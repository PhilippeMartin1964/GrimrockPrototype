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bb26c215e4f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a567faf2f3bf4774"/>
    <x:sheet xmlns:r="http://schemas.openxmlformats.org/officeDocument/2006/relationships" name="Catalogue" sheetId="2" r:id="Rbd502927ab01452c"/>
    <x:sheet xmlns:r="http://schemas.openxmlformats.org/officeDocument/2006/relationships" name="Niveaux 1-20" sheetId="3" r:id="R29e0b325756d4d93"/>
    <x:sheet xmlns:r="http://schemas.openxmlformats.org/officeDocument/2006/relationships" name="Raretés" sheetId="4" r:id="R5efcda7186b44a80"/>
    <x:sheet xmlns:r="http://schemas.openxmlformats.org/officeDocument/2006/relationships" name="Classes" sheetId="5" r:id="Rfd1516417d924323"/>
    <x:sheet xmlns:r="http://schemas.openxmlformats.org/officeDocument/2006/relationships" name="Améliorations" sheetId="6" r:id="R750742d8dd8f4d55"/>
    <x:sheet xmlns:r="http://schemas.openxmlformats.org/officeDocument/2006/relationships" name="Uniques" sheetId="7" r:id="R7d64166211d7442d"/>
    <x:sheet xmlns:r="http://schemas.openxmlformats.org/officeDocument/2006/relationships" name="Paramètres" sheetId="8" r:id="R38751a6e365141a4"/>
    <x:sheet xmlns:r="http://schemas.openxmlformats.org/officeDocument/2006/relationships" name="Implémentation UE5" sheetId="9" r:id="R2fe13a2c37c9474d"/>
    <x:sheet xmlns:r="http://schemas.openxmlformats.org/officeDocument/2006/relationships" name="Affixes" sheetId="10" r:id="R04bf6c95962a467e"/>
    <x:sheet xmlns:r="http://schemas.openxmlformats.org/officeDocument/2006/relationships" name="Pénalités de niveau" sheetId="11" r:id="Re1962bb4397b4579"/>
    <x:sheet xmlns:r="http://schemas.openxmlformats.org/officeDocument/2006/relationships" name="Contrat synthèse" sheetId="12" r:id="Rcd61201900d645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%"/>
    <x:numFmt numFmtId="202" formatCode="0.0"/>
  </x:numFmts>
  <x:fonts count="14">
    <x:font>
      <x:sz val="11"/>
      <x:name val="Carlito"/>
    </x:font>
    <x:font>
      <x:b/>
      <x:sz val="17"/>
      <x:color rgb="FFFFFFFF"/>
      <x:name val="Carlito"/>
    </x:font>
    <x:font>
      <x:sz val="10"/>
      <x:color rgb="FFDCE6EE"/>
      <x:name val="Carlito"/>
    </x:font>
    <x:font>
      <x:b/>
      <x:sz val="11"/>
      <x:color rgb="FF142131"/>
      <x:name val="Carlito"/>
    </x:font>
    <x:font>
      <x:b/>
      <x:sz val="10"/>
      <x:color rgb="FFFFFFFF"/>
      <x:name val="Carlito"/>
    </x:font>
    <x:font>
      <x:b/>
      <x:sz val="11"/>
      <x:color rgb="FF174B82"/>
      <x:name val="Carlito"/>
    </x:font>
    <x:font>
      <x:b/>
      <x:sz val="11"/>
      <x:color rgb="FF2B5574"/>
      <x:name val="Carlito"/>
    </x:font>
    <x:font>
      <x:b/>
      <x:sz val="11"/>
      <x:color rgb="FFFFFFFF"/>
      <x:name val="Carlito"/>
    </x:font>
    <x:font>
      <x:sz val="11"/>
      <x:color rgb="FF17628E"/>
      <x:name val="Carlito"/>
    </x:font>
    <x:font>
      <x:b/>
      <x:sz val="11"/>
      <x:color rgb="FF145BA6"/>
      <x:name val="Carlito"/>
    </x:font>
    <x:font>
      <x:b/>
      <x:sz val="15"/>
      <x:color rgb="FFFFFFFF"/>
      <x:name val="Carlito"/>
    </x:font>
    <x:font>
      <x:b/>
      <x:sz val="11"/>
      <x:color rgb="FF7D3A07"/>
      <x:name val="Carlito"/>
    </x:font>
    <x:font>
      <x:sz val="11"/>
      <x:color rgb="FF145BA6"/>
      <x:name val="Carlito"/>
    </x:font>
    <x:font>
      <x:b/>
      <x:sz val="11"/>
      <x:color rgb="FF21190A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142131"/>
      </x:patternFill>
    </x:fill>
    <x:fill>
      <x:patternFill patternType="solid">
        <x:fgColor rgb="FF21364B"/>
      </x:patternFill>
    </x:fill>
    <x:fill>
      <x:patternFill patternType="solid">
        <x:fgColor rgb="FFE0E9EF"/>
      </x:patternFill>
    </x:fill>
    <x:fill>
      <x:patternFill patternType="solid">
        <x:fgColor rgb="FFDCEAFB"/>
      </x:patternFill>
    </x:fill>
    <x:fill>
      <x:patternFill patternType="solid">
        <x:fgColor rgb="FF92999F"/>
      </x:patternFill>
    </x:fill>
    <x:fill>
      <x:patternFill patternType="solid">
        <x:fgColor rgb="FF368DDF"/>
      </x:patternFill>
    </x:fill>
    <x:fill>
      <x:patternFill patternType="solid">
        <x:fgColor rgb="FFAE65DF"/>
      </x:patternFill>
    </x:fill>
    <x:fill>
      <x:patternFill patternType="solid">
        <x:fgColor rgb="FFEAA33B"/>
      </x:patternFill>
    </x:fill>
    <x:fill>
      <x:patternFill patternType="solid">
        <x:fgColor rgb="FFD85D51"/>
      </x:patternFill>
    </x:fill>
    <x:fill>
      <x:patternFill patternType="solid">
        <x:fgColor rgb="FF154360"/>
      </x:patternFill>
    </x:fill>
    <x:fill>
      <x:patternFill patternType="solid">
        <x:fgColor rgb="FFE8F3FF"/>
      </x:patternFill>
    </x:fill>
    <x:fill>
      <x:patternFill patternType="solid">
        <x:fgColor rgb="FF12243A"/>
      </x:patternFill>
    </x:fill>
    <x:fill>
      <x:patternFill patternType="solid">
        <x:fgColor rgb="FFFCE4C7"/>
      </x:patternFill>
    </x:fill>
    <x:fill>
      <x:patternFill patternType="solid">
        <x:fgColor rgb="FF34465C"/>
      </x:patternFill>
    </x:fill>
    <x:fill>
      <x:patternFill patternType="solid">
        <x:fgColor rgb="FF92999F"/>
      </x:patternFill>
    </x:fill>
    <x:fill>
      <x:patternFill patternType="solid">
        <x:fgColor rgb="FF42A75B"/>
      </x:patternFill>
    </x:fill>
    <x:fill>
      <x:patternFill patternType="solid">
        <x:fgColor rgb="FF368DDF"/>
      </x:patternFill>
    </x:fill>
    <x:fill>
      <x:patternFill patternType="solid">
        <x:fgColor rgb="FF9B59D0"/>
      </x:patternFill>
    </x:fill>
    <x:fill>
      <x:patternFill patternType="solid">
        <x:fgColor rgb="FFD4A23A"/>
      </x:patternFill>
    </x:fill>
    <x:fill>
      <x:patternFill patternType="solid">
        <x:fgColor rgb="FF244454"/>
      </x:patternFill>
    </x:fill>
  </x:fills>
  <x:borders count="2">
    <x:border/>
    <x:border/>
  </x:borders>
  <x:cellStyleXfs count="1">
    <x:xf numFmtId="0" fontId="0" fillId="0" borderId="0"/>
  </x:cellStyleXfs>
  <x:cellXfs count="8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8" borderId="1" xfId="0" applyNumberFormat="1" applyFont="1" applyFill="1" applyBorder="1"/>
    <x:xf numFmtId="0" fontId="7" fillId="8" borderId="1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0" fillId="9" borderId="1" xfId="0" applyNumberFormat="1" applyFont="1" applyFill="1" applyBorder="1"/>
    <x:xf numFmtId="0" fontId="7" fillId="9" borderId="1" xfId="0" applyNumberFormat="1" applyFont="1" applyFill="1" applyBorder="1"/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0" fillId="10" borderId="1" xfId="0" applyNumberFormat="1" applyFont="1" applyFill="1" applyBorder="1"/>
    <x:xf numFmtId="0" fontId="7" fillId="1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201" fontId="9" fillId="12" borderId="0" xfId="0" applyNumberFormat="1" applyFont="1" applyFill="1" applyBorder="1"/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2" fillId="0" borderId="0" xfId="0" applyNumberFormat="1" applyFont="1" applyFill="1" applyBorder="1"/>
    <x:xf numFmtId="201" fontId="12" fillId="0" borderId="0" xfId="0" applyNumberFormat="1" applyFont="1" applyFill="1" applyBorder="1"/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wrapText="1"/>
    </x:xf>
    <x:xf numFmtId="0" fontId="7" fillId="16" borderId="0" xfId="0" applyNumberFormat="1" applyFont="1" applyFill="1" applyBorder="1"/>
    <x:xf numFmtId="0" fontId="7" fillId="17" borderId="0" xfId="0" applyNumberFormat="1" applyFont="1" applyFill="1" applyBorder="1"/>
    <x:xf numFmtId="0" fontId="7" fillId="18" borderId="0" xfId="0" applyNumberFormat="1" applyFont="1" applyFill="1" applyBorder="1"/>
    <x:xf numFmtId="0" fontId="7" fillId="19" borderId="0" xfId="0" applyNumberFormat="1" applyFont="1" applyFill="1" applyBorder="1"/>
    <x:xf numFmtId="0" fontId="7" fillId="20" borderId="0" xfId="0" applyNumberFormat="1" applyFont="1" applyFill="1" applyBorder="1"/>
    <x:xf numFmtId="0" fontId="13" fillId="2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2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223f4fabce4599" /><Relationship Type="http://schemas.openxmlformats.org/officeDocument/2006/relationships/theme" Target="/xl/theme/theme1.xml" Id="R8f33b3d202c849f3" /><Relationship Type="http://schemas.openxmlformats.org/officeDocument/2006/relationships/sharedStrings" Target="/xl/sharedStrings.xml" Id="R1e283be96a6b4900" /><Relationship Type="http://schemas.openxmlformats.org/officeDocument/2006/relationships/worksheet" Target="/xl/worksheets/sheet1.xml" Id="Ra567faf2f3bf4774" /><Relationship Type="http://schemas.openxmlformats.org/officeDocument/2006/relationships/worksheet" Target="/xl/worksheets/sheet2.xml" Id="Rbd502927ab01452c" /><Relationship Type="http://schemas.openxmlformats.org/officeDocument/2006/relationships/worksheet" Target="/xl/worksheets/sheet3.xml" Id="R29e0b325756d4d93" /><Relationship Type="http://schemas.openxmlformats.org/officeDocument/2006/relationships/worksheet" Target="/xl/worksheets/sheet4.xml" Id="R5efcda7186b44a80" /><Relationship Type="http://schemas.openxmlformats.org/officeDocument/2006/relationships/worksheet" Target="/xl/worksheets/sheet5.xml" Id="Rfd1516417d924323" /><Relationship Type="http://schemas.openxmlformats.org/officeDocument/2006/relationships/worksheet" Target="/xl/worksheets/sheet6.xml" Id="R750742d8dd8f4d55" /><Relationship Type="http://schemas.openxmlformats.org/officeDocument/2006/relationships/worksheet" Target="/xl/worksheets/sheet7.xml" Id="R7d64166211d7442d" /><Relationship Type="http://schemas.openxmlformats.org/officeDocument/2006/relationships/worksheet" Target="/xl/worksheets/sheet8.xml" Id="R38751a6e365141a4" /><Relationship Type="http://schemas.openxmlformats.org/officeDocument/2006/relationships/worksheet" Target="/xl/worksheets/sheet9.xml" Id="R2fe13a2c37c9474d" /><Relationship Type="http://schemas.openxmlformats.org/officeDocument/2006/relationships/worksheet" Target="/xl/worksheets/sheet10.xml" Id="R04bf6c95962a467e" /><Relationship Type="http://schemas.openxmlformats.org/officeDocument/2006/relationships/worksheet" Target="/xl/worksheets/sheet11.xml" Id="Re1962bb4397b4579" /><Relationship Type="http://schemas.openxmlformats.org/officeDocument/2006/relationships/worksheet" Target="/xl/worksheets/sheet12.xml" Id="Rcd61201900d645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100" hidden="0" customWidth="1"/>
  </x:cols>
  <x:sheetData>
    <x:row r="1" ht="35" customHeight="1">
      <x:c r="A1" s="3" t="str">
        <x:v>ARMEMENT01 · Catalogue complet (12 onglets) · contrat v0.3 + jalon ARMEMENT01.2</x:v>
      </x:c>
      <x:c r="B1" s="3"/>
      <x:c r="C1" s="3"/>
      <x:c r="D1" s="3"/>
      <x:c r="E1" s="3"/>
      <x:c r="F1" s="3"/>
      <x:c r="G1" s="3"/>
      <x:c r="H1" s="3"/>
    </x:row>
    <x:row r="2" ht="26" customHeight="1">
      <x:c r="A2" s="7" t="str">
        <x:v>82 archétypes · 1640 versions immuables · vrais dés RPG · données historiques conservées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1" t="str">
        <x:v>Objet</x:v>
      </x:c>
      <x:c r="B4" s="14" t="str">
        <x:v>Ce classeur décrit 82 archétypes d'armes, de focaliseurs et de boucliers; ce ne sont PAS 82 DataAssets UE5 déjà créés.</x:v>
      </x:c>
    </x:row>
    <x:row r="5" ht="34" customHeight="1">
      <x:c r="A5" s="11" t="str">
        <x:v>Onglet Catalogue</x:v>
      </x:c>
      <x:c r="B5" s="14" t="str">
        <x:v>Identité par famille : type, dégâts niveau 1, coût PA, portée, poids, attribut, bonus précision et rôle tactique.</x:v>
      </x:c>
    </x:row>
    <x:row r="6" ht="34" customHeight="1">
      <x:c r="A6" s="11" t="str">
        <x:v>Onglet Niveaux 1-20</x:v>
      </x:c>
      <x:c r="B6" s="14" t="str">
        <x:v>82 archétypes × 20 versions de butin. Jet de dégâts = NdM + K, dés d4/d6/d8/d10/d12/d20; les plages Min/Max sont une conséquence.</x:v>
      </x:c>
    </x:row>
    <x:row r="7" ht="34" customHeight="1">
      <x:c r="A7" s="11" t="str">
        <x:v>Onglet Raretés</x:v>
      </x:c>
      <x:c r="B7" s="14" t="str">
        <x:v>Commun gris, Rare vert, Épique bleu, Légendaire violet, Unique doré. Aucun bonus WD de rareté automatique.</x:v>
      </x:c>
    </x:row>
    <x:row r="8" ht="34" customHeight="1">
      <x:c r="A8" s="11" t="str">
        <x:v>Onglet Classes</x:v>
      </x:c>
      <x:c r="B8" s="14" t="str">
        <x:v>6 classes et 18 spécialités canoniques; préférences de gameplay, non restrictions absolues.</x:v>
      </x:c>
    </x:row>
    <x:row r="9" ht="34" customHeight="1">
      <x:c r="A9" s="11" t="str">
        <x:v>Onglet Améliorations</x:v>
      </x:c>
      <x:c r="B9" s="14" t="str">
        <x:v>Forge sans gain de niveau, alchimie temporaire, runes permanentes. FOR02/FOR03/FOR07 corrigées selon ARM-001.</x:v>
      </x:c>
    </x:row>
    <x:row r="10" ht="34" customHeight="1">
      <x:c r="A10" s="11" t="str">
        <x:v>Onglet Uniques</x:v>
      </x:c>
      <x:c r="B10" s="14" t="str">
        <x:v>Exemples d'objets nommés, avec effet prédéfini et acquisition scénarisée.</x:v>
      </x:c>
    </x:row>
    <x:row r="11" ht="34" customHeight="1">
      <x:c r="A11" s="11" t="str">
        <x:v>Onglet Paramètres</x:v>
      </x:c>
      <x:c r="B11" s="14" t="str">
        <x:v>Courbe indicative (k1/k2) pour orienter l'équilibrage; ne régénère pas les dés sans re-authoring explicite.</x:v>
      </x:c>
    </x:row>
    <x:row r="12" ht="34" customHeight="1">
      <x:c r="A12" s="11" t="str">
        <x:v>Onglet Implémentation UE5</x:v>
      </x:c>
      <x:c r="B12" s="14" t="str">
        <x:v>Paramètres de progression à la création de l'objet (niveau fixe), plus paramètres proposés de sous-niveau.</x:v>
      </x:c>
    </x:row>
    <x:row r="13" ht="34" customHeight="1">
      <x:c r="A13" s="11" t="str">
        <x:v>ATTENTION</x:v>
      </x:c>
      <x:c r="B13" s="14" t="str">
        <x:v>Valeurs indicatives de game design. À calibrer contre PV/armures monstres, 4 PA/tour, critique, WD et difficulté réelle.</x:v>
      </x:c>
    </x:row>
    <x:row r="14" ht="34" customHeight="1">
      <x:c r="A14" s="11" t="str">
        <x:v>Courbe d'équilibrage</x:v>
      </x:c>
      <x:c r="B14" s="14" t="str">
        <x:v>La courbe k1/k2 sert uniquement de cible de comparaison (colonnes Q:R). Les profils de dés M:N:O sont authorés et fixes pour chaque version de butin.</x:v>
      </x:c>
    </x:row>
    <x:row r="15" ht="34" customHeight="1">
      <x:c r="A15" s="11" t="str">
        <x:v>Références</x:v>
      </x:c>
      <x:c r="B15" s="14" t="str">
        <x:v>ARMEMENT01_Contrat_Armement_v0_3.md (design) ; ARMEMENT01_2_CONTRAT_TECHNIQUE_MULTIDES.md (contrat technique).</x:v>
      </x:c>
    </x:row>
    <x:row r="16">
      <x:c r="A16" t="str">
        <x:v>Continuité v0.2</x:v>
      </x:c>
      <x:c r="B16" t="str">
        <x:v>Les 12 onglets et les données des familles, classes, affixes, uniques, recettes, paramètres et pénalités sont conservés.</x:v>
      </x:c>
    </x:row>
    <x:row r="17">
      <x:c r="A17" t="str">
        <x:v>ARM-001</x:v>
      </x:c>
      <x:c r="B17" t="str">
        <x:v>Niveau d'objet fixe; profil réel NdM+K à dés d4/d6/d8/d10/d12/d20, plusieurs dés possibles.</x:v>
      </x:c>
    </x:row>
    <x:row r="18">
      <x:c r="A18" t="str">
        <x:v>ARM-002</x:v>
      </x:c>
      <x:c r="B18" t="str">
        <x:v>AUCUNE conversion de Min/Max en dé virtuel non standard pour les nouvelles armes. Min/Max sont dérivés des dés; les anciens profils du moteur restent compatibles.</x:v>
      </x:c>
    </x:row>
    <x:row r="19">
      <x:c r="A19" t="str">
        <x:v>ARM-003</x:v>
      </x:c>
      <x:c r="B19" t="str">
        <x:v>Objet plus haut niveau : malus proposés ; maximum 3 niveaux d'écart équipable (proposition à valider).</x:v>
      </x:c>
    </x:row>
    <x:row r="20">
      <x:c r="A20" t="str">
        <x:v>ARM-004</x:v>
      </x:c>
      <x:c r="B20" t="str">
        <x:v>Exemple 2d8 + 4 : plage 6–20 ; moyenne 13 ; somme de deux vrais d8, pas RandRange(6,20).</x:v>
      </x:c>
    </x:row>
    <x:row r="21">
      <x:c r="A21" t="str">
        <x:v>ARM-005</x:v>
      </x:c>
      <x:c r="B21" t="str">
        <x:v>Les boucliers n'ont pas de jet de dégâts passif ; une attaque de bouclier est une action distincte.</x:v>
      </x:c>
    </x:row>
    <x:row r="22">
      <x:c r="A22" t="str">
        <x:v>Raretés</x:v>
      </x:c>
      <x:c r="B22" t="str">
        <x:v>Gris / Vert / Bleu / Violet / Doré.</x:v>
      </x:c>
    </x:row>
    <x:row r="23">
      <x:c r="A23" t="str">
        <x:v>Attention</x:v>
      </x:c>
      <x:c r="B23" t="str">
        <x:v>L'armure des boucliers est une valeur fixe, sans dés de protection; la précision et les jets d'action existants restent inchangés.</x:v>
      </x:c>
    </x:row>
    <x:row r="24">
      <x:c r="A24" t="str">
        <x:v>ARMEMENT01.2</x:v>
      </x:c>
      <x:c r="B24" t="str">
        <x:v>Contrat technique : ajout d'un profil de dés opt-in, branche legacy préservée, trace individuelle et tests déterministes.</x:v>
      </x:c>
    </x:row>
    <x:row r="25">
      <x:c r="A25" t="str">
        <x:v>Statut technique</x:v>
      </x:c>
      <x:c r="B25" t="str">
        <x:v>Documenté seulement : aucun changement de code ni test Unreal exécuté.</x:v>
      </x:c>
    </x:row>
    <x:row r="26">
      <x:c r="A26" t="str">
        <x:v>Contrôles de données</x:v>
      </x:c>
      <x:c r="B26" t="str">
        <x:v>Dans 'Niveaux 1-20', colonnes T:V vérifient faces autorisées, bornes et moyenne de chaque profil sans modifier A:S.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5" hidden="0" customWidth="1"/>
    <x:col min="3" max="3" width="17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7" hidden="0" customWidth="1"/>
    <x:col min="10" max="10" width="11" hidden="0" customWidth="1"/>
    <x:col min="11" max="11" width="10" hidden="0" customWidth="1"/>
    <x:col min="12" max="12" width="10" hidden="0" customWidth="1"/>
    <x:col min="13" max="13" width="15" hidden="0" customWidth="1"/>
    <x:col min="14" max="14" width="13" hidden="0" customWidth="1"/>
    <x:col min="15" max="15" width="16" hidden="0" customWidth="1"/>
    <x:col min="16" max="16" width="16" hidden="0" customWidth="1"/>
    <x:col min="17" max="17" width="23" hidden="0" customWidth="1"/>
    <x:col min="18" max="18" width="47" hidden="0" customWidth="1"/>
    <x:col min="19" max="19" width="33" hidden="0" customWidth="1"/>
    <x:col min="20" max="20" width="25" hidden="0" customWidth="1"/>
  </x:cols>
  <x:sheetData>
    <x:row r="1" ht="35" customHeight="1">
      <x:c r="A1" s="3" t="str">
        <x:v>Catalogue d'armement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6" customHeight="1">
      <x:c r="A2" s="7" t="str">
        <x:v>Une ligne = un ARCHÉTYPE. E/F sont les CIBLES historiques N1, non les dégâts authorés; la source des dégâts jouables est la table des vrais dés par niveau.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3" ht="30" customHeight="1">
      <x:c r="A3" s="18" t="str">
        <x:v>ID</x:v>
      </x:c>
      <x:c r="B3" s="18" t="str">
        <x:v>Nom</x:v>
      </x:c>
      <x:c r="C3" s="18" t="str">
        <x:v>Famille</x:v>
      </x:c>
      <x:c r="D3" s="18" t="str">
        <x:v>Tenue</x:v>
      </x:c>
      <x:c r="E3" s="18" t="str">
        <x:v>Min cible N1</x:v>
      </x:c>
      <x:c r="F3" s="18" t="str">
        <x:v>Max cible N1</x:v>
      </x:c>
      <x:c r="G3" s="18" t="str">
        <x:v>Arm phys N1</x:v>
      </x:c>
      <x:c r="H3" s="18" t="str">
        <x:v>Arm mag N1</x:v>
      </x:c>
      <x:c r="I3" s="18" t="str">
        <x:v>PA</x:v>
      </x:c>
      <x:c r="J3" s="18" t="str">
        <x:v>Portée cases</x:v>
      </x:c>
      <x:c r="K3" s="18" t="str">
        <x:v>Poids kg</x:v>
      </x:c>
      <x:c r="L3" s="18" t="str">
        <x:v>Précision</x:v>
      </x:c>
      <x:c r="M3" s="18" t="str">
        <x:v>Attribut</x:v>
      </x:c>
      <x:c r="N3" s="18" t="str">
        <x:v>Dégâts</x:v>
      </x:c>
      <x:c r="O3" s="18" t="str">
        <x:v>Sous-type</x:v>
      </x:c>
      <x:c r="P3" s="18" t="str">
        <x:v>Classe principale</x:v>
      </x:c>
      <x:c r="Q3" s="18" t="str">
        <x:v>Classes secondaires</x:v>
      </x:c>
      <x:c r="R3" s="18" t="str">
        <x:v>Particularité</x:v>
      </x:c>
      <x:c r="S3" s="18" t="str">
        <x:v>Tags proposés</x:v>
      </x:c>
      <x:c r="T3" s="76" t="str">
        <x:v>Dés N1 réels (voir versions)</x:v>
      </x:c>
    </x:row>
    <x:row r="4" ht="21" customHeight="1">
      <x:c r="A4" s="26" t="str">
        <x:v>ARM001</x:v>
      </x:c>
      <x:c r="B4" t="str">
        <x:v>Dague</x:v>
      </x:c>
      <x:c r="C4" t="str">
        <x:v>Légères</x:v>
      </x:c>
      <x:c r="D4" t="str">
        <x:v>1 main</x:v>
      </x:c>
      <x:c r="E4" s="28" t="n">
        <x:v>2</x:v>
      </x:c>
      <x:c r="F4" s="28" t="n">
        <x:v>4</x:v>
      </x:c>
      <x:c r="G4" s="28" t="n">
        <x:v>0</x:v>
      </x:c>
      <x:c r="H4" s="28" t="n">
        <x:v>0</x:v>
      </x:c>
      <x:c r="I4" s="28" t="n">
        <x:v>2</x:v>
      </x:c>
      <x:c r="J4" s="28" t="n">
        <x:v>1</x:v>
      </x:c>
      <x:c r="K4" s="30" t="n">
        <x:v>0.4</x:v>
      </x:c>
      <x:c r="L4" s="28" t="n">
        <x:v>1</x:v>
      </x:c>
      <x:c r="M4" t="str">
        <x:v>Dextérité</x:v>
      </x:c>
      <x:c r="N4" t="str">
        <x:v>Physical</x:v>
      </x:c>
      <x:c r="O4" t="str">
        <x:v>Slashing</x:v>
      </x:c>
      <x:c r="P4" t="str">
        <x:v>Voleur</x:v>
      </x:c>
      <x:c r="Q4" t="str">
        <x:v>Rôdeur / Alchimiste</x:v>
      </x:c>
      <x:c r="R4" t="str">
        <x:v>Polyvalente, double arme</x:v>
      </x:c>
      <x:c r="S4" t="str">
        <x:v>Weapon.Light</x:v>
      </x:c>
      <x:c r="T4" t="str">
        <x:v>1d4</x:v>
      </x:c>
    </x:row>
    <x:row r="5" ht="21" customHeight="1">
      <x:c r="A5" s="26" t="str">
        <x:v>ARM002</x:v>
      </x:c>
      <x:c r="B5" t="str">
        <x:v>Poignard d'assassin</x:v>
      </x:c>
      <x:c r="C5" t="str">
        <x:v>Légères</x:v>
      </x:c>
      <x:c r="D5" t="str">
        <x:v>1 main</x:v>
      </x:c>
      <x:c r="E5" s="28" t="n">
        <x:v>2</x:v>
      </x:c>
      <x:c r="F5" s="28" t="n">
        <x:v>3</x:v>
      </x:c>
      <x:c r="G5" s="28" t="n">
        <x:v>0</x:v>
      </x:c>
      <x:c r="H5" s="28" t="n">
        <x:v>0</x:v>
      </x:c>
      <x:c r="I5" s="28" t="n">
        <x:v>2</x:v>
      </x:c>
      <x:c r="J5" s="28" t="n">
        <x:v>1</x:v>
      </x:c>
      <x:c r="K5" s="30" t="n">
        <x:v>0.3</x:v>
      </x:c>
      <x:c r="L5" s="28" t="n">
        <x:v>2</x:v>
      </x:c>
      <x:c r="M5" t="str">
        <x:v>Dextérité</x:v>
      </x:c>
      <x:c r="N5" t="str">
        <x:v>Physical</x:v>
      </x:c>
      <x:c r="O5" t="str">
        <x:v>Piercing</x:v>
      </x:c>
      <x:c r="P5" t="str">
        <x:v>Voleur</x:v>
      </x:c>
      <x:c r="Q5" t="str">
        <x:v>Rôdeur / Alchimiste</x:v>
      </x:c>
      <x:c r="R5" t="str">
        <x:v>Critique conditionnel depuis l'ombre</x:v>
      </x:c>
      <x:c r="S5" t="str">
        <x:v>Weapon.Light</x:v>
      </x:c>
      <x:c r="T5" t="str">
        <x:v>1d4</x:v>
      </x:c>
    </x:row>
    <x:row r="6" ht="21" customHeight="1">
      <x:c r="A6" s="26" t="str">
        <x:v>ARM003</x:v>
      </x:c>
      <x:c r="B6" t="str">
        <x:v>Stylet</x:v>
      </x:c>
      <x:c r="C6" t="str">
        <x:v>Légères</x:v>
      </x:c>
      <x:c r="D6" t="str">
        <x:v>1 main</x:v>
      </x:c>
      <x:c r="E6" s="28" t="n">
        <x:v>1</x:v>
      </x:c>
      <x:c r="F6" s="28" t="n">
        <x:v>4</x:v>
      </x:c>
      <x:c r="G6" s="28" t="n">
        <x:v>0</x:v>
      </x:c>
      <x:c r="H6" s="28" t="n">
        <x:v>0</x:v>
      </x:c>
      <x:c r="I6" s="28" t="n">
        <x:v>2</x:v>
      </x:c>
      <x:c r="J6" s="28" t="n">
        <x:v>1</x:v>
      </x:c>
      <x:c r="K6" s="30" t="n">
        <x:v>0.25</x:v>
      </x:c>
      <x:c r="L6" s="28" t="n">
        <x:v>1</x:v>
      </x:c>
      <x:c r="M6" t="str">
        <x:v>Dextérité</x:v>
      </x:c>
      <x:c r="N6" t="str">
        <x:v>Physical</x:v>
      </x:c>
      <x:c r="O6" t="str">
        <x:v>Piercing</x:v>
      </x:c>
      <x:c r="P6" t="str">
        <x:v>Voleur</x:v>
      </x:c>
      <x:c r="Q6" t="str">
        <x:v>Rôdeur / Alchimiste</x:v>
      </x:c>
      <x:c r="R6" t="str">
        <x:v>Perforation ciblée</x:v>
      </x:c>
      <x:c r="S6" t="str">
        <x:v>Weapon.Light</x:v>
      </x:c>
      <x:c r="T6" t="str">
        <x:v>1d4</x:v>
      </x:c>
    </x:row>
    <x:row r="7" ht="21" customHeight="1">
      <x:c r="A7" s="26" t="str">
        <x:v>ARM004</x:v>
      </x:c>
      <x:c r="B7" t="str">
        <x:v>Kriss</x:v>
      </x:c>
      <x:c r="C7" t="str">
        <x:v>Légères</x:v>
      </x:c>
      <x:c r="D7" t="str">
        <x:v>1 main</x:v>
      </x:c>
      <x:c r="E7" s="28" t="n">
        <x:v>2</x:v>
      </x:c>
      <x:c r="F7" s="28" t="n">
        <x:v>4</x:v>
      </x:c>
      <x:c r="G7" s="28" t="n">
        <x:v>0</x:v>
      </x:c>
      <x:c r="H7" s="28" t="n">
        <x:v>0</x:v>
      </x:c>
      <x:c r="I7" s="28" t="n">
        <x:v>2</x:v>
      </x:c>
      <x:c r="J7" s="28" t="n">
        <x:v>1</x:v>
      </x:c>
      <x:c r="K7" s="30" t="n">
        <x:v>0.5</x:v>
      </x:c>
      <x:c r="L7" s="28" t="n">
        <x:v>0</x:v>
      </x:c>
      <x:c r="M7" t="str">
        <x:v>Dextérité</x:v>
      </x:c>
      <x:c r="N7" t="str">
        <x:v>Physical</x:v>
      </x:c>
      <x:c r="O7" t="str">
        <x:v>Slashing</x:v>
      </x:c>
      <x:c r="P7" t="str">
        <x:v>Voleur</x:v>
      </x:c>
      <x:c r="Q7" t="str">
        <x:v>Rôdeur / Alchimiste</x:v>
      </x:c>
      <x:c r="R7" t="str">
        <x:v>Saigne sur coup critique</x:v>
      </x:c>
      <x:c r="S7" t="str">
        <x:v>Weapon.Light</x:v>
      </x:c>
      <x:c r="T7" t="str">
        <x:v>1d4</x:v>
      </x:c>
    </x:row>
    <x:row r="8" ht="21" customHeight="1">
      <x:c r="A8" s="26" t="str">
        <x:v>ARM005</x:v>
      </x:c>
      <x:c r="B8" t="str">
        <x:v>Couteau de chasse</x:v>
      </x:c>
      <x:c r="C8" t="str">
        <x:v>Légères</x:v>
      </x:c>
      <x:c r="D8" t="str">
        <x:v>1 main</x:v>
      </x:c>
      <x:c r="E8" s="28" t="n">
        <x:v>2</x:v>
      </x:c>
      <x:c r="F8" s="28" t="n">
        <x:v>4</x:v>
      </x:c>
      <x:c r="G8" s="28" t="n">
        <x:v>0</x:v>
      </x:c>
      <x:c r="H8" s="28" t="n">
        <x:v>0</x:v>
      </x:c>
      <x:c r="I8" s="28" t="n">
        <x:v>2</x:v>
      </x:c>
      <x:c r="J8" s="28" t="n">
        <x:v>1</x:v>
      </x:c>
      <x:c r="K8" s="30" t="n">
        <x:v>0.5</x:v>
      </x:c>
      <x:c r="L8" s="28" t="n">
        <x:v>0</x:v>
      </x:c>
      <x:c r="M8" t="str">
        <x:v>Dextérité</x:v>
      </x:c>
      <x:c r="N8" t="str">
        <x:v>Physical</x:v>
      </x:c>
      <x:c r="O8" t="str">
        <x:v>Slashing</x:v>
      </x:c>
      <x:c r="P8" t="str">
        <x:v>Voleur</x:v>
      </x:c>
      <x:c r="Q8" t="str">
        <x:v>Rôdeur / Alchimiste</x:v>
      </x:c>
      <x:c r="R8" t="str">
        <x:v>Chasse et utilitaire</x:v>
      </x:c>
      <x:c r="S8" t="str">
        <x:v>Weapon.Light</x:v>
      </x:c>
      <x:c r="T8" t="str">
        <x:v>1d4</x:v>
      </x:c>
    </x:row>
    <x:row r="9" ht="21" customHeight="1">
      <x:c r="A9" s="26" t="str">
        <x:v>ARM006</x:v>
      </x:c>
      <x:c r="B9" t="str">
        <x:v>Épée courte</x:v>
      </x:c>
      <x:c r="C9" t="str">
        <x:v>Légères</x:v>
      </x:c>
      <x:c r="D9" t="str">
        <x:v>1 main</x:v>
      </x:c>
      <x:c r="E9" s="28" t="n">
        <x:v>3</x:v>
      </x:c>
      <x:c r="F9" s="28" t="n">
        <x:v>5</x:v>
      </x:c>
      <x:c r="G9" s="28" t="n">
        <x:v>0</x:v>
      </x:c>
      <x:c r="H9" s="28" t="n">
        <x:v>0</x:v>
      </x:c>
      <x:c r="I9" s="28" t="n">
        <x:v>2</x:v>
      </x:c>
      <x:c r="J9" s="28" t="n">
        <x:v>1</x:v>
      </x:c>
      <x:c r="K9" s="30" t="n">
        <x:v>1</x:v>
      </x:c>
      <x:c r="L9" s="28" t="n">
        <x:v>0</x:v>
      </x:c>
      <x:c r="M9" t="str">
        <x:v>Dextérité</x:v>
      </x:c>
      <x:c r="N9" t="str">
        <x:v>Physical</x:v>
      </x:c>
      <x:c r="O9" t="str">
        <x:v>Slashing</x:v>
      </x:c>
      <x:c r="P9" t="str">
        <x:v>Voleur</x:v>
      </x:c>
      <x:c r="Q9" t="str">
        <x:v>Rôdeur / Alchimiste</x:v>
      </x:c>
      <x:c r="R9" t="str">
        <x:v>Bon compromis</x:v>
      </x:c>
      <x:c r="S9" t="str">
        <x:v>Weapon.Light</x:v>
      </x:c>
      <x:c r="T9" t="str">
        <x:v>1d4 + 1</x:v>
      </x:c>
    </x:row>
    <x:row r="10" ht="21" customHeight="1">
      <x:c r="A10" s="26" t="str">
        <x:v>ARM007</x:v>
      </x:c>
      <x:c r="B10" t="str">
        <x:v>Rapière</x:v>
      </x:c>
      <x:c r="C10" t="str">
        <x:v>Légères</x:v>
      </x:c>
      <x:c r="D10" t="str">
        <x:v>1 main</x:v>
      </x:c>
      <x:c r="E10" s="28" t="n">
        <x:v>2</x:v>
      </x:c>
      <x:c r="F10" s="28" t="n">
        <x:v>5</x:v>
      </x:c>
      <x:c r="G10" s="28" t="n">
        <x:v>0</x:v>
      </x:c>
      <x:c r="H10" s="28" t="n">
        <x:v>0</x:v>
      </x:c>
      <x:c r="I10" s="28" t="n">
        <x:v>2</x:v>
      </x:c>
      <x:c r="J10" s="28" t="n">
        <x:v>1</x:v>
      </x:c>
      <x:c r="K10" s="30" t="n">
        <x:v>1</x:v>
      </x:c>
      <x:c r="L10" s="28" t="n">
        <x:v>1</x:v>
      </x:c>
      <x:c r="M10" t="str">
        <x:v>Dextérité</x:v>
      </x:c>
      <x:c r="N10" t="str">
        <x:v>Physical</x:v>
      </x:c>
      <x:c r="O10" t="str">
        <x:v>Piercing</x:v>
      </x:c>
      <x:c r="P10" t="str">
        <x:v>Voleur</x:v>
      </x:c>
      <x:c r="Q10" t="str">
        <x:v>Rôdeur / Alchimiste</x:v>
      </x:c>
      <x:c r="R10" t="str">
        <x:v>Parade et précision</x:v>
      </x:c>
      <x:c r="S10" t="str">
        <x:v>Weapon.Light</x:v>
      </x:c>
      <x:c r="T10" t="str">
        <x:v>1d4 + 1</x:v>
      </x:c>
    </x:row>
    <x:row r="11" ht="21" customHeight="1">
      <x:c r="A11" s="26" t="str">
        <x:v>ARM008</x:v>
      </x:c>
      <x:c r="B11" t="str">
        <x:v>Sabre léger</x:v>
      </x:c>
      <x:c r="C11" t="str">
        <x:v>Légères</x:v>
      </x:c>
      <x:c r="D11" t="str">
        <x:v>1 main</x:v>
      </x:c>
      <x:c r="E11" s="28" t="n">
        <x:v>3</x:v>
      </x:c>
      <x:c r="F11" s="28" t="n">
        <x:v>5</x:v>
      </x:c>
      <x:c r="G11" s="28" t="n">
        <x:v>0</x:v>
      </x:c>
      <x:c r="H11" s="28" t="n">
        <x:v>0</x:v>
      </x:c>
      <x:c r="I11" s="28" t="n">
        <x:v>2</x:v>
      </x:c>
      <x:c r="J11" s="28" t="n">
        <x:v>1</x:v>
      </x:c>
      <x:c r="K11" s="30" t="n">
        <x:v>1.1</x:v>
      </x:c>
      <x:c r="L11" s="28" t="n">
        <x:v>0</x:v>
      </x:c>
      <x:c r="M11" t="str">
        <x:v>Dextérité</x:v>
      </x:c>
      <x:c r="N11" t="str">
        <x:v>Physical</x:v>
      </x:c>
      <x:c r="O11" t="str">
        <x:v>Slashing</x:v>
      </x:c>
      <x:c r="P11" t="str">
        <x:v>Voleur</x:v>
      </x:c>
      <x:c r="Q11" t="str">
        <x:v>Rôdeur / Alchimiste</x:v>
      </x:c>
      <x:c r="R11" t="str">
        <x:v>Mobilité</x:v>
      </x:c>
      <x:c r="S11" t="str">
        <x:v>Weapon.Light</x:v>
      </x:c>
      <x:c r="T11" t="str">
        <x:v>1d4 + 1</x:v>
      </x:c>
    </x:row>
    <x:row r="12" ht="21" customHeight="1">
      <x:c r="A12" s="26" t="str">
        <x:v>ARM009</x:v>
      </x:c>
      <x:c r="B12" t="str">
        <x:v>Cimeterre court</x:v>
      </x:c>
      <x:c r="C12" t="str">
        <x:v>Légères</x:v>
      </x:c>
      <x:c r="D12" t="str">
        <x:v>1 main</x:v>
      </x:c>
      <x:c r="E12" s="28" t="n">
        <x:v>3</x:v>
      </x:c>
      <x:c r="F12" s="28" t="n">
        <x:v>5</x:v>
      </x:c>
      <x:c r="G12" s="28" t="n">
        <x:v>0</x:v>
      </x:c>
      <x:c r="H12" s="28" t="n">
        <x:v>0</x:v>
      </x:c>
      <x:c r="I12" s="28" t="n">
        <x:v>2</x:v>
      </x:c>
      <x:c r="J12" s="28" t="n">
        <x:v>1</x:v>
      </x:c>
      <x:c r="K12" s="30" t="n">
        <x:v>1.2</x:v>
      </x:c>
      <x:c r="L12" s="28" t="n">
        <x:v>0</x:v>
      </x:c>
      <x:c r="M12" t="str">
        <x:v>Dextérité</x:v>
      </x:c>
      <x:c r="N12" t="str">
        <x:v>Physical</x:v>
      </x:c>
      <x:c r="O12" t="str">
        <x:v>Slashing</x:v>
      </x:c>
      <x:c r="P12" t="str">
        <x:v>Voleur</x:v>
      </x:c>
      <x:c r="Q12" t="str">
        <x:v>Rôdeur / Alchimiste</x:v>
      </x:c>
      <x:c r="R12" t="str">
        <x:v>Tranchant</x:v>
      </x:c>
      <x:c r="S12" t="str">
        <x:v>Weapon.Light</x:v>
      </x:c>
      <x:c r="T12" t="str">
        <x:v>1d4 + 1</x:v>
      </x:c>
    </x:row>
    <x:row r="13" ht="21" customHeight="1">
      <x:c r="A13" s="26" t="str">
        <x:v>ARM010</x:v>
      </x:c>
      <x:c r="B13" t="str">
        <x:v>Hachette</x:v>
      </x:c>
      <x:c r="C13" t="str">
        <x:v>Légères</x:v>
      </x:c>
      <x:c r="D13" t="str">
        <x:v>1 main</x:v>
      </x:c>
      <x:c r="E13" s="28" t="n">
        <x:v>3</x:v>
      </x:c>
      <x:c r="F13" s="28" t="n">
        <x:v>5</x:v>
      </x:c>
      <x:c r="G13" s="28" t="n">
        <x:v>0</x:v>
      </x:c>
      <x:c r="H13" s="28" t="n">
        <x:v>0</x:v>
      </x:c>
      <x:c r="I13" s="28" t="n">
        <x:v>2</x:v>
      </x:c>
      <x:c r="J13" s="28" t="n">
        <x:v>1</x:v>
      </x:c>
      <x:c r="K13" s="30" t="n">
        <x:v>1.1</x:v>
      </x:c>
      <x:c r="L13" s="28" t="n">
        <x:v>-1</x:v>
      </x:c>
      <x:c r="M13" t="str">
        <x:v>Dextérité</x:v>
      </x:c>
      <x:c r="N13" t="str">
        <x:v>Physical</x:v>
      </x:c>
      <x:c r="O13" t="str">
        <x:v>Slashing</x:v>
      </x:c>
      <x:c r="P13" t="str">
        <x:v>Voleur</x:v>
      </x:c>
      <x:c r="Q13" t="str">
        <x:v>Rôdeur / Alchimiste</x:v>
      </x:c>
      <x:c r="R13" t="str">
        <x:v>Peut être lancée selon version</x:v>
      </x:c>
      <x:c r="S13" t="str">
        <x:v>Weapon.Light</x:v>
      </x:c>
      <x:c r="T13" t="str">
        <x:v>1d4 + 1</x:v>
      </x:c>
    </x:row>
    <x:row r="14" ht="21" customHeight="1">
      <x:c r="A14" s="26" t="str">
        <x:v>ARM011</x:v>
      </x:c>
      <x:c r="B14" t="str">
        <x:v>Serpe</x:v>
      </x:c>
      <x:c r="C14" t="str">
        <x:v>Légères</x:v>
      </x:c>
      <x:c r="D14" t="str">
        <x:v>1 main</x:v>
      </x:c>
      <x:c r="E14" s="28" t="n">
        <x:v>2</x:v>
      </x:c>
      <x:c r="F14" s="28" t="n">
        <x:v>4</x:v>
      </x:c>
      <x:c r="G14" s="28" t="n">
        <x:v>0</x:v>
      </x:c>
      <x:c r="H14" s="28" t="n">
        <x:v>0</x:v>
      </x:c>
      <x:c r="I14" s="28" t="n">
        <x:v>2</x:v>
      </x:c>
      <x:c r="J14" s="28" t="n">
        <x:v>1</x:v>
      </x:c>
      <x:c r="K14" s="30" t="n">
        <x:v>0.7</x:v>
      </x:c>
      <x:c r="L14" s="28" t="n">
        <x:v>0</x:v>
      </x:c>
      <x:c r="M14" t="str">
        <x:v>Dextérité</x:v>
      </x:c>
      <x:c r="N14" t="str">
        <x:v>Physical</x:v>
      </x:c>
      <x:c r="O14" t="str">
        <x:v>Slashing</x:v>
      </x:c>
      <x:c r="P14" t="str">
        <x:v>Voleur</x:v>
      </x:c>
      <x:c r="Q14" t="str">
        <x:v>Rôdeur / Alchimiste</x:v>
      </x:c>
      <x:c r="R14" t="str">
        <x:v>Affinité poison</x:v>
      </x:c>
      <x:c r="S14" t="str">
        <x:v>Weapon.Light</x:v>
      </x:c>
      <x:c r="T14" t="str">
        <x:v>1d4</x:v>
      </x:c>
    </x:row>
    <x:row r="15" ht="21" customHeight="1">
      <x:c r="A15" s="26" t="str">
        <x:v>ARM012</x:v>
      </x:c>
      <x:c r="B15" t="str">
        <x:v>Gourdin léger</x:v>
      </x:c>
      <x:c r="C15" t="str">
        <x:v>Légères</x:v>
      </x:c>
      <x:c r="D15" t="str">
        <x:v>1 main</x:v>
      </x:c>
      <x:c r="E15" s="28" t="n">
        <x:v>2</x:v>
      </x:c>
      <x:c r="F15" s="28" t="n">
        <x:v>4</x:v>
      </x:c>
      <x:c r="G15" s="28" t="n">
        <x:v>0</x:v>
      </x:c>
      <x:c r="H15" s="28" t="n">
        <x:v>0</x:v>
      </x:c>
      <x:c r="I15" s="28" t="n">
        <x:v>2</x:v>
      </x:c>
      <x:c r="J15" s="28" t="n">
        <x:v>1</x:v>
      </x:c>
      <x:c r="K15" s="30" t="n">
        <x:v>0.8</x:v>
      </x:c>
      <x:c r="L15" s="28" t="n">
        <x:v>0</x:v>
      </x:c>
      <x:c r="M15" t="str">
        <x:v>Dextérité</x:v>
      </x:c>
      <x:c r="N15" t="str">
        <x:v>Physical</x:v>
      </x:c>
      <x:c r="O15" t="str">
        <x:v>Bludgeoning</x:v>
      </x:c>
      <x:c r="P15" t="str">
        <x:v>Voleur</x:v>
      </x:c>
      <x:c r="Q15" t="str">
        <x:v>Rôdeur / Alchimiste</x:v>
      </x:c>
      <x:c r="R15" t="str">
        <x:v>Contondant discret</x:v>
      </x:c>
      <x:c r="S15" t="str">
        <x:v>Weapon.Light</x:v>
      </x:c>
      <x:c r="T15" t="str">
        <x:v>1d4</x:v>
      </x:c>
    </x:row>
    <x:row r="16" ht="21" customHeight="1">
      <x:c r="A16" s="26" t="str">
        <x:v>ARM013</x:v>
      </x:c>
      <x:c r="B16" t="str">
        <x:v>Main-gauche</x:v>
      </x:c>
      <x:c r="C16" t="str">
        <x:v>Légères</x:v>
      </x:c>
      <x:c r="D16" t="str">
        <x:v>1 main</x:v>
      </x:c>
      <x:c r="E16" s="28" t="n">
        <x:v>1</x:v>
      </x:c>
      <x:c r="F16" s="28" t="n">
        <x:v>3</x:v>
      </x:c>
      <x:c r="G16" s="28" t="n">
        <x:v>0</x:v>
      </x:c>
      <x:c r="H16" s="28" t="n">
        <x:v>0</x:v>
      </x:c>
      <x:c r="I16" s="28" t="n">
        <x:v>2</x:v>
      </x:c>
      <x:c r="J16" s="28" t="n">
        <x:v>1</x:v>
      </x:c>
      <x:c r="K16" s="30" t="n">
        <x:v>0.45</x:v>
      </x:c>
      <x:c r="L16" s="28" t="n">
        <x:v>1</x:v>
      </x:c>
      <x:c r="M16" t="str">
        <x:v>Dextérité</x:v>
      </x:c>
      <x:c r="N16" t="str">
        <x:v>Physical</x:v>
      </x:c>
      <x:c r="O16" t="str">
        <x:v>Slashing</x:v>
      </x:c>
      <x:c r="P16" t="str">
        <x:v>Voleur</x:v>
      </x:c>
      <x:c r="Q16" t="str">
        <x:v>Rôdeur / Alchimiste</x:v>
      </x:c>
      <x:c r="R16" t="str">
        <x:v>Parade en main secondaire</x:v>
      </x:c>
      <x:c r="S16" t="str">
        <x:v>Weapon.Light</x:v>
      </x:c>
      <x:c r="T16" t="str">
        <x:v>1d4</x:v>
      </x:c>
    </x:row>
    <x:row r="17" ht="21" customHeight="1">
      <x:c r="A17" s="26" t="str">
        <x:v>ARM014</x:v>
      </x:c>
      <x:c r="B17" t="str">
        <x:v>Épée droite</x:v>
      </x:c>
      <x:c r="C17" t="str">
        <x:v>Une main</x:v>
      </x:c>
      <x:c r="D17" t="str">
        <x:v>1 main</x:v>
      </x:c>
      <x:c r="E17" s="28" t="n">
        <x:v>4</x:v>
      </x:c>
      <x:c r="F17" s="28" t="n">
        <x:v>6</x:v>
      </x:c>
      <x:c r="G17" s="28" t="n">
        <x:v>0</x:v>
      </x:c>
      <x:c r="H17" s="28" t="n">
        <x:v>0</x:v>
      </x:c>
      <x:c r="I17" s="28" t="n">
        <x:v>2</x:v>
      </x:c>
      <x:c r="J17" s="28" t="n">
        <x:v>1</x:v>
      </x:c>
      <x:c r="K17" s="30" t="n">
        <x:v>1.4</x:v>
      </x:c>
      <x:c r="L17" s="28" t="n">
        <x:v>0</x:v>
      </x:c>
      <x:c r="M17" t="str">
        <x:v>Force</x:v>
      </x:c>
      <x:c r="N17" t="str">
        <x:v>Physical</x:v>
      </x:c>
      <x:c r="O17" t="str">
        <x:v>Slashing</x:v>
      </x:c>
      <x:c r="P17" t="str">
        <x:v>Guerrier</x:v>
      </x:c>
      <x:c r="Q17" t="str">
        <x:v>Prêtre / Rôdeur</x:v>
      </x:c>
      <x:c r="R17" t="str">
        <x:v>Régulière</x:v>
      </x:c>
      <x:c r="S17" t="str">
        <x:v>Weapon.Martial</x:v>
      </x:c>
      <x:c r="T17" t="str">
        <x:v>1d4 + 2</x:v>
      </x:c>
    </x:row>
    <x:row r="18" ht="21" customHeight="1">
      <x:c r="A18" s="26" t="str">
        <x:v>ARM015</x:v>
      </x:c>
      <x:c r="B18" t="str">
        <x:v>Épée longue</x:v>
      </x:c>
      <x:c r="C18" t="str">
        <x:v>Une main</x:v>
      </x:c>
      <x:c r="D18" t="str">
        <x:v>1 main</x:v>
      </x:c>
      <x:c r="E18" s="28" t="n">
        <x:v>4</x:v>
      </x:c>
      <x:c r="F18" s="28" t="n">
        <x:v>7</x:v>
      </x:c>
      <x:c r="G18" s="28" t="n">
        <x:v>0</x:v>
      </x:c>
      <x:c r="H18" s="28" t="n">
        <x:v>0</x:v>
      </x:c>
      <x:c r="I18" s="28" t="n">
        <x:v>2</x:v>
      </x:c>
      <x:c r="J18" s="28" t="n">
        <x:v>1</x:v>
      </x:c>
      <x:c r="K18" s="30" t="n">
        <x:v>1.7</x:v>
      </x:c>
      <x:c r="L18" s="28" t="n">
        <x:v>0</x:v>
      </x:c>
      <x:c r="M18" t="str">
        <x:v>Force</x:v>
      </x:c>
      <x:c r="N18" t="str">
        <x:v>Physical</x:v>
      </x:c>
      <x:c r="O18" t="str">
        <x:v>Slashing</x:v>
      </x:c>
      <x:c r="P18" t="str">
        <x:v>Guerrier</x:v>
      </x:c>
      <x:c r="Q18" t="str">
        <x:v>Prêtre / Rôdeur</x:v>
      </x:c>
      <x:c r="R18" t="str">
        <x:v>Dégâts élevés</x:v>
      </x:c>
      <x:c r="S18" t="str">
        <x:v>Weapon.Martial</x:v>
      </x:c>
      <x:c r="T18" t="str">
        <x:v>1d4 + 3</x:v>
      </x:c>
    </x:row>
    <x:row r="19" ht="21" customHeight="1">
      <x:c r="A19" s="26" t="str">
        <x:v>ARM016</x:v>
      </x:c>
      <x:c r="B19" t="str">
        <x:v>Épée bâtarde</x:v>
      </x:c>
      <x:c r="C19" t="str">
        <x:v>Une main</x:v>
      </x:c>
      <x:c r="D19" t="str">
        <x:v>1 main</x:v>
      </x:c>
      <x:c r="E19" s="28" t="n">
        <x:v>5</x:v>
      </x:c>
      <x:c r="F19" s="28" t="n">
        <x:v>7</x:v>
      </x:c>
      <x:c r="G19" s="28" t="n">
        <x:v>0</x:v>
      </x:c>
      <x:c r="H19" s="28" t="n">
        <x:v>0</x:v>
      </x:c>
      <x:c r="I19" s="28" t="n">
        <x:v>2</x:v>
      </x:c>
      <x:c r="J19" s="28" t="n">
        <x:v>1</x:v>
      </x:c>
      <x:c r="K19" s="30" t="n">
        <x:v>2</x:v>
      </x:c>
      <x:c r="L19" s="28" t="n">
        <x:v>-1</x:v>
      </x:c>
      <x:c r="M19" t="str">
        <x:v>Force</x:v>
      </x:c>
      <x:c r="N19" t="str">
        <x:v>Physical</x:v>
      </x:c>
      <x:c r="O19" t="str">
        <x:v>Slashing</x:v>
      </x:c>
      <x:c r="P19" t="str">
        <x:v>Guerrier</x:v>
      </x:c>
      <x:c r="Q19" t="str">
        <x:v>Prêtre / Rôdeur</x:v>
      </x:c>
      <x:c r="R19" t="str">
        <x:v>Style polyvalent, changement de prise futur</x:v>
      </x:c>
      <x:c r="S19" t="str">
        <x:v>Weapon.Martial</x:v>
      </x:c>
      <x:c r="T19" t="str">
        <x:v>1d4 + 3</x:v>
      </x:c>
    </x:row>
    <x:row r="20" ht="21" customHeight="1">
      <x:c r="A20" s="26" t="str">
        <x:v>ARM017</x:v>
      </x:c>
      <x:c r="B20" t="str">
        <x:v>Falchion</x:v>
      </x:c>
      <x:c r="C20" t="str">
        <x:v>Une main</x:v>
      </x:c>
      <x:c r="D20" t="str">
        <x:v>1 main</x:v>
      </x:c>
      <x:c r="E20" s="28" t="n">
        <x:v>4</x:v>
      </x:c>
      <x:c r="F20" s="28" t="n">
        <x:v>7</x:v>
      </x:c>
      <x:c r="G20" s="28" t="n">
        <x:v>0</x:v>
      </x:c>
      <x:c r="H20" s="28" t="n">
        <x:v>0</x:v>
      </x:c>
      <x:c r="I20" s="28" t="n">
        <x:v>2</x:v>
      </x:c>
      <x:c r="J20" s="28" t="n">
        <x:v>1</x:v>
      </x:c>
      <x:c r="K20" s="30" t="n">
        <x:v>1.6</x:v>
      </x:c>
      <x:c r="L20" s="28" t="n">
        <x:v>-1</x:v>
      </x:c>
      <x:c r="M20" t="str">
        <x:v>Force</x:v>
      </x:c>
      <x:c r="N20" t="str">
        <x:v>Physical</x:v>
      </x:c>
      <x:c r="O20" t="str">
        <x:v>Slashing</x:v>
      </x:c>
      <x:c r="P20" t="str">
        <x:v>Guerrier</x:v>
      </x:c>
      <x:c r="Q20" t="str">
        <x:v>Prêtre / Rôdeur</x:v>
      </x:c>
      <x:c r="R20" t="str">
        <x:v>Tranchant large</x:v>
      </x:c>
      <x:c r="S20" t="str">
        <x:v>Weapon.Martial</x:v>
      </x:c>
      <x:c r="T20" t="str">
        <x:v>1d4 + 3</x:v>
      </x:c>
    </x:row>
    <x:row r="21" ht="21" customHeight="1">
      <x:c r="A21" s="26" t="str">
        <x:v>ARM018</x:v>
      </x:c>
      <x:c r="B21" t="str">
        <x:v>Hache de guerre</x:v>
      </x:c>
      <x:c r="C21" t="str">
        <x:v>Une main</x:v>
      </x:c>
      <x:c r="D21" t="str">
        <x:v>1 main</x:v>
      </x:c>
      <x:c r="E21" s="28" t="n">
        <x:v>5</x:v>
      </x:c>
      <x:c r="F21" s="28" t="n">
        <x:v>8</x:v>
      </x:c>
      <x:c r="G21" s="28" t="n">
        <x:v>0</x:v>
      </x:c>
      <x:c r="H21" s="28" t="n">
        <x:v>0</x:v>
      </x:c>
      <x:c r="I21" s="28" t="n">
        <x:v>2</x:v>
      </x:c>
      <x:c r="J21" s="28" t="n">
        <x:v>1</x:v>
      </x:c>
      <x:c r="K21" s="30" t="n">
        <x:v>2.1</x:v>
      </x:c>
      <x:c r="L21" s="28" t="n">
        <x:v>-1</x:v>
      </x:c>
      <x:c r="M21" t="str">
        <x:v>Force</x:v>
      </x:c>
      <x:c r="N21" t="str">
        <x:v>Physical</x:v>
      </x:c>
      <x:c r="O21" t="str">
        <x:v>Slashing</x:v>
      </x:c>
      <x:c r="P21" t="str">
        <x:v>Guerrier</x:v>
      </x:c>
      <x:c r="Q21" t="str">
        <x:v>Prêtre / Rôdeur</x:v>
      </x:c>
      <x:c r="R21" t="str">
        <x:v>Brise-garde</x:v>
      </x:c>
      <x:c r="S21" t="str">
        <x:v>Weapon.Martial</x:v>
      </x:c>
      <x:c r="T21" t="str">
        <x:v>1d4 + 4</x:v>
      </x:c>
    </x:row>
    <x:row r="22" ht="21" customHeight="1">
      <x:c r="A22" s="26" t="str">
        <x:v>ARM019</x:v>
      </x:c>
      <x:c r="B22" t="str">
        <x:v>Hache barbue</x:v>
      </x:c>
      <x:c r="C22" t="str">
        <x:v>Une main</x:v>
      </x:c>
      <x:c r="D22" t="str">
        <x:v>1 main</x:v>
      </x:c>
      <x:c r="E22" s="28" t="n">
        <x:v>4</x:v>
      </x:c>
      <x:c r="F22" s="28" t="n">
        <x:v>8</x:v>
      </x:c>
      <x:c r="G22" s="28" t="n">
        <x:v>0</x:v>
      </x:c>
      <x:c r="H22" s="28" t="n">
        <x:v>0</x:v>
      </x:c>
      <x:c r="I22" s="28" t="n">
        <x:v>2</x:v>
      </x:c>
      <x:c r="J22" s="28" t="n">
        <x:v>1</x:v>
      </x:c>
      <x:c r="K22" s="30" t="n">
        <x:v>2</x:v>
      </x:c>
      <x:c r="L22" s="28" t="n">
        <x:v>-1</x:v>
      </x:c>
      <x:c r="M22" t="str">
        <x:v>Force</x:v>
      </x:c>
      <x:c r="N22" t="str">
        <x:v>Physical</x:v>
      </x:c>
      <x:c r="O22" t="str">
        <x:v>Slashing</x:v>
      </x:c>
      <x:c r="P22" t="str">
        <x:v>Guerrier</x:v>
      </x:c>
      <x:c r="Q22" t="str">
        <x:v>Prêtre / Rôdeur</x:v>
      </x:c>
      <x:c r="R22" t="str">
        <x:v>Accroche-bouclier (futur)</x:v>
      </x:c>
      <x:c r="S22" t="str">
        <x:v>Weapon.Martial</x:v>
      </x:c>
      <x:c r="T22" t="str">
        <x:v>1d4 + 3</x:v>
      </x:c>
    </x:row>
    <x:row r="23" ht="21" customHeight="1">
      <x:c r="A23" s="26" t="str">
        <x:v>ARM020</x:v>
      </x:c>
      <x:c r="B23" t="str">
        <x:v>Masse d'armes</x:v>
      </x:c>
      <x:c r="C23" t="str">
        <x:v>Une main</x:v>
      </x:c>
      <x:c r="D23" t="str">
        <x:v>1 main</x:v>
      </x:c>
      <x:c r="E23" s="28" t="n">
        <x:v>4</x:v>
      </x:c>
      <x:c r="F23" s="28" t="n">
        <x:v>7</x:v>
      </x:c>
      <x:c r="G23" s="28" t="n">
        <x:v>0</x:v>
      </x:c>
      <x:c r="H23" s="28" t="n">
        <x:v>0</x:v>
      </x:c>
      <x:c r="I23" s="28" t="n">
        <x:v>2</x:v>
      </x:c>
      <x:c r="J23" s="28" t="n">
        <x:v>1</x:v>
      </x:c>
      <x:c r="K23" s="30" t="n">
        <x:v>1.8</x:v>
      </x:c>
      <x:c r="L23" s="28" t="n">
        <x:v>0</x:v>
      </x:c>
      <x:c r="M23" t="str">
        <x:v>Force</x:v>
      </x:c>
      <x:c r="N23" t="str">
        <x:v>Physical</x:v>
      </x:c>
      <x:c r="O23" t="str">
        <x:v>Bludgeoning</x:v>
      </x:c>
      <x:c r="P23" t="str">
        <x:v>Guerrier</x:v>
      </x:c>
      <x:c r="Q23" t="str">
        <x:v>Prêtre / Rôdeur</x:v>
      </x:c>
      <x:c r="R23" t="str">
        <x:v>Contondant</x:v>
      </x:c>
      <x:c r="S23" t="str">
        <x:v>Weapon.Martial</x:v>
      </x:c>
      <x:c r="T23" t="str">
        <x:v>1d4 + 3</x:v>
      </x:c>
    </x:row>
    <x:row r="24" ht="21" customHeight="1">
      <x:c r="A24" s="26" t="str">
        <x:v>ARM021</x:v>
      </x:c>
      <x:c r="B24" t="str">
        <x:v>Masse à ailettes</x:v>
      </x:c>
      <x:c r="C24" t="str">
        <x:v>Une main</x:v>
      </x:c>
      <x:c r="D24" t="str">
        <x:v>1 main</x:v>
      </x:c>
      <x:c r="E24" s="28" t="n">
        <x:v>5</x:v>
      </x:c>
      <x:c r="F24" s="28" t="n">
        <x:v>7</x:v>
      </x:c>
      <x:c r="G24" s="28" t="n">
        <x:v>0</x:v>
      </x:c>
      <x:c r="H24" s="28" t="n">
        <x:v>0</x:v>
      </x:c>
      <x:c r="I24" s="28" t="n">
        <x:v>2</x:v>
      </x:c>
      <x:c r="J24" s="28" t="n">
        <x:v>1</x:v>
      </x:c>
      <x:c r="K24" s="30" t="n">
        <x:v>2</x:v>
      </x:c>
      <x:c r="L24" s="28" t="n">
        <x:v>0</x:v>
      </x:c>
      <x:c r="M24" t="str">
        <x:v>Force</x:v>
      </x:c>
      <x:c r="N24" t="str">
        <x:v>Physical</x:v>
      </x:c>
      <x:c r="O24" t="str">
        <x:v>Bludgeoning</x:v>
      </x:c>
      <x:c r="P24" t="str">
        <x:v>Guerrier</x:v>
      </x:c>
      <x:c r="Q24" t="str">
        <x:v>Prêtre / Rôdeur</x:v>
      </x:c>
      <x:c r="R24" t="str">
        <x:v>Contre armures</x:v>
      </x:c>
      <x:c r="S24" t="str">
        <x:v>Weapon.Martial</x:v>
      </x:c>
      <x:c r="T24" t="str">
        <x:v>1d4 + 3</x:v>
      </x:c>
    </x:row>
    <x:row r="25" ht="21" customHeight="1">
      <x:c r="A25" s="26" t="str">
        <x:v>ARM022</x:v>
      </x:c>
      <x:c r="B25" t="str">
        <x:v>Marteau de guerre</x:v>
      </x:c>
      <x:c r="C25" t="str">
        <x:v>Une main</x:v>
      </x:c>
      <x:c r="D25" t="str">
        <x:v>1 main</x:v>
      </x:c>
      <x:c r="E25" s="28" t="n">
        <x:v>5</x:v>
      </x:c>
      <x:c r="F25" s="28" t="n">
        <x:v>8</x:v>
      </x:c>
      <x:c r="G25" s="28" t="n">
        <x:v>0</x:v>
      </x:c>
      <x:c r="H25" s="28" t="n">
        <x:v>0</x:v>
      </x:c>
      <x:c r="I25" s="28" t="n">
        <x:v>2</x:v>
      </x:c>
      <x:c r="J25" s="28" t="n">
        <x:v>1</x:v>
      </x:c>
      <x:c r="K25" s="30" t="n">
        <x:v>2.2</x:v>
      </x:c>
      <x:c r="L25" s="28" t="n">
        <x:v>-1</x:v>
      </x:c>
      <x:c r="M25" t="str">
        <x:v>Force</x:v>
      </x:c>
      <x:c r="N25" t="str">
        <x:v>Physical</x:v>
      </x:c>
      <x:c r="O25" t="str">
        <x:v>Bludgeoning</x:v>
      </x:c>
      <x:c r="P25" t="str">
        <x:v>Guerrier</x:v>
      </x:c>
      <x:c r="Q25" t="str">
        <x:v>Prêtre / Rôdeur</x:v>
      </x:c>
      <x:c r="R25" t="str">
        <x:v>Contre armures</x:v>
      </x:c>
      <x:c r="S25" t="str">
        <x:v>Weapon.Martial</x:v>
      </x:c>
      <x:c r="T25" t="str">
        <x:v>1d4 + 4</x:v>
      </x:c>
    </x:row>
    <x:row r="26" ht="21" customHeight="1">
      <x:c r="A26" s="26" t="str">
        <x:v>ARM023</x:v>
      </x:c>
      <x:c r="B26" t="str">
        <x:v>Fléau d'armes</x:v>
      </x:c>
      <x:c r="C26" t="str">
        <x:v>Une main</x:v>
      </x:c>
      <x:c r="D26" t="str">
        <x:v>1 main</x:v>
      </x:c>
      <x:c r="E26" s="28" t="n">
        <x:v>4</x:v>
      </x:c>
      <x:c r="F26" s="28" t="n">
        <x:v>8</x:v>
      </x:c>
      <x:c r="G26" s="28" t="n">
        <x:v>0</x:v>
      </x:c>
      <x:c r="H26" s="28" t="n">
        <x:v>0</x:v>
      </x:c>
      <x:c r="I26" s="28" t="n">
        <x:v>2</x:v>
      </x:c>
      <x:c r="J26" s="28" t="n">
        <x:v>1</x:v>
      </x:c>
      <x:c r="K26" s="30" t="n">
        <x:v>2.5</x:v>
      </x:c>
      <x:c r="L26" s="28" t="n">
        <x:v>-2</x:v>
      </x:c>
      <x:c r="M26" t="str">
        <x:v>Force</x:v>
      </x:c>
      <x:c r="N26" t="str">
        <x:v>Physical</x:v>
      </x:c>
      <x:c r="O26" t="str">
        <x:v>Bludgeoning</x:v>
      </x:c>
      <x:c r="P26" t="str">
        <x:v>Guerrier</x:v>
      </x:c>
      <x:c r="Q26" t="str">
        <x:v>Prêtre / Rôdeur</x:v>
      </x:c>
      <x:c r="R26" t="str">
        <x:v>Contourne parade (futur)</x:v>
      </x:c>
      <x:c r="S26" t="str">
        <x:v>Weapon.Martial</x:v>
      </x:c>
      <x:c r="T26" t="str">
        <x:v>1d4 + 3</x:v>
      </x:c>
    </x:row>
    <x:row r="27" ht="21" customHeight="1">
      <x:c r="A27" s="26" t="str">
        <x:v>ARM024</x:v>
      </x:c>
      <x:c r="B27" t="str">
        <x:v>Étoile du matin</x:v>
      </x:c>
      <x:c r="C27" t="str">
        <x:v>Une main</x:v>
      </x:c>
      <x:c r="D27" t="str">
        <x:v>1 main</x:v>
      </x:c>
      <x:c r="E27" s="28" t="n">
        <x:v>5</x:v>
      </x:c>
      <x:c r="F27" s="28" t="n">
        <x:v>8</x:v>
      </x:c>
      <x:c r="G27" s="28" t="n">
        <x:v>0</x:v>
      </x:c>
      <x:c r="H27" s="28" t="n">
        <x:v>0</x:v>
      </x:c>
      <x:c r="I27" s="28" t="n">
        <x:v>2</x:v>
      </x:c>
      <x:c r="J27" s="28" t="n">
        <x:v>1</x:v>
      </x:c>
      <x:c r="K27" s="30" t="n">
        <x:v>2.3</x:v>
      </x:c>
      <x:c r="L27" s="28" t="n">
        <x:v>-1</x:v>
      </x:c>
      <x:c r="M27" t="str">
        <x:v>Force</x:v>
      </x:c>
      <x:c r="N27" t="str">
        <x:v>Physical</x:v>
      </x:c>
      <x:c r="O27" t="str">
        <x:v>Bludgeoning</x:v>
      </x:c>
      <x:c r="P27" t="str">
        <x:v>Guerrier</x:v>
      </x:c>
      <x:c r="Q27" t="str">
        <x:v>Prêtre / Rôdeur</x:v>
      </x:c>
      <x:c r="R27" t="str">
        <x:v>Dégâts irréguliers</x:v>
      </x:c>
      <x:c r="S27" t="str">
        <x:v>Weapon.Martial</x:v>
      </x:c>
      <x:c r="T27" t="str">
        <x:v>1d4 + 4</x:v>
      </x:c>
    </x:row>
    <x:row r="28" ht="21" customHeight="1">
      <x:c r="A28" s="26" t="str">
        <x:v>ARM025</x:v>
      </x:c>
      <x:c r="B28" t="str">
        <x:v>Pic de guerre</x:v>
      </x:c>
      <x:c r="C28" t="str">
        <x:v>Une main</x:v>
      </x:c>
      <x:c r="D28" t="str">
        <x:v>1 main</x:v>
      </x:c>
      <x:c r="E28" s="28" t="n">
        <x:v>4</x:v>
      </x:c>
      <x:c r="F28" s="28" t="n">
        <x:v>8</x:v>
      </x:c>
      <x:c r="G28" s="28" t="n">
        <x:v>0</x:v>
      </x:c>
      <x:c r="H28" s="28" t="n">
        <x:v>0</x:v>
      </x:c>
      <x:c r="I28" s="28" t="n">
        <x:v>2</x:v>
      </x:c>
      <x:c r="J28" s="28" t="n">
        <x:v>1</x:v>
      </x:c>
      <x:c r="K28" s="30" t="n">
        <x:v>1.9</x:v>
      </x:c>
      <x:c r="L28" s="28" t="n">
        <x:v>-1</x:v>
      </x:c>
      <x:c r="M28" t="str">
        <x:v>Force</x:v>
      </x:c>
      <x:c r="N28" t="str">
        <x:v>Physical</x:v>
      </x:c>
      <x:c r="O28" t="str">
        <x:v>Piercing</x:v>
      </x:c>
      <x:c r="P28" t="str">
        <x:v>Guerrier</x:v>
      </x:c>
      <x:c r="Q28" t="str">
        <x:v>Prêtre / Rôdeur</x:v>
      </x:c>
      <x:c r="R28" t="str">
        <x:v>Perforation</x:v>
      </x:c>
      <x:c r="S28" t="str">
        <x:v>Weapon.Martial</x:v>
      </x:c>
      <x:c r="T28" t="str">
        <x:v>1d4 + 3</x:v>
      </x:c>
    </x:row>
    <x:row r="29" ht="21" customHeight="1">
      <x:c r="A29" s="26" t="str">
        <x:v>ARM026</x:v>
      </x:c>
      <x:c r="B29" t="str">
        <x:v>Sceptre de bataille</x:v>
      </x:c>
      <x:c r="C29" t="str">
        <x:v>Une main</x:v>
      </x:c>
      <x:c r="D29" t="str">
        <x:v>1 main</x:v>
      </x:c>
      <x:c r="E29" s="28" t="n">
        <x:v>3</x:v>
      </x:c>
      <x:c r="F29" s="28" t="n">
        <x:v>6</x:v>
      </x:c>
      <x:c r="G29" s="28" t="n">
        <x:v>0</x:v>
      </x:c>
      <x:c r="H29" s="28" t="n">
        <x:v>0</x:v>
      </x:c>
      <x:c r="I29" s="28" t="n">
        <x:v>2</x:v>
      </x:c>
      <x:c r="J29" s="28" t="n">
        <x:v>1</x:v>
      </x:c>
      <x:c r="K29" s="30" t="n">
        <x:v>1.3</x:v>
      </x:c>
      <x:c r="L29" s="28" t="n">
        <x:v>0</x:v>
      </x:c>
      <x:c r="M29" t="str">
        <x:v>Force</x:v>
      </x:c>
      <x:c r="N29" t="str">
        <x:v>Physical</x:v>
      </x:c>
      <x:c r="O29" t="str">
        <x:v>Bludgeoning</x:v>
      </x:c>
      <x:c r="P29" t="str">
        <x:v>Guerrier</x:v>
      </x:c>
      <x:c r="Q29" t="str">
        <x:v>Prêtre / Rôdeur</x:v>
      </x:c>
      <x:c r="R29" t="str">
        <x:v>Prêtre martial</x:v>
      </x:c>
      <x:c r="S29" t="str">
        <x:v>Weapon.Martial</x:v>
      </x:c>
      <x:c r="T29" t="str">
        <x:v>1d4 + 2</x:v>
      </x:c>
    </x:row>
    <x:row r="30" ht="21" customHeight="1">
      <x:c r="A30" s="26" t="str">
        <x:v>ARM027</x:v>
      </x:c>
      <x:c r="B30" t="str">
        <x:v>Grande épée</x:v>
      </x:c>
      <x:c r="C30" t="str">
        <x:v>Deux mains</x:v>
      </x:c>
      <x:c r="D30" t="str">
        <x:v>2 mains</x:v>
      </x:c>
      <x:c r="E30" s="28" t="n">
        <x:v>7</x:v>
      </x:c>
      <x:c r="F30" s="28" t="n">
        <x:v>11</x:v>
      </x:c>
      <x:c r="G30" s="28" t="n">
        <x:v>0</x:v>
      </x:c>
      <x:c r="H30" s="28" t="n">
        <x:v>0</x:v>
      </x:c>
      <x:c r="I30" s="28" t="n">
        <x:v>3</x:v>
      </x:c>
      <x:c r="J30" s="28" t="n">
        <x:v>1</x:v>
      </x:c>
      <x:c r="K30" s="30" t="n">
        <x:v>3.6</x:v>
      </x:c>
      <x:c r="L30" s="28" t="n">
        <x:v>-1</x:v>
      </x:c>
      <x:c r="M30" t="str">
        <x:v>Force</x:v>
      </x:c>
      <x:c r="N30" t="str">
        <x:v>Physical</x:v>
      </x:c>
      <x:c r="O30" t="str">
        <x:v>Slashing</x:v>
      </x:c>
      <x:c r="P30" t="str">
        <x:v>Guerrier</x:v>
      </x:c>
      <x:c r="Q30" t="str">
        <x:v>Prêtre (marteaux)</x:v>
      </x:c>
      <x:c r="R30" t="str">
        <x:v>Attaque puissante</x:v>
      </x:c>
      <x:c r="S30" t="str">
        <x:v>Weapon.Heavy</x:v>
      </x:c>
      <x:c r="T30" t="str">
        <x:v>1d6 + 5</x:v>
      </x:c>
    </x:row>
    <x:row r="31" ht="21" customHeight="1">
      <x:c r="A31" s="26" t="str">
        <x:v>ARM028</x:v>
      </x:c>
      <x:c r="B31" t="str">
        <x:v>Claymore</x:v>
      </x:c>
      <x:c r="C31" t="str">
        <x:v>Deux mains</x:v>
      </x:c>
      <x:c r="D31" t="str">
        <x:v>2 mains</x:v>
      </x:c>
      <x:c r="E31" s="28" t="n">
        <x:v>7</x:v>
      </x:c>
      <x:c r="F31" s="28" t="n">
        <x:v>12</x:v>
      </x:c>
      <x:c r="G31" s="28" t="n">
        <x:v>0</x:v>
      </x:c>
      <x:c r="H31" s="28" t="n">
        <x:v>0</x:v>
      </x:c>
      <x:c r="I31" s="28" t="n">
        <x:v>3</x:v>
      </x:c>
      <x:c r="J31" s="28" t="n">
        <x:v>1</x:v>
      </x:c>
      <x:c r="K31" s="30" t="n">
        <x:v>3.8</x:v>
      </x:c>
      <x:c r="L31" s="28" t="n">
        <x:v>-1</x:v>
      </x:c>
      <x:c r="M31" t="str">
        <x:v>Force</x:v>
      </x:c>
      <x:c r="N31" t="str">
        <x:v>Physical</x:v>
      </x:c>
      <x:c r="O31" t="str">
        <x:v>Slashing</x:v>
      </x:c>
      <x:c r="P31" t="str">
        <x:v>Guerrier</x:v>
      </x:c>
      <x:c r="Q31" t="str">
        <x:v>Prêtre (marteaux)</x:v>
      </x:c>
      <x:c r="R31" t="str">
        <x:v>Tranchant ample</x:v>
      </x:c>
      <x:c r="S31" t="str">
        <x:v>Weapon.Heavy</x:v>
      </x:c>
      <x:c r="T31" t="str">
        <x:v>1d6 + 6</x:v>
      </x:c>
    </x:row>
    <x:row r="32" ht="21" customHeight="1">
      <x:c r="A32" s="26" t="str">
        <x:v>ARM029</x:v>
      </x:c>
      <x:c r="B32" t="str">
        <x:v>Espadon</x:v>
      </x:c>
      <x:c r="C32" t="str">
        <x:v>Deux mains</x:v>
      </x:c>
      <x:c r="D32" t="str">
        <x:v>2 mains</x:v>
      </x:c>
      <x:c r="E32" s="28" t="n">
        <x:v>8</x:v>
      </x:c>
      <x:c r="F32" s="28" t="n">
        <x:v>12</x:v>
      </x:c>
      <x:c r="G32" s="28" t="n">
        <x:v>0</x:v>
      </x:c>
      <x:c r="H32" s="28" t="n">
        <x:v>0</x:v>
      </x:c>
      <x:c r="I32" s="28" t="n">
        <x:v>3</x:v>
      </x:c>
      <x:c r="J32" s="28" t="n">
        <x:v>1</x:v>
      </x:c>
      <x:c r="K32" s="30" t="n">
        <x:v>4.4</x:v>
      </x:c>
      <x:c r="L32" s="28" t="n">
        <x:v>-2</x:v>
      </x:c>
      <x:c r="M32" t="str">
        <x:v>Force</x:v>
      </x:c>
      <x:c r="N32" t="str">
        <x:v>Physical</x:v>
      </x:c>
      <x:c r="O32" t="str">
        <x:v>Slashing</x:v>
      </x:c>
      <x:c r="P32" t="str">
        <x:v>Guerrier</x:v>
      </x:c>
      <x:c r="Q32" t="str">
        <x:v>Prêtre (marteaux)</x:v>
      </x:c>
      <x:c r="R32" t="str">
        <x:v>Très lourd</x:v>
      </x:c>
      <x:c r="S32" t="str">
        <x:v>Weapon.Heavy</x:v>
      </x:c>
      <x:c r="T32" t="str">
        <x:v>1d6 + 6</x:v>
      </x:c>
    </x:row>
    <x:row r="33" ht="21" customHeight="1">
      <x:c r="A33" s="26" t="str">
        <x:v>ARM030</x:v>
      </x:c>
      <x:c r="B33" t="str">
        <x:v>Lame d'exécution</x:v>
      </x:c>
      <x:c r="C33" t="str">
        <x:v>Deux mains</x:v>
      </x:c>
      <x:c r="D33" t="str">
        <x:v>2 mains</x:v>
      </x:c>
      <x:c r="E33" s="28" t="n">
        <x:v>8</x:v>
      </x:c>
      <x:c r="F33" s="28" t="n">
        <x:v>13</x:v>
      </x:c>
      <x:c r="G33" s="28" t="n">
        <x:v>0</x:v>
      </x:c>
      <x:c r="H33" s="28" t="n">
        <x:v>0</x:v>
      </x:c>
      <x:c r="I33" s="28" t="n">
        <x:v>3</x:v>
      </x:c>
      <x:c r="J33" s="28" t="n">
        <x:v>1</x:v>
      </x:c>
      <x:c r="K33" s="30" t="n">
        <x:v>4.8</x:v>
      </x:c>
      <x:c r="L33" s="28" t="n">
        <x:v>-2</x:v>
      </x:c>
      <x:c r="M33" t="str">
        <x:v>Force</x:v>
      </x:c>
      <x:c r="N33" t="str">
        <x:v>Physical</x:v>
      </x:c>
      <x:c r="O33" t="str">
        <x:v>Slashing</x:v>
      </x:c>
      <x:c r="P33" t="str">
        <x:v>Guerrier</x:v>
      </x:c>
      <x:c r="Q33" t="str">
        <x:v>Prêtre (marteaux)</x:v>
      </x:c>
      <x:c r="R33" t="str">
        <x:v>Exécution sur cible affaiblie</x:v>
      </x:c>
      <x:c r="S33" t="str">
        <x:v>Weapon.Heavy</x:v>
      </x:c>
      <x:c r="T33" t="str">
        <x:v>1d6 + 7</x:v>
      </x:c>
    </x:row>
    <x:row r="34" ht="21" customHeight="1">
      <x:c r="A34" s="26" t="str">
        <x:v>ARM031</x:v>
      </x:c>
      <x:c r="B34" t="str">
        <x:v>Grande hache</x:v>
      </x:c>
      <x:c r="C34" t="str">
        <x:v>Deux mains</x:v>
      </x:c>
      <x:c r="D34" t="str">
        <x:v>2 mains</x:v>
      </x:c>
      <x:c r="E34" s="28" t="n">
        <x:v>8</x:v>
      </x:c>
      <x:c r="F34" s="28" t="n">
        <x:v>13</x:v>
      </x:c>
      <x:c r="G34" s="28" t="n">
        <x:v>0</x:v>
      </x:c>
      <x:c r="H34" s="28" t="n">
        <x:v>0</x:v>
      </x:c>
      <x:c r="I34" s="28" t="n">
        <x:v>3</x:v>
      </x:c>
      <x:c r="J34" s="28" t="n">
        <x:v>1</x:v>
      </x:c>
      <x:c r="K34" s="30" t="n">
        <x:v>4.7</x:v>
      </x:c>
      <x:c r="L34" s="28" t="n">
        <x:v>-2</x:v>
      </x:c>
      <x:c r="M34" t="str">
        <x:v>Force</x:v>
      </x:c>
      <x:c r="N34" t="str">
        <x:v>Physical</x:v>
      </x:c>
      <x:c r="O34" t="str">
        <x:v>Slashing</x:v>
      </x:c>
      <x:c r="P34" t="str">
        <x:v>Guerrier</x:v>
      </x:c>
      <x:c r="Q34" t="str">
        <x:v>Prêtre (marteaux)</x:v>
      </x:c>
      <x:c r="R34" t="str">
        <x:v>Brise-armure</x:v>
      </x:c>
      <x:c r="S34" t="str">
        <x:v>Weapon.Heavy</x:v>
      </x:c>
      <x:c r="T34" t="str">
        <x:v>1d6 + 7</x:v>
      </x:c>
    </x:row>
    <x:row r="35" ht="21" customHeight="1">
      <x:c r="A35" s="26" t="str">
        <x:v>ARM032</x:v>
      </x:c>
      <x:c r="B35" t="str">
        <x:v>Hache double</x:v>
      </x:c>
      <x:c r="C35" t="str">
        <x:v>Deux mains</x:v>
      </x:c>
      <x:c r="D35" t="str">
        <x:v>2 mains</x:v>
      </x:c>
      <x:c r="E35" s="28" t="n">
        <x:v>7</x:v>
      </x:c>
      <x:c r="F35" s="28" t="n">
        <x:v>14</x:v>
      </x:c>
      <x:c r="G35" s="28" t="n">
        <x:v>0</x:v>
      </x:c>
      <x:c r="H35" s="28" t="n">
        <x:v>0</x:v>
      </x:c>
      <x:c r="I35" s="28" t="n">
        <x:v>3</x:v>
      </x:c>
      <x:c r="J35" s="28" t="n">
        <x:v>1</x:v>
      </x:c>
      <x:c r="K35" s="30" t="n">
        <x:v>5</x:v>
      </x:c>
      <x:c r="L35" s="28" t="n">
        <x:v>-2</x:v>
      </x:c>
      <x:c r="M35" t="str">
        <x:v>Force</x:v>
      </x:c>
      <x:c r="N35" t="str">
        <x:v>Physical</x:v>
      </x:c>
      <x:c r="O35" t="str">
        <x:v>Slashing</x:v>
      </x:c>
      <x:c r="P35" t="str">
        <x:v>Guerrier</x:v>
      </x:c>
      <x:c r="Q35" t="str">
        <x:v>Prêtre (marteaux)</x:v>
      </x:c>
      <x:c r="R35" t="str">
        <x:v>Amplitude élevée</x:v>
      </x:c>
      <x:c r="S35" t="str">
        <x:v>Weapon.Heavy</x:v>
      </x:c>
      <x:c r="T35" t="str">
        <x:v>1d8 + 6</x:v>
      </x:c>
    </x:row>
    <x:row r="36" ht="21" customHeight="1">
      <x:c r="A36" s="26" t="str">
        <x:v>ARM033</x:v>
      </x:c>
      <x:c r="B36" t="str">
        <x:v>Bardiche</x:v>
      </x:c>
      <x:c r="C36" t="str">
        <x:v>Deux mains</x:v>
      </x:c>
      <x:c r="D36" t="str">
        <x:v>2 mains</x:v>
      </x:c>
      <x:c r="E36" s="28" t="n">
        <x:v>7</x:v>
      </x:c>
      <x:c r="F36" s="28" t="n">
        <x:v>12</x:v>
      </x:c>
      <x:c r="G36" s="28" t="n">
        <x:v>0</x:v>
      </x:c>
      <x:c r="H36" s="28" t="n">
        <x:v>0</x:v>
      </x:c>
      <x:c r="I36" s="28" t="n">
        <x:v>3</x:v>
      </x:c>
      <x:c r="J36" s="28" t="n">
        <x:v>1</x:v>
      </x:c>
      <x:c r="K36" s="30" t="n">
        <x:v>4.3</x:v>
      </x:c>
      <x:c r="L36" s="28" t="n">
        <x:v>-1</x:v>
      </x:c>
      <x:c r="M36" t="str">
        <x:v>Force</x:v>
      </x:c>
      <x:c r="N36" t="str">
        <x:v>Physical</x:v>
      </x:c>
      <x:c r="O36" t="str">
        <x:v>Slashing</x:v>
      </x:c>
      <x:c r="P36" t="str">
        <x:v>Guerrier</x:v>
      </x:c>
      <x:c r="Q36" t="str">
        <x:v>Prêtre (marteaux)</x:v>
      </x:c>
      <x:c r="R36" t="str">
        <x:v>Balayage</x:v>
      </x:c>
      <x:c r="S36" t="str">
        <x:v>Weapon.Heavy</x:v>
      </x:c>
      <x:c r="T36" t="str">
        <x:v>1d6 + 6</x:v>
      </x:c>
    </x:row>
    <x:row r="37" ht="21" customHeight="1">
      <x:c r="A37" s="26" t="str">
        <x:v>ARM034</x:v>
      </x:c>
      <x:c r="B37" t="str">
        <x:v>Marteau à deux mains</x:v>
      </x:c>
      <x:c r="C37" t="str">
        <x:v>Deux mains</x:v>
      </x:c>
      <x:c r="D37" t="str">
        <x:v>2 mains</x:v>
      </x:c>
      <x:c r="E37" s="28" t="n">
        <x:v>8</x:v>
      </x:c>
      <x:c r="F37" s="28" t="n">
        <x:v>13</x:v>
      </x:c>
      <x:c r="G37" s="28" t="n">
        <x:v>0</x:v>
      </x:c>
      <x:c r="H37" s="28" t="n">
        <x:v>0</x:v>
      </x:c>
      <x:c r="I37" s="28" t="n">
        <x:v>3</x:v>
      </x:c>
      <x:c r="J37" s="28" t="n">
        <x:v>1</x:v>
      </x:c>
      <x:c r="K37" s="30" t="n">
        <x:v>5.3</x:v>
      </x:c>
      <x:c r="L37" s="28" t="n">
        <x:v>-2</x:v>
      </x:c>
      <x:c r="M37" t="str">
        <x:v>Force</x:v>
      </x:c>
      <x:c r="N37" t="str">
        <x:v>Physical</x:v>
      </x:c>
      <x:c r="O37" t="str">
        <x:v>Bludgeoning</x:v>
      </x:c>
      <x:c r="P37" t="str">
        <x:v>Guerrier</x:v>
      </x:c>
      <x:c r="Q37" t="str">
        <x:v>Prêtre (marteaux)</x:v>
      </x:c>
      <x:c r="R37" t="str">
        <x:v>Écrasement</x:v>
      </x:c>
      <x:c r="S37" t="str">
        <x:v>Weapon.Heavy</x:v>
      </x:c>
      <x:c r="T37" t="str">
        <x:v>1d6 + 7</x:v>
      </x:c>
    </x:row>
    <x:row r="38" ht="21" customHeight="1">
      <x:c r="A38" s="26" t="str">
        <x:v>ARM035</x:v>
      </x:c>
      <x:c r="B38" t="str">
        <x:v>Masse lourde</x:v>
      </x:c>
      <x:c r="C38" t="str">
        <x:v>Deux mains</x:v>
      </x:c>
      <x:c r="D38" t="str">
        <x:v>2 mains</x:v>
      </x:c>
      <x:c r="E38" s="28" t="n">
        <x:v>7</x:v>
      </x:c>
      <x:c r="F38" s="28" t="n">
        <x:v>13</x:v>
      </x:c>
      <x:c r="G38" s="28" t="n">
        <x:v>0</x:v>
      </x:c>
      <x:c r="H38" s="28" t="n">
        <x:v>0</x:v>
      </x:c>
      <x:c r="I38" s="28" t="n">
        <x:v>3</x:v>
      </x:c>
      <x:c r="J38" s="28" t="n">
        <x:v>1</x:v>
      </x:c>
      <x:c r="K38" s="30" t="n">
        <x:v>5.5</x:v>
      </x:c>
      <x:c r="L38" s="28" t="n">
        <x:v>-2</x:v>
      </x:c>
      <x:c r="M38" t="str">
        <x:v>Force</x:v>
      </x:c>
      <x:c r="N38" t="str">
        <x:v>Physical</x:v>
      </x:c>
      <x:c r="O38" t="str">
        <x:v>Bludgeoning</x:v>
      </x:c>
      <x:c r="P38" t="str">
        <x:v>Guerrier</x:v>
      </x:c>
      <x:c r="Q38" t="str">
        <x:v>Prêtre (marteaux)</x:v>
      </x:c>
      <x:c r="R38" t="str">
        <x:v>Assommement conditionnel</x:v>
      </x:c>
      <x:c r="S38" t="str">
        <x:v>Weapon.Heavy</x:v>
      </x:c>
      <x:c r="T38" t="str">
        <x:v>1d6 + 6</x:v>
      </x:c>
    </x:row>
    <x:row r="39" ht="21" customHeight="1">
      <x:c r="A39" s="26" t="str">
        <x:v>ARM036</x:v>
      </x:c>
      <x:c r="B39" t="str">
        <x:v>Maillet de guerre</x:v>
      </x:c>
      <x:c r="C39" t="str">
        <x:v>Deux mains</x:v>
      </x:c>
      <x:c r="D39" t="str">
        <x:v>2 mains</x:v>
      </x:c>
      <x:c r="E39" s="28" t="n">
        <x:v>9</x:v>
      </x:c>
      <x:c r="F39" s="28" t="n">
        <x:v>14</x:v>
      </x:c>
      <x:c r="G39" s="28" t="n">
        <x:v>0</x:v>
      </x:c>
      <x:c r="H39" s="28" t="n">
        <x:v>0</x:v>
      </x:c>
      <x:c r="I39" s="28" t="n">
        <x:v>3</x:v>
      </x:c>
      <x:c r="J39" s="28" t="n">
        <x:v>1</x:v>
      </x:c>
      <x:c r="K39" s="30" t="n">
        <x:v>6</x:v>
      </x:c>
      <x:c r="L39" s="28" t="n">
        <x:v>-3</x:v>
      </x:c>
      <x:c r="M39" t="str">
        <x:v>Force</x:v>
      </x:c>
      <x:c r="N39" t="str">
        <x:v>Physical</x:v>
      </x:c>
      <x:c r="O39" t="str">
        <x:v>Bludgeoning</x:v>
      </x:c>
      <x:c r="P39" t="str">
        <x:v>Guerrier</x:v>
      </x:c>
      <x:c r="Q39" t="str">
        <x:v>Prêtre (marteaux)</x:v>
      </x:c>
      <x:c r="R39" t="str">
        <x:v>Frappe lente extrême</x:v>
      </x:c>
      <x:c r="S39" t="str">
        <x:v>Weapon.Heavy</x:v>
      </x:c>
      <x:c r="T39" t="str">
        <x:v>1d6 + 8</x:v>
      </x:c>
    </x:row>
    <x:row r="40" ht="21" customHeight="1">
      <x:c r="A40" s="26" t="str">
        <x:v>ARM037</x:v>
      </x:c>
      <x:c r="B40" t="str">
        <x:v>Faux de guerre</x:v>
      </x:c>
      <x:c r="C40" t="str">
        <x:v>Deux mains</x:v>
      </x:c>
      <x:c r="D40" t="str">
        <x:v>2 mains</x:v>
      </x:c>
      <x:c r="E40" s="28" t="n">
        <x:v>6</x:v>
      </x:c>
      <x:c r="F40" s="28" t="n">
        <x:v>12</x:v>
      </x:c>
      <x:c r="G40" s="28" t="n">
        <x:v>0</x:v>
      </x:c>
      <x:c r="H40" s="28" t="n">
        <x:v>0</x:v>
      </x:c>
      <x:c r="I40" s="28" t="n">
        <x:v>3</x:v>
      </x:c>
      <x:c r="J40" s="28" t="n">
        <x:v>1</x:v>
      </x:c>
      <x:c r="K40" s="30" t="n">
        <x:v>3.7</x:v>
      </x:c>
      <x:c r="L40" s="28" t="n">
        <x:v>-2</x:v>
      </x:c>
      <x:c r="M40" t="str">
        <x:v>Force</x:v>
      </x:c>
      <x:c r="N40" t="str">
        <x:v>Physical</x:v>
      </x:c>
      <x:c r="O40" t="str">
        <x:v>Slashing</x:v>
      </x:c>
      <x:c r="P40" t="str">
        <x:v>Guerrier</x:v>
      </x:c>
      <x:c r="Q40" t="str">
        <x:v>Prêtre (marteaux)</x:v>
      </x:c>
      <x:c r="R40" t="str">
        <x:v>Grande allonge esthétique</x:v>
      </x:c>
      <x:c r="S40" t="str">
        <x:v>Weapon.Heavy</x:v>
      </x:c>
      <x:c r="T40" t="str">
        <x:v>1d6 + 5</x:v>
      </x:c>
    </x:row>
    <x:row r="41" ht="21" customHeight="1">
      <x:c r="A41" s="26" t="str">
        <x:v>ARM038</x:v>
      </x:c>
      <x:c r="B41" t="str">
        <x:v>Lance courte</x:v>
      </x:c>
      <x:c r="C41" t="str">
        <x:v>Armes d'hast</x:v>
      </x:c>
      <x:c r="D41" t="str">
        <x:v>2 mains</x:v>
      </x:c>
      <x:c r="E41" s="28" t="n">
        <x:v>4</x:v>
      </x:c>
      <x:c r="F41" s="28" t="n">
        <x:v>7</x:v>
      </x:c>
      <x:c r="G41" s="28" t="n">
        <x:v>0</x:v>
      </x:c>
      <x:c r="H41" s="28" t="n">
        <x:v>0</x:v>
      </x:c>
      <x:c r="I41" s="28" t="n">
        <x:v>3</x:v>
      </x:c>
      <x:c r="J41" s="28" t="n">
        <x:v>2</x:v>
      </x:c>
      <x:c r="K41" s="30" t="n">
        <x:v>1.8</x:v>
      </x:c>
      <x:c r="L41" s="28" t="n">
        <x:v>0</x:v>
      </x:c>
      <x:c r="M41" t="str">
        <x:v>Force</x:v>
      </x:c>
      <x:c r="N41" t="str">
        <x:v>Physical</x:v>
      </x:c>
      <x:c r="O41" t="str">
        <x:v>Piercing</x:v>
      </x:c>
      <x:c r="P41" t="str">
        <x:v>Guerrier</x:v>
      </x:c>
      <x:c r="Q41" t="str">
        <x:v>Rôdeur</x:v>
      </x:c>
      <x:c r="R41" t="str">
        <x:v>Pointes rapprochées</x:v>
      </x:c>
      <x:c r="S41" t="str">
        <x:v>Weapon.Heavy;Weapon.Polearm</x:v>
      </x:c>
      <x:c r="T41" t="str">
        <x:v>1d6 + 2</x:v>
      </x:c>
    </x:row>
    <x:row r="42" ht="21" customHeight="1">
      <x:c r="A42" s="26" t="str">
        <x:v>ARM039</x:v>
      </x:c>
      <x:c r="B42" t="str">
        <x:v>Lance longue</x:v>
      </x:c>
      <x:c r="C42" t="str">
        <x:v>Armes d'hast</x:v>
      </x:c>
      <x:c r="D42" t="str">
        <x:v>2 mains</x:v>
      </x:c>
      <x:c r="E42" s="28" t="n">
        <x:v>5</x:v>
      </x:c>
      <x:c r="F42" s="28" t="n">
        <x:v>9</x:v>
      </x:c>
      <x:c r="G42" s="28" t="n">
        <x:v>0</x:v>
      </x:c>
      <x:c r="H42" s="28" t="n">
        <x:v>0</x:v>
      </x:c>
      <x:c r="I42" s="28" t="n">
        <x:v>3</x:v>
      </x:c>
      <x:c r="J42" s="28" t="n">
        <x:v>2</x:v>
      </x:c>
      <x:c r="K42" s="30" t="n">
        <x:v>2.6</x:v>
      </x:c>
      <x:c r="L42" s="28" t="n">
        <x:v>0</x:v>
      </x:c>
      <x:c r="M42" t="str">
        <x:v>Force</x:v>
      </x:c>
      <x:c r="N42" t="str">
        <x:v>Physical</x:v>
      </x:c>
      <x:c r="O42" t="str">
        <x:v>Piercing</x:v>
      </x:c>
      <x:c r="P42" t="str">
        <x:v>Guerrier</x:v>
      </x:c>
      <x:c r="Q42" t="str">
        <x:v>Rôdeur</x:v>
      </x:c>
      <x:c r="R42" t="str">
        <x:v>Allonge, cible axiale</x:v>
      </x:c>
      <x:c r="S42" t="str">
        <x:v>Weapon.Heavy;Weapon.Polearm</x:v>
      </x:c>
      <x:c r="T42" t="str">
        <x:v>1d6 + 3</x:v>
      </x:c>
    </x:row>
    <x:row r="43" ht="21" customHeight="1">
      <x:c r="A43" s="26" t="str">
        <x:v>ARM040</x:v>
      </x:c>
      <x:c r="B43" t="str">
        <x:v>Pique</x:v>
      </x:c>
      <x:c r="C43" t="str">
        <x:v>Armes d'hast</x:v>
      </x:c>
      <x:c r="D43" t="str">
        <x:v>2 mains</x:v>
      </x:c>
      <x:c r="E43" s="28" t="n">
        <x:v>5</x:v>
      </x:c>
      <x:c r="F43" s="28" t="n">
        <x:v>10</x:v>
      </x:c>
      <x:c r="G43" s="28" t="n">
        <x:v>0</x:v>
      </x:c>
      <x:c r="H43" s="28" t="n">
        <x:v>0</x:v>
      </x:c>
      <x:c r="I43" s="28" t="n">
        <x:v>3</x:v>
      </x:c>
      <x:c r="J43" s="28" t="n">
        <x:v>2</x:v>
      </x:c>
      <x:c r="K43" s="30" t="n">
        <x:v>3.4</x:v>
      </x:c>
      <x:c r="L43" s="28" t="n">
        <x:v>-1</x:v>
      </x:c>
      <x:c r="M43" t="str">
        <x:v>Force</x:v>
      </x:c>
      <x:c r="N43" t="str">
        <x:v>Physical</x:v>
      </x:c>
      <x:c r="O43" t="str">
        <x:v>Piercing</x:v>
      </x:c>
      <x:c r="P43" t="str">
        <x:v>Guerrier</x:v>
      </x:c>
      <x:c r="Q43" t="str">
        <x:v>Rôdeur</x:v>
      </x:c>
      <x:c r="R43" t="str">
        <x:v>Allonge, difficile à manœuvrer</x:v>
      </x:c>
      <x:c r="S43" t="str">
        <x:v>Weapon.Heavy;Weapon.Polearm</x:v>
      </x:c>
      <x:c r="T43" t="str">
        <x:v>1d6 + 4</x:v>
      </x:c>
    </x:row>
    <x:row r="44" ht="21" customHeight="1">
      <x:c r="A44" s="26" t="str">
        <x:v>ARM041</x:v>
      </x:c>
      <x:c r="B44" t="str">
        <x:v>Hallebarde</x:v>
      </x:c>
      <x:c r="C44" t="str">
        <x:v>Armes d'hast</x:v>
      </x:c>
      <x:c r="D44" t="str">
        <x:v>2 mains</x:v>
      </x:c>
      <x:c r="E44" s="28" t="n">
        <x:v>7</x:v>
      </x:c>
      <x:c r="F44" s="28" t="n">
        <x:v>12</x:v>
      </x:c>
      <x:c r="G44" s="28" t="n">
        <x:v>0</x:v>
      </x:c>
      <x:c r="H44" s="28" t="n">
        <x:v>0</x:v>
      </x:c>
      <x:c r="I44" s="28" t="n">
        <x:v>3</x:v>
      </x:c>
      <x:c r="J44" s="28" t="n">
        <x:v>2</x:v>
      </x:c>
      <x:c r="K44" s="30" t="n">
        <x:v>4.7</x:v>
      </x:c>
      <x:c r="L44" s="28" t="n">
        <x:v>-1</x:v>
      </x:c>
      <x:c r="M44" t="str">
        <x:v>Force</x:v>
      </x:c>
      <x:c r="N44" t="str">
        <x:v>Physical</x:v>
      </x:c>
      <x:c r="O44" t="str">
        <x:v>Slashing</x:v>
      </x:c>
      <x:c r="P44" t="str">
        <x:v>Guerrier</x:v>
      </x:c>
      <x:c r="Q44" t="str">
        <x:v>Rôdeur</x:v>
      </x:c>
      <x:c r="R44" t="str">
        <x:v>Tranchant et crochet</x:v>
      </x:c>
      <x:c r="S44" t="str">
        <x:v>Weapon.Heavy;Weapon.Polearm</x:v>
      </x:c>
      <x:c r="T44" t="str">
        <x:v>1d6 + 6</x:v>
      </x:c>
    </x:row>
    <x:row r="45" ht="21" customHeight="1">
      <x:c r="A45" s="26" t="str">
        <x:v>ARM042</x:v>
      </x:c>
      <x:c r="B45" t="str">
        <x:v>Vouge</x:v>
      </x:c>
      <x:c r="C45" t="str">
        <x:v>Armes d'hast</x:v>
      </x:c>
      <x:c r="D45" t="str">
        <x:v>2 mains</x:v>
      </x:c>
      <x:c r="E45" s="28" t="n">
        <x:v>6</x:v>
      </x:c>
      <x:c r="F45" s="28" t="n">
        <x:v>11</x:v>
      </x:c>
      <x:c r="G45" s="28" t="n">
        <x:v>0</x:v>
      </x:c>
      <x:c r="H45" s="28" t="n">
        <x:v>0</x:v>
      </x:c>
      <x:c r="I45" s="28" t="n">
        <x:v>3</x:v>
      </x:c>
      <x:c r="J45" s="28" t="n">
        <x:v>2</x:v>
      </x:c>
      <x:c r="K45" s="30" t="n">
        <x:v>3.7</x:v>
      </x:c>
      <x:c r="L45" s="28" t="n">
        <x:v>-1</x:v>
      </x:c>
      <x:c r="M45" t="str">
        <x:v>Force</x:v>
      </x:c>
      <x:c r="N45" t="str">
        <x:v>Physical</x:v>
      </x:c>
      <x:c r="O45" t="str">
        <x:v>Slashing</x:v>
      </x:c>
      <x:c r="P45" t="str">
        <x:v>Guerrier</x:v>
      </x:c>
      <x:c r="Q45" t="str">
        <x:v>Rôdeur</x:v>
      </x:c>
      <x:c r="R45" t="str">
        <x:v>Balayage</x:v>
      </x:c>
      <x:c r="S45" t="str">
        <x:v>Weapon.Heavy;Weapon.Polearm</x:v>
      </x:c>
      <x:c r="T45" t="str">
        <x:v>1d6 + 5</x:v>
      </x:c>
    </x:row>
    <x:row r="46" ht="21" customHeight="1">
      <x:c r="A46" s="26" t="str">
        <x:v>ARM043</x:v>
      </x:c>
      <x:c r="B46" t="str">
        <x:v>Glaive d'hast</x:v>
      </x:c>
      <x:c r="C46" t="str">
        <x:v>Armes d'hast</x:v>
      </x:c>
      <x:c r="D46" t="str">
        <x:v>2 mains</x:v>
      </x:c>
      <x:c r="E46" s="28" t="n">
        <x:v>6</x:v>
      </x:c>
      <x:c r="F46" s="28" t="n">
        <x:v>11</x:v>
      </x:c>
      <x:c r="G46" s="28" t="n">
        <x:v>0</x:v>
      </x:c>
      <x:c r="H46" s="28" t="n">
        <x:v>0</x:v>
      </x:c>
      <x:c r="I46" s="28" t="n">
        <x:v>3</x:v>
      </x:c>
      <x:c r="J46" s="28" t="n">
        <x:v>2</x:v>
      </x:c>
      <x:c r="K46" s="30" t="n">
        <x:v>3.8</x:v>
      </x:c>
      <x:c r="L46" s="28" t="n">
        <x:v>0</x:v>
      </x:c>
      <x:c r="M46" t="str">
        <x:v>Force</x:v>
      </x:c>
      <x:c r="N46" t="str">
        <x:v>Physical</x:v>
      </x:c>
      <x:c r="O46" t="str">
        <x:v>Slashing</x:v>
      </x:c>
      <x:c r="P46" t="str">
        <x:v>Guerrier</x:v>
      </x:c>
      <x:c r="Q46" t="str">
        <x:v>Rôdeur</x:v>
      </x:c>
      <x:c r="R46" t="str">
        <x:v>Attaque axiale</x:v>
      </x:c>
      <x:c r="S46" t="str">
        <x:v>Weapon.Heavy;Weapon.Polearm</x:v>
      </x:c>
      <x:c r="T46" t="str">
        <x:v>1d6 + 5</x:v>
      </x:c>
    </x:row>
    <x:row r="47" ht="21" customHeight="1">
      <x:c r="A47" s="26" t="str">
        <x:v>ARM044</x:v>
      </x:c>
      <x:c r="B47" t="str">
        <x:v>Trident</x:v>
      </x:c>
      <x:c r="C47" t="str">
        <x:v>Armes d'hast</x:v>
      </x:c>
      <x:c r="D47" t="str">
        <x:v>2 mains</x:v>
      </x:c>
      <x:c r="E47" s="28" t="n">
        <x:v>5</x:v>
      </x:c>
      <x:c r="F47" s="28" t="n">
        <x:v>9</x:v>
      </x:c>
      <x:c r="G47" s="28" t="n">
        <x:v>0</x:v>
      </x:c>
      <x:c r="H47" s="28" t="n">
        <x:v>0</x:v>
      </x:c>
      <x:c r="I47" s="28" t="n">
        <x:v>3</x:v>
      </x:c>
      <x:c r="J47" s="28" t="n">
        <x:v>2</x:v>
      </x:c>
      <x:c r="K47" s="30" t="n">
        <x:v>2.9</x:v>
      </x:c>
      <x:c r="L47" s="28" t="n">
        <x:v>0</x:v>
      </x:c>
      <x:c r="M47" t="str">
        <x:v>Force</x:v>
      </x:c>
      <x:c r="N47" t="str">
        <x:v>Physical</x:v>
      </x:c>
      <x:c r="O47" t="str">
        <x:v>Piercing</x:v>
      </x:c>
      <x:c r="P47" t="str">
        <x:v>Guerrier</x:v>
      </x:c>
      <x:c r="Q47" t="str">
        <x:v>Rôdeur</x:v>
      </x:c>
      <x:c r="R47" t="str">
        <x:v>Contrôle de cible (futur)</x:v>
      </x:c>
      <x:c r="S47" t="str">
        <x:v>Weapon.Heavy;Weapon.Polearm</x:v>
      </x:c>
      <x:c r="T47" t="str">
        <x:v>1d6 + 3</x:v>
      </x:c>
    </x:row>
    <x:row r="48" ht="21" customHeight="1">
      <x:c r="A48" s="26" t="str">
        <x:v>ARM045</x:v>
      </x:c>
      <x:c r="B48" t="str">
        <x:v>Arc court</x:v>
      </x:c>
      <x:c r="C48" t="str">
        <x:v>Distance</x:v>
      </x:c>
      <x:c r="D48" t="str">
        <x:v>2 mains</x:v>
      </x:c>
      <x:c r="E48" s="28" t="n">
        <x:v>4</x:v>
      </x:c>
      <x:c r="F48" s="28" t="n">
        <x:v>6</x:v>
      </x:c>
      <x:c r="G48" s="28" t="n">
        <x:v>0</x:v>
      </x:c>
      <x:c r="H48" s="28" t="n">
        <x:v>0</x:v>
      </x:c>
      <x:c r="I48" s="28" t="n">
        <x:v>2</x:v>
      </x:c>
      <x:c r="J48" s="28" t="n">
        <x:v>5</x:v>
      </x:c>
      <x:c r="K48" s="30" t="n">
        <x:v>1</x:v>
      </x:c>
      <x:c r="L48" s="28" t="n">
        <x:v>1</x:v>
      </x:c>
      <x:c r="M48" t="str">
        <x:v>Dextérité</x:v>
      </x:c>
      <x:c r="N48" t="str">
        <x:v>Physical</x:v>
      </x:c>
      <x:c r="O48" t="str">
        <x:v>Piercing</x:v>
      </x:c>
      <x:c r="P48" t="str">
        <x:v>Rôdeur</x:v>
      </x:c>
      <x:c r="Q48" t="str">
        <x:v>Voleur / Alchimiste</x:v>
      </x:c>
      <x:c r="R48" t="str">
        <x:v>Léger, flexible</x:v>
      </x:c>
      <x:c r="S48" t="str">
        <x:v>Weapon.Ranged</x:v>
      </x:c>
      <x:c r="T48" t="str">
        <x:v>1d4 + 2</x:v>
      </x:c>
    </x:row>
    <x:row r="49" ht="21" customHeight="1">
      <x:c r="A49" s="26" t="str">
        <x:v>ARM046</x:v>
      </x:c>
      <x:c r="B49" t="str">
        <x:v>Arc long</x:v>
      </x:c>
      <x:c r="C49" t="str">
        <x:v>Distance</x:v>
      </x:c>
      <x:c r="D49" t="str">
        <x:v>2 mains</x:v>
      </x:c>
      <x:c r="E49" s="28" t="n">
        <x:v>5</x:v>
      </x:c>
      <x:c r="F49" s="28" t="n">
        <x:v>8</x:v>
      </x:c>
      <x:c r="G49" s="28" t="n">
        <x:v>0</x:v>
      </x:c>
      <x:c r="H49" s="28" t="n">
        <x:v>0</x:v>
      </x:c>
      <x:c r="I49" s="28" t="n">
        <x:v>2</x:v>
      </x:c>
      <x:c r="J49" s="28" t="n">
        <x:v>7</x:v>
      </x:c>
      <x:c r="K49" s="30" t="n">
        <x:v>1.5</x:v>
      </x:c>
      <x:c r="L49" s="28" t="n">
        <x:v>0</x:v>
      </x:c>
      <x:c r="M49" t="str">
        <x:v>Dextérité</x:v>
      </x:c>
      <x:c r="N49" t="str">
        <x:v>Physical</x:v>
      </x:c>
      <x:c r="O49" t="str">
        <x:v>Piercing</x:v>
      </x:c>
      <x:c r="P49" t="str">
        <x:v>Rôdeur</x:v>
      </x:c>
      <x:c r="Q49" t="str">
        <x:v>Voleur / Alchimiste</x:v>
      </x:c>
      <x:c r="R49" t="str">
        <x:v>Portée supérieure</x:v>
      </x:c>
      <x:c r="S49" t="str">
        <x:v>Weapon.Ranged</x:v>
      </x:c>
      <x:c r="T49" t="str">
        <x:v>1d4 + 4</x:v>
      </x:c>
    </x:row>
    <x:row r="50" ht="21" customHeight="1">
      <x:c r="A50" s="26" t="str">
        <x:v>ARM047</x:v>
      </x:c>
      <x:c r="B50" t="str">
        <x:v>Arc composite</x:v>
      </x:c>
      <x:c r="C50" t="str">
        <x:v>Distance</x:v>
      </x:c>
      <x:c r="D50" t="str">
        <x:v>2 mains</x:v>
      </x:c>
      <x:c r="E50" s="28" t="n">
        <x:v>5</x:v>
      </x:c>
      <x:c r="F50" s="28" t="n">
        <x:v>9</x:v>
      </x:c>
      <x:c r="G50" s="28" t="n">
        <x:v>0</x:v>
      </x:c>
      <x:c r="H50" s="28" t="n">
        <x:v>0</x:v>
      </x:c>
      <x:c r="I50" s="28" t="n">
        <x:v>2</x:v>
      </x:c>
      <x:c r="J50" s="28" t="n">
        <x:v>6</x:v>
      </x:c>
      <x:c r="K50" s="30" t="n">
        <x:v>1.8</x:v>
      </x:c>
      <x:c r="L50" s="28" t="n">
        <x:v>0</x:v>
      </x:c>
      <x:c r="M50" t="str">
        <x:v>Dextérité</x:v>
      </x:c>
      <x:c r="N50" t="str">
        <x:v>Physical</x:v>
      </x:c>
      <x:c r="O50" t="str">
        <x:v>Piercing</x:v>
      </x:c>
      <x:c r="P50" t="str">
        <x:v>Rôdeur</x:v>
      </x:c>
      <x:c r="Q50" t="str">
        <x:v>Voleur / Alchimiste</x:v>
      </x:c>
      <x:c r="R50" t="str">
        <x:v>Puissance</x:v>
      </x:c>
      <x:c r="S50" t="str">
        <x:v>Weapon.Ranged</x:v>
      </x:c>
      <x:c r="T50" t="str">
        <x:v>1d4 + 4</x:v>
      </x:c>
    </x:row>
    <x:row r="51" ht="21" customHeight="1">
      <x:c r="A51" s="26" t="str">
        <x:v>ARM048</x:v>
      </x:c>
      <x:c r="B51" t="str">
        <x:v>Arc recourbé</x:v>
      </x:c>
      <x:c r="C51" t="str">
        <x:v>Distance</x:v>
      </x:c>
      <x:c r="D51" t="str">
        <x:v>2 mains</x:v>
      </x:c>
      <x:c r="E51" s="28" t="n">
        <x:v>4</x:v>
      </x:c>
      <x:c r="F51" s="28" t="n">
        <x:v>8</x:v>
      </x:c>
      <x:c r="G51" s="28" t="n">
        <x:v>0</x:v>
      </x:c>
      <x:c r="H51" s="28" t="n">
        <x:v>0</x:v>
      </x:c>
      <x:c r="I51" s="28" t="n">
        <x:v>2</x:v>
      </x:c>
      <x:c r="J51" s="28" t="n">
        <x:v>5</x:v>
      </x:c>
      <x:c r="K51" s="30" t="n">
        <x:v>1.4</x:v>
      </x:c>
      <x:c r="L51" s="28" t="n">
        <x:v>1</x:v>
      </x:c>
      <x:c r="M51" t="str">
        <x:v>Dextérité</x:v>
      </x:c>
      <x:c r="N51" t="str">
        <x:v>Physical</x:v>
      </x:c>
      <x:c r="O51" t="str">
        <x:v>Piercing</x:v>
      </x:c>
      <x:c r="P51" t="str">
        <x:v>Rôdeur</x:v>
      </x:c>
      <x:c r="Q51" t="str">
        <x:v>Voleur / Alchimiste</x:v>
      </x:c>
      <x:c r="R51" t="str">
        <x:v>Précision</x:v>
      </x:c>
      <x:c r="S51" t="str">
        <x:v>Weapon.Ranged</x:v>
      </x:c>
      <x:c r="T51" t="str">
        <x:v>1d4 + 3</x:v>
      </x:c>
    </x:row>
    <x:row r="52" ht="21" customHeight="1">
      <x:c r="A52" s="26" t="str">
        <x:v>ARM049</x:v>
      </x:c>
      <x:c r="B52" t="str">
        <x:v>Arbalète légère</x:v>
      </x:c>
      <x:c r="C52" t="str">
        <x:v>Distance</x:v>
      </x:c>
      <x:c r="D52" t="str">
        <x:v>2 mains</x:v>
      </x:c>
      <x:c r="E52" s="28" t="n">
        <x:v>5</x:v>
      </x:c>
      <x:c r="F52" s="28" t="n">
        <x:v>8</x:v>
      </x:c>
      <x:c r="G52" s="28" t="n">
        <x:v>0</x:v>
      </x:c>
      <x:c r="H52" s="28" t="n">
        <x:v>0</x:v>
      </x:c>
      <x:c r="I52" s="28" t="n">
        <x:v>2</x:v>
      </x:c>
      <x:c r="J52" s="28" t="n">
        <x:v>5</x:v>
      </x:c>
      <x:c r="K52" s="30" t="n">
        <x:v>2.3</x:v>
      </x:c>
      <x:c r="L52" s="28" t="n">
        <x:v>1</x:v>
      </x:c>
      <x:c r="M52" t="str">
        <x:v>Dextérité</x:v>
      </x:c>
      <x:c r="N52" t="str">
        <x:v>Physical</x:v>
      </x:c>
      <x:c r="O52" t="str">
        <x:v>Piercing</x:v>
      </x:c>
      <x:c r="P52" t="str">
        <x:v>Rôdeur</x:v>
      </x:c>
      <x:c r="Q52" t="str">
        <x:v>Voleur / Alchimiste</x:v>
      </x:c>
      <x:c r="R52" t="str">
        <x:v>Tir précis</x:v>
      </x:c>
      <x:c r="S52" t="str">
        <x:v>Weapon.Ranged</x:v>
      </x:c>
      <x:c r="T52" t="str">
        <x:v>1d4 + 4</x:v>
      </x:c>
    </x:row>
    <x:row r="53" ht="21" customHeight="1">
      <x:c r="A53" s="26" t="str">
        <x:v>ARM050</x:v>
      </x:c>
      <x:c r="B53" t="str">
        <x:v>Arbalète lourde</x:v>
      </x:c>
      <x:c r="C53" t="str">
        <x:v>Distance</x:v>
      </x:c>
      <x:c r="D53" t="str">
        <x:v>2 mains</x:v>
      </x:c>
      <x:c r="E53" s="28" t="n">
        <x:v>7</x:v>
      </x:c>
      <x:c r="F53" s="28" t="n">
        <x:v>11</x:v>
      </x:c>
      <x:c r="G53" s="28" t="n">
        <x:v>0</x:v>
      </x:c>
      <x:c r="H53" s="28" t="n">
        <x:v>0</x:v>
      </x:c>
      <x:c r="I53" s="28" t="n">
        <x:v>3</x:v>
      </x:c>
      <x:c r="J53" s="28" t="n">
        <x:v>6</x:v>
      </x:c>
      <x:c r="K53" s="30" t="n">
        <x:v>4</x:v>
      </x:c>
      <x:c r="L53" s="28" t="n">
        <x:v>0</x:v>
      </x:c>
      <x:c r="M53" t="str">
        <x:v>Dextérité</x:v>
      </x:c>
      <x:c r="N53" t="str">
        <x:v>Physical</x:v>
      </x:c>
      <x:c r="O53" t="str">
        <x:v>Piercing</x:v>
      </x:c>
      <x:c r="P53" t="str">
        <x:v>Rôdeur</x:v>
      </x:c>
      <x:c r="Q53" t="str">
        <x:v>Voleur / Alchimiste</x:v>
      </x:c>
      <x:c r="R53" t="str">
        <x:v>Projectile puissant</x:v>
      </x:c>
      <x:c r="S53" t="str">
        <x:v>Weapon.Ranged</x:v>
      </x:c>
      <x:c r="T53" t="str">
        <x:v>1d4 + 6</x:v>
      </x:c>
    </x:row>
    <x:row r="54" ht="21" customHeight="1">
      <x:c r="A54" s="26" t="str">
        <x:v>ARM051</x:v>
      </x:c>
      <x:c r="B54" t="str">
        <x:v>Arbalète à répétition</x:v>
      </x:c>
      <x:c r="C54" t="str">
        <x:v>Distance</x:v>
      </x:c>
      <x:c r="D54" t="str">
        <x:v>2 mains</x:v>
      </x:c>
      <x:c r="E54" s="28" t="n">
        <x:v>3</x:v>
      </x:c>
      <x:c r="F54" s="28" t="n">
        <x:v>5</x:v>
      </x:c>
      <x:c r="G54" s="28" t="n">
        <x:v>0</x:v>
      </x:c>
      <x:c r="H54" s="28" t="n">
        <x:v>0</x:v>
      </x:c>
      <x:c r="I54" s="28" t="n">
        <x:v>2</x:v>
      </x:c>
      <x:c r="J54" s="28" t="n">
        <x:v>5</x:v>
      </x:c>
      <x:c r="K54" s="30" t="n">
        <x:v>3.8</x:v>
      </x:c>
      <x:c r="L54" s="28" t="n">
        <x:v>-1</x:v>
      </x:c>
      <x:c r="M54" t="str">
        <x:v>Dextérité</x:v>
      </x:c>
      <x:c r="N54" t="str">
        <x:v>Physical</x:v>
      </x:c>
      <x:c r="O54" t="str">
        <x:v>Piercing</x:v>
      </x:c>
      <x:c r="P54" t="str">
        <x:v>Rôdeur</x:v>
      </x:c>
      <x:c r="Q54" t="str">
        <x:v>Voleur / Alchimiste</x:v>
      </x:c>
      <x:c r="R54" t="str">
        <x:v>Cadence (à implémenter)</x:v>
      </x:c>
      <x:c r="S54" t="str">
        <x:v>Weapon.Ranged</x:v>
      </x:c>
      <x:c r="T54" t="str">
        <x:v>1d4 + 1</x:v>
      </x:c>
    </x:row>
    <x:row r="55" ht="21" customHeight="1">
      <x:c r="A55" s="26" t="str">
        <x:v>ARM052</x:v>
      </x:c>
      <x:c r="B55" t="str">
        <x:v>Fronde</x:v>
      </x:c>
      <x:c r="C55" t="str">
        <x:v>Distance</x:v>
      </x:c>
      <x:c r="D55" t="str">
        <x:v>2 mains</x:v>
      </x:c>
      <x:c r="E55" s="28" t="n">
        <x:v>2</x:v>
      </x:c>
      <x:c r="F55" s="28" t="n">
        <x:v>5</x:v>
      </x:c>
      <x:c r="G55" s="28" t="n">
        <x:v>0</x:v>
      </x:c>
      <x:c r="H55" s="28" t="n">
        <x:v>0</x:v>
      </x:c>
      <x:c r="I55" s="28" t="n">
        <x:v>2</x:v>
      </x:c>
      <x:c r="J55" s="28" t="n">
        <x:v>4</x:v>
      </x:c>
      <x:c r="K55" s="30" t="n">
        <x:v>0.4</x:v>
      </x:c>
      <x:c r="L55" s="28" t="n">
        <x:v>0</x:v>
      </x:c>
      <x:c r="M55" t="str">
        <x:v>Dextérité</x:v>
      </x:c>
      <x:c r="N55" t="str">
        <x:v>Physical</x:v>
      </x:c>
      <x:c r="O55" t="str">
        <x:v>Bludgeoning</x:v>
      </x:c>
      <x:c r="P55" t="str">
        <x:v>Rôdeur</x:v>
      </x:c>
      <x:c r="Q55" t="str">
        <x:v>Voleur / Alchimiste</x:v>
      </x:c>
      <x:c r="R55" t="str">
        <x:v>Munition simple</x:v>
      </x:c>
      <x:c r="S55" t="str">
        <x:v>Weapon.Ranged</x:v>
      </x:c>
      <x:c r="T55" t="str">
        <x:v>1d4 + 1</x:v>
      </x:c>
    </x:row>
    <x:row r="56" ht="21" customHeight="1">
      <x:c r="A56" s="26" t="str">
        <x:v>ARM053</x:v>
      </x:c>
      <x:c r="B56" t="str">
        <x:v>Sarbacane</x:v>
      </x:c>
      <x:c r="C56" t="str">
        <x:v>Distance</x:v>
      </x:c>
      <x:c r="D56" t="str">
        <x:v>2 mains</x:v>
      </x:c>
      <x:c r="E56" s="28" t="n">
        <x:v>1</x:v>
      </x:c>
      <x:c r="F56" s="28" t="n">
        <x:v>3</x:v>
      </x:c>
      <x:c r="G56" s="28" t="n">
        <x:v>0</x:v>
      </x:c>
      <x:c r="H56" s="28" t="n">
        <x:v>0</x:v>
      </x:c>
      <x:c r="I56" s="28" t="n">
        <x:v>2</x:v>
      </x:c>
      <x:c r="J56" s="28" t="n">
        <x:v>3</x:v>
      </x:c>
      <x:c r="K56" s="30" t="n">
        <x:v>0.5</x:v>
      </x:c>
      <x:c r="L56" s="28" t="n">
        <x:v>2</x:v>
      </x:c>
      <x:c r="M56" t="str">
        <x:v>Dextérité</x:v>
      </x:c>
      <x:c r="N56" t="str">
        <x:v>Physical</x:v>
      </x:c>
      <x:c r="O56" t="str">
        <x:v>Piercing</x:v>
      </x:c>
      <x:c r="P56" t="str">
        <x:v>Rôdeur</x:v>
      </x:c>
      <x:c r="Q56" t="str">
        <x:v>Voleur / Alchimiste</x:v>
      </x:c>
      <x:c r="R56" t="str">
        <x:v>Vecteur de poison</x:v>
      </x:c>
      <x:c r="S56" t="str">
        <x:v>Weapon.Ranged</x:v>
      </x:c>
      <x:c r="T56" t="str">
        <x:v>1d4</x:v>
      </x:c>
    </x:row>
    <x:row r="57" ht="21" customHeight="1">
      <x:c r="A57" s="26" t="str">
        <x:v>ARM054</x:v>
      </x:c>
      <x:c r="B57" t="str">
        <x:v>Couteau de jet</x:v>
      </x:c>
      <x:c r="C57" t="str">
        <x:v>Jet</x:v>
      </x:c>
      <x:c r="D57" t="str">
        <x:v>1 main</x:v>
      </x:c>
      <x:c r="E57" s="28" t="n">
        <x:v>2</x:v>
      </x:c>
      <x:c r="F57" s="28" t="n">
        <x:v>4</x:v>
      </x:c>
      <x:c r="G57" s="28" t="n">
        <x:v>0</x:v>
      </x:c>
      <x:c r="H57" s="28" t="n">
        <x:v>0</x:v>
      </x:c>
      <x:c r="I57" s="28" t="n">
        <x:v>2</x:v>
      </x:c>
      <x:c r="J57" s="28" t="n">
        <x:v>4</x:v>
      </x:c>
      <x:c r="K57" s="30" t="n">
        <x:v>0.2</x:v>
      </x:c>
      <x:c r="L57" s="28" t="n">
        <x:v>1</x:v>
      </x:c>
      <x:c r="M57" t="str">
        <x:v>Dextérité</x:v>
      </x:c>
      <x:c r="N57" t="str">
        <x:v>Physical</x:v>
      </x:c>
      <x:c r="O57" t="str">
        <x:v>Piercing</x:v>
      </x:c>
      <x:c r="P57" t="str">
        <x:v>Rôdeur</x:v>
      </x:c>
      <x:c r="Q57" t="str">
        <x:v>Voleur / Alchimiste</x:v>
      </x:c>
      <x:c r="R57" t="str">
        <x:v>Récupérable</x:v>
      </x:c>
      <x:c r="S57" t="str">
        <x:v>Weapon.Thrown</x:v>
      </x:c>
      <x:c r="T57" t="str">
        <x:v>1d4</x:v>
      </x:c>
    </x:row>
    <x:row r="58" ht="21" customHeight="1">
      <x:c r="A58" s="26" t="str">
        <x:v>ARM055</x:v>
      </x:c>
      <x:c r="B58" t="str">
        <x:v>Dague de jet</x:v>
      </x:c>
      <x:c r="C58" t="str">
        <x:v>Jet</x:v>
      </x:c>
      <x:c r="D58" t="str">
        <x:v>1 main</x:v>
      </x:c>
      <x:c r="E58" s="28" t="n">
        <x:v>3</x:v>
      </x:c>
      <x:c r="F58" s="28" t="n">
        <x:v>5</x:v>
      </x:c>
      <x:c r="G58" s="28" t="n">
        <x:v>0</x:v>
      </x:c>
      <x:c r="H58" s="28" t="n">
        <x:v>0</x:v>
      </x:c>
      <x:c r="I58" s="28" t="n">
        <x:v>2</x:v>
      </x:c>
      <x:c r="J58" s="28" t="n">
        <x:v>4</x:v>
      </x:c>
      <x:c r="K58" s="30" t="n">
        <x:v>0.35</x:v>
      </x:c>
      <x:c r="L58" s="28" t="n">
        <x:v>1</x:v>
      </x:c>
      <x:c r="M58" t="str">
        <x:v>Dextérité</x:v>
      </x:c>
      <x:c r="N58" t="str">
        <x:v>Physical</x:v>
      </x:c>
      <x:c r="O58" t="str">
        <x:v>Piercing</x:v>
      </x:c>
      <x:c r="P58" t="str">
        <x:v>Rôdeur</x:v>
      </x:c>
      <x:c r="Q58" t="str">
        <x:v>Voleur / Alchimiste</x:v>
      </x:c>
      <x:c r="R58" t="str">
        <x:v>Récupérable</x:v>
      </x:c>
      <x:c r="S58" t="str">
        <x:v>Weapon.Thrown</x:v>
      </x:c>
      <x:c r="T58" t="str">
        <x:v>1d4 + 1</x:v>
      </x:c>
    </x:row>
    <x:row r="59" ht="21" customHeight="1">
      <x:c r="A59" s="26" t="str">
        <x:v>ARM056</x:v>
      </x:c>
      <x:c r="B59" t="str">
        <x:v>Hache de jet</x:v>
      </x:c>
      <x:c r="C59" t="str">
        <x:v>Jet</x:v>
      </x:c>
      <x:c r="D59" t="str">
        <x:v>1 main</x:v>
      </x:c>
      <x:c r="E59" s="28" t="n">
        <x:v>4</x:v>
      </x:c>
      <x:c r="F59" s="28" t="n">
        <x:v>7</x:v>
      </x:c>
      <x:c r="G59" s="28" t="n">
        <x:v>0</x:v>
      </x:c>
      <x:c r="H59" s="28" t="n">
        <x:v>0</x:v>
      </x:c>
      <x:c r="I59" s="28" t="n">
        <x:v>2</x:v>
      </x:c>
      <x:c r="J59" s="28" t="n">
        <x:v>4</x:v>
      </x:c>
      <x:c r="K59" s="30" t="n">
        <x:v>1.1</x:v>
      </x:c>
      <x:c r="L59" s="28" t="n">
        <x:v>-1</x:v>
      </x:c>
      <x:c r="M59" t="str">
        <x:v>Dextérité</x:v>
      </x:c>
      <x:c r="N59" t="str">
        <x:v>Physical</x:v>
      </x:c>
      <x:c r="O59" t="str">
        <x:v>Slashing</x:v>
      </x:c>
      <x:c r="P59" t="str">
        <x:v>Rôdeur</x:v>
      </x:c>
      <x:c r="Q59" t="str">
        <x:v>Voleur / Alchimiste</x:v>
      </x:c>
      <x:c r="R59" t="str">
        <x:v>Récupérable</x:v>
      </x:c>
      <x:c r="S59" t="str">
        <x:v>Weapon.Thrown</x:v>
      </x:c>
      <x:c r="T59" t="str">
        <x:v>1d4 + 3</x:v>
      </x:c>
    </x:row>
    <x:row r="60" ht="21" customHeight="1">
      <x:c r="A60" s="26" t="str">
        <x:v>ARM057</x:v>
      </x:c>
      <x:c r="B60" t="str">
        <x:v>Javelot</x:v>
      </x:c>
      <x:c r="C60" t="str">
        <x:v>Jet</x:v>
      </x:c>
      <x:c r="D60" t="str">
        <x:v>1 main</x:v>
      </x:c>
      <x:c r="E60" s="28" t="n">
        <x:v>4</x:v>
      </x:c>
      <x:c r="F60" s="28" t="n">
        <x:v>7</x:v>
      </x:c>
      <x:c r="G60" s="28" t="n">
        <x:v>0</x:v>
      </x:c>
      <x:c r="H60" s="28" t="n">
        <x:v>0</x:v>
      </x:c>
      <x:c r="I60" s="28" t="n">
        <x:v>2</x:v>
      </x:c>
      <x:c r="J60" s="28" t="n">
        <x:v>4</x:v>
      </x:c>
      <x:c r="K60" s="30" t="n">
        <x:v>1.4</x:v>
      </x:c>
      <x:c r="L60" s="28" t="n">
        <x:v>0</x:v>
      </x:c>
      <x:c r="M60" t="str">
        <x:v>Dextérité</x:v>
      </x:c>
      <x:c r="N60" t="str">
        <x:v>Physical</x:v>
      </x:c>
      <x:c r="O60" t="str">
        <x:v>Piercing</x:v>
      </x:c>
      <x:c r="P60" t="str">
        <x:v>Rôdeur</x:v>
      </x:c>
      <x:c r="Q60" t="str">
        <x:v>Voleur / Alchimiste</x:v>
      </x:c>
      <x:c r="R60" t="str">
        <x:v>Récupérable</x:v>
      </x:c>
      <x:c r="S60" t="str">
        <x:v>Weapon.Thrown</x:v>
      </x:c>
      <x:c r="T60" t="str">
        <x:v>1d4 + 3</x:v>
      </x:c>
    </x:row>
    <x:row r="61" ht="21" customHeight="1">
      <x:c r="A61" s="26" t="str">
        <x:v>ARM058</x:v>
      </x:c>
      <x:c r="B61" t="str">
        <x:v>Dard</x:v>
      </x:c>
      <x:c r="C61" t="str">
        <x:v>Jet</x:v>
      </x:c>
      <x:c r="D61" t="str">
        <x:v>1 main</x:v>
      </x:c>
      <x:c r="E61" s="28" t="n">
        <x:v>1</x:v>
      </x:c>
      <x:c r="F61" s="28" t="n">
        <x:v>3</x:v>
      </x:c>
      <x:c r="G61" s="28" t="n">
        <x:v>0</x:v>
      </x:c>
      <x:c r="H61" s="28" t="n">
        <x:v>0</x:v>
      </x:c>
      <x:c r="I61" s="28" t="n">
        <x:v>2</x:v>
      </x:c>
      <x:c r="J61" s="28" t="n">
        <x:v>4</x:v>
      </x:c>
      <x:c r="K61" s="30" t="n">
        <x:v>0.1</x:v>
      </x:c>
      <x:c r="L61" s="28" t="n">
        <x:v>2</x:v>
      </x:c>
      <x:c r="M61" t="str">
        <x:v>Dextérité</x:v>
      </x:c>
      <x:c r="N61" t="str">
        <x:v>Physical</x:v>
      </x:c>
      <x:c r="O61" t="str">
        <x:v>Piercing</x:v>
      </x:c>
      <x:c r="P61" t="str">
        <x:v>Rôdeur</x:v>
      </x:c>
      <x:c r="Q61" t="str">
        <x:v>Voleur / Alchimiste</x:v>
      </x:c>
      <x:c r="R61" t="str">
        <x:v>Vecteur de poison</x:v>
      </x:c>
      <x:c r="S61" t="str">
        <x:v>Weapon.Thrown</x:v>
      </x:c>
      <x:c r="T61" t="str">
        <x:v>1d4</x:v>
      </x:c>
    </x:row>
    <x:row r="62" ht="21" customHeight="1">
      <x:c r="A62" s="26" t="str">
        <x:v>ARM059</x:v>
      </x:c>
      <x:c r="B62" t="str">
        <x:v>Bolas</x:v>
      </x:c>
      <x:c r="C62" t="str">
        <x:v>Jet</x:v>
      </x:c>
      <x:c r="D62" t="str">
        <x:v>1 main</x:v>
      </x:c>
      <x:c r="E62" s="28" t="n">
        <x:v>1</x:v>
      </x:c>
      <x:c r="F62" s="28" t="n">
        <x:v>2</x:v>
      </x:c>
      <x:c r="G62" s="28" t="n">
        <x:v>0</x:v>
      </x:c>
      <x:c r="H62" s="28" t="n">
        <x:v>0</x:v>
      </x:c>
      <x:c r="I62" s="28" t="n">
        <x:v>2</x:v>
      </x:c>
      <x:c r="J62" s="28" t="n">
        <x:v>3</x:v>
      </x:c>
      <x:c r="K62" s="30" t="n">
        <x:v>0.7</x:v>
      </x:c>
      <x:c r="L62" s="28" t="n">
        <x:v>-1</x:v>
      </x:c>
      <x:c r="M62" t="str">
        <x:v>Dextérité</x:v>
      </x:c>
      <x:c r="N62" t="str">
        <x:v>Physical</x:v>
      </x:c>
      <x:c r="O62" t="str">
        <x:v>Bludgeoning</x:v>
      </x:c>
      <x:c r="P62" t="str">
        <x:v>Rôdeur</x:v>
      </x:c>
      <x:c r="Q62" t="str">
        <x:v>Voleur / Alchimiste</x:v>
      </x:c>
      <x:c r="R62" t="str">
        <x:v>Entrave (effet séparé)</x:v>
      </x:c>
      <x:c r="S62" t="str">
        <x:v>Weapon.Thrown</x:v>
      </x:c>
      <x:c r="T62" t="str">
        <x:v>1d4</x:v>
      </x:c>
    </x:row>
    <x:row r="63" ht="21" customHeight="1">
      <x:c r="A63" s="26" t="str">
        <x:v>ARM060</x:v>
      </x:c>
      <x:c r="B63" t="str">
        <x:v>Chakram</x:v>
      </x:c>
      <x:c r="C63" t="str">
        <x:v>Jet</x:v>
      </x:c>
      <x:c r="D63" t="str">
        <x:v>1 main</x:v>
      </x:c>
      <x:c r="E63" s="28" t="n">
        <x:v>3</x:v>
      </x:c>
      <x:c r="F63" s="28" t="n">
        <x:v>5</x:v>
      </x:c>
      <x:c r="G63" s="28" t="n">
        <x:v>0</x:v>
      </x:c>
      <x:c r="H63" s="28" t="n">
        <x:v>0</x:v>
      </x:c>
      <x:c r="I63" s="28" t="n">
        <x:v>2</x:v>
      </x:c>
      <x:c r="J63" s="28" t="n">
        <x:v>4</x:v>
      </x:c>
      <x:c r="K63" s="30" t="n">
        <x:v>0.5</x:v>
      </x:c>
      <x:c r="L63" s="28" t="n">
        <x:v>0</x:v>
      </x:c>
      <x:c r="M63" t="str">
        <x:v>Dextérité</x:v>
      </x:c>
      <x:c r="N63" t="str">
        <x:v>Physical</x:v>
      </x:c>
      <x:c r="O63" t="str">
        <x:v>Slashing</x:v>
      </x:c>
      <x:c r="P63" t="str">
        <x:v>Rôdeur</x:v>
      </x:c>
      <x:c r="Q63" t="str">
        <x:v>Voleur / Alchimiste</x:v>
      </x:c>
      <x:c r="R63" t="str">
        <x:v>Récupérable, trajectoire distincte</x:v>
      </x:c>
      <x:c r="S63" t="str">
        <x:v>Weapon.Thrown</x:v>
      </x:c>
      <x:c r="T63" t="str">
        <x:v>1d4 + 1</x:v>
      </x:c>
    </x:row>
    <x:row r="64" ht="21" customHeight="1">
      <x:c r="A64" s="26" t="str">
        <x:v>ARM061</x:v>
      </x:c>
      <x:c r="B64" t="str">
        <x:v>Baguette arcanique</x:v>
      </x:c>
      <x:c r="C64" t="str">
        <x:v>Focaliseurs</x:v>
      </x:c>
      <x:c r="D64" t="str">
        <x:v>1 main</x:v>
      </x:c>
      <x:c r="E64" s="28" t="n">
        <x:v>2</x:v>
      </x:c>
      <x:c r="F64" s="28" t="n">
        <x:v>4</x:v>
      </x:c>
      <x:c r="G64" s="28" t="n">
        <x:v>0</x:v>
      </x:c>
      <x:c r="H64" s="28" t="n">
        <x:v>0</x:v>
      </x:c>
      <x:c r="I64" s="28" t="n">
        <x:v>2</x:v>
      </x:c>
      <x:c r="J64" s="28" t="n">
        <x:v>4</x:v>
      </x:c>
      <x:c r="K64" s="30" t="n">
        <x:v>0.3</x:v>
      </x:c>
      <x:c r="L64" s="28" t="n">
        <x:v>1</x:v>
      </x:c>
      <x:c r="M64" t="str">
        <x:v>Intelligence</x:v>
      </x:c>
      <x:c r="N64" t="str">
        <x:v>Arcane</x:v>
      </x:c>
      <x:c r="O64" t="str">
        <x:v>None</x:v>
      </x:c>
      <x:c r="P64" t="str">
        <x:v>Mage</x:v>
      </x:c>
      <x:c r="Q64" t="str">
        <x:v>Prêtre / Alchimiste</x:v>
      </x:c>
      <x:c r="R64" t="str">
        <x:v>Projectile arcanique</x:v>
      </x:c>
      <x:c r="S64" t="str">
        <x:v>Focus.Magic</x:v>
      </x:c>
      <x:c r="T64" t="str">
        <x:v>1d4</x:v>
      </x:c>
    </x:row>
    <x:row r="65" ht="21" customHeight="1">
      <x:c r="A65" s="26" t="str">
        <x:v>ARM062</x:v>
      </x:c>
      <x:c r="B65" t="str">
        <x:v>Baguette de feu</x:v>
      </x:c>
      <x:c r="C65" t="str">
        <x:v>Focaliseurs</x:v>
      </x:c>
      <x:c r="D65" t="str">
        <x:v>1 main</x:v>
      </x:c>
      <x:c r="E65" s="28" t="n">
        <x:v>2</x:v>
      </x:c>
      <x:c r="F65" s="28" t="n">
        <x:v>5</x:v>
      </x:c>
      <x:c r="G65" s="28" t="n">
        <x:v>0</x:v>
      </x:c>
      <x:c r="H65" s="28" t="n">
        <x:v>0</x:v>
      </x:c>
      <x:c r="I65" s="28" t="n">
        <x:v>2</x:v>
      </x:c>
      <x:c r="J65" s="28" t="n">
        <x:v>4</x:v>
      </x:c>
      <x:c r="K65" s="30" t="n">
        <x:v>0.3</x:v>
      </x:c>
      <x:c r="L65" s="28" t="n">
        <x:v>0</x:v>
      </x:c>
      <x:c r="M65" t="str">
        <x:v>Intelligence</x:v>
      </x:c>
      <x:c r="N65" t="str">
        <x:v>Fire</x:v>
      </x:c>
      <x:c r="O65" t="str">
        <x:v>None</x:v>
      </x:c>
      <x:c r="P65" t="str">
        <x:v>Mage</x:v>
      </x:c>
      <x:c r="Q65" t="str">
        <x:v>Prêtre / Alchimiste</x:v>
      </x:c>
      <x:c r="R65" t="str">
        <x:v>Affinité feu</x:v>
      </x:c>
      <x:c r="S65" t="str">
        <x:v>Focus.Magic</x:v>
      </x:c>
      <x:c r="T65" t="str">
        <x:v>1d4 + 1</x:v>
      </x:c>
    </x:row>
    <x:row r="66" ht="21" customHeight="1">
      <x:c r="A66" s="26" t="str">
        <x:v>ARM063</x:v>
      </x:c>
      <x:c r="B66" t="str">
        <x:v>Baguette de givre</x:v>
      </x:c>
      <x:c r="C66" t="str">
        <x:v>Focaliseurs</x:v>
      </x:c>
      <x:c r="D66" t="str">
        <x:v>1 main</x:v>
      </x:c>
      <x:c r="E66" s="28" t="n">
        <x:v>2</x:v>
      </x:c>
      <x:c r="F66" s="28" t="n">
        <x:v>5</x:v>
      </x:c>
      <x:c r="G66" s="28" t="n">
        <x:v>0</x:v>
      </x:c>
      <x:c r="H66" s="28" t="n">
        <x:v>0</x:v>
      </x:c>
      <x:c r="I66" s="28" t="n">
        <x:v>2</x:v>
      </x:c>
      <x:c r="J66" s="28" t="n">
        <x:v>4</x:v>
      </x:c>
      <x:c r="K66" s="30" t="n">
        <x:v>0.3</x:v>
      </x:c>
      <x:c r="L66" s="28" t="n">
        <x:v>0</x:v>
      </x:c>
      <x:c r="M66" t="str">
        <x:v>Intelligence</x:v>
      </x:c>
      <x:c r="N66" t="str">
        <x:v>Ice</x:v>
      </x:c>
      <x:c r="O66" t="str">
        <x:v>None</x:v>
      </x:c>
      <x:c r="P66" t="str">
        <x:v>Mage</x:v>
      </x:c>
      <x:c r="Q66" t="str">
        <x:v>Prêtre / Alchimiste</x:v>
      </x:c>
      <x:c r="R66" t="str">
        <x:v>Affinité glace</x:v>
      </x:c>
      <x:c r="S66" t="str">
        <x:v>Focus.Magic</x:v>
      </x:c>
      <x:c r="T66" t="str">
        <x:v>1d4 + 1</x:v>
      </x:c>
    </x:row>
    <x:row r="67" ht="21" customHeight="1">
      <x:c r="A67" s="26" t="str">
        <x:v>ARM064</x:v>
      </x:c>
      <x:c r="B67" t="str">
        <x:v>Baguette de foudre</x:v>
      </x:c>
      <x:c r="C67" t="str">
        <x:v>Focaliseurs</x:v>
      </x:c>
      <x:c r="D67" t="str">
        <x:v>1 main</x:v>
      </x:c>
      <x:c r="E67" s="28" t="n">
        <x:v>2</x:v>
      </x:c>
      <x:c r="F67" s="28" t="n">
        <x:v>5</x:v>
      </x:c>
      <x:c r="G67" s="28" t="n">
        <x:v>0</x:v>
      </x:c>
      <x:c r="H67" s="28" t="n">
        <x:v>0</x:v>
      </x:c>
      <x:c r="I67" s="28" t="n">
        <x:v>2</x:v>
      </x:c>
      <x:c r="J67" s="28" t="n">
        <x:v>4</x:v>
      </x:c>
      <x:c r="K67" s="30" t="n">
        <x:v>0.3</x:v>
      </x:c>
      <x:c r="L67" s="28" t="n">
        <x:v>0</x:v>
      </x:c>
      <x:c r="M67" t="str">
        <x:v>Intelligence</x:v>
      </x:c>
      <x:c r="N67" t="str">
        <x:v>Lightning</x:v>
      </x:c>
      <x:c r="O67" t="str">
        <x:v>None</x:v>
      </x:c>
      <x:c r="P67" t="str">
        <x:v>Mage</x:v>
      </x:c>
      <x:c r="Q67" t="str">
        <x:v>Prêtre / Alchimiste</x:v>
      </x:c>
      <x:c r="R67" t="str">
        <x:v>Affinité foudre</x:v>
      </x:c>
      <x:c r="S67" t="str">
        <x:v>Focus.Magic</x:v>
      </x:c>
      <x:c r="T67" t="str">
        <x:v>1d4 + 1</x:v>
      </x:c>
    </x:row>
    <x:row r="68" ht="21" customHeight="1">
      <x:c r="A68" s="26" t="str">
        <x:v>ARM065</x:v>
      </x:c>
      <x:c r="B68" t="str">
        <x:v>Baguette de venin</x:v>
      </x:c>
      <x:c r="C68" t="str">
        <x:v>Focaliseurs</x:v>
      </x:c>
      <x:c r="D68" t="str">
        <x:v>1 main</x:v>
      </x:c>
      <x:c r="E68" s="28" t="n">
        <x:v>2</x:v>
      </x:c>
      <x:c r="F68" s="28" t="n">
        <x:v>4</x:v>
      </x:c>
      <x:c r="G68" s="28" t="n">
        <x:v>0</x:v>
      </x:c>
      <x:c r="H68" s="28" t="n">
        <x:v>0</x:v>
      </x:c>
      <x:c r="I68" s="28" t="n">
        <x:v>2</x:v>
      </x:c>
      <x:c r="J68" s="28" t="n">
        <x:v>4</x:v>
      </x:c>
      <x:c r="K68" s="30" t="n">
        <x:v>0.3</x:v>
      </x:c>
      <x:c r="L68" s="28" t="n">
        <x:v>0</x:v>
      </x:c>
      <x:c r="M68" t="str">
        <x:v>Intelligence</x:v>
      </x:c>
      <x:c r="N68" t="str">
        <x:v>Poison</x:v>
      </x:c>
      <x:c r="O68" t="str">
        <x:v>None</x:v>
      </x:c>
      <x:c r="P68" t="str">
        <x:v>Mage</x:v>
      </x:c>
      <x:c r="Q68" t="str">
        <x:v>Prêtre / Alchimiste</x:v>
      </x:c>
      <x:c r="R68" t="str">
        <x:v>Affinité poison</x:v>
      </x:c>
      <x:c r="S68" t="str">
        <x:v>Focus.Magic</x:v>
      </x:c>
      <x:c r="T68" t="str">
        <x:v>1d4</x:v>
      </x:c>
    </x:row>
    <x:row r="69" ht="21" customHeight="1">
      <x:c r="A69" s="26" t="str">
        <x:v>ARM066</x:v>
      </x:c>
      <x:c r="B69" t="str">
        <x:v>Bâton arcanique</x:v>
      </x:c>
      <x:c r="C69" t="str">
        <x:v>Focaliseurs</x:v>
      </x:c>
      <x:c r="D69" t="str">
        <x:v>2 mains</x:v>
      </x:c>
      <x:c r="E69" s="28" t="n">
        <x:v>3</x:v>
      </x:c>
      <x:c r="F69" s="28" t="n">
        <x:v>6</x:v>
      </x:c>
      <x:c r="G69" s="28" t="n">
        <x:v>0</x:v>
      </x:c>
      <x:c r="H69" s="28" t="n">
        <x:v>0</x:v>
      </x:c>
      <x:c r="I69" s="28" t="n">
        <x:v>2</x:v>
      </x:c>
      <x:c r="J69" s="28" t="n">
        <x:v>4</x:v>
      </x:c>
      <x:c r="K69" s="30" t="n">
        <x:v>1.6</x:v>
      </x:c>
      <x:c r="L69" s="28" t="n">
        <x:v>0</x:v>
      </x:c>
      <x:c r="M69" t="str">
        <x:v>Intelligence</x:v>
      </x:c>
      <x:c r="N69" t="str">
        <x:v>Arcane</x:v>
      </x:c>
      <x:c r="O69" t="str">
        <x:v>None</x:v>
      </x:c>
      <x:c r="P69" t="str">
        <x:v>Mage</x:v>
      </x:c>
      <x:c r="Q69" t="str">
        <x:v>Prêtre / Alchimiste</x:v>
      </x:c>
      <x:c r="R69" t="str">
        <x:v>Conduit de magie</x:v>
      </x:c>
      <x:c r="S69" t="str">
        <x:v>Focus.Magic</x:v>
      </x:c>
      <x:c r="T69" t="str">
        <x:v>1d4 + 2</x:v>
      </x:c>
    </x:row>
    <x:row r="70" ht="21" customHeight="1">
      <x:c r="A70" s="26" t="str">
        <x:v>ARM067</x:v>
      </x:c>
      <x:c r="B70" t="str">
        <x:v>Bâton élémentaire</x:v>
      </x:c>
      <x:c r="C70" t="str">
        <x:v>Focaliseurs</x:v>
      </x:c>
      <x:c r="D70" t="str">
        <x:v>2 mains</x:v>
      </x:c>
      <x:c r="E70" s="28" t="n">
        <x:v>4</x:v>
      </x:c>
      <x:c r="F70" s="28" t="n">
        <x:v>7</x:v>
      </x:c>
      <x:c r="G70" s="28" t="n">
        <x:v>0</x:v>
      </x:c>
      <x:c r="H70" s="28" t="n">
        <x:v>0</x:v>
      </x:c>
      <x:c r="I70" s="28" t="n">
        <x:v>2</x:v>
      </x:c>
      <x:c r="J70" s="28" t="n">
        <x:v>4</x:v>
      </x:c>
      <x:c r="K70" s="30" t="n">
        <x:v>1.8</x:v>
      </x:c>
      <x:c r="L70" s="28" t="n">
        <x:v>0</x:v>
      </x:c>
      <x:c r="M70" t="str">
        <x:v>Intelligence</x:v>
      </x:c>
      <x:c r="N70" t="str">
        <x:v>Arcane</x:v>
      </x:c>
      <x:c r="O70" t="str">
        <x:v>None</x:v>
      </x:c>
      <x:c r="P70" t="str">
        <x:v>Mage</x:v>
      </x:c>
      <x:c r="Q70" t="str">
        <x:v>Prêtre / Alchimiste</x:v>
      </x:c>
      <x:c r="R70" t="str">
        <x:v>Affinité élémentaire</x:v>
      </x:c>
      <x:c r="S70" t="str">
        <x:v>Focus.Magic</x:v>
      </x:c>
      <x:c r="T70" t="str">
        <x:v>1d4 + 3</x:v>
      </x:c>
    </x:row>
    <x:row r="71" ht="21" customHeight="1">
      <x:c r="A71" s="26" t="str">
        <x:v>ARM068</x:v>
      </x:c>
      <x:c r="B71" t="str">
        <x:v>Bâton rituel</x:v>
      </x:c>
      <x:c r="C71" t="str">
        <x:v>Focaliseurs</x:v>
      </x:c>
      <x:c r="D71" t="str">
        <x:v>2 mains</x:v>
      </x:c>
      <x:c r="E71" s="28" t="n">
        <x:v>3</x:v>
      </x:c>
      <x:c r="F71" s="28" t="n">
        <x:v>6</x:v>
      </x:c>
      <x:c r="G71" s="28" t="n">
        <x:v>0</x:v>
      </x:c>
      <x:c r="H71" s="28" t="n">
        <x:v>0</x:v>
      </x:c>
      <x:c r="I71" s="28" t="n">
        <x:v>2</x:v>
      </x:c>
      <x:c r="J71" s="28" t="n">
        <x:v>4</x:v>
      </x:c>
      <x:c r="K71" s="30" t="n">
        <x:v>2</x:v>
      </x:c>
      <x:c r="L71" s="28" t="n">
        <x:v>0</x:v>
      </x:c>
      <x:c r="M71" t="str">
        <x:v>Intelligence</x:v>
      </x:c>
      <x:c r="N71" t="str">
        <x:v>Arcane</x:v>
      </x:c>
      <x:c r="O71" t="str">
        <x:v>None</x:v>
      </x:c>
      <x:c r="P71" t="str">
        <x:v>Mage</x:v>
      </x:c>
      <x:c r="Q71" t="str">
        <x:v>Prêtre / Alchimiste</x:v>
      </x:c>
      <x:c r="R71" t="str">
        <x:v>Soutien magique</x:v>
      </x:c>
      <x:c r="S71" t="str">
        <x:v>Focus.Magic</x:v>
      </x:c>
      <x:c r="T71" t="str">
        <x:v>1d4 + 2</x:v>
      </x:c>
    </x:row>
    <x:row r="72" ht="21" customHeight="1">
      <x:c r="A72" s="26" t="str">
        <x:v>ARM069</x:v>
      </x:c>
      <x:c r="B72" t="str">
        <x:v>Sceptre sacré</x:v>
      </x:c>
      <x:c r="C72" t="str">
        <x:v>Focaliseurs</x:v>
      </x:c>
      <x:c r="D72" t="str">
        <x:v>1 main</x:v>
      </x:c>
      <x:c r="E72" s="28" t="n">
        <x:v>3</x:v>
      </x:c>
      <x:c r="F72" s="28" t="n">
        <x:v>5</x:v>
      </x:c>
      <x:c r="G72" s="28" t="n">
        <x:v>0</x:v>
      </x:c>
      <x:c r="H72" s="28" t="n">
        <x:v>0</x:v>
      </x:c>
      <x:c r="I72" s="28" t="n">
        <x:v>2</x:v>
      </x:c>
      <x:c r="J72" s="28" t="n">
        <x:v>4</x:v>
      </x:c>
      <x:c r="K72" s="30" t="n">
        <x:v>1</x:v>
      </x:c>
      <x:c r="L72" s="28" t="n">
        <x:v>0</x:v>
      </x:c>
      <x:c r="M72" t="str">
        <x:v>Sagesse</x:v>
      </x:c>
      <x:c r="N72" t="str">
        <x:v>Holy</x:v>
      </x:c>
      <x:c r="O72" t="str">
        <x:v>None</x:v>
      </x:c>
      <x:c r="P72" t="str">
        <x:v>Prêtre</x:v>
      </x:c>
      <x:c r="Q72" t="str">
        <x:v>Mage</x:v>
      </x:c>
      <x:c r="R72" t="str">
        <x:v>Soutien divin</x:v>
      </x:c>
      <x:c r="S72" t="str">
        <x:v>Focus.Magic</x:v>
      </x:c>
      <x:c r="T72" t="str">
        <x:v>1d4 + 1</x:v>
      </x:c>
    </x:row>
    <x:row r="73" ht="21" customHeight="1">
      <x:c r="A73" s="26" t="str">
        <x:v>ARM070</x:v>
      </x:c>
      <x:c r="B73" t="str">
        <x:v>Orbe arcanique</x:v>
      </x:c>
      <x:c r="C73" t="str">
        <x:v>Focaliseurs</x:v>
      </x:c>
      <x:c r="D73" t="str">
        <x:v>Secondaire</x:v>
      </x:c>
      <x:c r="E73" s="28" t="n">
        <x:v>0</x:v>
      </x:c>
      <x:c r="F73" s="28" t="n">
        <x:v>0</x:v>
      </x:c>
      <x:c r="G73" s="28" t="n">
        <x:v>0</x:v>
      </x:c>
      <x:c r="H73" s="28" t="n">
        <x:v>0</x:v>
      </x:c>
      <x:c r="I73" s="28" t="n">
        <x:v>0</x:v>
      </x:c>
      <x:c r="J73" s="28" t="n">
        <x:v>0</x:v>
      </x:c>
      <x:c r="K73" s="30" t="n">
        <x:v>0.5</x:v>
      </x:c>
      <x:c r="L73" s="28" t="n">
        <x:v>0</x:v>
      </x:c>
      <x:c r="M73" t="str">
        <x:v>Intelligence</x:v>
      </x:c>
      <x:c r="N73" t="str">
        <x:v>Arcane</x:v>
      </x:c>
      <x:c r="O73" t="str">
        <x:v>None</x:v>
      </x:c>
      <x:c r="P73" t="str">
        <x:v>Mage</x:v>
      </x:c>
      <x:c r="Q73" t="str">
        <x:v>Prêtre / Alchimiste</x:v>
      </x:c>
      <x:c r="R73" t="str">
        <x:v>Bonus de focalisation (pas de dégâts de base)</x:v>
      </x:c>
      <x:c r="S73" t="str">
        <x:v>Focus.Magic</x:v>
      </x:c>
      <x:c r="T73" t="str">
        <x:v>—</x:v>
      </x:c>
    </x:row>
    <x:row r="74" ht="21" customHeight="1">
      <x:c r="A74" s="26" t="str">
        <x:v>ARM071</x:v>
      </x:c>
      <x:c r="B74" t="str">
        <x:v>Grimoire focaliseur</x:v>
      </x:c>
      <x:c r="C74" t="str">
        <x:v>Focaliseurs</x:v>
      </x:c>
      <x:c r="D74" t="str">
        <x:v>Secondaire</x:v>
      </x:c>
      <x:c r="E74" s="28" t="n">
        <x:v>0</x:v>
      </x:c>
      <x:c r="F74" s="28" t="n">
        <x:v>0</x:v>
      </x:c>
      <x:c r="G74" s="28" t="n">
        <x:v>0</x:v>
      </x:c>
      <x:c r="H74" s="28" t="n">
        <x:v>0</x:v>
      </x:c>
      <x:c r="I74" s="28" t="n">
        <x:v>0</x:v>
      </x:c>
      <x:c r="J74" s="28" t="n">
        <x:v>0</x:v>
      </x:c>
      <x:c r="K74" s="30" t="n">
        <x:v>1.2</x:v>
      </x:c>
      <x:c r="L74" s="28" t="n">
        <x:v>0</x:v>
      </x:c>
      <x:c r="M74" t="str">
        <x:v>Intelligence</x:v>
      </x:c>
      <x:c r="N74" t="str">
        <x:v>Arcane</x:v>
      </x:c>
      <x:c r="O74" t="str">
        <x:v>None</x:v>
      </x:c>
      <x:c r="P74" t="str">
        <x:v>Mage</x:v>
      </x:c>
      <x:c r="Q74" t="str">
        <x:v>Prêtre / Alchimiste</x:v>
      </x:c>
      <x:c r="R74" t="str">
        <x:v>Bonus de focalisation (pas de dégâts de base)</x:v>
      </x:c>
      <x:c r="S74" t="str">
        <x:v>Focus.Magic</x:v>
      </x:c>
      <x:c r="T74" t="str">
        <x:v>—</x:v>
      </x:c>
    </x:row>
    <x:row r="75" ht="21" customHeight="1">
      <x:c r="A75" s="26" t="str">
        <x:v>ARM072</x:v>
      </x:c>
      <x:c r="B75" t="str">
        <x:v>Rondache</x:v>
      </x:c>
      <x:c r="C75" t="str">
        <x:v>Boucliers</x:v>
      </x:c>
      <x:c r="D75" t="str">
        <x:v>Secondaire</x:v>
      </x:c>
      <x:c r="E75" s="28" t="n">
        <x:v>0</x:v>
      </x:c>
      <x:c r="F75" s="28" t="n">
        <x:v>0</x:v>
      </x:c>
      <x:c r="G75" s="28" t="n">
        <x:v>2</x:v>
      </x:c>
      <x:c r="H75" s="28" t="n">
        <x:v>0</x:v>
      </x:c>
      <x:c r="I75" s="28" t="n">
        <x:v>0</x:v>
      </x:c>
      <x:c r="J75" s="28" t="n">
        <x:v>0</x:v>
      </x:c>
      <x:c r="K75" s="30" t="n">
        <x:v>1.1</x:v>
      </x:c>
      <x:c r="L75" s="28" t="n">
        <x:v>0</x:v>
      </x:c>
      <x:c r="M75" t="str">
        <x:v>Constitution</x:v>
      </x:c>
      <x:c r="N75" t="str">
        <x:v>Physical</x:v>
      </x:c>
      <x:c r="O75" t="str">
        <x:v>Bludgeoning</x:v>
      </x:c>
      <x:c r="P75" t="str">
        <x:v>Guerrier</x:v>
      </x:c>
      <x:c r="Q75" t="str">
        <x:v>Voleur / Rôdeur</x:v>
      </x:c>
      <x:c r="R75" t="str">
        <x:v>Parade et mobilité</x:v>
      </x:c>
      <x:c r="S75" t="str">
        <x:v>Equipment.Shield</x:v>
      </x:c>
      <x:c r="T75" t="str">
        <x:v>—</x:v>
      </x:c>
    </x:row>
    <x:row r="76" ht="21" customHeight="1">
      <x:c r="A76" s="26" t="str">
        <x:v>ARM073</x:v>
      </x:c>
      <x:c r="B76" t="str">
        <x:v>Targe</x:v>
      </x:c>
      <x:c r="C76" t="str">
        <x:v>Boucliers</x:v>
      </x:c>
      <x:c r="D76" t="str">
        <x:v>Secondaire</x:v>
      </x:c>
      <x:c r="E76" s="28" t="n">
        <x:v>0</x:v>
      </x:c>
      <x:c r="F76" s="28" t="n">
        <x:v>0</x:v>
      </x:c>
      <x:c r="G76" s="28" t="n">
        <x:v>3</x:v>
      </x:c>
      <x:c r="H76" s="28" t="n">
        <x:v>0</x:v>
      </x:c>
      <x:c r="I76" s="28" t="n">
        <x:v>0</x:v>
      </x:c>
      <x:c r="J76" s="28" t="n">
        <x:v>0</x:v>
      </x:c>
      <x:c r="K76" s="30" t="n">
        <x:v>1.5</x:v>
      </x:c>
      <x:c r="L76" s="28" t="n">
        <x:v>0</x:v>
      </x:c>
      <x:c r="M76" t="str">
        <x:v>Constitution</x:v>
      </x:c>
      <x:c r="N76" t="str">
        <x:v>Physical</x:v>
      </x:c>
      <x:c r="O76" t="str">
        <x:v>Bludgeoning</x:v>
      </x:c>
      <x:c r="P76" t="str">
        <x:v>Guerrier</x:v>
      </x:c>
      <x:c r="Q76" t="str">
        <x:v>Voleur / Rôdeur</x:v>
      </x:c>
      <x:c r="R76" t="str">
        <x:v>Blocage léger</x:v>
      </x:c>
      <x:c r="S76" t="str">
        <x:v>Equipment.Shield</x:v>
      </x:c>
      <x:c r="T76" t="str">
        <x:v>—</x:v>
      </x:c>
    </x:row>
    <x:row r="77" ht="21" customHeight="1">
      <x:c r="A77" s="26" t="str">
        <x:v>ARM074</x:v>
      </x:c>
      <x:c r="B77" t="str">
        <x:v>Bouclier de bois</x:v>
      </x:c>
      <x:c r="C77" t="str">
        <x:v>Boucliers</x:v>
      </x:c>
      <x:c r="D77" t="str">
        <x:v>Secondaire</x:v>
      </x:c>
      <x:c r="E77" s="28" t="n">
        <x:v>0</x:v>
      </x:c>
      <x:c r="F77" s="28" t="n">
        <x:v>0</x:v>
      </x:c>
      <x:c r="G77" s="28" t="n">
        <x:v>4</x:v>
      </x:c>
      <x:c r="H77" s="28" t="n">
        <x:v>0</x:v>
      </x:c>
      <x:c r="I77" s="28" t="n">
        <x:v>0</x:v>
      </x:c>
      <x:c r="J77" s="28" t="n">
        <x:v>0</x:v>
      </x:c>
      <x:c r="K77" s="30" t="n">
        <x:v>2.6</x:v>
      </x:c>
      <x:c r="L77" s="28" t="n">
        <x:v>0</x:v>
      </x:c>
      <x:c r="M77" t="str">
        <x:v>Constitution</x:v>
      </x:c>
      <x:c r="N77" t="str">
        <x:v>Physical</x:v>
      </x:c>
      <x:c r="O77" t="str">
        <x:v>Bludgeoning</x:v>
      </x:c>
      <x:c r="P77" t="str">
        <x:v>Guerrier</x:v>
      </x:c>
      <x:c r="Q77" t="str">
        <x:v>Prêtre</x:v>
      </x:c>
      <x:c r="R77" t="str">
        <x:v>Défense économique</x:v>
      </x:c>
      <x:c r="S77" t="str">
        <x:v>Equipment.Shield</x:v>
      </x:c>
      <x:c r="T77" t="str">
        <x:v>—</x:v>
      </x:c>
    </x:row>
    <x:row r="78" ht="21" customHeight="1">
      <x:c r="A78" s="26" t="str">
        <x:v>ARM075</x:v>
      </x:c>
      <x:c r="B78" t="str">
        <x:v>Bouclier rond</x:v>
      </x:c>
      <x:c r="C78" t="str">
        <x:v>Boucliers</x:v>
      </x:c>
      <x:c r="D78" t="str">
        <x:v>Secondaire</x:v>
      </x:c>
      <x:c r="E78" s="28" t="n">
        <x:v>0</x:v>
      </x:c>
      <x:c r="F78" s="28" t="n">
        <x:v>0</x:v>
      </x:c>
      <x:c r="G78" s="28" t="n">
        <x:v>5</x:v>
      </x:c>
      <x:c r="H78" s="28" t="n">
        <x:v>0</x:v>
      </x:c>
      <x:c r="I78" s="28" t="n">
        <x:v>0</x:v>
      </x:c>
      <x:c r="J78" s="28" t="n">
        <x:v>0</x:v>
      </x:c>
      <x:c r="K78" s="30" t="n">
        <x:v>2.9</x:v>
      </x:c>
      <x:c r="L78" s="28" t="n">
        <x:v>0</x:v>
      </x:c>
      <x:c r="M78" t="str">
        <x:v>Constitution</x:v>
      </x:c>
      <x:c r="N78" t="str">
        <x:v>Physical</x:v>
      </x:c>
      <x:c r="O78" t="str">
        <x:v>Bludgeoning</x:v>
      </x:c>
      <x:c r="P78" t="str">
        <x:v>Guerrier</x:v>
      </x:c>
      <x:c r="Q78" t="str">
        <x:v>Prêtre</x:v>
      </x:c>
      <x:c r="R78" t="str">
        <x:v>Défense régulière</x:v>
      </x:c>
      <x:c r="S78" t="str">
        <x:v>Equipment.Shield</x:v>
      </x:c>
      <x:c r="T78" t="str">
        <x:v>—</x:v>
      </x:c>
    </x:row>
    <x:row r="79" ht="21" customHeight="1">
      <x:c r="A79" s="26" t="str">
        <x:v>ARM076</x:v>
      </x:c>
      <x:c r="B79" t="str">
        <x:v>Écu triangulaire</x:v>
      </x:c>
      <x:c r="C79" t="str">
        <x:v>Boucliers</x:v>
      </x:c>
      <x:c r="D79" t="str">
        <x:v>Secondaire</x:v>
      </x:c>
      <x:c r="E79" s="28" t="n">
        <x:v>0</x:v>
      </x:c>
      <x:c r="F79" s="28" t="n">
        <x:v>0</x:v>
      </x:c>
      <x:c r="G79" s="28" t="n">
        <x:v>6</x:v>
      </x:c>
      <x:c r="H79" s="28" t="n">
        <x:v>0</x:v>
      </x:c>
      <x:c r="I79" s="28" t="n">
        <x:v>0</x:v>
      </x:c>
      <x:c r="J79" s="28" t="n">
        <x:v>0</x:v>
      </x:c>
      <x:c r="K79" s="30" t="n">
        <x:v>3.4</x:v>
      </x:c>
      <x:c r="L79" s="28" t="n">
        <x:v>0</x:v>
      </x:c>
      <x:c r="M79" t="str">
        <x:v>Constitution</x:v>
      </x:c>
      <x:c r="N79" t="str">
        <x:v>Physical</x:v>
      </x:c>
      <x:c r="O79" t="str">
        <x:v>Bludgeoning</x:v>
      </x:c>
      <x:c r="P79" t="str">
        <x:v>Guerrier</x:v>
      </x:c>
      <x:c r="Q79" t="str">
        <x:v>Prêtre</x:v>
      </x:c>
      <x:c r="R79" t="str">
        <x:v>Défense polyvalente</x:v>
      </x:c>
      <x:c r="S79" t="str">
        <x:v>Equipment.Shield</x:v>
      </x:c>
      <x:c r="T79" t="str">
        <x:v>—</x:v>
      </x:c>
    </x:row>
    <x:row r="80" ht="21" customHeight="1">
      <x:c r="A80" s="26" t="str">
        <x:v>ARM077</x:v>
      </x:c>
      <x:c r="B80" t="str">
        <x:v>Bouclier cerf-volant</x:v>
      </x:c>
      <x:c r="C80" t="str">
        <x:v>Boucliers</x:v>
      </x:c>
      <x:c r="D80" t="str">
        <x:v>Secondaire</x:v>
      </x:c>
      <x:c r="E80" s="28" t="n">
        <x:v>0</x:v>
      </x:c>
      <x:c r="F80" s="28" t="n">
        <x:v>0</x:v>
      </x:c>
      <x:c r="G80" s="28" t="n">
        <x:v>7</x:v>
      </x:c>
      <x:c r="H80" s="28" t="n">
        <x:v>0</x:v>
      </x:c>
      <x:c r="I80" s="28" t="n">
        <x:v>0</x:v>
      </x:c>
      <x:c r="J80" s="28" t="n">
        <x:v>0</x:v>
      </x:c>
      <x:c r="K80" s="30" t="n">
        <x:v>4</x:v>
      </x:c>
      <x:c r="L80" s="28" t="n">
        <x:v>0</x:v>
      </x:c>
      <x:c r="M80" t="str">
        <x:v>Constitution</x:v>
      </x:c>
      <x:c r="N80" t="str">
        <x:v>Physical</x:v>
      </x:c>
      <x:c r="O80" t="str">
        <x:v>Bludgeoning</x:v>
      </x:c>
      <x:c r="P80" t="str">
        <x:v>Guerrier</x:v>
      </x:c>
      <x:c r="Q80" t="str">
        <x:v>Prêtre</x:v>
      </x:c>
      <x:c r="R80" t="str">
        <x:v>Couverture étendue</x:v>
      </x:c>
      <x:c r="S80" t="str">
        <x:v>Equipment.Shield</x:v>
      </x:c>
      <x:c r="T80" t="str">
        <x:v>—</x:v>
      </x:c>
    </x:row>
    <x:row r="81" ht="21" customHeight="1">
      <x:c r="A81" s="26" t="str">
        <x:v>ARM078</x:v>
      </x:c>
      <x:c r="B81" t="str">
        <x:v>Bouclier d'acier</x:v>
      </x:c>
      <x:c r="C81" t="str">
        <x:v>Boucliers</x:v>
      </x:c>
      <x:c r="D81" t="str">
        <x:v>Secondaire</x:v>
      </x:c>
      <x:c r="E81" s="28" t="n">
        <x:v>0</x:v>
      </x:c>
      <x:c r="F81" s="28" t="n">
        <x:v>0</x:v>
      </x:c>
      <x:c r="G81" s="28" t="n">
        <x:v>8</x:v>
      </x:c>
      <x:c r="H81" s="28" t="n">
        <x:v>0</x:v>
      </x:c>
      <x:c r="I81" s="28" t="n">
        <x:v>0</x:v>
      </x:c>
      <x:c r="J81" s="28" t="n">
        <x:v>0</x:v>
      </x:c>
      <x:c r="K81" s="30" t="n">
        <x:v>4.6</x:v>
      </x:c>
      <x:c r="L81" s="28" t="n">
        <x:v>0</x:v>
      </x:c>
      <x:c r="M81" t="str">
        <x:v>Constitution</x:v>
      </x:c>
      <x:c r="N81" t="str">
        <x:v>Physical</x:v>
      </x:c>
      <x:c r="O81" t="str">
        <x:v>Bludgeoning</x:v>
      </x:c>
      <x:c r="P81" t="str">
        <x:v>Guerrier</x:v>
      </x:c>
      <x:c r="Q81" t="str">
        <x:v>Prêtre</x:v>
      </x:c>
      <x:c r="R81" t="str">
        <x:v>Protection renforcée</x:v>
      </x:c>
      <x:c r="S81" t="str">
        <x:v>Equipment.Shield</x:v>
      </x:c>
      <x:c r="T81" t="str">
        <x:v>—</x:v>
      </x:c>
    </x:row>
    <x:row r="82" ht="21" customHeight="1">
      <x:c r="A82" s="26" t="str">
        <x:v>ARM079</x:v>
      </x:c>
      <x:c r="B82" t="str">
        <x:v>Pavois</x:v>
      </x:c>
      <x:c r="C82" t="str">
        <x:v>Boucliers</x:v>
      </x:c>
      <x:c r="D82" t="str">
        <x:v>Secondaire</x:v>
      </x:c>
      <x:c r="E82" s="28" t="n">
        <x:v>0</x:v>
      </x:c>
      <x:c r="F82" s="28" t="n">
        <x:v>0</x:v>
      </x:c>
      <x:c r="G82" s="28" t="n">
        <x:v>9</x:v>
      </x:c>
      <x:c r="H82" s="28" t="n">
        <x:v>0</x:v>
      </x:c>
      <x:c r="I82" s="28" t="n">
        <x:v>0</x:v>
      </x:c>
      <x:c r="J82" s="28" t="n">
        <x:v>0</x:v>
      </x:c>
      <x:c r="K82" s="30" t="n">
        <x:v>6.3</x:v>
      </x:c>
      <x:c r="L82" s="28" t="n">
        <x:v>0</x:v>
      </x:c>
      <x:c r="M82" t="str">
        <x:v>Constitution</x:v>
      </x:c>
      <x:c r="N82" t="str">
        <x:v>Physical</x:v>
      </x:c>
      <x:c r="O82" t="str">
        <x:v>Bludgeoning</x:v>
      </x:c>
      <x:c r="P82" t="str">
        <x:v>Guerrier</x:v>
      </x:c>
      <x:c r="Q82" t="str">
        <x:v>Prêtre</x:v>
      </x:c>
      <x:c r="R82" t="str">
        <x:v>Fortification et couverture</x:v>
      </x:c>
      <x:c r="S82" t="str">
        <x:v>Equipment.Shield</x:v>
      </x:c>
      <x:c r="T82" t="str">
        <x:v>—</x:v>
      </x:c>
    </x:row>
    <x:row r="83" ht="21" customHeight="1">
      <x:c r="A83" s="26" t="str">
        <x:v>ARM080</x:v>
      </x:c>
      <x:c r="B83" t="str">
        <x:v>Bouclier-tour</x:v>
      </x:c>
      <x:c r="C83" t="str">
        <x:v>Boucliers</x:v>
      </x:c>
      <x:c r="D83" t="str">
        <x:v>Secondaire</x:v>
      </x:c>
      <x:c r="E83" s="28" t="n">
        <x:v>0</x:v>
      </x:c>
      <x:c r="F83" s="28" t="n">
        <x:v>0</x:v>
      </x:c>
      <x:c r="G83" s="28" t="n">
        <x:v>11</x:v>
      </x:c>
      <x:c r="H83" s="28" t="n">
        <x:v>0</x:v>
      </x:c>
      <x:c r="I83" s="28" t="n">
        <x:v>0</x:v>
      </x:c>
      <x:c r="J83" s="28" t="n">
        <x:v>0</x:v>
      </x:c>
      <x:c r="K83" s="30" t="n">
        <x:v>7.8</x:v>
      </x:c>
      <x:c r="L83" s="28" t="n">
        <x:v>0</x:v>
      </x:c>
      <x:c r="M83" t="str">
        <x:v>Constitution</x:v>
      </x:c>
      <x:c r="N83" t="str">
        <x:v>Physical</x:v>
      </x:c>
      <x:c r="O83" t="str">
        <x:v>Bludgeoning</x:v>
      </x:c>
      <x:c r="P83" t="str">
        <x:v>Guerrier</x:v>
      </x:c>
      <x:c r="Q83" t="str">
        <x:v>Prêtre</x:v>
      </x:c>
      <x:c r="R83" t="str">
        <x:v>Très lourd, rempart</x:v>
      </x:c>
      <x:c r="S83" t="str">
        <x:v>Equipment.Shield</x:v>
      </x:c>
      <x:c r="T83" t="str">
        <x:v>—</x:v>
      </x:c>
    </x:row>
    <x:row r="84" ht="21" customHeight="1">
      <x:c r="A84" s="26" t="str">
        <x:v>ARM081</x:v>
      </x:c>
      <x:c r="B84" t="str">
        <x:v>Égide sacrée</x:v>
      </x:c>
      <x:c r="C84" t="str">
        <x:v>Boucliers</x:v>
      </x:c>
      <x:c r="D84" t="str">
        <x:v>Secondaire</x:v>
      </x:c>
      <x:c r="E84" s="28" t="n">
        <x:v>0</x:v>
      </x:c>
      <x:c r="F84" s="28" t="n">
        <x:v>0</x:v>
      </x:c>
      <x:c r="G84" s="28" t="n">
        <x:v>5</x:v>
      </x:c>
      <x:c r="H84" s="28" t="n">
        <x:v>3</x:v>
      </x:c>
      <x:c r="I84" s="28" t="n">
        <x:v>0</x:v>
      </x:c>
      <x:c r="J84" s="28" t="n">
        <x:v>0</x:v>
      </x:c>
      <x:c r="K84" s="30" t="n">
        <x:v>3.7</x:v>
      </x:c>
      <x:c r="L84" s="28" t="n">
        <x:v>0</x:v>
      </x:c>
      <x:c r="M84" t="str">
        <x:v>Constitution</x:v>
      </x:c>
      <x:c r="N84" t="str">
        <x:v>Physical</x:v>
      </x:c>
      <x:c r="O84" t="str">
        <x:v>Bludgeoning</x:v>
      </x:c>
      <x:c r="P84" t="str">
        <x:v>Guerrier</x:v>
      </x:c>
      <x:c r="Q84" t="str">
        <x:v>Prêtre / Mage</x:v>
      </x:c>
      <x:c r="R84" t="str">
        <x:v>Protection sacrée</x:v>
      </x:c>
      <x:c r="S84" t="str">
        <x:v>Equipment.Shield</x:v>
      </x:c>
      <x:c r="T84" t="str">
        <x:v>—</x:v>
      </x:c>
    </x:row>
    <x:row r="85" ht="21" customHeight="1">
      <x:c r="A85" s="26" t="str">
        <x:v>ARM082</x:v>
      </x:c>
      <x:c r="B85" t="str">
        <x:v>Bouclier runique</x:v>
      </x:c>
      <x:c r="C85" t="str">
        <x:v>Boucliers</x:v>
      </x:c>
      <x:c r="D85" t="str">
        <x:v>Secondaire</x:v>
      </x:c>
      <x:c r="E85" s="28" t="n">
        <x:v>0</x:v>
      </x:c>
      <x:c r="F85" s="28" t="n">
        <x:v>0</x:v>
      </x:c>
      <x:c r="G85" s="28" t="n">
        <x:v>4</x:v>
      </x:c>
      <x:c r="H85" s="28" t="n">
        <x:v>4</x:v>
      </x:c>
      <x:c r="I85" s="28" t="n">
        <x:v>0</x:v>
      </x:c>
      <x:c r="J85" s="28" t="n">
        <x:v>0</x:v>
      </x:c>
      <x:c r="K85" s="30" t="n">
        <x:v>3.5</x:v>
      </x:c>
      <x:c r="L85" s="28" t="n">
        <x:v>0</x:v>
      </x:c>
      <x:c r="M85" t="str">
        <x:v>Constitution</x:v>
      </x:c>
      <x:c r="N85" t="str">
        <x:v>Physical</x:v>
      </x:c>
      <x:c r="O85" t="str">
        <x:v>Bludgeoning</x:v>
      </x:c>
      <x:c r="P85" t="str">
        <x:v>Guerrier</x:v>
      </x:c>
      <x:c r="Q85" t="str">
        <x:v>Prêtre / Mage</x:v>
      </x:c>
      <x:c r="R85" t="str">
        <x:v>Protection magique</x:v>
      </x:c>
      <x:c r="S85" t="str">
        <x:v>Equipment.Shield</x:v>
      </x:c>
      <x:c r="T85" t="str">
        <x:v>—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7" hidden="0" customWidth="1"/>
    <x:col min="3" max="3" width="10" hidden="0" customWidth="1"/>
    <x:col min="4" max="4" width="18" hidden="0" customWidth="1"/>
    <x:col min="5" max="5" width="15" hidden="0" customWidth="1"/>
    <x:col min="6" max="6" width="15" hidden="0" customWidth="1"/>
    <x:col min="7" max="7" width="17" hidden="0" customWidth="1"/>
    <x:col min="8" max="8" width="17" hidden="0" customWidth="1"/>
    <x:col min="9" max="9" width="11" hidden="0" customWidth="1"/>
    <x:col min="10" max="10" width="11" hidden="0" customWidth="1"/>
    <x:col min="11" max="11" width="13" hidden="0" customWidth="1"/>
    <x:col min="12" max="12" width="19" hidden="0" customWidth="1"/>
    <x:col min="13" max="13" width="12" hidden="0" customWidth="1"/>
    <x:col min="14" max="14" width="12" hidden="0" customWidth="1"/>
    <x:col min="15" max="15" width="12" hidden="0" customWidth="1"/>
    <x:col min="16" max="16" width="27" hidden="0" customWidth="1"/>
    <x:col min="17" max="17" width="18" hidden="0" customWidth="1"/>
    <x:col min="18" max="18" width="18" hidden="0" customWidth="1"/>
    <x:col min="19" max="19" width="18" hidden="0" customWidth="1"/>
    <x:col min="20" max="20" width="21" hidden="0" customWidth="1"/>
    <x:col min="21" max="21" width="23" hidden="0" customWidth="1"/>
    <x:col min="22" max="22" width="20" hidden="0" customWidth="1"/>
  </x:cols>
  <x:sheetData>
    <x:row r="1" ht="35" customHeight="1">
      <x:c r="A1" s="3" t="str">
        <x:v>ARMEMENT01 · Versions fixes niveau 1–20 — DÉS RPG CLASSIQUES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Chaque profil offensif définit ses vrais dés : d4, d6, d8, d10, d12, d20. Plusieurs dés sont additionnés. Les moyennes cibles Q:S servent à l'équilibrage, PAS au tirage.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28" customHeight="1">
      <x:c r="A3" s="18" t="str">
        <x:v>ID</x:v>
      </x:c>
      <x:c r="B3" s="18" t="str">
        <x:v>Arme / bouclier</x:v>
      </x:c>
      <x:c r="C3" s="18" t="str">
        <x:v>Niveau OBJET</x:v>
      </x:c>
      <x:c r="D3" s="18" t="str">
        <x:v>Famille</x:v>
      </x:c>
      <x:c r="E3" s="18" t="str">
        <x:v>Dégâts min</x:v>
      </x:c>
      <x:c r="F3" s="18" t="str">
        <x:v>Dégâts max</x:v>
      </x:c>
      <x:c r="G3" s="18" t="str">
        <x:v>Arm. physique</x:v>
      </x:c>
      <x:c r="H3" s="18" t="str">
        <x:v>Arm. magique</x:v>
      </x:c>
      <x:c r="I3" s="18" t="str">
        <x:v>Coût PA</x:v>
      </x:c>
      <x:c r="J3" s="18" t="str">
        <x:v>Portée</x:v>
      </x:c>
      <x:c r="K3" s="18" t="str">
        <x:v>Poids kg</x:v>
      </x:c>
      <x:c r="L3" s="18" t="str">
        <x:v>Dégâts moyens</x:v>
      </x:c>
      <x:c r="M3" s="62" t="str">
        <x:v>Nb dés</x:v>
      </x:c>
      <x:c r="N3" s="62" t="str">
        <x:v>Faces officielles</x:v>
      </x:c>
      <x:c r="O3" s="62" t="str">
        <x:v>Constante</x:v>
      </x:c>
      <x:c r="P3" s="62" t="str">
        <x:v>Jet de dégâts (réel)</x:v>
      </x:c>
      <x:c r="Q3" s="76" t="str">
        <x:v>Min cible (courbe)</x:v>
      </x:c>
      <x:c r="R3" s="76" t="str">
        <x:v>Max cible (courbe)</x:v>
      </x:c>
      <x:c r="S3" s="76" t="str">
        <x:v>Écart de moyenne</x:v>
      </x:c>
      <x:c r="T3" s="85" t="str">
        <x:v>Profil dés valide</x:v>
      </x:c>
      <x:c r="U3" s="85" t="str">
        <x:v>Moyenne dérivée des dés</x:v>
      </x:c>
      <x:c r="V3" s="85" t="str">
        <x:v>Moyenne conforme</x:v>
      </x:c>
    </x:row>
    <x:row r="4" ht="18" customHeight="1">
      <x:c r="A4" t="str">
        <x:v>ARM001</x:v>
      </x:c>
      <x:c r="B4" t="str">
        <x:v>Dague</x:v>
      </x:c>
      <x:c r="C4" t="n">
        <x:v>1</x:v>
      </x:c>
      <x:c r="D4" t="str">
        <x:v>Légères</x:v>
      </x:c>
      <x:c r="E4" s="28" t="n">
        <x:f>IF(M4=0,0,M4+O4)</x:f>
        <x:v>1</x:v>
      </x:c>
      <x:c r="F4" s="28" t="n">
        <x:f>IF(M4=0,0,M4*N4+O4)</x:f>
        <x:v>4</x:v>
      </x:c>
      <x:c r="G4" s="28" t="n">
        <x:f>ROUND(Catalogue!G4*SQRT((1+'Paramètres'!$B$4*(C4-1)+'Paramètres'!$B$5*(C4-1)^2)),0)</x:f>
        <x:v>0</x:v>
      </x:c>
      <x:c r="H4" s="28" t="n">
        <x:f>ROUND(Catalogue!H4*SQRT((1+'Paramètres'!$B$4*(C4-1)+'Paramètres'!$B$5*(C4-1)^2)),0)</x:f>
        <x:v>0</x:v>
      </x:c>
      <x:c r="I4" s="28" t="n">
        <x:v>2</x:v>
      </x:c>
      <x:c r="J4" s="28" t="n">
        <x:v>1</x:v>
      </x:c>
      <x:c r="K4" s="30" t="n">
        <x:v>0.4</x:v>
      </x:c>
      <x:c r="L4" s="54" t="n">
        <x:f>IF(M4=0,0,(E4+F4)/2)</x:f>
        <x:v>2.5</x:v>
      </x:c>
      <x:c r="M4" t="n">
        <x:v>1</x:v>
      </x:c>
      <x:c r="N4" t="n">
        <x:v>4</x:v>
      </x:c>
      <x:c r="O4" t="n">
        <x:v>0</x:v>
      </x:c>
      <x:c r="P4" s="63" t="str">
        <x:f>IF(M4=0,"—",M4&amp;"d"&amp;N4&amp;IF(O4=0,""," + "&amp;O4))</x:f>
        <x:v>1d4</x:v>
      </x:c>
      <x:c r="Q4" t="n">
        <x:f>ROUND(INDEX(Catalogue!E$4:E$85,MATCH(A4,Catalogue!A$4:A$85,0))*(1+'Paramètres'!$B$4*(C4-1)+'Paramètres'!$B$5*(C4-1)^2),0)</x:f>
        <x:v>2</x:v>
      </x:c>
      <x:c r="R4" t="n">
        <x:f>ROUND(INDEX(Catalogue!F$4:F$85,MATCH(A4,Catalogue!A$4:A$85,0))*(1+'Paramètres'!$B$4*(C4-1)+'Paramètres'!$B$5*(C4-1)^2),0)</x:f>
        <x:v>4</x:v>
      </x:c>
      <x:c r="S4" t="n">
        <x:f>L4-AVERAGE(Q4:R4)</x:f>
        <x:v>-0.5</x:v>
      </x:c>
      <x:c r="T4" t="str">
        <x:f>IF(M4=0,IF(AND(N4=0,O4=0,E4=0,F4=0),"OK","ERREUR"),IF(AND(M4&gt;=1,M4&lt;=32,OR(N4=4,N4=6,N4=8,N4=10,N4=12,N4=20),O4&gt;=0,E4=M4+O4,F4=M4*N4+O4),"OK","ERREUR"))</x:f>
        <x:v>OK</x:v>
      </x:c>
      <x:c r="U4" s="86" t="n">
        <x:f>IF(M4&gt;0,M4*(N4+1)/2+O4,0)</x:f>
        <x:v>2.5</x:v>
      </x:c>
      <x:c r="V4" t="str">
        <x:f>IF(ABS(L4-U4)&lt;0.001,"OK","ERREUR")</x:f>
        <x:v>OK</x:v>
      </x:c>
    </x:row>
    <x:row r="5" ht="18" customHeight="1">
      <x:c r="A5" t="str">
        <x:v>ARM001</x:v>
      </x:c>
      <x:c r="B5" t="str">
        <x:v>Dague</x:v>
      </x:c>
      <x:c r="C5" t="n">
        <x:v>2</x:v>
      </x:c>
      <x:c r="D5" t="str">
        <x:v>Légères</x:v>
      </x:c>
      <x:c r="E5" s="28" t="n">
        <x:f>IF(M5=0,0,M5+O5)</x:f>
        <x:v>2</x:v>
      </x:c>
      <x:c r="F5" s="28" t="n">
        <x:f>IF(M5=0,0,M5*N5+O5)</x:f>
        <x:v>5</x:v>
      </x:c>
      <x:c r="G5" s="28" t="n">
        <x:f>ROUND(Catalogue!G4*SQRT((1+'Paramètres'!$B$4*(C5-1)+'Paramètres'!$B$5*(C5-1)^2)),0)</x:f>
        <x:v>0</x:v>
      </x:c>
      <x:c r="H5" s="28" t="n">
        <x:f>ROUND(Catalogue!H4*SQRT((1+'Paramètres'!$B$4*(C5-1)+'Paramètres'!$B$5*(C5-1)^2)),0)</x:f>
        <x:v>0</x:v>
      </x:c>
      <x:c r="I5" s="28" t="n">
        <x:v>2</x:v>
      </x:c>
      <x:c r="J5" s="28" t="n">
        <x:v>1</x:v>
      </x:c>
      <x:c r="K5" s="30" t="n">
        <x:v>0.4</x:v>
      </x:c>
      <x:c r="L5" s="54" t="n">
        <x:f>IF(M5=0,0,(E5+F5)/2)</x:f>
        <x:v>3.5</x:v>
      </x:c>
      <x:c r="M5" t="n">
        <x:v>1</x:v>
      </x:c>
      <x:c r="N5" t="n">
        <x:v>4</x:v>
      </x:c>
      <x:c r="O5" t="n">
        <x:v>1</x:v>
      </x:c>
      <x:c r="P5" s="63" t="str">
        <x:f>IF(M5=0,"—",M5&amp;"d"&amp;N5&amp;IF(O5=0,""," + "&amp;O5))</x:f>
        <x:v>1d4 + 1</x:v>
      </x:c>
      <x:c r="Q5" t="n">
        <x:f>ROUND(INDEX(Catalogue!E$4:E$85,MATCH(A5,Catalogue!A$4:A$85,0))*(1+'Paramètres'!$B$4*(C5-1)+'Paramètres'!$B$5*(C5-1)^2),0)</x:f>
        <x:v>2</x:v>
      </x:c>
      <x:c r="R5" t="n">
        <x:f>ROUND(INDEX(Catalogue!F$4:F$85,MATCH(A5,Catalogue!A$4:A$85,0))*(1+'Paramètres'!$B$4*(C5-1)+'Paramètres'!$B$5*(C5-1)^2),0)</x:f>
        <x:v>5</x:v>
      </x:c>
      <x:c r="S5" t="n">
        <x:f>L5-AVERAGE(Q5:R5)</x:f>
        <x:v>0</x:v>
      </x:c>
      <x:c r="T5" t="str">
        <x:f>IF(M5=0,IF(AND(N5=0,O5=0,E5=0,F5=0),"OK","ERREUR"),IF(AND(M5&gt;=1,M5&lt;=32,OR(N5=4,N5=6,N5=8,N5=10,N5=12,N5=20),O5&gt;=0,E5=M5+O5,F5=M5*N5+O5),"OK","ERREUR"))</x:f>
        <x:v>OK</x:v>
      </x:c>
      <x:c r="U5" s="86" t="n">
        <x:f>IF(M5&gt;0,M5*(N5+1)/2+O5,0)</x:f>
        <x:v>3.5</x:v>
      </x:c>
      <x:c r="V5" t="str">
        <x:f>IF(ABS(L5-U5)&lt;0.001,"OK","ERREUR")</x:f>
        <x:v>OK</x:v>
      </x:c>
    </x:row>
    <x:row r="6" ht="18" customHeight="1">
      <x:c r="A6" t="str">
        <x:v>ARM001</x:v>
      </x:c>
      <x:c r="B6" t="str">
        <x:v>Dague</x:v>
      </x:c>
      <x:c r="C6" t="n">
        <x:v>3</x:v>
      </x:c>
      <x:c r="D6" t="str">
        <x:v>Légères</x:v>
      </x:c>
      <x:c r="E6" s="28" t="n">
        <x:f>IF(M6=0,0,M6+O6)</x:f>
        <x:v>2</x:v>
      </x:c>
      <x:c r="F6" s="28" t="n">
        <x:f>IF(M6=0,0,M6*N6+O6)</x:f>
        <x:v>5</x:v>
      </x:c>
      <x:c r="G6" s="28" t="n">
        <x:f>ROUND(Catalogue!G4*SQRT((1+'Paramètres'!$B$4*(C6-1)+'Paramètres'!$B$5*(C6-1)^2)),0)</x:f>
        <x:v>0</x:v>
      </x:c>
      <x:c r="H6" s="28" t="n">
        <x:f>ROUND(Catalogue!H4*SQRT((1+'Paramètres'!$B$4*(C6-1)+'Paramètres'!$B$5*(C6-1)^2)),0)</x:f>
        <x:v>0</x:v>
      </x:c>
      <x:c r="I6" s="28" t="n">
        <x:v>2</x:v>
      </x:c>
      <x:c r="J6" s="28" t="n">
        <x:v>1</x:v>
      </x:c>
      <x:c r="K6" s="30" t="n">
        <x:v>0.4</x:v>
      </x:c>
      <x:c r="L6" s="54" t="n">
        <x:f>IF(M6=0,0,(E6+F6)/2)</x:f>
        <x:v>3.5</x:v>
      </x:c>
      <x:c r="M6" t="n">
        <x:v>1</x:v>
      </x:c>
      <x:c r="N6" t="n">
        <x:v>4</x:v>
      </x:c>
      <x:c r="O6" t="n">
        <x:v>1</x:v>
      </x:c>
      <x:c r="P6" s="63" t="str">
        <x:f>IF(M6=0,"—",M6&amp;"d"&amp;N6&amp;IF(O6=0,""," + "&amp;O6))</x:f>
        <x:v>1d4 + 1</x:v>
      </x:c>
      <x:c r="Q6" t="n">
        <x:f>ROUND(INDEX(Catalogue!E$4:E$85,MATCH(A6,Catalogue!A$4:A$85,0))*(1+'Paramètres'!$B$4*(C6-1)+'Paramètres'!$B$5*(C6-1)^2),0)</x:f>
        <x:v>3</x:v>
      </x:c>
      <x:c r="R6" t="n">
        <x:f>ROUND(INDEX(Catalogue!F$4:F$85,MATCH(A6,Catalogue!A$4:A$85,0))*(1+'Paramètres'!$B$4*(C6-1)+'Paramètres'!$B$5*(C6-1)^2),0)</x:f>
        <x:v>5</x:v>
      </x:c>
      <x:c r="S6" t="n">
        <x:f>L6-AVERAGE(Q6:R6)</x:f>
        <x:v>-0.5</x:v>
      </x:c>
      <x:c r="T6" t="str">
        <x:f>IF(M6=0,IF(AND(N6=0,O6=0,E6=0,F6=0),"OK","ERREUR"),IF(AND(M6&gt;=1,M6&lt;=32,OR(N6=4,N6=6,N6=8,N6=10,N6=12,N6=20),O6&gt;=0,E6=M6+O6,F6=M6*N6+O6),"OK","ERREUR"))</x:f>
        <x:v>OK</x:v>
      </x:c>
      <x:c r="U6" s="86" t="n">
        <x:f>IF(M6&gt;0,M6*(N6+1)/2+O6,0)</x:f>
        <x:v>3.5</x:v>
      </x:c>
      <x:c r="V6" t="str">
        <x:f>IF(ABS(L6-U6)&lt;0.001,"OK","ERREUR")</x:f>
        <x:v>OK</x:v>
      </x:c>
    </x:row>
    <x:row r="7" ht="18" customHeight="1">
      <x:c r="A7" t="str">
        <x:v>ARM001</x:v>
      </x:c>
      <x:c r="B7" t="str">
        <x:v>Dague</x:v>
      </x:c>
      <x:c r="C7" t="n">
        <x:v>4</x:v>
      </x:c>
      <x:c r="D7" t="str">
        <x:v>Légères</x:v>
      </x:c>
      <x:c r="E7" s="28" t="n">
        <x:f>IF(M7=0,0,M7+O7)</x:f>
        <x:v>3</x:v>
      </x:c>
      <x:c r="F7" s="28" t="n">
        <x:f>IF(M7=0,0,M7*N7+O7)</x:f>
        <x:v>6</x:v>
      </x:c>
      <x:c r="G7" s="28" t="n">
        <x:f>ROUND(Catalogue!G4*SQRT((1+'Paramètres'!$B$4*(C7-1)+'Paramètres'!$B$5*(C7-1)^2)),0)</x:f>
        <x:v>0</x:v>
      </x:c>
      <x:c r="H7" s="28" t="n">
        <x:f>ROUND(Catalogue!H4*SQRT((1+'Paramètres'!$B$4*(C7-1)+'Paramètres'!$B$5*(C7-1)^2)),0)</x:f>
        <x:v>0</x:v>
      </x:c>
      <x:c r="I7" s="28" t="n">
        <x:v>2</x:v>
      </x:c>
      <x:c r="J7" s="28" t="n">
        <x:v>1</x:v>
      </x:c>
      <x:c r="K7" s="30" t="n">
        <x:v>0.4</x:v>
      </x:c>
      <x:c r="L7" s="54" t="n">
        <x:f>IF(M7=0,0,(E7+F7)/2)</x:f>
        <x:v>4.5</x:v>
      </x:c>
      <x:c r="M7" t="n">
        <x:v>1</x:v>
      </x:c>
      <x:c r="N7" t="n">
        <x:v>4</x:v>
      </x:c>
      <x:c r="O7" t="n">
        <x:v>2</x:v>
      </x:c>
      <x:c r="P7" s="63" t="str">
        <x:f>IF(M7=0,"—",M7&amp;"d"&amp;N7&amp;IF(O7=0,""," + "&amp;O7))</x:f>
        <x:v>1d4 + 2</x:v>
      </x:c>
      <x:c r="Q7" t="n">
        <x:f>ROUND(INDEX(Catalogue!E$4:E$85,MATCH(A7,Catalogue!A$4:A$85,0))*(1+'Paramètres'!$B$4*(C7-1)+'Paramètres'!$B$5*(C7-1)^2),0)</x:f>
        <x:v>3</x:v>
      </x:c>
      <x:c r="R7" t="n">
        <x:f>ROUND(INDEX(Catalogue!F$4:F$85,MATCH(A7,Catalogue!A$4:A$85,0))*(1+'Paramètres'!$B$4*(C7-1)+'Paramètres'!$B$5*(C7-1)^2),0)</x:f>
        <x:v>6</x:v>
      </x:c>
      <x:c r="S7" t="n">
        <x:f>L7-AVERAGE(Q7:R7)</x:f>
        <x:v>0</x:v>
      </x:c>
      <x:c r="T7" t="str">
        <x:f>IF(M7=0,IF(AND(N7=0,O7=0,E7=0,F7=0),"OK","ERREUR"),IF(AND(M7&gt;=1,M7&lt;=32,OR(N7=4,N7=6,N7=8,N7=10,N7=12,N7=20),O7&gt;=0,E7=M7+O7,F7=M7*N7+O7),"OK","ERREUR"))</x:f>
        <x:v>OK</x:v>
      </x:c>
      <x:c r="U7" s="86" t="n">
        <x:f>IF(M7&gt;0,M7*(N7+1)/2+O7,0)</x:f>
        <x:v>4.5</x:v>
      </x:c>
      <x:c r="V7" t="str">
        <x:f>IF(ABS(L7-U7)&lt;0.001,"OK","ERREUR")</x:f>
        <x:v>OK</x:v>
      </x:c>
    </x:row>
    <x:row r="8" ht="18" customHeight="1">
      <x:c r="A8" t="str">
        <x:v>ARM001</x:v>
      </x:c>
      <x:c r="B8" t="str">
        <x:v>Dague</x:v>
      </x:c>
      <x:c r="C8" t="n">
        <x:v>5</x:v>
      </x:c>
      <x:c r="D8" t="str">
        <x:v>Légères</x:v>
      </x:c>
      <x:c r="E8" s="28" t="n">
        <x:f>IF(M8=0,0,M8+O8)</x:f>
        <x:v>3</x:v>
      </x:c>
      <x:c r="F8" s="28" t="n">
        <x:f>IF(M8=0,0,M8*N8+O8)</x:f>
        <x:v>6</x:v>
      </x:c>
      <x:c r="G8" s="28" t="n">
        <x:f>ROUND(Catalogue!G4*SQRT((1+'Paramètres'!$B$4*(C8-1)+'Paramètres'!$B$5*(C8-1)^2)),0)</x:f>
        <x:v>0</x:v>
      </x:c>
      <x:c r="H8" s="28" t="n">
        <x:f>ROUND(Catalogue!H4*SQRT((1+'Paramètres'!$B$4*(C8-1)+'Paramètres'!$B$5*(C8-1)^2)),0)</x:f>
        <x:v>0</x:v>
      </x:c>
      <x:c r="I8" s="28" t="n">
        <x:v>2</x:v>
      </x:c>
      <x:c r="J8" s="28" t="n">
        <x:v>1</x:v>
      </x:c>
      <x:c r="K8" s="30" t="n">
        <x:v>0.4</x:v>
      </x:c>
      <x:c r="L8" s="54" t="n">
        <x:f>IF(M8=0,0,(E8+F8)/2)</x:f>
        <x:v>4.5</x:v>
      </x:c>
      <x:c r="M8" t="n">
        <x:v>1</x:v>
      </x:c>
      <x:c r="N8" t="n">
        <x:v>4</x:v>
      </x:c>
      <x:c r="O8" t="n">
        <x:v>2</x:v>
      </x:c>
      <x:c r="P8" s="63" t="str">
        <x:f>IF(M8=0,"—",M8&amp;"d"&amp;N8&amp;IF(O8=0,""," + "&amp;O8))</x:f>
        <x:v>1d4 + 2</x:v>
      </x:c>
      <x:c r="Q8" t="n">
        <x:f>ROUND(INDEX(Catalogue!E$4:E$85,MATCH(A8,Catalogue!A$4:A$85,0))*(1+'Paramètres'!$B$4*(C8-1)+'Paramètres'!$B$5*(C8-1)^2),0)</x:f>
        <x:v>3</x:v>
      </x:c>
      <x:c r="R8" t="n">
        <x:f>ROUND(INDEX(Catalogue!F$4:F$85,MATCH(A8,Catalogue!A$4:A$85,0))*(1+'Paramètres'!$B$4*(C8-1)+'Paramètres'!$B$5*(C8-1)^2),0)</x:f>
        <x:v>7</x:v>
      </x:c>
      <x:c r="S8" t="n">
        <x:f>L8-AVERAGE(Q8:R8)</x:f>
        <x:v>-0.5</x:v>
      </x:c>
      <x:c r="T8" t="str">
        <x:f>IF(M8=0,IF(AND(N8=0,O8=0,E8=0,F8=0),"OK","ERREUR"),IF(AND(M8&gt;=1,M8&lt;=32,OR(N8=4,N8=6,N8=8,N8=10,N8=12,N8=20),O8&gt;=0,E8=M8+O8,F8=M8*N8+O8),"OK","ERREUR"))</x:f>
        <x:v>OK</x:v>
      </x:c>
      <x:c r="U8" s="86" t="n">
        <x:f>IF(M8&gt;0,M8*(N8+1)/2+O8,0)</x:f>
        <x:v>4.5</x:v>
      </x:c>
      <x:c r="V8" t="str">
        <x:f>IF(ABS(L8-U8)&lt;0.001,"OK","ERREUR")</x:f>
        <x:v>OK</x:v>
      </x:c>
    </x:row>
    <x:row r="9" ht="18" customHeight="1">
      <x:c r="A9" t="str">
        <x:v>ARM001</x:v>
      </x:c>
      <x:c r="B9" t="str">
        <x:v>Dague</x:v>
      </x:c>
      <x:c r="C9" t="n">
        <x:v>6</x:v>
      </x:c>
      <x:c r="D9" t="str">
        <x:v>Légères</x:v>
      </x:c>
      <x:c r="E9" s="28" t="n">
        <x:f>IF(M9=0,0,M9+O9)</x:f>
        <x:v>4</x:v>
      </x:c>
      <x:c r="F9" s="28" t="n">
        <x:f>IF(M9=0,0,M9*N9+O9)</x:f>
        <x:v>7</x:v>
      </x:c>
      <x:c r="G9" s="28" t="n">
        <x:f>ROUND(Catalogue!G4*SQRT((1+'Paramètres'!$B$4*(C9-1)+'Paramètres'!$B$5*(C9-1)^2)),0)</x:f>
        <x:v>0</x:v>
      </x:c>
      <x:c r="H9" s="28" t="n">
        <x:f>ROUND(Catalogue!H4*SQRT((1+'Paramètres'!$B$4*(C9-1)+'Paramètres'!$B$5*(C9-1)^2)),0)</x:f>
        <x:v>0</x:v>
      </x:c>
      <x:c r="I9" s="28" t="n">
        <x:v>2</x:v>
      </x:c>
      <x:c r="J9" s="28" t="n">
        <x:v>1</x:v>
      </x:c>
      <x:c r="K9" s="30" t="n">
        <x:v>0.4</x:v>
      </x:c>
      <x:c r="L9" s="54" t="n">
        <x:f>IF(M9=0,0,(E9+F9)/2)</x:f>
        <x:v>5.5</x:v>
      </x:c>
      <x:c r="M9" t="n">
        <x:v>1</x:v>
      </x:c>
      <x:c r="N9" t="n">
        <x:v>4</x:v>
      </x:c>
      <x:c r="O9" t="n">
        <x:v>3</x:v>
      </x:c>
      <x:c r="P9" s="63" t="str">
        <x:f>IF(M9=0,"—",M9&amp;"d"&amp;N9&amp;IF(O9=0,""," + "&amp;O9))</x:f>
        <x:v>1d4 + 3</x:v>
      </x:c>
      <x:c r="Q9" t="n">
        <x:f>ROUND(INDEX(Catalogue!E$4:E$85,MATCH(A9,Catalogue!A$4:A$85,0))*(1+'Paramètres'!$B$4*(C9-1)+'Paramètres'!$B$5*(C9-1)^2),0)</x:f>
        <x:v>4</x:v>
      </x:c>
      <x:c r="R9" t="n">
        <x:f>ROUND(INDEX(Catalogue!F$4:F$85,MATCH(A9,Catalogue!A$4:A$85,0))*(1+'Paramètres'!$B$4*(C9-1)+'Paramètres'!$B$5*(C9-1)^2),0)</x:f>
        <x:v>8</x:v>
      </x:c>
      <x:c r="S9" t="n">
        <x:f>L9-AVERAGE(Q9:R9)</x:f>
        <x:v>-0.5</x:v>
      </x:c>
      <x:c r="T9" t="str">
        <x:f>IF(M9=0,IF(AND(N9=0,O9=0,E9=0,F9=0),"OK","ERREUR"),IF(AND(M9&gt;=1,M9&lt;=32,OR(N9=4,N9=6,N9=8,N9=10,N9=12,N9=20),O9&gt;=0,E9=M9+O9,F9=M9*N9+O9),"OK","ERREUR"))</x:f>
        <x:v>OK</x:v>
      </x:c>
      <x:c r="U9" s="86" t="n">
        <x:f>IF(M9&gt;0,M9*(N9+1)/2+O9,0)</x:f>
        <x:v>5.5</x:v>
      </x:c>
      <x:c r="V9" t="str">
        <x:f>IF(ABS(L9-U9)&lt;0.001,"OK","ERREUR")</x:f>
        <x:v>OK</x:v>
      </x:c>
    </x:row>
    <x:row r="10" ht="18" customHeight="1">
      <x:c r="A10" t="str">
        <x:v>ARM001</x:v>
      </x:c>
      <x:c r="B10" t="str">
        <x:v>Dague</x:v>
      </x:c>
      <x:c r="C10" t="n">
        <x:v>7</x:v>
      </x:c>
      <x:c r="D10" t="str">
        <x:v>Légères</x:v>
      </x:c>
      <x:c r="E10" s="28" t="n">
        <x:f>IF(M10=0,0,M10+O10)</x:f>
        <x:v>4</x:v>
      </x:c>
      <x:c r="F10" s="28" t="n">
        <x:f>IF(M10=0,0,M10*N10+O10)</x:f>
        <x:v>9</x:v>
      </x:c>
      <x:c r="G10" s="28" t="n">
        <x:f>ROUND(Catalogue!G4*SQRT((1+'Paramètres'!$B$4*(C10-1)+'Paramètres'!$B$5*(C10-1)^2)),0)</x:f>
        <x:v>0</x:v>
      </x:c>
      <x:c r="H10" s="28" t="n">
        <x:f>ROUND(Catalogue!H4*SQRT((1+'Paramètres'!$B$4*(C10-1)+'Paramètres'!$B$5*(C10-1)^2)),0)</x:f>
        <x:v>0</x:v>
      </x:c>
      <x:c r="I10" s="28" t="n">
        <x:v>2</x:v>
      </x:c>
      <x:c r="J10" s="28" t="n">
        <x:v>1</x:v>
      </x:c>
      <x:c r="K10" s="30" t="n">
        <x:v>0.4</x:v>
      </x:c>
      <x:c r="L10" s="54" t="n">
        <x:f>IF(M10=0,0,(E10+F10)/2)</x:f>
        <x:v>6.5</x:v>
      </x:c>
      <x:c r="M10" t="n">
        <x:v>1</x:v>
      </x:c>
      <x:c r="N10" t="n">
        <x:v>6</x:v>
      </x:c>
      <x:c r="O10" t="n">
        <x:v>3</x:v>
      </x:c>
      <x:c r="P10" s="63" t="str">
        <x:f>IF(M10=0,"—",M10&amp;"d"&amp;N10&amp;IF(O10=0,""," + "&amp;O10))</x:f>
        <x:v>1d6 + 3</x:v>
      </x:c>
      <x:c r="Q10" t="n">
        <x:f>ROUND(INDEX(Catalogue!E$4:E$85,MATCH(A10,Catalogue!A$4:A$85,0))*(1+'Paramètres'!$B$4*(C10-1)+'Paramètres'!$B$5*(C10-1)^2),0)</x:f>
        <x:v>4</x:v>
      </x:c>
      <x:c r="R10" t="n">
        <x:f>ROUND(INDEX(Catalogue!F$4:F$85,MATCH(A10,Catalogue!A$4:A$85,0))*(1+'Paramètres'!$B$4*(C10-1)+'Paramètres'!$B$5*(C10-1)^2),0)</x:f>
        <x:v>9</x:v>
      </x:c>
      <x:c r="S10" t="n">
        <x:f>L10-AVERAGE(Q10:R10)</x:f>
        <x:v>0</x:v>
      </x:c>
      <x:c r="T10" t="str">
        <x:f>IF(M10=0,IF(AND(N10=0,O10=0,E10=0,F10=0),"OK","ERREUR"),IF(AND(M10&gt;=1,M10&lt;=32,OR(N10=4,N10=6,N10=8,N10=10,N10=12,N10=20),O10&gt;=0,E10=M10+O10,F10=M10*N10+O10),"OK","ERREUR"))</x:f>
        <x:v>OK</x:v>
      </x:c>
      <x:c r="U10" s="86" t="n">
        <x:f>IF(M10&gt;0,M10*(N10+1)/2+O10,0)</x:f>
        <x:v>6.5</x:v>
      </x:c>
      <x:c r="V10" t="str">
        <x:f>IF(ABS(L10-U10)&lt;0.001,"OK","ERREUR")</x:f>
        <x:v>OK</x:v>
      </x:c>
    </x:row>
    <x:row r="11" ht="18" customHeight="1">
      <x:c r="A11" t="str">
        <x:v>ARM001</x:v>
      </x:c>
      <x:c r="B11" t="str">
        <x:v>Dague</x:v>
      </x:c>
      <x:c r="C11" t="n">
        <x:v>8</x:v>
      </x:c>
      <x:c r="D11" t="str">
        <x:v>Légères</x:v>
      </x:c>
      <x:c r="E11" s="28" t="n">
        <x:f>IF(M11=0,0,M11+O11)</x:f>
        <x:v>5</x:v>
      </x:c>
      <x:c r="F11" s="28" t="n">
        <x:f>IF(M11=0,0,M11*N11+O11)</x:f>
        <x:v>10</x:v>
      </x:c>
      <x:c r="G11" s="28" t="n">
        <x:f>ROUND(Catalogue!G4*SQRT((1+'Paramètres'!$B$4*(C11-1)+'Paramètres'!$B$5*(C11-1)^2)),0)</x:f>
        <x:v>0</x:v>
      </x:c>
      <x:c r="H11" s="28" t="n">
        <x:f>ROUND(Catalogue!H4*SQRT((1+'Paramètres'!$B$4*(C11-1)+'Paramètres'!$B$5*(C11-1)^2)),0)</x:f>
        <x:v>0</x:v>
      </x:c>
      <x:c r="I11" s="28" t="n">
        <x:v>2</x:v>
      </x:c>
      <x:c r="J11" s="28" t="n">
        <x:v>1</x:v>
      </x:c>
      <x:c r="K11" s="30" t="n">
        <x:v>0.4</x:v>
      </x:c>
      <x:c r="L11" s="54" t="n">
        <x:f>IF(M11=0,0,(E11+F11)/2)</x:f>
        <x:v>7.5</x:v>
      </x:c>
      <x:c r="M11" t="n">
        <x:v>1</x:v>
      </x:c>
      <x:c r="N11" t="n">
        <x:v>6</x:v>
      </x:c>
      <x:c r="O11" t="n">
        <x:v>4</x:v>
      </x:c>
      <x:c r="P11" s="63" t="str">
        <x:f>IF(M11=0,"—",M11&amp;"d"&amp;N11&amp;IF(O11=0,""," + "&amp;O11))</x:f>
        <x:v>1d6 + 4</x:v>
      </x:c>
      <x:c r="Q11" t="n">
        <x:f>ROUND(INDEX(Catalogue!E$4:E$85,MATCH(A11,Catalogue!A$4:A$85,0))*(1+'Paramètres'!$B$4*(C11-1)+'Paramètres'!$B$5*(C11-1)^2),0)</x:f>
        <x:v>5</x:v>
      </x:c>
      <x:c r="R11" t="n">
        <x:f>ROUND(INDEX(Catalogue!F$4:F$85,MATCH(A11,Catalogue!A$4:A$85,0))*(1+'Paramètres'!$B$4*(C11-1)+'Paramètres'!$B$5*(C11-1)^2),0)</x:f>
        <x:v>10</x:v>
      </x:c>
      <x:c r="S11" t="n">
        <x:f>L11-AVERAGE(Q11:R11)</x:f>
        <x:v>0</x:v>
      </x:c>
      <x:c r="T11" t="str">
        <x:f>IF(M11=0,IF(AND(N11=0,O11=0,E11=0,F11=0),"OK","ERREUR"),IF(AND(M11&gt;=1,M11&lt;=32,OR(N11=4,N11=6,N11=8,N11=10,N11=12,N11=20),O11&gt;=0,E11=M11+O11,F11=M11*N11+O11),"OK","ERREUR"))</x:f>
        <x:v>OK</x:v>
      </x:c>
      <x:c r="U11" s="86" t="n">
        <x:f>IF(M11&gt;0,M11*(N11+1)/2+O11,0)</x:f>
        <x:v>7.5</x:v>
      </x:c>
      <x:c r="V11" t="str">
        <x:f>IF(ABS(L11-U11)&lt;0.001,"OK","ERREUR")</x:f>
        <x:v>OK</x:v>
      </x:c>
    </x:row>
    <x:row r="12" ht="18" customHeight="1">
      <x:c r="A12" t="str">
        <x:v>ARM001</x:v>
      </x:c>
      <x:c r="B12" t="str">
        <x:v>Dague</x:v>
      </x:c>
      <x:c r="C12" t="n">
        <x:v>9</x:v>
      </x:c>
      <x:c r="D12" t="str">
        <x:v>Légères</x:v>
      </x:c>
      <x:c r="E12" s="28" t="n">
        <x:f>IF(M12=0,0,M12+O12)</x:f>
        <x:v>6</x:v>
      </x:c>
      <x:c r="F12" s="28" t="n">
        <x:f>IF(M12=0,0,M12*N12+O12)</x:f>
        <x:v>12</x:v>
      </x:c>
      <x:c r="G12" s="28" t="n">
        <x:f>ROUND(Catalogue!G4*SQRT((1+'Paramètres'!$B$4*(C12-1)+'Paramètres'!$B$5*(C12-1)^2)),0)</x:f>
        <x:v>0</x:v>
      </x:c>
      <x:c r="H12" s="28" t="n">
        <x:f>ROUND(Catalogue!H4*SQRT((1+'Paramètres'!$B$4*(C12-1)+'Paramètres'!$B$5*(C12-1)^2)),0)</x:f>
        <x:v>0</x:v>
      </x:c>
      <x:c r="I12" s="28" t="n">
        <x:v>2</x:v>
      </x:c>
      <x:c r="J12" s="28" t="n">
        <x:v>1</x:v>
      </x:c>
      <x:c r="K12" s="30" t="n">
        <x:v>0.4</x:v>
      </x:c>
      <x:c r="L12" s="54" t="n">
        <x:f>IF(M12=0,0,(E12+F12)/2)</x:f>
        <x:v>9</x:v>
      </x:c>
      <x:c r="M12" t="n">
        <x:v>2</x:v>
      </x:c>
      <x:c r="N12" t="n">
        <x:v>4</x:v>
      </x:c>
      <x:c r="O12" t="n">
        <x:v>4</x:v>
      </x:c>
      <x:c r="P12" s="63" t="str">
        <x:f>IF(M12=0,"—",M12&amp;"d"&amp;N12&amp;IF(O12=0,""," + "&amp;O12))</x:f>
        <x:v>2d4 + 4</x:v>
      </x:c>
      <x:c r="Q12" t="n">
        <x:f>ROUND(INDEX(Catalogue!E$4:E$85,MATCH(A12,Catalogue!A$4:A$85,0))*(1+'Paramètres'!$B$4*(C12-1)+'Paramètres'!$B$5*(C12-1)^2),0)</x:f>
        <x:v>6</x:v>
      </x:c>
      <x:c r="R12" t="n">
        <x:f>ROUND(INDEX(Catalogue!F$4:F$85,MATCH(A12,Catalogue!A$4:A$85,0))*(1+'Paramètres'!$B$4*(C12-1)+'Paramètres'!$B$5*(C12-1)^2),0)</x:f>
        <x:v>12</x:v>
      </x:c>
      <x:c r="S12" t="n">
        <x:f>L12-AVERAGE(Q12:R12)</x:f>
        <x:v>0</x:v>
      </x:c>
      <x:c r="T12" t="str">
        <x:f>IF(M12=0,IF(AND(N12=0,O12=0,E12=0,F12=0),"OK","ERREUR"),IF(AND(M12&gt;=1,M12&lt;=32,OR(N12=4,N12=6,N12=8,N12=10,N12=12,N12=20),O12&gt;=0,E12=M12+O12,F12=M12*N12+O12),"OK","ERREUR"))</x:f>
        <x:v>OK</x:v>
      </x:c>
      <x:c r="U12" s="86" t="n">
        <x:f>IF(M12&gt;0,M12*(N12+1)/2+O12,0)</x:f>
        <x:v>9</x:v>
      </x:c>
      <x:c r="V12" t="str">
        <x:f>IF(ABS(L12-U12)&lt;0.001,"OK","ERREUR")</x:f>
        <x:v>OK</x:v>
      </x:c>
    </x:row>
    <x:row r="13" ht="18" customHeight="1">
      <x:c r="A13" t="str">
        <x:v>ARM001</x:v>
      </x:c>
      <x:c r="B13" t="str">
        <x:v>Dague</x:v>
      </x:c>
      <x:c r="C13" t="n">
        <x:v>10</x:v>
      </x:c>
      <x:c r="D13" t="str">
        <x:v>Légères</x:v>
      </x:c>
      <x:c r="E13" s="28" t="n">
        <x:f>IF(M13=0,0,M13+O13)</x:f>
        <x:v>7</x:v>
      </x:c>
      <x:c r="F13" s="28" t="n">
        <x:f>IF(M13=0,0,M13*N13+O13)</x:f>
        <x:v>13</x:v>
      </x:c>
      <x:c r="G13" s="28" t="n">
        <x:f>ROUND(Catalogue!G4*SQRT((1+'Paramètres'!$B$4*(C13-1)+'Paramètres'!$B$5*(C13-1)^2)),0)</x:f>
        <x:v>0</x:v>
      </x:c>
      <x:c r="H13" s="28" t="n">
        <x:f>ROUND(Catalogue!H4*SQRT((1+'Paramètres'!$B$4*(C13-1)+'Paramètres'!$B$5*(C13-1)^2)),0)</x:f>
        <x:v>0</x:v>
      </x:c>
      <x:c r="I13" s="28" t="n">
        <x:v>2</x:v>
      </x:c>
      <x:c r="J13" s="28" t="n">
        <x:v>1</x:v>
      </x:c>
      <x:c r="K13" s="30" t="n">
        <x:v>0.4</x:v>
      </x:c>
      <x:c r="L13" s="54" t="n">
        <x:f>IF(M13=0,0,(E13+F13)/2)</x:f>
        <x:v>10</x:v>
      </x:c>
      <x:c r="M13" t="n">
        <x:v>2</x:v>
      </x:c>
      <x:c r="N13" t="n">
        <x:v>4</x:v>
      </x:c>
      <x:c r="O13" t="n">
        <x:v>5</x:v>
      </x:c>
      <x:c r="P13" s="63" t="str">
        <x:f>IF(M13=0,"—",M13&amp;"d"&amp;N13&amp;IF(O13=0,""," + "&amp;O13))</x:f>
        <x:v>2d4 + 5</x:v>
      </x:c>
      <x:c r="Q13" t="n">
        <x:f>ROUND(INDEX(Catalogue!E$4:E$85,MATCH(A13,Catalogue!A$4:A$85,0))*(1+'Paramètres'!$B$4*(C13-1)+'Paramètres'!$B$5*(C13-1)^2),0)</x:f>
        <x:v>7</x:v>
      </x:c>
      <x:c r="R13" t="n">
        <x:f>ROUND(INDEX(Catalogue!F$4:F$85,MATCH(A13,Catalogue!A$4:A$85,0))*(1+'Paramètres'!$B$4*(C13-1)+'Paramètres'!$B$5*(C13-1)^2),0)</x:f>
        <x:v>13</x:v>
      </x:c>
      <x:c r="S13" t="n">
        <x:f>L13-AVERAGE(Q13:R13)</x:f>
        <x:v>0</x:v>
      </x:c>
      <x:c r="T13" t="str">
        <x:f>IF(M13=0,IF(AND(N13=0,O13=0,E13=0,F13=0),"OK","ERREUR"),IF(AND(M13&gt;=1,M13&lt;=32,OR(N13=4,N13=6,N13=8,N13=10,N13=12,N13=20),O13&gt;=0,E13=M13+O13,F13=M13*N13+O13),"OK","ERREUR"))</x:f>
        <x:v>OK</x:v>
      </x:c>
      <x:c r="U13" s="86" t="n">
        <x:f>IF(M13&gt;0,M13*(N13+1)/2+O13,0)</x:f>
        <x:v>10</x:v>
      </x:c>
      <x:c r="V13" t="str">
        <x:f>IF(ABS(L13-U13)&lt;0.001,"OK","ERREUR")</x:f>
        <x:v>OK</x:v>
      </x:c>
    </x:row>
    <x:row r="14" ht="18" customHeight="1">
      <x:c r="A14" t="str">
        <x:v>ARM001</x:v>
      </x:c>
      <x:c r="B14" t="str">
        <x:v>Dague</x:v>
      </x:c>
      <x:c r="C14" t="n">
        <x:v>11</x:v>
      </x:c>
      <x:c r="D14" t="str">
        <x:v>Légères</x:v>
      </x:c>
      <x:c r="E14" s="28" t="n">
        <x:f>IF(M14=0,0,M14+O14)</x:f>
        <x:v>6</x:v>
      </x:c>
      <x:c r="F14" s="28" t="n">
        <x:f>IF(M14=0,0,M14*N14+O14)</x:f>
        <x:v>15</x:v>
      </x:c>
      <x:c r="G14" s="28" t="n">
        <x:f>ROUND(Catalogue!G4*SQRT((1+'Paramètres'!$B$4*(C14-1)+'Paramètres'!$B$5*(C14-1)^2)),0)</x:f>
        <x:v>0</x:v>
      </x:c>
      <x:c r="H14" s="28" t="n">
        <x:f>ROUND(Catalogue!H4*SQRT((1+'Paramètres'!$B$4*(C14-1)+'Paramètres'!$B$5*(C14-1)^2)),0)</x:f>
        <x:v>0</x:v>
      </x:c>
      <x:c r="I14" s="28" t="n">
        <x:v>2</x:v>
      </x:c>
      <x:c r="J14" s="28" t="n">
        <x:v>1</x:v>
      </x:c>
      <x:c r="K14" s="30" t="n">
        <x:v>0.4</x:v>
      </x:c>
      <x:c r="L14" s="54" t="n">
        <x:f>IF(M14=0,0,(E14+F14)/2)</x:f>
        <x:v>10.5</x:v>
      </x:c>
      <x:c r="M14" t="n">
        <x:v>3</x:v>
      </x:c>
      <x:c r="N14" t="n">
        <x:v>4</x:v>
      </x:c>
      <x:c r="O14" t="n">
        <x:v>3</x:v>
      </x:c>
      <x:c r="P14" s="63" t="str">
        <x:f>IF(M14=0,"—",M14&amp;"d"&amp;N14&amp;IF(O14=0,""," + "&amp;O14))</x:f>
        <x:v>3d4 + 3</x:v>
      </x:c>
      <x:c r="Q14" t="n">
        <x:f>ROUND(INDEX(Catalogue!E$4:E$85,MATCH(A14,Catalogue!A$4:A$85,0))*(1+'Paramètres'!$B$4*(C14-1)+'Paramètres'!$B$5*(C14-1)^2),0)</x:f>
        <x:v>7</x:v>
      </x:c>
      <x:c r="R14" t="n">
        <x:f>ROUND(INDEX(Catalogue!F$4:F$85,MATCH(A14,Catalogue!A$4:A$85,0))*(1+'Paramètres'!$B$4*(C14-1)+'Paramètres'!$B$5*(C14-1)^2),0)</x:f>
        <x:v>15</x:v>
      </x:c>
      <x:c r="S14" t="n">
        <x:f>L14-AVERAGE(Q14:R14)</x:f>
        <x:v>-0.5</x:v>
      </x:c>
      <x:c r="T14" t="str">
        <x:f>IF(M14=0,IF(AND(N14=0,O14=0,E14=0,F14=0),"OK","ERREUR"),IF(AND(M14&gt;=1,M14&lt;=32,OR(N14=4,N14=6,N14=8,N14=10,N14=12,N14=20),O14&gt;=0,E14=M14+O14,F14=M14*N14+O14),"OK","ERREUR"))</x:f>
        <x:v>OK</x:v>
      </x:c>
      <x:c r="U14" s="86" t="n">
        <x:f>IF(M14&gt;0,M14*(N14+1)/2+O14,0)</x:f>
        <x:v>10.5</x:v>
      </x:c>
      <x:c r="V14" t="str">
        <x:f>IF(ABS(L14-U14)&lt;0.001,"OK","ERREUR")</x:f>
        <x:v>OK</x:v>
      </x:c>
    </x:row>
    <x:row r="15" ht="18" customHeight="1">
      <x:c r="A15" t="str">
        <x:v>ARM001</x:v>
      </x:c>
      <x:c r="B15" t="str">
        <x:v>Dague</x:v>
      </x:c>
      <x:c r="C15" t="n">
        <x:v>12</x:v>
      </x:c>
      <x:c r="D15" t="str">
        <x:v>Légères</x:v>
      </x:c>
      <x:c r="E15" s="28" t="n">
        <x:f>IF(M15=0,0,M15+O15)</x:f>
        <x:v>8</x:v>
      </x:c>
      <x:c r="F15" s="28" t="n">
        <x:f>IF(M15=0,0,M15*N15+O15)</x:f>
        <x:v>17</x:v>
      </x:c>
      <x:c r="G15" s="28" t="n">
        <x:f>ROUND(Catalogue!G4*SQRT((1+'Paramètres'!$B$4*(C15-1)+'Paramètres'!$B$5*(C15-1)^2)),0)</x:f>
        <x:v>0</x:v>
      </x:c>
      <x:c r="H15" s="28" t="n">
        <x:f>ROUND(Catalogue!H4*SQRT((1+'Paramètres'!$B$4*(C15-1)+'Paramètres'!$B$5*(C15-1)^2)),0)</x:f>
        <x:v>0</x:v>
      </x:c>
      <x:c r="I15" s="28" t="n">
        <x:v>2</x:v>
      </x:c>
      <x:c r="J15" s="28" t="n">
        <x:v>1</x:v>
      </x:c>
      <x:c r="K15" s="30" t="n">
        <x:v>0.4</x:v>
      </x:c>
      <x:c r="L15" s="54" t="n">
        <x:f>IF(M15=0,0,(E15+F15)/2)</x:f>
        <x:v>12.5</x:v>
      </x:c>
      <x:c r="M15" t="n">
        <x:v>3</x:v>
      </x:c>
      <x:c r="N15" t="n">
        <x:v>4</x:v>
      </x:c>
      <x:c r="O15" t="n">
        <x:v>5</x:v>
      </x:c>
      <x:c r="P15" s="63" t="str">
        <x:f>IF(M15=0,"—",M15&amp;"d"&amp;N15&amp;IF(O15=0,""," + "&amp;O15))</x:f>
        <x:v>3d4 + 5</x:v>
      </x:c>
      <x:c r="Q15" t="n">
        <x:f>ROUND(INDEX(Catalogue!E$4:E$85,MATCH(A15,Catalogue!A$4:A$85,0))*(1+'Paramètres'!$B$4*(C15-1)+'Paramètres'!$B$5*(C15-1)^2),0)</x:f>
        <x:v>8</x:v>
      </x:c>
      <x:c r="R15" t="n">
        <x:f>ROUND(INDEX(Catalogue!F$4:F$85,MATCH(A15,Catalogue!A$4:A$85,0))*(1+'Paramètres'!$B$4*(C15-1)+'Paramètres'!$B$5*(C15-1)^2),0)</x:f>
        <x:v>17</x:v>
      </x:c>
      <x:c r="S15" t="n">
        <x:f>L15-AVERAGE(Q15:R15)</x:f>
        <x:v>0</x:v>
      </x:c>
      <x:c r="T15" t="str">
        <x:f>IF(M15=0,IF(AND(N15=0,O15=0,E15=0,F15=0),"OK","ERREUR"),IF(AND(M15&gt;=1,M15&lt;=32,OR(N15=4,N15=6,N15=8,N15=10,N15=12,N15=20),O15&gt;=0,E15=M15+O15,F15=M15*N15+O15),"OK","ERREUR"))</x:f>
        <x:v>OK</x:v>
      </x:c>
      <x:c r="U15" s="86" t="n">
        <x:f>IF(M15&gt;0,M15*(N15+1)/2+O15,0)</x:f>
        <x:v>12.5</x:v>
      </x:c>
      <x:c r="V15" t="str">
        <x:f>IF(ABS(L15-U15)&lt;0.001,"OK","ERREUR")</x:f>
        <x:v>OK</x:v>
      </x:c>
    </x:row>
    <x:row r="16" ht="18" customHeight="1">
      <x:c r="A16" t="str">
        <x:v>ARM001</x:v>
      </x:c>
      <x:c r="B16" t="str">
        <x:v>Dague</x:v>
      </x:c>
      <x:c r="C16" t="n">
        <x:v>13</x:v>
      </x:c>
      <x:c r="D16" t="str">
        <x:v>Légères</x:v>
      </x:c>
      <x:c r="E16" s="28" t="n">
        <x:f>IF(M16=0,0,M16+O16)</x:f>
        <x:v>9</x:v>
      </x:c>
      <x:c r="F16" s="28" t="n">
        <x:f>IF(M16=0,0,M16*N16+O16)</x:f>
        <x:v>18</x:v>
      </x:c>
      <x:c r="G16" s="28" t="n">
        <x:f>ROUND(Catalogue!G4*SQRT((1+'Paramètres'!$B$4*(C16-1)+'Paramètres'!$B$5*(C16-1)^2)),0)</x:f>
        <x:v>0</x:v>
      </x:c>
      <x:c r="H16" s="28" t="n">
        <x:f>ROUND(Catalogue!H4*SQRT((1+'Paramètres'!$B$4*(C16-1)+'Paramètres'!$B$5*(C16-1)^2)),0)</x:f>
        <x:v>0</x:v>
      </x:c>
      <x:c r="I16" s="28" t="n">
        <x:v>2</x:v>
      </x:c>
      <x:c r="J16" s="28" t="n">
        <x:v>1</x:v>
      </x:c>
      <x:c r="K16" s="30" t="n">
        <x:v>0.4</x:v>
      </x:c>
      <x:c r="L16" s="54" t="n">
        <x:f>IF(M16=0,0,(E16+F16)/2)</x:f>
        <x:v>13.5</x:v>
      </x:c>
      <x:c r="M16" t="n">
        <x:v>3</x:v>
      </x:c>
      <x:c r="N16" t="n">
        <x:v>4</x:v>
      </x:c>
      <x:c r="O16" t="n">
        <x:v>6</x:v>
      </x:c>
      <x:c r="P16" s="63" t="str">
        <x:f>IF(M16=0,"—",M16&amp;"d"&amp;N16&amp;IF(O16=0,""," + "&amp;O16))</x:f>
        <x:v>3d4 + 6</x:v>
      </x:c>
      <x:c r="Q16" t="n">
        <x:f>ROUND(INDEX(Catalogue!E$4:E$85,MATCH(A16,Catalogue!A$4:A$85,0))*(1+'Paramètres'!$B$4*(C16-1)+'Paramètres'!$B$5*(C16-1)^2),0)</x:f>
        <x:v>9</x:v>
      </x:c>
      <x:c r="R16" t="n">
        <x:f>ROUND(INDEX(Catalogue!F$4:F$85,MATCH(A16,Catalogue!A$4:A$85,0))*(1+'Paramètres'!$B$4*(C16-1)+'Paramètres'!$B$5*(C16-1)^2),0)</x:f>
        <x:v>18</x:v>
      </x:c>
      <x:c r="S16" t="n">
        <x:f>L16-AVERAGE(Q16:R16)</x:f>
        <x:v>0</x:v>
      </x:c>
      <x:c r="T16" t="str">
        <x:f>IF(M16=0,IF(AND(N16=0,O16=0,E16=0,F16=0),"OK","ERREUR"),IF(AND(M16&gt;=1,M16&lt;=32,OR(N16=4,N16=6,N16=8,N16=10,N16=12,N16=20),O16&gt;=0,E16=M16+O16,F16=M16*N16+O16),"OK","ERREUR"))</x:f>
        <x:v>OK</x:v>
      </x:c>
      <x:c r="U16" s="86" t="n">
        <x:f>IF(M16&gt;0,M16*(N16+1)/2+O16,0)</x:f>
        <x:v>13.5</x:v>
      </x:c>
      <x:c r="V16" t="str">
        <x:f>IF(ABS(L16-U16)&lt;0.001,"OK","ERREUR")</x:f>
        <x:v>OK</x:v>
      </x:c>
    </x:row>
    <x:row r="17" ht="18" customHeight="1">
      <x:c r="A17" t="str">
        <x:v>ARM001</x:v>
      </x:c>
      <x:c r="B17" t="str">
        <x:v>Dague</x:v>
      </x:c>
      <x:c r="C17" t="n">
        <x:v>14</x:v>
      </x:c>
      <x:c r="D17" t="str">
        <x:v>Légères</x:v>
      </x:c>
      <x:c r="E17" s="28" t="n">
        <x:f>IF(M17=0,0,M17+O17)</x:f>
        <x:v>10</x:v>
      </x:c>
      <x:c r="F17" s="28" t="n">
        <x:f>IF(M17=0,0,M17*N17+O17)</x:f>
        <x:v>20</x:v>
      </x:c>
      <x:c r="G17" s="28" t="n">
        <x:f>ROUND(Catalogue!G4*SQRT((1+'Paramètres'!$B$4*(C17-1)+'Paramètres'!$B$5*(C17-1)^2)),0)</x:f>
        <x:v>0</x:v>
      </x:c>
      <x:c r="H17" s="28" t="n">
        <x:f>ROUND(Catalogue!H4*SQRT((1+'Paramètres'!$B$4*(C17-1)+'Paramètres'!$B$5*(C17-1)^2)),0)</x:f>
        <x:v>0</x:v>
      </x:c>
      <x:c r="I17" s="28" t="n">
        <x:v>2</x:v>
      </x:c>
      <x:c r="J17" s="28" t="n">
        <x:v>1</x:v>
      </x:c>
      <x:c r="K17" s="30" t="n">
        <x:v>0.4</x:v>
      </x:c>
      <x:c r="L17" s="54" t="n">
        <x:f>IF(M17=0,0,(E17+F17)/2)</x:f>
        <x:v>15</x:v>
      </x:c>
      <x:c r="M17" t="n">
        <x:v>2</x:v>
      </x:c>
      <x:c r="N17" t="n">
        <x:v>6</x:v>
      </x:c>
      <x:c r="O17" t="n">
        <x:v>8</x:v>
      </x:c>
      <x:c r="P17" s="63" t="str">
        <x:f>IF(M17=0,"—",M17&amp;"d"&amp;N17&amp;IF(O17=0,""," + "&amp;O17))</x:f>
        <x:v>2d6 + 8</x:v>
      </x:c>
      <x:c r="Q17" t="n">
        <x:f>ROUND(INDEX(Catalogue!E$4:E$85,MATCH(A17,Catalogue!A$4:A$85,0))*(1+'Paramètres'!$B$4*(C17-1)+'Paramètres'!$B$5*(C17-1)^2),0)</x:f>
        <x:v>10</x:v>
      </x:c>
      <x:c r="R17" t="n">
        <x:f>ROUND(INDEX(Catalogue!F$4:F$85,MATCH(A17,Catalogue!A$4:A$85,0))*(1+'Paramètres'!$B$4*(C17-1)+'Paramètres'!$B$5*(C17-1)^2),0)</x:f>
        <x:v>21</x:v>
      </x:c>
      <x:c r="S17" t="n">
        <x:f>L17-AVERAGE(Q17:R17)</x:f>
        <x:v>-0.5</x:v>
      </x:c>
      <x:c r="T17" t="str">
        <x:f>IF(M17=0,IF(AND(N17=0,O17=0,E17=0,F17=0),"OK","ERREUR"),IF(AND(M17&gt;=1,M17&lt;=32,OR(N17=4,N17=6,N17=8,N17=10,N17=12,N17=20),O17&gt;=0,E17=M17+O17,F17=M17*N17+O17),"OK","ERREUR"))</x:f>
        <x:v>OK</x:v>
      </x:c>
      <x:c r="U17" s="86" t="n">
        <x:f>IF(M17&gt;0,M17*(N17+1)/2+O17,0)</x:f>
        <x:v>15</x:v>
      </x:c>
      <x:c r="V17" t="str">
        <x:f>IF(ABS(L17-U17)&lt;0.001,"OK","ERREUR")</x:f>
        <x:v>OK</x:v>
      </x:c>
    </x:row>
    <x:row r="18" ht="18" customHeight="1">
      <x:c r="A18" t="str">
        <x:v>ARM001</x:v>
      </x:c>
      <x:c r="B18" t="str">
        <x:v>Dague</x:v>
      </x:c>
      <x:c r="C18" t="n">
        <x:v>15</x:v>
      </x:c>
      <x:c r="D18" t="str">
        <x:v>Légères</x:v>
      </x:c>
      <x:c r="E18" s="28" t="n">
        <x:f>IF(M18=0,0,M18+O18)</x:f>
        <x:v>11</x:v>
      </x:c>
      <x:c r="F18" s="28" t="n">
        <x:f>IF(M18=0,0,M18*N18+O18)</x:f>
        <x:v>23</x:v>
      </x:c>
      <x:c r="G18" s="28" t="n">
        <x:f>ROUND(Catalogue!G4*SQRT((1+'Paramètres'!$B$4*(C18-1)+'Paramètres'!$B$5*(C18-1)^2)),0)</x:f>
        <x:v>0</x:v>
      </x:c>
      <x:c r="H18" s="28" t="n">
        <x:f>ROUND(Catalogue!H4*SQRT((1+'Paramètres'!$B$4*(C18-1)+'Paramètres'!$B$5*(C18-1)^2)),0)</x:f>
        <x:v>0</x:v>
      </x:c>
      <x:c r="I18" s="28" t="n">
        <x:v>2</x:v>
      </x:c>
      <x:c r="J18" s="28" t="n">
        <x:v>1</x:v>
      </x:c>
      <x:c r="K18" s="30" t="n">
        <x:v>0.4</x:v>
      </x:c>
      <x:c r="L18" s="54" t="n">
        <x:f>IF(M18=0,0,(E18+F18)/2)</x:f>
        <x:v>17</x:v>
      </x:c>
      <x:c r="M18" t="n">
        <x:v>4</x:v>
      </x:c>
      <x:c r="N18" t="n">
        <x:v>4</x:v>
      </x:c>
      <x:c r="O18" t="n">
        <x:v>7</x:v>
      </x:c>
      <x:c r="P18" s="63" t="str">
        <x:f>IF(M18=0,"—",M18&amp;"d"&amp;N18&amp;IF(O18=0,""," + "&amp;O18))</x:f>
        <x:v>4d4 + 7</x:v>
      </x:c>
      <x:c r="Q18" t="n">
        <x:f>ROUND(INDEX(Catalogue!E$4:E$85,MATCH(A18,Catalogue!A$4:A$85,0))*(1+'Paramètres'!$B$4*(C18-1)+'Paramètres'!$B$5*(C18-1)^2),0)</x:f>
        <x:v>11</x:v>
      </x:c>
      <x:c r="R18" t="n">
        <x:f>ROUND(INDEX(Catalogue!F$4:F$85,MATCH(A18,Catalogue!A$4:A$85,0))*(1+'Paramètres'!$B$4*(C18-1)+'Paramètres'!$B$5*(C18-1)^2),0)</x:f>
        <x:v>23</x:v>
      </x:c>
      <x:c r="S18" t="n">
        <x:f>L18-AVERAGE(Q18:R18)</x:f>
        <x:v>0</x:v>
      </x:c>
      <x:c r="T18" t="str">
        <x:f>IF(M18=0,IF(AND(N18=0,O18=0,E18=0,F18=0),"OK","ERREUR"),IF(AND(M18&gt;=1,M18&lt;=32,OR(N18=4,N18=6,N18=8,N18=10,N18=12,N18=20),O18&gt;=0,E18=M18+O18,F18=M18*N18+O18),"OK","ERREUR"))</x:f>
        <x:v>OK</x:v>
      </x:c>
      <x:c r="U18" s="86" t="n">
        <x:f>IF(M18&gt;0,M18*(N18+1)/2+O18,0)</x:f>
        <x:v>17</x:v>
      </x:c>
      <x:c r="V18" t="str">
        <x:f>IF(ABS(L18-U18)&lt;0.001,"OK","ERREUR")</x:f>
        <x:v>OK</x:v>
      </x:c>
    </x:row>
    <x:row r="19" ht="18" customHeight="1">
      <x:c r="A19" t="str">
        <x:v>ARM001</x:v>
      </x:c>
      <x:c r="B19" t="str">
        <x:v>Dague</x:v>
      </x:c>
      <x:c r="C19" t="n">
        <x:v>16</x:v>
      </x:c>
      <x:c r="D19" t="str">
        <x:v>Légères</x:v>
      </x:c>
      <x:c r="E19" s="28" t="n">
        <x:f>IF(M19=0,0,M19+O19)</x:f>
        <x:v>13</x:v>
      </x:c>
      <x:c r="F19" s="28" t="n">
        <x:f>IF(M19=0,0,M19*N19+O19)</x:f>
        <x:v>25</x:v>
      </x:c>
      <x:c r="G19" s="28" t="n">
        <x:f>ROUND(Catalogue!G4*SQRT((1+'Paramètres'!$B$4*(C19-1)+'Paramètres'!$B$5*(C19-1)^2)),0)</x:f>
        <x:v>0</x:v>
      </x:c>
      <x:c r="H19" s="28" t="n">
        <x:f>ROUND(Catalogue!H4*SQRT((1+'Paramètres'!$B$4*(C19-1)+'Paramètres'!$B$5*(C19-1)^2)),0)</x:f>
        <x:v>0</x:v>
      </x:c>
      <x:c r="I19" s="28" t="n">
        <x:v>2</x:v>
      </x:c>
      <x:c r="J19" s="28" t="n">
        <x:v>1</x:v>
      </x:c>
      <x:c r="K19" s="30" t="n">
        <x:v>0.4</x:v>
      </x:c>
      <x:c r="L19" s="54" t="n">
        <x:f>IF(M19=0,0,(E19+F19)/2)</x:f>
        <x:v>19</x:v>
      </x:c>
      <x:c r="M19" t="n">
        <x:v>4</x:v>
      </x:c>
      <x:c r="N19" t="n">
        <x:v>4</x:v>
      </x:c>
      <x:c r="O19" t="n">
        <x:v>9</x:v>
      </x:c>
      <x:c r="P19" s="63" t="str">
        <x:f>IF(M19=0,"—",M19&amp;"d"&amp;N19&amp;IF(O19=0,""," + "&amp;O19))</x:f>
        <x:v>4d4 + 9</x:v>
      </x:c>
      <x:c r="Q19" t="n">
        <x:f>ROUND(INDEX(Catalogue!E$4:E$85,MATCH(A19,Catalogue!A$4:A$85,0))*(1+'Paramètres'!$B$4*(C19-1)+'Paramètres'!$B$5*(C19-1)^2),0)</x:f>
        <x:v>13</x:v>
      </x:c>
      <x:c r="R19" t="n">
        <x:f>ROUND(INDEX(Catalogue!F$4:F$85,MATCH(A19,Catalogue!A$4:A$85,0))*(1+'Paramètres'!$B$4*(C19-1)+'Paramètres'!$B$5*(C19-1)^2),0)</x:f>
        <x:v>25</x:v>
      </x:c>
      <x:c r="S19" t="n">
        <x:f>L19-AVERAGE(Q19:R19)</x:f>
        <x:v>0</x:v>
      </x:c>
      <x:c r="T19" t="str">
        <x:f>IF(M19=0,IF(AND(N19=0,O19=0,E19=0,F19=0),"OK","ERREUR"),IF(AND(M19&gt;=1,M19&lt;=32,OR(N19=4,N19=6,N19=8,N19=10,N19=12,N19=20),O19&gt;=0,E19=M19+O19,F19=M19*N19+O19),"OK","ERREUR"))</x:f>
        <x:v>OK</x:v>
      </x:c>
      <x:c r="U19" s="86" t="n">
        <x:f>IF(M19&gt;0,M19*(N19+1)/2+O19,0)</x:f>
        <x:v>19</x:v>
      </x:c>
      <x:c r="V19" t="str">
        <x:f>IF(ABS(L19-U19)&lt;0.001,"OK","ERREUR")</x:f>
        <x:v>OK</x:v>
      </x:c>
    </x:row>
    <x:row r="20" ht="18" customHeight="1">
      <x:c r="A20" t="str">
        <x:v>ARM001</x:v>
      </x:c>
      <x:c r="B20" t="str">
        <x:v>Dague</x:v>
      </x:c>
      <x:c r="C20" t="n">
        <x:v>17</x:v>
      </x:c>
      <x:c r="D20" t="str">
        <x:v>Légères</x:v>
      </x:c>
      <x:c r="E20" s="28" t="n">
        <x:f>IF(M20=0,0,M20+O20)</x:f>
        <x:v>13</x:v>
      </x:c>
      <x:c r="F20" s="28" t="n">
        <x:f>IF(M20=0,0,M20*N20+O20)</x:f>
        <x:v>27</x:v>
      </x:c>
      <x:c r="G20" s="28" t="n">
        <x:f>ROUND(Catalogue!G4*SQRT((1+'Paramètres'!$B$4*(C20-1)+'Paramètres'!$B$5*(C20-1)^2)),0)</x:f>
        <x:v>0</x:v>
      </x:c>
      <x:c r="H20" s="28" t="n">
        <x:f>ROUND(Catalogue!H4*SQRT((1+'Paramètres'!$B$4*(C20-1)+'Paramètres'!$B$5*(C20-1)^2)),0)</x:f>
        <x:v>0</x:v>
      </x:c>
      <x:c r="I20" s="28" t="n">
        <x:v>2</x:v>
      </x:c>
      <x:c r="J20" s="28" t="n">
        <x:v>1</x:v>
      </x:c>
      <x:c r="K20" s="30" t="n">
        <x:v>0.4</x:v>
      </x:c>
      <x:c r="L20" s="54" t="n">
        <x:f>IF(M20=0,0,(E20+F20)/2)</x:f>
        <x:v>20</x:v>
      </x:c>
      <x:c r="M20" t="n">
        <x:v>2</x:v>
      </x:c>
      <x:c r="N20" t="n">
        <x:v>8</x:v>
      </x:c>
      <x:c r="O20" t="n">
        <x:v>11</x:v>
      </x:c>
      <x:c r="P20" s="63" t="str">
        <x:f>IF(M20=0,"—",M20&amp;"d"&amp;N20&amp;IF(O20=0,""," + "&amp;O20))</x:f>
        <x:v>2d8 + 11</x:v>
      </x:c>
      <x:c r="Q20" t="n">
        <x:f>ROUND(INDEX(Catalogue!E$4:E$85,MATCH(A20,Catalogue!A$4:A$85,0))*(1+'Paramètres'!$B$4*(C20-1)+'Paramètres'!$B$5*(C20-1)^2),0)</x:f>
        <x:v>14</x:v>
      </x:c>
      <x:c r="R20" t="n">
        <x:f>ROUND(INDEX(Catalogue!F$4:F$85,MATCH(A20,Catalogue!A$4:A$85,0))*(1+'Paramètres'!$B$4*(C20-1)+'Paramètres'!$B$5*(C20-1)^2),0)</x:f>
        <x:v>27</x:v>
      </x:c>
      <x:c r="S20" t="n">
        <x:f>L20-AVERAGE(Q20:R20)</x:f>
        <x:v>-0.5</x:v>
      </x:c>
      <x:c r="T20" t="str">
        <x:f>IF(M20=0,IF(AND(N20=0,O20=0,E20=0,F20=0),"OK","ERREUR"),IF(AND(M20&gt;=1,M20&lt;=32,OR(N20=4,N20=6,N20=8,N20=10,N20=12,N20=20),O20&gt;=0,E20=M20+O20,F20=M20*N20+O20),"OK","ERREUR"))</x:f>
        <x:v>OK</x:v>
      </x:c>
      <x:c r="U20" s="86" t="n">
        <x:f>IF(M20&gt;0,M20*(N20+1)/2+O20,0)</x:f>
        <x:v>20</x:v>
      </x:c>
      <x:c r="V20" t="str">
        <x:f>IF(ABS(L20-U20)&lt;0.001,"OK","ERREUR")</x:f>
        <x:v>OK</x:v>
      </x:c>
    </x:row>
    <x:row r="21" ht="18" customHeight="1">
      <x:c r="A21" t="str">
        <x:v>ARM001</x:v>
      </x:c>
      <x:c r="B21" t="str">
        <x:v>Dague</x:v>
      </x:c>
      <x:c r="C21" t="n">
        <x:v>18</x:v>
      </x:c>
      <x:c r="D21" t="str">
        <x:v>Légères</x:v>
      </x:c>
      <x:c r="E21" s="28" t="n">
        <x:f>IF(M21=0,0,M21+O21)</x:f>
        <x:v>15</x:v>
      </x:c>
      <x:c r="F21" s="28" t="n">
        <x:f>IF(M21=0,0,M21*N21+O21)</x:f>
        <x:v>30</x:v>
      </x:c>
      <x:c r="G21" s="28" t="n">
        <x:f>ROUND(Catalogue!G4*SQRT((1+'Paramètres'!$B$4*(C21-1)+'Paramètres'!$B$5*(C21-1)^2)),0)</x:f>
        <x:v>0</x:v>
      </x:c>
      <x:c r="H21" s="28" t="n">
        <x:f>ROUND(Catalogue!H4*SQRT((1+'Paramètres'!$B$4*(C21-1)+'Paramètres'!$B$5*(C21-1)^2)),0)</x:f>
        <x:v>0</x:v>
      </x:c>
      <x:c r="I21" s="28" t="n">
        <x:v>2</x:v>
      </x:c>
      <x:c r="J21" s="28" t="n">
        <x:v>1</x:v>
      </x:c>
      <x:c r="K21" s="30" t="n">
        <x:v>0.4</x:v>
      </x:c>
      <x:c r="L21" s="54" t="n">
        <x:f>IF(M21=0,0,(E21+F21)/2)</x:f>
        <x:v>22.5</x:v>
      </x:c>
      <x:c r="M21" t="n">
        <x:v>3</x:v>
      </x:c>
      <x:c r="N21" t="n">
        <x:v>6</x:v>
      </x:c>
      <x:c r="O21" t="n">
        <x:v>12</x:v>
      </x:c>
      <x:c r="P21" s="63" t="str">
        <x:f>IF(M21=0,"—",M21&amp;"d"&amp;N21&amp;IF(O21=0,""," + "&amp;O21))</x:f>
        <x:v>3d6 + 12</x:v>
      </x:c>
      <x:c r="Q21" t="n">
        <x:f>ROUND(INDEX(Catalogue!E$4:E$85,MATCH(A21,Catalogue!A$4:A$85,0))*(1+'Paramètres'!$B$4*(C21-1)+'Paramètres'!$B$5*(C21-1)^2),0)</x:f>
        <x:v>15</x:v>
      </x:c>
      <x:c r="R21" t="n">
        <x:f>ROUND(INDEX(Catalogue!F$4:F$85,MATCH(A21,Catalogue!A$4:A$85,0))*(1+'Paramètres'!$B$4*(C21-1)+'Paramètres'!$B$5*(C21-1)^2),0)</x:f>
        <x:v>30</x:v>
      </x:c>
      <x:c r="S21" t="n">
        <x:f>L21-AVERAGE(Q21:R21)</x:f>
        <x:v>0</x:v>
      </x:c>
      <x:c r="T21" t="str">
        <x:f>IF(M21=0,IF(AND(N21=0,O21=0,E21=0,F21=0),"OK","ERREUR"),IF(AND(M21&gt;=1,M21&lt;=32,OR(N21=4,N21=6,N21=8,N21=10,N21=12,N21=20),O21&gt;=0,E21=M21+O21,F21=M21*N21+O21),"OK","ERREUR"))</x:f>
        <x:v>OK</x:v>
      </x:c>
      <x:c r="U21" s="86" t="n">
        <x:f>IF(M21&gt;0,M21*(N21+1)/2+O21,0)</x:f>
        <x:v>22.5</x:v>
      </x:c>
      <x:c r="V21" t="str">
        <x:f>IF(ABS(L21-U21)&lt;0.001,"OK","ERREUR")</x:f>
        <x:v>OK</x:v>
      </x:c>
    </x:row>
    <x:row r="22" ht="18" customHeight="1">
      <x:c r="A22" t="str">
        <x:v>ARM001</x:v>
      </x:c>
      <x:c r="B22" t="str">
        <x:v>Dague</x:v>
      </x:c>
      <x:c r="C22" t="n">
        <x:v>19</x:v>
      </x:c>
      <x:c r="D22" t="str">
        <x:v>Légères</x:v>
      </x:c>
      <x:c r="E22" s="28" t="n">
        <x:f>IF(M22=0,0,M22+O22)</x:f>
        <x:v>15</x:v>
      </x:c>
      <x:c r="F22" s="28" t="n">
        <x:f>IF(M22=0,0,M22*N22+O22)</x:f>
        <x:v>33</x:v>
      </x:c>
      <x:c r="G22" s="28" t="n">
        <x:f>ROUND(Catalogue!G4*SQRT((1+'Paramètres'!$B$4*(C22-1)+'Paramètres'!$B$5*(C22-1)^2)),0)</x:f>
        <x:v>0</x:v>
      </x:c>
      <x:c r="H22" s="28" t="n">
        <x:f>ROUND(Catalogue!H4*SQRT((1+'Paramètres'!$B$4*(C22-1)+'Paramètres'!$B$5*(C22-1)^2)),0)</x:f>
        <x:v>0</x:v>
      </x:c>
      <x:c r="I22" s="28" t="n">
        <x:v>2</x:v>
      </x:c>
      <x:c r="J22" s="28" t="n">
        <x:v>1</x:v>
      </x:c>
      <x:c r="K22" s="30" t="n">
        <x:v>0.4</x:v>
      </x:c>
      <x:c r="L22" s="54" t="n">
        <x:f>IF(M22=0,0,(E22+F22)/2)</x:f>
        <x:v>24</x:v>
      </x:c>
      <x:c r="M22" t="n">
        <x:v>2</x:v>
      </x:c>
      <x:c r="N22" t="n">
        <x:v>10</x:v>
      </x:c>
      <x:c r="O22" t="n">
        <x:v>13</x:v>
      </x:c>
      <x:c r="P22" s="63" t="str">
        <x:f>IF(M22=0,"—",M22&amp;"d"&amp;N22&amp;IF(O22=0,""," + "&amp;O22))</x:f>
        <x:v>2d10 + 13</x:v>
      </x:c>
      <x:c r="Q22" t="n">
        <x:f>ROUND(INDEX(Catalogue!E$4:E$85,MATCH(A22,Catalogue!A$4:A$85,0))*(1+'Paramètres'!$B$4*(C22-1)+'Paramètres'!$B$5*(C22-1)^2),0)</x:f>
        <x:v>16</x:v>
      </x:c>
      <x:c r="R22" t="n">
        <x:f>ROUND(INDEX(Catalogue!F$4:F$85,MATCH(A22,Catalogue!A$4:A$85,0))*(1+'Paramètres'!$B$4*(C22-1)+'Paramètres'!$B$5*(C22-1)^2),0)</x:f>
        <x:v>33</x:v>
      </x:c>
      <x:c r="S22" t="n">
        <x:f>L22-AVERAGE(Q22:R22)</x:f>
        <x:v>-0.5</x:v>
      </x:c>
      <x:c r="T22" t="str">
        <x:f>IF(M22=0,IF(AND(N22=0,O22=0,E22=0,F22=0),"OK","ERREUR"),IF(AND(M22&gt;=1,M22&lt;=32,OR(N22=4,N22=6,N22=8,N22=10,N22=12,N22=20),O22&gt;=0,E22=M22+O22,F22=M22*N22+O22),"OK","ERREUR"))</x:f>
        <x:v>OK</x:v>
      </x:c>
      <x:c r="U22" s="86" t="n">
        <x:f>IF(M22&gt;0,M22*(N22+1)/2+O22,0)</x:f>
        <x:v>24</x:v>
      </x:c>
      <x:c r="V22" t="str">
        <x:f>IF(ABS(L22-U22)&lt;0.001,"OK","ERREUR")</x:f>
        <x:v>OK</x:v>
      </x:c>
    </x:row>
    <x:row r="23" ht="18" customHeight="1">
      <x:c r="A23" t="str">
        <x:v>ARM001</x:v>
      </x:c>
      <x:c r="B23" t="str">
        <x:v>Dague</x:v>
      </x:c>
      <x:c r="C23" t="n">
        <x:v>20</x:v>
      </x:c>
      <x:c r="D23" t="str">
        <x:v>Légères</x:v>
      </x:c>
      <x:c r="E23" s="28" t="n">
        <x:f>IF(M23=0,0,M23+O23)</x:f>
        <x:v>18</x:v>
      </x:c>
      <x:c r="F23" s="28" t="n">
        <x:f>IF(M23=0,0,M23*N23+O23)</x:f>
        <x:v>36</x:v>
      </x:c>
      <x:c r="G23" s="28" t="n">
        <x:f>ROUND(Catalogue!G4*SQRT((1+'Paramètres'!$B$4*(C23-1)+'Paramètres'!$B$5*(C23-1)^2)),0)</x:f>
        <x:v>0</x:v>
      </x:c>
      <x:c r="H23" s="28" t="n">
        <x:f>ROUND(Catalogue!H4*SQRT((1+'Paramètres'!$B$4*(C23-1)+'Paramètres'!$B$5*(C23-1)^2)),0)</x:f>
        <x:v>0</x:v>
      </x:c>
      <x:c r="I23" s="28" t="n">
        <x:v>2</x:v>
      </x:c>
      <x:c r="J23" s="28" t="n">
        <x:v>1</x:v>
      </x:c>
      <x:c r="K23" s="30" t="n">
        <x:v>0.4</x:v>
      </x:c>
      <x:c r="L23" s="54" t="n">
        <x:f>IF(M23=0,0,(E23+F23)/2)</x:f>
        <x:v>27</x:v>
      </x:c>
      <x:c r="M23" t="n">
        <x:v>2</x:v>
      </x:c>
      <x:c r="N23" t="n">
        <x:v>10</x:v>
      </x:c>
      <x:c r="O23" t="n">
        <x:v>16</x:v>
      </x:c>
      <x:c r="P23" s="63" t="str">
        <x:f>IF(M23=0,"—",M23&amp;"d"&amp;N23&amp;IF(O23=0,""," + "&amp;O23))</x:f>
        <x:v>2d10 + 16</x:v>
      </x:c>
      <x:c r="Q23" t="n">
        <x:f>ROUND(INDEX(Catalogue!E$4:E$85,MATCH(A23,Catalogue!A$4:A$85,0))*(1+'Paramètres'!$B$4*(C23-1)+'Paramètres'!$B$5*(C23-1)^2),0)</x:f>
        <x:v>18</x:v>
      </x:c>
      <x:c r="R23" t="n">
        <x:f>ROUND(INDEX(Catalogue!F$4:F$85,MATCH(A23,Catalogue!A$4:A$85,0))*(1+'Paramètres'!$B$4*(C23-1)+'Paramètres'!$B$5*(C23-1)^2),0)</x:f>
        <x:v>35</x:v>
      </x:c>
      <x:c r="S23" t="n">
        <x:f>L23-AVERAGE(Q23:R23)</x:f>
        <x:v>0.5</x:v>
      </x:c>
      <x:c r="T23" t="str">
        <x:f>IF(M23=0,IF(AND(N23=0,O23=0,E23=0,F23=0),"OK","ERREUR"),IF(AND(M23&gt;=1,M23&lt;=32,OR(N23=4,N23=6,N23=8,N23=10,N23=12,N23=20),O23&gt;=0,E23=M23+O23,F23=M23*N23+O23),"OK","ERREUR"))</x:f>
        <x:v>OK</x:v>
      </x:c>
      <x:c r="U23" s="86" t="n">
        <x:f>IF(M23&gt;0,M23*(N23+1)/2+O23,0)</x:f>
        <x:v>27</x:v>
      </x:c>
      <x:c r="V23" t="str">
        <x:f>IF(ABS(L23-U23)&lt;0.001,"OK","ERREUR")</x:f>
        <x:v>OK</x:v>
      </x:c>
    </x:row>
    <x:row r="24" ht="18" customHeight="1">
      <x:c r="A24" t="str">
        <x:v>ARM002</x:v>
      </x:c>
      <x:c r="B24" t="str">
        <x:v>Poignard d'assassin</x:v>
      </x:c>
      <x:c r="C24" t="n">
        <x:v>1</x:v>
      </x:c>
      <x:c r="D24" t="str">
        <x:v>Légères</x:v>
      </x:c>
      <x:c r="E24" s="28" t="n">
        <x:f>IF(M24=0,0,M24+O24)</x:f>
        <x:v>1</x:v>
      </x:c>
      <x:c r="F24" s="28" t="n">
        <x:f>IF(M24=0,0,M24*N24+O24)</x:f>
        <x:v>4</x:v>
      </x:c>
      <x:c r="G24" s="28" t="n">
        <x:f>ROUND(Catalogue!G5*SQRT((1+'Paramètres'!$B$4*(C24-1)+'Paramètres'!$B$5*(C24-1)^2)),0)</x:f>
        <x:v>0</x:v>
      </x:c>
      <x:c r="H24" s="28" t="n">
        <x:f>ROUND(Catalogue!H5*SQRT((1+'Paramètres'!$B$4*(C24-1)+'Paramètres'!$B$5*(C24-1)^2)),0)</x:f>
        <x:v>0</x:v>
      </x:c>
      <x:c r="I24" s="28" t="n">
        <x:v>2</x:v>
      </x:c>
      <x:c r="J24" s="28" t="n">
        <x:v>1</x:v>
      </x:c>
      <x:c r="K24" s="30" t="n">
        <x:v>0.3</x:v>
      </x:c>
      <x:c r="L24" s="54" t="n">
        <x:f>IF(M24=0,0,(E24+F24)/2)</x:f>
        <x:v>2.5</x:v>
      </x:c>
      <x:c r="M24" t="n">
        <x:v>1</x:v>
      </x:c>
      <x:c r="N24" t="n">
        <x:v>4</x:v>
      </x:c>
      <x:c r="O24" t="n">
        <x:v>0</x:v>
      </x:c>
      <x:c r="P24" s="63" t="str">
        <x:f>IF(M24=0,"—",M24&amp;"d"&amp;N24&amp;IF(O24=0,""," + "&amp;O24))</x:f>
        <x:v>1d4</x:v>
      </x:c>
      <x:c r="Q24" t="n">
        <x:f>ROUND(INDEX(Catalogue!E$4:E$85,MATCH(A24,Catalogue!A$4:A$85,0))*(1+'Paramètres'!$B$4*(C24-1)+'Paramètres'!$B$5*(C24-1)^2),0)</x:f>
        <x:v>2</x:v>
      </x:c>
      <x:c r="R24" t="n">
        <x:f>ROUND(INDEX(Catalogue!F$4:F$85,MATCH(A24,Catalogue!A$4:A$85,0))*(1+'Paramètres'!$B$4*(C24-1)+'Paramètres'!$B$5*(C24-1)^2),0)</x:f>
        <x:v>3</x:v>
      </x:c>
      <x:c r="S24" t="n">
        <x:f>L24-AVERAGE(Q24:R24)</x:f>
        <x:v>0</x:v>
      </x:c>
      <x:c r="T24" t="str">
        <x:f>IF(M24=0,IF(AND(N24=0,O24=0,E24=0,F24=0),"OK","ERREUR"),IF(AND(M24&gt;=1,M24&lt;=32,OR(N24=4,N24=6,N24=8,N24=10,N24=12,N24=20),O24&gt;=0,E24=M24+O24,F24=M24*N24+O24),"OK","ERREUR"))</x:f>
        <x:v>OK</x:v>
      </x:c>
      <x:c r="U24" s="86" t="n">
        <x:f>IF(M24&gt;0,M24*(N24+1)/2+O24,0)</x:f>
        <x:v>2.5</x:v>
      </x:c>
      <x:c r="V24" t="str">
        <x:f>IF(ABS(L24-U24)&lt;0.001,"OK","ERREUR")</x:f>
        <x:v>OK</x:v>
      </x:c>
    </x:row>
    <x:row r="25" ht="18" customHeight="1">
      <x:c r="A25" t="str">
        <x:v>ARM002</x:v>
      </x:c>
      <x:c r="B25" t="str">
        <x:v>Poignard d'assassin</x:v>
      </x:c>
      <x:c r="C25" t="n">
        <x:v>2</x:v>
      </x:c>
      <x:c r="D25" t="str">
        <x:v>Légères</x:v>
      </x:c>
      <x:c r="E25" s="28" t="n">
        <x:f>IF(M25=0,0,M25+O25)</x:f>
        <x:v>1</x:v>
      </x:c>
      <x:c r="F25" s="28" t="n">
        <x:f>IF(M25=0,0,M25*N25+O25)</x:f>
        <x:v>4</x:v>
      </x:c>
      <x:c r="G25" s="28" t="n">
        <x:f>ROUND(Catalogue!G5*SQRT((1+'Paramètres'!$B$4*(C25-1)+'Paramètres'!$B$5*(C25-1)^2)),0)</x:f>
        <x:v>0</x:v>
      </x:c>
      <x:c r="H25" s="28" t="n">
        <x:f>ROUND(Catalogue!H5*SQRT((1+'Paramètres'!$B$4*(C25-1)+'Paramètres'!$B$5*(C25-1)^2)),0)</x:f>
        <x:v>0</x:v>
      </x:c>
      <x:c r="I25" s="28" t="n">
        <x:v>2</x:v>
      </x:c>
      <x:c r="J25" s="28" t="n">
        <x:v>1</x:v>
      </x:c>
      <x:c r="K25" s="30" t="n">
        <x:v>0.3</x:v>
      </x:c>
      <x:c r="L25" s="54" t="n">
        <x:f>IF(M25=0,0,(E25+F25)/2)</x:f>
        <x:v>2.5</x:v>
      </x:c>
      <x:c r="M25" t="n">
        <x:v>1</x:v>
      </x:c>
      <x:c r="N25" t="n">
        <x:v>4</x:v>
      </x:c>
      <x:c r="O25" t="n">
        <x:v>0</x:v>
      </x:c>
      <x:c r="P25" s="63" t="str">
        <x:f>IF(M25=0,"—",M25&amp;"d"&amp;N25&amp;IF(O25=0,""," + "&amp;O25))</x:f>
        <x:v>1d4</x:v>
      </x:c>
      <x:c r="Q25" t="n">
        <x:f>ROUND(INDEX(Catalogue!E$4:E$85,MATCH(A25,Catalogue!A$4:A$85,0))*(1+'Paramètres'!$B$4*(C25-1)+'Paramètres'!$B$5*(C25-1)^2),0)</x:f>
        <x:v>2</x:v>
      </x:c>
      <x:c r="R25" t="n">
        <x:f>ROUND(INDEX(Catalogue!F$4:F$85,MATCH(A25,Catalogue!A$4:A$85,0))*(1+'Paramètres'!$B$4*(C25-1)+'Paramètres'!$B$5*(C25-1)^2),0)</x:f>
        <x:v>3</x:v>
      </x:c>
      <x:c r="S25" t="n">
        <x:f>L25-AVERAGE(Q25:R25)</x:f>
        <x:v>0</x:v>
      </x:c>
      <x:c r="T25" t="str">
        <x:f>IF(M25=0,IF(AND(N25=0,O25=0,E25=0,F25=0),"OK","ERREUR"),IF(AND(M25&gt;=1,M25&lt;=32,OR(N25=4,N25=6,N25=8,N25=10,N25=12,N25=20),O25&gt;=0,E25=M25+O25,F25=M25*N25+O25),"OK","ERREUR"))</x:f>
        <x:v>OK</x:v>
      </x:c>
      <x:c r="U25" s="86" t="n">
        <x:f>IF(M25&gt;0,M25*(N25+1)/2+O25,0)</x:f>
        <x:v>2.5</x:v>
      </x:c>
      <x:c r="V25" t="str">
        <x:f>IF(ABS(L25-U25)&lt;0.001,"OK","ERREUR")</x:f>
        <x:v>OK</x:v>
      </x:c>
    </x:row>
    <x:row r="26" ht="18" customHeight="1">
      <x:c r="A26" t="str">
        <x:v>ARM002</x:v>
      </x:c>
      <x:c r="B26" t="str">
        <x:v>Poignard d'assassin</x:v>
      </x:c>
      <x:c r="C26" t="n">
        <x:v>3</x:v>
      </x:c>
      <x:c r="D26" t="str">
        <x:v>Légères</x:v>
      </x:c>
      <x:c r="E26" s="28" t="n">
        <x:f>IF(M26=0,0,M26+O26)</x:f>
        <x:v>2</x:v>
      </x:c>
      <x:c r="F26" s="28" t="n">
        <x:f>IF(M26=0,0,M26*N26+O26)</x:f>
        <x:v>5</x:v>
      </x:c>
      <x:c r="G26" s="28" t="n">
        <x:f>ROUND(Catalogue!G5*SQRT((1+'Paramètres'!$B$4*(C26-1)+'Paramètres'!$B$5*(C26-1)^2)),0)</x:f>
        <x:v>0</x:v>
      </x:c>
      <x:c r="H26" s="28" t="n">
        <x:f>ROUND(Catalogue!H5*SQRT((1+'Paramètres'!$B$4*(C26-1)+'Paramètres'!$B$5*(C26-1)^2)),0)</x:f>
        <x:v>0</x:v>
      </x:c>
      <x:c r="I26" s="28" t="n">
        <x:v>2</x:v>
      </x:c>
      <x:c r="J26" s="28" t="n">
        <x:v>1</x:v>
      </x:c>
      <x:c r="K26" s="30" t="n">
        <x:v>0.3</x:v>
      </x:c>
      <x:c r="L26" s="54" t="n">
        <x:f>IF(M26=0,0,(E26+F26)/2)</x:f>
        <x:v>3.5</x:v>
      </x:c>
      <x:c r="M26" t="n">
        <x:v>1</x:v>
      </x:c>
      <x:c r="N26" t="n">
        <x:v>4</x:v>
      </x:c>
      <x:c r="O26" t="n">
        <x:v>1</x:v>
      </x:c>
      <x:c r="P26" s="63" t="str">
        <x:f>IF(M26=0,"—",M26&amp;"d"&amp;N26&amp;IF(O26=0,""," + "&amp;O26))</x:f>
        <x:v>1d4 + 1</x:v>
      </x:c>
      <x:c r="Q26" t="n">
        <x:f>ROUND(INDEX(Catalogue!E$4:E$85,MATCH(A26,Catalogue!A$4:A$85,0))*(1+'Paramètres'!$B$4*(C26-1)+'Paramètres'!$B$5*(C26-1)^2),0)</x:f>
        <x:v>3</x:v>
      </x:c>
      <x:c r="R26" t="n">
        <x:f>ROUND(INDEX(Catalogue!F$4:F$85,MATCH(A26,Catalogue!A$4:A$85,0))*(1+'Paramètres'!$B$4*(C26-1)+'Paramètres'!$B$5*(C26-1)^2),0)</x:f>
        <x:v>4</x:v>
      </x:c>
      <x:c r="S26" t="n">
        <x:f>L26-AVERAGE(Q26:R26)</x:f>
        <x:v>0</x:v>
      </x:c>
      <x:c r="T26" t="str">
        <x:f>IF(M26=0,IF(AND(N26=0,O26=0,E26=0,F26=0),"OK","ERREUR"),IF(AND(M26&gt;=1,M26&lt;=32,OR(N26=4,N26=6,N26=8,N26=10,N26=12,N26=20),O26&gt;=0,E26=M26+O26,F26=M26*N26+O26),"OK","ERREUR"))</x:f>
        <x:v>OK</x:v>
      </x:c>
      <x:c r="U26" s="86" t="n">
        <x:f>IF(M26&gt;0,M26*(N26+1)/2+O26,0)</x:f>
        <x:v>3.5</x:v>
      </x:c>
      <x:c r="V26" t="str">
        <x:f>IF(ABS(L26-U26)&lt;0.001,"OK","ERREUR")</x:f>
        <x:v>OK</x:v>
      </x:c>
    </x:row>
    <x:row r="27" ht="18" customHeight="1">
      <x:c r="A27" t="str">
        <x:v>ARM002</x:v>
      </x:c>
      <x:c r="B27" t="str">
        <x:v>Poignard d'assassin</x:v>
      </x:c>
      <x:c r="C27" t="n">
        <x:v>4</x:v>
      </x:c>
      <x:c r="D27" t="str">
        <x:v>Légères</x:v>
      </x:c>
      <x:c r="E27" s="28" t="n">
        <x:f>IF(M27=0,0,M27+O27)</x:f>
        <x:v>2</x:v>
      </x:c>
      <x:c r="F27" s="28" t="n">
        <x:f>IF(M27=0,0,M27*N27+O27)</x:f>
        <x:v>5</x:v>
      </x:c>
      <x:c r="G27" s="28" t="n">
        <x:f>ROUND(Catalogue!G5*SQRT((1+'Paramètres'!$B$4*(C27-1)+'Paramètres'!$B$5*(C27-1)^2)),0)</x:f>
        <x:v>0</x:v>
      </x:c>
      <x:c r="H27" s="28" t="n">
        <x:f>ROUND(Catalogue!H5*SQRT((1+'Paramètres'!$B$4*(C27-1)+'Paramètres'!$B$5*(C27-1)^2)),0)</x:f>
        <x:v>0</x:v>
      </x:c>
      <x:c r="I27" s="28" t="n">
        <x:v>2</x:v>
      </x:c>
      <x:c r="J27" s="28" t="n">
        <x:v>1</x:v>
      </x:c>
      <x:c r="K27" s="30" t="n">
        <x:v>0.3</x:v>
      </x:c>
      <x:c r="L27" s="54" t="n">
        <x:f>IF(M27=0,0,(E27+F27)/2)</x:f>
        <x:v>3.5</x:v>
      </x:c>
      <x:c r="M27" t="n">
        <x:v>1</x:v>
      </x:c>
      <x:c r="N27" t="n">
        <x:v>4</x:v>
      </x:c>
      <x:c r="O27" t="n">
        <x:v>1</x:v>
      </x:c>
      <x:c r="P27" s="63" t="str">
        <x:f>IF(M27=0,"—",M27&amp;"d"&amp;N27&amp;IF(O27=0,""," + "&amp;O27))</x:f>
        <x:v>1d4 + 1</x:v>
      </x:c>
      <x:c r="Q27" t="n">
        <x:f>ROUND(INDEX(Catalogue!E$4:E$85,MATCH(A27,Catalogue!A$4:A$85,0))*(1+'Paramètres'!$B$4*(C27-1)+'Paramètres'!$B$5*(C27-1)^2),0)</x:f>
        <x:v>3</x:v>
      </x:c>
      <x:c r="R27" t="n">
        <x:f>ROUND(INDEX(Catalogue!F$4:F$85,MATCH(A27,Catalogue!A$4:A$85,0))*(1+'Paramètres'!$B$4*(C27-1)+'Paramètres'!$B$5*(C27-1)^2),0)</x:f>
        <x:v>4</x:v>
      </x:c>
      <x:c r="S27" t="n">
        <x:f>L27-AVERAGE(Q27:R27)</x:f>
        <x:v>0</x:v>
      </x:c>
      <x:c r="T27" t="str">
        <x:f>IF(M27=0,IF(AND(N27=0,O27=0,E27=0,F27=0),"OK","ERREUR"),IF(AND(M27&gt;=1,M27&lt;=32,OR(N27=4,N27=6,N27=8,N27=10,N27=12,N27=20),O27&gt;=0,E27=M27+O27,F27=M27*N27+O27),"OK","ERREUR"))</x:f>
        <x:v>OK</x:v>
      </x:c>
      <x:c r="U27" s="86" t="n">
        <x:f>IF(M27&gt;0,M27*(N27+1)/2+O27,0)</x:f>
        <x:v>3.5</x:v>
      </x:c>
      <x:c r="V27" t="str">
        <x:f>IF(ABS(L27-U27)&lt;0.001,"OK","ERREUR")</x:f>
        <x:v>OK</x:v>
      </x:c>
    </x:row>
    <x:row r="28" ht="18" customHeight="1">
      <x:c r="A28" t="str">
        <x:v>ARM002</x:v>
      </x:c>
      <x:c r="B28" t="str">
        <x:v>Poignard d'assassin</x:v>
      </x:c>
      <x:c r="C28" t="n">
        <x:v>5</x:v>
      </x:c>
      <x:c r="D28" t="str">
        <x:v>Légères</x:v>
      </x:c>
      <x:c r="E28" s="28" t="n">
        <x:f>IF(M28=0,0,M28+O28)</x:f>
        <x:v>2</x:v>
      </x:c>
      <x:c r="F28" s="28" t="n">
        <x:f>IF(M28=0,0,M28*N28+O28)</x:f>
        <x:v>5</x:v>
      </x:c>
      <x:c r="G28" s="28" t="n">
        <x:f>ROUND(Catalogue!G5*SQRT((1+'Paramètres'!$B$4*(C28-1)+'Paramètres'!$B$5*(C28-1)^2)),0)</x:f>
        <x:v>0</x:v>
      </x:c>
      <x:c r="H28" s="28" t="n">
        <x:f>ROUND(Catalogue!H5*SQRT((1+'Paramètres'!$B$4*(C28-1)+'Paramètres'!$B$5*(C28-1)^2)),0)</x:f>
        <x:v>0</x:v>
      </x:c>
      <x:c r="I28" s="28" t="n">
        <x:v>2</x:v>
      </x:c>
      <x:c r="J28" s="28" t="n">
        <x:v>1</x:v>
      </x:c>
      <x:c r="K28" s="30" t="n">
        <x:v>0.3</x:v>
      </x:c>
      <x:c r="L28" s="54" t="n">
        <x:f>IF(M28=0,0,(E28+F28)/2)</x:f>
        <x:v>3.5</x:v>
      </x:c>
      <x:c r="M28" t="n">
        <x:v>1</x:v>
      </x:c>
      <x:c r="N28" t="n">
        <x:v>4</x:v>
      </x:c>
      <x:c r="O28" t="n">
        <x:v>1</x:v>
      </x:c>
      <x:c r="P28" s="63" t="str">
        <x:f>IF(M28=0,"—",M28&amp;"d"&amp;N28&amp;IF(O28=0,""," + "&amp;O28))</x:f>
        <x:v>1d4 + 1</x:v>
      </x:c>
      <x:c r="Q28" t="n">
        <x:f>ROUND(INDEX(Catalogue!E$4:E$85,MATCH(A28,Catalogue!A$4:A$85,0))*(1+'Paramètres'!$B$4*(C28-1)+'Paramètres'!$B$5*(C28-1)^2),0)</x:f>
        <x:v>3</x:v>
      </x:c>
      <x:c r="R28" t="n">
        <x:f>ROUND(INDEX(Catalogue!F$4:F$85,MATCH(A28,Catalogue!A$4:A$85,0))*(1+'Paramètres'!$B$4*(C28-1)+'Paramètres'!$B$5*(C28-1)^2),0)</x:f>
        <x:v>5</x:v>
      </x:c>
      <x:c r="S28" t="n">
        <x:f>L28-AVERAGE(Q28:R28)</x:f>
        <x:v>-0.5</x:v>
      </x:c>
      <x:c r="T28" t="str">
        <x:f>IF(M28=0,IF(AND(N28=0,O28=0,E28=0,F28=0),"OK","ERREUR"),IF(AND(M28&gt;=1,M28&lt;=32,OR(N28=4,N28=6,N28=8,N28=10,N28=12,N28=20),O28&gt;=0,E28=M28+O28,F28=M28*N28+O28),"OK","ERREUR"))</x:f>
        <x:v>OK</x:v>
      </x:c>
      <x:c r="U28" s="86" t="n">
        <x:f>IF(M28&gt;0,M28*(N28+1)/2+O28,0)</x:f>
        <x:v>3.5</x:v>
      </x:c>
      <x:c r="V28" t="str">
        <x:f>IF(ABS(L28-U28)&lt;0.001,"OK","ERREUR")</x:f>
        <x:v>OK</x:v>
      </x:c>
    </x:row>
    <x:row r="29" ht="18" customHeight="1">
      <x:c r="A29" t="str">
        <x:v>ARM002</x:v>
      </x:c>
      <x:c r="B29" t="str">
        <x:v>Poignard d'assassin</x:v>
      </x:c>
      <x:c r="C29" t="n">
        <x:v>6</x:v>
      </x:c>
      <x:c r="D29" t="str">
        <x:v>Légères</x:v>
      </x:c>
      <x:c r="E29" s="28" t="n">
        <x:f>IF(M29=0,0,M29+O29)</x:f>
        <x:v>3</x:v>
      </x:c>
      <x:c r="F29" s="28" t="n">
        <x:f>IF(M29=0,0,M29*N29+O29)</x:f>
        <x:v>6</x:v>
      </x:c>
      <x:c r="G29" s="28" t="n">
        <x:f>ROUND(Catalogue!G5*SQRT((1+'Paramètres'!$B$4*(C29-1)+'Paramètres'!$B$5*(C29-1)^2)),0)</x:f>
        <x:v>0</x:v>
      </x:c>
      <x:c r="H29" s="28" t="n">
        <x:f>ROUND(Catalogue!H5*SQRT((1+'Paramètres'!$B$4*(C29-1)+'Paramètres'!$B$5*(C29-1)^2)),0)</x:f>
        <x:v>0</x:v>
      </x:c>
      <x:c r="I29" s="28" t="n">
        <x:v>2</x:v>
      </x:c>
      <x:c r="J29" s="28" t="n">
        <x:v>1</x:v>
      </x:c>
      <x:c r="K29" s="30" t="n">
        <x:v>0.3</x:v>
      </x:c>
      <x:c r="L29" s="54" t="n">
        <x:f>IF(M29=0,0,(E29+F29)/2)</x:f>
        <x:v>4.5</x:v>
      </x:c>
      <x:c r="M29" t="n">
        <x:v>1</x:v>
      </x:c>
      <x:c r="N29" t="n">
        <x:v>4</x:v>
      </x:c>
      <x:c r="O29" t="n">
        <x:v>2</x:v>
      </x:c>
      <x:c r="P29" s="63" t="str">
        <x:f>IF(M29=0,"—",M29&amp;"d"&amp;N29&amp;IF(O29=0,""," + "&amp;O29))</x:f>
        <x:v>1d4 + 2</x:v>
      </x:c>
      <x:c r="Q29" t="n">
        <x:f>ROUND(INDEX(Catalogue!E$4:E$85,MATCH(A29,Catalogue!A$4:A$85,0))*(1+'Paramètres'!$B$4*(C29-1)+'Paramètres'!$B$5*(C29-1)^2),0)</x:f>
        <x:v>4</x:v>
      </x:c>
      <x:c r="R29" t="n">
        <x:f>ROUND(INDEX(Catalogue!F$4:F$85,MATCH(A29,Catalogue!A$4:A$85,0))*(1+'Paramètres'!$B$4*(C29-1)+'Paramètres'!$B$5*(C29-1)^2),0)</x:f>
        <x:v>6</x:v>
      </x:c>
      <x:c r="S29" t="n">
        <x:f>L29-AVERAGE(Q29:R29)</x:f>
        <x:v>-0.5</x:v>
      </x:c>
      <x:c r="T29" t="str">
        <x:f>IF(M29=0,IF(AND(N29=0,O29=0,E29=0,F29=0),"OK","ERREUR"),IF(AND(M29&gt;=1,M29&lt;=32,OR(N29=4,N29=6,N29=8,N29=10,N29=12,N29=20),O29&gt;=0,E29=M29+O29,F29=M29*N29+O29),"OK","ERREUR"))</x:f>
        <x:v>OK</x:v>
      </x:c>
      <x:c r="U29" s="86" t="n">
        <x:f>IF(M29&gt;0,M29*(N29+1)/2+O29,0)</x:f>
        <x:v>4.5</x:v>
      </x:c>
      <x:c r="V29" t="str">
        <x:f>IF(ABS(L29-U29)&lt;0.001,"OK","ERREUR")</x:f>
        <x:v>OK</x:v>
      </x:c>
    </x:row>
    <x:row r="30" ht="18" customHeight="1">
      <x:c r="A30" t="str">
        <x:v>ARM002</x:v>
      </x:c>
      <x:c r="B30" t="str">
        <x:v>Poignard d'assassin</x:v>
      </x:c>
      <x:c r="C30" t="n">
        <x:v>7</x:v>
      </x:c>
      <x:c r="D30" t="str">
        <x:v>Légères</x:v>
      </x:c>
      <x:c r="E30" s="28" t="n">
        <x:f>IF(M30=0,0,M30+O30)</x:f>
        <x:v>4</x:v>
      </x:c>
      <x:c r="F30" s="28" t="n">
        <x:f>IF(M30=0,0,M30*N30+O30)</x:f>
        <x:v>7</x:v>
      </x:c>
      <x:c r="G30" s="28" t="n">
        <x:f>ROUND(Catalogue!G5*SQRT((1+'Paramètres'!$B$4*(C30-1)+'Paramètres'!$B$5*(C30-1)^2)),0)</x:f>
        <x:v>0</x:v>
      </x:c>
      <x:c r="H30" s="28" t="n">
        <x:f>ROUND(Catalogue!H5*SQRT((1+'Paramètres'!$B$4*(C30-1)+'Paramètres'!$B$5*(C30-1)^2)),0)</x:f>
        <x:v>0</x:v>
      </x:c>
      <x:c r="I30" s="28" t="n">
        <x:v>2</x:v>
      </x:c>
      <x:c r="J30" s="28" t="n">
        <x:v>1</x:v>
      </x:c>
      <x:c r="K30" s="30" t="n">
        <x:v>0.3</x:v>
      </x:c>
      <x:c r="L30" s="54" t="n">
        <x:f>IF(M30=0,0,(E30+F30)/2)</x:f>
        <x:v>5.5</x:v>
      </x:c>
      <x:c r="M30" t="n">
        <x:v>1</x:v>
      </x:c>
      <x:c r="N30" t="n">
        <x:v>4</x:v>
      </x:c>
      <x:c r="O30" t="n">
        <x:v>3</x:v>
      </x:c>
      <x:c r="P30" s="63" t="str">
        <x:f>IF(M30=0,"—",M30&amp;"d"&amp;N30&amp;IF(O30=0,""," + "&amp;O30))</x:f>
        <x:v>1d4 + 3</x:v>
      </x:c>
      <x:c r="Q30" t="n">
        <x:f>ROUND(INDEX(Catalogue!E$4:E$85,MATCH(A30,Catalogue!A$4:A$85,0))*(1+'Paramètres'!$B$4*(C30-1)+'Paramètres'!$B$5*(C30-1)^2),0)</x:f>
        <x:v>4</x:v>
      </x:c>
      <x:c r="R30" t="n">
        <x:f>ROUND(INDEX(Catalogue!F$4:F$85,MATCH(A30,Catalogue!A$4:A$85,0))*(1+'Paramètres'!$B$4*(C30-1)+'Paramètres'!$B$5*(C30-1)^2),0)</x:f>
        <x:v>7</x:v>
      </x:c>
      <x:c r="S30" t="n">
        <x:f>L30-AVERAGE(Q30:R30)</x:f>
        <x:v>0</x:v>
      </x:c>
      <x:c r="T30" t="str">
        <x:f>IF(M30=0,IF(AND(N30=0,O30=0,E30=0,F30=0),"OK","ERREUR"),IF(AND(M30&gt;=1,M30&lt;=32,OR(N30=4,N30=6,N30=8,N30=10,N30=12,N30=20),O30&gt;=0,E30=M30+O30,F30=M30*N30+O30),"OK","ERREUR"))</x:f>
        <x:v>OK</x:v>
      </x:c>
      <x:c r="U30" s="86" t="n">
        <x:f>IF(M30&gt;0,M30*(N30+1)/2+O30,0)</x:f>
        <x:v>5.5</x:v>
      </x:c>
      <x:c r="V30" t="str">
        <x:f>IF(ABS(L30-U30)&lt;0.001,"OK","ERREUR")</x:f>
        <x:v>OK</x:v>
      </x:c>
    </x:row>
    <x:row r="31" ht="18" customHeight="1">
      <x:c r="A31" t="str">
        <x:v>ARM002</x:v>
      </x:c>
      <x:c r="B31" t="str">
        <x:v>Poignard d'assassin</x:v>
      </x:c>
      <x:c r="C31" t="n">
        <x:v>8</x:v>
      </x:c>
      <x:c r="D31" t="str">
        <x:v>Légères</x:v>
      </x:c>
      <x:c r="E31" s="28" t="n">
        <x:f>IF(M31=0,0,M31+O31)</x:f>
        <x:v>5</x:v>
      </x:c>
      <x:c r="F31" s="28" t="n">
        <x:f>IF(M31=0,0,M31*N31+O31)</x:f>
        <x:v>8</x:v>
      </x:c>
      <x:c r="G31" s="28" t="n">
        <x:f>ROUND(Catalogue!G5*SQRT((1+'Paramètres'!$B$4*(C31-1)+'Paramètres'!$B$5*(C31-1)^2)),0)</x:f>
        <x:v>0</x:v>
      </x:c>
      <x:c r="H31" s="28" t="n">
        <x:f>ROUND(Catalogue!H5*SQRT((1+'Paramètres'!$B$4*(C31-1)+'Paramètres'!$B$5*(C31-1)^2)),0)</x:f>
        <x:v>0</x:v>
      </x:c>
      <x:c r="I31" s="28" t="n">
        <x:v>2</x:v>
      </x:c>
      <x:c r="J31" s="28" t="n">
        <x:v>1</x:v>
      </x:c>
      <x:c r="K31" s="30" t="n">
        <x:v>0.3</x:v>
      </x:c>
      <x:c r="L31" s="54" t="n">
        <x:f>IF(M31=0,0,(E31+F31)/2)</x:f>
        <x:v>6.5</x:v>
      </x:c>
      <x:c r="M31" t="n">
        <x:v>1</x:v>
      </x:c>
      <x:c r="N31" t="n">
        <x:v>4</x:v>
      </x:c>
      <x:c r="O31" t="n">
        <x:v>4</x:v>
      </x:c>
      <x:c r="P31" s="63" t="str">
        <x:f>IF(M31=0,"—",M31&amp;"d"&amp;N31&amp;IF(O31=0,""," + "&amp;O31))</x:f>
        <x:v>1d4 + 4</x:v>
      </x:c>
      <x:c r="Q31" t="n">
        <x:f>ROUND(INDEX(Catalogue!E$4:E$85,MATCH(A31,Catalogue!A$4:A$85,0))*(1+'Paramètres'!$B$4*(C31-1)+'Paramètres'!$B$5*(C31-1)^2),0)</x:f>
        <x:v>5</x:v>
      </x:c>
      <x:c r="R31" t="n">
        <x:f>ROUND(INDEX(Catalogue!F$4:F$85,MATCH(A31,Catalogue!A$4:A$85,0))*(1+'Paramètres'!$B$4*(C31-1)+'Paramètres'!$B$5*(C31-1)^2),0)</x:f>
        <x:v>8</x:v>
      </x:c>
      <x:c r="S31" t="n">
        <x:f>L31-AVERAGE(Q31:R31)</x:f>
        <x:v>0</x:v>
      </x:c>
      <x:c r="T31" t="str">
        <x:f>IF(M31=0,IF(AND(N31=0,O31=0,E31=0,F31=0),"OK","ERREUR"),IF(AND(M31&gt;=1,M31&lt;=32,OR(N31=4,N31=6,N31=8,N31=10,N31=12,N31=20),O31&gt;=0,E31=M31+O31,F31=M31*N31+O31),"OK","ERREUR"))</x:f>
        <x:v>OK</x:v>
      </x:c>
      <x:c r="U31" s="86" t="n">
        <x:f>IF(M31&gt;0,M31*(N31+1)/2+O31,0)</x:f>
        <x:v>6.5</x:v>
      </x:c>
      <x:c r="V31" t="str">
        <x:f>IF(ABS(L31-U31)&lt;0.001,"OK","ERREUR")</x:f>
        <x:v>OK</x:v>
      </x:c>
    </x:row>
    <x:row r="32" ht="18" customHeight="1">
      <x:c r="A32" t="str">
        <x:v>ARM002</x:v>
      </x:c>
      <x:c r="B32" t="str">
        <x:v>Poignard d'assassin</x:v>
      </x:c>
      <x:c r="C32" t="n">
        <x:v>9</x:v>
      </x:c>
      <x:c r="D32" t="str">
        <x:v>Légères</x:v>
      </x:c>
      <x:c r="E32" s="28" t="n">
        <x:f>IF(M32=0,0,M32+O32)</x:f>
        <x:v>6</x:v>
      </x:c>
      <x:c r="F32" s="28" t="n">
        <x:f>IF(M32=0,0,M32*N32+O32)</x:f>
        <x:v>9</x:v>
      </x:c>
      <x:c r="G32" s="28" t="n">
        <x:f>ROUND(Catalogue!G5*SQRT((1+'Paramètres'!$B$4*(C32-1)+'Paramètres'!$B$5*(C32-1)^2)),0)</x:f>
        <x:v>0</x:v>
      </x:c>
      <x:c r="H32" s="28" t="n">
        <x:f>ROUND(Catalogue!H5*SQRT((1+'Paramètres'!$B$4*(C32-1)+'Paramètres'!$B$5*(C32-1)^2)),0)</x:f>
        <x:v>0</x:v>
      </x:c>
      <x:c r="I32" s="28" t="n">
        <x:v>2</x:v>
      </x:c>
      <x:c r="J32" s="28" t="n">
        <x:v>1</x:v>
      </x:c>
      <x:c r="K32" s="30" t="n">
        <x:v>0.3</x:v>
      </x:c>
      <x:c r="L32" s="54" t="n">
        <x:f>IF(M32=0,0,(E32+F32)/2)</x:f>
        <x:v>7.5</x:v>
      </x:c>
      <x:c r="M32" t="n">
        <x:v>1</x:v>
      </x:c>
      <x:c r="N32" t="n">
        <x:v>4</x:v>
      </x:c>
      <x:c r="O32" t="n">
        <x:v>5</x:v>
      </x:c>
      <x:c r="P32" s="63" t="str">
        <x:f>IF(M32=0,"—",M32&amp;"d"&amp;N32&amp;IF(O32=0,""," + "&amp;O32))</x:f>
        <x:v>1d4 + 5</x:v>
      </x:c>
      <x:c r="Q32" t="n">
        <x:f>ROUND(INDEX(Catalogue!E$4:E$85,MATCH(A32,Catalogue!A$4:A$85,0))*(1+'Paramètres'!$B$4*(C32-1)+'Paramètres'!$B$5*(C32-1)^2),0)</x:f>
        <x:v>6</x:v>
      </x:c>
      <x:c r="R32" t="n">
        <x:f>ROUND(INDEX(Catalogue!F$4:F$85,MATCH(A32,Catalogue!A$4:A$85,0))*(1+'Paramètres'!$B$4*(C32-1)+'Paramètres'!$B$5*(C32-1)^2),0)</x:f>
        <x:v>9</x:v>
      </x:c>
      <x:c r="S32" t="n">
        <x:f>L32-AVERAGE(Q32:R32)</x:f>
        <x:v>0</x:v>
      </x:c>
      <x:c r="T32" t="str">
        <x:f>IF(M32=0,IF(AND(N32=0,O32=0,E32=0,F32=0),"OK","ERREUR"),IF(AND(M32&gt;=1,M32&lt;=32,OR(N32=4,N32=6,N32=8,N32=10,N32=12,N32=20),O32&gt;=0,E32=M32+O32,F32=M32*N32+O32),"OK","ERREUR"))</x:f>
        <x:v>OK</x:v>
      </x:c>
      <x:c r="U32" s="86" t="n">
        <x:f>IF(M32&gt;0,M32*(N32+1)/2+O32,0)</x:f>
        <x:v>7.5</x:v>
      </x:c>
      <x:c r="V32" t="str">
        <x:f>IF(ABS(L32-U32)&lt;0.001,"OK","ERREUR")</x:f>
        <x:v>OK</x:v>
      </x:c>
    </x:row>
    <x:row r="33" ht="18" customHeight="1">
      <x:c r="A33" t="str">
        <x:v>ARM002</x:v>
      </x:c>
      <x:c r="B33" t="str">
        <x:v>Poignard d'assassin</x:v>
      </x:c>
      <x:c r="C33" t="n">
        <x:v>10</x:v>
      </x:c>
      <x:c r="D33" t="str">
        <x:v>Légères</x:v>
      </x:c>
      <x:c r="E33" s="28" t="n">
        <x:f>IF(M33=0,0,M33+O33)</x:f>
        <x:v>7</x:v>
      </x:c>
      <x:c r="F33" s="28" t="n">
        <x:f>IF(M33=0,0,M33*N33+O33)</x:f>
        <x:v>10</x:v>
      </x:c>
      <x:c r="G33" s="28" t="n">
        <x:f>ROUND(Catalogue!G5*SQRT((1+'Paramètres'!$B$4*(C33-1)+'Paramètres'!$B$5*(C33-1)^2)),0)</x:f>
        <x:v>0</x:v>
      </x:c>
      <x:c r="H33" s="28" t="n">
        <x:f>ROUND(Catalogue!H5*SQRT((1+'Paramètres'!$B$4*(C33-1)+'Paramètres'!$B$5*(C33-1)^2)),0)</x:f>
        <x:v>0</x:v>
      </x:c>
      <x:c r="I33" s="28" t="n">
        <x:v>2</x:v>
      </x:c>
      <x:c r="J33" s="28" t="n">
        <x:v>1</x:v>
      </x:c>
      <x:c r="K33" s="30" t="n">
        <x:v>0.3</x:v>
      </x:c>
      <x:c r="L33" s="54" t="n">
        <x:f>IF(M33=0,0,(E33+F33)/2)</x:f>
        <x:v>8.5</x:v>
      </x:c>
      <x:c r="M33" t="n">
        <x:v>1</x:v>
      </x:c>
      <x:c r="N33" t="n">
        <x:v>4</x:v>
      </x:c>
      <x:c r="O33" t="n">
        <x:v>6</x:v>
      </x:c>
      <x:c r="P33" s="63" t="str">
        <x:f>IF(M33=0,"—",M33&amp;"d"&amp;N33&amp;IF(O33=0,""," + "&amp;O33))</x:f>
        <x:v>1d4 + 6</x:v>
      </x:c>
      <x:c r="Q33" t="n">
        <x:f>ROUND(INDEX(Catalogue!E$4:E$85,MATCH(A33,Catalogue!A$4:A$85,0))*(1+'Paramètres'!$B$4*(C33-1)+'Paramètres'!$B$5*(C33-1)^2),0)</x:f>
        <x:v>7</x:v>
      </x:c>
      <x:c r="R33" t="n">
        <x:f>ROUND(INDEX(Catalogue!F$4:F$85,MATCH(A33,Catalogue!A$4:A$85,0))*(1+'Paramètres'!$B$4*(C33-1)+'Paramètres'!$B$5*(C33-1)^2),0)</x:f>
        <x:v>10</x:v>
      </x:c>
      <x:c r="S33" t="n">
        <x:f>L33-AVERAGE(Q33:R33)</x:f>
        <x:v>0</x:v>
      </x:c>
      <x:c r="T33" t="str">
        <x:f>IF(M33=0,IF(AND(N33=0,O33=0,E33=0,F33=0),"OK","ERREUR"),IF(AND(M33&gt;=1,M33&lt;=32,OR(N33=4,N33=6,N33=8,N33=10,N33=12,N33=20),O33&gt;=0,E33=M33+O33,F33=M33*N33+O33),"OK","ERREUR"))</x:f>
        <x:v>OK</x:v>
      </x:c>
      <x:c r="U33" s="86" t="n">
        <x:f>IF(M33&gt;0,M33*(N33+1)/2+O33,0)</x:f>
        <x:v>8.5</x:v>
      </x:c>
      <x:c r="V33" t="str">
        <x:f>IF(ABS(L33-U33)&lt;0.001,"OK","ERREUR")</x:f>
        <x:v>OK</x:v>
      </x:c>
    </x:row>
    <x:row r="34" ht="18" customHeight="1">
      <x:c r="A34" t="str">
        <x:v>ARM002</x:v>
      </x:c>
      <x:c r="B34" t="str">
        <x:v>Poignard d'assassin</x:v>
      </x:c>
      <x:c r="C34" t="n">
        <x:v>11</x:v>
      </x:c>
      <x:c r="D34" t="str">
        <x:v>Légères</x:v>
      </x:c>
      <x:c r="E34" s="28" t="n">
        <x:f>IF(M34=0,0,M34+O34)</x:f>
        <x:v>7</x:v>
      </x:c>
      <x:c r="F34" s="28" t="n">
        <x:f>IF(M34=0,0,M34*N34+O34)</x:f>
        <x:v>10</x:v>
      </x:c>
      <x:c r="G34" s="28" t="n">
        <x:f>ROUND(Catalogue!G5*SQRT((1+'Paramètres'!$B$4*(C34-1)+'Paramètres'!$B$5*(C34-1)^2)),0)</x:f>
        <x:v>0</x:v>
      </x:c>
      <x:c r="H34" s="28" t="n">
        <x:f>ROUND(Catalogue!H5*SQRT((1+'Paramètres'!$B$4*(C34-1)+'Paramètres'!$B$5*(C34-1)^2)),0)</x:f>
        <x:v>0</x:v>
      </x:c>
      <x:c r="I34" s="28" t="n">
        <x:v>2</x:v>
      </x:c>
      <x:c r="J34" s="28" t="n">
        <x:v>1</x:v>
      </x:c>
      <x:c r="K34" s="30" t="n">
        <x:v>0.3</x:v>
      </x:c>
      <x:c r="L34" s="54" t="n">
        <x:f>IF(M34=0,0,(E34+F34)/2)</x:f>
        <x:v>8.5</x:v>
      </x:c>
      <x:c r="M34" t="n">
        <x:v>1</x:v>
      </x:c>
      <x:c r="N34" t="n">
        <x:v>4</x:v>
      </x:c>
      <x:c r="O34" t="n">
        <x:v>6</x:v>
      </x:c>
      <x:c r="P34" s="63" t="str">
        <x:f>IF(M34=0,"—",M34&amp;"d"&amp;N34&amp;IF(O34=0,""," + "&amp;O34))</x:f>
        <x:v>1d4 + 6</x:v>
      </x:c>
      <x:c r="Q34" t="n">
        <x:f>ROUND(INDEX(Catalogue!E$4:E$85,MATCH(A34,Catalogue!A$4:A$85,0))*(1+'Paramètres'!$B$4*(C34-1)+'Paramètres'!$B$5*(C34-1)^2),0)</x:f>
        <x:v>7</x:v>
      </x:c>
      <x:c r="R34" t="n">
        <x:f>ROUND(INDEX(Catalogue!F$4:F$85,MATCH(A34,Catalogue!A$4:A$85,0))*(1+'Paramètres'!$B$4*(C34-1)+'Paramètres'!$B$5*(C34-1)^2),0)</x:f>
        <x:v>11</x:v>
      </x:c>
      <x:c r="S34" t="n">
        <x:f>L34-AVERAGE(Q34:R34)</x:f>
        <x:v>-0.5</x:v>
      </x:c>
      <x:c r="T34" t="str">
        <x:f>IF(M34=0,IF(AND(N34=0,O34=0,E34=0,F34=0),"OK","ERREUR"),IF(AND(M34&gt;=1,M34&lt;=32,OR(N34=4,N34=6,N34=8,N34=10,N34=12,N34=20),O34&gt;=0,E34=M34+O34,F34=M34*N34+O34),"OK","ERREUR"))</x:f>
        <x:v>OK</x:v>
      </x:c>
      <x:c r="U34" s="86" t="n">
        <x:f>IF(M34&gt;0,M34*(N34+1)/2+O34,0)</x:f>
        <x:v>8.5</x:v>
      </x:c>
      <x:c r="V34" t="str">
        <x:f>IF(ABS(L34-U34)&lt;0.001,"OK","ERREUR")</x:f>
        <x:v>OK</x:v>
      </x:c>
    </x:row>
    <x:row r="35" ht="18" customHeight="1">
      <x:c r="A35" t="str">
        <x:v>ARM002</x:v>
      </x:c>
      <x:c r="B35" t="str">
        <x:v>Poignard d'assassin</x:v>
      </x:c>
      <x:c r="C35" t="n">
        <x:v>12</x:v>
      </x:c>
      <x:c r="D35" t="str">
        <x:v>Légères</x:v>
      </x:c>
      <x:c r="E35" s="28" t="n">
        <x:f>IF(M35=0,0,M35+O35)</x:f>
        <x:v>9</x:v>
      </x:c>
      <x:c r="F35" s="28" t="n">
        <x:f>IF(M35=0,0,M35*N35+O35)</x:f>
        <x:v>12</x:v>
      </x:c>
      <x:c r="G35" s="28" t="n">
        <x:f>ROUND(Catalogue!G5*SQRT((1+'Paramètres'!$B$4*(C35-1)+'Paramètres'!$B$5*(C35-1)^2)),0)</x:f>
        <x:v>0</x:v>
      </x:c>
      <x:c r="H35" s="28" t="n">
        <x:f>ROUND(Catalogue!H5*SQRT((1+'Paramètres'!$B$4*(C35-1)+'Paramètres'!$B$5*(C35-1)^2)),0)</x:f>
        <x:v>0</x:v>
      </x:c>
      <x:c r="I35" s="28" t="n">
        <x:v>2</x:v>
      </x:c>
      <x:c r="J35" s="28" t="n">
        <x:v>1</x:v>
      </x:c>
      <x:c r="K35" s="30" t="n">
        <x:v>0.3</x:v>
      </x:c>
      <x:c r="L35" s="54" t="n">
        <x:f>IF(M35=0,0,(E35+F35)/2)</x:f>
        <x:v>10.5</x:v>
      </x:c>
      <x:c r="M35" t="n">
        <x:v>1</x:v>
      </x:c>
      <x:c r="N35" t="n">
        <x:v>4</x:v>
      </x:c>
      <x:c r="O35" t="n">
        <x:v>8</x:v>
      </x:c>
      <x:c r="P35" s="63" t="str">
        <x:f>IF(M35=0,"—",M35&amp;"d"&amp;N35&amp;IF(O35=0,""," + "&amp;O35))</x:f>
        <x:v>1d4 + 8</x:v>
      </x:c>
      <x:c r="Q35" t="n">
        <x:f>ROUND(INDEX(Catalogue!E$4:E$85,MATCH(A35,Catalogue!A$4:A$85,0))*(1+'Paramètres'!$B$4*(C35-1)+'Paramètres'!$B$5*(C35-1)^2),0)</x:f>
        <x:v>8</x:v>
      </x:c>
      <x:c r="R35" t="n">
        <x:f>ROUND(INDEX(Catalogue!F$4:F$85,MATCH(A35,Catalogue!A$4:A$85,0))*(1+'Paramètres'!$B$4*(C35-1)+'Paramètres'!$B$5*(C35-1)^2),0)</x:f>
        <x:v>12</x:v>
      </x:c>
      <x:c r="S35" t="n">
        <x:f>L35-AVERAGE(Q35:R35)</x:f>
        <x:v>0.5</x:v>
      </x:c>
      <x:c r="T35" t="str">
        <x:f>IF(M35=0,IF(AND(N35=0,O35=0,E35=0,F35=0),"OK","ERREUR"),IF(AND(M35&gt;=1,M35&lt;=32,OR(N35=4,N35=6,N35=8,N35=10,N35=12,N35=20),O35&gt;=0,E35=M35+O35,F35=M35*N35+O35),"OK","ERREUR"))</x:f>
        <x:v>OK</x:v>
      </x:c>
      <x:c r="U35" s="86" t="n">
        <x:f>IF(M35&gt;0,M35*(N35+1)/2+O35,0)</x:f>
        <x:v>10.5</x:v>
      </x:c>
      <x:c r="V35" t="str">
        <x:f>IF(ABS(L35-U35)&lt;0.001,"OK","ERREUR")</x:f>
        <x:v>OK</x:v>
      </x:c>
    </x:row>
    <x:row r="36" ht="18" customHeight="1">
      <x:c r="A36" t="str">
        <x:v>ARM002</x:v>
      </x:c>
      <x:c r="B36" t="str">
        <x:v>Poignard d'assassin</x:v>
      </x:c>
      <x:c r="C36" t="n">
        <x:v>13</x:v>
      </x:c>
      <x:c r="D36" t="str">
        <x:v>Légères</x:v>
      </x:c>
      <x:c r="E36" s="28" t="n">
        <x:f>IF(M36=0,0,M36+O36)</x:f>
        <x:v>9</x:v>
      </x:c>
      <x:c r="F36" s="28" t="n">
        <x:f>IF(M36=0,0,M36*N36+O36)</x:f>
        <x:v>14</x:v>
      </x:c>
      <x:c r="G36" s="28" t="n">
        <x:f>ROUND(Catalogue!G5*SQRT((1+'Paramètres'!$B$4*(C36-1)+'Paramètres'!$B$5*(C36-1)^2)),0)</x:f>
        <x:v>0</x:v>
      </x:c>
      <x:c r="H36" s="28" t="n">
        <x:f>ROUND(Catalogue!H5*SQRT((1+'Paramètres'!$B$4*(C36-1)+'Paramètres'!$B$5*(C36-1)^2)),0)</x:f>
        <x:v>0</x:v>
      </x:c>
      <x:c r="I36" s="28" t="n">
        <x:v>2</x:v>
      </x:c>
      <x:c r="J36" s="28" t="n">
        <x:v>1</x:v>
      </x:c>
      <x:c r="K36" s="30" t="n">
        <x:v>0.3</x:v>
      </x:c>
      <x:c r="L36" s="54" t="n">
        <x:f>IF(M36=0,0,(E36+F36)/2)</x:f>
        <x:v>11.5</x:v>
      </x:c>
      <x:c r="M36" t="n">
        <x:v>1</x:v>
      </x:c>
      <x:c r="N36" t="n">
        <x:v>6</x:v>
      </x:c>
      <x:c r="O36" t="n">
        <x:v>8</x:v>
      </x:c>
      <x:c r="P36" s="63" t="str">
        <x:f>IF(M36=0,"—",M36&amp;"d"&amp;N36&amp;IF(O36=0,""," + "&amp;O36))</x:f>
        <x:v>1d6 + 8</x:v>
      </x:c>
      <x:c r="Q36" t="n">
        <x:f>ROUND(INDEX(Catalogue!E$4:E$85,MATCH(A36,Catalogue!A$4:A$85,0))*(1+'Paramètres'!$B$4*(C36-1)+'Paramètres'!$B$5*(C36-1)^2),0)</x:f>
        <x:v>9</x:v>
      </x:c>
      <x:c r="R36" t="n">
        <x:f>ROUND(INDEX(Catalogue!F$4:F$85,MATCH(A36,Catalogue!A$4:A$85,0))*(1+'Paramètres'!$B$4*(C36-1)+'Paramètres'!$B$5*(C36-1)^2),0)</x:f>
        <x:v>14</x:v>
      </x:c>
      <x:c r="S36" t="n">
        <x:f>L36-AVERAGE(Q36:R36)</x:f>
        <x:v>0</x:v>
      </x:c>
      <x:c r="T36" t="str">
        <x:f>IF(M36=0,IF(AND(N36=0,O36=0,E36=0,F36=0),"OK","ERREUR"),IF(AND(M36&gt;=1,M36&lt;=32,OR(N36=4,N36=6,N36=8,N36=10,N36=12,N36=20),O36&gt;=0,E36=M36+O36,F36=M36*N36+O36),"OK","ERREUR"))</x:f>
        <x:v>OK</x:v>
      </x:c>
      <x:c r="U36" s="86" t="n">
        <x:f>IF(M36&gt;0,M36*(N36+1)/2+O36,0)</x:f>
        <x:v>11.5</x:v>
      </x:c>
      <x:c r="V36" t="str">
        <x:f>IF(ABS(L36-U36)&lt;0.001,"OK","ERREUR")</x:f>
        <x:v>OK</x:v>
      </x:c>
    </x:row>
    <x:row r="37" ht="18" customHeight="1">
      <x:c r="A37" t="str">
        <x:v>ARM002</x:v>
      </x:c>
      <x:c r="B37" t="str">
        <x:v>Poignard d'assassin</x:v>
      </x:c>
      <x:c r="C37" t="n">
        <x:v>14</x:v>
      </x:c>
      <x:c r="D37" t="str">
        <x:v>Légères</x:v>
      </x:c>
      <x:c r="E37" s="28" t="n">
        <x:f>IF(M37=0,0,M37+O37)</x:f>
        <x:v>10</x:v>
      </x:c>
      <x:c r="F37" s="28" t="n">
        <x:f>IF(M37=0,0,M37*N37+O37)</x:f>
        <x:v>15</x:v>
      </x:c>
      <x:c r="G37" s="28" t="n">
        <x:f>ROUND(Catalogue!G5*SQRT((1+'Paramètres'!$B$4*(C37-1)+'Paramètres'!$B$5*(C37-1)^2)),0)</x:f>
        <x:v>0</x:v>
      </x:c>
      <x:c r="H37" s="28" t="n">
        <x:f>ROUND(Catalogue!H5*SQRT((1+'Paramètres'!$B$4*(C37-1)+'Paramètres'!$B$5*(C37-1)^2)),0)</x:f>
        <x:v>0</x:v>
      </x:c>
      <x:c r="I37" s="28" t="n">
        <x:v>2</x:v>
      </x:c>
      <x:c r="J37" s="28" t="n">
        <x:v>1</x:v>
      </x:c>
      <x:c r="K37" s="30" t="n">
        <x:v>0.3</x:v>
      </x:c>
      <x:c r="L37" s="54" t="n">
        <x:f>IF(M37=0,0,(E37+F37)/2)</x:f>
        <x:v>12.5</x:v>
      </x:c>
      <x:c r="M37" t="n">
        <x:v>1</x:v>
      </x:c>
      <x:c r="N37" t="n">
        <x:v>6</x:v>
      </x:c>
      <x:c r="O37" t="n">
        <x:v>9</x:v>
      </x:c>
      <x:c r="P37" s="63" t="str">
        <x:f>IF(M37=0,"—",M37&amp;"d"&amp;N37&amp;IF(O37=0,""," + "&amp;O37))</x:f>
        <x:v>1d6 + 9</x:v>
      </x:c>
      <x:c r="Q37" t="n">
        <x:f>ROUND(INDEX(Catalogue!E$4:E$85,MATCH(A37,Catalogue!A$4:A$85,0))*(1+'Paramètres'!$B$4*(C37-1)+'Paramètres'!$B$5*(C37-1)^2),0)</x:f>
        <x:v>10</x:v>
      </x:c>
      <x:c r="R37" t="n">
        <x:f>ROUND(INDEX(Catalogue!F$4:F$85,MATCH(A37,Catalogue!A$4:A$85,0))*(1+'Paramètres'!$B$4*(C37-1)+'Paramètres'!$B$5*(C37-1)^2),0)</x:f>
        <x:v>15</x:v>
      </x:c>
      <x:c r="S37" t="n">
        <x:f>L37-AVERAGE(Q37:R37)</x:f>
        <x:v>0</x:v>
      </x:c>
      <x:c r="T37" t="str">
        <x:f>IF(M37=0,IF(AND(N37=0,O37=0,E37=0,F37=0),"OK","ERREUR"),IF(AND(M37&gt;=1,M37&lt;=32,OR(N37=4,N37=6,N37=8,N37=10,N37=12,N37=20),O37&gt;=0,E37=M37+O37,F37=M37*N37+O37),"OK","ERREUR"))</x:f>
        <x:v>OK</x:v>
      </x:c>
      <x:c r="U37" s="86" t="n">
        <x:f>IF(M37&gt;0,M37*(N37+1)/2+O37,0)</x:f>
        <x:v>12.5</x:v>
      </x:c>
      <x:c r="V37" t="str">
        <x:f>IF(ABS(L37-U37)&lt;0.001,"OK","ERREUR")</x:f>
        <x:v>OK</x:v>
      </x:c>
    </x:row>
    <x:row r="38" ht="18" customHeight="1">
      <x:c r="A38" t="str">
        <x:v>ARM002</x:v>
      </x:c>
      <x:c r="B38" t="str">
        <x:v>Poignard d'assassin</x:v>
      </x:c>
      <x:c r="C38" t="n">
        <x:v>15</x:v>
      </x:c>
      <x:c r="D38" t="str">
        <x:v>Légères</x:v>
      </x:c>
      <x:c r="E38" s="28" t="n">
        <x:f>IF(M38=0,0,M38+O38)</x:f>
        <x:v>11</x:v>
      </x:c>
      <x:c r="F38" s="28" t="n">
        <x:f>IF(M38=0,0,M38*N38+O38)</x:f>
        <x:v>17</x:v>
      </x:c>
      <x:c r="G38" s="28" t="n">
        <x:f>ROUND(Catalogue!G5*SQRT((1+'Paramètres'!$B$4*(C38-1)+'Paramètres'!$B$5*(C38-1)^2)),0)</x:f>
        <x:v>0</x:v>
      </x:c>
      <x:c r="H38" s="28" t="n">
        <x:f>ROUND(Catalogue!H5*SQRT((1+'Paramètres'!$B$4*(C38-1)+'Paramètres'!$B$5*(C38-1)^2)),0)</x:f>
        <x:v>0</x:v>
      </x:c>
      <x:c r="I38" s="28" t="n">
        <x:v>2</x:v>
      </x:c>
      <x:c r="J38" s="28" t="n">
        <x:v>1</x:v>
      </x:c>
      <x:c r="K38" s="30" t="n">
        <x:v>0.3</x:v>
      </x:c>
      <x:c r="L38" s="54" t="n">
        <x:f>IF(M38=0,0,(E38+F38)/2)</x:f>
        <x:v>14</x:v>
      </x:c>
      <x:c r="M38" t="n">
        <x:v>2</x:v>
      </x:c>
      <x:c r="N38" t="n">
        <x:v>4</x:v>
      </x:c>
      <x:c r="O38" t="n">
        <x:v>9</x:v>
      </x:c>
      <x:c r="P38" s="63" t="str">
        <x:f>IF(M38=0,"—",M38&amp;"d"&amp;N38&amp;IF(O38=0,""," + "&amp;O38))</x:f>
        <x:v>2d4 + 9</x:v>
      </x:c>
      <x:c r="Q38" t="n">
        <x:f>ROUND(INDEX(Catalogue!E$4:E$85,MATCH(A38,Catalogue!A$4:A$85,0))*(1+'Paramètres'!$B$4*(C38-1)+'Paramètres'!$B$5*(C38-1)^2),0)</x:f>
        <x:v>11</x:v>
      </x:c>
      <x:c r="R38" t="n">
        <x:f>ROUND(INDEX(Catalogue!F$4:F$85,MATCH(A38,Catalogue!A$4:A$85,0))*(1+'Paramètres'!$B$4*(C38-1)+'Paramètres'!$B$5*(C38-1)^2),0)</x:f>
        <x:v>17</x:v>
      </x:c>
      <x:c r="S38" t="n">
        <x:f>L38-AVERAGE(Q38:R38)</x:f>
        <x:v>0</x:v>
      </x:c>
      <x:c r="T38" t="str">
        <x:f>IF(M38=0,IF(AND(N38=0,O38=0,E38=0,F38=0),"OK","ERREUR"),IF(AND(M38&gt;=1,M38&lt;=32,OR(N38=4,N38=6,N38=8,N38=10,N38=12,N38=20),O38&gt;=0,E38=M38+O38,F38=M38*N38+O38),"OK","ERREUR"))</x:f>
        <x:v>OK</x:v>
      </x:c>
      <x:c r="U38" s="86" t="n">
        <x:f>IF(M38&gt;0,M38*(N38+1)/2+O38,0)</x:f>
        <x:v>14</x:v>
      </x:c>
      <x:c r="V38" t="str">
        <x:f>IF(ABS(L38-U38)&lt;0.001,"OK","ERREUR")</x:f>
        <x:v>OK</x:v>
      </x:c>
    </x:row>
    <x:row r="39" ht="18" customHeight="1">
      <x:c r="A39" t="str">
        <x:v>ARM002</x:v>
      </x:c>
      <x:c r="B39" t="str">
        <x:v>Poignard d'assassin</x:v>
      </x:c>
      <x:c r="C39" t="n">
        <x:v>16</x:v>
      </x:c>
      <x:c r="D39" t="str">
        <x:v>Légères</x:v>
      </x:c>
      <x:c r="E39" s="28" t="n">
        <x:f>IF(M39=0,0,M39+O39)</x:f>
        <x:v>13</x:v>
      </x:c>
      <x:c r="F39" s="28" t="n">
        <x:f>IF(M39=0,0,M39*N39+O39)</x:f>
        <x:v>19</x:v>
      </x:c>
      <x:c r="G39" s="28" t="n">
        <x:f>ROUND(Catalogue!G5*SQRT((1+'Paramètres'!$B$4*(C39-1)+'Paramètres'!$B$5*(C39-1)^2)),0)</x:f>
        <x:v>0</x:v>
      </x:c>
      <x:c r="H39" s="28" t="n">
        <x:f>ROUND(Catalogue!H5*SQRT((1+'Paramètres'!$B$4*(C39-1)+'Paramètres'!$B$5*(C39-1)^2)),0)</x:f>
        <x:v>0</x:v>
      </x:c>
      <x:c r="I39" s="28" t="n">
        <x:v>2</x:v>
      </x:c>
      <x:c r="J39" s="28" t="n">
        <x:v>1</x:v>
      </x:c>
      <x:c r="K39" s="30" t="n">
        <x:v>0.3</x:v>
      </x:c>
      <x:c r="L39" s="54" t="n">
        <x:f>IF(M39=0,0,(E39+F39)/2)</x:f>
        <x:v>16</x:v>
      </x:c>
      <x:c r="M39" t="n">
        <x:v>2</x:v>
      </x:c>
      <x:c r="N39" t="n">
        <x:v>4</x:v>
      </x:c>
      <x:c r="O39" t="n">
        <x:v>11</x:v>
      </x:c>
      <x:c r="P39" s="63" t="str">
        <x:f>IF(M39=0,"—",M39&amp;"d"&amp;N39&amp;IF(O39=0,""," + "&amp;O39))</x:f>
        <x:v>2d4 + 11</x:v>
      </x:c>
      <x:c r="Q39" t="n">
        <x:f>ROUND(INDEX(Catalogue!E$4:E$85,MATCH(A39,Catalogue!A$4:A$85,0))*(1+'Paramètres'!$B$4*(C39-1)+'Paramètres'!$B$5*(C39-1)^2),0)</x:f>
        <x:v>13</x:v>
      </x:c>
      <x:c r="R39" t="n">
        <x:f>ROUND(INDEX(Catalogue!F$4:F$85,MATCH(A39,Catalogue!A$4:A$85,0))*(1+'Paramètres'!$B$4*(C39-1)+'Paramètres'!$B$5*(C39-1)^2),0)</x:f>
        <x:v>19</x:v>
      </x:c>
      <x:c r="S39" t="n">
        <x:f>L39-AVERAGE(Q39:R39)</x:f>
        <x:v>0</x:v>
      </x:c>
      <x:c r="T39" t="str">
        <x:f>IF(M39=0,IF(AND(N39=0,O39=0,E39=0,F39=0),"OK","ERREUR"),IF(AND(M39&gt;=1,M39&lt;=32,OR(N39=4,N39=6,N39=8,N39=10,N39=12,N39=20),O39&gt;=0,E39=M39+O39,F39=M39*N39+O39),"OK","ERREUR"))</x:f>
        <x:v>OK</x:v>
      </x:c>
      <x:c r="U39" s="86" t="n">
        <x:f>IF(M39&gt;0,M39*(N39+1)/2+O39,0)</x:f>
        <x:v>16</x:v>
      </x:c>
      <x:c r="V39" t="str">
        <x:f>IF(ABS(L39-U39)&lt;0.001,"OK","ERREUR")</x:f>
        <x:v>OK</x:v>
      </x:c>
    </x:row>
    <x:row r="40" ht="18" customHeight="1">
      <x:c r="A40" t="str">
        <x:v>ARM002</x:v>
      </x:c>
      <x:c r="B40" t="str">
        <x:v>Poignard d'assassin</x:v>
      </x:c>
      <x:c r="C40" t="n">
        <x:v>17</x:v>
      </x:c>
      <x:c r="D40" t="str">
        <x:v>Légères</x:v>
      </x:c>
      <x:c r="E40" s="28" t="n">
        <x:f>IF(M40=0,0,M40+O40)</x:f>
        <x:v>14</x:v>
      </x:c>
      <x:c r="F40" s="28" t="n">
        <x:f>IF(M40=0,0,M40*N40+O40)</x:f>
        <x:v>21</x:v>
      </x:c>
      <x:c r="G40" s="28" t="n">
        <x:f>ROUND(Catalogue!G5*SQRT((1+'Paramètres'!$B$4*(C40-1)+'Paramètres'!$B$5*(C40-1)^2)),0)</x:f>
        <x:v>0</x:v>
      </x:c>
      <x:c r="H40" s="28" t="n">
        <x:f>ROUND(Catalogue!H5*SQRT((1+'Paramètres'!$B$4*(C40-1)+'Paramètres'!$B$5*(C40-1)^2)),0)</x:f>
        <x:v>0</x:v>
      </x:c>
      <x:c r="I40" s="28" t="n">
        <x:v>2</x:v>
      </x:c>
      <x:c r="J40" s="28" t="n">
        <x:v>1</x:v>
      </x:c>
      <x:c r="K40" s="30" t="n">
        <x:v>0.3</x:v>
      </x:c>
      <x:c r="L40" s="54" t="n">
        <x:f>IF(M40=0,0,(E40+F40)/2)</x:f>
        <x:v>17.5</x:v>
      </x:c>
      <x:c r="M40" t="n">
        <x:v>1</x:v>
      </x:c>
      <x:c r="N40" t="n">
        <x:v>8</x:v>
      </x:c>
      <x:c r="O40" t="n">
        <x:v>13</x:v>
      </x:c>
      <x:c r="P40" s="63" t="str">
        <x:f>IF(M40=0,"—",M40&amp;"d"&amp;N40&amp;IF(O40=0,""," + "&amp;O40))</x:f>
        <x:v>1d8 + 13</x:v>
      </x:c>
      <x:c r="Q40" t="n">
        <x:f>ROUND(INDEX(Catalogue!E$4:E$85,MATCH(A40,Catalogue!A$4:A$85,0))*(1+'Paramètres'!$B$4*(C40-1)+'Paramètres'!$B$5*(C40-1)^2),0)</x:f>
        <x:v>14</x:v>
      </x:c>
      <x:c r="R40" t="n">
        <x:f>ROUND(INDEX(Catalogue!F$4:F$85,MATCH(A40,Catalogue!A$4:A$85,0))*(1+'Paramètres'!$B$4*(C40-1)+'Paramètres'!$B$5*(C40-1)^2),0)</x:f>
        <x:v>21</x:v>
      </x:c>
      <x:c r="S40" t="n">
        <x:f>L40-AVERAGE(Q40:R40)</x:f>
        <x:v>0</x:v>
      </x:c>
      <x:c r="T40" t="str">
        <x:f>IF(M40=0,IF(AND(N40=0,O40=0,E40=0,F40=0),"OK","ERREUR"),IF(AND(M40&gt;=1,M40&lt;=32,OR(N40=4,N40=6,N40=8,N40=10,N40=12,N40=20),O40&gt;=0,E40=M40+O40,F40=M40*N40+O40),"OK","ERREUR"))</x:f>
        <x:v>OK</x:v>
      </x:c>
      <x:c r="U40" s="86" t="n">
        <x:f>IF(M40&gt;0,M40*(N40+1)/2+O40,0)</x:f>
        <x:v>17.5</x:v>
      </x:c>
      <x:c r="V40" t="str">
        <x:f>IF(ABS(L40-U40)&lt;0.001,"OK","ERREUR")</x:f>
        <x:v>OK</x:v>
      </x:c>
    </x:row>
    <x:row r="41" ht="18" customHeight="1">
      <x:c r="A41" t="str">
        <x:v>ARM002</x:v>
      </x:c>
      <x:c r="B41" t="str">
        <x:v>Poignard d'assassin</x:v>
      </x:c>
      <x:c r="C41" t="n">
        <x:v>18</x:v>
      </x:c>
      <x:c r="D41" t="str">
        <x:v>Légères</x:v>
      </x:c>
      <x:c r="E41" s="28" t="n">
        <x:f>IF(M41=0,0,M41+O41)</x:f>
        <x:v>15</x:v>
      </x:c>
      <x:c r="F41" s="28" t="n">
        <x:f>IF(M41=0,0,M41*N41+O41)</x:f>
        <x:v>22</x:v>
      </x:c>
      <x:c r="G41" s="28" t="n">
        <x:f>ROUND(Catalogue!G5*SQRT((1+'Paramètres'!$B$4*(C41-1)+'Paramètres'!$B$5*(C41-1)^2)),0)</x:f>
        <x:v>0</x:v>
      </x:c>
      <x:c r="H41" s="28" t="n">
        <x:f>ROUND(Catalogue!H5*SQRT((1+'Paramètres'!$B$4*(C41-1)+'Paramètres'!$B$5*(C41-1)^2)),0)</x:f>
        <x:v>0</x:v>
      </x:c>
      <x:c r="I41" s="28" t="n">
        <x:v>2</x:v>
      </x:c>
      <x:c r="J41" s="28" t="n">
        <x:v>1</x:v>
      </x:c>
      <x:c r="K41" s="30" t="n">
        <x:v>0.3</x:v>
      </x:c>
      <x:c r="L41" s="54" t="n">
        <x:f>IF(M41=0,0,(E41+F41)/2)</x:f>
        <x:v>18.5</x:v>
      </x:c>
      <x:c r="M41" t="n">
        <x:v>1</x:v>
      </x:c>
      <x:c r="N41" t="n">
        <x:v>8</x:v>
      </x:c>
      <x:c r="O41" t="n">
        <x:v>14</x:v>
      </x:c>
      <x:c r="P41" s="63" t="str">
        <x:f>IF(M41=0,"—",M41&amp;"d"&amp;N41&amp;IF(O41=0,""," + "&amp;O41))</x:f>
        <x:v>1d8 + 14</x:v>
      </x:c>
      <x:c r="Q41" t="n">
        <x:f>ROUND(INDEX(Catalogue!E$4:E$85,MATCH(A41,Catalogue!A$4:A$85,0))*(1+'Paramètres'!$B$4*(C41-1)+'Paramètres'!$B$5*(C41-1)^2),0)</x:f>
        <x:v>15</x:v>
      </x:c>
      <x:c r="R41" t="n">
        <x:f>ROUND(INDEX(Catalogue!F$4:F$85,MATCH(A41,Catalogue!A$4:A$85,0))*(1+'Paramètres'!$B$4*(C41-1)+'Paramètres'!$B$5*(C41-1)^2),0)</x:f>
        <x:v>22</x:v>
      </x:c>
      <x:c r="S41" t="n">
        <x:f>L41-AVERAGE(Q41:R41)</x:f>
        <x:v>0</x:v>
      </x:c>
      <x:c r="T41" t="str">
        <x:f>IF(M41=0,IF(AND(N41=0,O41=0,E41=0,F41=0),"OK","ERREUR"),IF(AND(M41&gt;=1,M41&lt;=32,OR(N41=4,N41=6,N41=8,N41=10,N41=12,N41=20),O41&gt;=0,E41=M41+O41,F41=M41*N41+O41),"OK","ERREUR"))</x:f>
        <x:v>OK</x:v>
      </x:c>
      <x:c r="U41" s="86" t="n">
        <x:f>IF(M41&gt;0,M41*(N41+1)/2+O41,0)</x:f>
        <x:v>18.5</x:v>
      </x:c>
      <x:c r="V41" t="str">
        <x:f>IF(ABS(L41-U41)&lt;0.001,"OK","ERREUR")</x:f>
        <x:v>OK</x:v>
      </x:c>
    </x:row>
    <x:row r="42" ht="18" customHeight="1">
      <x:c r="A42" t="str">
        <x:v>ARM002</x:v>
      </x:c>
      <x:c r="B42" t="str">
        <x:v>Poignard d'assassin</x:v>
      </x:c>
      <x:c r="C42" t="n">
        <x:v>19</x:v>
      </x:c>
      <x:c r="D42" t="str">
        <x:v>Légères</x:v>
      </x:c>
      <x:c r="E42" s="28" t="n">
        <x:f>IF(M42=0,0,M42+O42)</x:f>
        <x:v>15</x:v>
      </x:c>
      <x:c r="F42" s="28" t="n">
        <x:f>IF(M42=0,0,M42*N42+O42)</x:f>
        <x:v>24</x:v>
      </x:c>
      <x:c r="G42" s="28" t="n">
        <x:f>ROUND(Catalogue!G5*SQRT((1+'Paramètres'!$B$4*(C42-1)+'Paramètres'!$B$5*(C42-1)^2)),0)</x:f>
        <x:v>0</x:v>
      </x:c>
      <x:c r="H42" s="28" t="n">
        <x:f>ROUND(Catalogue!H5*SQRT((1+'Paramètres'!$B$4*(C42-1)+'Paramètres'!$B$5*(C42-1)^2)),0)</x:f>
        <x:v>0</x:v>
      </x:c>
      <x:c r="I42" s="28" t="n">
        <x:v>2</x:v>
      </x:c>
      <x:c r="J42" s="28" t="n">
        <x:v>1</x:v>
      </x:c>
      <x:c r="K42" s="30" t="n">
        <x:v>0.3</x:v>
      </x:c>
      <x:c r="L42" s="54" t="n">
        <x:f>IF(M42=0,0,(E42+F42)/2)</x:f>
        <x:v>19.5</x:v>
      </x:c>
      <x:c r="M42" t="n">
        <x:v>3</x:v>
      </x:c>
      <x:c r="N42" t="n">
        <x:v>4</x:v>
      </x:c>
      <x:c r="O42" t="n">
        <x:v>12</x:v>
      </x:c>
      <x:c r="P42" s="63" t="str">
        <x:f>IF(M42=0,"—",M42&amp;"d"&amp;N42&amp;IF(O42=0,""," + "&amp;O42))</x:f>
        <x:v>3d4 + 12</x:v>
      </x:c>
      <x:c r="Q42" t="n">
        <x:f>ROUND(INDEX(Catalogue!E$4:E$85,MATCH(A42,Catalogue!A$4:A$85,0))*(1+'Paramètres'!$B$4*(C42-1)+'Paramètres'!$B$5*(C42-1)^2),0)</x:f>
        <x:v>16</x:v>
      </x:c>
      <x:c r="R42" t="n">
        <x:f>ROUND(INDEX(Catalogue!F$4:F$85,MATCH(A42,Catalogue!A$4:A$85,0))*(1+'Paramètres'!$B$4*(C42-1)+'Paramètres'!$B$5*(C42-1)^2),0)</x:f>
        <x:v>24</x:v>
      </x:c>
      <x:c r="S42" t="n">
        <x:f>L42-AVERAGE(Q42:R42)</x:f>
        <x:v>-0.5</x:v>
      </x:c>
      <x:c r="T42" t="str">
        <x:f>IF(M42=0,IF(AND(N42=0,O42=0,E42=0,F42=0),"OK","ERREUR"),IF(AND(M42&gt;=1,M42&lt;=32,OR(N42=4,N42=6,N42=8,N42=10,N42=12,N42=20),O42&gt;=0,E42=M42+O42,F42=M42*N42+O42),"OK","ERREUR"))</x:f>
        <x:v>OK</x:v>
      </x:c>
      <x:c r="U42" s="86" t="n">
        <x:f>IF(M42&gt;0,M42*(N42+1)/2+O42,0)</x:f>
        <x:v>19.5</x:v>
      </x:c>
      <x:c r="V42" t="str">
        <x:f>IF(ABS(L42-U42)&lt;0.001,"OK","ERREUR")</x:f>
        <x:v>OK</x:v>
      </x:c>
    </x:row>
    <x:row r="43" ht="18" customHeight="1">
      <x:c r="A43" t="str">
        <x:v>ARM002</x:v>
      </x:c>
      <x:c r="B43" t="str">
        <x:v>Poignard d'assassin</x:v>
      </x:c>
      <x:c r="C43" t="n">
        <x:v>20</x:v>
      </x:c>
      <x:c r="D43" t="str">
        <x:v>Légères</x:v>
      </x:c>
      <x:c r="E43" s="28" t="n">
        <x:f>IF(M43=0,0,M43+O43)</x:f>
        <x:v>18</x:v>
      </x:c>
      <x:c r="F43" s="28" t="n">
        <x:f>IF(M43=0,0,M43*N43+O43)</x:f>
        <x:v>27</x:v>
      </x:c>
      <x:c r="G43" s="28" t="n">
        <x:f>ROUND(Catalogue!G5*SQRT((1+'Paramètres'!$B$4*(C43-1)+'Paramètres'!$B$5*(C43-1)^2)),0)</x:f>
        <x:v>0</x:v>
      </x:c>
      <x:c r="H43" s="28" t="n">
        <x:f>ROUND(Catalogue!H5*SQRT((1+'Paramètres'!$B$4*(C43-1)+'Paramètres'!$B$5*(C43-1)^2)),0)</x:f>
        <x:v>0</x:v>
      </x:c>
      <x:c r="I43" s="28" t="n">
        <x:v>2</x:v>
      </x:c>
      <x:c r="J43" s="28" t="n">
        <x:v>1</x:v>
      </x:c>
      <x:c r="K43" s="30" t="n">
        <x:v>0.3</x:v>
      </x:c>
      <x:c r="L43" s="54" t="n">
        <x:f>IF(M43=0,0,(E43+F43)/2)</x:f>
        <x:v>22.5</x:v>
      </x:c>
      <x:c r="M43" t="n">
        <x:v>3</x:v>
      </x:c>
      <x:c r="N43" t="n">
        <x:v>4</x:v>
      </x:c>
      <x:c r="O43" t="n">
        <x:v>15</x:v>
      </x:c>
      <x:c r="P43" s="63" t="str">
        <x:f>IF(M43=0,"—",M43&amp;"d"&amp;N43&amp;IF(O43=0,""," + "&amp;O43))</x:f>
        <x:v>3d4 + 15</x:v>
      </x:c>
      <x:c r="Q43" t="n">
        <x:f>ROUND(INDEX(Catalogue!E$4:E$85,MATCH(A43,Catalogue!A$4:A$85,0))*(1+'Paramètres'!$B$4*(C43-1)+'Paramètres'!$B$5*(C43-1)^2),0)</x:f>
        <x:v>18</x:v>
      </x:c>
      <x:c r="R43" t="n">
        <x:f>ROUND(INDEX(Catalogue!F$4:F$85,MATCH(A43,Catalogue!A$4:A$85,0))*(1+'Paramètres'!$B$4*(C43-1)+'Paramètres'!$B$5*(C43-1)^2),0)</x:f>
        <x:v>27</x:v>
      </x:c>
      <x:c r="S43" t="n">
        <x:f>L43-AVERAGE(Q43:R43)</x:f>
        <x:v>0</x:v>
      </x:c>
      <x:c r="T43" t="str">
        <x:f>IF(M43=0,IF(AND(N43=0,O43=0,E43=0,F43=0),"OK","ERREUR"),IF(AND(M43&gt;=1,M43&lt;=32,OR(N43=4,N43=6,N43=8,N43=10,N43=12,N43=20),O43&gt;=0,E43=M43+O43,F43=M43*N43+O43),"OK","ERREUR"))</x:f>
        <x:v>OK</x:v>
      </x:c>
      <x:c r="U43" s="86" t="n">
        <x:f>IF(M43&gt;0,M43*(N43+1)/2+O43,0)</x:f>
        <x:v>22.5</x:v>
      </x:c>
      <x:c r="V43" t="str">
        <x:f>IF(ABS(L43-U43)&lt;0.001,"OK","ERREUR")</x:f>
        <x:v>OK</x:v>
      </x:c>
    </x:row>
    <x:row r="44" ht="18" customHeight="1">
      <x:c r="A44" t="str">
        <x:v>ARM003</x:v>
      </x:c>
      <x:c r="B44" t="str">
        <x:v>Stylet</x:v>
      </x:c>
      <x:c r="C44" t="n">
        <x:v>1</x:v>
      </x:c>
      <x:c r="D44" t="str">
        <x:v>Légères</x:v>
      </x:c>
      <x:c r="E44" s="28" t="n">
        <x:f>IF(M44=0,0,M44+O44)</x:f>
        <x:v>1</x:v>
      </x:c>
      <x:c r="F44" s="28" t="n">
        <x:f>IF(M44=0,0,M44*N44+O44)</x:f>
        <x:v>4</x:v>
      </x:c>
      <x:c r="G44" s="28" t="n">
        <x:f>ROUND(Catalogue!G6*SQRT((1+'Paramètres'!$B$4*(C44-1)+'Paramètres'!$B$5*(C44-1)^2)),0)</x:f>
        <x:v>0</x:v>
      </x:c>
      <x:c r="H44" s="28" t="n">
        <x:f>ROUND(Catalogue!H6*SQRT((1+'Paramètres'!$B$4*(C44-1)+'Paramètres'!$B$5*(C44-1)^2)),0)</x:f>
        <x:v>0</x:v>
      </x:c>
      <x:c r="I44" s="28" t="n">
        <x:v>2</x:v>
      </x:c>
      <x:c r="J44" s="28" t="n">
        <x:v>1</x:v>
      </x:c>
      <x:c r="K44" s="30" t="n">
        <x:v>0.25</x:v>
      </x:c>
      <x:c r="L44" s="54" t="n">
        <x:f>IF(M44=0,0,(E44+F44)/2)</x:f>
        <x:v>2.5</x:v>
      </x:c>
      <x:c r="M44" t="n">
        <x:v>1</x:v>
      </x:c>
      <x:c r="N44" t="n">
        <x:v>4</x:v>
      </x:c>
      <x:c r="O44" t="n">
        <x:v>0</x:v>
      </x:c>
      <x:c r="P44" s="63" t="str">
        <x:f>IF(M44=0,"—",M44&amp;"d"&amp;N44&amp;IF(O44=0,""," + "&amp;O44))</x:f>
        <x:v>1d4</x:v>
      </x:c>
      <x:c r="Q44" t="n">
        <x:f>ROUND(INDEX(Catalogue!E$4:E$85,MATCH(A44,Catalogue!A$4:A$85,0))*(1+'Paramètres'!$B$4*(C44-1)+'Paramètres'!$B$5*(C44-1)^2),0)</x:f>
        <x:v>1</x:v>
      </x:c>
      <x:c r="R44" t="n">
        <x:f>ROUND(INDEX(Catalogue!F$4:F$85,MATCH(A44,Catalogue!A$4:A$85,0))*(1+'Paramètres'!$B$4*(C44-1)+'Paramètres'!$B$5*(C44-1)^2),0)</x:f>
        <x:v>4</x:v>
      </x:c>
      <x:c r="S44" t="n">
        <x:f>L44-AVERAGE(Q44:R44)</x:f>
        <x:v>0</x:v>
      </x:c>
      <x:c r="T44" t="str">
        <x:f>IF(M44=0,IF(AND(N44=0,O44=0,E44=0,F44=0),"OK","ERREUR"),IF(AND(M44&gt;=1,M44&lt;=32,OR(N44=4,N44=6,N44=8,N44=10,N44=12,N44=20),O44&gt;=0,E44=M44+O44,F44=M44*N44+O44),"OK","ERREUR"))</x:f>
        <x:v>OK</x:v>
      </x:c>
      <x:c r="U44" s="86" t="n">
        <x:f>IF(M44&gt;0,M44*(N44+1)/2+O44,0)</x:f>
        <x:v>2.5</x:v>
      </x:c>
      <x:c r="V44" t="str">
        <x:f>IF(ABS(L44-U44)&lt;0.001,"OK","ERREUR")</x:f>
        <x:v>OK</x:v>
      </x:c>
    </x:row>
    <x:row r="45" ht="18" customHeight="1">
      <x:c r="A45" t="str">
        <x:v>ARM003</x:v>
      </x:c>
      <x:c r="B45" t="str">
        <x:v>Stylet</x:v>
      </x:c>
      <x:c r="C45" t="n">
        <x:v>2</x:v>
      </x:c>
      <x:c r="D45" t="str">
        <x:v>Légères</x:v>
      </x:c>
      <x:c r="E45" s="28" t="n">
        <x:f>IF(M45=0,0,M45+O45)</x:f>
        <x:v>1</x:v>
      </x:c>
      <x:c r="F45" s="28" t="n">
        <x:f>IF(M45=0,0,M45*N45+O45)</x:f>
        <x:v>4</x:v>
      </x:c>
      <x:c r="G45" s="28" t="n">
        <x:f>ROUND(Catalogue!G6*SQRT((1+'Paramètres'!$B$4*(C45-1)+'Paramètres'!$B$5*(C45-1)^2)),0)</x:f>
        <x:v>0</x:v>
      </x:c>
      <x:c r="H45" s="28" t="n">
        <x:f>ROUND(Catalogue!H6*SQRT((1+'Paramètres'!$B$4*(C45-1)+'Paramètres'!$B$5*(C45-1)^2)),0)</x:f>
        <x:v>0</x:v>
      </x:c>
      <x:c r="I45" s="28" t="n">
        <x:v>2</x:v>
      </x:c>
      <x:c r="J45" s="28" t="n">
        <x:v>1</x:v>
      </x:c>
      <x:c r="K45" s="30" t="n">
        <x:v>0.25</x:v>
      </x:c>
      <x:c r="L45" s="54" t="n">
        <x:f>IF(M45=0,0,(E45+F45)/2)</x:f>
        <x:v>2.5</x:v>
      </x:c>
      <x:c r="M45" t="n">
        <x:v>1</x:v>
      </x:c>
      <x:c r="N45" t="n">
        <x:v>4</x:v>
      </x:c>
      <x:c r="O45" t="n">
        <x:v>0</x:v>
      </x:c>
      <x:c r="P45" s="63" t="str">
        <x:f>IF(M45=0,"—",M45&amp;"d"&amp;N45&amp;IF(O45=0,""," + "&amp;O45))</x:f>
        <x:v>1d4</x:v>
      </x:c>
      <x:c r="Q45" t="n">
        <x:f>ROUND(INDEX(Catalogue!E$4:E$85,MATCH(A45,Catalogue!A$4:A$85,0))*(1+'Paramètres'!$B$4*(C45-1)+'Paramètres'!$B$5*(C45-1)^2),0)</x:f>
        <x:v>1</x:v>
      </x:c>
      <x:c r="R45" t="n">
        <x:f>ROUND(INDEX(Catalogue!F$4:F$85,MATCH(A45,Catalogue!A$4:A$85,0))*(1+'Paramètres'!$B$4*(C45-1)+'Paramètres'!$B$5*(C45-1)^2),0)</x:f>
        <x:v>5</x:v>
      </x:c>
      <x:c r="S45" t="n">
        <x:f>L45-AVERAGE(Q45:R45)</x:f>
        <x:v>-0.5</x:v>
      </x:c>
      <x:c r="T45" t="str">
        <x:f>IF(M45=0,IF(AND(N45=0,O45=0,E45=0,F45=0),"OK","ERREUR"),IF(AND(M45&gt;=1,M45&lt;=32,OR(N45=4,N45=6,N45=8,N45=10,N45=12,N45=20),O45&gt;=0,E45=M45+O45,F45=M45*N45+O45),"OK","ERREUR"))</x:f>
        <x:v>OK</x:v>
      </x:c>
      <x:c r="U45" s="86" t="n">
        <x:f>IF(M45&gt;0,M45*(N45+1)/2+O45,0)</x:f>
        <x:v>2.5</x:v>
      </x:c>
      <x:c r="V45" t="str">
        <x:f>IF(ABS(L45-U45)&lt;0.001,"OK","ERREUR")</x:f>
        <x:v>OK</x:v>
      </x:c>
    </x:row>
    <x:row r="46" ht="18" customHeight="1">
      <x:c r="A46" t="str">
        <x:v>ARM003</x:v>
      </x:c>
      <x:c r="B46" t="str">
        <x:v>Stylet</x:v>
      </x:c>
      <x:c r="C46" t="n">
        <x:v>3</x:v>
      </x:c>
      <x:c r="D46" t="str">
        <x:v>Légères</x:v>
      </x:c>
      <x:c r="E46" s="28" t="n">
        <x:f>IF(M46=0,0,M46+O46)</x:f>
        <x:v>1</x:v>
      </x:c>
      <x:c r="F46" s="28" t="n">
        <x:f>IF(M46=0,0,M46*N46+O46)</x:f>
        <x:v>4</x:v>
      </x:c>
      <x:c r="G46" s="28" t="n">
        <x:f>ROUND(Catalogue!G6*SQRT((1+'Paramètres'!$B$4*(C46-1)+'Paramètres'!$B$5*(C46-1)^2)),0)</x:f>
        <x:v>0</x:v>
      </x:c>
      <x:c r="H46" s="28" t="n">
        <x:f>ROUND(Catalogue!H6*SQRT((1+'Paramètres'!$B$4*(C46-1)+'Paramètres'!$B$5*(C46-1)^2)),0)</x:f>
        <x:v>0</x:v>
      </x:c>
      <x:c r="I46" s="28" t="n">
        <x:v>2</x:v>
      </x:c>
      <x:c r="J46" s="28" t="n">
        <x:v>1</x:v>
      </x:c>
      <x:c r="K46" s="30" t="n">
        <x:v>0.25</x:v>
      </x:c>
      <x:c r="L46" s="54" t="n">
        <x:f>IF(M46=0,0,(E46+F46)/2)</x:f>
        <x:v>2.5</x:v>
      </x:c>
      <x:c r="M46" t="n">
        <x:v>1</x:v>
      </x:c>
      <x:c r="N46" t="n">
        <x:v>4</x:v>
      </x:c>
      <x:c r="O46" t="n">
        <x:v>0</x:v>
      </x:c>
      <x:c r="P46" s="63" t="str">
        <x:f>IF(M46=0,"—",M46&amp;"d"&amp;N46&amp;IF(O46=0,""," + "&amp;O46))</x:f>
        <x:v>1d4</x:v>
      </x:c>
      <x:c r="Q46" t="n">
        <x:f>ROUND(INDEX(Catalogue!E$4:E$85,MATCH(A46,Catalogue!A$4:A$85,0))*(1+'Paramètres'!$B$4*(C46-1)+'Paramètres'!$B$5*(C46-1)^2),0)</x:f>
        <x:v>1</x:v>
      </x:c>
      <x:c r="R46" t="n">
        <x:f>ROUND(INDEX(Catalogue!F$4:F$85,MATCH(A46,Catalogue!A$4:A$85,0))*(1+'Paramètres'!$B$4*(C46-1)+'Paramètres'!$B$5*(C46-1)^2),0)</x:f>
        <x:v>5</x:v>
      </x:c>
      <x:c r="S46" t="n">
        <x:f>L46-AVERAGE(Q46:R46)</x:f>
        <x:v>-0.5</x:v>
      </x:c>
      <x:c r="T46" t="str">
        <x:f>IF(M46=0,IF(AND(N46=0,O46=0,E46=0,F46=0),"OK","ERREUR"),IF(AND(M46&gt;=1,M46&lt;=32,OR(N46=4,N46=6,N46=8,N46=10,N46=12,N46=20),O46&gt;=0,E46=M46+O46,F46=M46*N46+O46),"OK","ERREUR"))</x:f>
        <x:v>OK</x:v>
      </x:c>
      <x:c r="U46" s="86" t="n">
        <x:f>IF(M46&gt;0,M46*(N46+1)/2+O46,0)</x:f>
        <x:v>2.5</x:v>
      </x:c>
      <x:c r="V46" t="str">
        <x:f>IF(ABS(L46-U46)&lt;0.001,"OK","ERREUR")</x:f>
        <x:v>OK</x:v>
      </x:c>
    </x:row>
    <x:row r="47" ht="18" customHeight="1">
      <x:c r="A47" t="str">
        <x:v>ARM003</x:v>
      </x:c>
      <x:c r="B47" t="str">
        <x:v>Stylet</x:v>
      </x:c>
      <x:c r="C47" t="n">
        <x:v>4</x:v>
      </x:c>
      <x:c r="D47" t="str">
        <x:v>Légères</x:v>
      </x:c>
      <x:c r="E47" s="28" t="n">
        <x:f>IF(M47=0,0,M47+O47)</x:f>
        <x:v>1</x:v>
      </x:c>
      <x:c r="F47" s="28" t="n">
        <x:f>IF(M47=0,0,M47*N47+O47)</x:f>
        <x:v>6</x:v>
      </x:c>
      <x:c r="G47" s="28" t="n">
        <x:f>ROUND(Catalogue!G6*SQRT((1+'Paramètres'!$B$4*(C47-1)+'Paramètres'!$B$5*(C47-1)^2)),0)</x:f>
        <x:v>0</x:v>
      </x:c>
      <x:c r="H47" s="28" t="n">
        <x:f>ROUND(Catalogue!H6*SQRT((1+'Paramètres'!$B$4*(C47-1)+'Paramètres'!$B$5*(C47-1)^2)),0)</x:f>
        <x:v>0</x:v>
      </x:c>
      <x:c r="I47" s="28" t="n">
        <x:v>2</x:v>
      </x:c>
      <x:c r="J47" s="28" t="n">
        <x:v>1</x:v>
      </x:c>
      <x:c r="K47" s="30" t="n">
        <x:v>0.25</x:v>
      </x:c>
      <x:c r="L47" s="54" t="n">
        <x:f>IF(M47=0,0,(E47+F47)/2)</x:f>
        <x:v>3.5</x:v>
      </x:c>
      <x:c r="M47" t="n">
        <x:v>1</x:v>
      </x:c>
      <x:c r="N47" t="n">
        <x:v>6</x:v>
      </x:c>
      <x:c r="O47" t="n">
        <x:v>0</x:v>
      </x:c>
      <x:c r="P47" s="63" t="str">
        <x:f>IF(M47=0,"—",M47&amp;"d"&amp;N47&amp;IF(O47=0,""," + "&amp;O47))</x:f>
        <x:v>1d6</x:v>
      </x:c>
      <x:c r="Q47" t="n">
        <x:f>ROUND(INDEX(Catalogue!E$4:E$85,MATCH(A47,Catalogue!A$4:A$85,0))*(1+'Paramètres'!$B$4*(C47-1)+'Paramètres'!$B$5*(C47-1)^2),0)</x:f>
        <x:v>1</x:v>
      </x:c>
      <x:c r="R47" t="n">
        <x:f>ROUND(INDEX(Catalogue!F$4:F$85,MATCH(A47,Catalogue!A$4:A$85,0))*(1+'Paramètres'!$B$4*(C47-1)+'Paramètres'!$B$5*(C47-1)^2),0)</x:f>
        <x:v>6</x:v>
      </x:c>
      <x:c r="S47" t="n">
        <x:f>L47-AVERAGE(Q47:R47)</x:f>
        <x:v>0</x:v>
      </x:c>
      <x:c r="T47" t="str">
        <x:f>IF(M47=0,IF(AND(N47=0,O47=0,E47=0,F47=0),"OK","ERREUR"),IF(AND(M47&gt;=1,M47&lt;=32,OR(N47=4,N47=6,N47=8,N47=10,N47=12,N47=20),O47&gt;=0,E47=M47+O47,F47=M47*N47+O47),"OK","ERREUR"))</x:f>
        <x:v>OK</x:v>
      </x:c>
      <x:c r="U47" s="86" t="n">
        <x:f>IF(M47&gt;0,M47*(N47+1)/2+O47,0)</x:f>
        <x:v>3.5</x:v>
      </x:c>
      <x:c r="V47" t="str">
        <x:f>IF(ABS(L47-U47)&lt;0.001,"OK","ERREUR")</x:f>
        <x:v>OK</x:v>
      </x:c>
    </x:row>
    <x:row r="48" ht="18" customHeight="1">
      <x:c r="A48" t="str">
        <x:v>ARM003</x:v>
      </x:c>
      <x:c r="B48" t="str">
        <x:v>Stylet</x:v>
      </x:c>
      <x:c r="C48" t="n">
        <x:v>5</x:v>
      </x:c>
      <x:c r="D48" t="str">
        <x:v>Légères</x:v>
      </x:c>
      <x:c r="E48" s="28" t="n">
        <x:f>IF(M48=0,0,M48+O48)</x:f>
        <x:v>2</x:v>
      </x:c>
      <x:c r="F48" s="28" t="n">
        <x:f>IF(M48=0,0,M48*N48+O48)</x:f>
        <x:v>7</x:v>
      </x:c>
      <x:c r="G48" s="28" t="n">
        <x:f>ROUND(Catalogue!G6*SQRT((1+'Paramètres'!$B$4*(C48-1)+'Paramètres'!$B$5*(C48-1)^2)),0)</x:f>
        <x:v>0</x:v>
      </x:c>
      <x:c r="H48" s="28" t="n">
        <x:f>ROUND(Catalogue!H6*SQRT((1+'Paramètres'!$B$4*(C48-1)+'Paramètres'!$B$5*(C48-1)^2)),0)</x:f>
        <x:v>0</x:v>
      </x:c>
      <x:c r="I48" s="28" t="n">
        <x:v>2</x:v>
      </x:c>
      <x:c r="J48" s="28" t="n">
        <x:v>1</x:v>
      </x:c>
      <x:c r="K48" s="30" t="n">
        <x:v>0.25</x:v>
      </x:c>
      <x:c r="L48" s="54" t="n">
        <x:f>IF(M48=0,0,(E48+F48)/2)</x:f>
        <x:v>4.5</x:v>
      </x:c>
      <x:c r="M48" t="n">
        <x:v>1</x:v>
      </x:c>
      <x:c r="N48" t="n">
        <x:v>6</x:v>
      </x:c>
      <x:c r="O48" t="n">
        <x:v>1</x:v>
      </x:c>
      <x:c r="P48" s="63" t="str">
        <x:f>IF(M48=0,"—",M48&amp;"d"&amp;N48&amp;IF(O48=0,""," + "&amp;O48))</x:f>
        <x:v>1d6 + 1</x:v>
      </x:c>
      <x:c r="Q48" t="n">
        <x:f>ROUND(INDEX(Catalogue!E$4:E$85,MATCH(A48,Catalogue!A$4:A$85,0))*(1+'Paramètres'!$B$4*(C48-1)+'Paramètres'!$B$5*(C48-1)^2),0)</x:f>
        <x:v>2</x:v>
      </x:c>
      <x:c r="R48" t="n">
        <x:f>ROUND(INDEX(Catalogue!F$4:F$85,MATCH(A48,Catalogue!A$4:A$85,0))*(1+'Paramètres'!$B$4*(C48-1)+'Paramètres'!$B$5*(C48-1)^2),0)</x:f>
        <x:v>7</x:v>
      </x:c>
      <x:c r="S48" t="n">
        <x:f>L48-AVERAGE(Q48:R48)</x:f>
        <x:v>0</x:v>
      </x:c>
      <x:c r="T48" t="str">
        <x:f>IF(M48=0,IF(AND(N48=0,O48=0,E48=0,F48=0),"OK","ERREUR"),IF(AND(M48&gt;=1,M48&lt;=32,OR(N48=4,N48=6,N48=8,N48=10,N48=12,N48=20),O48&gt;=0,E48=M48+O48,F48=M48*N48+O48),"OK","ERREUR"))</x:f>
        <x:v>OK</x:v>
      </x:c>
      <x:c r="U48" s="86" t="n">
        <x:f>IF(M48&gt;0,M48*(N48+1)/2+O48,0)</x:f>
        <x:v>4.5</x:v>
      </x:c>
      <x:c r="V48" t="str">
        <x:f>IF(ABS(L48-U48)&lt;0.001,"OK","ERREUR")</x:f>
        <x:v>OK</x:v>
      </x:c>
    </x:row>
    <x:row r="49" ht="18" customHeight="1">
      <x:c r="A49" t="str">
        <x:v>ARM003</x:v>
      </x:c>
      <x:c r="B49" t="str">
        <x:v>Stylet</x:v>
      </x:c>
      <x:c r="C49" t="n">
        <x:v>6</x:v>
      </x:c>
      <x:c r="D49" t="str">
        <x:v>Légères</x:v>
      </x:c>
      <x:c r="E49" s="28" t="n">
        <x:f>IF(M49=0,0,M49+O49)</x:f>
        <x:v>2</x:v>
      </x:c>
      <x:c r="F49" s="28" t="n">
        <x:f>IF(M49=0,0,M49*N49+O49)</x:f>
        <x:v>8</x:v>
      </x:c>
      <x:c r="G49" s="28" t="n">
        <x:f>ROUND(Catalogue!G6*SQRT((1+'Paramètres'!$B$4*(C49-1)+'Paramètres'!$B$5*(C49-1)^2)),0)</x:f>
        <x:v>0</x:v>
      </x:c>
      <x:c r="H49" s="28" t="n">
        <x:f>ROUND(Catalogue!H6*SQRT((1+'Paramètres'!$B$4*(C49-1)+'Paramètres'!$B$5*(C49-1)^2)),0)</x:f>
        <x:v>0</x:v>
      </x:c>
      <x:c r="I49" s="28" t="n">
        <x:v>2</x:v>
      </x:c>
      <x:c r="J49" s="28" t="n">
        <x:v>1</x:v>
      </x:c>
      <x:c r="K49" s="30" t="n">
        <x:v>0.25</x:v>
      </x:c>
      <x:c r="L49" s="54" t="n">
        <x:f>IF(M49=0,0,(E49+F49)/2)</x:f>
        <x:v>5</x:v>
      </x:c>
      <x:c r="M49" t="n">
        <x:v>2</x:v>
      </x:c>
      <x:c r="N49" t="n">
        <x:v>4</x:v>
      </x:c>
      <x:c r="O49" t="n">
        <x:v>0</x:v>
      </x:c>
      <x:c r="P49" s="63" t="str">
        <x:f>IF(M49=0,"—",M49&amp;"d"&amp;N49&amp;IF(O49=0,""," + "&amp;O49))</x:f>
        <x:v>2d4</x:v>
      </x:c>
      <x:c r="Q49" t="n">
        <x:f>ROUND(INDEX(Catalogue!E$4:E$85,MATCH(A49,Catalogue!A$4:A$85,0))*(1+'Paramètres'!$B$4*(C49-1)+'Paramètres'!$B$5*(C49-1)^2),0)</x:f>
        <x:v>2</x:v>
      </x:c>
      <x:c r="R49" t="n">
        <x:f>ROUND(INDEX(Catalogue!F$4:F$85,MATCH(A49,Catalogue!A$4:A$85,0))*(1+'Paramètres'!$B$4*(C49-1)+'Paramètres'!$B$5*(C49-1)^2),0)</x:f>
        <x:v>8</x:v>
      </x:c>
      <x:c r="S49" t="n">
        <x:f>L49-AVERAGE(Q49:R49)</x:f>
        <x:v>0</x:v>
      </x:c>
      <x:c r="T49" t="str">
        <x:f>IF(M49=0,IF(AND(N49=0,O49=0,E49=0,F49=0),"OK","ERREUR"),IF(AND(M49&gt;=1,M49&lt;=32,OR(N49=4,N49=6,N49=8,N49=10,N49=12,N49=20),O49&gt;=0,E49=M49+O49,F49=M49*N49+O49),"OK","ERREUR"))</x:f>
        <x:v>OK</x:v>
      </x:c>
      <x:c r="U49" s="86" t="n">
        <x:f>IF(M49&gt;0,M49*(N49+1)/2+O49,0)</x:f>
        <x:v>5</x:v>
      </x:c>
      <x:c r="V49" t="str">
        <x:f>IF(ABS(L49-U49)&lt;0.001,"OK","ERREUR")</x:f>
        <x:v>OK</x:v>
      </x:c>
    </x:row>
    <x:row r="50" ht="18" customHeight="1">
      <x:c r="A50" t="str">
        <x:v>ARM003</x:v>
      </x:c>
      <x:c r="B50" t="str">
        <x:v>Stylet</x:v>
      </x:c>
      <x:c r="C50" t="n">
        <x:v>7</x:v>
      </x:c>
      <x:c r="D50" t="str">
        <x:v>Légères</x:v>
      </x:c>
      <x:c r="E50" s="28" t="n">
        <x:f>IF(M50=0,0,M50+O50)</x:f>
        <x:v>2</x:v>
      </x:c>
      <x:c r="F50" s="28" t="n">
        <x:f>IF(M50=0,0,M50*N50+O50)</x:f>
        <x:v>9</x:v>
      </x:c>
      <x:c r="G50" s="28" t="n">
        <x:f>ROUND(Catalogue!G6*SQRT((1+'Paramètres'!$B$4*(C50-1)+'Paramètres'!$B$5*(C50-1)^2)),0)</x:f>
        <x:v>0</x:v>
      </x:c>
      <x:c r="H50" s="28" t="n">
        <x:f>ROUND(Catalogue!H6*SQRT((1+'Paramètres'!$B$4*(C50-1)+'Paramètres'!$B$5*(C50-1)^2)),0)</x:f>
        <x:v>0</x:v>
      </x:c>
      <x:c r="I50" s="28" t="n">
        <x:v>2</x:v>
      </x:c>
      <x:c r="J50" s="28" t="n">
        <x:v>1</x:v>
      </x:c>
      <x:c r="K50" s="30" t="n">
        <x:v>0.25</x:v>
      </x:c>
      <x:c r="L50" s="54" t="n">
        <x:f>IF(M50=0,0,(E50+F50)/2)</x:f>
        <x:v>5.5</x:v>
      </x:c>
      <x:c r="M50" t="n">
        <x:v>1</x:v>
      </x:c>
      <x:c r="N50" t="n">
        <x:v>8</x:v>
      </x:c>
      <x:c r="O50" t="n">
        <x:v>1</x:v>
      </x:c>
      <x:c r="P50" s="63" t="str">
        <x:f>IF(M50=0,"—",M50&amp;"d"&amp;N50&amp;IF(O50=0,""," + "&amp;O50))</x:f>
        <x:v>1d8 + 1</x:v>
      </x:c>
      <x:c r="Q50" t="n">
        <x:f>ROUND(INDEX(Catalogue!E$4:E$85,MATCH(A50,Catalogue!A$4:A$85,0))*(1+'Paramètres'!$B$4*(C50-1)+'Paramètres'!$B$5*(C50-1)^2),0)</x:f>
        <x:v>2</x:v>
      </x:c>
      <x:c r="R50" t="n">
        <x:f>ROUND(INDEX(Catalogue!F$4:F$85,MATCH(A50,Catalogue!A$4:A$85,0))*(1+'Paramètres'!$B$4*(C50-1)+'Paramètres'!$B$5*(C50-1)^2),0)</x:f>
        <x:v>9</x:v>
      </x:c>
      <x:c r="S50" t="n">
        <x:f>L50-AVERAGE(Q50:R50)</x:f>
        <x:v>0</x:v>
      </x:c>
      <x:c r="T50" t="str">
        <x:f>IF(M50=0,IF(AND(N50=0,O50=0,E50=0,F50=0),"OK","ERREUR"),IF(AND(M50&gt;=1,M50&lt;=32,OR(N50=4,N50=6,N50=8,N50=10,N50=12,N50=20),O50&gt;=0,E50=M50+O50,F50=M50*N50+O50),"OK","ERREUR"))</x:f>
        <x:v>OK</x:v>
      </x:c>
      <x:c r="U50" s="86" t="n">
        <x:f>IF(M50&gt;0,M50*(N50+1)/2+O50,0)</x:f>
        <x:v>5.5</x:v>
      </x:c>
      <x:c r="V50" t="str">
        <x:f>IF(ABS(L50-U50)&lt;0.001,"OK","ERREUR")</x:f>
        <x:v>OK</x:v>
      </x:c>
    </x:row>
    <x:row r="51" ht="18" customHeight="1">
      <x:c r="A51" t="str">
        <x:v>ARM003</x:v>
      </x:c>
      <x:c r="B51" t="str">
        <x:v>Stylet</x:v>
      </x:c>
      <x:c r="C51" t="n">
        <x:v>8</x:v>
      </x:c>
      <x:c r="D51" t="str">
        <x:v>Légères</x:v>
      </x:c>
      <x:c r="E51" s="28" t="n">
        <x:f>IF(M51=0,0,M51+O51)</x:f>
        <x:v>3</x:v>
      </x:c>
      <x:c r="F51" s="28" t="n">
        <x:f>IF(M51=0,0,M51*N51+O51)</x:f>
        <x:v>10</x:v>
      </x:c>
      <x:c r="G51" s="28" t="n">
        <x:f>ROUND(Catalogue!G6*SQRT((1+'Paramètres'!$B$4*(C51-1)+'Paramètres'!$B$5*(C51-1)^2)),0)</x:f>
        <x:v>0</x:v>
      </x:c>
      <x:c r="H51" s="28" t="n">
        <x:f>ROUND(Catalogue!H6*SQRT((1+'Paramètres'!$B$4*(C51-1)+'Paramètres'!$B$5*(C51-1)^2)),0)</x:f>
        <x:v>0</x:v>
      </x:c>
      <x:c r="I51" s="28" t="n">
        <x:v>2</x:v>
      </x:c>
      <x:c r="J51" s="28" t="n">
        <x:v>1</x:v>
      </x:c>
      <x:c r="K51" s="30" t="n">
        <x:v>0.25</x:v>
      </x:c>
      <x:c r="L51" s="54" t="n">
        <x:f>IF(M51=0,0,(E51+F51)/2)</x:f>
        <x:v>6.5</x:v>
      </x:c>
      <x:c r="M51" t="n">
        <x:v>1</x:v>
      </x:c>
      <x:c r="N51" t="n">
        <x:v>8</x:v>
      </x:c>
      <x:c r="O51" t="n">
        <x:v>2</x:v>
      </x:c>
      <x:c r="P51" s="63" t="str">
        <x:f>IF(M51=0,"—",M51&amp;"d"&amp;N51&amp;IF(O51=0,""," + "&amp;O51))</x:f>
        <x:v>1d8 + 2</x:v>
      </x:c>
      <x:c r="Q51" t="n">
        <x:f>ROUND(INDEX(Catalogue!E$4:E$85,MATCH(A51,Catalogue!A$4:A$85,0))*(1+'Paramètres'!$B$4*(C51-1)+'Paramètres'!$B$5*(C51-1)^2),0)</x:f>
        <x:v>3</x:v>
      </x:c>
      <x:c r="R51" t="n">
        <x:f>ROUND(INDEX(Catalogue!F$4:F$85,MATCH(A51,Catalogue!A$4:A$85,0))*(1+'Paramètres'!$B$4*(C51-1)+'Paramètres'!$B$5*(C51-1)^2),0)</x:f>
        <x:v>10</x:v>
      </x:c>
      <x:c r="S51" t="n">
        <x:f>L51-AVERAGE(Q51:R51)</x:f>
        <x:v>0</x:v>
      </x:c>
      <x:c r="T51" t="str">
        <x:f>IF(M51=0,IF(AND(N51=0,O51=0,E51=0,F51=0),"OK","ERREUR"),IF(AND(M51&gt;=1,M51&lt;=32,OR(N51=4,N51=6,N51=8,N51=10,N51=12,N51=20),O51&gt;=0,E51=M51+O51,F51=M51*N51+O51),"OK","ERREUR"))</x:f>
        <x:v>OK</x:v>
      </x:c>
      <x:c r="U51" s="86" t="n">
        <x:f>IF(M51&gt;0,M51*(N51+1)/2+O51,0)</x:f>
        <x:v>6.5</x:v>
      </x:c>
      <x:c r="V51" t="str">
        <x:f>IF(ABS(L51-U51)&lt;0.001,"OK","ERREUR")</x:f>
        <x:v>OK</x:v>
      </x:c>
    </x:row>
    <x:row r="52" ht="18" customHeight="1">
      <x:c r="A52" t="str">
        <x:v>ARM003</x:v>
      </x:c>
      <x:c r="B52" t="str">
        <x:v>Stylet</x:v>
      </x:c>
      <x:c r="C52" t="n">
        <x:v>9</x:v>
      </x:c>
      <x:c r="D52" t="str">
        <x:v>Légères</x:v>
      </x:c>
      <x:c r="E52" s="28" t="n">
        <x:f>IF(M52=0,0,M52+O52)</x:f>
        <x:v>3</x:v>
      </x:c>
      <x:c r="F52" s="28" t="n">
        <x:f>IF(M52=0,0,M52*N52+O52)</x:f>
        <x:v>12</x:v>
      </x:c>
      <x:c r="G52" s="28" t="n">
        <x:f>ROUND(Catalogue!G6*SQRT((1+'Paramètres'!$B$4*(C52-1)+'Paramètres'!$B$5*(C52-1)^2)),0)</x:f>
        <x:v>0</x:v>
      </x:c>
      <x:c r="H52" s="28" t="n">
        <x:f>ROUND(Catalogue!H6*SQRT((1+'Paramètres'!$B$4*(C52-1)+'Paramètres'!$B$5*(C52-1)^2)),0)</x:f>
        <x:v>0</x:v>
      </x:c>
      <x:c r="I52" s="28" t="n">
        <x:v>2</x:v>
      </x:c>
      <x:c r="J52" s="28" t="n">
        <x:v>1</x:v>
      </x:c>
      <x:c r="K52" s="30" t="n">
        <x:v>0.25</x:v>
      </x:c>
      <x:c r="L52" s="54" t="n">
        <x:f>IF(M52=0,0,(E52+F52)/2)</x:f>
        <x:v>7.5</x:v>
      </x:c>
      <x:c r="M52" t="n">
        <x:v>3</x:v>
      </x:c>
      <x:c r="N52" t="n">
        <x:v>4</x:v>
      </x:c>
      <x:c r="O52" t="n">
        <x:v>0</x:v>
      </x:c>
      <x:c r="P52" s="63" t="str">
        <x:f>IF(M52=0,"—",M52&amp;"d"&amp;N52&amp;IF(O52=0,""," + "&amp;O52))</x:f>
        <x:v>3d4</x:v>
      </x:c>
      <x:c r="Q52" t="n">
        <x:f>ROUND(INDEX(Catalogue!E$4:E$85,MATCH(A52,Catalogue!A$4:A$85,0))*(1+'Paramètres'!$B$4*(C52-1)+'Paramètres'!$B$5*(C52-1)^2),0)</x:f>
        <x:v>3</x:v>
      </x:c>
      <x:c r="R52" t="n">
        <x:f>ROUND(INDEX(Catalogue!F$4:F$85,MATCH(A52,Catalogue!A$4:A$85,0))*(1+'Paramètres'!$B$4*(C52-1)+'Paramètres'!$B$5*(C52-1)^2),0)</x:f>
        <x:v>12</x:v>
      </x:c>
      <x:c r="S52" t="n">
        <x:f>L52-AVERAGE(Q52:R52)</x:f>
        <x:v>0</x:v>
      </x:c>
      <x:c r="T52" t="str">
        <x:f>IF(M52=0,IF(AND(N52=0,O52=0,E52=0,F52=0),"OK","ERREUR"),IF(AND(M52&gt;=1,M52&lt;=32,OR(N52=4,N52=6,N52=8,N52=10,N52=12,N52=20),O52&gt;=0,E52=M52+O52,F52=M52*N52+O52),"OK","ERREUR"))</x:f>
        <x:v>OK</x:v>
      </x:c>
      <x:c r="U52" s="86" t="n">
        <x:f>IF(M52&gt;0,M52*(N52+1)/2+O52,0)</x:f>
        <x:v>7.5</x:v>
      </x:c>
      <x:c r="V52" t="str">
        <x:f>IF(ABS(L52-U52)&lt;0.001,"OK","ERREUR")</x:f>
        <x:v>OK</x:v>
      </x:c>
    </x:row>
    <x:row r="53" ht="18" customHeight="1">
      <x:c r="A53" t="str">
        <x:v>ARM003</x:v>
      </x:c>
      <x:c r="B53" t="str">
        <x:v>Stylet</x:v>
      </x:c>
      <x:c r="C53" t="n">
        <x:v>10</x:v>
      </x:c>
      <x:c r="D53" t="str">
        <x:v>Légères</x:v>
      </x:c>
      <x:c r="E53" s="28" t="n">
        <x:f>IF(M53=0,0,M53+O53)</x:f>
        <x:v>3</x:v>
      </x:c>
      <x:c r="F53" s="28" t="n">
        <x:f>IF(M53=0,0,M53*N53+O53)</x:f>
        <x:v>13</x:v>
      </x:c>
      <x:c r="G53" s="28" t="n">
        <x:f>ROUND(Catalogue!G6*SQRT((1+'Paramètres'!$B$4*(C53-1)+'Paramètres'!$B$5*(C53-1)^2)),0)</x:f>
        <x:v>0</x:v>
      </x:c>
      <x:c r="H53" s="28" t="n">
        <x:f>ROUND(Catalogue!H6*SQRT((1+'Paramètres'!$B$4*(C53-1)+'Paramètres'!$B$5*(C53-1)^2)),0)</x:f>
        <x:v>0</x:v>
      </x:c>
      <x:c r="I53" s="28" t="n">
        <x:v>2</x:v>
      </x:c>
      <x:c r="J53" s="28" t="n">
        <x:v>1</x:v>
      </x:c>
      <x:c r="K53" s="30" t="n">
        <x:v>0.25</x:v>
      </x:c>
      <x:c r="L53" s="54" t="n">
        <x:f>IF(M53=0,0,(E53+F53)/2)</x:f>
        <x:v>8</x:v>
      </x:c>
      <x:c r="M53" t="n">
        <x:v>2</x:v>
      </x:c>
      <x:c r="N53" t="n">
        <x:v>6</x:v>
      </x:c>
      <x:c r="O53" t="n">
        <x:v>1</x:v>
      </x:c>
      <x:c r="P53" s="63" t="str">
        <x:f>IF(M53=0,"—",M53&amp;"d"&amp;N53&amp;IF(O53=0,""," + "&amp;O53))</x:f>
        <x:v>2d6 + 1</x:v>
      </x:c>
      <x:c r="Q53" t="n">
        <x:f>ROUND(INDEX(Catalogue!E$4:E$85,MATCH(A53,Catalogue!A$4:A$85,0))*(1+'Paramètres'!$B$4*(C53-1)+'Paramètres'!$B$5*(C53-1)^2),0)</x:f>
        <x:v>3</x:v>
      </x:c>
      <x:c r="R53" t="n">
        <x:f>ROUND(INDEX(Catalogue!F$4:F$85,MATCH(A53,Catalogue!A$4:A$85,0))*(1+'Paramètres'!$B$4*(C53-1)+'Paramètres'!$B$5*(C53-1)^2),0)</x:f>
        <x:v>13</x:v>
      </x:c>
      <x:c r="S53" t="n">
        <x:f>L53-AVERAGE(Q53:R53)</x:f>
        <x:v>0</x:v>
      </x:c>
      <x:c r="T53" t="str">
        <x:f>IF(M53=0,IF(AND(N53=0,O53=0,E53=0,F53=0),"OK","ERREUR"),IF(AND(M53&gt;=1,M53&lt;=32,OR(N53=4,N53=6,N53=8,N53=10,N53=12,N53=20),O53&gt;=0,E53=M53+O53,F53=M53*N53+O53),"OK","ERREUR"))</x:f>
        <x:v>OK</x:v>
      </x:c>
      <x:c r="U53" s="86" t="n">
        <x:f>IF(M53&gt;0,M53*(N53+1)/2+O53,0)</x:f>
        <x:v>8</x:v>
      </x:c>
      <x:c r="V53" t="str">
        <x:f>IF(ABS(L53-U53)&lt;0.001,"OK","ERREUR")</x:f>
        <x:v>OK</x:v>
      </x:c>
    </x:row>
    <x:row r="54" ht="18" customHeight="1">
      <x:c r="A54" t="str">
        <x:v>ARM003</x:v>
      </x:c>
      <x:c r="B54" t="str">
        <x:v>Stylet</x:v>
      </x:c>
      <x:c r="C54" t="n">
        <x:v>11</x:v>
      </x:c>
      <x:c r="D54" t="str">
        <x:v>Légères</x:v>
      </x:c>
      <x:c r="E54" s="28" t="n">
        <x:f>IF(M54=0,0,M54+O54)</x:f>
        <x:v>4</x:v>
      </x:c>
      <x:c r="F54" s="28" t="n">
        <x:f>IF(M54=0,0,M54*N54+O54)</x:f>
        <x:v>14</x:v>
      </x:c>
      <x:c r="G54" s="28" t="n">
        <x:f>ROUND(Catalogue!G6*SQRT((1+'Paramètres'!$B$4*(C54-1)+'Paramètres'!$B$5*(C54-1)^2)),0)</x:f>
        <x:v>0</x:v>
      </x:c>
      <x:c r="H54" s="28" t="n">
        <x:f>ROUND(Catalogue!H6*SQRT((1+'Paramètres'!$B$4*(C54-1)+'Paramètres'!$B$5*(C54-1)^2)),0)</x:f>
        <x:v>0</x:v>
      </x:c>
      <x:c r="I54" s="28" t="n">
        <x:v>2</x:v>
      </x:c>
      <x:c r="J54" s="28" t="n">
        <x:v>1</x:v>
      </x:c>
      <x:c r="K54" s="30" t="n">
        <x:v>0.25</x:v>
      </x:c>
      <x:c r="L54" s="54" t="n">
        <x:f>IF(M54=0,0,(E54+F54)/2)</x:f>
        <x:v>9</x:v>
      </x:c>
      <x:c r="M54" t="n">
        <x:v>2</x:v>
      </x:c>
      <x:c r="N54" t="n">
        <x:v>6</x:v>
      </x:c>
      <x:c r="O54" t="n">
        <x:v>2</x:v>
      </x:c>
      <x:c r="P54" s="63" t="str">
        <x:f>IF(M54=0,"—",M54&amp;"d"&amp;N54&amp;IF(O54=0,""," + "&amp;O54))</x:f>
        <x:v>2d6 + 2</x:v>
      </x:c>
      <x:c r="Q54" t="n">
        <x:f>ROUND(INDEX(Catalogue!E$4:E$85,MATCH(A54,Catalogue!A$4:A$85,0))*(1+'Paramètres'!$B$4*(C54-1)+'Paramètres'!$B$5*(C54-1)^2),0)</x:f>
        <x:v>4</x:v>
      </x:c>
      <x:c r="R54" t="n">
        <x:f>ROUND(INDEX(Catalogue!F$4:F$85,MATCH(A54,Catalogue!A$4:A$85,0))*(1+'Paramètres'!$B$4*(C54-1)+'Paramètres'!$B$5*(C54-1)^2),0)</x:f>
        <x:v>15</x:v>
      </x:c>
      <x:c r="S54" t="n">
        <x:f>L54-AVERAGE(Q54:R54)</x:f>
        <x:v>-0.5</x:v>
      </x:c>
      <x:c r="T54" t="str">
        <x:f>IF(M54=0,IF(AND(N54=0,O54=0,E54=0,F54=0),"OK","ERREUR"),IF(AND(M54&gt;=1,M54&lt;=32,OR(N54=4,N54=6,N54=8,N54=10,N54=12,N54=20),O54&gt;=0,E54=M54+O54,F54=M54*N54+O54),"OK","ERREUR"))</x:f>
        <x:v>OK</x:v>
      </x:c>
      <x:c r="U54" s="86" t="n">
        <x:f>IF(M54&gt;0,M54*(N54+1)/2+O54,0)</x:f>
        <x:v>9</x:v>
      </x:c>
      <x:c r="V54" t="str">
        <x:f>IF(ABS(L54-U54)&lt;0.001,"OK","ERREUR")</x:f>
        <x:v>OK</x:v>
      </x:c>
    </x:row>
    <x:row r="55" ht="18" customHeight="1">
      <x:c r="A55" t="str">
        <x:v>ARM003</x:v>
      </x:c>
      <x:c r="B55" t="str">
        <x:v>Stylet</x:v>
      </x:c>
      <x:c r="C55" t="n">
        <x:v>12</x:v>
      </x:c>
      <x:c r="D55" t="str">
        <x:v>Légères</x:v>
      </x:c>
      <x:c r="E55" s="28" t="n">
        <x:f>IF(M55=0,0,M55+O55)</x:f>
        <x:v>3</x:v>
      </x:c>
      <x:c r="F55" s="28" t="n">
        <x:f>IF(M55=0,0,M55*N55+O55)</x:f>
        <x:v>17</x:v>
      </x:c>
      <x:c r="G55" s="28" t="n">
        <x:f>ROUND(Catalogue!G6*SQRT((1+'Paramètres'!$B$4*(C55-1)+'Paramètres'!$B$5*(C55-1)^2)),0)</x:f>
        <x:v>0</x:v>
      </x:c>
      <x:c r="H55" s="28" t="n">
        <x:f>ROUND(Catalogue!H6*SQRT((1+'Paramètres'!$B$4*(C55-1)+'Paramètres'!$B$5*(C55-1)^2)),0)</x:f>
        <x:v>0</x:v>
      </x:c>
      <x:c r="I55" s="28" t="n">
        <x:v>2</x:v>
      </x:c>
      <x:c r="J55" s="28" t="n">
        <x:v>1</x:v>
      </x:c>
      <x:c r="K55" s="30" t="n">
        <x:v>0.25</x:v>
      </x:c>
      <x:c r="L55" s="54" t="n">
        <x:f>IF(M55=0,0,(E55+F55)/2)</x:f>
        <x:v>10</x:v>
      </x:c>
      <x:c r="M55" t="n">
        <x:v>2</x:v>
      </x:c>
      <x:c r="N55" t="n">
        <x:v>8</x:v>
      </x:c>
      <x:c r="O55" t="n">
        <x:v>1</x:v>
      </x:c>
      <x:c r="P55" s="63" t="str">
        <x:f>IF(M55=0,"—",M55&amp;"d"&amp;N55&amp;IF(O55=0,""," + "&amp;O55))</x:f>
        <x:v>2d8 + 1</x:v>
      </x:c>
      <x:c r="Q55" t="n">
        <x:f>ROUND(INDEX(Catalogue!E$4:E$85,MATCH(A55,Catalogue!A$4:A$85,0))*(1+'Paramètres'!$B$4*(C55-1)+'Paramètres'!$B$5*(C55-1)^2),0)</x:f>
        <x:v>4</x:v>
      </x:c>
      <x:c r="R55" t="n">
        <x:f>ROUND(INDEX(Catalogue!F$4:F$85,MATCH(A55,Catalogue!A$4:A$85,0))*(1+'Paramètres'!$B$4*(C55-1)+'Paramètres'!$B$5*(C55-1)^2),0)</x:f>
        <x:v>17</x:v>
      </x:c>
      <x:c r="S55" t="n">
        <x:f>L55-AVERAGE(Q55:R55)</x:f>
        <x:v>-0.5</x:v>
      </x:c>
      <x:c r="T55" t="str">
        <x:f>IF(M55=0,IF(AND(N55=0,O55=0,E55=0,F55=0),"OK","ERREUR"),IF(AND(M55&gt;=1,M55&lt;=32,OR(N55=4,N55=6,N55=8,N55=10,N55=12,N55=20),O55&gt;=0,E55=M55+O55,F55=M55*N55+O55),"OK","ERREUR"))</x:f>
        <x:v>OK</x:v>
      </x:c>
      <x:c r="U55" s="86" t="n">
        <x:f>IF(M55&gt;0,M55*(N55+1)/2+O55,0)</x:f>
        <x:v>10</x:v>
      </x:c>
      <x:c r="V55" t="str">
        <x:f>IF(ABS(L55-U55)&lt;0.001,"OK","ERREUR")</x:f>
        <x:v>OK</x:v>
      </x:c>
    </x:row>
    <x:row r="56" ht="18" customHeight="1">
      <x:c r="A56" t="str">
        <x:v>ARM003</x:v>
      </x:c>
      <x:c r="B56" t="str">
        <x:v>Stylet</x:v>
      </x:c>
      <x:c r="C56" t="n">
        <x:v>13</x:v>
      </x:c>
      <x:c r="D56" t="str">
        <x:v>Légères</x:v>
      </x:c>
      <x:c r="E56" s="28" t="n">
        <x:f>IF(M56=0,0,M56+O56)</x:f>
        <x:v>4</x:v>
      </x:c>
      <x:c r="F56" s="28" t="n">
        <x:f>IF(M56=0,0,M56*N56+O56)</x:f>
        <x:v>18</x:v>
      </x:c>
      <x:c r="G56" s="28" t="n">
        <x:f>ROUND(Catalogue!G6*SQRT((1+'Paramètres'!$B$4*(C56-1)+'Paramètres'!$B$5*(C56-1)^2)),0)</x:f>
        <x:v>0</x:v>
      </x:c>
      <x:c r="H56" s="28" t="n">
        <x:f>ROUND(Catalogue!H6*SQRT((1+'Paramètres'!$B$4*(C56-1)+'Paramètres'!$B$5*(C56-1)^2)),0)</x:f>
        <x:v>0</x:v>
      </x:c>
      <x:c r="I56" s="28" t="n">
        <x:v>2</x:v>
      </x:c>
      <x:c r="J56" s="28" t="n">
        <x:v>1</x:v>
      </x:c>
      <x:c r="K56" s="30" t="n">
        <x:v>0.25</x:v>
      </x:c>
      <x:c r="L56" s="54" t="n">
        <x:f>IF(M56=0,0,(E56+F56)/2)</x:f>
        <x:v>11</x:v>
      </x:c>
      <x:c r="M56" t="n">
        <x:v>2</x:v>
      </x:c>
      <x:c r="N56" t="n">
        <x:v>8</x:v>
      </x:c>
      <x:c r="O56" t="n">
        <x:v>2</x:v>
      </x:c>
      <x:c r="P56" s="63" t="str">
        <x:f>IF(M56=0,"—",M56&amp;"d"&amp;N56&amp;IF(O56=0,""," + "&amp;O56))</x:f>
        <x:v>2d8 + 2</x:v>
      </x:c>
      <x:c r="Q56" t="n">
        <x:f>ROUND(INDEX(Catalogue!E$4:E$85,MATCH(A56,Catalogue!A$4:A$85,0))*(1+'Paramètres'!$B$4*(C56-1)+'Paramètres'!$B$5*(C56-1)^2),0)</x:f>
        <x:v>5</x:v>
      </x:c>
      <x:c r="R56" t="n">
        <x:f>ROUND(INDEX(Catalogue!F$4:F$85,MATCH(A56,Catalogue!A$4:A$85,0))*(1+'Paramètres'!$B$4*(C56-1)+'Paramètres'!$B$5*(C56-1)^2),0)</x:f>
        <x:v>18</x:v>
      </x:c>
      <x:c r="S56" t="n">
        <x:f>L56-AVERAGE(Q56:R56)</x:f>
        <x:v>-0.5</x:v>
      </x:c>
      <x:c r="T56" t="str">
        <x:f>IF(M56=0,IF(AND(N56=0,O56=0,E56=0,F56=0),"OK","ERREUR"),IF(AND(M56&gt;=1,M56&lt;=32,OR(N56=4,N56=6,N56=8,N56=10,N56=12,N56=20),O56&gt;=0,E56=M56+O56,F56=M56*N56+O56),"OK","ERREUR"))</x:f>
        <x:v>OK</x:v>
      </x:c>
      <x:c r="U56" s="86" t="n">
        <x:f>IF(M56&gt;0,M56*(N56+1)/2+O56,0)</x:f>
        <x:v>11</x:v>
      </x:c>
      <x:c r="V56" t="str">
        <x:f>IF(ABS(L56-U56)&lt;0.001,"OK","ERREUR")</x:f>
        <x:v>OK</x:v>
      </x:c>
    </x:row>
    <x:row r="57" ht="18" customHeight="1">
      <x:c r="A57" t="str">
        <x:v>ARM003</x:v>
      </x:c>
      <x:c r="B57" t="str">
        <x:v>Stylet</x:v>
      </x:c>
      <x:c r="C57" t="n">
        <x:v>14</x:v>
      </x:c>
      <x:c r="D57" t="str">
        <x:v>Légères</x:v>
      </x:c>
      <x:c r="E57" s="28" t="n">
        <x:f>IF(M57=0,0,M57+O57)</x:f>
        <x:v>5</x:v>
      </x:c>
      <x:c r="F57" s="28" t="n">
        <x:f>IF(M57=0,0,M57*N57+O57)</x:f>
        <x:v>20</x:v>
      </x:c>
      <x:c r="G57" s="28" t="n">
        <x:f>ROUND(Catalogue!G6*SQRT((1+'Paramètres'!$B$4*(C57-1)+'Paramètres'!$B$5*(C57-1)^2)),0)</x:f>
        <x:v>0</x:v>
      </x:c>
      <x:c r="H57" s="28" t="n">
        <x:f>ROUND(Catalogue!H6*SQRT((1+'Paramètres'!$B$4*(C57-1)+'Paramètres'!$B$5*(C57-1)^2)),0)</x:f>
        <x:v>0</x:v>
      </x:c>
      <x:c r="I57" s="28" t="n">
        <x:v>2</x:v>
      </x:c>
      <x:c r="J57" s="28" t="n">
        <x:v>1</x:v>
      </x:c>
      <x:c r="K57" s="30" t="n">
        <x:v>0.25</x:v>
      </x:c>
      <x:c r="L57" s="54" t="n">
        <x:f>IF(M57=0,0,(E57+F57)/2)</x:f>
        <x:v>12.5</x:v>
      </x:c>
      <x:c r="M57" t="n">
        <x:v>3</x:v>
      </x:c>
      <x:c r="N57" t="n">
        <x:v>6</x:v>
      </x:c>
      <x:c r="O57" t="n">
        <x:v>2</x:v>
      </x:c>
      <x:c r="P57" s="63" t="str">
        <x:f>IF(M57=0,"—",M57&amp;"d"&amp;N57&amp;IF(O57=0,""," + "&amp;O57))</x:f>
        <x:v>3d6 + 2</x:v>
      </x:c>
      <x:c r="Q57" t="n">
        <x:f>ROUND(INDEX(Catalogue!E$4:E$85,MATCH(A57,Catalogue!A$4:A$85,0))*(1+'Paramètres'!$B$4*(C57-1)+'Paramètres'!$B$5*(C57-1)^2),0)</x:f>
        <x:v>5</x:v>
      </x:c>
      <x:c r="R57" t="n">
        <x:f>ROUND(INDEX(Catalogue!F$4:F$85,MATCH(A57,Catalogue!A$4:A$85,0))*(1+'Paramètres'!$B$4*(C57-1)+'Paramètres'!$B$5*(C57-1)^2),0)</x:f>
        <x:v>21</x:v>
      </x:c>
      <x:c r="S57" t="n">
        <x:f>L57-AVERAGE(Q57:R57)</x:f>
        <x:v>-0.5</x:v>
      </x:c>
      <x:c r="T57" t="str">
        <x:f>IF(M57=0,IF(AND(N57=0,O57=0,E57=0,F57=0),"OK","ERREUR"),IF(AND(M57&gt;=1,M57&lt;=32,OR(N57=4,N57=6,N57=8,N57=10,N57=12,N57=20),O57&gt;=0,E57=M57+O57,F57=M57*N57+O57),"OK","ERREUR"))</x:f>
        <x:v>OK</x:v>
      </x:c>
      <x:c r="U57" s="86" t="n">
        <x:f>IF(M57&gt;0,M57*(N57+1)/2+O57,0)</x:f>
        <x:v>12.5</x:v>
      </x:c>
      <x:c r="V57" t="str">
        <x:f>IF(ABS(L57-U57)&lt;0.001,"OK","ERREUR")</x:f>
        <x:v>OK</x:v>
      </x:c>
    </x:row>
    <x:row r="58" ht="18" customHeight="1">
      <x:c r="A58" t="str">
        <x:v>ARM003</x:v>
      </x:c>
      <x:c r="B58" t="str">
        <x:v>Stylet</x:v>
      </x:c>
      <x:c r="C58" t="n">
        <x:v>15</x:v>
      </x:c>
      <x:c r="D58" t="str">
        <x:v>Légères</x:v>
      </x:c>
      <x:c r="E58" s="28" t="n">
        <x:f>IF(M58=0,0,M58+O58)</x:f>
        <x:v>5</x:v>
      </x:c>
      <x:c r="F58" s="28" t="n">
        <x:f>IF(M58=0,0,M58*N58+O58)</x:f>
        <x:v>23</x:v>
      </x:c>
      <x:c r="G58" s="28" t="n">
        <x:f>ROUND(Catalogue!G6*SQRT((1+'Paramètres'!$B$4*(C58-1)+'Paramètres'!$B$5*(C58-1)^2)),0)</x:f>
        <x:v>0</x:v>
      </x:c>
      <x:c r="H58" s="28" t="n">
        <x:f>ROUND(Catalogue!H6*SQRT((1+'Paramètres'!$B$4*(C58-1)+'Paramètres'!$B$5*(C58-1)^2)),0)</x:f>
        <x:v>0</x:v>
      </x:c>
      <x:c r="I58" s="28" t="n">
        <x:v>2</x:v>
      </x:c>
      <x:c r="J58" s="28" t="n">
        <x:v>1</x:v>
      </x:c>
      <x:c r="K58" s="30" t="n">
        <x:v>0.25</x:v>
      </x:c>
      <x:c r="L58" s="54" t="n">
        <x:f>IF(M58=0,0,(E58+F58)/2)</x:f>
        <x:v>14</x:v>
      </x:c>
      <x:c r="M58" t="n">
        <x:v>2</x:v>
      </x:c>
      <x:c r="N58" t="n">
        <x:v>10</x:v>
      </x:c>
      <x:c r="O58" t="n">
        <x:v>3</x:v>
      </x:c>
      <x:c r="P58" s="63" t="str">
        <x:f>IF(M58=0,"—",M58&amp;"d"&amp;N58&amp;IF(O58=0,""," + "&amp;O58))</x:f>
        <x:v>2d10 + 3</x:v>
      </x:c>
      <x:c r="Q58" t="n">
        <x:f>ROUND(INDEX(Catalogue!E$4:E$85,MATCH(A58,Catalogue!A$4:A$85,0))*(1+'Paramètres'!$B$4*(C58-1)+'Paramètres'!$B$5*(C58-1)^2),0)</x:f>
        <x:v>6</x:v>
      </x:c>
      <x:c r="R58" t="n">
        <x:f>ROUND(INDEX(Catalogue!F$4:F$85,MATCH(A58,Catalogue!A$4:A$85,0))*(1+'Paramètres'!$B$4*(C58-1)+'Paramètres'!$B$5*(C58-1)^2),0)</x:f>
        <x:v>23</x:v>
      </x:c>
      <x:c r="S58" t="n">
        <x:f>L58-AVERAGE(Q58:R58)</x:f>
        <x:v>-0.5</x:v>
      </x:c>
      <x:c r="T58" t="str">
        <x:f>IF(M58=0,IF(AND(N58=0,O58=0,E58=0,F58=0),"OK","ERREUR"),IF(AND(M58&gt;=1,M58&lt;=32,OR(N58=4,N58=6,N58=8,N58=10,N58=12,N58=20),O58&gt;=0,E58=M58+O58,F58=M58*N58+O58),"OK","ERREUR"))</x:f>
        <x:v>OK</x:v>
      </x:c>
      <x:c r="U58" s="86" t="n">
        <x:f>IF(M58&gt;0,M58*(N58+1)/2+O58,0)</x:f>
        <x:v>14</x:v>
      </x:c>
      <x:c r="V58" t="str">
        <x:f>IF(ABS(L58-U58)&lt;0.001,"OK","ERREUR")</x:f>
        <x:v>OK</x:v>
      </x:c>
    </x:row>
    <x:row r="59" ht="18" customHeight="1">
      <x:c r="A59" t="str">
        <x:v>ARM003</x:v>
      </x:c>
      <x:c r="B59" t="str">
        <x:v>Stylet</x:v>
      </x:c>
      <x:c r="C59" t="n">
        <x:v>16</x:v>
      </x:c>
      <x:c r="D59" t="str">
        <x:v>Légères</x:v>
      </x:c>
      <x:c r="E59" s="28" t="n">
        <x:f>IF(M59=0,0,M59+O59)</x:f>
        <x:v>6</x:v>
      </x:c>
      <x:c r="F59" s="28" t="n">
        <x:f>IF(M59=0,0,M59*N59+O59)</x:f>
        <x:v>24</x:v>
      </x:c>
      <x:c r="G59" s="28" t="n">
        <x:f>ROUND(Catalogue!G6*SQRT((1+'Paramètres'!$B$4*(C59-1)+'Paramètres'!$B$5*(C59-1)^2)),0)</x:f>
        <x:v>0</x:v>
      </x:c>
      <x:c r="H59" s="28" t="n">
        <x:f>ROUND(Catalogue!H6*SQRT((1+'Paramètres'!$B$4*(C59-1)+'Paramètres'!$B$5*(C59-1)^2)),0)</x:f>
        <x:v>0</x:v>
      </x:c>
      <x:c r="I59" s="28" t="n">
        <x:v>2</x:v>
      </x:c>
      <x:c r="J59" s="28" t="n">
        <x:v>1</x:v>
      </x:c>
      <x:c r="K59" s="30" t="n">
        <x:v>0.25</x:v>
      </x:c>
      <x:c r="L59" s="54" t="n">
        <x:f>IF(M59=0,0,(E59+F59)/2)</x:f>
        <x:v>15</x:v>
      </x:c>
      <x:c r="M59" t="n">
        <x:v>2</x:v>
      </x:c>
      <x:c r="N59" t="n">
        <x:v>10</x:v>
      </x:c>
      <x:c r="O59" t="n">
        <x:v>4</x:v>
      </x:c>
      <x:c r="P59" s="63" t="str">
        <x:f>IF(M59=0,"—",M59&amp;"d"&amp;N59&amp;IF(O59=0,""," + "&amp;O59))</x:f>
        <x:v>2d10 + 4</x:v>
      </x:c>
      <x:c r="Q59" t="n">
        <x:f>ROUND(INDEX(Catalogue!E$4:E$85,MATCH(A59,Catalogue!A$4:A$85,0))*(1+'Paramètres'!$B$4*(C59-1)+'Paramètres'!$B$5*(C59-1)^2),0)</x:f>
        <x:v>6</x:v>
      </x:c>
      <x:c r="R59" t="n">
        <x:f>ROUND(INDEX(Catalogue!F$4:F$85,MATCH(A59,Catalogue!A$4:A$85,0))*(1+'Paramètres'!$B$4*(C59-1)+'Paramètres'!$B$5*(C59-1)^2),0)</x:f>
        <x:v>25</x:v>
      </x:c>
      <x:c r="S59" t="n">
        <x:f>L59-AVERAGE(Q59:R59)</x:f>
        <x:v>-0.5</x:v>
      </x:c>
      <x:c r="T59" t="str">
        <x:f>IF(M59=0,IF(AND(N59=0,O59=0,E59=0,F59=0),"OK","ERREUR"),IF(AND(M59&gt;=1,M59&lt;=32,OR(N59=4,N59=6,N59=8,N59=10,N59=12,N59=20),O59&gt;=0,E59=M59+O59,F59=M59*N59+O59),"OK","ERREUR"))</x:f>
        <x:v>OK</x:v>
      </x:c>
      <x:c r="U59" s="86" t="n">
        <x:f>IF(M59&gt;0,M59*(N59+1)/2+O59,0)</x:f>
        <x:v>15</x:v>
      </x:c>
      <x:c r="V59" t="str">
        <x:f>IF(ABS(L59-U59)&lt;0.001,"OK","ERREUR")</x:f>
        <x:v>OK</x:v>
      </x:c>
    </x:row>
    <x:row r="60" ht="18" customHeight="1">
      <x:c r="A60" t="str">
        <x:v>ARM003</x:v>
      </x:c>
      <x:c r="B60" t="str">
        <x:v>Stylet</x:v>
      </x:c>
      <x:c r="C60" t="n">
        <x:v>17</x:v>
      </x:c>
      <x:c r="D60" t="str">
        <x:v>Légères</x:v>
      </x:c>
      <x:c r="E60" s="28" t="n">
        <x:f>IF(M60=0,0,M60+O60)</x:f>
        <x:v>7</x:v>
      </x:c>
      <x:c r="F60" s="28" t="n">
        <x:f>IF(M60=0,0,M60*N60+O60)</x:f>
        <x:v>27</x:v>
      </x:c>
      <x:c r="G60" s="28" t="n">
        <x:f>ROUND(Catalogue!G6*SQRT((1+'Paramètres'!$B$4*(C60-1)+'Paramètres'!$B$5*(C60-1)^2)),0)</x:f>
        <x:v>0</x:v>
      </x:c>
      <x:c r="H60" s="28" t="n">
        <x:f>ROUND(Catalogue!H6*SQRT((1+'Paramètres'!$B$4*(C60-1)+'Paramètres'!$B$5*(C60-1)^2)),0)</x:f>
        <x:v>0</x:v>
      </x:c>
      <x:c r="I60" s="28" t="n">
        <x:v>2</x:v>
      </x:c>
      <x:c r="J60" s="28" t="n">
        <x:v>1</x:v>
      </x:c>
      <x:c r="K60" s="30" t="n">
        <x:v>0.25</x:v>
      </x:c>
      <x:c r="L60" s="54" t="n">
        <x:f>IF(M60=0,0,(E60+F60)/2)</x:f>
        <x:v>17</x:v>
      </x:c>
      <x:c r="M60" t="n">
        <x:v>4</x:v>
      </x:c>
      <x:c r="N60" t="n">
        <x:v>6</x:v>
      </x:c>
      <x:c r="O60" t="n">
        <x:v>3</x:v>
      </x:c>
      <x:c r="P60" s="63" t="str">
        <x:f>IF(M60=0,"—",M60&amp;"d"&amp;N60&amp;IF(O60=0,""," + "&amp;O60))</x:f>
        <x:v>4d6 + 3</x:v>
      </x:c>
      <x:c r="Q60" t="n">
        <x:f>ROUND(INDEX(Catalogue!E$4:E$85,MATCH(A60,Catalogue!A$4:A$85,0))*(1+'Paramètres'!$B$4*(C60-1)+'Paramètres'!$B$5*(C60-1)^2),0)</x:f>
        <x:v>7</x:v>
      </x:c>
      <x:c r="R60" t="n">
        <x:f>ROUND(INDEX(Catalogue!F$4:F$85,MATCH(A60,Catalogue!A$4:A$85,0))*(1+'Paramètres'!$B$4*(C60-1)+'Paramètres'!$B$5*(C60-1)^2),0)</x:f>
        <x:v>27</x:v>
      </x:c>
      <x:c r="S60" t="n">
        <x:f>L60-AVERAGE(Q60:R60)</x:f>
        <x:v>0</x:v>
      </x:c>
      <x:c r="T60" t="str">
        <x:f>IF(M60=0,IF(AND(N60=0,O60=0,E60=0,F60=0),"OK","ERREUR"),IF(AND(M60&gt;=1,M60&lt;=32,OR(N60=4,N60=6,N60=8,N60=10,N60=12,N60=20),O60&gt;=0,E60=M60+O60,F60=M60*N60+O60),"OK","ERREUR"))</x:f>
        <x:v>OK</x:v>
      </x:c>
      <x:c r="U60" s="86" t="n">
        <x:f>IF(M60&gt;0,M60*(N60+1)/2+O60,0)</x:f>
        <x:v>17</x:v>
      </x:c>
      <x:c r="V60" t="str">
        <x:f>IF(ABS(L60-U60)&lt;0.001,"OK","ERREUR")</x:f>
        <x:v>OK</x:v>
      </x:c>
    </x:row>
    <x:row r="61" ht="18" customHeight="1">
      <x:c r="A61" t="str">
        <x:v>ARM003</x:v>
      </x:c>
      <x:c r="B61" t="str">
        <x:v>Stylet</x:v>
      </x:c>
      <x:c r="C61" t="n">
        <x:v>18</x:v>
      </x:c>
      <x:c r="D61" t="str">
        <x:v>Légères</x:v>
      </x:c>
      <x:c r="E61" s="28" t="n">
        <x:f>IF(M61=0,0,M61+O61)</x:f>
        <x:v>8</x:v>
      </x:c>
      <x:c r="F61" s="28" t="n">
        <x:f>IF(M61=0,0,M61*N61+O61)</x:f>
        <x:v>29</x:v>
      </x:c>
      <x:c r="G61" s="28" t="n">
        <x:f>ROUND(Catalogue!G6*SQRT((1+'Paramètres'!$B$4*(C61-1)+'Paramètres'!$B$5*(C61-1)^2)),0)</x:f>
        <x:v>0</x:v>
      </x:c>
      <x:c r="H61" s="28" t="n">
        <x:f>ROUND(Catalogue!H6*SQRT((1+'Paramètres'!$B$4*(C61-1)+'Paramètres'!$B$5*(C61-1)^2)),0)</x:f>
        <x:v>0</x:v>
      </x:c>
      <x:c r="I61" s="28" t="n">
        <x:v>2</x:v>
      </x:c>
      <x:c r="J61" s="28" t="n">
        <x:v>1</x:v>
      </x:c>
      <x:c r="K61" s="30" t="n">
        <x:v>0.25</x:v>
      </x:c>
      <x:c r="L61" s="54" t="n">
        <x:f>IF(M61=0,0,(E61+F61)/2)</x:f>
        <x:v>18.5</x:v>
      </x:c>
      <x:c r="M61" t="n">
        <x:v>3</x:v>
      </x:c>
      <x:c r="N61" t="n">
        <x:v>8</x:v>
      </x:c>
      <x:c r="O61" t="n">
        <x:v>5</x:v>
      </x:c>
      <x:c r="P61" s="63" t="str">
        <x:f>IF(M61=0,"—",M61&amp;"d"&amp;N61&amp;IF(O61=0,""," + "&amp;O61))</x:f>
        <x:v>3d8 + 5</x:v>
      </x:c>
      <x:c r="Q61" t="n">
        <x:f>ROUND(INDEX(Catalogue!E$4:E$85,MATCH(A61,Catalogue!A$4:A$85,0))*(1+'Paramètres'!$B$4*(C61-1)+'Paramètres'!$B$5*(C61-1)^2),0)</x:f>
        <x:v>7</x:v>
      </x:c>
      <x:c r="R61" t="n">
        <x:f>ROUND(INDEX(Catalogue!F$4:F$85,MATCH(A61,Catalogue!A$4:A$85,0))*(1+'Paramètres'!$B$4*(C61-1)+'Paramètres'!$B$5*(C61-1)^2),0)</x:f>
        <x:v>30</x:v>
      </x:c>
      <x:c r="S61" t="n">
        <x:f>L61-AVERAGE(Q61:R61)</x:f>
        <x:v>0</x:v>
      </x:c>
      <x:c r="T61" t="str">
        <x:f>IF(M61=0,IF(AND(N61=0,O61=0,E61=0,F61=0),"OK","ERREUR"),IF(AND(M61&gt;=1,M61&lt;=32,OR(N61=4,N61=6,N61=8,N61=10,N61=12,N61=20),O61&gt;=0,E61=M61+O61,F61=M61*N61+O61),"OK","ERREUR"))</x:f>
        <x:v>OK</x:v>
      </x:c>
      <x:c r="U61" s="86" t="n">
        <x:f>IF(M61&gt;0,M61*(N61+1)/2+O61,0)</x:f>
        <x:v>18.5</x:v>
      </x:c>
      <x:c r="V61" t="str">
        <x:f>IF(ABS(L61-U61)&lt;0.001,"OK","ERREUR")</x:f>
        <x:v>OK</x:v>
      </x:c>
    </x:row>
    <x:row r="62" ht="18" customHeight="1">
      <x:c r="A62" t="str">
        <x:v>ARM003</x:v>
      </x:c>
      <x:c r="B62" t="str">
        <x:v>Stylet</x:v>
      </x:c>
      <x:c r="C62" t="n">
        <x:v>19</x:v>
      </x:c>
      <x:c r="D62" t="str">
        <x:v>Légères</x:v>
      </x:c>
      <x:c r="E62" s="28" t="n">
        <x:f>IF(M62=0,0,M62+O62)</x:f>
        <x:v>8</x:v>
      </x:c>
      <x:c r="F62" s="28" t="n">
        <x:f>IF(M62=0,0,M62*N62+O62)</x:f>
        <x:v>33</x:v>
      </x:c>
      <x:c r="G62" s="28" t="n">
        <x:f>ROUND(Catalogue!G6*SQRT((1+'Paramètres'!$B$4*(C62-1)+'Paramètres'!$B$5*(C62-1)^2)),0)</x:f>
        <x:v>0</x:v>
      </x:c>
      <x:c r="H62" s="28" t="n">
        <x:f>ROUND(Catalogue!H6*SQRT((1+'Paramètres'!$B$4*(C62-1)+'Paramètres'!$B$5*(C62-1)^2)),0)</x:f>
        <x:v>0</x:v>
      </x:c>
      <x:c r="I62" s="28" t="n">
        <x:v>2</x:v>
      </x:c>
      <x:c r="J62" s="28" t="n">
        <x:v>1</x:v>
      </x:c>
      <x:c r="K62" s="30" t="n">
        <x:v>0.25</x:v>
      </x:c>
      <x:c r="L62" s="54" t="n">
        <x:f>IF(M62=0,0,(E62+F62)/2)</x:f>
        <x:v>20.5</x:v>
      </x:c>
      <x:c r="M62" t="n">
        <x:v>5</x:v>
      </x:c>
      <x:c r="N62" t="n">
        <x:v>6</x:v>
      </x:c>
      <x:c r="O62" t="n">
        <x:v>3</x:v>
      </x:c>
      <x:c r="P62" s="63" t="str">
        <x:f>IF(M62=0,"—",M62&amp;"d"&amp;N62&amp;IF(O62=0,""," + "&amp;O62))</x:f>
        <x:v>5d6 + 3</x:v>
      </x:c>
      <x:c r="Q62" t="n">
        <x:f>ROUND(INDEX(Catalogue!E$4:E$85,MATCH(A62,Catalogue!A$4:A$85,0))*(1+'Paramètres'!$B$4*(C62-1)+'Paramètres'!$B$5*(C62-1)^2),0)</x:f>
        <x:v>8</x:v>
      </x:c>
      <x:c r="R62" t="n">
        <x:f>ROUND(INDEX(Catalogue!F$4:F$85,MATCH(A62,Catalogue!A$4:A$85,0))*(1+'Paramètres'!$B$4*(C62-1)+'Paramètres'!$B$5*(C62-1)^2),0)</x:f>
        <x:v>33</x:v>
      </x:c>
      <x:c r="S62" t="n">
        <x:f>L62-AVERAGE(Q62:R62)</x:f>
        <x:v>0</x:v>
      </x:c>
      <x:c r="T62" t="str">
        <x:f>IF(M62=0,IF(AND(N62=0,O62=0,E62=0,F62=0),"OK","ERREUR"),IF(AND(M62&gt;=1,M62&lt;=32,OR(N62=4,N62=6,N62=8,N62=10,N62=12,N62=20),O62&gt;=0,E62=M62+O62,F62=M62*N62+O62),"OK","ERREUR"))</x:f>
        <x:v>OK</x:v>
      </x:c>
      <x:c r="U62" s="86" t="n">
        <x:f>IF(M62&gt;0,M62*(N62+1)/2+O62,0)</x:f>
        <x:v>20.5</x:v>
      </x:c>
      <x:c r="V62" t="str">
        <x:f>IF(ABS(L62-U62)&lt;0.001,"OK","ERREUR")</x:f>
        <x:v>OK</x:v>
      </x:c>
    </x:row>
    <x:row r="63" ht="18" customHeight="1">
      <x:c r="A63" t="str">
        <x:v>ARM003</x:v>
      </x:c>
      <x:c r="B63" t="str">
        <x:v>Stylet</x:v>
      </x:c>
      <x:c r="C63" t="n">
        <x:v>20</x:v>
      </x:c>
      <x:c r="D63" t="str">
        <x:v>Légères</x:v>
      </x:c>
      <x:c r="E63" s="28" t="n">
        <x:f>IF(M63=0,0,M63+O63)</x:f>
        <x:v>8</x:v>
      </x:c>
      <x:c r="F63" s="28" t="n">
        <x:f>IF(M63=0,0,M63*N63+O63)</x:f>
        <x:v>35</x:v>
      </x:c>
      <x:c r="G63" s="28" t="n">
        <x:f>ROUND(Catalogue!G6*SQRT((1+'Paramètres'!$B$4*(C63-1)+'Paramètres'!$B$5*(C63-1)^2)),0)</x:f>
        <x:v>0</x:v>
      </x:c>
      <x:c r="H63" s="28" t="n">
        <x:f>ROUND(Catalogue!H6*SQRT((1+'Paramètres'!$B$4*(C63-1)+'Paramètres'!$B$5*(C63-1)^2)),0)</x:f>
        <x:v>0</x:v>
      </x:c>
      <x:c r="I63" s="28" t="n">
        <x:v>2</x:v>
      </x:c>
      <x:c r="J63" s="28" t="n">
        <x:v>1</x:v>
      </x:c>
      <x:c r="K63" s="30" t="n">
        <x:v>0.25</x:v>
      </x:c>
      <x:c r="L63" s="54" t="n">
        <x:f>IF(M63=0,0,(E63+F63)/2)</x:f>
        <x:v>21.5</x:v>
      </x:c>
      <x:c r="M63" t="n">
        <x:v>3</x:v>
      </x:c>
      <x:c r="N63" t="n">
        <x:v>10</x:v>
      </x:c>
      <x:c r="O63" t="n">
        <x:v>5</x:v>
      </x:c>
      <x:c r="P63" s="63" t="str">
        <x:f>IF(M63=0,"—",M63&amp;"d"&amp;N63&amp;IF(O63=0,""," + "&amp;O63))</x:f>
        <x:v>3d10 + 5</x:v>
      </x:c>
      <x:c r="Q63" t="n">
        <x:f>ROUND(INDEX(Catalogue!E$4:E$85,MATCH(A63,Catalogue!A$4:A$85,0))*(1+'Paramètres'!$B$4*(C63-1)+'Paramètres'!$B$5*(C63-1)^2),0)</x:f>
        <x:v>9</x:v>
      </x:c>
      <x:c r="R63" t="n">
        <x:f>ROUND(INDEX(Catalogue!F$4:F$85,MATCH(A63,Catalogue!A$4:A$85,0))*(1+'Paramètres'!$B$4*(C63-1)+'Paramètres'!$B$5*(C63-1)^2),0)</x:f>
        <x:v>35</x:v>
      </x:c>
      <x:c r="S63" t="n">
        <x:f>L63-AVERAGE(Q63:R63)</x:f>
        <x:v>-0.5</x:v>
      </x:c>
      <x:c r="T63" t="str">
        <x:f>IF(M63=0,IF(AND(N63=0,O63=0,E63=0,F63=0),"OK","ERREUR"),IF(AND(M63&gt;=1,M63&lt;=32,OR(N63=4,N63=6,N63=8,N63=10,N63=12,N63=20),O63&gt;=0,E63=M63+O63,F63=M63*N63+O63),"OK","ERREUR"))</x:f>
        <x:v>OK</x:v>
      </x:c>
      <x:c r="U63" s="86" t="n">
        <x:f>IF(M63&gt;0,M63*(N63+1)/2+O63,0)</x:f>
        <x:v>21.5</x:v>
      </x:c>
      <x:c r="V63" t="str">
        <x:f>IF(ABS(L63-U63)&lt;0.001,"OK","ERREUR")</x:f>
        <x:v>OK</x:v>
      </x:c>
    </x:row>
    <x:row r="64" ht="18" customHeight="1">
      <x:c r="A64" t="str">
        <x:v>ARM004</x:v>
      </x:c>
      <x:c r="B64" t="str">
        <x:v>Kriss</x:v>
      </x:c>
      <x:c r="C64" t="n">
        <x:v>1</x:v>
      </x:c>
      <x:c r="D64" t="str">
        <x:v>Légères</x:v>
      </x:c>
      <x:c r="E64" s="28" t="n">
        <x:f>IF(M64=0,0,M64+O64)</x:f>
        <x:v>1</x:v>
      </x:c>
      <x:c r="F64" s="28" t="n">
        <x:f>IF(M64=0,0,M64*N64+O64)</x:f>
        <x:v>4</x:v>
      </x:c>
      <x:c r="G64" s="28" t="n">
        <x:f>ROUND(Catalogue!G7*SQRT((1+'Paramètres'!$B$4*(C64-1)+'Paramètres'!$B$5*(C64-1)^2)),0)</x:f>
        <x:v>0</x:v>
      </x:c>
      <x:c r="H64" s="28" t="n">
        <x:f>ROUND(Catalogue!H7*SQRT((1+'Paramètres'!$B$4*(C64-1)+'Paramètres'!$B$5*(C64-1)^2)),0)</x:f>
        <x:v>0</x:v>
      </x:c>
      <x:c r="I64" s="28" t="n">
        <x:v>2</x:v>
      </x:c>
      <x:c r="J64" s="28" t="n">
        <x:v>1</x:v>
      </x:c>
      <x:c r="K64" s="30" t="n">
        <x:v>0.5</x:v>
      </x:c>
      <x:c r="L64" s="54" t="n">
        <x:f>IF(M64=0,0,(E64+F64)/2)</x:f>
        <x:v>2.5</x:v>
      </x:c>
      <x:c r="M64" t="n">
        <x:v>1</x:v>
      </x:c>
      <x:c r="N64" t="n">
        <x:v>4</x:v>
      </x:c>
      <x:c r="O64" t="n">
        <x:v>0</x:v>
      </x:c>
      <x:c r="P64" s="63" t="str">
        <x:f>IF(M64=0,"—",M64&amp;"d"&amp;N64&amp;IF(O64=0,""," + "&amp;O64))</x:f>
        <x:v>1d4</x:v>
      </x:c>
      <x:c r="Q64" t="n">
        <x:f>ROUND(INDEX(Catalogue!E$4:E$85,MATCH(A64,Catalogue!A$4:A$85,0))*(1+'Paramètres'!$B$4*(C64-1)+'Paramètres'!$B$5*(C64-1)^2),0)</x:f>
        <x:v>2</x:v>
      </x:c>
      <x:c r="R64" t="n">
        <x:f>ROUND(INDEX(Catalogue!F$4:F$85,MATCH(A64,Catalogue!A$4:A$85,0))*(1+'Paramètres'!$B$4*(C64-1)+'Paramètres'!$B$5*(C64-1)^2),0)</x:f>
        <x:v>4</x:v>
      </x:c>
      <x:c r="S64" t="n">
        <x:f>L64-AVERAGE(Q64:R64)</x:f>
        <x:v>-0.5</x:v>
      </x:c>
      <x:c r="T64" t="str">
        <x:f>IF(M64=0,IF(AND(N64=0,O64=0,E64=0,F64=0),"OK","ERREUR"),IF(AND(M64&gt;=1,M64&lt;=32,OR(N64=4,N64=6,N64=8,N64=10,N64=12,N64=20),O64&gt;=0,E64=M64+O64,F64=M64*N64+O64),"OK","ERREUR"))</x:f>
        <x:v>OK</x:v>
      </x:c>
      <x:c r="U64" s="86" t="n">
        <x:f>IF(M64&gt;0,M64*(N64+1)/2+O64,0)</x:f>
        <x:v>2.5</x:v>
      </x:c>
      <x:c r="V64" t="str">
        <x:f>IF(ABS(L64-U64)&lt;0.001,"OK","ERREUR")</x:f>
        <x:v>OK</x:v>
      </x:c>
    </x:row>
    <x:row r="65" ht="18" customHeight="1">
      <x:c r="A65" t="str">
        <x:v>ARM004</x:v>
      </x:c>
      <x:c r="B65" t="str">
        <x:v>Kriss</x:v>
      </x:c>
      <x:c r="C65" t="n">
        <x:v>2</x:v>
      </x:c>
      <x:c r="D65" t="str">
        <x:v>Légères</x:v>
      </x:c>
      <x:c r="E65" s="28" t="n">
        <x:f>IF(M65=0,0,M65+O65)</x:f>
        <x:v>2</x:v>
      </x:c>
      <x:c r="F65" s="28" t="n">
        <x:f>IF(M65=0,0,M65*N65+O65)</x:f>
        <x:v>5</x:v>
      </x:c>
      <x:c r="G65" s="28" t="n">
        <x:f>ROUND(Catalogue!G7*SQRT((1+'Paramètres'!$B$4*(C65-1)+'Paramètres'!$B$5*(C65-1)^2)),0)</x:f>
        <x:v>0</x:v>
      </x:c>
      <x:c r="H65" s="28" t="n">
        <x:f>ROUND(Catalogue!H7*SQRT((1+'Paramètres'!$B$4*(C65-1)+'Paramètres'!$B$5*(C65-1)^2)),0)</x:f>
        <x:v>0</x:v>
      </x:c>
      <x:c r="I65" s="28" t="n">
        <x:v>2</x:v>
      </x:c>
      <x:c r="J65" s="28" t="n">
        <x:v>1</x:v>
      </x:c>
      <x:c r="K65" s="30" t="n">
        <x:v>0.5</x:v>
      </x:c>
      <x:c r="L65" s="54" t="n">
        <x:f>IF(M65=0,0,(E65+F65)/2)</x:f>
        <x:v>3.5</x:v>
      </x:c>
      <x:c r="M65" t="n">
        <x:v>1</x:v>
      </x:c>
      <x:c r="N65" t="n">
        <x:v>4</x:v>
      </x:c>
      <x:c r="O65" t="n">
        <x:v>1</x:v>
      </x:c>
      <x:c r="P65" s="63" t="str">
        <x:f>IF(M65=0,"—",M65&amp;"d"&amp;N65&amp;IF(O65=0,""," + "&amp;O65))</x:f>
        <x:v>1d4 + 1</x:v>
      </x:c>
      <x:c r="Q65" t="n">
        <x:f>ROUND(INDEX(Catalogue!E$4:E$85,MATCH(A65,Catalogue!A$4:A$85,0))*(1+'Paramètres'!$B$4*(C65-1)+'Paramètres'!$B$5*(C65-1)^2),0)</x:f>
        <x:v>2</x:v>
      </x:c>
      <x:c r="R65" t="n">
        <x:f>ROUND(INDEX(Catalogue!F$4:F$85,MATCH(A65,Catalogue!A$4:A$85,0))*(1+'Paramètres'!$B$4*(C65-1)+'Paramètres'!$B$5*(C65-1)^2),0)</x:f>
        <x:v>5</x:v>
      </x:c>
      <x:c r="S65" t="n">
        <x:f>L65-AVERAGE(Q65:R65)</x:f>
        <x:v>0</x:v>
      </x:c>
      <x:c r="T65" t="str">
        <x:f>IF(M65=0,IF(AND(N65=0,O65=0,E65=0,F65=0),"OK","ERREUR"),IF(AND(M65&gt;=1,M65&lt;=32,OR(N65=4,N65=6,N65=8,N65=10,N65=12,N65=20),O65&gt;=0,E65=M65+O65,F65=M65*N65+O65),"OK","ERREUR"))</x:f>
        <x:v>OK</x:v>
      </x:c>
      <x:c r="U65" s="86" t="n">
        <x:f>IF(M65&gt;0,M65*(N65+1)/2+O65,0)</x:f>
        <x:v>3.5</x:v>
      </x:c>
      <x:c r="V65" t="str">
        <x:f>IF(ABS(L65-U65)&lt;0.001,"OK","ERREUR")</x:f>
        <x:v>OK</x:v>
      </x:c>
    </x:row>
    <x:row r="66" ht="18" customHeight="1">
      <x:c r="A66" t="str">
        <x:v>ARM004</x:v>
      </x:c>
      <x:c r="B66" t="str">
        <x:v>Kriss</x:v>
      </x:c>
      <x:c r="C66" t="n">
        <x:v>3</x:v>
      </x:c>
      <x:c r="D66" t="str">
        <x:v>Légères</x:v>
      </x:c>
      <x:c r="E66" s="28" t="n">
        <x:f>IF(M66=0,0,M66+O66)</x:f>
        <x:v>2</x:v>
      </x:c>
      <x:c r="F66" s="28" t="n">
        <x:f>IF(M66=0,0,M66*N66+O66)</x:f>
        <x:v>5</x:v>
      </x:c>
      <x:c r="G66" s="28" t="n">
        <x:f>ROUND(Catalogue!G7*SQRT((1+'Paramètres'!$B$4*(C66-1)+'Paramètres'!$B$5*(C66-1)^2)),0)</x:f>
        <x:v>0</x:v>
      </x:c>
      <x:c r="H66" s="28" t="n">
        <x:f>ROUND(Catalogue!H7*SQRT((1+'Paramètres'!$B$4*(C66-1)+'Paramètres'!$B$5*(C66-1)^2)),0)</x:f>
        <x:v>0</x:v>
      </x:c>
      <x:c r="I66" s="28" t="n">
        <x:v>2</x:v>
      </x:c>
      <x:c r="J66" s="28" t="n">
        <x:v>1</x:v>
      </x:c>
      <x:c r="K66" s="30" t="n">
        <x:v>0.5</x:v>
      </x:c>
      <x:c r="L66" s="54" t="n">
        <x:f>IF(M66=0,0,(E66+F66)/2)</x:f>
        <x:v>3.5</x:v>
      </x:c>
      <x:c r="M66" t="n">
        <x:v>1</x:v>
      </x:c>
      <x:c r="N66" t="n">
        <x:v>4</x:v>
      </x:c>
      <x:c r="O66" t="n">
        <x:v>1</x:v>
      </x:c>
      <x:c r="P66" s="63" t="str">
        <x:f>IF(M66=0,"—",M66&amp;"d"&amp;N66&amp;IF(O66=0,""," + "&amp;O66))</x:f>
        <x:v>1d4 + 1</x:v>
      </x:c>
      <x:c r="Q66" t="n">
        <x:f>ROUND(INDEX(Catalogue!E$4:E$85,MATCH(A66,Catalogue!A$4:A$85,0))*(1+'Paramètres'!$B$4*(C66-1)+'Paramètres'!$B$5*(C66-1)^2),0)</x:f>
        <x:v>3</x:v>
      </x:c>
      <x:c r="R66" t="n">
        <x:f>ROUND(INDEX(Catalogue!F$4:F$85,MATCH(A66,Catalogue!A$4:A$85,0))*(1+'Paramètres'!$B$4*(C66-1)+'Paramètres'!$B$5*(C66-1)^2),0)</x:f>
        <x:v>5</x:v>
      </x:c>
      <x:c r="S66" t="n">
        <x:f>L66-AVERAGE(Q66:R66)</x:f>
        <x:v>-0.5</x:v>
      </x:c>
      <x:c r="T66" t="str">
        <x:f>IF(M66=0,IF(AND(N66=0,O66=0,E66=0,F66=0),"OK","ERREUR"),IF(AND(M66&gt;=1,M66&lt;=32,OR(N66=4,N66=6,N66=8,N66=10,N66=12,N66=20),O66&gt;=0,E66=M66+O66,F66=M66*N66+O66),"OK","ERREUR"))</x:f>
        <x:v>OK</x:v>
      </x:c>
      <x:c r="U66" s="86" t="n">
        <x:f>IF(M66&gt;0,M66*(N66+1)/2+O66,0)</x:f>
        <x:v>3.5</x:v>
      </x:c>
      <x:c r="V66" t="str">
        <x:f>IF(ABS(L66-U66)&lt;0.001,"OK","ERREUR")</x:f>
        <x:v>OK</x:v>
      </x:c>
    </x:row>
    <x:row r="67" ht="18" customHeight="1">
      <x:c r="A67" t="str">
        <x:v>ARM004</x:v>
      </x:c>
      <x:c r="B67" t="str">
        <x:v>Kriss</x:v>
      </x:c>
      <x:c r="C67" t="n">
        <x:v>4</x:v>
      </x:c>
      <x:c r="D67" t="str">
        <x:v>Légères</x:v>
      </x:c>
      <x:c r="E67" s="28" t="n">
        <x:f>IF(M67=0,0,M67+O67)</x:f>
        <x:v>3</x:v>
      </x:c>
      <x:c r="F67" s="28" t="n">
        <x:f>IF(M67=0,0,M67*N67+O67)</x:f>
        <x:v>6</x:v>
      </x:c>
      <x:c r="G67" s="28" t="n">
        <x:f>ROUND(Catalogue!G7*SQRT((1+'Paramètres'!$B$4*(C67-1)+'Paramètres'!$B$5*(C67-1)^2)),0)</x:f>
        <x:v>0</x:v>
      </x:c>
      <x:c r="H67" s="28" t="n">
        <x:f>ROUND(Catalogue!H7*SQRT((1+'Paramètres'!$B$4*(C67-1)+'Paramètres'!$B$5*(C67-1)^2)),0)</x:f>
        <x:v>0</x:v>
      </x:c>
      <x:c r="I67" s="28" t="n">
        <x:v>2</x:v>
      </x:c>
      <x:c r="J67" s="28" t="n">
        <x:v>1</x:v>
      </x:c>
      <x:c r="K67" s="30" t="n">
        <x:v>0.5</x:v>
      </x:c>
      <x:c r="L67" s="54" t="n">
        <x:f>IF(M67=0,0,(E67+F67)/2)</x:f>
        <x:v>4.5</x:v>
      </x:c>
      <x:c r="M67" t="n">
        <x:v>1</x:v>
      </x:c>
      <x:c r="N67" t="n">
        <x:v>4</x:v>
      </x:c>
      <x:c r="O67" t="n">
        <x:v>2</x:v>
      </x:c>
      <x:c r="P67" s="63" t="str">
        <x:f>IF(M67=0,"—",M67&amp;"d"&amp;N67&amp;IF(O67=0,""," + "&amp;O67))</x:f>
        <x:v>1d4 + 2</x:v>
      </x:c>
      <x:c r="Q67" t="n">
        <x:f>ROUND(INDEX(Catalogue!E$4:E$85,MATCH(A67,Catalogue!A$4:A$85,0))*(1+'Paramètres'!$B$4*(C67-1)+'Paramètres'!$B$5*(C67-1)^2),0)</x:f>
        <x:v>3</x:v>
      </x:c>
      <x:c r="R67" t="n">
        <x:f>ROUND(INDEX(Catalogue!F$4:F$85,MATCH(A67,Catalogue!A$4:A$85,0))*(1+'Paramètres'!$B$4*(C67-1)+'Paramètres'!$B$5*(C67-1)^2),0)</x:f>
        <x:v>6</x:v>
      </x:c>
      <x:c r="S67" t="n">
        <x:f>L67-AVERAGE(Q67:R67)</x:f>
        <x:v>0</x:v>
      </x:c>
      <x:c r="T67" t="str">
        <x:f>IF(M67=0,IF(AND(N67=0,O67=0,E67=0,F67=0),"OK","ERREUR"),IF(AND(M67&gt;=1,M67&lt;=32,OR(N67=4,N67=6,N67=8,N67=10,N67=12,N67=20),O67&gt;=0,E67=M67+O67,F67=M67*N67+O67),"OK","ERREUR"))</x:f>
        <x:v>OK</x:v>
      </x:c>
      <x:c r="U67" s="86" t="n">
        <x:f>IF(M67&gt;0,M67*(N67+1)/2+O67,0)</x:f>
        <x:v>4.5</x:v>
      </x:c>
      <x:c r="V67" t="str">
        <x:f>IF(ABS(L67-U67)&lt;0.001,"OK","ERREUR")</x:f>
        <x:v>OK</x:v>
      </x:c>
    </x:row>
    <x:row r="68" ht="18" customHeight="1">
      <x:c r="A68" t="str">
        <x:v>ARM004</x:v>
      </x:c>
      <x:c r="B68" t="str">
        <x:v>Kriss</x:v>
      </x:c>
      <x:c r="C68" t="n">
        <x:v>5</x:v>
      </x:c>
      <x:c r="D68" t="str">
        <x:v>Légères</x:v>
      </x:c>
      <x:c r="E68" s="28" t="n">
        <x:f>IF(M68=0,0,M68+O68)</x:f>
        <x:v>3</x:v>
      </x:c>
      <x:c r="F68" s="28" t="n">
        <x:f>IF(M68=0,0,M68*N68+O68)</x:f>
        <x:v>6</x:v>
      </x:c>
      <x:c r="G68" s="28" t="n">
        <x:f>ROUND(Catalogue!G7*SQRT((1+'Paramètres'!$B$4*(C68-1)+'Paramètres'!$B$5*(C68-1)^2)),0)</x:f>
        <x:v>0</x:v>
      </x:c>
      <x:c r="H68" s="28" t="n">
        <x:f>ROUND(Catalogue!H7*SQRT((1+'Paramètres'!$B$4*(C68-1)+'Paramètres'!$B$5*(C68-1)^2)),0)</x:f>
        <x:v>0</x:v>
      </x:c>
      <x:c r="I68" s="28" t="n">
        <x:v>2</x:v>
      </x:c>
      <x:c r="J68" s="28" t="n">
        <x:v>1</x:v>
      </x:c>
      <x:c r="K68" s="30" t="n">
        <x:v>0.5</x:v>
      </x:c>
      <x:c r="L68" s="54" t="n">
        <x:f>IF(M68=0,0,(E68+F68)/2)</x:f>
        <x:v>4.5</x:v>
      </x:c>
      <x:c r="M68" t="n">
        <x:v>1</x:v>
      </x:c>
      <x:c r="N68" t="n">
        <x:v>4</x:v>
      </x:c>
      <x:c r="O68" t="n">
        <x:v>2</x:v>
      </x:c>
      <x:c r="P68" s="63" t="str">
        <x:f>IF(M68=0,"—",M68&amp;"d"&amp;N68&amp;IF(O68=0,""," + "&amp;O68))</x:f>
        <x:v>1d4 + 2</x:v>
      </x:c>
      <x:c r="Q68" t="n">
        <x:f>ROUND(INDEX(Catalogue!E$4:E$85,MATCH(A68,Catalogue!A$4:A$85,0))*(1+'Paramètres'!$B$4*(C68-1)+'Paramètres'!$B$5*(C68-1)^2),0)</x:f>
        <x:v>3</x:v>
      </x:c>
      <x:c r="R68" t="n">
        <x:f>ROUND(INDEX(Catalogue!F$4:F$85,MATCH(A68,Catalogue!A$4:A$85,0))*(1+'Paramètres'!$B$4*(C68-1)+'Paramètres'!$B$5*(C68-1)^2),0)</x:f>
        <x:v>7</x:v>
      </x:c>
      <x:c r="S68" t="n">
        <x:f>L68-AVERAGE(Q68:R68)</x:f>
        <x:v>-0.5</x:v>
      </x:c>
      <x:c r="T68" t="str">
        <x:f>IF(M68=0,IF(AND(N68=0,O68=0,E68=0,F68=0),"OK","ERREUR"),IF(AND(M68&gt;=1,M68&lt;=32,OR(N68=4,N68=6,N68=8,N68=10,N68=12,N68=20),O68&gt;=0,E68=M68+O68,F68=M68*N68+O68),"OK","ERREUR"))</x:f>
        <x:v>OK</x:v>
      </x:c>
      <x:c r="U68" s="86" t="n">
        <x:f>IF(M68&gt;0,M68*(N68+1)/2+O68,0)</x:f>
        <x:v>4.5</x:v>
      </x:c>
      <x:c r="V68" t="str">
        <x:f>IF(ABS(L68-U68)&lt;0.001,"OK","ERREUR")</x:f>
        <x:v>OK</x:v>
      </x:c>
    </x:row>
    <x:row r="69" ht="18" customHeight="1">
      <x:c r="A69" t="str">
        <x:v>ARM004</x:v>
      </x:c>
      <x:c r="B69" t="str">
        <x:v>Kriss</x:v>
      </x:c>
      <x:c r="C69" t="n">
        <x:v>6</x:v>
      </x:c>
      <x:c r="D69" t="str">
        <x:v>Légères</x:v>
      </x:c>
      <x:c r="E69" s="28" t="n">
        <x:f>IF(M69=0,0,M69+O69)</x:f>
        <x:v>4</x:v>
      </x:c>
      <x:c r="F69" s="28" t="n">
        <x:f>IF(M69=0,0,M69*N69+O69)</x:f>
        <x:v>7</x:v>
      </x:c>
      <x:c r="G69" s="28" t="n">
        <x:f>ROUND(Catalogue!G7*SQRT((1+'Paramètres'!$B$4*(C69-1)+'Paramètres'!$B$5*(C69-1)^2)),0)</x:f>
        <x:v>0</x:v>
      </x:c>
      <x:c r="H69" s="28" t="n">
        <x:f>ROUND(Catalogue!H7*SQRT((1+'Paramètres'!$B$4*(C69-1)+'Paramètres'!$B$5*(C69-1)^2)),0)</x:f>
        <x:v>0</x:v>
      </x:c>
      <x:c r="I69" s="28" t="n">
        <x:v>2</x:v>
      </x:c>
      <x:c r="J69" s="28" t="n">
        <x:v>1</x:v>
      </x:c>
      <x:c r="K69" s="30" t="n">
        <x:v>0.5</x:v>
      </x:c>
      <x:c r="L69" s="54" t="n">
        <x:f>IF(M69=0,0,(E69+F69)/2)</x:f>
        <x:v>5.5</x:v>
      </x:c>
      <x:c r="M69" t="n">
        <x:v>1</x:v>
      </x:c>
      <x:c r="N69" t="n">
        <x:v>4</x:v>
      </x:c>
      <x:c r="O69" t="n">
        <x:v>3</x:v>
      </x:c>
      <x:c r="P69" s="63" t="str">
        <x:f>IF(M69=0,"—",M69&amp;"d"&amp;N69&amp;IF(O69=0,""," + "&amp;O69))</x:f>
        <x:v>1d4 + 3</x:v>
      </x:c>
      <x:c r="Q69" t="n">
        <x:f>ROUND(INDEX(Catalogue!E$4:E$85,MATCH(A69,Catalogue!A$4:A$85,0))*(1+'Paramètres'!$B$4*(C69-1)+'Paramètres'!$B$5*(C69-1)^2),0)</x:f>
        <x:v>4</x:v>
      </x:c>
      <x:c r="R69" t="n">
        <x:f>ROUND(INDEX(Catalogue!F$4:F$85,MATCH(A69,Catalogue!A$4:A$85,0))*(1+'Paramètres'!$B$4*(C69-1)+'Paramètres'!$B$5*(C69-1)^2),0)</x:f>
        <x:v>8</x:v>
      </x:c>
      <x:c r="S69" t="n">
        <x:f>L69-AVERAGE(Q69:R69)</x:f>
        <x:v>-0.5</x:v>
      </x:c>
      <x:c r="T69" t="str">
        <x:f>IF(M69=0,IF(AND(N69=0,O69=0,E69=0,F69=0),"OK","ERREUR"),IF(AND(M69&gt;=1,M69&lt;=32,OR(N69=4,N69=6,N69=8,N69=10,N69=12,N69=20),O69&gt;=0,E69=M69+O69,F69=M69*N69+O69),"OK","ERREUR"))</x:f>
        <x:v>OK</x:v>
      </x:c>
      <x:c r="U69" s="86" t="n">
        <x:f>IF(M69&gt;0,M69*(N69+1)/2+O69,0)</x:f>
        <x:v>5.5</x:v>
      </x:c>
      <x:c r="V69" t="str">
        <x:f>IF(ABS(L69-U69)&lt;0.001,"OK","ERREUR")</x:f>
        <x:v>OK</x:v>
      </x:c>
    </x:row>
    <x:row r="70" ht="18" customHeight="1">
      <x:c r="A70" t="str">
        <x:v>ARM004</x:v>
      </x:c>
      <x:c r="B70" t="str">
        <x:v>Kriss</x:v>
      </x:c>
      <x:c r="C70" t="n">
        <x:v>7</x:v>
      </x:c>
      <x:c r="D70" t="str">
        <x:v>Légères</x:v>
      </x:c>
      <x:c r="E70" s="28" t="n">
        <x:f>IF(M70=0,0,M70+O70)</x:f>
        <x:v>4</x:v>
      </x:c>
      <x:c r="F70" s="28" t="n">
        <x:f>IF(M70=0,0,M70*N70+O70)</x:f>
        <x:v>9</x:v>
      </x:c>
      <x:c r="G70" s="28" t="n">
        <x:f>ROUND(Catalogue!G7*SQRT((1+'Paramètres'!$B$4*(C70-1)+'Paramètres'!$B$5*(C70-1)^2)),0)</x:f>
        <x:v>0</x:v>
      </x:c>
      <x:c r="H70" s="28" t="n">
        <x:f>ROUND(Catalogue!H7*SQRT((1+'Paramètres'!$B$4*(C70-1)+'Paramètres'!$B$5*(C70-1)^2)),0)</x:f>
        <x:v>0</x:v>
      </x:c>
      <x:c r="I70" s="28" t="n">
        <x:v>2</x:v>
      </x:c>
      <x:c r="J70" s="28" t="n">
        <x:v>1</x:v>
      </x:c>
      <x:c r="K70" s="30" t="n">
        <x:v>0.5</x:v>
      </x:c>
      <x:c r="L70" s="54" t="n">
        <x:f>IF(M70=0,0,(E70+F70)/2)</x:f>
        <x:v>6.5</x:v>
      </x:c>
      <x:c r="M70" t="n">
        <x:v>1</x:v>
      </x:c>
      <x:c r="N70" t="n">
        <x:v>6</x:v>
      </x:c>
      <x:c r="O70" t="n">
        <x:v>3</x:v>
      </x:c>
      <x:c r="P70" s="63" t="str">
        <x:f>IF(M70=0,"—",M70&amp;"d"&amp;N70&amp;IF(O70=0,""," + "&amp;O70))</x:f>
        <x:v>1d6 + 3</x:v>
      </x:c>
      <x:c r="Q70" t="n">
        <x:f>ROUND(INDEX(Catalogue!E$4:E$85,MATCH(A70,Catalogue!A$4:A$85,0))*(1+'Paramètres'!$B$4*(C70-1)+'Paramètres'!$B$5*(C70-1)^2),0)</x:f>
        <x:v>4</x:v>
      </x:c>
      <x:c r="R70" t="n">
        <x:f>ROUND(INDEX(Catalogue!F$4:F$85,MATCH(A70,Catalogue!A$4:A$85,0))*(1+'Paramètres'!$B$4*(C70-1)+'Paramètres'!$B$5*(C70-1)^2),0)</x:f>
        <x:v>9</x:v>
      </x:c>
      <x:c r="S70" t="n">
        <x:f>L70-AVERAGE(Q70:R70)</x:f>
        <x:v>0</x:v>
      </x:c>
      <x:c r="T70" t="str">
        <x:f>IF(M70=0,IF(AND(N70=0,O70=0,E70=0,F70=0),"OK","ERREUR"),IF(AND(M70&gt;=1,M70&lt;=32,OR(N70=4,N70=6,N70=8,N70=10,N70=12,N70=20),O70&gt;=0,E70=M70+O70,F70=M70*N70+O70),"OK","ERREUR"))</x:f>
        <x:v>OK</x:v>
      </x:c>
      <x:c r="U70" s="86" t="n">
        <x:f>IF(M70&gt;0,M70*(N70+1)/2+O70,0)</x:f>
        <x:v>6.5</x:v>
      </x:c>
      <x:c r="V70" t="str">
        <x:f>IF(ABS(L70-U70)&lt;0.001,"OK","ERREUR")</x:f>
        <x:v>OK</x:v>
      </x:c>
    </x:row>
    <x:row r="71" ht="18" customHeight="1">
      <x:c r="A71" t="str">
        <x:v>ARM004</x:v>
      </x:c>
      <x:c r="B71" t="str">
        <x:v>Kriss</x:v>
      </x:c>
      <x:c r="C71" t="n">
        <x:v>8</x:v>
      </x:c>
      <x:c r="D71" t="str">
        <x:v>Légères</x:v>
      </x:c>
      <x:c r="E71" s="28" t="n">
        <x:f>IF(M71=0,0,M71+O71)</x:f>
        <x:v>5</x:v>
      </x:c>
      <x:c r="F71" s="28" t="n">
        <x:f>IF(M71=0,0,M71*N71+O71)</x:f>
        <x:v>10</x:v>
      </x:c>
      <x:c r="G71" s="28" t="n">
        <x:f>ROUND(Catalogue!G7*SQRT((1+'Paramètres'!$B$4*(C71-1)+'Paramètres'!$B$5*(C71-1)^2)),0)</x:f>
        <x:v>0</x:v>
      </x:c>
      <x:c r="H71" s="28" t="n">
        <x:f>ROUND(Catalogue!H7*SQRT((1+'Paramètres'!$B$4*(C71-1)+'Paramètres'!$B$5*(C71-1)^2)),0)</x:f>
        <x:v>0</x:v>
      </x:c>
      <x:c r="I71" s="28" t="n">
        <x:v>2</x:v>
      </x:c>
      <x:c r="J71" s="28" t="n">
        <x:v>1</x:v>
      </x:c>
      <x:c r="K71" s="30" t="n">
        <x:v>0.5</x:v>
      </x:c>
      <x:c r="L71" s="54" t="n">
        <x:f>IF(M71=0,0,(E71+F71)/2)</x:f>
        <x:v>7.5</x:v>
      </x:c>
      <x:c r="M71" t="n">
        <x:v>1</x:v>
      </x:c>
      <x:c r="N71" t="n">
        <x:v>6</x:v>
      </x:c>
      <x:c r="O71" t="n">
        <x:v>4</x:v>
      </x:c>
      <x:c r="P71" s="63" t="str">
        <x:f>IF(M71=0,"—",M71&amp;"d"&amp;N71&amp;IF(O71=0,""," + "&amp;O71))</x:f>
        <x:v>1d6 + 4</x:v>
      </x:c>
      <x:c r="Q71" t="n">
        <x:f>ROUND(INDEX(Catalogue!E$4:E$85,MATCH(A71,Catalogue!A$4:A$85,0))*(1+'Paramètres'!$B$4*(C71-1)+'Paramètres'!$B$5*(C71-1)^2),0)</x:f>
        <x:v>5</x:v>
      </x:c>
      <x:c r="R71" t="n">
        <x:f>ROUND(INDEX(Catalogue!F$4:F$85,MATCH(A71,Catalogue!A$4:A$85,0))*(1+'Paramètres'!$B$4*(C71-1)+'Paramètres'!$B$5*(C71-1)^2),0)</x:f>
        <x:v>10</x:v>
      </x:c>
      <x:c r="S71" t="n">
        <x:f>L71-AVERAGE(Q71:R71)</x:f>
        <x:v>0</x:v>
      </x:c>
      <x:c r="T71" t="str">
        <x:f>IF(M71=0,IF(AND(N71=0,O71=0,E71=0,F71=0),"OK","ERREUR"),IF(AND(M71&gt;=1,M71&lt;=32,OR(N71=4,N71=6,N71=8,N71=10,N71=12,N71=20),O71&gt;=0,E71=M71+O71,F71=M71*N71+O71),"OK","ERREUR"))</x:f>
        <x:v>OK</x:v>
      </x:c>
      <x:c r="U71" s="86" t="n">
        <x:f>IF(M71&gt;0,M71*(N71+1)/2+O71,0)</x:f>
        <x:v>7.5</x:v>
      </x:c>
      <x:c r="V71" t="str">
        <x:f>IF(ABS(L71-U71)&lt;0.001,"OK","ERREUR")</x:f>
        <x:v>OK</x:v>
      </x:c>
    </x:row>
    <x:row r="72" ht="18" customHeight="1">
      <x:c r="A72" t="str">
        <x:v>ARM004</x:v>
      </x:c>
      <x:c r="B72" t="str">
        <x:v>Kriss</x:v>
      </x:c>
      <x:c r="C72" t="n">
        <x:v>9</x:v>
      </x:c>
      <x:c r="D72" t="str">
        <x:v>Légères</x:v>
      </x:c>
      <x:c r="E72" s="28" t="n">
        <x:f>IF(M72=0,0,M72+O72)</x:f>
        <x:v>6</x:v>
      </x:c>
      <x:c r="F72" s="28" t="n">
        <x:f>IF(M72=0,0,M72*N72+O72)</x:f>
        <x:v>12</x:v>
      </x:c>
      <x:c r="G72" s="28" t="n">
        <x:f>ROUND(Catalogue!G7*SQRT((1+'Paramètres'!$B$4*(C72-1)+'Paramètres'!$B$5*(C72-1)^2)),0)</x:f>
        <x:v>0</x:v>
      </x:c>
      <x:c r="H72" s="28" t="n">
        <x:f>ROUND(Catalogue!H7*SQRT((1+'Paramètres'!$B$4*(C72-1)+'Paramètres'!$B$5*(C72-1)^2)),0)</x:f>
        <x:v>0</x:v>
      </x:c>
      <x:c r="I72" s="28" t="n">
        <x:v>2</x:v>
      </x:c>
      <x:c r="J72" s="28" t="n">
        <x:v>1</x:v>
      </x:c>
      <x:c r="K72" s="30" t="n">
        <x:v>0.5</x:v>
      </x:c>
      <x:c r="L72" s="54" t="n">
        <x:f>IF(M72=0,0,(E72+F72)/2)</x:f>
        <x:v>9</x:v>
      </x:c>
      <x:c r="M72" t="n">
        <x:v>2</x:v>
      </x:c>
      <x:c r="N72" t="n">
        <x:v>4</x:v>
      </x:c>
      <x:c r="O72" t="n">
        <x:v>4</x:v>
      </x:c>
      <x:c r="P72" s="63" t="str">
        <x:f>IF(M72=0,"—",M72&amp;"d"&amp;N72&amp;IF(O72=0,""," + "&amp;O72))</x:f>
        <x:v>2d4 + 4</x:v>
      </x:c>
      <x:c r="Q72" t="n">
        <x:f>ROUND(INDEX(Catalogue!E$4:E$85,MATCH(A72,Catalogue!A$4:A$85,0))*(1+'Paramètres'!$B$4*(C72-1)+'Paramètres'!$B$5*(C72-1)^2),0)</x:f>
        <x:v>6</x:v>
      </x:c>
      <x:c r="R72" t="n">
        <x:f>ROUND(INDEX(Catalogue!F$4:F$85,MATCH(A72,Catalogue!A$4:A$85,0))*(1+'Paramètres'!$B$4*(C72-1)+'Paramètres'!$B$5*(C72-1)^2),0)</x:f>
        <x:v>12</x:v>
      </x:c>
      <x:c r="S72" t="n">
        <x:f>L72-AVERAGE(Q72:R72)</x:f>
        <x:v>0</x:v>
      </x:c>
      <x:c r="T72" t="str">
        <x:f>IF(M72=0,IF(AND(N72=0,O72=0,E72=0,F72=0),"OK","ERREUR"),IF(AND(M72&gt;=1,M72&lt;=32,OR(N72=4,N72=6,N72=8,N72=10,N72=12,N72=20),O72&gt;=0,E72=M72+O72,F72=M72*N72+O72),"OK","ERREUR"))</x:f>
        <x:v>OK</x:v>
      </x:c>
      <x:c r="U72" s="86" t="n">
        <x:f>IF(M72&gt;0,M72*(N72+1)/2+O72,0)</x:f>
        <x:v>9</x:v>
      </x:c>
      <x:c r="V72" t="str">
        <x:f>IF(ABS(L72-U72)&lt;0.001,"OK","ERREUR")</x:f>
        <x:v>OK</x:v>
      </x:c>
    </x:row>
    <x:row r="73" ht="18" customHeight="1">
      <x:c r="A73" t="str">
        <x:v>ARM004</x:v>
      </x:c>
      <x:c r="B73" t="str">
        <x:v>Kriss</x:v>
      </x:c>
      <x:c r="C73" t="n">
        <x:v>10</x:v>
      </x:c>
      <x:c r="D73" t="str">
        <x:v>Légères</x:v>
      </x:c>
      <x:c r="E73" s="28" t="n">
        <x:f>IF(M73=0,0,M73+O73)</x:f>
        <x:v>7</x:v>
      </x:c>
      <x:c r="F73" s="28" t="n">
        <x:f>IF(M73=0,0,M73*N73+O73)</x:f>
        <x:v>13</x:v>
      </x:c>
      <x:c r="G73" s="28" t="n">
        <x:f>ROUND(Catalogue!G7*SQRT((1+'Paramètres'!$B$4*(C73-1)+'Paramètres'!$B$5*(C73-1)^2)),0)</x:f>
        <x:v>0</x:v>
      </x:c>
      <x:c r="H73" s="28" t="n">
        <x:f>ROUND(Catalogue!H7*SQRT((1+'Paramètres'!$B$4*(C73-1)+'Paramètres'!$B$5*(C73-1)^2)),0)</x:f>
        <x:v>0</x:v>
      </x:c>
      <x:c r="I73" s="28" t="n">
        <x:v>2</x:v>
      </x:c>
      <x:c r="J73" s="28" t="n">
        <x:v>1</x:v>
      </x:c>
      <x:c r="K73" s="30" t="n">
        <x:v>0.5</x:v>
      </x:c>
      <x:c r="L73" s="54" t="n">
        <x:f>IF(M73=0,0,(E73+F73)/2)</x:f>
        <x:v>10</x:v>
      </x:c>
      <x:c r="M73" t="n">
        <x:v>2</x:v>
      </x:c>
      <x:c r="N73" t="n">
        <x:v>4</x:v>
      </x:c>
      <x:c r="O73" t="n">
        <x:v>5</x:v>
      </x:c>
      <x:c r="P73" s="63" t="str">
        <x:f>IF(M73=0,"—",M73&amp;"d"&amp;N73&amp;IF(O73=0,""," + "&amp;O73))</x:f>
        <x:v>2d4 + 5</x:v>
      </x:c>
      <x:c r="Q73" t="n">
        <x:f>ROUND(INDEX(Catalogue!E$4:E$85,MATCH(A73,Catalogue!A$4:A$85,0))*(1+'Paramètres'!$B$4*(C73-1)+'Paramètres'!$B$5*(C73-1)^2),0)</x:f>
        <x:v>7</x:v>
      </x:c>
      <x:c r="R73" t="n">
        <x:f>ROUND(INDEX(Catalogue!F$4:F$85,MATCH(A73,Catalogue!A$4:A$85,0))*(1+'Paramètres'!$B$4*(C73-1)+'Paramètres'!$B$5*(C73-1)^2),0)</x:f>
        <x:v>13</x:v>
      </x:c>
      <x:c r="S73" t="n">
        <x:f>L73-AVERAGE(Q73:R73)</x:f>
        <x:v>0</x:v>
      </x:c>
      <x:c r="T73" t="str">
        <x:f>IF(M73=0,IF(AND(N73=0,O73=0,E73=0,F73=0),"OK","ERREUR"),IF(AND(M73&gt;=1,M73&lt;=32,OR(N73=4,N73=6,N73=8,N73=10,N73=12,N73=20),O73&gt;=0,E73=M73+O73,F73=M73*N73+O73),"OK","ERREUR"))</x:f>
        <x:v>OK</x:v>
      </x:c>
      <x:c r="U73" s="86" t="n">
        <x:f>IF(M73&gt;0,M73*(N73+1)/2+O73,0)</x:f>
        <x:v>10</x:v>
      </x:c>
      <x:c r="V73" t="str">
        <x:f>IF(ABS(L73-U73)&lt;0.001,"OK","ERREUR")</x:f>
        <x:v>OK</x:v>
      </x:c>
    </x:row>
    <x:row r="74" ht="18" customHeight="1">
      <x:c r="A74" t="str">
        <x:v>ARM004</x:v>
      </x:c>
      <x:c r="B74" t="str">
        <x:v>Kriss</x:v>
      </x:c>
      <x:c r="C74" t="n">
        <x:v>11</x:v>
      </x:c>
      <x:c r="D74" t="str">
        <x:v>Légères</x:v>
      </x:c>
      <x:c r="E74" s="28" t="n">
        <x:f>IF(M74=0,0,M74+O74)</x:f>
        <x:v>6</x:v>
      </x:c>
      <x:c r="F74" s="28" t="n">
        <x:f>IF(M74=0,0,M74*N74+O74)</x:f>
        <x:v>15</x:v>
      </x:c>
      <x:c r="G74" s="28" t="n">
        <x:f>ROUND(Catalogue!G7*SQRT((1+'Paramètres'!$B$4*(C74-1)+'Paramètres'!$B$5*(C74-1)^2)),0)</x:f>
        <x:v>0</x:v>
      </x:c>
      <x:c r="H74" s="28" t="n">
        <x:f>ROUND(Catalogue!H7*SQRT((1+'Paramètres'!$B$4*(C74-1)+'Paramètres'!$B$5*(C74-1)^2)),0)</x:f>
        <x:v>0</x:v>
      </x:c>
      <x:c r="I74" s="28" t="n">
        <x:v>2</x:v>
      </x:c>
      <x:c r="J74" s="28" t="n">
        <x:v>1</x:v>
      </x:c>
      <x:c r="K74" s="30" t="n">
        <x:v>0.5</x:v>
      </x:c>
      <x:c r="L74" s="54" t="n">
        <x:f>IF(M74=0,0,(E74+F74)/2)</x:f>
        <x:v>10.5</x:v>
      </x:c>
      <x:c r="M74" t="n">
        <x:v>3</x:v>
      </x:c>
      <x:c r="N74" t="n">
        <x:v>4</x:v>
      </x:c>
      <x:c r="O74" t="n">
        <x:v>3</x:v>
      </x:c>
      <x:c r="P74" s="63" t="str">
        <x:f>IF(M74=0,"—",M74&amp;"d"&amp;N74&amp;IF(O74=0,""," + "&amp;O74))</x:f>
        <x:v>3d4 + 3</x:v>
      </x:c>
      <x:c r="Q74" t="n">
        <x:f>ROUND(INDEX(Catalogue!E$4:E$85,MATCH(A74,Catalogue!A$4:A$85,0))*(1+'Paramètres'!$B$4*(C74-1)+'Paramètres'!$B$5*(C74-1)^2),0)</x:f>
        <x:v>7</x:v>
      </x:c>
      <x:c r="R74" t="n">
        <x:f>ROUND(INDEX(Catalogue!F$4:F$85,MATCH(A74,Catalogue!A$4:A$85,0))*(1+'Paramètres'!$B$4*(C74-1)+'Paramètres'!$B$5*(C74-1)^2),0)</x:f>
        <x:v>15</x:v>
      </x:c>
      <x:c r="S74" t="n">
        <x:f>L74-AVERAGE(Q74:R74)</x:f>
        <x:v>-0.5</x:v>
      </x:c>
      <x:c r="T74" t="str">
        <x:f>IF(M74=0,IF(AND(N74=0,O74=0,E74=0,F74=0),"OK","ERREUR"),IF(AND(M74&gt;=1,M74&lt;=32,OR(N74=4,N74=6,N74=8,N74=10,N74=12,N74=20),O74&gt;=0,E74=M74+O74,F74=M74*N74+O74),"OK","ERREUR"))</x:f>
        <x:v>OK</x:v>
      </x:c>
      <x:c r="U74" s="86" t="n">
        <x:f>IF(M74&gt;0,M74*(N74+1)/2+O74,0)</x:f>
        <x:v>10.5</x:v>
      </x:c>
      <x:c r="V74" t="str">
        <x:f>IF(ABS(L74-U74)&lt;0.001,"OK","ERREUR")</x:f>
        <x:v>OK</x:v>
      </x:c>
    </x:row>
    <x:row r="75" ht="18" customHeight="1">
      <x:c r="A75" t="str">
        <x:v>ARM004</x:v>
      </x:c>
      <x:c r="B75" t="str">
        <x:v>Kriss</x:v>
      </x:c>
      <x:c r="C75" t="n">
        <x:v>12</x:v>
      </x:c>
      <x:c r="D75" t="str">
        <x:v>Légères</x:v>
      </x:c>
      <x:c r="E75" s="28" t="n">
        <x:f>IF(M75=0,0,M75+O75)</x:f>
        <x:v>8</x:v>
      </x:c>
      <x:c r="F75" s="28" t="n">
        <x:f>IF(M75=0,0,M75*N75+O75)</x:f>
        <x:v>17</x:v>
      </x:c>
      <x:c r="G75" s="28" t="n">
        <x:f>ROUND(Catalogue!G7*SQRT((1+'Paramètres'!$B$4*(C75-1)+'Paramètres'!$B$5*(C75-1)^2)),0)</x:f>
        <x:v>0</x:v>
      </x:c>
      <x:c r="H75" s="28" t="n">
        <x:f>ROUND(Catalogue!H7*SQRT((1+'Paramètres'!$B$4*(C75-1)+'Paramètres'!$B$5*(C75-1)^2)),0)</x:f>
        <x:v>0</x:v>
      </x:c>
      <x:c r="I75" s="28" t="n">
        <x:v>2</x:v>
      </x:c>
      <x:c r="J75" s="28" t="n">
        <x:v>1</x:v>
      </x:c>
      <x:c r="K75" s="30" t="n">
        <x:v>0.5</x:v>
      </x:c>
      <x:c r="L75" s="54" t="n">
        <x:f>IF(M75=0,0,(E75+F75)/2)</x:f>
        <x:v>12.5</x:v>
      </x:c>
      <x:c r="M75" t="n">
        <x:v>3</x:v>
      </x:c>
      <x:c r="N75" t="n">
        <x:v>4</x:v>
      </x:c>
      <x:c r="O75" t="n">
        <x:v>5</x:v>
      </x:c>
      <x:c r="P75" s="63" t="str">
        <x:f>IF(M75=0,"—",M75&amp;"d"&amp;N75&amp;IF(O75=0,""," + "&amp;O75))</x:f>
        <x:v>3d4 + 5</x:v>
      </x:c>
      <x:c r="Q75" t="n">
        <x:f>ROUND(INDEX(Catalogue!E$4:E$85,MATCH(A75,Catalogue!A$4:A$85,0))*(1+'Paramètres'!$B$4*(C75-1)+'Paramètres'!$B$5*(C75-1)^2),0)</x:f>
        <x:v>8</x:v>
      </x:c>
      <x:c r="R75" t="n">
        <x:f>ROUND(INDEX(Catalogue!F$4:F$85,MATCH(A75,Catalogue!A$4:A$85,0))*(1+'Paramètres'!$B$4*(C75-1)+'Paramètres'!$B$5*(C75-1)^2),0)</x:f>
        <x:v>17</x:v>
      </x:c>
      <x:c r="S75" t="n">
        <x:f>L75-AVERAGE(Q75:R75)</x:f>
        <x:v>0</x:v>
      </x:c>
      <x:c r="T75" t="str">
        <x:f>IF(M75=0,IF(AND(N75=0,O75=0,E75=0,F75=0),"OK","ERREUR"),IF(AND(M75&gt;=1,M75&lt;=32,OR(N75=4,N75=6,N75=8,N75=10,N75=12,N75=20),O75&gt;=0,E75=M75+O75,F75=M75*N75+O75),"OK","ERREUR"))</x:f>
        <x:v>OK</x:v>
      </x:c>
      <x:c r="U75" s="86" t="n">
        <x:f>IF(M75&gt;0,M75*(N75+1)/2+O75,0)</x:f>
        <x:v>12.5</x:v>
      </x:c>
      <x:c r="V75" t="str">
        <x:f>IF(ABS(L75-U75)&lt;0.001,"OK","ERREUR")</x:f>
        <x:v>OK</x:v>
      </x:c>
    </x:row>
    <x:row r="76" ht="18" customHeight="1">
      <x:c r="A76" t="str">
        <x:v>ARM004</x:v>
      </x:c>
      <x:c r="B76" t="str">
        <x:v>Kriss</x:v>
      </x:c>
      <x:c r="C76" t="n">
        <x:v>13</x:v>
      </x:c>
      <x:c r="D76" t="str">
        <x:v>Légères</x:v>
      </x:c>
      <x:c r="E76" s="28" t="n">
        <x:f>IF(M76=0,0,M76+O76)</x:f>
        <x:v>9</x:v>
      </x:c>
      <x:c r="F76" s="28" t="n">
        <x:f>IF(M76=0,0,M76*N76+O76)</x:f>
        <x:v>18</x:v>
      </x:c>
      <x:c r="G76" s="28" t="n">
        <x:f>ROUND(Catalogue!G7*SQRT((1+'Paramètres'!$B$4*(C76-1)+'Paramètres'!$B$5*(C76-1)^2)),0)</x:f>
        <x:v>0</x:v>
      </x:c>
      <x:c r="H76" s="28" t="n">
        <x:f>ROUND(Catalogue!H7*SQRT((1+'Paramètres'!$B$4*(C76-1)+'Paramètres'!$B$5*(C76-1)^2)),0)</x:f>
        <x:v>0</x:v>
      </x:c>
      <x:c r="I76" s="28" t="n">
        <x:v>2</x:v>
      </x:c>
      <x:c r="J76" s="28" t="n">
        <x:v>1</x:v>
      </x:c>
      <x:c r="K76" s="30" t="n">
        <x:v>0.5</x:v>
      </x:c>
      <x:c r="L76" s="54" t="n">
        <x:f>IF(M76=0,0,(E76+F76)/2)</x:f>
        <x:v>13.5</x:v>
      </x:c>
      <x:c r="M76" t="n">
        <x:v>3</x:v>
      </x:c>
      <x:c r="N76" t="n">
        <x:v>4</x:v>
      </x:c>
      <x:c r="O76" t="n">
        <x:v>6</x:v>
      </x:c>
      <x:c r="P76" s="63" t="str">
        <x:f>IF(M76=0,"—",M76&amp;"d"&amp;N76&amp;IF(O76=0,""," + "&amp;O76))</x:f>
        <x:v>3d4 + 6</x:v>
      </x:c>
      <x:c r="Q76" t="n">
        <x:f>ROUND(INDEX(Catalogue!E$4:E$85,MATCH(A76,Catalogue!A$4:A$85,0))*(1+'Paramètres'!$B$4*(C76-1)+'Paramètres'!$B$5*(C76-1)^2),0)</x:f>
        <x:v>9</x:v>
      </x:c>
      <x:c r="R76" t="n">
        <x:f>ROUND(INDEX(Catalogue!F$4:F$85,MATCH(A76,Catalogue!A$4:A$85,0))*(1+'Paramètres'!$B$4*(C76-1)+'Paramètres'!$B$5*(C76-1)^2),0)</x:f>
        <x:v>18</x:v>
      </x:c>
      <x:c r="S76" t="n">
        <x:f>L76-AVERAGE(Q76:R76)</x:f>
        <x:v>0</x:v>
      </x:c>
      <x:c r="T76" t="str">
        <x:f>IF(M76=0,IF(AND(N76=0,O76=0,E76=0,F76=0),"OK","ERREUR"),IF(AND(M76&gt;=1,M76&lt;=32,OR(N76=4,N76=6,N76=8,N76=10,N76=12,N76=20),O76&gt;=0,E76=M76+O76,F76=M76*N76+O76),"OK","ERREUR"))</x:f>
        <x:v>OK</x:v>
      </x:c>
      <x:c r="U76" s="86" t="n">
        <x:f>IF(M76&gt;0,M76*(N76+1)/2+O76,0)</x:f>
        <x:v>13.5</x:v>
      </x:c>
      <x:c r="V76" t="str">
        <x:f>IF(ABS(L76-U76)&lt;0.001,"OK","ERREUR")</x:f>
        <x:v>OK</x:v>
      </x:c>
    </x:row>
    <x:row r="77" ht="18" customHeight="1">
      <x:c r="A77" t="str">
        <x:v>ARM004</x:v>
      </x:c>
      <x:c r="B77" t="str">
        <x:v>Kriss</x:v>
      </x:c>
      <x:c r="C77" t="n">
        <x:v>14</x:v>
      </x:c>
      <x:c r="D77" t="str">
        <x:v>Légères</x:v>
      </x:c>
      <x:c r="E77" s="28" t="n">
        <x:f>IF(M77=0,0,M77+O77)</x:f>
        <x:v>10</x:v>
      </x:c>
      <x:c r="F77" s="28" t="n">
        <x:f>IF(M77=0,0,M77*N77+O77)</x:f>
        <x:v>20</x:v>
      </x:c>
      <x:c r="G77" s="28" t="n">
        <x:f>ROUND(Catalogue!G7*SQRT((1+'Paramètres'!$B$4*(C77-1)+'Paramètres'!$B$5*(C77-1)^2)),0)</x:f>
        <x:v>0</x:v>
      </x:c>
      <x:c r="H77" s="28" t="n">
        <x:f>ROUND(Catalogue!H7*SQRT((1+'Paramètres'!$B$4*(C77-1)+'Paramètres'!$B$5*(C77-1)^2)),0)</x:f>
        <x:v>0</x:v>
      </x:c>
      <x:c r="I77" s="28" t="n">
        <x:v>2</x:v>
      </x:c>
      <x:c r="J77" s="28" t="n">
        <x:v>1</x:v>
      </x:c>
      <x:c r="K77" s="30" t="n">
        <x:v>0.5</x:v>
      </x:c>
      <x:c r="L77" s="54" t="n">
        <x:f>IF(M77=0,0,(E77+F77)/2)</x:f>
        <x:v>15</x:v>
      </x:c>
      <x:c r="M77" t="n">
        <x:v>2</x:v>
      </x:c>
      <x:c r="N77" t="n">
        <x:v>6</x:v>
      </x:c>
      <x:c r="O77" t="n">
        <x:v>8</x:v>
      </x:c>
      <x:c r="P77" s="63" t="str">
        <x:f>IF(M77=0,"—",M77&amp;"d"&amp;N77&amp;IF(O77=0,""," + "&amp;O77))</x:f>
        <x:v>2d6 + 8</x:v>
      </x:c>
      <x:c r="Q77" t="n">
        <x:f>ROUND(INDEX(Catalogue!E$4:E$85,MATCH(A77,Catalogue!A$4:A$85,0))*(1+'Paramètres'!$B$4*(C77-1)+'Paramètres'!$B$5*(C77-1)^2),0)</x:f>
        <x:v>10</x:v>
      </x:c>
      <x:c r="R77" t="n">
        <x:f>ROUND(INDEX(Catalogue!F$4:F$85,MATCH(A77,Catalogue!A$4:A$85,0))*(1+'Paramètres'!$B$4*(C77-1)+'Paramètres'!$B$5*(C77-1)^2),0)</x:f>
        <x:v>21</x:v>
      </x:c>
      <x:c r="S77" t="n">
        <x:f>L77-AVERAGE(Q77:R77)</x:f>
        <x:v>-0.5</x:v>
      </x:c>
      <x:c r="T77" t="str">
        <x:f>IF(M77=0,IF(AND(N77=0,O77=0,E77=0,F77=0),"OK","ERREUR"),IF(AND(M77&gt;=1,M77&lt;=32,OR(N77=4,N77=6,N77=8,N77=10,N77=12,N77=20),O77&gt;=0,E77=M77+O77,F77=M77*N77+O77),"OK","ERREUR"))</x:f>
        <x:v>OK</x:v>
      </x:c>
      <x:c r="U77" s="86" t="n">
        <x:f>IF(M77&gt;0,M77*(N77+1)/2+O77,0)</x:f>
        <x:v>15</x:v>
      </x:c>
      <x:c r="V77" t="str">
        <x:f>IF(ABS(L77-U77)&lt;0.001,"OK","ERREUR")</x:f>
        <x:v>OK</x:v>
      </x:c>
    </x:row>
    <x:row r="78" ht="18" customHeight="1">
      <x:c r="A78" t="str">
        <x:v>ARM004</x:v>
      </x:c>
      <x:c r="B78" t="str">
        <x:v>Kriss</x:v>
      </x:c>
      <x:c r="C78" t="n">
        <x:v>15</x:v>
      </x:c>
      <x:c r="D78" t="str">
        <x:v>Légères</x:v>
      </x:c>
      <x:c r="E78" s="28" t="n">
        <x:f>IF(M78=0,0,M78+O78)</x:f>
        <x:v>11</x:v>
      </x:c>
      <x:c r="F78" s="28" t="n">
        <x:f>IF(M78=0,0,M78*N78+O78)</x:f>
        <x:v>23</x:v>
      </x:c>
      <x:c r="G78" s="28" t="n">
        <x:f>ROUND(Catalogue!G7*SQRT((1+'Paramètres'!$B$4*(C78-1)+'Paramètres'!$B$5*(C78-1)^2)),0)</x:f>
        <x:v>0</x:v>
      </x:c>
      <x:c r="H78" s="28" t="n">
        <x:f>ROUND(Catalogue!H7*SQRT((1+'Paramètres'!$B$4*(C78-1)+'Paramètres'!$B$5*(C78-1)^2)),0)</x:f>
        <x:v>0</x:v>
      </x:c>
      <x:c r="I78" s="28" t="n">
        <x:v>2</x:v>
      </x:c>
      <x:c r="J78" s="28" t="n">
        <x:v>1</x:v>
      </x:c>
      <x:c r="K78" s="30" t="n">
        <x:v>0.5</x:v>
      </x:c>
      <x:c r="L78" s="54" t="n">
        <x:f>IF(M78=0,0,(E78+F78)/2)</x:f>
        <x:v>17</x:v>
      </x:c>
      <x:c r="M78" t="n">
        <x:v>4</x:v>
      </x:c>
      <x:c r="N78" t="n">
        <x:v>4</x:v>
      </x:c>
      <x:c r="O78" t="n">
        <x:v>7</x:v>
      </x:c>
      <x:c r="P78" s="63" t="str">
        <x:f>IF(M78=0,"—",M78&amp;"d"&amp;N78&amp;IF(O78=0,""," + "&amp;O78))</x:f>
        <x:v>4d4 + 7</x:v>
      </x:c>
      <x:c r="Q78" t="n">
        <x:f>ROUND(INDEX(Catalogue!E$4:E$85,MATCH(A78,Catalogue!A$4:A$85,0))*(1+'Paramètres'!$B$4*(C78-1)+'Paramètres'!$B$5*(C78-1)^2),0)</x:f>
        <x:v>11</x:v>
      </x:c>
      <x:c r="R78" t="n">
        <x:f>ROUND(INDEX(Catalogue!F$4:F$85,MATCH(A78,Catalogue!A$4:A$85,0))*(1+'Paramètres'!$B$4*(C78-1)+'Paramètres'!$B$5*(C78-1)^2),0)</x:f>
        <x:v>23</x:v>
      </x:c>
      <x:c r="S78" t="n">
        <x:f>L78-AVERAGE(Q78:R78)</x:f>
        <x:v>0</x:v>
      </x:c>
      <x:c r="T78" t="str">
        <x:f>IF(M78=0,IF(AND(N78=0,O78=0,E78=0,F78=0),"OK","ERREUR"),IF(AND(M78&gt;=1,M78&lt;=32,OR(N78=4,N78=6,N78=8,N78=10,N78=12,N78=20),O78&gt;=0,E78=M78+O78,F78=M78*N78+O78),"OK","ERREUR"))</x:f>
        <x:v>OK</x:v>
      </x:c>
      <x:c r="U78" s="86" t="n">
        <x:f>IF(M78&gt;0,M78*(N78+1)/2+O78,0)</x:f>
        <x:v>17</x:v>
      </x:c>
      <x:c r="V78" t="str">
        <x:f>IF(ABS(L78-U78)&lt;0.001,"OK","ERREUR")</x:f>
        <x:v>OK</x:v>
      </x:c>
    </x:row>
    <x:row r="79" ht="18" customHeight="1">
      <x:c r="A79" t="str">
        <x:v>ARM004</x:v>
      </x:c>
      <x:c r="B79" t="str">
        <x:v>Kriss</x:v>
      </x:c>
      <x:c r="C79" t="n">
        <x:v>16</x:v>
      </x:c>
      <x:c r="D79" t="str">
        <x:v>Légères</x:v>
      </x:c>
      <x:c r="E79" s="28" t="n">
        <x:f>IF(M79=0,0,M79+O79)</x:f>
        <x:v>13</x:v>
      </x:c>
      <x:c r="F79" s="28" t="n">
        <x:f>IF(M79=0,0,M79*N79+O79)</x:f>
        <x:v>25</x:v>
      </x:c>
      <x:c r="G79" s="28" t="n">
        <x:f>ROUND(Catalogue!G7*SQRT((1+'Paramètres'!$B$4*(C79-1)+'Paramètres'!$B$5*(C79-1)^2)),0)</x:f>
        <x:v>0</x:v>
      </x:c>
      <x:c r="H79" s="28" t="n">
        <x:f>ROUND(Catalogue!H7*SQRT((1+'Paramètres'!$B$4*(C79-1)+'Paramètres'!$B$5*(C79-1)^2)),0)</x:f>
        <x:v>0</x:v>
      </x:c>
      <x:c r="I79" s="28" t="n">
        <x:v>2</x:v>
      </x:c>
      <x:c r="J79" s="28" t="n">
        <x:v>1</x:v>
      </x:c>
      <x:c r="K79" s="30" t="n">
        <x:v>0.5</x:v>
      </x:c>
      <x:c r="L79" s="54" t="n">
        <x:f>IF(M79=0,0,(E79+F79)/2)</x:f>
        <x:v>19</x:v>
      </x:c>
      <x:c r="M79" t="n">
        <x:v>4</x:v>
      </x:c>
      <x:c r="N79" t="n">
        <x:v>4</x:v>
      </x:c>
      <x:c r="O79" t="n">
        <x:v>9</x:v>
      </x:c>
      <x:c r="P79" s="63" t="str">
        <x:f>IF(M79=0,"—",M79&amp;"d"&amp;N79&amp;IF(O79=0,""," + "&amp;O79))</x:f>
        <x:v>4d4 + 9</x:v>
      </x:c>
      <x:c r="Q79" t="n">
        <x:f>ROUND(INDEX(Catalogue!E$4:E$85,MATCH(A79,Catalogue!A$4:A$85,0))*(1+'Paramètres'!$B$4*(C79-1)+'Paramètres'!$B$5*(C79-1)^2),0)</x:f>
        <x:v>13</x:v>
      </x:c>
      <x:c r="R79" t="n">
        <x:f>ROUND(INDEX(Catalogue!F$4:F$85,MATCH(A79,Catalogue!A$4:A$85,0))*(1+'Paramètres'!$B$4*(C79-1)+'Paramètres'!$B$5*(C79-1)^2),0)</x:f>
        <x:v>25</x:v>
      </x:c>
      <x:c r="S79" t="n">
        <x:f>L79-AVERAGE(Q79:R79)</x:f>
        <x:v>0</x:v>
      </x:c>
      <x:c r="T79" t="str">
        <x:f>IF(M79=0,IF(AND(N79=0,O79=0,E79=0,F79=0),"OK","ERREUR"),IF(AND(M79&gt;=1,M79&lt;=32,OR(N79=4,N79=6,N79=8,N79=10,N79=12,N79=20),O79&gt;=0,E79=M79+O79,F79=M79*N79+O79),"OK","ERREUR"))</x:f>
        <x:v>OK</x:v>
      </x:c>
      <x:c r="U79" s="86" t="n">
        <x:f>IF(M79&gt;0,M79*(N79+1)/2+O79,0)</x:f>
        <x:v>19</x:v>
      </x:c>
      <x:c r="V79" t="str">
        <x:f>IF(ABS(L79-U79)&lt;0.001,"OK","ERREUR")</x:f>
        <x:v>OK</x:v>
      </x:c>
    </x:row>
    <x:row r="80" ht="18" customHeight="1">
      <x:c r="A80" t="str">
        <x:v>ARM004</x:v>
      </x:c>
      <x:c r="B80" t="str">
        <x:v>Kriss</x:v>
      </x:c>
      <x:c r="C80" t="n">
        <x:v>17</x:v>
      </x:c>
      <x:c r="D80" t="str">
        <x:v>Légères</x:v>
      </x:c>
      <x:c r="E80" s="28" t="n">
        <x:f>IF(M80=0,0,M80+O80)</x:f>
        <x:v>13</x:v>
      </x:c>
      <x:c r="F80" s="28" t="n">
        <x:f>IF(M80=0,0,M80*N80+O80)</x:f>
        <x:v>27</x:v>
      </x:c>
      <x:c r="G80" s="28" t="n">
        <x:f>ROUND(Catalogue!G7*SQRT((1+'Paramètres'!$B$4*(C80-1)+'Paramètres'!$B$5*(C80-1)^2)),0)</x:f>
        <x:v>0</x:v>
      </x:c>
      <x:c r="H80" s="28" t="n">
        <x:f>ROUND(Catalogue!H7*SQRT((1+'Paramètres'!$B$4*(C80-1)+'Paramètres'!$B$5*(C80-1)^2)),0)</x:f>
        <x:v>0</x:v>
      </x:c>
      <x:c r="I80" s="28" t="n">
        <x:v>2</x:v>
      </x:c>
      <x:c r="J80" s="28" t="n">
        <x:v>1</x:v>
      </x:c>
      <x:c r="K80" s="30" t="n">
        <x:v>0.5</x:v>
      </x:c>
      <x:c r="L80" s="54" t="n">
        <x:f>IF(M80=0,0,(E80+F80)/2)</x:f>
        <x:v>20</x:v>
      </x:c>
      <x:c r="M80" t="n">
        <x:v>2</x:v>
      </x:c>
      <x:c r="N80" t="n">
        <x:v>8</x:v>
      </x:c>
      <x:c r="O80" t="n">
        <x:v>11</x:v>
      </x:c>
      <x:c r="P80" s="63" t="str">
        <x:f>IF(M80=0,"—",M80&amp;"d"&amp;N80&amp;IF(O80=0,""," + "&amp;O80))</x:f>
        <x:v>2d8 + 11</x:v>
      </x:c>
      <x:c r="Q80" t="n">
        <x:f>ROUND(INDEX(Catalogue!E$4:E$85,MATCH(A80,Catalogue!A$4:A$85,0))*(1+'Paramètres'!$B$4*(C80-1)+'Paramètres'!$B$5*(C80-1)^2),0)</x:f>
        <x:v>14</x:v>
      </x:c>
      <x:c r="R80" t="n">
        <x:f>ROUND(INDEX(Catalogue!F$4:F$85,MATCH(A80,Catalogue!A$4:A$85,0))*(1+'Paramètres'!$B$4*(C80-1)+'Paramètres'!$B$5*(C80-1)^2),0)</x:f>
        <x:v>27</x:v>
      </x:c>
      <x:c r="S80" t="n">
        <x:f>L80-AVERAGE(Q80:R80)</x:f>
        <x:v>-0.5</x:v>
      </x:c>
      <x:c r="T80" t="str">
        <x:f>IF(M80=0,IF(AND(N80=0,O80=0,E80=0,F80=0),"OK","ERREUR"),IF(AND(M80&gt;=1,M80&lt;=32,OR(N80=4,N80=6,N80=8,N80=10,N80=12,N80=20),O80&gt;=0,E80=M80+O80,F80=M80*N80+O80),"OK","ERREUR"))</x:f>
        <x:v>OK</x:v>
      </x:c>
      <x:c r="U80" s="86" t="n">
        <x:f>IF(M80&gt;0,M80*(N80+1)/2+O80,0)</x:f>
        <x:v>20</x:v>
      </x:c>
      <x:c r="V80" t="str">
        <x:f>IF(ABS(L80-U80)&lt;0.001,"OK","ERREUR")</x:f>
        <x:v>OK</x:v>
      </x:c>
    </x:row>
    <x:row r="81" ht="18" customHeight="1">
      <x:c r="A81" t="str">
        <x:v>ARM004</x:v>
      </x:c>
      <x:c r="B81" t="str">
        <x:v>Kriss</x:v>
      </x:c>
      <x:c r="C81" t="n">
        <x:v>18</x:v>
      </x:c>
      <x:c r="D81" t="str">
        <x:v>Légères</x:v>
      </x:c>
      <x:c r="E81" s="28" t="n">
        <x:f>IF(M81=0,0,M81+O81)</x:f>
        <x:v>15</x:v>
      </x:c>
      <x:c r="F81" s="28" t="n">
        <x:f>IF(M81=0,0,M81*N81+O81)</x:f>
        <x:v>30</x:v>
      </x:c>
      <x:c r="G81" s="28" t="n">
        <x:f>ROUND(Catalogue!G7*SQRT((1+'Paramètres'!$B$4*(C81-1)+'Paramètres'!$B$5*(C81-1)^2)),0)</x:f>
        <x:v>0</x:v>
      </x:c>
      <x:c r="H81" s="28" t="n">
        <x:f>ROUND(Catalogue!H7*SQRT((1+'Paramètres'!$B$4*(C81-1)+'Paramètres'!$B$5*(C81-1)^2)),0)</x:f>
        <x:v>0</x:v>
      </x:c>
      <x:c r="I81" s="28" t="n">
        <x:v>2</x:v>
      </x:c>
      <x:c r="J81" s="28" t="n">
        <x:v>1</x:v>
      </x:c>
      <x:c r="K81" s="30" t="n">
        <x:v>0.5</x:v>
      </x:c>
      <x:c r="L81" s="54" t="n">
        <x:f>IF(M81=0,0,(E81+F81)/2)</x:f>
        <x:v>22.5</x:v>
      </x:c>
      <x:c r="M81" t="n">
        <x:v>3</x:v>
      </x:c>
      <x:c r="N81" t="n">
        <x:v>6</x:v>
      </x:c>
      <x:c r="O81" t="n">
        <x:v>12</x:v>
      </x:c>
      <x:c r="P81" s="63" t="str">
        <x:f>IF(M81=0,"—",M81&amp;"d"&amp;N81&amp;IF(O81=0,""," + "&amp;O81))</x:f>
        <x:v>3d6 + 12</x:v>
      </x:c>
      <x:c r="Q81" t="n">
        <x:f>ROUND(INDEX(Catalogue!E$4:E$85,MATCH(A81,Catalogue!A$4:A$85,0))*(1+'Paramètres'!$B$4*(C81-1)+'Paramètres'!$B$5*(C81-1)^2),0)</x:f>
        <x:v>15</x:v>
      </x:c>
      <x:c r="R81" t="n">
        <x:f>ROUND(INDEX(Catalogue!F$4:F$85,MATCH(A81,Catalogue!A$4:A$85,0))*(1+'Paramètres'!$B$4*(C81-1)+'Paramètres'!$B$5*(C81-1)^2),0)</x:f>
        <x:v>30</x:v>
      </x:c>
      <x:c r="S81" t="n">
        <x:f>L81-AVERAGE(Q81:R81)</x:f>
        <x:v>0</x:v>
      </x:c>
      <x:c r="T81" t="str">
        <x:f>IF(M81=0,IF(AND(N81=0,O81=0,E81=0,F81=0),"OK","ERREUR"),IF(AND(M81&gt;=1,M81&lt;=32,OR(N81=4,N81=6,N81=8,N81=10,N81=12,N81=20),O81&gt;=0,E81=M81+O81,F81=M81*N81+O81),"OK","ERREUR"))</x:f>
        <x:v>OK</x:v>
      </x:c>
      <x:c r="U81" s="86" t="n">
        <x:f>IF(M81&gt;0,M81*(N81+1)/2+O81,0)</x:f>
        <x:v>22.5</x:v>
      </x:c>
      <x:c r="V81" t="str">
        <x:f>IF(ABS(L81-U81)&lt;0.001,"OK","ERREUR")</x:f>
        <x:v>OK</x:v>
      </x:c>
    </x:row>
    <x:row r="82" ht="18" customHeight="1">
      <x:c r="A82" t="str">
        <x:v>ARM004</x:v>
      </x:c>
      <x:c r="B82" t="str">
        <x:v>Kriss</x:v>
      </x:c>
      <x:c r="C82" t="n">
        <x:v>19</x:v>
      </x:c>
      <x:c r="D82" t="str">
        <x:v>Légères</x:v>
      </x:c>
      <x:c r="E82" s="28" t="n">
        <x:f>IF(M82=0,0,M82+O82)</x:f>
        <x:v>15</x:v>
      </x:c>
      <x:c r="F82" s="28" t="n">
        <x:f>IF(M82=0,0,M82*N82+O82)</x:f>
        <x:v>33</x:v>
      </x:c>
      <x:c r="G82" s="28" t="n">
        <x:f>ROUND(Catalogue!G7*SQRT((1+'Paramètres'!$B$4*(C82-1)+'Paramètres'!$B$5*(C82-1)^2)),0)</x:f>
        <x:v>0</x:v>
      </x:c>
      <x:c r="H82" s="28" t="n">
        <x:f>ROUND(Catalogue!H7*SQRT((1+'Paramètres'!$B$4*(C82-1)+'Paramètres'!$B$5*(C82-1)^2)),0)</x:f>
        <x:v>0</x:v>
      </x:c>
      <x:c r="I82" s="28" t="n">
        <x:v>2</x:v>
      </x:c>
      <x:c r="J82" s="28" t="n">
        <x:v>1</x:v>
      </x:c>
      <x:c r="K82" s="30" t="n">
        <x:v>0.5</x:v>
      </x:c>
      <x:c r="L82" s="54" t="n">
        <x:f>IF(M82=0,0,(E82+F82)/2)</x:f>
        <x:v>24</x:v>
      </x:c>
      <x:c r="M82" t="n">
        <x:v>2</x:v>
      </x:c>
      <x:c r="N82" t="n">
        <x:v>10</x:v>
      </x:c>
      <x:c r="O82" t="n">
        <x:v>13</x:v>
      </x:c>
      <x:c r="P82" s="63" t="str">
        <x:f>IF(M82=0,"—",M82&amp;"d"&amp;N82&amp;IF(O82=0,""," + "&amp;O82))</x:f>
        <x:v>2d10 + 13</x:v>
      </x:c>
      <x:c r="Q82" t="n">
        <x:f>ROUND(INDEX(Catalogue!E$4:E$85,MATCH(A82,Catalogue!A$4:A$85,0))*(1+'Paramètres'!$B$4*(C82-1)+'Paramètres'!$B$5*(C82-1)^2),0)</x:f>
        <x:v>16</x:v>
      </x:c>
      <x:c r="R82" t="n">
        <x:f>ROUND(INDEX(Catalogue!F$4:F$85,MATCH(A82,Catalogue!A$4:A$85,0))*(1+'Paramètres'!$B$4*(C82-1)+'Paramètres'!$B$5*(C82-1)^2),0)</x:f>
        <x:v>33</x:v>
      </x:c>
      <x:c r="S82" t="n">
        <x:f>L82-AVERAGE(Q82:R82)</x:f>
        <x:v>-0.5</x:v>
      </x:c>
      <x:c r="T82" t="str">
        <x:f>IF(M82=0,IF(AND(N82=0,O82=0,E82=0,F82=0),"OK","ERREUR"),IF(AND(M82&gt;=1,M82&lt;=32,OR(N82=4,N82=6,N82=8,N82=10,N82=12,N82=20),O82&gt;=0,E82=M82+O82,F82=M82*N82+O82),"OK","ERREUR"))</x:f>
        <x:v>OK</x:v>
      </x:c>
      <x:c r="U82" s="86" t="n">
        <x:f>IF(M82&gt;0,M82*(N82+1)/2+O82,0)</x:f>
        <x:v>24</x:v>
      </x:c>
      <x:c r="V82" t="str">
        <x:f>IF(ABS(L82-U82)&lt;0.001,"OK","ERREUR")</x:f>
        <x:v>OK</x:v>
      </x:c>
    </x:row>
    <x:row r="83" ht="18" customHeight="1">
      <x:c r="A83" t="str">
        <x:v>ARM004</x:v>
      </x:c>
      <x:c r="B83" t="str">
        <x:v>Kriss</x:v>
      </x:c>
      <x:c r="C83" t="n">
        <x:v>20</x:v>
      </x:c>
      <x:c r="D83" t="str">
        <x:v>Légères</x:v>
      </x:c>
      <x:c r="E83" s="28" t="n">
        <x:f>IF(M83=0,0,M83+O83)</x:f>
        <x:v>18</x:v>
      </x:c>
      <x:c r="F83" s="28" t="n">
        <x:f>IF(M83=0,0,M83*N83+O83)</x:f>
        <x:v>36</x:v>
      </x:c>
      <x:c r="G83" s="28" t="n">
        <x:f>ROUND(Catalogue!G7*SQRT((1+'Paramètres'!$B$4*(C83-1)+'Paramètres'!$B$5*(C83-1)^2)),0)</x:f>
        <x:v>0</x:v>
      </x:c>
      <x:c r="H83" s="28" t="n">
        <x:f>ROUND(Catalogue!H7*SQRT((1+'Paramètres'!$B$4*(C83-1)+'Paramètres'!$B$5*(C83-1)^2)),0)</x:f>
        <x:v>0</x:v>
      </x:c>
      <x:c r="I83" s="28" t="n">
        <x:v>2</x:v>
      </x:c>
      <x:c r="J83" s="28" t="n">
        <x:v>1</x:v>
      </x:c>
      <x:c r="K83" s="30" t="n">
        <x:v>0.5</x:v>
      </x:c>
      <x:c r="L83" s="54" t="n">
        <x:f>IF(M83=0,0,(E83+F83)/2)</x:f>
        <x:v>27</x:v>
      </x:c>
      <x:c r="M83" t="n">
        <x:v>2</x:v>
      </x:c>
      <x:c r="N83" t="n">
        <x:v>10</x:v>
      </x:c>
      <x:c r="O83" t="n">
        <x:v>16</x:v>
      </x:c>
      <x:c r="P83" s="63" t="str">
        <x:f>IF(M83=0,"—",M83&amp;"d"&amp;N83&amp;IF(O83=0,""," + "&amp;O83))</x:f>
        <x:v>2d10 + 16</x:v>
      </x:c>
      <x:c r="Q83" t="n">
        <x:f>ROUND(INDEX(Catalogue!E$4:E$85,MATCH(A83,Catalogue!A$4:A$85,0))*(1+'Paramètres'!$B$4*(C83-1)+'Paramètres'!$B$5*(C83-1)^2),0)</x:f>
        <x:v>18</x:v>
      </x:c>
      <x:c r="R83" t="n">
        <x:f>ROUND(INDEX(Catalogue!F$4:F$85,MATCH(A83,Catalogue!A$4:A$85,0))*(1+'Paramètres'!$B$4*(C83-1)+'Paramètres'!$B$5*(C83-1)^2),0)</x:f>
        <x:v>35</x:v>
      </x:c>
      <x:c r="S83" t="n">
        <x:f>L83-AVERAGE(Q83:R83)</x:f>
        <x:v>0.5</x:v>
      </x:c>
      <x:c r="T83" t="str">
        <x:f>IF(M83=0,IF(AND(N83=0,O83=0,E83=0,F83=0),"OK","ERREUR"),IF(AND(M83&gt;=1,M83&lt;=32,OR(N83=4,N83=6,N83=8,N83=10,N83=12,N83=20),O83&gt;=0,E83=M83+O83,F83=M83*N83+O83),"OK","ERREUR"))</x:f>
        <x:v>OK</x:v>
      </x:c>
      <x:c r="U83" s="86" t="n">
        <x:f>IF(M83&gt;0,M83*(N83+1)/2+O83,0)</x:f>
        <x:v>27</x:v>
      </x:c>
      <x:c r="V83" t="str">
        <x:f>IF(ABS(L83-U83)&lt;0.001,"OK","ERREUR")</x:f>
        <x:v>OK</x:v>
      </x:c>
    </x:row>
    <x:row r="84" ht="18" customHeight="1">
      <x:c r="A84" t="str">
        <x:v>ARM005</x:v>
      </x:c>
      <x:c r="B84" t="str">
        <x:v>Couteau de chasse</x:v>
      </x:c>
      <x:c r="C84" t="n">
        <x:v>1</x:v>
      </x:c>
      <x:c r="D84" t="str">
        <x:v>Légères</x:v>
      </x:c>
      <x:c r="E84" s="28" t="n">
        <x:f>IF(M84=0,0,M84+O84)</x:f>
        <x:v>1</x:v>
      </x:c>
      <x:c r="F84" s="28" t="n">
        <x:f>IF(M84=0,0,M84*N84+O84)</x:f>
        <x:v>4</x:v>
      </x:c>
      <x:c r="G84" s="28" t="n">
        <x:f>ROUND(Catalogue!G8*SQRT((1+'Paramètres'!$B$4*(C84-1)+'Paramètres'!$B$5*(C84-1)^2)),0)</x:f>
        <x:v>0</x:v>
      </x:c>
      <x:c r="H84" s="28" t="n">
        <x:f>ROUND(Catalogue!H8*SQRT((1+'Paramètres'!$B$4*(C84-1)+'Paramètres'!$B$5*(C84-1)^2)),0)</x:f>
        <x:v>0</x:v>
      </x:c>
      <x:c r="I84" s="28" t="n">
        <x:v>2</x:v>
      </x:c>
      <x:c r="J84" s="28" t="n">
        <x:v>1</x:v>
      </x:c>
      <x:c r="K84" s="30" t="n">
        <x:v>0.5</x:v>
      </x:c>
      <x:c r="L84" s="54" t="n">
        <x:f>IF(M84=0,0,(E84+F84)/2)</x:f>
        <x:v>2.5</x:v>
      </x:c>
      <x:c r="M84" t="n">
        <x:v>1</x:v>
      </x:c>
      <x:c r="N84" t="n">
        <x:v>4</x:v>
      </x:c>
      <x:c r="O84" t="n">
        <x:v>0</x:v>
      </x:c>
      <x:c r="P84" s="63" t="str">
        <x:f>IF(M84=0,"—",M84&amp;"d"&amp;N84&amp;IF(O84=0,""," + "&amp;O84))</x:f>
        <x:v>1d4</x:v>
      </x:c>
      <x:c r="Q84" t="n">
        <x:f>ROUND(INDEX(Catalogue!E$4:E$85,MATCH(A84,Catalogue!A$4:A$85,0))*(1+'Paramètres'!$B$4*(C84-1)+'Paramètres'!$B$5*(C84-1)^2),0)</x:f>
        <x:v>2</x:v>
      </x:c>
      <x:c r="R84" t="n">
        <x:f>ROUND(INDEX(Catalogue!F$4:F$85,MATCH(A84,Catalogue!A$4:A$85,0))*(1+'Paramètres'!$B$4*(C84-1)+'Paramètres'!$B$5*(C84-1)^2),0)</x:f>
        <x:v>4</x:v>
      </x:c>
      <x:c r="S84" t="n">
        <x:f>L84-AVERAGE(Q84:R84)</x:f>
        <x:v>-0.5</x:v>
      </x:c>
      <x:c r="T84" t="str">
        <x:f>IF(M84=0,IF(AND(N84=0,O84=0,E84=0,F84=0),"OK","ERREUR"),IF(AND(M84&gt;=1,M84&lt;=32,OR(N84=4,N84=6,N84=8,N84=10,N84=12,N84=20),O84&gt;=0,E84=M84+O84,F84=M84*N84+O84),"OK","ERREUR"))</x:f>
        <x:v>OK</x:v>
      </x:c>
      <x:c r="U84" s="86" t="n">
        <x:f>IF(M84&gt;0,M84*(N84+1)/2+O84,0)</x:f>
        <x:v>2.5</x:v>
      </x:c>
      <x:c r="V84" t="str">
        <x:f>IF(ABS(L84-U84)&lt;0.001,"OK","ERREUR")</x:f>
        <x:v>OK</x:v>
      </x:c>
    </x:row>
    <x:row r="85" ht="18" customHeight="1">
      <x:c r="A85" t="str">
        <x:v>ARM005</x:v>
      </x:c>
      <x:c r="B85" t="str">
        <x:v>Couteau de chasse</x:v>
      </x:c>
      <x:c r="C85" t="n">
        <x:v>2</x:v>
      </x:c>
      <x:c r="D85" t="str">
        <x:v>Légères</x:v>
      </x:c>
      <x:c r="E85" s="28" t="n">
        <x:f>IF(M85=0,0,M85+O85)</x:f>
        <x:v>2</x:v>
      </x:c>
      <x:c r="F85" s="28" t="n">
        <x:f>IF(M85=0,0,M85*N85+O85)</x:f>
        <x:v>5</x:v>
      </x:c>
      <x:c r="G85" s="28" t="n">
        <x:f>ROUND(Catalogue!G8*SQRT((1+'Paramètres'!$B$4*(C85-1)+'Paramètres'!$B$5*(C85-1)^2)),0)</x:f>
        <x:v>0</x:v>
      </x:c>
      <x:c r="H85" s="28" t="n">
        <x:f>ROUND(Catalogue!H8*SQRT((1+'Paramètres'!$B$4*(C85-1)+'Paramètres'!$B$5*(C85-1)^2)),0)</x:f>
        <x:v>0</x:v>
      </x:c>
      <x:c r="I85" s="28" t="n">
        <x:v>2</x:v>
      </x:c>
      <x:c r="J85" s="28" t="n">
        <x:v>1</x:v>
      </x:c>
      <x:c r="K85" s="30" t="n">
        <x:v>0.5</x:v>
      </x:c>
      <x:c r="L85" s="54" t="n">
        <x:f>IF(M85=0,0,(E85+F85)/2)</x:f>
        <x:v>3.5</x:v>
      </x:c>
      <x:c r="M85" t="n">
        <x:v>1</x:v>
      </x:c>
      <x:c r="N85" t="n">
        <x:v>4</x:v>
      </x:c>
      <x:c r="O85" t="n">
        <x:v>1</x:v>
      </x:c>
      <x:c r="P85" s="63" t="str">
        <x:f>IF(M85=0,"—",M85&amp;"d"&amp;N85&amp;IF(O85=0,""," + "&amp;O85))</x:f>
        <x:v>1d4 + 1</x:v>
      </x:c>
      <x:c r="Q85" t="n">
        <x:f>ROUND(INDEX(Catalogue!E$4:E$85,MATCH(A85,Catalogue!A$4:A$85,0))*(1+'Paramètres'!$B$4*(C85-1)+'Paramètres'!$B$5*(C85-1)^2),0)</x:f>
        <x:v>2</x:v>
      </x:c>
      <x:c r="R85" t="n">
        <x:f>ROUND(INDEX(Catalogue!F$4:F$85,MATCH(A85,Catalogue!A$4:A$85,0))*(1+'Paramètres'!$B$4*(C85-1)+'Paramètres'!$B$5*(C85-1)^2),0)</x:f>
        <x:v>5</x:v>
      </x:c>
      <x:c r="S85" t="n">
        <x:f>L85-AVERAGE(Q85:R85)</x:f>
        <x:v>0</x:v>
      </x:c>
      <x:c r="T85" t="str">
        <x:f>IF(M85=0,IF(AND(N85=0,O85=0,E85=0,F85=0),"OK","ERREUR"),IF(AND(M85&gt;=1,M85&lt;=32,OR(N85=4,N85=6,N85=8,N85=10,N85=12,N85=20),O85&gt;=0,E85=M85+O85,F85=M85*N85+O85),"OK","ERREUR"))</x:f>
        <x:v>OK</x:v>
      </x:c>
      <x:c r="U85" s="86" t="n">
        <x:f>IF(M85&gt;0,M85*(N85+1)/2+O85,0)</x:f>
        <x:v>3.5</x:v>
      </x:c>
      <x:c r="V85" t="str">
        <x:f>IF(ABS(L85-U85)&lt;0.001,"OK","ERREUR")</x:f>
        <x:v>OK</x:v>
      </x:c>
    </x:row>
    <x:row r="86" ht="18" customHeight="1">
      <x:c r="A86" t="str">
        <x:v>ARM005</x:v>
      </x:c>
      <x:c r="B86" t="str">
        <x:v>Couteau de chasse</x:v>
      </x:c>
      <x:c r="C86" t="n">
        <x:v>3</x:v>
      </x:c>
      <x:c r="D86" t="str">
        <x:v>Légères</x:v>
      </x:c>
      <x:c r="E86" s="28" t="n">
        <x:f>IF(M86=0,0,M86+O86)</x:f>
        <x:v>2</x:v>
      </x:c>
      <x:c r="F86" s="28" t="n">
        <x:f>IF(M86=0,0,M86*N86+O86)</x:f>
        <x:v>5</x:v>
      </x:c>
      <x:c r="G86" s="28" t="n">
        <x:f>ROUND(Catalogue!G8*SQRT((1+'Paramètres'!$B$4*(C86-1)+'Paramètres'!$B$5*(C86-1)^2)),0)</x:f>
        <x:v>0</x:v>
      </x:c>
      <x:c r="H86" s="28" t="n">
        <x:f>ROUND(Catalogue!H8*SQRT((1+'Paramètres'!$B$4*(C86-1)+'Paramètres'!$B$5*(C86-1)^2)),0)</x:f>
        <x:v>0</x:v>
      </x:c>
      <x:c r="I86" s="28" t="n">
        <x:v>2</x:v>
      </x:c>
      <x:c r="J86" s="28" t="n">
        <x:v>1</x:v>
      </x:c>
      <x:c r="K86" s="30" t="n">
        <x:v>0.5</x:v>
      </x:c>
      <x:c r="L86" s="54" t="n">
        <x:f>IF(M86=0,0,(E86+F86)/2)</x:f>
        <x:v>3.5</x:v>
      </x:c>
      <x:c r="M86" t="n">
        <x:v>1</x:v>
      </x:c>
      <x:c r="N86" t="n">
        <x:v>4</x:v>
      </x:c>
      <x:c r="O86" t="n">
        <x:v>1</x:v>
      </x:c>
      <x:c r="P86" s="63" t="str">
        <x:f>IF(M86=0,"—",M86&amp;"d"&amp;N86&amp;IF(O86=0,""," + "&amp;O86))</x:f>
        <x:v>1d4 + 1</x:v>
      </x:c>
      <x:c r="Q86" t="n">
        <x:f>ROUND(INDEX(Catalogue!E$4:E$85,MATCH(A86,Catalogue!A$4:A$85,0))*(1+'Paramètres'!$B$4*(C86-1)+'Paramètres'!$B$5*(C86-1)^2),0)</x:f>
        <x:v>3</x:v>
      </x:c>
      <x:c r="R86" t="n">
        <x:f>ROUND(INDEX(Catalogue!F$4:F$85,MATCH(A86,Catalogue!A$4:A$85,0))*(1+'Paramètres'!$B$4*(C86-1)+'Paramètres'!$B$5*(C86-1)^2),0)</x:f>
        <x:v>5</x:v>
      </x:c>
      <x:c r="S86" t="n">
        <x:f>L86-AVERAGE(Q86:R86)</x:f>
        <x:v>-0.5</x:v>
      </x:c>
      <x:c r="T86" t="str">
        <x:f>IF(M86=0,IF(AND(N86=0,O86=0,E86=0,F86=0),"OK","ERREUR"),IF(AND(M86&gt;=1,M86&lt;=32,OR(N86=4,N86=6,N86=8,N86=10,N86=12,N86=20),O86&gt;=0,E86=M86+O86,F86=M86*N86+O86),"OK","ERREUR"))</x:f>
        <x:v>OK</x:v>
      </x:c>
      <x:c r="U86" s="86" t="n">
        <x:f>IF(M86&gt;0,M86*(N86+1)/2+O86,0)</x:f>
        <x:v>3.5</x:v>
      </x:c>
      <x:c r="V86" t="str">
        <x:f>IF(ABS(L86-U86)&lt;0.001,"OK","ERREUR")</x:f>
        <x:v>OK</x:v>
      </x:c>
    </x:row>
    <x:row r="87" ht="18" customHeight="1">
      <x:c r="A87" t="str">
        <x:v>ARM005</x:v>
      </x:c>
      <x:c r="B87" t="str">
        <x:v>Couteau de chasse</x:v>
      </x:c>
      <x:c r="C87" t="n">
        <x:v>4</x:v>
      </x:c>
      <x:c r="D87" t="str">
        <x:v>Légères</x:v>
      </x:c>
      <x:c r="E87" s="28" t="n">
        <x:f>IF(M87=0,0,M87+O87)</x:f>
        <x:v>3</x:v>
      </x:c>
      <x:c r="F87" s="28" t="n">
        <x:f>IF(M87=0,0,M87*N87+O87)</x:f>
        <x:v>6</x:v>
      </x:c>
      <x:c r="G87" s="28" t="n">
        <x:f>ROUND(Catalogue!G8*SQRT((1+'Paramètres'!$B$4*(C87-1)+'Paramètres'!$B$5*(C87-1)^2)),0)</x:f>
        <x:v>0</x:v>
      </x:c>
      <x:c r="H87" s="28" t="n">
        <x:f>ROUND(Catalogue!H8*SQRT((1+'Paramètres'!$B$4*(C87-1)+'Paramètres'!$B$5*(C87-1)^2)),0)</x:f>
        <x:v>0</x:v>
      </x:c>
      <x:c r="I87" s="28" t="n">
        <x:v>2</x:v>
      </x:c>
      <x:c r="J87" s="28" t="n">
        <x:v>1</x:v>
      </x:c>
      <x:c r="K87" s="30" t="n">
        <x:v>0.5</x:v>
      </x:c>
      <x:c r="L87" s="54" t="n">
        <x:f>IF(M87=0,0,(E87+F87)/2)</x:f>
        <x:v>4.5</x:v>
      </x:c>
      <x:c r="M87" t="n">
        <x:v>1</x:v>
      </x:c>
      <x:c r="N87" t="n">
        <x:v>4</x:v>
      </x:c>
      <x:c r="O87" t="n">
        <x:v>2</x:v>
      </x:c>
      <x:c r="P87" s="63" t="str">
        <x:f>IF(M87=0,"—",M87&amp;"d"&amp;N87&amp;IF(O87=0,""," + "&amp;O87))</x:f>
        <x:v>1d4 + 2</x:v>
      </x:c>
      <x:c r="Q87" t="n">
        <x:f>ROUND(INDEX(Catalogue!E$4:E$85,MATCH(A87,Catalogue!A$4:A$85,0))*(1+'Paramètres'!$B$4*(C87-1)+'Paramètres'!$B$5*(C87-1)^2),0)</x:f>
        <x:v>3</x:v>
      </x:c>
      <x:c r="R87" t="n">
        <x:f>ROUND(INDEX(Catalogue!F$4:F$85,MATCH(A87,Catalogue!A$4:A$85,0))*(1+'Paramètres'!$B$4*(C87-1)+'Paramètres'!$B$5*(C87-1)^2),0)</x:f>
        <x:v>6</x:v>
      </x:c>
      <x:c r="S87" t="n">
        <x:f>L87-AVERAGE(Q87:R87)</x:f>
        <x:v>0</x:v>
      </x:c>
      <x:c r="T87" t="str">
        <x:f>IF(M87=0,IF(AND(N87=0,O87=0,E87=0,F87=0),"OK","ERREUR"),IF(AND(M87&gt;=1,M87&lt;=32,OR(N87=4,N87=6,N87=8,N87=10,N87=12,N87=20),O87&gt;=0,E87=M87+O87,F87=M87*N87+O87),"OK","ERREUR"))</x:f>
        <x:v>OK</x:v>
      </x:c>
      <x:c r="U87" s="86" t="n">
        <x:f>IF(M87&gt;0,M87*(N87+1)/2+O87,0)</x:f>
        <x:v>4.5</x:v>
      </x:c>
      <x:c r="V87" t="str">
        <x:f>IF(ABS(L87-U87)&lt;0.001,"OK","ERREUR")</x:f>
        <x:v>OK</x:v>
      </x:c>
    </x:row>
    <x:row r="88" ht="18" customHeight="1">
      <x:c r="A88" t="str">
        <x:v>ARM005</x:v>
      </x:c>
      <x:c r="B88" t="str">
        <x:v>Couteau de chasse</x:v>
      </x:c>
      <x:c r="C88" t="n">
        <x:v>5</x:v>
      </x:c>
      <x:c r="D88" t="str">
        <x:v>Légères</x:v>
      </x:c>
      <x:c r="E88" s="28" t="n">
        <x:f>IF(M88=0,0,M88+O88)</x:f>
        <x:v>3</x:v>
      </x:c>
      <x:c r="F88" s="28" t="n">
        <x:f>IF(M88=0,0,M88*N88+O88)</x:f>
        <x:v>6</x:v>
      </x:c>
      <x:c r="G88" s="28" t="n">
        <x:f>ROUND(Catalogue!G8*SQRT((1+'Paramètres'!$B$4*(C88-1)+'Paramètres'!$B$5*(C88-1)^2)),0)</x:f>
        <x:v>0</x:v>
      </x:c>
      <x:c r="H88" s="28" t="n">
        <x:f>ROUND(Catalogue!H8*SQRT((1+'Paramètres'!$B$4*(C88-1)+'Paramètres'!$B$5*(C88-1)^2)),0)</x:f>
        <x:v>0</x:v>
      </x:c>
      <x:c r="I88" s="28" t="n">
        <x:v>2</x:v>
      </x:c>
      <x:c r="J88" s="28" t="n">
        <x:v>1</x:v>
      </x:c>
      <x:c r="K88" s="30" t="n">
        <x:v>0.5</x:v>
      </x:c>
      <x:c r="L88" s="54" t="n">
        <x:f>IF(M88=0,0,(E88+F88)/2)</x:f>
        <x:v>4.5</x:v>
      </x:c>
      <x:c r="M88" t="n">
        <x:v>1</x:v>
      </x:c>
      <x:c r="N88" t="n">
        <x:v>4</x:v>
      </x:c>
      <x:c r="O88" t="n">
        <x:v>2</x:v>
      </x:c>
      <x:c r="P88" s="63" t="str">
        <x:f>IF(M88=0,"—",M88&amp;"d"&amp;N88&amp;IF(O88=0,""," + "&amp;O88))</x:f>
        <x:v>1d4 + 2</x:v>
      </x:c>
      <x:c r="Q88" t="n">
        <x:f>ROUND(INDEX(Catalogue!E$4:E$85,MATCH(A88,Catalogue!A$4:A$85,0))*(1+'Paramètres'!$B$4*(C88-1)+'Paramètres'!$B$5*(C88-1)^2),0)</x:f>
        <x:v>3</x:v>
      </x:c>
      <x:c r="R88" t="n">
        <x:f>ROUND(INDEX(Catalogue!F$4:F$85,MATCH(A88,Catalogue!A$4:A$85,0))*(1+'Paramètres'!$B$4*(C88-1)+'Paramètres'!$B$5*(C88-1)^2),0)</x:f>
        <x:v>7</x:v>
      </x:c>
      <x:c r="S88" t="n">
        <x:f>L88-AVERAGE(Q88:R88)</x:f>
        <x:v>-0.5</x:v>
      </x:c>
      <x:c r="T88" t="str">
        <x:f>IF(M88=0,IF(AND(N88=0,O88=0,E88=0,F88=0),"OK","ERREUR"),IF(AND(M88&gt;=1,M88&lt;=32,OR(N88=4,N88=6,N88=8,N88=10,N88=12,N88=20),O88&gt;=0,E88=M88+O88,F88=M88*N88+O88),"OK","ERREUR"))</x:f>
        <x:v>OK</x:v>
      </x:c>
      <x:c r="U88" s="86" t="n">
        <x:f>IF(M88&gt;0,M88*(N88+1)/2+O88,0)</x:f>
        <x:v>4.5</x:v>
      </x:c>
      <x:c r="V88" t="str">
        <x:f>IF(ABS(L88-U88)&lt;0.001,"OK","ERREUR")</x:f>
        <x:v>OK</x:v>
      </x:c>
    </x:row>
    <x:row r="89" ht="18" customHeight="1">
      <x:c r="A89" t="str">
        <x:v>ARM005</x:v>
      </x:c>
      <x:c r="B89" t="str">
        <x:v>Couteau de chasse</x:v>
      </x:c>
      <x:c r="C89" t="n">
        <x:v>6</x:v>
      </x:c>
      <x:c r="D89" t="str">
        <x:v>Légères</x:v>
      </x:c>
      <x:c r="E89" s="28" t="n">
        <x:f>IF(M89=0,0,M89+O89)</x:f>
        <x:v>4</x:v>
      </x:c>
      <x:c r="F89" s="28" t="n">
        <x:f>IF(M89=0,0,M89*N89+O89)</x:f>
        <x:v>7</x:v>
      </x:c>
      <x:c r="G89" s="28" t="n">
        <x:f>ROUND(Catalogue!G8*SQRT((1+'Paramètres'!$B$4*(C89-1)+'Paramètres'!$B$5*(C89-1)^2)),0)</x:f>
        <x:v>0</x:v>
      </x:c>
      <x:c r="H89" s="28" t="n">
        <x:f>ROUND(Catalogue!H8*SQRT((1+'Paramètres'!$B$4*(C89-1)+'Paramètres'!$B$5*(C89-1)^2)),0)</x:f>
        <x:v>0</x:v>
      </x:c>
      <x:c r="I89" s="28" t="n">
        <x:v>2</x:v>
      </x:c>
      <x:c r="J89" s="28" t="n">
        <x:v>1</x:v>
      </x:c>
      <x:c r="K89" s="30" t="n">
        <x:v>0.5</x:v>
      </x:c>
      <x:c r="L89" s="54" t="n">
        <x:f>IF(M89=0,0,(E89+F89)/2)</x:f>
        <x:v>5.5</x:v>
      </x:c>
      <x:c r="M89" t="n">
        <x:v>1</x:v>
      </x:c>
      <x:c r="N89" t="n">
        <x:v>4</x:v>
      </x:c>
      <x:c r="O89" t="n">
        <x:v>3</x:v>
      </x:c>
      <x:c r="P89" s="63" t="str">
        <x:f>IF(M89=0,"—",M89&amp;"d"&amp;N89&amp;IF(O89=0,""," + "&amp;O89))</x:f>
        <x:v>1d4 + 3</x:v>
      </x:c>
      <x:c r="Q89" t="n">
        <x:f>ROUND(INDEX(Catalogue!E$4:E$85,MATCH(A89,Catalogue!A$4:A$85,0))*(1+'Paramètres'!$B$4*(C89-1)+'Paramètres'!$B$5*(C89-1)^2),0)</x:f>
        <x:v>4</x:v>
      </x:c>
      <x:c r="R89" t="n">
        <x:f>ROUND(INDEX(Catalogue!F$4:F$85,MATCH(A89,Catalogue!A$4:A$85,0))*(1+'Paramètres'!$B$4*(C89-1)+'Paramètres'!$B$5*(C89-1)^2),0)</x:f>
        <x:v>8</x:v>
      </x:c>
      <x:c r="S89" t="n">
        <x:f>L89-AVERAGE(Q89:R89)</x:f>
        <x:v>-0.5</x:v>
      </x:c>
      <x:c r="T89" t="str">
        <x:f>IF(M89=0,IF(AND(N89=0,O89=0,E89=0,F89=0),"OK","ERREUR"),IF(AND(M89&gt;=1,M89&lt;=32,OR(N89=4,N89=6,N89=8,N89=10,N89=12,N89=20),O89&gt;=0,E89=M89+O89,F89=M89*N89+O89),"OK","ERREUR"))</x:f>
        <x:v>OK</x:v>
      </x:c>
      <x:c r="U89" s="86" t="n">
        <x:f>IF(M89&gt;0,M89*(N89+1)/2+O89,0)</x:f>
        <x:v>5.5</x:v>
      </x:c>
      <x:c r="V89" t="str">
        <x:f>IF(ABS(L89-U89)&lt;0.001,"OK","ERREUR")</x:f>
        <x:v>OK</x:v>
      </x:c>
    </x:row>
    <x:row r="90" ht="18" customHeight="1">
      <x:c r="A90" t="str">
        <x:v>ARM005</x:v>
      </x:c>
      <x:c r="B90" t="str">
        <x:v>Couteau de chasse</x:v>
      </x:c>
      <x:c r="C90" t="n">
        <x:v>7</x:v>
      </x:c>
      <x:c r="D90" t="str">
        <x:v>Légères</x:v>
      </x:c>
      <x:c r="E90" s="28" t="n">
        <x:f>IF(M90=0,0,M90+O90)</x:f>
        <x:v>4</x:v>
      </x:c>
      <x:c r="F90" s="28" t="n">
        <x:f>IF(M90=0,0,M90*N90+O90)</x:f>
        <x:v>9</x:v>
      </x:c>
      <x:c r="G90" s="28" t="n">
        <x:f>ROUND(Catalogue!G8*SQRT((1+'Paramètres'!$B$4*(C90-1)+'Paramètres'!$B$5*(C90-1)^2)),0)</x:f>
        <x:v>0</x:v>
      </x:c>
      <x:c r="H90" s="28" t="n">
        <x:f>ROUND(Catalogue!H8*SQRT((1+'Paramètres'!$B$4*(C90-1)+'Paramètres'!$B$5*(C90-1)^2)),0)</x:f>
        <x:v>0</x:v>
      </x:c>
      <x:c r="I90" s="28" t="n">
        <x:v>2</x:v>
      </x:c>
      <x:c r="J90" s="28" t="n">
        <x:v>1</x:v>
      </x:c>
      <x:c r="K90" s="30" t="n">
        <x:v>0.5</x:v>
      </x:c>
      <x:c r="L90" s="54" t="n">
        <x:f>IF(M90=0,0,(E90+F90)/2)</x:f>
        <x:v>6.5</x:v>
      </x:c>
      <x:c r="M90" t="n">
        <x:v>1</x:v>
      </x:c>
      <x:c r="N90" t="n">
        <x:v>6</x:v>
      </x:c>
      <x:c r="O90" t="n">
        <x:v>3</x:v>
      </x:c>
      <x:c r="P90" s="63" t="str">
        <x:f>IF(M90=0,"—",M90&amp;"d"&amp;N90&amp;IF(O90=0,""," + "&amp;O90))</x:f>
        <x:v>1d6 + 3</x:v>
      </x:c>
      <x:c r="Q90" t="n">
        <x:f>ROUND(INDEX(Catalogue!E$4:E$85,MATCH(A90,Catalogue!A$4:A$85,0))*(1+'Paramètres'!$B$4*(C90-1)+'Paramètres'!$B$5*(C90-1)^2),0)</x:f>
        <x:v>4</x:v>
      </x:c>
      <x:c r="R90" t="n">
        <x:f>ROUND(INDEX(Catalogue!F$4:F$85,MATCH(A90,Catalogue!A$4:A$85,0))*(1+'Paramètres'!$B$4*(C90-1)+'Paramètres'!$B$5*(C90-1)^2),0)</x:f>
        <x:v>9</x:v>
      </x:c>
      <x:c r="S90" t="n">
        <x:f>L90-AVERAGE(Q90:R90)</x:f>
        <x:v>0</x:v>
      </x:c>
      <x:c r="T90" t="str">
        <x:f>IF(M90=0,IF(AND(N90=0,O90=0,E90=0,F90=0),"OK","ERREUR"),IF(AND(M90&gt;=1,M90&lt;=32,OR(N90=4,N90=6,N90=8,N90=10,N90=12,N90=20),O90&gt;=0,E90=M90+O90,F90=M90*N90+O90),"OK","ERREUR"))</x:f>
        <x:v>OK</x:v>
      </x:c>
      <x:c r="U90" s="86" t="n">
        <x:f>IF(M90&gt;0,M90*(N90+1)/2+O90,0)</x:f>
        <x:v>6.5</x:v>
      </x:c>
      <x:c r="V90" t="str">
        <x:f>IF(ABS(L90-U90)&lt;0.001,"OK","ERREUR")</x:f>
        <x:v>OK</x:v>
      </x:c>
    </x:row>
    <x:row r="91" ht="18" customHeight="1">
      <x:c r="A91" t="str">
        <x:v>ARM005</x:v>
      </x:c>
      <x:c r="B91" t="str">
        <x:v>Couteau de chasse</x:v>
      </x:c>
      <x:c r="C91" t="n">
        <x:v>8</x:v>
      </x:c>
      <x:c r="D91" t="str">
        <x:v>Légères</x:v>
      </x:c>
      <x:c r="E91" s="28" t="n">
        <x:f>IF(M91=0,0,M91+O91)</x:f>
        <x:v>5</x:v>
      </x:c>
      <x:c r="F91" s="28" t="n">
        <x:f>IF(M91=0,0,M91*N91+O91)</x:f>
        <x:v>10</x:v>
      </x:c>
      <x:c r="G91" s="28" t="n">
        <x:f>ROUND(Catalogue!G8*SQRT((1+'Paramètres'!$B$4*(C91-1)+'Paramètres'!$B$5*(C91-1)^2)),0)</x:f>
        <x:v>0</x:v>
      </x:c>
      <x:c r="H91" s="28" t="n">
        <x:f>ROUND(Catalogue!H8*SQRT((1+'Paramètres'!$B$4*(C91-1)+'Paramètres'!$B$5*(C91-1)^2)),0)</x:f>
        <x:v>0</x:v>
      </x:c>
      <x:c r="I91" s="28" t="n">
        <x:v>2</x:v>
      </x:c>
      <x:c r="J91" s="28" t="n">
        <x:v>1</x:v>
      </x:c>
      <x:c r="K91" s="30" t="n">
        <x:v>0.5</x:v>
      </x:c>
      <x:c r="L91" s="54" t="n">
        <x:f>IF(M91=0,0,(E91+F91)/2)</x:f>
        <x:v>7.5</x:v>
      </x:c>
      <x:c r="M91" t="n">
        <x:v>1</x:v>
      </x:c>
      <x:c r="N91" t="n">
        <x:v>6</x:v>
      </x:c>
      <x:c r="O91" t="n">
        <x:v>4</x:v>
      </x:c>
      <x:c r="P91" s="63" t="str">
        <x:f>IF(M91=0,"—",M91&amp;"d"&amp;N91&amp;IF(O91=0,""," + "&amp;O91))</x:f>
        <x:v>1d6 + 4</x:v>
      </x:c>
      <x:c r="Q91" t="n">
        <x:f>ROUND(INDEX(Catalogue!E$4:E$85,MATCH(A91,Catalogue!A$4:A$85,0))*(1+'Paramètres'!$B$4*(C91-1)+'Paramètres'!$B$5*(C91-1)^2),0)</x:f>
        <x:v>5</x:v>
      </x:c>
      <x:c r="R91" t="n">
        <x:f>ROUND(INDEX(Catalogue!F$4:F$85,MATCH(A91,Catalogue!A$4:A$85,0))*(1+'Paramètres'!$B$4*(C91-1)+'Paramètres'!$B$5*(C91-1)^2),0)</x:f>
        <x:v>10</x:v>
      </x:c>
      <x:c r="S91" t="n">
        <x:f>L91-AVERAGE(Q91:R91)</x:f>
        <x:v>0</x:v>
      </x:c>
      <x:c r="T91" t="str">
        <x:f>IF(M91=0,IF(AND(N91=0,O91=0,E91=0,F91=0),"OK","ERREUR"),IF(AND(M91&gt;=1,M91&lt;=32,OR(N91=4,N91=6,N91=8,N91=10,N91=12,N91=20),O91&gt;=0,E91=M91+O91,F91=M91*N91+O91),"OK","ERREUR"))</x:f>
        <x:v>OK</x:v>
      </x:c>
      <x:c r="U91" s="86" t="n">
        <x:f>IF(M91&gt;0,M91*(N91+1)/2+O91,0)</x:f>
        <x:v>7.5</x:v>
      </x:c>
      <x:c r="V91" t="str">
        <x:f>IF(ABS(L91-U91)&lt;0.001,"OK","ERREUR")</x:f>
        <x:v>OK</x:v>
      </x:c>
    </x:row>
    <x:row r="92" ht="18" customHeight="1">
      <x:c r="A92" t="str">
        <x:v>ARM005</x:v>
      </x:c>
      <x:c r="B92" t="str">
        <x:v>Couteau de chasse</x:v>
      </x:c>
      <x:c r="C92" t="n">
        <x:v>9</x:v>
      </x:c>
      <x:c r="D92" t="str">
        <x:v>Légères</x:v>
      </x:c>
      <x:c r="E92" s="28" t="n">
        <x:f>IF(M92=0,0,M92+O92)</x:f>
        <x:v>6</x:v>
      </x:c>
      <x:c r="F92" s="28" t="n">
        <x:f>IF(M92=0,0,M92*N92+O92)</x:f>
        <x:v>12</x:v>
      </x:c>
      <x:c r="G92" s="28" t="n">
        <x:f>ROUND(Catalogue!G8*SQRT((1+'Paramètres'!$B$4*(C92-1)+'Paramètres'!$B$5*(C92-1)^2)),0)</x:f>
        <x:v>0</x:v>
      </x:c>
      <x:c r="H92" s="28" t="n">
        <x:f>ROUND(Catalogue!H8*SQRT((1+'Paramètres'!$B$4*(C92-1)+'Paramètres'!$B$5*(C92-1)^2)),0)</x:f>
        <x:v>0</x:v>
      </x:c>
      <x:c r="I92" s="28" t="n">
        <x:v>2</x:v>
      </x:c>
      <x:c r="J92" s="28" t="n">
        <x:v>1</x:v>
      </x:c>
      <x:c r="K92" s="30" t="n">
        <x:v>0.5</x:v>
      </x:c>
      <x:c r="L92" s="54" t="n">
        <x:f>IF(M92=0,0,(E92+F92)/2)</x:f>
        <x:v>9</x:v>
      </x:c>
      <x:c r="M92" t="n">
        <x:v>2</x:v>
      </x:c>
      <x:c r="N92" t="n">
        <x:v>4</x:v>
      </x:c>
      <x:c r="O92" t="n">
        <x:v>4</x:v>
      </x:c>
      <x:c r="P92" s="63" t="str">
        <x:f>IF(M92=0,"—",M92&amp;"d"&amp;N92&amp;IF(O92=0,""," + "&amp;O92))</x:f>
        <x:v>2d4 + 4</x:v>
      </x:c>
      <x:c r="Q92" t="n">
        <x:f>ROUND(INDEX(Catalogue!E$4:E$85,MATCH(A92,Catalogue!A$4:A$85,0))*(1+'Paramètres'!$B$4*(C92-1)+'Paramètres'!$B$5*(C92-1)^2),0)</x:f>
        <x:v>6</x:v>
      </x:c>
      <x:c r="R92" t="n">
        <x:f>ROUND(INDEX(Catalogue!F$4:F$85,MATCH(A92,Catalogue!A$4:A$85,0))*(1+'Paramètres'!$B$4*(C92-1)+'Paramètres'!$B$5*(C92-1)^2),0)</x:f>
        <x:v>12</x:v>
      </x:c>
      <x:c r="S92" t="n">
        <x:f>L92-AVERAGE(Q92:R92)</x:f>
        <x:v>0</x:v>
      </x:c>
      <x:c r="T92" t="str">
        <x:f>IF(M92=0,IF(AND(N92=0,O92=0,E92=0,F92=0),"OK","ERREUR"),IF(AND(M92&gt;=1,M92&lt;=32,OR(N92=4,N92=6,N92=8,N92=10,N92=12,N92=20),O92&gt;=0,E92=M92+O92,F92=M92*N92+O92),"OK","ERREUR"))</x:f>
        <x:v>OK</x:v>
      </x:c>
      <x:c r="U92" s="86" t="n">
        <x:f>IF(M92&gt;0,M92*(N92+1)/2+O92,0)</x:f>
        <x:v>9</x:v>
      </x:c>
      <x:c r="V92" t="str">
        <x:f>IF(ABS(L92-U92)&lt;0.001,"OK","ERREUR")</x:f>
        <x:v>OK</x:v>
      </x:c>
    </x:row>
    <x:row r="93" ht="18" customHeight="1">
      <x:c r="A93" t="str">
        <x:v>ARM005</x:v>
      </x:c>
      <x:c r="B93" t="str">
        <x:v>Couteau de chasse</x:v>
      </x:c>
      <x:c r="C93" t="n">
        <x:v>10</x:v>
      </x:c>
      <x:c r="D93" t="str">
        <x:v>Légères</x:v>
      </x:c>
      <x:c r="E93" s="28" t="n">
        <x:f>IF(M93=0,0,M93+O93)</x:f>
        <x:v>7</x:v>
      </x:c>
      <x:c r="F93" s="28" t="n">
        <x:f>IF(M93=0,0,M93*N93+O93)</x:f>
        <x:v>13</x:v>
      </x:c>
      <x:c r="G93" s="28" t="n">
        <x:f>ROUND(Catalogue!G8*SQRT((1+'Paramètres'!$B$4*(C93-1)+'Paramètres'!$B$5*(C93-1)^2)),0)</x:f>
        <x:v>0</x:v>
      </x:c>
      <x:c r="H93" s="28" t="n">
        <x:f>ROUND(Catalogue!H8*SQRT((1+'Paramètres'!$B$4*(C93-1)+'Paramètres'!$B$5*(C93-1)^2)),0)</x:f>
        <x:v>0</x:v>
      </x:c>
      <x:c r="I93" s="28" t="n">
        <x:v>2</x:v>
      </x:c>
      <x:c r="J93" s="28" t="n">
        <x:v>1</x:v>
      </x:c>
      <x:c r="K93" s="30" t="n">
        <x:v>0.5</x:v>
      </x:c>
      <x:c r="L93" s="54" t="n">
        <x:f>IF(M93=0,0,(E93+F93)/2)</x:f>
        <x:v>10</x:v>
      </x:c>
      <x:c r="M93" t="n">
        <x:v>2</x:v>
      </x:c>
      <x:c r="N93" t="n">
        <x:v>4</x:v>
      </x:c>
      <x:c r="O93" t="n">
        <x:v>5</x:v>
      </x:c>
      <x:c r="P93" s="63" t="str">
        <x:f>IF(M93=0,"—",M93&amp;"d"&amp;N93&amp;IF(O93=0,""," + "&amp;O93))</x:f>
        <x:v>2d4 + 5</x:v>
      </x:c>
      <x:c r="Q93" t="n">
        <x:f>ROUND(INDEX(Catalogue!E$4:E$85,MATCH(A93,Catalogue!A$4:A$85,0))*(1+'Paramètres'!$B$4*(C93-1)+'Paramètres'!$B$5*(C93-1)^2),0)</x:f>
        <x:v>7</x:v>
      </x:c>
      <x:c r="R93" t="n">
        <x:f>ROUND(INDEX(Catalogue!F$4:F$85,MATCH(A93,Catalogue!A$4:A$85,0))*(1+'Paramètres'!$B$4*(C93-1)+'Paramètres'!$B$5*(C93-1)^2),0)</x:f>
        <x:v>13</x:v>
      </x:c>
      <x:c r="S93" t="n">
        <x:f>L93-AVERAGE(Q93:R93)</x:f>
        <x:v>0</x:v>
      </x:c>
      <x:c r="T93" t="str">
        <x:f>IF(M93=0,IF(AND(N93=0,O93=0,E93=0,F93=0),"OK","ERREUR"),IF(AND(M93&gt;=1,M93&lt;=32,OR(N93=4,N93=6,N93=8,N93=10,N93=12,N93=20),O93&gt;=0,E93=M93+O93,F93=M93*N93+O93),"OK","ERREUR"))</x:f>
        <x:v>OK</x:v>
      </x:c>
      <x:c r="U93" s="86" t="n">
        <x:f>IF(M93&gt;0,M93*(N93+1)/2+O93,0)</x:f>
        <x:v>10</x:v>
      </x:c>
      <x:c r="V93" t="str">
        <x:f>IF(ABS(L93-U93)&lt;0.001,"OK","ERREUR")</x:f>
        <x:v>OK</x:v>
      </x:c>
    </x:row>
    <x:row r="94" ht="18" customHeight="1">
      <x:c r="A94" t="str">
        <x:v>ARM005</x:v>
      </x:c>
      <x:c r="B94" t="str">
        <x:v>Couteau de chasse</x:v>
      </x:c>
      <x:c r="C94" t="n">
        <x:v>11</x:v>
      </x:c>
      <x:c r="D94" t="str">
        <x:v>Légères</x:v>
      </x:c>
      <x:c r="E94" s="28" t="n">
        <x:f>IF(M94=0,0,M94+O94)</x:f>
        <x:v>6</x:v>
      </x:c>
      <x:c r="F94" s="28" t="n">
        <x:f>IF(M94=0,0,M94*N94+O94)</x:f>
        <x:v>15</x:v>
      </x:c>
      <x:c r="G94" s="28" t="n">
        <x:f>ROUND(Catalogue!G8*SQRT((1+'Paramètres'!$B$4*(C94-1)+'Paramètres'!$B$5*(C94-1)^2)),0)</x:f>
        <x:v>0</x:v>
      </x:c>
      <x:c r="H94" s="28" t="n">
        <x:f>ROUND(Catalogue!H8*SQRT((1+'Paramètres'!$B$4*(C94-1)+'Paramètres'!$B$5*(C94-1)^2)),0)</x:f>
        <x:v>0</x:v>
      </x:c>
      <x:c r="I94" s="28" t="n">
        <x:v>2</x:v>
      </x:c>
      <x:c r="J94" s="28" t="n">
        <x:v>1</x:v>
      </x:c>
      <x:c r="K94" s="30" t="n">
        <x:v>0.5</x:v>
      </x:c>
      <x:c r="L94" s="54" t="n">
        <x:f>IF(M94=0,0,(E94+F94)/2)</x:f>
        <x:v>10.5</x:v>
      </x:c>
      <x:c r="M94" t="n">
        <x:v>3</x:v>
      </x:c>
      <x:c r="N94" t="n">
        <x:v>4</x:v>
      </x:c>
      <x:c r="O94" t="n">
        <x:v>3</x:v>
      </x:c>
      <x:c r="P94" s="63" t="str">
        <x:f>IF(M94=0,"—",M94&amp;"d"&amp;N94&amp;IF(O94=0,""," + "&amp;O94))</x:f>
        <x:v>3d4 + 3</x:v>
      </x:c>
      <x:c r="Q94" t="n">
        <x:f>ROUND(INDEX(Catalogue!E$4:E$85,MATCH(A94,Catalogue!A$4:A$85,0))*(1+'Paramètres'!$B$4*(C94-1)+'Paramètres'!$B$5*(C94-1)^2),0)</x:f>
        <x:v>7</x:v>
      </x:c>
      <x:c r="R94" t="n">
        <x:f>ROUND(INDEX(Catalogue!F$4:F$85,MATCH(A94,Catalogue!A$4:A$85,0))*(1+'Paramètres'!$B$4*(C94-1)+'Paramètres'!$B$5*(C94-1)^2),0)</x:f>
        <x:v>15</x:v>
      </x:c>
      <x:c r="S94" t="n">
        <x:f>L94-AVERAGE(Q94:R94)</x:f>
        <x:v>-0.5</x:v>
      </x:c>
      <x:c r="T94" t="str">
        <x:f>IF(M94=0,IF(AND(N94=0,O94=0,E94=0,F94=0),"OK","ERREUR"),IF(AND(M94&gt;=1,M94&lt;=32,OR(N94=4,N94=6,N94=8,N94=10,N94=12,N94=20),O94&gt;=0,E94=M94+O94,F94=M94*N94+O94),"OK","ERREUR"))</x:f>
        <x:v>OK</x:v>
      </x:c>
      <x:c r="U94" s="86" t="n">
        <x:f>IF(M94&gt;0,M94*(N94+1)/2+O94,0)</x:f>
        <x:v>10.5</x:v>
      </x:c>
      <x:c r="V94" t="str">
        <x:f>IF(ABS(L94-U94)&lt;0.001,"OK","ERREUR")</x:f>
        <x:v>OK</x:v>
      </x:c>
    </x:row>
    <x:row r="95" ht="18" customHeight="1">
      <x:c r="A95" t="str">
        <x:v>ARM005</x:v>
      </x:c>
      <x:c r="B95" t="str">
        <x:v>Couteau de chasse</x:v>
      </x:c>
      <x:c r="C95" t="n">
        <x:v>12</x:v>
      </x:c>
      <x:c r="D95" t="str">
        <x:v>Légères</x:v>
      </x:c>
      <x:c r="E95" s="28" t="n">
        <x:f>IF(M95=0,0,M95+O95)</x:f>
        <x:v>8</x:v>
      </x:c>
      <x:c r="F95" s="28" t="n">
        <x:f>IF(M95=0,0,M95*N95+O95)</x:f>
        <x:v>17</x:v>
      </x:c>
      <x:c r="G95" s="28" t="n">
        <x:f>ROUND(Catalogue!G8*SQRT((1+'Paramètres'!$B$4*(C95-1)+'Paramètres'!$B$5*(C95-1)^2)),0)</x:f>
        <x:v>0</x:v>
      </x:c>
      <x:c r="H95" s="28" t="n">
        <x:f>ROUND(Catalogue!H8*SQRT((1+'Paramètres'!$B$4*(C95-1)+'Paramètres'!$B$5*(C95-1)^2)),0)</x:f>
        <x:v>0</x:v>
      </x:c>
      <x:c r="I95" s="28" t="n">
        <x:v>2</x:v>
      </x:c>
      <x:c r="J95" s="28" t="n">
        <x:v>1</x:v>
      </x:c>
      <x:c r="K95" s="30" t="n">
        <x:v>0.5</x:v>
      </x:c>
      <x:c r="L95" s="54" t="n">
        <x:f>IF(M95=0,0,(E95+F95)/2)</x:f>
        <x:v>12.5</x:v>
      </x:c>
      <x:c r="M95" t="n">
        <x:v>3</x:v>
      </x:c>
      <x:c r="N95" t="n">
        <x:v>4</x:v>
      </x:c>
      <x:c r="O95" t="n">
        <x:v>5</x:v>
      </x:c>
      <x:c r="P95" s="63" t="str">
        <x:f>IF(M95=0,"—",M95&amp;"d"&amp;N95&amp;IF(O95=0,""," + "&amp;O95))</x:f>
        <x:v>3d4 + 5</x:v>
      </x:c>
      <x:c r="Q95" t="n">
        <x:f>ROUND(INDEX(Catalogue!E$4:E$85,MATCH(A95,Catalogue!A$4:A$85,0))*(1+'Paramètres'!$B$4*(C95-1)+'Paramètres'!$B$5*(C95-1)^2),0)</x:f>
        <x:v>8</x:v>
      </x:c>
      <x:c r="R95" t="n">
        <x:f>ROUND(INDEX(Catalogue!F$4:F$85,MATCH(A95,Catalogue!A$4:A$85,0))*(1+'Paramètres'!$B$4*(C95-1)+'Paramètres'!$B$5*(C95-1)^2),0)</x:f>
        <x:v>17</x:v>
      </x:c>
      <x:c r="S95" t="n">
        <x:f>L95-AVERAGE(Q95:R95)</x:f>
        <x:v>0</x:v>
      </x:c>
      <x:c r="T95" t="str">
        <x:f>IF(M95=0,IF(AND(N95=0,O95=0,E95=0,F95=0),"OK","ERREUR"),IF(AND(M95&gt;=1,M95&lt;=32,OR(N95=4,N95=6,N95=8,N95=10,N95=12,N95=20),O95&gt;=0,E95=M95+O95,F95=M95*N95+O95),"OK","ERREUR"))</x:f>
        <x:v>OK</x:v>
      </x:c>
      <x:c r="U95" s="86" t="n">
        <x:f>IF(M95&gt;0,M95*(N95+1)/2+O95,0)</x:f>
        <x:v>12.5</x:v>
      </x:c>
      <x:c r="V95" t="str">
        <x:f>IF(ABS(L95-U95)&lt;0.001,"OK","ERREUR")</x:f>
        <x:v>OK</x:v>
      </x:c>
    </x:row>
    <x:row r="96" ht="18" customHeight="1">
      <x:c r="A96" t="str">
        <x:v>ARM005</x:v>
      </x:c>
      <x:c r="B96" t="str">
        <x:v>Couteau de chasse</x:v>
      </x:c>
      <x:c r="C96" t="n">
        <x:v>13</x:v>
      </x:c>
      <x:c r="D96" t="str">
        <x:v>Légères</x:v>
      </x:c>
      <x:c r="E96" s="28" t="n">
        <x:f>IF(M96=0,0,M96+O96)</x:f>
        <x:v>9</x:v>
      </x:c>
      <x:c r="F96" s="28" t="n">
        <x:f>IF(M96=0,0,M96*N96+O96)</x:f>
        <x:v>18</x:v>
      </x:c>
      <x:c r="G96" s="28" t="n">
        <x:f>ROUND(Catalogue!G8*SQRT((1+'Paramètres'!$B$4*(C96-1)+'Paramètres'!$B$5*(C96-1)^2)),0)</x:f>
        <x:v>0</x:v>
      </x:c>
      <x:c r="H96" s="28" t="n">
        <x:f>ROUND(Catalogue!H8*SQRT((1+'Paramètres'!$B$4*(C96-1)+'Paramètres'!$B$5*(C96-1)^2)),0)</x:f>
        <x:v>0</x:v>
      </x:c>
      <x:c r="I96" s="28" t="n">
        <x:v>2</x:v>
      </x:c>
      <x:c r="J96" s="28" t="n">
        <x:v>1</x:v>
      </x:c>
      <x:c r="K96" s="30" t="n">
        <x:v>0.5</x:v>
      </x:c>
      <x:c r="L96" s="54" t="n">
        <x:f>IF(M96=0,0,(E96+F96)/2)</x:f>
        <x:v>13.5</x:v>
      </x:c>
      <x:c r="M96" t="n">
        <x:v>3</x:v>
      </x:c>
      <x:c r="N96" t="n">
        <x:v>4</x:v>
      </x:c>
      <x:c r="O96" t="n">
        <x:v>6</x:v>
      </x:c>
      <x:c r="P96" s="63" t="str">
        <x:f>IF(M96=0,"—",M96&amp;"d"&amp;N96&amp;IF(O96=0,""," + "&amp;O96))</x:f>
        <x:v>3d4 + 6</x:v>
      </x:c>
      <x:c r="Q96" t="n">
        <x:f>ROUND(INDEX(Catalogue!E$4:E$85,MATCH(A96,Catalogue!A$4:A$85,0))*(1+'Paramètres'!$B$4*(C96-1)+'Paramètres'!$B$5*(C96-1)^2),0)</x:f>
        <x:v>9</x:v>
      </x:c>
      <x:c r="R96" t="n">
        <x:f>ROUND(INDEX(Catalogue!F$4:F$85,MATCH(A96,Catalogue!A$4:A$85,0))*(1+'Paramètres'!$B$4*(C96-1)+'Paramètres'!$B$5*(C96-1)^2),0)</x:f>
        <x:v>18</x:v>
      </x:c>
      <x:c r="S96" t="n">
        <x:f>L96-AVERAGE(Q96:R96)</x:f>
        <x:v>0</x:v>
      </x:c>
      <x:c r="T96" t="str">
        <x:f>IF(M96=0,IF(AND(N96=0,O96=0,E96=0,F96=0),"OK","ERREUR"),IF(AND(M96&gt;=1,M96&lt;=32,OR(N96=4,N96=6,N96=8,N96=10,N96=12,N96=20),O96&gt;=0,E96=M96+O96,F96=M96*N96+O96),"OK","ERREUR"))</x:f>
        <x:v>OK</x:v>
      </x:c>
      <x:c r="U96" s="86" t="n">
        <x:f>IF(M96&gt;0,M96*(N96+1)/2+O96,0)</x:f>
        <x:v>13.5</x:v>
      </x:c>
      <x:c r="V96" t="str">
        <x:f>IF(ABS(L96-U96)&lt;0.001,"OK","ERREUR")</x:f>
        <x:v>OK</x:v>
      </x:c>
    </x:row>
    <x:row r="97" ht="18" customHeight="1">
      <x:c r="A97" t="str">
        <x:v>ARM005</x:v>
      </x:c>
      <x:c r="B97" t="str">
        <x:v>Couteau de chasse</x:v>
      </x:c>
      <x:c r="C97" t="n">
        <x:v>14</x:v>
      </x:c>
      <x:c r="D97" t="str">
        <x:v>Légères</x:v>
      </x:c>
      <x:c r="E97" s="28" t="n">
        <x:f>IF(M97=0,0,M97+O97)</x:f>
        <x:v>10</x:v>
      </x:c>
      <x:c r="F97" s="28" t="n">
        <x:f>IF(M97=0,0,M97*N97+O97)</x:f>
        <x:v>20</x:v>
      </x:c>
      <x:c r="G97" s="28" t="n">
        <x:f>ROUND(Catalogue!G8*SQRT((1+'Paramètres'!$B$4*(C97-1)+'Paramètres'!$B$5*(C97-1)^2)),0)</x:f>
        <x:v>0</x:v>
      </x:c>
      <x:c r="H97" s="28" t="n">
        <x:f>ROUND(Catalogue!H8*SQRT((1+'Paramètres'!$B$4*(C97-1)+'Paramètres'!$B$5*(C97-1)^2)),0)</x:f>
        <x:v>0</x:v>
      </x:c>
      <x:c r="I97" s="28" t="n">
        <x:v>2</x:v>
      </x:c>
      <x:c r="J97" s="28" t="n">
        <x:v>1</x:v>
      </x:c>
      <x:c r="K97" s="30" t="n">
        <x:v>0.5</x:v>
      </x:c>
      <x:c r="L97" s="54" t="n">
        <x:f>IF(M97=0,0,(E97+F97)/2)</x:f>
        <x:v>15</x:v>
      </x:c>
      <x:c r="M97" t="n">
        <x:v>2</x:v>
      </x:c>
      <x:c r="N97" t="n">
        <x:v>6</x:v>
      </x:c>
      <x:c r="O97" t="n">
        <x:v>8</x:v>
      </x:c>
      <x:c r="P97" s="63" t="str">
        <x:f>IF(M97=0,"—",M97&amp;"d"&amp;N97&amp;IF(O97=0,""," + "&amp;O97))</x:f>
        <x:v>2d6 + 8</x:v>
      </x:c>
      <x:c r="Q97" t="n">
        <x:f>ROUND(INDEX(Catalogue!E$4:E$85,MATCH(A97,Catalogue!A$4:A$85,0))*(1+'Paramètres'!$B$4*(C97-1)+'Paramètres'!$B$5*(C97-1)^2),0)</x:f>
        <x:v>10</x:v>
      </x:c>
      <x:c r="R97" t="n">
        <x:f>ROUND(INDEX(Catalogue!F$4:F$85,MATCH(A97,Catalogue!A$4:A$85,0))*(1+'Paramètres'!$B$4*(C97-1)+'Paramètres'!$B$5*(C97-1)^2),0)</x:f>
        <x:v>21</x:v>
      </x:c>
      <x:c r="S97" t="n">
        <x:f>L97-AVERAGE(Q97:R97)</x:f>
        <x:v>-0.5</x:v>
      </x:c>
      <x:c r="T97" t="str">
        <x:f>IF(M97=0,IF(AND(N97=0,O97=0,E97=0,F97=0),"OK","ERREUR"),IF(AND(M97&gt;=1,M97&lt;=32,OR(N97=4,N97=6,N97=8,N97=10,N97=12,N97=20),O97&gt;=0,E97=M97+O97,F97=M97*N97+O97),"OK","ERREUR"))</x:f>
        <x:v>OK</x:v>
      </x:c>
      <x:c r="U97" s="86" t="n">
        <x:f>IF(M97&gt;0,M97*(N97+1)/2+O97,0)</x:f>
        <x:v>15</x:v>
      </x:c>
      <x:c r="V97" t="str">
        <x:f>IF(ABS(L97-U97)&lt;0.001,"OK","ERREUR")</x:f>
        <x:v>OK</x:v>
      </x:c>
    </x:row>
    <x:row r="98" ht="18" customHeight="1">
      <x:c r="A98" t="str">
        <x:v>ARM005</x:v>
      </x:c>
      <x:c r="B98" t="str">
        <x:v>Couteau de chasse</x:v>
      </x:c>
      <x:c r="C98" t="n">
        <x:v>15</x:v>
      </x:c>
      <x:c r="D98" t="str">
        <x:v>Légères</x:v>
      </x:c>
      <x:c r="E98" s="28" t="n">
        <x:f>IF(M98=0,0,M98+O98)</x:f>
        <x:v>11</x:v>
      </x:c>
      <x:c r="F98" s="28" t="n">
        <x:f>IF(M98=0,0,M98*N98+O98)</x:f>
        <x:v>23</x:v>
      </x:c>
      <x:c r="G98" s="28" t="n">
        <x:f>ROUND(Catalogue!G8*SQRT((1+'Paramètres'!$B$4*(C98-1)+'Paramètres'!$B$5*(C98-1)^2)),0)</x:f>
        <x:v>0</x:v>
      </x:c>
      <x:c r="H98" s="28" t="n">
        <x:f>ROUND(Catalogue!H8*SQRT((1+'Paramètres'!$B$4*(C98-1)+'Paramètres'!$B$5*(C98-1)^2)),0)</x:f>
        <x:v>0</x:v>
      </x:c>
      <x:c r="I98" s="28" t="n">
        <x:v>2</x:v>
      </x:c>
      <x:c r="J98" s="28" t="n">
        <x:v>1</x:v>
      </x:c>
      <x:c r="K98" s="30" t="n">
        <x:v>0.5</x:v>
      </x:c>
      <x:c r="L98" s="54" t="n">
        <x:f>IF(M98=0,0,(E98+F98)/2)</x:f>
        <x:v>17</x:v>
      </x:c>
      <x:c r="M98" t="n">
        <x:v>4</x:v>
      </x:c>
      <x:c r="N98" t="n">
        <x:v>4</x:v>
      </x:c>
      <x:c r="O98" t="n">
        <x:v>7</x:v>
      </x:c>
      <x:c r="P98" s="63" t="str">
        <x:f>IF(M98=0,"—",M98&amp;"d"&amp;N98&amp;IF(O98=0,""," + "&amp;O98))</x:f>
        <x:v>4d4 + 7</x:v>
      </x:c>
      <x:c r="Q98" t="n">
        <x:f>ROUND(INDEX(Catalogue!E$4:E$85,MATCH(A98,Catalogue!A$4:A$85,0))*(1+'Paramètres'!$B$4*(C98-1)+'Paramètres'!$B$5*(C98-1)^2),0)</x:f>
        <x:v>11</x:v>
      </x:c>
      <x:c r="R98" t="n">
        <x:f>ROUND(INDEX(Catalogue!F$4:F$85,MATCH(A98,Catalogue!A$4:A$85,0))*(1+'Paramètres'!$B$4*(C98-1)+'Paramètres'!$B$5*(C98-1)^2),0)</x:f>
        <x:v>23</x:v>
      </x:c>
      <x:c r="S98" t="n">
        <x:f>L98-AVERAGE(Q98:R98)</x:f>
        <x:v>0</x:v>
      </x:c>
      <x:c r="T98" t="str">
        <x:f>IF(M98=0,IF(AND(N98=0,O98=0,E98=0,F98=0),"OK","ERREUR"),IF(AND(M98&gt;=1,M98&lt;=32,OR(N98=4,N98=6,N98=8,N98=10,N98=12,N98=20),O98&gt;=0,E98=M98+O98,F98=M98*N98+O98),"OK","ERREUR"))</x:f>
        <x:v>OK</x:v>
      </x:c>
      <x:c r="U98" s="86" t="n">
        <x:f>IF(M98&gt;0,M98*(N98+1)/2+O98,0)</x:f>
        <x:v>17</x:v>
      </x:c>
      <x:c r="V98" t="str">
        <x:f>IF(ABS(L98-U98)&lt;0.001,"OK","ERREUR")</x:f>
        <x:v>OK</x:v>
      </x:c>
    </x:row>
    <x:row r="99" ht="18" customHeight="1">
      <x:c r="A99" t="str">
        <x:v>ARM005</x:v>
      </x:c>
      <x:c r="B99" t="str">
        <x:v>Couteau de chasse</x:v>
      </x:c>
      <x:c r="C99" t="n">
        <x:v>16</x:v>
      </x:c>
      <x:c r="D99" t="str">
        <x:v>Légères</x:v>
      </x:c>
      <x:c r="E99" s="28" t="n">
        <x:f>IF(M99=0,0,M99+O99)</x:f>
        <x:v>13</x:v>
      </x:c>
      <x:c r="F99" s="28" t="n">
        <x:f>IF(M99=0,0,M99*N99+O99)</x:f>
        <x:v>25</x:v>
      </x:c>
      <x:c r="G99" s="28" t="n">
        <x:f>ROUND(Catalogue!G8*SQRT((1+'Paramètres'!$B$4*(C99-1)+'Paramètres'!$B$5*(C99-1)^2)),0)</x:f>
        <x:v>0</x:v>
      </x:c>
      <x:c r="H99" s="28" t="n">
        <x:f>ROUND(Catalogue!H8*SQRT((1+'Paramètres'!$B$4*(C99-1)+'Paramètres'!$B$5*(C99-1)^2)),0)</x:f>
        <x:v>0</x:v>
      </x:c>
      <x:c r="I99" s="28" t="n">
        <x:v>2</x:v>
      </x:c>
      <x:c r="J99" s="28" t="n">
        <x:v>1</x:v>
      </x:c>
      <x:c r="K99" s="30" t="n">
        <x:v>0.5</x:v>
      </x:c>
      <x:c r="L99" s="54" t="n">
        <x:f>IF(M99=0,0,(E99+F99)/2)</x:f>
        <x:v>19</x:v>
      </x:c>
      <x:c r="M99" t="n">
        <x:v>4</x:v>
      </x:c>
      <x:c r="N99" t="n">
        <x:v>4</x:v>
      </x:c>
      <x:c r="O99" t="n">
        <x:v>9</x:v>
      </x:c>
      <x:c r="P99" s="63" t="str">
        <x:f>IF(M99=0,"—",M99&amp;"d"&amp;N99&amp;IF(O99=0,""," + "&amp;O99))</x:f>
        <x:v>4d4 + 9</x:v>
      </x:c>
      <x:c r="Q99" t="n">
        <x:f>ROUND(INDEX(Catalogue!E$4:E$85,MATCH(A99,Catalogue!A$4:A$85,0))*(1+'Paramètres'!$B$4*(C99-1)+'Paramètres'!$B$5*(C99-1)^2),0)</x:f>
        <x:v>13</x:v>
      </x:c>
      <x:c r="R99" t="n">
        <x:f>ROUND(INDEX(Catalogue!F$4:F$85,MATCH(A99,Catalogue!A$4:A$85,0))*(1+'Paramètres'!$B$4*(C99-1)+'Paramètres'!$B$5*(C99-1)^2),0)</x:f>
        <x:v>25</x:v>
      </x:c>
      <x:c r="S99" t="n">
        <x:f>L99-AVERAGE(Q99:R99)</x:f>
        <x:v>0</x:v>
      </x:c>
      <x:c r="T99" t="str">
        <x:f>IF(M99=0,IF(AND(N99=0,O99=0,E99=0,F99=0),"OK","ERREUR"),IF(AND(M99&gt;=1,M99&lt;=32,OR(N99=4,N99=6,N99=8,N99=10,N99=12,N99=20),O99&gt;=0,E99=M99+O99,F99=M99*N99+O99),"OK","ERREUR"))</x:f>
        <x:v>OK</x:v>
      </x:c>
      <x:c r="U99" s="86" t="n">
        <x:f>IF(M99&gt;0,M99*(N99+1)/2+O99,0)</x:f>
        <x:v>19</x:v>
      </x:c>
      <x:c r="V99" t="str">
        <x:f>IF(ABS(L99-U99)&lt;0.001,"OK","ERREUR")</x:f>
        <x:v>OK</x:v>
      </x:c>
    </x:row>
    <x:row r="100" ht="18" customHeight="1">
      <x:c r="A100" t="str">
        <x:v>ARM005</x:v>
      </x:c>
      <x:c r="B100" t="str">
        <x:v>Couteau de chasse</x:v>
      </x:c>
      <x:c r="C100" t="n">
        <x:v>17</x:v>
      </x:c>
      <x:c r="D100" t="str">
        <x:v>Légères</x:v>
      </x:c>
      <x:c r="E100" s="28" t="n">
        <x:f>IF(M100=0,0,M100+O100)</x:f>
        <x:v>13</x:v>
      </x:c>
      <x:c r="F100" s="28" t="n">
        <x:f>IF(M100=0,0,M100*N100+O100)</x:f>
        <x:v>27</x:v>
      </x:c>
      <x:c r="G100" s="28" t="n">
        <x:f>ROUND(Catalogue!G8*SQRT((1+'Paramètres'!$B$4*(C100-1)+'Paramètres'!$B$5*(C100-1)^2)),0)</x:f>
        <x:v>0</x:v>
      </x:c>
      <x:c r="H100" s="28" t="n">
        <x:f>ROUND(Catalogue!H8*SQRT((1+'Paramètres'!$B$4*(C100-1)+'Paramètres'!$B$5*(C100-1)^2)),0)</x:f>
        <x:v>0</x:v>
      </x:c>
      <x:c r="I100" s="28" t="n">
        <x:v>2</x:v>
      </x:c>
      <x:c r="J100" s="28" t="n">
        <x:v>1</x:v>
      </x:c>
      <x:c r="K100" s="30" t="n">
        <x:v>0.5</x:v>
      </x:c>
      <x:c r="L100" s="54" t="n">
        <x:f>IF(M100=0,0,(E100+F100)/2)</x:f>
        <x:v>20</x:v>
      </x:c>
      <x:c r="M100" t="n">
        <x:v>2</x:v>
      </x:c>
      <x:c r="N100" t="n">
        <x:v>8</x:v>
      </x:c>
      <x:c r="O100" t="n">
        <x:v>11</x:v>
      </x:c>
      <x:c r="P100" s="63" t="str">
        <x:f>IF(M100=0,"—",M100&amp;"d"&amp;N100&amp;IF(O100=0,""," + "&amp;O100))</x:f>
        <x:v>2d8 + 11</x:v>
      </x:c>
      <x:c r="Q100" t="n">
        <x:f>ROUND(INDEX(Catalogue!E$4:E$85,MATCH(A100,Catalogue!A$4:A$85,0))*(1+'Paramètres'!$B$4*(C100-1)+'Paramètres'!$B$5*(C100-1)^2),0)</x:f>
        <x:v>14</x:v>
      </x:c>
      <x:c r="R100" t="n">
        <x:f>ROUND(INDEX(Catalogue!F$4:F$85,MATCH(A100,Catalogue!A$4:A$85,0))*(1+'Paramètres'!$B$4*(C100-1)+'Paramètres'!$B$5*(C100-1)^2),0)</x:f>
        <x:v>27</x:v>
      </x:c>
      <x:c r="S100" t="n">
        <x:f>L100-AVERAGE(Q100:R100)</x:f>
        <x:v>-0.5</x:v>
      </x:c>
      <x:c r="T100" t="str">
        <x:f>IF(M100=0,IF(AND(N100=0,O100=0,E100=0,F100=0),"OK","ERREUR"),IF(AND(M100&gt;=1,M100&lt;=32,OR(N100=4,N100=6,N100=8,N100=10,N100=12,N100=20),O100&gt;=0,E100=M100+O100,F100=M100*N100+O100),"OK","ERREUR"))</x:f>
        <x:v>OK</x:v>
      </x:c>
      <x:c r="U100" s="86" t="n">
        <x:f>IF(M100&gt;0,M100*(N100+1)/2+O100,0)</x:f>
        <x:v>20</x:v>
      </x:c>
      <x:c r="V100" t="str">
        <x:f>IF(ABS(L100-U100)&lt;0.001,"OK","ERREUR")</x:f>
        <x:v>OK</x:v>
      </x:c>
    </x:row>
    <x:row r="101" ht="18" customHeight="1">
      <x:c r="A101" t="str">
        <x:v>ARM005</x:v>
      </x:c>
      <x:c r="B101" t="str">
        <x:v>Couteau de chasse</x:v>
      </x:c>
      <x:c r="C101" t="n">
        <x:v>18</x:v>
      </x:c>
      <x:c r="D101" t="str">
        <x:v>Légères</x:v>
      </x:c>
      <x:c r="E101" s="28" t="n">
        <x:f>IF(M101=0,0,M101+O101)</x:f>
        <x:v>15</x:v>
      </x:c>
      <x:c r="F101" s="28" t="n">
        <x:f>IF(M101=0,0,M101*N101+O101)</x:f>
        <x:v>30</x:v>
      </x:c>
      <x:c r="G101" s="28" t="n">
        <x:f>ROUND(Catalogue!G8*SQRT((1+'Paramètres'!$B$4*(C101-1)+'Paramètres'!$B$5*(C101-1)^2)),0)</x:f>
        <x:v>0</x:v>
      </x:c>
      <x:c r="H101" s="28" t="n">
        <x:f>ROUND(Catalogue!H8*SQRT((1+'Paramètres'!$B$4*(C101-1)+'Paramètres'!$B$5*(C101-1)^2)),0)</x:f>
        <x:v>0</x:v>
      </x:c>
      <x:c r="I101" s="28" t="n">
        <x:v>2</x:v>
      </x:c>
      <x:c r="J101" s="28" t="n">
        <x:v>1</x:v>
      </x:c>
      <x:c r="K101" s="30" t="n">
        <x:v>0.5</x:v>
      </x:c>
      <x:c r="L101" s="54" t="n">
        <x:f>IF(M101=0,0,(E101+F101)/2)</x:f>
        <x:v>22.5</x:v>
      </x:c>
      <x:c r="M101" t="n">
        <x:v>3</x:v>
      </x:c>
      <x:c r="N101" t="n">
        <x:v>6</x:v>
      </x:c>
      <x:c r="O101" t="n">
        <x:v>12</x:v>
      </x:c>
      <x:c r="P101" s="63" t="str">
        <x:f>IF(M101=0,"—",M101&amp;"d"&amp;N101&amp;IF(O101=0,""," + "&amp;O101))</x:f>
        <x:v>3d6 + 12</x:v>
      </x:c>
      <x:c r="Q101" t="n">
        <x:f>ROUND(INDEX(Catalogue!E$4:E$85,MATCH(A101,Catalogue!A$4:A$85,0))*(1+'Paramètres'!$B$4*(C101-1)+'Paramètres'!$B$5*(C101-1)^2),0)</x:f>
        <x:v>15</x:v>
      </x:c>
      <x:c r="R101" t="n">
        <x:f>ROUND(INDEX(Catalogue!F$4:F$85,MATCH(A101,Catalogue!A$4:A$85,0))*(1+'Paramètres'!$B$4*(C101-1)+'Paramètres'!$B$5*(C101-1)^2),0)</x:f>
        <x:v>30</x:v>
      </x:c>
      <x:c r="S101" t="n">
        <x:f>L101-AVERAGE(Q101:R101)</x:f>
        <x:v>0</x:v>
      </x:c>
      <x:c r="T101" t="str">
        <x:f>IF(M101=0,IF(AND(N101=0,O101=0,E101=0,F101=0),"OK","ERREUR"),IF(AND(M101&gt;=1,M101&lt;=32,OR(N101=4,N101=6,N101=8,N101=10,N101=12,N101=20),O101&gt;=0,E101=M101+O101,F101=M101*N101+O101),"OK","ERREUR"))</x:f>
        <x:v>OK</x:v>
      </x:c>
      <x:c r="U101" s="86" t="n">
        <x:f>IF(M101&gt;0,M101*(N101+1)/2+O101,0)</x:f>
        <x:v>22.5</x:v>
      </x:c>
      <x:c r="V101" t="str">
        <x:f>IF(ABS(L101-U101)&lt;0.001,"OK","ERREUR")</x:f>
        <x:v>OK</x:v>
      </x:c>
    </x:row>
    <x:row r="102" ht="18" customHeight="1">
      <x:c r="A102" t="str">
        <x:v>ARM005</x:v>
      </x:c>
      <x:c r="B102" t="str">
        <x:v>Couteau de chasse</x:v>
      </x:c>
      <x:c r="C102" t="n">
        <x:v>19</x:v>
      </x:c>
      <x:c r="D102" t="str">
        <x:v>Légères</x:v>
      </x:c>
      <x:c r="E102" s="28" t="n">
        <x:f>IF(M102=0,0,M102+O102)</x:f>
        <x:v>15</x:v>
      </x:c>
      <x:c r="F102" s="28" t="n">
        <x:f>IF(M102=0,0,M102*N102+O102)</x:f>
        <x:v>33</x:v>
      </x:c>
      <x:c r="G102" s="28" t="n">
        <x:f>ROUND(Catalogue!G8*SQRT((1+'Paramètres'!$B$4*(C102-1)+'Paramètres'!$B$5*(C102-1)^2)),0)</x:f>
        <x:v>0</x:v>
      </x:c>
      <x:c r="H102" s="28" t="n">
        <x:f>ROUND(Catalogue!H8*SQRT((1+'Paramètres'!$B$4*(C102-1)+'Paramètres'!$B$5*(C102-1)^2)),0)</x:f>
        <x:v>0</x:v>
      </x:c>
      <x:c r="I102" s="28" t="n">
        <x:v>2</x:v>
      </x:c>
      <x:c r="J102" s="28" t="n">
        <x:v>1</x:v>
      </x:c>
      <x:c r="K102" s="30" t="n">
        <x:v>0.5</x:v>
      </x:c>
      <x:c r="L102" s="54" t="n">
        <x:f>IF(M102=0,0,(E102+F102)/2)</x:f>
        <x:v>24</x:v>
      </x:c>
      <x:c r="M102" t="n">
        <x:v>2</x:v>
      </x:c>
      <x:c r="N102" t="n">
        <x:v>10</x:v>
      </x:c>
      <x:c r="O102" t="n">
        <x:v>13</x:v>
      </x:c>
      <x:c r="P102" s="63" t="str">
        <x:f>IF(M102=0,"—",M102&amp;"d"&amp;N102&amp;IF(O102=0,""," + "&amp;O102))</x:f>
        <x:v>2d10 + 13</x:v>
      </x:c>
      <x:c r="Q102" t="n">
        <x:f>ROUND(INDEX(Catalogue!E$4:E$85,MATCH(A102,Catalogue!A$4:A$85,0))*(1+'Paramètres'!$B$4*(C102-1)+'Paramètres'!$B$5*(C102-1)^2),0)</x:f>
        <x:v>16</x:v>
      </x:c>
      <x:c r="R102" t="n">
        <x:f>ROUND(INDEX(Catalogue!F$4:F$85,MATCH(A102,Catalogue!A$4:A$85,0))*(1+'Paramètres'!$B$4*(C102-1)+'Paramètres'!$B$5*(C102-1)^2),0)</x:f>
        <x:v>33</x:v>
      </x:c>
      <x:c r="S102" t="n">
        <x:f>L102-AVERAGE(Q102:R102)</x:f>
        <x:v>-0.5</x:v>
      </x:c>
      <x:c r="T102" t="str">
        <x:f>IF(M102=0,IF(AND(N102=0,O102=0,E102=0,F102=0),"OK","ERREUR"),IF(AND(M102&gt;=1,M102&lt;=32,OR(N102=4,N102=6,N102=8,N102=10,N102=12,N102=20),O102&gt;=0,E102=M102+O102,F102=M102*N102+O102),"OK","ERREUR"))</x:f>
        <x:v>OK</x:v>
      </x:c>
      <x:c r="U102" s="86" t="n">
        <x:f>IF(M102&gt;0,M102*(N102+1)/2+O102,0)</x:f>
        <x:v>24</x:v>
      </x:c>
      <x:c r="V102" t="str">
        <x:f>IF(ABS(L102-U102)&lt;0.001,"OK","ERREUR")</x:f>
        <x:v>OK</x:v>
      </x:c>
    </x:row>
    <x:row r="103" ht="18" customHeight="1">
      <x:c r="A103" t="str">
        <x:v>ARM005</x:v>
      </x:c>
      <x:c r="B103" t="str">
        <x:v>Couteau de chasse</x:v>
      </x:c>
      <x:c r="C103" t="n">
        <x:v>20</x:v>
      </x:c>
      <x:c r="D103" t="str">
        <x:v>Légères</x:v>
      </x:c>
      <x:c r="E103" s="28" t="n">
        <x:f>IF(M103=0,0,M103+O103)</x:f>
        <x:v>18</x:v>
      </x:c>
      <x:c r="F103" s="28" t="n">
        <x:f>IF(M103=0,0,M103*N103+O103)</x:f>
        <x:v>36</x:v>
      </x:c>
      <x:c r="G103" s="28" t="n">
        <x:f>ROUND(Catalogue!G8*SQRT((1+'Paramètres'!$B$4*(C103-1)+'Paramètres'!$B$5*(C103-1)^2)),0)</x:f>
        <x:v>0</x:v>
      </x:c>
      <x:c r="H103" s="28" t="n">
        <x:f>ROUND(Catalogue!H8*SQRT((1+'Paramètres'!$B$4*(C103-1)+'Paramètres'!$B$5*(C103-1)^2)),0)</x:f>
        <x:v>0</x:v>
      </x:c>
      <x:c r="I103" s="28" t="n">
        <x:v>2</x:v>
      </x:c>
      <x:c r="J103" s="28" t="n">
        <x:v>1</x:v>
      </x:c>
      <x:c r="K103" s="30" t="n">
        <x:v>0.5</x:v>
      </x:c>
      <x:c r="L103" s="54" t="n">
        <x:f>IF(M103=0,0,(E103+F103)/2)</x:f>
        <x:v>27</x:v>
      </x:c>
      <x:c r="M103" t="n">
        <x:v>2</x:v>
      </x:c>
      <x:c r="N103" t="n">
        <x:v>10</x:v>
      </x:c>
      <x:c r="O103" t="n">
        <x:v>16</x:v>
      </x:c>
      <x:c r="P103" s="63" t="str">
        <x:f>IF(M103=0,"—",M103&amp;"d"&amp;N103&amp;IF(O103=0,""," + "&amp;O103))</x:f>
        <x:v>2d10 + 16</x:v>
      </x:c>
      <x:c r="Q103" t="n">
        <x:f>ROUND(INDEX(Catalogue!E$4:E$85,MATCH(A103,Catalogue!A$4:A$85,0))*(1+'Paramètres'!$B$4*(C103-1)+'Paramètres'!$B$5*(C103-1)^2),0)</x:f>
        <x:v>18</x:v>
      </x:c>
      <x:c r="R103" t="n">
        <x:f>ROUND(INDEX(Catalogue!F$4:F$85,MATCH(A103,Catalogue!A$4:A$85,0))*(1+'Paramètres'!$B$4*(C103-1)+'Paramètres'!$B$5*(C103-1)^2),0)</x:f>
        <x:v>35</x:v>
      </x:c>
      <x:c r="S103" t="n">
        <x:f>L103-AVERAGE(Q103:R103)</x:f>
        <x:v>0.5</x:v>
      </x:c>
      <x:c r="T103" t="str">
        <x:f>IF(M103=0,IF(AND(N103=0,O103=0,E103=0,F103=0),"OK","ERREUR"),IF(AND(M103&gt;=1,M103&lt;=32,OR(N103=4,N103=6,N103=8,N103=10,N103=12,N103=20),O103&gt;=0,E103=M103+O103,F103=M103*N103+O103),"OK","ERREUR"))</x:f>
        <x:v>OK</x:v>
      </x:c>
      <x:c r="U103" s="86" t="n">
        <x:f>IF(M103&gt;0,M103*(N103+1)/2+O103,0)</x:f>
        <x:v>27</x:v>
      </x:c>
      <x:c r="V103" t="str">
        <x:f>IF(ABS(L103-U103)&lt;0.001,"OK","ERREUR")</x:f>
        <x:v>OK</x:v>
      </x:c>
    </x:row>
    <x:row r="104" ht="18" customHeight="1">
      <x:c r="A104" t="str">
        <x:v>ARM006</x:v>
      </x:c>
      <x:c r="B104" t="str">
        <x:v>Épée courte</x:v>
      </x:c>
      <x:c r="C104" t="n">
        <x:v>1</x:v>
      </x:c>
      <x:c r="D104" t="str">
        <x:v>Légères</x:v>
      </x:c>
      <x:c r="E104" s="28" t="n">
        <x:f>IF(M104=0,0,M104+O104)</x:f>
        <x:v>2</x:v>
      </x:c>
      <x:c r="F104" s="28" t="n">
        <x:f>IF(M104=0,0,M104*N104+O104)</x:f>
        <x:v>5</x:v>
      </x:c>
      <x:c r="G104" s="28" t="n">
        <x:f>ROUND(Catalogue!G9*SQRT((1+'Paramètres'!$B$4*(C104-1)+'Paramètres'!$B$5*(C104-1)^2)),0)</x:f>
        <x:v>0</x:v>
      </x:c>
      <x:c r="H104" s="28" t="n">
        <x:f>ROUND(Catalogue!H9*SQRT((1+'Paramètres'!$B$4*(C104-1)+'Paramètres'!$B$5*(C104-1)^2)),0)</x:f>
        <x:v>0</x:v>
      </x:c>
      <x:c r="I104" s="28" t="n">
        <x:v>2</x:v>
      </x:c>
      <x:c r="J104" s="28" t="n">
        <x:v>1</x:v>
      </x:c>
      <x:c r="K104" s="30" t="n">
        <x:v>1</x:v>
      </x:c>
      <x:c r="L104" s="54" t="n">
        <x:f>IF(M104=0,0,(E104+F104)/2)</x:f>
        <x:v>3.5</x:v>
      </x:c>
      <x:c r="M104" t="n">
        <x:v>1</x:v>
      </x:c>
      <x:c r="N104" t="n">
        <x:v>4</x:v>
      </x:c>
      <x:c r="O104" t="n">
        <x:v>1</x:v>
      </x:c>
      <x:c r="P104" s="63" t="str">
        <x:f>IF(M104=0,"—",M104&amp;"d"&amp;N104&amp;IF(O104=0,""," + "&amp;O104))</x:f>
        <x:v>1d4 + 1</x:v>
      </x:c>
      <x:c r="Q104" t="n">
        <x:f>ROUND(INDEX(Catalogue!E$4:E$85,MATCH(A104,Catalogue!A$4:A$85,0))*(1+'Paramètres'!$B$4*(C104-1)+'Paramètres'!$B$5*(C104-1)^2),0)</x:f>
        <x:v>3</x:v>
      </x:c>
      <x:c r="R104" t="n">
        <x:f>ROUND(INDEX(Catalogue!F$4:F$85,MATCH(A104,Catalogue!A$4:A$85,0))*(1+'Paramètres'!$B$4*(C104-1)+'Paramètres'!$B$5*(C104-1)^2),0)</x:f>
        <x:v>5</x:v>
      </x:c>
      <x:c r="S104" t="n">
        <x:f>L104-AVERAGE(Q104:R104)</x:f>
        <x:v>-0.5</x:v>
      </x:c>
      <x:c r="T104" t="str">
        <x:f>IF(M104=0,IF(AND(N104=0,O104=0,E104=0,F104=0),"OK","ERREUR"),IF(AND(M104&gt;=1,M104&lt;=32,OR(N104=4,N104=6,N104=8,N104=10,N104=12,N104=20),O104&gt;=0,E104=M104+O104,F104=M104*N104+O104),"OK","ERREUR"))</x:f>
        <x:v>OK</x:v>
      </x:c>
      <x:c r="U104" s="86" t="n">
        <x:f>IF(M104&gt;0,M104*(N104+1)/2+O104,0)</x:f>
        <x:v>3.5</x:v>
      </x:c>
      <x:c r="V104" t="str">
        <x:f>IF(ABS(L104-U104)&lt;0.001,"OK","ERREUR")</x:f>
        <x:v>OK</x:v>
      </x:c>
    </x:row>
    <x:row r="105" ht="18" customHeight="1">
      <x:c r="A105" t="str">
        <x:v>ARM006</x:v>
      </x:c>
      <x:c r="B105" t="str">
        <x:v>Épée courte</x:v>
      </x:c>
      <x:c r="C105" t="n">
        <x:v>2</x:v>
      </x:c>
      <x:c r="D105" t="str">
        <x:v>Légères</x:v>
      </x:c>
      <x:c r="E105" s="28" t="n">
        <x:f>IF(M105=0,0,M105+O105)</x:f>
        <x:v>3</x:v>
      </x:c>
      <x:c r="F105" s="28" t="n">
        <x:f>IF(M105=0,0,M105*N105+O105)</x:f>
        <x:v>6</x:v>
      </x:c>
      <x:c r="G105" s="28" t="n">
        <x:f>ROUND(Catalogue!G9*SQRT((1+'Paramètres'!$B$4*(C105-1)+'Paramètres'!$B$5*(C105-1)^2)),0)</x:f>
        <x:v>0</x:v>
      </x:c>
      <x:c r="H105" s="28" t="n">
        <x:f>ROUND(Catalogue!H9*SQRT((1+'Paramètres'!$B$4*(C105-1)+'Paramètres'!$B$5*(C105-1)^2)),0)</x:f>
        <x:v>0</x:v>
      </x:c>
      <x:c r="I105" s="28" t="n">
        <x:v>2</x:v>
      </x:c>
      <x:c r="J105" s="28" t="n">
        <x:v>1</x:v>
      </x:c>
      <x:c r="K105" s="30" t="n">
        <x:v>1</x:v>
      </x:c>
      <x:c r="L105" s="54" t="n">
        <x:f>IF(M105=0,0,(E105+F105)/2)</x:f>
        <x:v>4.5</x:v>
      </x:c>
      <x:c r="M105" t="n">
        <x:v>1</x:v>
      </x:c>
      <x:c r="N105" t="n">
        <x:v>4</x:v>
      </x:c>
      <x:c r="O105" t="n">
        <x:v>2</x:v>
      </x:c>
      <x:c r="P105" s="63" t="str">
        <x:f>IF(M105=0,"—",M105&amp;"d"&amp;N105&amp;IF(O105=0,""," + "&amp;O105))</x:f>
        <x:v>1d4 + 2</x:v>
      </x:c>
      <x:c r="Q105" t="n">
        <x:f>ROUND(INDEX(Catalogue!E$4:E$85,MATCH(A105,Catalogue!A$4:A$85,0))*(1+'Paramètres'!$B$4*(C105-1)+'Paramètres'!$B$5*(C105-1)^2),0)</x:f>
        <x:v>3</x:v>
      </x:c>
      <x:c r="R105" t="n">
        <x:f>ROUND(INDEX(Catalogue!F$4:F$85,MATCH(A105,Catalogue!A$4:A$85,0))*(1+'Paramètres'!$B$4*(C105-1)+'Paramètres'!$B$5*(C105-1)^2),0)</x:f>
        <x:v>6</x:v>
      </x:c>
      <x:c r="S105" t="n">
        <x:f>L105-AVERAGE(Q105:R105)</x:f>
        <x:v>0</x:v>
      </x:c>
      <x:c r="T105" t="str">
        <x:f>IF(M105=0,IF(AND(N105=0,O105=0,E105=0,F105=0),"OK","ERREUR"),IF(AND(M105&gt;=1,M105&lt;=32,OR(N105=4,N105=6,N105=8,N105=10,N105=12,N105=20),O105&gt;=0,E105=M105+O105,F105=M105*N105+O105),"OK","ERREUR"))</x:f>
        <x:v>OK</x:v>
      </x:c>
      <x:c r="U105" s="86" t="n">
        <x:f>IF(M105&gt;0,M105*(N105+1)/2+O105,0)</x:f>
        <x:v>4.5</x:v>
      </x:c>
      <x:c r="V105" t="str">
        <x:f>IF(ABS(L105-U105)&lt;0.001,"OK","ERREUR")</x:f>
        <x:v>OK</x:v>
      </x:c>
    </x:row>
    <x:row r="106" ht="18" customHeight="1">
      <x:c r="A106" t="str">
        <x:v>ARM006</x:v>
      </x:c>
      <x:c r="B106" t="str">
        <x:v>Épée courte</x:v>
      </x:c>
      <x:c r="C106" t="n">
        <x:v>3</x:v>
      </x:c>
      <x:c r="D106" t="str">
        <x:v>Légères</x:v>
      </x:c>
      <x:c r="E106" s="28" t="n">
        <x:f>IF(M106=0,0,M106+O106)</x:f>
        <x:v>3</x:v>
      </x:c>
      <x:c r="F106" s="28" t="n">
        <x:f>IF(M106=0,0,M106*N106+O106)</x:f>
        <x:v>6</x:v>
      </x:c>
      <x:c r="G106" s="28" t="n">
        <x:f>ROUND(Catalogue!G9*SQRT((1+'Paramètres'!$B$4*(C106-1)+'Paramètres'!$B$5*(C106-1)^2)),0)</x:f>
        <x:v>0</x:v>
      </x:c>
      <x:c r="H106" s="28" t="n">
        <x:f>ROUND(Catalogue!H9*SQRT((1+'Paramètres'!$B$4*(C106-1)+'Paramètres'!$B$5*(C106-1)^2)),0)</x:f>
        <x:v>0</x:v>
      </x:c>
      <x:c r="I106" s="28" t="n">
        <x:v>2</x:v>
      </x:c>
      <x:c r="J106" s="28" t="n">
        <x:v>1</x:v>
      </x:c>
      <x:c r="K106" s="30" t="n">
        <x:v>1</x:v>
      </x:c>
      <x:c r="L106" s="54" t="n">
        <x:f>IF(M106=0,0,(E106+F106)/2)</x:f>
        <x:v>4.5</x:v>
      </x:c>
      <x:c r="M106" t="n">
        <x:v>1</x:v>
      </x:c>
      <x:c r="N106" t="n">
        <x:v>4</x:v>
      </x:c>
      <x:c r="O106" t="n">
        <x:v>2</x:v>
      </x:c>
      <x:c r="P106" s="63" t="str">
        <x:f>IF(M106=0,"—",M106&amp;"d"&amp;N106&amp;IF(O106=0,""," + "&amp;O106))</x:f>
        <x:v>1d4 + 2</x:v>
      </x:c>
      <x:c r="Q106" t="n">
        <x:f>ROUND(INDEX(Catalogue!E$4:E$85,MATCH(A106,Catalogue!A$4:A$85,0))*(1+'Paramètres'!$B$4*(C106-1)+'Paramètres'!$B$5*(C106-1)^2),0)</x:f>
        <x:v>4</x:v>
      </x:c>
      <x:c r="R106" t="n">
        <x:f>ROUND(INDEX(Catalogue!F$4:F$85,MATCH(A106,Catalogue!A$4:A$85,0))*(1+'Paramètres'!$B$4*(C106-1)+'Paramètres'!$B$5*(C106-1)^2),0)</x:f>
        <x:v>6</x:v>
      </x:c>
      <x:c r="S106" t="n">
        <x:f>L106-AVERAGE(Q106:R106)</x:f>
        <x:v>-0.5</x:v>
      </x:c>
      <x:c r="T106" t="str">
        <x:f>IF(M106=0,IF(AND(N106=0,O106=0,E106=0,F106=0),"OK","ERREUR"),IF(AND(M106&gt;=1,M106&lt;=32,OR(N106=4,N106=6,N106=8,N106=10,N106=12,N106=20),O106&gt;=0,E106=M106+O106,F106=M106*N106+O106),"OK","ERREUR"))</x:f>
        <x:v>OK</x:v>
      </x:c>
      <x:c r="U106" s="86" t="n">
        <x:f>IF(M106&gt;0,M106*(N106+1)/2+O106,0)</x:f>
        <x:v>4.5</x:v>
      </x:c>
      <x:c r="V106" t="str">
        <x:f>IF(ABS(L106-U106)&lt;0.001,"OK","ERREUR")</x:f>
        <x:v>OK</x:v>
      </x:c>
    </x:row>
    <x:row r="107" ht="18" customHeight="1">
      <x:c r="A107" t="str">
        <x:v>ARM006</x:v>
      </x:c>
      <x:c r="B107" t="str">
        <x:v>Épée courte</x:v>
      </x:c>
      <x:c r="C107" t="n">
        <x:v>4</x:v>
      </x:c>
      <x:c r="D107" t="str">
        <x:v>Légères</x:v>
      </x:c>
      <x:c r="E107" s="28" t="n">
        <x:f>IF(M107=0,0,M107+O107)</x:f>
        <x:v>4</x:v>
      </x:c>
      <x:c r="F107" s="28" t="n">
        <x:f>IF(M107=0,0,M107*N107+O107)</x:f>
        <x:v>7</x:v>
      </x:c>
      <x:c r="G107" s="28" t="n">
        <x:f>ROUND(Catalogue!G9*SQRT((1+'Paramètres'!$B$4*(C107-1)+'Paramètres'!$B$5*(C107-1)^2)),0)</x:f>
        <x:v>0</x:v>
      </x:c>
      <x:c r="H107" s="28" t="n">
        <x:f>ROUND(Catalogue!H9*SQRT((1+'Paramètres'!$B$4*(C107-1)+'Paramètres'!$B$5*(C107-1)^2)),0)</x:f>
        <x:v>0</x:v>
      </x:c>
      <x:c r="I107" s="28" t="n">
        <x:v>2</x:v>
      </x:c>
      <x:c r="J107" s="28" t="n">
        <x:v>1</x:v>
      </x:c>
      <x:c r="K107" s="30" t="n">
        <x:v>1</x:v>
      </x:c>
      <x:c r="L107" s="54" t="n">
        <x:f>IF(M107=0,0,(E107+F107)/2)</x:f>
        <x:v>5.5</x:v>
      </x:c>
      <x:c r="M107" t="n">
        <x:v>1</x:v>
      </x:c>
      <x:c r="N107" t="n">
        <x:v>4</x:v>
      </x:c>
      <x:c r="O107" t="n">
        <x:v>3</x:v>
      </x:c>
      <x:c r="P107" s="63" t="str">
        <x:f>IF(M107=0,"—",M107&amp;"d"&amp;N107&amp;IF(O107=0,""," + "&amp;O107))</x:f>
        <x:v>1d4 + 3</x:v>
      </x:c>
      <x:c r="Q107" t="n">
        <x:f>ROUND(INDEX(Catalogue!E$4:E$85,MATCH(A107,Catalogue!A$4:A$85,0))*(1+'Paramètres'!$B$4*(C107-1)+'Paramètres'!$B$5*(C107-1)^2),0)</x:f>
        <x:v>4</x:v>
      </x:c>
      <x:c r="R107" t="n">
        <x:f>ROUND(INDEX(Catalogue!F$4:F$85,MATCH(A107,Catalogue!A$4:A$85,0))*(1+'Paramètres'!$B$4*(C107-1)+'Paramètres'!$B$5*(C107-1)^2),0)</x:f>
        <x:v>7</x:v>
      </x:c>
      <x:c r="S107" t="n">
        <x:f>L107-AVERAGE(Q107:R107)</x:f>
        <x:v>0</x:v>
      </x:c>
      <x:c r="T107" t="str">
        <x:f>IF(M107=0,IF(AND(N107=0,O107=0,E107=0,F107=0),"OK","ERREUR"),IF(AND(M107&gt;=1,M107&lt;=32,OR(N107=4,N107=6,N107=8,N107=10,N107=12,N107=20),O107&gt;=0,E107=M107+O107,F107=M107*N107+O107),"OK","ERREUR"))</x:f>
        <x:v>OK</x:v>
      </x:c>
      <x:c r="U107" s="86" t="n">
        <x:f>IF(M107&gt;0,M107*(N107+1)/2+O107,0)</x:f>
        <x:v>5.5</x:v>
      </x:c>
      <x:c r="V107" t="str">
        <x:f>IF(ABS(L107-U107)&lt;0.001,"OK","ERREUR")</x:f>
        <x:v>OK</x:v>
      </x:c>
    </x:row>
    <x:row r="108" ht="18" customHeight="1">
      <x:c r="A108" t="str">
        <x:v>ARM006</x:v>
      </x:c>
      <x:c r="B108" t="str">
        <x:v>Épée courte</x:v>
      </x:c>
      <x:c r="C108" t="n">
        <x:v>5</x:v>
      </x:c>
      <x:c r="D108" t="str">
        <x:v>Légères</x:v>
      </x:c>
      <x:c r="E108" s="28" t="n">
        <x:f>IF(M108=0,0,M108+O108)</x:f>
        <x:v>5</x:v>
      </x:c>
      <x:c r="F108" s="28" t="n">
        <x:f>IF(M108=0,0,M108*N108+O108)</x:f>
        <x:v>8</x:v>
      </x:c>
      <x:c r="G108" s="28" t="n">
        <x:f>ROUND(Catalogue!G9*SQRT((1+'Paramètres'!$B$4*(C108-1)+'Paramètres'!$B$5*(C108-1)^2)),0)</x:f>
        <x:v>0</x:v>
      </x:c>
      <x:c r="H108" s="28" t="n">
        <x:f>ROUND(Catalogue!H9*SQRT((1+'Paramètres'!$B$4*(C108-1)+'Paramètres'!$B$5*(C108-1)^2)),0)</x:f>
        <x:v>0</x:v>
      </x:c>
      <x:c r="I108" s="28" t="n">
        <x:v>2</x:v>
      </x:c>
      <x:c r="J108" s="28" t="n">
        <x:v>1</x:v>
      </x:c>
      <x:c r="K108" s="30" t="n">
        <x:v>1</x:v>
      </x:c>
      <x:c r="L108" s="54" t="n">
        <x:f>IF(M108=0,0,(E108+F108)/2)</x:f>
        <x:v>6.5</x:v>
      </x:c>
      <x:c r="M108" t="n">
        <x:v>1</x:v>
      </x:c>
      <x:c r="N108" t="n">
        <x:v>4</x:v>
      </x:c>
      <x:c r="O108" t="n">
        <x:v>4</x:v>
      </x:c>
      <x:c r="P108" s="63" t="str">
        <x:f>IF(M108=0,"—",M108&amp;"d"&amp;N108&amp;IF(O108=0,""," + "&amp;O108))</x:f>
        <x:v>1d4 + 4</x:v>
      </x:c>
      <x:c r="Q108" t="n">
        <x:f>ROUND(INDEX(Catalogue!E$4:E$85,MATCH(A108,Catalogue!A$4:A$85,0))*(1+'Paramètres'!$B$4*(C108-1)+'Paramètres'!$B$5*(C108-1)^2),0)</x:f>
        <x:v>5</x:v>
      </x:c>
      <x:c r="R108" t="n">
        <x:f>ROUND(INDEX(Catalogue!F$4:F$85,MATCH(A108,Catalogue!A$4:A$85,0))*(1+'Paramètres'!$B$4*(C108-1)+'Paramètres'!$B$5*(C108-1)^2),0)</x:f>
        <x:v>8</x:v>
      </x:c>
      <x:c r="S108" t="n">
        <x:f>L108-AVERAGE(Q108:R108)</x:f>
        <x:v>0</x:v>
      </x:c>
      <x:c r="T108" t="str">
        <x:f>IF(M108=0,IF(AND(N108=0,O108=0,E108=0,F108=0),"OK","ERREUR"),IF(AND(M108&gt;=1,M108&lt;=32,OR(N108=4,N108=6,N108=8,N108=10,N108=12,N108=20),O108&gt;=0,E108=M108+O108,F108=M108*N108+O108),"OK","ERREUR"))</x:f>
        <x:v>OK</x:v>
      </x:c>
      <x:c r="U108" s="86" t="n">
        <x:f>IF(M108&gt;0,M108*(N108+1)/2+O108,0)</x:f>
        <x:v>6.5</x:v>
      </x:c>
      <x:c r="V108" t="str">
        <x:f>IF(ABS(L108-U108)&lt;0.001,"OK","ERREUR")</x:f>
        <x:v>OK</x:v>
      </x:c>
    </x:row>
    <x:row r="109" ht="18" customHeight="1">
      <x:c r="A109" t="str">
        <x:v>ARM006</x:v>
      </x:c>
      <x:c r="B109" t="str">
        <x:v>Épée courte</x:v>
      </x:c>
      <x:c r="C109" t="n">
        <x:v>6</x:v>
      </x:c>
      <x:c r="D109" t="str">
        <x:v>Légères</x:v>
      </x:c>
      <x:c r="E109" s="28" t="n">
        <x:f>IF(M109=0,0,M109+O109)</x:f>
        <x:v>6</x:v>
      </x:c>
      <x:c r="F109" s="28" t="n">
        <x:f>IF(M109=0,0,M109*N109+O109)</x:f>
        <x:v>9</x:v>
      </x:c>
      <x:c r="G109" s="28" t="n">
        <x:f>ROUND(Catalogue!G9*SQRT((1+'Paramètres'!$B$4*(C109-1)+'Paramètres'!$B$5*(C109-1)^2)),0)</x:f>
        <x:v>0</x:v>
      </x:c>
      <x:c r="H109" s="28" t="n">
        <x:f>ROUND(Catalogue!H9*SQRT((1+'Paramètres'!$B$4*(C109-1)+'Paramètres'!$B$5*(C109-1)^2)),0)</x:f>
        <x:v>0</x:v>
      </x:c>
      <x:c r="I109" s="28" t="n">
        <x:v>2</x:v>
      </x:c>
      <x:c r="J109" s="28" t="n">
        <x:v>1</x:v>
      </x:c>
      <x:c r="K109" s="30" t="n">
        <x:v>1</x:v>
      </x:c>
      <x:c r="L109" s="54" t="n">
        <x:f>IF(M109=0,0,(E109+F109)/2)</x:f>
        <x:v>7.5</x:v>
      </x:c>
      <x:c r="M109" t="n">
        <x:v>1</x:v>
      </x:c>
      <x:c r="N109" t="n">
        <x:v>4</x:v>
      </x:c>
      <x:c r="O109" t="n">
        <x:v>5</x:v>
      </x:c>
      <x:c r="P109" s="63" t="str">
        <x:f>IF(M109=0,"—",M109&amp;"d"&amp;N109&amp;IF(O109=0,""," + "&amp;O109))</x:f>
        <x:v>1d4 + 5</x:v>
      </x:c>
      <x:c r="Q109" t="n">
        <x:f>ROUND(INDEX(Catalogue!E$4:E$85,MATCH(A109,Catalogue!A$4:A$85,0))*(1+'Paramètres'!$B$4*(C109-1)+'Paramètres'!$B$5*(C109-1)^2),0)</x:f>
        <x:v>6</x:v>
      </x:c>
      <x:c r="R109" t="n">
        <x:f>ROUND(INDEX(Catalogue!F$4:F$85,MATCH(A109,Catalogue!A$4:A$85,0))*(1+'Paramètres'!$B$4*(C109-1)+'Paramètres'!$B$5*(C109-1)^2),0)</x:f>
        <x:v>10</x:v>
      </x:c>
      <x:c r="S109" t="n">
        <x:f>L109-AVERAGE(Q109:R109)</x:f>
        <x:v>-0.5</x:v>
      </x:c>
      <x:c r="T109" t="str">
        <x:f>IF(M109=0,IF(AND(N109=0,O109=0,E109=0,F109=0),"OK","ERREUR"),IF(AND(M109&gt;=1,M109&lt;=32,OR(N109=4,N109=6,N109=8,N109=10,N109=12,N109=20),O109&gt;=0,E109=M109+O109,F109=M109*N109+O109),"OK","ERREUR"))</x:f>
        <x:v>OK</x:v>
      </x:c>
      <x:c r="U109" s="86" t="n">
        <x:f>IF(M109&gt;0,M109*(N109+1)/2+O109,0)</x:f>
        <x:v>7.5</x:v>
      </x:c>
      <x:c r="V109" t="str">
        <x:f>IF(ABS(L109-U109)&lt;0.001,"OK","ERREUR")</x:f>
        <x:v>OK</x:v>
      </x:c>
    </x:row>
    <x:row r="110" ht="18" customHeight="1">
      <x:c r="A110" t="str">
        <x:v>ARM006</x:v>
      </x:c>
      <x:c r="B110" t="str">
        <x:v>Épée courte</x:v>
      </x:c>
      <x:c r="C110" t="n">
        <x:v>7</x:v>
      </x:c>
      <x:c r="D110" t="str">
        <x:v>Légères</x:v>
      </x:c>
      <x:c r="E110" s="28" t="n">
        <x:f>IF(M110=0,0,M110+O110)</x:f>
        <x:v>7</x:v>
      </x:c>
      <x:c r="F110" s="28" t="n">
        <x:f>IF(M110=0,0,M110*N110+O110)</x:f>
        <x:v>10</x:v>
      </x:c>
      <x:c r="G110" s="28" t="n">
        <x:f>ROUND(Catalogue!G9*SQRT((1+'Paramètres'!$B$4*(C110-1)+'Paramètres'!$B$5*(C110-1)^2)),0)</x:f>
        <x:v>0</x:v>
      </x:c>
      <x:c r="H110" s="28" t="n">
        <x:f>ROUND(Catalogue!H9*SQRT((1+'Paramètres'!$B$4*(C110-1)+'Paramètres'!$B$5*(C110-1)^2)),0)</x:f>
        <x:v>0</x:v>
      </x:c>
      <x:c r="I110" s="28" t="n">
        <x:v>2</x:v>
      </x:c>
      <x:c r="J110" s="28" t="n">
        <x:v>1</x:v>
      </x:c>
      <x:c r="K110" s="30" t="n">
        <x:v>1</x:v>
      </x:c>
      <x:c r="L110" s="54" t="n">
        <x:f>IF(M110=0,0,(E110+F110)/2)</x:f>
        <x:v>8.5</x:v>
      </x:c>
      <x:c r="M110" t="n">
        <x:v>1</x:v>
      </x:c>
      <x:c r="N110" t="n">
        <x:v>4</x:v>
      </x:c>
      <x:c r="O110" t="n">
        <x:v>6</x:v>
      </x:c>
      <x:c r="P110" s="63" t="str">
        <x:f>IF(M110=0,"—",M110&amp;"d"&amp;N110&amp;IF(O110=0,""," + "&amp;O110))</x:f>
        <x:v>1d4 + 6</x:v>
      </x:c>
      <x:c r="Q110" t="n">
        <x:f>ROUND(INDEX(Catalogue!E$4:E$85,MATCH(A110,Catalogue!A$4:A$85,0))*(1+'Paramètres'!$B$4*(C110-1)+'Paramètres'!$B$5*(C110-1)^2),0)</x:f>
        <x:v>7</x:v>
      </x:c>
      <x:c r="R110" t="n">
        <x:f>ROUND(INDEX(Catalogue!F$4:F$85,MATCH(A110,Catalogue!A$4:A$85,0))*(1+'Paramètres'!$B$4*(C110-1)+'Paramètres'!$B$5*(C110-1)^2),0)</x:f>
        <x:v>11</x:v>
      </x:c>
      <x:c r="S110" t="n">
        <x:f>L110-AVERAGE(Q110:R110)</x:f>
        <x:v>-0.5</x:v>
      </x:c>
      <x:c r="T110" t="str">
        <x:f>IF(M110=0,IF(AND(N110=0,O110=0,E110=0,F110=0),"OK","ERREUR"),IF(AND(M110&gt;=1,M110&lt;=32,OR(N110=4,N110=6,N110=8,N110=10,N110=12,N110=20),O110&gt;=0,E110=M110+O110,F110=M110*N110+O110),"OK","ERREUR"))</x:f>
        <x:v>OK</x:v>
      </x:c>
      <x:c r="U110" s="86" t="n">
        <x:f>IF(M110&gt;0,M110*(N110+1)/2+O110,0)</x:f>
        <x:v>8.5</x:v>
      </x:c>
      <x:c r="V110" t="str">
        <x:f>IF(ABS(L110-U110)&lt;0.001,"OK","ERREUR")</x:f>
        <x:v>OK</x:v>
      </x:c>
    </x:row>
    <x:row r="111" ht="18" customHeight="1">
      <x:c r="A111" t="str">
        <x:v>ARM006</x:v>
      </x:c>
      <x:c r="B111" t="str">
        <x:v>Épée courte</x:v>
      </x:c>
      <x:c r="C111" t="n">
        <x:v>8</x:v>
      </x:c>
      <x:c r="D111" t="str">
        <x:v>Légères</x:v>
      </x:c>
      <x:c r="E111" s="28" t="n">
        <x:f>IF(M111=0,0,M111+O111)</x:f>
        <x:v>8</x:v>
      </x:c>
      <x:c r="F111" s="28" t="n">
        <x:f>IF(M111=0,0,M111*N111+O111)</x:f>
        <x:v>13</x:v>
      </x:c>
      <x:c r="G111" s="28" t="n">
        <x:f>ROUND(Catalogue!G9*SQRT((1+'Paramètres'!$B$4*(C111-1)+'Paramètres'!$B$5*(C111-1)^2)),0)</x:f>
        <x:v>0</x:v>
      </x:c>
      <x:c r="H111" s="28" t="n">
        <x:f>ROUND(Catalogue!H9*SQRT((1+'Paramètres'!$B$4*(C111-1)+'Paramètres'!$B$5*(C111-1)^2)),0)</x:f>
        <x:v>0</x:v>
      </x:c>
      <x:c r="I111" s="28" t="n">
        <x:v>2</x:v>
      </x:c>
      <x:c r="J111" s="28" t="n">
        <x:v>1</x:v>
      </x:c>
      <x:c r="K111" s="30" t="n">
        <x:v>1</x:v>
      </x:c>
      <x:c r="L111" s="54" t="n">
        <x:f>IF(M111=0,0,(E111+F111)/2)</x:f>
        <x:v>10.5</x:v>
      </x:c>
      <x:c r="M111" t="n">
        <x:v>1</x:v>
      </x:c>
      <x:c r="N111" t="n">
        <x:v>6</x:v>
      </x:c>
      <x:c r="O111" t="n">
        <x:v>7</x:v>
      </x:c>
      <x:c r="P111" s="63" t="str">
        <x:f>IF(M111=0,"—",M111&amp;"d"&amp;N111&amp;IF(O111=0,""," + "&amp;O111))</x:f>
        <x:v>1d6 + 7</x:v>
      </x:c>
      <x:c r="Q111" t="n">
        <x:f>ROUND(INDEX(Catalogue!E$4:E$85,MATCH(A111,Catalogue!A$4:A$85,0))*(1+'Paramètres'!$B$4*(C111-1)+'Paramètres'!$B$5*(C111-1)^2),0)</x:f>
        <x:v>8</x:v>
      </x:c>
      <x:c r="R111" t="n">
        <x:f>ROUND(INDEX(Catalogue!F$4:F$85,MATCH(A111,Catalogue!A$4:A$85,0))*(1+'Paramètres'!$B$4*(C111-1)+'Paramètres'!$B$5*(C111-1)^2),0)</x:f>
        <x:v>13</x:v>
      </x:c>
      <x:c r="S111" t="n">
        <x:f>L111-AVERAGE(Q111:R111)</x:f>
        <x:v>0</x:v>
      </x:c>
      <x:c r="T111" t="str">
        <x:f>IF(M111=0,IF(AND(N111=0,O111=0,E111=0,F111=0),"OK","ERREUR"),IF(AND(M111&gt;=1,M111&lt;=32,OR(N111=4,N111=6,N111=8,N111=10,N111=12,N111=20),O111&gt;=0,E111=M111+O111,F111=M111*N111+O111),"OK","ERREUR"))</x:f>
        <x:v>OK</x:v>
      </x:c>
      <x:c r="U111" s="86" t="n">
        <x:f>IF(M111&gt;0,M111*(N111+1)/2+O111,0)</x:f>
        <x:v>10.5</x:v>
      </x:c>
      <x:c r="V111" t="str">
        <x:f>IF(ABS(L111-U111)&lt;0.001,"OK","ERREUR")</x:f>
        <x:v>OK</x:v>
      </x:c>
    </x:row>
    <x:row r="112" ht="18" customHeight="1">
      <x:c r="A112" t="str">
        <x:v>ARM006</x:v>
      </x:c>
      <x:c r="B112" t="str">
        <x:v>Épée courte</x:v>
      </x:c>
      <x:c r="C112" t="n">
        <x:v>9</x:v>
      </x:c>
      <x:c r="D112" t="str">
        <x:v>Légères</x:v>
      </x:c>
      <x:c r="E112" s="28" t="n">
        <x:f>IF(M112=0,0,M112+O112)</x:f>
        <x:v>9</x:v>
      </x:c>
      <x:c r="F112" s="28" t="n">
        <x:f>IF(M112=0,0,M112*N112+O112)</x:f>
        <x:v>15</x:v>
      </x:c>
      <x:c r="G112" s="28" t="n">
        <x:f>ROUND(Catalogue!G9*SQRT((1+'Paramètres'!$B$4*(C112-1)+'Paramètres'!$B$5*(C112-1)^2)),0)</x:f>
        <x:v>0</x:v>
      </x:c>
      <x:c r="H112" s="28" t="n">
        <x:f>ROUND(Catalogue!H9*SQRT((1+'Paramètres'!$B$4*(C112-1)+'Paramètres'!$B$5*(C112-1)^2)),0)</x:f>
        <x:v>0</x:v>
      </x:c>
      <x:c r="I112" s="28" t="n">
        <x:v>2</x:v>
      </x:c>
      <x:c r="J112" s="28" t="n">
        <x:v>1</x:v>
      </x:c>
      <x:c r="K112" s="30" t="n">
        <x:v>1</x:v>
      </x:c>
      <x:c r="L112" s="54" t="n">
        <x:f>IF(M112=0,0,(E112+F112)/2)</x:f>
        <x:v>12</x:v>
      </x:c>
      <x:c r="M112" t="n">
        <x:v>2</x:v>
      </x:c>
      <x:c r="N112" t="n">
        <x:v>4</x:v>
      </x:c>
      <x:c r="O112" t="n">
        <x:v>7</x:v>
      </x:c>
      <x:c r="P112" s="63" t="str">
        <x:f>IF(M112=0,"—",M112&amp;"d"&amp;N112&amp;IF(O112=0,""," + "&amp;O112))</x:f>
        <x:v>2d4 + 7</x:v>
      </x:c>
      <x:c r="Q112" t="n">
        <x:f>ROUND(INDEX(Catalogue!E$4:E$85,MATCH(A112,Catalogue!A$4:A$85,0))*(1+'Paramètres'!$B$4*(C112-1)+'Paramètres'!$B$5*(C112-1)^2),0)</x:f>
        <x:v>9</x:v>
      </x:c>
      <x:c r="R112" t="n">
        <x:f>ROUND(INDEX(Catalogue!F$4:F$85,MATCH(A112,Catalogue!A$4:A$85,0))*(1+'Paramètres'!$B$4*(C112-1)+'Paramètres'!$B$5*(C112-1)^2),0)</x:f>
        <x:v>15</x:v>
      </x:c>
      <x:c r="S112" t="n">
        <x:f>L112-AVERAGE(Q112:R112)</x:f>
        <x:v>0</x:v>
      </x:c>
      <x:c r="T112" t="str">
        <x:f>IF(M112=0,IF(AND(N112=0,O112=0,E112=0,F112=0),"OK","ERREUR"),IF(AND(M112&gt;=1,M112&lt;=32,OR(N112=4,N112=6,N112=8,N112=10,N112=12,N112=20),O112&gt;=0,E112=M112+O112,F112=M112*N112+O112),"OK","ERREUR"))</x:f>
        <x:v>OK</x:v>
      </x:c>
      <x:c r="U112" s="86" t="n">
        <x:f>IF(M112&gt;0,M112*(N112+1)/2+O112,0)</x:f>
        <x:v>12</x:v>
      </x:c>
      <x:c r="V112" t="str">
        <x:f>IF(ABS(L112-U112)&lt;0.001,"OK","ERREUR")</x:f>
        <x:v>OK</x:v>
      </x:c>
    </x:row>
    <x:row r="113" ht="18" customHeight="1">
      <x:c r="A113" t="str">
        <x:v>ARM006</x:v>
      </x:c>
      <x:c r="B113" t="str">
        <x:v>Épée courte</x:v>
      </x:c>
      <x:c r="C113" t="n">
        <x:v>10</x:v>
      </x:c>
      <x:c r="D113" t="str">
        <x:v>Légères</x:v>
      </x:c>
      <x:c r="E113" s="28" t="n">
        <x:f>IF(M113=0,0,M113+O113)</x:f>
        <x:v>10</x:v>
      </x:c>
      <x:c r="F113" s="28" t="n">
        <x:f>IF(M113=0,0,M113*N113+O113)</x:f>
        <x:v>16</x:v>
      </x:c>
      <x:c r="G113" s="28" t="n">
        <x:f>ROUND(Catalogue!G9*SQRT((1+'Paramètres'!$B$4*(C113-1)+'Paramètres'!$B$5*(C113-1)^2)),0)</x:f>
        <x:v>0</x:v>
      </x:c>
      <x:c r="H113" s="28" t="n">
        <x:f>ROUND(Catalogue!H9*SQRT((1+'Paramètres'!$B$4*(C113-1)+'Paramètres'!$B$5*(C113-1)^2)),0)</x:f>
        <x:v>0</x:v>
      </x:c>
      <x:c r="I113" s="28" t="n">
        <x:v>2</x:v>
      </x:c>
      <x:c r="J113" s="28" t="n">
        <x:v>1</x:v>
      </x:c>
      <x:c r="K113" s="30" t="n">
        <x:v>1</x:v>
      </x:c>
      <x:c r="L113" s="54" t="n">
        <x:f>IF(M113=0,0,(E113+F113)/2)</x:f>
        <x:v>13</x:v>
      </x:c>
      <x:c r="M113" t="n">
        <x:v>2</x:v>
      </x:c>
      <x:c r="N113" t="n">
        <x:v>4</x:v>
      </x:c>
      <x:c r="O113" t="n">
        <x:v>8</x:v>
      </x:c>
      <x:c r="P113" s="63" t="str">
        <x:f>IF(M113=0,"—",M113&amp;"d"&amp;N113&amp;IF(O113=0,""," + "&amp;O113))</x:f>
        <x:v>2d4 + 8</x:v>
      </x:c>
      <x:c r="Q113" t="n">
        <x:f>ROUND(INDEX(Catalogue!E$4:E$85,MATCH(A113,Catalogue!A$4:A$85,0))*(1+'Paramètres'!$B$4*(C113-1)+'Paramètres'!$B$5*(C113-1)^2),0)</x:f>
        <x:v>10</x:v>
      </x:c>
      <x:c r="R113" t="n">
        <x:f>ROUND(INDEX(Catalogue!F$4:F$85,MATCH(A113,Catalogue!A$4:A$85,0))*(1+'Paramètres'!$B$4*(C113-1)+'Paramètres'!$B$5*(C113-1)^2),0)</x:f>
        <x:v>16</x:v>
      </x:c>
      <x:c r="S113" t="n">
        <x:f>L113-AVERAGE(Q113:R113)</x:f>
        <x:v>0</x:v>
      </x:c>
      <x:c r="T113" t="str">
        <x:f>IF(M113=0,IF(AND(N113=0,O113=0,E113=0,F113=0),"OK","ERREUR"),IF(AND(M113&gt;=1,M113&lt;=32,OR(N113=4,N113=6,N113=8,N113=10,N113=12,N113=20),O113&gt;=0,E113=M113+O113,F113=M113*N113+O113),"OK","ERREUR"))</x:f>
        <x:v>OK</x:v>
      </x:c>
      <x:c r="U113" s="86" t="n">
        <x:f>IF(M113&gt;0,M113*(N113+1)/2+O113,0)</x:f>
        <x:v>13</x:v>
      </x:c>
      <x:c r="V113" t="str">
        <x:f>IF(ABS(L113-U113)&lt;0.001,"OK","ERREUR")</x:f>
        <x:v>OK</x:v>
      </x:c>
    </x:row>
    <x:row r="114" ht="18" customHeight="1">
      <x:c r="A114" t="str">
        <x:v>ARM006</x:v>
      </x:c>
      <x:c r="B114" t="str">
        <x:v>Épée courte</x:v>
      </x:c>
      <x:c r="C114" t="n">
        <x:v>11</x:v>
      </x:c>
      <x:c r="D114" t="str">
        <x:v>Légères</x:v>
      </x:c>
      <x:c r="E114" s="28" t="n">
        <x:f>IF(M114=0,0,M114+O114)</x:f>
        <x:v>11</x:v>
      </x:c>
      <x:c r="F114" s="28" t="n">
        <x:f>IF(M114=0,0,M114*N114+O114)</x:f>
        <x:v>20</x:v>
      </x:c>
      <x:c r="G114" s="28" t="n">
        <x:f>ROUND(Catalogue!G9*SQRT((1+'Paramètres'!$B$4*(C114-1)+'Paramètres'!$B$5*(C114-1)^2)),0)</x:f>
        <x:v>0</x:v>
      </x:c>
      <x:c r="H114" s="28" t="n">
        <x:f>ROUND(Catalogue!H9*SQRT((1+'Paramètres'!$B$4*(C114-1)+'Paramètres'!$B$5*(C114-1)^2)),0)</x:f>
        <x:v>0</x:v>
      </x:c>
      <x:c r="I114" s="28" t="n">
        <x:v>2</x:v>
      </x:c>
      <x:c r="J114" s="28" t="n">
        <x:v>1</x:v>
      </x:c>
      <x:c r="K114" s="30" t="n">
        <x:v>1</x:v>
      </x:c>
      <x:c r="L114" s="54" t="n">
        <x:f>IF(M114=0,0,(E114+F114)/2)</x:f>
        <x:v>15.5</x:v>
      </x:c>
      <x:c r="M114" t="n">
        <x:v>3</x:v>
      </x:c>
      <x:c r="N114" t="n">
        <x:v>4</x:v>
      </x:c>
      <x:c r="O114" t="n">
        <x:v>8</x:v>
      </x:c>
      <x:c r="P114" s="63" t="str">
        <x:f>IF(M114=0,"—",M114&amp;"d"&amp;N114&amp;IF(O114=0,""," + "&amp;O114))</x:f>
        <x:v>3d4 + 8</x:v>
      </x:c>
      <x:c r="Q114" t="n">
        <x:f>ROUND(INDEX(Catalogue!E$4:E$85,MATCH(A114,Catalogue!A$4:A$85,0))*(1+'Paramètres'!$B$4*(C114-1)+'Paramètres'!$B$5*(C114-1)^2),0)</x:f>
        <x:v>11</x:v>
      </x:c>
      <x:c r="R114" t="n">
        <x:f>ROUND(INDEX(Catalogue!F$4:F$85,MATCH(A114,Catalogue!A$4:A$85,0))*(1+'Paramètres'!$B$4*(C114-1)+'Paramètres'!$B$5*(C114-1)^2),0)</x:f>
        <x:v>19</x:v>
      </x:c>
      <x:c r="S114" t="n">
        <x:f>L114-AVERAGE(Q114:R114)</x:f>
        <x:v>0.5</x:v>
      </x:c>
      <x:c r="T114" t="str">
        <x:f>IF(M114=0,IF(AND(N114=0,O114=0,E114=0,F114=0),"OK","ERREUR"),IF(AND(M114&gt;=1,M114&lt;=32,OR(N114=4,N114=6,N114=8,N114=10,N114=12,N114=20),O114&gt;=0,E114=M114+O114,F114=M114*N114+O114),"OK","ERREUR"))</x:f>
        <x:v>OK</x:v>
      </x:c>
      <x:c r="U114" s="86" t="n">
        <x:f>IF(M114&gt;0,M114*(N114+1)/2+O114,0)</x:f>
        <x:v>15.5</x:v>
      </x:c>
      <x:c r="V114" t="str">
        <x:f>IF(ABS(L114-U114)&lt;0.001,"OK","ERREUR")</x:f>
        <x:v>OK</x:v>
      </x:c>
    </x:row>
    <x:row r="115" ht="18" customHeight="1">
      <x:c r="A115" t="str">
        <x:v>ARM006</x:v>
      </x:c>
      <x:c r="B115" t="str">
        <x:v>Épée courte</x:v>
      </x:c>
      <x:c r="C115" t="n">
        <x:v>12</x:v>
      </x:c>
      <x:c r="D115" t="str">
        <x:v>Légères</x:v>
      </x:c>
      <x:c r="E115" s="28" t="n">
        <x:f>IF(M115=0,0,M115+O115)</x:f>
        <x:v>12</x:v>
      </x:c>
      <x:c r="F115" s="28" t="n">
        <x:f>IF(M115=0,0,M115*N115+O115)</x:f>
        <x:v>21</x:v>
      </x:c>
      <x:c r="G115" s="28" t="n">
        <x:f>ROUND(Catalogue!G9*SQRT((1+'Paramètres'!$B$4*(C115-1)+'Paramètres'!$B$5*(C115-1)^2)),0)</x:f>
        <x:v>0</x:v>
      </x:c>
      <x:c r="H115" s="28" t="n">
        <x:f>ROUND(Catalogue!H9*SQRT((1+'Paramètres'!$B$4*(C115-1)+'Paramètres'!$B$5*(C115-1)^2)),0)</x:f>
        <x:v>0</x:v>
      </x:c>
      <x:c r="I115" s="28" t="n">
        <x:v>2</x:v>
      </x:c>
      <x:c r="J115" s="28" t="n">
        <x:v>1</x:v>
      </x:c>
      <x:c r="K115" s="30" t="n">
        <x:v>1</x:v>
      </x:c>
      <x:c r="L115" s="54" t="n">
        <x:f>IF(M115=0,0,(E115+F115)/2)</x:f>
        <x:v>16.5</x:v>
      </x:c>
      <x:c r="M115" t="n">
        <x:v>3</x:v>
      </x:c>
      <x:c r="N115" t="n">
        <x:v>4</x:v>
      </x:c>
      <x:c r="O115" t="n">
        <x:v>9</x:v>
      </x:c>
      <x:c r="P115" s="63" t="str">
        <x:f>IF(M115=0,"—",M115&amp;"d"&amp;N115&amp;IF(O115=0,""," + "&amp;O115))</x:f>
        <x:v>3d4 + 9</x:v>
      </x:c>
      <x:c r="Q115" t="n">
        <x:f>ROUND(INDEX(Catalogue!E$4:E$85,MATCH(A115,Catalogue!A$4:A$85,0))*(1+'Paramètres'!$B$4*(C115-1)+'Paramètres'!$B$5*(C115-1)^2),0)</x:f>
        <x:v>12</x:v>
      </x:c>
      <x:c r="R115" t="n">
        <x:f>ROUND(INDEX(Catalogue!F$4:F$85,MATCH(A115,Catalogue!A$4:A$85,0))*(1+'Paramètres'!$B$4*(C115-1)+'Paramètres'!$B$5*(C115-1)^2),0)</x:f>
        <x:v>21</x:v>
      </x:c>
      <x:c r="S115" t="n">
        <x:f>L115-AVERAGE(Q115:R115)</x:f>
        <x:v>0</x:v>
      </x:c>
      <x:c r="T115" t="str">
        <x:f>IF(M115=0,IF(AND(N115=0,O115=0,E115=0,F115=0),"OK","ERREUR"),IF(AND(M115&gt;=1,M115&lt;=32,OR(N115=4,N115=6,N115=8,N115=10,N115=12,N115=20),O115&gt;=0,E115=M115+O115,F115=M115*N115+O115),"OK","ERREUR"))</x:f>
        <x:v>OK</x:v>
      </x:c>
      <x:c r="U115" s="86" t="n">
        <x:f>IF(M115&gt;0,M115*(N115+1)/2+O115,0)</x:f>
        <x:v>16.5</x:v>
      </x:c>
      <x:c r="V115" t="str">
        <x:f>IF(ABS(L115-U115)&lt;0.001,"OK","ERREUR")</x:f>
        <x:v>OK</x:v>
      </x:c>
    </x:row>
    <x:row r="116" ht="18" customHeight="1">
      <x:c r="A116" t="str">
        <x:v>ARM006</x:v>
      </x:c>
      <x:c r="B116" t="str">
        <x:v>Épée courte</x:v>
      </x:c>
      <x:c r="C116" t="n">
        <x:v>13</x:v>
      </x:c>
      <x:c r="D116" t="str">
        <x:v>Légères</x:v>
      </x:c>
      <x:c r="E116" s="28" t="n">
        <x:f>IF(M116=0,0,M116+O116)</x:f>
        <x:v>14</x:v>
      </x:c>
      <x:c r="F116" s="28" t="n">
        <x:f>IF(M116=0,0,M116*N116+O116)</x:f>
        <x:v>23</x:v>
      </x:c>
      <x:c r="G116" s="28" t="n">
        <x:f>ROUND(Catalogue!G9*SQRT((1+'Paramètres'!$B$4*(C116-1)+'Paramètres'!$B$5*(C116-1)^2)),0)</x:f>
        <x:v>0</x:v>
      </x:c>
      <x:c r="H116" s="28" t="n">
        <x:f>ROUND(Catalogue!H9*SQRT((1+'Paramètres'!$B$4*(C116-1)+'Paramètres'!$B$5*(C116-1)^2)),0)</x:f>
        <x:v>0</x:v>
      </x:c>
      <x:c r="I116" s="28" t="n">
        <x:v>2</x:v>
      </x:c>
      <x:c r="J116" s="28" t="n">
        <x:v>1</x:v>
      </x:c>
      <x:c r="K116" s="30" t="n">
        <x:v>1</x:v>
      </x:c>
      <x:c r="L116" s="54" t="n">
        <x:f>IF(M116=0,0,(E116+F116)/2)</x:f>
        <x:v>18.5</x:v>
      </x:c>
      <x:c r="M116" t="n">
        <x:v>3</x:v>
      </x:c>
      <x:c r="N116" t="n">
        <x:v>4</x:v>
      </x:c>
      <x:c r="O116" t="n">
        <x:v>11</x:v>
      </x:c>
      <x:c r="P116" s="63" t="str">
        <x:f>IF(M116=0,"—",M116&amp;"d"&amp;N116&amp;IF(O116=0,""," + "&amp;O116))</x:f>
        <x:v>3d4 + 11</x:v>
      </x:c>
      <x:c r="Q116" t="n">
        <x:f>ROUND(INDEX(Catalogue!E$4:E$85,MATCH(A116,Catalogue!A$4:A$85,0))*(1+'Paramètres'!$B$4*(C116-1)+'Paramètres'!$B$5*(C116-1)^2),0)</x:f>
        <x:v>14</x:v>
      </x:c>
      <x:c r="R116" t="n">
        <x:f>ROUND(INDEX(Catalogue!F$4:F$85,MATCH(A116,Catalogue!A$4:A$85,0))*(1+'Paramètres'!$B$4*(C116-1)+'Paramètres'!$B$5*(C116-1)^2),0)</x:f>
        <x:v>23</x:v>
      </x:c>
      <x:c r="S116" t="n">
        <x:f>L116-AVERAGE(Q116:R116)</x:f>
        <x:v>0</x:v>
      </x:c>
      <x:c r="T116" t="str">
        <x:f>IF(M116=0,IF(AND(N116=0,O116=0,E116=0,F116=0),"OK","ERREUR"),IF(AND(M116&gt;=1,M116&lt;=32,OR(N116=4,N116=6,N116=8,N116=10,N116=12,N116=20),O116&gt;=0,E116=M116+O116,F116=M116*N116+O116),"OK","ERREUR"))</x:f>
        <x:v>OK</x:v>
      </x:c>
      <x:c r="U116" s="86" t="n">
        <x:f>IF(M116&gt;0,M116*(N116+1)/2+O116,0)</x:f>
        <x:v>18.5</x:v>
      </x:c>
      <x:c r="V116" t="str">
        <x:f>IF(ABS(L116-U116)&lt;0.001,"OK","ERREUR")</x:f>
        <x:v>OK</x:v>
      </x:c>
    </x:row>
    <x:row r="117" ht="18" customHeight="1">
      <x:c r="A117" t="str">
        <x:v>ARM006</x:v>
      </x:c>
      <x:c r="B117" t="str">
        <x:v>Épée courte</x:v>
      </x:c>
      <x:c r="C117" t="n">
        <x:v>14</x:v>
      </x:c>
      <x:c r="D117" t="str">
        <x:v>Légères</x:v>
      </x:c>
      <x:c r="E117" s="28" t="n">
        <x:f>IF(M117=0,0,M117+O117)</x:f>
        <x:v>15</x:v>
      </x:c>
      <x:c r="F117" s="28" t="n">
        <x:f>IF(M117=0,0,M117*N117+O117)</x:f>
        <x:v>25</x:v>
      </x:c>
      <x:c r="G117" s="28" t="n">
        <x:f>ROUND(Catalogue!G9*SQRT((1+'Paramètres'!$B$4*(C117-1)+'Paramètres'!$B$5*(C117-1)^2)),0)</x:f>
        <x:v>0</x:v>
      </x:c>
      <x:c r="H117" s="28" t="n">
        <x:f>ROUND(Catalogue!H9*SQRT((1+'Paramètres'!$B$4*(C117-1)+'Paramètres'!$B$5*(C117-1)^2)),0)</x:f>
        <x:v>0</x:v>
      </x:c>
      <x:c r="I117" s="28" t="n">
        <x:v>2</x:v>
      </x:c>
      <x:c r="J117" s="28" t="n">
        <x:v>1</x:v>
      </x:c>
      <x:c r="K117" s="30" t="n">
        <x:v>1</x:v>
      </x:c>
      <x:c r="L117" s="54" t="n">
        <x:f>IF(M117=0,0,(E117+F117)/2)</x:f>
        <x:v>20</x:v>
      </x:c>
      <x:c r="M117" t="n">
        <x:v>2</x:v>
      </x:c>
      <x:c r="N117" t="n">
        <x:v>6</x:v>
      </x:c>
      <x:c r="O117" t="n">
        <x:v>13</x:v>
      </x:c>
      <x:c r="P117" s="63" t="str">
        <x:f>IF(M117=0,"—",M117&amp;"d"&amp;N117&amp;IF(O117=0,""," + "&amp;O117))</x:f>
        <x:v>2d6 + 13</x:v>
      </x:c>
      <x:c r="Q117" t="n">
        <x:f>ROUND(INDEX(Catalogue!E$4:E$85,MATCH(A117,Catalogue!A$4:A$85,0))*(1+'Paramètres'!$B$4*(C117-1)+'Paramètres'!$B$5*(C117-1)^2),0)</x:f>
        <x:v>15</x:v>
      </x:c>
      <x:c r="R117" t="n">
        <x:f>ROUND(INDEX(Catalogue!F$4:F$85,MATCH(A117,Catalogue!A$4:A$85,0))*(1+'Paramètres'!$B$4*(C117-1)+'Paramètres'!$B$5*(C117-1)^2),0)</x:f>
        <x:v>26</x:v>
      </x:c>
      <x:c r="S117" t="n">
        <x:f>L117-AVERAGE(Q117:R117)</x:f>
        <x:v>-0.5</x:v>
      </x:c>
      <x:c r="T117" t="str">
        <x:f>IF(M117=0,IF(AND(N117=0,O117=0,E117=0,F117=0),"OK","ERREUR"),IF(AND(M117&gt;=1,M117&lt;=32,OR(N117=4,N117=6,N117=8,N117=10,N117=12,N117=20),O117&gt;=0,E117=M117+O117,F117=M117*N117+O117),"OK","ERREUR"))</x:f>
        <x:v>OK</x:v>
      </x:c>
      <x:c r="U117" s="86" t="n">
        <x:f>IF(M117&gt;0,M117*(N117+1)/2+O117,0)</x:f>
        <x:v>20</x:v>
      </x:c>
      <x:c r="V117" t="str">
        <x:f>IF(ABS(L117-U117)&lt;0.001,"OK","ERREUR")</x:f>
        <x:v>OK</x:v>
      </x:c>
    </x:row>
    <x:row r="118" ht="18" customHeight="1">
      <x:c r="A118" t="str">
        <x:v>ARM006</x:v>
      </x:c>
      <x:c r="B118" t="str">
        <x:v>Épée courte</x:v>
      </x:c>
      <x:c r="C118" t="n">
        <x:v>15</x:v>
      </x:c>
      <x:c r="D118" t="str">
        <x:v>Légères</x:v>
      </x:c>
      <x:c r="E118" s="28" t="n">
        <x:f>IF(M118=0,0,M118+O118)</x:f>
        <x:v>18</x:v>
      </x:c>
      <x:c r="F118" s="28" t="n">
        <x:f>IF(M118=0,0,M118*N118+O118)</x:f>
        <x:v>28</x:v>
      </x:c>
      <x:c r="G118" s="28" t="n">
        <x:f>ROUND(Catalogue!G9*SQRT((1+'Paramètres'!$B$4*(C118-1)+'Paramètres'!$B$5*(C118-1)^2)),0)</x:f>
        <x:v>0</x:v>
      </x:c>
      <x:c r="H118" s="28" t="n">
        <x:f>ROUND(Catalogue!H9*SQRT((1+'Paramètres'!$B$4*(C118-1)+'Paramètres'!$B$5*(C118-1)^2)),0)</x:f>
        <x:v>0</x:v>
      </x:c>
      <x:c r="I118" s="28" t="n">
        <x:v>2</x:v>
      </x:c>
      <x:c r="J118" s="28" t="n">
        <x:v>1</x:v>
      </x:c>
      <x:c r="K118" s="30" t="n">
        <x:v>1</x:v>
      </x:c>
      <x:c r="L118" s="54" t="n">
        <x:f>IF(M118=0,0,(E118+F118)/2)</x:f>
        <x:v>23</x:v>
      </x:c>
      <x:c r="M118" t="n">
        <x:v>2</x:v>
      </x:c>
      <x:c r="N118" t="n">
        <x:v>6</x:v>
      </x:c>
      <x:c r="O118" t="n">
        <x:v>16</x:v>
      </x:c>
      <x:c r="P118" s="63" t="str">
        <x:f>IF(M118=0,"—",M118&amp;"d"&amp;N118&amp;IF(O118=0,""," + "&amp;O118))</x:f>
        <x:v>2d6 + 16</x:v>
      </x:c>
      <x:c r="Q118" t="n">
        <x:f>ROUND(INDEX(Catalogue!E$4:E$85,MATCH(A118,Catalogue!A$4:A$85,0))*(1+'Paramètres'!$B$4*(C118-1)+'Paramètres'!$B$5*(C118-1)^2),0)</x:f>
        <x:v>17</x:v>
      </x:c>
      <x:c r="R118" t="n">
        <x:f>ROUND(INDEX(Catalogue!F$4:F$85,MATCH(A118,Catalogue!A$4:A$85,0))*(1+'Paramètres'!$B$4*(C118-1)+'Paramètres'!$B$5*(C118-1)^2),0)</x:f>
        <x:v>28</x:v>
      </x:c>
      <x:c r="S118" t="n">
        <x:f>L118-AVERAGE(Q118:R118)</x:f>
        <x:v>0.5</x:v>
      </x:c>
      <x:c r="T118" t="str">
        <x:f>IF(M118=0,IF(AND(N118=0,O118=0,E118=0,F118=0),"OK","ERREUR"),IF(AND(M118&gt;=1,M118&lt;=32,OR(N118=4,N118=6,N118=8,N118=10,N118=12,N118=20),O118&gt;=0,E118=M118+O118,F118=M118*N118+O118),"OK","ERREUR"))</x:f>
        <x:v>OK</x:v>
      </x:c>
      <x:c r="U118" s="86" t="n">
        <x:f>IF(M118&gt;0,M118*(N118+1)/2+O118,0)</x:f>
        <x:v>23</x:v>
      </x:c>
      <x:c r="V118" t="str">
        <x:f>IF(ABS(L118-U118)&lt;0.001,"OK","ERREUR")</x:f>
        <x:v>OK</x:v>
      </x:c>
    </x:row>
    <x:row r="119" ht="18" customHeight="1">
      <x:c r="A119" t="str">
        <x:v>ARM006</x:v>
      </x:c>
      <x:c r="B119" t="str">
        <x:v>Épée courte</x:v>
      </x:c>
      <x:c r="C119" t="n">
        <x:v>16</x:v>
      </x:c>
      <x:c r="D119" t="str">
        <x:v>Légères</x:v>
      </x:c>
      <x:c r="E119" s="28" t="n">
        <x:f>IF(M119=0,0,M119+O119)</x:f>
        <x:v>19</x:v>
      </x:c>
      <x:c r="F119" s="28" t="n">
        <x:f>IF(M119=0,0,M119*N119+O119)</x:f>
        <x:v>31</x:v>
      </x:c>
      <x:c r="G119" s="28" t="n">
        <x:f>ROUND(Catalogue!G9*SQRT((1+'Paramètres'!$B$4*(C119-1)+'Paramètres'!$B$5*(C119-1)^2)),0)</x:f>
        <x:v>0</x:v>
      </x:c>
      <x:c r="H119" s="28" t="n">
        <x:f>ROUND(Catalogue!H9*SQRT((1+'Paramètres'!$B$4*(C119-1)+'Paramètres'!$B$5*(C119-1)^2)),0)</x:f>
        <x:v>0</x:v>
      </x:c>
      <x:c r="I119" s="28" t="n">
        <x:v>2</x:v>
      </x:c>
      <x:c r="J119" s="28" t="n">
        <x:v>1</x:v>
      </x:c>
      <x:c r="K119" s="30" t="n">
        <x:v>1</x:v>
      </x:c>
      <x:c r="L119" s="54" t="n">
        <x:f>IF(M119=0,0,(E119+F119)/2)</x:f>
        <x:v>25</x:v>
      </x:c>
      <x:c r="M119" t="n">
        <x:v>4</x:v>
      </x:c>
      <x:c r="N119" t="n">
        <x:v>4</x:v>
      </x:c>
      <x:c r="O119" t="n">
        <x:v>15</x:v>
      </x:c>
      <x:c r="P119" s="63" t="str">
        <x:f>IF(M119=0,"—",M119&amp;"d"&amp;N119&amp;IF(O119=0,""," + "&amp;O119))</x:f>
        <x:v>4d4 + 15</x:v>
      </x:c>
      <x:c r="Q119" t="n">
        <x:f>ROUND(INDEX(Catalogue!E$4:E$85,MATCH(A119,Catalogue!A$4:A$85,0))*(1+'Paramètres'!$B$4*(C119-1)+'Paramètres'!$B$5*(C119-1)^2),0)</x:f>
        <x:v>19</x:v>
      </x:c>
      <x:c r="R119" t="n">
        <x:f>ROUND(INDEX(Catalogue!F$4:F$85,MATCH(A119,Catalogue!A$4:A$85,0))*(1+'Paramètres'!$B$4*(C119-1)+'Paramètres'!$B$5*(C119-1)^2),0)</x:f>
        <x:v>31</x:v>
      </x:c>
      <x:c r="S119" t="n">
        <x:f>L119-AVERAGE(Q119:R119)</x:f>
        <x:v>0</x:v>
      </x:c>
      <x:c r="T119" t="str">
        <x:f>IF(M119=0,IF(AND(N119=0,O119=0,E119=0,F119=0),"OK","ERREUR"),IF(AND(M119&gt;=1,M119&lt;=32,OR(N119=4,N119=6,N119=8,N119=10,N119=12,N119=20),O119&gt;=0,E119=M119+O119,F119=M119*N119+O119),"OK","ERREUR"))</x:f>
        <x:v>OK</x:v>
      </x:c>
      <x:c r="U119" s="86" t="n">
        <x:f>IF(M119&gt;0,M119*(N119+1)/2+O119,0)</x:f>
        <x:v>25</x:v>
      </x:c>
      <x:c r="V119" t="str">
        <x:f>IF(ABS(L119-U119)&lt;0.001,"OK","ERREUR")</x:f>
        <x:v>OK</x:v>
      </x:c>
    </x:row>
    <x:row r="120" ht="18" customHeight="1">
      <x:c r="A120" t="str">
        <x:v>ARM006</x:v>
      </x:c>
      <x:c r="B120" t="str">
        <x:v>Épée courte</x:v>
      </x:c>
      <x:c r="C120" t="n">
        <x:v>17</x:v>
      </x:c>
      <x:c r="D120" t="str">
        <x:v>Légères</x:v>
      </x:c>
      <x:c r="E120" s="28" t="n">
        <x:f>IF(M120=0,0,M120+O120)</x:f>
        <x:v>20</x:v>
      </x:c>
      <x:c r="F120" s="28" t="n">
        <x:f>IF(M120=0,0,M120*N120+O120)</x:f>
        <x:v>34</x:v>
      </x:c>
      <x:c r="G120" s="28" t="n">
        <x:f>ROUND(Catalogue!G9*SQRT((1+'Paramètres'!$B$4*(C120-1)+'Paramètres'!$B$5*(C120-1)^2)),0)</x:f>
        <x:v>0</x:v>
      </x:c>
      <x:c r="H120" s="28" t="n">
        <x:f>ROUND(Catalogue!H9*SQRT((1+'Paramètres'!$B$4*(C120-1)+'Paramètres'!$B$5*(C120-1)^2)),0)</x:f>
        <x:v>0</x:v>
      </x:c>
      <x:c r="I120" s="28" t="n">
        <x:v>2</x:v>
      </x:c>
      <x:c r="J120" s="28" t="n">
        <x:v>1</x:v>
      </x:c>
      <x:c r="K120" s="30" t="n">
        <x:v>1</x:v>
      </x:c>
      <x:c r="L120" s="54" t="n">
        <x:f>IF(M120=0,0,(E120+F120)/2)</x:f>
        <x:v>27</x:v>
      </x:c>
      <x:c r="M120" t="n">
        <x:v>2</x:v>
      </x:c>
      <x:c r="N120" t="n">
        <x:v>8</x:v>
      </x:c>
      <x:c r="O120" t="n">
        <x:v>18</x:v>
      </x:c>
      <x:c r="P120" s="63" t="str">
        <x:f>IF(M120=0,"—",M120&amp;"d"&amp;N120&amp;IF(O120=0,""," + "&amp;O120))</x:f>
        <x:v>2d8 + 18</x:v>
      </x:c>
      <x:c r="Q120" t="n">
        <x:f>ROUND(INDEX(Catalogue!E$4:E$85,MATCH(A120,Catalogue!A$4:A$85,0))*(1+'Paramètres'!$B$4*(C120-1)+'Paramètres'!$B$5*(C120-1)^2),0)</x:f>
        <x:v>21</x:v>
      </x:c>
      <x:c r="R120" t="n">
        <x:f>ROUND(INDEX(Catalogue!F$4:F$85,MATCH(A120,Catalogue!A$4:A$85,0))*(1+'Paramètres'!$B$4*(C120-1)+'Paramètres'!$B$5*(C120-1)^2),0)</x:f>
        <x:v>34</x:v>
      </x:c>
      <x:c r="S120" t="n">
        <x:f>L120-AVERAGE(Q120:R120)</x:f>
        <x:v>-0.5</x:v>
      </x:c>
      <x:c r="T120" t="str">
        <x:f>IF(M120=0,IF(AND(N120=0,O120=0,E120=0,F120=0),"OK","ERREUR"),IF(AND(M120&gt;=1,M120&lt;=32,OR(N120=4,N120=6,N120=8,N120=10,N120=12,N120=20),O120&gt;=0,E120=M120+O120,F120=M120*N120+O120),"OK","ERREUR"))</x:f>
        <x:v>OK</x:v>
      </x:c>
      <x:c r="U120" s="86" t="n">
        <x:f>IF(M120&gt;0,M120*(N120+1)/2+O120,0)</x:f>
        <x:v>27</x:v>
      </x:c>
      <x:c r="V120" t="str">
        <x:f>IF(ABS(L120-U120)&lt;0.001,"OK","ERREUR")</x:f>
        <x:v>OK</x:v>
      </x:c>
    </x:row>
    <x:row r="121" ht="18" customHeight="1">
      <x:c r="A121" t="str">
        <x:v>ARM006</x:v>
      </x:c>
      <x:c r="B121" t="str">
        <x:v>Épée courte</x:v>
      </x:c>
      <x:c r="C121" t="n">
        <x:v>18</x:v>
      </x:c>
      <x:c r="D121" t="str">
        <x:v>Légères</x:v>
      </x:c>
      <x:c r="E121" s="28" t="n">
        <x:f>IF(M121=0,0,M121+O121)</x:f>
        <x:v>22</x:v>
      </x:c>
      <x:c r="F121" s="28" t="n">
        <x:f>IF(M121=0,0,M121*N121+O121)</x:f>
        <x:v>37</x:v>
      </x:c>
      <x:c r="G121" s="28" t="n">
        <x:f>ROUND(Catalogue!G9*SQRT((1+'Paramètres'!$B$4*(C121-1)+'Paramètres'!$B$5*(C121-1)^2)),0)</x:f>
        <x:v>0</x:v>
      </x:c>
      <x:c r="H121" s="28" t="n">
        <x:f>ROUND(Catalogue!H9*SQRT((1+'Paramètres'!$B$4*(C121-1)+'Paramètres'!$B$5*(C121-1)^2)),0)</x:f>
        <x:v>0</x:v>
      </x:c>
      <x:c r="I121" s="28" t="n">
        <x:v>2</x:v>
      </x:c>
      <x:c r="J121" s="28" t="n">
        <x:v>1</x:v>
      </x:c>
      <x:c r="K121" s="30" t="n">
        <x:v>1</x:v>
      </x:c>
      <x:c r="L121" s="54" t="n">
        <x:f>IF(M121=0,0,(E121+F121)/2)</x:f>
        <x:v>29.5</x:v>
      </x:c>
      <x:c r="M121" t="n">
        <x:v>3</x:v>
      </x:c>
      <x:c r="N121" t="n">
        <x:v>6</x:v>
      </x:c>
      <x:c r="O121" t="n">
        <x:v>19</x:v>
      </x:c>
      <x:c r="P121" s="63" t="str">
        <x:f>IF(M121=0,"—",M121&amp;"d"&amp;N121&amp;IF(O121=0,""," + "&amp;O121))</x:f>
        <x:v>3d6 + 19</x:v>
      </x:c>
      <x:c r="Q121" t="n">
        <x:f>ROUND(INDEX(Catalogue!E$4:E$85,MATCH(A121,Catalogue!A$4:A$85,0))*(1+'Paramètres'!$B$4*(C121-1)+'Paramètres'!$B$5*(C121-1)^2),0)</x:f>
        <x:v>22</x:v>
      </x:c>
      <x:c r="R121" t="n">
        <x:f>ROUND(INDEX(Catalogue!F$4:F$85,MATCH(A121,Catalogue!A$4:A$85,0))*(1+'Paramètres'!$B$4*(C121-1)+'Paramètres'!$B$5*(C121-1)^2),0)</x:f>
        <x:v>37</x:v>
      </x:c>
      <x:c r="S121" t="n">
        <x:f>L121-AVERAGE(Q121:R121)</x:f>
        <x:v>0</x:v>
      </x:c>
      <x:c r="T121" t="str">
        <x:f>IF(M121=0,IF(AND(N121=0,O121=0,E121=0,F121=0),"OK","ERREUR"),IF(AND(M121&gt;=1,M121&lt;=32,OR(N121=4,N121=6,N121=8,N121=10,N121=12,N121=20),O121&gt;=0,E121=M121+O121,F121=M121*N121+O121),"OK","ERREUR"))</x:f>
        <x:v>OK</x:v>
      </x:c>
      <x:c r="U121" s="86" t="n">
        <x:f>IF(M121&gt;0,M121*(N121+1)/2+O121,0)</x:f>
        <x:v>29.5</x:v>
      </x:c>
      <x:c r="V121" t="str">
        <x:f>IF(ABS(L121-U121)&lt;0.001,"OK","ERREUR")</x:f>
        <x:v>OK</x:v>
      </x:c>
    </x:row>
    <x:row r="122" ht="18" customHeight="1">
      <x:c r="A122" t="str">
        <x:v>ARM006</x:v>
      </x:c>
      <x:c r="B122" t="str">
        <x:v>Épée courte</x:v>
      </x:c>
      <x:c r="C122" t="n">
        <x:v>19</x:v>
      </x:c>
      <x:c r="D122" t="str">
        <x:v>Légères</x:v>
      </x:c>
      <x:c r="E122" s="28" t="n">
        <x:f>IF(M122=0,0,M122+O122)</x:f>
        <x:v>23</x:v>
      </x:c>
      <x:c r="F122" s="28" t="n">
        <x:f>IF(M122=0,0,M122*N122+O122)</x:f>
        <x:v>41</x:v>
      </x:c>
      <x:c r="G122" s="28" t="n">
        <x:f>ROUND(Catalogue!G9*SQRT((1+'Paramètres'!$B$4*(C122-1)+'Paramètres'!$B$5*(C122-1)^2)),0)</x:f>
        <x:v>0</x:v>
      </x:c>
      <x:c r="H122" s="28" t="n">
        <x:f>ROUND(Catalogue!H9*SQRT((1+'Paramètres'!$B$4*(C122-1)+'Paramètres'!$B$5*(C122-1)^2)),0)</x:f>
        <x:v>0</x:v>
      </x:c>
      <x:c r="I122" s="28" t="n">
        <x:v>2</x:v>
      </x:c>
      <x:c r="J122" s="28" t="n">
        <x:v>1</x:v>
      </x:c>
      <x:c r="K122" s="30" t="n">
        <x:v>1</x:v>
      </x:c>
      <x:c r="L122" s="54" t="n">
        <x:f>IF(M122=0,0,(E122+F122)/2)</x:f>
        <x:v>32</x:v>
      </x:c>
      <x:c r="M122" t="n">
        <x:v>2</x:v>
      </x:c>
      <x:c r="N122" t="n">
        <x:v>10</x:v>
      </x:c>
      <x:c r="O122" t="n">
        <x:v>21</x:v>
      </x:c>
      <x:c r="P122" s="63" t="str">
        <x:f>IF(M122=0,"—",M122&amp;"d"&amp;N122&amp;IF(O122=0,""," + "&amp;O122))</x:f>
        <x:v>2d10 + 21</x:v>
      </x:c>
      <x:c r="Q122" t="n">
        <x:f>ROUND(INDEX(Catalogue!E$4:E$85,MATCH(A122,Catalogue!A$4:A$85,0))*(1+'Paramètres'!$B$4*(C122-1)+'Paramètres'!$B$5*(C122-1)^2),0)</x:f>
        <x:v>24</x:v>
      </x:c>
      <x:c r="R122" t="n">
        <x:f>ROUND(INDEX(Catalogue!F$4:F$85,MATCH(A122,Catalogue!A$4:A$85,0))*(1+'Paramètres'!$B$4*(C122-1)+'Paramètres'!$B$5*(C122-1)^2),0)</x:f>
        <x:v>41</x:v>
      </x:c>
      <x:c r="S122" t="n">
        <x:f>L122-AVERAGE(Q122:R122)</x:f>
        <x:v>-0.5</x:v>
      </x:c>
      <x:c r="T122" t="str">
        <x:f>IF(M122=0,IF(AND(N122=0,O122=0,E122=0,F122=0),"OK","ERREUR"),IF(AND(M122&gt;=1,M122&lt;=32,OR(N122=4,N122=6,N122=8,N122=10,N122=12,N122=20),O122&gt;=0,E122=M122+O122,F122=M122*N122+O122),"OK","ERREUR"))</x:f>
        <x:v>OK</x:v>
      </x:c>
      <x:c r="U122" s="86" t="n">
        <x:f>IF(M122&gt;0,M122*(N122+1)/2+O122,0)</x:f>
        <x:v>32</x:v>
      </x:c>
      <x:c r="V122" t="str">
        <x:f>IF(ABS(L122-U122)&lt;0.001,"OK","ERREUR")</x:f>
        <x:v>OK</x:v>
      </x:c>
    </x:row>
    <x:row r="123" ht="18" customHeight="1">
      <x:c r="A123" t="str">
        <x:v>ARM006</x:v>
      </x:c>
      <x:c r="B123" t="str">
        <x:v>Épée courte</x:v>
      </x:c>
      <x:c r="C123" t="n">
        <x:v>20</x:v>
      </x:c>
      <x:c r="D123" t="str">
        <x:v>Légères</x:v>
      </x:c>
      <x:c r="E123" s="28" t="n">
        <x:f>IF(M123=0,0,M123+O123)</x:f>
        <x:v>26</x:v>
      </x:c>
      <x:c r="F123" s="28" t="n">
        <x:f>IF(M123=0,0,M123*N123+O123)</x:f>
        <x:v>44</x:v>
      </x:c>
      <x:c r="G123" s="28" t="n">
        <x:f>ROUND(Catalogue!G9*SQRT((1+'Paramètres'!$B$4*(C123-1)+'Paramètres'!$B$5*(C123-1)^2)),0)</x:f>
        <x:v>0</x:v>
      </x:c>
      <x:c r="H123" s="28" t="n">
        <x:f>ROUND(Catalogue!H9*SQRT((1+'Paramètres'!$B$4*(C123-1)+'Paramètres'!$B$5*(C123-1)^2)),0)</x:f>
        <x:v>0</x:v>
      </x:c>
      <x:c r="I123" s="28" t="n">
        <x:v>2</x:v>
      </x:c>
      <x:c r="J123" s="28" t="n">
        <x:v>1</x:v>
      </x:c>
      <x:c r="K123" s="30" t="n">
        <x:v>1</x:v>
      </x:c>
      <x:c r="L123" s="54" t="n">
        <x:f>IF(M123=0,0,(E123+F123)/2)</x:f>
        <x:v>35</x:v>
      </x:c>
      <x:c r="M123" t="n">
        <x:v>2</x:v>
      </x:c>
      <x:c r="N123" t="n">
        <x:v>10</x:v>
      </x:c>
      <x:c r="O123" t="n">
        <x:v>24</x:v>
      </x:c>
      <x:c r="P123" s="63" t="str">
        <x:f>IF(M123=0,"—",M123&amp;"d"&amp;N123&amp;IF(O123=0,""," + "&amp;O123))</x:f>
        <x:v>2d10 + 24</x:v>
      </x:c>
      <x:c r="Q123" t="n">
        <x:f>ROUND(INDEX(Catalogue!E$4:E$85,MATCH(A123,Catalogue!A$4:A$85,0))*(1+'Paramètres'!$B$4*(C123-1)+'Paramètres'!$B$5*(C123-1)^2),0)</x:f>
        <x:v>27</x:v>
      </x:c>
      <x:c r="R123" t="n">
        <x:f>ROUND(INDEX(Catalogue!F$4:F$85,MATCH(A123,Catalogue!A$4:A$85,0))*(1+'Paramètres'!$B$4*(C123-1)+'Paramètres'!$B$5*(C123-1)^2),0)</x:f>
        <x:v>44</x:v>
      </x:c>
      <x:c r="S123" t="n">
        <x:f>L123-AVERAGE(Q123:R123)</x:f>
        <x:v>-0.5</x:v>
      </x:c>
      <x:c r="T123" t="str">
        <x:f>IF(M123=0,IF(AND(N123=0,O123=0,E123=0,F123=0),"OK","ERREUR"),IF(AND(M123&gt;=1,M123&lt;=32,OR(N123=4,N123=6,N123=8,N123=10,N123=12,N123=20),O123&gt;=0,E123=M123+O123,F123=M123*N123+O123),"OK","ERREUR"))</x:f>
        <x:v>OK</x:v>
      </x:c>
      <x:c r="U123" s="86" t="n">
        <x:f>IF(M123&gt;0,M123*(N123+1)/2+O123,0)</x:f>
        <x:v>35</x:v>
      </x:c>
      <x:c r="V123" t="str">
        <x:f>IF(ABS(L123-U123)&lt;0.001,"OK","ERREUR")</x:f>
        <x:v>OK</x:v>
      </x:c>
    </x:row>
    <x:row r="124" ht="18" customHeight="1">
      <x:c r="A124" t="str">
        <x:v>ARM007</x:v>
      </x:c>
      <x:c r="B124" t="str">
        <x:v>Rapière</x:v>
      </x:c>
      <x:c r="C124" t="n">
        <x:v>1</x:v>
      </x:c>
      <x:c r="D124" t="str">
        <x:v>Légères</x:v>
      </x:c>
      <x:c r="E124" s="28" t="n">
        <x:f>IF(M124=0,0,M124+O124)</x:f>
        <x:v>2</x:v>
      </x:c>
      <x:c r="F124" s="28" t="n">
        <x:f>IF(M124=0,0,M124*N124+O124)</x:f>
        <x:v>5</x:v>
      </x:c>
      <x:c r="G124" s="28" t="n">
        <x:f>ROUND(Catalogue!G10*SQRT((1+'Paramètres'!$B$4*(C124-1)+'Paramètres'!$B$5*(C124-1)^2)),0)</x:f>
        <x:v>0</x:v>
      </x:c>
      <x:c r="H124" s="28" t="n">
        <x:f>ROUND(Catalogue!H10*SQRT((1+'Paramètres'!$B$4*(C124-1)+'Paramètres'!$B$5*(C124-1)^2)),0)</x:f>
        <x:v>0</x:v>
      </x:c>
      <x:c r="I124" s="28" t="n">
        <x:v>2</x:v>
      </x:c>
      <x:c r="J124" s="28" t="n">
        <x:v>1</x:v>
      </x:c>
      <x:c r="K124" s="30" t="n">
        <x:v>1</x:v>
      </x:c>
      <x:c r="L124" s="54" t="n">
        <x:f>IF(M124=0,0,(E124+F124)/2)</x:f>
        <x:v>3.5</x:v>
      </x:c>
      <x:c r="M124" t="n">
        <x:v>1</x:v>
      </x:c>
      <x:c r="N124" t="n">
        <x:v>4</x:v>
      </x:c>
      <x:c r="O124" t="n">
        <x:v>1</x:v>
      </x:c>
      <x:c r="P124" s="63" t="str">
        <x:f>IF(M124=0,"—",M124&amp;"d"&amp;N124&amp;IF(O124=0,""," + "&amp;O124))</x:f>
        <x:v>1d4 + 1</x:v>
      </x:c>
      <x:c r="Q124" t="n">
        <x:f>ROUND(INDEX(Catalogue!E$4:E$85,MATCH(A124,Catalogue!A$4:A$85,0))*(1+'Paramètres'!$B$4*(C124-1)+'Paramètres'!$B$5*(C124-1)^2),0)</x:f>
        <x:v>2</x:v>
      </x:c>
      <x:c r="R124" t="n">
        <x:f>ROUND(INDEX(Catalogue!F$4:F$85,MATCH(A124,Catalogue!A$4:A$85,0))*(1+'Paramètres'!$B$4*(C124-1)+'Paramètres'!$B$5*(C124-1)^2),0)</x:f>
        <x:v>5</x:v>
      </x:c>
      <x:c r="S124" t="n">
        <x:f>L124-AVERAGE(Q124:R124)</x:f>
        <x:v>0</x:v>
      </x:c>
      <x:c r="T124" t="str">
        <x:f>IF(M124=0,IF(AND(N124=0,O124=0,E124=0,F124=0),"OK","ERREUR"),IF(AND(M124&gt;=1,M124&lt;=32,OR(N124=4,N124=6,N124=8,N124=10,N124=12,N124=20),O124&gt;=0,E124=M124+O124,F124=M124*N124+O124),"OK","ERREUR"))</x:f>
        <x:v>OK</x:v>
      </x:c>
      <x:c r="U124" s="86" t="n">
        <x:f>IF(M124&gt;0,M124*(N124+1)/2+O124,0)</x:f>
        <x:v>3.5</x:v>
      </x:c>
      <x:c r="V124" t="str">
        <x:f>IF(ABS(L124-U124)&lt;0.001,"OK","ERREUR")</x:f>
        <x:v>OK</x:v>
      </x:c>
    </x:row>
    <x:row r="125" ht="18" customHeight="1">
      <x:c r="A125" t="str">
        <x:v>ARM007</x:v>
      </x:c>
      <x:c r="B125" t="str">
        <x:v>Rapière</x:v>
      </x:c>
      <x:c r="C125" t="n">
        <x:v>2</x:v>
      </x:c>
      <x:c r="D125" t="str">
        <x:v>Légères</x:v>
      </x:c>
      <x:c r="E125" s="28" t="n">
        <x:f>IF(M125=0,0,M125+O125)</x:f>
        <x:v>2</x:v>
      </x:c>
      <x:c r="F125" s="28" t="n">
        <x:f>IF(M125=0,0,M125*N125+O125)</x:f>
        <x:v>5</x:v>
      </x:c>
      <x:c r="G125" s="28" t="n">
        <x:f>ROUND(Catalogue!G10*SQRT((1+'Paramètres'!$B$4*(C125-1)+'Paramètres'!$B$5*(C125-1)^2)),0)</x:f>
        <x:v>0</x:v>
      </x:c>
      <x:c r="H125" s="28" t="n">
        <x:f>ROUND(Catalogue!H10*SQRT((1+'Paramètres'!$B$4*(C125-1)+'Paramètres'!$B$5*(C125-1)^2)),0)</x:f>
        <x:v>0</x:v>
      </x:c>
      <x:c r="I125" s="28" t="n">
        <x:v>2</x:v>
      </x:c>
      <x:c r="J125" s="28" t="n">
        <x:v>1</x:v>
      </x:c>
      <x:c r="K125" s="30" t="n">
        <x:v>1</x:v>
      </x:c>
      <x:c r="L125" s="54" t="n">
        <x:f>IF(M125=0,0,(E125+F125)/2)</x:f>
        <x:v>3.5</x:v>
      </x:c>
      <x:c r="M125" t="n">
        <x:v>1</x:v>
      </x:c>
      <x:c r="N125" t="n">
        <x:v>4</x:v>
      </x:c>
      <x:c r="O125" t="n">
        <x:v>1</x:v>
      </x:c>
      <x:c r="P125" s="63" t="str">
        <x:f>IF(M125=0,"—",M125&amp;"d"&amp;N125&amp;IF(O125=0,""," + "&amp;O125))</x:f>
        <x:v>1d4 + 1</x:v>
      </x:c>
      <x:c r="Q125" t="n">
        <x:f>ROUND(INDEX(Catalogue!E$4:E$85,MATCH(A125,Catalogue!A$4:A$85,0))*(1+'Paramètres'!$B$4*(C125-1)+'Paramètres'!$B$5*(C125-1)^2),0)</x:f>
        <x:v>2</x:v>
      </x:c>
      <x:c r="R125" t="n">
        <x:f>ROUND(INDEX(Catalogue!F$4:F$85,MATCH(A125,Catalogue!A$4:A$85,0))*(1+'Paramètres'!$B$4*(C125-1)+'Paramètres'!$B$5*(C125-1)^2),0)</x:f>
        <x:v>6</x:v>
      </x:c>
      <x:c r="S125" t="n">
        <x:f>L125-AVERAGE(Q125:R125)</x:f>
        <x:v>-0.5</x:v>
      </x:c>
      <x:c r="T125" t="str">
        <x:f>IF(M125=0,IF(AND(N125=0,O125=0,E125=0,F125=0),"OK","ERREUR"),IF(AND(M125&gt;=1,M125&lt;=32,OR(N125=4,N125=6,N125=8,N125=10,N125=12,N125=20),O125&gt;=0,E125=M125+O125,F125=M125*N125+O125),"OK","ERREUR"))</x:f>
        <x:v>OK</x:v>
      </x:c>
      <x:c r="U125" s="86" t="n">
        <x:f>IF(M125&gt;0,M125*(N125+1)/2+O125,0)</x:f>
        <x:v>3.5</x:v>
      </x:c>
      <x:c r="V125" t="str">
        <x:f>IF(ABS(L125-U125)&lt;0.001,"OK","ERREUR")</x:f>
        <x:v>OK</x:v>
      </x:c>
    </x:row>
    <x:row r="126" ht="18" customHeight="1">
      <x:c r="A126" t="str">
        <x:v>ARM007</x:v>
      </x:c>
      <x:c r="B126" t="str">
        <x:v>Rapière</x:v>
      </x:c>
      <x:c r="C126" t="n">
        <x:v>3</x:v>
      </x:c>
      <x:c r="D126" t="str">
        <x:v>Légères</x:v>
      </x:c>
      <x:c r="E126" s="28" t="n">
        <x:f>IF(M126=0,0,M126+O126)</x:f>
        <x:v>3</x:v>
      </x:c>
      <x:c r="F126" s="28" t="n">
        <x:f>IF(M126=0,0,M126*N126+O126)</x:f>
        <x:v>6</x:v>
      </x:c>
      <x:c r="G126" s="28" t="n">
        <x:f>ROUND(Catalogue!G10*SQRT((1+'Paramètres'!$B$4*(C126-1)+'Paramètres'!$B$5*(C126-1)^2)),0)</x:f>
        <x:v>0</x:v>
      </x:c>
      <x:c r="H126" s="28" t="n">
        <x:f>ROUND(Catalogue!H10*SQRT((1+'Paramètres'!$B$4*(C126-1)+'Paramètres'!$B$5*(C126-1)^2)),0)</x:f>
        <x:v>0</x:v>
      </x:c>
      <x:c r="I126" s="28" t="n">
        <x:v>2</x:v>
      </x:c>
      <x:c r="J126" s="28" t="n">
        <x:v>1</x:v>
      </x:c>
      <x:c r="K126" s="30" t="n">
        <x:v>1</x:v>
      </x:c>
      <x:c r="L126" s="54" t="n">
        <x:f>IF(M126=0,0,(E126+F126)/2)</x:f>
        <x:v>4.5</x:v>
      </x:c>
      <x:c r="M126" t="n">
        <x:v>1</x:v>
      </x:c>
      <x:c r="N126" t="n">
        <x:v>4</x:v>
      </x:c>
      <x:c r="O126" t="n">
        <x:v>2</x:v>
      </x:c>
      <x:c r="P126" s="63" t="str">
        <x:f>IF(M126=0,"—",M126&amp;"d"&amp;N126&amp;IF(O126=0,""," + "&amp;O126))</x:f>
        <x:v>1d4 + 2</x:v>
      </x:c>
      <x:c r="Q126" t="n">
        <x:f>ROUND(INDEX(Catalogue!E$4:E$85,MATCH(A126,Catalogue!A$4:A$85,0))*(1+'Paramètres'!$B$4*(C126-1)+'Paramètres'!$B$5*(C126-1)^2),0)</x:f>
        <x:v>3</x:v>
      </x:c>
      <x:c r="R126" t="n">
        <x:f>ROUND(INDEX(Catalogue!F$4:F$85,MATCH(A126,Catalogue!A$4:A$85,0))*(1+'Paramètres'!$B$4*(C126-1)+'Paramètres'!$B$5*(C126-1)^2),0)</x:f>
        <x:v>6</x:v>
      </x:c>
      <x:c r="S126" t="n">
        <x:f>L126-AVERAGE(Q126:R126)</x:f>
        <x:v>0</x:v>
      </x:c>
      <x:c r="T126" t="str">
        <x:f>IF(M126=0,IF(AND(N126=0,O126=0,E126=0,F126=0),"OK","ERREUR"),IF(AND(M126&gt;=1,M126&lt;=32,OR(N126=4,N126=6,N126=8,N126=10,N126=12,N126=20),O126&gt;=0,E126=M126+O126,F126=M126*N126+O126),"OK","ERREUR"))</x:f>
        <x:v>OK</x:v>
      </x:c>
      <x:c r="U126" s="86" t="n">
        <x:f>IF(M126&gt;0,M126*(N126+1)/2+O126,0)</x:f>
        <x:v>4.5</x:v>
      </x:c>
      <x:c r="V126" t="str">
        <x:f>IF(ABS(L126-U126)&lt;0.001,"OK","ERREUR")</x:f>
        <x:v>OK</x:v>
      </x:c>
    </x:row>
    <x:row r="127" ht="18" customHeight="1">
      <x:c r="A127" t="str">
        <x:v>ARM007</x:v>
      </x:c>
      <x:c r="B127" t="str">
        <x:v>Rapière</x:v>
      </x:c>
      <x:c r="C127" t="n">
        <x:v>4</x:v>
      </x:c>
      <x:c r="D127" t="str">
        <x:v>Légères</x:v>
      </x:c>
      <x:c r="E127" s="28" t="n">
        <x:f>IF(M127=0,0,M127+O127)</x:f>
        <x:v>3</x:v>
      </x:c>
      <x:c r="F127" s="28" t="n">
        <x:f>IF(M127=0,0,M127*N127+O127)</x:f>
        <x:v>6</x:v>
      </x:c>
      <x:c r="G127" s="28" t="n">
        <x:f>ROUND(Catalogue!G10*SQRT((1+'Paramètres'!$B$4*(C127-1)+'Paramètres'!$B$5*(C127-1)^2)),0)</x:f>
        <x:v>0</x:v>
      </x:c>
      <x:c r="H127" s="28" t="n">
        <x:f>ROUND(Catalogue!H10*SQRT((1+'Paramètres'!$B$4*(C127-1)+'Paramètres'!$B$5*(C127-1)^2)),0)</x:f>
        <x:v>0</x:v>
      </x:c>
      <x:c r="I127" s="28" t="n">
        <x:v>2</x:v>
      </x:c>
      <x:c r="J127" s="28" t="n">
        <x:v>1</x:v>
      </x:c>
      <x:c r="K127" s="30" t="n">
        <x:v>1</x:v>
      </x:c>
      <x:c r="L127" s="54" t="n">
        <x:f>IF(M127=0,0,(E127+F127)/2)</x:f>
        <x:v>4.5</x:v>
      </x:c>
      <x:c r="M127" t="n">
        <x:v>1</x:v>
      </x:c>
      <x:c r="N127" t="n">
        <x:v>4</x:v>
      </x:c>
      <x:c r="O127" t="n">
        <x:v>2</x:v>
      </x:c>
      <x:c r="P127" s="63" t="str">
        <x:f>IF(M127=0,"—",M127&amp;"d"&amp;N127&amp;IF(O127=0,""," + "&amp;O127))</x:f>
        <x:v>1d4 + 2</x:v>
      </x:c>
      <x:c r="Q127" t="n">
        <x:f>ROUND(INDEX(Catalogue!E$4:E$85,MATCH(A127,Catalogue!A$4:A$85,0))*(1+'Paramètres'!$B$4*(C127-1)+'Paramètres'!$B$5*(C127-1)^2),0)</x:f>
        <x:v>3</x:v>
      </x:c>
      <x:c r="R127" t="n">
        <x:f>ROUND(INDEX(Catalogue!F$4:F$85,MATCH(A127,Catalogue!A$4:A$85,0))*(1+'Paramètres'!$B$4*(C127-1)+'Paramètres'!$B$5*(C127-1)^2),0)</x:f>
        <x:v>7</x:v>
      </x:c>
      <x:c r="S127" t="n">
        <x:f>L127-AVERAGE(Q127:R127)</x:f>
        <x:v>-0.5</x:v>
      </x:c>
      <x:c r="T127" t="str">
        <x:f>IF(M127=0,IF(AND(N127=0,O127=0,E127=0,F127=0),"OK","ERREUR"),IF(AND(M127&gt;=1,M127&lt;=32,OR(N127=4,N127=6,N127=8,N127=10,N127=12,N127=20),O127&gt;=0,E127=M127+O127,F127=M127*N127+O127),"OK","ERREUR"))</x:f>
        <x:v>OK</x:v>
      </x:c>
      <x:c r="U127" s="86" t="n">
        <x:f>IF(M127&gt;0,M127*(N127+1)/2+O127,0)</x:f>
        <x:v>4.5</x:v>
      </x:c>
      <x:c r="V127" t="str">
        <x:f>IF(ABS(L127-U127)&lt;0.001,"OK","ERREUR")</x:f>
        <x:v>OK</x:v>
      </x:c>
    </x:row>
    <x:row r="128" ht="18" customHeight="1">
      <x:c r="A128" t="str">
        <x:v>ARM007</x:v>
      </x:c>
      <x:c r="B128" t="str">
        <x:v>Rapière</x:v>
      </x:c>
      <x:c r="C128" t="n">
        <x:v>5</x:v>
      </x:c>
      <x:c r="D128" t="str">
        <x:v>Légères</x:v>
      </x:c>
      <x:c r="E128" s="28" t="n">
        <x:f>IF(M128=0,0,M128+O128)</x:f>
        <x:v>3</x:v>
      </x:c>
      <x:c r="F128" s="28" t="n">
        <x:f>IF(M128=0,0,M128*N128+O128)</x:f>
        <x:v>8</x:v>
      </x:c>
      <x:c r="G128" s="28" t="n">
        <x:f>ROUND(Catalogue!G10*SQRT((1+'Paramètres'!$B$4*(C128-1)+'Paramètres'!$B$5*(C128-1)^2)),0)</x:f>
        <x:v>0</x:v>
      </x:c>
      <x:c r="H128" s="28" t="n">
        <x:f>ROUND(Catalogue!H10*SQRT((1+'Paramètres'!$B$4*(C128-1)+'Paramètres'!$B$5*(C128-1)^2)),0)</x:f>
        <x:v>0</x:v>
      </x:c>
      <x:c r="I128" s="28" t="n">
        <x:v>2</x:v>
      </x:c>
      <x:c r="J128" s="28" t="n">
        <x:v>1</x:v>
      </x:c>
      <x:c r="K128" s="30" t="n">
        <x:v>1</x:v>
      </x:c>
      <x:c r="L128" s="54" t="n">
        <x:f>IF(M128=0,0,(E128+F128)/2)</x:f>
        <x:v>5.5</x:v>
      </x:c>
      <x:c r="M128" t="n">
        <x:v>1</x:v>
      </x:c>
      <x:c r="N128" t="n">
        <x:v>6</x:v>
      </x:c>
      <x:c r="O128" t="n">
        <x:v>2</x:v>
      </x:c>
      <x:c r="P128" s="63" t="str">
        <x:f>IF(M128=0,"—",M128&amp;"d"&amp;N128&amp;IF(O128=0,""," + "&amp;O128))</x:f>
        <x:v>1d6 + 2</x:v>
      </x:c>
      <x:c r="Q128" t="n">
        <x:f>ROUND(INDEX(Catalogue!E$4:E$85,MATCH(A128,Catalogue!A$4:A$85,0))*(1+'Paramètres'!$B$4*(C128-1)+'Paramètres'!$B$5*(C128-1)^2),0)</x:f>
        <x:v>3</x:v>
      </x:c>
      <x:c r="R128" t="n">
        <x:f>ROUND(INDEX(Catalogue!F$4:F$85,MATCH(A128,Catalogue!A$4:A$85,0))*(1+'Paramètres'!$B$4*(C128-1)+'Paramètres'!$B$5*(C128-1)^2),0)</x:f>
        <x:v>8</x:v>
      </x:c>
      <x:c r="S128" t="n">
        <x:f>L128-AVERAGE(Q128:R128)</x:f>
        <x:v>0</x:v>
      </x:c>
      <x:c r="T128" t="str">
        <x:f>IF(M128=0,IF(AND(N128=0,O128=0,E128=0,F128=0),"OK","ERREUR"),IF(AND(M128&gt;=1,M128&lt;=32,OR(N128=4,N128=6,N128=8,N128=10,N128=12,N128=20),O128&gt;=0,E128=M128+O128,F128=M128*N128+O128),"OK","ERREUR"))</x:f>
        <x:v>OK</x:v>
      </x:c>
      <x:c r="U128" s="86" t="n">
        <x:f>IF(M128&gt;0,M128*(N128+1)/2+O128,0)</x:f>
        <x:v>5.5</x:v>
      </x:c>
      <x:c r="V128" t="str">
        <x:f>IF(ABS(L128-U128)&lt;0.001,"OK","ERREUR")</x:f>
        <x:v>OK</x:v>
      </x:c>
    </x:row>
    <x:row r="129" ht="18" customHeight="1">
      <x:c r="A129" t="str">
        <x:v>ARM007</x:v>
      </x:c>
      <x:c r="B129" t="str">
        <x:v>Rapière</x:v>
      </x:c>
      <x:c r="C129" t="n">
        <x:v>6</x:v>
      </x:c>
      <x:c r="D129" t="str">
        <x:v>Légères</x:v>
      </x:c>
      <x:c r="E129" s="28" t="n">
        <x:f>IF(M129=0,0,M129+O129)</x:f>
        <x:v>4</x:v>
      </x:c>
      <x:c r="F129" s="28" t="n">
        <x:f>IF(M129=0,0,M129*N129+O129)</x:f>
        <x:v>10</x:v>
      </x:c>
      <x:c r="G129" s="28" t="n">
        <x:f>ROUND(Catalogue!G10*SQRT((1+'Paramètres'!$B$4*(C129-1)+'Paramètres'!$B$5*(C129-1)^2)),0)</x:f>
        <x:v>0</x:v>
      </x:c>
      <x:c r="H129" s="28" t="n">
        <x:f>ROUND(Catalogue!H10*SQRT((1+'Paramètres'!$B$4*(C129-1)+'Paramètres'!$B$5*(C129-1)^2)),0)</x:f>
        <x:v>0</x:v>
      </x:c>
      <x:c r="I129" s="28" t="n">
        <x:v>2</x:v>
      </x:c>
      <x:c r="J129" s="28" t="n">
        <x:v>1</x:v>
      </x:c>
      <x:c r="K129" s="30" t="n">
        <x:v>1</x:v>
      </x:c>
      <x:c r="L129" s="54" t="n">
        <x:f>IF(M129=0,0,(E129+F129)/2)</x:f>
        <x:v>7</x:v>
      </x:c>
      <x:c r="M129" t="n">
        <x:v>2</x:v>
      </x:c>
      <x:c r="N129" t="n">
        <x:v>4</x:v>
      </x:c>
      <x:c r="O129" t="n">
        <x:v>2</x:v>
      </x:c>
      <x:c r="P129" s="63" t="str">
        <x:f>IF(M129=0,"—",M129&amp;"d"&amp;N129&amp;IF(O129=0,""," + "&amp;O129))</x:f>
        <x:v>2d4 + 2</x:v>
      </x:c>
      <x:c r="Q129" t="n">
        <x:f>ROUND(INDEX(Catalogue!E$4:E$85,MATCH(A129,Catalogue!A$4:A$85,0))*(1+'Paramètres'!$B$4*(C129-1)+'Paramètres'!$B$5*(C129-1)^2),0)</x:f>
        <x:v>4</x:v>
      </x:c>
      <x:c r="R129" t="n">
        <x:f>ROUND(INDEX(Catalogue!F$4:F$85,MATCH(A129,Catalogue!A$4:A$85,0))*(1+'Paramètres'!$B$4*(C129-1)+'Paramètres'!$B$5*(C129-1)^2),0)</x:f>
        <x:v>10</x:v>
      </x:c>
      <x:c r="S129" t="n">
        <x:f>L129-AVERAGE(Q129:R129)</x:f>
        <x:v>0</x:v>
      </x:c>
      <x:c r="T129" t="str">
        <x:f>IF(M129=0,IF(AND(N129=0,O129=0,E129=0,F129=0),"OK","ERREUR"),IF(AND(M129&gt;=1,M129&lt;=32,OR(N129=4,N129=6,N129=8,N129=10,N129=12,N129=20),O129&gt;=0,E129=M129+O129,F129=M129*N129+O129),"OK","ERREUR"))</x:f>
        <x:v>OK</x:v>
      </x:c>
      <x:c r="U129" s="86" t="n">
        <x:f>IF(M129&gt;0,M129*(N129+1)/2+O129,0)</x:f>
        <x:v>7</x:v>
      </x:c>
      <x:c r="V129" t="str">
        <x:f>IF(ABS(L129-U129)&lt;0.001,"OK","ERREUR")</x:f>
        <x:v>OK</x:v>
      </x:c>
    </x:row>
    <x:row r="130" ht="18" customHeight="1">
      <x:c r="A130" t="str">
        <x:v>ARM007</x:v>
      </x:c>
      <x:c r="B130" t="str">
        <x:v>Rapière</x:v>
      </x:c>
      <x:c r="C130" t="n">
        <x:v>7</x:v>
      </x:c>
      <x:c r="D130" t="str">
        <x:v>Légères</x:v>
      </x:c>
      <x:c r="E130" s="28" t="n">
        <x:f>IF(M130=0,0,M130+O130)</x:f>
        <x:v>4</x:v>
      </x:c>
      <x:c r="F130" s="28" t="n">
        <x:f>IF(M130=0,0,M130*N130+O130)</x:f>
        <x:v>11</x:v>
      </x:c>
      <x:c r="G130" s="28" t="n">
        <x:f>ROUND(Catalogue!G10*SQRT((1+'Paramètres'!$B$4*(C130-1)+'Paramètres'!$B$5*(C130-1)^2)),0)</x:f>
        <x:v>0</x:v>
      </x:c>
      <x:c r="H130" s="28" t="n">
        <x:f>ROUND(Catalogue!H10*SQRT((1+'Paramètres'!$B$4*(C130-1)+'Paramètres'!$B$5*(C130-1)^2)),0)</x:f>
        <x:v>0</x:v>
      </x:c>
      <x:c r="I130" s="28" t="n">
        <x:v>2</x:v>
      </x:c>
      <x:c r="J130" s="28" t="n">
        <x:v>1</x:v>
      </x:c>
      <x:c r="K130" s="30" t="n">
        <x:v>1</x:v>
      </x:c>
      <x:c r="L130" s="54" t="n">
        <x:f>IF(M130=0,0,(E130+F130)/2)</x:f>
        <x:v>7.5</x:v>
      </x:c>
      <x:c r="M130" t="n">
        <x:v>1</x:v>
      </x:c>
      <x:c r="N130" t="n">
        <x:v>8</x:v>
      </x:c>
      <x:c r="O130" t="n">
        <x:v>3</x:v>
      </x:c>
      <x:c r="P130" s="63" t="str">
        <x:f>IF(M130=0,"—",M130&amp;"d"&amp;N130&amp;IF(O130=0,""," + "&amp;O130))</x:f>
        <x:v>1d8 + 3</x:v>
      </x:c>
      <x:c r="Q130" t="n">
        <x:f>ROUND(INDEX(Catalogue!E$4:E$85,MATCH(A130,Catalogue!A$4:A$85,0))*(1+'Paramètres'!$B$4*(C130-1)+'Paramètres'!$B$5*(C130-1)^2),0)</x:f>
        <x:v>4</x:v>
      </x:c>
      <x:c r="R130" t="n">
        <x:f>ROUND(INDEX(Catalogue!F$4:F$85,MATCH(A130,Catalogue!A$4:A$85,0))*(1+'Paramètres'!$B$4*(C130-1)+'Paramètres'!$B$5*(C130-1)^2),0)</x:f>
        <x:v>11</x:v>
      </x:c>
      <x:c r="S130" t="n">
        <x:f>L130-AVERAGE(Q130:R130)</x:f>
        <x:v>0</x:v>
      </x:c>
      <x:c r="T130" t="str">
        <x:f>IF(M130=0,IF(AND(N130=0,O130=0,E130=0,F130=0),"OK","ERREUR"),IF(AND(M130&gt;=1,M130&lt;=32,OR(N130=4,N130=6,N130=8,N130=10,N130=12,N130=20),O130&gt;=0,E130=M130+O130,F130=M130*N130+O130),"OK","ERREUR"))</x:f>
        <x:v>OK</x:v>
      </x:c>
      <x:c r="U130" s="86" t="n">
        <x:f>IF(M130&gt;0,M130*(N130+1)/2+O130,0)</x:f>
        <x:v>7.5</x:v>
      </x:c>
      <x:c r="V130" t="str">
        <x:f>IF(ABS(L130-U130)&lt;0.001,"OK","ERREUR")</x:f>
        <x:v>OK</x:v>
      </x:c>
    </x:row>
    <x:row r="131" ht="18" customHeight="1">
      <x:c r="A131" t="str">
        <x:v>ARM007</x:v>
      </x:c>
      <x:c r="B131" t="str">
        <x:v>Rapière</x:v>
      </x:c>
      <x:c r="C131" t="n">
        <x:v>8</x:v>
      </x:c>
      <x:c r="D131" t="str">
        <x:v>Légères</x:v>
      </x:c>
      <x:c r="E131" s="28" t="n">
        <x:f>IF(M131=0,0,M131+O131)</x:f>
        <x:v>4</x:v>
      </x:c>
      <x:c r="F131" s="28" t="n">
        <x:f>IF(M131=0,0,M131*N131+O131)</x:f>
        <x:v>13</x:v>
      </x:c>
      <x:c r="G131" s="28" t="n">
        <x:f>ROUND(Catalogue!G10*SQRT((1+'Paramètres'!$B$4*(C131-1)+'Paramètres'!$B$5*(C131-1)^2)),0)</x:f>
        <x:v>0</x:v>
      </x:c>
      <x:c r="H131" s="28" t="n">
        <x:f>ROUND(Catalogue!H10*SQRT((1+'Paramètres'!$B$4*(C131-1)+'Paramètres'!$B$5*(C131-1)^2)),0)</x:f>
        <x:v>0</x:v>
      </x:c>
      <x:c r="I131" s="28" t="n">
        <x:v>2</x:v>
      </x:c>
      <x:c r="J131" s="28" t="n">
        <x:v>1</x:v>
      </x:c>
      <x:c r="K131" s="30" t="n">
        <x:v>1</x:v>
      </x:c>
      <x:c r="L131" s="54" t="n">
        <x:f>IF(M131=0,0,(E131+F131)/2)</x:f>
        <x:v>8.5</x:v>
      </x:c>
      <x:c r="M131" t="n">
        <x:v>3</x:v>
      </x:c>
      <x:c r="N131" t="n">
        <x:v>4</x:v>
      </x:c>
      <x:c r="O131" t="n">
        <x:v>1</x:v>
      </x:c>
      <x:c r="P131" s="63" t="str">
        <x:f>IF(M131=0,"—",M131&amp;"d"&amp;N131&amp;IF(O131=0,""," + "&amp;O131))</x:f>
        <x:v>3d4 + 1</x:v>
      </x:c>
      <x:c r="Q131" t="n">
        <x:f>ROUND(INDEX(Catalogue!E$4:E$85,MATCH(A131,Catalogue!A$4:A$85,0))*(1+'Paramètres'!$B$4*(C131-1)+'Paramètres'!$B$5*(C131-1)^2),0)</x:f>
        <x:v>5</x:v>
      </x:c>
      <x:c r="R131" t="n">
        <x:f>ROUND(INDEX(Catalogue!F$4:F$85,MATCH(A131,Catalogue!A$4:A$85,0))*(1+'Paramètres'!$B$4*(C131-1)+'Paramètres'!$B$5*(C131-1)^2),0)</x:f>
        <x:v>13</x:v>
      </x:c>
      <x:c r="S131" t="n">
        <x:f>L131-AVERAGE(Q131:R131)</x:f>
        <x:v>-0.5</x:v>
      </x:c>
      <x:c r="T131" t="str">
        <x:f>IF(M131=0,IF(AND(N131=0,O131=0,E131=0,F131=0),"OK","ERREUR"),IF(AND(M131&gt;=1,M131&lt;=32,OR(N131=4,N131=6,N131=8,N131=10,N131=12,N131=20),O131&gt;=0,E131=M131+O131,F131=M131*N131+O131),"OK","ERREUR"))</x:f>
        <x:v>OK</x:v>
      </x:c>
      <x:c r="U131" s="86" t="n">
        <x:f>IF(M131&gt;0,M131*(N131+1)/2+O131,0)</x:f>
        <x:v>8.5</x:v>
      </x:c>
      <x:c r="V131" t="str">
        <x:f>IF(ABS(L131-U131)&lt;0.001,"OK","ERREUR")</x:f>
        <x:v>OK</x:v>
      </x:c>
    </x:row>
    <x:row r="132" ht="18" customHeight="1">
      <x:c r="A132" t="str">
        <x:v>ARM007</x:v>
      </x:c>
      <x:c r="B132" t="str">
        <x:v>Rapière</x:v>
      </x:c>
      <x:c r="C132" t="n">
        <x:v>9</x:v>
      </x:c>
      <x:c r="D132" t="str">
        <x:v>Légères</x:v>
      </x:c>
      <x:c r="E132" s="28" t="n">
        <x:f>IF(M132=0,0,M132+O132)</x:f>
        <x:v>6</x:v>
      </x:c>
      <x:c r="F132" s="28" t="n">
        <x:f>IF(M132=0,0,M132*N132+O132)</x:f>
        <x:v>15</x:v>
      </x:c>
      <x:c r="G132" s="28" t="n">
        <x:f>ROUND(Catalogue!G10*SQRT((1+'Paramètres'!$B$4*(C132-1)+'Paramètres'!$B$5*(C132-1)^2)),0)</x:f>
        <x:v>0</x:v>
      </x:c>
      <x:c r="H132" s="28" t="n">
        <x:f>ROUND(Catalogue!H10*SQRT((1+'Paramètres'!$B$4*(C132-1)+'Paramètres'!$B$5*(C132-1)^2)),0)</x:f>
        <x:v>0</x:v>
      </x:c>
      <x:c r="I132" s="28" t="n">
        <x:v>2</x:v>
      </x:c>
      <x:c r="J132" s="28" t="n">
        <x:v>1</x:v>
      </x:c>
      <x:c r="K132" s="30" t="n">
        <x:v>1</x:v>
      </x:c>
      <x:c r="L132" s="54" t="n">
        <x:f>IF(M132=0,0,(E132+F132)/2)</x:f>
        <x:v>10.5</x:v>
      </x:c>
      <x:c r="M132" t="n">
        <x:v>3</x:v>
      </x:c>
      <x:c r="N132" t="n">
        <x:v>4</x:v>
      </x:c>
      <x:c r="O132" t="n">
        <x:v>3</x:v>
      </x:c>
      <x:c r="P132" s="63" t="str">
        <x:f>IF(M132=0,"—",M132&amp;"d"&amp;N132&amp;IF(O132=0,""," + "&amp;O132))</x:f>
        <x:v>3d4 + 3</x:v>
      </x:c>
      <x:c r="Q132" t="n">
        <x:f>ROUND(INDEX(Catalogue!E$4:E$85,MATCH(A132,Catalogue!A$4:A$85,0))*(1+'Paramètres'!$B$4*(C132-1)+'Paramètres'!$B$5*(C132-1)^2),0)</x:f>
        <x:v>6</x:v>
      </x:c>
      <x:c r="R132" t="n">
        <x:f>ROUND(INDEX(Catalogue!F$4:F$85,MATCH(A132,Catalogue!A$4:A$85,0))*(1+'Paramètres'!$B$4*(C132-1)+'Paramètres'!$B$5*(C132-1)^2),0)</x:f>
        <x:v>15</x:v>
      </x:c>
      <x:c r="S132" t="n">
        <x:f>L132-AVERAGE(Q132:R132)</x:f>
        <x:v>0</x:v>
      </x:c>
      <x:c r="T132" t="str">
        <x:f>IF(M132=0,IF(AND(N132=0,O132=0,E132=0,F132=0),"OK","ERREUR"),IF(AND(M132&gt;=1,M132&lt;=32,OR(N132=4,N132=6,N132=8,N132=10,N132=12,N132=20),O132&gt;=0,E132=M132+O132,F132=M132*N132+O132),"OK","ERREUR"))</x:f>
        <x:v>OK</x:v>
      </x:c>
      <x:c r="U132" s="86" t="n">
        <x:f>IF(M132&gt;0,M132*(N132+1)/2+O132,0)</x:f>
        <x:v>10.5</x:v>
      </x:c>
      <x:c r="V132" t="str">
        <x:f>IF(ABS(L132-U132)&lt;0.001,"OK","ERREUR")</x:f>
        <x:v>OK</x:v>
      </x:c>
    </x:row>
    <x:row r="133" ht="18" customHeight="1">
      <x:c r="A133" t="str">
        <x:v>ARM007</x:v>
      </x:c>
      <x:c r="B133" t="str">
        <x:v>Rapière</x:v>
      </x:c>
      <x:c r="C133" t="n">
        <x:v>10</x:v>
      </x:c>
      <x:c r="D133" t="str">
        <x:v>Légères</x:v>
      </x:c>
      <x:c r="E133" s="28" t="n">
        <x:f>IF(M133=0,0,M133+O133)</x:f>
        <x:v>7</x:v>
      </x:c>
      <x:c r="F133" s="28" t="n">
        <x:f>IF(M133=0,0,M133*N133+O133)</x:f>
        <x:v>16</x:v>
      </x:c>
      <x:c r="G133" s="28" t="n">
        <x:f>ROUND(Catalogue!G10*SQRT((1+'Paramètres'!$B$4*(C133-1)+'Paramètres'!$B$5*(C133-1)^2)),0)</x:f>
        <x:v>0</x:v>
      </x:c>
      <x:c r="H133" s="28" t="n">
        <x:f>ROUND(Catalogue!H10*SQRT((1+'Paramètres'!$B$4*(C133-1)+'Paramètres'!$B$5*(C133-1)^2)),0)</x:f>
        <x:v>0</x:v>
      </x:c>
      <x:c r="I133" s="28" t="n">
        <x:v>2</x:v>
      </x:c>
      <x:c r="J133" s="28" t="n">
        <x:v>1</x:v>
      </x:c>
      <x:c r="K133" s="30" t="n">
        <x:v>1</x:v>
      </x:c>
      <x:c r="L133" s="54" t="n">
        <x:f>IF(M133=0,0,(E133+F133)/2)</x:f>
        <x:v>11.5</x:v>
      </x:c>
      <x:c r="M133" t="n">
        <x:v>3</x:v>
      </x:c>
      <x:c r="N133" t="n">
        <x:v>4</x:v>
      </x:c>
      <x:c r="O133" t="n">
        <x:v>4</x:v>
      </x:c>
      <x:c r="P133" s="63" t="str">
        <x:f>IF(M133=0,"—",M133&amp;"d"&amp;N133&amp;IF(O133=0,""," + "&amp;O133))</x:f>
        <x:v>3d4 + 4</x:v>
      </x:c>
      <x:c r="Q133" t="n">
        <x:f>ROUND(INDEX(Catalogue!E$4:E$85,MATCH(A133,Catalogue!A$4:A$85,0))*(1+'Paramètres'!$B$4*(C133-1)+'Paramètres'!$B$5*(C133-1)^2),0)</x:f>
        <x:v>7</x:v>
      </x:c>
      <x:c r="R133" t="n">
        <x:f>ROUND(INDEX(Catalogue!F$4:F$85,MATCH(A133,Catalogue!A$4:A$85,0))*(1+'Paramètres'!$B$4*(C133-1)+'Paramètres'!$B$5*(C133-1)^2),0)</x:f>
        <x:v>16</x:v>
      </x:c>
      <x:c r="S133" t="n">
        <x:f>L133-AVERAGE(Q133:R133)</x:f>
        <x:v>0</x:v>
      </x:c>
      <x:c r="T133" t="str">
        <x:f>IF(M133=0,IF(AND(N133=0,O133=0,E133=0,F133=0),"OK","ERREUR"),IF(AND(M133&gt;=1,M133&lt;=32,OR(N133=4,N133=6,N133=8,N133=10,N133=12,N133=20),O133&gt;=0,E133=M133+O133,F133=M133*N133+O133),"OK","ERREUR"))</x:f>
        <x:v>OK</x:v>
      </x:c>
      <x:c r="U133" s="86" t="n">
        <x:f>IF(M133&gt;0,M133*(N133+1)/2+O133,0)</x:f>
        <x:v>11.5</x:v>
      </x:c>
      <x:c r="V133" t="str">
        <x:f>IF(ABS(L133-U133)&lt;0.001,"OK","ERREUR")</x:f>
        <x:v>OK</x:v>
      </x:c>
    </x:row>
    <x:row r="134" ht="18" customHeight="1">
      <x:c r="A134" t="str">
        <x:v>ARM007</x:v>
      </x:c>
      <x:c r="B134" t="str">
        <x:v>Rapière</x:v>
      </x:c>
      <x:c r="C134" t="n">
        <x:v>11</x:v>
      </x:c>
      <x:c r="D134" t="str">
        <x:v>Légères</x:v>
      </x:c>
      <x:c r="E134" s="28" t="n">
        <x:f>IF(M134=0,0,M134+O134)</x:f>
        <x:v>6</x:v>
      </x:c>
      <x:c r="F134" s="28" t="n">
        <x:f>IF(M134=0,0,M134*N134+O134)</x:f>
        <x:v>20</x:v>
      </x:c>
      <x:c r="G134" s="28" t="n">
        <x:f>ROUND(Catalogue!G10*SQRT((1+'Paramètres'!$B$4*(C134-1)+'Paramètres'!$B$5*(C134-1)^2)),0)</x:f>
        <x:v>0</x:v>
      </x:c>
      <x:c r="H134" s="28" t="n">
        <x:f>ROUND(Catalogue!H10*SQRT((1+'Paramètres'!$B$4*(C134-1)+'Paramètres'!$B$5*(C134-1)^2)),0)</x:f>
        <x:v>0</x:v>
      </x:c>
      <x:c r="I134" s="28" t="n">
        <x:v>2</x:v>
      </x:c>
      <x:c r="J134" s="28" t="n">
        <x:v>1</x:v>
      </x:c>
      <x:c r="K134" s="30" t="n">
        <x:v>1</x:v>
      </x:c>
      <x:c r="L134" s="54" t="n">
        <x:f>IF(M134=0,0,(E134+F134)/2)</x:f>
        <x:v>13</x:v>
      </x:c>
      <x:c r="M134" t="n">
        <x:v>2</x:v>
      </x:c>
      <x:c r="N134" t="n">
        <x:v>8</x:v>
      </x:c>
      <x:c r="O134" t="n">
        <x:v>4</x:v>
      </x:c>
      <x:c r="P134" s="63" t="str">
        <x:f>IF(M134=0,"—",M134&amp;"d"&amp;N134&amp;IF(O134=0,""," + "&amp;O134))</x:f>
        <x:v>2d8 + 4</x:v>
      </x:c>
      <x:c r="Q134" t="n">
        <x:f>ROUND(INDEX(Catalogue!E$4:E$85,MATCH(A134,Catalogue!A$4:A$85,0))*(1+'Paramètres'!$B$4*(C134-1)+'Paramètres'!$B$5*(C134-1)^2),0)</x:f>
        <x:v>7</x:v>
      </x:c>
      <x:c r="R134" t="n">
        <x:f>ROUND(INDEX(Catalogue!F$4:F$85,MATCH(A134,Catalogue!A$4:A$85,0))*(1+'Paramètres'!$B$4*(C134-1)+'Paramètres'!$B$5*(C134-1)^2),0)</x:f>
        <x:v>19</x:v>
      </x:c>
      <x:c r="S134" t="n">
        <x:f>L134-AVERAGE(Q134:R134)</x:f>
        <x:v>0</x:v>
      </x:c>
      <x:c r="T134" t="str">
        <x:f>IF(M134=0,IF(AND(N134=0,O134=0,E134=0,F134=0),"OK","ERREUR"),IF(AND(M134&gt;=1,M134&lt;=32,OR(N134=4,N134=6,N134=8,N134=10,N134=12,N134=20),O134&gt;=0,E134=M134+O134,F134=M134*N134+O134),"OK","ERREUR"))</x:f>
        <x:v>OK</x:v>
      </x:c>
      <x:c r="U134" s="86" t="n">
        <x:f>IF(M134&gt;0,M134*(N134+1)/2+O134,0)</x:f>
        <x:v>13</x:v>
      </x:c>
      <x:c r="V134" t="str">
        <x:f>IF(ABS(L134-U134)&lt;0.001,"OK","ERREUR")</x:f>
        <x:v>OK</x:v>
      </x:c>
    </x:row>
    <x:row r="135" ht="18" customHeight="1">
      <x:c r="A135" t="str">
        <x:v>ARM007</x:v>
      </x:c>
      <x:c r="B135" t="str">
        <x:v>Rapière</x:v>
      </x:c>
      <x:c r="C135" t="n">
        <x:v>12</x:v>
      </x:c>
      <x:c r="D135" t="str">
        <x:v>Légères</x:v>
      </x:c>
      <x:c r="E135" s="28" t="n">
        <x:f>IF(M135=0,0,M135+O135)</x:f>
        <x:v>7</x:v>
      </x:c>
      <x:c r="F135" s="28" t="n">
        <x:f>IF(M135=0,0,M135*N135+O135)</x:f>
        <x:v>21</x:v>
      </x:c>
      <x:c r="G135" s="28" t="n">
        <x:f>ROUND(Catalogue!G10*SQRT((1+'Paramètres'!$B$4*(C135-1)+'Paramètres'!$B$5*(C135-1)^2)),0)</x:f>
        <x:v>0</x:v>
      </x:c>
      <x:c r="H135" s="28" t="n">
        <x:f>ROUND(Catalogue!H10*SQRT((1+'Paramètres'!$B$4*(C135-1)+'Paramètres'!$B$5*(C135-1)^2)),0)</x:f>
        <x:v>0</x:v>
      </x:c>
      <x:c r="I135" s="28" t="n">
        <x:v>2</x:v>
      </x:c>
      <x:c r="J135" s="28" t="n">
        <x:v>1</x:v>
      </x:c>
      <x:c r="K135" s="30" t="n">
        <x:v>1</x:v>
      </x:c>
      <x:c r="L135" s="54" t="n">
        <x:f>IF(M135=0,0,(E135+F135)/2)</x:f>
        <x:v>14</x:v>
      </x:c>
      <x:c r="M135" t="n">
        <x:v>2</x:v>
      </x:c>
      <x:c r="N135" t="n">
        <x:v>8</x:v>
      </x:c>
      <x:c r="O135" t="n">
        <x:v>5</x:v>
      </x:c>
      <x:c r="P135" s="63" t="str">
        <x:f>IF(M135=0,"—",M135&amp;"d"&amp;N135&amp;IF(O135=0,""," + "&amp;O135))</x:f>
        <x:v>2d8 + 5</x:v>
      </x:c>
      <x:c r="Q135" t="n">
        <x:f>ROUND(INDEX(Catalogue!E$4:E$85,MATCH(A135,Catalogue!A$4:A$85,0))*(1+'Paramètres'!$B$4*(C135-1)+'Paramètres'!$B$5*(C135-1)^2),0)</x:f>
        <x:v>8</x:v>
      </x:c>
      <x:c r="R135" t="n">
        <x:f>ROUND(INDEX(Catalogue!F$4:F$85,MATCH(A135,Catalogue!A$4:A$85,0))*(1+'Paramètres'!$B$4*(C135-1)+'Paramètres'!$B$5*(C135-1)^2),0)</x:f>
        <x:v>21</x:v>
      </x:c>
      <x:c r="S135" t="n">
        <x:f>L135-AVERAGE(Q135:R135)</x:f>
        <x:v>-0.5</x:v>
      </x:c>
      <x:c r="T135" t="str">
        <x:f>IF(M135=0,IF(AND(N135=0,O135=0,E135=0,F135=0),"OK","ERREUR"),IF(AND(M135&gt;=1,M135&lt;=32,OR(N135=4,N135=6,N135=8,N135=10,N135=12,N135=20),O135&gt;=0,E135=M135+O135,F135=M135*N135+O135),"OK","ERREUR"))</x:f>
        <x:v>OK</x:v>
      </x:c>
      <x:c r="U135" s="86" t="n">
        <x:f>IF(M135&gt;0,M135*(N135+1)/2+O135,0)</x:f>
        <x:v>14</x:v>
      </x:c>
      <x:c r="V135" t="str">
        <x:f>IF(ABS(L135-U135)&lt;0.001,"OK","ERREUR")</x:f>
        <x:v>OK</x:v>
      </x:c>
    </x:row>
    <x:row r="136" ht="18" customHeight="1">
      <x:c r="A136" t="str">
        <x:v>ARM007</x:v>
      </x:c>
      <x:c r="B136" t="str">
        <x:v>Rapière</x:v>
      </x:c>
      <x:c r="C136" t="n">
        <x:v>13</x:v>
      </x:c>
      <x:c r="D136" t="str">
        <x:v>Légères</x:v>
      </x:c>
      <x:c r="E136" s="28" t="n">
        <x:f>IF(M136=0,0,M136+O136)</x:f>
        <x:v>9</x:v>
      </x:c>
      <x:c r="F136" s="28" t="n">
        <x:f>IF(M136=0,0,M136*N136+O136)</x:f>
        <x:v>23</x:v>
      </x:c>
      <x:c r="G136" s="28" t="n">
        <x:f>ROUND(Catalogue!G10*SQRT((1+'Paramètres'!$B$4*(C136-1)+'Paramètres'!$B$5*(C136-1)^2)),0)</x:f>
        <x:v>0</x:v>
      </x:c>
      <x:c r="H136" s="28" t="n">
        <x:f>ROUND(Catalogue!H10*SQRT((1+'Paramètres'!$B$4*(C136-1)+'Paramètres'!$B$5*(C136-1)^2)),0)</x:f>
        <x:v>0</x:v>
      </x:c>
      <x:c r="I136" s="28" t="n">
        <x:v>2</x:v>
      </x:c>
      <x:c r="J136" s="28" t="n">
        <x:v>1</x:v>
      </x:c>
      <x:c r="K136" s="30" t="n">
        <x:v>1</x:v>
      </x:c>
      <x:c r="L136" s="54" t="n">
        <x:f>IF(M136=0,0,(E136+F136)/2)</x:f>
        <x:v>16</x:v>
      </x:c>
      <x:c r="M136" t="n">
        <x:v>2</x:v>
      </x:c>
      <x:c r="N136" t="n">
        <x:v>8</x:v>
      </x:c>
      <x:c r="O136" t="n">
        <x:v>7</x:v>
      </x:c>
      <x:c r="P136" s="63" t="str">
        <x:f>IF(M136=0,"—",M136&amp;"d"&amp;N136&amp;IF(O136=0,""," + "&amp;O136))</x:f>
        <x:v>2d8 + 7</x:v>
      </x:c>
      <x:c r="Q136" t="n">
        <x:f>ROUND(INDEX(Catalogue!E$4:E$85,MATCH(A136,Catalogue!A$4:A$85,0))*(1+'Paramètres'!$B$4*(C136-1)+'Paramètres'!$B$5*(C136-1)^2),0)</x:f>
        <x:v>9</x:v>
      </x:c>
      <x:c r="R136" t="n">
        <x:f>ROUND(INDEX(Catalogue!F$4:F$85,MATCH(A136,Catalogue!A$4:A$85,0))*(1+'Paramètres'!$B$4*(C136-1)+'Paramètres'!$B$5*(C136-1)^2),0)</x:f>
        <x:v>23</x:v>
      </x:c>
      <x:c r="S136" t="n">
        <x:f>L136-AVERAGE(Q136:R136)</x:f>
        <x:v>0</x:v>
      </x:c>
      <x:c r="T136" t="str">
        <x:f>IF(M136=0,IF(AND(N136=0,O136=0,E136=0,F136=0),"OK","ERREUR"),IF(AND(M136&gt;=1,M136&lt;=32,OR(N136=4,N136=6,N136=8,N136=10,N136=12,N136=20),O136&gt;=0,E136=M136+O136,F136=M136*N136+O136),"OK","ERREUR"))</x:f>
        <x:v>OK</x:v>
      </x:c>
      <x:c r="U136" s="86" t="n">
        <x:f>IF(M136&gt;0,M136*(N136+1)/2+O136,0)</x:f>
        <x:v>16</x:v>
      </x:c>
      <x:c r="V136" t="str">
        <x:f>IF(ABS(L136-U136)&lt;0.001,"OK","ERREUR")</x:f>
        <x:v>OK</x:v>
      </x:c>
    </x:row>
    <x:row r="137" ht="18" customHeight="1">
      <x:c r="A137" t="str">
        <x:v>ARM007</x:v>
      </x:c>
      <x:c r="B137" t="str">
        <x:v>Rapière</x:v>
      </x:c>
      <x:c r="C137" t="n">
        <x:v>14</x:v>
      </x:c>
      <x:c r="D137" t="str">
        <x:v>Légères</x:v>
      </x:c>
      <x:c r="E137" s="28" t="n">
        <x:f>IF(M137=0,0,M137+O137)</x:f>
        <x:v>11</x:v>
      </x:c>
      <x:c r="F137" s="28" t="n">
        <x:f>IF(M137=0,0,M137*N137+O137)</x:f>
        <x:v>26</x:v>
      </x:c>
      <x:c r="G137" s="28" t="n">
        <x:f>ROUND(Catalogue!G10*SQRT((1+'Paramètres'!$B$4*(C137-1)+'Paramètres'!$B$5*(C137-1)^2)),0)</x:f>
        <x:v>0</x:v>
      </x:c>
      <x:c r="H137" s="28" t="n">
        <x:f>ROUND(Catalogue!H10*SQRT((1+'Paramètres'!$B$4*(C137-1)+'Paramètres'!$B$5*(C137-1)^2)),0)</x:f>
        <x:v>0</x:v>
      </x:c>
      <x:c r="I137" s="28" t="n">
        <x:v>2</x:v>
      </x:c>
      <x:c r="J137" s="28" t="n">
        <x:v>1</x:v>
      </x:c>
      <x:c r="K137" s="30" t="n">
        <x:v>1</x:v>
      </x:c>
      <x:c r="L137" s="54" t="n">
        <x:f>IF(M137=0,0,(E137+F137)/2)</x:f>
        <x:v>18.5</x:v>
      </x:c>
      <x:c r="M137" t="n">
        <x:v>3</x:v>
      </x:c>
      <x:c r="N137" t="n">
        <x:v>6</x:v>
      </x:c>
      <x:c r="O137" t="n">
        <x:v>8</x:v>
      </x:c>
      <x:c r="P137" s="63" t="str">
        <x:f>IF(M137=0,"—",M137&amp;"d"&amp;N137&amp;IF(O137=0,""," + "&amp;O137))</x:f>
        <x:v>3d6 + 8</x:v>
      </x:c>
      <x:c r="Q137" t="n">
        <x:f>ROUND(INDEX(Catalogue!E$4:E$85,MATCH(A137,Catalogue!A$4:A$85,0))*(1+'Paramètres'!$B$4*(C137-1)+'Paramètres'!$B$5*(C137-1)^2),0)</x:f>
        <x:v>10</x:v>
      </x:c>
      <x:c r="R137" t="n">
        <x:f>ROUND(INDEX(Catalogue!F$4:F$85,MATCH(A137,Catalogue!A$4:A$85,0))*(1+'Paramètres'!$B$4*(C137-1)+'Paramètres'!$B$5*(C137-1)^2),0)</x:f>
        <x:v>26</x:v>
      </x:c>
      <x:c r="S137" t="n">
        <x:f>L137-AVERAGE(Q137:R137)</x:f>
        <x:v>0.5</x:v>
      </x:c>
      <x:c r="T137" t="str">
        <x:f>IF(M137=0,IF(AND(N137=0,O137=0,E137=0,F137=0),"OK","ERREUR"),IF(AND(M137&gt;=1,M137&lt;=32,OR(N137=4,N137=6,N137=8,N137=10,N137=12,N137=20),O137&gt;=0,E137=M137+O137,F137=M137*N137+O137),"OK","ERREUR"))</x:f>
        <x:v>OK</x:v>
      </x:c>
      <x:c r="U137" s="86" t="n">
        <x:f>IF(M137&gt;0,M137*(N137+1)/2+O137,0)</x:f>
        <x:v>18.5</x:v>
      </x:c>
      <x:c r="V137" t="str">
        <x:f>IF(ABS(L137-U137)&lt;0.001,"OK","ERREUR")</x:f>
        <x:v>OK</x:v>
      </x:c>
    </x:row>
    <x:row r="138" ht="18" customHeight="1">
      <x:c r="A138" t="str">
        <x:v>ARM007</x:v>
      </x:c>
      <x:c r="B138" t="str">
        <x:v>Rapière</x:v>
      </x:c>
      <x:c r="C138" t="n">
        <x:v>15</x:v>
      </x:c>
      <x:c r="D138" t="str">
        <x:v>Légères</x:v>
      </x:c>
      <x:c r="E138" s="28" t="n">
        <x:f>IF(M138=0,0,M138+O138)</x:f>
        <x:v>10</x:v>
      </x:c>
      <x:c r="F138" s="28" t="n">
        <x:f>IF(M138=0,0,M138*N138+O138)</x:f>
        <x:v>28</x:v>
      </x:c>
      <x:c r="G138" s="28" t="n">
        <x:f>ROUND(Catalogue!G10*SQRT((1+'Paramètres'!$B$4*(C138-1)+'Paramètres'!$B$5*(C138-1)^2)),0)</x:f>
        <x:v>0</x:v>
      </x:c>
      <x:c r="H138" s="28" t="n">
        <x:f>ROUND(Catalogue!H10*SQRT((1+'Paramètres'!$B$4*(C138-1)+'Paramètres'!$B$5*(C138-1)^2)),0)</x:f>
        <x:v>0</x:v>
      </x:c>
      <x:c r="I138" s="28" t="n">
        <x:v>2</x:v>
      </x:c>
      <x:c r="J138" s="28" t="n">
        <x:v>1</x:v>
      </x:c>
      <x:c r="K138" s="30" t="n">
        <x:v>1</x:v>
      </x:c>
      <x:c r="L138" s="54" t="n">
        <x:f>IF(M138=0,0,(E138+F138)/2)</x:f>
        <x:v>19</x:v>
      </x:c>
      <x:c r="M138" t="n">
        <x:v>2</x:v>
      </x:c>
      <x:c r="N138" t="n">
        <x:v>10</x:v>
      </x:c>
      <x:c r="O138" t="n">
        <x:v>8</x:v>
      </x:c>
      <x:c r="P138" s="63" t="str">
        <x:f>IF(M138=0,"—",M138&amp;"d"&amp;N138&amp;IF(O138=0,""," + "&amp;O138))</x:f>
        <x:v>2d10 + 8</x:v>
      </x:c>
      <x:c r="Q138" t="n">
        <x:f>ROUND(INDEX(Catalogue!E$4:E$85,MATCH(A138,Catalogue!A$4:A$85,0))*(1+'Paramètres'!$B$4*(C138-1)+'Paramètres'!$B$5*(C138-1)^2),0)</x:f>
        <x:v>11</x:v>
      </x:c>
      <x:c r="R138" t="n">
        <x:f>ROUND(INDEX(Catalogue!F$4:F$85,MATCH(A138,Catalogue!A$4:A$85,0))*(1+'Paramètres'!$B$4*(C138-1)+'Paramètres'!$B$5*(C138-1)^2),0)</x:f>
        <x:v>28</x:v>
      </x:c>
      <x:c r="S138" t="n">
        <x:f>L138-AVERAGE(Q138:R138)</x:f>
        <x:v>-0.5</x:v>
      </x:c>
      <x:c r="T138" t="str">
        <x:f>IF(M138=0,IF(AND(N138=0,O138=0,E138=0,F138=0),"OK","ERREUR"),IF(AND(M138&gt;=1,M138&lt;=32,OR(N138=4,N138=6,N138=8,N138=10,N138=12,N138=20),O138&gt;=0,E138=M138+O138,F138=M138*N138+O138),"OK","ERREUR"))</x:f>
        <x:v>OK</x:v>
      </x:c>
      <x:c r="U138" s="86" t="n">
        <x:f>IF(M138&gt;0,M138*(N138+1)/2+O138,0)</x:f>
        <x:v>19</x:v>
      </x:c>
      <x:c r="V138" t="str">
        <x:f>IF(ABS(L138-U138)&lt;0.001,"OK","ERREUR")</x:f>
        <x:v>OK</x:v>
      </x:c>
    </x:row>
    <x:row r="139" ht="18" customHeight="1">
      <x:c r="A139" t="str">
        <x:v>ARM007</x:v>
      </x:c>
      <x:c r="B139" t="str">
        <x:v>Rapière</x:v>
      </x:c>
      <x:c r="C139" t="n">
        <x:v>16</x:v>
      </x:c>
      <x:c r="D139" t="str">
        <x:v>Légères</x:v>
      </x:c>
      <x:c r="E139" s="28" t="n">
        <x:f>IF(M139=0,0,M139+O139)</x:f>
        <x:v>13</x:v>
      </x:c>
      <x:c r="F139" s="28" t="n">
        <x:f>IF(M139=0,0,M139*N139+O139)</x:f>
        <x:v>31</x:v>
      </x:c>
      <x:c r="G139" s="28" t="n">
        <x:f>ROUND(Catalogue!G10*SQRT((1+'Paramètres'!$B$4*(C139-1)+'Paramètres'!$B$5*(C139-1)^2)),0)</x:f>
        <x:v>0</x:v>
      </x:c>
      <x:c r="H139" s="28" t="n">
        <x:f>ROUND(Catalogue!H10*SQRT((1+'Paramètres'!$B$4*(C139-1)+'Paramètres'!$B$5*(C139-1)^2)),0)</x:f>
        <x:v>0</x:v>
      </x:c>
      <x:c r="I139" s="28" t="n">
        <x:v>2</x:v>
      </x:c>
      <x:c r="J139" s="28" t="n">
        <x:v>1</x:v>
      </x:c>
      <x:c r="K139" s="30" t="n">
        <x:v>1</x:v>
      </x:c>
      <x:c r="L139" s="54" t="n">
        <x:f>IF(M139=0,0,(E139+F139)/2)</x:f>
        <x:v>22</x:v>
      </x:c>
      <x:c r="M139" t="n">
        <x:v>2</x:v>
      </x:c>
      <x:c r="N139" t="n">
        <x:v>10</x:v>
      </x:c>
      <x:c r="O139" t="n">
        <x:v>11</x:v>
      </x:c>
      <x:c r="P139" s="63" t="str">
        <x:f>IF(M139=0,"—",M139&amp;"d"&amp;N139&amp;IF(O139=0,""," + "&amp;O139))</x:f>
        <x:v>2d10 + 11</x:v>
      </x:c>
      <x:c r="Q139" t="n">
        <x:f>ROUND(INDEX(Catalogue!E$4:E$85,MATCH(A139,Catalogue!A$4:A$85,0))*(1+'Paramètres'!$B$4*(C139-1)+'Paramètres'!$B$5*(C139-1)^2),0)</x:f>
        <x:v>13</x:v>
      </x:c>
      <x:c r="R139" t="n">
        <x:f>ROUND(INDEX(Catalogue!F$4:F$85,MATCH(A139,Catalogue!A$4:A$85,0))*(1+'Paramètres'!$B$4*(C139-1)+'Paramètres'!$B$5*(C139-1)^2),0)</x:f>
        <x:v>31</x:v>
      </x:c>
      <x:c r="S139" t="n">
        <x:f>L139-AVERAGE(Q139:R139)</x:f>
        <x:v>0</x:v>
      </x:c>
      <x:c r="T139" t="str">
        <x:f>IF(M139=0,IF(AND(N139=0,O139=0,E139=0,F139=0),"OK","ERREUR"),IF(AND(M139&gt;=1,M139&lt;=32,OR(N139=4,N139=6,N139=8,N139=10,N139=12,N139=20),O139&gt;=0,E139=M139+O139,F139=M139*N139+O139),"OK","ERREUR"))</x:f>
        <x:v>OK</x:v>
      </x:c>
      <x:c r="U139" s="86" t="n">
        <x:f>IF(M139&gt;0,M139*(N139+1)/2+O139,0)</x:f>
        <x:v>22</x:v>
      </x:c>
      <x:c r="V139" t="str">
        <x:f>IF(ABS(L139-U139)&lt;0.001,"OK","ERREUR")</x:f>
        <x:v>OK</x:v>
      </x:c>
    </x:row>
    <x:row r="140" ht="18" customHeight="1">
      <x:c r="A140" t="str">
        <x:v>ARM007</x:v>
      </x:c>
      <x:c r="B140" t="str">
        <x:v>Rapière</x:v>
      </x:c>
      <x:c r="C140" t="n">
        <x:v>17</x:v>
      </x:c>
      <x:c r="D140" t="str">
        <x:v>Légères</x:v>
      </x:c>
      <x:c r="E140" s="28" t="n">
        <x:f>IF(M140=0,0,M140+O140)</x:f>
        <x:v>14</x:v>
      </x:c>
      <x:c r="F140" s="28" t="n">
        <x:f>IF(M140=0,0,M140*N140+O140)</x:f>
        <x:v>34</x:v>
      </x:c>
      <x:c r="G140" s="28" t="n">
        <x:f>ROUND(Catalogue!G10*SQRT((1+'Paramètres'!$B$4*(C140-1)+'Paramètres'!$B$5*(C140-1)^2)),0)</x:f>
        <x:v>0</x:v>
      </x:c>
      <x:c r="H140" s="28" t="n">
        <x:f>ROUND(Catalogue!H10*SQRT((1+'Paramètres'!$B$4*(C140-1)+'Paramètres'!$B$5*(C140-1)^2)),0)</x:f>
        <x:v>0</x:v>
      </x:c>
      <x:c r="I140" s="28" t="n">
        <x:v>2</x:v>
      </x:c>
      <x:c r="J140" s="28" t="n">
        <x:v>1</x:v>
      </x:c>
      <x:c r="K140" s="30" t="n">
        <x:v>1</x:v>
      </x:c>
      <x:c r="L140" s="54" t="n">
        <x:f>IF(M140=0,0,(E140+F140)/2)</x:f>
        <x:v>24</x:v>
      </x:c>
      <x:c r="M140" t="n">
        <x:v>4</x:v>
      </x:c>
      <x:c r="N140" t="n">
        <x:v>6</x:v>
      </x:c>
      <x:c r="O140" t="n">
        <x:v>10</x:v>
      </x:c>
      <x:c r="P140" s="63" t="str">
        <x:f>IF(M140=0,"—",M140&amp;"d"&amp;N140&amp;IF(O140=0,""," + "&amp;O140))</x:f>
        <x:v>4d6 + 10</x:v>
      </x:c>
      <x:c r="Q140" t="n">
        <x:f>ROUND(INDEX(Catalogue!E$4:E$85,MATCH(A140,Catalogue!A$4:A$85,0))*(1+'Paramètres'!$B$4*(C140-1)+'Paramètres'!$B$5*(C140-1)^2),0)</x:f>
        <x:v>14</x:v>
      </x:c>
      <x:c r="R140" t="n">
        <x:f>ROUND(INDEX(Catalogue!F$4:F$85,MATCH(A140,Catalogue!A$4:A$85,0))*(1+'Paramètres'!$B$4*(C140-1)+'Paramètres'!$B$5*(C140-1)^2),0)</x:f>
        <x:v>34</x:v>
      </x:c>
      <x:c r="S140" t="n">
        <x:f>L140-AVERAGE(Q140:R140)</x:f>
        <x:v>0</x:v>
      </x:c>
      <x:c r="T140" t="str">
        <x:f>IF(M140=0,IF(AND(N140=0,O140=0,E140=0,F140=0),"OK","ERREUR"),IF(AND(M140&gt;=1,M140&lt;=32,OR(N140=4,N140=6,N140=8,N140=10,N140=12,N140=20),O140&gt;=0,E140=M140+O140,F140=M140*N140+O140),"OK","ERREUR"))</x:f>
        <x:v>OK</x:v>
      </x:c>
      <x:c r="U140" s="86" t="n">
        <x:f>IF(M140&gt;0,M140*(N140+1)/2+O140,0)</x:f>
        <x:v>24</x:v>
      </x:c>
      <x:c r="V140" t="str">
        <x:f>IF(ABS(L140-U140)&lt;0.001,"OK","ERREUR")</x:f>
        <x:v>OK</x:v>
      </x:c>
    </x:row>
    <x:row r="141" ht="18" customHeight="1">
      <x:c r="A141" t="str">
        <x:v>ARM007</x:v>
      </x:c>
      <x:c r="B141" t="str">
        <x:v>Rapière</x:v>
      </x:c>
      <x:c r="C141" t="n">
        <x:v>18</x:v>
      </x:c>
      <x:c r="D141" t="str">
        <x:v>Légères</x:v>
      </x:c>
      <x:c r="E141" s="28" t="n">
        <x:f>IF(M141=0,0,M141+O141)</x:f>
        <x:v>15</x:v>
      </x:c>
      <x:c r="F141" s="28" t="n">
        <x:f>IF(M141=0,0,M141*N141+O141)</x:f>
        <x:v>36</x:v>
      </x:c>
      <x:c r="G141" s="28" t="n">
        <x:f>ROUND(Catalogue!G10*SQRT((1+'Paramètres'!$B$4*(C141-1)+'Paramètres'!$B$5*(C141-1)^2)),0)</x:f>
        <x:v>0</x:v>
      </x:c>
      <x:c r="H141" s="28" t="n">
        <x:f>ROUND(Catalogue!H10*SQRT((1+'Paramètres'!$B$4*(C141-1)+'Paramètres'!$B$5*(C141-1)^2)),0)</x:f>
        <x:v>0</x:v>
      </x:c>
      <x:c r="I141" s="28" t="n">
        <x:v>2</x:v>
      </x:c>
      <x:c r="J141" s="28" t="n">
        <x:v>1</x:v>
      </x:c>
      <x:c r="K141" s="30" t="n">
        <x:v>1</x:v>
      </x:c>
      <x:c r="L141" s="54" t="n">
        <x:f>IF(M141=0,0,(E141+F141)/2)</x:f>
        <x:v>25.5</x:v>
      </x:c>
      <x:c r="M141" t="n">
        <x:v>3</x:v>
      </x:c>
      <x:c r="N141" t="n">
        <x:v>8</x:v>
      </x:c>
      <x:c r="O141" t="n">
        <x:v>12</x:v>
      </x:c>
      <x:c r="P141" s="63" t="str">
        <x:f>IF(M141=0,"—",M141&amp;"d"&amp;N141&amp;IF(O141=0,""," + "&amp;O141))</x:f>
        <x:v>3d8 + 12</x:v>
      </x:c>
      <x:c r="Q141" t="n">
        <x:f>ROUND(INDEX(Catalogue!E$4:E$85,MATCH(A141,Catalogue!A$4:A$85,0))*(1+'Paramètres'!$B$4*(C141-1)+'Paramètres'!$B$5*(C141-1)^2),0)</x:f>
        <x:v>15</x:v>
      </x:c>
      <x:c r="R141" t="n">
        <x:f>ROUND(INDEX(Catalogue!F$4:F$85,MATCH(A141,Catalogue!A$4:A$85,0))*(1+'Paramètres'!$B$4*(C141-1)+'Paramètres'!$B$5*(C141-1)^2),0)</x:f>
        <x:v>37</x:v>
      </x:c>
      <x:c r="S141" t="n">
        <x:f>L141-AVERAGE(Q141:R141)</x:f>
        <x:v>-0.5</x:v>
      </x:c>
      <x:c r="T141" t="str">
        <x:f>IF(M141=0,IF(AND(N141=0,O141=0,E141=0,F141=0),"OK","ERREUR"),IF(AND(M141&gt;=1,M141&lt;=32,OR(N141=4,N141=6,N141=8,N141=10,N141=12,N141=20),O141&gt;=0,E141=M141+O141,F141=M141*N141+O141),"OK","ERREUR"))</x:f>
        <x:v>OK</x:v>
      </x:c>
      <x:c r="U141" s="86" t="n">
        <x:f>IF(M141&gt;0,M141*(N141+1)/2+O141,0)</x:f>
        <x:v>25.5</x:v>
      </x:c>
      <x:c r="V141" t="str">
        <x:f>IF(ABS(L141-U141)&lt;0.001,"OK","ERREUR")</x:f>
        <x:v>OK</x:v>
      </x:c>
    </x:row>
    <x:row r="142" ht="18" customHeight="1">
      <x:c r="A142" t="str">
        <x:v>ARM007</x:v>
      </x:c>
      <x:c r="B142" t="str">
        <x:v>Rapière</x:v>
      </x:c>
      <x:c r="C142" t="n">
        <x:v>19</x:v>
      </x:c>
      <x:c r="D142" t="str">
        <x:v>Légères</x:v>
      </x:c>
      <x:c r="E142" s="28" t="n">
        <x:f>IF(M142=0,0,M142+O142)</x:f>
        <x:v>16</x:v>
      </x:c>
      <x:c r="F142" s="28" t="n">
        <x:f>IF(M142=0,0,M142*N142+O142)</x:f>
        <x:v>41</x:v>
      </x:c>
      <x:c r="G142" s="28" t="n">
        <x:f>ROUND(Catalogue!G10*SQRT((1+'Paramètres'!$B$4*(C142-1)+'Paramètres'!$B$5*(C142-1)^2)),0)</x:f>
        <x:v>0</x:v>
      </x:c>
      <x:c r="H142" s="28" t="n">
        <x:f>ROUND(Catalogue!H10*SQRT((1+'Paramètres'!$B$4*(C142-1)+'Paramètres'!$B$5*(C142-1)^2)),0)</x:f>
        <x:v>0</x:v>
      </x:c>
      <x:c r="I142" s="28" t="n">
        <x:v>2</x:v>
      </x:c>
      <x:c r="J142" s="28" t="n">
        <x:v>1</x:v>
      </x:c>
      <x:c r="K142" s="30" t="n">
        <x:v>1</x:v>
      </x:c>
      <x:c r="L142" s="54" t="n">
        <x:f>IF(M142=0,0,(E142+F142)/2)</x:f>
        <x:v>28.5</x:v>
      </x:c>
      <x:c r="M142" t="n">
        <x:v>5</x:v>
      </x:c>
      <x:c r="N142" t="n">
        <x:v>6</x:v>
      </x:c>
      <x:c r="O142" t="n">
        <x:v>11</x:v>
      </x:c>
      <x:c r="P142" s="63" t="str">
        <x:f>IF(M142=0,"—",M142&amp;"d"&amp;N142&amp;IF(O142=0,""," + "&amp;O142))</x:f>
        <x:v>5d6 + 11</x:v>
      </x:c>
      <x:c r="Q142" t="n">
        <x:f>ROUND(INDEX(Catalogue!E$4:E$85,MATCH(A142,Catalogue!A$4:A$85,0))*(1+'Paramètres'!$B$4*(C142-1)+'Paramètres'!$B$5*(C142-1)^2),0)</x:f>
        <x:v>16</x:v>
      </x:c>
      <x:c r="R142" t="n">
        <x:f>ROUND(INDEX(Catalogue!F$4:F$85,MATCH(A142,Catalogue!A$4:A$85,0))*(1+'Paramètres'!$B$4*(C142-1)+'Paramètres'!$B$5*(C142-1)^2),0)</x:f>
        <x:v>41</x:v>
      </x:c>
      <x:c r="S142" t="n">
        <x:f>L142-AVERAGE(Q142:R142)</x:f>
        <x:v>0</x:v>
      </x:c>
      <x:c r="T142" t="str">
        <x:f>IF(M142=0,IF(AND(N142=0,O142=0,E142=0,F142=0),"OK","ERREUR"),IF(AND(M142&gt;=1,M142&lt;=32,OR(N142=4,N142=6,N142=8,N142=10,N142=12,N142=20),O142&gt;=0,E142=M142+O142,F142=M142*N142+O142),"OK","ERREUR"))</x:f>
        <x:v>OK</x:v>
      </x:c>
      <x:c r="U142" s="86" t="n">
        <x:f>IF(M142&gt;0,M142*(N142+1)/2+O142,0)</x:f>
        <x:v>28.5</x:v>
      </x:c>
      <x:c r="V142" t="str">
        <x:f>IF(ABS(L142-U142)&lt;0.001,"OK","ERREUR")</x:f>
        <x:v>OK</x:v>
      </x:c>
    </x:row>
    <x:row r="143" ht="18" customHeight="1">
      <x:c r="A143" t="str">
        <x:v>ARM007</x:v>
      </x:c>
      <x:c r="B143" t="str">
        <x:v>Rapière</x:v>
      </x:c>
      <x:c r="C143" t="n">
        <x:v>20</x:v>
      </x:c>
      <x:c r="D143" t="str">
        <x:v>Légères</x:v>
      </x:c>
      <x:c r="E143" s="28" t="n">
        <x:f>IF(M143=0,0,M143+O143)</x:f>
        <x:v>17</x:v>
      </x:c>
      <x:c r="F143" s="28" t="n">
        <x:f>IF(M143=0,0,M143*N143+O143)</x:f>
        <x:v>44</x:v>
      </x:c>
      <x:c r="G143" s="28" t="n">
        <x:f>ROUND(Catalogue!G10*SQRT((1+'Paramètres'!$B$4*(C143-1)+'Paramètres'!$B$5*(C143-1)^2)),0)</x:f>
        <x:v>0</x:v>
      </x:c>
      <x:c r="H143" s="28" t="n">
        <x:f>ROUND(Catalogue!H10*SQRT((1+'Paramètres'!$B$4*(C143-1)+'Paramètres'!$B$5*(C143-1)^2)),0)</x:f>
        <x:v>0</x:v>
      </x:c>
      <x:c r="I143" s="28" t="n">
        <x:v>2</x:v>
      </x:c>
      <x:c r="J143" s="28" t="n">
        <x:v>1</x:v>
      </x:c>
      <x:c r="K143" s="30" t="n">
        <x:v>1</x:v>
      </x:c>
      <x:c r="L143" s="54" t="n">
        <x:f>IF(M143=0,0,(E143+F143)/2)</x:f>
        <x:v>30.5</x:v>
      </x:c>
      <x:c r="M143" t="n">
        <x:v>3</x:v>
      </x:c>
      <x:c r="N143" t="n">
        <x:v>10</x:v>
      </x:c>
      <x:c r="O143" t="n">
        <x:v>14</x:v>
      </x:c>
      <x:c r="P143" s="63" t="str">
        <x:f>IF(M143=0,"—",M143&amp;"d"&amp;N143&amp;IF(O143=0,""," + "&amp;O143))</x:f>
        <x:v>3d10 + 14</x:v>
      </x:c>
      <x:c r="Q143" t="n">
        <x:f>ROUND(INDEX(Catalogue!E$4:E$85,MATCH(A143,Catalogue!A$4:A$85,0))*(1+'Paramètres'!$B$4*(C143-1)+'Paramètres'!$B$5*(C143-1)^2),0)</x:f>
        <x:v>18</x:v>
      </x:c>
      <x:c r="R143" t="n">
        <x:f>ROUND(INDEX(Catalogue!F$4:F$85,MATCH(A143,Catalogue!A$4:A$85,0))*(1+'Paramètres'!$B$4*(C143-1)+'Paramètres'!$B$5*(C143-1)^2),0)</x:f>
        <x:v>44</x:v>
      </x:c>
      <x:c r="S143" t="n">
        <x:f>L143-AVERAGE(Q143:R143)</x:f>
        <x:v>-0.5</x:v>
      </x:c>
      <x:c r="T143" t="str">
        <x:f>IF(M143=0,IF(AND(N143=0,O143=0,E143=0,F143=0),"OK","ERREUR"),IF(AND(M143&gt;=1,M143&lt;=32,OR(N143=4,N143=6,N143=8,N143=10,N143=12,N143=20),O143&gt;=0,E143=M143+O143,F143=M143*N143+O143),"OK","ERREUR"))</x:f>
        <x:v>OK</x:v>
      </x:c>
      <x:c r="U143" s="86" t="n">
        <x:f>IF(M143&gt;0,M143*(N143+1)/2+O143,0)</x:f>
        <x:v>30.5</x:v>
      </x:c>
      <x:c r="V143" t="str">
        <x:f>IF(ABS(L143-U143)&lt;0.001,"OK","ERREUR")</x:f>
        <x:v>OK</x:v>
      </x:c>
    </x:row>
    <x:row r="144" ht="18" customHeight="1">
      <x:c r="A144" t="str">
        <x:v>ARM008</x:v>
      </x:c>
      <x:c r="B144" t="str">
        <x:v>Sabre léger</x:v>
      </x:c>
      <x:c r="C144" t="n">
        <x:v>1</x:v>
      </x:c>
      <x:c r="D144" t="str">
        <x:v>Légères</x:v>
      </x:c>
      <x:c r="E144" s="28" t="n">
        <x:f>IF(M144=0,0,M144+O144)</x:f>
        <x:v>2</x:v>
      </x:c>
      <x:c r="F144" s="28" t="n">
        <x:f>IF(M144=0,0,M144*N144+O144)</x:f>
        <x:v>5</x:v>
      </x:c>
      <x:c r="G144" s="28" t="n">
        <x:f>ROUND(Catalogue!G11*SQRT((1+'Paramètres'!$B$4*(C144-1)+'Paramètres'!$B$5*(C144-1)^2)),0)</x:f>
        <x:v>0</x:v>
      </x:c>
      <x:c r="H144" s="28" t="n">
        <x:f>ROUND(Catalogue!H11*SQRT((1+'Paramètres'!$B$4*(C144-1)+'Paramètres'!$B$5*(C144-1)^2)),0)</x:f>
        <x:v>0</x:v>
      </x:c>
      <x:c r="I144" s="28" t="n">
        <x:v>2</x:v>
      </x:c>
      <x:c r="J144" s="28" t="n">
        <x:v>1</x:v>
      </x:c>
      <x:c r="K144" s="30" t="n">
        <x:v>1.1</x:v>
      </x:c>
      <x:c r="L144" s="54" t="n">
        <x:f>IF(M144=0,0,(E144+F144)/2)</x:f>
        <x:v>3.5</x:v>
      </x:c>
      <x:c r="M144" t="n">
        <x:v>1</x:v>
      </x:c>
      <x:c r="N144" t="n">
        <x:v>4</x:v>
      </x:c>
      <x:c r="O144" t="n">
        <x:v>1</x:v>
      </x:c>
      <x:c r="P144" s="63" t="str">
        <x:f>IF(M144=0,"—",M144&amp;"d"&amp;N144&amp;IF(O144=0,""," + "&amp;O144))</x:f>
        <x:v>1d4 + 1</x:v>
      </x:c>
      <x:c r="Q144" t="n">
        <x:f>ROUND(INDEX(Catalogue!E$4:E$85,MATCH(A144,Catalogue!A$4:A$85,0))*(1+'Paramètres'!$B$4*(C144-1)+'Paramètres'!$B$5*(C144-1)^2),0)</x:f>
        <x:v>3</x:v>
      </x:c>
      <x:c r="R144" t="n">
        <x:f>ROUND(INDEX(Catalogue!F$4:F$85,MATCH(A144,Catalogue!A$4:A$85,0))*(1+'Paramètres'!$B$4*(C144-1)+'Paramètres'!$B$5*(C144-1)^2),0)</x:f>
        <x:v>5</x:v>
      </x:c>
      <x:c r="S144" t="n">
        <x:f>L144-AVERAGE(Q144:R144)</x:f>
        <x:v>-0.5</x:v>
      </x:c>
      <x:c r="T144" t="str">
        <x:f>IF(M144=0,IF(AND(N144=0,O144=0,E144=0,F144=0),"OK","ERREUR"),IF(AND(M144&gt;=1,M144&lt;=32,OR(N144=4,N144=6,N144=8,N144=10,N144=12,N144=20),O144&gt;=0,E144=M144+O144,F144=M144*N144+O144),"OK","ERREUR"))</x:f>
        <x:v>OK</x:v>
      </x:c>
      <x:c r="U144" s="86" t="n">
        <x:f>IF(M144&gt;0,M144*(N144+1)/2+O144,0)</x:f>
        <x:v>3.5</x:v>
      </x:c>
      <x:c r="V144" t="str">
        <x:f>IF(ABS(L144-U144)&lt;0.001,"OK","ERREUR")</x:f>
        <x:v>OK</x:v>
      </x:c>
    </x:row>
    <x:row r="145" ht="18" customHeight="1">
      <x:c r="A145" t="str">
        <x:v>ARM008</x:v>
      </x:c>
      <x:c r="B145" t="str">
        <x:v>Sabre léger</x:v>
      </x:c>
      <x:c r="C145" t="n">
        <x:v>2</x:v>
      </x:c>
      <x:c r="D145" t="str">
        <x:v>Légères</x:v>
      </x:c>
      <x:c r="E145" s="28" t="n">
        <x:f>IF(M145=0,0,M145+O145)</x:f>
        <x:v>3</x:v>
      </x:c>
      <x:c r="F145" s="28" t="n">
        <x:f>IF(M145=0,0,M145*N145+O145)</x:f>
        <x:v>6</x:v>
      </x:c>
      <x:c r="G145" s="28" t="n">
        <x:f>ROUND(Catalogue!G11*SQRT((1+'Paramètres'!$B$4*(C145-1)+'Paramètres'!$B$5*(C145-1)^2)),0)</x:f>
        <x:v>0</x:v>
      </x:c>
      <x:c r="H145" s="28" t="n">
        <x:f>ROUND(Catalogue!H11*SQRT((1+'Paramètres'!$B$4*(C145-1)+'Paramètres'!$B$5*(C145-1)^2)),0)</x:f>
        <x:v>0</x:v>
      </x:c>
      <x:c r="I145" s="28" t="n">
        <x:v>2</x:v>
      </x:c>
      <x:c r="J145" s="28" t="n">
        <x:v>1</x:v>
      </x:c>
      <x:c r="K145" s="30" t="n">
        <x:v>1.1</x:v>
      </x:c>
      <x:c r="L145" s="54" t="n">
        <x:f>IF(M145=0,0,(E145+F145)/2)</x:f>
        <x:v>4.5</x:v>
      </x:c>
      <x:c r="M145" t="n">
        <x:v>1</x:v>
      </x:c>
      <x:c r="N145" t="n">
        <x:v>4</x:v>
      </x:c>
      <x:c r="O145" t="n">
        <x:v>2</x:v>
      </x:c>
      <x:c r="P145" s="63" t="str">
        <x:f>IF(M145=0,"—",M145&amp;"d"&amp;N145&amp;IF(O145=0,""," + "&amp;O145))</x:f>
        <x:v>1d4 + 2</x:v>
      </x:c>
      <x:c r="Q145" t="n">
        <x:f>ROUND(INDEX(Catalogue!E$4:E$85,MATCH(A145,Catalogue!A$4:A$85,0))*(1+'Paramètres'!$B$4*(C145-1)+'Paramètres'!$B$5*(C145-1)^2),0)</x:f>
        <x:v>3</x:v>
      </x:c>
      <x:c r="R145" t="n">
        <x:f>ROUND(INDEX(Catalogue!F$4:F$85,MATCH(A145,Catalogue!A$4:A$85,0))*(1+'Paramètres'!$B$4*(C145-1)+'Paramètres'!$B$5*(C145-1)^2),0)</x:f>
        <x:v>6</x:v>
      </x:c>
      <x:c r="S145" t="n">
        <x:f>L145-AVERAGE(Q145:R145)</x:f>
        <x:v>0</x:v>
      </x:c>
      <x:c r="T145" t="str">
        <x:f>IF(M145=0,IF(AND(N145=0,O145=0,E145=0,F145=0),"OK","ERREUR"),IF(AND(M145&gt;=1,M145&lt;=32,OR(N145=4,N145=6,N145=8,N145=10,N145=12,N145=20),O145&gt;=0,E145=M145+O145,F145=M145*N145+O145),"OK","ERREUR"))</x:f>
        <x:v>OK</x:v>
      </x:c>
      <x:c r="U145" s="86" t="n">
        <x:f>IF(M145&gt;0,M145*(N145+1)/2+O145,0)</x:f>
        <x:v>4.5</x:v>
      </x:c>
      <x:c r="V145" t="str">
        <x:f>IF(ABS(L145-U145)&lt;0.001,"OK","ERREUR")</x:f>
        <x:v>OK</x:v>
      </x:c>
    </x:row>
    <x:row r="146" ht="18" customHeight="1">
      <x:c r="A146" t="str">
        <x:v>ARM008</x:v>
      </x:c>
      <x:c r="B146" t="str">
        <x:v>Sabre léger</x:v>
      </x:c>
      <x:c r="C146" t="n">
        <x:v>3</x:v>
      </x:c>
      <x:c r="D146" t="str">
        <x:v>Légères</x:v>
      </x:c>
      <x:c r="E146" s="28" t="n">
        <x:f>IF(M146=0,0,M146+O146)</x:f>
        <x:v>3</x:v>
      </x:c>
      <x:c r="F146" s="28" t="n">
        <x:f>IF(M146=0,0,M146*N146+O146)</x:f>
        <x:v>6</x:v>
      </x:c>
      <x:c r="G146" s="28" t="n">
        <x:f>ROUND(Catalogue!G11*SQRT((1+'Paramètres'!$B$4*(C146-1)+'Paramètres'!$B$5*(C146-1)^2)),0)</x:f>
        <x:v>0</x:v>
      </x:c>
      <x:c r="H146" s="28" t="n">
        <x:f>ROUND(Catalogue!H11*SQRT((1+'Paramètres'!$B$4*(C146-1)+'Paramètres'!$B$5*(C146-1)^2)),0)</x:f>
        <x:v>0</x:v>
      </x:c>
      <x:c r="I146" s="28" t="n">
        <x:v>2</x:v>
      </x:c>
      <x:c r="J146" s="28" t="n">
        <x:v>1</x:v>
      </x:c>
      <x:c r="K146" s="30" t="n">
        <x:v>1.1</x:v>
      </x:c>
      <x:c r="L146" s="54" t="n">
        <x:f>IF(M146=0,0,(E146+F146)/2)</x:f>
        <x:v>4.5</x:v>
      </x:c>
      <x:c r="M146" t="n">
        <x:v>1</x:v>
      </x:c>
      <x:c r="N146" t="n">
        <x:v>4</x:v>
      </x:c>
      <x:c r="O146" t="n">
        <x:v>2</x:v>
      </x:c>
      <x:c r="P146" s="63" t="str">
        <x:f>IF(M146=0,"—",M146&amp;"d"&amp;N146&amp;IF(O146=0,""," + "&amp;O146))</x:f>
        <x:v>1d4 + 2</x:v>
      </x:c>
      <x:c r="Q146" t="n">
        <x:f>ROUND(INDEX(Catalogue!E$4:E$85,MATCH(A146,Catalogue!A$4:A$85,0))*(1+'Paramètres'!$B$4*(C146-1)+'Paramètres'!$B$5*(C146-1)^2),0)</x:f>
        <x:v>4</x:v>
      </x:c>
      <x:c r="R146" t="n">
        <x:f>ROUND(INDEX(Catalogue!F$4:F$85,MATCH(A146,Catalogue!A$4:A$85,0))*(1+'Paramètres'!$B$4*(C146-1)+'Paramètres'!$B$5*(C146-1)^2),0)</x:f>
        <x:v>6</x:v>
      </x:c>
      <x:c r="S146" t="n">
        <x:f>L146-AVERAGE(Q146:R146)</x:f>
        <x:v>-0.5</x:v>
      </x:c>
      <x:c r="T146" t="str">
        <x:f>IF(M146=0,IF(AND(N146=0,O146=0,E146=0,F146=0),"OK","ERREUR"),IF(AND(M146&gt;=1,M146&lt;=32,OR(N146=4,N146=6,N146=8,N146=10,N146=12,N146=20),O146&gt;=0,E146=M146+O146,F146=M146*N146+O146),"OK","ERREUR"))</x:f>
        <x:v>OK</x:v>
      </x:c>
      <x:c r="U146" s="86" t="n">
        <x:f>IF(M146&gt;0,M146*(N146+1)/2+O146,0)</x:f>
        <x:v>4.5</x:v>
      </x:c>
      <x:c r="V146" t="str">
        <x:f>IF(ABS(L146-U146)&lt;0.001,"OK","ERREUR")</x:f>
        <x:v>OK</x:v>
      </x:c>
    </x:row>
    <x:row r="147" ht="18" customHeight="1">
      <x:c r="A147" t="str">
        <x:v>ARM008</x:v>
      </x:c>
      <x:c r="B147" t="str">
        <x:v>Sabre léger</x:v>
      </x:c>
      <x:c r="C147" t="n">
        <x:v>4</x:v>
      </x:c>
      <x:c r="D147" t="str">
        <x:v>Légères</x:v>
      </x:c>
      <x:c r="E147" s="28" t="n">
        <x:f>IF(M147=0,0,M147+O147)</x:f>
        <x:v>4</x:v>
      </x:c>
      <x:c r="F147" s="28" t="n">
        <x:f>IF(M147=0,0,M147*N147+O147)</x:f>
        <x:v>7</x:v>
      </x:c>
      <x:c r="G147" s="28" t="n">
        <x:f>ROUND(Catalogue!G11*SQRT((1+'Paramètres'!$B$4*(C147-1)+'Paramètres'!$B$5*(C147-1)^2)),0)</x:f>
        <x:v>0</x:v>
      </x:c>
      <x:c r="H147" s="28" t="n">
        <x:f>ROUND(Catalogue!H11*SQRT((1+'Paramètres'!$B$4*(C147-1)+'Paramètres'!$B$5*(C147-1)^2)),0)</x:f>
        <x:v>0</x:v>
      </x:c>
      <x:c r="I147" s="28" t="n">
        <x:v>2</x:v>
      </x:c>
      <x:c r="J147" s="28" t="n">
        <x:v>1</x:v>
      </x:c>
      <x:c r="K147" s="30" t="n">
        <x:v>1.1</x:v>
      </x:c>
      <x:c r="L147" s="54" t="n">
        <x:f>IF(M147=0,0,(E147+F147)/2)</x:f>
        <x:v>5.5</x:v>
      </x:c>
      <x:c r="M147" t="n">
        <x:v>1</x:v>
      </x:c>
      <x:c r="N147" t="n">
        <x:v>4</x:v>
      </x:c>
      <x:c r="O147" t="n">
        <x:v>3</x:v>
      </x:c>
      <x:c r="P147" s="63" t="str">
        <x:f>IF(M147=0,"—",M147&amp;"d"&amp;N147&amp;IF(O147=0,""," + "&amp;O147))</x:f>
        <x:v>1d4 + 3</x:v>
      </x:c>
      <x:c r="Q147" t="n">
        <x:f>ROUND(INDEX(Catalogue!E$4:E$85,MATCH(A147,Catalogue!A$4:A$85,0))*(1+'Paramètres'!$B$4*(C147-1)+'Paramètres'!$B$5*(C147-1)^2),0)</x:f>
        <x:v>4</x:v>
      </x:c>
      <x:c r="R147" t="n">
        <x:f>ROUND(INDEX(Catalogue!F$4:F$85,MATCH(A147,Catalogue!A$4:A$85,0))*(1+'Paramètres'!$B$4*(C147-1)+'Paramètres'!$B$5*(C147-1)^2),0)</x:f>
        <x:v>7</x:v>
      </x:c>
      <x:c r="S147" t="n">
        <x:f>L147-AVERAGE(Q147:R147)</x:f>
        <x:v>0</x:v>
      </x:c>
      <x:c r="T147" t="str">
        <x:f>IF(M147=0,IF(AND(N147=0,O147=0,E147=0,F147=0),"OK","ERREUR"),IF(AND(M147&gt;=1,M147&lt;=32,OR(N147=4,N147=6,N147=8,N147=10,N147=12,N147=20),O147&gt;=0,E147=M147+O147,F147=M147*N147+O147),"OK","ERREUR"))</x:f>
        <x:v>OK</x:v>
      </x:c>
      <x:c r="U147" s="86" t="n">
        <x:f>IF(M147&gt;0,M147*(N147+1)/2+O147,0)</x:f>
        <x:v>5.5</x:v>
      </x:c>
      <x:c r="V147" t="str">
        <x:f>IF(ABS(L147-U147)&lt;0.001,"OK","ERREUR")</x:f>
        <x:v>OK</x:v>
      </x:c>
    </x:row>
    <x:row r="148" ht="18" customHeight="1">
      <x:c r="A148" t="str">
        <x:v>ARM008</x:v>
      </x:c>
      <x:c r="B148" t="str">
        <x:v>Sabre léger</x:v>
      </x:c>
      <x:c r="C148" t="n">
        <x:v>5</x:v>
      </x:c>
      <x:c r="D148" t="str">
        <x:v>Légères</x:v>
      </x:c>
      <x:c r="E148" s="28" t="n">
        <x:f>IF(M148=0,0,M148+O148)</x:f>
        <x:v>5</x:v>
      </x:c>
      <x:c r="F148" s="28" t="n">
        <x:f>IF(M148=0,0,M148*N148+O148)</x:f>
        <x:v>8</x:v>
      </x:c>
      <x:c r="G148" s="28" t="n">
        <x:f>ROUND(Catalogue!G11*SQRT((1+'Paramètres'!$B$4*(C148-1)+'Paramètres'!$B$5*(C148-1)^2)),0)</x:f>
        <x:v>0</x:v>
      </x:c>
      <x:c r="H148" s="28" t="n">
        <x:f>ROUND(Catalogue!H11*SQRT((1+'Paramètres'!$B$4*(C148-1)+'Paramètres'!$B$5*(C148-1)^2)),0)</x:f>
        <x:v>0</x:v>
      </x:c>
      <x:c r="I148" s="28" t="n">
        <x:v>2</x:v>
      </x:c>
      <x:c r="J148" s="28" t="n">
        <x:v>1</x:v>
      </x:c>
      <x:c r="K148" s="30" t="n">
        <x:v>1.1</x:v>
      </x:c>
      <x:c r="L148" s="54" t="n">
        <x:f>IF(M148=0,0,(E148+F148)/2)</x:f>
        <x:v>6.5</x:v>
      </x:c>
      <x:c r="M148" t="n">
        <x:v>1</x:v>
      </x:c>
      <x:c r="N148" t="n">
        <x:v>4</x:v>
      </x:c>
      <x:c r="O148" t="n">
        <x:v>4</x:v>
      </x:c>
      <x:c r="P148" s="63" t="str">
        <x:f>IF(M148=0,"—",M148&amp;"d"&amp;N148&amp;IF(O148=0,""," + "&amp;O148))</x:f>
        <x:v>1d4 + 4</x:v>
      </x:c>
      <x:c r="Q148" t="n">
        <x:f>ROUND(INDEX(Catalogue!E$4:E$85,MATCH(A148,Catalogue!A$4:A$85,0))*(1+'Paramètres'!$B$4*(C148-1)+'Paramètres'!$B$5*(C148-1)^2),0)</x:f>
        <x:v>5</x:v>
      </x:c>
      <x:c r="R148" t="n">
        <x:f>ROUND(INDEX(Catalogue!F$4:F$85,MATCH(A148,Catalogue!A$4:A$85,0))*(1+'Paramètres'!$B$4*(C148-1)+'Paramètres'!$B$5*(C148-1)^2),0)</x:f>
        <x:v>8</x:v>
      </x:c>
      <x:c r="S148" t="n">
        <x:f>L148-AVERAGE(Q148:R148)</x:f>
        <x:v>0</x:v>
      </x:c>
      <x:c r="T148" t="str">
        <x:f>IF(M148=0,IF(AND(N148=0,O148=0,E148=0,F148=0),"OK","ERREUR"),IF(AND(M148&gt;=1,M148&lt;=32,OR(N148=4,N148=6,N148=8,N148=10,N148=12,N148=20),O148&gt;=0,E148=M148+O148,F148=M148*N148+O148),"OK","ERREUR"))</x:f>
        <x:v>OK</x:v>
      </x:c>
      <x:c r="U148" s="86" t="n">
        <x:f>IF(M148&gt;0,M148*(N148+1)/2+O148,0)</x:f>
        <x:v>6.5</x:v>
      </x:c>
      <x:c r="V148" t="str">
        <x:f>IF(ABS(L148-U148)&lt;0.001,"OK","ERREUR")</x:f>
        <x:v>OK</x:v>
      </x:c>
    </x:row>
    <x:row r="149" ht="18" customHeight="1">
      <x:c r="A149" t="str">
        <x:v>ARM008</x:v>
      </x:c>
      <x:c r="B149" t="str">
        <x:v>Sabre léger</x:v>
      </x:c>
      <x:c r="C149" t="n">
        <x:v>6</x:v>
      </x:c>
      <x:c r="D149" t="str">
        <x:v>Légères</x:v>
      </x:c>
      <x:c r="E149" s="28" t="n">
        <x:f>IF(M149=0,0,M149+O149)</x:f>
        <x:v>6</x:v>
      </x:c>
      <x:c r="F149" s="28" t="n">
        <x:f>IF(M149=0,0,M149*N149+O149)</x:f>
        <x:v>9</x:v>
      </x:c>
      <x:c r="G149" s="28" t="n">
        <x:f>ROUND(Catalogue!G11*SQRT((1+'Paramètres'!$B$4*(C149-1)+'Paramètres'!$B$5*(C149-1)^2)),0)</x:f>
        <x:v>0</x:v>
      </x:c>
      <x:c r="H149" s="28" t="n">
        <x:f>ROUND(Catalogue!H11*SQRT((1+'Paramètres'!$B$4*(C149-1)+'Paramètres'!$B$5*(C149-1)^2)),0)</x:f>
        <x:v>0</x:v>
      </x:c>
      <x:c r="I149" s="28" t="n">
        <x:v>2</x:v>
      </x:c>
      <x:c r="J149" s="28" t="n">
        <x:v>1</x:v>
      </x:c>
      <x:c r="K149" s="30" t="n">
        <x:v>1.1</x:v>
      </x:c>
      <x:c r="L149" s="54" t="n">
        <x:f>IF(M149=0,0,(E149+F149)/2)</x:f>
        <x:v>7.5</x:v>
      </x:c>
      <x:c r="M149" t="n">
        <x:v>1</x:v>
      </x:c>
      <x:c r="N149" t="n">
        <x:v>4</x:v>
      </x:c>
      <x:c r="O149" t="n">
        <x:v>5</x:v>
      </x:c>
      <x:c r="P149" s="63" t="str">
        <x:f>IF(M149=0,"—",M149&amp;"d"&amp;N149&amp;IF(O149=0,""," + "&amp;O149))</x:f>
        <x:v>1d4 + 5</x:v>
      </x:c>
      <x:c r="Q149" t="n">
        <x:f>ROUND(INDEX(Catalogue!E$4:E$85,MATCH(A149,Catalogue!A$4:A$85,0))*(1+'Paramètres'!$B$4*(C149-1)+'Paramètres'!$B$5*(C149-1)^2),0)</x:f>
        <x:v>6</x:v>
      </x:c>
      <x:c r="R149" t="n">
        <x:f>ROUND(INDEX(Catalogue!F$4:F$85,MATCH(A149,Catalogue!A$4:A$85,0))*(1+'Paramètres'!$B$4*(C149-1)+'Paramètres'!$B$5*(C149-1)^2),0)</x:f>
        <x:v>10</x:v>
      </x:c>
      <x:c r="S149" t="n">
        <x:f>L149-AVERAGE(Q149:R149)</x:f>
        <x:v>-0.5</x:v>
      </x:c>
      <x:c r="T149" t="str">
        <x:f>IF(M149=0,IF(AND(N149=0,O149=0,E149=0,F149=0),"OK","ERREUR"),IF(AND(M149&gt;=1,M149&lt;=32,OR(N149=4,N149=6,N149=8,N149=10,N149=12,N149=20),O149&gt;=0,E149=M149+O149,F149=M149*N149+O149),"OK","ERREUR"))</x:f>
        <x:v>OK</x:v>
      </x:c>
      <x:c r="U149" s="86" t="n">
        <x:f>IF(M149&gt;0,M149*(N149+1)/2+O149,0)</x:f>
        <x:v>7.5</x:v>
      </x:c>
      <x:c r="V149" t="str">
        <x:f>IF(ABS(L149-U149)&lt;0.001,"OK","ERREUR")</x:f>
        <x:v>OK</x:v>
      </x:c>
    </x:row>
    <x:row r="150" ht="18" customHeight="1">
      <x:c r="A150" t="str">
        <x:v>ARM008</x:v>
      </x:c>
      <x:c r="B150" t="str">
        <x:v>Sabre léger</x:v>
      </x:c>
      <x:c r="C150" t="n">
        <x:v>7</x:v>
      </x:c>
      <x:c r="D150" t="str">
        <x:v>Légères</x:v>
      </x:c>
      <x:c r="E150" s="28" t="n">
        <x:f>IF(M150=0,0,M150+O150)</x:f>
        <x:v>7</x:v>
      </x:c>
      <x:c r="F150" s="28" t="n">
        <x:f>IF(M150=0,0,M150*N150+O150)</x:f>
        <x:v>10</x:v>
      </x:c>
      <x:c r="G150" s="28" t="n">
        <x:f>ROUND(Catalogue!G11*SQRT((1+'Paramètres'!$B$4*(C150-1)+'Paramètres'!$B$5*(C150-1)^2)),0)</x:f>
        <x:v>0</x:v>
      </x:c>
      <x:c r="H150" s="28" t="n">
        <x:f>ROUND(Catalogue!H11*SQRT((1+'Paramètres'!$B$4*(C150-1)+'Paramètres'!$B$5*(C150-1)^2)),0)</x:f>
        <x:v>0</x:v>
      </x:c>
      <x:c r="I150" s="28" t="n">
        <x:v>2</x:v>
      </x:c>
      <x:c r="J150" s="28" t="n">
        <x:v>1</x:v>
      </x:c>
      <x:c r="K150" s="30" t="n">
        <x:v>1.1</x:v>
      </x:c>
      <x:c r="L150" s="54" t="n">
        <x:f>IF(M150=0,0,(E150+F150)/2)</x:f>
        <x:v>8.5</x:v>
      </x:c>
      <x:c r="M150" t="n">
        <x:v>1</x:v>
      </x:c>
      <x:c r="N150" t="n">
        <x:v>4</x:v>
      </x:c>
      <x:c r="O150" t="n">
        <x:v>6</x:v>
      </x:c>
      <x:c r="P150" s="63" t="str">
        <x:f>IF(M150=0,"—",M150&amp;"d"&amp;N150&amp;IF(O150=0,""," + "&amp;O150))</x:f>
        <x:v>1d4 + 6</x:v>
      </x:c>
      <x:c r="Q150" t="n">
        <x:f>ROUND(INDEX(Catalogue!E$4:E$85,MATCH(A150,Catalogue!A$4:A$85,0))*(1+'Paramètres'!$B$4*(C150-1)+'Paramètres'!$B$5*(C150-1)^2),0)</x:f>
        <x:v>7</x:v>
      </x:c>
      <x:c r="R150" t="n">
        <x:f>ROUND(INDEX(Catalogue!F$4:F$85,MATCH(A150,Catalogue!A$4:A$85,0))*(1+'Paramètres'!$B$4*(C150-1)+'Paramètres'!$B$5*(C150-1)^2),0)</x:f>
        <x:v>11</x:v>
      </x:c>
      <x:c r="S150" t="n">
        <x:f>L150-AVERAGE(Q150:R150)</x:f>
        <x:v>-0.5</x:v>
      </x:c>
      <x:c r="T150" t="str">
        <x:f>IF(M150=0,IF(AND(N150=0,O150=0,E150=0,F150=0),"OK","ERREUR"),IF(AND(M150&gt;=1,M150&lt;=32,OR(N150=4,N150=6,N150=8,N150=10,N150=12,N150=20),O150&gt;=0,E150=M150+O150,F150=M150*N150+O150),"OK","ERREUR"))</x:f>
        <x:v>OK</x:v>
      </x:c>
      <x:c r="U150" s="86" t="n">
        <x:f>IF(M150&gt;0,M150*(N150+1)/2+O150,0)</x:f>
        <x:v>8.5</x:v>
      </x:c>
      <x:c r="V150" t="str">
        <x:f>IF(ABS(L150-U150)&lt;0.001,"OK","ERREUR")</x:f>
        <x:v>OK</x:v>
      </x:c>
    </x:row>
    <x:row r="151" ht="18" customHeight="1">
      <x:c r="A151" t="str">
        <x:v>ARM008</x:v>
      </x:c>
      <x:c r="B151" t="str">
        <x:v>Sabre léger</x:v>
      </x:c>
      <x:c r="C151" t="n">
        <x:v>8</x:v>
      </x:c>
      <x:c r="D151" t="str">
        <x:v>Légères</x:v>
      </x:c>
      <x:c r="E151" s="28" t="n">
        <x:f>IF(M151=0,0,M151+O151)</x:f>
        <x:v>8</x:v>
      </x:c>
      <x:c r="F151" s="28" t="n">
        <x:f>IF(M151=0,0,M151*N151+O151)</x:f>
        <x:v>13</x:v>
      </x:c>
      <x:c r="G151" s="28" t="n">
        <x:f>ROUND(Catalogue!G11*SQRT((1+'Paramètres'!$B$4*(C151-1)+'Paramètres'!$B$5*(C151-1)^2)),0)</x:f>
        <x:v>0</x:v>
      </x:c>
      <x:c r="H151" s="28" t="n">
        <x:f>ROUND(Catalogue!H11*SQRT((1+'Paramètres'!$B$4*(C151-1)+'Paramètres'!$B$5*(C151-1)^2)),0)</x:f>
        <x:v>0</x:v>
      </x:c>
      <x:c r="I151" s="28" t="n">
        <x:v>2</x:v>
      </x:c>
      <x:c r="J151" s="28" t="n">
        <x:v>1</x:v>
      </x:c>
      <x:c r="K151" s="30" t="n">
        <x:v>1.1</x:v>
      </x:c>
      <x:c r="L151" s="54" t="n">
        <x:f>IF(M151=0,0,(E151+F151)/2)</x:f>
        <x:v>10.5</x:v>
      </x:c>
      <x:c r="M151" t="n">
        <x:v>1</x:v>
      </x:c>
      <x:c r="N151" t="n">
        <x:v>6</x:v>
      </x:c>
      <x:c r="O151" t="n">
        <x:v>7</x:v>
      </x:c>
      <x:c r="P151" s="63" t="str">
        <x:f>IF(M151=0,"—",M151&amp;"d"&amp;N151&amp;IF(O151=0,""," + "&amp;O151))</x:f>
        <x:v>1d6 + 7</x:v>
      </x:c>
      <x:c r="Q151" t="n">
        <x:f>ROUND(INDEX(Catalogue!E$4:E$85,MATCH(A151,Catalogue!A$4:A$85,0))*(1+'Paramètres'!$B$4*(C151-1)+'Paramètres'!$B$5*(C151-1)^2),0)</x:f>
        <x:v>8</x:v>
      </x:c>
      <x:c r="R151" t="n">
        <x:f>ROUND(INDEX(Catalogue!F$4:F$85,MATCH(A151,Catalogue!A$4:A$85,0))*(1+'Paramètres'!$B$4*(C151-1)+'Paramètres'!$B$5*(C151-1)^2),0)</x:f>
        <x:v>13</x:v>
      </x:c>
      <x:c r="S151" t="n">
        <x:f>L151-AVERAGE(Q151:R151)</x:f>
        <x:v>0</x:v>
      </x:c>
      <x:c r="T151" t="str">
        <x:f>IF(M151=0,IF(AND(N151=0,O151=0,E151=0,F151=0),"OK","ERREUR"),IF(AND(M151&gt;=1,M151&lt;=32,OR(N151=4,N151=6,N151=8,N151=10,N151=12,N151=20),O151&gt;=0,E151=M151+O151,F151=M151*N151+O151),"OK","ERREUR"))</x:f>
        <x:v>OK</x:v>
      </x:c>
      <x:c r="U151" s="86" t="n">
        <x:f>IF(M151&gt;0,M151*(N151+1)/2+O151,0)</x:f>
        <x:v>10.5</x:v>
      </x:c>
      <x:c r="V151" t="str">
        <x:f>IF(ABS(L151-U151)&lt;0.001,"OK","ERREUR")</x:f>
        <x:v>OK</x:v>
      </x:c>
    </x:row>
    <x:row r="152" ht="18" customHeight="1">
      <x:c r="A152" t="str">
        <x:v>ARM008</x:v>
      </x:c>
      <x:c r="B152" t="str">
        <x:v>Sabre léger</x:v>
      </x:c>
      <x:c r="C152" t="n">
        <x:v>9</x:v>
      </x:c>
      <x:c r="D152" t="str">
        <x:v>Légères</x:v>
      </x:c>
      <x:c r="E152" s="28" t="n">
        <x:f>IF(M152=0,0,M152+O152)</x:f>
        <x:v>9</x:v>
      </x:c>
      <x:c r="F152" s="28" t="n">
        <x:f>IF(M152=0,0,M152*N152+O152)</x:f>
        <x:v>15</x:v>
      </x:c>
      <x:c r="G152" s="28" t="n">
        <x:f>ROUND(Catalogue!G11*SQRT((1+'Paramètres'!$B$4*(C152-1)+'Paramètres'!$B$5*(C152-1)^2)),0)</x:f>
        <x:v>0</x:v>
      </x:c>
      <x:c r="H152" s="28" t="n">
        <x:f>ROUND(Catalogue!H11*SQRT((1+'Paramètres'!$B$4*(C152-1)+'Paramètres'!$B$5*(C152-1)^2)),0)</x:f>
        <x:v>0</x:v>
      </x:c>
      <x:c r="I152" s="28" t="n">
        <x:v>2</x:v>
      </x:c>
      <x:c r="J152" s="28" t="n">
        <x:v>1</x:v>
      </x:c>
      <x:c r="K152" s="30" t="n">
        <x:v>1.1</x:v>
      </x:c>
      <x:c r="L152" s="54" t="n">
        <x:f>IF(M152=0,0,(E152+F152)/2)</x:f>
        <x:v>12</x:v>
      </x:c>
      <x:c r="M152" t="n">
        <x:v>2</x:v>
      </x:c>
      <x:c r="N152" t="n">
        <x:v>4</x:v>
      </x:c>
      <x:c r="O152" t="n">
        <x:v>7</x:v>
      </x:c>
      <x:c r="P152" s="63" t="str">
        <x:f>IF(M152=0,"—",M152&amp;"d"&amp;N152&amp;IF(O152=0,""," + "&amp;O152))</x:f>
        <x:v>2d4 + 7</x:v>
      </x:c>
      <x:c r="Q152" t="n">
        <x:f>ROUND(INDEX(Catalogue!E$4:E$85,MATCH(A152,Catalogue!A$4:A$85,0))*(1+'Paramètres'!$B$4*(C152-1)+'Paramètres'!$B$5*(C152-1)^2),0)</x:f>
        <x:v>9</x:v>
      </x:c>
      <x:c r="R152" t="n">
        <x:f>ROUND(INDEX(Catalogue!F$4:F$85,MATCH(A152,Catalogue!A$4:A$85,0))*(1+'Paramètres'!$B$4*(C152-1)+'Paramètres'!$B$5*(C152-1)^2),0)</x:f>
        <x:v>15</x:v>
      </x:c>
      <x:c r="S152" t="n">
        <x:f>L152-AVERAGE(Q152:R152)</x:f>
        <x:v>0</x:v>
      </x:c>
      <x:c r="T152" t="str">
        <x:f>IF(M152=0,IF(AND(N152=0,O152=0,E152=0,F152=0),"OK","ERREUR"),IF(AND(M152&gt;=1,M152&lt;=32,OR(N152=4,N152=6,N152=8,N152=10,N152=12,N152=20),O152&gt;=0,E152=M152+O152,F152=M152*N152+O152),"OK","ERREUR"))</x:f>
        <x:v>OK</x:v>
      </x:c>
      <x:c r="U152" s="86" t="n">
        <x:f>IF(M152&gt;0,M152*(N152+1)/2+O152,0)</x:f>
        <x:v>12</x:v>
      </x:c>
      <x:c r="V152" t="str">
        <x:f>IF(ABS(L152-U152)&lt;0.001,"OK","ERREUR")</x:f>
        <x:v>OK</x:v>
      </x:c>
    </x:row>
    <x:row r="153" ht="18" customHeight="1">
      <x:c r="A153" t="str">
        <x:v>ARM008</x:v>
      </x:c>
      <x:c r="B153" t="str">
        <x:v>Sabre léger</x:v>
      </x:c>
      <x:c r="C153" t="n">
        <x:v>10</x:v>
      </x:c>
      <x:c r="D153" t="str">
        <x:v>Légères</x:v>
      </x:c>
      <x:c r="E153" s="28" t="n">
        <x:f>IF(M153=0,0,M153+O153)</x:f>
        <x:v>10</x:v>
      </x:c>
      <x:c r="F153" s="28" t="n">
        <x:f>IF(M153=0,0,M153*N153+O153)</x:f>
        <x:v>16</x:v>
      </x:c>
      <x:c r="G153" s="28" t="n">
        <x:f>ROUND(Catalogue!G11*SQRT((1+'Paramètres'!$B$4*(C153-1)+'Paramètres'!$B$5*(C153-1)^2)),0)</x:f>
        <x:v>0</x:v>
      </x:c>
      <x:c r="H153" s="28" t="n">
        <x:f>ROUND(Catalogue!H11*SQRT((1+'Paramètres'!$B$4*(C153-1)+'Paramètres'!$B$5*(C153-1)^2)),0)</x:f>
        <x:v>0</x:v>
      </x:c>
      <x:c r="I153" s="28" t="n">
        <x:v>2</x:v>
      </x:c>
      <x:c r="J153" s="28" t="n">
        <x:v>1</x:v>
      </x:c>
      <x:c r="K153" s="30" t="n">
        <x:v>1.1</x:v>
      </x:c>
      <x:c r="L153" s="54" t="n">
        <x:f>IF(M153=0,0,(E153+F153)/2)</x:f>
        <x:v>13</x:v>
      </x:c>
      <x:c r="M153" t="n">
        <x:v>2</x:v>
      </x:c>
      <x:c r="N153" t="n">
        <x:v>4</x:v>
      </x:c>
      <x:c r="O153" t="n">
        <x:v>8</x:v>
      </x:c>
      <x:c r="P153" s="63" t="str">
        <x:f>IF(M153=0,"—",M153&amp;"d"&amp;N153&amp;IF(O153=0,""," + "&amp;O153))</x:f>
        <x:v>2d4 + 8</x:v>
      </x:c>
      <x:c r="Q153" t="n">
        <x:f>ROUND(INDEX(Catalogue!E$4:E$85,MATCH(A153,Catalogue!A$4:A$85,0))*(1+'Paramètres'!$B$4*(C153-1)+'Paramètres'!$B$5*(C153-1)^2),0)</x:f>
        <x:v>10</x:v>
      </x:c>
      <x:c r="R153" t="n">
        <x:f>ROUND(INDEX(Catalogue!F$4:F$85,MATCH(A153,Catalogue!A$4:A$85,0))*(1+'Paramètres'!$B$4*(C153-1)+'Paramètres'!$B$5*(C153-1)^2),0)</x:f>
        <x:v>16</x:v>
      </x:c>
      <x:c r="S153" t="n">
        <x:f>L153-AVERAGE(Q153:R153)</x:f>
        <x:v>0</x:v>
      </x:c>
      <x:c r="T153" t="str">
        <x:f>IF(M153=0,IF(AND(N153=0,O153=0,E153=0,F153=0),"OK","ERREUR"),IF(AND(M153&gt;=1,M153&lt;=32,OR(N153=4,N153=6,N153=8,N153=10,N153=12,N153=20),O153&gt;=0,E153=M153+O153,F153=M153*N153+O153),"OK","ERREUR"))</x:f>
        <x:v>OK</x:v>
      </x:c>
      <x:c r="U153" s="86" t="n">
        <x:f>IF(M153&gt;0,M153*(N153+1)/2+O153,0)</x:f>
        <x:v>13</x:v>
      </x:c>
      <x:c r="V153" t="str">
        <x:f>IF(ABS(L153-U153)&lt;0.001,"OK","ERREUR")</x:f>
        <x:v>OK</x:v>
      </x:c>
    </x:row>
    <x:row r="154" ht="18" customHeight="1">
      <x:c r="A154" t="str">
        <x:v>ARM008</x:v>
      </x:c>
      <x:c r="B154" t="str">
        <x:v>Sabre léger</x:v>
      </x:c>
      <x:c r="C154" t="n">
        <x:v>11</x:v>
      </x:c>
      <x:c r="D154" t="str">
        <x:v>Légères</x:v>
      </x:c>
      <x:c r="E154" s="28" t="n">
        <x:f>IF(M154=0,0,M154+O154)</x:f>
        <x:v>11</x:v>
      </x:c>
      <x:c r="F154" s="28" t="n">
        <x:f>IF(M154=0,0,M154*N154+O154)</x:f>
        <x:v>20</x:v>
      </x:c>
      <x:c r="G154" s="28" t="n">
        <x:f>ROUND(Catalogue!G11*SQRT((1+'Paramètres'!$B$4*(C154-1)+'Paramètres'!$B$5*(C154-1)^2)),0)</x:f>
        <x:v>0</x:v>
      </x:c>
      <x:c r="H154" s="28" t="n">
        <x:f>ROUND(Catalogue!H11*SQRT((1+'Paramètres'!$B$4*(C154-1)+'Paramètres'!$B$5*(C154-1)^2)),0)</x:f>
        <x:v>0</x:v>
      </x:c>
      <x:c r="I154" s="28" t="n">
        <x:v>2</x:v>
      </x:c>
      <x:c r="J154" s="28" t="n">
        <x:v>1</x:v>
      </x:c>
      <x:c r="K154" s="30" t="n">
        <x:v>1.1</x:v>
      </x:c>
      <x:c r="L154" s="54" t="n">
        <x:f>IF(M154=0,0,(E154+F154)/2)</x:f>
        <x:v>15.5</x:v>
      </x:c>
      <x:c r="M154" t="n">
        <x:v>3</x:v>
      </x:c>
      <x:c r="N154" t="n">
        <x:v>4</x:v>
      </x:c>
      <x:c r="O154" t="n">
        <x:v>8</x:v>
      </x:c>
      <x:c r="P154" s="63" t="str">
        <x:f>IF(M154=0,"—",M154&amp;"d"&amp;N154&amp;IF(O154=0,""," + "&amp;O154))</x:f>
        <x:v>3d4 + 8</x:v>
      </x:c>
      <x:c r="Q154" t="n">
        <x:f>ROUND(INDEX(Catalogue!E$4:E$85,MATCH(A154,Catalogue!A$4:A$85,0))*(1+'Paramètres'!$B$4*(C154-1)+'Paramètres'!$B$5*(C154-1)^2),0)</x:f>
        <x:v>11</x:v>
      </x:c>
      <x:c r="R154" t="n">
        <x:f>ROUND(INDEX(Catalogue!F$4:F$85,MATCH(A154,Catalogue!A$4:A$85,0))*(1+'Paramètres'!$B$4*(C154-1)+'Paramètres'!$B$5*(C154-1)^2),0)</x:f>
        <x:v>19</x:v>
      </x:c>
      <x:c r="S154" t="n">
        <x:f>L154-AVERAGE(Q154:R154)</x:f>
        <x:v>0.5</x:v>
      </x:c>
      <x:c r="T154" t="str">
        <x:f>IF(M154=0,IF(AND(N154=0,O154=0,E154=0,F154=0),"OK","ERREUR"),IF(AND(M154&gt;=1,M154&lt;=32,OR(N154=4,N154=6,N154=8,N154=10,N154=12,N154=20),O154&gt;=0,E154=M154+O154,F154=M154*N154+O154),"OK","ERREUR"))</x:f>
        <x:v>OK</x:v>
      </x:c>
      <x:c r="U154" s="86" t="n">
        <x:f>IF(M154&gt;0,M154*(N154+1)/2+O154,0)</x:f>
        <x:v>15.5</x:v>
      </x:c>
      <x:c r="V154" t="str">
        <x:f>IF(ABS(L154-U154)&lt;0.001,"OK","ERREUR")</x:f>
        <x:v>OK</x:v>
      </x:c>
    </x:row>
    <x:row r="155" ht="18" customHeight="1">
      <x:c r="A155" t="str">
        <x:v>ARM008</x:v>
      </x:c>
      <x:c r="B155" t="str">
        <x:v>Sabre léger</x:v>
      </x:c>
      <x:c r="C155" t="n">
        <x:v>12</x:v>
      </x:c>
      <x:c r="D155" t="str">
        <x:v>Légères</x:v>
      </x:c>
      <x:c r="E155" s="28" t="n">
        <x:f>IF(M155=0,0,M155+O155)</x:f>
        <x:v>12</x:v>
      </x:c>
      <x:c r="F155" s="28" t="n">
        <x:f>IF(M155=0,0,M155*N155+O155)</x:f>
        <x:v>21</x:v>
      </x:c>
      <x:c r="G155" s="28" t="n">
        <x:f>ROUND(Catalogue!G11*SQRT((1+'Paramètres'!$B$4*(C155-1)+'Paramètres'!$B$5*(C155-1)^2)),0)</x:f>
        <x:v>0</x:v>
      </x:c>
      <x:c r="H155" s="28" t="n">
        <x:f>ROUND(Catalogue!H11*SQRT((1+'Paramètres'!$B$4*(C155-1)+'Paramètres'!$B$5*(C155-1)^2)),0)</x:f>
        <x:v>0</x:v>
      </x:c>
      <x:c r="I155" s="28" t="n">
        <x:v>2</x:v>
      </x:c>
      <x:c r="J155" s="28" t="n">
        <x:v>1</x:v>
      </x:c>
      <x:c r="K155" s="30" t="n">
        <x:v>1.1</x:v>
      </x:c>
      <x:c r="L155" s="54" t="n">
        <x:f>IF(M155=0,0,(E155+F155)/2)</x:f>
        <x:v>16.5</x:v>
      </x:c>
      <x:c r="M155" t="n">
        <x:v>3</x:v>
      </x:c>
      <x:c r="N155" t="n">
        <x:v>4</x:v>
      </x:c>
      <x:c r="O155" t="n">
        <x:v>9</x:v>
      </x:c>
      <x:c r="P155" s="63" t="str">
        <x:f>IF(M155=0,"—",M155&amp;"d"&amp;N155&amp;IF(O155=0,""," + "&amp;O155))</x:f>
        <x:v>3d4 + 9</x:v>
      </x:c>
      <x:c r="Q155" t="n">
        <x:f>ROUND(INDEX(Catalogue!E$4:E$85,MATCH(A155,Catalogue!A$4:A$85,0))*(1+'Paramètres'!$B$4*(C155-1)+'Paramètres'!$B$5*(C155-1)^2),0)</x:f>
        <x:v>12</x:v>
      </x:c>
      <x:c r="R155" t="n">
        <x:f>ROUND(INDEX(Catalogue!F$4:F$85,MATCH(A155,Catalogue!A$4:A$85,0))*(1+'Paramètres'!$B$4*(C155-1)+'Paramètres'!$B$5*(C155-1)^2),0)</x:f>
        <x:v>21</x:v>
      </x:c>
      <x:c r="S155" t="n">
        <x:f>L155-AVERAGE(Q155:R155)</x:f>
        <x:v>0</x:v>
      </x:c>
      <x:c r="T155" t="str">
        <x:f>IF(M155=0,IF(AND(N155=0,O155=0,E155=0,F155=0),"OK","ERREUR"),IF(AND(M155&gt;=1,M155&lt;=32,OR(N155=4,N155=6,N155=8,N155=10,N155=12,N155=20),O155&gt;=0,E155=M155+O155,F155=M155*N155+O155),"OK","ERREUR"))</x:f>
        <x:v>OK</x:v>
      </x:c>
      <x:c r="U155" s="86" t="n">
        <x:f>IF(M155&gt;0,M155*(N155+1)/2+O155,0)</x:f>
        <x:v>16.5</x:v>
      </x:c>
      <x:c r="V155" t="str">
        <x:f>IF(ABS(L155-U155)&lt;0.001,"OK","ERREUR")</x:f>
        <x:v>OK</x:v>
      </x:c>
    </x:row>
    <x:row r="156" ht="18" customHeight="1">
      <x:c r="A156" t="str">
        <x:v>ARM008</x:v>
      </x:c>
      <x:c r="B156" t="str">
        <x:v>Sabre léger</x:v>
      </x:c>
      <x:c r="C156" t="n">
        <x:v>13</x:v>
      </x:c>
      <x:c r="D156" t="str">
        <x:v>Légères</x:v>
      </x:c>
      <x:c r="E156" s="28" t="n">
        <x:f>IF(M156=0,0,M156+O156)</x:f>
        <x:v>14</x:v>
      </x:c>
      <x:c r="F156" s="28" t="n">
        <x:f>IF(M156=0,0,M156*N156+O156)</x:f>
        <x:v>23</x:v>
      </x:c>
      <x:c r="G156" s="28" t="n">
        <x:f>ROUND(Catalogue!G11*SQRT((1+'Paramètres'!$B$4*(C156-1)+'Paramètres'!$B$5*(C156-1)^2)),0)</x:f>
        <x:v>0</x:v>
      </x:c>
      <x:c r="H156" s="28" t="n">
        <x:f>ROUND(Catalogue!H11*SQRT((1+'Paramètres'!$B$4*(C156-1)+'Paramètres'!$B$5*(C156-1)^2)),0)</x:f>
        <x:v>0</x:v>
      </x:c>
      <x:c r="I156" s="28" t="n">
        <x:v>2</x:v>
      </x:c>
      <x:c r="J156" s="28" t="n">
        <x:v>1</x:v>
      </x:c>
      <x:c r="K156" s="30" t="n">
        <x:v>1.1</x:v>
      </x:c>
      <x:c r="L156" s="54" t="n">
        <x:f>IF(M156=0,0,(E156+F156)/2)</x:f>
        <x:v>18.5</x:v>
      </x:c>
      <x:c r="M156" t="n">
        <x:v>3</x:v>
      </x:c>
      <x:c r="N156" t="n">
        <x:v>4</x:v>
      </x:c>
      <x:c r="O156" t="n">
        <x:v>11</x:v>
      </x:c>
      <x:c r="P156" s="63" t="str">
        <x:f>IF(M156=0,"—",M156&amp;"d"&amp;N156&amp;IF(O156=0,""," + "&amp;O156))</x:f>
        <x:v>3d4 + 11</x:v>
      </x:c>
      <x:c r="Q156" t="n">
        <x:f>ROUND(INDEX(Catalogue!E$4:E$85,MATCH(A156,Catalogue!A$4:A$85,0))*(1+'Paramètres'!$B$4*(C156-1)+'Paramètres'!$B$5*(C156-1)^2),0)</x:f>
        <x:v>14</x:v>
      </x:c>
      <x:c r="R156" t="n">
        <x:f>ROUND(INDEX(Catalogue!F$4:F$85,MATCH(A156,Catalogue!A$4:A$85,0))*(1+'Paramètres'!$B$4*(C156-1)+'Paramètres'!$B$5*(C156-1)^2),0)</x:f>
        <x:v>23</x:v>
      </x:c>
      <x:c r="S156" t="n">
        <x:f>L156-AVERAGE(Q156:R156)</x:f>
        <x:v>0</x:v>
      </x:c>
      <x:c r="T156" t="str">
        <x:f>IF(M156=0,IF(AND(N156=0,O156=0,E156=0,F156=0),"OK","ERREUR"),IF(AND(M156&gt;=1,M156&lt;=32,OR(N156=4,N156=6,N156=8,N156=10,N156=12,N156=20),O156&gt;=0,E156=M156+O156,F156=M156*N156+O156),"OK","ERREUR"))</x:f>
        <x:v>OK</x:v>
      </x:c>
      <x:c r="U156" s="86" t="n">
        <x:f>IF(M156&gt;0,M156*(N156+1)/2+O156,0)</x:f>
        <x:v>18.5</x:v>
      </x:c>
      <x:c r="V156" t="str">
        <x:f>IF(ABS(L156-U156)&lt;0.001,"OK","ERREUR")</x:f>
        <x:v>OK</x:v>
      </x:c>
    </x:row>
    <x:row r="157" ht="18" customHeight="1">
      <x:c r="A157" t="str">
        <x:v>ARM008</x:v>
      </x:c>
      <x:c r="B157" t="str">
        <x:v>Sabre léger</x:v>
      </x:c>
      <x:c r="C157" t="n">
        <x:v>14</x:v>
      </x:c>
      <x:c r="D157" t="str">
        <x:v>Légères</x:v>
      </x:c>
      <x:c r="E157" s="28" t="n">
        <x:f>IF(M157=0,0,M157+O157)</x:f>
        <x:v>15</x:v>
      </x:c>
      <x:c r="F157" s="28" t="n">
        <x:f>IF(M157=0,0,M157*N157+O157)</x:f>
        <x:v>25</x:v>
      </x:c>
      <x:c r="G157" s="28" t="n">
        <x:f>ROUND(Catalogue!G11*SQRT((1+'Paramètres'!$B$4*(C157-1)+'Paramètres'!$B$5*(C157-1)^2)),0)</x:f>
        <x:v>0</x:v>
      </x:c>
      <x:c r="H157" s="28" t="n">
        <x:f>ROUND(Catalogue!H11*SQRT((1+'Paramètres'!$B$4*(C157-1)+'Paramètres'!$B$5*(C157-1)^2)),0)</x:f>
        <x:v>0</x:v>
      </x:c>
      <x:c r="I157" s="28" t="n">
        <x:v>2</x:v>
      </x:c>
      <x:c r="J157" s="28" t="n">
        <x:v>1</x:v>
      </x:c>
      <x:c r="K157" s="30" t="n">
        <x:v>1.1</x:v>
      </x:c>
      <x:c r="L157" s="54" t="n">
        <x:f>IF(M157=0,0,(E157+F157)/2)</x:f>
        <x:v>20</x:v>
      </x:c>
      <x:c r="M157" t="n">
        <x:v>2</x:v>
      </x:c>
      <x:c r="N157" t="n">
        <x:v>6</x:v>
      </x:c>
      <x:c r="O157" t="n">
        <x:v>13</x:v>
      </x:c>
      <x:c r="P157" s="63" t="str">
        <x:f>IF(M157=0,"—",M157&amp;"d"&amp;N157&amp;IF(O157=0,""," + "&amp;O157))</x:f>
        <x:v>2d6 + 13</x:v>
      </x:c>
      <x:c r="Q157" t="n">
        <x:f>ROUND(INDEX(Catalogue!E$4:E$85,MATCH(A157,Catalogue!A$4:A$85,0))*(1+'Paramètres'!$B$4*(C157-1)+'Paramètres'!$B$5*(C157-1)^2),0)</x:f>
        <x:v>15</x:v>
      </x:c>
      <x:c r="R157" t="n">
        <x:f>ROUND(INDEX(Catalogue!F$4:F$85,MATCH(A157,Catalogue!A$4:A$85,0))*(1+'Paramètres'!$B$4*(C157-1)+'Paramètres'!$B$5*(C157-1)^2),0)</x:f>
        <x:v>26</x:v>
      </x:c>
      <x:c r="S157" t="n">
        <x:f>L157-AVERAGE(Q157:R157)</x:f>
        <x:v>-0.5</x:v>
      </x:c>
      <x:c r="T157" t="str">
        <x:f>IF(M157=0,IF(AND(N157=0,O157=0,E157=0,F157=0),"OK","ERREUR"),IF(AND(M157&gt;=1,M157&lt;=32,OR(N157=4,N157=6,N157=8,N157=10,N157=12,N157=20),O157&gt;=0,E157=M157+O157,F157=M157*N157+O157),"OK","ERREUR"))</x:f>
        <x:v>OK</x:v>
      </x:c>
      <x:c r="U157" s="86" t="n">
        <x:f>IF(M157&gt;0,M157*(N157+1)/2+O157,0)</x:f>
        <x:v>20</x:v>
      </x:c>
      <x:c r="V157" t="str">
        <x:f>IF(ABS(L157-U157)&lt;0.001,"OK","ERREUR")</x:f>
        <x:v>OK</x:v>
      </x:c>
    </x:row>
    <x:row r="158" ht="18" customHeight="1">
      <x:c r="A158" t="str">
        <x:v>ARM008</x:v>
      </x:c>
      <x:c r="B158" t="str">
        <x:v>Sabre léger</x:v>
      </x:c>
      <x:c r="C158" t="n">
        <x:v>15</x:v>
      </x:c>
      <x:c r="D158" t="str">
        <x:v>Légères</x:v>
      </x:c>
      <x:c r="E158" s="28" t="n">
        <x:f>IF(M158=0,0,M158+O158)</x:f>
        <x:v>18</x:v>
      </x:c>
      <x:c r="F158" s="28" t="n">
        <x:f>IF(M158=0,0,M158*N158+O158)</x:f>
        <x:v>28</x:v>
      </x:c>
      <x:c r="G158" s="28" t="n">
        <x:f>ROUND(Catalogue!G11*SQRT((1+'Paramètres'!$B$4*(C158-1)+'Paramètres'!$B$5*(C158-1)^2)),0)</x:f>
        <x:v>0</x:v>
      </x:c>
      <x:c r="H158" s="28" t="n">
        <x:f>ROUND(Catalogue!H11*SQRT((1+'Paramètres'!$B$4*(C158-1)+'Paramètres'!$B$5*(C158-1)^2)),0)</x:f>
        <x:v>0</x:v>
      </x:c>
      <x:c r="I158" s="28" t="n">
        <x:v>2</x:v>
      </x:c>
      <x:c r="J158" s="28" t="n">
        <x:v>1</x:v>
      </x:c>
      <x:c r="K158" s="30" t="n">
        <x:v>1.1</x:v>
      </x:c>
      <x:c r="L158" s="54" t="n">
        <x:f>IF(M158=0,0,(E158+F158)/2)</x:f>
        <x:v>23</x:v>
      </x:c>
      <x:c r="M158" t="n">
        <x:v>2</x:v>
      </x:c>
      <x:c r="N158" t="n">
        <x:v>6</x:v>
      </x:c>
      <x:c r="O158" t="n">
        <x:v>16</x:v>
      </x:c>
      <x:c r="P158" s="63" t="str">
        <x:f>IF(M158=0,"—",M158&amp;"d"&amp;N158&amp;IF(O158=0,""," + "&amp;O158))</x:f>
        <x:v>2d6 + 16</x:v>
      </x:c>
      <x:c r="Q158" t="n">
        <x:f>ROUND(INDEX(Catalogue!E$4:E$85,MATCH(A158,Catalogue!A$4:A$85,0))*(1+'Paramètres'!$B$4*(C158-1)+'Paramètres'!$B$5*(C158-1)^2),0)</x:f>
        <x:v>17</x:v>
      </x:c>
      <x:c r="R158" t="n">
        <x:f>ROUND(INDEX(Catalogue!F$4:F$85,MATCH(A158,Catalogue!A$4:A$85,0))*(1+'Paramètres'!$B$4*(C158-1)+'Paramètres'!$B$5*(C158-1)^2),0)</x:f>
        <x:v>28</x:v>
      </x:c>
      <x:c r="S158" t="n">
        <x:f>L158-AVERAGE(Q158:R158)</x:f>
        <x:v>0.5</x:v>
      </x:c>
      <x:c r="T158" t="str">
        <x:f>IF(M158=0,IF(AND(N158=0,O158=0,E158=0,F158=0),"OK","ERREUR"),IF(AND(M158&gt;=1,M158&lt;=32,OR(N158=4,N158=6,N158=8,N158=10,N158=12,N158=20),O158&gt;=0,E158=M158+O158,F158=M158*N158+O158),"OK","ERREUR"))</x:f>
        <x:v>OK</x:v>
      </x:c>
      <x:c r="U158" s="86" t="n">
        <x:f>IF(M158&gt;0,M158*(N158+1)/2+O158,0)</x:f>
        <x:v>23</x:v>
      </x:c>
      <x:c r="V158" t="str">
        <x:f>IF(ABS(L158-U158)&lt;0.001,"OK","ERREUR")</x:f>
        <x:v>OK</x:v>
      </x:c>
    </x:row>
    <x:row r="159" ht="18" customHeight="1">
      <x:c r="A159" t="str">
        <x:v>ARM008</x:v>
      </x:c>
      <x:c r="B159" t="str">
        <x:v>Sabre léger</x:v>
      </x:c>
      <x:c r="C159" t="n">
        <x:v>16</x:v>
      </x:c>
      <x:c r="D159" t="str">
        <x:v>Légères</x:v>
      </x:c>
      <x:c r="E159" s="28" t="n">
        <x:f>IF(M159=0,0,M159+O159)</x:f>
        <x:v>19</x:v>
      </x:c>
      <x:c r="F159" s="28" t="n">
        <x:f>IF(M159=0,0,M159*N159+O159)</x:f>
        <x:v>31</x:v>
      </x:c>
      <x:c r="G159" s="28" t="n">
        <x:f>ROUND(Catalogue!G11*SQRT((1+'Paramètres'!$B$4*(C159-1)+'Paramètres'!$B$5*(C159-1)^2)),0)</x:f>
        <x:v>0</x:v>
      </x:c>
      <x:c r="H159" s="28" t="n">
        <x:f>ROUND(Catalogue!H11*SQRT((1+'Paramètres'!$B$4*(C159-1)+'Paramètres'!$B$5*(C159-1)^2)),0)</x:f>
        <x:v>0</x:v>
      </x:c>
      <x:c r="I159" s="28" t="n">
        <x:v>2</x:v>
      </x:c>
      <x:c r="J159" s="28" t="n">
        <x:v>1</x:v>
      </x:c>
      <x:c r="K159" s="30" t="n">
        <x:v>1.1</x:v>
      </x:c>
      <x:c r="L159" s="54" t="n">
        <x:f>IF(M159=0,0,(E159+F159)/2)</x:f>
        <x:v>25</x:v>
      </x:c>
      <x:c r="M159" t="n">
        <x:v>4</x:v>
      </x:c>
      <x:c r="N159" t="n">
        <x:v>4</x:v>
      </x:c>
      <x:c r="O159" t="n">
        <x:v>15</x:v>
      </x:c>
      <x:c r="P159" s="63" t="str">
        <x:f>IF(M159=0,"—",M159&amp;"d"&amp;N159&amp;IF(O159=0,""," + "&amp;O159))</x:f>
        <x:v>4d4 + 15</x:v>
      </x:c>
      <x:c r="Q159" t="n">
        <x:f>ROUND(INDEX(Catalogue!E$4:E$85,MATCH(A159,Catalogue!A$4:A$85,0))*(1+'Paramètres'!$B$4*(C159-1)+'Paramètres'!$B$5*(C159-1)^2),0)</x:f>
        <x:v>19</x:v>
      </x:c>
      <x:c r="R159" t="n">
        <x:f>ROUND(INDEX(Catalogue!F$4:F$85,MATCH(A159,Catalogue!A$4:A$85,0))*(1+'Paramètres'!$B$4*(C159-1)+'Paramètres'!$B$5*(C159-1)^2),0)</x:f>
        <x:v>31</x:v>
      </x:c>
      <x:c r="S159" t="n">
        <x:f>L159-AVERAGE(Q159:R159)</x:f>
        <x:v>0</x:v>
      </x:c>
      <x:c r="T159" t="str">
        <x:f>IF(M159=0,IF(AND(N159=0,O159=0,E159=0,F159=0),"OK","ERREUR"),IF(AND(M159&gt;=1,M159&lt;=32,OR(N159=4,N159=6,N159=8,N159=10,N159=12,N159=20),O159&gt;=0,E159=M159+O159,F159=M159*N159+O159),"OK","ERREUR"))</x:f>
        <x:v>OK</x:v>
      </x:c>
      <x:c r="U159" s="86" t="n">
        <x:f>IF(M159&gt;0,M159*(N159+1)/2+O159,0)</x:f>
        <x:v>25</x:v>
      </x:c>
      <x:c r="V159" t="str">
        <x:f>IF(ABS(L159-U159)&lt;0.001,"OK","ERREUR")</x:f>
        <x:v>OK</x:v>
      </x:c>
    </x:row>
    <x:row r="160" ht="18" customHeight="1">
      <x:c r="A160" t="str">
        <x:v>ARM008</x:v>
      </x:c>
      <x:c r="B160" t="str">
        <x:v>Sabre léger</x:v>
      </x:c>
      <x:c r="C160" t="n">
        <x:v>17</x:v>
      </x:c>
      <x:c r="D160" t="str">
        <x:v>Légères</x:v>
      </x:c>
      <x:c r="E160" s="28" t="n">
        <x:f>IF(M160=0,0,M160+O160)</x:f>
        <x:v>20</x:v>
      </x:c>
      <x:c r="F160" s="28" t="n">
        <x:f>IF(M160=0,0,M160*N160+O160)</x:f>
        <x:v>34</x:v>
      </x:c>
      <x:c r="G160" s="28" t="n">
        <x:f>ROUND(Catalogue!G11*SQRT((1+'Paramètres'!$B$4*(C160-1)+'Paramètres'!$B$5*(C160-1)^2)),0)</x:f>
        <x:v>0</x:v>
      </x:c>
      <x:c r="H160" s="28" t="n">
        <x:f>ROUND(Catalogue!H11*SQRT((1+'Paramètres'!$B$4*(C160-1)+'Paramètres'!$B$5*(C160-1)^2)),0)</x:f>
        <x:v>0</x:v>
      </x:c>
      <x:c r="I160" s="28" t="n">
        <x:v>2</x:v>
      </x:c>
      <x:c r="J160" s="28" t="n">
        <x:v>1</x:v>
      </x:c>
      <x:c r="K160" s="30" t="n">
        <x:v>1.1</x:v>
      </x:c>
      <x:c r="L160" s="54" t="n">
        <x:f>IF(M160=0,0,(E160+F160)/2)</x:f>
        <x:v>27</x:v>
      </x:c>
      <x:c r="M160" t="n">
        <x:v>2</x:v>
      </x:c>
      <x:c r="N160" t="n">
        <x:v>8</x:v>
      </x:c>
      <x:c r="O160" t="n">
        <x:v>18</x:v>
      </x:c>
      <x:c r="P160" s="63" t="str">
        <x:f>IF(M160=0,"—",M160&amp;"d"&amp;N160&amp;IF(O160=0,""," + "&amp;O160))</x:f>
        <x:v>2d8 + 18</x:v>
      </x:c>
      <x:c r="Q160" t="n">
        <x:f>ROUND(INDEX(Catalogue!E$4:E$85,MATCH(A160,Catalogue!A$4:A$85,0))*(1+'Paramètres'!$B$4*(C160-1)+'Paramètres'!$B$5*(C160-1)^2),0)</x:f>
        <x:v>21</x:v>
      </x:c>
      <x:c r="R160" t="n">
        <x:f>ROUND(INDEX(Catalogue!F$4:F$85,MATCH(A160,Catalogue!A$4:A$85,0))*(1+'Paramètres'!$B$4*(C160-1)+'Paramètres'!$B$5*(C160-1)^2),0)</x:f>
        <x:v>34</x:v>
      </x:c>
      <x:c r="S160" t="n">
        <x:f>L160-AVERAGE(Q160:R160)</x:f>
        <x:v>-0.5</x:v>
      </x:c>
      <x:c r="T160" t="str">
        <x:f>IF(M160=0,IF(AND(N160=0,O160=0,E160=0,F160=0),"OK","ERREUR"),IF(AND(M160&gt;=1,M160&lt;=32,OR(N160=4,N160=6,N160=8,N160=10,N160=12,N160=20),O160&gt;=0,E160=M160+O160,F160=M160*N160+O160),"OK","ERREUR"))</x:f>
        <x:v>OK</x:v>
      </x:c>
      <x:c r="U160" s="86" t="n">
        <x:f>IF(M160&gt;0,M160*(N160+1)/2+O160,0)</x:f>
        <x:v>27</x:v>
      </x:c>
      <x:c r="V160" t="str">
        <x:f>IF(ABS(L160-U160)&lt;0.001,"OK","ERREUR")</x:f>
        <x:v>OK</x:v>
      </x:c>
    </x:row>
    <x:row r="161" ht="18" customHeight="1">
      <x:c r="A161" t="str">
        <x:v>ARM008</x:v>
      </x:c>
      <x:c r="B161" t="str">
        <x:v>Sabre léger</x:v>
      </x:c>
      <x:c r="C161" t="n">
        <x:v>18</x:v>
      </x:c>
      <x:c r="D161" t="str">
        <x:v>Légères</x:v>
      </x:c>
      <x:c r="E161" s="28" t="n">
        <x:f>IF(M161=0,0,M161+O161)</x:f>
        <x:v>22</x:v>
      </x:c>
      <x:c r="F161" s="28" t="n">
        <x:f>IF(M161=0,0,M161*N161+O161)</x:f>
        <x:v>37</x:v>
      </x:c>
      <x:c r="G161" s="28" t="n">
        <x:f>ROUND(Catalogue!G11*SQRT((1+'Paramètres'!$B$4*(C161-1)+'Paramètres'!$B$5*(C161-1)^2)),0)</x:f>
        <x:v>0</x:v>
      </x:c>
      <x:c r="H161" s="28" t="n">
        <x:f>ROUND(Catalogue!H11*SQRT((1+'Paramètres'!$B$4*(C161-1)+'Paramètres'!$B$5*(C161-1)^2)),0)</x:f>
        <x:v>0</x:v>
      </x:c>
      <x:c r="I161" s="28" t="n">
        <x:v>2</x:v>
      </x:c>
      <x:c r="J161" s="28" t="n">
        <x:v>1</x:v>
      </x:c>
      <x:c r="K161" s="30" t="n">
        <x:v>1.1</x:v>
      </x:c>
      <x:c r="L161" s="54" t="n">
        <x:f>IF(M161=0,0,(E161+F161)/2)</x:f>
        <x:v>29.5</x:v>
      </x:c>
      <x:c r="M161" t="n">
        <x:v>3</x:v>
      </x:c>
      <x:c r="N161" t="n">
        <x:v>6</x:v>
      </x:c>
      <x:c r="O161" t="n">
        <x:v>19</x:v>
      </x:c>
      <x:c r="P161" s="63" t="str">
        <x:f>IF(M161=0,"—",M161&amp;"d"&amp;N161&amp;IF(O161=0,""," + "&amp;O161))</x:f>
        <x:v>3d6 + 19</x:v>
      </x:c>
      <x:c r="Q161" t="n">
        <x:f>ROUND(INDEX(Catalogue!E$4:E$85,MATCH(A161,Catalogue!A$4:A$85,0))*(1+'Paramètres'!$B$4*(C161-1)+'Paramètres'!$B$5*(C161-1)^2),0)</x:f>
        <x:v>22</x:v>
      </x:c>
      <x:c r="R161" t="n">
        <x:f>ROUND(INDEX(Catalogue!F$4:F$85,MATCH(A161,Catalogue!A$4:A$85,0))*(1+'Paramètres'!$B$4*(C161-1)+'Paramètres'!$B$5*(C161-1)^2),0)</x:f>
        <x:v>37</x:v>
      </x:c>
      <x:c r="S161" t="n">
        <x:f>L161-AVERAGE(Q161:R161)</x:f>
        <x:v>0</x:v>
      </x:c>
      <x:c r="T161" t="str">
        <x:f>IF(M161=0,IF(AND(N161=0,O161=0,E161=0,F161=0),"OK","ERREUR"),IF(AND(M161&gt;=1,M161&lt;=32,OR(N161=4,N161=6,N161=8,N161=10,N161=12,N161=20),O161&gt;=0,E161=M161+O161,F161=M161*N161+O161),"OK","ERREUR"))</x:f>
        <x:v>OK</x:v>
      </x:c>
      <x:c r="U161" s="86" t="n">
        <x:f>IF(M161&gt;0,M161*(N161+1)/2+O161,0)</x:f>
        <x:v>29.5</x:v>
      </x:c>
      <x:c r="V161" t="str">
        <x:f>IF(ABS(L161-U161)&lt;0.001,"OK","ERREUR")</x:f>
        <x:v>OK</x:v>
      </x:c>
    </x:row>
    <x:row r="162" ht="18" customHeight="1">
      <x:c r="A162" t="str">
        <x:v>ARM008</x:v>
      </x:c>
      <x:c r="B162" t="str">
        <x:v>Sabre léger</x:v>
      </x:c>
      <x:c r="C162" t="n">
        <x:v>19</x:v>
      </x:c>
      <x:c r="D162" t="str">
        <x:v>Légères</x:v>
      </x:c>
      <x:c r="E162" s="28" t="n">
        <x:f>IF(M162=0,0,M162+O162)</x:f>
        <x:v>23</x:v>
      </x:c>
      <x:c r="F162" s="28" t="n">
        <x:f>IF(M162=0,0,M162*N162+O162)</x:f>
        <x:v>41</x:v>
      </x:c>
      <x:c r="G162" s="28" t="n">
        <x:f>ROUND(Catalogue!G11*SQRT((1+'Paramètres'!$B$4*(C162-1)+'Paramètres'!$B$5*(C162-1)^2)),0)</x:f>
        <x:v>0</x:v>
      </x:c>
      <x:c r="H162" s="28" t="n">
        <x:f>ROUND(Catalogue!H11*SQRT((1+'Paramètres'!$B$4*(C162-1)+'Paramètres'!$B$5*(C162-1)^2)),0)</x:f>
        <x:v>0</x:v>
      </x:c>
      <x:c r="I162" s="28" t="n">
        <x:v>2</x:v>
      </x:c>
      <x:c r="J162" s="28" t="n">
        <x:v>1</x:v>
      </x:c>
      <x:c r="K162" s="30" t="n">
        <x:v>1.1</x:v>
      </x:c>
      <x:c r="L162" s="54" t="n">
        <x:f>IF(M162=0,0,(E162+F162)/2)</x:f>
        <x:v>32</x:v>
      </x:c>
      <x:c r="M162" t="n">
        <x:v>2</x:v>
      </x:c>
      <x:c r="N162" t="n">
        <x:v>10</x:v>
      </x:c>
      <x:c r="O162" t="n">
        <x:v>21</x:v>
      </x:c>
      <x:c r="P162" s="63" t="str">
        <x:f>IF(M162=0,"—",M162&amp;"d"&amp;N162&amp;IF(O162=0,""," + "&amp;O162))</x:f>
        <x:v>2d10 + 21</x:v>
      </x:c>
      <x:c r="Q162" t="n">
        <x:f>ROUND(INDEX(Catalogue!E$4:E$85,MATCH(A162,Catalogue!A$4:A$85,0))*(1+'Paramètres'!$B$4*(C162-1)+'Paramètres'!$B$5*(C162-1)^2),0)</x:f>
        <x:v>24</x:v>
      </x:c>
      <x:c r="R162" t="n">
        <x:f>ROUND(INDEX(Catalogue!F$4:F$85,MATCH(A162,Catalogue!A$4:A$85,0))*(1+'Paramètres'!$B$4*(C162-1)+'Paramètres'!$B$5*(C162-1)^2),0)</x:f>
        <x:v>41</x:v>
      </x:c>
      <x:c r="S162" t="n">
        <x:f>L162-AVERAGE(Q162:R162)</x:f>
        <x:v>-0.5</x:v>
      </x:c>
      <x:c r="T162" t="str">
        <x:f>IF(M162=0,IF(AND(N162=0,O162=0,E162=0,F162=0),"OK","ERREUR"),IF(AND(M162&gt;=1,M162&lt;=32,OR(N162=4,N162=6,N162=8,N162=10,N162=12,N162=20),O162&gt;=0,E162=M162+O162,F162=M162*N162+O162),"OK","ERREUR"))</x:f>
        <x:v>OK</x:v>
      </x:c>
      <x:c r="U162" s="86" t="n">
        <x:f>IF(M162&gt;0,M162*(N162+1)/2+O162,0)</x:f>
        <x:v>32</x:v>
      </x:c>
      <x:c r="V162" t="str">
        <x:f>IF(ABS(L162-U162)&lt;0.001,"OK","ERREUR")</x:f>
        <x:v>OK</x:v>
      </x:c>
    </x:row>
    <x:row r="163" ht="18" customHeight="1">
      <x:c r="A163" t="str">
        <x:v>ARM008</x:v>
      </x:c>
      <x:c r="B163" t="str">
        <x:v>Sabre léger</x:v>
      </x:c>
      <x:c r="C163" t="n">
        <x:v>20</x:v>
      </x:c>
      <x:c r="D163" t="str">
        <x:v>Légères</x:v>
      </x:c>
      <x:c r="E163" s="28" t="n">
        <x:f>IF(M163=0,0,M163+O163)</x:f>
        <x:v>26</x:v>
      </x:c>
      <x:c r="F163" s="28" t="n">
        <x:f>IF(M163=0,0,M163*N163+O163)</x:f>
        <x:v>44</x:v>
      </x:c>
      <x:c r="G163" s="28" t="n">
        <x:f>ROUND(Catalogue!G11*SQRT((1+'Paramètres'!$B$4*(C163-1)+'Paramètres'!$B$5*(C163-1)^2)),0)</x:f>
        <x:v>0</x:v>
      </x:c>
      <x:c r="H163" s="28" t="n">
        <x:f>ROUND(Catalogue!H11*SQRT((1+'Paramètres'!$B$4*(C163-1)+'Paramètres'!$B$5*(C163-1)^2)),0)</x:f>
        <x:v>0</x:v>
      </x:c>
      <x:c r="I163" s="28" t="n">
        <x:v>2</x:v>
      </x:c>
      <x:c r="J163" s="28" t="n">
        <x:v>1</x:v>
      </x:c>
      <x:c r="K163" s="30" t="n">
        <x:v>1.1</x:v>
      </x:c>
      <x:c r="L163" s="54" t="n">
        <x:f>IF(M163=0,0,(E163+F163)/2)</x:f>
        <x:v>35</x:v>
      </x:c>
      <x:c r="M163" t="n">
        <x:v>2</x:v>
      </x:c>
      <x:c r="N163" t="n">
        <x:v>10</x:v>
      </x:c>
      <x:c r="O163" t="n">
        <x:v>24</x:v>
      </x:c>
      <x:c r="P163" s="63" t="str">
        <x:f>IF(M163=0,"—",M163&amp;"d"&amp;N163&amp;IF(O163=0,""," + "&amp;O163))</x:f>
        <x:v>2d10 + 24</x:v>
      </x:c>
      <x:c r="Q163" t="n">
        <x:f>ROUND(INDEX(Catalogue!E$4:E$85,MATCH(A163,Catalogue!A$4:A$85,0))*(1+'Paramètres'!$B$4*(C163-1)+'Paramètres'!$B$5*(C163-1)^2),0)</x:f>
        <x:v>27</x:v>
      </x:c>
      <x:c r="R163" t="n">
        <x:f>ROUND(INDEX(Catalogue!F$4:F$85,MATCH(A163,Catalogue!A$4:A$85,0))*(1+'Paramètres'!$B$4*(C163-1)+'Paramètres'!$B$5*(C163-1)^2),0)</x:f>
        <x:v>44</x:v>
      </x:c>
      <x:c r="S163" t="n">
        <x:f>L163-AVERAGE(Q163:R163)</x:f>
        <x:v>-0.5</x:v>
      </x:c>
      <x:c r="T163" t="str">
        <x:f>IF(M163=0,IF(AND(N163=0,O163=0,E163=0,F163=0),"OK","ERREUR"),IF(AND(M163&gt;=1,M163&lt;=32,OR(N163=4,N163=6,N163=8,N163=10,N163=12,N163=20),O163&gt;=0,E163=M163+O163,F163=M163*N163+O163),"OK","ERREUR"))</x:f>
        <x:v>OK</x:v>
      </x:c>
      <x:c r="U163" s="86" t="n">
        <x:f>IF(M163&gt;0,M163*(N163+1)/2+O163,0)</x:f>
        <x:v>35</x:v>
      </x:c>
      <x:c r="V163" t="str">
        <x:f>IF(ABS(L163-U163)&lt;0.001,"OK","ERREUR")</x:f>
        <x:v>OK</x:v>
      </x:c>
    </x:row>
    <x:row r="164" ht="18" customHeight="1">
      <x:c r="A164" t="str">
        <x:v>ARM009</x:v>
      </x:c>
      <x:c r="B164" t="str">
        <x:v>Cimeterre court</x:v>
      </x:c>
      <x:c r="C164" t="n">
        <x:v>1</x:v>
      </x:c>
      <x:c r="D164" t="str">
        <x:v>Légères</x:v>
      </x:c>
      <x:c r="E164" s="28" t="n">
        <x:f>IF(M164=0,0,M164+O164)</x:f>
        <x:v>2</x:v>
      </x:c>
      <x:c r="F164" s="28" t="n">
        <x:f>IF(M164=0,0,M164*N164+O164)</x:f>
        <x:v>5</x:v>
      </x:c>
      <x:c r="G164" s="28" t="n">
        <x:f>ROUND(Catalogue!G12*SQRT((1+'Paramètres'!$B$4*(C164-1)+'Paramètres'!$B$5*(C164-1)^2)),0)</x:f>
        <x:v>0</x:v>
      </x:c>
      <x:c r="H164" s="28" t="n">
        <x:f>ROUND(Catalogue!H12*SQRT((1+'Paramètres'!$B$4*(C164-1)+'Paramètres'!$B$5*(C164-1)^2)),0)</x:f>
        <x:v>0</x:v>
      </x:c>
      <x:c r="I164" s="28" t="n">
        <x:v>2</x:v>
      </x:c>
      <x:c r="J164" s="28" t="n">
        <x:v>1</x:v>
      </x:c>
      <x:c r="K164" s="30" t="n">
        <x:v>1.2</x:v>
      </x:c>
      <x:c r="L164" s="54" t="n">
        <x:f>IF(M164=0,0,(E164+F164)/2)</x:f>
        <x:v>3.5</x:v>
      </x:c>
      <x:c r="M164" t="n">
        <x:v>1</x:v>
      </x:c>
      <x:c r="N164" t="n">
        <x:v>4</x:v>
      </x:c>
      <x:c r="O164" t="n">
        <x:v>1</x:v>
      </x:c>
      <x:c r="P164" s="63" t="str">
        <x:f>IF(M164=0,"—",M164&amp;"d"&amp;N164&amp;IF(O164=0,""," + "&amp;O164))</x:f>
        <x:v>1d4 + 1</x:v>
      </x:c>
      <x:c r="Q164" t="n">
        <x:f>ROUND(INDEX(Catalogue!E$4:E$85,MATCH(A164,Catalogue!A$4:A$85,0))*(1+'Paramètres'!$B$4*(C164-1)+'Paramètres'!$B$5*(C164-1)^2),0)</x:f>
        <x:v>3</x:v>
      </x:c>
      <x:c r="R164" t="n">
        <x:f>ROUND(INDEX(Catalogue!F$4:F$85,MATCH(A164,Catalogue!A$4:A$85,0))*(1+'Paramètres'!$B$4*(C164-1)+'Paramètres'!$B$5*(C164-1)^2),0)</x:f>
        <x:v>5</x:v>
      </x:c>
      <x:c r="S164" t="n">
        <x:f>L164-AVERAGE(Q164:R164)</x:f>
        <x:v>-0.5</x:v>
      </x:c>
      <x:c r="T164" t="str">
        <x:f>IF(M164=0,IF(AND(N164=0,O164=0,E164=0,F164=0),"OK","ERREUR"),IF(AND(M164&gt;=1,M164&lt;=32,OR(N164=4,N164=6,N164=8,N164=10,N164=12,N164=20),O164&gt;=0,E164=M164+O164,F164=M164*N164+O164),"OK","ERREUR"))</x:f>
        <x:v>OK</x:v>
      </x:c>
      <x:c r="U164" s="86" t="n">
        <x:f>IF(M164&gt;0,M164*(N164+1)/2+O164,0)</x:f>
        <x:v>3.5</x:v>
      </x:c>
      <x:c r="V164" t="str">
        <x:f>IF(ABS(L164-U164)&lt;0.001,"OK","ERREUR")</x:f>
        <x:v>OK</x:v>
      </x:c>
    </x:row>
    <x:row r="165" ht="18" customHeight="1">
      <x:c r="A165" t="str">
        <x:v>ARM009</x:v>
      </x:c>
      <x:c r="B165" t="str">
        <x:v>Cimeterre court</x:v>
      </x:c>
      <x:c r="C165" t="n">
        <x:v>2</x:v>
      </x:c>
      <x:c r="D165" t="str">
        <x:v>Légères</x:v>
      </x:c>
      <x:c r="E165" s="28" t="n">
        <x:f>IF(M165=0,0,M165+O165)</x:f>
        <x:v>3</x:v>
      </x:c>
      <x:c r="F165" s="28" t="n">
        <x:f>IF(M165=0,0,M165*N165+O165)</x:f>
        <x:v>6</x:v>
      </x:c>
      <x:c r="G165" s="28" t="n">
        <x:f>ROUND(Catalogue!G12*SQRT((1+'Paramètres'!$B$4*(C165-1)+'Paramètres'!$B$5*(C165-1)^2)),0)</x:f>
        <x:v>0</x:v>
      </x:c>
      <x:c r="H165" s="28" t="n">
        <x:f>ROUND(Catalogue!H12*SQRT((1+'Paramètres'!$B$4*(C165-1)+'Paramètres'!$B$5*(C165-1)^2)),0)</x:f>
        <x:v>0</x:v>
      </x:c>
      <x:c r="I165" s="28" t="n">
        <x:v>2</x:v>
      </x:c>
      <x:c r="J165" s="28" t="n">
        <x:v>1</x:v>
      </x:c>
      <x:c r="K165" s="30" t="n">
        <x:v>1.2</x:v>
      </x:c>
      <x:c r="L165" s="54" t="n">
        <x:f>IF(M165=0,0,(E165+F165)/2)</x:f>
        <x:v>4.5</x:v>
      </x:c>
      <x:c r="M165" t="n">
        <x:v>1</x:v>
      </x:c>
      <x:c r="N165" t="n">
        <x:v>4</x:v>
      </x:c>
      <x:c r="O165" t="n">
        <x:v>2</x:v>
      </x:c>
      <x:c r="P165" s="63" t="str">
        <x:f>IF(M165=0,"—",M165&amp;"d"&amp;N165&amp;IF(O165=0,""," + "&amp;O165))</x:f>
        <x:v>1d4 + 2</x:v>
      </x:c>
      <x:c r="Q165" t="n">
        <x:f>ROUND(INDEX(Catalogue!E$4:E$85,MATCH(A165,Catalogue!A$4:A$85,0))*(1+'Paramètres'!$B$4*(C165-1)+'Paramètres'!$B$5*(C165-1)^2),0)</x:f>
        <x:v>3</x:v>
      </x:c>
      <x:c r="R165" t="n">
        <x:f>ROUND(INDEX(Catalogue!F$4:F$85,MATCH(A165,Catalogue!A$4:A$85,0))*(1+'Paramètres'!$B$4*(C165-1)+'Paramètres'!$B$5*(C165-1)^2),0)</x:f>
        <x:v>6</x:v>
      </x:c>
      <x:c r="S165" t="n">
        <x:f>L165-AVERAGE(Q165:R165)</x:f>
        <x:v>0</x:v>
      </x:c>
      <x:c r="T165" t="str">
        <x:f>IF(M165=0,IF(AND(N165=0,O165=0,E165=0,F165=0),"OK","ERREUR"),IF(AND(M165&gt;=1,M165&lt;=32,OR(N165=4,N165=6,N165=8,N165=10,N165=12,N165=20),O165&gt;=0,E165=M165+O165,F165=M165*N165+O165),"OK","ERREUR"))</x:f>
        <x:v>OK</x:v>
      </x:c>
      <x:c r="U165" s="86" t="n">
        <x:f>IF(M165&gt;0,M165*(N165+1)/2+O165,0)</x:f>
        <x:v>4.5</x:v>
      </x:c>
      <x:c r="V165" t="str">
        <x:f>IF(ABS(L165-U165)&lt;0.001,"OK","ERREUR")</x:f>
        <x:v>OK</x:v>
      </x:c>
    </x:row>
    <x:row r="166" ht="18" customHeight="1">
      <x:c r="A166" t="str">
        <x:v>ARM009</x:v>
      </x:c>
      <x:c r="B166" t="str">
        <x:v>Cimeterre court</x:v>
      </x:c>
      <x:c r="C166" t="n">
        <x:v>3</x:v>
      </x:c>
      <x:c r="D166" t="str">
        <x:v>Légères</x:v>
      </x:c>
      <x:c r="E166" s="28" t="n">
        <x:f>IF(M166=0,0,M166+O166)</x:f>
        <x:v>3</x:v>
      </x:c>
      <x:c r="F166" s="28" t="n">
        <x:f>IF(M166=0,0,M166*N166+O166)</x:f>
        <x:v>6</x:v>
      </x:c>
      <x:c r="G166" s="28" t="n">
        <x:f>ROUND(Catalogue!G12*SQRT((1+'Paramètres'!$B$4*(C166-1)+'Paramètres'!$B$5*(C166-1)^2)),0)</x:f>
        <x:v>0</x:v>
      </x:c>
      <x:c r="H166" s="28" t="n">
        <x:f>ROUND(Catalogue!H12*SQRT((1+'Paramètres'!$B$4*(C166-1)+'Paramètres'!$B$5*(C166-1)^2)),0)</x:f>
        <x:v>0</x:v>
      </x:c>
      <x:c r="I166" s="28" t="n">
        <x:v>2</x:v>
      </x:c>
      <x:c r="J166" s="28" t="n">
        <x:v>1</x:v>
      </x:c>
      <x:c r="K166" s="30" t="n">
        <x:v>1.2</x:v>
      </x:c>
      <x:c r="L166" s="54" t="n">
        <x:f>IF(M166=0,0,(E166+F166)/2)</x:f>
        <x:v>4.5</x:v>
      </x:c>
      <x:c r="M166" t="n">
        <x:v>1</x:v>
      </x:c>
      <x:c r="N166" t="n">
        <x:v>4</x:v>
      </x:c>
      <x:c r="O166" t="n">
        <x:v>2</x:v>
      </x:c>
      <x:c r="P166" s="63" t="str">
        <x:f>IF(M166=0,"—",M166&amp;"d"&amp;N166&amp;IF(O166=0,""," + "&amp;O166))</x:f>
        <x:v>1d4 + 2</x:v>
      </x:c>
      <x:c r="Q166" t="n">
        <x:f>ROUND(INDEX(Catalogue!E$4:E$85,MATCH(A166,Catalogue!A$4:A$85,0))*(1+'Paramètres'!$B$4*(C166-1)+'Paramètres'!$B$5*(C166-1)^2),0)</x:f>
        <x:v>4</x:v>
      </x:c>
      <x:c r="R166" t="n">
        <x:f>ROUND(INDEX(Catalogue!F$4:F$85,MATCH(A166,Catalogue!A$4:A$85,0))*(1+'Paramètres'!$B$4*(C166-1)+'Paramètres'!$B$5*(C166-1)^2),0)</x:f>
        <x:v>6</x:v>
      </x:c>
      <x:c r="S166" t="n">
        <x:f>L166-AVERAGE(Q166:R166)</x:f>
        <x:v>-0.5</x:v>
      </x:c>
      <x:c r="T166" t="str">
        <x:f>IF(M166=0,IF(AND(N166=0,O166=0,E166=0,F166=0),"OK","ERREUR"),IF(AND(M166&gt;=1,M166&lt;=32,OR(N166=4,N166=6,N166=8,N166=10,N166=12,N166=20),O166&gt;=0,E166=M166+O166,F166=M166*N166+O166),"OK","ERREUR"))</x:f>
        <x:v>OK</x:v>
      </x:c>
      <x:c r="U166" s="86" t="n">
        <x:f>IF(M166&gt;0,M166*(N166+1)/2+O166,0)</x:f>
        <x:v>4.5</x:v>
      </x:c>
      <x:c r="V166" t="str">
        <x:f>IF(ABS(L166-U166)&lt;0.001,"OK","ERREUR")</x:f>
        <x:v>OK</x:v>
      </x:c>
    </x:row>
    <x:row r="167" ht="18" customHeight="1">
      <x:c r="A167" t="str">
        <x:v>ARM009</x:v>
      </x:c>
      <x:c r="B167" t="str">
        <x:v>Cimeterre court</x:v>
      </x:c>
      <x:c r="C167" t="n">
        <x:v>4</x:v>
      </x:c>
      <x:c r="D167" t="str">
        <x:v>Légères</x:v>
      </x:c>
      <x:c r="E167" s="28" t="n">
        <x:f>IF(M167=0,0,M167+O167)</x:f>
        <x:v>4</x:v>
      </x:c>
      <x:c r="F167" s="28" t="n">
        <x:f>IF(M167=0,0,M167*N167+O167)</x:f>
        <x:v>7</x:v>
      </x:c>
      <x:c r="G167" s="28" t="n">
        <x:f>ROUND(Catalogue!G12*SQRT((1+'Paramètres'!$B$4*(C167-1)+'Paramètres'!$B$5*(C167-1)^2)),0)</x:f>
        <x:v>0</x:v>
      </x:c>
      <x:c r="H167" s="28" t="n">
        <x:f>ROUND(Catalogue!H12*SQRT((1+'Paramètres'!$B$4*(C167-1)+'Paramètres'!$B$5*(C167-1)^2)),0)</x:f>
        <x:v>0</x:v>
      </x:c>
      <x:c r="I167" s="28" t="n">
        <x:v>2</x:v>
      </x:c>
      <x:c r="J167" s="28" t="n">
        <x:v>1</x:v>
      </x:c>
      <x:c r="K167" s="30" t="n">
        <x:v>1.2</x:v>
      </x:c>
      <x:c r="L167" s="54" t="n">
        <x:f>IF(M167=0,0,(E167+F167)/2)</x:f>
        <x:v>5.5</x:v>
      </x:c>
      <x:c r="M167" t="n">
        <x:v>1</x:v>
      </x:c>
      <x:c r="N167" t="n">
        <x:v>4</x:v>
      </x:c>
      <x:c r="O167" t="n">
        <x:v>3</x:v>
      </x:c>
      <x:c r="P167" s="63" t="str">
        <x:f>IF(M167=0,"—",M167&amp;"d"&amp;N167&amp;IF(O167=0,""," + "&amp;O167))</x:f>
        <x:v>1d4 + 3</x:v>
      </x:c>
      <x:c r="Q167" t="n">
        <x:f>ROUND(INDEX(Catalogue!E$4:E$85,MATCH(A167,Catalogue!A$4:A$85,0))*(1+'Paramètres'!$B$4*(C167-1)+'Paramètres'!$B$5*(C167-1)^2),0)</x:f>
        <x:v>4</x:v>
      </x:c>
      <x:c r="R167" t="n">
        <x:f>ROUND(INDEX(Catalogue!F$4:F$85,MATCH(A167,Catalogue!A$4:A$85,0))*(1+'Paramètres'!$B$4*(C167-1)+'Paramètres'!$B$5*(C167-1)^2),0)</x:f>
        <x:v>7</x:v>
      </x:c>
      <x:c r="S167" t="n">
        <x:f>L167-AVERAGE(Q167:R167)</x:f>
        <x:v>0</x:v>
      </x:c>
      <x:c r="T167" t="str">
        <x:f>IF(M167=0,IF(AND(N167=0,O167=0,E167=0,F167=0),"OK","ERREUR"),IF(AND(M167&gt;=1,M167&lt;=32,OR(N167=4,N167=6,N167=8,N167=10,N167=12,N167=20),O167&gt;=0,E167=M167+O167,F167=M167*N167+O167),"OK","ERREUR"))</x:f>
        <x:v>OK</x:v>
      </x:c>
      <x:c r="U167" s="86" t="n">
        <x:f>IF(M167&gt;0,M167*(N167+1)/2+O167,0)</x:f>
        <x:v>5.5</x:v>
      </x:c>
      <x:c r="V167" t="str">
        <x:f>IF(ABS(L167-U167)&lt;0.001,"OK","ERREUR")</x:f>
        <x:v>OK</x:v>
      </x:c>
    </x:row>
    <x:row r="168" ht="18" customHeight="1">
      <x:c r="A168" t="str">
        <x:v>ARM009</x:v>
      </x:c>
      <x:c r="B168" t="str">
        <x:v>Cimeterre court</x:v>
      </x:c>
      <x:c r="C168" t="n">
        <x:v>5</x:v>
      </x:c>
      <x:c r="D168" t="str">
        <x:v>Légères</x:v>
      </x:c>
      <x:c r="E168" s="28" t="n">
        <x:f>IF(M168=0,0,M168+O168)</x:f>
        <x:v>5</x:v>
      </x:c>
      <x:c r="F168" s="28" t="n">
        <x:f>IF(M168=0,0,M168*N168+O168)</x:f>
        <x:v>8</x:v>
      </x:c>
      <x:c r="G168" s="28" t="n">
        <x:f>ROUND(Catalogue!G12*SQRT((1+'Paramètres'!$B$4*(C168-1)+'Paramètres'!$B$5*(C168-1)^2)),0)</x:f>
        <x:v>0</x:v>
      </x:c>
      <x:c r="H168" s="28" t="n">
        <x:f>ROUND(Catalogue!H12*SQRT((1+'Paramètres'!$B$4*(C168-1)+'Paramètres'!$B$5*(C168-1)^2)),0)</x:f>
        <x:v>0</x:v>
      </x:c>
      <x:c r="I168" s="28" t="n">
        <x:v>2</x:v>
      </x:c>
      <x:c r="J168" s="28" t="n">
        <x:v>1</x:v>
      </x:c>
      <x:c r="K168" s="30" t="n">
        <x:v>1.2</x:v>
      </x:c>
      <x:c r="L168" s="54" t="n">
        <x:f>IF(M168=0,0,(E168+F168)/2)</x:f>
        <x:v>6.5</x:v>
      </x:c>
      <x:c r="M168" t="n">
        <x:v>1</x:v>
      </x:c>
      <x:c r="N168" t="n">
        <x:v>4</x:v>
      </x:c>
      <x:c r="O168" t="n">
        <x:v>4</x:v>
      </x:c>
      <x:c r="P168" s="63" t="str">
        <x:f>IF(M168=0,"—",M168&amp;"d"&amp;N168&amp;IF(O168=0,""," + "&amp;O168))</x:f>
        <x:v>1d4 + 4</x:v>
      </x:c>
      <x:c r="Q168" t="n">
        <x:f>ROUND(INDEX(Catalogue!E$4:E$85,MATCH(A168,Catalogue!A$4:A$85,0))*(1+'Paramètres'!$B$4*(C168-1)+'Paramètres'!$B$5*(C168-1)^2),0)</x:f>
        <x:v>5</x:v>
      </x:c>
      <x:c r="R168" t="n">
        <x:f>ROUND(INDEX(Catalogue!F$4:F$85,MATCH(A168,Catalogue!A$4:A$85,0))*(1+'Paramètres'!$B$4*(C168-1)+'Paramètres'!$B$5*(C168-1)^2),0)</x:f>
        <x:v>8</x:v>
      </x:c>
      <x:c r="S168" t="n">
        <x:f>L168-AVERAGE(Q168:R168)</x:f>
        <x:v>0</x:v>
      </x:c>
      <x:c r="T168" t="str">
        <x:f>IF(M168=0,IF(AND(N168=0,O168=0,E168=0,F168=0),"OK","ERREUR"),IF(AND(M168&gt;=1,M168&lt;=32,OR(N168=4,N168=6,N168=8,N168=10,N168=12,N168=20),O168&gt;=0,E168=M168+O168,F168=M168*N168+O168),"OK","ERREUR"))</x:f>
        <x:v>OK</x:v>
      </x:c>
      <x:c r="U168" s="86" t="n">
        <x:f>IF(M168&gt;0,M168*(N168+1)/2+O168,0)</x:f>
        <x:v>6.5</x:v>
      </x:c>
      <x:c r="V168" t="str">
        <x:f>IF(ABS(L168-U168)&lt;0.001,"OK","ERREUR")</x:f>
        <x:v>OK</x:v>
      </x:c>
    </x:row>
    <x:row r="169" ht="18" customHeight="1">
      <x:c r="A169" t="str">
        <x:v>ARM009</x:v>
      </x:c>
      <x:c r="B169" t="str">
        <x:v>Cimeterre court</x:v>
      </x:c>
      <x:c r="C169" t="n">
        <x:v>6</x:v>
      </x:c>
      <x:c r="D169" t="str">
        <x:v>Légères</x:v>
      </x:c>
      <x:c r="E169" s="28" t="n">
        <x:f>IF(M169=0,0,M169+O169)</x:f>
        <x:v>6</x:v>
      </x:c>
      <x:c r="F169" s="28" t="n">
        <x:f>IF(M169=0,0,M169*N169+O169)</x:f>
        <x:v>9</x:v>
      </x:c>
      <x:c r="G169" s="28" t="n">
        <x:f>ROUND(Catalogue!G12*SQRT((1+'Paramètres'!$B$4*(C169-1)+'Paramètres'!$B$5*(C169-1)^2)),0)</x:f>
        <x:v>0</x:v>
      </x:c>
      <x:c r="H169" s="28" t="n">
        <x:f>ROUND(Catalogue!H12*SQRT((1+'Paramètres'!$B$4*(C169-1)+'Paramètres'!$B$5*(C169-1)^2)),0)</x:f>
        <x:v>0</x:v>
      </x:c>
      <x:c r="I169" s="28" t="n">
        <x:v>2</x:v>
      </x:c>
      <x:c r="J169" s="28" t="n">
        <x:v>1</x:v>
      </x:c>
      <x:c r="K169" s="30" t="n">
        <x:v>1.2</x:v>
      </x:c>
      <x:c r="L169" s="54" t="n">
        <x:f>IF(M169=0,0,(E169+F169)/2)</x:f>
        <x:v>7.5</x:v>
      </x:c>
      <x:c r="M169" t="n">
        <x:v>1</x:v>
      </x:c>
      <x:c r="N169" t="n">
        <x:v>4</x:v>
      </x:c>
      <x:c r="O169" t="n">
        <x:v>5</x:v>
      </x:c>
      <x:c r="P169" s="63" t="str">
        <x:f>IF(M169=0,"—",M169&amp;"d"&amp;N169&amp;IF(O169=0,""," + "&amp;O169))</x:f>
        <x:v>1d4 + 5</x:v>
      </x:c>
      <x:c r="Q169" t="n">
        <x:f>ROUND(INDEX(Catalogue!E$4:E$85,MATCH(A169,Catalogue!A$4:A$85,0))*(1+'Paramètres'!$B$4*(C169-1)+'Paramètres'!$B$5*(C169-1)^2),0)</x:f>
        <x:v>6</x:v>
      </x:c>
      <x:c r="R169" t="n">
        <x:f>ROUND(INDEX(Catalogue!F$4:F$85,MATCH(A169,Catalogue!A$4:A$85,0))*(1+'Paramètres'!$B$4*(C169-1)+'Paramètres'!$B$5*(C169-1)^2),0)</x:f>
        <x:v>10</x:v>
      </x:c>
      <x:c r="S169" t="n">
        <x:f>L169-AVERAGE(Q169:R169)</x:f>
        <x:v>-0.5</x:v>
      </x:c>
      <x:c r="T169" t="str">
        <x:f>IF(M169=0,IF(AND(N169=0,O169=0,E169=0,F169=0),"OK","ERREUR"),IF(AND(M169&gt;=1,M169&lt;=32,OR(N169=4,N169=6,N169=8,N169=10,N169=12,N169=20),O169&gt;=0,E169=M169+O169,F169=M169*N169+O169),"OK","ERREUR"))</x:f>
        <x:v>OK</x:v>
      </x:c>
      <x:c r="U169" s="86" t="n">
        <x:f>IF(M169&gt;0,M169*(N169+1)/2+O169,0)</x:f>
        <x:v>7.5</x:v>
      </x:c>
      <x:c r="V169" t="str">
        <x:f>IF(ABS(L169-U169)&lt;0.001,"OK","ERREUR")</x:f>
        <x:v>OK</x:v>
      </x:c>
    </x:row>
    <x:row r="170" ht="18" customHeight="1">
      <x:c r="A170" t="str">
        <x:v>ARM009</x:v>
      </x:c>
      <x:c r="B170" t="str">
        <x:v>Cimeterre court</x:v>
      </x:c>
      <x:c r="C170" t="n">
        <x:v>7</x:v>
      </x:c>
      <x:c r="D170" t="str">
        <x:v>Légères</x:v>
      </x:c>
      <x:c r="E170" s="28" t="n">
        <x:f>IF(M170=0,0,M170+O170)</x:f>
        <x:v>7</x:v>
      </x:c>
      <x:c r="F170" s="28" t="n">
        <x:f>IF(M170=0,0,M170*N170+O170)</x:f>
        <x:v>10</x:v>
      </x:c>
      <x:c r="G170" s="28" t="n">
        <x:f>ROUND(Catalogue!G12*SQRT((1+'Paramètres'!$B$4*(C170-1)+'Paramètres'!$B$5*(C170-1)^2)),0)</x:f>
        <x:v>0</x:v>
      </x:c>
      <x:c r="H170" s="28" t="n">
        <x:f>ROUND(Catalogue!H12*SQRT((1+'Paramètres'!$B$4*(C170-1)+'Paramètres'!$B$5*(C170-1)^2)),0)</x:f>
        <x:v>0</x:v>
      </x:c>
      <x:c r="I170" s="28" t="n">
        <x:v>2</x:v>
      </x:c>
      <x:c r="J170" s="28" t="n">
        <x:v>1</x:v>
      </x:c>
      <x:c r="K170" s="30" t="n">
        <x:v>1.2</x:v>
      </x:c>
      <x:c r="L170" s="54" t="n">
        <x:f>IF(M170=0,0,(E170+F170)/2)</x:f>
        <x:v>8.5</x:v>
      </x:c>
      <x:c r="M170" t="n">
        <x:v>1</x:v>
      </x:c>
      <x:c r="N170" t="n">
        <x:v>4</x:v>
      </x:c>
      <x:c r="O170" t="n">
        <x:v>6</x:v>
      </x:c>
      <x:c r="P170" s="63" t="str">
        <x:f>IF(M170=0,"—",M170&amp;"d"&amp;N170&amp;IF(O170=0,""," + "&amp;O170))</x:f>
        <x:v>1d4 + 6</x:v>
      </x:c>
      <x:c r="Q170" t="n">
        <x:f>ROUND(INDEX(Catalogue!E$4:E$85,MATCH(A170,Catalogue!A$4:A$85,0))*(1+'Paramètres'!$B$4*(C170-1)+'Paramètres'!$B$5*(C170-1)^2),0)</x:f>
        <x:v>7</x:v>
      </x:c>
      <x:c r="R170" t="n">
        <x:f>ROUND(INDEX(Catalogue!F$4:F$85,MATCH(A170,Catalogue!A$4:A$85,0))*(1+'Paramètres'!$B$4*(C170-1)+'Paramètres'!$B$5*(C170-1)^2),0)</x:f>
        <x:v>11</x:v>
      </x:c>
      <x:c r="S170" t="n">
        <x:f>L170-AVERAGE(Q170:R170)</x:f>
        <x:v>-0.5</x:v>
      </x:c>
      <x:c r="T170" t="str">
        <x:f>IF(M170=0,IF(AND(N170=0,O170=0,E170=0,F170=0),"OK","ERREUR"),IF(AND(M170&gt;=1,M170&lt;=32,OR(N170=4,N170=6,N170=8,N170=10,N170=12,N170=20),O170&gt;=0,E170=M170+O170,F170=M170*N170+O170),"OK","ERREUR"))</x:f>
        <x:v>OK</x:v>
      </x:c>
      <x:c r="U170" s="86" t="n">
        <x:f>IF(M170&gt;0,M170*(N170+1)/2+O170,0)</x:f>
        <x:v>8.5</x:v>
      </x:c>
      <x:c r="V170" t="str">
        <x:f>IF(ABS(L170-U170)&lt;0.001,"OK","ERREUR")</x:f>
        <x:v>OK</x:v>
      </x:c>
    </x:row>
    <x:row r="171" ht="18" customHeight="1">
      <x:c r="A171" t="str">
        <x:v>ARM009</x:v>
      </x:c>
      <x:c r="B171" t="str">
        <x:v>Cimeterre court</x:v>
      </x:c>
      <x:c r="C171" t="n">
        <x:v>8</x:v>
      </x:c>
      <x:c r="D171" t="str">
        <x:v>Légères</x:v>
      </x:c>
      <x:c r="E171" s="28" t="n">
        <x:f>IF(M171=0,0,M171+O171)</x:f>
        <x:v>8</x:v>
      </x:c>
      <x:c r="F171" s="28" t="n">
        <x:f>IF(M171=0,0,M171*N171+O171)</x:f>
        <x:v>13</x:v>
      </x:c>
      <x:c r="G171" s="28" t="n">
        <x:f>ROUND(Catalogue!G12*SQRT((1+'Paramètres'!$B$4*(C171-1)+'Paramètres'!$B$5*(C171-1)^2)),0)</x:f>
        <x:v>0</x:v>
      </x:c>
      <x:c r="H171" s="28" t="n">
        <x:f>ROUND(Catalogue!H12*SQRT((1+'Paramètres'!$B$4*(C171-1)+'Paramètres'!$B$5*(C171-1)^2)),0)</x:f>
        <x:v>0</x:v>
      </x:c>
      <x:c r="I171" s="28" t="n">
        <x:v>2</x:v>
      </x:c>
      <x:c r="J171" s="28" t="n">
        <x:v>1</x:v>
      </x:c>
      <x:c r="K171" s="30" t="n">
        <x:v>1.2</x:v>
      </x:c>
      <x:c r="L171" s="54" t="n">
        <x:f>IF(M171=0,0,(E171+F171)/2)</x:f>
        <x:v>10.5</x:v>
      </x:c>
      <x:c r="M171" t="n">
        <x:v>1</x:v>
      </x:c>
      <x:c r="N171" t="n">
        <x:v>6</x:v>
      </x:c>
      <x:c r="O171" t="n">
        <x:v>7</x:v>
      </x:c>
      <x:c r="P171" s="63" t="str">
        <x:f>IF(M171=0,"—",M171&amp;"d"&amp;N171&amp;IF(O171=0,""," + "&amp;O171))</x:f>
        <x:v>1d6 + 7</x:v>
      </x:c>
      <x:c r="Q171" t="n">
        <x:f>ROUND(INDEX(Catalogue!E$4:E$85,MATCH(A171,Catalogue!A$4:A$85,0))*(1+'Paramètres'!$B$4*(C171-1)+'Paramètres'!$B$5*(C171-1)^2),0)</x:f>
        <x:v>8</x:v>
      </x:c>
      <x:c r="R171" t="n">
        <x:f>ROUND(INDEX(Catalogue!F$4:F$85,MATCH(A171,Catalogue!A$4:A$85,0))*(1+'Paramètres'!$B$4*(C171-1)+'Paramètres'!$B$5*(C171-1)^2),0)</x:f>
        <x:v>13</x:v>
      </x:c>
      <x:c r="S171" t="n">
        <x:f>L171-AVERAGE(Q171:R171)</x:f>
        <x:v>0</x:v>
      </x:c>
      <x:c r="T171" t="str">
        <x:f>IF(M171=0,IF(AND(N171=0,O171=0,E171=0,F171=0),"OK","ERREUR"),IF(AND(M171&gt;=1,M171&lt;=32,OR(N171=4,N171=6,N171=8,N171=10,N171=12,N171=20),O171&gt;=0,E171=M171+O171,F171=M171*N171+O171),"OK","ERREUR"))</x:f>
        <x:v>OK</x:v>
      </x:c>
      <x:c r="U171" s="86" t="n">
        <x:f>IF(M171&gt;0,M171*(N171+1)/2+O171,0)</x:f>
        <x:v>10.5</x:v>
      </x:c>
      <x:c r="V171" t="str">
        <x:f>IF(ABS(L171-U171)&lt;0.001,"OK","ERREUR")</x:f>
        <x:v>OK</x:v>
      </x:c>
    </x:row>
    <x:row r="172" ht="18" customHeight="1">
      <x:c r="A172" t="str">
        <x:v>ARM009</x:v>
      </x:c>
      <x:c r="B172" t="str">
        <x:v>Cimeterre court</x:v>
      </x:c>
      <x:c r="C172" t="n">
        <x:v>9</x:v>
      </x:c>
      <x:c r="D172" t="str">
        <x:v>Légères</x:v>
      </x:c>
      <x:c r="E172" s="28" t="n">
        <x:f>IF(M172=0,0,M172+O172)</x:f>
        <x:v>9</x:v>
      </x:c>
      <x:c r="F172" s="28" t="n">
        <x:f>IF(M172=0,0,M172*N172+O172)</x:f>
        <x:v>15</x:v>
      </x:c>
      <x:c r="G172" s="28" t="n">
        <x:f>ROUND(Catalogue!G12*SQRT((1+'Paramètres'!$B$4*(C172-1)+'Paramètres'!$B$5*(C172-1)^2)),0)</x:f>
        <x:v>0</x:v>
      </x:c>
      <x:c r="H172" s="28" t="n">
        <x:f>ROUND(Catalogue!H12*SQRT((1+'Paramètres'!$B$4*(C172-1)+'Paramètres'!$B$5*(C172-1)^2)),0)</x:f>
        <x:v>0</x:v>
      </x:c>
      <x:c r="I172" s="28" t="n">
        <x:v>2</x:v>
      </x:c>
      <x:c r="J172" s="28" t="n">
        <x:v>1</x:v>
      </x:c>
      <x:c r="K172" s="30" t="n">
        <x:v>1.2</x:v>
      </x:c>
      <x:c r="L172" s="54" t="n">
        <x:f>IF(M172=0,0,(E172+F172)/2)</x:f>
        <x:v>12</x:v>
      </x:c>
      <x:c r="M172" t="n">
        <x:v>2</x:v>
      </x:c>
      <x:c r="N172" t="n">
        <x:v>4</x:v>
      </x:c>
      <x:c r="O172" t="n">
        <x:v>7</x:v>
      </x:c>
      <x:c r="P172" s="63" t="str">
        <x:f>IF(M172=0,"—",M172&amp;"d"&amp;N172&amp;IF(O172=0,""," + "&amp;O172))</x:f>
        <x:v>2d4 + 7</x:v>
      </x:c>
      <x:c r="Q172" t="n">
        <x:f>ROUND(INDEX(Catalogue!E$4:E$85,MATCH(A172,Catalogue!A$4:A$85,0))*(1+'Paramètres'!$B$4*(C172-1)+'Paramètres'!$B$5*(C172-1)^2),0)</x:f>
        <x:v>9</x:v>
      </x:c>
      <x:c r="R172" t="n">
        <x:f>ROUND(INDEX(Catalogue!F$4:F$85,MATCH(A172,Catalogue!A$4:A$85,0))*(1+'Paramètres'!$B$4*(C172-1)+'Paramètres'!$B$5*(C172-1)^2),0)</x:f>
        <x:v>15</x:v>
      </x:c>
      <x:c r="S172" t="n">
        <x:f>L172-AVERAGE(Q172:R172)</x:f>
        <x:v>0</x:v>
      </x:c>
      <x:c r="T172" t="str">
        <x:f>IF(M172=0,IF(AND(N172=0,O172=0,E172=0,F172=0),"OK","ERREUR"),IF(AND(M172&gt;=1,M172&lt;=32,OR(N172=4,N172=6,N172=8,N172=10,N172=12,N172=20),O172&gt;=0,E172=M172+O172,F172=M172*N172+O172),"OK","ERREUR"))</x:f>
        <x:v>OK</x:v>
      </x:c>
      <x:c r="U172" s="86" t="n">
        <x:f>IF(M172&gt;0,M172*(N172+1)/2+O172,0)</x:f>
        <x:v>12</x:v>
      </x:c>
      <x:c r="V172" t="str">
        <x:f>IF(ABS(L172-U172)&lt;0.001,"OK","ERREUR")</x:f>
        <x:v>OK</x:v>
      </x:c>
    </x:row>
    <x:row r="173" ht="18" customHeight="1">
      <x:c r="A173" t="str">
        <x:v>ARM009</x:v>
      </x:c>
      <x:c r="B173" t="str">
        <x:v>Cimeterre court</x:v>
      </x:c>
      <x:c r="C173" t="n">
        <x:v>10</x:v>
      </x:c>
      <x:c r="D173" t="str">
        <x:v>Légères</x:v>
      </x:c>
      <x:c r="E173" s="28" t="n">
        <x:f>IF(M173=0,0,M173+O173)</x:f>
        <x:v>10</x:v>
      </x:c>
      <x:c r="F173" s="28" t="n">
        <x:f>IF(M173=0,0,M173*N173+O173)</x:f>
        <x:v>16</x:v>
      </x:c>
      <x:c r="G173" s="28" t="n">
        <x:f>ROUND(Catalogue!G12*SQRT((1+'Paramètres'!$B$4*(C173-1)+'Paramètres'!$B$5*(C173-1)^2)),0)</x:f>
        <x:v>0</x:v>
      </x:c>
      <x:c r="H173" s="28" t="n">
        <x:f>ROUND(Catalogue!H12*SQRT((1+'Paramètres'!$B$4*(C173-1)+'Paramètres'!$B$5*(C173-1)^2)),0)</x:f>
        <x:v>0</x:v>
      </x:c>
      <x:c r="I173" s="28" t="n">
        <x:v>2</x:v>
      </x:c>
      <x:c r="J173" s="28" t="n">
        <x:v>1</x:v>
      </x:c>
      <x:c r="K173" s="30" t="n">
        <x:v>1.2</x:v>
      </x:c>
      <x:c r="L173" s="54" t="n">
        <x:f>IF(M173=0,0,(E173+F173)/2)</x:f>
        <x:v>13</x:v>
      </x:c>
      <x:c r="M173" t="n">
        <x:v>2</x:v>
      </x:c>
      <x:c r="N173" t="n">
        <x:v>4</x:v>
      </x:c>
      <x:c r="O173" t="n">
        <x:v>8</x:v>
      </x:c>
      <x:c r="P173" s="63" t="str">
        <x:f>IF(M173=0,"—",M173&amp;"d"&amp;N173&amp;IF(O173=0,""," + "&amp;O173))</x:f>
        <x:v>2d4 + 8</x:v>
      </x:c>
      <x:c r="Q173" t="n">
        <x:f>ROUND(INDEX(Catalogue!E$4:E$85,MATCH(A173,Catalogue!A$4:A$85,0))*(1+'Paramètres'!$B$4*(C173-1)+'Paramètres'!$B$5*(C173-1)^2),0)</x:f>
        <x:v>10</x:v>
      </x:c>
      <x:c r="R173" t="n">
        <x:f>ROUND(INDEX(Catalogue!F$4:F$85,MATCH(A173,Catalogue!A$4:A$85,0))*(1+'Paramètres'!$B$4*(C173-1)+'Paramètres'!$B$5*(C173-1)^2),0)</x:f>
        <x:v>16</x:v>
      </x:c>
      <x:c r="S173" t="n">
        <x:f>L173-AVERAGE(Q173:R173)</x:f>
        <x:v>0</x:v>
      </x:c>
      <x:c r="T173" t="str">
        <x:f>IF(M173=0,IF(AND(N173=0,O173=0,E173=0,F173=0),"OK","ERREUR"),IF(AND(M173&gt;=1,M173&lt;=32,OR(N173=4,N173=6,N173=8,N173=10,N173=12,N173=20),O173&gt;=0,E173=M173+O173,F173=M173*N173+O173),"OK","ERREUR"))</x:f>
        <x:v>OK</x:v>
      </x:c>
      <x:c r="U173" s="86" t="n">
        <x:f>IF(M173&gt;0,M173*(N173+1)/2+O173,0)</x:f>
        <x:v>13</x:v>
      </x:c>
      <x:c r="V173" t="str">
        <x:f>IF(ABS(L173-U173)&lt;0.001,"OK","ERREUR")</x:f>
        <x:v>OK</x:v>
      </x:c>
    </x:row>
    <x:row r="174" ht="18" customHeight="1">
      <x:c r="A174" t="str">
        <x:v>ARM009</x:v>
      </x:c>
      <x:c r="B174" t="str">
        <x:v>Cimeterre court</x:v>
      </x:c>
      <x:c r="C174" t="n">
        <x:v>11</x:v>
      </x:c>
      <x:c r="D174" t="str">
        <x:v>Légères</x:v>
      </x:c>
      <x:c r="E174" s="28" t="n">
        <x:f>IF(M174=0,0,M174+O174)</x:f>
        <x:v>11</x:v>
      </x:c>
      <x:c r="F174" s="28" t="n">
        <x:f>IF(M174=0,0,M174*N174+O174)</x:f>
        <x:v>20</x:v>
      </x:c>
      <x:c r="G174" s="28" t="n">
        <x:f>ROUND(Catalogue!G12*SQRT((1+'Paramètres'!$B$4*(C174-1)+'Paramètres'!$B$5*(C174-1)^2)),0)</x:f>
        <x:v>0</x:v>
      </x:c>
      <x:c r="H174" s="28" t="n">
        <x:f>ROUND(Catalogue!H12*SQRT((1+'Paramètres'!$B$4*(C174-1)+'Paramètres'!$B$5*(C174-1)^2)),0)</x:f>
        <x:v>0</x:v>
      </x:c>
      <x:c r="I174" s="28" t="n">
        <x:v>2</x:v>
      </x:c>
      <x:c r="J174" s="28" t="n">
        <x:v>1</x:v>
      </x:c>
      <x:c r="K174" s="30" t="n">
        <x:v>1.2</x:v>
      </x:c>
      <x:c r="L174" s="54" t="n">
        <x:f>IF(M174=0,0,(E174+F174)/2)</x:f>
        <x:v>15.5</x:v>
      </x:c>
      <x:c r="M174" t="n">
        <x:v>3</x:v>
      </x:c>
      <x:c r="N174" t="n">
        <x:v>4</x:v>
      </x:c>
      <x:c r="O174" t="n">
        <x:v>8</x:v>
      </x:c>
      <x:c r="P174" s="63" t="str">
        <x:f>IF(M174=0,"—",M174&amp;"d"&amp;N174&amp;IF(O174=0,""," + "&amp;O174))</x:f>
        <x:v>3d4 + 8</x:v>
      </x:c>
      <x:c r="Q174" t="n">
        <x:f>ROUND(INDEX(Catalogue!E$4:E$85,MATCH(A174,Catalogue!A$4:A$85,0))*(1+'Paramètres'!$B$4*(C174-1)+'Paramètres'!$B$5*(C174-1)^2),0)</x:f>
        <x:v>11</x:v>
      </x:c>
      <x:c r="R174" t="n">
        <x:f>ROUND(INDEX(Catalogue!F$4:F$85,MATCH(A174,Catalogue!A$4:A$85,0))*(1+'Paramètres'!$B$4*(C174-1)+'Paramètres'!$B$5*(C174-1)^2),0)</x:f>
        <x:v>19</x:v>
      </x:c>
      <x:c r="S174" t="n">
        <x:f>L174-AVERAGE(Q174:R174)</x:f>
        <x:v>0.5</x:v>
      </x:c>
      <x:c r="T174" t="str">
        <x:f>IF(M174=0,IF(AND(N174=0,O174=0,E174=0,F174=0),"OK","ERREUR"),IF(AND(M174&gt;=1,M174&lt;=32,OR(N174=4,N174=6,N174=8,N174=10,N174=12,N174=20),O174&gt;=0,E174=M174+O174,F174=M174*N174+O174),"OK","ERREUR"))</x:f>
        <x:v>OK</x:v>
      </x:c>
      <x:c r="U174" s="86" t="n">
        <x:f>IF(M174&gt;0,M174*(N174+1)/2+O174,0)</x:f>
        <x:v>15.5</x:v>
      </x:c>
      <x:c r="V174" t="str">
        <x:f>IF(ABS(L174-U174)&lt;0.001,"OK","ERREUR")</x:f>
        <x:v>OK</x:v>
      </x:c>
    </x:row>
    <x:row r="175" ht="18" customHeight="1">
      <x:c r="A175" t="str">
        <x:v>ARM009</x:v>
      </x:c>
      <x:c r="B175" t="str">
        <x:v>Cimeterre court</x:v>
      </x:c>
      <x:c r="C175" t="n">
        <x:v>12</x:v>
      </x:c>
      <x:c r="D175" t="str">
        <x:v>Légères</x:v>
      </x:c>
      <x:c r="E175" s="28" t="n">
        <x:f>IF(M175=0,0,M175+O175)</x:f>
        <x:v>12</x:v>
      </x:c>
      <x:c r="F175" s="28" t="n">
        <x:f>IF(M175=0,0,M175*N175+O175)</x:f>
        <x:v>21</x:v>
      </x:c>
      <x:c r="G175" s="28" t="n">
        <x:f>ROUND(Catalogue!G12*SQRT((1+'Paramètres'!$B$4*(C175-1)+'Paramètres'!$B$5*(C175-1)^2)),0)</x:f>
        <x:v>0</x:v>
      </x:c>
      <x:c r="H175" s="28" t="n">
        <x:f>ROUND(Catalogue!H12*SQRT((1+'Paramètres'!$B$4*(C175-1)+'Paramètres'!$B$5*(C175-1)^2)),0)</x:f>
        <x:v>0</x:v>
      </x:c>
      <x:c r="I175" s="28" t="n">
        <x:v>2</x:v>
      </x:c>
      <x:c r="J175" s="28" t="n">
        <x:v>1</x:v>
      </x:c>
      <x:c r="K175" s="30" t="n">
        <x:v>1.2</x:v>
      </x:c>
      <x:c r="L175" s="54" t="n">
        <x:f>IF(M175=0,0,(E175+F175)/2)</x:f>
        <x:v>16.5</x:v>
      </x:c>
      <x:c r="M175" t="n">
        <x:v>3</x:v>
      </x:c>
      <x:c r="N175" t="n">
        <x:v>4</x:v>
      </x:c>
      <x:c r="O175" t="n">
        <x:v>9</x:v>
      </x:c>
      <x:c r="P175" s="63" t="str">
        <x:f>IF(M175=0,"—",M175&amp;"d"&amp;N175&amp;IF(O175=0,""," + "&amp;O175))</x:f>
        <x:v>3d4 + 9</x:v>
      </x:c>
      <x:c r="Q175" t="n">
        <x:f>ROUND(INDEX(Catalogue!E$4:E$85,MATCH(A175,Catalogue!A$4:A$85,0))*(1+'Paramètres'!$B$4*(C175-1)+'Paramètres'!$B$5*(C175-1)^2),0)</x:f>
        <x:v>12</x:v>
      </x:c>
      <x:c r="R175" t="n">
        <x:f>ROUND(INDEX(Catalogue!F$4:F$85,MATCH(A175,Catalogue!A$4:A$85,0))*(1+'Paramètres'!$B$4*(C175-1)+'Paramètres'!$B$5*(C175-1)^2),0)</x:f>
        <x:v>21</x:v>
      </x:c>
      <x:c r="S175" t="n">
        <x:f>L175-AVERAGE(Q175:R175)</x:f>
        <x:v>0</x:v>
      </x:c>
      <x:c r="T175" t="str">
        <x:f>IF(M175=0,IF(AND(N175=0,O175=0,E175=0,F175=0),"OK","ERREUR"),IF(AND(M175&gt;=1,M175&lt;=32,OR(N175=4,N175=6,N175=8,N175=10,N175=12,N175=20),O175&gt;=0,E175=M175+O175,F175=M175*N175+O175),"OK","ERREUR"))</x:f>
        <x:v>OK</x:v>
      </x:c>
      <x:c r="U175" s="86" t="n">
        <x:f>IF(M175&gt;0,M175*(N175+1)/2+O175,0)</x:f>
        <x:v>16.5</x:v>
      </x:c>
      <x:c r="V175" t="str">
        <x:f>IF(ABS(L175-U175)&lt;0.001,"OK","ERREUR")</x:f>
        <x:v>OK</x:v>
      </x:c>
    </x:row>
    <x:row r="176" ht="18" customHeight="1">
      <x:c r="A176" t="str">
        <x:v>ARM009</x:v>
      </x:c>
      <x:c r="B176" t="str">
        <x:v>Cimeterre court</x:v>
      </x:c>
      <x:c r="C176" t="n">
        <x:v>13</x:v>
      </x:c>
      <x:c r="D176" t="str">
        <x:v>Légères</x:v>
      </x:c>
      <x:c r="E176" s="28" t="n">
        <x:f>IF(M176=0,0,M176+O176)</x:f>
        <x:v>14</x:v>
      </x:c>
      <x:c r="F176" s="28" t="n">
        <x:f>IF(M176=0,0,M176*N176+O176)</x:f>
        <x:v>23</x:v>
      </x:c>
      <x:c r="G176" s="28" t="n">
        <x:f>ROUND(Catalogue!G12*SQRT((1+'Paramètres'!$B$4*(C176-1)+'Paramètres'!$B$5*(C176-1)^2)),0)</x:f>
        <x:v>0</x:v>
      </x:c>
      <x:c r="H176" s="28" t="n">
        <x:f>ROUND(Catalogue!H12*SQRT((1+'Paramètres'!$B$4*(C176-1)+'Paramètres'!$B$5*(C176-1)^2)),0)</x:f>
        <x:v>0</x:v>
      </x:c>
      <x:c r="I176" s="28" t="n">
        <x:v>2</x:v>
      </x:c>
      <x:c r="J176" s="28" t="n">
        <x:v>1</x:v>
      </x:c>
      <x:c r="K176" s="30" t="n">
        <x:v>1.2</x:v>
      </x:c>
      <x:c r="L176" s="54" t="n">
        <x:f>IF(M176=0,0,(E176+F176)/2)</x:f>
        <x:v>18.5</x:v>
      </x:c>
      <x:c r="M176" t="n">
        <x:v>3</x:v>
      </x:c>
      <x:c r="N176" t="n">
        <x:v>4</x:v>
      </x:c>
      <x:c r="O176" t="n">
        <x:v>11</x:v>
      </x:c>
      <x:c r="P176" s="63" t="str">
        <x:f>IF(M176=0,"—",M176&amp;"d"&amp;N176&amp;IF(O176=0,""," + "&amp;O176))</x:f>
        <x:v>3d4 + 11</x:v>
      </x:c>
      <x:c r="Q176" t="n">
        <x:f>ROUND(INDEX(Catalogue!E$4:E$85,MATCH(A176,Catalogue!A$4:A$85,0))*(1+'Paramètres'!$B$4*(C176-1)+'Paramètres'!$B$5*(C176-1)^2),0)</x:f>
        <x:v>14</x:v>
      </x:c>
      <x:c r="R176" t="n">
        <x:f>ROUND(INDEX(Catalogue!F$4:F$85,MATCH(A176,Catalogue!A$4:A$85,0))*(1+'Paramètres'!$B$4*(C176-1)+'Paramètres'!$B$5*(C176-1)^2),0)</x:f>
        <x:v>23</x:v>
      </x:c>
      <x:c r="S176" t="n">
        <x:f>L176-AVERAGE(Q176:R176)</x:f>
        <x:v>0</x:v>
      </x:c>
      <x:c r="T176" t="str">
        <x:f>IF(M176=0,IF(AND(N176=0,O176=0,E176=0,F176=0),"OK","ERREUR"),IF(AND(M176&gt;=1,M176&lt;=32,OR(N176=4,N176=6,N176=8,N176=10,N176=12,N176=20),O176&gt;=0,E176=M176+O176,F176=M176*N176+O176),"OK","ERREUR"))</x:f>
        <x:v>OK</x:v>
      </x:c>
      <x:c r="U176" s="86" t="n">
        <x:f>IF(M176&gt;0,M176*(N176+1)/2+O176,0)</x:f>
        <x:v>18.5</x:v>
      </x:c>
      <x:c r="V176" t="str">
        <x:f>IF(ABS(L176-U176)&lt;0.001,"OK","ERREUR")</x:f>
        <x:v>OK</x:v>
      </x:c>
    </x:row>
    <x:row r="177" ht="18" customHeight="1">
      <x:c r="A177" t="str">
        <x:v>ARM009</x:v>
      </x:c>
      <x:c r="B177" t="str">
        <x:v>Cimeterre court</x:v>
      </x:c>
      <x:c r="C177" t="n">
        <x:v>14</x:v>
      </x:c>
      <x:c r="D177" t="str">
        <x:v>Légères</x:v>
      </x:c>
      <x:c r="E177" s="28" t="n">
        <x:f>IF(M177=0,0,M177+O177)</x:f>
        <x:v>15</x:v>
      </x:c>
      <x:c r="F177" s="28" t="n">
        <x:f>IF(M177=0,0,M177*N177+O177)</x:f>
        <x:v>25</x:v>
      </x:c>
      <x:c r="G177" s="28" t="n">
        <x:f>ROUND(Catalogue!G12*SQRT((1+'Paramètres'!$B$4*(C177-1)+'Paramètres'!$B$5*(C177-1)^2)),0)</x:f>
        <x:v>0</x:v>
      </x:c>
      <x:c r="H177" s="28" t="n">
        <x:f>ROUND(Catalogue!H12*SQRT((1+'Paramètres'!$B$4*(C177-1)+'Paramètres'!$B$5*(C177-1)^2)),0)</x:f>
        <x:v>0</x:v>
      </x:c>
      <x:c r="I177" s="28" t="n">
        <x:v>2</x:v>
      </x:c>
      <x:c r="J177" s="28" t="n">
        <x:v>1</x:v>
      </x:c>
      <x:c r="K177" s="30" t="n">
        <x:v>1.2</x:v>
      </x:c>
      <x:c r="L177" s="54" t="n">
        <x:f>IF(M177=0,0,(E177+F177)/2)</x:f>
        <x:v>20</x:v>
      </x:c>
      <x:c r="M177" t="n">
        <x:v>2</x:v>
      </x:c>
      <x:c r="N177" t="n">
        <x:v>6</x:v>
      </x:c>
      <x:c r="O177" t="n">
        <x:v>13</x:v>
      </x:c>
      <x:c r="P177" s="63" t="str">
        <x:f>IF(M177=0,"—",M177&amp;"d"&amp;N177&amp;IF(O177=0,""," + "&amp;O177))</x:f>
        <x:v>2d6 + 13</x:v>
      </x:c>
      <x:c r="Q177" t="n">
        <x:f>ROUND(INDEX(Catalogue!E$4:E$85,MATCH(A177,Catalogue!A$4:A$85,0))*(1+'Paramètres'!$B$4*(C177-1)+'Paramètres'!$B$5*(C177-1)^2),0)</x:f>
        <x:v>15</x:v>
      </x:c>
      <x:c r="R177" t="n">
        <x:f>ROUND(INDEX(Catalogue!F$4:F$85,MATCH(A177,Catalogue!A$4:A$85,0))*(1+'Paramètres'!$B$4*(C177-1)+'Paramètres'!$B$5*(C177-1)^2),0)</x:f>
        <x:v>26</x:v>
      </x:c>
      <x:c r="S177" t="n">
        <x:f>L177-AVERAGE(Q177:R177)</x:f>
        <x:v>-0.5</x:v>
      </x:c>
      <x:c r="T177" t="str">
        <x:f>IF(M177=0,IF(AND(N177=0,O177=0,E177=0,F177=0),"OK","ERREUR"),IF(AND(M177&gt;=1,M177&lt;=32,OR(N177=4,N177=6,N177=8,N177=10,N177=12,N177=20),O177&gt;=0,E177=M177+O177,F177=M177*N177+O177),"OK","ERREUR"))</x:f>
        <x:v>OK</x:v>
      </x:c>
      <x:c r="U177" s="86" t="n">
        <x:f>IF(M177&gt;0,M177*(N177+1)/2+O177,0)</x:f>
        <x:v>20</x:v>
      </x:c>
      <x:c r="V177" t="str">
        <x:f>IF(ABS(L177-U177)&lt;0.001,"OK","ERREUR")</x:f>
        <x:v>OK</x:v>
      </x:c>
    </x:row>
    <x:row r="178" ht="18" customHeight="1">
      <x:c r="A178" t="str">
        <x:v>ARM009</x:v>
      </x:c>
      <x:c r="B178" t="str">
        <x:v>Cimeterre court</x:v>
      </x:c>
      <x:c r="C178" t="n">
        <x:v>15</x:v>
      </x:c>
      <x:c r="D178" t="str">
        <x:v>Légères</x:v>
      </x:c>
      <x:c r="E178" s="28" t="n">
        <x:f>IF(M178=0,0,M178+O178)</x:f>
        <x:v>18</x:v>
      </x:c>
      <x:c r="F178" s="28" t="n">
        <x:f>IF(M178=0,0,M178*N178+O178)</x:f>
        <x:v>28</x:v>
      </x:c>
      <x:c r="G178" s="28" t="n">
        <x:f>ROUND(Catalogue!G12*SQRT((1+'Paramètres'!$B$4*(C178-1)+'Paramètres'!$B$5*(C178-1)^2)),0)</x:f>
        <x:v>0</x:v>
      </x:c>
      <x:c r="H178" s="28" t="n">
        <x:f>ROUND(Catalogue!H12*SQRT((1+'Paramètres'!$B$4*(C178-1)+'Paramètres'!$B$5*(C178-1)^2)),0)</x:f>
        <x:v>0</x:v>
      </x:c>
      <x:c r="I178" s="28" t="n">
        <x:v>2</x:v>
      </x:c>
      <x:c r="J178" s="28" t="n">
        <x:v>1</x:v>
      </x:c>
      <x:c r="K178" s="30" t="n">
        <x:v>1.2</x:v>
      </x:c>
      <x:c r="L178" s="54" t="n">
        <x:f>IF(M178=0,0,(E178+F178)/2)</x:f>
        <x:v>23</x:v>
      </x:c>
      <x:c r="M178" t="n">
        <x:v>2</x:v>
      </x:c>
      <x:c r="N178" t="n">
        <x:v>6</x:v>
      </x:c>
      <x:c r="O178" t="n">
        <x:v>16</x:v>
      </x:c>
      <x:c r="P178" s="63" t="str">
        <x:f>IF(M178=0,"—",M178&amp;"d"&amp;N178&amp;IF(O178=0,""," + "&amp;O178))</x:f>
        <x:v>2d6 + 16</x:v>
      </x:c>
      <x:c r="Q178" t="n">
        <x:f>ROUND(INDEX(Catalogue!E$4:E$85,MATCH(A178,Catalogue!A$4:A$85,0))*(1+'Paramètres'!$B$4*(C178-1)+'Paramètres'!$B$5*(C178-1)^2),0)</x:f>
        <x:v>17</x:v>
      </x:c>
      <x:c r="R178" t="n">
        <x:f>ROUND(INDEX(Catalogue!F$4:F$85,MATCH(A178,Catalogue!A$4:A$85,0))*(1+'Paramètres'!$B$4*(C178-1)+'Paramètres'!$B$5*(C178-1)^2),0)</x:f>
        <x:v>28</x:v>
      </x:c>
      <x:c r="S178" t="n">
        <x:f>L178-AVERAGE(Q178:R178)</x:f>
        <x:v>0.5</x:v>
      </x:c>
      <x:c r="T178" t="str">
        <x:f>IF(M178=0,IF(AND(N178=0,O178=0,E178=0,F178=0),"OK","ERREUR"),IF(AND(M178&gt;=1,M178&lt;=32,OR(N178=4,N178=6,N178=8,N178=10,N178=12,N178=20),O178&gt;=0,E178=M178+O178,F178=M178*N178+O178),"OK","ERREUR"))</x:f>
        <x:v>OK</x:v>
      </x:c>
      <x:c r="U178" s="86" t="n">
        <x:f>IF(M178&gt;0,M178*(N178+1)/2+O178,0)</x:f>
        <x:v>23</x:v>
      </x:c>
      <x:c r="V178" t="str">
        <x:f>IF(ABS(L178-U178)&lt;0.001,"OK","ERREUR")</x:f>
        <x:v>OK</x:v>
      </x:c>
    </x:row>
    <x:row r="179" ht="18" customHeight="1">
      <x:c r="A179" t="str">
        <x:v>ARM009</x:v>
      </x:c>
      <x:c r="B179" t="str">
        <x:v>Cimeterre court</x:v>
      </x:c>
      <x:c r="C179" t="n">
        <x:v>16</x:v>
      </x:c>
      <x:c r="D179" t="str">
        <x:v>Légères</x:v>
      </x:c>
      <x:c r="E179" s="28" t="n">
        <x:f>IF(M179=0,0,M179+O179)</x:f>
        <x:v>19</x:v>
      </x:c>
      <x:c r="F179" s="28" t="n">
        <x:f>IF(M179=0,0,M179*N179+O179)</x:f>
        <x:v>31</x:v>
      </x:c>
      <x:c r="G179" s="28" t="n">
        <x:f>ROUND(Catalogue!G12*SQRT((1+'Paramètres'!$B$4*(C179-1)+'Paramètres'!$B$5*(C179-1)^2)),0)</x:f>
        <x:v>0</x:v>
      </x:c>
      <x:c r="H179" s="28" t="n">
        <x:f>ROUND(Catalogue!H12*SQRT((1+'Paramètres'!$B$4*(C179-1)+'Paramètres'!$B$5*(C179-1)^2)),0)</x:f>
        <x:v>0</x:v>
      </x:c>
      <x:c r="I179" s="28" t="n">
        <x:v>2</x:v>
      </x:c>
      <x:c r="J179" s="28" t="n">
        <x:v>1</x:v>
      </x:c>
      <x:c r="K179" s="30" t="n">
        <x:v>1.2</x:v>
      </x:c>
      <x:c r="L179" s="54" t="n">
        <x:f>IF(M179=0,0,(E179+F179)/2)</x:f>
        <x:v>25</x:v>
      </x:c>
      <x:c r="M179" t="n">
        <x:v>4</x:v>
      </x:c>
      <x:c r="N179" t="n">
        <x:v>4</x:v>
      </x:c>
      <x:c r="O179" t="n">
        <x:v>15</x:v>
      </x:c>
      <x:c r="P179" s="63" t="str">
        <x:f>IF(M179=0,"—",M179&amp;"d"&amp;N179&amp;IF(O179=0,""," + "&amp;O179))</x:f>
        <x:v>4d4 + 15</x:v>
      </x:c>
      <x:c r="Q179" t="n">
        <x:f>ROUND(INDEX(Catalogue!E$4:E$85,MATCH(A179,Catalogue!A$4:A$85,0))*(1+'Paramètres'!$B$4*(C179-1)+'Paramètres'!$B$5*(C179-1)^2),0)</x:f>
        <x:v>19</x:v>
      </x:c>
      <x:c r="R179" t="n">
        <x:f>ROUND(INDEX(Catalogue!F$4:F$85,MATCH(A179,Catalogue!A$4:A$85,0))*(1+'Paramètres'!$B$4*(C179-1)+'Paramètres'!$B$5*(C179-1)^2),0)</x:f>
        <x:v>31</x:v>
      </x:c>
      <x:c r="S179" t="n">
        <x:f>L179-AVERAGE(Q179:R179)</x:f>
        <x:v>0</x:v>
      </x:c>
      <x:c r="T179" t="str">
        <x:f>IF(M179=0,IF(AND(N179=0,O179=0,E179=0,F179=0),"OK","ERREUR"),IF(AND(M179&gt;=1,M179&lt;=32,OR(N179=4,N179=6,N179=8,N179=10,N179=12,N179=20),O179&gt;=0,E179=M179+O179,F179=M179*N179+O179),"OK","ERREUR"))</x:f>
        <x:v>OK</x:v>
      </x:c>
      <x:c r="U179" s="86" t="n">
        <x:f>IF(M179&gt;0,M179*(N179+1)/2+O179,0)</x:f>
        <x:v>25</x:v>
      </x:c>
      <x:c r="V179" t="str">
        <x:f>IF(ABS(L179-U179)&lt;0.001,"OK","ERREUR")</x:f>
        <x:v>OK</x:v>
      </x:c>
    </x:row>
    <x:row r="180" ht="18" customHeight="1">
      <x:c r="A180" t="str">
        <x:v>ARM009</x:v>
      </x:c>
      <x:c r="B180" t="str">
        <x:v>Cimeterre court</x:v>
      </x:c>
      <x:c r="C180" t="n">
        <x:v>17</x:v>
      </x:c>
      <x:c r="D180" t="str">
        <x:v>Légères</x:v>
      </x:c>
      <x:c r="E180" s="28" t="n">
        <x:f>IF(M180=0,0,M180+O180)</x:f>
        <x:v>20</x:v>
      </x:c>
      <x:c r="F180" s="28" t="n">
        <x:f>IF(M180=0,0,M180*N180+O180)</x:f>
        <x:v>34</x:v>
      </x:c>
      <x:c r="G180" s="28" t="n">
        <x:f>ROUND(Catalogue!G12*SQRT((1+'Paramètres'!$B$4*(C180-1)+'Paramètres'!$B$5*(C180-1)^2)),0)</x:f>
        <x:v>0</x:v>
      </x:c>
      <x:c r="H180" s="28" t="n">
        <x:f>ROUND(Catalogue!H12*SQRT((1+'Paramètres'!$B$4*(C180-1)+'Paramètres'!$B$5*(C180-1)^2)),0)</x:f>
        <x:v>0</x:v>
      </x:c>
      <x:c r="I180" s="28" t="n">
        <x:v>2</x:v>
      </x:c>
      <x:c r="J180" s="28" t="n">
        <x:v>1</x:v>
      </x:c>
      <x:c r="K180" s="30" t="n">
        <x:v>1.2</x:v>
      </x:c>
      <x:c r="L180" s="54" t="n">
        <x:f>IF(M180=0,0,(E180+F180)/2)</x:f>
        <x:v>27</x:v>
      </x:c>
      <x:c r="M180" t="n">
        <x:v>2</x:v>
      </x:c>
      <x:c r="N180" t="n">
        <x:v>8</x:v>
      </x:c>
      <x:c r="O180" t="n">
        <x:v>18</x:v>
      </x:c>
      <x:c r="P180" s="63" t="str">
        <x:f>IF(M180=0,"—",M180&amp;"d"&amp;N180&amp;IF(O180=0,""," + "&amp;O180))</x:f>
        <x:v>2d8 + 18</x:v>
      </x:c>
      <x:c r="Q180" t="n">
        <x:f>ROUND(INDEX(Catalogue!E$4:E$85,MATCH(A180,Catalogue!A$4:A$85,0))*(1+'Paramètres'!$B$4*(C180-1)+'Paramètres'!$B$5*(C180-1)^2),0)</x:f>
        <x:v>21</x:v>
      </x:c>
      <x:c r="R180" t="n">
        <x:f>ROUND(INDEX(Catalogue!F$4:F$85,MATCH(A180,Catalogue!A$4:A$85,0))*(1+'Paramètres'!$B$4*(C180-1)+'Paramètres'!$B$5*(C180-1)^2),0)</x:f>
        <x:v>34</x:v>
      </x:c>
      <x:c r="S180" t="n">
        <x:f>L180-AVERAGE(Q180:R180)</x:f>
        <x:v>-0.5</x:v>
      </x:c>
      <x:c r="T180" t="str">
        <x:f>IF(M180=0,IF(AND(N180=0,O180=0,E180=0,F180=0),"OK","ERREUR"),IF(AND(M180&gt;=1,M180&lt;=32,OR(N180=4,N180=6,N180=8,N180=10,N180=12,N180=20),O180&gt;=0,E180=M180+O180,F180=M180*N180+O180),"OK","ERREUR"))</x:f>
        <x:v>OK</x:v>
      </x:c>
      <x:c r="U180" s="86" t="n">
        <x:f>IF(M180&gt;0,M180*(N180+1)/2+O180,0)</x:f>
        <x:v>27</x:v>
      </x:c>
      <x:c r="V180" t="str">
        <x:f>IF(ABS(L180-U180)&lt;0.001,"OK","ERREUR")</x:f>
        <x:v>OK</x:v>
      </x:c>
    </x:row>
    <x:row r="181" ht="18" customHeight="1">
      <x:c r="A181" t="str">
        <x:v>ARM009</x:v>
      </x:c>
      <x:c r="B181" t="str">
        <x:v>Cimeterre court</x:v>
      </x:c>
      <x:c r="C181" t="n">
        <x:v>18</x:v>
      </x:c>
      <x:c r="D181" t="str">
        <x:v>Légères</x:v>
      </x:c>
      <x:c r="E181" s="28" t="n">
        <x:f>IF(M181=0,0,M181+O181)</x:f>
        <x:v>22</x:v>
      </x:c>
      <x:c r="F181" s="28" t="n">
        <x:f>IF(M181=0,0,M181*N181+O181)</x:f>
        <x:v>37</x:v>
      </x:c>
      <x:c r="G181" s="28" t="n">
        <x:f>ROUND(Catalogue!G12*SQRT((1+'Paramètres'!$B$4*(C181-1)+'Paramètres'!$B$5*(C181-1)^2)),0)</x:f>
        <x:v>0</x:v>
      </x:c>
      <x:c r="H181" s="28" t="n">
        <x:f>ROUND(Catalogue!H12*SQRT((1+'Paramètres'!$B$4*(C181-1)+'Paramètres'!$B$5*(C181-1)^2)),0)</x:f>
        <x:v>0</x:v>
      </x:c>
      <x:c r="I181" s="28" t="n">
        <x:v>2</x:v>
      </x:c>
      <x:c r="J181" s="28" t="n">
        <x:v>1</x:v>
      </x:c>
      <x:c r="K181" s="30" t="n">
        <x:v>1.2</x:v>
      </x:c>
      <x:c r="L181" s="54" t="n">
        <x:f>IF(M181=0,0,(E181+F181)/2)</x:f>
        <x:v>29.5</x:v>
      </x:c>
      <x:c r="M181" t="n">
        <x:v>3</x:v>
      </x:c>
      <x:c r="N181" t="n">
        <x:v>6</x:v>
      </x:c>
      <x:c r="O181" t="n">
        <x:v>19</x:v>
      </x:c>
      <x:c r="P181" s="63" t="str">
        <x:f>IF(M181=0,"—",M181&amp;"d"&amp;N181&amp;IF(O181=0,""," + "&amp;O181))</x:f>
        <x:v>3d6 + 19</x:v>
      </x:c>
      <x:c r="Q181" t="n">
        <x:f>ROUND(INDEX(Catalogue!E$4:E$85,MATCH(A181,Catalogue!A$4:A$85,0))*(1+'Paramètres'!$B$4*(C181-1)+'Paramètres'!$B$5*(C181-1)^2),0)</x:f>
        <x:v>22</x:v>
      </x:c>
      <x:c r="R181" t="n">
        <x:f>ROUND(INDEX(Catalogue!F$4:F$85,MATCH(A181,Catalogue!A$4:A$85,0))*(1+'Paramètres'!$B$4*(C181-1)+'Paramètres'!$B$5*(C181-1)^2),0)</x:f>
        <x:v>37</x:v>
      </x:c>
      <x:c r="S181" t="n">
        <x:f>L181-AVERAGE(Q181:R181)</x:f>
        <x:v>0</x:v>
      </x:c>
      <x:c r="T181" t="str">
        <x:f>IF(M181=0,IF(AND(N181=0,O181=0,E181=0,F181=0),"OK","ERREUR"),IF(AND(M181&gt;=1,M181&lt;=32,OR(N181=4,N181=6,N181=8,N181=10,N181=12,N181=20),O181&gt;=0,E181=M181+O181,F181=M181*N181+O181),"OK","ERREUR"))</x:f>
        <x:v>OK</x:v>
      </x:c>
      <x:c r="U181" s="86" t="n">
        <x:f>IF(M181&gt;0,M181*(N181+1)/2+O181,0)</x:f>
        <x:v>29.5</x:v>
      </x:c>
      <x:c r="V181" t="str">
        <x:f>IF(ABS(L181-U181)&lt;0.001,"OK","ERREUR")</x:f>
        <x:v>OK</x:v>
      </x:c>
    </x:row>
    <x:row r="182" ht="18" customHeight="1">
      <x:c r="A182" t="str">
        <x:v>ARM009</x:v>
      </x:c>
      <x:c r="B182" t="str">
        <x:v>Cimeterre court</x:v>
      </x:c>
      <x:c r="C182" t="n">
        <x:v>19</x:v>
      </x:c>
      <x:c r="D182" t="str">
        <x:v>Légères</x:v>
      </x:c>
      <x:c r="E182" s="28" t="n">
        <x:f>IF(M182=0,0,M182+O182)</x:f>
        <x:v>23</x:v>
      </x:c>
      <x:c r="F182" s="28" t="n">
        <x:f>IF(M182=0,0,M182*N182+O182)</x:f>
        <x:v>41</x:v>
      </x:c>
      <x:c r="G182" s="28" t="n">
        <x:f>ROUND(Catalogue!G12*SQRT((1+'Paramètres'!$B$4*(C182-1)+'Paramètres'!$B$5*(C182-1)^2)),0)</x:f>
        <x:v>0</x:v>
      </x:c>
      <x:c r="H182" s="28" t="n">
        <x:f>ROUND(Catalogue!H12*SQRT((1+'Paramètres'!$B$4*(C182-1)+'Paramètres'!$B$5*(C182-1)^2)),0)</x:f>
        <x:v>0</x:v>
      </x:c>
      <x:c r="I182" s="28" t="n">
        <x:v>2</x:v>
      </x:c>
      <x:c r="J182" s="28" t="n">
        <x:v>1</x:v>
      </x:c>
      <x:c r="K182" s="30" t="n">
        <x:v>1.2</x:v>
      </x:c>
      <x:c r="L182" s="54" t="n">
        <x:f>IF(M182=0,0,(E182+F182)/2)</x:f>
        <x:v>32</x:v>
      </x:c>
      <x:c r="M182" t="n">
        <x:v>2</x:v>
      </x:c>
      <x:c r="N182" t="n">
        <x:v>10</x:v>
      </x:c>
      <x:c r="O182" t="n">
        <x:v>21</x:v>
      </x:c>
      <x:c r="P182" s="63" t="str">
        <x:f>IF(M182=0,"—",M182&amp;"d"&amp;N182&amp;IF(O182=0,""," + "&amp;O182))</x:f>
        <x:v>2d10 + 21</x:v>
      </x:c>
      <x:c r="Q182" t="n">
        <x:f>ROUND(INDEX(Catalogue!E$4:E$85,MATCH(A182,Catalogue!A$4:A$85,0))*(1+'Paramètres'!$B$4*(C182-1)+'Paramètres'!$B$5*(C182-1)^2),0)</x:f>
        <x:v>24</x:v>
      </x:c>
      <x:c r="R182" t="n">
        <x:f>ROUND(INDEX(Catalogue!F$4:F$85,MATCH(A182,Catalogue!A$4:A$85,0))*(1+'Paramètres'!$B$4*(C182-1)+'Paramètres'!$B$5*(C182-1)^2),0)</x:f>
        <x:v>41</x:v>
      </x:c>
      <x:c r="S182" t="n">
        <x:f>L182-AVERAGE(Q182:R182)</x:f>
        <x:v>-0.5</x:v>
      </x:c>
      <x:c r="T182" t="str">
        <x:f>IF(M182=0,IF(AND(N182=0,O182=0,E182=0,F182=0),"OK","ERREUR"),IF(AND(M182&gt;=1,M182&lt;=32,OR(N182=4,N182=6,N182=8,N182=10,N182=12,N182=20),O182&gt;=0,E182=M182+O182,F182=M182*N182+O182),"OK","ERREUR"))</x:f>
        <x:v>OK</x:v>
      </x:c>
      <x:c r="U182" s="86" t="n">
        <x:f>IF(M182&gt;0,M182*(N182+1)/2+O182,0)</x:f>
        <x:v>32</x:v>
      </x:c>
      <x:c r="V182" t="str">
        <x:f>IF(ABS(L182-U182)&lt;0.001,"OK","ERREUR")</x:f>
        <x:v>OK</x:v>
      </x:c>
    </x:row>
    <x:row r="183" ht="18" customHeight="1">
      <x:c r="A183" t="str">
        <x:v>ARM009</x:v>
      </x:c>
      <x:c r="B183" t="str">
        <x:v>Cimeterre court</x:v>
      </x:c>
      <x:c r="C183" t="n">
        <x:v>20</x:v>
      </x:c>
      <x:c r="D183" t="str">
        <x:v>Légères</x:v>
      </x:c>
      <x:c r="E183" s="28" t="n">
        <x:f>IF(M183=0,0,M183+O183)</x:f>
        <x:v>26</x:v>
      </x:c>
      <x:c r="F183" s="28" t="n">
        <x:f>IF(M183=0,0,M183*N183+O183)</x:f>
        <x:v>44</x:v>
      </x:c>
      <x:c r="G183" s="28" t="n">
        <x:f>ROUND(Catalogue!G12*SQRT((1+'Paramètres'!$B$4*(C183-1)+'Paramètres'!$B$5*(C183-1)^2)),0)</x:f>
        <x:v>0</x:v>
      </x:c>
      <x:c r="H183" s="28" t="n">
        <x:f>ROUND(Catalogue!H12*SQRT((1+'Paramètres'!$B$4*(C183-1)+'Paramètres'!$B$5*(C183-1)^2)),0)</x:f>
        <x:v>0</x:v>
      </x:c>
      <x:c r="I183" s="28" t="n">
        <x:v>2</x:v>
      </x:c>
      <x:c r="J183" s="28" t="n">
        <x:v>1</x:v>
      </x:c>
      <x:c r="K183" s="30" t="n">
        <x:v>1.2</x:v>
      </x:c>
      <x:c r="L183" s="54" t="n">
        <x:f>IF(M183=0,0,(E183+F183)/2)</x:f>
        <x:v>35</x:v>
      </x:c>
      <x:c r="M183" t="n">
        <x:v>2</x:v>
      </x:c>
      <x:c r="N183" t="n">
        <x:v>10</x:v>
      </x:c>
      <x:c r="O183" t="n">
        <x:v>24</x:v>
      </x:c>
      <x:c r="P183" s="63" t="str">
        <x:f>IF(M183=0,"—",M183&amp;"d"&amp;N183&amp;IF(O183=0,""," + "&amp;O183))</x:f>
        <x:v>2d10 + 24</x:v>
      </x:c>
      <x:c r="Q183" t="n">
        <x:f>ROUND(INDEX(Catalogue!E$4:E$85,MATCH(A183,Catalogue!A$4:A$85,0))*(1+'Paramètres'!$B$4*(C183-1)+'Paramètres'!$B$5*(C183-1)^2),0)</x:f>
        <x:v>27</x:v>
      </x:c>
      <x:c r="R183" t="n">
        <x:f>ROUND(INDEX(Catalogue!F$4:F$85,MATCH(A183,Catalogue!A$4:A$85,0))*(1+'Paramètres'!$B$4*(C183-1)+'Paramètres'!$B$5*(C183-1)^2),0)</x:f>
        <x:v>44</x:v>
      </x:c>
      <x:c r="S183" t="n">
        <x:f>L183-AVERAGE(Q183:R183)</x:f>
        <x:v>-0.5</x:v>
      </x:c>
      <x:c r="T183" t="str">
        <x:f>IF(M183=0,IF(AND(N183=0,O183=0,E183=0,F183=0),"OK","ERREUR"),IF(AND(M183&gt;=1,M183&lt;=32,OR(N183=4,N183=6,N183=8,N183=10,N183=12,N183=20),O183&gt;=0,E183=M183+O183,F183=M183*N183+O183),"OK","ERREUR"))</x:f>
        <x:v>OK</x:v>
      </x:c>
      <x:c r="U183" s="86" t="n">
        <x:f>IF(M183&gt;0,M183*(N183+1)/2+O183,0)</x:f>
        <x:v>35</x:v>
      </x:c>
      <x:c r="V183" t="str">
        <x:f>IF(ABS(L183-U183)&lt;0.001,"OK","ERREUR")</x:f>
        <x:v>OK</x:v>
      </x:c>
    </x:row>
    <x:row r="184" ht="18" customHeight="1">
      <x:c r="A184" t="str">
        <x:v>ARM010</x:v>
      </x:c>
      <x:c r="B184" t="str">
        <x:v>Hachette</x:v>
      </x:c>
      <x:c r="C184" t="n">
        <x:v>1</x:v>
      </x:c>
      <x:c r="D184" t="str">
        <x:v>Légères</x:v>
      </x:c>
      <x:c r="E184" s="28" t="n">
        <x:f>IF(M184=0,0,M184+O184)</x:f>
        <x:v>2</x:v>
      </x:c>
      <x:c r="F184" s="28" t="n">
        <x:f>IF(M184=0,0,M184*N184+O184)</x:f>
        <x:v>5</x:v>
      </x:c>
      <x:c r="G184" s="28" t="n">
        <x:f>ROUND(Catalogue!G13*SQRT((1+'Paramètres'!$B$4*(C184-1)+'Paramètres'!$B$5*(C184-1)^2)),0)</x:f>
        <x:v>0</x:v>
      </x:c>
      <x:c r="H184" s="28" t="n">
        <x:f>ROUND(Catalogue!H13*SQRT((1+'Paramètres'!$B$4*(C184-1)+'Paramètres'!$B$5*(C184-1)^2)),0)</x:f>
        <x:v>0</x:v>
      </x:c>
      <x:c r="I184" s="28" t="n">
        <x:v>2</x:v>
      </x:c>
      <x:c r="J184" s="28" t="n">
        <x:v>1</x:v>
      </x:c>
      <x:c r="K184" s="30" t="n">
        <x:v>1.1</x:v>
      </x:c>
      <x:c r="L184" s="54" t="n">
        <x:f>IF(M184=0,0,(E184+F184)/2)</x:f>
        <x:v>3.5</x:v>
      </x:c>
      <x:c r="M184" t="n">
        <x:v>1</x:v>
      </x:c>
      <x:c r="N184" t="n">
        <x:v>4</x:v>
      </x:c>
      <x:c r="O184" t="n">
        <x:v>1</x:v>
      </x:c>
      <x:c r="P184" s="63" t="str">
        <x:f>IF(M184=0,"—",M184&amp;"d"&amp;N184&amp;IF(O184=0,""," + "&amp;O184))</x:f>
        <x:v>1d4 + 1</x:v>
      </x:c>
      <x:c r="Q184" t="n">
        <x:f>ROUND(INDEX(Catalogue!E$4:E$85,MATCH(A184,Catalogue!A$4:A$85,0))*(1+'Paramètres'!$B$4*(C184-1)+'Paramètres'!$B$5*(C184-1)^2),0)</x:f>
        <x:v>3</x:v>
      </x:c>
      <x:c r="R184" t="n">
        <x:f>ROUND(INDEX(Catalogue!F$4:F$85,MATCH(A184,Catalogue!A$4:A$85,0))*(1+'Paramètres'!$B$4*(C184-1)+'Paramètres'!$B$5*(C184-1)^2),0)</x:f>
        <x:v>5</x:v>
      </x:c>
      <x:c r="S184" t="n">
        <x:f>L184-AVERAGE(Q184:R184)</x:f>
        <x:v>-0.5</x:v>
      </x:c>
      <x:c r="T184" t="str">
        <x:f>IF(M184=0,IF(AND(N184=0,O184=0,E184=0,F184=0),"OK","ERREUR"),IF(AND(M184&gt;=1,M184&lt;=32,OR(N184=4,N184=6,N184=8,N184=10,N184=12,N184=20),O184&gt;=0,E184=M184+O184,F184=M184*N184+O184),"OK","ERREUR"))</x:f>
        <x:v>OK</x:v>
      </x:c>
      <x:c r="U184" s="86" t="n">
        <x:f>IF(M184&gt;0,M184*(N184+1)/2+O184,0)</x:f>
        <x:v>3.5</x:v>
      </x:c>
      <x:c r="V184" t="str">
        <x:f>IF(ABS(L184-U184)&lt;0.001,"OK","ERREUR")</x:f>
        <x:v>OK</x:v>
      </x:c>
    </x:row>
    <x:row r="185" ht="18" customHeight="1">
      <x:c r="A185" t="str">
        <x:v>ARM010</x:v>
      </x:c>
      <x:c r="B185" t="str">
        <x:v>Hachette</x:v>
      </x:c>
      <x:c r="C185" t="n">
        <x:v>2</x:v>
      </x:c>
      <x:c r="D185" t="str">
        <x:v>Légères</x:v>
      </x:c>
      <x:c r="E185" s="28" t="n">
        <x:f>IF(M185=0,0,M185+O185)</x:f>
        <x:v>3</x:v>
      </x:c>
      <x:c r="F185" s="28" t="n">
        <x:f>IF(M185=0,0,M185*N185+O185)</x:f>
        <x:v>6</x:v>
      </x:c>
      <x:c r="G185" s="28" t="n">
        <x:f>ROUND(Catalogue!G13*SQRT((1+'Paramètres'!$B$4*(C185-1)+'Paramètres'!$B$5*(C185-1)^2)),0)</x:f>
        <x:v>0</x:v>
      </x:c>
      <x:c r="H185" s="28" t="n">
        <x:f>ROUND(Catalogue!H13*SQRT((1+'Paramètres'!$B$4*(C185-1)+'Paramètres'!$B$5*(C185-1)^2)),0)</x:f>
        <x:v>0</x:v>
      </x:c>
      <x:c r="I185" s="28" t="n">
        <x:v>2</x:v>
      </x:c>
      <x:c r="J185" s="28" t="n">
        <x:v>1</x:v>
      </x:c>
      <x:c r="K185" s="30" t="n">
        <x:v>1.1</x:v>
      </x:c>
      <x:c r="L185" s="54" t="n">
        <x:f>IF(M185=0,0,(E185+F185)/2)</x:f>
        <x:v>4.5</x:v>
      </x:c>
      <x:c r="M185" t="n">
        <x:v>1</x:v>
      </x:c>
      <x:c r="N185" t="n">
        <x:v>4</x:v>
      </x:c>
      <x:c r="O185" t="n">
        <x:v>2</x:v>
      </x:c>
      <x:c r="P185" s="63" t="str">
        <x:f>IF(M185=0,"—",M185&amp;"d"&amp;N185&amp;IF(O185=0,""," + "&amp;O185))</x:f>
        <x:v>1d4 + 2</x:v>
      </x:c>
      <x:c r="Q185" t="n">
        <x:f>ROUND(INDEX(Catalogue!E$4:E$85,MATCH(A185,Catalogue!A$4:A$85,0))*(1+'Paramètres'!$B$4*(C185-1)+'Paramètres'!$B$5*(C185-1)^2),0)</x:f>
        <x:v>3</x:v>
      </x:c>
      <x:c r="R185" t="n">
        <x:f>ROUND(INDEX(Catalogue!F$4:F$85,MATCH(A185,Catalogue!A$4:A$85,0))*(1+'Paramètres'!$B$4*(C185-1)+'Paramètres'!$B$5*(C185-1)^2),0)</x:f>
        <x:v>6</x:v>
      </x:c>
      <x:c r="S185" t="n">
        <x:f>L185-AVERAGE(Q185:R185)</x:f>
        <x:v>0</x:v>
      </x:c>
      <x:c r="T185" t="str">
        <x:f>IF(M185=0,IF(AND(N185=0,O185=0,E185=0,F185=0),"OK","ERREUR"),IF(AND(M185&gt;=1,M185&lt;=32,OR(N185=4,N185=6,N185=8,N185=10,N185=12,N185=20),O185&gt;=0,E185=M185+O185,F185=M185*N185+O185),"OK","ERREUR"))</x:f>
        <x:v>OK</x:v>
      </x:c>
      <x:c r="U185" s="86" t="n">
        <x:f>IF(M185&gt;0,M185*(N185+1)/2+O185,0)</x:f>
        <x:v>4.5</x:v>
      </x:c>
      <x:c r="V185" t="str">
        <x:f>IF(ABS(L185-U185)&lt;0.001,"OK","ERREUR")</x:f>
        <x:v>OK</x:v>
      </x:c>
    </x:row>
    <x:row r="186" ht="18" customHeight="1">
      <x:c r="A186" t="str">
        <x:v>ARM010</x:v>
      </x:c>
      <x:c r="B186" t="str">
        <x:v>Hachette</x:v>
      </x:c>
      <x:c r="C186" t="n">
        <x:v>3</x:v>
      </x:c>
      <x:c r="D186" t="str">
        <x:v>Légères</x:v>
      </x:c>
      <x:c r="E186" s="28" t="n">
        <x:f>IF(M186=0,0,M186+O186)</x:f>
        <x:v>3</x:v>
      </x:c>
      <x:c r="F186" s="28" t="n">
        <x:f>IF(M186=0,0,M186*N186+O186)</x:f>
        <x:v>6</x:v>
      </x:c>
      <x:c r="G186" s="28" t="n">
        <x:f>ROUND(Catalogue!G13*SQRT((1+'Paramètres'!$B$4*(C186-1)+'Paramètres'!$B$5*(C186-1)^2)),0)</x:f>
        <x:v>0</x:v>
      </x:c>
      <x:c r="H186" s="28" t="n">
        <x:f>ROUND(Catalogue!H13*SQRT((1+'Paramètres'!$B$4*(C186-1)+'Paramètres'!$B$5*(C186-1)^2)),0)</x:f>
        <x:v>0</x:v>
      </x:c>
      <x:c r="I186" s="28" t="n">
        <x:v>2</x:v>
      </x:c>
      <x:c r="J186" s="28" t="n">
        <x:v>1</x:v>
      </x:c>
      <x:c r="K186" s="30" t="n">
        <x:v>1.1</x:v>
      </x:c>
      <x:c r="L186" s="54" t="n">
        <x:f>IF(M186=0,0,(E186+F186)/2)</x:f>
        <x:v>4.5</x:v>
      </x:c>
      <x:c r="M186" t="n">
        <x:v>1</x:v>
      </x:c>
      <x:c r="N186" t="n">
        <x:v>4</x:v>
      </x:c>
      <x:c r="O186" t="n">
        <x:v>2</x:v>
      </x:c>
      <x:c r="P186" s="63" t="str">
        <x:f>IF(M186=0,"—",M186&amp;"d"&amp;N186&amp;IF(O186=0,""," + "&amp;O186))</x:f>
        <x:v>1d4 + 2</x:v>
      </x:c>
      <x:c r="Q186" t="n">
        <x:f>ROUND(INDEX(Catalogue!E$4:E$85,MATCH(A186,Catalogue!A$4:A$85,0))*(1+'Paramètres'!$B$4*(C186-1)+'Paramètres'!$B$5*(C186-1)^2),0)</x:f>
        <x:v>4</x:v>
      </x:c>
      <x:c r="R186" t="n">
        <x:f>ROUND(INDEX(Catalogue!F$4:F$85,MATCH(A186,Catalogue!A$4:A$85,0))*(1+'Paramètres'!$B$4*(C186-1)+'Paramètres'!$B$5*(C186-1)^2),0)</x:f>
        <x:v>6</x:v>
      </x:c>
      <x:c r="S186" t="n">
        <x:f>L186-AVERAGE(Q186:R186)</x:f>
        <x:v>-0.5</x:v>
      </x:c>
      <x:c r="T186" t="str">
        <x:f>IF(M186=0,IF(AND(N186=0,O186=0,E186=0,F186=0),"OK","ERREUR"),IF(AND(M186&gt;=1,M186&lt;=32,OR(N186=4,N186=6,N186=8,N186=10,N186=12,N186=20),O186&gt;=0,E186=M186+O186,F186=M186*N186+O186),"OK","ERREUR"))</x:f>
        <x:v>OK</x:v>
      </x:c>
      <x:c r="U186" s="86" t="n">
        <x:f>IF(M186&gt;0,M186*(N186+1)/2+O186,0)</x:f>
        <x:v>4.5</x:v>
      </x:c>
      <x:c r="V186" t="str">
        <x:f>IF(ABS(L186-U186)&lt;0.001,"OK","ERREUR")</x:f>
        <x:v>OK</x:v>
      </x:c>
    </x:row>
    <x:row r="187" ht="18" customHeight="1">
      <x:c r="A187" t="str">
        <x:v>ARM010</x:v>
      </x:c>
      <x:c r="B187" t="str">
        <x:v>Hachette</x:v>
      </x:c>
      <x:c r="C187" t="n">
        <x:v>4</x:v>
      </x:c>
      <x:c r="D187" t="str">
        <x:v>Légères</x:v>
      </x:c>
      <x:c r="E187" s="28" t="n">
        <x:f>IF(M187=0,0,M187+O187)</x:f>
        <x:v>4</x:v>
      </x:c>
      <x:c r="F187" s="28" t="n">
        <x:f>IF(M187=0,0,M187*N187+O187)</x:f>
        <x:v>7</x:v>
      </x:c>
      <x:c r="G187" s="28" t="n">
        <x:f>ROUND(Catalogue!G13*SQRT((1+'Paramètres'!$B$4*(C187-1)+'Paramètres'!$B$5*(C187-1)^2)),0)</x:f>
        <x:v>0</x:v>
      </x:c>
      <x:c r="H187" s="28" t="n">
        <x:f>ROUND(Catalogue!H13*SQRT((1+'Paramètres'!$B$4*(C187-1)+'Paramètres'!$B$5*(C187-1)^2)),0)</x:f>
        <x:v>0</x:v>
      </x:c>
      <x:c r="I187" s="28" t="n">
        <x:v>2</x:v>
      </x:c>
      <x:c r="J187" s="28" t="n">
        <x:v>1</x:v>
      </x:c>
      <x:c r="K187" s="30" t="n">
        <x:v>1.1</x:v>
      </x:c>
      <x:c r="L187" s="54" t="n">
        <x:f>IF(M187=0,0,(E187+F187)/2)</x:f>
        <x:v>5.5</x:v>
      </x:c>
      <x:c r="M187" t="n">
        <x:v>1</x:v>
      </x:c>
      <x:c r="N187" t="n">
        <x:v>4</x:v>
      </x:c>
      <x:c r="O187" t="n">
        <x:v>3</x:v>
      </x:c>
      <x:c r="P187" s="63" t="str">
        <x:f>IF(M187=0,"—",M187&amp;"d"&amp;N187&amp;IF(O187=0,""," + "&amp;O187))</x:f>
        <x:v>1d4 + 3</x:v>
      </x:c>
      <x:c r="Q187" t="n">
        <x:f>ROUND(INDEX(Catalogue!E$4:E$85,MATCH(A187,Catalogue!A$4:A$85,0))*(1+'Paramètres'!$B$4*(C187-1)+'Paramètres'!$B$5*(C187-1)^2),0)</x:f>
        <x:v>4</x:v>
      </x:c>
      <x:c r="R187" t="n">
        <x:f>ROUND(INDEX(Catalogue!F$4:F$85,MATCH(A187,Catalogue!A$4:A$85,0))*(1+'Paramètres'!$B$4*(C187-1)+'Paramètres'!$B$5*(C187-1)^2),0)</x:f>
        <x:v>7</x:v>
      </x:c>
      <x:c r="S187" t="n">
        <x:f>L187-AVERAGE(Q187:R187)</x:f>
        <x:v>0</x:v>
      </x:c>
      <x:c r="T187" t="str">
        <x:f>IF(M187=0,IF(AND(N187=0,O187=0,E187=0,F187=0),"OK","ERREUR"),IF(AND(M187&gt;=1,M187&lt;=32,OR(N187=4,N187=6,N187=8,N187=10,N187=12,N187=20),O187&gt;=0,E187=M187+O187,F187=M187*N187+O187),"OK","ERREUR"))</x:f>
        <x:v>OK</x:v>
      </x:c>
      <x:c r="U187" s="86" t="n">
        <x:f>IF(M187&gt;0,M187*(N187+1)/2+O187,0)</x:f>
        <x:v>5.5</x:v>
      </x:c>
      <x:c r="V187" t="str">
        <x:f>IF(ABS(L187-U187)&lt;0.001,"OK","ERREUR")</x:f>
        <x:v>OK</x:v>
      </x:c>
    </x:row>
    <x:row r="188" ht="18" customHeight="1">
      <x:c r="A188" t="str">
        <x:v>ARM010</x:v>
      </x:c>
      <x:c r="B188" t="str">
        <x:v>Hachette</x:v>
      </x:c>
      <x:c r="C188" t="n">
        <x:v>5</x:v>
      </x:c>
      <x:c r="D188" t="str">
        <x:v>Légères</x:v>
      </x:c>
      <x:c r="E188" s="28" t="n">
        <x:f>IF(M188=0,0,M188+O188)</x:f>
        <x:v>5</x:v>
      </x:c>
      <x:c r="F188" s="28" t="n">
        <x:f>IF(M188=0,0,M188*N188+O188)</x:f>
        <x:v>8</x:v>
      </x:c>
      <x:c r="G188" s="28" t="n">
        <x:f>ROUND(Catalogue!G13*SQRT((1+'Paramètres'!$B$4*(C188-1)+'Paramètres'!$B$5*(C188-1)^2)),0)</x:f>
        <x:v>0</x:v>
      </x:c>
      <x:c r="H188" s="28" t="n">
        <x:f>ROUND(Catalogue!H13*SQRT((1+'Paramètres'!$B$4*(C188-1)+'Paramètres'!$B$5*(C188-1)^2)),0)</x:f>
        <x:v>0</x:v>
      </x:c>
      <x:c r="I188" s="28" t="n">
        <x:v>2</x:v>
      </x:c>
      <x:c r="J188" s="28" t="n">
        <x:v>1</x:v>
      </x:c>
      <x:c r="K188" s="30" t="n">
        <x:v>1.1</x:v>
      </x:c>
      <x:c r="L188" s="54" t="n">
        <x:f>IF(M188=0,0,(E188+F188)/2)</x:f>
        <x:v>6.5</x:v>
      </x:c>
      <x:c r="M188" t="n">
        <x:v>1</x:v>
      </x:c>
      <x:c r="N188" t="n">
        <x:v>4</x:v>
      </x:c>
      <x:c r="O188" t="n">
        <x:v>4</x:v>
      </x:c>
      <x:c r="P188" s="63" t="str">
        <x:f>IF(M188=0,"—",M188&amp;"d"&amp;N188&amp;IF(O188=0,""," + "&amp;O188))</x:f>
        <x:v>1d4 + 4</x:v>
      </x:c>
      <x:c r="Q188" t="n">
        <x:f>ROUND(INDEX(Catalogue!E$4:E$85,MATCH(A188,Catalogue!A$4:A$85,0))*(1+'Paramètres'!$B$4*(C188-1)+'Paramètres'!$B$5*(C188-1)^2),0)</x:f>
        <x:v>5</x:v>
      </x:c>
      <x:c r="R188" t="n">
        <x:f>ROUND(INDEX(Catalogue!F$4:F$85,MATCH(A188,Catalogue!A$4:A$85,0))*(1+'Paramètres'!$B$4*(C188-1)+'Paramètres'!$B$5*(C188-1)^2),0)</x:f>
        <x:v>8</x:v>
      </x:c>
      <x:c r="S188" t="n">
        <x:f>L188-AVERAGE(Q188:R188)</x:f>
        <x:v>0</x:v>
      </x:c>
      <x:c r="T188" t="str">
        <x:f>IF(M188=0,IF(AND(N188=0,O188=0,E188=0,F188=0),"OK","ERREUR"),IF(AND(M188&gt;=1,M188&lt;=32,OR(N188=4,N188=6,N188=8,N188=10,N188=12,N188=20),O188&gt;=0,E188=M188+O188,F188=M188*N188+O188),"OK","ERREUR"))</x:f>
        <x:v>OK</x:v>
      </x:c>
      <x:c r="U188" s="86" t="n">
        <x:f>IF(M188&gt;0,M188*(N188+1)/2+O188,0)</x:f>
        <x:v>6.5</x:v>
      </x:c>
      <x:c r="V188" t="str">
        <x:f>IF(ABS(L188-U188)&lt;0.001,"OK","ERREUR")</x:f>
        <x:v>OK</x:v>
      </x:c>
    </x:row>
    <x:row r="189" ht="18" customHeight="1">
      <x:c r="A189" t="str">
        <x:v>ARM010</x:v>
      </x:c>
      <x:c r="B189" t="str">
        <x:v>Hachette</x:v>
      </x:c>
      <x:c r="C189" t="n">
        <x:v>6</x:v>
      </x:c>
      <x:c r="D189" t="str">
        <x:v>Légères</x:v>
      </x:c>
      <x:c r="E189" s="28" t="n">
        <x:f>IF(M189=0,0,M189+O189)</x:f>
        <x:v>6</x:v>
      </x:c>
      <x:c r="F189" s="28" t="n">
        <x:f>IF(M189=0,0,M189*N189+O189)</x:f>
        <x:v>9</x:v>
      </x:c>
      <x:c r="G189" s="28" t="n">
        <x:f>ROUND(Catalogue!G13*SQRT((1+'Paramètres'!$B$4*(C189-1)+'Paramètres'!$B$5*(C189-1)^2)),0)</x:f>
        <x:v>0</x:v>
      </x:c>
      <x:c r="H189" s="28" t="n">
        <x:f>ROUND(Catalogue!H13*SQRT((1+'Paramètres'!$B$4*(C189-1)+'Paramètres'!$B$5*(C189-1)^2)),0)</x:f>
        <x:v>0</x:v>
      </x:c>
      <x:c r="I189" s="28" t="n">
        <x:v>2</x:v>
      </x:c>
      <x:c r="J189" s="28" t="n">
        <x:v>1</x:v>
      </x:c>
      <x:c r="K189" s="30" t="n">
        <x:v>1.1</x:v>
      </x:c>
      <x:c r="L189" s="54" t="n">
        <x:f>IF(M189=0,0,(E189+F189)/2)</x:f>
        <x:v>7.5</x:v>
      </x:c>
      <x:c r="M189" t="n">
        <x:v>1</x:v>
      </x:c>
      <x:c r="N189" t="n">
        <x:v>4</x:v>
      </x:c>
      <x:c r="O189" t="n">
        <x:v>5</x:v>
      </x:c>
      <x:c r="P189" s="63" t="str">
        <x:f>IF(M189=0,"—",M189&amp;"d"&amp;N189&amp;IF(O189=0,""," + "&amp;O189))</x:f>
        <x:v>1d4 + 5</x:v>
      </x:c>
      <x:c r="Q189" t="n">
        <x:f>ROUND(INDEX(Catalogue!E$4:E$85,MATCH(A189,Catalogue!A$4:A$85,0))*(1+'Paramètres'!$B$4*(C189-1)+'Paramètres'!$B$5*(C189-1)^2),0)</x:f>
        <x:v>6</x:v>
      </x:c>
      <x:c r="R189" t="n">
        <x:f>ROUND(INDEX(Catalogue!F$4:F$85,MATCH(A189,Catalogue!A$4:A$85,0))*(1+'Paramètres'!$B$4*(C189-1)+'Paramètres'!$B$5*(C189-1)^2),0)</x:f>
        <x:v>10</x:v>
      </x:c>
      <x:c r="S189" t="n">
        <x:f>L189-AVERAGE(Q189:R189)</x:f>
        <x:v>-0.5</x:v>
      </x:c>
      <x:c r="T189" t="str">
        <x:f>IF(M189=0,IF(AND(N189=0,O189=0,E189=0,F189=0),"OK","ERREUR"),IF(AND(M189&gt;=1,M189&lt;=32,OR(N189=4,N189=6,N189=8,N189=10,N189=12,N189=20),O189&gt;=0,E189=M189+O189,F189=M189*N189+O189),"OK","ERREUR"))</x:f>
        <x:v>OK</x:v>
      </x:c>
      <x:c r="U189" s="86" t="n">
        <x:f>IF(M189&gt;0,M189*(N189+1)/2+O189,0)</x:f>
        <x:v>7.5</x:v>
      </x:c>
      <x:c r="V189" t="str">
        <x:f>IF(ABS(L189-U189)&lt;0.001,"OK","ERREUR")</x:f>
        <x:v>OK</x:v>
      </x:c>
    </x:row>
    <x:row r="190" ht="18" customHeight="1">
      <x:c r="A190" t="str">
        <x:v>ARM010</x:v>
      </x:c>
      <x:c r="B190" t="str">
        <x:v>Hachette</x:v>
      </x:c>
      <x:c r="C190" t="n">
        <x:v>7</x:v>
      </x:c>
      <x:c r="D190" t="str">
        <x:v>Légères</x:v>
      </x:c>
      <x:c r="E190" s="28" t="n">
        <x:f>IF(M190=0,0,M190+O190)</x:f>
        <x:v>7</x:v>
      </x:c>
      <x:c r="F190" s="28" t="n">
        <x:f>IF(M190=0,0,M190*N190+O190)</x:f>
        <x:v>10</x:v>
      </x:c>
      <x:c r="G190" s="28" t="n">
        <x:f>ROUND(Catalogue!G13*SQRT((1+'Paramètres'!$B$4*(C190-1)+'Paramètres'!$B$5*(C190-1)^2)),0)</x:f>
        <x:v>0</x:v>
      </x:c>
      <x:c r="H190" s="28" t="n">
        <x:f>ROUND(Catalogue!H13*SQRT((1+'Paramètres'!$B$4*(C190-1)+'Paramètres'!$B$5*(C190-1)^2)),0)</x:f>
        <x:v>0</x:v>
      </x:c>
      <x:c r="I190" s="28" t="n">
        <x:v>2</x:v>
      </x:c>
      <x:c r="J190" s="28" t="n">
        <x:v>1</x:v>
      </x:c>
      <x:c r="K190" s="30" t="n">
        <x:v>1.1</x:v>
      </x:c>
      <x:c r="L190" s="54" t="n">
        <x:f>IF(M190=0,0,(E190+F190)/2)</x:f>
        <x:v>8.5</x:v>
      </x:c>
      <x:c r="M190" t="n">
        <x:v>1</x:v>
      </x:c>
      <x:c r="N190" t="n">
        <x:v>4</x:v>
      </x:c>
      <x:c r="O190" t="n">
        <x:v>6</x:v>
      </x:c>
      <x:c r="P190" s="63" t="str">
        <x:f>IF(M190=0,"—",M190&amp;"d"&amp;N190&amp;IF(O190=0,""," + "&amp;O190))</x:f>
        <x:v>1d4 + 6</x:v>
      </x:c>
      <x:c r="Q190" t="n">
        <x:f>ROUND(INDEX(Catalogue!E$4:E$85,MATCH(A190,Catalogue!A$4:A$85,0))*(1+'Paramètres'!$B$4*(C190-1)+'Paramètres'!$B$5*(C190-1)^2),0)</x:f>
        <x:v>7</x:v>
      </x:c>
      <x:c r="R190" t="n">
        <x:f>ROUND(INDEX(Catalogue!F$4:F$85,MATCH(A190,Catalogue!A$4:A$85,0))*(1+'Paramètres'!$B$4*(C190-1)+'Paramètres'!$B$5*(C190-1)^2),0)</x:f>
        <x:v>11</x:v>
      </x:c>
      <x:c r="S190" t="n">
        <x:f>L190-AVERAGE(Q190:R190)</x:f>
        <x:v>-0.5</x:v>
      </x:c>
      <x:c r="T190" t="str">
        <x:f>IF(M190=0,IF(AND(N190=0,O190=0,E190=0,F190=0),"OK","ERREUR"),IF(AND(M190&gt;=1,M190&lt;=32,OR(N190=4,N190=6,N190=8,N190=10,N190=12,N190=20),O190&gt;=0,E190=M190+O190,F190=M190*N190+O190),"OK","ERREUR"))</x:f>
        <x:v>OK</x:v>
      </x:c>
      <x:c r="U190" s="86" t="n">
        <x:f>IF(M190&gt;0,M190*(N190+1)/2+O190,0)</x:f>
        <x:v>8.5</x:v>
      </x:c>
      <x:c r="V190" t="str">
        <x:f>IF(ABS(L190-U190)&lt;0.001,"OK","ERREUR")</x:f>
        <x:v>OK</x:v>
      </x:c>
    </x:row>
    <x:row r="191" ht="18" customHeight="1">
      <x:c r="A191" t="str">
        <x:v>ARM010</x:v>
      </x:c>
      <x:c r="B191" t="str">
        <x:v>Hachette</x:v>
      </x:c>
      <x:c r="C191" t="n">
        <x:v>8</x:v>
      </x:c>
      <x:c r="D191" t="str">
        <x:v>Légères</x:v>
      </x:c>
      <x:c r="E191" s="28" t="n">
        <x:f>IF(M191=0,0,M191+O191)</x:f>
        <x:v>8</x:v>
      </x:c>
      <x:c r="F191" s="28" t="n">
        <x:f>IF(M191=0,0,M191*N191+O191)</x:f>
        <x:v>13</x:v>
      </x:c>
      <x:c r="G191" s="28" t="n">
        <x:f>ROUND(Catalogue!G13*SQRT((1+'Paramètres'!$B$4*(C191-1)+'Paramètres'!$B$5*(C191-1)^2)),0)</x:f>
        <x:v>0</x:v>
      </x:c>
      <x:c r="H191" s="28" t="n">
        <x:f>ROUND(Catalogue!H13*SQRT((1+'Paramètres'!$B$4*(C191-1)+'Paramètres'!$B$5*(C191-1)^2)),0)</x:f>
        <x:v>0</x:v>
      </x:c>
      <x:c r="I191" s="28" t="n">
        <x:v>2</x:v>
      </x:c>
      <x:c r="J191" s="28" t="n">
        <x:v>1</x:v>
      </x:c>
      <x:c r="K191" s="30" t="n">
        <x:v>1.1</x:v>
      </x:c>
      <x:c r="L191" s="54" t="n">
        <x:f>IF(M191=0,0,(E191+F191)/2)</x:f>
        <x:v>10.5</x:v>
      </x:c>
      <x:c r="M191" t="n">
        <x:v>1</x:v>
      </x:c>
      <x:c r="N191" t="n">
        <x:v>6</x:v>
      </x:c>
      <x:c r="O191" t="n">
        <x:v>7</x:v>
      </x:c>
      <x:c r="P191" s="63" t="str">
        <x:f>IF(M191=0,"—",M191&amp;"d"&amp;N191&amp;IF(O191=0,""," + "&amp;O191))</x:f>
        <x:v>1d6 + 7</x:v>
      </x:c>
      <x:c r="Q191" t="n">
        <x:f>ROUND(INDEX(Catalogue!E$4:E$85,MATCH(A191,Catalogue!A$4:A$85,0))*(1+'Paramètres'!$B$4*(C191-1)+'Paramètres'!$B$5*(C191-1)^2),0)</x:f>
        <x:v>8</x:v>
      </x:c>
      <x:c r="R191" t="n">
        <x:f>ROUND(INDEX(Catalogue!F$4:F$85,MATCH(A191,Catalogue!A$4:A$85,0))*(1+'Paramètres'!$B$4*(C191-1)+'Paramètres'!$B$5*(C191-1)^2),0)</x:f>
        <x:v>13</x:v>
      </x:c>
      <x:c r="S191" t="n">
        <x:f>L191-AVERAGE(Q191:R191)</x:f>
        <x:v>0</x:v>
      </x:c>
      <x:c r="T191" t="str">
        <x:f>IF(M191=0,IF(AND(N191=0,O191=0,E191=0,F191=0),"OK","ERREUR"),IF(AND(M191&gt;=1,M191&lt;=32,OR(N191=4,N191=6,N191=8,N191=10,N191=12,N191=20),O191&gt;=0,E191=M191+O191,F191=M191*N191+O191),"OK","ERREUR"))</x:f>
        <x:v>OK</x:v>
      </x:c>
      <x:c r="U191" s="86" t="n">
        <x:f>IF(M191&gt;0,M191*(N191+1)/2+O191,0)</x:f>
        <x:v>10.5</x:v>
      </x:c>
      <x:c r="V191" t="str">
        <x:f>IF(ABS(L191-U191)&lt;0.001,"OK","ERREUR")</x:f>
        <x:v>OK</x:v>
      </x:c>
    </x:row>
    <x:row r="192" ht="18" customHeight="1">
      <x:c r="A192" t="str">
        <x:v>ARM010</x:v>
      </x:c>
      <x:c r="B192" t="str">
        <x:v>Hachette</x:v>
      </x:c>
      <x:c r="C192" t="n">
        <x:v>9</x:v>
      </x:c>
      <x:c r="D192" t="str">
        <x:v>Légères</x:v>
      </x:c>
      <x:c r="E192" s="28" t="n">
        <x:f>IF(M192=0,0,M192+O192)</x:f>
        <x:v>9</x:v>
      </x:c>
      <x:c r="F192" s="28" t="n">
        <x:f>IF(M192=0,0,M192*N192+O192)</x:f>
        <x:v>15</x:v>
      </x:c>
      <x:c r="G192" s="28" t="n">
        <x:f>ROUND(Catalogue!G13*SQRT((1+'Paramètres'!$B$4*(C192-1)+'Paramètres'!$B$5*(C192-1)^2)),0)</x:f>
        <x:v>0</x:v>
      </x:c>
      <x:c r="H192" s="28" t="n">
        <x:f>ROUND(Catalogue!H13*SQRT((1+'Paramètres'!$B$4*(C192-1)+'Paramètres'!$B$5*(C192-1)^2)),0)</x:f>
        <x:v>0</x:v>
      </x:c>
      <x:c r="I192" s="28" t="n">
        <x:v>2</x:v>
      </x:c>
      <x:c r="J192" s="28" t="n">
        <x:v>1</x:v>
      </x:c>
      <x:c r="K192" s="30" t="n">
        <x:v>1.1</x:v>
      </x:c>
      <x:c r="L192" s="54" t="n">
        <x:f>IF(M192=0,0,(E192+F192)/2)</x:f>
        <x:v>12</x:v>
      </x:c>
      <x:c r="M192" t="n">
        <x:v>2</x:v>
      </x:c>
      <x:c r="N192" t="n">
        <x:v>4</x:v>
      </x:c>
      <x:c r="O192" t="n">
        <x:v>7</x:v>
      </x:c>
      <x:c r="P192" s="63" t="str">
        <x:f>IF(M192=0,"—",M192&amp;"d"&amp;N192&amp;IF(O192=0,""," + "&amp;O192))</x:f>
        <x:v>2d4 + 7</x:v>
      </x:c>
      <x:c r="Q192" t="n">
        <x:f>ROUND(INDEX(Catalogue!E$4:E$85,MATCH(A192,Catalogue!A$4:A$85,0))*(1+'Paramètres'!$B$4*(C192-1)+'Paramètres'!$B$5*(C192-1)^2),0)</x:f>
        <x:v>9</x:v>
      </x:c>
      <x:c r="R192" t="n">
        <x:f>ROUND(INDEX(Catalogue!F$4:F$85,MATCH(A192,Catalogue!A$4:A$85,0))*(1+'Paramètres'!$B$4*(C192-1)+'Paramètres'!$B$5*(C192-1)^2),0)</x:f>
        <x:v>15</x:v>
      </x:c>
      <x:c r="S192" t="n">
        <x:f>L192-AVERAGE(Q192:R192)</x:f>
        <x:v>0</x:v>
      </x:c>
      <x:c r="T192" t="str">
        <x:f>IF(M192=0,IF(AND(N192=0,O192=0,E192=0,F192=0),"OK","ERREUR"),IF(AND(M192&gt;=1,M192&lt;=32,OR(N192=4,N192=6,N192=8,N192=10,N192=12,N192=20),O192&gt;=0,E192=M192+O192,F192=M192*N192+O192),"OK","ERREUR"))</x:f>
        <x:v>OK</x:v>
      </x:c>
      <x:c r="U192" s="86" t="n">
        <x:f>IF(M192&gt;0,M192*(N192+1)/2+O192,0)</x:f>
        <x:v>12</x:v>
      </x:c>
      <x:c r="V192" t="str">
        <x:f>IF(ABS(L192-U192)&lt;0.001,"OK","ERREUR")</x:f>
        <x:v>OK</x:v>
      </x:c>
    </x:row>
    <x:row r="193" ht="18" customHeight="1">
      <x:c r="A193" t="str">
        <x:v>ARM010</x:v>
      </x:c>
      <x:c r="B193" t="str">
        <x:v>Hachette</x:v>
      </x:c>
      <x:c r="C193" t="n">
        <x:v>10</x:v>
      </x:c>
      <x:c r="D193" t="str">
        <x:v>Légères</x:v>
      </x:c>
      <x:c r="E193" s="28" t="n">
        <x:f>IF(M193=0,0,M193+O193)</x:f>
        <x:v>10</x:v>
      </x:c>
      <x:c r="F193" s="28" t="n">
        <x:f>IF(M193=0,0,M193*N193+O193)</x:f>
        <x:v>16</x:v>
      </x:c>
      <x:c r="G193" s="28" t="n">
        <x:f>ROUND(Catalogue!G13*SQRT((1+'Paramètres'!$B$4*(C193-1)+'Paramètres'!$B$5*(C193-1)^2)),0)</x:f>
        <x:v>0</x:v>
      </x:c>
      <x:c r="H193" s="28" t="n">
        <x:f>ROUND(Catalogue!H13*SQRT((1+'Paramètres'!$B$4*(C193-1)+'Paramètres'!$B$5*(C193-1)^2)),0)</x:f>
        <x:v>0</x:v>
      </x:c>
      <x:c r="I193" s="28" t="n">
        <x:v>2</x:v>
      </x:c>
      <x:c r="J193" s="28" t="n">
        <x:v>1</x:v>
      </x:c>
      <x:c r="K193" s="30" t="n">
        <x:v>1.1</x:v>
      </x:c>
      <x:c r="L193" s="54" t="n">
        <x:f>IF(M193=0,0,(E193+F193)/2)</x:f>
        <x:v>13</x:v>
      </x:c>
      <x:c r="M193" t="n">
        <x:v>2</x:v>
      </x:c>
      <x:c r="N193" t="n">
        <x:v>4</x:v>
      </x:c>
      <x:c r="O193" t="n">
        <x:v>8</x:v>
      </x:c>
      <x:c r="P193" s="63" t="str">
        <x:f>IF(M193=0,"—",M193&amp;"d"&amp;N193&amp;IF(O193=0,""," + "&amp;O193))</x:f>
        <x:v>2d4 + 8</x:v>
      </x:c>
      <x:c r="Q193" t="n">
        <x:f>ROUND(INDEX(Catalogue!E$4:E$85,MATCH(A193,Catalogue!A$4:A$85,0))*(1+'Paramètres'!$B$4*(C193-1)+'Paramètres'!$B$5*(C193-1)^2),0)</x:f>
        <x:v>10</x:v>
      </x:c>
      <x:c r="R193" t="n">
        <x:f>ROUND(INDEX(Catalogue!F$4:F$85,MATCH(A193,Catalogue!A$4:A$85,0))*(1+'Paramètres'!$B$4*(C193-1)+'Paramètres'!$B$5*(C193-1)^2),0)</x:f>
        <x:v>16</x:v>
      </x:c>
      <x:c r="S193" t="n">
        <x:f>L193-AVERAGE(Q193:R193)</x:f>
        <x:v>0</x:v>
      </x:c>
      <x:c r="T193" t="str">
        <x:f>IF(M193=0,IF(AND(N193=0,O193=0,E193=0,F193=0),"OK","ERREUR"),IF(AND(M193&gt;=1,M193&lt;=32,OR(N193=4,N193=6,N193=8,N193=10,N193=12,N193=20),O193&gt;=0,E193=M193+O193,F193=M193*N193+O193),"OK","ERREUR"))</x:f>
        <x:v>OK</x:v>
      </x:c>
      <x:c r="U193" s="86" t="n">
        <x:f>IF(M193&gt;0,M193*(N193+1)/2+O193,0)</x:f>
        <x:v>13</x:v>
      </x:c>
      <x:c r="V193" t="str">
        <x:f>IF(ABS(L193-U193)&lt;0.001,"OK","ERREUR")</x:f>
        <x:v>OK</x:v>
      </x:c>
    </x:row>
    <x:row r="194" ht="18" customHeight="1">
      <x:c r="A194" t="str">
        <x:v>ARM010</x:v>
      </x:c>
      <x:c r="B194" t="str">
        <x:v>Hachette</x:v>
      </x:c>
      <x:c r="C194" t="n">
        <x:v>11</x:v>
      </x:c>
      <x:c r="D194" t="str">
        <x:v>Légères</x:v>
      </x:c>
      <x:c r="E194" s="28" t="n">
        <x:f>IF(M194=0,0,M194+O194)</x:f>
        <x:v>11</x:v>
      </x:c>
      <x:c r="F194" s="28" t="n">
        <x:f>IF(M194=0,0,M194*N194+O194)</x:f>
        <x:v>20</x:v>
      </x:c>
      <x:c r="G194" s="28" t="n">
        <x:f>ROUND(Catalogue!G13*SQRT((1+'Paramètres'!$B$4*(C194-1)+'Paramètres'!$B$5*(C194-1)^2)),0)</x:f>
        <x:v>0</x:v>
      </x:c>
      <x:c r="H194" s="28" t="n">
        <x:f>ROUND(Catalogue!H13*SQRT((1+'Paramètres'!$B$4*(C194-1)+'Paramètres'!$B$5*(C194-1)^2)),0)</x:f>
        <x:v>0</x:v>
      </x:c>
      <x:c r="I194" s="28" t="n">
        <x:v>2</x:v>
      </x:c>
      <x:c r="J194" s="28" t="n">
        <x:v>1</x:v>
      </x:c>
      <x:c r="K194" s="30" t="n">
        <x:v>1.1</x:v>
      </x:c>
      <x:c r="L194" s="54" t="n">
        <x:f>IF(M194=0,0,(E194+F194)/2)</x:f>
        <x:v>15.5</x:v>
      </x:c>
      <x:c r="M194" t="n">
        <x:v>3</x:v>
      </x:c>
      <x:c r="N194" t="n">
        <x:v>4</x:v>
      </x:c>
      <x:c r="O194" t="n">
        <x:v>8</x:v>
      </x:c>
      <x:c r="P194" s="63" t="str">
        <x:f>IF(M194=0,"—",M194&amp;"d"&amp;N194&amp;IF(O194=0,""," + "&amp;O194))</x:f>
        <x:v>3d4 + 8</x:v>
      </x:c>
      <x:c r="Q194" t="n">
        <x:f>ROUND(INDEX(Catalogue!E$4:E$85,MATCH(A194,Catalogue!A$4:A$85,0))*(1+'Paramètres'!$B$4*(C194-1)+'Paramètres'!$B$5*(C194-1)^2),0)</x:f>
        <x:v>11</x:v>
      </x:c>
      <x:c r="R194" t="n">
        <x:f>ROUND(INDEX(Catalogue!F$4:F$85,MATCH(A194,Catalogue!A$4:A$85,0))*(1+'Paramètres'!$B$4*(C194-1)+'Paramètres'!$B$5*(C194-1)^2),0)</x:f>
        <x:v>19</x:v>
      </x:c>
      <x:c r="S194" t="n">
        <x:f>L194-AVERAGE(Q194:R194)</x:f>
        <x:v>0.5</x:v>
      </x:c>
      <x:c r="T194" t="str">
        <x:f>IF(M194=0,IF(AND(N194=0,O194=0,E194=0,F194=0),"OK","ERREUR"),IF(AND(M194&gt;=1,M194&lt;=32,OR(N194=4,N194=6,N194=8,N194=10,N194=12,N194=20),O194&gt;=0,E194=M194+O194,F194=M194*N194+O194),"OK","ERREUR"))</x:f>
        <x:v>OK</x:v>
      </x:c>
      <x:c r="U194" s="86" t="n">
        <x:f>IF(M194&gt;0,M194*(N194+1)/2+O194,0)</x:f>
        <x:v>15.5</x:v>
      </x:c>
      <x:c r="V194" t="str">
        <x:f>IF(ABS(L194-U194)&lt;0.001,"OK","ERREUR")</x:f>
        <x:v>OK</x:v>
      </x:c>
    </x:row>
    <x:row r="195" ht="18" customHeight="1">
      <x:c r="A195" t="str">
        <x:v>ARM010</x:v>
      </x:c>
      <x:c r="B195" t="str">
        <x:v>Hachette</x:v>
      </x:c>
      <x:c r="C195" t="n">
        <x:v>12</x:v>
      </x:c>
      <x:c r="D195" t="str">
        <x:v>Légères</x:v>
      </x:c>
      <x:c r="E195" s="28" t="n">
        <x:f>IF(M195=0,0,M195+O195)</x:f>
        <x:v>12</x:v>
      </x:c>
      <x:c r="F195" s="28" t="n">
        <x:f>IF(M195=0,0,M195*N195+O195)</x:f>
        <x:v>21</x:v>
      </x:c>
      <x:c r="G195" s="28" t="n">
        <x:f>ROUND(Catalogue!G13*SQRT((1+'Paramètres'!$B$4*(C195-1)+'Paramètres'!$B$5*(C195-1)^2)),0)</x:f>
        <x:v>0</x:v>
      </x:c>
      <x:c r="H195" s="28" t="n">
        <x:f>ROUND(Catalogue!H13*SQRT((1+'Paramètres'!$B$4*(C195-1)+'Paramètres'!$B$5*(C195-1)^2)),0)</x:f>
        <x:v>0</x:v>
      </x:c>
      <x:c r="I195" s="28" t="n">
        <x:v>2</x:v>
      </x:c>
      <x:c r="J195" s="28" t="n">
        <x:v>1</x:v>
      </x:c>
      <x:c r="K195" s="30" t="n">
        <x:v>1.1</x:v>
      </x:c>
      <x:c r="L195" s="54" t="n">
        <x:f>IF(M195=0,0,(E195+F195)/2)</x:f>
        <x:v>16.5</x:v>
      </x:c>
      <x:c r="M195" t="n">
        <x:v>3</x:v>
      </x:c>
      <x:c r="N195" t="n">
        <x:v>4</x:v>
      </x:c>
      <x:c r="O195" t="n">
        <x:v>9</x:v>
      </x:c>
      <x:c r="P195" s="63" t="str">
        <x:f>IF(M195=0,"—",M195&amp;"d"&amp;N195&amp;IF(O195=0,""," + "&amp;O195))</x:f>
        <x:v>3d4 + 9</x:v>
      </x:c>
      <x:c r="Q195" t="n">
        <x:f>ROUND(INDEX(Catalogue!E$4:E$85,MATCH(A195,Catalogue!A$4:A$85,0))*(1+'Paramètres'!$B$4*(C195-1)+'Paramètres'!$B$5*(C195-1)^2),0)</x:f>
        <x:v>12</x:v>
      </x:c>
      <x:c r="R195" t="n">
        <x:f>ROUND(INDEX(Catalogue!F$4:F$85,MATCH(A195,Catalogue!A$4:A$85,0))*(1+'Paramètres'!$B$4*(C195-1)+'Paramètres'!$B$5*(C195-1)^2),0)</x:f>
        <x:v>21</x:v>
      </x:c>
      <x:c r="S195" t="n">
        <x:f>L195-AVERAGE(Q195:R195)</x:f>
        <x:v>0</x:v>
      </x:c>
      <x:c r="T195" t="str">
        <x:f>IF(M195=0,IF(AND(N195=0,O195=0,E195=0,F195=0),"OK","ERREUR"),IF(AND(M195&gt;=1,M195&lt;=32,OR(N195=4,N195=6,N195=8,N195=10,N195=12,N195=20),O195&gt;=0,E195=M195+O195,F195=M195*N195+O195),"OK","ERREUR"))</x:f>
        <x:v>OK</x:v>
      </x:c>
      <x:c r="U195" s="86" t="n">
        <x:f>IF(M195&gt;0,M195*(N195+1)/2+O195,0)</x:f>
        <x:v>16.5</x:v>
      </x:c>
      <x:c r="V195" t="str">
        <x:f>IF(ABS(L195-U195)&lt;0.001,"OK","ERREUR")</x:f>
        <x:v>OK</x:v>
      </x:c>
    </x:row>
    <x:row r="196" ht="18" customHeight="1">
      <x:c r="A196" t="str">
        <x:v>ARM010</x:v>
      </x:c>
      <x:c r="B196" t="str">
        <x:v>Hachette</x:v>
      </x:c>
      <x:c r="C196" t="n">
        <x:v>13</x:v>
      </x:c>
      <x:c r="D196" t="str">
        <x:v>Légères</x:v>
      </x:c>
      <x:c r="E196" s="28" t="n">
        <x:f>IF(M196=0,0,M196+O196)</x:f>
        <x:v>14</x:v>
      </x:c>
      <x:c r="F196" s="28" t="n">
        <x:f>IF(M196=0,0,M196*N196+O196)</x:f>
        <x:v>23</x:v>
      </x:c>
      <x:c r="G196" s="28" t="n">
        <x:f>ROUND(Catalogue!G13*SQRT((1+'Paramètres'!$B$4*(C196-1)+'Paramètres'!$B$5*(C196-1)^2)),0)</x:f>
        <x:v>0</x:v>
      </x:c>
      <x:c r="H196" s="28" t="n">
        <x:f>ROUND(Catalogue!H13*SQRT((1+'Paramètres'!$B$4*(C196-1)+'Paramètres'!$B$5*(C196-1)^2)),0)</x:f>
        <x:v>0</x:v>
      </x:c>
      <x:c r="I196" s="28" t="n">
        <x:v>2</x:v>
      </x:c>
      <x:c r="J196" s="28" t="n">
        <x:v>1</x:v>
      </x:c>
      <x:c r="K196" s="30" t="n">
        <x:v>1.1</x:v>
      </x:c>
      <x:c r="L196" s="54" t="n">
        <x:f>IF(M196=0,0,(E196+F196)/2)</x:f>
        <x:v>18.5</x:v>
      </x:c>
      <x:c r="M196" t="n">
        <x:v>3</x:v>
      </x:c>
      <x:c r="N196" t="n">
        <x:v>4</x:v>
      </x:c>
      <x:c r="O196" t="n">
        <x:v>11</x:v>
      </x:c>
      <x:c r="P196" s="63" t="str">
        <x:f>IF(M196=0,"—",M196&amp;"d"&amp;N196&amp;IF(O196=0,""," + "&amp;O196))</x:f>
        <x:v>3d4 + 11</x:v>
      </x:c>
      <x:c r="Q196" t="n">
        <x:f>ROUND(INDEX(Catalogue!E$4:E$85,MATCH(A196,Catalogue!A$4:A$85,0))*(1+'Paramètres'!$B$4*(C196-1)+'Paramètres'!$B$5*(C196-1)^2),0)</x:f>
        <x:v>14</x:v>
      </x:c>
      <x:c r="R196" t="n">
        <x:f>ROUND(INDEX(Catalogue!F$4:F$85,MATCH(A196,Catalogue!A$4:A$85,0))*(1+'Paramètres'!$B$4*(C196-1)+'Paramètres'!$B$5*(C196-1)^2),0)</x:f>
        <x:v>23</x:v>
      </x:c>
      <x:c r="S196" t="n">
        <x:f>L196-AVERAGE(Q196:R196)</x:f>
        <x:v>0</x:v>
      </x:c>
      <x:c r="T196" t="str">
        <x:f>IF(M196=0,IF(AND(N196=0,O196=0,E196=0,F196=0),"OK","ERREUR"),IF(AND(M196&gt;=1,M196&lt;=32,OR(N196=4,N196=6,N196=8,N196=10,N196=12,N196=20),O196&gt;=0,E196=M196+O196,F196=M196*N196+O196),"OK","ERREUR"))</x:f>
        <x:v>OK</x:v>
      </x:c>
      <x:c r="U196" s="86" t="n">
        <x:f>IF(M196&gt;0,M196*(N196+1)/2+O196,0)</x:f>
        <x:v>18.5</x:v>
      </x:c>
      <x:c r="V196" t="str">
        <x:f>IF(ABS(L196-U196)&lt;0.001,"OK","ERREUR")</x:f>
        <x:v>OK</x:v>
      </x:c>
    </x:row>
    <x:row r="197" ht="18" customHeight="1">
      <x:c r="A197" t="str">
        <x:v>ARM010</x:v>
      </x:c>
      <x:c r="B197" t="str">
        <x:v>Hachette</x:v>
      </x:c>
      <x:c r="C197" t="n">
        <x:v>14</x:v>
      </x:c>
      <x:c r="D197" t="str">
        <x:v>Légères</x:v>
      </x:c>
      <x:c r="E197" s="28" t="n">
        <x:f>IF(M197=0,0,M197+O197)</x:f>
        <x:v>15</x:v>
      </x:c>
      <x:c r="F197" s="28" t="n">
        <x:f>IF(M197=0,0,M197*N197+O197)</x:f>
        <x:v>25</x:v>
      </x:c>
      <x:c r="G197" s="28" t="n">
        <x:f>ROUND(Catalogue!G13*SQRT((1+'Paramètres'!$B$4*(C197-1)+'Paramètres'!$B$5*(C197-1)^2)),0)</x:f>
        <x:v>0</x:v>
      </x:c>
      <x:c r="H197" s="28" t="n">
        <x:f>ROUND(Catalogue!H13*SQRT((1+'Paramètres'!$B$4*(C197-1)+'Paramètres'!$B$5*(C197-1)^2)),0)</x:f>
        <x:v>0</x:v>
      </x:c>
      <x:c r="I197" s="28" t="n">
        <x:v>2</x:v>
      </x:c>
      <x:c r="J197" s="28" t="n">
        <x:v>1</x:v>
      </x:c>
      <x:c r="K197" s="30" t="n">
        <x:v>1.1</x:v>
      </x:c>
      <x:c r="L197" s="54" t="n">
        <x:f>IF(M197=0,0,(E197+F197)/2)</x:f>
        <x:v>20</x:v>
      </x:c>
      <x:c r="M197" t="n">
        <x:v>2</x:v>
      </x:c>
      <x:c r="N197" t="n">
        <x:v>6</x:v>
      </x:c>
      <x:c r="O197" t="n">
        <x:v>13</x:v>
      </x:c>
      <x:c r="P197" s="63" t="str">
        <x:f>IF(M197=0,"—",M197&amp;"d"&amp;N197&amp;IF(O197=0,""," + "&amp;O197))</x:f>
        <x:v>2d6 + 13</x:v>
      </x:c>
      <x:c r="Q197" t="n">
        <x:f>ROUND(INDEX(Catalogue!E$4:E$85,MATCH(A197,Catalogue!A$4:A$85,0))*(1+'Paramètres'!$B$4*(C197-1)+'Paramètres'!$B$5*(C197-1)^2),0)</x:f>
        <x:v>15</x:v>
      </x:c>
      <x:c r="R197" t="n">
        <x:f>ROUND(INDEX(Catalogue!F$4:F$85,MATCH(A197,Catalogue!A$4:A$85,0))*(1+'Paramètres'!$B$4*(C197-1)+'Paramètres'!$B$5*(C197-1)^2),0)</x:f>
        <x:v>26</x:v>
      </x:c>
      <x:c r="S197" t="n">
        <x:f>L197-AVERAGE(Q197:R197)</x:f>
        <x:v>-0.5</x:v>
      </x:c>
      <x:c r="T197" t="str">
        <x:f>IF(M197=0,IF(AND(N197=0,O197=0,E197=0,F197=0),"OK","ERREUR"),IF(AND(M197&gt;=1,M197&lt;=32,OR(N197=4,N197=6,N197=8,N197=10,N197=12,N197=20),O197&gt;=0,E197=M197+O197,F197=M197*N197+O197),"OK","ERREUR"))</x:f>
        <x:v>OK</x:v>
      </x:c>
      <x:c r="U197" s="86" t="n">
        <x:f>IF(M197&gt;0,M197*(N197+1)/2+O197,0)</x:f>
        <x:v>20</x:v>
      </x:c>
      <x:c r="V197" t="str">
        <x:f>IF(ABS(L197-U197)&lt;0.001,"OK","ERREUR")</x:f>
        <x:v>OK</x:v>
      </x:c>
    </x:row>
    <x:row r="198" ht="18" customHeight="1">
      <x:c r="A198" t="str">
        <x:v>ARM010</x:v>
      </x:c>
      <x:c r="B198" t="str">
        <x:v>Hachette</x:v>
      </x:c>
      <x:c r="C198" t="n">
        <x:v>15</x:v>
      </x:c>
      <x:c r="D198" t="str">
        <x:v>Légères</x:v>
      </x:c>
      <x:c r="E198" s="28" t="n">
        <x:f>IF(M198=0,0,M198+O198)</x:f>
        <x:v>18</x:v>
      </x:c>
      <x:c r="F198" s="28" t="n">
        <x:f>IF(M198=0,0,M198*N198+O198)</x:f>
        <x:v>28</x:v>
      </x:c>
      <x:c r="G198" s="28" t="n">
        <x:f>ROUND(Catalogue!G13*SQRT((1+'Paramètres'!$B$4*(C198-1)+'Paramètres'!$B$5*(C198-1)^2)),0)</x:f>
        <x:v>0</x:v>
      </x:c>
      <x:c r="H198" s="28" t="n">
        <x:f>ROUND(Catalogue!H13*SQRT((1+'Paramètres'!$B$4*(C198-1)+'Paramètres'!$B$5*(C198-1)^2)),0)</x:f>
        <x:v>0</x:v>
      </x:c>
      <x:c r="I198" s="28" t="n">
        <x:v>2</x:v>
      </x:c>
      <x:c r="J198" s="28" t="n">
        <x:v>1</x:v>
      </x:c>
      <x:c r="K198" s="30" t="n">
        <x:v>1.1</x:v>
      </x:c>
      <x:c r="L198" s="54" t="n">
        <x:f>IF(M198=0,0,(E198+F198)/2)</x:f>
        <x:v>23</x:v>
      </x:c>
      <x:c r="M198" t="n">
        <x:v>2</x:v>
      </x:c>
      <x:c r="N198" t="n">
        <x:v>6</x:v>
      </x:c>
      <x:c r="O198" t="n">
        <x:v>16</x:v>
      </x:c>
      <x:c r="P198" s="63" t="str">
        <x:f>IF(M198=0,"—",M198&amp;"d"&amp;N198&amp;IF(O198=0,""," + "&amp;O198))</x:f>
        <x:v>2d6 + 16</x:v>
      </x:c>
      <x:c r="Q198" t="n">
        <x:f>ROUND(INDEX(Catalogue!E$4:E$85,MATCH(A198,Catalogue!A$4:A$85,0))*(1+'Paramètres'!$B$4*(C198-1)+'Paramètres'!$B$5*(C198-1)^2),0)</x:f>
        <x:v>17</x:v>
      </x:c>
      <x:c r="R198" t="n">
        <x:f>ROUND(INDEX(Catalogue!F$4:F$85,MATCH(A198,Catalogue!A$4:A$85,0))*(1+'Paramètres'!$B$4*(C198-1)+'Paramètres'!$B$5*(C198-1)^2),0)</x:f>
        <x:v>28</x:v>
      </x:c>
      <x:c r="S198" t="n">
        <x:f>L198-AVERAGE(Q198:R198)</x:f>
        <x:v>0.5</x:v>
      </x:c>
      <x:c r="T198" t="str">
        <x:f>IF(M198=0,IF(AND(N198=0,O198=0,E198=0,F198=0),"OK","ERREUR"),IF(AND(M198&gt;=1,M198&lt;=32,OR(N198=4,N198=6,N198=8,N198=10,N198=12,N198=20),O198&gt;=0,E198=M198+O198,F198=M198*N198+O198),"OK","ERREUR"))</x:f>
        <x:v>OK</x:v>
      </x:c>
      <x:c r="U198" s="86" t="n">
        <x:f>IF(M198&gt;0,M198*(N198+1)/2+O198,0)</x:f>
        <x:v>23</x:v>
      </x:c>
      <x:c r="V198" t="str">
        <x:f>IF(ABS(L198-U198)&lt;0.001,"OK","ERREUR")</x:f>
        <x:v>OK</x:v>
      </x:c>
    </x:row>
    <x:row r="199" ht="18" customHeight="1">
      <x:c r="A199" t="str">
        <x:v>ARM010</x:v>
      </x:c>
      <x:c r="B199" t="str">
        <x:v>Hachette</x:v>
      </x:c>
      <x:c r="C199" t="n">
        <x:v>16</x:v>
      </x:c>
      <x:c r="D199" t="str">
        <x:v>Légères</x:v>
      </x:c>
      <x:c r="E199" s="28" t="n">
        <x:f>IF(M199=0,0,M199+O199)</x:f>
        <x:v>19</x:v>
      </x:c>
      <x:c r="F199" s="28" t="n">
        <x:f>IF(M199=0,0,M199*N199+O199)</x:f>
        <x:v>31</x:v>
      </x:c>
      <x:c r="G199" s="28" t="n">
        <x:f>ROUND(Catalogue!G13*SQRT((1+'Paramètres'!$B$4*(C199-1)+'Paramètres'!$B$5*(C199-1)^2)),0)</x:f>
        <x:v>0</x:v>
      </x:c>
      <x:c r="H199" s="28" t="n">
        <x:f>ROUND(Catalogue!H13*SQRT((1+'Paramètres'!$B$4*(C199-1)+'Paramètres'!$B$5*(C199-1)^2)),0)</x:f>
        <x:v>0</x:v>
      </x:c>
      <x:c r="I199" s="28" t="n">
        <x:v>2</x:v>
      </x:c>
      <x:c r="J199" s="28" t="n">
        <x:v>1</x:v>
      </x:c>
      <x:c r="K199" s="30" t="n">
        <x:v>1.1</x:v>
      </x:c>
      <x:c r="L199" s="54" t="n">
        <x:f>IF(M199=0,0,(E199+F199)/2)</x:f>
        <x:v>25</x:v>
      </x:c>
      <x:c r="M199" t="n">
        <x:v>4</x:v>
      </x:c>
      <x:c r="N199" t="n">
        <x:v>4</x:v>
      </x:c>
      <x:c r="O199" t="n">
        <x:v>15</x:v>
      </x:c>
      <x:c r="P199" s="63" t="str">
        <x:f>IF(M199=0,"—",M199&amp;"d"&amp;N199&amp;IF(O199=0,""," + "&amp;O199))</x:f>
        <x:v>4d4 + 15</x:v>
      </x:c>
      <x:c r="Q199" t="n">
        <x:f>ROUND(INDEX(Catalogue!E$4:E$85,MATCH(A199,Catalogue!A$4:A$85,0))*(1+'Paramètres'!$B$4*(C199-1)+'Paramètres'!$B$5*(C199-1)^2),0)</x:f>
        <x:v>19</x:v>
      </x:c>
      <x:c r="R199" t="n">
        <x:f>ROUND(INDEX(Catalogue!F$4:F$85,MATCH(A199,Catalogue!A$4:A$85,0))*(1+'Paramètres'!$B$4*(C199-1)+'Paramètres'!$B$5*(C199-1)^2),0)</x:f>
        <x:v>31</x:v>
      </x:c>
      <x:c r="S199" t="n">
        <x:f>L199-AVERAGE(Q199:R199)</x:f>
        <x:v>0</x:v>
      </x:c>
      <x:c r="T199" t="str">
        <x:f>IF(M199=0,IF(AND(N199=0,O199=0,E199=0,F199=0),"OK","ERREUR"),IF(AND(M199&gt;=1,M199&lt;=32,OR(N199=4,N199=6,N199=8,N199=10,N199=12,N199=20),O199&gt;=0,E199=M199+O199,F199=M199*N199+O199),"OK","ERREUR"))</x:f>
        <x:v>OK</x:v>
      </x:c>
      <x:c r="U199" s="86" t="n">
        <x:f>IF(M199&gt;0,M199*(N199+1)/2+O199,0)</x:f>
        <x:v>25</x:v>
      </x:c>
      <x:c r="V199" t="str">
        <x:f>IF(ABS(L199-U199)&lt;0.001,"OK","ERREUR")</x:f>
        <x:v>OK</x:v>
      </x:c>
    </x:row>
    <x:row r="200" ht="18" customHeight="1">
      <x:c r="A200" t="str">
        <x:v>ARM010</x:v>
      </x:c>
      <x:c r="B200" t="str">
        <x:v>Hachette</x:v>
      </x:c>
      <x:c r="C200" t="n">
        <x:v>17</x:v>
      </x:c>
      <x:c r="D200" t="str">
        <x:v>Légères</x:v>
      </x:c>
      <x:c r="E200" s="28" t="n">
        <x:f>IF(M200=0,0,M200+O200)</x:f>
        <x:v>20</x:v>
      </x:c>
      <x:c r="F200" s="28" t="n">
        <x:f>IF(M200=0,0,M200*N200+O200)</x:f>
        <x:v>34</x:v>
      </x:c>
      <x:c r="G200" s="28" t="n">
        <x:f>ROUND(Catalogue!G13*SQRT((1+'Paramètres'!$B$4*(C200-1)+'Paramètres'!$B$5*(C200-1)^2)),0)</x:f>
        <x:v>0</x:v>
      </x:c>
      <x:c r="H200" s="28" t="n">
        <x:f>ROUND(Catalogue!H13*SQRT((1+'Paramètres'!$B$4*(C200-1)+'Paramètres'!$B$5*(C200-1)^2)),0)</x:f>
        <x:v>0</x:v>
      </x:c>
      <x:c r="I200" s="28" t="n">
        <x:v>2</x:v>
      </x:c>
      <x:c r="J200" s="28" t="n">
        <x:v>1</x:v>
      </x:c>
      <x:c r="K200" s="30" t="n">
        <x:v>1.1</x:v>
      </x:c>
      <x:c r="L200" s="54" t="n">
        <x:f>IF(M200=0,0,(E200+F200)/2)</x:f>
        <x:v>27</x:v>
      </x:c>
      <x:c r="M200" t="n">
        <x:v>2</x:v>
      </x:c>
      <x:c r="N200" t="n">
        <x:v>8</x:v>
      </x:c>
      <x:c r="O200" t="n">
        <x:v>18</x:v>
      </x:c>
      <x:c r="P200" s="63" t="str">
        <x:f>IF(M200=0,"—",M200&amp;"d"&amp;N200&amp;IF(O200=0,""," + "&amp;O200))</x:f>
        <x:v>2d8 + 18</x:v>
      </x:c>
      <x:c r="Q200" t="n">
        <x:f>ROUND(INDEX(Catalogue!E$4:E$85,MATCH(A200,Catalogue!A$4:A$85,0))*(1+'Paramètres'!$B$4*(C200-1)+'Paramètres'!$B$5*(C200-1)^2),0)</x:f>
        <x:v>21</x:v>
      </x:c>
      <x:c r="R200" t="n">
        <x:f>ROUND(INDEX(Catalogue!F$4:F$85,MATCH(A200,Catalogue!A$4:A$85,0))*(1+'Paramètres'!$B$4*(C200-1)+'Paramètres'!$B$5*(C200-1)^2),0)</x:f>
        <x:v>34</x:v>
      </x:c>
      <x:c r="S200" t="n">
        <x:f>L200-AVERAGE(Q200:R200)</x:f>
        <x:v>-0.5</x:v>
      </x:c>
      <x:c r="T200" t="str">
        <x:f>IF(M200=0,IF(AND(N200=0,O200=0,E200=0,F200=0),"OK","ERREUR"),IF(AND(M200&gt;=1,M200&lt;=32,OR(N200=4,N200=6,N200=8,N200=10,N200=12,N200=20),O200&gt;=0,E200=M200+O200,F200=M200*N200+O200),"OK","ERREUR"))</x:f>
        <x:v>OK</x:v>
      </x:c>
      <x:c r="U200" s="86" t="n">
        <x:f>IF(M200&gt;0,M200*(N200+1)/2+O200,0)</x:f>
        <x:v>27</x:v>
      </x:c>
      <x:c r="V200" t="str">
        <x:f>IF(ABS(L200-U200)&lt;0.001,"OK","ERREUR")</x:f>
        <x:v>OK</x:v>
      </x:c>
    </x:row>
    <x:row r="201" ht="18" customHeight="1">
      <x:c r="A201" t="str">
        <x:v>ARM010</x:v>
      </x:c>
      <x:c r="B201" t="str">
        <x:v>Hachette</x:v>
      </x:c>
      <x:c r="C201" t="n">
        <x:v>18</x:v>
      </x:c>
      <x:c r="D201" t="str">
        <x:v>Légères</x:v>
      </x:c>
      <x:c r="E201" s="28" t="n">
        <x:f>IF(M201=0,0,M201+O201)</x:f>
        <x:v>22</x:v>
      </x:c>
      <x:c r="F201" s="28" t="n">
        <x:f>IF(M201=0,0,M201*N201+O201)</x:f>
        <x:v>37</x:v>
      </x:c>
      <x:c r="G201" s="28" t="n">
        <x:f>ROUND(Catalogue!G13*SQRT((1+'Paramètres'!$B$4*(C201-1)+'Paramètres'!$B$5*(C201-1)^2)),0)</x:f>
        <x:v>0</x:v>
      </x:c>
      <x:c r="H201" s="28" t="n">
        <x:f>ROUND(Catalogue!H13*SQRT((1+'Paramètres'!$B$4*(C201-1)+'Paramètres'!$B$5*(C201-1)^2)),0)</x:f>
        <x:v>0</x:v>
      </x:c>
      <x:c r="I201" s="28" t="n">
        <x:v>2</x:v>
      </x:c>
      <x:c r="J201" s="28" t="n">
        <x:v>1</x:v>
      </x:c>
      <x:c r="K201" s="30" t="n">
        <x:v>1.1</x:v>
      </x:c>
      <x:c r="L201" s="54" t="n">
        <x:f>IF(M201=0,0,(E201+F201)/2)</x:f>
        <x:v>29.5</x:v>
      </x:c>
      <x:c r="M201" t="n">
        <x:v>3</x:v>
      </x:c>
      <x:c r="N201" t="n">
        <x:v>6</x:v>
      </x:c>
      <x:c r="O201" t="n">
        <x:v>19</x:v>
      </x:c>
      <x:c r="P201" s="63" t="str">
        <x:f>IF(M201=0,"—",M201&amp;"d"&amp;N201&amp;IF(O201=0,""," + "&amp;O201))</x:f>
        <x:v>3d6 + 19</x:v>
      </x:c>
      <x:c r="Q201" t="n">
        <x:f>ROUND(INDEX(Catalogue!E$4:E$85,MATCH(A201,Catalogue!A$4:A$85,0))*(1+'Paramètres'!$B$4*(C201-1)+'Paramètres'!$B$5*(C201-1)^2),0)</x:f>
        <x:v>22</x:v>
      </x:c>
      <x:c r="R201" t="n">
        <x:f>ROUND(INDEX(Catalogue!F$4:F$85,MATCH(A201,Catalogue!A$4:A$85,0))*(1+'Paramètres'!$B$4*(C201-1)+'Paramètres'!$B$5*(C201-1)^2),0)</x:f>
        <x:v>37</x:v>
      </x:c>
      <x:c r="S201" t="n">
        <x:f>L201-AVERAGE(Q201:R201)</x:f>
        <x:v>0</x:v>
      </x:c>
      <x:c r="T201" t="str">
        <x:f>IF(M201=0,IF(AND(N201=0,O201=0,E201=0,F201=0),"OK","ERREUR"),IF(AND(M201&gt;=1,M201&lt;=32,OR(N201=4,N201=6,N201=8,N201=10,N201=12,N201=20),O201&gt;=0,E201=M201+O201,F201=M201*N201+O201),"OK","ERREUR"))</x:f>
        <x:v>OK</x:v>
      </x:c>
      <x:c r="U201" s="86" t="n">
        <x:f>IF(M201&gt;0,M201*(N201+1)/2+O201,0)</x:f>
        <x:v>29.5</x:v>
      </x:c>
      <x:c r="V201" t="str">
        <x:f>IF(ABS(L201-U201)&lt;0.001,"OK","ERREUR")</x:f>
        <x:v>OK</x:v>
      </x:c>
    </x:row>
    <x:row r="202" ht="18" customHeight="1">
      <x:c r="A202" t="str">
        <x:v>ARM010</x:v>
      </x:c>
      <x:c r="B202" t="str">
        <x:v>Hachette</x:v>
      </x:c>
      <x:c r="C202" t="n">
        <x:v>19</x:v>
      </x:c>
      <x:c r="D202" t="str">
        <x:v>Légères</x:v>
      </x:c>
      <x:c r="E202" s="28" t="n">
        <x:f>IF(M202=0,0,M202+O202)</x:f>
        <x:v>23</x:v>
      </x:c>
      <x:c r="F202" s="28" t="n">
        <x:f>IF(M202=0,0,M202*N202+O202)</x:f>
        <x:v>41</x:v>
      </x:c>
      <x:c r="G202" s="28" t="n">
        <x:f>ROUND(Catalogue!G13*SQRT((1+'Paramètres'!$B$4*(C202-1)+'Paramètres'!$B$5*(C202-1)^2)),0)</x:f>
        <x:v>0</x:v>
      </x:c>
      <x:c r="H202" s="28" t="n">
        <x:f>ROUND(Catalogue!H13*SQRT((1+'Paramètres'!$B$4*(C202-1)+'Paramètres'!$B$5*(C202-1)^2)),0)</x:f>
        <x:v>0</x:v>
      </x:c>
      <x:c r="I202" s="28" t="n">
        <x:v>2</x:v>
      </x:c>
      <x:c r="J202" s="28" t="n">
        <x:v>1</x:v>
      </x:c>
      <x:c r="K202" s="30" t="n">
        <x:v>1.1</x:v>
      </x:c>
      <x:c r="L202" s="54" t="n">
        <x:f>IF(M202=0,0,(E202+F202)/2)</x:f>
        <x:v>32</x:v>
      </x:c>
      <x:c r="M202" t="n">
        <x:v>2</x:v>
      </x:c>
      <x:c r="N202" t="n">
        <x:v>10</x:v>
      </x:c>
      <x:c r="O202" t="n">
        <x:v>21</x:v>
      </x:c>
      <x:c r="P202" s="63" t="str">
        <x:f>IF(M202=0,"—",M202&amp;"d"&amp;N202&amp;IF(O202=0,""," + "&amp;O202))</x:f>
        <x:v>2d10 + 21</x:v>
      </x:c>
      <x:c r="Q202" t="n">
        <x:f>ROUND(INDEX(Catalogue!E$4:E$85,MATCH(A202,Catalogue!A$4:A$85,0))*(1+'Paramètres'!$B$4*(C202-1)+'Paramètres'!$B$5*(C202-1)^2),0)</x:f>
        <x:v>24</x:v>
      </x:c>
      <x:c r="R202" t="n">
        <x:f>ROUND(INDEX(Catalogue!F$4:F$85,MATCH(A202,Catalogue!A$4:A$85,0))*(1+'Paramètres'!$B$4*(C202-1)+'Paramètres'!$B$5*(C202-1)^2),0)</x:f>
        <x:v>41</x:v>
      </x:c>
      <x:c r="S202" t="n">
        <x:f>L202-AVERAGE(Q202:R202)</x:f>
        <x:v>-0.5</x:v>
      </x:c>
      <x:c r="T202" t="str">
        <x:f>IF(M202=0,IF(AND(N202=0,O202=0,E202=0,F202=0),"OK","ERREUR"),IF(AND(M202&gt;=1,M202&lt;=32,OR(N202=4,N202=6,N202=8,N202=10,N202=12,N202=20),O202&gt;=0,E202=M202+O202,F202=M202*N202+O202),"OK","ERREUR"))</x:f>
        <x:v>OK</x:v>
      </x:c>
      <x:c r="U202" s="86" t="n">
        <x:f>IF(M202&gt;0,M202*(N202+1)/2+O202,0)</x:f>
        <x:v>32</x:v>
      </x:c>
      <x:c r="V202" t="str">
        <x:f>IF(ABS(L202-U202)&lt;0.001,"OK","ERREUR")</x:f>
        <x:v>OK</x:v>
      </x:c>
    </x:row>
    <x:row r="203" ht="18" customHeight="1">
      <x:c r="A203" t="str">
        <x:v>ARM010</x:v>
      </x:c>
      <x:c r="B203" t="str">
        <x:v>Hachette</x:v>
      </x:c>
      <x:c r="C203" t="n">
        <x:v>20</x:v>
      </x:c>
      <x:c r="D203" t="str">
        <x:v>Légères</x:v>
      </x:c>
      <x:c r="E203" s="28" t="n">
        <x:f>IF(M203=0,0,M203+O203)</x:f>
        <x:v>26</x:v>
      </x:c>
      <x:c r="F203" s="28" t="n">
        <x:f>IF(M203=0,0,M203*N203+O203)</x:f>
        <x:v>44</x:v>
      </x:c>
      <x:c r="G203" s="28" t="n">
        <x:f>ROUND(Catalogue!G13*SQRT((1+'Paramètres'!$B$4*(C203-1)+'Paramètres'!$B$5*(C203-1)^2)),0)</x:f>
        <x:v>0</x:v>
      </x:c>
      <x:c r="H203" s="28" t="n">
        <x:f>ROUND(Catalogue!H13*SQRT((1+'Paramètres'!$B$4*(C203-1)+'Paramètres'!$B$5*(C203-1)^2)),0)</x:f>
        <x:v>0</x:v>
      </x:c>
      <x:c r="I203" s="28" t="n">
        <x:v>2</x:v>
      </x:c>
      <x:c r="J203" s="28" t="n">
        <x:v>1</x:v>
      </x:c>
      <x:c r="K203" s="30" t="n">
        <x:v>1.1</x:v>
      </x:c>
      <x:c r="L203" s="54" t="n">
        <x:f>IF(M203=0,0,(E203+F203)/2)</x:f>
        <x:v>35</x:v>
      </x:c>
      <x:c r="M203" t="n">
        <x:v>2</x:v>
      </x:c>
      <x:c r="N203" t="n">
        <x:v>10</x:v>
      </x:c>
      <x:c r="O203" t="n">
        <x:v>24</x:v>
      </x:c>
      <x:c r="P203" s="63" t="str">
        <x:f>IF(M203=0,"—",M203&amp;"d"&amp;N203&amp;IF(O203=0,""," + "&amp;O203))</x:f>
        <x:v>2d10 + 24</x:v>
      </x:c>
      <x:c r="Q203" t="n">
        <x:f>ROUND(INDEX(Catalogue!E$4:E$85,MATCH(A203,Catalogue!A$4:A$85,0))*(1+'Paramètres'!$B$4*(C203-1)+'Paramètres'!$B$5*(C203-1)^2),0)</x:f>
        <x:v>27</x:v>
      </x:c>
      <x:c r="R203" t="n">
        <x:f>ROUND(INDEX(Catalogue!F$4:F$85,MATCH(A203,Catalogue!A$4:A$85,0))*(1+'Paramètres'!$B$4*(C203-1)+'Paramètres'!$B$5*(C203-1)^2),0)</x:f>
        <x:v>44</x:v>
      </x:c>
      <x:c r="S203" t="n">
        <x:f>L203-AVERAGE(Q203:R203)</x:f>
        <x:v>-0.5</x:v>
      </x:c>
      <x:c r="T203" t="str">
        <x:f>IF(M203=0,IF(AND(N203=0,O203=0,E203=0,F203=0),"OK","ERREUR"),IF(AND(M203&gt;=1,M203&lt;=32,OR(N203=4,N203=6,N203=8,N203=10,N203=12,N203=20),O203&gt;=0,E203=M203+O203,F203=M203*N203+O203),"OK","ERREUR"))</x:f>
        <x:v>OK</x:v>
      </x:c>
      <x:c r="U203" s="86" t="n">
        <x:f>IF(M203&gt;0,M203*(N203+1)/2+O203,0)</x:f>
        <x:v>35</x:v>
      </x:c>
      <x:c r="V203" t="str">
        <x:f>IF(ABS(L203-U203)&lt;0.001,"OK","ERREUR")</x:f>
        <x:v>OK</x:v>
      </x:c>
    </x:row>
    <x:row r="204" ht="18" customHeight="1">
      <x:c r="A204" t="str">
        <x:v>ARM011</x:v>
      </x:c>
      <x:c r="B204" t="str">
        <x:v>Serpe</x:v>
      </x:c>
      <x:c r="C204" t="n">
        <x:v>1</x:v>
      </x:c>
      <x:c r="D204" t="str">
        <x:v>Légères</x:v>
      </x:c>
      <x:c r="E204" s="28" t="n">
        <x:f>IF(M204=0,0,M204+O204)</x:f>
        <x:v>1</x:v>
      </x:c>
      <x:c r="F204" s="28" t="n">
        <x:f>IF(M204=0,0,M204*N204+O204)</x:f>
        <x:v>4</x:v>
      </x:c>
      <x:c r="G204" s="28" t="n">
        <x:f>ROUND(Catalogue!G14*SQRT((1+'Paramètres'!$B$4*(C204-1)+'Paramètres'!$B$5*(C204-1)^2)),0)</x:f>
        <x:v>0</x:v>
      </x:c>
      <x:c r="H204" s="28" t="n">
        <x:f>ROUND(Catalogue!H14*SQRT((1+'Paramètres'!$B$4*(C204-1)+'Paramètres'!$B$5*(C204-1)^2)),0)</x:f>
        <x:v>0</x:v>
      </x:c>
      <x:c r="I204" s="28" t="n">
        <x:v>2</x:v>
      </x:c>
      <x:c r="J204" s="28" t="n">
        <x:v>1</x:v>
      </x:c>
      <x:c r="K204" s="30" t="n">
        <x:v>0.7</x:v>
      </x:c>
      <x:c r="L204" s="54" t="n">
        <x:f>IF(M204=0,0,(E204+F204)/2)</x:f>
        <x:v>2.5</x:v>
      </x:c>
      <x:c r="M204" t="n">
        <x:v>1</x:v>
      </x:c>
      <x:c r="N204" t="n">
        <x:v>4</x:v>
      </x:c>
      <x:c r="O204" t="n">
        <x:v>0</x:v>
      </x:c>
      <x:c r="P204" s="63" t="str">
        <x:f>IF(M204=0,"—",M204&amp;"d"&amp;N204&amp;IF(O204=0,""," + "&amp;O204))</x:f>
        <x:v>1d4</x:v>
      </x:c>
      <x:c r="Q204" t="n">
        <x:f>ROUND(INDEX(Catalogue!E$4:E$85,MATCH(A204,Catalogue!A$4:A$85,0))*(1+'Paramètres'!$B$4*(C204-1)+'Paramètres'!$B$5*(C204-1)^2),0)</x:f>
        <x:v>2</x:v>
      </x:c>
      <x:c r="R204" t="n">
        <x:f>ROUND(INDEX(Catalogue!F$4:F$85,MATCH(A204,Catalogue!A$4:A$85,0))*(1+'Paramètres'!$B$4*(C204-1)+'Paramètres'!$B$5*(C204-1)^2),0)</x:f>
        <x:v>4</x:v>
      </x:c>
      <x:c r="S204" t="n">
        <x:f>L204-AVERAGE(Q204:R204)</x:f>
        <x:v>-0.5</x:v>
      </x:c>
      <x:c r="T204" t="str">
        <x:f>IF(M204=0,IF(AND(N204=0,O204=0,E204=0,F204=0),"OK","ERREUR"),IF(AND(M204&gt;=1,M204&lt;=32,OR(N204=4,N204=6,N204=8,N204=10,N204=12,N204=20),O204&gt;=0,E204=M204+O204,F204=M204*N204+O204),"OK","ERREUR"))</x:f>
        <x:v>OK</x:v>
      </x:c>
      <x:c r="U204" s="86" t="n">
        <x:f>IF(M204&gt;0,M204*(N204+1)/2+O204,0)</x:f>
        <x:v>2.5</x:v>
      </x:c>
      <x:c r="V204" t="str">
        <x:f>IF(ABS(L204-U204)&lt;0.001,"OK","ERREUR")</x:f>
        <x:v>OK</x:v>
      </x:c>
    </x:row>
    <x:row r="205" ht="18" customHeight="1">
      <x:c r="A205" t="str">
        <x:v>ARM011</x:v>
      </x:c>
      <x:c r="B205" t="str">
        <x:v>Serpe</x:v>
      </x:c>
      <x:c r="C205" t="n">
        <x:v>2</x:v>
      </x:c>
      <x:c r="D205" t="str">
        <x:v>Légères</x:v>
      </x:c>
      <x:c r="E205" s="28" t="n">
        <x:f>IF(M205=0,0,M205+O205)</x:f>
        <x:v>2</x:v>
      </x:c>
      <x:c r="F205" s="28" t="n">
        <x:f>IF(M205=0,0,M205*N205+O205)</x:f>
        <x:v>5</x:v>
      </x:c>
      <x:c r="G205" s="28" t="n">
        <x:f>ROUND(Catalogue!G14*SQRT((1+'Paramètres'!$B$4*(C205-1)+'Paramètres'!$B$5*(C205-1)^2)),0)</x:f>
        <x:v>0</x:v>
      </x:c>
      <x:c r="H205" s="28" t="n">
        <x:f>ROUND(Catalogue!H14*SQRT((1+'Paramètres'!$B$4*(C205-1)+'Paramètres'!$B$5*(C205-1)^2)),0)</x:f>
        <x:v>0</x:v>
      </x:c>
      <x:c r="I205" s="28" t="n">
        <x:v>2</x:v>
      </x:c>
      <x:c r="J205" s="28" t="n">
        <x:v>1</x:v>
      </x:c>
      <x:c r="K205" s="30" t="n">
        <x:v>0.7</x:v>
      </x:c>
      <x:c r="L205" s="54" t="n">
        <x:f>IF(M205=0,0,(E205+F205)/2)</x:f>
        <x:v>3.5</x:v>
      </x:c>
      <x:c r="M205" t="n">
        <x:v>1</x:v>
      </x:c>
      <x:c r="N205" t="n">
        <x:v>4</x:v>
      </x:c>
      <x:c r="O205" t="n">
        <x:v>1</x:v>
      </x:c>
      <x:c r="P205" s="63" t="str">
        <x:f>IF(M205=0,"—",M205&amp;"d"&amp;N205&amp;IF(O205=0,""," + "&amp;O205))</x:f>
        <x:v>1d4 + 1</x:v>
      </x:c>
      <x:c r="Q205" t="n">
        <x:f>ROUND(INDEX(Catalogue!E$4:E$85,MATCH(A205,Catalogue!A$4:A$85,0))*(1+'Paramètres'!$B$4*(C205-1)+'Paramètres'!$B$5*(C205-1)^2),0)</x:f>
        <x:v>2</x:v>
      </x:c>
      <x:c r="R205" t="n">
        <x:f>ROUND(INDEX(Catalogue!F$4:F$85,MATCH(A205,Catalogue!A$4:A$85,0))*(1+'Paramètres'!$B$4*(C205-1)+'Paramètres'!$B$5*(C205-1)^2),0)</x:f>
        <x:v>5</x:v>
      </x:c>
      <x:c r="S205" t="n">
        <x:f>L205-AVERAGE(Q205:R205)</x:f>
        <x:v>0</x:v>
      </x:c>
      <x:c r="T205" t="str">
        <x:f>IF(M205=0,IF(AND(N205=0,O205=0,E205=0,F205=0),"OK","ERREUR"),IF(AND(M205&gt;=1,M205&lt;=32,OR(N205=4,N205=6,N205=8,N205=10,N205=12,N205=20),O205&gt;=0,E205=M205+O205,F205=M205*N205+O205),"OK","ERREUR"))</x:f>
        <x:v>OK</x:v>
      </x:c>
      <x:c r="U205" s="86" t="n">
        <x:f>IF(M205&gt;0,M205*(N205+1)/2+O205,0)</x:f>
        <x:v>3.5</x:v>
      </x:c>
      <x:c r="V205" t="str">
        <x:f>IF(ABS(L205-U205)&lt;0.001,"OK","ERREUR")</x:f>
        <x:v>OK</x:v>
      </x:c>
    </x:row>
    <x:row r="206" ht="18" customHeight="1">
      <x:c r="A206" t="str">
        <x:v>ARM011</x:v>
      </x:c>
      <x:c r="B206" t="str">
        <x:v>Serpe</x:v>
      </x:c>
      <x:c r="C206" t="n">
        <x:v>3</x:v>
      </x:c>
      <x:c r="D206" t="str">
        <x:v>Légères</x:v>
      </x:c>
      <x:c r="E206" s="28" t="n">
        <x:f>IF(M206=0,0,M206+O206)</x:f>
        <x:v>2</x:v>
      </x:c>
      <x:c r="F206" s="28" t="n">
        <x:f>IF(M206=0,0,M206*N206+O206)</x:f>
        <x:v>5</x:v>
      </x:c>
      <x:c r="G206" s="28" t="n">
        <x:f>ROUND(Catalogue!G14*SQRT((1+'Paramètres'!$B$4*(C206-1)+'Paramètres'!$B$5*(C206-1)^2)),0)</x:f>
        <x:v>0</x:v>
      </x:c>
      <x:c r="H206" s="28" t="n">
        <x:f>ROUND(Catalogue!H14*SQRT((1+'Paramètres'!$B$4*(C206-1)+'Paramètres'!$B$5*(C206-1)^2)),0)</x:f>
        <x:v>0</x:v>
      </x:c>
      <x:c r="I206" s="28" t="n">
        <x:v>2</x:v>
      </x:c>
      <x:c r="J206" s="28" t="n">
        <x:v>1</x:v>
      </x:c>
      <x:c r="K206" s="30" t="n">
        <x:v>0.7</x:v>
      </x:c>
      <x:c r="L206" s="54" t="n">
        <x:f>IF(M206=0,0,(E206+F206)/2)</x:f>
        <x:v>3.5</x:v>
      </x:c>
      <x:c r="M206" t="n">
        <x:v>1</x:v>
      </x:c>
      <x:c r="N206" t="n">
        <x:v>4</x:v>
      </x:c>
      <x:c r="O206" t="n">
        <x:v>1</x:v>
      </x:c>
      <x:c r="P206" s="63" t="str">
        <x:f>IF(M206=0,"—",M206&amp;"d"&amp;N206&amp;IF(O206=0,""," + "&amp;O206))</x:f>
        <x:v>1d4 + 1</x:v>
      </x:c>
      <x:c r="Q206" t="n">
        <x:f>ROUND(INDEX(Catalogue!E$4:E$85,MATCH(A206,Catalogue!A$4:A$85,0))*(1+'Paramètres'!$B$4*(C206-1)+'Paramètres'!$B$5*(C206-1)^2),0)</x:f>
        <x:v>3</x:v>
      </x:c>
      <x:c r="R206" t="n">
        <x:f>ROUND(INDEX(Catalogue!F$4:F$85,MATCH(A206,Catalogue!A$4:A$85,0))*(1+'Paramètres'!$B$4*(C206-1)+'Paramètres'!$B$5*(C206-1)^2),0)</x:f>
        <x:v>5</x:v>
      </x:c>
      <x:c r="S206" t="n">
        <x:f>L206-AVERAGE(Q206:R206)</x:f>
        <x:v>-0.5</x:v>
      </x:c>
      <x:c r="T206" t="str">
        <x:f>IF(M206=0,IF(AND(N206=0,O206=0,E206=0,F206=0),"OK","ERREUR"),IF(AND(M206&gt;=1,M206&lt;=32,OR(N206=4,N206=6,N206=8,N206=10,N206=12,N206=20),O206&gt;=0,E206=M206+O206,F206=M206*N206+O206),"OK","ERREUR"))</x:f>
        <x:v>OK</x:v>
      </x:c>
      <x:c r="U206" s="86" t="n">
        <x:f>IF(M206&gt;0,M206*(N206+1)/2+O206,0)</x:f>
        <x:v>3.5</x:v>
      </x:c>
      <x:c r="V206" t="str">
        <x:f>IF(ABS(L206-U206)&lt;0.001,"OK","ERREUR")</x:f>
        <x:v>OK</x:v>
      </x:c>
    </x:row>
    <x:row r="207" ht="18" customHeight="1">
      <x:c r="A207" t="str">
        <x:v>ARM011</x:v>
      </x:c>
      <x:c r="B207" t="str">
        <x:v>Serpe</x:v>
      </x:c>
      <x:c r="C207" t="n">
        <x:v>4</x:v>
      </x:c>
      <x:c r="D207" t="str">
        <x:v>Légères</x:v>
      </x:c>
      <x:c r="E207" s="28" t="n">
        <x:f>IF(M207=0,0,M207+O207)</x:f>
        <x:v>3</x:v>
      </x:c>
      <x:c r="F207" s="28" t="n">
        <x:f>IF(M207=0,0,M207*N207+O207)</x:f>
        <x:v>6</x:v>
      </x:c>
      <x:c r="G207" s="28" t="n">
        <x:f>ROUND(Catalogue!G14*SQRT((1+'Paramètres'!$B$4*(C207-1)+'Paramètres'!$B$5*(C207-1)^2)),0)</x:f>
        <x:v>0</x:v>
      </x:c>
      <x:c r="H207" s="28" t="n">
        <x:f>ROUND(Catalogue!H14*SQRT((1+'Paramètres'!$B$4*(C207-1)+'Paramètres'!$B$5*(C207-1)^2)),0)</x:f>
        <x:v>0</x:v>
      </x:c>
      <x:c r="I207" s="28" t="n">
        <x:v>2</x:v>
      </x:c>
      <x:c r="J207" s="28" t="n">
        <x:v>1</x:v>
      </x:c>
      <x:c r="K207" s="30" t="n">
        <x:v>0.7</x:v>
      </x:c>
      <x:c r="L207" s="54" t="n">
        <x:f>IF(M207=0,0,(E207+F207)/2)</x:f>
        <x:v>4.5</x:v>
      </x:c>
      <x:c r="M207" t="n">
        <x:v>1</x:v>
      </x:c>
      <x:c r="N207" t="n">
        <x:v>4</x:v>
      </x:c>
      <x:c r="O207" t="n">
        <x:v>2</x:v>
      </x:c>
      <x:c r="P207" s="63" t="str">
        <x:f>IF(M207=0,"—",M207&amp;"d"&amp;N207&amp;IF(O207=0,""," + "&amp;O207))</x:f>
        <x:v>1d4 + 2</x:v>
      </x:c>
      <x:c r="Q207" t="n">
        <x:f>ROUND(INDEX(Catalogue!E$4:E$85,MATCH(A207,Catalogue!A$4:A$85,0))*(1+'Paramètres'!$B$4*(C207-1)+'Paramètres'!$B$5*(C207-1)^2),0)</x:f>
        <x:v>3</x:v>
      </x:c>
      <x:c r="R207" t="n">
        <x:f>ROUND(INDEX(Catalogue!F$4:F$85,MATCH(A207,Catalogue!A$4:A$85,0))*(1+'Paramètres'!$B$4*(C207-1)+'Paramètres'!$B$5*(C207-1)^2),0)</x:f>
        <x:v>6</x:v>
      </x:c>
      <x:c r="S207" t="n">
        <x:f>L207-AVERAGE(Q207:R207)</x:f>
        <x:v>0</x:v>
      </x:c>
      <x:c r="T207" t="str">
        <x:f>IF(M207=0,IF(AND(N207=0,O207=0,E207=0,F207=0),"OK","ERREUR"),IF(AND(M207&gt;=1,M207&lt;=32,OR(N207=4,N207=6,N207=8,N207=10,N207=12,N207=20),O207&gt;=0,E207=M207+O207,F207=M207*N207+O207),"OK","ERREUR"))</x:f>
        <x:v>OK</x:v>
      </x:c>
      <x:c r="U207" s="86" t="n">
        <x:f>IF(M207&gt;0,M207*(N207+1)/2+O207,0)</x:f>
        <x:v>4.5</x:v>
      </x:c>
      <x:c r="V207" t="str">
        <x:f>IF(ABS(L207-U207)&lt;0.001,"OK","ERREUR")</x:f>
        <x:v>OK</x:v>
      </x:c>
    </x:row>
    <x:row r="208" ht="18" customHeight="1">
      <x:c r="A208" t="str">
        <x:v>ARM011</x:v>
      </x:c>
      <x:c r="B208" t="str">
        <x:v>Serpe</x:v>
      </x:c>
      <x:c r="C208" t="n">
        <x:v>5</x:v>
      </x:c>
      <x:c r="D208" t="str">
        <x:v>Légères</x:v>
      </x:c>
      <x:c r="E208" s="28" t="n">
        <x:f>IF(M208=0,0,M208+O208)</x:f>
        <x:v>3</x:v>
      </x:c>
      <x:c r="F208" s="28" t="n">
        <x:f>IF(M208=0,0,M208*N208+O208)</x:f>
        <x:v>6</x:v>
      </x:c>
      <x:c r="G208" s="28" t="n">
        <x:f>ROUND(Catalogue!G14*SQRT((1+'Paramètres'!$B$4*(C208-1)+'Paramètres'!$B$5*(C208-1)^2)),0)</x:f>
        <x:v>0</x:v>
      </x:c>
      <x:c r="H208" s="28" t="n">
        <x:f>ROUND(Catalogue!H14*SQRT((1+'Paramètres'!$B$4*(C208-1)+'Paramètres'!$B$5*(C208-1)^2)),0)</x:f>
        <x:v>0</x:v>
      </x:c>
      <x:c r="I208" s="28" t="n">
        <x:v>2</x:v>
      </x:c>
      <x:c r="J208" s="28" t="n">
        <x:v>1</x:v>
      </x:c>
      <x:c r="K208" s="30" t="n">
        <x:v>0.7</x:v>
      </x:c>
      <x:c r="L208" s="54" t="n">
        <x:f>IF(M208=0,0,(E208+F208)/2)</x:f>
        <x:v>4.5</x:v>
      </x:c>
      <x:c r="M208" t="n">
        <x:v>1</x:v>
      </x:c>
      <x:c r="N208" t="n">
        <x:v>4</x:v>
      </x:c>
      <x:c r="O208" t="n">
        <x:v>2</x:v>
      </x:c>
      <x:c r="P208" s="63" t="str">
        <x:f>IF(M208=0,"—",M208&amp;"d"&amp;N208&amp;IF(O208=0,""," + "&amp;O208))</x:f>
        <x:v>1d4 + 2</x:v>
      </x:c>
      <x:c r="Q208" t="n">
        <x:f>ROUND(INDEX(Catalogue!E$4:E$85,MATCH(A208,Catalogue!A$4:A$85,0))*(1+'Paramètres'!$B$4*(C208-1)+'Paramètres'!$B$5*(C208-1)^2),0)</x:f>
        <x:v>3</x:v>
      </x:c>
      <x:c r="R208" t="n">
        <x:f>ROUND(INDEX(Catalogue!F$4:F$85,MATCH(A208,Catalogue!A$4:A$85,0))*(1+'Paramètres'!$B$4*(C208-1)+'Paramètres'!$B$5*(C208-1)^2),0)</x:f>
        <x:v>7</x:v>
      </x:c>
      <x:c r="S208" t="n">
        <x:f>L208-AVERAGE(Q208:R208)</x:f>
        <x:v>-0.5</x:v>
      </x:c>
      <x:c r="T208" t="str">
        <x:f>IF(M208=0,IF(AND(N208=0,O208=0,E208=0,F208=0),"OK","ERREUR"),IF(AND(M208&gt;=1,M208&lt;=32,OR(N208=4,N208=6,N208=8,N208=10,N208=12,N208=20),O208&gt;=0,E208=M208+O208,F208=M208*N208+O208),"OK","ERREUR"))</x:f>
        <x:v>OK</x:v>
      </x:c>
      <x:c r="U208" s="86" t="n">
        <x:f>IF(M208&gt;0,M208*(N208+1)/2+O208,0)</x:f>
        <x:v>4.5</x:v>
      </x:c>
      <x:c r="V208" t="str">
        <x:f>IF(ABS(L208-U208)&lt;0.001,"OK","ERREUR")</x:f>
        <x:v>OK</x:v>
      </x:c>
    </x:row>
    <x:row r="209" ht="18" customHeight="1">
      <x:c r="A209" t="str">
        <x:v>ARM011</x:v>
      </x:c>
      <x:c r="B209" t="str">
        <x:v>Serpe</x:v>
      </x:c>
      <x:c r="C209" t="n">
        <x:v>6</x:v>
      </x:c>
      <x:c r="D209" t="str">
        <x:v>Légères</x:v>
      </x:c>
      <x:c r="E209" s="28" t="n">
        <x:f>IF(M209=0,0,M209+O209)</x:f>
        <x:v>4</x:v>
      </x:c>
      <x:c r="F209" s="28" t="n">
        <x:f>IF(M209=0,0,M209*N209+O209)</x:f>
        <x:v>7</x:v>
      </x:c>
      <x:c r="G209" s="28" t="n">
        <x:f>ROUND(Catalogue!G14*SQRT((1+'Paramètres'!$B$4*(C209-1)+'Paramètres'!$B$5*(C209-1)^2)),0)</x:f>
        <x:v>0</x:v>
      </x:c>
      <x:c r="H209" s="28" t="n">
        <x:f>ROUND(Catalogue!H14*SQRT((1+'Paramètres'!$B$4*(C209-1)+'Paramètres'!$B$5*(C209-1)^2)),0)</x:f>
        <x:v>0</x:v>
      </x:c>
      <x:c r="I209" s="28" t="n">
        <x:v>2</x:v>
      </x:c>
      <x:c r="J209" s="28" t="n">
        <x:v>1</x:v>
      </x:c>
      <x:c r="K209" s="30" t="n">
        <x:v>0.7</x:v>
      </x:c>
      <x:c r="L209" s="54" t="n">
        <x:f>IF(M209=0,0,(E209+F209)/2)</x:f>
        <x:v>5.5</x:v>
      </x:c>
      <x:c r="M209" t="n">
        <x:v>1</x:v>
      </x:c>
      <x:c r="N209" t="n">
        <x:v>4</x:v>
      </x:c>
      <x:c r="O209" t="n">
        <x:v>3</x:v>
      </x:c>
      <x:c r="P209" s="63" t="str">
        <x:f>IF(M209=0,"—",M209&amp;"d"&amp;N209&amp;IF(O209=0,""," + "&amp;O209))</x:f>
        <x:v>1d4 + 3</x:v>
      </x:c>
      <x:c r="Q209" t="n">
        <x:f>ROUND(INDEX(Catalogue!E$4:E$85,MATCH(A209,Catalogue!A$4:A$85,0))*(1+'Paramètres'!$B$4*(C209-1)+'Paramètres'!$B$5*(C209-1)^2),0)</x:f>
        <x:v>4</x:v>
      </x:c>
      <x:c r="R209" t="n">
        <x:f>ROUND(INDEX(Catalogue!F$4:F$85,MATCH(A209,Catalogue!A$4:A$85,0))*(1+'Paramètres'!$B$4*(C209-1)+'Paramètres'!$B$5*(C209-1)^2),0)</x:f>
        <x:v>8</x:v>
      </x:c>
      <x:c r="S209" t="n">
        <x:f>L209-AVERAGE(Q209:R209)</x:f>
        <x:v>-0.5</x:v>
      </x:c>
      <x:c r="T209" t="str">
        <x:f>IF(M209=0,IF(AND(N209=0,O209=0,E209=0,F209=0),"OK","ERREUR"),IF(AND(M209&gt;=1,M209&lt;=32,OR(N209=4,N209=6,N209=8,N209=10,N209=12,N209=20),O209&gt;=0,E209=M209+O209,F209=M209*N209+O209),"OK","ERREUR"))</x:f>
        <x:v>OK</x:v>
      </x:c>
      <x:c r="U209" s="86" t="n">
        <x:f>IF(M209&gt;0,M209*(N209+1)/2+O209,0)</x:f>
        <x:v>5.5</x:v>
      </x:c>
      <x:c r="V209" t="str">
        <x:f>IF(ABS(L209-U209)&lt;0.001,"OK","ERREUR")</x:f>
        <x:v>OK</x:v>
      </x:c>
    </x:row>
    <x:row r="210" ht="18" customHeight="1">
      <x:c r="A210" t="str">
        <x:v>ARM011</x:v>
      </x:c>
      <x:c r="B210" t="str">
        <x:v>Serpe</x:v>
      </x:c>
      <x:c r="C210" t="n">
        <x:v>7</x:v>
      </x:c>
      <x:c r="D210" t="str">
        <x:v>Légères</x:v>
      </x:c>
      <x:c r="E210" s="28" t="n">
        <x:f>IF(M210=0,0,M210+O210)</x:f>
        <x:v>4</x:v>
      </x:c>
      <x:c r="F210" s="28" t="n">
        <x:f>IF(M210=0,0,M210*N210+O210)</x:f>
        <x:v>9</x:v>
      </x:c>
      <x:c r="G210" s="28" t="n">
        <x:f>ROUND(Catalogue!G14*SQRT((1+'Paramètres'!$B$4*(C210-1)+'Paramètres'!$B$5*(C210-1)^2)),0)</x:f>
        <x:v>0</x:v>
      </x:c>
      <x:c r="H210" s="28" t="n">
        <x:f>ROUND(Catalogue!H14*SQRT((1+'Paramètres'!$B$4*(C210-1)+'Paramètres'!$B$5*(C210-1)^2)),0)</x:f>
        <x:v>0</x:v>
      </x:c>
      <x:c r="I210" s="28" t="n">
        <x:v>2</x:v>
      </x:c>
      <x:c r="J210" s="28" t="n">
        <x:v>1</x:v>
      </x:c>
      <x:c r="K210" s="30" t="n">
        <x:v>0.7</x:v>
      </x:c>
      <x:c r="L210" s="54" t="n">
        <x:f>IF(M210=0,0,(E210+F210)/2)</x:f>
        <x:v>6.5</x:v>
      </x:c>
      <x:c r="M210" t="n">
        <x:v>1</x:v>
      </x:c>
      <x:c r="N210" t="n">
        <x:v>6</x:v>
      </x:c>
      <x:c r="O210" t="n">
        <x:v>3</x:v>
      </x:c>
      <x:c r="P210" s="63" t="str">
        <x:f>IF(M210=0,"—",M210&amp;"d"&amp;N210&amp;IF(O210=0,""," + "&amp;O210))</x:f>
        <x:v>1d6 + 3</x:v>
      </x:c>
      <x:c r="Q210" t="n">
        <x:f>ROUND(INDEX(Catalogue!E$4:E$85,MATCH(A210,Catalogue!A$4:A$85,0))*(1+'Paramètres'!$B$4*(C210-1)+'Paramètres'!$B$5*(C210-1)^2),0)</x:f>
        <x:v>4</x:v>
      </x:c>
      <x:c r="R210" t="n">
        <x:f>ROUND(INDEX(Catalogue!F$4:F$85,MATCH(A210,Catalogue!A$4:A$85,0))*(1+'Paramètres'!$B$4*(C210-1)+'Paramètres'!$B$5*(C210-1)^2),0)</x:f>
        <x:v>9</x:v>
      </x:c>
      <x:c r="S210" t="n">
        <x:f>L210-AVERAGE(Q210:R210)</x:f>
        <x:v>0</x:v>
      </x:c>
      <x:c r="T210" t="str">
        <x:f>IF(M210=0,IF(AND(N210=0,O210=0,E210=0,F210=0),"OK","ERREUR"),IF(AND(M210&gt;=1,M210&lt;=32,OR(N210=4,N210=6,N210=8,N210=10,N210=12,N210=20),O210&gt;=0,E210=M210+O210,F210=M210*N210+O210),"OK","ERREUR"))</x:f>
        <x:v>OK</x:v>
      </x:c>
      <x:c r="U210" s="86" t="n">
        <x:f>IF(M210&gt;0,M210*(N210+1)/2+O210,0)</x:f>
        <x:v>6.5</x:v>
      </x:c>
      <x:c r="V210" t="str">
        <x:f>IF(ABS(L210-U210)&lt;0.001,"OK","ERREUR")</x:f>
        <x:v>OK</x:v>
      </x:c>
    </x:row>
    <x:row r="211" ht="18" customHeight="1">
      <x:c r="A211" t="str">
        <x:v>ARM011</x:v>
      </x:c>
      <x:c r="B211" t="str">
        <x:v>Serpe</x:v>
      </x:c>
      <x:c r="C211" t="n">
        <x:v>8</x:v>
      </x:c>
      <x:c r="D211" t="str">
        <x:v>Légères</x:v>
      </x:c>
      <x:c r="E211" s="28" t="n">
        <x:f>IF(M211=0,0,M211+O211)</x:f>
        <x:v>5</x:v>
      </x:c>
      <x:c r="F211" s="28" t="n">
        <x:f>IF(M211=0,0,M211*N211+O211)</x:f>
        <x:v>10</x:v>
      </x:c>
      <x:c r="G211" s="28" t="n">
        <x:f>ROUND(Catalogue!G14*SQRT((1+'Paramètres'!$B$4*(C211-1)+'Paramètres'!$B$5*(C211-1)^2)),0)</x:f>
        <x:v>0</x:v>
      </x:c>
      <x:c r="H211" s="28" t="n">
        <x:f>ROUND(Catalogue!H14*SQRT((1+'Paramètres'!$B$4*(C211-1)+'Paramètres'!$B$5*(C211-1)^2)),0)</x:f>
        <x:v>0</x:v>
      </x:c>
      <x:c r="I211" s="28" t="n">
        <x:v>2</x:v>
      </x:c>
      <x:c r="J211" s="28" t="n">
        <x:v>1</x:v>
      </x:c>
      <x:c r="K211" s="30" t="n">
        <x:v>0.7</x:v>
      </x:c>
      <x:c r="L211" s="54" t="n">
        <x:f>IF(M211=0,0,(E211+F211)/2)</x:f>
        <x:v>7.5</x:v>
      </x:c>
      <x:c r="M211" t="n">
        <x:v>1</x:v>
      </x:c>
      <x:c r="N211" t="n">
        <x:v>6</x:v>
      </x:c>
      <x:c r="O211" t="n">
        <x:v>4</x:v>
      </x:c>
      <x:c r="P211" s="63" t="str">
        <x:f>IF(M211=0,"—",M211&amp;"d"&amp;N211&amp;IF(O211=0,""," + "&amp;O211))</x:f>
        <x:v>1d6 + 4</x:v>
      </x:c>
      <x:c r="Q211" t="n">
        <x:f>ROUND(INDEX(Catalogue!E$4:E$85,MATCH(A211,Catalogue!A$4:A$85,0))*(1+'Paramètres'!$B$4*(C211-1)+'Paramètres'!$B$5*(C211-1)^2),0)</x:f>
        <x:v>5</x:v>
      </x:c>
      <x:c r="R211" t="n">
        <x:f>ROUND(INDEX(Catalogue!F$4:F$85,MATCH(A211,Catalogue!A$4:A$85,0))*(1+'Paramètres'!$B$4*(C211-1)+'Paramètres'!$B$5*(C211-1)^2),0)</x:f>
        <x:v>10</x:v>
      </x:c>
      <x:c r="S211" t="n">
        <x:f>L211-AVERAGE(Q211:R211)</x:f>
        <x:v>0</x:v>
      </x:c>
      <x:c r="T211" t="str">
        <x:f>IF(M211=0,IF(AND(N211=0,O211=0,E211=0,F211=0),"OK","ERREUR"),IF(AND(M211&gt;=1,M211&lt;=32,OR(N211=4,N211=6,N211=8,N211=10,N211=12,N211=20),O211&gt;=0,E211=M211+O211,F211=M211*N211+O211),"OK","ERREUR"))</x:f>
        <x:v>OK</x:v>
      </x:c>
      <x:c r="U211" s="86" t="n">
        <x:f>IF(M211&gt;0,M211*(N211+1)/2+O211,0)</x:f>
        <x:v>7.5</x:v>
      </x:c>
      <x:c r="V211" t="str">
        <x:f>IF(ABS(L211-U211)&lt;0.001,"OK","ERREUR")</x:f>
        <x:v>OK</x:v>
      </x:c>
    </x:row>
    <x:row r="212" ht="18" customHeight="1">
      <x:c r="A212" t="str">
        <x:v>ARM011</x:v>
      </x:c>
      <x:c r="B212" t="str">
        <x:v>Serpe</x:v>
      </x:c>
      <x:c r="C212" t="n">
        <x:v>9</x:v>
      </x:c>
      <x:c r="D212" t="str">
        <x:v>Légères</x:v>
      </x:c>
      <x:c r="E212" s="28" t="n">
        <x:f>IF(M212=0,0,M212+O212)</x:f>
        <x:v>6</x:v>
      </x:c>
      <x:c r="F212" s="28" t="n">
        <x:f>IF(M212=0,0,M212*N212+O212)</x:f>
        <x:v>12</x:v>
      </x:c>
      <x:c r="G212" s="28" t="n">
        <x:f>ROUND(Catalogue!G14*SQRT((1+'Paramètres'!$B$4*(C212-1)+'Paramètres'!$B$5*(C212-1)^2)),0)</x:f>
        <x:v>0</x:v>
      </x:c>
      <x:c r="H212" s="28" t="n">
        <x:f>ROUND(Catalogue!H14*SQRT((1+'Paramètres'!$B$4*(C212-1)+'Paramètres'!$B$5*(C212-1)^2)),0)</x:f>
        <x:v>0</x:v>
      </x:c>
      <x:c r="I212" s="28" t="n">
        <x:v>2</x:v>
      </x:c>
      <x:c r="J212" s="28" t="n">
        <x:v>1</x:v>
      </x:c>
      <x:c r="K212" s="30" t="n">
        <x:v>0.7</x:v>
      </x:c>
      <x:c r="L212" s="54" t="n">
        <x:f>IF(M212=0,0,(E212+F212)/2)</x:f>
        <x:v>9</x:v>
      </x:c>
      <x:c r="M212" t="n">
        <x:v>2</x:v>
      </x:c>
      <x:c r="N212" t="n">
        <x:v>4</x:v>
      </x:c>
      <x:c r="O212" t="n">
        <x:v>4</x:v>
      </x:c>
      <x:c r="P212" s="63" t="str">
        <x:f>IF(M212=0,"—",M212&amp;"d"&amp;N212&amp;IF(O212=0,""," + "&amp;O212))</x:f>
        <x:v>2d4 + 4</x:v>
      </x:c>
      <x:c r="Q212" t="n">
        <x:f>ROUND(INDEX(Catalogue!E$4:E$85,MATCH(A212,Catalogue!A$4:A$85,0))*(1+'Paramètres'!$B$4*(C212-1)+'Paramètres'!$B$5*(C212-1)^2),0)</x:f>
        <x:v>6</x:v>
      </x:c>
      <x:c r="R212" t="n">
        <x:f>ROUND(INDEX(Catalogue!F$4:F$85,MATCH(A212,Catalogue!A$4:A$85,0))*(1+'Paramètres'!$B$4*(C212-1)+'Paramètres'!$B$5*(C212-1)^2),0)</x:f>
        <x:v>12</x:v>
      </x:c>
      <x:c r="S212" t="n">
        <x:f>L212-AVERAGE(Q212:R212)</x:f>
        <x:v>0</x:v>
      </x:c>
      <x:c r="T212" t="str">
        <x:f>IF(M212=0,IF(AND(N212=0,O212=0,E212=0,F212=0),"OK","ERREUR"),IF(AND(M212&gt;=1,M212&lt;=32,OR(N212=4,N212=6,N212=8,N212=10,N212=12,N212=20),O212&gt;=0,E212=M212+O212,F212=M212*N212+O212),"OK","ERREUR"))</x:f>
        <x:v>OK</x:v>
      </x:c>
      <x:c r="U212" s="86" t="n">
        <x:f>IF(M212&gt;0,M212*(N212+1)/2+O212,0)</x:f>
        <x:v>9</x:v>
      </x:c>
      <x:c r="V212" t="str">
        <x:f>IF(ABS(L212-U212)&lt;0.001,"OK","ERREUR")</x:f>
        <x:v>OK</x:v>
      </x:c>
    </x:row>
    <x:row r="213" ht="18" customHeight="1">
      <x:c r="A213" t="str">
        <x:v>ARM011</x:v>
      </x:c>
      <x:c r="B213" t="str">
        <x:v>Serpe</x:v>
      </x:c>
      <x:c r="C213" t="n">
        <x:v>10</x:v>
      </x:c>
      <x:c r="D213" t="str">
        <x:v>Légères</x:v>
      </x:c>
      <x:c r="E213" s="28" t="n">
        <x:f>IF(M213=0,0,M213+O213)</x:f>
        <x:v>7</x:v>
      </x:c>
      <x:c r="F213" s="28" t="n">
        <x:f>IF(M213=0,0,M213*N213+O213)</x:f>
        <x:v>13</x:v>
      </x:c>
      <x:c r="G213" s="28" t="n">
        <x:f>ROUND(Catalogue!G14*SQRT((1+'Paramètres'!$B$4*(C213-1)+'Paramètres'!$B$5*(C213-1)^2)),0)</x:f>
        <x:v>0</x:v>
      </x:c>
      <x:c r="H213" s="28" t="n">
        <x:f>ROUND(Catalogue!H14*SQRT((1+'Paramètres'!$B$4*(C213-1)+'Paramètres'!$B$5*(C213-1)^2)),0)</x:f>
        <x:v>0</x:v>
      </x:c>
      <x:c r="I213" s="28" t="n">
        <x:v>2</x:v>
      </x:c>
      <x:c r="J213" s="28" t="n">
        <x:v>1</x:v>
      </x:c>
      <x:c r="K213" s="30" t="n">
        <x:v>0.7</x:v>
      </x:c>
      <x:c r="L213" s="54" t="n">
        <x:f>IF(M213=0,0,(E213+F213)/2)</x:f>
        <x:v>10</x:v>
      </x:c>
      <x:c r="M213" t="n">
        <x:v>2</x:v>
      </x:c>
      <x:c r="N213" t="n">
        <x:v>4</x:v>
      </x:c>
      <x:c r="O213" t="n">
        <x:v>5</x:v>
      </x:c>
      <x:c r="P213" s="63" t="str">
        <x:f>IF(M213=0,"—",M213&amp;"d"&amp;N213&amp;IF(O213=0,""," + "&amp;O213))</x:f>
        <x:v>2d4 + 5</x:v>
      </x:c>
      <x:c r="Q213" t="n">
        <x:f>ROUND(INDEX(Catalogue!E$4:E$85,MATCH(A213,Catalogue!A$4:A$85,0))*(1+'Paramètres'!$B$4*(C213-1)+'Paramètres'!$B$5*(C213-1)^2),0)</x:f>
        <x:v>7</x:v>
      </x:c>
      <x:c r="R213" t="n">
        <x:f>ROUND(INDEX(Catalogue!F$4:F$85,MATCH(A213,Catalogue!A$4:A$85,0))*(1+'Paramètres'!$B$4*(C213-1)+'Paramètres'!$B$5*(C213-1)^2),0)</x:f>
        <x:v>13</x:v>
      </x:c>
      <x:c r="S213" t="n">
        <x:f>L213-AVERAGE(Q213:R213)</x:f>
        <x:v>0</x:v>
      </x:c>
      <x:c r="T213" t="str">
        <x:f>IF(M213=0,IF(AND(N213=0,O213=0,E213=0,F213=0),"OK","ERREUR"),IF(AND(M213&gt;=1,M213&lt;=32,OR(N213=4,N213=6,N213=8,N213=10,N213=12,N213=20),O213&gt;=0,E213=M213+O213,F213=M213*N213+O213),"OK","ERREUR"))</x:f>
        <x:v>OK</x:v>
      </x:c>
      <x:c r="U213" s="86" t="n">
        <x:f>IF(M213&gt;0,M213*(N213+1)/2+O213,0)</x:f>
        <x:v>10</x:v>
      </x:c>
      <x:c r="V213" t="str">
        <x:f>IF(ABS(L213-U213)&lt;0.001,"OK","ERREUR")</x:f>
        <x:v>OK</x:v>
      </x:c>
    </x:row>
    <x:row r="214" ht="18" customHeight="1">
      <x:c r="A214" t="str">
        <x:v>ARM011</x:v>
      </x:c>
      <x:c r="B214" t="str">
        <x:v>Serpe</x:v>
      </x:c>
      <x:c r="C214" t="n">
        <x:v>11</x:v>
      </x:c>
      <x:c r="D214" t="str">
        <x:v>Légères</x:v>
      </x:c>
      <x:c r="E214" s="28" t="n">
        <x:f>IF(M214=0,0,M214+O214)</x:f>
        <x:v>6</x:v>
      </x:c>
      <x:c r="F214" s="28" t="n">
        <x:f>IF(M214=0,0,M214*N214+O214)</x:f>
        <x:v>15</x:v>
      </x:c>
      <x:c r="G214" s="28" t="n">
        <x:f>ROUND(Catalogue!G14*SQRT((1+'Paramètres'!$B$4*(C214-1)+'Paramètres'!$B$5*(C214-1)^2)),0)</x:f>
        <x:v>0</x:v>
      </x:c>
      <x:c r="H214" s="28" t="n">
        <x:f>ROUND(Catalogue!H14*SQRT((1+'Paramètres'!$B$4*(C214-1)+'Paramètres'!$B$5*(C214-1)^2)),0)</x:f>
        <x:v>0</x:v>
      </x:c>
      <x:c r="I214" s="28" t="n">
        <x:v>2</x:v>
      </x:c>
      <x:c r="J214" s="28" t="n">
        <x:v>1</x:v>
      </x:c>
      <x:c r="K214" s="30" t="n">
        <x:v>0.7</x:v>
      </x:c>
      <x:c r="L214" s="54" t="n">
        <x:f>IF(M214=0,0,(E214+F214)/2)</x:f>
        <x:v>10.5</x:v>
      </x:c>
      <x:c r="M214" t="n">
        <x:v>3</x:v>
      </x:c>
      <x:c r="N214" t="n">
        <x:v>4</x:v>
      </x:c>
      <x:c r="O214" t="n">
        <x:v>3</x:v>
      </x:c>
      <x:c r="P214" s="63" t="str">
        <x:f>IF(M214=0,"—",M214&amp;"d"&amp;N214&amp;IF(O214=0,""," + "&amp;O214))</x:f>
        <x:v>3d4 + 3</x:v>
      </x:c>
      <x:c r="Q214" t="n">
        <x:f>ROUND(INDEX(Catalogue!E$4:E$85,MATCH(A214,Catalogue!A$4:A$85,0))*(1+'Paramètres'!$B$4*(C214-1)+'Paramètres'!$B$5*(C214-1)^2),0)</x:f>
        <x:v>7</x:v>
      </x:c>
      <x:c r="R214" t="n">
        <x:f>ROUND(INDEX(Catalogue!F$4:F$85,MATCH(A214,Catalogue!A$4:A$85,0))*(1+'Paramètres'!$B$4*(C214-1)+'Paramètres'!$B$5*(C214-1)^2),0)</x:f>
        <x:v>15</x:v>
      </x:c>
      <x:c r="S214" t="n">
        <x:f>L214-AVERAGE(Q214:R214)</x:f>
        <x:v>-0.5</x:v>
      </x:c>
      <x:c r="T214" t="str">
        <x:f>IF(M214=0,IF(AND(N214=0,O214=0,E214=0,F214=0),"OK","ERREUR"),IF(AND(M214&gt;=1,M214&lt;=32,OR(N214=4,N214=6,N214=8,N214=10,N214=12,N214=20),O214&gt;=0,E214=M214+O214,F214=M214*N214+O214),"OK","ERREUR"))</x:f>
        <x:v>OK</x:v>
      </x:c>
      <x:c r="U214" s="86" t="n">
        <x:f>IF(M214&gt;0,M214*(N214+1)/2+O214,0)</x:f>
        <x:v>10.5</x:v>
      </x:c>
      <x:c r="V214" t="str">
        <x:f>IF(ABS(L214-U214)&lt;0.001,"OK","ERREUR")</x:f>
        <x:v>OK</x:v>
      </x:c>
    </x:row>
    <x:row r="215" ht="18" customHeight="1">
      <x:c r="A215" t="str">
        <x:v>ARM011</x:v>
      </x:c>
      <x:c r="B215" t="str">
        <x:v>Serpe</x:v>
      </x:c>
      <x:c r="C215" t="n">
        <x:v>12</x:v>
      </x:c>
      <x:c r="D215" t="str">
        <x:v>Légères</x:v>
      </x:c>
      <x:c r="E215" s="28" t="n">
        <x:f>IF(M215=0,0,M215+O215)</x:f>
        <x:v>8</x:v>
      </x:c>
      <x:c r="F215" s="28" t="n">
        <x:f>IF(M215=0,0,M215*N215+O215)</x:f>
        <x:v>17</x:v>
      </x:c>
      <x:c r="G215" s="28" t="n">
        <x:f>ROUND(Catalogue!G14*SQRT((1+'Paramètres'!$B$4*(C215-1)+'Paramètres'!$B$5*(C215-1)^2)),0)</x:f>
        <x:v>0</x:v>
      </x:c>
      <x:c r="H215" s="28" t="n">
        <x:f>ROUND(Catalogue!H14*SQRT((1+'Paramètres'!$B$4*(C215-1)+'Paramètres'!$B$5*(C215-1)^2)),0)</x:f>
        <x:v>0</x:v>
      </x:c>
      <x:c r="I215" s="28" t="n">
        <x:v>2</x:v>
      </x:c>
      <x:c r="J215" s="28" t="n">
        <x:v>1</x:v>
      </x:c>
      <x:c r="K215" s="30" t="n">
        <x:v>0.7</x:v>
      </x:c>
      <x:c r="L215" s="54" t="n">
        <x:f>IF(M215=0,0,(E215+F215)/2)</x:f>
        <x:v>12.5</x:v>
      </x:c>
      <x:c r="M215" t="n">
        <x:v>3</x:v>
      </x:c>
      <x:c r="N215" t="n">
        <x:v>4</x:v>
      </x:c>
      <x:c r="O215" t="n">
        <x:v>5</x:v>
      </x:c>
      <x:c r="P215" s="63" t="str">
        <x:f>IF(M215=0,"—",M215&amp;"d"&amp;N215&amp;IF(O215=0,""," + "&amp;O215))</x:f>
        <x:v>3d4 + 5</x:v>
      </x:c>
      <x:c r="Q215" t="n">
        <x:f>ROUND(INDEX(Catalogue!E$4:E$85,MATCH(A215,Catalogue!A$4:A$85,0))*(1+'Paramètres'!$B$4*(C215-1)+'Paramètres'!$B$5*(C215-1)^2),0)</x:f>
        <x:v>8</x:v>
      </x:c>
      <x:c r="R215" t="n">
        <x:f>ROUND(INDEX(Catalogue!F$4:F$85,MATCH(A215,Catalogue!A$4:A$85,0))*(1+'Paramètres'!$B$4*(C215-1)+'Paramètres'!$B$5*(C215-1)^2),0)</x:f>
        <x:v>17</x:v>
      </x:c>
      <x:c r="S215" t="n">
        <x:f>L215-AVERAGE(Q215:R215)</x:f>
        <x:v>0</x:v>
      </x:c>
      <x:c r="T215" t="str">
        <x:f>IF(M215=0,IF(AND(N215=0,O215=0,E215=0,F215=0),"OK","ERREUR"),IF(AND(M215&gt;=1,M215&lt;=32,OR(N215=4,N215=6,N215=8,N215=10,N215=12,N215=20),O215&gt;=0,E215=M215+O215,F215=M215*N215+O215),"OK","ERREUR"))</x:f>
        <x:v>OK</x:v>
      </x:c>
      <x:c r="U215" s="86" t="n">
        <x:f>IF(M215&gt;0,M215*(N215+1)/2+O215,0)</x:f>
        <x:v>12.5</x:v>
      </x:c>
      <x:c r="V215" t="str">
        <x:f>IF(ABS(L215-U215)&lt;0.001,"OK","ERREUR")</x:f>
        <x:v>OK</x:v>
      </x:c>
    </x:row>
    <x:row r="216" ht="18" customHeight="1">
      <x:c r="A216" t="str">
        <x:v>ARM011</x:v>
      </x:c>
      <x:c r="B216" t="str">
        <x:v>Serpe</x:v>
      </x:c>
      <x:c r="C216" t="n">
        <x:v>13</x:v>
      </x:c>
      <x:c r="D216" t="str">
        <x:v>Légères</x:v>
      </x:c>
      <x:c r="E216" s="28" t="n">
        <x:f>IF(M216=0,0,M216+O216)</x:f>
        <x:v>9</x:v>
      </x:c>
      <x:c r="F216" s="28" t="n">
        <x:f>IF(M216=0,0,M216*N216+O216)</x:f>
        <x:v>18</x:v>
      </x:c>
      <x:c r="G216" s="28" t="n">
        <x:f>ROUND(Catalogue!G14*SQRT((1+'Paramètres'!$B$4*(C216-1)+'Paramètres'!$B$5*(C216-1)^2)),0)</x:f>
        <x:v>0</x:v>
      </x:c>
      <x:c r="H216" s="28" t="n">
        <x:f>ROUND(Catalogue!H14*SQRT((1+'Paramètres'!$B$4*(C216-1)+'Paramètres'!$B$5*(C216-1)^2)),0)</x:f>
        <x:v>0</x:v>
      </x:c>
      <x:c r="I216" s="28" t="n">
        <x:v>2</x:v>
      </x:c>
      <x:c r="J216" s="28" t="n">
        <x:v>1</x:v>
      </x:c>
      <x:c r="K216" s="30" t="n">
        <x:v>0.7</x:v>
      </x:c>
      <x:c r="L216" s="54" t="n">
        <x:f>IF(M216=0,0,(E216+F216)/2)</x:f>
        <x:v>13.5</x:v>
      </x:c>
      <x:c r="M216" t="n">
        <x:v>3</x:v>
      </x:c>
      <x:c r="N216" t="n">
        <x:v>4</x:v>
      </x:c>
      <x:c r="O216" t="n">
        <x:v>6</x:v>
      </x:c>
      <x:c r="P216" s="63" t="str">
        <x:f>IF(M216=0,"—",M216&amp;"d"&amp;N216&amp;IF(O216=0,""," + "&amp;O216))</x:f>
        <x:v>3d4 + 6</x:v>
      </x:c>
      <x:c r="Q216" t="n">
        <x:f>ROUND(INDEX(Catalogue!E$4:E$85,MATCH(A216,Catalogue!A$4:A$85,0))*(1+'Paramètres'!$B$4*(C216-1)+'Paramètres'!$B$5*(C216-1)^2),0)</x:f>
        <x:v>9</x:v>
      </x:c>
      <x:c r="R216" t="n">
        <x:f>ROUND(INDEX(Catalogue!F$4:F$85,MATCH(A216,Catalogue!A$4:A$85,0))*(1+'Paramètres'!$B$4*(C216-1)+'Paramètres'!$B$5*(C216-1)^2),0)</x:f>
        <x:v>18</x:v>
      </x:c>
      <x:c r="S216" t="n">
        <x:f>L216-AVERAGE(Q216:R216)</x:f>
        <x:v>0</x:v>
      </x:c>
      <x:c r="T216" t="str">
        <x:f>IF(M216=0,IF(AND(N216=0,O216=0,E216=0,F216=0),"OK","ERREUR"),IF(AND(M216&gt;=1,M216&lt;=32,OR(N216=4,N216=6,N216=8,N216=10,N216=12,N216=20),O216&gt;=0,E216=M216+O216,F216=M216*N216+O216),"OK","ERREUR"))</x:f>
        <x:v>OK</x:v>
      </x:c>
      <x:c r="U216" s="86" t="n">
        <x:f>IF(M216&gt;0,M216*(N216+1)/2+O216,0)</x:f>
        <x:v>13.5</x:v>
      </x:c>
      <x:c r="V216" t="str">
        <x:f>IF(ABS(L216-U216)&lt;0.001,"OK","ERREUR")</x:f>
        <x:v>OK</x:v>
      </x:c>
    </x:row>
    <x:row r="217" ht="18" customHeight="1">
      <x:c r="A217" t="str">
        <x:v>ARM011</x:v>
      </x:c>
      <x:c r="B217" t="str">
        <x:v>Serpe</x:v>
      </x:c>
      <x:c r="C217" t="n">
        <x:v>14</x:v>
      </x:c>
      <x:c r="D217" t="str">
        <x:v>Légères</x:v>
      </x:c>
      <x:c r="E217" s="28" t="n">
        <x:f>IF(M217=0,0,M217+O217)</x:f>
        <x:v>10</x:v>
      </x:c>
      <x:c r="F217" s="28" t="n">
        <x:f>IF(M217=0,0,M217*N217+O217)</x:f>
        <x:v>20</x:v>
      </x:c>
      <x:c r="G217" s="28" t="n">
        <x:f>ROUND(Catalogue!G14*SQRT((1+'Paramètres'!$B$4*(C217-1)+'Paramètres'!$B$5*(C217-1)^2)),0)</x:f>
        <x:v>0</x:v>
      </x:c>
      <x:c r="H217" s="28" t="n">
        <x:f>ROUND(Catalogue!H14*SQRT((1+'Paramètres'!$B$4*(C217-1)+'Paramètres'!$B$5*(C217-1)^2)),0)</x:f>
        <x:v>0</x:v>
      </x:c>
      <x:c r="I217" s="28" t="n">
        <x:v>2</x:v>
      </x:c>
      <x:c r="J217" s="28" t="n">
        <x:v>1</x:v>
      </x:c>
      <x:c r="K217" s="30" t="n">
        <x:v>0.7</x:v>
      </x:c>
      <x:c r="L217" s="54" t="n">
        <x:f>IF(M217=0,0,(E217+F217)/2)</x:f>
        <x:v>15</x:v>
      </x:c>
      <x:c r="M217" t="n">
        <x:v>2</x:v>
      </x:c>
      <x:c r="N217" t="n">
        <x:v>6</x:v>
      </x:c>
      <x:c r="O217" t="n">
        <x:v>8</x:v>
      </x:c>
      <x:c r="P217" s="63" t="str">
        <x:f>IF(M217=0,"—",M217&amp;"d"&amp;N217&amp;IF(O217=0,""," + "&amp;O217))</x:f>
        <x:v>2d6 + 8</x:v>
      </x:c>
      <x:c r="Q217" t="n">
        <x:f>ROUND(INDEX(Catalogue!E$4:E$85,MATCH(A217,Catalogue!A$4:A$85,0))*(1+'Paramètres'!$B$4*(C217-1)+'Paramètres'!$B$5*(C217-1)^2),0)</x:f>
        <x:v>10</x:v>
      </x:c>
      <x:c r="R217" t="n">
        <x:f>ROUND(INDEX(Catalogue!F$4:F$85,MATCH(A217,Catalogue!A$4:A$85,0))*(1+'Paramètres'!$B$4*(C217-1)+'Paramètres'!$B$5*(C217-1)^2),0)</x:f>
        <x:v>21</x:v>
      </x:c>
      <x:c r="S217" t="n">
        <x:f>L217-AVERAGE(Q217:R217)</x:f>
        <x:v>-0.5</x:v>
      </x:c>
      <x:c r="T217" t="str">
        <x:f>IF(M217=0,IF(AND(N217=0,O217=0,E217=0,F217=0),"OK","ERREUR"),IF(AND(M217&gt;=1,M217&lt;=32,OR(N217=4,N217=6,N217=8,N217=10,N217=12,N217=20),O217&gt;=0,E217=M217+O217,F217=M217*N217+O217),"OK","ERREUR"))</x:f>
        <x:v>OK</x:v>
      </x:c>
      <x:c r="U217" s="86" t="n">
        <x:f>IF(M217&gt;0,M217*(N217+1)/2+O217,0)</x:f>
        <x:v>15</x:v>
      </x:c>
      <x:c r="V217" t="str">
        <x:f>IF(ABS(L217-U217)&lt;0.001,"OK","ERREUR")</x:f>
        <x:v>OK</x:v>
      </x:c>
    </x:row>
    <x:row r="218" ht="18" customHeight="1">
      <x:c r="A218" t="str">
        <x:v>ARM011</x:v>
      </x:c>
      <x:c r="B218" t="str">
        <x:v>Serpe</x:v>
      </x:c>
      <x:c r="C218" t="n">
        <x:v>15</x:v>
      </x:c>
      <x:c r="D218" t="str">
        <x:v>Légères</x:v>
      </x:c>
      <x:c r="E218" s="28" t="n">
        <x:f>IF(M218=0,0,M218+O218)</x:f>
        <x:v>11</x:v>
      </x:c>
      <x:c r="F218" s="28" t="n">
        <x:f>IF(M218=0,0,M218*N218+O218)</x:f>
        <x:v>23</x:v>
      </x:c>
      <x:c r="G218" s="28" t="n">
        <x:f>ROUND(Catalogue!G14*SQRT((1+'Paramètres'!$B$4*(C218-1)+'Paramètres'!$B$5*(C218-1)^2)),0)</x:f>
        <x:v>0</x:v>
      </x:c>
      <x:c r="H218" s="28" t="n">
        <x:f>ROUND(Catalogue!H14*SQRT((1+'Paramètres'!$B$4*(C218-1)+'Paramètres'!$B$5*(C218-1)^2)),0)</x:f>
        <x:v>0</x:v>
      </x:c>
      <x:c r="I218" s="28" t="n">
        <x:v>2</x:v>
      </x:c>
      <x:c r="J218" s="28" t="n">
        <x:v>1</x:v>
      </x:c>
      <x:c r="K218" s="30" t="n">
        <x:v>0.7</x:v>
      </x:c>
      <x:c r="L218" s="54" t="n">
        <x:f>IF(M218=0,0,(E218+F218)/2)</x:f>
        <x:v>17</x:v>
      </x:c>
      <x:c r="M218" t="n">
        <x:v>4</x:v>
      </x:c>
      <x:c r="N218" t="n">
        <x:v>4</x:v>
      </x:c>
      <x:c r="O218" t="n">
        <x:v>7</x:v>
      </x:c>
      <x:c r="P218" s="63" t="str">
        <x:f>IF(M218=0,"—",M218&amp;"d"&amp;N218&amp;IF(O218=0,""," + "&amp;O218))</x:f>
        <x:v>4d4 + 7</x:v>
      </x:c>
      <x:c r="Q218" t="n">
        <x:f>ROUND(INDEX(Catalogue!E$4:E$85,MATCH(A218,Catalogue!A$4:A$85,0))*(1+'Paramètres'!$B$4*(C218-1)+'Paramètres'!$B$5*(C218-1)^2),0)</x:f>
        <x:v>11</x:v>
      </x:c>
      <x:c r="R218" t="n">
        <x:f>ROUND(INDEX(Catalogue!F$4:F$85,MATCH(A218,Catalogue!A$4:A$85,0))*(1+'Paramètres'!$B$4*(C218-1)+'Paramètres'!$B$5*(C218-1)^2),0)</x:f>
        <x:v>23</x:v>
      </x:c>
      <x:c r="S218" t="n">
        <x:f>L218-AVERAGE(Q218:R218)</x:f>
        <x:v>0</x:v>
      </x:c>
      <x:c r="T218" t="str">
        <x:f>IF(M218=0,IF(AND(N218=0,O218=0,E218=0,F218=0),"OK","ERREUR"),IF(AND(M218&gt;=1,M218&lt;=32,OR(N218=4,N218=6,N218=8,N218=10,N218=12,N218=20),O218&gt;=0,E218=M218+O218,F218=M218*N218+O218),"OK","ERREUR"))</x:f>
        <x:v>OK</x:v>
      </x:c>
      <x:c r="U218" s="86" t="n">
        <x:f>IF(M218&gt;0,M218*(N218+1)/2+O218,0)</x:f>
        <x:v>17</x:v>
      </x:c>
      <x:c r="V218" t="str">
        <x:f>IF(ABS(L218-U218)&lt;0.001,"OK","ERREUR")</x:f>
        <x:v>OK</x:v>
      </x:c>
    </x:row>
    <x:row r="219" ht="18" customHeight="1">
      <x:c r="A219" t="str">
        <x:v>ARM011</x:v>
      </x:c>
      <x:c r="B219" t="str">
        <x:v>Serpe</x:v>
      </x:c>
      <x:c r="C219" t="n">
        <x:v>16</x:v>
      </x:c>
      <x:c r="D219" t="str">
        <x:v>Légères</x:v>
      </x:c>
      <x:c r="E219" s="28" t="n">
        <x:f>IF(M219=0,0,M219+O219)</x:f>
        <x:v>13</x:v>
      </x:c>
      <x:c r="F219" s="28" t="n">
        <x:f>IF(M219=0,0,M219*N219+O219)</x:f>
        <x:v>25</x:v>
      </x:c>
      <x:c r="G219" s="28" t="n">
        <x:f>ROUND(Catalogue!G14*SQRT((1+'Paramètres'!$B$4*(C219-1)+'Paramètres'!$B$5*(C219-1)^2)),0)</x:f>
        <x:v>0</x:v>
      </x:c>
      <x:c r="H219" s="28" t="n">
        <x:f>ROUND(Catalogue!H14*SQRT((1+'Paramètres'!$B$4*(C219-1)+'Paramètres'!$B$5*(C219-1)^2)),0)</x:f>
        <x:v>0</x:v>
      </x:c>
      <x:c r="I219" s="28" t="n">
        <x:v>2</x:v>
      </x:c>
      <x:c r="J219" s="28" t="n">
        <x:v>1</x:v>
      </x:c>
      <x:c r="K219" s="30" t="n">
        <x:v>0.7</x:v>
      </x:c>
      <x:c r="L219" s="54" t="n">
        <x:f>IF(M219=0,0,(E219+F219)/2)</x:f>
        <x:v>19</x:v>
      </x:c>
      <x:c r="M219" t="n">
        <x:v>4</x:v>
      </x:c>
      <x:c r="N219" t="n">
        <x:v>4</x:v>
      </x:c>
      <x:c r="O219" t="n">
        <x:v>9</x:v>
      </x:c>
      <x:c r="P219" s="63" t="str">
        <x:f>IF(M219=0,"—",M219&amp;"d"&amp;N219&amp;IF(O219=0,""," + "&amp;O219))</x:f>
        <x:v>4d4 + 9</x:v>
      </x:c>
      <x:c r="Q219" t="n">
        <x:f>ROUND(INDEX(Catalogue!E$4:E$85,MATCH(A219,Catalogue!A$4:A$85,0))*(1+'Paramètres'!$B$4*(C219-1)+'Paramètres'!$B$5*(C219-1)^2),0)</x:f>
        <x:v>13</x:v>
      </x:c>
      <x:c r="R219" t="n">
        <x:f>ROUND(INDEX(Catalogue!F$4:F$85,MATCH(A219,Catalogue!A$4:A$85,0))*(1+'Paramètres'!$B$4*(C219-1)+'Paramètres'!$B$5*(C219-1)^2),0)</x:f>
        <x:v>25</x:v>
      </x:c>
      <x:c r="S219" t="n">
        <x:f>L219-AVERAGE(Q219:R219)</x:f>
        <x:v>0</x:v>
      </x:c>
      <x:c r="T219" t="str">
        <x:f>IF(M219=0,IF(AND(N219=0,O219=0,E219=0,F219=0),"OK","ERREUR"),IF(AND(M219&gt;=1,M219&lt;=32,OR(N219=4,N219=6,N219=8,N219=10,N219=12,N219=20),O219&gt;=0,E219=M219+O219,F219=M219*N219+O219),"OK","ERREUR"))</x:f>
        <x:v>OK</x:v>
      </x:c>
      <x:c r="U219" s="86" t="n">
        <x:f>IF(M219&gt;0,M219*(N219+1)/2+O219,0)</x:f>
        <x:v>19</x:v>
      </x:c>
      <x:c r="V219" t="str">
        <x:f>IF(ABS(L219-U219)&lt;0.001,"OK","ERREUR")</x:f>
        <x:v>OK</x:v>
      </x:c>
    </x:row>
    <x:row r="220" ht="18" customHeight="1">
      <x:c r="A220" t="str">
        <x:v>ARM011</x:v>
      </x:c>
      <x:c r="B220" t="str">
        <x:v>Serpe</x:v>
      </x:c>
      <x:c r="C220" t="n">
        <x:v>17</x:v>
      </x:c>
      <x:c r="D220" t="str">
        <x:v>Légères</x:v>
      </x:c>
      <x:c r="E220" s="28" t="n">
        <x:f>IF(M220=0,0,M220+O220)</x:f>
        <x:v>13</x:v>
      </x:c>
      <x:c r="F220" s="28" t="n">
        <x:f>IF(M220=0,0,M220*N220+O220)</x:f>
        <x:v>27</x:v>
      </x:c>
      <x:c r="G220" s="28" t="n">
        <x:f>ROUND(Catalogue!G14*SQRT((1+'Paramètres'!$B$4*(C220-1)+'Paramètres'!$B$5*(C220-1)^2)),0)</x:f>
        <x:v>0</x:v>
      </x:c>
      <x:c r="H220" s="28" t="n">
        <x:f>ROUND(Catalogue!H14*SQRT((1+'Paramètres'!$B$4*(C220-1)+'Paramètres'!$B$5*(C220-1)^2)),0)</x:f>
        <x:v>0</x:v>
      </x:c>
      <x:c r="I220" s="28" t="n">
        <x:v>2</x:v>
      </x:c>
      <x:c r="J220" s="28" t="n">
        <x:v>1</x:v>
      </x:c>
      <x:c r="K220" s="30" t="n">
        <x:v>0.7</x:v>
      </x:c>
      <x:c r="L220" s="54" t="n">
        <x:f>IF(M220=0,0,(E220+F220)/2)</x:f>
        <x:v>20</x:v>
      </x:c>
      <x:c r="M220" t="n">
        <x:v>2</x:v>
      </x:c>
      <x:c r="N220" t="n">
        <x:v>8</x:v>
      </x:c>
      <x:c r="O220" t="n">
        <x:v>11</x:v>
      </x:c>
      <x:c r="P220" s="63" t="str">
        <x:f>IF(M220=0,"—",M220&amp;"d"&amp;N220&amp;IF(O220=0,""," + "&amp;O220))</x:f>
        <x:v>2d8 + 11</x:v>
      </x:c>
      <x:c r="Q220" t="n">
        <x:f>ROUND(INDEX(Catalogue!E$4:E$85,MATCH(A220,Catalogue!A$4:A$85,0))*(1+'Paramètres'!$B$4*(C220-1)+'Paramètres'!$B$5*(C220-1)^2),0)</x:f>
        <x:v>14</x:v>
      </x:c>
      <x:c r="R220" t="n">
        <x:f>ROUND(INDEX(Catalogue!F$4:F$85,MATCH(A220,Catalogue!A$4:A$85,0))*(1+'Paramètres'!$B$4*(C220-1)+'Paramètres'!$B$5*(C220-1)^2),0)</x:f>
        <x:v>27</x:v>
      </x:c>
      <x:c r="S220" t="n">
        <x:f>L220-AVERAGE(Q220:R220)</x:f>
        <x:v>-0.5</x:v>
      </x:c>
      <x:c r="T220" t="str">
        <x:f>IF(M220=0,IF(AND(N220=0,O220=0,E220=0,F220=0),"OK","ERREUR"),IF(AND(M220&gt;=1,M220&lt;=32,OR(N220=4,N220=6,N220=8,N220=10,N220=12,N220=20),O220&gt;=0,E220=M220+O220,F220=M220*N220+O220),"OK","ERREUR"))</x:f>
        <x:v>OK</x:v>
      </x:c>
      <x:c r="U220" s="86" t="n">
        <x:f>IF(M220&gt;0,M220*(N220+1)/2+O220,0)</x:f>
        <x:v>20</x:v>
      </x:c>
      <x:c r="V220" t="str">
        <x:f>IF(ABS(L220-U220)&lt;0.001,"OK","ERREUR")</x:f>
        <x:v>OK</x:v>
      </x:c>
    </x:row>
    <x:row r="221" ht="18" customHeight="1">
      <x:c r="A221" t="str">
        <x:v>ARM011</x:v>
      </x:c>
      <x:c r="B221" t="str">
        <x:v>Serpe</x:v>
      </x:c>
      <x:c r="C221" t="n">
        <x:v>18</x:v>
      </x:c>
      <x:c r="D221" t="str">
        <x:v>Légères</x:v>
      </x:c>
      <x:c r="E221" s="28" t="n">
        <x:f>IF(M221=0,0,M221+O221)</x:f>
        <x:v>15</x:v>
      </x:c>
      <x:c r="F221" s="28" t="n">
        <x:f>IF(M221=0,0,M221*N221+O221)</x:f>
        <x:v>30</x:v>
      </x:c>
      <x:c r="G221" s="28" t="n">
        <x:f>ROUND(Catalogue!G14*SQRT((1+'Paramètres'!$B$4*(C221-1)+'Paramètres'!$B$5*(C221-1)^2)),0)</x:f>
        <x:v>0</x:v>
      </x:c>
      <x:c r="H221" s="28" t="n">
        <x:f>ROUND(Catalogue!H14*SQRT((1+'Paramètres'!$B$4*(C221-1)+'Paramètres'!$B$5*(C221-1)^2)),0)</x:f>
        <x:v>0</x:v>
      </x:c>
      <x:c r="I221" s="28" t="n">
        <x:v>2</x:v>
      </x:c>
      <x:c r="J221" s="28" t="n">
        <x:v>1</x:v>
      </x:c>
      <x:c r="K221" s="30" t="n">
        <x:v>0.7</x:v>
      </x:c>
      <x:c r="L221" s="54" t="n">
        <x:f>IF(M221=0,0,(E221+F221)/2)</x:f>
        <x:v>22.5</x:v>
      </x:c>
      <x:c r="M221" t="n">
        <x:v>3</x:v>
      </x:c>
      <x:c r="N221" t="n">
        <x:v>6</x:v>
      </x:c>
      <x:c r="O221" t="n">
        <x:v>12</x:v>
      </x:c>
      <x:c r="P221" s="63" t="str">
        <x:f>IF(M221=0,"—",M221&amp;"d"&amp;N221&amp;IF(O221=0,""," + "&amp;O221))</x:f>
        <x:v>3d6 + 12</x:v>
      </x:c>
      <x:c r="Q221" t="n">
        <x:f>ROUND(INDEX(Catalogue!E$4:E$85,MATCH(A221,Catalogue!A$4:A$85,0))*(1+'Paramètres'!$B$4*(C221-1)+'Paramètres'!$B$5*(C221-1)^2),0)</x:f>
        <x:v>15</x:v>
      </x:c>
      <x:c r="R221" t="n">
        <x:f>ROUND(INDEX(Catalogue!F$4:F$85,MATCH(A221,Catalogue!A$4:A$85,0))*(1+'Paramètres'!$B$4*(C221-1)+'Paramètres'!$B$5*(C221-1)^2),0)</x:f>
        <x:v>30</x:v>
      </x:c>
      <x:c r="S221" t="n">
        <x:f>L221-AVERAGE(Q221:R221)</x:f>
        <x:v>0</x:v>
      </x:c>
      <x:c r="T221" t="str">
        <x:f>IF(M221=0,IF(AND(N221=0,O221=0,E221=0,F221=0),"OK","ERREUR"),IF(AND(M221&gt;=1,M221&lt;=32,OR(N221=4,N221=6,N221=8,N221=10,N221=12,N221=20),O221&gt;=0,E221=M221+O221,F221=M221*N221+O221),"OK","ERREUR"))</x:f>
        <x:v>OK</x:v>
      </x:c>
      <x:c r="U221" s="86" t="n">
        <x:f>IF(M221&gt;0,M221*(N221+1)/2+O221,0)</x:f>
        <x:v>22.5</x:v>
      </x:c>
      <x:c r="V221" t="str">
        <x:f>IF(ABS(L221-U221)&lt;0.001,"OK","ERREUR")</x:f>
        <x:v>OK</x:v>
      </x:c>
    </x:row>
    <x:row r="222" ht="18" customHeight="1">
      <x:c r="A222" t="str">
        <x:v>ARM011</x:v>
      </x:c>
      <x:c r="B222" t="str">
        <x:v>Serpe</x:v>
      </x:c>
      <x:c r="C222" t="n">
        <x:v>19</x:v>
      </x:c>
      <x:c r="D222" t="str">
        <x:v>Légères</x:v>
      </x:c>
      <x:c r="E222" s="28" t="n">
        <x:f>IF(M222=0,0,M222+O222)</x:f>
        <x:v>15</x:v>
      </x:c>
      <x:c r="F222" s="28" t="n">
        <x:f>IF(M222=0,0,M222*N222+O222)</x:f>
        <x:v>33</x:v>
      </x:c>
      <x:c r="G222" s="28" t="n">
        <x:f>ROUND(Catalogue!G14*SQRT((1+'Paramètres'!$B$4*(C222-1)+'Paramètres'!$B$5*(C222-1)^2)),0)</x:f>
        <x:v>0</x:v>
      </x:c>
      <x:c r="H222" s="28" t="n">
        <x:f>ROUND(Catalogue!H14*SQRT((1+'Paramètres'!$B$4*(C222-1)+'Paramètres'!$B$5*(C222-1)^2)),0)</x:f>
        <x:v>0</x:v>
      </x:c>
      <x:c r="I222" s="28" t="n">
        <x:v>2</x:v>
      </x:c>
      <x:c r="J222" s="28" t="n">
        <x:v>1</x:v>
      </x:c>
      <x:c r="K222" s="30" t="n">
        <x:v>0.7</x:v>
      </x:c>
      <x:c r="L222" s="54" t="n">
        <x:f>IF(M222=0,0,(E222+F222)/2)</x:f>
        <x:v>24</x:v>
      </x:c>
      <x:c r="M222" t="n">
        <x:v>2</x:v>
      </x:c>
      <x:c r="N222" t="n">
        <x:v>10</x:v>
      </x:c>
      <x:c r="O222" t="n">
        <x:v>13</x:v>
      </x:c>
      <x:c r="P222" s="63" t="str">
        <x:f>IF(M222=0,"—",M222&amp;"d"&amp;N222&amp;IF(O222=0,""," + "&amp;O222))</x:f>
        <x:v>2d10 + 13</x:v>
      </x:c>
      <x:c r="Q222" t="n">
        <x:f>ROUND(INDEX(Catalogue!E$4:E$85,MATCH(A222,Catalogue!A$4:A$85,0))*(1+'Paramètres'!$B$4*(C222-1)+'Paramètres'!$B$5*(C222-1)^2),0)</x:f>
        <x:v>16</x:v>
      </x:c>
      <x:c r="R222" t="n">
        <x:f>ROUND(INDEX(Catalogue!F$4:F$85,MATCH(A222,Catalogue!A$4:A$85,0))*(1+'Paramètres'!$B$4*(C222-1)+'Paramètres'!$B$5*(C222-1)^2),0)</x:f>
        <x:v>33</x:v>
      </x:c>
      <x:c r="S222" t="n">
        <x:f>L222-AVERAGE(Q222:R222)</x:f>
        <x:v>-0.5</x:v>
      </x:c>
      <x:c r="T222" t="str">
        <x:f>IF(M222=0,IF(AND(N222=0,O222=0,E222=0,F222=0),"OK","ERREUR"),IF(AND(M222&gt;=1,M222&lt;=32,OR(N222=4,N222=6,N222=8,N222=10,N222=12,N222=20),O222&gt;=0,E222=M222+O222,F222=M222*N222+O222),"OK","ERREUR"))</x:f>
        <x:v>OK</x:v>
      </x:c>
      <x:c r="U222" s="86" t="n">
        <x:f>IF(M222&gt;0,M222*(N222+1)/2+O222,0)</x:f>
        <x:v>24</x:v>
      </x:c>
      <x:c r="V222" t="str">
        <x:f>IF(ABS(L222-U222)&lt;0.001,"OK","ERREUR")</x:f>
        <x:v>OK</x:v>
      </x:c>
    </x:row>
    <x:row r="223" ht="18" customHeight="1">
      <x:c r="A223" t="str">
        <x:v>ARM011</x:v>
      </x:c>
      <x:c r="B223" t="str">
        <x:v>Serpe</x:v>
      </x:c>
      <x:c r="C223" t="n">
        <x:v>20</x:v>
      </x:c>
      <x:c r="D223" t="str">
        <x:v>Légères</x:v>
      </x:c>
      <x:c r="E223" s="28" t="n">
        <x:f>IF(M223=0,0,M223+O223)</x:f>
        <x:v>18</x:v>
      </x:c>
      <x:c r="F223" s="28" t="n">
        <x:f>IF(M223=0,0,M223*N223+O223)</x:f>
        <x:v>36</x:v>
      </x:c>
      <x:c r="G223" s="28" t="n">
        <x:f>ROUND(Catalogue!G14*SQRT((1+'Paramètres'!$B$4*(C223-1)+'Paramètres'!$B$5*(C223-1)^2)),0)</x:f>
        <x:v>0</x:v>
      </x:c>
      <x:c r="H223" s="28" t="n">
        <x:f>ROUND(Catalogue!H14*SQRT((1+'Paramètres'!$B$4*(C223-1)+'Paramètres'!$B$5*(C223-1)^2)),0)</x:f>
        <x:v>0</x:v>
      </x:c>
      <x:c r="I223" s="28" t="n">
        <x:v>2</x:v>
      </x:c>
      <x:c r="J223" s="28" t="n">
        <x:v>1</x:v>
      </x:c>
      <x:c r="K223" s="30" t="n">
        <x:v>0.7</x:v>
      </x:c>
      <x:c r="L223" s="54" t="n">
        <x:f>IF(M223=0,0,(E223+F223)/2)</x:f>
        <x:v>27</x:v>
      </x:c>
      <x:c r="M223" t="n">
        <x:v>2</x:v>
      </x:c>
      <x:c r="N223" t="n">
        <x:v>10</x:v>
      </x:c>
      <x:c r="O223" t="n">
        <x:v>16</x:v>
      </x:c>
      <x:c r="P223" s="63" t="str">
        <x:f>IF(M223=0,"—",M223&amp;"d"&amp;N223&amp;IF(O223=0,""," + "&amp;O223))</x:f>
        <x:v>2d10 + 16</x:v>
      </x:c>
      <x:c r="Q223" t="n">
        <x:f>ROUND(INDEX(Catalogue!E$4:E$85,MATCH(A223,Catalogue!A$4:A$85,0))*(1+'Paramètres'!$B$4*(C223-1)+'Paramètres'!$B$5*(C223-1)^2),0)</x:f>
        <x:v>18</x:v>
      </x:c>
      <x:c r="R223" t="n">
        <x:f>ROUND(INDEX(Catalogue!F$4:F$85,MATCH(A223,Catalogue!A$4:A$85,0))*(1+'Paramètres'!$B$4*(C223-1)+'Paramètres'!$B$5*(C223-1)^2),0)</x:f>
        <x:v>35</x:v>
      </x:c>
      <x:c r="S223" t="n">
        <x:f>L223-AVERAGE(Q223:R223)</x:f>
        <x:v>0.5</x:v>
      </x:c>
      <x:c r="T223" t="str">
        <x:f>IF(M223=0,IF(AND(N223=0,O223=0,E223=0,F223=0),"OK","ERREUR"),IF(AND(M223&gt;=1,M223&lt;=32,OR(N223=4,N223=6,N223=8,N223=10,N223=12,N223=20),O223&gt;=0,E223=M223+O223,F223=M223*N223+O223),"OK","ERREUR"))</x:f>
        <x:v>OK</x:v>
      </x:c>
      <x:c r="U223" s="86" t="n">
        <x:f>IF(M223&gt;0,M223*(N223+1)/2+O223,0)</x:f>
        <x:v>27</x:v>
      </x:c>
      <x:c r="V223" t="str">
        <x:f>IF(ABS(L223-U223)&lt;0.001,"OK","ERREUR")</x:f>
        <x:v>OK</x:v>
      </x:c>
    </x:row>
    <x:row r="224" ht="18" customHeight="1">
      <x:c r="A224" t="str">
        <x:v>ARM012</x:v>
      </x:c>
      <x:c r="B224" t="str">
        <x:v>Gourdin léger</x:v>
      </x:c>
      <x:c r="C224" t="n">
        <x:v>1</x:v>
      </x:c>
      <x:c r="D224" t="str">
        <x:v>Légères</x:v>
      </x:c>
      <x:c r="E224" s="28" t="n">
        <x:f>IF(M224=0,0,M224+O224)</x:f>
        <x:v>1</x:v>
      </x:c>
      <x:c r="F224" s="28" t="n">
        <x:f>IF(M224=0,0,M224*N224+O224)</x:f>
        <x:v>4</x:v>
      </x:c>
      <x:c r="G224" s="28" t="n">
        <x:f>ROUND(Catalogue!G15*SQRT((1+'Paramètres'!$B$4*(C224-1)+'Paramètres'!$B$5*(C224-1)^2)),0)</x:f>
        <x:v>0</x:v>
      </x:c>
      <x:c r="H224" s="28" t="n">
        <x:f>ROUND(Catalogue!H15*SQRT((1+'Paramètres'!$B$4*(C224-1)+'Paramètres'!$B$5*(C224-1)^2)),0)</x:f>
        <x:v>0</x:v>
      </x:c>
      <x:c r="I224" s="28" t="n">
        <x:v>2</x:v>
      </x:c>
      <x:c r="J224" s="28" t="n">
        <x:v>1</x:v>
      </x:c>
      <x:c r="K224" s="30" t="n">
        <x:v>0.8</x:v>
      </x:c>
      <x:c r="L224" s="54" t="n">
        <x:f>IF(M224=0,0,(E224+F224)/2)</x:f>
        <x:v>2.5</x:v>
      </x:c>
      <x:c r="M224" t="n">
        <x:v>1</x:v>
      </x:c>
      <x:c r="N224" t="n">
        <x:v>4</x:v>
      </x:c>
      <x:c r="O224" t="n">
        <x:v>0</x:v>
      </x:c>
      <x:c r="P224" s="63" t="str">
        <x:f>IF(M224=0,"—",M224&amp;"d"&amp;N224&amp;IF(O224=0,""," + "&amp;O224))</x:f>
        <x:v>1d4</x:v>
      </x:c>
      <x:c r="Q224" t="n">
        <x:f>ROUND(INDEX(Catalogue!E$4:E$85,MATCH(A224,Catalogue!A$4:A$85,0))*(1+'Paramètres'!$B$4*(C224-1)+'Paramètres'!$B$5*(C224-1)^2),0)</x:f>
        <x:v>2</x:v>
      </x:c>
      <x:c r="R224" t="n">
        <x:f>ROUND(INDEX(Catalogue!F$4:F$85,MATCH(A224,Catalogue!A$4:A$85,0))*(1+'Paramètres'!$B$4*(C224-1)+'Paramètres'!$B$5*(C224-1)^2),0)</x:f>
        <x:v>4</x:v>
      </x:c>
      <x:c r="S224" t="n">
        <x:f>L224-AVERAGE(Q224:R224)</x:f>
        <x:v>-0.5</x:v>
      </x:c>
      <x:c r="T224" t="str">
        <x:f>IF(M224=0,IF(AND(N224=0,O224=0,E224=0,F224=0),"OK","ERREUR"),IF(AND(M224&gt;=1,M224&lt;=32,OR(N224=4,N224=6,N224=8,N224=10,N224=12,N224=20),O224&gt;=0,E224=M224+O224,F224=M224*N224+O224),"OK","ERREUR"))</x:f>
        <x:v>OK</x:v>
      </x:c>
      <x:c r="U224" s="86" t="n">
        <x:f>IF(M224&gt;0,M224*(N224+1)/2+O224,0)</x:f>
        <x:v>2.5</x:v>
      </x:c>
      <x:c r="V224" t="str">
        <x:f>IF(ABS(L224-U224)&lt;0.001,"OK","ERREUR")</x:f>
        <x:v>OK</x:v>
      </x:c>
    </x:row>
    <x:row r="225" ht="18" customHeight="1">
      <x:c r="A225" t="str">
        <x:v>ARM012</x:v>
      </x:c>
      <x:c r="B225" t="str">
        <x:v>Gourdin léger</x:v>
      </x:c>
      <x:c r="C225" t="n">
        <x:v>2</x:v>
      </x:c>
      <x:c r="D225" t="str">
        <x:v>Légères</x:v>
      </x:c>
      <x:c r="E225" s="28" t="n">
        <x:f>IF(M225=0,0,M225+O225)</x:f>
        <x:v>2</x:v>
      </x:c>
      <x:c r="F225" s="28" t="n">
        <x:f>IF(M225=0,0,M225*N225+O225)</x:f>
        <x:v>5</x:v>
      </x:c>
      <x:c r="G225" s="28" t="n">
        <x:f>ROUND(Catalogue!G15*SQRT((1+'Paramètres'!$B$4*(C225-1)+'Paramètres'!$B$5*(C225-1)^2)),0)</x:f>
        <x:v>0</x:v>
      </x:c>
      <x:c r="H225" s="28" t="n">
        <x:f>ROUND(Catalogue!H15*SQRT((1+'Paramètres'!$B$4*(C225-1)+'Paramètres'!$B$5*(C225-1)^2)),0)</x:f>
        <x:v>0</x:v>
      </x:c>
      <x:c r="I225" s="28" t="n">
        <x:v>2</x:v>
      </x:c>
      <x:c r="J225" s="28" t="n">
        <x:v>1</x:v>
      </x:c>
      <x:c r="K225" s="30" t="n">
        <x:v>0.8</x:v>
      </x:c>
      <x:c r="L225" s="54" t="n">
        <x:f>IF(M225=0,0,(E225+F225)/2)</x:f>
        <x:v>3.5</x:v>
      </x:c>
      <x:c r="M225" t="n">
        <x:v>1</x:v>
      </x:c>
      <x:c r="N225" t="n">
        <x:v>4</x:v>
      </x:c>
      <x:c r="O225" t="n">
        <x:v>1</x:v>
      </x:c>
      <x:c r="P225" s="63" t="str">
        <x:f>IF(M225=0,"—",M225&amp;"d"&amp;N225&amp;IF(O225=0,""," + "&amp;O225))</x:f>
        <x:v>1d4 + 1</x:v>
      </x:c>
      <x:c r="Q225" t="n">
        <x:f>ROUND(INDEX(Catalogue!E$4:E$85,MATCH(A225,Catalogue!A$4:A$85,0))*(1+'Paramètres'!$B$4*(C225-1)+'Paramètres'!$B$5*(C225-1)^2),0)</x:f>
        <x:v>2</x:v>
      </x:c>
      <x:c r="R225" t="n">
        <x:f>ROUND(INDEX(Catalogue!F$4:F$85,MATCH(A225,Catalogue!A$4:A$85,0))*(1+'Paramètres'!$B$4*(C225-1)+'Paramètres'!$B$5*(C225-1)^2),0)</x:f>
        <x:v>5</x:v>
      </x:c>
      <x:c r="S225" t="n">
        <x:f>L225-AVERAGE(Q225:R225)</x:f>
        <x:v>0</x:v>
      </x:c>
      <x:c r="T225" t="str">
        <x:f>IF(M225=0,IF(AND(N225=0,O225=0,E225=0,F225=0),"OK","ERREUR"),IF(AND(M225&gt;=1,M225&lt;=32,OR(N225=4,N225=6,N225=8,N225=10,N225=12,N225=20),O225&gt;=0,E225=M225+O225,F225=M225*N225+O225),"OK","ERREUR"))</x:f>
        <x:v>OK</x:v>
      </x:c>
      <x:c r="U225" s="86" t="n">
        <x:f>IF(M225&gt;0,M225*(N225+1)/2+O225,0)</x:f>
        <x:v>3.5</x:v>
      </x:c>
      <x:c r="V225" t="str">
        <x:f>IF(ABS(L225-U225)&lt;0.001,"OK","ERREUR")</x:f>
        <x:v>OK</x:v>
      </x:c>
    </x:row>
    <x:row r="226" ht="18" customHeight="1">
      <x:c r="A226" t="str">
        <x:v>ARM012</x:v>
      </x:c>
      <x:c r="B226" t="str">
        <x:v>Gourdin léger</x:v>
      </x:c>
      <x:c r="C226" t="n">
        <x:v>3</x:v>
      </x:c>
      <x:c r="D226" t="str">
        <x:v>Légères</x:v>
      </x:c>
      <x:c r="E226" s="28" t="n">
        <x:f>IF(M226=0,0,M226+O226)</x:f>
        <x:v>2</x:v>
      </x:c>
      <x:c r="F226" s="28" t="n">
        <x:f>IF(M226=0,0,M226*N226+O226)</x:f>
        <x:v>5</x:v>
      </x:c>
      <x:c r="G226" s="28" t="n">
        <x:f>ROUND(Catalogue!G15*SQRT((1+'Paramètres'!$B$4*(C226-1)+'Paramètres'!$B$5*(C226-1)^2)),0)</x:f>
        <x:v>0</x:v>
      </x:c>
      <x:c r="H226" s="28" t="n">
        <x:f>ROUND(Catalogue!H15*SQRT((1+'Paramètres'!$B$4*(C226-1)+'Paramètres'!$B$5*(C226-1)^2)),0)</x:f>
        <x:v>0</x:v>
      </x:c>
      <x:c r="I226" s="28" t="n">
        <x:v>2</x:v>
      </x:c>
      <x:c r="J226" s="28" t="n">
        <x:v>1</x:v>
      </x:c>
      <x:c r="K226" s="30" t="n">
        <x:v>0.8</x:v>
      </x:c>
      <x:c r="L226" s="54" t="n">
        <x:f>IF(M226=0,0,(E226+F226)/2)</x:f>
        <x:v>3.5</x:v>
      </x:c>
      <x:c r="M226" t="n">
        <x:v>1</x:v>
      </x:c>
      <x:c r="N226" t="n">
        <x:v>4</x:v>
      </x:c>
      <x:c r="O226" t="n">
        <x:v>1</x:v>
      </x:c>
      <x:c r="P226" s="63" t="str">
        <x:f>IF(M226=0,"—",M226&amp;"d"&amp;N226&amp;IF(O226=0,""," + "&amp;O226))</x:f>
        <x:v>1d4 + 1</x:v>
      </x:c>
      <x:c r="Q226" t="n">
        <x:f>ROUND(INDEX(Catalogue!E$4:E$85,MATCH(A226,Catalogue!A$4:A$85,0))*(1+'Paramètres'!$B$4*(C226-1)+'Paramètres'!$B$5*(C226-1)^2),0)</x:f>
        <x:v>3</x:v>
      </x:c>
      <x:c r="R226" t="n">
        <x:f>ROUND(INDEX(Catalogue!F$4:F$85,MATCH(A226,Catalogue!A$4:A$85,0))*(1+'Paramètres'!$B$4*(C226-1)+'Paramètres'!$B$5*(C226-1)^2),0)</x:f>
        <x:v>5</x:v>
      </x:c>
      <x:c r="S226" t="n">
        <x:f>L226-AVERAGE(Q226:R226)</x:f>
        <x:v>-0.5</x:v>
      </x:c>
      <x:c r="T226" t="str">
        <x:f>IF(M226=0,IF(AND(N226=0,O226=0,E226=0,F226=0),"OK","ERREUR"),IF(AND(M226&gt;=1,M226&lt;=32,OR(N226=4,N226=6,N226=8,N226=10,N226=12,N226=20),O226&gt;=0,E226=M226+O226,F226=M226*N226+O226),"OK","ERREUR"))</x:f>
        <x:v>OK</x:v>
      </x:c>
      <x:c r="U226" s="86" t="n">
        <x:f>IF(M226&gt;0,M226*(N226+1)/2+O226,0)</x:f>
        <x:v>3.5</x:v>
      </x:c>
      <x:c r="V226" t="str">
        <x:f>IF(ABS(L226-U226)&lt;0.001,"OK","ERREUR")</x:f>
        <x:v>OK</x:v>
      </x:c>
    </x:row>
    <x:row r="227" ht="18" customHeight="1">
      <x:c r="A227" t="str">
        <x:v>ARM012</x:v>
      </x:c>
      <x:c r="B227" t="str">
        <x:v>Gourdin léger</x:v>
      </x:c>
      <x:c r="C227" t="n">
        <x:v>4</x:v>
      </x:c>
      <x:c r="D227" t="str">
        <x:v>Légères</x:v>
      </x:c>
      <x:c r="E227" s="28" t="n">
        <x:f>IF(M227=0,0,M227+O227)</x:f>
        <x:v>3</x:v>
      </x:c>
      <x:c r="F227" s="28" t="n">
        <x:f>IF(M227=0,0,M227*N227+O227)</x:f>
        <x:v>6</x:v>
      </x:c>
      <x:c r="G227" s="28" t="n">
        <x:f>ROUND(Catalogue!G15*SQRT((1+'Paramètres'!$B$4*(C227-1)+'Paramètres'!$B$5*(C227-1)^2)),0)</x:f>
        <x:v>0</x:v>
      </x:c>
      <x:c r="H227" s="28" t="n">
        <x:f>ROUND(Catalogue!H15*SQRT((1+'Paramètres'!$B$4*(C227-1)+'Paramètres'!$B$5*(C227-1)^2)),0)</x:f>
        <x:v>0</x:v>
      </x:c>
      <x:c r="I227" s="28" t="n">
        <x:v>2</x:v>
      </x:c>
      <x:c r="J227" s="28" t="n">
        <x:v>1</x:v>
      </x:c>
      <x:c r="K227" s="30" t="n">
        <x:v>0.8</x:v>
      </x:c>
      <x:c r="L227" s="54" t="n">
        <x:f>IF(M227=0,0,(E227+F227)/2)</x:f>
        <x:v>4.5</x:v>
      </x:c>
      <x:c r="M227" t="n">
        <x:v>1</x:v>
      </x:c>
      <x:c r="N227" t="n">
        <x:v>4</x:v>
      </x:c>
      <x:c r="O227" t="n">
        <x:v>2</x:v>
      </x:c>
      <x:c r="P227" s="63" t="str">
        <x:f>IF(M227=0,"—",M227&amp;"d"&amp;N227&amp;IF(O227=0,""," + "&amp;O227))</x:f>
        <x:v>1d4 + 2</x:v>
      </x:c>
      <x:c r="Q227" t="n">
        <x:f>ROUND(INDEX(Catalogue!E$4:E$85,MATCH(A227,Catalogue!A$4:A$85,0))*(1+'Paramètres'!$B$4*(C227-1)+'Paramètres'!$B$5*(C227-1)^2),0)</x:f>
        <x:v>3</x:v>
      </x:c>
      <x:c r="R227" t="n">
        <x:f>ROUND(INDEX(Catalogue!F$4:F$85,MATCH(A227,Catalogue!A$4:A$85,0))*(1+'Paramètres'!$B$4*(C227-1)+'Paramètres'!$B$5*(C227-1)^2),0)</x:f>
        <x:v>6</x:v>
      </x:c>
      <x:c r="S227" t="n">
        <x:f>L227-AVERAGE(Q227:R227)</x:f>
        <x:v>0</x:v>
      </x:c>
      <x:c r="T227" t="str">
        <x:f>IF(M227=0,IF(AND(N227=0,O227=0,E227=0,F227=0),"OK","ERREUR"),IF(AND(M227&gt;=1,M227&lt;=32,OR(N227=4,N227=6,N227=8,N227=10,N227=12,N227=20),O227&gt;=0,E227=M227+O227,F227=M227*N227+O227),"OK","ERREUR"))</x:f>
        <x:v>OK</x:v>
      </x:c>
      <x:c r="U227" s="86" t="n">
        <x:f>IF(M227&gt;0,M227*(N227+1)/2+O227,0)</x:f>
        <x:v>4.5</x:v>
      </x:c>
      <x:c r="V227" t="str">
        <x:f>IF(ABS(L227-U227)&lt;0.001,"OK","ERREUR")</x:f>
        <x:v>OK</x:v>
      </x:c>
    </x:row>
    <x:row r="228" ht="18" customHeight="1">
      <x:c r="A228" t="str">
        <x:v>ARM012</x:v>
      </x:c>
      <x:c r="B228" t="str">
        <x:v>Gourdin léger</x:v>
      </x:c>
      <x:c r="C228" t="n">
        <x:v>5</x:v>
      </x:c>
      <x:c r="D228" t="str">
        <x:v>Légères</x:v>
      </x:c>
      <x:c r="E228" s="28" t="n">
        <x:f>IF(M228=0,0,M228+O228)</x:f>
        <x:v>3</x:v>
      </x:c>
      <x:c r="F228" s="28" t="n">
        <x:f>IF(M228=0,0,M228*N228+O228)</x:f>
        <x:v>6</x:v>
      </x:c>
      <x:c r="G228" s="28" t="n">
        <x:f>ROUND(Catalogue!G15*SQRT((1+'Paramètres'!$B$4*(C228-1)+'Paramètres'!$B$5*(C228-1)^2)),0)</x:f>
        <x:v>0</x:v>
      </x:c>
      <x:c r="H228" s="28" t="n">
        <x:f>ROUND(Catalogue!H15*SQRT((1+'Paramètres'!$B$4*(C228-1)+'Paramètres'!$B$5*(C228-1)^2)),0)</x:f>
        <x:v>0</x:v>
      </x:c>
      <x:c r="I228" s="28" t="n">
        <x:v>2</x:v>
      </x:c>
      <x:c r="J228" s="28" t="n">
        <x:v>1</x:v>
      </x:c>
      <x:c r="K228" s="30" t="n">
        <x:v>0.8</x:v>
      </x:c>
      <x:c r="L228" s="54" t="n">
        <x:f>IF(M228=0,0,(E228+F228)/2)</x:f>
        <x:v>4.5</x:v>
      </x:c>
      <x:c r="M228" t="n">
        <x:v>1</x:v>
      </x:c>
      <x:c r="N228" t="n">
        <x:v>4</x:v>
      </x:c>
      <x:c r="O228" t="n">
        <x:v>2</x:v>
      </x:c>
      <x:c r="P228" s="63" t="str">
        <x:f>IF(M228=0,"—",M228&amp;"d"&amp;N228&amp;IF(O228=0,""," + "&amp;O228))</x:f>
        <x:v>1d4 + 2</x:v>
      </x:c>
      <x:c r="Q228" t="n">
        <x:f>ROUND(INDEX(Catalogue!E$4:E$85,MATCH(A228,Catalogue!A$4:A$85,0))*(1+'Paramètres'!$B$4*(C228-1)+'Paramètres'!$B$5*(C228-1)^2),0)</x:f>
        <x:v>3</x:v>
      </x:c>
      <x:c r="R228" t="n">
        <x:f>ROUND(INDEX(Catalogue!F$4:F$85,MATCH(A228,Catalogue!A$4:A$85,0))*(1+'Paramètres'!$B$4*(C228-1)+'Paramètres'!$B$5*(C228-1)^2),0)</x:f>
        <x:v>7</x:v>
      </x:c>
      <x:c r="S228" t="n">
        <x:f>L228-AVERAGE(Q228:R228)</x:f>
        <x:v>-0.5</x:v>
      </x:c>
      <x:c r="T228" t="str">
        <x:f>IF(M228=0,IF(AND(N228=0,O228=0,E228=0,F228=0),"OK","ERREUR"),IF(AND(M228&gt;=1,M228&lt;=32,OR(N228=4,N228=6,N228=8,N228=10,N228=12,N228=20),O228&gt;=0,E228=M228+O228,F228=M228*N228+O228),"OK","ERREUR"))</x:f>
        <x:v>OK</x:v>
      </x:c>
      <x:c r="U228" s="86" t="n">
        <x:f>IF(M228&gt;0,M228*(N228+1)/2+O228,0)</x:f>
        <x:v>4.5</x:v>
      </x:c>
      <x:c r="V228" t="str">
        <x:f>IF(ABS(L228-U228)&lt;0.001,"OK","ERREUR")</x:f>
        <x:v>OK</x:v>
      </x:c>
    </x:row>
    <x:row r="229" ht="18" customHeight="1">
      <x:c r="A229" t="str">
        <x:v>ARM012</x:v>
      </x:c>
      <x:c r="B229" t="str">
        <x:v>Gourdin léger</x:v>
      </x:c>
      <x:c r="C229" t="n">
        <x:v>6</x:v>
      </x:c>
      <x:c r="D229" t="str">
        <x:v>Légères</x:v>
      </x:c>
      <x:c r="E229" s="28" t="n">
        <x:f>IF(M229=0,0,M229+O229)</x:f>
        <x:v>4</x:v>
      </x:c>
      <x:c r="F229" s="28" t="n">
        <x:f>IF(M229=0,0,M229*N229+O229)</x:f>
        <x:v>7</x:v>
      </x:c>
      <x:c r="G229" s="28" t="n">
        <x:f>ROUND(Catalogue!G15*SQRT((1+'Paramètres'!$B$4*(C229-1)+'Paramètres'!$B$5*(C229-1)^2)),0)</x:f>
        <x:v>0</x:v>
      </x:c>
      <x:c r="H229" s="28" t="n">
        <x:f>ROUND(Catalogue!H15*SQRT((1+'Paramètres'!$B$4*(C229-1)+'Paramètres'!$B$5*(C229-1)^2)),0)</x:f>
        <x:v>0</x:v>
      </x:c>
      <x:c r="I229" s="28" t="n">
        <x:v>2</x:v>
      </x:c>
      <x:c r="J229" s="28" t="n">
        <x:v>1</x:v>
      </x:c>
      <x:c r="K229" s="30" t="n">
        <x:v>0.8</x:v>
      </x:c>
      <x:c r="L229" s="54" t="n">
        <x:f>IF(M229=0,0,(E229+F229)/2)</x:f>
        <x:v>5.5</x:v>
      </x:c>
      <x:c r="M229" t="n">
        <x:v>1</x:v>
      </x:c>
      <x:c r="N229" t="n">
        <x:v>4</x:v>
      </x:c>
      <x:c r="O229" t="n">
        <x:v>3</x:v>
      </x:c>
      <x:c r="P229" s="63" t="str">
        <x:f>IF(M229=0,"—",M229&amp;"d"&amp;N229&amp;IF(O229=0,""," + "&amp;O229))</x:f>
        <x:v>1d4 + 3</x:v>
      </x:c>
      <x:c r="Q229" t="n">
        <x:f>ROUND(INDEX(Catalogue!E$4:E$85,MATCH(A229,Catalogue!A$4:A$85,0))*(1+'Paramètres'!$B$4*(C229-1)+'Paramètres'!$B$5*(C229-1)^2),0)</x:f>
        <x:v>4</x:v>
      </x:c>
      <x:c r="R229" t="n">
        <x:f>ROUND(INDEX(Catalogue!F$4:F$85,MATCH(A229,Catalogue!A$4:A$85,0))*(1+'Paramètres'!$B$4*(C229-1)+'Paramètres'!$B$5*(C229-1)^2),0)</x:f>
        <x:v>8</x:v>
      </x:c>
      <x:c r="S229" t="n">
        <x:f>L229-AVERAGE(Q229:R229)</x:f>
        <x:v>-0.5</x:v>
      </x:c>
      <x:c r="T229" t="str">
        <x:f>IF(M229=0,IF(AND(N229=0,O229=0,E229=0,F229=0),"OK","ERREUR"),IF(AND(M229&gt;=1,M229&lt;=32,OR(N229=4,N229=6,N229=8,N229=10,N229=12,N229=20),O229&gt;=0,E229=M229+O229,F229=M229*N229+O229),"OK","ERREUR"))</x:f>
        <x:v>OK</x:v>
      </x:c>
      <x:c r="U229" s="86" t="n">
        <x:f>IF(M229&gt;0,M229*(N229+1)/2+O229,0)</x:f>
        <x:v>5.5</x:v>
      </x:c>
      <x:c r="V229" t="str">
        <x:f>IF(ABS(L229-U229)&lt;0.001,"OK","ERREUR")</x:f>
        <x:v>OK</x:v>
      </x:c>
    </x:row>
    <x:row r="230" ht="18" customHeight="1">
      <x:c r="A230" t="str">
        <x:v>ARM012</x:v>
      </x:c>
      <x:c r="B230" t="str">
        <x:v>Gourdin léger</x:v>
      </x:c>
      <x:c r="C230" t="n">
        <x:v>7</x:v>
      </x:c>
      <x:c r="D230" t="str">
        <x:v>Légères</x:v>
      </x:c>
      <x:c r="E230" s="28" t="n">
        <x:f>IF(M230=0,0,M230+O230)</x:f>
        <x:v>4</x:v>
      </x:c>
      <x:c r="F230" s="28" t="n">
        <x:f>IF(M230=0,0,M230*N230+O230)</x:f>
        <x:v>9</x:v>
      </x:c>
      <x:c r="G230" s="28" t="n">
        <x:f>ROUND(Catalogue!G15*SQRT((1+'Paramètres'!$B$4*(C230-1)+'Paramètres'!$B$5*(C230-1)^2)),0)</x:f>
        <x:v>0</x:v>
      </x:c>
      <x:c r="H230" s="28" t="n">
        <x:f>ROUND(Catalogue!H15*SQRT((1+'Paramètres'!$B$4*(C230-1)+'Paramètres'!$B$5*(C230-1)^2)),0)</x:f>
        <x:v>0</x:v>
      </x:c>
      <x:c r="I230" s="28" t="n">
        <x:v>2</x:v>
      </x:c>
      <x:c r="J230" s="28" t="n">
        <x:v>1</x:v>
      </x:c>
      <x:c r="K230" s="30" t="n">
        <x:v>0.8</x:v>
      </x:c>
      <x:c r="L230" s="54" t="n">
        <x:f>IF(M230=0,0,(E230+F230)/2)</x:f>
        <x:v>6.5</x:v>
      </x:c>
      <x:c r="M230" t="n">
        <x:v>1</x:v>
      </x:c>
      <x:c r="N230" t="n">
        <x:v>6</x:v>
      </x:c>
      <x:c r="O230" t="n">
        <x:v>3</x:v>
      </x:c>
      <x:c r="P230" s="63" t="str">
        <x:f>IF(M230=0,"—",M230&amp;"d"&amp;N230&amp;IF(O230=0,""," + "&amp;O230))</x:f>
        <x:v>1d6 + 3</x:v>
      </x:c>
      <x:c r="Q230" t="n">
        <x:f>ROUND(INDEX(Catalogue!E$4:E$85,MATCH(A230,Catalogue!A$4:A$85,0))*(1+'Paramètres'!$B$4*(C230-1)+'Paramètres'!$B$5*(C230-1)^2),0)</x:f>
        <x:v>4</x:v>
      </x:c>
      <x:c r="R230" t="n">
        <x:f>ROUND(INDEX(Catalogue!F$4:F$85,MATCH(A230,Catalogue!A$4:A$85,0))*(1+'Paramètres'!$B$4*(C230-1)+'Paramètres'!$B$5*(C230-1)^2),0)</x:f>
        <x:v>9</x:v>
      </x:c>
      <x:c r="S230" t="n">
        <x:f>L230-AVERAGE(Q230:R230)</x:f>
        <x:v>0</x:v>
      </x:c>
      <x:c r="T230" t="str">
        <x:f>IF(M230=0,IF(AND(N230=0,O230=0,E230=0,F230=0),"OK","ERREUR"),IF(AND(M230&gt;=1,M230&lt;=32,OR(N230=4,N230=6,N230=8,N230=10,N230=12,N230=20),O230&gt;=0,E230=M230+O230,F230=M230*N230+O230),"OK","ERREUR"))</x:f>
        <x:v>OK</x:v>
      </x:c>
      <x:c r="U230" s="86" t="n">
        <x:f>IF(M230&gt;0,M230*(N230+1)/2+O230,0)</x:f>
        <x:v>6.5</x:v>
      </x:c>
      <x:c r="V230" t="str">
        <x:f>IF(ABS(L230-U230)&lt;0.001,"OK","ERREUR")</x:f>
        <x:v>OK</x:v>
      </x:c>
    </x:row>
    <x:row r="231" ht="18" customHeight="1">
      <x:c r="A231" t="str">
        <x:v>ARM012</x:v>
      </x:c>
      <x:c r="B231" t="str">
        <x:v>Gourdin léger</x:v>
      </x:c>
      <x:c r="C231" t="n">
        <x:v>8</x:v>
      </x:c>
      <x:c r="D231" t="str">
        <x:v>Légères</x:v>
      </x:c>
      <x:c r="E231" s="28" t="n">
        <x:f>IF(M231=0,0,M231+O231)</x:f>
        <x:v>5</x:v>
      </x:c>
      <x:c r="F231" s="28" t="n">
        <x:f>IF(M231=0,0,M231*N231+O231)</x:f>
        <x:v>10</x:v>
      </x:c>
      <x:c r="G231" s="28" t="n">
        <x:f>ROUND(Catalogue!G15*SQRT((1+'Paramètres'!$B$4*(C231-1)+'Paramètres'!$B$5*(C231-1)^2)),0)</x:f>
        <x:v>0</x:v>
      </x:c>
      <x:c r="H231" s="28" t="n">
        <x:f>ROUND(Catalogue!H15*SQRT((1+'Paramètres'!$B$4*(C231-1)+'Paramètres'!$B$5*(C231-1)^2)),0)</x:f>
        <x:v>0</x:v>
      </x:c>
      <x:c r="I231" s="28" t="n">
        <x:v>2</x:v>
      </x:c>
      <x:c r="J231" s="28" t="n">
        <x:v>1</x:v>
      </x:c>
      <x:c r="K231" s="30" t="n">
        <x:v>0.8</x:v>
      </x:c>
      <x:c r="L231" s="54" t="n">
        <x:f>IF(M231=0,0,(E231+F231)/2)</x:f>
        <x:v>7.5</x:v>
      </x:c>
      <x:c r="M231" t="n">
        <x:v>1</x:v>
      </x:c>
      <x:c r="N231" t="n">
        <x:v>6</x:v>
      </x:c>
      <x:c r="O231" t="n">
        <x:v>4</x:v>
      </x:c>
      <x:c r="P231" s="63" t="str">
        <x:f>IF(M231=0,"—",M231&amp;"d"&amp;N231&amp;IF(O231=0,""," + "&amp;O231))</x:f>
        <x:v>1d6 + 4</x:v>
      </x:c>
      <x:c r="Q231" t="n">
        <x:f>ROUND(INDEX(Catalogue!E$4:E$85,MATCH(A231,Catalogue!A$4:A$85,0))*(1+'Paramètres'!$B$4*(C231-1)+'Paramètres'!$B$5*(C231-1)^2),0)</x:f>
        <x:v>5</x:v>
      </x:c>
      <x:c r="R231" t="n">
        <x:f>ROUND(INDEX(Catalogue!F$4:F$85,MATCH(A231,Catalogue!A$4:A$85,0))*(1+'Paramètres'!$B$4*(C231-1)+'Paramètres'!$B$5*(C231-1)^2),0)</x:f>
        <x:v>10</x:v>
      </x:c>
      <x:c r="S231" t="n">
        <x:f>L231-AVERAGE(Q231:R231)</x:f>
        <x:v>0</x:v>
      </x:c>
      <x:c r="T231" t="str">
        <x:f>IF(M231=0,IF(AND(N231=0,O231=0,E231=0,F231=0),"OK","ERREUR"),IF(AND(M231&gt;=1,M231&lt;=32,OR(N231=4,N231=6,N231=8,N231=10,N231=12,N231=20),O231&gt;=0,E231=M231+O231,F231=M231*N231+O231),"OK","ERREUR"))</x:f>
        <x:v>OK</x:v>
      </x:c>
      <x:c r="U231" s="86" t="n">
        <x:f>IF(M231&gt;0,M231*(N231+1)/2+O231,0)</x:f>
        <x:v>7.5</x:v>
      </x:c>
      <x:c r="V231" t="str">
        <x:f>IF(ABS(L231-U231)&lt;0.001,"OK","ERREUR")</x:f>
        <x:v>OK</x:v>
      </x:c>
    </x:row>
    <x:row r="232" ht="18" customHeight="1">
      <x:c r="A232" t="str">
        <x:v>ARM012</x:v>
      </x:c>
      <x:c r="B232" t="str">
        <x:v>Gourdin léger</x:v>
      </x:c>
      <x:c r="C232" t="n">
        <x:v>9</x:v>
      </x:c>
      <x:c r="D232" t="str">
        <x:v>Légères</x:v>
      </x:c>
      <x:c r="E232" s="28" t="n">
        <x:f>IF(M232=0,0,M232+O232)</x:f>
        <x:v>6</x:v>
      </x:c>
      <x:c r="F232" s="28" t="n">
        <x:f>IF(M232=0,0,M232*N232+O232)</x:f>
        <x:v>12</x:v>
      </x:c>
      <x:c r="G232" s="28" t="n">
        <x:f>ROUND(Catalogue!G15*SQRT((1+'Paramètres'!$B$4*(C232-1)+'Paramètres'!$B$5*(C232-1)^2)),0)</x:f>
        <x:v>0</x:v>
      </x:c>
      <x:c r="H232" s="28" t="n">
        <x:f>ROUND(Catalogue!H15*SQRT((1+'Paramètres'!$B$4*(C232-1)+'Paramètres'!$B$5*(C232-1)^2)),0)</x:f>
        <x:v>0</x:v>
      </x:c>
      <x:c r="I232" s="28" t="n">
        <x:v>2</x:v>
      </x:c>
      <x:c r="J232" s="28" t="n">
        <x:v>1</x:v>
      </x:c>
      <x:c r="K232" s="30" t="n">
        <x:v>0.8</x:v>
      </x:c>
      <x:c r="L232" s="54" t="n">
        <x:f>IF(M232=0,0,(E232+F232)/2)</x:f>
        <x:v>9</x:v>
      </x:c>
      <x:c r="M232" t="n">
        <x:v>2</x:v>
      </x:c>
      <x:c r="N232" t="n">
        <x:v>4</x:v>
      </x:c>
      <x:c r="O232" t="n">
        <x:v>4</x:v>
      </x:c>
      <x:c r="P232" s="63" t="str">
        <x:f>IF(M232=0,"—",M232&amp;"d"&amp;N232&amp;IF(O232=0,""," + "&amp;O232))</x:f>
        <x:v>2d4 + 4</x:v>
      </x:c>
      <x:c r="Q232" t="n">
        <x:f>ROUND(INDEX(Catalogue!E$4:E$85,MATCH(A232,Catalogue!A$4:A$85,0))*(1+'Paramètres'!$B$4*(C232-1)+'Paramètres'!$B$5*(C232-1)^2),0)</x:f>
        <x:v>6</x:v>
      </x:c>
      <x:c r="R232" t="n">
        <x:f>ROUND(INDEX(Catalogue!F$4:F$85,MATCH(A232,Catalogue!A$4:A$85,0))*(1+'Paramètres'!$B$4*(C232-1)+'Paramètres'!$B$5*(C232-1)^2),0)</x:f>
        <x:v>12</x:v>
      </x:c>
      <x:c r="S232" t="n">
        <x:f>L232-AVERAGE(Q232:R232)</x:f>
        <x:v>0</x:v>
      </x:c>
      <x:c r="T232" t="str">
        <x:f>IF(M232=0,IF(AND(N232=0,O232=0,E232=0,F232=0),"OK","ERREUR"),IF(AND(M232&gt;=1,M232&lt;=32,OR(N232=4,N232=6,N232=8,N232=10,N232=12,N232=20),O232&gt;=0,E232=M232+O232,F232=M232*N232+O232),"OK","ERREUR"))</x:f>
        <x:v>OK</x:v>
      </x:c>
      <x:c r="U232" s="86" t="n">
        <x:f>IF(M232&gt;0,M232*(N232+1)/2+O232,0)</x:f>
        <x:v>9</x:v>
      </x:c>
      <x:c r="V232" t="str">
        <x:f>IF(ABS(L232-U232)&lt;0.001,"OK","ERREUR")</x:f>
        <x:v>OK</x:v>
      </x:c>
    </x:row>
    <x:row r="233" ht="18" customHeight="1">
      <x:c r="A233" t="str">
        <x:v>ARM012</x:v>
      </x:c>
      <x:c r="B233" t="str">
        <x:v>Gourdin léger</x:v>
      </x:c>
      <x:c r="C233" t="n">
        <x:v>10</x:v>
      </x:c>
      <x:c r="D233" t="str">
        <x:v>Légères</x:v>
      </x:c>
      <x:c r="E233" s="28" t="n">
        <x:f>IF(M233=0,0,M233+O233)</x:f>
        <x:v>7</x:v>
      </x:c>
      <x:c r="F233" s="28" t="n">
        <x:f>IF(M233=0,0,M233*N233+O233)</x:f>
        <x:v>13</x:v>
      </x:c>
      <x:c r="G233" s="28" t="n">
        <x:f>ROUND(Catalogue!G15*SQRT((1+'Paramètres'!$B$4*(C233-1)+'Paramètres'!$B$5*(C233-1)^2)),0)</x:f>
        <x:v>0</x:v>
      </x:c>
      <x:c r="H233" s="28" t="n">
        <x:f>ROUND(Catalogue!H15*SQRT((1+'Paramètres'!$B$4*(C233-1)+'Paramètres'!$B$5*(C233-1)^2)),0)</x:f>
        <x:v>0</x:v>
      </x:c>
      <x:c r="I233" s="28" t="n">
        <x:v>2</x:v>
      </x:c>
      <x:c r="J233" s="28" t="n">
        <x:v>1</x:v>
      </x:c>
      <x:c r="K233" s="30" t="n">
        <x:v>0.8</x:v>
      </x:c>
      <x:c r="L233" s="54" t="n">
        <x:f>IF(M233=0,0,(E233+F233)/2)</x:f>
        <x:v>10</x:v>
      </x:c>
      <x:c r="M233" t="n">
        <x:v>2</x:v>
      </x:c>
      <x:c r="N233" t="n">
        <x:v>4</x:v>
      </x:c>
      <x:c r="O233" t="n">
        <x:v>5</x:v>
      </x:c>
      <x:c r="P233" s="63" t="str">
        <x:f>IF(M233=0,"—",M233&amp;"d"&amp;N233&amp;IF(O233=0,""," + "&amp;O233))</x:f>
        <x:v>2d4 + 5</x:v>
      </x:c>
      <x:c r="Q233" t="n">
        <x:f>ROUND(INDEX(Catalogue!E$4:E$85,MATCH(A233,Catalogue!A$4:A$85,0))*(1+'Paramètres'!$B$4*(C233-1)+'Paramètres'!$B$5*(C233-1)^2),0)</x:f>
        <x:v>7</x:v>
      </x:c>
      <x:c r="R233" t="n">
        <x:f>ROUND(INDEX(Catalogue!F$4:F$85,MATCH(A233,Catalogue!A$4:A$85,0))*(1+'Paramètres'!$B$4*(C233-1)+'Paramètres'!$B$5*(C233-1)^2),0)</x:f>
        <x:v>13</x:v>
      </x:c>
      <x:c r="S233" t="n">
        <x:f>L233-AVERAGE(Q233:R233)</x:f>
        <x:v>0</x:v>
      </x:c>
      <x:c r="T233" t="str">
        <x:f>IF(M233=0,IF(AND(N233=0,O233=0,E233=0,F233=0),"OK","ERREUR"),IF(AND(M233&gt;=1,M233&lt;=32,OR(N233=4,N233=6,N233=8,N233=10,N233=12,N233=20),O233&gt;=0,E233=M233+O233,F233=M233*N233+O233),"OK","ERREUR"))</x:f>
        <x:v>OK</x:v>
      </x:c>
      <x:c r="U233" s="86" t="n">
        <x:f>IF(M233&gt;0,M233*(N233+1)/2+O233,0)</x:f>
        <x:v>10</x:v>
      </x:c>
      <x:c r="V233" t="str">
        <x:f>IF(ABS(L233-U233)&lt;0.001,"OK","ERREUR")</x:f>
        <x:v>OK</x:v>
      </x:c>
    </x:row>
    <x:row r="234" ht="18" customHeight="1">
      <x:c r="A234" t="str">
        <x:v>ARM012</x:v>
      </x:c>
      <x:c r="B234" t="str">
        <x:v>Gourdin léger</x:v>
      </x:c>
      <x:c r="C234" t="n">
        <x:v>11</x:v>
      </x:c>
      <x:c r="D234" t="str">
        <x:v>Légères</x:v>
      </x:c>
      <x:c r="E234" s="28" t="n">
        <x:f>IF(M234=0,0,M234+O234)</x:f>
        <x:v>6</x:v>
      </x:c>
      <x:c r="F234" s="28" t="n">
        <x:f>IF(M234=0,0,M234*N234+O234)</x:f>
        <x:v>15</x:v>
      </x:c>
      <x:c r="G234" s="28" t="n">
        <x:f>ROUND(Catalogue!G15*SQRT((1+'Paramètres'!$B$4*(C234-1)+'Paramètres'!$B$5*(C234-1)^2)),0)</x:f>
        <x:v>0</x:v>
      </x:c>
      <x:c r="H234" s="28" t="n">
        <x:f>ROUND(Catalogue!H15*SQRT((1+'Paramètres'!$B$4*(C234-1)+'Paramètres'!$B$5*(C234-1)^2)),0)</x:f>
        <x:v>0</x:v>
      </x:c>
      <x:c r="I234" s="28" t="n">
        <x:v>2</x:v>
      </x:c>
      <x:c r="J234" s="28" t="n">
        <x:v>1</x:v>
      </x:c>
      <x:c r="K234" s="30" t="n">
        <x:v>0.8</x:v>
      </x:c>
      <x:c r="L234" s="54" t="n">
        <x:f>IF(M234=0,0,(E234+F234)/2)</x:f>
        <x:v>10.5</x:v>
      </x:c>
      <x:c r="M234" t="n">
        <x:v>3</x:v>
      </x:c>
      <x:c r="N234" t="n">
        <x:v>4</x:v>
      </x:c>
      <x:c r="O234" t="n">
        <x:v>3</x:v>
      </x:c>
      <x:c r="P234" s="63" t="str">
        <x:f>IF(M234=0,"—",M234&amp;"d"&amp;N234&amp;IF(O234=0,""," + "&amp;O234))</x:f>
        <x:v>3d4 + 3</x:v>
      </x:c>
      <x:c r="Q234" t="n">
        <x:f>ROUND(INDEX(Catalogue!E$4:E$85,MATCH(A234,Catalogue!A$4:A$85,0))*(1+'Paramètres'!$B$4*(C234-1)+'Paramètres'!$B$5*(C234-1)^2),0)</x:f>
        <x:v>7</x:v>
      </x:c>
      <x:c r="R234" t="n">
        <x:f>ROUND(INDEX(Catalogue!F$4:F$85,MATCH(A234,Catalogue!A$4:A$85,0))*(1+'Paramètres'!$B$4*(C234-1)+'Paramètres'!$B$5*(C234-1)^2),0)</x:f>
        <x:v>15</x:v>
      </x:c>
      <x:c r="S234" t="n">
        <x:f>L234-AVERAGE(Q234:R234)</x:f>
        <x:v>-0.5</x:v>
      </x:c>
      <x:c r="T234" t="str">
        <x:f>IF(M234=0,IF(AND(N234=0,O234=0,E234=0,F234=0),"OK","ERREUR"),IF(AND(M234&gt;=1,M234&lt;=32,OR(N234=4,N234=6,N234=8,N234=10,N234=12,N234=20),O234&gt;=0,E234=M234+O234,F234=M234*N234+O234),"OK","ERREUR"))</x:f>
        <x:v>OK</x:v>
      </x:c>
      <x:c r="U234" s="86" t="n">
        <x:f>IF(M234&gt;0,M234*(N234+1)/2+O234,0)</x:f>
        <x:v>10.5</x:v>
      </x:c>
      <x:c r="V234" t="str">
        <x:f>IF(ABS(L234-U234)&lt;0.001,"OK","ERREUR")</x:f>
        <x:v>OK</x:v>
      </x:c>
    </x:row>
    <x:row r="235" ht="18" customHeight="1">
      <x:c r="A235" t="str">
        <x:v>ARM012</x:v>
      </x:c>
      <x:c r="B235" t="str">
        <x:v>Gourdin léger</x:v>
      </x:c>
      <x:c r="C235" t="n">
        <x:v>12</x:v>
      </x:c>
      <x:c r="D235" t="str">
        <x:v>Légères</x:v>
      </x:c>
      <x:c r="E235" s="28" t="n">
        <x:f>IF(M235=0,0,M235+O235)</x:f>
        <x:v>8</x:v>
      </x:c>
      <x:c r="F235" s="28" t="n">
        <x:f>IF(M235=0,0,M235*N235+O235)</x:f>
        <x:v>17</x:v>
      </x:c>
      <x:c r="G235" s="28" t="n">
        <x:f>ROUND(Catalogue!G15*SQRT((1+'Paramètres'!$B$4*(C235-1)+'Paramètres'!$B$5*(C235-1)^2)),0)</x:f>
        <x:v>0</x:v>
      </x:c>
      <x:c r="H235" s="28" t="n">
        <x:f>ROUND(Catalogue!H15*SQRT((1+'Paramètres'!$B$4*(C235-1)+'Paramètres'!$B$5*(C235-1)^2)),0)</x:f>
        <x:v>0</x:v>
      </x:c>
      <x:c r="I235" s="28" t="n">
        <x:v>2</x:v>
      </x:c>
      <x:c r="J235" s="28" t="n">
        <x:v>1</x:v>
      </x:c>
      <x:c r="K235" s="30" t="n">
        <x:v>0.8</x:v>
      </x:c>
      <x:c r="L235" s="54" t="n">
        <x:f>IF(M235=0,0,(E235+F235)/2)</x:f>
        <x:v>12.5</x:v>
      </x:c>
      <x:c r="M235" t="n">
        <x:v>3</x:v>
      </x:c>
      <x:c r="N235" t="n">
        <x:v>4</x:v>
      </x:c>
      <x:c r="O235" t="n">
        <x:v>5</x:v>
      </x:c>
      <x:c r="P235" s="63" t="str">
        <x:f>IF(M235=0,"—",M235&amp;"d"&amp;N235&amp;IF(O235=0,""," + "&amp;O235))</x:f>
        <x:v>3d4 + 5</x:v>
      </x:c>
      <x:c r="Q235" t="n">
        <x:f>ROUND(INDEX(Catalogue!E$4:E$85,MATCH(A235,Catalogue!A$4:A$85,0))*(1+'Paramètres'!$B$4*(C235-1)+'Paramètres'!$B$5*(C235-1)^2),0)</x:f>
        <x:v>8</x:v>
      </x:c>
      <x:c r="R235" t="n">
        <x:f>ROUND(INDEX(Catalogue!F$4:F$85,MATCH(A235,Catalogue!A$4:A$85,0))*(1+'Paramètres'!$B$4*(C235-1)+'Paramètres'!$B$5*(C235-1)^2),0)</x:f>
        <x:v>17</x:v>
      </x:c>
      <x:c r="S235" t="n">
        <x:f>L235-AVERAGE(Q235:R235)</x:f>
        <x:v>0</x:v>
      </x:c>
      <x:c r="T235" t="str">
        <x:f>IF(M235=0,IF(AND(N235=0,O235=0,E235=0,F235=0),"OK","ERREUR"),IF(AND(M235&gt;=1,M235&lt;=32,OR(N235=4,N235=6,N235=8,N235=10,N235=12,N235=20),O235&gt;=0,E235=M235+O235,F235=M235*N235+O235),"OK","ERREUR"))</x:f>
        <x:v>OK</x:v>
      </x:c>
      <x:c r="U235" s="86" t="n">
        <x:f>IF(M235&gt;0,M235*(N235+1)/2+O235,0)</x:f>
        <x:v>12.5</x:v>
      </x:c>
      <x:c r="V235" t="str">
        <x:f>IF(ABS(L235-U235)&lt;0.001,"OK","ERREUR")</x:f>
        <x:v>OK</x:v>
      </x:c>
    </x:row>
    <x:row r="236" ht="18" customHeight="1">
      <x:c r="A236" t="str">
        <x:v>ARM012</x:v>
      </x:c>
      <x:c r="B236" t="str">
        <x:v>Gourdin léger</x:v>
      </x:c>
      <x:c r="C236" t="n">
        <x:v>13</x:v>
      </x:c>
      <x:c r="D236" t="str">
        <x:v>Légères</x:v>
      </x:c>
      <x:c r="E236" s="28" t="n">
        <x:f>IF(M236=0,0,M236+O236)</x:f>
        <x:v>9</x:v>
      </x:c>
      <x:c r="F236" s="28" t="n">
        <x:f>IF(M236=0,0,M236*N236+O236)</x:f>
        <x:v>18</x:v>
      </x:c>
      <x:c r="G236" s="28" t="n">
        <x:f>ROUND(Catalogue!G15*SQRT((1+'Paramètres'!$B$4*(C236-1)+'Paramètres'!$B$5*(C236-1)^2)),0)</x:f>
        <x:v>0</x:v>
      </x:c>
      <x:c r="H236" s="28" t="n">
        <x:f>ROUND(Catalogue!H15*SQRT((1+'Paramètres'!$B$4*(C236-1)+'Paramètres'!$B$5*(C236-1)^2)),0)</x:f>
        <x:v>0</x:v>
      </x:c>
      <x:c r="I236" s="28" t="n">
        <x:v>2</x:v>
      </x:c>
      <x:c r="J236" s="28" t="n">
        <x:v>1</x:v>
      </x:c>
      <x:c r="K236" s="30" t="n">
        <x:v>0.8</x:v>
      </x:c>
      <x:c r="L236" s="54" t="n">
        <x:f>IF(M236=0,0,(E236+F236)/2)</x:f>
        <x:v>13.5</x:v>
      </x:c>
      <x:c r="M236" t="n">
        <x:v>3</x:v>
      </x:c>
      <x:c r="N236" t="n">
        <x:v>4</x:v>
      </x:c>
      <x:c r="O236" t="n">
        <x:v>6</x:v>
      </x:c>
      <x:c r="P236" s="63" t="str">
        <x:f>IF(M236=0,"—",M236&amp;"d"&amp;N236&amp;IF(O236=0,""," + "&amp;O236))</x:f>
        <x:v>3d4 + 6</x:v>
      </x:c>
      <x:c r="Q236" t="n">
        <x:f>ROUND(INDEX(Catalogue!E$4:E$85,MATCH(A236,Catalogue!A$4:A$85,0))*(1+'Paramètres'!$B$4*(C236-1)+'Paramètres'!$B$5*(C236-1)^2),0)</x:f>
        <x:v>9</x:v>
      </x:c>
      <x:c r="R236" t="n">
        <x:f>ROUND(INDEX(Catalogue!F$4:F$85,MATCH(A236,Catalogue!A$4:A$85,0))*(1+'Paramètres'!$B$4*(C236-1)+'Paramètres'!$B$5*(C236-1)^2),0)</x:f>
        <x:v>18</x:v>
      </x:c>
      <x:c r="S236" t="n">
        <x:f>L236-AVERAGE(Q236:R236)</x:f>
        <x:v>0</x:v>
      </x:c>
      <x:c r="T236" t="str">
        <x:f>IF(M236=0,IF(AND(N236=0,O236=0,E236=0,F236=0),"OK","ERREUR"),IF(AND(M236&gt;=1,M236&lt;=32,OR(N236=4,N236=6,N236=8,N236=10,N236=12,N236=20),O236&gt;=0,E236=M236+O236,F236=M236*N236+O236),"OK","ERREUR"))</x:f>
        <x:v>OK</x:v>
      </x:c>
      <x:c r="U236" s="86" t="n">
        <x:f>IF(M236&gt;0,M236*(N236+1)/2+O236,0)</x:f>
        <x:v>13.5</x:v>
      </x:c>
      <x:c r="V236" t="str">
        <x:f>IF(ABS(L236-U236)&lt;0.001,"OK","ERREUR")</x:f>
        <x:v>OK</x:v>
      </x:c>
    </x:row>
    <x:row r="237" ht="18" customHeight="1">
      <x:c r="A237" t="str">
        <x:v>ARM012</x:v>
      </x:c>
      <x:c r="B237" t="str">
        <x:v>Gourdin léger</x:v>
      </x:c>
      <x:c r="C237" t="n">
        <x:v>14</x:v>
      </x:c>
      <x:c r="D237" t="str">
        <x:v>Légères</x:v>
      </x:c>
      <x:c r="E237" s="28" t="n">
        <x:f>IF(M237=0,0,M237+O237)</x:f>
        <x:v>10</x:v>
      </x:c>
      <x:c r="F237" s="28" t="n">
        <x:f>IF(M237=0,0,M237*N237+O237)</x:f>
        <x:v>20</x:v>
      </x:c>
      <x:c r="G237" s="28" t="n">
        <x:f>ROUND(Catalogue!G15*SQRT((1+'Paramètres'!$B$4*(C237-1)+'Paramètres'!$B$5*(C237-1)^2)),0)</x:f>
        <x:v>0</x:v>
      </x:c>
      <x:c r="H237" s="28" t="n">
        <x:f>ROUND(Catalogue!H15*SQRT((1+'Paramètres'!$B$4*(C237-1)+'Paramètres'!$B$5*(C237-1)^2)),0)</x:f>
        <x:v>0</x:v>
      </x:c>
      <x:c r="I237" s="28" t="n">
        <x:v>2</x:v>
      </x:c>
      <x:c r="J237" s="28" t="n">
        <x:v>1</x:v>
      </x:c>
      <x:c r="K237" s="30" t="n">
        <x:v>0.8</x:v>
      </x:c>
      <x:c r="L237" s="54" t="n">
        <x:f>IF(M237=0,0,(E237+F237)/2)</x:f>
        <x:v>15</x:v>
      </x:c>
      <x:c r="M237" t="n">
        <x:v>2</x:v>
      </x:c>
      <x:c r="N237" t="n">
        <x:v>6</x:v>
      </x:c>
      <x:c r="O237" t="n">
        <x:v>8</x:v>
      </x:c>
      <x:c r="P237" s="63" t="str">
        <x:f>IF(M237=0,"—",M237&amp;"d"&amp;N237&amp;IF(O237=0,""," + "&amp;O237))</x:f>
        <x:v>2d6 + 8</x:v>
      </x:c>
      <x:c r="Q237" t="n">
        <x:f>ROUND(INDEX(Catalogue!E$4:E$85,MATCH(A237,Catalogue!A$4:A$85,0))*(1+'Paramètres'!$B$4*(C237-1)+'Paramètres'!$B$5*(C237-1)^2),0)</x:f>
        <x:v>10</x:v>
      </x:c>
      <x:c r="R237" t="n">
        <x:f>ROUND(INDEX(Catalogue!F$4:F$85,MATCH(A237,Catalogue!A$4:A$85,0))*(1+'Paramètres'!$B$4*(C237-1)+'Paramètres'!$B$5*(C237-1)^2),0)</x:f>
        <x:v>21</x:v>
      </x:c>
      <x:c r="S237" t="n">
        <x:f>L237-AVERAGE(Q237:R237)</x:f>
        <x:v>-0.5</x:v>
      </x:c>
      <x:c r="T237" t="str">
        <x:f>IF(M237=0,IF(AND(N237=0,O237=0,E237=0,F237=0),"OK","ERREUR"),IF(AND(M237&gt;=1,M237&lt;=32,OR(N237=4,N237=6,N237=8,N237=10,N237=12,N237=20),O237&gt;=0,E237=M237+O237,F237=M237*N237+O237),"OK","ERREUR"))</x:f>
        <x:v>OK</x:v>
      </x:c>
      <x:c r="U237" s="86" t="n">
        <x:f>IF(M237&gt;0,M237*(N237+1)/2+O237,0)</x:f>
        <x:v>15</x:v>
      </x:c>
      <x:c r="V237" t="str">
        <x:f>IF(ABS(L237-U237)&lt;0.001,"OK","ERREUR")</x:f>
        <x:v>OK</x:v>
      </x:c>
    </x:row>
    <x:row r="238" ht="18" customHeight="1">
      <x:c r="A238" t="str">
        <x:v>ARM012</x:v>
      </x:c>
      <x:c r="B238" t="str">
        <x:v>Gourdin léger</x:v>
      </x:c>
      <x:c r="C238" t="n">
        <x:v>15</x:v>
      </x:c>
      <x:c r="D238" t="str">
        <x:v>Légères</x:v>
      </x:c>
      <x:c r="E238" s="28" t="n">
        <x:f>IF(M238=0,0,M238+O238)</x:f>
        <x:v>11</x:v>
      </x:c>
      <x:c r="F238" s="28" t="n">
        <x:f>IF(M238=0,0,M238*N238+O238)</x:f>
        <x:v>23</x:v>
      </x:c>
      <x:c r="G238" s="28" t="n">
        <x:f>ROUND(Catalogue!G15*SQRT((1+'Paramètres'!$B$4*(C238-1)+'Paramètres'!$B$5*(C238-1)^2)),0)</x:f>
        <x:v>0</x:v>
      </x:c>
      <x:c r="H238" s="28" t="n">
        <x:f>ROUND(Catalogue!H15*SQRT((1+'Paramètres'!$B$4*(C238-1)+'Paramètres'!$B$5*(C238-1)^2)),0)</x:f>
        <x:v>0</x:v>
      </x:c>
      <x:c r="I238" s="28" t="n">
        <x:v>2</x:v>
      </x:c>
      <x:c r="J238" s="28" t="n">
        <x:v>1</x:v>
      </x:c>
      <x:c r="K238" s="30" t="n">
        <x:v>0.8</x:v>
      </x:c>
      <x:c r="L238" s="54" t="n">
        <x:f>IF(M238=0,0,(E238+F238)/2)</x:f>
        <x:v>17</x:v>
      </x:c>
      <x:c r="M238" t="n">
        <x:v>4</x:v>
      </x:c>
      <x:c r="N238" t="n">
        <x:v>4</x:v>
      </x:c>
      <x:c r="O238" t="n">
        <x:v>7</x:v>
      </x:c>
      <x:c r="P238" s="63" t="str">
        <x:f>IF(M238=0,"—",M238&amp;"d"&amp;N238&amp;IF(O238=0,""," + "&amp;O238))</x:f>
        <x:v>4d4 + 7</x:v>
      </x:c>
      <x:c r="Q238" t="n">
        <x:f>ROUND(INDEX(Catalogue!E$4:E$85,MATCH(A238,Catalogue!A$4:A$85,0))*(1+'Paramètres'!$B$4*(C238-1)+'Paramètres'!$B$5*(C238-1)^2),0)</x:f>
        <x:v>11</x:v>
      </x:c>
      <x:c r="R238" t="n">
        <x:f>ROUND(INDEX(Catalogue!F$4:F$85,MATCH(A238,Catalogue!A$4:A$85,0))*(1+'Paramètres'!$B$4*(C238-1)+'Paramètres'!$B$5*(C238-1)^2),0)</x:f>
        <x:v>23</x:v>
      </x:c>
      <x:c r="S238" t="n">
        <x:f>L238-AVERAGE(Q238:R238)</x:f>
        <x:v>0</x:v>
      </x:c>
      <x:c r="T238" t="str">
        <x:f>IF(M238=0,IF(AND(N238=0,O238=0,E238=0,F238=0),"OK","ERREUR"),IF(AND(M238&gt;=1,M238&lt;=32,OR(N238=4,N238=6,N238=8,N238=10,N238=12,N238=20),O238&gt;=0,E238=M238+O238,F238=M238*N238+O238),"OK","ERREUR"))</x:f>
        <x:v>OK</x:v>
      </x:c>
      <x:c r="U238" s="86" t="n">
        <x:f>IF(M238&gt;0,M238*(N238+1)/2+O238,0)</x:f>
        <x:v>17</x:v>
      </x:c>
      <x:c r="V238" t="str">
        <x:f>IF(ABS(L238-U238)&lt;0.001,"OK","ERREUR")</x:f>
        <x:v>OK</x:v>
      </x:c>
    </x:row>
    <x:row r="239" ht="18" customHeight="1">
      <x:c r="A239" t="str">
        <x:v>ARM012</x:v>
      </x:c>
      <x:c r="B239" t="str">
        <x:v>Gourdin léger</x:v>
      </x:c>
      <x:c r="C239" t="n">
        <x:v>16</x:v>
      </x:c>
      <x:c r="D239" t="str">
        <x:v>Légères</x:v>
      </x:c>
      <x:c r="E239" s="28" t="n">
        <x:f>IF(M239=0,0,M239+O239)</x:f>
        <x:v>13</x:v>
      </x:c>
      <x:c r="F239" s="28" t="n">
        <x:f>IF(M239=0,0,M239*N239+O239)</x:f>
        <x:v>25</x:v>
      </x:c>
      <x:c r="G239" s="28" t="n">
        <x:f>ROUND(Catalogue!G15*SQRT((1+'Paramètres'!$B$4*(C239-1)+'Paramètres'!$B$5*(C239-1)^2)),0)</x:f>
        <x:v>0</x:v>
      </x:c>
      <x:c r="H239" s="28" t="n">
        <x:f>ROUND(Catalogue!H15*SQRT((1+'Paramètres'!$B$4*(C239-1)+'Paramètres'!$B$5*(C239-1)^2)),0)</x:f>
        <x:v>0</x:v>
      </x:c>
      <x:c r="I239" s="28" t="n">
        <x:v>2</x:v>
      </x:c>
      <x:c r="J239" s="28" t="n">
        <x:v>1</x:v>
      </x:c>
      <x:c r="K239" s="30" t="n">
        <x:v>0.8</x:v>
      </x:c>
      <x:c r="L239" s="54" t="n">
        <x:f>IF(M239=0,0,(E239+F239)/2)</x:f>
        <x:v>19</x:v>
      </x:c>
      <x:c r="M239" t="n">
        <x:v>4</x:v>
      </x:c>
      <x:c r="N239" t="n">
        <x:v>4</x:v>
      </x:c>
      <x:c r="O239" t="n">
        <x:v>9</x:v>
      </x:c>
      <x:c r="P239" s="63" t="str">
        <x:f>IF(M239=0,"—",M239&amp;"d"&amp;N239&amp;IF(O239=0,""," + "&amp;O239))</x:f>
        <x:v>4d4 + 9</x:v>
      </x:c>
      <x:c r="Q239" t="n">
        <x:f>ROUND(INDEX(Catalogue!E$4:E$85,MATCH(A239,Catalogue!A$4:A$85,0))*(1+'Paramètres'!$B$4*(C239-1)+'Paramètres'!$B$5*(C239-1)^2),0)</x:f>
        <x:v>13</x:v>
      </x:c>
      <x:c r="R239" t="n">
        <x:f>ROUND(INDEX(Catalogue!F$4:F$85,MATCH(A239,Catalogue!A$4:A$85,0))*(1+'Paramètres'!$B$4*(C239-1)+'Paramètres'!$B$5*(C239-1)^2),0)</x:f>
        <x:v>25</x:v>
      </x:c>
      <x:c r="S239" t="n">
        <x:f>L239-AVERAGE(Q239:R239)</x:f>
        <x:v>0</x:v>
      </x:c>
      <x:c r="T239" t="str">
        <x:f>IF(M239=0,IF(AND(N239=0,O239=0,E239=0,F239=0),"OK","ERREUR"),IF(AND(M239&gt;=1,M239&lt;=32,OR(N239=4,N239=6,N239=8,N239=10,N239=12,N239=20),O239&gt;=0,E239=M239+O239,F239=M239*N239+O239),"OK","ERREUR"))</x:f>
        <x:v>OK</x:v>
      </x:c>
      <x:c r="U239" s="86" t="n">
        <x:f>IF(M239&gt;0,M239*(N239+1)/2+O239,0)</x:f>
        <x:v>19</x:v>
      </x:c>
      <x:c r="V239" t="str">
        <x:f>IF(ABS(L239-U239)&lt;0.001,"OK","ERREUR")</x:f>
        <x:v>OK</x:v>
      </x:c>
    </x:row>
    <x:row r="240" ht="18" customHeight="1">
      <x:c r="A240" t="str">
        <x:v>ARM012</x:v>
      </x:c>
      <x:c r="B240" t="str">
        <x:v>Gourdin léger</x:v>
      </x:c>
      <x:c r="C240" t="n">
        <x:v>17</x:v>
      </x:c>
      <x:c r="D240" t="str">
        <x:v>Légères</x:v>
      </x:c>
      <x:c r="E240" s="28" t="n">
        <x:f>IF(M240=0,0,M240+O240)</x:f>
        <x:v>13</x:v>
      </x:c>
      <x:c r="F240" s="28" t="n">
        <x:f>IF(M240=0,0,M240*N240+O240)</x:f>
        <x:v>27</x:v>
      </x:c>
      <x:c r="G240" s="28" t="n">
        <x:f>ROUND(Catalogue!G15*SQRT((1+'Paramètres'!$B$4*(C240-1)+'Paramètres'!$B$5*(C240-1)^2)),0)</x:f>
        <x:v>0</x:v>
      </x:c>
      <x:c r="H240" s="28" t="n">
        <x:f>ROUND(Catalogue!H15*SQRT((1+'Paramètres'!$B$4*(C240-1)+'Paramètres'!$B$5*(C240-1)^2)),0)</x:f>
        <x:v>0</x:v>
      </x:c>
      <x:c r="I240" s="28" t="n">
        <x:v>2</x:v>
      </x:c>
      <x:c r="J240" s="28" t="n">
        <x:v>1</x:v>
      </x:c>
      <x:c r="K240" s="30" t="n">
        <x:v>0.8</x:v>
      </x:c>
      <x:c r="L240" s="54" t="n">
        <x:f>IF(M240=0,0,(E240+F240)/2)</x:f>
        <x:v>20</x:v>
      </x:c>
      <x:c r="M240" t="n">
        <x:v>2</x:v>
      </x:c>
      <x:c r="N240" t="n">
        <x:v>8</x:v>
      </x:c>
      <x:c r="O240" t="n">
        <x:v>11</x:v>
      </x:c>
      <x:c r="P240" s="63" t="str">
        <x:f>IF(M240=0,"—",M240&amp;"d"&amp;N240&amp;IF(O240=0,""," + "&amp;O240))</x:f>
        <x:v>2d8 + 11</x:v>
      </x:c>
      <x:c r="Q240" t="n">
        <x:f>ROUND(INDEX(Catalogue!E$4:E$85,MATCH(A240,Catalogue!A$4:A$85,0))*(1+'Paramètres'!$B$4*(C240-1)+'Paramètres'!$B$5*(C240-1)^2),0)</x:f>
        <x:v>14</x:v>
      </x:c>
      <x:c r="R240" t="n">
        <x:f>ROUND(INDEX(Catalogue!F$4:F$85,MATCH(A240,Catalogue!A$4:A$85,0))*(1+'Paramètres'!$B$4*(C240-1)+'Paramètres'!$B$5*(C240-1)^2),0)</x:f>
        <x:v>27</x:v>
      </x:c>
      <x:c r="S240" t="n">
        <x:f>L240-AVERAGE(Q240:R240)</x:f>
        <x:v>-0.5</x:v>
      </x:c>
      <x:c r="T240" t="str">
        <x:f>IF(M240=0,IF(AND(N240=0,O240=0,E240=0,F240=0),"OK","ERREUR"),IF(AND(M240&gt;=1,M240&lt;=32,OR(N240=4,N240=6,N240=8,N240=10,N240=12,N240=20),O240&gt;=0,E240=M240+O240,F240=M240*N240+O240),"OK","ERREUR"))</x:f>
        <x:v>OK</x:v>
      </x:c>
      <x:c r="U240" s="86" t="n">
        <x:f>IF(M240&gt;0,M240*(N240+1)/2+O240,0)</x:f>
        <x:v>20</x:v>
      </x:c>
      <x:c r="V240" t="str">
        <x:f>IF(ABS(L240-U240)&lt;0.001,"OK","ERREUR")</x:f>
        <x:v>OK</x:v>
      </x:c>
    </x:row>
    <x:row r="241" ht="18" customHeight="1">
      <x:c r="A241" t="str">
        <x:v>ARM012</x:v>
      </x:c>
      <x:c r="B241" t="str">
        <x:v>Gourdin léger</x:v>
      </x:c>
      <x:c r="C241" t="n">
        <x:v>18</x:v>
      </x:c>
      <x:c r="D241" t="str">
        <x:v>Légères</x:v>
      </x:c>
      <x:c r="E241" s="28" t="n">
        <x:f>IF(M241=0,0,M241+O241)</x:f>
        <x:v>15</x:v>
      </x:c>
      <x:c r="F241" s="28" t="n">
        <x:f>IF(M241=0,0,M241*N241+O241)</x:f>
        <x:v>30</x:v>
      </x:c>
      <x:c r="G241" s="28" t="n">
        <x:f>ROUND(Catalogue!G15*SQRT((1+'Paramètres'!$B$4*(C241-1)+'Paramètres'!$B$5*(C241-1)^2)),0)</x:f>
        <x:v>0</x:v>
      </x:c>
      <x:c r="H241" s="28" t="n">
        <x:f>ROUND(Catalogue!H15*SQRT((1+'Paramètres'!$B$4*(C241-1)+'Paramètres'!$B$5*(C241-1)^2)),0)</x:f>
        <x:v>0</x:v>
      </x:c>
      <x:c r="I241" s="28" t="n">
        <x:v>2</x:v>
      </x:c>
      <x:c r="J241" s="28" t="n">
        <x:v>1</x:v>
      </x:c>
      <x:c r="K241" s="30" t="n">
        <x:v>0.8</x:v>
      </x:c>
      <x:c r="L241" s="54" t="n">
        <x:f>IF(M241=0,0,(E241+F241)/2)</x:f>
        <x:v>22.5</x:v>
      </x:c>
      <x:c r="M241" t="n">
        <x:v>3</x:v>
      </x:c>
      <x:c r="N241" t="n">
        <x:v>6</x:v>
      </x:c>
      <x:c r="O241" t="n">
        <x:v>12</x:v>
      </x:c>
      <x:c r="P241" s="63" t="str">
        <x:f>IF(M241=0,"—",M241&amp;"d"&amp;N241&amp;IF(O241=0,""," + "&amp;O241))</x:f>
        <x:v>3d6 + 12</x:v>
      </x:c>
      <x:c r="Q241" t="n">
        <x:f>ROUND(INDEX(Catalogue!E$4:E$85,MATCH(A241,Catalogue!A$4:A$85,0))*(1+'Paramètres'!$B$4*(C241-1)+'Paramètres'!$B$5*(C241-1)^2),0)</x:f>
        <x:v>15</x:v>
      </x:c>
      <x:c r="R241" t="n">
        <x:f>ROUND(INDEX(Catalogue!F$4:F$85,MATCH(A241,Catalogue!A$4:A$85,0))*(1+'Paramètres'!$B$4*(C241-1)+'Paramètres'!$B$5*(C241-1)^2),0)</x:f>
        <x:v>30</x:v>
      </x:c>
      <x:c r="S241" t="n">
        <x:f>L241-AVERAGE(Q241:R241)</x:f>
        <x:v>0</x:v>
      </x:c>
      <x:c r="T241" t="str">
        <x:f>IF(M241=0,IF(AND(N241=0,O241=0,E241=0,F241=0),"OK","ERREUR"),IF(AND(M241&gt;=1,M241&lt;=32,OR(N241=4,N241=6,N241=8,N241=10,N241=12,N241=20),O241&gt;=0,E241=M241+O241,F241=M241*N241+O241),"OK","ERREUR"))</x:f>
        <x:v>OK</x:v>
      </x:c>
      <x:c r="U241" s="86" t="n">
        <x:f>IF(M241&gt;0,M241*(N241+1)/2+O241,0)</x:f>
        <x:v>22.5</x:v>
      </x:c>
      <x:c r="V241" t="str">
        <x:f>IF(ABS(L241-U241)&lt;0.001,"OK","ERREUR")</x:f>
        <x:v>OK</x:v>
      </x:c>
    </x:row>
    <x:row r="242" ht="18" customHeight="1">
      <x:c r="A242" t="str">
        <x:v>ARM012</x:v>
      </x:c>
      <x:c r="B242" t="str">
        <x:v>Gourdin léger</x:v>
      </x:c>
      <x:c r="C242" t="n">
        <x:v>19</x:v>
      </x:c>
      <x:c r="D242" t="str">
        <x:v>Légères</x:v>
      </x:c>
      <x:c r="E242" s="28" t="n">
        <x:f>IF(M242=0,0,M242+O242)</x:f>
        <x:v>15</x:v>
      </x:c>
      <x:c r="F242" s="28" t="n">
        <x:f>IF(M242=0,0,M242*N242+O242)</x:f>
        <x:v>33</x:v>
      </x:c>
      <x:c r="G242" s="28" t="n">
        <x:f>ROUND(Catalogue!G15*SQRT((1+'Paramètres'!$B$4*(C242-1)+'Paramètres'!$B$5*(C242-1)^2)),0)</x:f>
        <x:v>0</x:v>
      </x:c>
      <x:c r="H242" s="28" t="n">
        <x:f>ROUND(Catalogue!H15*SQRT((1+'Paramètres'!$B$4*(C242-1)+'Paramètres'!$B$5*(C242-1)^2)),0)</x:f>
        <x:v>0</x:v>
      </x:c>
      <x:c r="I242" s="28" t="n">
        <x:v>2</x:v>
      </x:c>
      <x:c r="J242" s="28" t="n">
        <x:v>1</x:v>
      </x:c>
      <x:c r="K242" s="30" t="n">
        <x:v>0.8</x:v>
      </x:c>
      <x:c r="L242" s="54" t="n">
        <x:f>IF(M242=0,0,(E242+F242)/2)</x:f>
        <x:v>24</x:v>
      </x:c>
      <x:c r="M242" t="n">
        <x:v>2</x:v>
      </x:c>
      <x:c r="N242" t="n">
        <x:v>10</x:v>
      </x:c>
      <x:c r="O242" t="n">
        <x:v>13</x:v>
      </x:c>
      <x:c r="P242" s="63" t="str">
        <x:f>IF(M242=0,"—",M242&amp;"d"&amp;N242&amp;IF(O242=0,""," + "&amp;O242))</x:f>
        <x:v>2d10 + 13</x:v>
      </x:c>
      <x:c r="Q242" t="n">
        <x:f>ROUND(INDEX(Catalogue!E$4:E$85,MATCH(A242,Catalogue!A$4:A$85,0))*(1+'Paramètres'!$B$4*(C242-1)+'Paramètres'!$B$5*(C242-1)^2),0)</x:f>
        <x:v>16</x:v>
      </x:c>
      <x:c r="R242" t="n">
        <x:f>ROUND(INDEX(Catalogue!F$4:F$85,MATCH(A242,Catalogue!A$4:A$85,0))*(1+'Paramètres'!$B$4*(C242-1)+'Paramètres'!$B$5*(C242-1)^2),0)</x:f>
        <x:v>33</x:v>
      </x:c>
      <x:c r="S242" t="n">
        <x:f>L242-AVERAGE(Q242:R242)</x:f>
        <x:v>-0.5</x:v>
      </x:c>
      <x:c r="T242" t="str">
        <x:f>IF(M242=0,IF(AND(N242=0,O242=0,E242=0,F242=0),"OK","ERREUR"),IF(AND(M242&gt;=1,M242&lt;=32,OR(N242=4,N242=6,N242=8,N242=10,N242=12,N242=20),O242&gt;=0,E242=M242+O242,F242=M242*N242+O242),"OK","ERREUR"))</x:f>
        <x:v>OK</x:v>
      </x:c>
      <x:c r="U242" s="86" t="n">
        <x:f>IF(M242&gt;0,M242*(N242+1)/2+O242,0)</x:f>
        <x:v>24</x:v>
      </x:c>
      <x:c r="V242" t="str">
        <x:f>IF(ABS(L242-U242)&lt;0.001,"OK","ERREUR")</x:f>
        <x:v>OK</x:v>
      </x:c>
    </x:row>
    <x:row r="243" ht="18" customHeight="1">
      <x:c r="A243" t="str">
        <x:v>ARM012</x:v>
      </x:c>
      <x:c r="B243" t="str">
        <x:v>Gourdin léger</x:v>
      </x:c>
      <x:c r="C243" t="n">
        <x:v>20</x:v>
      </x:c>
      <x:c r="D243" t="str">
        <x:v>Légères</x:v>
      </x:c>
      <x:c r="E243" s="28" t="n">
        <x:f>IF(M243=0,0,M243+O243)</x:f>
        <x:v>18</x:v>
      </x:c>
      <x:c r="F243" s="28" t="n">
        <x:f>IF(M243=0,0,M243*N243+O243)</x:f>
        <x:v>36</x:v>
      </x:c>
      <x:c r="G243" s="28" t="n">
        <x:f>ROUND(Catalogue!G15*SQRT((1+'Paramètres'!$B$4*(C243-1)+'Paramètres'!$B$5*(C243-1)^2)),0)</x:f>
        <x:v>0</x:v>
      </x:c>
      <x:c r="H243" s="28" t="n">
        <x:f>ROUND(Catalogue!H15*SQRT((1+'Paramètres'!$B$4*(C243-1)+'Paramètres'!$B$5*(C243-1)^2)),0)</x:f>
        <x:v>0</x:v>
      </x:c>
      <x:c r="I243" s="28" t="n">
        <x:v>2</x:v>
      </x:c>
      <x:c r="J243" s="28" t="n">
        <x:v>1</x:v>
      </x:c>
      <x:c r="K243" s="30" t="n">
        <x:v>0.8</x:v>
      </x:c>
      <x:c r="L243" s="54" t="n">
        <x:f>IF(M243=0,0,(E243+F243)/2)</x:f>
        <x:v>27</x:v>
      </x:c>
      <x:c r="M243" t="n">
        <x:v>2</x:v>
      </x:c>
      <x:c r="N243" t="n">
        <x:v>10</x:v>
      </x:c>
      <x:c r="O243" t="n">
        <x:v>16</x:v>
      </x:c>
      <x:c r="P243" s="63" t="str">
        <x:f>IF(M243=0,"—",M243&amp;"d"&amp;N243&amp;IF(O243=0,""," + "&amp;O243))</x:f>
        <x:v>2d10 + 16</x:v>
      </x:c>
      <x:c r="Q243" t="n">
        <x:f>ROUND(INDEX(Catalogue!E$4:E$85,MATCH(A243,Catalogue!A$4:A$85,0))*(1+'Paramètres'!$B$4*(C243-1)+'Paramètres'!$B$5*(C243-1)^2),0)</x:f>
        <x:v>18</x:v>
      </x:c>
      <x:c r="R243" t="n">
        <x:f>ROUND(INDEX(Catalogue!F$4:F$85,MATCH(A243,Catalogue!A$4:A$85,0))*(1+'Paramètres'!$B$4*(C243-1)+'Paramètres'!$B$5*(C243-1)^2),0)</x:f>
        <x:v>35</x:v>
      </x:c>
      <x:c r="S243" t="n">
        <x:f>L243-AVERAGE(Q243:R243)</x:f>
        <x:v>0.5</x:v>
      </x:c>
      <x:c r="T243" t="str">
        <x:f>IF(M243=0,IF(AND(N243=0,O243=0,E243=0,F243=0),"OK","ERREUR"),IF(AND(M243&gt;=1,M243&lt;=32,OR(N243=4,N243=6,N243=8,N243=10,N243=12,N243=20),O243&gt;=0,E243=M243+O243,F243=M243*N243+O243),"OK","ERREUR"))</x:f>
        <x:v>OK</x:v>
      </x:c>
      <x:c r="U243" s="86" t="n">
        <x:f>IF(M243&gt;0,M243*(N243+1)/2+O243,0)</x:f>
        <x:v>27</x:v>
      </x:c>
      <x:c r="V243" t="str">
        <x:f>IF(ABS(L243-U243)&lt;0.001,"OK","ERREUR")</x:f>
        <x:v>OK</x:v>
      </x:c>
    </x:row>
    <x:row r="244" ht="18" customHeight="1">
      <x:c r="A244" t="str">
        <x:v>ARM013</x:v>
      </x:c>
      <x:c r="B244" t="str">
        <x:v>Main-gauche</x:v>
      </x:c>
      <x:c r="C244" t="n">
        <x:v>1</x:v>
      </x:c>
      <x:c r="D244" t="str">
        <x:v>Légères</x:v>
      </x:c>
      <x:c r="E244" s="28" t="n">
        <x:f>IF(M244=0,0,M244+O244)</x:f>
        <x:v>1</x:v>
      </x:c>
      <x:c r="F244" s="28" t="n">
        <x:f>IF(M244=0,0,M244*N244+O244)</x:f>
        <x:v>4</x:v>
      </x:c>
      <x:c r="G244" s="28" t="n">
        <x:f>ROUND(Catalogue!G16*SQRT((1+'Paramètres'!$B$4*(C244-1)+'Paramètres'!$B$5*(C244-1)^2)),0)</x:f>
        <x:v>0</x:v>
      </x:c>
      <x:c r="H244" s="28" t="n">
        <x:f>ROUND(Catalogue!H16*SQRT((1+'Paramètres'!$B$4*(C244-1)+'Paramètres'!$B$5*(C244-1)^2)),0)</x:f>
        <x:v>0</x:v>
      </x:c>
      <x:c r="I244" s="28" t="n">
        <x:v>2</x:v>
      </x:c>
      <x:c r="J244" s="28" t="n">
        <x:v>1</x:v>
      </x:c>
      <x:c r="K244" s="30" t="n">
        <x:v>0.45</x:v>
      </x:c>
      <x:c r="L244" s="54" t="n">
        <x:f>IF(M244=0,0,(E244+F244)/2)</x:f>
        <x:v>2.5</x:v>
      </x:c>
      <x:c r="M244" t="n">
        <x:v>1</x:v>
      </x:c>
      <x:c r="N244" t="n">
        <x:v>4</x:v>
      </x:c>
      <x:c r="O244" t="n">
        <x:v>0</x:v>
      </x:c>
      <x:c r="P244" s="63" t="str">
        <x:f>IF(M244=0,"—",M244&amp;"d"&amp;N244&amp;IF(O244=0,""," + "&amp;O244))</x:f>
        <x:v>1d4</x:v>
      </x:c>
      <x:c r="Q244" t="n">
        <x:f>ROUND(INDEX(Catalogue!E$4:E$85,MATCH(A244,Catalogue!A$4:A$85,0))*(1+'Paramètres'!$B$4*(C244-1)+'Paramètres'!$B$5*(C244-1)^2),0)</x:f>
        <x:v>1</x:v>
      </x:c>
      <x:c r="R244" t="n">
        <x:f>ROUND(INDEX(Catalogue!F$4:F$85,MATCH(A244,Catalogue!A$4:A$85,0))*(1+'Paramètres'!$B$4*(C244-1)+'Paramètres'!$B$5*(C244-1)^2),0)</x:f>
        <x:v>3</x:v>
      </x:c>
      <x:c r="S244" t="n">
        <x:f>L244-AVERAGE(Q244:R244)</x:f>
        <x:v>0.5</x:v>
      </x:c>
      <x:c r="T244" t="str">
        <x:f>IF(M244=0,IF(AND(N244=0,O244=0,E244=0,F244=0),"OK","ERREUR"),IF(AND(M244&gt;=1,M244&lt;=32,OR(N244=4,N244=6,N244=8,N244=10,N244=12,N244=20),O244&gt;=0,E244=M244+O244,F244=M244*N244+O244),"OK","ERREUR"))</x:f>
        <x:v>OK</x:v>
      </x:c>
      <x:c r="U244" s="86" t="n">
        <x:f>IF(M244&gt;0,M244*(N244+1)/2+O244,0)</x:f>
        <x:v>2.5</x:v>
      </x:c>
      <x:c r="V244" t="str">
        <x:f>IF(ABS(L244-U244)&lt;0.001,"OK","ERREUR")</x:f>
        <x:v>OK</x:v>
      </x:c>
    </x:row>
    <x:row r="245" ht="18" customHeight="1">
      <x:c r="A245" t="str">
        <x:v>ARM013</x:v>
      </x:c>
      <x:c r="B245" t="str">
        <x:v>Main-gauche</x:v>
      </x:c>
      <x:c r="C245" t="n">
        <x:v>2</x:v>
      </x:c>
      <x:c r="D245" t="str">
        <x:v>Légères</x:v>
      </x:c>
      <x:c r="E245" s="28" t="n">
        <x:f>IF(M245=0,0,M245+O245)</x:f>
        <x:v>1</x:v>
      </x:c>
      <x:c r="F245" s="28" t="n">
        <x:f>IF(M245=0,0,M245*N245+O245)</x:f>
        <x:v>4</x:v>
      </x:c>
      <x:c r="G245" s="28" t="n">
        <x:f>ROUND(Catalogue!G16*SQRT((1+'Paramètres'!$B$4*(C245-1)+'Paramètres'!$B$5*(C245-1)^2)),0)</x:f>
        <x:v>0</x:v>
      </x:c>
      <x:c r="H245" s="28" t="n">
        <x:f>ROUND(Catalogue!H16*SQRT((1+'Paramètres'!$B$4*(C245-1)+'Paramètres'!$B$5*(C245-1)^2)),0)</x:f>
        <x:v>0</x:v>
      </x:c>
      <x:c r="I245" s="28" t="n">
        <x:v>2</x:v>
      </x:c>
      <x:c r="J245" s="28" t="n">
        <x:v>1</x:v>
      </x:c>
      <x:c r="K245" s="30" t="n">
        <x:v>0.45</x:v>
      </x:c>
      <x:c r="L245" s="54" t="n">
        <x:f>IF(M245=0,0,(E245+F245)/2)</x:f>
        <x:v>2.5</x:v>
      </x:c>
      <x:c r="M245" t="n">
        <x:v>1</x:v>
      </x:c>
      <x:c r="N245" t="n">
        <x:v>4</x:v>
      </x:c>
      <x:c r="O245" t="n">
        <x:v>0</x:v>
      </x:c>
      <x:c r="P245" s="63" t="str">
        <x:f>IF(M245=0,"—",M245&amp;"d"&amp;N245&amp;IF(O245=0,""," + "&amp;O245))</x:f>
        <x:v>1d4</x:v>
      </x:c>
      <x:c r="Q245" t="n">
        <x:f>ROUND(INDEX(Catalogue!E$4:E$85,MATCH(A245,Catalogue!A$4:A$85,0))*(1+'Paramètres'!$B$4*(C245-1)+'Paramètres'!$B$5*(C245-1)^2),0)</x:f>
        <x:v>1</x:v>
      </x:c>
      <x:c r="R245" t="n">
        <x:f>ROUND(INDEX(Catalogue!F$4:F$85,MATCH(A245,Catalogue!A$4:A$85,0))*(1+'Paramètres'!$B$4*(C245-1)+'Paramètres'!$B$5*(C245-1)^2),0)</x:f>
        <x:v>3</x:v>
      </x:c>
      <x:c r="S245" t="n">
        <x:f>L245-AVERAGE(Q245:R245)</x:f>
        <x:v>0.5</x:v>
      </x:c>
      <x:c r="T245" t="str">
        <x:f>IF(M245=0,IF(AND(N245=0,O245=0,E245=0,F245=0),"OK","ERREUR"),IF(AND(M245&gt;=1,M245&lt;=32,OR(N245=4,N245=6,N245=8,N245=10,N245=12,N245=20),O245&gt;=0,E245=M245+O245,F245=M245*N245+O245),"OK","ERREUR"))</x:f>
        <x:v>OK</x:v>
      </x:c>
      <x:c r="U245" s="86" t="n">
        <x:f>IF(M245&gt;0,M245*(N245+1)/2+O245,0)</x:f>
        <x:v>2.5</x:v>
      </x:c>
      <x:c r="V245" t="str">
        <x:f>IF(ABS(L245-U245)&lt;0.001,"OK","ERREUR")</x:f>
        <x:v>OK</x:v>
      </x:c>
    </x:row>
    <x:row r="246" ht="18" customHeight="1">
      <x:c r="A246" t="str">
        <x:v>ARM013</x:v>
      </x:c>
      <x:c r="B246" t="str">
        <x:v>Main-gauche</x:v>
      </x:c>
      <x:c r="C246" t="n">
        <x:v>3</x:v>
      </x:c>
      <x:c r="D246" t="str">
        <x:v>Légères</x:v>
      </x:c>
      <x:c r="E246" s="28" t="n">
        <x:f>IF(M246=0,0,M246+O246)</x:f>
        <x:v>1</x:v>
      </x:c>
      <x:c r="F246" s="28" t="n">
        <x:f>IF(M246=0,0,M246*N246+O246)</x:f>
        <x:v>4</x:v>
      </x:c>
      <x:c r="G246" s="28" t="n">
        <x:f>ROUND(Catalogue!G16*SQRT((1+'Paramètres'!$B$4*(C246-1)+'Paramètres'!$B$5*(C246-1)^2)),0)</x:f>
        <x:v>0</x:v>
      </x:c>
      <x:c r="H246" s="28" t="n">
        <x:f>ROUND(Catalogue!H16*SQRT((1+'Paramètres'!$B$4*(C246-1)+'Paramètres'!$B$5*(C246-1)^2)),0)</x:f>
        <x:v>0</x:v>
      </x:c>
      <x:c r="I246" s="28" t="n">
        <x:v>2</x:v>
      </x:c>
      <x:c r="J246" s="28" t="n">
        <x:v>1</x:v>
      </x:c>
      <x:c r="K246" s="30" t="n">
        <x:v>0.45</x:v>
      </x:c>
      <x:c r="L246" s="54" t="n">
        <x:f>IF(M246=0,0,(E246+F246)/2)</x:f>
        <x:v>2.5</x:v>
      </x:c>
      <x:c r="M246" t="n">
        <x:v>1</x:v>
      </x:c>
      <x:c r="N246" t="n">
        <x:v>4</x:v>
      </x:c>
      <x:c r="O246" t="n">
        <x:v>0</x:v>
      </x:c>
      <x:c r="P246" s="63" t="str">
        <x:f>IF(M246=0,"—",M246&amp;"d"&amp;N246&amp;IF(O246=0,""," + "&amp;O246))</x:f>
        <x:v>1d4</x:v>
      </x:c>
      <x:c r="Q246" t="n">
        <x:f>ROUND(INDEX(Catalogue!E$4:E$85,MATCH(A246,Catalogue!A$4:A$85,0))*(1+'Paramètres'!$B$4*(C246-1)+'Paramètres'!$B$5*(C246-1)^2),0)</x:f>
        <x:v>1</x:v>
      </x:c>
      <x:c r="R246" t="n">
        <x:f>ROUND(INDEX(Catalogue!F$4:F$85,MATCH(A246,Catalogue!A$4:A$85,0))*(1+'Paramètres'!$B$4*(C246-1)+'Paramètres'!$B$5*(C246-1)^2),0)</x:f>
        <x:v>4</x:v>
      </x:c>
      <x:c r="S246" t="n">
        <x:f>L246-AVERAGE(Q246:R246)</x:f>
        <x:v>0</x:v>
      </x:c>
      <x:c r="T246" t="str">
        <x:f>IF(M246=0,IF(AND(N246=0,O246=0,E246=0,F246=0),"OK","ERREUR"),IF(AND(M246&gt;=1,M246&lt;=32,OR(N246=4,N246=6,N246=8,N246=10,N246=12,N246=20),O246&gt;=0,E246=M246+O246,F246=M246*N246+O246),"OK","ERREUR"))</x:f>
        <x:v>OK</x:v>
      </x:c>
      <x:c r="U246" s="86" t="n">
        <x:f>IF(M246&gt;0,M246*(N246+1)/2+O246,0)</x:f>
        <x:v>2.5</x:v>
      </x:c>
      <x:c r="V246" t="str">
        <x:f>IF(ABS(L246-U246)&lt;0.001,"OK","ERREUR")</x:f>
        <x:v>OK</x:v>
      </x:c>
    </x:row>
    <x:row r="247" ht="18" customHeight="1">
      <x:c r="A247" t="str">
        <x:v>ARM013</x:v>
      </x:c>
      <x:c r="B247" t="str">
        <x:v>Main-gauche</x:v>
      </x:c>
      <x:c r="C247" t="n">
        <x:v>4</x:v>
      </x:c>
      <x:c r="D247" t="str">
        <x:v>Légères</x:v>
      </x:c>
      <x:c r="E247" s="28" t="n">
        <x:f>IF(M247=0,0,M247+O247)</x:f>
        <x:v>1</x:v>
      </x:c>
      <x:c r="F247" s="28" t="n">
        <x:f>IF(M247=0,0,M247*N247+O247)</x:f>
        <x:v>4</x:v>
      </x:c>
      <x:c r="G247" s="28" t="n">
        <x:f>ROUND(Catalogue!G16*SQRT((1+'Paramètres'!$B$4*(C247-1)+'Paramètres'!$B$5*(C247-1)^2)),0)</x:f>
        <x:v>0</x:v>
      </x:c>
      <x:c r="H247" s="28" t="n">
        <x:f>ROUND(Catalogue!H16*SQRT((1+'Paramètres'!$B$4*(C247-1)+'Paramètres'!$B$5*(C247-1)^2)),0)</x:f>
        <x:v>0</x:v>
      </x:c>
      <x:c r="I247" s="28" t="n">
        <x:v>2</x:v>
      </x:c>
      <x:c r="J247" s="28" t="n">
        <x:v>1</x:v>
      </x:c>
      <x:c r="K247" s="30" t="n">
        <x:v>0.45</x:v>
      </x:c>
      <x:c r="L247" s="54" t="n">
        <x:f>IF(M247=0,0,(E247+F247)/2)</x:f>
        <x:v>2.5</x:v>
      </x:c>
      <x:c r="M247" t="n">
        <x:v>1</x:v>
      </x:c>
      <x:c r="N247" t="n">
        <x:v>4</x:v>
      </x:c>
      <x:c r="O247" t="n">
        <x:v>0</x:v>
      </x:c>
      <x:c r="P247" s="63" t="str">
        <x:f>IF(M247=0,"—",M247&amp;"d"&amp;N247&amp;IF(O247=0,""," + "&amp;O247))</x:f>
        <x:v>1d4</x:v>
      </x:c>
      <x:c r="Q247" t="n">
        <x:f>ROUND(INDEX(Catalogue!E$4:E$85,MATCH(A247,Catalogue!A$4:A$85,0))*(1+'Paramètres'!$B$4*(C247-1)+'Paramètres'!$B$5*(C247-1)^2),0)</x:f>
        <x:v>1</x:v>
      </x:c>
      <x:c r="R247" t="n">
        <x:f>ROUND(INDEX(Catalogue!F$4:F$85,MATCH(A247,Catalogue!A$4:A$85,0))*(1+'Paramètres'!$B$4*(C247-1)+'Paramètres'!$B$5*(C247-1)^2),0)</x:f>
        <x:v>4</x:v>
      </x:c>
      <x:c r="S247" t="n">
        <x:f>L247-AVERAGE(Q247:R247)</x:f>
        <x:v>0</x:v>
      </x:c>
      <x:c r="T247" t="str">
        <x:f>IF(M247=0,IF(AND(N247=0,O247=0,E247=0,F247=0),"OK","ERREUR"),IF(AND(M247&gt;=1,M247&lt;=32,OR(N247=4,N247=6,N247=8,N247=10,N247=12,N247=20),O247&gt;=0,E247=M247+O247,F247=M247*N247+O247),"OK","ERREUR"))</x:f>
        <x:v>OK</x:v>
      </x:c>
      <x:c r="U247" s="86" t="n">
        <x:f>IF(M247&gt;0,M247*(N247+1)/2+O247,0)</x:f>
        <x:v>2.5</x:v>
      </x:c>
      <x:c r="V247" t="str">
        <x:f>IF(ABS(L247-U247)&lt;0.001,"OK","ERREUR")</x:f>
        <x:v>OK</x:v>
      </x:c>
    </x:row>
    <x:row r="248" ht="18" customHeight="1">
      <x:c r="A248" t="str">
        <x:v>ARM013</x:v>
      </x:c>
      <x:c r="B248" t="str">
        <x:v>Main-gauche</x:v>
      </x:c>
      <x:c r="C248" t="n">
        <x:v>5</x:v>
      </x:c>
      <x:c r="D248" t="str">
        <x:v>Légères</x:v>
      </x:c>
      <x:c r="E248" s="28" t="n">
        <x:f>IF(M248=0,0,M248+O248)</x:f>
        <x:v>2</x:v>
      </x:c>
      <x:c r="F248" s="28" t="n">
        <x:f>IF(M248=0,0,M248*N248+O248)</x:f>
        <x:v>5</x:v>
      </x:c>
      <x:c r="G248" s="28" t="n">
        <x:f>ROUND(Catalogue!G16*SQRT((1+'Paramètres'!$B$4*(C248-1)+'Paramètres'!$B$5*(C248-1)^2)),0)</x:f>
        <x:v>0</x:v>
      </x:c>
      <x:c r="H248" s="28" t="n">
        <x:f>ROUND(Catalogue!H16*SQRT((1+'Paramètres'!$B$4*(C248-1)+'Paramètres'!$B$5*(C248-1)^2)),0)</x:f>
        <x:v>0</x:v>
      </x:c>
      <x:c r="I248" s="28" t="n">
        <x:v>2</x:v>
      </x:c>
      <x:c r="J248" s="28" t="n">
        <x:v>1</x:v>
      </x:c>
      <x:c r="K248" s="30" t="n">
        <x:v>0.45</x:v>
      </x:c>
      <x:c r="L248" s="54" t="n">
        <x:f>IF(M248=0,0,(E248+F248)/2)</x:f>
        <x:v>3.5</x:v>
      </x:c>
      <x:c r="M248" t="n">
        <x:v>1</x:v>
      </x:c>
      <x:c r="N248" t="n">
        <x:v>4</x:v>
      </x:c>
      <x:c r="O248" t="n">
        <x:v>1</x:v>
      </x:c>
      <x:c r="P248" s="63" t="str">
        <x:f>IF(M248=0,"—",M248&amp;"d"&amp;N248&amp;IF(O248=0,""," + "&amp;O248))</x:f>
        <x:v>1d4 + 1</x:v>
      </x:c>
      <x:c r="Q248" t="n">
        <x:f>ROUND(INDEX(Catalogue!E$4:E$85,MATCH(A248,Catalogue!A$4:A$85,0))*(1+'Paramètres'!$B$4*(C248-1)+'Paramètres'!$B$5*(C248-1)^2),0)</x:f>
        <x:v>2</x:v>
      </x:c>
      <x:c r="R248" t="n">
        <x:f>ROUND(INDEX(Catalogue!F$4:F$85,MATCH(A248,Catalogue!A$4:A$85,0))*(1+'Paramètres'!$B$4*(C248-1)+'Paramètres'!$B$5*(C248-1)^2),0)</x:f>
        <x:v>5</x:v>
      </x:c>
      <x:c r="S248" t="n">
        <x:f>L248-AVERAGE(Q248:R248)</x:f>
        <x:v>0</x:v>
      </x:c>
      <x:c r="T248" t="str">
        <x:f>IF(M248=0,IF(AND(N248=0,O248=0,E248=0,F248=0),"OK","ERREUR"),IF(AND(M248&gt;=1,M248&lt;=32,OR(N248=4,N248=6,N248=8,N248=10,N248=12,N248=20),O248&gt;=0,E248=M248+O248,F248=M248*N248+O248),"OK","ERREUR"))</x:f>
        <x:v>OK</x:v>
      </x:c>
      <x:c r="U248" s="86" t="n">
        <x:f>IF(M248&gt;0,M248*(N248+1)/2+O248,0)</x:f>
        <x:v>3.5</x:v>
      </x:c>
      <x:c r="V248" t="str">
        <x:f>IF(ABS(L248-U248)&lt;0.001,"OK","ERREUR")</x:f>
        <x:v>OK</x:v>
      </x:c>
    </x:row>
    <x:row r="249" ht="18" customHeight="1">
      <x:c r="A249" t="str">
        <x:v>ARM013</x:v>
      </x:c>
      <x:c r="B249" t="str">
        <x:v>Main-gauche</x:v>
      </x:c>
      <x:c r="C249" t="n">
        <x:v>6</x:v>
      </x:c>
      <x:c r="D249" t="str">
        <x:v>Légères</x:v>
      </x:c>
      <x:c r="E249" s="28" t="n">
        <x:f>IF(M249=0,0,M249+O249)</x:f>
        <x:v>2</x:v>
      </x:c>
      <x:c r="F249" s="28" t="n">
        <x:f>IF(M249=0,0,M249*N249+O249)</x:f>
        <x:v>5</x:v>
      </x:c>
      <x:c r="G249" s="28" t="n">
        <x:f>ROUND(Catalogue!G16*SQRT((1+'Paramètres'!$B$4*(C249-1)+'Paramètres'!$B$5*(C249-1)^2)),0)</x:f>
        <x:v>0</x:v>
      </x:c>
      <x:c r="H249" s="28" t="n">
        <x:f>ROUND(Catalogue!H16*SQRT((1+'Paramètres'!$B$4*(C249-1)+'Paramètres'!$B$5*(C249-1)^2)),0)</x:f>
        <x:v>0</x:v>
      </x:c>
      <x:c r="I249" s="28" t="n">
        <x:v>2</x:v>
      </x:c>
      <x:c r="J249" s="28" t="n">
        <x:v>1</x:v>
      </x:c>
      <x:c r="K249" s="30" t="n">
        <x:v>0.45</x:v>
      </x:c>
      <x:c r="L249" s="54" t="n">
        <x:f>IF(M249=0,0,(E249+F249)/2)</x:f>
        <x:v>3.5</x:v>
      </x:c>
      <x:c r="M249" t="n">
        <x:v>1</x:v>
      </x:c>
      <x:c r="N249" t="n">
        <x:v>4</x:v>
      </x:c>
      <x:c r="O249" t="n">
        <x:v>1</x:v>
      </x:c>
      <x:c r="P249" s="63" t="str">
        <x:f>IF(M249=0,"—",M249&amp;"d"&amp;N249&amp;IF(O249=0,""," + "&amp;O249))</x:f>
        <x:v>1d4 + 1</x:v>
      </x:c>
      <x:c r="Q249" t="n">
        <x:f>ROUND(INDEX(Catalogue!E$4:E$85,MATCH(A249,Catalogue!A$4:A$85,0))*(1+'Paramètres'!$B$4*(C249-1)+'Paramètres'!$B$5*(C249-1)^2),0)</x:f>
        <x:v>2</x:v>
      </x:c>
      <x:c r="R249" t="n">
        <x:f>ROUND(INDEX(Catalogue!F$4:F$85,MATCH(A249,Catalogue!A$4:A$85,0))*(1+'Paramètres'!$B$4*(C249-1)+'Paramètres'!$B$5*(C249-1)^2),0)</x:f>
        <x:v>6</x:v>
      </x:c>
      <x:c r="S249" t="n">
        <x:f>L249-AVERAGE(Q249:R249)</x:f>
        <x:v>-0.5</x:v>
      </x:c>
      <x:c r="T249" t="str">
        <x:f>IF(M249=0,IF(AND(N249=0,O249=0,E249=0,F249=0),"OK","ERREUR"),IF(AND(M249&gt;=1,M249&lt;=32,OR(N249=4,N249=6,N249=8,N249=10,N249=12,N249=20),O249&gt;=0,E249=M249+O249,F249=M249*N249+O249),"OK","ERREUR"))</x:f>
        <x:v>OK</x:v>
      </x:c>
      <x:c r="U249" s="86" t="n">
        <x:f>IF(M249&gt;0,M249*(N249+1)/2+O249,0)</x:f>
        <x:v>3.5</x:v>
      </x:c>
      <x:c r="V249" t="str">
        <x:f>IF(ABS(L249-U249)&lt;0.001,"OK","ERREUR")</x:f>
        <x:v>OK</x:v>
      </x:c>
    </x:row>
    <x:row r="250" ht="18" customHeight="1">
      <x:c r="A250" t="str">
        <x:v>ARM013</x:v>
      </x:c>
      <x:c r="B250" t="str">
        <x:v>Main-gauche</x:v>
      </x:c>
      <x:c r="C250" t="n">
        <x:v>7</x:v>
      </x:c>
      <x:c r="D250" t="str">
        <x:v>Légères</x:v>
      </x:c>
      <x:c r="E250" s="28" t="n">
        <x:f>IF(M250=0,0,M250+O250)</x:f>
        <x:v>2</x:v>
      </x:c>
      <x:c r="F250" s="28" t="n">
        <x:f>IF(M250=0,0,M250*N250+O250)</x:f>
        <x:v>7</x:v>
      </x:c>
      <x:c r="G250" s="28" t="n">
        <x:f>ROUND(Catalogue!G16*SQRT((1+'Paramètres'!$B$4*(C250-1)+'Paramètres'!$B$5*(C250-1)^2)),0)</x:f>
        <x:v>0</x:v>
      </x:c>
      <x:c r="H250" s="28" t="n">
        <x:f>ROUND(Catalogue!H16*SQRT((1+'Paramètres'!$B$4*(C250-1)+'Paramètres'!$B$5*(C250-1)^2)),0)</x:f>
        <x:v>0</x:v>
      </x:c>
      <x:c r="I250" s="28" t="n">
        <x:v>2</x:v>
      </x:c>
      <x:c r="J250" s="28" t="n">
        <x:v>1</x:v>
      </x:c>
      <x:c r="K250" s="30" t="n">
        <x:v>0.45</x:v>
      </x:c>
      <x:c r="L250" s="54" t="n">
        <x:f>IF(M250=0,0,(E250+F250)/2)</x:f>
        <x:v>4.5</x:v>
      </x:c>
      <x:c r="M250" t="n">
        <x:v>1</x:v>
      </x:c>
      <x:c r="N250" t="n">
        <x:v>6</x:v>
      </x:c>
      <x:c r="O250" t="n">
        <x:v>1</x:v>
      </x:c>
      <x:c r="P250" s="63" t="str">
        <x:f>IF(M250=0,"—",M250&amp;"d"&amp;N250&amp;IF(O250=0,""," + "&amp;O250))</x:f>
        <x:v>1d6 + 1</x:v>
      </x:c>
      <x:c r="Q250" t="n">
        <x:f>ROUND(INDEX(Catalogue!E$4:E$85,MATCH(A250,Catalogue!A$4:A$85,0))*(1+'Paramètres'!$B$4*(C250-1)+'Paramètres'!$B$5*(C250-1)^2),0)</x:f>
        <x:v>2</x:v>
      </x:c>
      <x:c r="R250" t="n">
        <x:f>ROUND(INDEX(Catalogue!F$4:F$85,MATCH(A250,Catalogue!A$4:A$85,0))*(1+'Paramètres'!$B$4*(C250-1)+'Paramètres'!$B$5*(C250-1)^2),0)</x:f>
        <x:v>7</x:v>
      </x:c>
      <x:c r="S250" t="n">
        <x:f>L250-AVERAGE(Q250:R250)</x:f>
        <x:v>0</x:v>
      </x:c>
      <x:c r="T250" t="str">
        <x:f>IF(M250=0,IF(AND(N250=0,O250=0,E250=0,F250=0),"OK","ERREUR"),IF(AND(M250&gt;=1,M250&lt;=32,OR(N250=4,N250=6,N250=8,N250=10,N250=12,N250=20),O250&gt;=0,E250=M250+O250,F250=M250*N250+O250),"OK","ERREUR"))</x:f>
        <x:v>OK</x:v>
      </x:c>
      <x:c r="U250" s="86" t="n">
        <x:f>IF(M250&gt;0,M250*(N250+1)/2+O250,0)</x:f>
        <x:v>4.5</x:v>
      </x:c>
      <x:c r="V250" t="str">
        <x:f>IF(ABS(L250-U250)&lt;0.001,"OK","ERREUR")</x:f>
        <x:v>OK</x:v>
      </x:c>
    </x:row>
    <x:row r="251" ht="18" customHeight="1">
      <x:c r="A251" t="str">
        <x:v>ARM013</x:v>
      </x:c>
      <x:c r="B251" t="str">
        <x:v>Main-gauche</x:v>
      </x:c>
      <x:c r="C251" t="n">
        <x:v>8</x:v>
      </x:c>
      <x:c r="D251" t="str">
        <x:v>Légères</x:v>
      </x:c>
      <x:c r="E251" s="28" t="n">
        <x:f>IF(M251=0,0,M251+O251)</x:f>
        <x:v>3</x:v>
      </x:c>
      <x:c r="F251" s="28" t="n">
        <x:f>IF(M251=0,0,M251*N251+O251)</x:f>
        <x:v>8</x:v>
      </x:c>
      <x:c r="G251" s="28" t="n">
        <x:f>ROUND(Catalogue!G16*SQRT((1+'Paramètres'!$B$4*(C251-1)+'Paramètres'!$B$5*(C251-1)^2)),0)</x:f>
        <x:v>0</x:v>
      </x:c>
      <x:c r="H251" s="28" t="n">
        <x:f>ROUND(Catalogue!H16*SQRT((1+'Paramètres'!$B$4*(C251-1)+'Paramètres'!$B$5*(C251-1)^2)),0)</x:f>
        <x:v>0</x:v>
      </x:c>
      <x:c r="I251" s="28" t="n">
        <x:v>2</x:v>
      </x:c>
      <x:c r="J251" s="28" t="n">
        <x:v>1</x:v>
      </x:c>
      <x:c r="K251" s="30" t="n">
        <x:v>0.45</x:v>
      </x:c>
      <x:c r="L251" s="54" t="n">
        <x:f>IF(M251=0,0,(E251+F251)/2)</x:f>
        <x:v>5.5</x:v>
      </x:c>
      <x:c r="M251" t="n">
        <x:v>1</x:v>
      </x:c>
      <x:c r="N251" t="n">
        <x:v>6</x:v>
      </x:c>
      <x:c r="O251" t="n">
        <x:v>2</x:v>
      </x:c>
      <x:c r="P251" s="63" t="str">
        <x:f>IF(M251=0,"—",M251&amp;"d"&amp;N251&amp;IF(O251=0,""," + "&amp;O251))</x:f>
        <x:v>1d6 + 2</x:v>
      </x:c>
      <x:c r="Q251" t="n">
        <x:f>ROUND(INDEX(Catalogue!E$4:E$85,MATCH(A251,Catalogue!A$4:A$85,0))*(1+'Paramètres'!$B$4*(C251-1)+'Paramètres'!$B$5*(C251-1)^2),0)</x:f>
        <x:v>3</x:v>
      </x:c>
      <x:c r="R251" t="n">
        <x:f>ROUND(INDEX(Catalogue!F$4:F$85,MATCH(A251,Catalogue!A$4:A$85,0))*(1+'Paramètres'!$B$4*(C251-1)+'Paramètres'!$B$5*(C251-1)^2),0)</x:f>
        <x:v>8</x:v>
      </x:c>
      <x:c r="S251" t="n">
        <x:f>L251-AVERAGE(Q251:R251)</x:f>
        <x:v>0</x:v>
      </x:c>
      <x:c r="T251" t="str">
        <x:f>IF(M251=0,IF(AND(N251=0,O251=0,E251=0,F251=0),"OK","ERREUR"),IF(AND(M251&gt;=1,M251&lt;=32,OR(N251=4,N251=6,N251=8,N251=10,N251=12,N251=20),O251&gt;=0,E251=M251+O251,F251=M251*N251+O251),"OK","ERREUR"))</x:f>
        <x:v>OK</x:v>
      </x:c>
      <x:c r="U251" s="86" t="n">
        <x:f>IF(M251&gt;0,M251*(N251+1)/2+O251,0)</x:f>
        <x:v>5.5</x:v>
      </x:c>
      <x:c r="V251" t="str">
        <x:f>IF(ABS(L251-U251)&lt;0.001,"OK","ERREUR")</x:f>
        <x:v>OK</x:v>
      </x:c>
    </x:row>
    <x:row r="252" ht="18" customHeight="1">
      <x:c r="A252" t="str">
        <x:v>ARM013</x:v>
      </x:c>
      <x:c r="B252" t="str">
        <x:v>Main-gauche</x:v>
      </x:c>
      <x:c r="C252" t="n">
        <x:v>9</x:v>
      </x:c>
      <x:c r="D252" t="str">
        <x:v>Légères</x:v>
      </x:c>
      <x:c r="E252" s="28" t="n">
        <x:f>IF(M252=0,0,M252+O252)</x:f>
        <x:v>3</x:v>
      </x:c>
      <x:c r="F252" s="28" t="n">
        <x:f>IF(M252=0,0,M252*N252+O252)</x:f>
        <x:v>9</x:v>
      </x:c>
      <x:c r="G252" s="28" t="n">
        <x:f>ROUND(Catalogue!G16*SQRT((1+'Paramètres'!$B$4*(C252-1)+'Paramètres'!$B$5*(C252-1)^2)),0)</x:f>
        <x:v>0</x:v>
      </x:c>
      <x:c r="H252" s="28" t="n">
        <x:f>ROUND(Catalogue!H16*SQRT((1+'Paramètres'!$B$4*(C252-1)+'Paramètres'!$B$5*(C252-1)^2)),0)</x:f>
        <x:v>0</x:v>
      </x:c>
      <x:c r="I252" s="28" t="n">
        <x:v>2</x:v>
      </x:c>
      <x:c r="J252" s="28" t="n">
        <x:v>1</x:v>
      </x:c>
      <x:c r="K252" s="30" t="n">
        <x:v>0.45</x:v>
      </x:c>
      <x:c r="L252" s="54" t="n">
        <x:f>IF(M252=0,0,(E252+F252)/2)</x:f>
        <x:v>6</x:v>
      </x:c>
      <x:c r="M252" t="n">
        <x:v>2</x:v>
      </x:c>
      <x:c r="N252" t="n">
        <x:v>4</x:v>
      </x:c>
      <x:c r="O252" t="n">
        <x:v>1</x:v>
      </x:c>
      <x:c r="P252" s="63" t="str">
        <x:f>IF(M252=0,"—",M252&amp;"d"&amp;N252&amp;IF(O252=0,""," + "&amp;O252))</x:f>
        <x:v>2d4 + 1</x:v>
      </x:c>
      <x:c r="Q252" t="n">
        <x:f>ROUND(INDEX(Catalogue!E$4:E$85,MATCH(A252,Catalogue!A$4:A$85,0))*(1+'Paramètres'!$B$4*(C252-1)+'Paramètres'!$B$5*(C252-1)^2),0)</x:f>
        <x:v>3</x:v>
      </x:c>
      <x:c r="R252" t="n">
        <x:f>ROUND(INDEX(Catalogue!F$4:F$85,MATCH(A252,Catalogue!A$4:A$85,0))*(1+'Paramètres'!$B$4*(C252-1)+'Paramètres'!$B$5*(C252-1)^2),0)</x:f>
        <x:v>9</x:v>
      </x:c>
      <x:c r="S252" t="n">
        <x:f>L252-AVERAGE(Q252:R252)</x:f>
        <x:v>0</x:v>
      </x:c>
      <x:c r="T252" t="str">
        <x:f>IF(M252=0,IF(AND(N252=0,O252=0,E252=0,F252=0),"OK","ERREUR"),IF(AND(M252&gt;=1,M252&lt;=32,OR(N252=4,N252=6,N252=8,N252=10,N252=12,N252=20),O252&gt;=0,E252=M252+O252,F252=M252*N252+O252),"OK","ERREUR"))</x:f>
        <x:v>OK</x:v>
      </x:c>
      <x:c r="U252" s="86" t="n">
        <x:f>IF(M252&gt;0,M252*(N252+1)/2+O252,0)</x:f>
        <x:v>6</x:v>
      </x:c>
      <x:c r="V252" t="str">
        <x:f>IF(ABS(L252-U252)&lt;0.001,"OK","ERREUR")</x:f>
        <x:v>OK</x:v>
      </x:c>
    </x:row>
    <x:row r="253" ht="18" customHeight="1">
      <x:c r="A253" t="str">
        <x:v>ARM013</x:v>
      </x:c>
      <x:c r="B253" t="str">
        <x:v>Main-gauche</x:v>
      </x:c>
      <x:c r="C253" t="n">
        <x:v>10</x:v>
      </x:c>
      <x:c r="D253" t="str">
        <x:v>Légères</x:v>
      </x:c>
      <x:c r="E253" s="28" t="n">
        <x:f>IF(M253=0,0,M253+O253)</x:f>
        <x:v>3</x:v>
      </x:c>
      <x:c r="F253" s="28" t="n">
        <x:f>IF(M253=0,0,M253*N253+O253)</x:f>
        <x:v>10</x:v>
      </x:c>
      <x:c r="G253" s="28" t="n">
        <x:f>ROUND(Catalogue!G16*SQRT((1+'Paramètres'!$B$4*(C253-1)+'Paramètres'!$B$5*(C253-1)^2)),0)</x:f>
        <x:v>0</x:v>
      </x:c>
      <x:c r="H253" s="28" t="n">
        <x:f>ROUND(Catalogue!H16*SQRT((1+'Paramètres'!$B$4*(C253-1)+'Paramètres'!$B$5*(C253-1)^2)),0)</x:f>
        <x:v>0</x:v>
      </x:c>
      <x:c r="I253" s="28" t="n">
        <x:v>2</x:v>
      </x:c>
      <x:c r="J253" s="28" t="n">
        <x:v>1</x:v>
      </x:c>
      <x:c r="K253" s="30" t="n">
        <x:v>0.45</x:v>
      </x:c>
      <x:c r="L253" s="54" t="n">
        <x:f>IF(M253=0,0,(E253+F253)/2)</x:f>
        <x:v>6.5</x:v>
      </x:c>
      <x:c r="M253" t="n">
        <x:v>1</x:v>
      </x:c>
      <x:c r="N253" t="n">
        <x:v>8</x:v>
      </x:c>
      <x:c r="O253" t="n">
        <x:v>2</x:v>
      </x:c>
      <x:c r="P253" s="63" t="str">
        <x:f>IF(M253=0,"—",M253&amp;"d"&amp;N253&amp;IF(O253=0,""," + "&amp;O253))</x:f>
        <x:v>1d8 + 2</x:v>
      </x:c>
      <x:c r="Q253" t="n">
        <x:f>ROUND(INDEX(Catalogue!E$4:E$85,MATCH(A253,Catalogue!A$4:A$85,0))*(1+'Paramètres'!$B$4*(C253-1)+'Paramètres'!$B$5*(C253-1)^2),0)</x:f>
        <x:v>3</x:v>
      </x:c>
      <x:c r="R253" t="n">
        <x:f>ROUND(INDEX(Catalogue!F$4:F$85,MATCH(A253,Catalogue!A$4:A$85,0))*(1+'Paramètres'!$B$4*(C253-1)+'Paramètres'!$B$5*(C253-1)^2),0)</x:f>
        <x:v>10</x:v>
      </x:c>
      <x:c r="S253" t="n">
        <x:f>L253-AVERAGE(Q253:R253)</x:f>
        <x:v>0</x:v>
      </x:c>
      <x:c r="T253" t="str">
        <x:f>IF(M253=0,IF(AND(N253=0,O253=0,E253=0,F253=0),"OK","ERREUR"),IF(AND(M253&gt;=1,M253&lt;=32,OR(N253=4,N253=6,N253=8,N253=10,N253=12,N253=20),O253&gt;=0,E253=M253+O253,F253=M253*N253+O253),"OK","ERREUR"))</x:f>
        <x:v>OK</x:v>
      </x:c>
      <x:c r="U253" s="86" t="n">
        <x:f>IF(M253&gt;0,M253*(N253+1)/2+O253,0)</x:f>
        <x:v>6.5</x:v>
      </x:c>
      <x:c r="V253" t="str">
        <x:f>IF(ABS(L253-U253)&lt;0.001,"OK","ERREUR")</x:f>
        <x:v>OK</x:v>
      </x:c>
    </x:row>
    <x:row r="254" ht="18" customHeight="1">
      <x:c r="A254" t="str">
        <x:v>ARM013</x:v>
      </x:c>
      <x:c r="B254" t="str">
        <x:v>Main-gauche</x:v>
      </x:c>
      <x:c r="C254" t="n">
        <x:v>11</x:v>
      </x:c>
      <x:c r="D254" t="str">
        <x:v>Légères</x:v>
      </x:c>
      <x:c r="E254" s="28" t="n">
        <x:f>IF(M254=0,0,M254+O254)</x:f>
        <x:v>4</x:v>
      </x:c>
      <x:c r="F254" s="28" t="n">
        <x:f>IF(M254=0,0,M254*N254+O254)</x:f>
        <x:v>11</x:v>
      </x:c>
      <x:c r="G254" s="28" t="n">
        <x:f>ROUND(Catalogue!G16*SQRT((1+'Paramètres'!$B$4*(C254-1)+'Paramètres'!$B$5*(C254-1)^2)),0)</x:f>
        <x:v>0</x:v>
      </x:c>
      <x:c r="H254" s="28" t="n">
        <x:f>ROUND(Catalogue!H16*SQRT((1+'Paramètres'!$B$4*(C254-1)+'Paramètres'!$B$5*(C254-1)^2)),0)</x:f>
        <x:v>0</x:v>
      </x:c>
      <x:c r="I254" s="28" t="n">
        <x:v>2</x:v>
      </x:c>
      <x:c r="J254" s="28" t="n">
        <x:v>1</x:v>
      </x:c>
      <x:c r="K254" s="30" t="n">
        <x:v>0.45</x:v>
      </x:c>
      <x:c r="L254" s="54" t="n">
        <x:f>IF(M254=0,0,(E254+F254)/2)</x:f>
        <x:v>7.5</x:v>
      </x:c>
      <x:c r="M254" t="n">
        <x:v>1</x:v>
      </x:c>
      <x:c r="N254" t="n">
        <x:v>8</x:v>
      </x:c>
      <x:c r="O254" t="n">
        <x:v>3</x:v>
      </x:c>
      <x:c r="P254" s="63" t="str">
        <x:f>IF(M254=0,"—",M254&amp;"d"&amp;N254&amp;IF(O254=0,""," + "&amp;O254))</x:f>
        <x:v>1d8 + 3</x:v>
      </x:c>
      <x:c r="Q254" t="n">
        <x:f>ROUND(INDEX(Catalogue!E$4:E$85,MATCH(A254,Catalogue!A$4:A$85,0))*(1+'Paramètres'!$B$4*(C254-1)+'Paramètres'!$B$5*(C254-1)^2),0)</x:f>
        <x:v>4</x:v>
      </x:c>
      <x:c r="R254" t="n">
        <x:f>ROUND(INDEX(Catalogue!F$4:F$85,MATCH(A254,Catalogue!A$4:A$85,0))*(1+'Paramètres'!$B$4*(C254-1)+'Paramètres'!$B$5*(C254-1)^2),0)</x:f>
        <x:v>11</x:v>
      </x:c>
      <x:c r="S254" t="n">
        <x:f>L254-AVERAGE(Q254:R254)</x:f>
        <x:v>0</x:v>
      </x:c>
      <x:c r="T254" t="str">
        <x:f>IF(M254=0,IF(AND(N254=0,O254=0,E254=0,F254=0),"OK","ERREUR"),IF(AND(M254&gt;=1,M254&lt;=32,OR(N254=4,N254=6,N254=8,N254=10,N254=12,N254=20),O254&gt;=0,E254=M254+O254,F254=M254*N254+O254),"OK","ERREUR"))</x:f>
        <x:v>OK</x:v>
      </x:c>
      <x:c r="U254" s="86" t="n">
        <x:f>IF(M254&gt;0,M254*(N254+1)/2+O254,0)</x:f>
        <x:v>7.5</x:v>
      </x:c>
      <x:c r="V254" t="str">
        <x:f>IF(ABS(L254-U254)&lt;0.001,"OK","ERREUR")</x:f>
        <x:v>OK</x:v>
      </x:c>
    </x:row>
    <x:row r="255" ht="18" customHeight="1">
      <x:c r="A255" t="str">
        <x:v>ARM013</x:v>
      </x:c>
      <x:c r="B255" t="str">
        <x:v>Main-gauche</x:v>
      </x:c>
      <x:c r="C255" t="n">
        <x:v>12</x:v>
      </x:c>
      <x:c r="D255" t="str">
        <x:v>Légères</x:v>
      </x:c>
      <x:c r="E255" s="28" t="n">
        <x:f>IF(M255=0,0,M255+O255)</x:f>
        <x:v>3</x:v>
      </x:c>
      <x:c r="F255" s="28" t="n">
        <x:f>IF(M255=0,0,M255*N255+O255)</x:f>
        <x:v>12</x:v>
      </x:c>
      <x:c r="G255" s="28" t="n">
        <x:f>ROUND(Catalogue!G16*SQRT((1+'Paramètres'!$B$4*(C255-1)+'Paramètres'!$B$5*(C255-1)^2)),0)</x:f>
        <x:v>0</x:v>
      </x:c>
      <x:c r="H255" s="28" t="n">
        <x:f>ROUND(Catalogue!H16*SQRT((1+'Paramètres'!$B$4*(C255-1)+'Paramètres'!$B$5*(C255-1)^2)),0)</x:f>
        <x:v>0</x:v>
      </x:c>
      <x:c r="I255" s="28" t="n">
        <x:v>2</x:v>
      </x:c>
      <x:c r="J255" s="28" t="n">
        <x:v>1</x:v>
      </x:c>
      <x:c r="K255" s="30" t="n">
        <x:v>0.45</x:v>
      </x:c>
      <x:c r="L255" s="54" t="n">
        <x:f>IF(M255=0,0,(E255+F255)/2)</x:f>
        <x:v>7.5</x:v>
      </x:c>
      <x:c r="M255" t="n">
        <x:v>3</x:v>
      </x:c>
      <x:c r="N255" t="n">
        <x:v>4</x:v>
      </x:c>
      <x:c r="O255" t="n">
        <x:v>0</x:v>
      </x:c>
      <x:c r="P255" s="63" t="str">
        <x:f>IF(M255=0,"—",M255&amp;"d"&amp;N255&amp;IF(O255=0,""," + "&amp;O255))</x:f>
        <x:v>3d4</x:v>
      </x:c>
      <x:c r="Q255" t="n">
        <x:f>ROUND(INDEX(Catalogue!E$4:E$85,MATCH(A255,Catalogue!A$4:A$85,0))*(1+'Paramètres'!$B$4*(C255-1)+'Paramètres'!$B$5*(C255-1)^2),0)</x:f>
        <x:v>4</x:v>
      </x:c>
      <x:c r="R255" t="n">
        <x:f>ROUND(INDEX(Catalogue!F$4:F$85,MATCH(A255,Catalogue!A$4:A$85,0))*(1+'Paramètres'!$B$4*(C255-1)+'Paramètres'!$B$5*(C255-1)^2),0)</x:f>
        <x:v>12</x:v>
      </x:c>
      <x:c r="S255" t="n">
        <x:f>L255-AVERAGE(Q255:R255)</x:f>
        <x:v>-0.5</x:v>
      </x:c>
      <x:c r="T255" t="str">
        <x:f>IF(M255=0,IF(AND(N255=0,O255=0,E255=0,F255=0),"OK","ERREUR"),IF(AND(M255&gt;=1,M255&lt;=32,OR(N255=4,N255=6,N255=8,N255=10,N255=12,N255=20),O255&gt;=0,E255=M255+O255,F255=M255*N255+O255),"OK","ERREUR"))</x:f>
        <x:v>OK</x:v>
      </x:c>
      <x:c r="U255" s="86" t="n">
        <x:f>IF(M255&gt;0,M255*(N255+1)/2+O255,0)</x:f>
        <x:v>7.5</x:v>
      </x:c>
      <x:c r="V255" t="str">
        <x:f>IF(ABS(L255-U255)&lt;0.001,"OK","ERREUR")</x:f>
        <x:v>OK</x:v>
      </x:c>
    </x:row>
    <x:row r="256" ht="18" customHeight="1">
      <x:c r="A256" t="str">
        <x:v>ARM013</x:v>
      </x:c>
      <x:c r="B256" t="str">
        <x:v>Main-gauche</x:v>
      </x:c>
      <x:c r="C256" t="n">
        <x:v>13</x:v>
      </x:c>
      <x:c r="D256" t="str">
        <x:v>Légères</x:v>
      </x:c>
      <x:c r="E256" s="28" t="n">
        <x:f>IF(M256=0,0,M256+O256)</x:f>
        <x:v>5</x:v>
      </x:c>
      <x:c r="F256" s="28" t="n">
        <x:f>IF(M256=0,0,M256*N256+O256)</x:f>
        <x:v>14</x:v>
      </x:c>
      <x:c r="G256" s="28" t="n">
        <x:f>ROUND(Catalogue!G16*SQRT((1+'Paramètres'!$B$4*(C256-1)+'Paramètres'!$B$5*(C256-1)^2)),0)</x:f>
        <x:v>0</x:v>
      </x:c>
      <x:c r="H256" s="28" t="n">
        <x:f>ROUND(Catalogue!H16*SQRT((1+'Paramètres'!$B$4*(C256-1)+'Paramètres'!$B$5*(C256-1)^2)),0)</x:f>
        <x:v>0</x:v>
      </x:c>
      <x:c r="I256" s="28" t="n">
        <x:v>2</x:v>
      </x:c>
      <x:c r="J256" s="28" t="n">
        <x:v>1</x:v>
      </x:c>
      <x:c r="K256" s="30" t="n">
        <x:v>0.45</x:v>
      </x:c>
      <x:c r="L256" s="54" t="n">
        <x:f>IF(M256=0,0,(E256+F256)/2)</x:f>
        <x:v>9.5</x:v>
      </x:c>
      <x:c r="M256" t="n">
        <x:v>3</x:v>
      </x:c>
      <x:c r="N256" t="n">
        <x:v>4</x:v>
      </x:c>
      <x:c r="O256" t="n">
        <x:v>2</x:v>
      </x:c>
      <x:c r="P256" s="63" t="str">
        <x:f>IF(M256=0,"—",M256&amp;"d"&amp;N256&amp;IF(O256=0,""," + "&amp;O256))</x:f>
        <x:v>3d4 + 2</x:v>
      </x:c>
      <x:c r="Q256" t="n">
        <x:f>ROUND(INDEX(Catalogue!E$4:E$85,MATCH(A256,Catalogue!A$4:A$85,0))*(1+'Paramètres'!$B$4*(C256-1)+'Paramètres'!$B$5*(C256-1)^2),0)</x:f>
        <x:v>5</x:v>
      </x:c>
      <x:c r="R256" t="n">
        <x:f>ROUND(INDEX(Catalogue!F$4:F$85,MATCH(A256,Catalogue!A$4:A$85,0))*(1+'Paramètres'!$B$4*(C256-1)+'Paramètres'!$B$5*(C256-1)^2),0)</x:f>
        <x:v>14</x:v>
      </x:c>
      <x:c r="S256" t="n">
        <x:f>L256-AVERAGE(Q256:R256)</x:f>
        <x:v>0</x:v>
      </x:c>
      <x:c r="T256" t="str">
        <x:f>IF(M256=0,IF(AND(N256=0,O256=0,E256=0,F256=0),"OK","ERREUR"),IF(AND(M256&gt;=1,M256&lt;=32,OR(N256=4,N256=6,N256=8,N256=10,N256=12,N256=20),O256&gt;=0,E256=M256+O256,F256=M256*N256+O256),"OK","ERREUR"))</x:f>
        <x:v>OK</x:v>
      </x:c>
      <x:c r="U256" s="86" t="n">
        <x:f>IF(M256&gt;0,M256*(N256+1)/2+O256,0)</x:f>
        <x:v>9.5</x:v>
      </x:c>
      <x:c r="V256" t="str">
        <x:f>IF(ABS(L256-U256)&lt;0.001,"OK","ERREUR")</x:f>
        <x:v>OK</x:v>
      </x:c>
    </x:row>
    <x:row r="257" ht="18" customHeight="1">
      <x:c r="A257" t="str">
        <x:v>ARM013</x:v>
      </x:c>
      <x:c r="B257" t="str">
        <x:v>Main-gauche</x:v>
      </x:c>
      <x:c r="C257" t="n">
        <x:v>14</x:v>
      </x:c>
      <x:c r="D257" t="str">
        <x:v>Légères</x:v>
      </x:c>
      <x:c r="E257" s="28" t="n">
        <x:f>IF(M257=0,0,M257+O257)</x:f>
        <x:v>5</x:v>
      </x:c>
      <x:c r="F257" s="28" t="n">
        <x:f>IF(M257=0,0,M257*N257+O257)</x:f>
        <x:v>15</x:v>
      </x:c>
      <x:c r="G257" s="28" t="n">
        <x:f>ROUND(Catalogue!G16*SQRT((1+'Paramètres'!$B$4*(C257-1)+'Paramètres'!$B$5*(C257-1)^2)),0)</x:f>
        <x:v>0</x:v>
      </x:c>
      <x:c r="H257" s="28" t="n">
        <x:f>ROUND(Catalogue!H16*SQRT((1+'Paramètres'!$B$4*(C257-1)+'Paramètres'!$B$5*(C257-1)^2)),0)</x:f>
        <x:v>0</x:v>
      </x:c>
      <x:c r="I257" s="28" t="n">
        <x:v>2</x:v>
      </x:c>
      <x:c r="J257" s="28" t="n">
        <x:v>1</x:v>
      </x:c>
      <x:c r="K257" s="30" t="n">
        <x:v>0.45</x:v>
      </x:c>
      <x:c r="L257" s="54" t="n">
        <x:f>IF(M257=0,0,(E257+F257)/2)</x:f>
        <x:v>10</x:v>
      </x:c>
      <x:c r="M257" t="n">
        <x:v>2</x:v>
      </x:c>
      <x:c r="N257" t="n">
        <x:v>6</x:v>
      </x:c>
      <x:c r="O257" t="n">
        <x:v>3</x:v>
      </x:c>
      <x:c r="P257" s="63" t="str">
        <x:f>IF(M257=0,"—",M257&amp;"d"&amp;N257&amp;IF(O257=0,""," + "&amp;O257))</x:f>
        <x:v>2d6 + 3</x:v>
      </x:c>
      <x:c r="Q257" t="n">
        <x:f>ROUND(INDEX(Catalogue!E$4:E$85,MATCH(A257,Catalogue!A$4:A$85,0))*(1+'Paramètres'!$B$4*(C257-1)+'Paramètres'!$B$5*(C257-1)^2),0)</x:f>
        <x:v>5</x:v>
      </x:c>
      <x:c r="R257" t="n">
        <x:f>ROUND(INDEX(Catalogue!F$4:F$85,MATCH(A257,Catalogue!A$4:A$85,0))*(1+'Paramètres'!$B$4*(C257-1)+'Paramètres'!$B$5*(C257-1)^2),0)</x:f>
        <x:v>15</x:v>
      </x:c>
      <x:c r="S257" t="n">
        <x:f>L257-AVERAGE(Q257:R257)</x:f>
        <x:v>0</x:v>
      </x:c>
      <x:c r="T257" t="str">
        <x:f>IF(M257=0,IF(AND(N257=0,O257=0,E257=0,F257=0),"OK","ERREUR"),IF(AND(M257&gt;=1,M257&lt;=32,OR(N257=4,N257=6,N257=8,N257=10,N257=12,N257=20),O257&gt;=0,E257=M257+O257,F257=M257*N257+O257),"OK","ERREUR"))</x:f>
        <x:v>OK</x:v>
      </x:c>
      <x:c r="U257" s="86" t="n">
        <x:f>IF(M257&gt;0,M257*(N257+1)/2+O257,0)</x:f>
        <x:v>10</x:v>
      </x:c>
      <x:c r="V257" t="str">
        <x:f>IF(ABS(L257-U257)&lt;0.001,"OK","ERREUR")</x:f>
        <x:v>OK</x:v>
      </x:c>
    </x:row>
    <x:row r="258" ht="18" customHeight="1">
      <x:c r="A258" t="str">
        <x:v>ARM013</x:v>
      </x:c>
      <x:c r="B258" t="str">
        <x:v>Main-gauche</x:v>
      </x:c>
      <x:c r="C258" t="n">
        <x:v>15</x:v>
      </x:c>
      <x:c r="D258" t="str">
        <x:v>Légères</x:v>
      </x:c>
      <x:c r="E258" s="28" t="n">
        <x:f>IF(M258=0,0,M258+O258)</x:f>
        <x:v>6</x:v>
      </x:c>
      <x:c r="F258" s="28" t="n">
        <x:f>IF(M258=0,0,M258*N258+O258)</x:f>
        <x:v>16</x:v>
      </x:c>
      <x:c r="G258" s="28" t="n">
        <x:f>ROUND(Catalogue!G16*SQRT((1+'Paramètres'!$B$4*(C258-1)+'Paramètres'!$B$5*(C258-1)^2)),0)</x:f>
        <x:v>0</x:v>
      </x:c>
      <x:c r="H258" s="28" t="n">
        <x:f>ROUND(Catalogue!H16*SQRT((1+'Paramètres'!$B$4*(C258-1)+'Paramètres'!$B$5*(C258-1)^2)),0)</x:f>
        <x:v>0</x:v>
      </x:c>
      <x:c r="I258" s="28" t="n">
        <x:v>2</x:v>
      </x:c>
      <x:c r="J258" s="28" t="n">
        <x:v>1</x:v>
      </x:c>
      <x:c r="K258" s="30" t="n">
        <x:v>0.45</x:v>
      </x:c>
      <x:c r="L258" s="54" t="n">
        <x:f>IF(M258=0,0,(E258+F258)/2)</x:f>
        <x:v>11</x:v>
      </x:c>
      <x:c r="M258" t="n">
        <x:v>2</x:v>
      </x:c>
      <x:c r="N258" t="n">
        <x:v>6</x:v>
      </x:c>
      <x:c r="O258" t="n">
        <x:v>4</x:v>
      </x:c>
      <x:c r="P258" s="63" t="str">
        <x:f>IF(M258=0,"—",M258&amp;"d"&amp;N258&amp;IF(O258=0,""," + "&amp;O258))</x:f>
        <x:v>2d6 + 4</x:v>
      </x:c>
      <x:c r="Q258" t="n">
        <x:f>ROUND(INDEX(Catalogue!E$4:E$85,MATCH(A258,Catalogue!A$4:A$85,0))*(1+'Paramètres'!$B$4*(C258-1)+'Paramètres'!$B$5*(C258-1)^2),0)</x:f>
        <x:v>6</x:v>
      </x:c>
      <x:c r="R258" t="n">
        <x:f>ROUND(INDEX(Catalogue!F$4:F$85,MATCH(A258,Catalogue!A$4:A$85,0))*(1+'Paramètres'!$B$4*(C258-1)+'Paramètres'!$B$5*(C258-1)^2),0)</x:f>
        <x:v>17</x:v>
      </x:c>
      <x:c r="S258" t="n">
        <x:f>L258-AVERAGE(Q258:R258)</x:f>
        <x:v>-0.5</x:v>
      </x:c>
      <x:c r="T258" t="str">
        <x:f>IF(M258=0,IF(AND(N258=0,O258=0,E258=0,F258=0),"OK","ERREUR"),IF(AND(M258&gt;=1,M258&lt;=32,OR(N258=4,N258=6,N258=8,N258=10,N258=12,N258=20),O258&gt;=0,E258=M258+O258,F258=M258*N258+O258),"OK","ERREUR"))</x:f>
        <x:v>OK</x:v>
      </x:c>
      <x:c r="U258" s="86" t="n">
        <x:f>IF(M258&gt;0,M258*(N258+1)/2+O258,0)</x:f>
        <x:v>11</x:v>
      </x:c>
      <x:c r="V258" t="str">
        <x:f>IF(ABS(L258-U258)&lt;0.001,"OK","ERREUR")</x:f>
        <x:v>OK</x:v>
      </x:c>
    </x:row>
    <x:row r="259" ht="18" customHeight="1">
      <x:c r="A259" t="str">
        <x:v>ARM013</x:v>
      </x:c>
      <x:c r="B259" t="str">
        <x:v>Main-gauche</x:v>
      </x:c>
      <x:c r="C259" t="n">
        <x:v>16</x:v>
      </x:c>
      <x:c r="D259" t="str">
        <x:v>Légères</x:v>
      </x:c>
      <x:c r="E259" s="28" t="n">
        <x:f>IF(M259=0,0,M259+O259)</x:f>
        <x:v>5</x:v>
      </x:c>
      <x:c r="F259" s="28" t="n">
        <x:f>IF(M259=0,0,M259*N259+O259)</x:f>
        <x:v>19</x:v>
      </x:c>
      <x:c r="G259" s="28" t="n">
        <x:f>ROUND(Catalogue!G16*SQRT((1+'Paramètres'!$B$4*(C259-1)+'Paramètres'!$B$5*(C259-1)^2)),0)</x:f>
        <x:v>0</x:v>
      </x:c>
      <x:c r="H259" s="28" t="n">
        <x:f>ROUND(Catalogue!H16*SQRT((1+'Paramètres'!$B$4*(C259-1)+'Paramètres'!$B$5*(C259-1)^2)),0)</x:f>
        <x:v>0</x:v>
      </x:c>
      <x:c r="I259" s="28" t="n">
        <x:v>2</x:v>
      </x:c>
      <x:c r="J259" s="28" t="n">
        <x:v>1</x:v>
      </x:c>
      <x:c r="K259" s="30" t="n">
        <x:v>0.45</x:v>
      </x:c>
      <x:c r="L259" s="54" t="n">
        <x:f>IF(M259=0,0,(E259+F259)/2)</x:f>
        <x:v>12</x:v>
      </x:c>
      <x:c r="M259" t="n">
        <x:v>2</x:v>
      </x:c>
      <x:c r="N259" t="n">
        <x:v>8</x:v>
      </x:c>
      <x:c r="O259" t="n">
        <x:v>3</x:v>
      </x:c>
      <x:c r="P259" s="63" t="str">
        <x:f>IF(M259=0,"—",M259&amp;"d"&amp;N259&amp;IF(O259=0,""," + "&amp;O259))</x:f>
        <x:v>2d8 + 3</x:v>
      </x:c>
      <x:c r="Q259" t="n">
        <x:f>ROUND(INDEX(Catalogue!E$4:E$85,MATCH(A259,Catalogue!A$4:A$85,0))*(1+'Paramètres'!$B$4*(C259-1)+'Paramètres'!$B$5*(C259-1)^2),0)</x:f>
        <x:v>6</x:v>
      </x:c>
      <x:c r="R259" t="n">
        <x:f>ROUND(INDEX(Catalogue!F$4:F$85,MATCH(A259,Catalogue!A$4:A$85,0))*(1+'Paramètres'!$B$4*(C259-1)+'Paramètres'!$B$5*(C259-1)^2),0)</x:f>
        <x:v>19</x:v>
      </x:c>
      <x:c r="S259" t="n">
        <x:f>L259-AVERAGE(Q259:R259)</x:f>
        <x:v>-0.5</x:v>
      </x:c>
      <x:c r="T259" t="str">
        <x:f>IF(M259=0,IF(AND(N259=0,O259=0,E259=0,F259=0),"OK","ERREUR"),IF(AND(M259&gt;=1,M259&lt;=32,OR(N259=4,N259=6,N259=8,N259=10,N259=12,N259=20),O259&gt;=0,E259=M259+O259,F259=M259*N259+O259),"OK","ERREUR"))</x:f>
        <x:v>OK</x:v>
      </x:c>
      <x:c r="U259" s="86" t="n">
        <x:f>IF(M259&gt;0,M259*(N259+1)/2+O259,0)</x:f>
        <x:v>12</x:v>
      </x:c>
      <x:c r="V259" t="str">
        <x:f>IF(ABS(L259-U259)&lt;0.001,"OK","ERREUR")</x:f>
        <x:v>OK</x:v>
      </x:c>
    </x:row>
    <x:row r="260" ht="18" customHeight="1">
      <x:c r="A260" t="str">
        <x:v>ARM013</x:v>
      </x:c>
      <x:c r="B260" t="str">
        <x:v>Main-gauche</x:v>
      </x:c>
      <x:c r="C260" t="n">
        <x:v>17</x:v>
      </x:c>
      <x:c r="D260" t="str">
        <x:v>Légères</x:v>
      </x:c>
      <x:c r="E260" s="28" t="n">
        <x:f>IF(M260=0,0,M260+O260)</x:f>
        <x:v>7</x:v>
      </x:c>
      <x:c r="F260" s="28" t="n">
        <x:f>IF(M260=0,0,M260*N260+O260)</x:f>
        <x:v>21</x:v>
      </x:c>
      <x:c r="G260" s="28" t="n">
        <x:f>ROUND(Catalogue!G16*SQRT((1+'Paramètres'!$B$4*(C260-1)+'Paramètres'!$B$5*(C260-1)^2)),0)</x:f>
        <x:v>0</x:v>
      </x:c>
      <x:c r="H260" s="28" t="n">
        <x:f>ROUND(Catalogue!H16*SQRT((1+'Paramètres'!$B$4*(C260-1)+'Paramètres'!$B$5*(C260-1)^2)),0)</x:f>
        <x:v>0</x:v>
      </x:c>
      <x:c r="I260" s="28" t="n">
        <x:v>2</x:v>
      </x:c>
      <x:c r="J260" s="28" t="n">
        <x:v>1</x:v>
      </x:c>
      <x:c r="K260" s="30" t="n">
        <x:v>0.45</x:v>
      </x:c>
      <x:c r="L260" s="54" t="n">
        <x:f>IF(M260=0,0,(E260+F260)/2)</x:f>
        <x:v>14</x:v>
      </x:c>
      <x:c r="M260" t="n">
        <x:v>2</x:v>
      </x:c>
      <x:c r="N260" t="n">
        <x:v>8</x:v>
      </x:c>
      <x:c r="O260" t="n">
        <x:v>5</x:v>
      </x:c>
      <x:c r="P260" s="63" t="str">
        <x:f>IF(M260=0,"—",M260&amp;"d"&amp;N260&amp;IF(O260=0,""," + "&amp;O260))</x:f>
        <x:v>2d8 + 5</x:v>
      </x:c>
      <x:c r="Q260" t="n">
        <x:f>ROUND(INDEX(Catalogue!E$4:E$85,MATCH(A260,Catalogue!A$4:A$85,0))*(1+'Paramètres'!$B$4*(C260-1)+'Paramètres'!$B$5*(C260-1)^2),0)</x:f>
        <x:v>7</x:v>
      </x:c>
      <x:c r="R260" t="n">
        <x:f>ROUND(INDEX(Catalogue!F$4:F$85,MATCH(A260,Catalogue!A$4:A$85,0))*(1+'Paramètres'!$B$4*(C260-1)+'Paramètres'!$B$5*(C260-1)^2),0)</x:f>
        <x:v>21</x:v>
      </x:c>
      <x:c r="S260" t="n">
        <x:f>L260-AVERAGE(Q260:R260)</x:f>
        <x:v>0</x:v>
      </x:c>
      <x:c r="T260" t="str">
        <x:f>IF(M260=0,IF(AND(N260=0,O260=0,E260=0,F260=0),"OK","ERREUR"),IF(AND(M260&gt;=1,M260&lt;=32,OR(N260=4,N260=6,N260=8,N260=10,N260=12,N260=20),O260&gt;=0,E260=M260+O260,F260=M260*N260+O260),"OK","ERREUR"))</x:f>
        <x:v>OK</x:v>
      </x:c>
      <x:c r="U260" s="86" t="n">
        <x:f>IF(M260&gt;0,M260*(N260+1)/2+O260,0)</x:f>
        <x:v>14</x:v>
      </x:c>
      <x:c r="V260" t="str">
        <x:f>IF(ABS(L260-U260)&lt;0.001,"OK","ERREUR")</x:f>
        <x:v>OK</x:v>
      </x:c>
    </x:row>
    <x:row r="261" ht="18" customHeight="1">
      <x:c r="A261" t="str">
        <x:v>ARM013</x:v>
      </x:c>
      <x:c r="B261" t="str">
        <x:v>Main-gauche</x:v>
      </x:c>
      <x:c r="C261" t="n">
        <x:v>18</x:v>
      </x:c>
      <x:c r="D261" t="str">
        <x:v>Légères</x:v>
      </x:c>
      <x:c r="E261" s="28" t="n">
        <x:f>IF(M261=0,0,M261+O261)</x:f>
        <x:v>7</x:v>
      </x:c>
      <x:c r="F261" s="28" t="n">
        <x:f>IF(M261=0,0,M261*N261+O261)</x:f>
        <x:v>22</x:v>
      </x:c>
      <x:c r="G261" s="28" t="n">
        <x:f>ROUND(Catalogue!G16*SQRT((1+'Paramètres'!$B$4*(C261-1)+'Paramètres'!$B$5*(C261-1)^2)),0)</x:f>
        <x:v>0</x:v>
      </x:c>
      <x:c r="H261" s="28" t="n">
        <x:f>ROUND(Catalogue!H16*SQRT((1+'Paramètres'!$B$4*(C261-1)+'Paramètres'!$B$5*(C261-1)^2)),0)</x:f>
        <x:v>0</x:v>
      </x:c>
      <x:c r="I261" s="28" t="n">
        <x:v>2</x:v>
      </x:c>
      <x:c r="J261" s="28" t="n">
        <x:v>1</x:v>
      </x:c>
      <x:c r="K261" s="30" t="n">
        <x:v>0.45</x:v>
      </x:c>
      <x:c r="L261" s="54" t="n">
        <x:f>IF(M261=0,0,(E261+F261)/2)</x:f>
        <x:v>14.5</x:v>
      </x:c>
      <x:c r="M261" t="n">
        <x:v>3</x:v>
      </x:c>
      <x:c r="N261" t="n">
        <x:v>6</x:v>
      </x:c>
      <x:c r="O261" t="n">
        <x:v>4</x:v>
      </x:c>
      <x:c r="P261" s="63" t="str">
        <x:f>IF(M261=0,"—",M261&amp;"d"&amp;N261&amp;IF(O261=0,""," + "&amp;O261))</x:f>
        <x:v>3d6 + 4</x:v>
      </x:c>
      <x:c r="Q261" t="n">
        <x:f>ROUND(INDEX(Catalogue!E$4:E$85,MATCH(A261,Catalogue!A$4:A$85,0))*(1+'Paramètres'!$B$4*(C261-1)+'Paramètres'!$B$5*(C261-1)^2),0)</x:f>
        <x:v>7</x:v>
      </x:c>
      <x:c r="R261" t="n">
        <x:f>ROUND(INDEX(Catalogue!F$4:F$85,MATCH(A261,Catalogue!A$4:A$85,0))*(1+'Paramètres'!$B$4*(C261-1)+'Paramètres'!$B$5*(C261-1)^2),0)</x:f>
        <x:v>22</x:v>
      </x:c>
      <x:c r="S261" t="n">
        <x:f>L261-AVERAGE(Q261:R261)</x:f>
        <x:v>0</x:v>
      </x:c>
      <x:c r="T261" t="str">
        <x:f>IF(M261=0,IF(AND(N261=0,O261=0,E261=0,F261=0),"OK","ERREUR"),IF(AND(M261&gt;=1,M261&lt;=32,OR(N261=4,N261=6,N261=8,N261=10,N261=12,N261=20),O261&gt;=0,E261=M261+O261,F261=M261*N261+O261),"OK","ERREUR"))</x:f>
        <x:v>OK</x:v>
      </x:c>
      <x:c r="U261" s="86" t="n">
        <x:f>IF(M261&gt;0,M261*(N261+1)/2+O261,0)</x:f>
        <x:v>14.5</x:v>
      </x:c>
      <x:c r="V261" t="str">
        <x:f>IF(ABS(L261-U261)&lt;0.001,"OK","ERREUR")</x:f>
        <x:v>OK</x:v>
      </x:c>
    </x:row>
    <x:row r="262" ht="18" customHeight="1">
      <x:c r="A262" t="str">
        <x:v>ARM013</x:v>
      </x:c>
      <x:c r="B262" t="str">
        <x:v>Main-gauche</x:v>
      </x:c>
      <x:c r="C262" t="n">
        <x:v>19</x:v>
      </x:c>
      <x:c r="D262" t="str">
        <x:v>Légères</x:v>
      </x:c>
      <x:c r="E262" s="28" t="n">
        <x:f>IF(M262=0,0,M262+O262)</x:f>
        <x:v>8</x:v>
      </x:c>
      <x:c r="F262" s="28" t="n">
        <x:f>IF(M262=0,0,M262*N262+O262)</x:f>
        <x:v>23</x:v>
      </x:c>
      <x:c r="G262" s="28" t="n">
        <x:f>ROUND(Catalogue!G16*SQRT((1+'Paramètres'!$B$4*(C262-1)+'Paramètres'!$B$5*(C262-1)^2)),0)</x:f>
        <x:v>0</x:v>
      </x:c>
      <x:c r="H262" s="28" t="n">
        <x:f>ROUND(Catalogue!H16*SQRT((1+'Paramètres'!$B$4*(C262-1)+'Paramètres'!$B$5*(C262-1)^2)),0)</x:f>
        <x:v>0</x:v>
      </x:c>
      <x:c r="I262" s="28" t="n">
        <x:v>2</x:v>
      </x:c>
      <x:c r="J262" s="28" t="n">
        <x:v>1</x:v>
      </x:c>
      <x:c r="K262" s="30" t="n">
        <x:v>0.45</x:v>
      </x:c>
      <x:c r="L262" s="54" t="n">
        <x:f>IF(M262=0,0,(E262+F262)/2)</x:f>
        <x:v>15.5</x:v>
      </x:c>
      <x:c r="M262" t="n">
        <x:v>3</x:v>
      </x:c>
      <x:c r="N262" t="n">
        <x:v>6</x:v>
      </x:c>
      <x:c r="O262" t="n">
        <x:v>5</x:v>
      </x:c>
      <x:c r="P262" s="63" t="str">
        <x:f>IF(M262=0,"—",M262&amp;"d"&amp;N262&amp;IF(O262=0,""," + "&amp;O262))</x:f>
        <x:v>3d6 + 5</x:v>
      </x:c>
      <x:c r="Q262" t="n">
        <x:f>ROUND(INDEX(Catalogue!E$4:E$85,MATCH(A262,Catalogue!A$4:A$85,0))*(1+'Paramètres'!$B$4*(C262-1)+'Paramètres'!$B$5*(C262-1)^2),0)</x:f>
        <x:v>8</x:v>
      </x:c>
      <x:c r="R262" t="n">
        <x:f>ROUND(INDEX(Catalogue!F$4:F$85,MATCH(A262,Catalogue!A$4:A$85,0))*(1+'Paramètres'!$B$4*(C262-1)+'Paramètres'!$B$5*(C262-1)^2),0)</x:f>
        <x:v>24</x:v>
      </x:c>
      <x:c r="S262" t="n">
        <x:f>L262-AVERAGE(Q262:R262)</x:f>
        <x:v>-0.5</x:v>
      </x:c>
      <x:c r="T262" t="str">
        <x:f>IF(M262=0,IF(AND(N262=0,O262=0,E262=0,F262=0),"OK","ERREUR"),IF(AND(M262&gt;=1,M262&lt;=32,OR(N262=4,N262=6,N262=8,N262=10,N262=12,N262=20),O262&gt;=0,E262=M262+O262,F262=M262*N262+O262),"OK","ERREUR"))</x:f>
        <x:v>OK</x:v>
      </x:c>
      <x:c r="U262" s="86" t="n">
        <x:f>IF(M262&gt;0,M262*(N262+1)/2+O262,0)</x:f>
        <x:v>15.5</x:v>
      </x:c>
      <x:c r="V262" t="str">
        <x:f>IF(ABS(L262-U262)&lt;0.001,"OK","ERREUR")</x:f>
        <x:v>OK</x:v>
      </x:c>
    </x:row>
    <x:row r="263" ht="18" customHeight="1">
      <x:c r="A263" t="str">
        <x:v>ARM013</x:v>
      </x:c>
      <x:c r="B263" t="str">
        <x:v>Main-gauche</x:v>
      </x:c>
      <x:c r="C263" t="n">
        <x:v>20</x:v>
      </x:c>
      <x:c r="D263" t="str">
        <x:v>Légères</x:v>
      </x:c>
      <x:c r="E263" s="28" t="n">
        <x:f>IF(M263=0,0,M263+O263)</x:f>
        <x:v>9</x:v>
      </x:c>
      <x:c r="F263" s="28" t="n">
        <x:f>IF(M263=0,0,M263*N263+O263)</x:f>
        <x:v>27</x:v>
      </x:c>
      <x:c r="G263" s="28" t="n">
        <x:f>ROUND(Catalogue!G16*SQRT((1+'Paramètres'!$B$4*(C263-1)+'Paramètres'!$B$5*(C263-1)^2)),0)</x:f>
        <x:v>0</x:v>
      </x:c>
      <x:c r="H263" s="28" t="n">
        <x:f>ROUND(Catalogue!H16*SQRT((1+'Paramètres'!$B$4*(C263-1)+'Paramètres'!$B$5*(C263-1)^2)),0)</x:f>
        <x:v>0</x:v>
      </x:c>
      <x:c r="I263" s="28" t="n">
        <x:v>2</x:v>
      </x:c>
      <x:c r="J263" s="28" t="n">
        <x:v>1</x:v>
      </x:c>
      <x:c r="K263" s="30" t="n">
        <x:v>0.45</x:v>
      </x:c>
      <x:c r="L263" s="54" t="n">
        <x:f>IF(M263=0,0,(E263+F263)/2)</x:f>
        <x:v>18</x:v>
      </x:c>
      <x:c r="M263" t="n">
        <x:v>2</x:v>
      </x:c>
      <x:c r="N263" t="n">
        <x:v>10</x:v>
      </x:c>
      <x:c r="O263" t="n">
        <x:v>7</x:v>
      </x:c>
      <x:c r="P263" s="63" t="str">
        <x:f>IF(M263=0,"—",M263&amp;"d"&amp;N263&amp;IF(O263=0,""," + "&amp;O263))</x:f>
        <x:v>2d10 + 7</x:v>
      </x:c>
      <x:c r="Q263" t="n">
        <x:f>ROUND(INDEX(Catalogue!E$4:E$85,MATCH(A263,Catalogue!A$4:A$85,0))*(1+'Paramètres'!$B$4*(C263-1)+'Paramètres'!$B$5*(C263-1)^2),0)</x:f>
        <x:v>9</x:v>
      </x:c>
      <x:c r="R263" t="n">
        <x:f>ROUND(INDEX(Catalogue!F$4:F$85,MATCH(A263,Catalogue!A$4:A$85,0))*(1+'Paramètres'!$B$4*(C263-1)+'Paramètres'!$B$5*(C263-1)^2),0)</x:f>
        <x:v>27</x:v>
      </x:c>
      <x:c r="S263" t="n">
        <x:f>L263-AVERAGE(Q263:R263)</x:f>
        <x:v>0</x:v>
      </x:c>
      <x:c r="T263" t="str">
        <x:f>IF(M263=0,IF(AND(N263=0,O263=0,E263=0,F263=0),"OK","ERREUR"),IF(AND(M263&gt;=1,M263&lt;=32,OR(N263=4,N263=6,N263=8,N263=10,N263=12,N263=20),O263&gt;=0,E263=M263+O263,F263=M263*N263+O263),"OK","ERREUR"))</x:f>
        <x:v>OK</x:v>
      </x:c>
      <x:c r="U263" s="86" t="n">
        <x:f>IF(M263&gt;0,M263*(N263+1)/2+O263,0)</x:f>
        <x:v>18</x:v>
      </x:c>
      <x:c r="V263" t="str">
        <x:f>IF(ABS(L263-U263)&lt;0.001,"OK","ERREUR")</x:f>
        <x:v>OK</x:v>
      </x:c>
    </x:row>
    <x:row r="264" ht="18" customHeight="1">
      <x:c r="A264" t="str">
        <x:v>ARM014</x:v>
      </x:c>
      <x:c r="B264" t="str">
        <x:v>Épée droite</x:v>
      </x:c>
      <x:c r="C264" t="n">
        <x:v>1</x:v>
      </x:c>
      <x:c r="D264" t="str">
        <x:v>Une main</x:v>
      </x:c>
      <x:c r="E264" s="28" t="n">
        <x:f>IF(M264=0,0,M264+O264)</x:f>
        <x:v>3</x:v>
      </x:c>
      <x:c r="F264" s="28" t="n">
        <x:f>IF(M264=0,0,M264*N264+O264)</x:f>
        <x:v>6</x:v>
      </x:c>
      <x:c r="G264" s="28" t="n">
        <x:f>ROUND(Catalogue!G17*SQRT((1+'Paramètres'!$B$4*(C264-1)+'Paramètres'!$B$5*(C264-1)^2)),0)</x:f>
        <x:v>0</x:v>
      </x:c>
      <x:c r="H264" s="28" t="n">
        <x:f>ROUND(Catalogue!H17*SQRT((1+'Paramètres'!$B$4*(C264-1)+'Paramètres'!$B$5*(C264-1)^2)),0)</x:f>
        <x:v>0</x:v>
      </x:c>
      <x:c r="I264" s="28" t="n">
        <x:v>2</x:v>
      </x:c>
      <x:c r="J264" s="28" t="n">
        <x:v>1</x:v>
      </x:c>
      <x:c r="K264" s="30" t="n">
        <x:v>1.4</x:v>
      </x:c>
      <x:c r="L264" s="54" t="n">
        <x:f>IF(M264=0,0,(E264+F264)/2)</x:f>
        <x:v>4.5</x:v>
      </x:c>
      <x:c r="M264" t="n">
        <x:v>1</x:v>
      </x:c>
      <x:c r="N264" t="n">
        <x:v>4</x:v>
      </x:c>
      <x:c r="O264" t="n">
        <x:v>2</x:v>
      </x:c>
      <x:c r="P264" s="63" t="str">
        <x:f>IF(M264=0,"—",M264&amp;"d"&amp;N264&amp;IF(O264=0,""," + "&amp;O264))</x:f>
        <x:v>1d4 + 2</x:v>
      </x:c>
      <x:c r="Q264" t="n">
        <x:f>ROUND(INDEX(Catalogue!E$4:E$85,MATCH(A264,Catalogue!A$4:A$85,0))*(1+'Paramètres'!$B$4*(C264-1)+'Paramètres'!$B$5*(C264-1)^2),0)</x:f>
        <x:v>4</x:v>
      </x:c>
      <x:c r="R264" t="n">
        <x:f>ROUND(INDEX(Catalogue!F$4:F$85,MATCH(A264,Catalogue!A$4:A$85,0))*(1+'Paramètres'!$B$4*(C264-1)+'Paramètres'!$B$5*(C264-1)^2),0)</x:f>
        <x:v>6</x:v>
      </x:c>
      <x:c r="S264" t="n">
        <x:f>L264-AVERAGE(Q264:R264)</x:f>
        <x:v>-0.5</x:v>
      </x:c>
      <x:c r="T264" t="str">
        <x:f>IF(M264=0,IF(AND(N264=0,O264=0,E264=0,F264=0),"OK","ERREUR"),IF(AND(M264&gt;=1,M264&lt;=32,OR(N264=4,N264=6,N264=8,N264=10,N264=12,N264=20),O264&gt;=0,E264=M264+O264,F264=M264*N264+O264),"OK","ERREUR"))</x:f>
        <x:v>OK</x:v>
      </x:c>
      <x:c r="U264" s="86" t="n">
        <x:f>IF(M264&gt;0,M264*(N264+1)/2+O264,0)</x:f>
        <x:v>4.5</x:v>
      </x:c>
      <x:c r="V264" t="str">
        <x:f>IF(ABS(L264-U264)&lt;0.001,"OK","ERREUR")</x:f>
        <x:v>OK</x:v>
      </x:c>
    </x:row>
    <x:row r="265" ht="18" customHeight="1">
      <x:c r="A265" t="str">
        <x:v>ARM014</x:v>
      </x:c>
      <x:c r="B265" t="str">
        <x:v>Épée droite</x:v>
      </x:c>
      <x:c r="C265" t="n">
        <x:v>2</x:v>
      </x:c>
      <x:c r="D265" t="str">
        <x:v>Une main</x:v>
      </x:c>
      <x:c r="E265" s="28" t="n">
        <x:f>IF(M265=0,0,M265+O265)</x:f>
        <x:v>4</x:v>
      </x:c>
      <x:c r="F265" s="28" t="n">
        <x:f>IF(M265=0,0,M265*N265+O265)</x:f>
        <x:v>7</x:v>
      </x:c>
      <x:c r="G265" s="28" t="n">
        <x:f>ROUND(Catalogue!G17*SQRT((1+'Paramètres'!$B$4*(C265-1)+'Paramètres'!$B$5*(C265-1)^2)),0)</x:f>
        <x:v>0</x:v>
      </x:c>
      <x:c r="H265" s="28" t="n">
        <x:f>ROUND(Catalogue!H17*SQRT((1+'Paramètres'!$B$4*(C265-1)+'Paramètres'!$B$5*(C265-1)^2)),0)</x:f>
        <x:v>0</x:v>
      </x:c>
      <x:c r="I265" s="28" t="n">
        <x:v>2</x:v>
      </x:c>
      <x:c r="J265" s="28" t="n">
        <x:v>1</x:v>
      </x:c>
      <x:c r="K265" s="30" t="n">
        <x:v>1.4</x:v>
      </x:c>
      <x:c r="L265" s="54" t="n">
        <x:f>IF(M265=0,0,(E265+F265)/2)</x:f>
        <x:v>5.5</x:v>
      </x:c>
      <x:c r="M265" t="n">
        <x:v>1</x:v>
      </x:c>
      <x:c r="N265" t="n">
        <x:v>4</x:v>
      </x:c>
      <x:c r="O265" t="n">
        <x:v>3</x:v>
      </x:c>
      <x:c r="P265" s="63" t="str">
        <x:f>IF(M265=0,"—",M265&amp;"d"&amp;N265&amp;IF(O265=0,""," + "&amp;O265))</x:f>
        <x:v>1d4 + 3</x:v>
      </x:c>
      <x:c r="Q265" t="n">
        <x:f>ROUND(INDEX(Catalogue!E$4:E$85,MATCH(A265,Catalogue!A$4:A$85,0))*(1+'Paramètres'!$B$4*(C265-1)+'Paramètres'!$B$5*(C265-1)^2),0)</x:f>
        <x:v>5</x:v>
      </x:c>
      <x:c r="R265" t="n">
        <x:f>ROUND(INDEX(Catalogue!F$4:F$85,MATCH(A265,Catalogue!A$4:A$85,0))*(1+'Paramètres'!$B$4*(C265-1)+'Paramètres'!$B$5*(C265-1)^2),0)</x:f>
        <x:v>7</x:v>
      </x:c>
      <x:c r="S265" t="n">
        <x:f>L265-AVERAGE(Q265:R265)</x:f>
        <x:v>-0.5</x:v>
      </x:c>
      <x:c r="T265" t="str">
        <x:f>IF(M265=0,IF(AND(N265=0,O265=0,E265=0,F265=0),"OK","ERREUR"),IF(AND(M265&gt;=1,M265&lt;=32,OR(N265=4,N265=6,N265=8,N265=10,N265=12,N265=20),O265&gt;=0,E265=M265+O265,F265=M265*N265+O265),"OK","ERREUR"))</x:f>
        <x:v>OK</x:v>
      </x:c>
      <x:c r="U265" s="86" t="n">
        <x:f>IF(M265&gt;0,M265*(N265+1)/2+O265,0)</x:f>
        <x:v>5.5</x:v>
      </x:c>
      <x:c r="V265" t="str">
        <x:f>IF(ABS(L265-U265)&lt;0.001,"OK","ERREUR")</x:f>
        <x:v>OK</x:v>
      </x:c>
    </x:row>
    <x:row r="266" ht="18" customHeight="1">
      <x:c r="A266" t="str">
        <x:v>ARM014</x:v>
      </x:c>
      <x:c r="B266" t="str">
        <x:v>Épée droite</x:v>
      </x:c>
      <x:c r="C266" t="n">
        <x:v>3</x:v>
      </x:c>
      <x:c r="D266" t="str">
        <x:v>Une main</x:v>
      </x:c>
      <x:c r="E266" s="28" t="n">
        <x:f>IF(M266=0,0,M266+O266)</x:f>
        <x:v>5</x:v>
      </x:c>
      <x:c r="F266" s="28" t="n">
        <x:f>IF(M266=0,0,M266*N266+O266)</x:f>
        <x:v>8</x:v>
      </x:c>
      <x:c r="G266" s="28" t="n">
        <x:f>ROUND(Catalogue!G17*SQRT((1+'Paramètres'!$B$4*(C266-1)+'Paramètres'!$B$5*(C266-1)^2)),0)</x:f>
        <x:v>0</x:v>
      </x:c>
      <x:c r="H266" s="28" t="n">
        <x:f>ROUND(Catalogue!H17*SQRT((1+'Paramètres'!$B$4*(C266-1)+'Paramètres'!$B$5*(C266-1)^2)),0)</x:f>
        <x:v>0</x:v>
      </x:c>
      <x:c r="I266" s="28" t="n">
        <x:v>2</x:v>
      </x:c>
      <x:c r="J266" s="28" t="n">
        <x:v>1</x:v>
      </x:c>
      <x:c r="K266" s="30" t="n">
        <x:v>1.4</x:v>
      </x:c>
      <x:c r="L266" s="54" t="n">
        <x:f>IF(M266=0,0,(E266+F266)/2)</x:f>
        <x:v>6.5</x:v>
      </x:c>
      <x:c r="M266" t="n">
        <x:v>1</x:v>
      </x:c>
      <x:c r="N266" t="n">
        <x:v>4</x:v>
      </x:c>
      <x:c r="O266" t="n">
        <x:v>4</x:v>
      </x:c>
      <x:c r="P266" s="63" t="str">
        <x:f>IF(M266=0,"—",M266&amp;"d"&amp;N266&amp;IF(O266=0,""," + "&amp;O266))</x:f>
        <x:v>1d4 + 4</x:v>
      </x:c>
      <x:c r="Q266" t="n">
        <x:f>ROUND(INDEX(Catalogue!E$4:E$85,MATCH(A266,Catalogue!A$4:A$85,0))*(1+'Paramètres'!$B$4*(C266-1)+'Paramètres'!$B$5*(C266-1)^2),0)</x:f>
        <x:v>5</x:v>
      </x:c>
      <x:c r="R266" t="n">
        <x:f>ROUND(INDEX(Catalogue!F$4:F$85,MATCH(A266,Catalogue!A$4:A$85,0))*(1+'Paramètres'!$B$4*(C266-1)+'Paramètres'!$B$5*(C266-1)^2),0)</x:f>
        <x:v>8</x:v>
      </x:c>
      <x:c r="S266" t="n">
        <x:f>L266-AVERAGE(Q266:R266)</x:f>
        <x:v>0</x:v>
      </x:c>
      <x:c r="T266" t="str">
        <x:f>IF(M266=0,IF(AND(N266=0,O266=0,E266=0,F266=0),"OK","ERREUR"),IF(AND(M266&gt;=1,M266&lt;=32,OR(N266=4,N266=6,N266=8,N266=10,N266=12,N266=20),O266&gt;=0,E266=M266+O266,F266=M266*N266+O266),"OK","ERREUR"))</x:f>
        <x:v>OK</x:v>
      </x:c>
      <x:c r="U266" s="86" t="n">
        <x:f>IF(M266&gt;0,M266*(N266+1)/2+O266,0)</x:f>
        <x:v>6.5</x:v>
      </x:c>
      <x:c r="V266" t="str">
        <x:f>IF(ABS(L266-U266)&lt;0.001,"OK","ERREUR")</x:f>
        <x:v>OK</x:v>
      </x:c>
    </x:row>
    <x:row r="267" ht="18" customHeight="1">
      <x:c r="A267" t="str">
        <x:v>ARM014</x:v>
      </x:c>
      <x:c r="B267" t="str">
        <x:v>Épée droite</x:v>
      </x:c>
      <x:c r="C267" t="n">
        <x:v>4</x:v>
      </x:c>
      <x:c r="D267" t="str">
        <x:v>Une main</x:v>
      </x:c>
      <x:c r="E267" s="28" t="n">
        <x:f>IF(M267=0,0,M267+O267)</x:f>
        <x:v>6</x:v>
      </x:c>
      <x:c r="F267" s="28" t="n">
        <x:f>IF(M267=0,0,M267*N267+O267)</x:f>
        <x:v>9</x:v>
      </x:c>
      <x:c r="G267" s="28" t="n">
        <x:f>ROUND(Catalogue!G17*SQRT((1+'Paramètres'!$B$4*(C267-1)+'Paramètres'!$B$5*(C267-1)^2)),0)</x:f>
        <x:v>0</x:v>
      </x:c>
      <x:c r="H267" s="28" t="n">
        <x:f>ROUND(Catalogue!H17*SQRT((1+'Paramètres'!$B$4*(C267-1)+'Paramètres'!$B$5*(C267-1)^2)),0)</x:f>
        <x:v>0</x:v>
      </x:c>
      <x:c r="I267" s="28" t="n">
        <x:v>2</x:v>
      </x:c>
      <x:c r="J267" s="28" t="n">
        <x:v>1</x:v>
      </x:c>
      <x:c r="K267" s="30" t="n">
        <x:v>1.4</x:v>
      </x:c>
      <x:c r="L267" s="54" t="n">
        <x:f>IF(M267=0,0,(E267+F267)/2)</x:f>
        <x:v>7.5</x:v>
      </x:c>
      <x:c r="M267" t="n">
        <x:v>1</x:v>
      </x:c>
      <x:c r="N267" t="n">
        <x:v>4</x:v>
      </x:c>
      <x:c r="O267" t="n">
        <x:v>5</x:v>
      </x:c>
      <x:c r="P267" s="63" t="str">
        <x:f>IF(M267=0,"—",M267&amp;"d"&amp;N267&amp;IF(O267=0,""," + "&amp;O267))</x:f>
        <x:v>1d4 + 5</x:v>
      </x:c>
      <x:c r="Q267" t="n">
        <x:f>ROUND(INDEX(Catalogue!E$4:E$85,MATCH(A267,Catalogue!A$4:A$85,0))*(1+'Paramètres'!$B$4*(C267-1)+'Paramètres'!$B$5*(C267-1)^2),0)</x:f>
        <x:v>6</x:v>
      </x:c>
      <x:c r="R267" t="n">
        <x:f>ROUND(INDEX(Catalogue!F$4:F$85,MATCH(A267,Catalogue!A$4:A$85,0))*(1+'Paramètres'!$B$4*(C267-1)+'Paramètres'!$B$5*(C267-1)^2),0)</x:f>
        <x:v>9</x:v>
      </x:c>
      <x:c r="S267" t="n">
        <x:f>L267-AVERAGE(Q267:R267)</x:f>
        <x:v>0</x:v>
      </x:c>
      <x:c r="T267" t="str">
        <x:f>IF(M267=0,IF(AND(N267=0,O267=0,E267=0,F267=0),"OK","ERREUR"),IF(AND(M267&gt;=1,M267&lt;=32,OR(N267=4,N267=6,N267=8,N267=10,N267=12,N267=20),O267&gt;=0,E267=M267+O267,F267=M267*N267+O267),"OK","ERREUR"))</x:f>
        <x:v>OK</x:v>
      </x:c>
      <x:c r="U267" s="86" t="n">
        <x:f>IF(M267&gt;0,M267*(N267+1)/2+O267,0)</x:f>
        <x:v>7.5</x:v>
      </x:c>
      <x:c r="V267" t="str">
        <x:f>IF(ABS(L267-U267)&lt;0.001,"OK","ERREUR")</x:f>
        <x:v>OK</x:v>
      </x:c>
    </x:row>
    <x:row r="268" ht="18" customHeight="1">
      <x:c r="A268" t="str">
        <x:v>ARM014</x:v>
      </x:c>
      <x:c r="B268" t="str">
        <x:v>Épée droite</x:v>
      </x:c>
      <x:c r="C268" t="n">
        <x:v>5</x:v>
      </x:c>
      <x:c r="D268" t="str">
        <x:v>Une main</x:v>
      </x:c>
      <x:c r="E268" s="28" t="n">
        <x:f>IF(M268=0,0,M268+O268)</x:f>
        <x:v>7</x:v>
      </x:c>
      <x:c r="F268" s="28" t="n">
        <x:f>IF(M268=0,0,M268*N268+O268)</x:f>
        <x:v>10</x:v>
      </x:c>
      <x:c r="G268" s="28" t="n">
        <x:f>ROUND(Catalogue!G17*SQRT((1+'Paramètres'!$B$4*(C268-1)+'Paramètres'!$B$5*(C268-1)^2)),0)</x:f>
        <x:v>0</x:v>
      </x:c>
      <x:c r="H268" s="28" t="n">
        <x:f>ROUND(Catalogue!H17*SQRT((1+'Paramètres'!$B$4*(C268-1)+'Paramètres'!$B$5*(C268-1)^2)),0)</x:f>
        <x:v>0</x:v>
      </x:c>
      <x:c r="I268" s="28" t="n">
        <x:v>2</x:v>
      </x:c>
      <x:c r="J268" s="28" t="n">
        <x:v>1</x:v>
      </x:c>
      <x:c r="K268" s="30" t="n">
        <x:v>1.4</x:v>
      </x:c>
      <x:c r="L268" s="54" t="n">
        <x:f>IF(M268=0,0,(E268+F268)/2)</x:f>
        <x:v>8.5</x:v>
      </x:c>
      <x:c r="M268" t="n">
        <x:v>1</x:v>
      </x:c>
      <x:c r="N268" t="n">
        <x:v>4</x:v>
      </x:c>
      <x:c r="O268" t="n">
        <x:v>6</x:v>
      </x:c>
      <x:c r="P268" s="63" t="str">
        <x:f>IF(M268=0,"—",M268&amp;"d"&amp;N268&amp;IF(O268=0,""," + "&amp;O268))</x:f>
        <x:v>1d4 + 6</x:v>
      </x:c>
      <x:c r="Q268" t="n">
        <x:f>ROUND(INDEX(Catalogue!E$4:E$85,MATCH(A268,Catalogue!A$4:A$85,0))*(1+'Paramètres'!$B$4*(C268-1)+'Paramètres'!$B$5*(C268-1)^2),0)</x:f>
        <x:v>7</x:v>
      </x:c>
      <x:c r="R268" t="n">
        <x:f>ROUND(INDEX(Catalogue!F$4:F$85,MATCH(A268,Catalogue!A$4:A$85,0))*(1+'Paramètres'!$B$4*(C268-1)+'Paramètres'!$B$5*(C268-1)^2),0)</x:f>
        <x:v>10</x:v>
      </x:c>
      <x:c r="S268" t="n">
        <x:f>L268-AVERAGE(Q268:R268)</x:f>
        <x:v>0</x:v>
      </x:c>
      <x:c r="T268" t="str">
        <x:f>IF(M268=0,IF(AND(N268=0,O268=0,E268=0,F268=0),"OK","ERREUR"),IF(AND(M268&gt;=1,M268&lt;=32,OR(N268=4,N268=6,N268=8,N268=10,N268=12,N268=20),O268&gt;=0,E268=M268+O268,F268=M268*N268+O268),"OK","ERREUR"))</x:f>
        <x:v>OK</x:v>
      </x:c>
      <x:c r="U268" s="86" t="n">
        <x:f>IF(M268&gt;0,M268*(N268+1)/2+O268,0)</x:f>
        <x:v>8.5</x:v>
      </x:c>
      <x:c r="V268" t="str">
        <x:f>IF(ABS(L268-U268)&lt;0.001,"OK","ERREUR")</x:f>
        <x:v>OK</x:v>
      </x:c>
    </x:row>
    <x:row r="269" ht="18" customHeight="1">
      <x:c r="A269" t="str">
        <x:v>ARM014</x:v>
      </x:c>
      <x:c r="B269" t="str">
        <x:v>Épée droite</x:v>
      </x:c>
      <x:c r="C269" t="n">
        <x:v>6</x:v>
      </x:c>
      <x:c r="D269" t="str">
        <x:v>Une main</x:v>
      </x:c>
      <x:c r="E269" s="28" t="n">
        <x:f>IF(M269=0,0,M269+O269)</x:f>
        <x:v>9</x:v>
      </x:c>
      <x:c r="F269" s="28" t="n">
        <x:f>IF(M269=0,0,M269*N269+O269)</x:f>
        <x:v>12</x:v>
      </x:c>
      <x:c r="G269" s="28" t="n">
        <x:f>ROUND(Catalogue!G17*SQRT((1+'Paramètres'!$B$4*(C269-1)+'Paramètres'!$B$5*(C269-1)^2)),0)</x:f>
        <x:v>0</x:v>
      </x:c>
      <x:c r="H269" s="28" t="n">
        <x:f>ROUND(Catalogue!H17*SQRT((1+'Paramètres'!$B$4*(C269-1)+'Paramètres'!$B$5*(C269-1)^2)),0)</x:f>
        <x:v>0</x:v>
      </x:c>
      <x:c r="I269" s="28" t="n">
        <x:v>2</x:v>
      </x:c>
      <x:c r="J269" s="28" t="n">
        <x:v>1</x:v>
      </x:c>
      <x:c r="K269" s="30" t="n">
        <x:v>1.4</x:v>
      </x:c>
      <x:c r="L269" s="54" t="n">
        <x:f>IF(M269=0,0,(E269+F269)/2)</x:f>
        <x:v>10.5</x:v>
      </x:c>
      <x:c r="M269" t="n">
        <x:v>1</x:v>
      </x:c>
      <x:c r="N269" t="n">
        <x:v>4</x:v>
      </x:c>
      <x:c r="O269" t="n">
        <x:v>8</x:v>
      </x:c>
      <x:c r="P269" s="63" t="str">
        <x:f>IF(M269=0,"—",M269&amp;"d"&amp;N269&amp;IF(O269=0,""," + "&amp;O269))</x:f>
        <x:v>1d4 + 8</x:v>
      </x:c>
      <x:c r="Q269" t="n">
        <x:f>ROUND(INDEX(Catalogue!E$4:E$85,MATCH(A269,Catalogue!A$4:A$85,0))*(1+'Paramètres'!$B$4*(C269-1)+'Paramètres'!$B$5*(C269-1)^2),0)</x:f>
        <x:v>8</x:v>
      </x:c>
      <x:c r="R269" t="n">
        <x:f>ROUND(INDEX(Catalogue!F$4:F$85,MATCH(A269,Catalogue!A$4:A$85,0))*(1+'Paramètres'!$B$4*(C269-1)+'Paramètres'!$B$5*(C269-1)^2),0)</x:f>
        <x:v>12</x:v>
      </x:c>
      <x:c r="S269" t="n">
        <x:f>L269-AVERAGE(Q269:R269)</x:f>
        <x:v>0.5</x:v>
      </x:c>
      <x:c r="T269" t="str">
        <x:f>IF(M269=0,IF(AND(N269=0,O269=0,E269=0,F269=0),"OK","ERREUR"),IF(AND(M269&gt;=1,M269&lt;=32,OR(N269=4,N269=6,N269=8,N269=10,N269=12,N269=20),O269&gt;=0,E269=M269+O269,F269=M269*N269+O269),"OK","ERREUR"))</x:f>
        <x:v>OK</x:v>
      </x:c>
      <x:c r="U269" s="86" t="n">
        <x:f>IF(M269&gt;0,M269*(N269+1)/2+O269,0)</x:f>
        <x:v>10.5</x:v>
      </x:c>
      <x:c r="V269" t="str">
        <x:f>IF(ABS(L269-U269)&lt;0.001,"OK","ERREUR")</x:f>
        <x:v>OK</x:v>
      </x:c>
    </x:row>
    <x:row r="270" ht="18" customHeight="1">
      <x:c r="A270" t="str">
        <x:v>ARM014</x:v>
      </x:c>
      <x:c r="B270" t="str">
        <x:v>Épée droite</x:v>
      </x:c>
      <x:c r="C270" t="n">
        <x:v>7</x:v>
      </x:c>
      <x:c r="D270" t="str">
        <x:v>Une main</x:v>
      </x:c>
      <x:c r="E270" s="28" t="n">
        <x:f>IF(M270=0,0,M270+O270)</x:f>
        <x:v>9</x:v>
      </x:c>
      <x:c r="F270" s="28" t="n">
        <x:f>IF(M270=0,0,M270*N270+O270)</x:f>
        <x:v>12</x:v>
      </x:c>
      <x:c r="G270" s="28" t="n">
        <x:f>ROUND(Catalogue!G17*SQRT((1+'Paramètres'!$B$4*(C270-1)+'Paramètres'!$B$5*(C270-1)^2)),0)</x:f>
        <x:v>0</x:v>
      </x:c>
      <x:c r="H270" s="28" t="n">
        <x:f>ROUND(Catalogue!H17*SQRT((1+'Paramètres'!$B$4*(C270-1)+'Paramètres'!$B$5*(C270-1)^2)),0)</x:f>
        <x:v>0</x:v>
      </x:c>
      <x:c r="I270" s="28" t="n">
        <x:v>2</x:v>
      </x:c>
      <x:c r="J270" s="28" t="n">
        <x:v>1</x:v>
      </x:c>
      <x:c r="K270" s="30" t="n">
        <x:v>1.4</x:v>
      </x:c>
      <x:c r="L270" s="54" t="n">
        <x:f>IF(M270=0,0,(E270+F270)/2)</x:f>
        <x:v>10.5</x:v>
      </x:c>
      <x:c r="M270" t="n">
        <x:v>1</x:v>
      </x:c>
      <x:c r="N270" t="n">
        <x:v>4</x:v>
      </x:c>
      <x:c r="O270" t="n">
        <x:v>8</x:v>
      </x:c>
      <x:c r="P270" s="63" t="str">
        <x:f>IF(M270=0,"—",M270&amp;"d"&amp;N270&amp;IF(O270=0,""," + "&amp;O270))</x:f>
        <x:v>1d4 + 8</x:v>
      </x:c>
      <x:c r="Q270" t="n">
        <x:f>ROUND(INDEX(Catalogue!E$4:E$85,MATCH(A270,Catalogue!A$4:A$85,0))*(1+'Paramètres'!$B$4*(C270-1)+'Paramètres'!$B$5*(C270-1)^2),0)</x:f>
        <x:v>9</x:v>
      </x:c>
      <x:c r="R270" t="n">
        <x:f>ROUND(INDEX(Catalogue!F$4:F$85,MATCH(A270,Catalogue!A$4:A$85,0))*(1+'Paramètres'!$B$4*(C270-1)+'Paramètres'!$B$5*(C270-1)^2),0)</x:f>
        <x:v>13</x:v>
      </x:c>
      <x:c r="S270" t="n">
        <x:f>L270-AVERAGE(Q270:R270)</x:f>
        <x:v>-0.5</x:v>
      </x:c>
      <x:c r="T270" t="str">
        <x:f>IF(M270=0,IF(AND(N270=0,O270=0,E270=0,F270=0),"OK","ERREUR"),IF(AND(M270&gt;=1,M270&lt;=32,OR(N270=4,N270=6,N270=8,N270=10,N270=12,N270=20),O270&gt;=0,E270=M270+O270,F270=M270*N270+O270),"OK","ERREUR"))</x:f>
        <x:v>OK</x:v>
      </x:c>
      <x:c r="U270" s="86" t="n">
        <x:f>IF(M270&gt;0,M270*(N270+1)/2+O270,0)</x:f>
        <x:v>10.5</x:v>
      </x:c>
      <x:c r="V270" t="str">
        <x:f>IF(ABS(L270-U270)&lt;0.001,"OK","ERREUR")</x:f>
        <x:v>OK</x:v>
      </x:c>
    </x:row>
    <x:row r="271" ht="18" customHeight="1">
      <x:c r="A271" t="str">
        <x:v>ARM014</x:v>
      </x:c>
      <x:c r="B271" t="str">
        <x:v>Épée droite</x:v>
      </x:c>
      <x:c r="C271" t="n">
        <x:v>8</x:v>
      </x:c>
      <x:c r="D271" t="str">
        <x:v>Une main</x:v>
      </x:c>
      <x:c r="E271" s="28" t="n">
        <x:f>IF(M271=0,0,M271+O271)</x:f>
        <x:v>10</x:v>
      </x:c>
      <x:c r="F271" s="28" t="n">
        <x:f>IF(M271=0,0,M271*N271+O271)</x:f>
        <x:v>15</x:v>
      </x:c>
      <x:c r="G271" s="28" t="n">
        <x:f>ROUND(Catalogue!G17*SQRT((1+'Paramètres'!$B$4*(C271-1)+'Paramètres'!$B$5*(C271-1)^2)),0)</x:f>
        <x:v>0</x:v>
      </x:c>
      <x:c r="H271" s="28" t="n">
        <x:f>ROUND(Catalogue!H17*SQRT((1+'Paramètres'!$B$4*(C271-1)+'Paramètres'!$B$5*(C271-1)^2)),0)</x:f>
        <x:v>0</x:v>
      </x:c>
      <x:c r="I271" s="28" t="n">
        <x:v>2</x:v>
      </x:c>
      <x:c r="J271" s="28" t="n">
        <x:v>1</x:v>
      </x:c>
      <x:c r="K271" s="30" t="n">
        <x:v>1.4</x:v>
      </x:c>
      <x:c r="L271" s="54" t="n">
        <x:f>IF(M271=0,0,(E271+F271)/2)</x:f>
        <x:v>12.5</x:v>
      </x:c>
      <x:c r="M271" t="n">
        <x:v>1</x:v>
      </x:c>
      <x:c r="N271" t="n">
        <x:v>6</x:v>
      </x:c>
      <x:c r="O271" t="n">
        <x:v>9</x:v>
      </x:c>
      <x:c r="P271" s="63" t="str">
        <x:f>IF(M271=0,"—",M271&amp;"d"&amp;N271&amp;IF(O271=0,""," + "&amp;O271))</x:f>
        <x:v>1d6 + 9</x:v>
      </x:c>
      <x:c r="Q271" t="n">
        <x:f>ROUND(INDEX(Catalogue!E$4:E$85,MATCH(A271,Catalogue!A$4:A$85,0))*(1+'Paramètres'!$B$4*(C271-1)+'Paramètres'!$B$5*(C271-1)^2),0)</x:f>
        <x:v>10</x:v>
      </x:c>
      <x:c r="R271" t="n">
        <x:f>ROUND(INDEX(Catalogue!F$4:F$85,MATCH(A271,Catalogue!A$4:A$85,0))*(1+'Paramètres'!$B$4*(C271-1)+'Paramètres'!$B$5*(C271-1)^2),0)</x:f>
        <x:v>15</x:v>
      </x:c>
      <x:c r="S271" t="n">
        <x:f>L271-AVERAGE(Q271:R271)</x:f>
        <x:v>0</x:v>
      </x:c>
      <x:c r="T271" t="str">
        <x:f>IF(M271=0,IF(AND(N271=0,O271=0,E271=0,F271=0),"OK","ERREUR"),IF(AND(M271&gt;=1,M271&lt;=32,OR(N271=4,N271=6,N271=8,N271=10,N271=12,N271=20),O271&gt;=0,E271=M271+O271,F271=M271*N271+O271),"OK","ERREUR"))</x:f>
        <x:v>OK</x:v>
      </x:c>
      <x:c r="U271" s="86" t="n">
        <x:f>IF(M271&gt;0,M271*(N271+1)/2+O271,0)</x:f>
        <x:v>12.5</x:v>
      </x:c>
      <x:c r="V271" t="str">
        <x:f>IF(ABS(L271-U271)&lt;0.001,"OK","ERREUR")</x:f>
        <x:v>OK</x:v>
      </x:c>
    </x:row>
    <x:row r="272" ht="18" customHeight="1">
      <x:c r="A272" t="str">
        <x:v>ARM014</x:v>
      </x:c>
      <x:c r="B272" t="str">
        <x:v>Épée droite</x:v>
      </x:c>
      <x:c r="C272" t="n">
        <x:v>9</x:v>
      </x:c>
      <x:c r="D272" t="str">
        <x:v>Une main</x:v>
      </x:c>
      <x:c r="E272" s="28" t="n">
        <x:f>IF(M272=0,0,M272+O272)</x:f>
        <x:v>12</x:v>
      </x:c>
      <x:c r="F272" s="28" t="n">
        <x:f>IF(M272=0,0,M272*N272+O272)</x:f>
        <x:v>17</x:v>
      </x:c>
      <x:c r="G272" s="28" t="n">
        <x:f>ROUND(Catalogue!G17*SQRT((1+'Paramètres'!$B$4*(C272-1)+'Paramètres'!$B$5*(C272-1)^2)),0)</x:f>
        <x:v>0</x:v>
      </x:c>
      <x:c r="H272" s="28" t="n">
        <x:f>ROUND(Catalogue!H17*SQRT((1+'Paramètres'!$B$4*(C272-1)+'Paramètres'!$B$5*(C272-1)^2)),0)</x:f>
        <x:v>0</x:v>
      </x:c>
      <x:c r="I272" s="28" t="n">
        <x:v>2</x:v>
      </x:c>
      <x:c r="J272" s="28" t="n">
        <x:v>1</x:v>
      </x:c>
      <x:c r="K272" s="30" t="n">
        <x:v>1.4</x:v>
      </x:c>
      <x:c r="L272" s="54" t="n">
        <x:f>IF(M272=0,0,(E272+F272)/2)</x:f>
        <x:v>14.5</x:v>
      </x:c>
      <x:c r="M272" t="n">
        <x:v>1</x:v>
      </x:c>
      <x:c r="N272" t="n">
        <x:v>6</x:v>
      </x:c>
      <x:c r="O272" t="n">
        <x:v>11</x:v>
      </x:c>
      <x:c r="P272" s="63" t="str">
        <x:f>IF(M272=0,"—",M272&amp;"d"&amp;N272&amp;IF(O272=0,""," + "&amp;O272))</x:f>
        <x:v>1d6 + 11</x:v>
      </x:c>
      <x:c r="Q272" t="n">
        <x:f>ROUND(INDEX(Catalogue!E$4:E$85,MATCH(A272,Catalogue!A$4:A$85,0))*(1+'Paramètres'!$B$4*(C272-1)+'Paramètres'!$B$5*(C272-1)^2),0)</x:f>
        <x:v>12</x:v>
      </x:c>
      <x:c r="R272" t="n">
        <x:f>ROUND(INDEX(Catalogue!F$4:F$85,MATCH(A272,Catalogue!A$4:A$85,0))*(1+'Paramètres'!$B$4*(C272-1)+'Paramètres'!$B$5*(C272-1)^2),0)</x:f>
        <x:v>17</x:v>
      </x:c>
      <x:c r="S272" t="n">
        <x:f>L272-AVERAGE(Q272:R272)</x:f>
        <x:v>0</x:v>
      </x:c>
      <x:c r="T272" t="str">
        <x:f>IF(M272=0,IF(AND(N272=0,O272=0,E272=0,F272=0),"OK","ERREUR"),IF(AND(M272&gt;=1,M272&lt;=32,OR(N272=4,N272=6,N272=8,N272=10,N272=12,N272=20),O272&gt;=0,E272=M272+O272,F272=M272*N272+O272),"OK","ERREUR"))</x:f>
        <x:v>OK</x:v>
      </x:c>
      <x:c r="U272" s="86" t="n">
        <x:f>IF(M272&gt;0,M272*(N272+1)/2+O272,0)</x:f>
        <x:v>14.5</x:v>
      </x:c>
      <x:c r="V272" t="str">
        <x:f>IF(ABS(L272-U272)&lt;0.001,"OK","ERREUR")</x:f>
        <x:v>OK</x:v>
      </x:c>
    </x:row>
    <x:row r="273" ht="18" customHeight="1">
      <x:c r="A273" t="str">
        <x:v>ARM014</x:v>
      </x:c>
      <x:c r="B273" t="str">
        <x:v>Épée droite</x:v>
      </x:c>
      <x:c r="C273" t="n">
        <x:v>10</x:v>
      </x:c>
      <x:c r="D273" t="str">
        <x:v>Une main</x:v>
      </x:c>
      <x:c r="E273" s="28" t="n">
        <x:f>IF(M273=0,0,M273+O273)</x:f>
        <x:v>13</x:v>
      </x:c>
      <x:c r="F273" s="28" t="n">
        <x:f>IF(M273=0,0,M273*N273+O273)</x:f>
        <x:v>20</x:v>
      </x:c>
      <x:c r="G273" s="28" t="n">
        <x:f>ROUND(Catalogue!G17*SQRT((1+'Paramètres'!$B$4*(C273-1)+'Paramètres'!$B$5*(C273-1)^2)),0)</x:f>
        <x:v>0</x:v>
      </x:c>
      <x:c r="H273" s="28" t="n">
        <x:f>ROUND(Catalogue!H17*SQRT((1+'Paramètres'!$B$4*(C273-1)+'Paramètres'!$B$5*(C273-1)^2)),0)</x:f>
        <x:v>0</x:v>
      </x:c>
      <x:c r="I273" s="28" t="n">
        <x:v>2</x:v>
      </x:c>
      <x:c r="J273" s="28" t="n">
        <x:v>1</x:v>
      </x:c>
      <x:c r="K273" s="30" t="n">
        <x:v>1.4</x:v>
      </x:c>
      <x:c r="L273" s="54" t="n">
        <x:f>IF(M273=0,0,(E273+F273)/2)</x:f>
        <x:v>16.5</x:v>
      </x:c>
      <x:c r="M273" t="n">
        <x:v>1</x:v>
      </x:c>
      <x:c r="N273" t="n">
        <x:v>8</x:v>
      </x:c>
      <x:c r="O273" t="n">
        <x:v>12</x:v>
      </x:c>
      <x:c r="P273" s="63" t="str">
        <x:f>IF(M273=0,"—",M273&amp;"d"&amp;N273&amp;IF(O273=0,""," + "&amp;O273))</x:f>
        <x:v>1d8 + 12</x:v>
      </x:c>
      <x:c r="Q273" t="n">
        <x:f>ROUND(INDEX(Catalogue!E$4:E$85,MATCH(A273,Catalogue!A$4:A$85,0))*(1+'Paramètres'!$B$4*(C273-1)+'Paramètres'!$B$5*(C273-1)^2),0)</x:f>
        <x:v>13</x:v>
      </x:c>
      <x:c r="R273" t="n">
        <x:f>ROUND(INDEX(Catalogue!F$4:F$85,MATCH(A273,Catalogue!A$4:A$85,0))*(1+'Paramètres'!$B$4*(C273-1)+'Paramètres'!$B$5*(C273-1)^2),0)</x:f>
        <x:v>20</x:v>
      </x:c>
      <x:c r="S273" t="n">
        <x:f>L273-AVERAGE(Q273:R273)</x:f>
        <x:v>0</x:v>
      </x:c>
      <x:c r="T273" t="str">
        <x:f>IF(M273=0,IF(AND(N273=0,O273=0,E273=0,F273=0),"OK","ERREUR"),IF(AND(M273&gt;=1,M273&lt;=32,OR(N273=4,N273=6,N273=8,N273=10,N273=12,N273=20),O273&gt;=0,E273=M273+O273,F273=M273*N273+O273),"OK","ERREUR"))</x:f>
        <x:v>OK</x:v>
      </x:c>
      <x:c r="U273" s="86" t="n">
        <x:f>IF(M273&gt;0,M273*(N273+1)/2+O273,0)</x:f>
        <x:v>16.5</x:v>
      </x:c>
      <x:c r="V273" t="str">
        <x:f>IF(ABS(L273-U273)&lt;0.001,"OK","ERREUR")</x:f>
        <x:v>OK</x:v>
      </x:c>
    </x:row>
    <x:row r="274" ht="18" customHeight="1">
      <x:c r="A274" t="str">
        <x:v>ARM014</x:v>
      </x:c>
      <x:c r="B274" t="str">
        <x:v>Épée droite</x:v>
      </x:c>
      <x:c r="C274" t="n">
        <x:v>11</x:v>
      </x:c>
      <x:c r="D274" t="str">
        <x:v>Une main</x:v>
      </x:c>
      <x:c r="E274" s="28" t="n">
        <x:f>IF(M274=0,0,M274+O274)</x:f>
        <x:v>15</x:v>
      </x:c>
      <x:c r="F274" s="28" t="n">
        <x:f>IF(M274=0,0,M274*N274+O274)</x:f>
        <x:v>22</x:v>
      </x:c>
      <x:c r="G274" s="28" t="n">
        <x:f>ROUND(Catalogue!G17*SQRT((1+'Paramètres'!$B$4*(C274-1)+'Paramètres'!$B$5*(C274-1)^2)),0)</x:f>
        <x:v>0</x:v>
      </x:c>
      <x:c r="H274" s="28" t="n">
        <x:f>ROUND(Catalogue!H17*SQRT((1+'Paramètres'!$B$4*(C274-1)+'Paramètres'!$B$5*(C274-1)^2)),0)</x:f>
        <x:v>0</x:v>
      </x:c>
      <x:c r="I274" s="28" t="n">
        <x:v>2</x:v>
      </x:c>
      <x:c r="J274" s="28" t="n">
        <x:v>1</x:v>
      </x:c>
      <x:c r="K274" s="30" t="n">
        <x:v>1.4</x:v>
      </x:c>
      <x:c r="L274" s="54" t="n">
        <x:f>IF(M274=0,0,(E274+F274)/2)</x:f>
        <x:v>18.5</x:v>
      </x:c>
      <x:c r="M274" t="n">
        <x:v>1</x:v>
      </x:c>
      <x:c r="N274" t="n">
        <x:v>8</x:v>
      </x:c>
      <x:c r="O274" t="n">
        <x:v>14</x:v>
      </x:c>
      <x:c r="P274" s="63" t="str">
        <x:f>IF(M274=0,"—",M274&amp;"d"&amp;N274&amp;IF(O274=0,""," + "&amp;O274))</x:f>
        <x:v>1d8 + 14</x:v>
      </x:c>
      <x:c r="Q274" t="n">
        <x:f>ROUND(INDEX(Catalogue!E$4:E$85,MATCH(A274,Catalogue!A$4:A$85,0))*(1+'Paramètres'!$B$4*(C274-1)+'Paramètres'!$B$5*(C274-1)^2),0)</x:f>
        <x:v>15</x:v>
      </x:c>
      <x:c r="R274" t="n">
        <x:f>ROUND(INDEX(Catalogue!F$4:F$85,MATCH(A274,Catalogue!A$4:A$85,0))*(1+'Paramètres'!$B$4*(C274-1)+'Paramètres'!$B$5*(C274-1)^2),0)</x:f>
        <x:v>22</x:v>
      </x:c>
      <x:c r="S274" t="n">
        <x:f>L274-AVERAGE(Q274:R274)</x:f>
        <x:v>0</x:v>
      </x:c>
      <x:c r="T274" t="str">
        <x:f>IF(M274=0,IF(AND(N274=0,O274=0,E274=0,F274=0),"OK","ERREUR"),IF(AND(M274&gt;=1,M274&lt;=32,OR(N274=4,N274=6,N274=8,N274=10,N274=12,N274=20),O274&gt;=0,E274=M274+O274,F274=M274*N274+O274),"OK","ERREUR"))</x:f>
        <x:v>OK</x:v>
      </x:c>
      <x:c r="U274" s="86" t="n">
        <x:f>IF(M274&gt;0,M274*(N274+1)/2+O274,0)</x:f>
        <x:v>18.5</x:v>
      </x:c>
      <x:c r="V274" t="str">
        <x:f>IF(ABS(L274-U274)&lt;0.001,"OK","ERREUR")</x:f>
        <x:v>OK</x:v>
      </x:c>
    </x:row>
    <x:row r="275" ht="18" customHeight="1">
      <x:c r="A275" t="str">
        <x:v>ARM014</x:v>
      </x:c>
      <x:c r="B275" t="str">
        <x:v>Épée droite</x:v>
      </x:c>
      <x:c r="C275" t="n">
        <x:v>12</x:v>
      </x:c>
      <x:c r="D275" t="str">
        <x:v>Une main</x:v>
      </x:c>
      <x:c r="E275" s="28" t="n">
        <x:f>IF(M275=0,0,M275+O275)</x:f>
        <x:v>16</x:v>
      </x:c>
      <x:c r="F275" s="28" t="n">
        <x:f>IF(M275=0,0,M275*N275+O275)</x:f>
        <x:v>25</x:v>
      </x:c>
      <x:c r="G275" s="28" t="n">
        <x:f>ROUND(Catalogue!G17*SQRT((1+'Paramètres'!$B$4*(C275-1)+'Paramètres'!$B$5*(C275-1)^2)),0)</x:f>
        <x:v>0</x:v>
      </x:c>
      <x:c r="H275" s="28" t="n">
        <x:f>ROUND(Catalogue!H17*SQRT((1+'Paramètres'!$B$4*(C275-1)+'Paramètres'!$B$5*(C275-1)^2)),0)</x:f>
        <x:v>0</x:v>
      </x:c>
      <x:c r="I275" s="28" t="n">
        <x:v>2</x:v>
      </x:c>
      <x:c r="J275" s="28" t="n">
        <x:v>1</x:v>
      </x:c>
      <x:c r="K275" s="30" t="n">
        <x:v>1.4</x:v>
      </x:c>
      <x:c r="L275" s="54" t="n">
        <x:f>IF(M275=0,0,(E275+F275)/2)</x:f>
        <x:v>20.5</x:v>
      </x:c>
      <x:c r="M275" t="n">
        <x:v>3</x:v>
      </x:c>
      <x:c r="N275" t="n">
        <x:v>4</x:v>
      </x:c>
      <x:c r="O275" t="n">
        <x:v>13</x:v>
      </x:c>
      <x:c r="P275" s="63" t="str">
        <x:f>IF(M275=0,"—",M275&amp;"d"&amp;N275&amp;IF(O275=0,""," + "&amp;O275))</x:f>
        <x:v>3d4 + 13</x:v>
      </x:c>
      <x:c r="Q275" t="n">
        <x:f>ROUND(INDEX(Catalogue!E$4:E$85,MATCH(A275,Catalogue!A$4:A$85,0))*(1+'Paramètres'!$B$4*(C275-1)+'Paramètres'!$B$5*(C275-1)^2),0)</x:f>
        <x:v>17</x:v>
      </x:c>
      <x:c r="R275" t="n">
        <x:f>ROUND(INDEX(Catalogue!F$4:F$85,MATCH(A275,Catalogue!A$4:A$85,0))*(1+'Paramètres'!$B$4*(C275-1)+'Paramètres'!$B$5*(C275-1)^2),0)</x:f>
        <x:v>25</x:v>
      </x:c>
      <x:c r="S275" t="n">
        <x:f>L275-AVERAGE(Q275:R275)</x:f>
        <x:v>-0.5</x:v>
      </x:c>
      <x:c r="T275" t="str">
        <x:f>IF(M275=0,IF(AND(N275=0,O275=0,E275=0,F275=0),"OK","ERREUR"),IF(AND(M275&gt;=1,M275&lt;=32,OR(N275=4,N275=6,N275=8,N275=10,N275=12,N275=20),O275&gt;=0,E275=M275+O275,F275=M275*N275+O275),"OK","ERREUR"))</x:f>
        <x:v>OK</x:v>
      </x:c>
      <x:c r="U275" s="86" t="n">
        <x:f>IF(M275&gt;0,M275*(N275+1)/2+O275,0)</x:f>
        <x:v>20.5</x:v>
      </x:c>
      <x:c r="V275" t="str">
        <x:f>IF(ABS(L275-U275)&lt;0.001,"OK","ERREUR")</x:f>
        <x:v>OK</x:v>
      </x:c>
    </x:row>
    <x:row r="276" ht="18" customHeight="1">
      <x:c r="A276" t="str">
        <x:v>ARM014</x:v>
      </x:c>
      <x:c r="B276" t="str">
        <x:v>Épée droite</x:v>
      </x:c>
      <x:c r="C276" t="n">
        <x:v>13</x:v>
      </x:c>
      <x:c r="D276" t="str">
        <x:v>Une main</x:v>
      </x:c>
      <x:c r="E276" s="28" t="n">
        <x:f>IF(M276=0,0,M276+O276)</x:f>
        <x:v>18</x:v>
      </x:c>
      <x:c r="F276" s="28" t="n">
        <x:f>IF(M276=0,0,M276*N276+O276)</x:f>
        <x:v>28</x:v>
      </x:c>
      <x:c r="G276" s="28" t="n">
        <x:f>ROUND(Catalogue!G17*SQRT((1+'Paramètres'!$B$4*(C276-1)+'Paramètres'!$B$5*(C276-1)^2)),0)</x:f>
        <x:v>0</x:v>
      </x:c>
      <x:c r="H276" s="28" t="n">
        <x:f>ROUND(Catalogue!H17*SQRT((1+'Paramètres'!$B$4*(C276-1)+'Paramètres'!$B$5*(C276-1)^2)),0)</x:f>
        <x:v>0</x:v>
      </x:c>
      <x:c r="I276" s="28" t="n">
        <x:v>2</x:v>
      </x:c>
      <x:c r="J276" s="28" t="n">
        <x:v>1</x:v>
      </x:c>
      <x:c r="K276" s="30" t="n">
        <x:v>1.4</x:v>
      </x:c>
      <x:c r="L276" s="54" t="n">
        <x:f>IF(M276=0,0,(E276+F276)/2)</x:f>
        <x:v>23</x:v>
      </x:c>
      <x:c r="M276" t="n">
        <x:v>2</x:v>
      </x:c>
      <x:c r="N276" t="n">
        <x:v>6</x:v>
      </x:c>
      <x:c r="O276" t="n">
        <x:v>16</x:v>
      </x:c>
      <x:c r="P276" s="63" t="str">
        <x:f>IF(M276=0,"—",M276&amp;"d"&amp;N276&amp;IF(O276=0,""," + "&amp;O276))</x:f>
        <x:v>2d6 + 16</x:v>
      </x:c>
      <x:c r="Q276" t="n">
        <x:f>ROUND(INDEX(Catalogue!E$4:E$85,MATCH(A276,Catalogue!A$4:A$85,0))*(1+'Paramètres'!$B$4*(C276-1)+'Paramètres'!$B$5*(C276-1)^2),0)</x:f>
        <x:v>18</x:v>
      </x:c>
      <x:c r="R276" t="n">
        <x:f>ROUND(INDEX(Catalogue!F$4:F$85,MATCH(A276,Catalogue!A$4:A$85,0))*(1+'Paramètres'!$B$4*(C276-1)+'Paramètres'!$B$5*(C276-1)^2),0)</x:f>
        <x:v>28</x:v>
      </x:c>
      <x:c r="S276" t="n">
        <x:f>L276-AVERAGE(Q276:R276)</x:f>
        <x:v>0</x:v>
      </x:c>
      <x:c r="T276" t="str">
        <x:f>IF(M276=0,IF(AND(N276=0,O276=0,E276=0,F276=0),"OK","ERREUR"),IF(AND(M276&gt;=1,M276&lt;=32,OR(N276=4,N276=6,N276=8,N276=10,N276=12,N276=20),O276&gt;=0,E276=M276+O276,F276=M276*N276+O276),"OK","ERREUR"))</x:f>
        <x:v>OK</x:v>
      </x:c>
      <x:c r="U276" s="86" t="n">
        <x:f>IF(M276&gt;0,M276*(N276+1)/2+O276,0)</x:f>
        <x:v>23</x:v>
      </x:c>
      <x:c r="V276" t="str">
        <x:f>IF(ABS(L276-U276)&lt;0.001,"OK","ERREUR")</x:f>
        <x:v>OK</x:v>
      </x:c>
    </x:row>
    <x:row r="277" ht="18" customHeight="1">
      <x:c r="A277" t="str">
        <x:v>ARM014</x:v>
      </x:c>
      <x:c r="B277" t="str">
        <x:v>Épée droite</x:v>
      </x:c>
      <x:c r="C277" t="n">
        <x:v>14</x:v>
      </x:c>
      <x:c r="D277" t="str">
        <x:v>Une main</x:v>
      </x:c>
      <x:c r="E277" s="28" t="n">
        <x:f>IF(M277=0,0,M277+O277)</x:f>
        <x:v>21</x:v>
      </x:c>
      <x:c r="F277" s="28" t="n">
        <x:f>IF(M277=0,0,M277*N277+O277)</x:f>
        <x:v>31</x:v>
      </x:c>
      <x:c r="G277" s="28" t="n">
        <x:f>ROUND(Catalogue!G17*SQRT((1+'Paramètres'!$B$4*(C277-1)+'Paramètres'!$B$5*(C277-1)^2)),0)</x:f>
        <x:v>0</x:v>
      </x:c>
      <x:c r="H277" s="28" t="n">
        <x:f>ROUND(Catalogue!H17*SQRT((1+'Paramètres'!$B$4*(C277-1)+'Paramètres'!$B$5*(C277-1)^2)),0)</x:f>
        <x:v>0</x:v>
      </x:c>
      <x:c r="I277" s="28" t="n">
        <x:v>2</x:v>
      </x:c>
      <x:c r="J277" s="28" t="n">
        <x:v>1</x:v>
      </x:c>
      <x:c r="K277" s="30" t="n">
        <x:v>1.4</x:v>
      </x:c>
      <x:c r="L277" s="54" t="n">
        <x:f>IF(M277=0,0,(E277+F277)/2)</x:f>
        <x:v>26</x:v>
      </x:c>
      <x:c r="M277" t="n">
        <x:v>2</x:v>
      </x:c>
      <x:c r="N277" t="n">
        <x:v>6</x:v>
      </x:c>
      <x:c r="O277" t="n">
        <x:v>19</x:v>
      </x:c>
      <x:c r="P277" s="63" t="str">
        <x:f>IF(M277=0,"—",M277&amp;"d"&amp;N277&amp;IF(O277=0,""," + "&amp;O277))</x:f>
        <x:v>2d6 + 19</x:v>
      </x:c>
      <x:c r="Q277" t="n">
        <x:f>ROUND(INDEX(Catalogue!E$4:E$85,MATCH(A277,Catalogue!A$4:A$85,0))*(1+'Paramètres'!$B$4*(C277-1)+'Paramètres'!$B$5*(C277-1)^2),0)</x:f>
        <x:v>21</x:v>
      </x:c>
      <x:c r="R277" t="n">
        <x:f>ROUND(INDEX(Catalogue!F$4:F$85,MATCH(A277,Catalogue!A$4:A$85,0))*(1+'Paramètres'!$B$4*(C277-1)+'Paramètres'!$B$5*(C277-1)^2),0)</x:f>
        <x:v>31</x:v>
      </x:c>
      <x:c r="S277" t="n">
        <x:f>L277-AVERAGE(Q277:R277)</x:f>
        <x:v>0</x:v>
      </x:c>
      <x:c r="T277" t="str">
        <x:f>IF(M277=0,IF(AND(N277=0,O277=0,E277=0,F277=0),"OK","ERREUR"),IF(AND(M277&gt;=1,M277&lt;=32,OR(N277=4,N277=6,N277=8,N277=10,N277=12,N277=20),O277&gt;=0,E277=M277+O277,F277=M277*N277+O277),"OK","ERREUR"))</x:f>
        <x:v>OK</x:v>
      </x:c>
      <x:c r="U277" s="86" t="n">
        <x:f>IF(M277&gt;0,M277*(N277+1)/2+O277,0)</x:f>
        <x:v>26</x:v>
      </x:c>
      <x:c r="V277" t="str">
        <x:f>IF(ABS(L277-U277)&lt;0.001,"OK","ERREUR")</x:f>
        <x:v>OK</x:v>
      </x:c>
    </x:row>
    <x:row r="278" ht="18" customHeight="1">
      <x:c r="A278" t="str">
        <x:v>ARM014</x:v>
      </x:c>
      <x:c r="B278" t="str">
        <x:v>Épée droite</x:v>
      </x:c>
      <x:c r="C278" t="n">
        <x:v>15</x:v>
      </x:c>
      <x:c r="D278" t="str">
        <x:v>Une main</x:v>
      </x:c>
      <x:c r="E278" s="28" t="n">
        <x:f>IF(M278=0,0,M278+O278)</x:f>
        <x:v>23</x:v>
      </x:c>
      <x:c r="F278" s="28" t="n">
        <x:f>IF(M278=0,0,M278*N278+O278)</x:f>
        <x:v>34</x:v>
      </x:c>
      <x:c r="G278" s="28" t="n">
        <x:f>ROUND(Catalogue!G17*SQRT((1+'Paramètres'!$B$4*(C278-1)+'Paramètres'!$B$5*(C278-1)^2)),0)</x:f>
        <x:v>0</x:v>
      </x:c>
      <x:c r="H278" s="28" t="n">
        <x:f>ROUND(Catalogue!H17*SQRT((1+'Paramètres'!$B$4*(C278-1)+'Paramètres'!$B$5*(C278-1)^2)),0)</x:f>
        <x:v>0</x:v>
      </x:c>
      <x:c r="I278" s="28" t="n">
        <x:v>2</x:v>
      </x:c>
      <x:c r="J278" s="28" t="n">
        <x:v>1</x:v>
      </x:c>
      <x:c r="K278" s="30" t="n">
        <x:v>1.4</x:v>
      </x:c>
      <x:c r="L278" s="54" t="n">
        <x:f>IF(M278=0,0,(E278+F278)/2)</x:f>
        <x:v>28.5</x:v>
      </x:c>
      <x:c r="M278" t="n">
        <x:v>1</x:v>
      </x:c>
      <x:c r="N278" t="n">
        <x:v>12</x:v>
      </x:c>
      <x:c r="O278" t="n">
        <x:v>22</x:v>
      </x:c>
      <x:c r="P278" s="63" t="str">
        <x:f>IF(M278=0,"—",M278&amp;"d"&amp;N278&amp;IF(O278=0,""," + "&amp;O278))</x:f>
        <x:v>1d12 + 22</x:v>
      </x:c>
      <x:c r="Q278" t="n">
        <x:f>ROUND(INDEX(Catalogue!E$4:E$85,MATCH(A278,Catalogue!A$4:A$85,0))*(1+'Paramètres'!$B$4*(C278-1)+'Paramètres'!$B$5*(C278-1)^2),0)</x:f>
        <x:v>23</x:v>
      </x:c>
      <x:c r="R278" t="n">
        <x:f>ROUND(INDEX(Catalogue!F$4:F$85,MATCH(A278,Catalogue!A$4:A$85,0))*(1+'Paramètres'!$B$4*(C278-1)+'Paramètres'!$B$5*(C278-1)^2),0)</x:f>
        <x:v>34</x:v>
      </x:c>
      <x:c r="S278" t="n">
        <x:f>L278-AVERAGE(Q278:R278)</x:f>
        <x:v>0</x:v>
      </x:c>
      <x:c r="T278" t="str">
        <x:f>IF(M278=0,IF(AND(N278=0,O278=0,E278=0,F278=0),"OK","ERREUR"),IF(AND(M278&gt;=1,M278&lt;=32,OR(N278=4,N278=6,N278=8,N278=10,N278=12,N278=20),O278&gt;=0,E278=M278+O278,F278=M278*N278+O278),"OK","ERREUR"))</x:f>
        <x:v>OK</x:v>
      </x:c>
      <x:c r="U278" s="86" t="n">
        <x:f>IF(M278&gt;0,M278*(N278+1)/2+O278,0)</x:f>
        <x:v>28.5</x:v>
      </x:c>
      <x:c r="V278" t="str">
        <x:f>IF(ABS(L278-U278)&lt;0.001,"OK","ERREUR")</x:f>
        <x:v>OK</x:v>
      </x:c>
    </x:row>
    <x:row r="279" ht="18" customHeight="1">
      <x:c r="A279" t="str">
        <x:v>ARM014</x:v>
      </x:c>
      <x:c r="B279" t="str">
        <x:v>Épée droite</x:v>
      </x:c>
      <x:c r="C279" t="n">
        <x:v>16</x:v>
      </x:c>
      <x:c r="D279" t="str">
        <x:v>Une main</x:v>
      </x:c>
      <x:c r="E279" s="28" t="n">
        <x:f>IF(M279=0,0,M279+O279)</x:f>
        <x:v>24</x:v>
      </x:c>
      <x:c r="F279" s="28" t="n">
        <x:f>IF(M279=0,0,M279*N279+O279)</x:f>
        <x:v>38</x:v>
      </x:c>
      <x:c r="G279" s="28" t="n">
        <x:f>ROUND(Catalogue!G17*SQRT((1+'Paramètres'!$B$4*(C279-1)+'Paramètres'!$B$5*(C279-1)^2)),0)</x:f>
        <x:v>0</x:v>
      </x:c>
      <x:c r="H279" s="28" t="n">
        <x:f>ROUND(Catalogue!H17*SQRT((1+'Paramètres'!$B$4*(C279-1)+'Paramètres'!$B$5*(C279-1)^2)),0)</x:f>
        <x:v>0</x:v>
      </x:c>
      <x:c r="I279" s="28" t="n">
        <x:v>2</x:v>
      </x:c>
      <x:c r="J279" s="28" t="n">
        <x:v>1</x:v>
      </x:c>
      <x:c r="K279" s="30" t="n">
        <x:v>1.4</x:v>
      </x:c>
      <x:c r="L279" s="54" t="n">
        <x:f>IF(M279=0,0,(E279+F279)/2)</x:f>
        <x:v>31</x:v>
      </x:c>
      <x:c r="M279" t="n">
        <x:v>2</x:v>
      </x:c>
      <x:c r="N279" t="n">
        <x:v>8</x:v>
      </x:c>
      <x:c r="O279" t="n">
        <x:v>22</x:v>
      </x:c>
      <x:c r="P279" s="63" t="str">
        <x:f>IF(M279=0,"—",M279&amp;"d"&amp;N279&amp;IF(O279=0,""," + "&amp;O279))</x:f>
        <x:v>2d8 + 22</x:v>
      </x:c>
      <x:c r="Q279" t="n">
        <x:f>ROUND(INDEX(Catalogue!E$4:E$85,MATCH(A279,Catalogue!A$4:A$85,0))*(1+'Paramètres'!$B$4*(C279-1)+'Paramètres'!$B$5*(C279-1)^2),0)</x:f>
        <x:v>25</x:v>
      </x:c>
      <x:c r="R279" t="n">
        <x:f>ROUND(INDEX(Catalogue!F$4:F$85,MATCH(A279,Catalogue!A$4:A$85,0))*(1+'Paramètres'!$B$4*(C279-1)+'Paramètres'!$B$5*(C279-1)^2),0)</x:f>
        <x:v>38</x:v>
      </x:c>
      <x:c r="S279" t="n">
        <x:f>L279-AVERAGE(Q279:R279)</x:f>
        <x:v>-0.5</x:v>
      </x:c>
      <x:c r="T279" t="str">
        <x:f>IF(M279=0,IF(AND(N279=0,O279=0,E279=0,F279=0),"OK","ERREUR"),IF(AND(M279&gt;=1,M279&lt;=32,OR(N279=4,N279=6,N279=8,N279=10,N279=12,N279=20),O279&gt;=0,E279=M279+O279,F279=M279*N279+O279),"OK","ERREUR"))</x:f>
        <x:v>OK</x:v>
      </x:c>
      <x:c r="U279" s="86" t="n">
        <x:f>IF(M279&gt;0,M279*(N279+1)/2+O279,0)</x:f>
        <x:v>31</x:v>
      </x:c>
      <x:c r="V279" t="str">
        <x:f>IF(ABS(L279-U279)&lt;0.001,"OK","ERREUR")</x:f>
        <x:v>OK</x:v>
      </x:c>
    </x:row>
    <x:row r="280" ht="18" customHeight="1">
      <x:c r="A280" t="str">
        <x:v>ARM014</x:v>
      </x:c>
      <x:c r="B280" t="str">
        <x:v>Épée droite</x:v>
      </x:c>
      <x:c r="C280" t="n">
        <x:v>17</x:v>
      </x:c>
      <x:c r="D280" t="str">
        <x:v>Une main</x:v>
      </x:c>
      <x:c r="E280" s="28" t="n">
        <x:f>IF(M280=0,0,M280+O280)</x:f>
        <x:v>27</x:v>
      </x:c>
      <x:c r="F280" s="28" t="n">
        <x:f>IF(M280=0,0,M280*N280+O280)</x:f>
        <x:v>41</x:v>
      </x:c>
      <x:c r="G280" s="28" t="n">
        <x:f>ROUND(Catalogue!G17*SQRT((1+'Paramètres'!$B$4*(C280-1)+'Paramètres'!$B$5*(C280-1)^2)),0)</x:f>
        <x:v>0</x:v>
      </x:c>
      <x:c r="H280" s="28" t="n">
        <x:f>ROUND(Catalogue!H17*SQRT((1+'Paramètres'!$B$4*(C280-1)+'Paramètres'!$B$5*(C280-1)^2)),0)</x:f>
        <x:v>0</x:v>
      </x:c>
      <x:c r="I280" s="28" t="n">
        <x:v>2</x:v>
      </x:c>
      <x:c r="J280" s="28" t="n">
        <x:v>1</x:v>
      </x:c>
      <x:c r="K280" s="30" t="n">
        <x:v>1.4</x:v>
      </x:c>
      <x:c r="L280" s="54" t="n">
        <x:f>IF(M280=0,0,(E280+F280)/2)</x:f>
        <x:v>34</x:v>
      </x:c>
      <x:c r="M280" t="n">
        <x:v>2</x:v>
      </x:c>
      <x:c r="N280" t="n">
        <x:v>8</x:v>
      </x:c>
      <x:c r="O280" t="n">
        <x:v>25</x:v>
      </x:c>
      <x:c r="P280" s="63" t="str">
        <x:f>IF(M280=0,"—",M280&amp;"d"&amp;N280&amp;IF(O280=0,""," + "&amp;O280))</x:f>
        <x:v>2d8 + 25</x:v>
      </x:c>
      <x:c r="Q280" t="n">
        <x:f>ROUND(INDEX(Catalogue!E$4:E$85,MATCH(A280,Catalogue!A$4:A$85,0))*(1+'Paramètres'!$B$4*(C280-1)+'Paramètres'!$B$5*(C280-1)^2),0)</x:f>
        <x:v>27</x:v>
      </x:c>
      <x:c r="R280" t="n">
        <x:f>ROUND(INDEX(Catalogue!F$4:F$85,MATCH(A280,Catalogue!A$4:A$85,0))*(1+'Paramètres'!$B$4*(C280-1)+'Paramètres'!$B$5*(C280-1)^2),0)</x:f>
        <x:v>41</x:v>
      </x:c>
      <x:c r="S280" t="n">
        <x:f>L280-AVERAGE(Q280:R280)</x:f>
        <x:v>0</x:v>
      </x:c>
      <x:c r="T280" t="str">
        <x:f>IF(M280=0,IF(AND(N280=0,O280=0,E280=0,F280=0),"OK","ERREUR"),IF(AND(M280&gt;=1,M280&lt;=32,OR(N280=4,N280=6,N280=8,N280=10,N280=12,N280=20),O280&gt;=0,E280=M280+O280,F280=M280*N280+O280),"OK","ERREUR"))</x:f>
        <x:v>OK</x:v>
      </x:c>
      <x:c r="U280" s="86" t="n">
        <x:f>IF(M280&gt;0,M280*(N280+1)/2+O280,0)</x:f>
        <x:v>34</x:v>
      </x:c>
      <x:c r="V280" t="str">
        <x:f>IF(ABS(L280-U280)&lt;0.001,"OK","ERREUR")</x:f>
        <x:v>OK</x:v>
      </x:c>
    </x:row>
    <x:row r="281" ht="18" customHeight="1">
      <x:c r="A281" t="str">
        <x:v>ARM014</x:v>
      </x:c>
      <x:c r="B281" t="str">
        <x:v>Épée droite</x:v>
      </x:c>
      <x:c r="C281" t="n">
        <x:v>18</x:v>
      </x:c>
      <x:c r="D281" t="str">
        <x:v>Une main</x:v>
      </x:c>
      <x:c r="E281" s="28" t="n">
        <x:f>IF(M281=0,0,M281+O281)</x:f>
        <x:v>30</x:v>
      </x:c>
      <x:c r="F281" s="28" t="n">
        <x:f>IF(M281=0,0,M281*N281+O281)</x:f>
        <x:v>45</x:v>
      </x:c>
      <x:c r="G281" s="28" t="n">
        <x:f>ROUND(Catalogue!G17*SQRT((1+'Paramètres'!$B$4*(C281-1)+'Paramètres'!$B$5*(C281-1)^2)),0)</x:f>
        <x:v>0</x:v>
      </x:c>
      <x:c r="H281" s="28" t="n">
        <x:f>ROUND(Catalogue!H17*SQRT((1+'Paramètres'!$B$4*(C281-1)+'Paramètres'!$B$5*(C281-1)^2)),0)</x:f>
        <x:v>0</x:v>
      </x:c>
      <x:c r="I281" s="28" t="n">
        <x:v>2</x:v>
      </x:c>
      <x:c r="J281" s="28" t="n">
        <x:v>1</x:v>
      </x:c>
      <x:c r="K281" s="30" t="n">
        <x:v>1.4</x:v>
      </x:c>
      <x:c r="L281" s="54" t="n">
        <x:f>IF(M281=0,0,(E281+F281)/2)</x:f>
        <x:v>37.5</x:v>
      </x:c>
      <x:c r="M281" t="n">
        <x:v>3</x:v>
      </x:c>
      <x:c r="N281" t="n">
        <x:v>6</x:v>
      </x:c>
      <x:c r="O281" t="n">
        <x:v>27</x:v>
      </x:c>
      <x:c r="P281" s="63" t="str">
        <x:f>IF(M281=0,"—",M281&amp;"d"&amp;N281&amp;IF(O281=0,""," + "&amp;O281))</x:f>
        <x:v>3d6 + 27</x:v>
      </x:c>
      <x:c r="Q281" t="n">
        <x:f>ROUND(INDEX(Catalogue!E$4:E$85,MATCH(A281,Catalogue!A$4:A$85,0))*(1+'Paramètres'!$B$4*(C281-1)+'Paramètres'!$B$5*(C281-1)^2),0)</x:f>
        <x:v>30</x:v>
      </x:c>
      <x:c r="R281" t="n">
        <x:f>ROUND(INDEX(Catalogue!F$4:F$85,MATCH(A281,Catalogue!A$4:A$85,0))*(1+'Paramètres'!$B$4*(C281-1)+'Paramètres'!$B$5*(C281-1)^2),0)</x:f>
        <x:v>45</x:v>
      </x:c>
      <x:c r="S281" t="n">
        <x:f>L281-AVERAGE(Q281:R281)</x:f>
        <x:v>0</x:v>
      </x:c>
      <x:c r="T281" t="str">
        <x:f>IF(M281=0,IF(AND(N281=0,O281=0,E281=0,F281=0),"OK","ERREUR"),IF(AND(M281&gt;=1,M281&lt;=32,OR(N281=4,N281=6,N281=8,N281=10,N281=12,N281=20),O281&gt;=0,E281=M281+O281,F281=M281*N281+O281),"OK","ERREUR"))</x:f>
        <x:v>OK</x:v>
      </x:c>
      <x:c r="U281" s="86" t="n">
        <x:f>IF(M281&gt;0,M281*(N281+1)/2+O281,0)</x:f>
        <x:v>37.5</x:v>
      </x:c>
      <x:c r="V281" t="str">
        <x:f>IF(ABS(L281-U281)&lt;0.001,"OK","ERREUR")</x:f>
        <x:v>OK</x:v>
      </x:c>
    </x:row>
    <x:row r="282" ht="18" customHeight="1">
      <x:c r="A282" t="str">
        <x:v>ARM014</x:v>
      </x:c>
      <x:c r="B282" t="str">
        <x:v>Épée droite</x:v>
      </x:c>
      <x:c r="C282" t="n">
        <x:v>19</x:v>
      </x:c>
      <x:c r="D282" t="str">
        <x:v>Une main</x:v>
      </x:c>
      <x:c r="E282" s="28" t="n">
        <x:f>IF(M282=0,0,M282+O282)</x:f>
        <x:v>33</x:v>
      </x:c>
      <x:c r="F282" s="28" t="n">
        <x:f>IF(M282=0,0,M282*N282+O282)</x:f>
        <x:v>48</x:v>
      </x:c>
      <x:c r="G282" s="28" t="n">
        <x:f>ROUND(Catalogue!G17*SQRT((1+'Paramètres'!$B$4*(C282-1)+'Paramètres'!$B$5*(C282-1)^2)),0)</x:f>
        <x:v>0</x:v>
      </x:c>
      <x:c r="H282" s="28" t="n">
        <x:f>ROUND(Catalogue!H17*SQRT((1+'Paramètres'!$B$4*(C282-1)+'Paramètres'!$B$5*(C282-1)^2)),0)</x:f>
        <x:v>0</x:v>
      </x:c>
      <x:c r="I282" s="28" t="n">
        <x:v>2</x:v>
      </x:c>
      <x:c r="J282" s="28" t="n">
        <x:v>1</x:v>
      </x:c>
      <x:c r="K282" s="30" t="n">
        <x:v>1.4</x:v>
      </x:c>
      <x:c r="L282" s="54" t="n">
        <x:f>IF(M282=0,0,(E282+F282)/2)</x:f>
        <x:v>40.5</x:v>
      </x:c>
      <x:c r="M282" t="n">
        <x:v>3</x:v>
      </x:c>
      <x:c r="N282" t="n">
        <x:v>6</x:v>
      </x:c>
      <x:c r="O282" t="n">
        <x:v>30</x:v>
      </x:c>
      <x:c r="P282" s="63" t="str">
        <x:f>IF(M282=0,"—",M282&amp;"d"&amp;N282&amp;IF(O282=0,""," + "&amp;O282))</x:f>
        <x:v>3d6 + 30</x:v>
      </x:c>
      <x:c r="Q282" t="n">
        <x:f>ROUND(INDEX(Catalogue!E$4:E$85,MATCH(A282,Catalogue!A$4:A$85,0))*(1+'Paramètres'!$B$4*(C282-1)+'Paramètres'!$B$5*(C282-1)^2),0)</x:f>
        <x:v>33</x:v>
      </x:c>
      <x:c r="R282" t="n">
        <x:f>ROUND(INDEX(Catalogue!F$4:F$85,MATCH(A282,Catalogue!A$4:A$85,0))*(1+'Paramètres'!$B$4*(C282-1)+'Paramètres'!$B$5*(C282-1)^2),0)</x:f>
        <x:v>49</x:v>
      </x:c>
      <x:c r="S282" t="n">
        <x:f>L282-AVERAGE(Q282:R282)</x:f>
        <x:v>-0.5</x:v>
      </x:c>
      <x:c r="T282" t="str">
        <x:f>IF(M282=0,IF(AND(N282=0,O282=0,E282=0,F282=0),"OK","ERREUR"),IF(AND(M282&gt;=1,M282&lt;=32,OR(N282=4,N282=6,N282=8,N282=10,N282=12,N282=20),O282&gt;=0,E282=M282+O282,F282=M282*N282+O282),"OK","ERREUR"))</x:f>
        <x:v>OK</x:v>
      </x:c>
      <x:c r="U282" s="86" t="n">
        <x:f>IF(M282&gt;0,M282*(N282+1)/2+O282,0)</x:f>
        <x:v>40.5</x:v>
      </x:c>
      <x:c r="V282" t="str">
        <x:f>IF(ABS(L282-U282)&lt;0.001,"OK","ERREUR")</x:f>
        <x:v>OK</x:v>
      </x:c>
    </x:row>
    <x:row r="283" ht="18" customHeight="1">
      <x:c r="A283" t="str">
        <x:v>ARM014</x:v>
      </x:c>
      <x:c r="B283" t="str">
        <x:v>Épée droite</x:v>
      </x:c>
      <x:c r="C283" t="n">
        <x:v>20</x:v>
      </x:c>
      <x:c r="D283" t="str">
        <x:v>Une main</x:v>
      </x:c>
      <x:c r="E283" s="28" t="n">
        <x:f>IF(M283=0,0,M283+O283)</x:f>
        <x:v>35</x:v>
      </x:c>
      <x:c r="F283" s="28" t="n">
        <x:f>IF(M283=0,0,M283*N283+O283)</x:f>
        <x:v>53</x:v>
      </x:c>
      <x:c r="G283" s="28" t="n">
        <x:f>ROUND(Catalogue!G17*SQRT((1+'Paramètres'!$B$4*(C283-1)+'Paramètres'!$B$5*(C283-1)^2)),0)</x:f>
        <x:v>0</x:v>
      </x:c>
      <x:c r="H283" s="28" t="n">
        <x:f>ROUND(Catalogue!H17*SQRT((1+'Paramètres'!$B$4*(C283-1)+'Paramètres'!$B$5*(C283-1)^2)),0)</x:f>
        <x:v>0</x:v>
      </x:c>
      <x:c r="I283" s="28" t="n">
        <x:v>2</x:v>
      </x:c>
      <x:c r="J283" s="28" t="n">
        <x:v>1</x:v>
      </x:c>
      <x:c r="K283" s="30" t="n">
        <x:v>1.4</x:v>
      </x:c>
      <x:c r="L283" s="54" t="n">
        <x:f>IF(M283=0,0,(E283+F283)/2)</x:f>
        <x:v>44</x:v>
      </x:c>
      <x:c r="M283" t="n">
        <x:v>2</x:v>
      </x:c>
      <x:c r="N283" t="n">
        <x:v>10</x:v>
      </x:c>
      <x:c r="O283" t="n">
        <x:v>33</x:v>
      </x:c>
      <x:c r="P283" s="63" t="str">
        <x:f>IF(M283=0,"—",M283&amp;"d"&amp;N283&amp;IF(O283=0,""," + "&amp;O283))</x:f>
        <x:v>2d10 + 33</x:v>
      </x:c>
      <x:c r="Q283" t="n">
        <x:f>ROUND(INDEX(Catalogue!E$4:E$85,MATCH(A283,Catalogue!A$4:A$85,0))*(1+'Paramètres'!$B$4*(C283-1)+'Paramètres'!$B$5*(C283-1)^2),0)</x:f>
        <x:v>35</x:v>
      </x:c>
      <x:c r="R283" t="n">
        <x:f>ROUND(INDEX(Catalogue!F$4:F$85,MATCH(A283,Catalogue!A$4:A$85,0))*(1+'Paramètres'!$B$4*(C283-1)+'Paramètres'!$B$5*(C283-1)^2),0)</x:f>
        <x:v>53</x:v>
      </x:c>
      <x:c r="S283" t="n">
        <x:f>L283-AVERAGE(Q283:R283)</x:f>
        <x:v>0</x:v>
      </x:c>
      <x:c r="T283" t="str">
        <x:f>IF(M283=0,IF(AND(N283=0,O283=0,E283=0,F283=0),"OK","ERREUR"),IF(AND(M283&gt;=1,M283&lt;=32,OR(N283=4,N283=6,N283=8,N283=10,N283=12,N283=20),O283&gt;=0,E283=M283+O283,F283=M283*N283+O283),"OK","ERREUR"))</x:f>
        <x:v>OK</x:v>
      </x:c>
      <x:c r="U283" s="86" t="n">
        <x:f>IF(M283&gt;0,M283*(N283+1)/2+O283,0)</x:f>
        <x:v>44</x:v>
      </x:c>
      <x:c r="V283" t="str">
        <x:f>IF(ABS(L283-U283)&lt;0.001,"OK","ERREUR")</x:f>
        <x:v>OK</x:v>
      </x:c>
    </x:row>
    <x:row r="284" ht="18" customHeight="1">
      <x:c r="A284" t="str">
        <x:v>ARM015</x:v>
      </x:c>
      <x:c r="B284" t="str">
        <x:v>Épée longue</x:v>
      </x:c>
      <x:c r="C284" t="n">
        <x:v>1</x:v>
      </x:c>
      <x:c r="D284" t="str">
        <x:v>Une main</x:v>
      </x:c>
      <x:c r="E284" s="28" t="n">
        <x:f>IF(M284=0,0,M284+O284)</x:f>
        <x:v>4</x:v>
      </x:c>
      <x:c r="F284" s="28" t="n">
        <x:f>IF(M284=0,0,M284*N284+O284)</x:f>
        <x:v>7</x:v>
      </x:c>
      <x:c r="G284" s="28" t="n">
        <x:f>ROUND(Catalogue!G18*SQRT((1+'Paramètres'!$B$4*(C284-1)+'Paramètres'!$B$5*(C284-1)^2)),0)</x:f>
        <x:v>0</x:v>
      </x:c>
      <x:c r="H284" s="28" t="n">
        <x:f>ROUND(Catalogue!H18*SQRT((1+'Paramètres'!$B$4*(C284-1)+'Paramètres'!$B$5*(C284-1)^2)),0)</x:f>
        <x:v>0</x:v>
      </x:c>
      <x:c r="I284" s="28" t="n">
        <x:v>2</x:v>
      </x:c>
      <x:c r="J284" s="28" t="n">
        <x:v>1</x:v>
      </x:c>
      <x:c r="K284" s="30" t="n">
        <x:v>1.7</x:v>
      </x:c>
      <x:c r="L284" s="54" t="n">
        <x:f>IF(M284=0,0,(E284+F284)/2)</x:f>
        <x:v>5.5</x:v>
      </x:c>
      <x:c r="M284" t="n">
        <x:v>1</x:v>
      </x:c>
      <x:c r="N284" t="n">
        <x:v>4</x:v>
      </x:c>
      <x:c r="O284" t="n">
        <x:v>3</x:v>
      </x:c>
      <x:c r="P284" s="63" t="str">
        <x:f>IF(M284=0,"—",M284&amp;"d"&amp;N284&amp;IF(O284=0,""," + "&amp;O284))</x:f>
        <x:v>1d4 + 3</x:v>
      </x:c>
      <x:c r="Q284" t="n">
        <x:f>ROUND(INDEX(Catalogue!E$4:E$85,MATCH(A284,Catalogue!A$4:A$85,0))*(1+'Paramètres'!$B$4*(C284-1)+'Paramètres'!$B$5*(C284-1)^2),0)</x:f>
        <x:v>4</x:v>
      </x:c>
      <x:c r="R284" t="n">
        <x:f>ROUND(INDEX(Catalogue!F$4:F$85,MATCH(A284,Catalogue!A$4:A$85,0))*(1+'Paramètres'!$B$4*(C284-1)+'Paramètres'!$B$5*(C284-1)^2),0)</x:f>
        <x:v>7</x:v>
      </x:c>
      <x:c r="S284" t="n">
        <x:f>L284-AVERAGE(Q284:R284)</x:f>
        <x:v>0</x:v>
      </x:c>
      <x:c r="T284" t="str">
        <x:f>IF(M284=0,IF(AND(N284=0,O284=0,E284=0,F284=0),"OK","ERREUR"),IF(AND(M284&gt;=1,M284&lt;=32,OR(N284=4,N284=6,N284=8,N284=10,N284=12,N284=20),O284&gt;=0,E284=M284+O284,F284=M284*N284+O284),"OK","ERREUR"))</x:f>
        <x:v>OK</x:v>
      </x:c>
      <x:c r="U284" s="86" t="n">
        <x:f>IF(M284&gt;0,M284*(N284+1)/2+O284,0)</x:f>
        <x:v>5.5</x:v>
      </x:c>
      <x:c r="V284" t="str">
        <x:f>IF(ABS(L284-U284)&lt;0.001,"OK","ERREUR")</x:f>
        <x:v>OK</x:v>
      </x:c>
    </x:row>
    <x:row r="285" ht="18" customHeight="1">
      <x:c r="A285" t="str">
        <x:v>ARM015</x:v>
      </x:c>
      <x:c r="B285" t="str">
        <x:v>Épée longue</x:v>
      </x:c>
      <x:c r="C285" t="n">
        <x:v>2</x:v>
      </x:c>
      <x:c r="D285" t="str">
        <x:v>Une main</x:v>
      </x:c>
      <x:c r="E285" s="28" t="n">
        <x:f>IF(M285=0,0,M285+O285)</x:f>
        <x:v>5</x:v>
      </x:c>
      <x:c r="F285" s="28" t="n">
        <x:f>IF(M285=0,0,M285*N285+O285)</x:f>
        <x:v>8</x:v>
      </x:c>
      <x:c r="G285" s="28" t="n">
        <x:f>ROUND(Catalogue!G18*SQRT((1+'Paramètres'!$B$4*(C285-1)+'Paramètres'!$B$5*(C285-1)^2)),0)</x:f>
        <x:v>0</x:v>
      </x:c>
      <x:c r="H285" s="28" t="n">
        <x:f>ROUND(Catalogue!H18*SQRT((1+'Paramètres'!$B$4*(C285-1)+'Paramètres'!$B$5*(C285-1)^2)),0)</x:f>
        <x:v>0</x:v>
      </x:c>
      <x:c r="I285" s="28" t="n">
        <x:v>2</x:v>
      </x:c>
      <x:c r="J285" s="28" t="n">
        <x:v>1</x:v>
      </x:c>
      <x:c r="K285" s="30" t="n">
        <x:v>1.7</x:v>
      </x:c>
      <x:c r="L285" s="54" t="n">
        <x:f>IF(M285=0,0,(E285+F285)/2)</x:f>
        <x:v>6.5</x:v>
      </x:c>
      <x:c r="M285" t="n">
        <x:v>1</x:v>
      </x:c>
      <x:c r="N285" t="n">
        <x:v>4</x:v>
      </x:c>
      <x:c r="O285" t="n">
        <x:v>4</x:v>
      </x:c>
      <x:c r="P285" s="63" t="str">
        <x:f>IF(M285=0,"—",M285&amp;"d"&amp;N285&amp;IF(O285=0,""," + "&amp;O285))</x:f>
        <x:v>1d4 + 4</x:v>
      </x:c>
      <x:c r="Q285" t="n">
        <x:f>ROUND(INDEX(Catalogue!E$4:E$85,MATCH(A285,Catalogue!A$4:A$85,0))*(1+'Paramètres'!$B$4*(C285-1)+'Paramètres'!$B$5*(C285-1)^2),0)</x:f>
        <x:v>5</x:v>
      </x:c>
      <x:c r="R285" t="n">
        <x:f>ROUND(INDEX(Catalogue!F$4:F$85,MATCH(A285,Catalogue!A$4:A$85,0))*(1+'Paramètres'!$B$4*(C285-1)+'Paramètres'!$B$5*(C285-1)^2),0)</x:f>
        <x:v>8</x:v>
      </x:c>
      <x:c r="S285" t="n">
        <x:f>L285-AVERAGE(Q285:R285)</x:f>
        <x:v>0</x:v>
      </x:c>
      <x:c r="T285" t="str">
        <x:f>IF(M285=0,IF(AND(N285=0,O285=0,E285=0,F285=0),"OK","ERREUR"),IF(AND(M285&gt;=1,M285&lt;=32,OR(N285=4,N285=6,N285=8,N285=10,N285=12,N285=20),O285&gt;=0,E285=M285+O285,F285=M285*N285+O285),"OK","ERREUR"))</x:f>
        <x:v>OK</x:v>
      </x:c>
      <x:c r="U285" s="86" t="n">
        <x:f>IF(M285&gt;0,M285*(N285+1)/2+O285,0)</x:f>
        <x:v>6.5</x:v>
      </x:c>
      <x:c r="V285" t="str">
        <x:f>IF(ABS(L285-U285)&lt;0.001,"OK","ERREUR")</x:f>
        <x:v>OK</x:v>
      </x:c>
    </x:row>
    <x:row r="286" ht="18" customHeight="1">
      <x:c r="A286" t="str">
        <x:v>ARM015</x:v>
      </x:c>
      <x:c r="B286" t="str">
        <x:v>Épée longue</x:v>
      </x:c>
      <x:c r="C286" t="n">
        <x:v>3</x:v>
      </x:c>
      <x:c r="D286" t="str">
        <x:v>Une main</x:v>
      </x:c>
      <x:c r="E286" s="28" t="n">
        <x:f>IF(M286=0,0,M286+O286)</x:f>
        <x:v>5</x:v>
      </x:c>
      <x:c r="F286" s="28" t="n">
        <x:f>IF(M286=0,0,M286*N286+O286)</x:f>
        <x:v>8</x:v>
      </x:c>
      <x:c r="G286" s="28" t="n">
        <x:f>ROUND(Catalogue!G18*SQRT((1+'Paramètres'!$B$4*(C286-1)+'Paramètres'!$B$5*(C286-1)^2)),0)</x:f>
        <x:v>0</x:v>
      </x:c>
      <x:c r="H286" s="28" t="n">
        <x:f>ROUND(Catalogue!H18*SQRT((1+'Paramètres'!$B$4*(C286-1)+'Paramètres'!$B$5*(C286-1)^2)),0)</x:f>
        <x:v>0</x:v>
      </x:c>
      <x:c r="I286" s="28" t="n">
        <x:v>2</x:v>
      </x:c>
      <x:c r="J286" s="28" t="n">
        <x:v>1</x:v>
      </x:c>
      <x:c r="K286" s="30" t="n">
        <x:v>1.7</x:v>
      </x:c>
      <x:c r="L286" s="54" t="n">
        <x:f>IF(M286=0,0,(E286+F286)/2)</x:f>
        <x:v>6.5</x:v>
      </x:c>
      <x:c r="M286" t="n">
        <x:v>1</x:v>
      </x:c>
      <x:c r="N286" t="n">
        <x:v>4</x:v>
      </x:c>
      <x:c r="O286" t="n">
        <x:v>4</x:v>
      </x:c>
      <x:c r="P286" s="63" t="str">
        <x:f>IF(M286=0,"—",M286&amp;"d"&amp;N286&amp;IF(O286=0,""," + "&amp;O286))</x:f>
        <x:v>1d4 + 4</x:v>
      </x:c>
      <x:c r="Q286" t="n">
        <x:f>ROUND(INDEX(Catalogue!E$4:E$85,MATCH(A286,Catalogue!A$4:A$85,0))*(1+'Paramètres'!$B$4*(C286-1)+'Paramètres'!$B$5*(C286-1)^2),0)</x:f>
        <x:v>5</x:v>
      </x:c>
      <x:c r="R286" t="n">
        <x:f>ROUND(INDEX(Catalogue!F$4:F$85,MATCH(A286,Catalogue!A$4:A$85,0))*(1+'Paramètres'!$B$4*(C286-1)+'Paramètres'!$B$5*(C286-1)^2),0)</x:f>
        <x:v>9</x:v>
      </x:c>
      <x:c r="S286" t="n">
        <x:f>L286-AVERAGE(Q286:R286)</x:f>
        <x:v>-0.5</x:v>
      </x:c>
      <x:c r="T286" t="str">
        <x:f>IF(M286=0,IF(AND(N286=0,O286=0,E286=0,F286=0),"OK","ERREUR"),IF(AND(M286&gt;=1,M286&lt;=32,OR(N286=4,N286=6,N286=8,N286=10,N286=12,N286=20),O286&gt;=0,E286=M286+O286,F286=M286*N286+O286),"OK","ERREUR"))</x:f>
        <x:v>OK</x:v>
      </x:c>
      <x:c r="U286" s="86" t="n">
        <x:f>IF(M286&gt;0,M286*(N286+1)/2+O286,0)</x:f>
        <x:v>6.5</x:v>
      </x:c>
      <x:c r="V286" t="str">
        <x:f>IF(ABS(L286-U286)&lt;0.001,"OK","ERREUR")</x:f>
        <x:v>OK</x:v>
      </x:c>
    </x:row>
    <x:row r="287" ht="18" customHeight="1">
      <x:c r="A287" t="str">
        <x:v>ARM015</x:v>
      </x:c>
      <x:c r="B287" t="str">
        <x:v>Épée longue</x:v>
      </x:c>
      <x:c r="C287" t="n">
        <x:v>4</x:v>
      </x:c>
      <x:c r="D287" t="str">
        <x:v>Une main</x:v>
      </x:c>
      <x:c r="E287" s="28" t="n">
        <x:f>IF(M287=0,0,M287+O287)</x:f>
        <x:v>6</x:v>
      </x:c>
      <x:c r="F287" s="28" t="n">
        <x:f>IF(M287=0,0,M287*N287+O287)</x:f>
        <x:v>9</x:v>
      </x:c>
      <x:c r="G287" s="28" t="n">
        <x:f>ROUND(Catalogue!G18*SQRT((1+'Paramètres'!$B$4*(C287-1)+'Paramètres'!$B$5*(C287-1)^2)),0)</x:f>
        <x:v>0</x:v>
      </x:c>
      <x:c r="H287" s="28" t="n">
        <x:f>ROUND(Catalogue!H18*SQRT((1+'Paramètres'!$B$4*(C287-1)+'Paramètres'!$B$5*(C287-1)^2)),0)</x:f>
        <x:v>0</x:v>
      </x:c>
      <x:c r="I287" s="28" t="n">
        <x:v>2</x:v>
      </x:c>
      <x:c r="J287" s="28" t="n">
        <x:v>1</x:v>
      </x:c>
      <x:c r="K287" s="30" t="n">
        <x:v>1.7</x:v>
      </x:c>
      <x:c r="L287" s="54" t="n">
        <x:f>IF(M287=0,0,(E287+F287)/2)</x:f>
        <x:v>7.5</x:v>
      </x:c>
      <x:c r="M287" t="n">
        <x:v>1</x:v>
      </x:c>
      <x:c r="N287" t="n">
        <x:v>4</x:v>
      </x:c>
      <x:c r="O287" t="n">
        <x:v>5</x:v>
      </x:c>
      <x:c r="P287" s="63" t="str">
        <x:f>IF(M287=0,"—",M287&amp;"d"&amp;N287&amp;IF(O287=0,""," + "&amp;O287))</x:f>
        <x:v>1d4 + 5</x:v>
      </x:c>
      <x:c r="Q287" t="n">
        <x:f>ROUND(INDEX(Catalogue!E$4:E$85,MATCH(A287,Catalogue!A$4:A$85,0))*(1+'Paramètres'!$B$4*(C287-1)+'Paramètres'!$B$5*(C287-1)^2),0)</x:f>
        <x:v>6</x:v>
      </x:c>
      <x:c r="R287" t="n">
        <x:f>ROUND(INDEX(Catalogue!F$4:F$85,MATCH(A287,Catalogue!A$4:A$85,0))*(1+'Paramètres'!$B$4*(C287-1)+'Paramètres'!$B$5*(C287-1)^2),0)</x:f>
        <x:v>10</x:v>
      </x:c>
      <x:c r="S287" t="n">
        <x:f>L287-AVERAGE(Q287:R287)</x:f>
        <x:v>-0.5</x:v>
      </x:c>
      <x:c r="T287" t="str">
        <x:f>IF(M287=0,IF(AND(N287=0,O287=0,E287=0,F287=0),"OK","ERREUR"),IF(AND(M287&gt;=1,M287&lt;=32,OR(N287=4,N287=6,N287=8,N287=10,N287=12,N287=20),O287&gt;=0,E287=M287+O287,F287=M287*N287+O287),"OK","ERREUR"))</x:f>
        <x:v>OK</x:v>
      </x:c>
      <x:c r="U287" s="86" t="n">
        <x:f>IF(M287&gt;0,M287*(N287+1)/2+O287,0)</x:f>
        <x:v>7.5</x:v>
      </x:c>
      <x:c r="V287" t="str">
        <x:f>IF(ABS(L287-U287)&lt;0.001,"OK","ERREUR")</x:f>
        <x:v>OK</x:v>
      </x:c>
    </x:row>
    <x:row r="288" ht="18" customHeight="1">
      <x:c r="A288" t="str">
        <x:v>ARM015</x:v>
      </x:c>
      <x:c r="B288" t="str">
        <x:v>Épée longue</x:v>
      </x:c>
      <x:c r="C288" t="n">
        <x:v>5</x:v>
      </x:c>
      <x:c r="D288" t="str">
        <x:v>Une main</x:v>
      </x:c>
      <x:c r="E288" s="28" t="n">
        <x:f>IF(M288=0,0,M288+O288)</x:f>
        <x:v>7</x:v>
      </x:c>
      <x:c r="F288" s="28" t="n">
        <x:f>IF(M288=0,0,M288*N288+O288)</x:f>
        <x:v>12</x:v>
      </x:c>
      <x:c r="G288" s="28" t="n">
        <x:f>ROUND(Catalogue!G18*SQRT((1+'Paramètres'!$B$4*(C288-1)+'Paramètres'!$B$5*(C288-1)^2)),0)</x:f>
        <x:v>0</x:v>
      </x:c>
      <x:c r="H288" s="28" t="n">
        <x:f>ROUND(Catalogue!H18*SQRT((1+'Paramètres'!$B$4*(C288-1)+'Paramètres'!$B$5*(C288-1)^2)),0)</x:f>
        <x:v>0</x:v>
      </x:c>
      <x:c r="I288" s="28" t="n">
        <x:v>2</x:v>
      </x:c>
      <x:c r="J288" s="28" t="n">
        <x:v>1</x:v>
      </x:c>
      <x:c r="K288" s="30" t="n">
        <x:v>1.7</x:v>
      </x:c>
      <x:c r="L288" s="54" t="n">
        <x:f>IF(M288=0,0,(E288+F288)/2)</x:f>
        <x:v>9.5</x:v>
      </x:c>
      <x:c r="M288" t="n">
        <x:v>1</x:v>
      </x:c>
      <x:c r="N288" t="n">
        <x:v>6</x:v>
      </x:c>
      <x:c r="O288" t="n">
        <x:v>6</x:v>
      </x:c>
      <x:c r="P288" s="63" t="str">
        <x:f>IF(M288=0,"—",M288&amp;"d"&amp;N288&amp;IF(O288=0,""," + "&amp;O288))</x:f>
        <x:v>1d6 + 6</x:v>
      </x:c>
      <x:c r="Q288" t="n">
        <x:f>ROUND(INDEX(Catalogue!E$4:E$85,MATCH(A288,Catalogue!A$4:A$85,0))*(1+'Paramètres'!$B$4*(C288-1)+'Paramètres'!$B$5*(C288-1)^2),0)</x:f>
        <x:v>7</x:v>
      </x:c>
      <x:c r="R288" t="n">
        <x:f>ROUND(INDEX(Catalogue!F$4:F$85,MATCH(A288,Catalogue!A$4:A$85,0))*(1+'Paramètres'!$B$4*(C288-1)+'Paramètres'!$B$5*(C288-1)^2),0)</x:f>
        <x:v>12</x:v>
      </x:c>
      <x:c r="S288" t="n">
        <x:f>L288-AVERAGE(Q288:R288)</x:f>
        <x:v>0</x:v>
      </x:c>
      <x:c r="T288" t="str">
        <x:f>IF(M288=0,IF(AND(N288=0,O288=0,E288=0,F288=0),"OK","ERREUR"),IF(AND(M288&gt;=1,M288&lt;=32,OR(N288=4,N288=6,N288=8,N288=10,N288=12,N288=20),O288&gt;=0,E288=M288+O288,F288=M288*N288+O288),"OK","ERREUR"))</x:f>
        <x:v>OK</x:v>
      </x:c>
      <x:c r="U288" s="86" t="n">
        <x:f>IF(M288&gt;0,M288*(N288+1)/2+O288,0)</x:f>
        <x:v>9.5</x:v>
      </x:c>
      <x:c r="V288" t="str">
        <x:f>IF(ABS(L288-U288)&lt;0.001,"OK","ERREUR")</x:f>
        <x:v>OK</x:v>
      </x:c>
    </x:row>
    <x:row r="289" ht="18" customHeight="1">
      <x:c r="A289" t="str">
        <x:v>ARM015</x:v>
      </x:c>
      <x:c r="B289" t="str">
        <x:v>Épée longue</x:v>
      </x:c>
      <x:c r="C289" t="n">
        <x:v>6</x:v>
      </x:c>
      <x:c r="D289" t="str">
        <x:v>Une main</x:v>
      </x:c>
      <x:c r="E289" s="28" t="n">
        <x:f>IF(M289=0,0,M289+O289)</x:f>
        <x:v>8</x:v>
      </x:c>
      <x:c r="F289" s="28" t="n">
        <x:f>IF(M289=0,0,M289*N289+O289)</x:f>
        <x:v>14</x:v>
      </x:c>
      <x:c r="G289" s="28" t="n">
        <x:f>ROUND(Catalogue!G18*SQRT((1+'Paramètres'!$B$4*(C289-1)+'Paramètres'!$B$5*(C289-1)^2)),0)</x:f>
        <x:v>0</x:v>
      </x:c>
      <x:c r="H289" s="28" t="n">
        <x:f>ROUND(Catalogue!H18*SQRT((1+'Paramètres'!$B$4*(C289-1)+'Paramètres'!$B$5*(C289-1)^2)),0)</x:f>
        <x:v>0</x:v>
      </x:c>
      <x:c r="I289" s="28" t="n">
        <x:v>2</x:v>
      </x:c>
      <x:c r="J289" s="28" t="n">
        <x:v>1</x:v>
      </x:c>
      <x:c r="K289" s="30" t="n">
        <x:v>1.7</x:v>
      </x:c>
      <x:c r="L289" s="54" t="n">
        <x:f>IF(M289=0,0,(E289+F289)/2)</x:f>
        <x:v>11</x:v>
      </x:c>
      <x:c r="M289" t="n">
        <x:v>2</x:v>
      </x:c>
      <x:c r="N289" t="n">
        <x:v>4</x:v>
      </x:c>
      <x:c r="O289" t="n">
        <x:v>6</x:v>
      </x:c>
      <x:c r="P289" s="63" t="str">
        <x:f>IF(M289=0,"—",M289&amp;"d"&amp;N289&amp;IF(O289=0,""," + "&amp;O289))</x:f>
        <x:v>2d4 + 6</x:v>
      </x:c>
      <x:c r="Q289" t="n">
        <x:f>ROUND(INDEX(Catalogue!E$4:E$85,MATCH(A289,Catalogue!A$4:A$85,0))*(1+'Paramètres'!$B$4*(C289-1)+'Paramètres'!$B$5*(C289-1)^2),0)</x:f>
        <x:v>8</x:v>
      </x:c>
      <x:c r="R289" t="n">
        <x:f>ROUND(INDEX(Catalogue!F$4:F$85,MATCH(A289,Catalogue!A$4:A$85,0))*(1+'Paramètres'!$B$4*(C289-1)+'Paramètres'!$B$5*(C289-1)^2),0)</x:f>
        <x:v>14</x:v>
      </x:c>
      <x:c r="S289" t="n">
        <x:f>L289-AVERAGE(Q289:R289)</x:f>
        <x:v>0</x:v>
      </x:c>
      <x:c r="T289" t="str">
        <x:f>IF(M289=0,IF(AND(N289=0,O289=0,E289=0,F289=0),"OK","ERREUR"),IF(AND(M289&gt;=1,M289&lt;=32,OR(N289=4,N289=6,N289=8,N289=10,N289=12,N289=20),O289&gt;=0,E289=M289+O289,F289=M289*N289+O289),"OK","ERREUR"))</x:f>
        <x:v>OK</x:v>
      </x:c>
      <x:c r="U289" s="86" t="n">
        <x:f>IF(M289&gt;0,M289*(N289+1)/2+O289,0)</x:f>
        <x:v>11</x:v>
      </x:c>
      <x:c r="V289" t="str">
        <x:f>IF(ABS(L289-U289)&lt;0.001,"OK","ERREUR")</x:f>
        <x:v>OK</x:v>
      </x:c>
    </x:row>
    <x:row r="290" ht="18" customHeight="1">
      <x:c r="A290" t="str">
        <x:v>ARM015</x:v>
      </x:c>
      <x:c r="B290" t="str">
        <x:v>Épée longue</x:v>
      </x:c>
      <x:c r="C290" t="n">
        <x:v>7</x:v>
      </x:c>
      <x:c r="D290" t="str">
        <x:v>Une main</x:v>
      </x:c>
      <x:c r="E290" s="28" t="n">
        <x:f>IF(M290=0,0,M290+O290)</x:f>
        <x:v>9</x:v>
      </x:c>
      <x:c r="F290" s="28" t="n">
        <x:f>IF(M290=0,0,M290*N290+O290)</x:f>
        <x:v>16</x:v>
      </x:c>
      <x:c r="G290" s="28" t="n">
        <x:f>ROUND(Catalogue!G18*SQRT((1+'Paramètres'!$B$4*(C290-1)+'Paramètres'!$B$5*(C290-1)^2)),0)</x:f>
        <x:v>0</x:v>
      </x:c>
      <x:c r="H290" s="28" t="n">
        <x:f>ROUND(Catalogue!H18*SQRT((1+'Paramètres'!$B$4*(C290-1)+'Paramètres'!$B$5*(C290-1)^2)),0)</x:f>
        <x:v>0</x:v>
      </x:c>
      <x:c r="I290" s="28" t="n">
        <x:v>2</x:v>
      </x:c>
      <x:c r="J290" s="28" t="n">
        <x:v>1</x:v>
      </x:c>
      <x:c r="K290" s="30" t="n">
        <x:v>1.7</x:v>
      </x:c>
      <x:c r="L290" s="54" t="n">
        <x:f>IF(M290=0,0,(E290+F290)/2)</x:f>
        <x:v>12.5</x:v>
      </x:c>
      <x:c r="M290" t="n">
        <x:v>1</x:v>
      </x:c>
      <x:c r="N290" t="n">
        <x:v>8</x:v>
      </x:c>
      <x:c r="O290" t="n">
        <x:v>8</x:v>
      </x:c>
      <x:c r="P290" s="63" t="str">
        <x:f>IF(M290=0,"—",M290&amp;"d"&amp;N290&amp;IF(O290=0,""," + "&amp;O290))</x:f>
        <x:v>1d8 + 8</x:v>
      </x:c>
      <x:c r="Q290" t="n">
        <x:f>ROUND(INDEX(Catalogue!E$4:E$85,MATCH(A290,Catalogue!A$4:A$85,0))*(1+'Paramètres'!$B$4*(C290-1)+'Paramètres'!$B$5*(C290-1)^2),0)</x:f>
        <x:v>9</x:v>
      </x:c>
      <x:c r="R290" t="n">
        <x:f>ROUND(INDEX(Catalogue!F$4:F$85,MATCH(A290,Catalogue!A$4:A$85,0))*(1+'Paramètres'!$B$4*(C290-1)+'Paramètres'!$B$5*(C290-1)^2),0)</x:f>
        <x:v>16</x:v>
      </x:c>
      <x:c r="S290" t="n">
        <x:f>L290-AVERAGE(Q290:R290)</x:f>
        <x:v>0</x:v>
      </x:c>
      <x:c r="T290" t="str">
        <x:f>IF(M290=0,IF(AND(N290=0,O290=0,E290=0,F290=0),"OK","ERREUR"),IF(AND(M290&gt;=1,M290&lt;=32,OR(N290=4,N290=6,N290=8,N290=10,N290=12,N290=20),O290&gt;=0,E290=M290+O290,F290=M290*N290+O290),"OK","ERREUR"))</x:f>
        <x:v>OK</x:v>
      </x:c>
      <x:c r="U290" s="86" t="n">
        <x:f>IF(M290&gt;0,M290*(N290+1)/2+O290,0)</x:f>
        <x:v>12.5</x:v>
      </x:c>
      <x:c r="V290" t="str">
        <x:f>IF(ABS(L290-U290)&lt;0.001,"OK","ERREUR")</x:f>
        <x:v>OK</x:v>
      </x:c>
    </x:row>
    <x:row r="291" ht="18" customHeight="1">
      <x:c r="A291" t="str">
        <x:v>ARM015</x:v>
      </x:c>
      <x:c r="B291" t="str">
        <x:v>Épée longue</x:v>
      </x:c>
      <x:c r="C291" t="n">
        <x:v>8</x:v>
      </x:c>
      <x:c r="D291" t="str">
        <x:v>Une main</x:v>
      </x:c>
      <x:c r="E291" s="28" t="n">
        <x:f>IF(M291=0,0,M291+O291)</x:f>
        <x:v>9</x:v>
      </x:c>
      <x:c r="F291" s="28" t="n">
        <x:f>IF(M291=0,0,M291*N291+O291)</x:f>
        <x:v>18</x:v>
      </x:c>
      <x:c r="G291" s="28" t="n">
        <x:f>ROUND(Catalogue!G18*SQRT((1+'Paramètres'!$B$4*(C291-1)+'Paramètres'!$B$5*(C291-1)^2)),0)</x:f>
        <x:v>0</x:v>
      </x:c>
      <x:c r="H291" s="28" t="n">
        <x:f>ROUND(Catalogue!H18*SQRT((1+'Paramètres'!$B$4*(C291-1)+'Paramètres'!$B$5*(C291-1)^2)),0)</x:f>
        <x:v>0</x:v>
      </x:c>
      <x:c r="I291" s="28" t="n">
        <x:v>2</x:v>
      </x:c>
      <x:c r="J291" s="28" t="n">
        <x:v>1</x:v>
      </x:c>
      <x:c r="K291" s="30" t="n">
        <x:v>1.7</x:v>
      </x:c>
      <x:c r="L291" s="54" t="n">
        <x:f>IF(M291=0,0,(E291+F291)/2)</x:f>
        <x:v>13.5</x:v>
      </x:c>
      <x:c r="M291" t="n">
        <x:v>3</x:v>
      </x:c>
      <x:c r="N291" t="n">
        <x:v>4</x:v>
      </x:c>
      <x:c r="O291" t="n">
        <x:v>6</x:v>
      </x:c>
      <x:c r="P291" s="63" t="str">
        <x:f>IF(M291=0,"—",M291&amp;"d"&amp;N291&amp;IF(O291=0,""," + "&amp;O291))</x:f>
        <x:v>3d4 + 6</x:v>
      </x:c>
      <x:c r="Q291" t="n">
        <x:f>ROUND(INDEX(Catalogue!E$4:E$85,MATCH(A291,Catalogue!A$4:A$85,0))*(1+'Paramètres'!$B$4*(C291-1)+'Paramètres'!$B$5*(C291-1)^2),0)</x:f>
        <x:v>10</x:v>
      </x:c>
      <x:c r="R291" t="n">
        <x:f>ROUND(INDEX(Catalogue!F$4:F$85,MATCH(A291,Catalogue!A$4:A$85,0))*(1+'Paramètres'!$B$4*(C291-1)+'Paramètres'!$B$5*(C291-1)^2),0)</x:f>
        <x:v>18</x:v>
      </x:c>
      <x:c r="S291" t="n">
        <x:f>L291-AVERAGE(Q291:R291)</x:f>
        <x:v>-0.5</x:v>
      </x:c>
      <x:c r="T291" t="str">
        <x:f>IF(M291=0,IF(AND(N291=0,O291=0,E291=0,F291=0),"OK","ERREUR"),IF(AND(M291&gt;=1,M291&lt;=32,OR(N291=4,N291=6,N291=8,N291=10,N291=12,N291=20),O291&gt;=0,E291=M291+O291,F291=M291*N291+O291),"OK","ERREUR"))</x:f>
        <x:v>OK</x:v>
      </x:c>
      <x:c r="U291" s="86" t="n">
        <x:f>IF(M291&gt;0,M291*(N291+1)/2+O291,0)</x:f>
        <x:v>13.5</x:v>
      </x:c>
      <x:c r="V291" t="str">
        <x:f>IF(ABS(L291-U291)&lt;0.001,"OK","ERREUR")</x:f>
        <x:v>OK</x:v>
      </x:c>
    </x:row>
    <x:row r="292" ht="18" customHeight="1">
      <x:c r="A292" t="str">
        <x:v>ARM015</x:v>
      </x:c>
      <x:c r="B292" t="str">
        <x:v>Épée longue</x:v>
      </x:c>
      <x:c r="C292" t="n">
        <x:v>9</x:v>
      </x:c>
      <x:c r="D292" t="str">
        <x:v>Une main</x:v>
      </x:c>
      <x:c r="E292" s="28" t="n">
        <x:f>IF(M292=0,0,M292+O292)</x:f>
        <x:v>11</x:v>
      </x:c>
      <x:c r="F292" s="28" t="n">
        <x:f>IF(M292=0,0,M292*N292+O292)</x:f>
        <x:v>20</x:v>
      </x:c>
      <x:c r="G292" s="28" t="n">
        <x:f>ROUND(Catalogue!G18*SQRT((1+'Paramètres'!$B$4*(C292-1)+'Paramètres'!$B$5*(C292-1)^2)),0)</x:f>
        <x:v>0</x:v>
      </x:c>
      <x:c r="H292" s="28" t="n">
        <x:f>ROUND(Catalogue!H18*SQRT((1+'Paramètres'!$B$4*(C292-1)+'Paramètres'!$B$5*(C292-1)^2)),0)</x:f>
        <x:v>0</x:v>
      </x:c>
      <x:c r="I292" s="28" t="n">
        <x:v>2</x:v>
      </x:c>
      <x:c r="J292" s="28" t="n">
        <x:v>1</x:v>
      </x:c>
      <x:c r="K292" s="30" t="n">
        <x:v>1.7</x:v>
      </x:c>
      <x:c r="L292" s="54" t="n">
        <x:f>IF(M292=0,0,(E292+F292)/2)</x:f>
        <x:v>15.5</x:v>
      </x:c>
      <x:c r="M292" t="n">
        <x:v>3</x:v>
      </x:c>
      <x:c r="N292" t="n">
        <x:v>4</x:v>
      </x:c>
      <x:c r="O292" t="n">
        <x:v>8</x:v>
      </x:c>
      <x:c r="P292" s="63" t="str">
        <x:f>IF(M292=0,"—",M292&amp;"d"&amp;N292&amp;IF(O292=0,""," + "&amp;O292))</x:f>
        <x:v>3d4 + 8</x:v>
      </x:c>
      <x:c r="Q292" t="n">
        <x:f>ROUND(INDEX(Catalogue!E$4:E$85,MATCH(A292,Catalogue!A$4:A$85,0))*(1+'Paramètres'!$B$4*(C292-1)+'Paramètres'!$B$5*(C292-1)^2),0)</x:f>
        <x:v>12</x:v>
      </x:c>
      <x:c r="R292" t="n">
        <x:f>ROUND(INDEX(Catalogue!F$4:F$85,MATCH(A292,Catalogue!A$4:A$85,0))*(1+'Paramètres'!$B$4*(C292-1)+'Paramètres'!$B$5*(C292-1)^2),0)</x:f>
        <x:v>20</x:v>
      </x:c>
      <x:c r="S292" t="n">
        <x:f>L292-AVERAGE(Q292:R292)</x:f>
        <x:v>-0.5</x:v>
      </x:c>
      <x:c r="T292" t="str">
        <x:f>IF(M292=0,IF(AND(N292=0,O292=0,E292=0,F292=0),"OK","ERREUR"),IF(AND(M292&gt;=1,M292&lt;=32,OR(N292=4,N292=6,N292=8,N292=10,N292=12,N292=20),O292&gt;=0,E292=M292+O292,F292=M292*N292+O292),"OK","ERREUR"))</x:f>
        <x:v>OK</x:v>
      </x:c>
      <x:c r="U292" s="86" t="n">
        <x:f>IF(M292&gt;0,M292*(N292+1)/2+O292,0)</x:f>
        <x:v>15.5</x:v>
      </x:c>
      <x:c r="V292" t="str">
        <x:f>IF(ABS(L292-U292)&lt;0.001,"OK","ERREUR")</x:f>
        <x:v>OK</x:v>
      </x:c>
    </x:row>
    <x:row r="293" ht="18" customHeight="1">
      <x:c r="A293" t="str">
        <x:v>ARM015</x:v>
      </x:c>
      <x:c r="B293" t="str">
        <x:v>Épée longue</x:v>
      </x:c>
      <x:c r="C293" t="n">
        <x:v>10</x:v>
      </x:c>
      <x:c r="D293" t="str">
        <x:v>Une main</x:v>
      </x:c>
      <x:c r="E293" s="28" t="n">
        <x:f>IF(M293=0,0,M293+O293)</x:f>
        <x:v>13</x:v>
      </x:c>
      <x:c r="F293" s="28" t="n">
        <x:f>IF(M293=0,0,M293*N293+O293)</x:f>
        <x:v>23</x:v>
      </x:c>
      <x:c r="G293" s="28" t="n">
        <x:f>ROUND(Catalogue!G18*SQRT((1+'Paramètres'!$B$4*(C293-1)+'Paramètres'!$B$5*(C293-1)^2)),0)</x:f>
        <x:v>0</x:v>
      </x:c>
      <x:c r="H293" s="28" t="n">
        <x:f>ROUND(Catalogue!H18*SQRT((1+'Paramètres'!$B$4*(C293-1)+'Paramètres'!$B$5*(C293-1)^2)),0)</x:f>
        <x:v>0</x:v>
      </x:c>
      <x:c r="I293" s="28" t="n">
        <x:v>2</x:v>
      </x:c>
      <x:c r="J293" s="28" t="n">
        <x:v>1</x:v>
      </x:c>
      <x:c r="K293" s="30" t="n">
        <x:v>1.7</x:v>
      </x:c>
      <x:c r="L293" s="54" t="n">
        <x:f>IF(M293=0,0,(E293+F293)/2)</x:f>
        <x:v>18</x:v>
      </x:c>
      <x:c r="M293" t="n">
        <x:v>2</x:v>
      </x:c>
      <x:c r="N293" t="n">
        <x:v>6</x:v>
      </x:c>
      <x:c r="O293" t="n">
        <x:v>11</x:v>
      </x:c>
      <x:c r="P293" s="63" t="str">
        <x:f>IF(M293=0,"—",M293&amp;"d"&amp;N293&amp;IF(O293=0,""," + "&amp;O293))</x:f>
        <x:v>2d6 + 11</x:v>
      </x:c>
      <x:c r="Q293" t="n">
        <x:f>ROUND(INDEX(Catalogue!E$4:E$85,MATCH(A293,Catalogue!A$4:A$85,0))*(1+'Paramètres'!$B$4*(C293-1)+'Paramètres'!$B$5*(C293-1)^2),0)</x:f>
        <x:v>13</x:v>
      </x:c>
      <x:c r="R293" t="n">
        <x:f>ROUND(INDEX(Catalogue!F$4:F$85,MATCH(A293,Catalogue!A$4:A$85,0))*(1+'Paramètres'!$B$4*(C293-1)+'Paramètres'!$B$5*(C293-1)^2),0)</x:f>
        <x:v>23</x:v>
      </x:c>
      <x:c r="S293" t="n">
        <x:f>L293-AVERAGE(Q293:R293)</x:f>
        <x:v>0</x:v>
      </x:c>
      <x:c r="T293" t="str">
        <x:f>IF(M293=0,IF(AND(N293=0,O293=0,E293=0,F293=0),"OK","ERREUR"),IF(AND(M293&gt;=1,M293&lt;=32,OR(N293=4,N293=6,N293=8,N293=10,N293=12,N293=20),O293&gt;=0,E293=M293+O293,F293=M293*N293+O293),"OK","ERREUR"))</x:f>
        <x:v>OK</x:v>
      </x:c>
      <x:c r="U293" s="86" t="n">
        <x:f>IF(M293&gt;0,M293*(N293+1)/2+O293,0)</x:f>
        <x:v>18</x:v>
      </x:c>
      <x:c r="V293" t="str">
        <x:f>IF(ABS(L293-U293)&lt;0.001,"OK","ERREUR")</x:f>
        <x:v>OK</x:v>
      </x:c>
    </x:row>
    <x:row r="294" ht="18" customHeight="1">
      <x:c r="A294" t="str">
        <x:v>ARM015</x:v>
      </x:c>
      <x:c r="B294" t="str">
        <x:v>Épée longue</x:v>
      </x:c>
      <x:c r="C294" t="n">
        <x:v>11</x:v>
      </x:c>
      <x:c r="D294" t="str">
        <x:v>Une main</x:v>
      </x:c>
      <x:c r="E294" s="28" t="n">
        <x:f>IF(M294=0,0,M294+O294)</x:f>
        <x:v>15</x:v>
      </x:c>
      <x:c r="F294" s="28" t="n">
        <x:f>IF(M294=0,0,M294*N294+O294)</x:f>
        <x:v>26</x:v>
      </x:c>
      <x:c r="G294" s="28" t="n">
        <x:f>ROUND(Catalogue!G18*SQRT((1+'Paramètres'!$B$4*(C294-1)+'Paramètres'!$B$5*(C294-1)^2)),0)</x:f>
        <x:v>0</x:v>
      </x:c>
      <x:c r="H294" s="28" t="n">
        <x:f>ROUND(Catalogue!H18*SQRT((1+'Paramètres'!$B$4*(C294-1)+'Paramètres'!$B$5*(C294-1)^2)),0)</x:f>
        <x:v>0</x:v>
      </x:c>
      <x:c r="I294" s="28" t="n">
        <x:v>2</x:v>
      </x:c>
      <x:c r="J294" s="28" t="n">
        <x:v>1</x:v>
      </x:c>
      <x:c r="K294" s="30" t="n">
        <x:v>1.7</x:v>
      </x:c>
      <x:c r="L294" s="54" t="n">
        <x:f>IF(M294=0,0,(E294+F294)/2)</x:f>
        <x:v>20.5</x:v>
      </x:c>
      <x:c r="M294" t="n">
        <x:v>1</x:v>
      </x:c>
      <x:c r="N294" t="n">
        <x:v>12</x:v>
      </x:c>
      <x:c r="O294" t="n">
        <x:v>14</x:v>
      </x:c>
      <x:c r="P294" s="63" t="str">
        <x:f>IF(M294=0,"—",M294&amp;"d"&amp;N294&amp;IF(O294=0,""," + "&amp;O294))</x:f>
        <x:v>1d12 + 14</x:v>
      </x:c>
      <x:c r="Q294" t="n">
        <x:f>ROUND(INDEX(Catalogue!E$4:E$85,MATCH(A294,Catalogue!A$4:A$85,0))*(1+'Paramètres'!$B$4*(C294-1)+'Paramètres'!$B$5*(C294-1)^2),0)</x:f>
        <x:v>15</x:v>
      </x:c>
      <x:c r="R294" t="n">
        <x:f>ROUND(INDEX(Catalogue!F$4:F$85,MATCH(A294,Catalogue!A$4:A$85,0))*(1+'Paramètres'!$B$4*(C294-1)+'Paramètres'!$B$5*(C294-1)^2),0)</x:f>
        <x:v>26</x:v>
      </x:c>
      <x:c r="S294" t="n">
        <x:f>L294-AVERAGE(Q294:R294)</x:f>
        <x:v>0</x:v>
      </x:c>
      <x:c r="T294" t="str">
        <x:f>IF(M294=0,IF(AND(N294=0,O294=0,E294=0,F294=0),"OK","ERREUR"),IF(AND(M294&gt;=1,M294&lt;=32,OR(N294=4,N294=6,N294=8,N294=10,N294=12,N294=20),O294&gt;=0,E294=M294+O294,F294=M294*N294+O294),"OK","ERREUR"))</x:f>
        <x:v>OK</x:v>
      </x:c>
      <x:c r="U294" s="86" t="n">
        <x:f>IF(M294&gt;0,M294*(N294+1)/2+O294,0)</x:f>
        <x:v>20.5</x:v>
      </x:c>
      <x:c r="V294" t="str">
        <x:f>IF(ABS(L294-U294)&lt;0.001,"OK","ERREUR")</x:f>
        <x:v>OK</x:v>
      </x:c>
    </x:row>
    <x:row r="295" ht="18" customHeight="1">
      <x:c r="A295" t="str">
        <x:v>ARM015</x:v>
      </x:c>
      <x:c r="B295" t="str">
        <x:v>Épée longue</x:v>
      </x:c>
      <x:c r="C295" t="n">
        <x:v>12</x:v>
      </x:c>
      <x:c r="D295" t="str">
        <x:v>Une main</x:v>
      </x:c>
      <x:c r="E295" s="28" t="n">
        <x:f>IF(M295=0,0,M295+O295)</x:f>
        <x:v>17</x:v>
      </x:c>
      <x:c r="F295" s="28" t="n">
        <x:f>IF(M295=0,0,M295*N295+O295)</x:f>
        <x:v>29</x:v>
      </x:c>
      <x:c r="G295" s="28" t="n">
        <x:f>ROUND(Catalogue!G18*SQRT((1+'Paramètres'!$B$4*(C295-1)+'Paramètres'!$B$5*(C295-1)^2)),0)</x:f>
        <x:v>0</x:v>
      </x:c>
      <x:c r="H295" s="28" t="n">
        <x:f>ROUND(Catalogue!H18*SQRT((1+'Paramètres'!$B$4*(C295-1)+'Paramètres'!$B$5*(C295-1)^2)),0)</x:f>
        <x:v>0</x:v>
      </x:c>
      <x:c r="I295" s="28" t="n">
        <x:v>2</x:v>
      </x:c>
      <x:c r="J295" s="28" t="n">
        <x:v>1</x:v>
      </x:c>
      <x:c r="K295" s="30" t="n">
        <x:v>1.7</x:v>
      </x:c>
      <x:c r="L295" s="54" t="n">
        <x:f>IF(M295=0,0,(E295+F295)/2)</x:f>
        <x:v>23</x:v>
      </x:c>
      <x:c r="M295" t="n">
        <x:v>4</x:v>
      </x:c>
      <x:c r="N295" t="n">
        <x:v>4</x:v>
      </x:c>
      <x:c r="O295" t="n">
        <x:v>13</x:v>
      </x:c>
      <x:c r="P295" s="63" t="str">
        <x:f>IF(M295=0,"—",M295&amp;"d"&amp;N295&amp;IF(O295=0,""," + "&amp;O295))</x:f>
        <x:v>4d4 + 13</x:v>
      </x:c>
      <x:c r="Q295" t="n">
        <x:f>ROUND(INDEX(Catalogue!E$4:E$85,MATCH(A295,Catalogue!A$4:A$85,0))*(1+'Paramètres'!$B$4*(C295-1)+'Paramètres'!$B$5*(C295-1)^2),0)</x:f>
        <x:v>17</x:v>
      </x:c>
      <x:c r="R295" t="n">
        <x:f>ROUND(INDEX(Catalogue!F$4:F$85,MATCH(A295,Catalogue!A$4:A$85,0))*(1+'Paramètres'!$B$4*(C295-1)+'Paramètres'!$B$5*(C295-1)^2),0)</x:f>
        <x:v>29</x:v>
      </x:c>
      <x:c r="S295" t="n">
        <x:f>L295-AVERAGE(Q295:R295)</x:f>
        <x:v>0</x:v>
      </x:c>
      <x:c r="T295" t="str">
        <x:f>IF(M295=0,IF(AND(N295=0,O295=0,E295=0,F295=0),"OK","ERREUR"),IF(AND(M295&gt;=1,M295&lt;=32,OR(N295=4,N295=6,N295=8,N295=10,N295=12,N295=20),O295&gt;=0,E295=M295+O295,F295=M295*N295+O295),"OK","ERREUR"))</x:f>
        <x:v>OK</x:v>
      </x:c>
      <x:c r="U295" s="86" t="n">
        <x:f>IF(M295&gt;0,M295*(N295+1)/2+O295,0)</x:f>
        <x:v>23</x:v>
      </x:c>
      <x:c r="V295" t="str">
        <x:f>IF(ABS(L295-U295)&lt;0.001,"OK","ERREUR")</x:f>
        <x:v>OK</x:v>
      </x:c>
    </x:row>
    <x:row r="296" ht="18" customHeight="1">
      <x:c r="A296" t="str">
        <x:v>ARM015</x:v>
      </x:c>
      <x:c r="B296" t="str">
        <x:v>Épée longue</x:v>
      </x:c>
      <x:c r="C296" t="n">
        <x:v>13</x:v>
      </x:c>
      <x:c r="D296" t="str">
        <x:v>Une main</x:v>
      </x:c>
      <x:c r="E296" s="28" t="n">
        <x:f>IF(M296=0,0,M296+O296)</x:f>
        <x:v>18</x:v>
      </x:c>
      <x:c r="F296" s="28" t="n">
        <x:f>IF(M296=0,0,M296*N296+O296)</x:f>
        <x:v>32</x:v>
      </x:c>
      <x:c r="G296" s="28" t="n">
        <x:f>ROUND(Catalogue!G18*SQRT((1+'Paramètres'!$B$4*(C296-1)+'Paramètres'!$B$5*(C296-1)^2)),0)</x:f>
        <x:v>0</x:v>
      </x:c>
      <x:c r="H296" s="28" t="n">
        <x:f>ROUND(Catalogue!H18*SQRT((1+'Paramètres'!$B$4*(C296-1)+'Paramètres'!$B$5*(C296-1)^2)),0)</x:f>
        <x:v>0</x:v>
      </x:c>
      <x:c r="I296" s="28" t="n">
        <x:v>2</x:v>
      </x:c>
      <x:c r="J296" s="28" t="n">
        <x:v>1</x:v>
      </x:c>
      <x:c r="K296" s="30" t="n">
        <x:v>1.7</x:v>
      </x:c>
      <x:c r="L296" s="54" t="n">
        <x:f>IF(M296=0,0,(E296+F296)/2)</x:f>
        <x:v>25</x:v>
      </x:c>
      <x:c r="M296" t="n">
        <x:v>2</x:v>
      </x:c>
      <x:c r="N296" t="n">
        <x:v>8</x:v>
      </x:c>
      <x:c r="O296" t="n">
        <x:v>16</x:v>
      </x:c>
      <x:c r="P296" s="63" t="str">
        <x:f>IF(M296=0,"—",M296&amp;"d"&amp;N296&amp;IF(O296=0,""," + "&amp;O296))</x:f>
        <x:v>2d8 + 16</x:v>
      </x:c>
      <x:c r="Q296" t="n">
        <x:f>ROUND(INDEX(Catalogue!E$4:E$85,MATCH(A296,Catalogue!A$4:A$85,0))*(1+'Paramètres'!$B$4*(C296-1)+'Paramètres'!$B$5*(C296-1)^2),0)</x:f>
        <x:v>18</x:v>
      </x:c>
      <x:c r="R296" t="n">
        <x:f>ROUND(INDEX(Catalogue!F$4:F$85,MATCH(A296,Catalogue!A$4:A$85,0))*(1+'Paramètres'!$B$4*(C296-1)+'Paramètres'!$B$5*(C296-1)^2),0)</x:f>
        <x:v>32</x:v>
      </x:c>
      <x:c r="S296" t="n">
        <x:f>L296-AVERAGE(Q296:R296)</x:f>
        <x:v>0</x:v>
      </x:c>
      <x:c r="T296" t="str">
        <x:f>IF(M296=0,IF(AND(N296=0,O296=0,E296=0,F296=0),"OK","ERREUR"),IF(AND(M296&gt;=1,M296&lt;=32,OR(N296=4,N296=6,N296=8,N296=10,N296=12,N296=20),O296&gt;=0,E296=M296+O296,F296=M296*N296+O296),"OK","ERREUR"))</x:f>
        <x:v>OK</x:v>
      </x:c>
      <x:c r="U296" s="86" t="n">
        <x:f>IF(M296&gt;0,M296*(N296+1)/2+O296,0)</x:f>
        <x:v>25</x:v>
      </x:c>
      <x:c r="V296" t="str">
        <x:f>IF(ABS(L296-U296)&lt;0.001,"OK","ERREUR")</x:f>
        <x:v>OK</x:v>
      </x:c>
    </x:row>
    <x:row r="297" ht="18" customHeight="1">
      <x:c r="A297" t="str">
        <x:v>ARM015</x:v>
      </x:c>
      <x:c r="B297" t="str">
        <x:v>Épée longue</x:v>
      </x:c>
      <x:c r="C297" t="n">
        <x:v>14</x:v>
      </x:c>
      <x:c r="D297" t="str">
        <x:v>Une main</x:v>
      </x:c>
      <x:c r="E297" s="28" t="n">
        <x:f>IF(M297=0,0,M297+O297)</x:f>
        <x:v>21</x:v>
      </x:c>
      <x:c r="F297" s="28" t="n">
        <x:f>IF(M297=0,0,M297*N297+O297)</x:f>
        <x:v>36</x:v>
      </x:c>
      <x:c r="G297" s="28" t="n">
        <x:f>ROUND(Catalogue!G18*SQRT((1+'Paramètres'!$B$4*(C297-1)+'Paramètres'!$B$5*(C297-1)^2)),0)</x:f>
        <x:v>0</x:v>
      </x:c>
      <x:c r="H297" s="28" t="n">
        <x:f>ROUND(Catalogue!H18*SQRT((1+'Paramètres'!$B$4*(C297-1)+'Paramètres'!$B$5*(C297-1)^2)),0)</x:f>
        <x:v>0</x:v>
      </x:c>
      <x:c r="I297" s="28" t="n">
        <x:v>2</x:v>
      </x:c>
      <x:c r="J297" s="28" t="n">
        <x:v>1</x:v>
      </x:c>
      <x:c r="K297" s="30" t="n">
        <x:v>1.7</x:v>
      </x:c>
      <x:c r="L297" s="54" t="n">
        <x:f>IF(M297=0,0,(E297+F297)/2)</x:f>
        <x:v>28.5</x:v>
      </x:c>
      <x:c r="M297" t="n">
        <x:v>3</x:v>
      </x:c>
      <x:c r="N297" t="n">
        <x:v>6</x:v>
      </x:c>
      <x:c r="O297" t="n">
        <x:v>18</x:v>
      </x:c>
      <x:c r="P297" s="63" t="str">
        <x:f>IF(M297=0,"—",M297&amp;"d"&amp;N297&amp;IF(O297=0,""," + "&amp;O297))</x:f>
        <x:v>3d6 + 18</x:v>
      </x:c>
      <x:c r="Q297" t="n">
        <x:f>ROUND(INDEX(Catalogue!E$4:E$85,MATCH(A297,Catalogue!A$4:A$85,0))*(1+'Paramètres'!$B$4*(C297-1)+'Paramètres'!$B$5*(C297-1)^2),0)</x:f>
        <x:v>21</x:v>
      </x:c>
      <x:c r="R297" t="n">
        <x:f>ROUND(INDEX(Catalogue!F$4:F$85,MATCH(A297,Catalogue!A$4:A$85,0))*(1+'Paramètres'!$B$4*(C297-1)+'Paramètres'!$B$5*(C297-1)^2),0)</x:f>
        <x:v>36</x:v>
      </x:c>
      <x:c r="S297" t="n">
        <x:f>L297-AVERAGE(Q297:R297)</x:f>
        <x:v>0</x:v>
      </x:c>
      <x:c r="T297" t="str">
        <x:f>IF(M297=0,IF(AND(N297=0,O297=0,E297=0,F297=0),"OK","ERREUR"),IF(AND(M297&gt;=1,M297&lt;=32,OR(N297=4,N297=6,N297=8,N297=10,N297=12,N297=20),O297&gt;=0,E297=M297+O297,F297=M297*N297+O297),"OK","ERREUR"))</x:f>
        <x:v>OK</x:v>
      </x:c>
      <x:c r="U297" s="86" t="n">
        <x:f>IF(M297&gt;0,M297*(N297+1)/2+O297,0)</x:f>
        <x:v>28.5</x:v>
      </x:c>
      <x:c r="V297" t="str">
        <x:f>IF(ABS(L297-U297)&lt;0.001,"OK","ERREUR")</x:f>
        <x:v>OK</x:v>
      </x:c>
    </x:row>
    <x:row r="298" ht="18" customHeight="1">
      <x:c r="A298" t="str">
        <x:v>ARM015</x:v>
      </x:c>
      <x:c r="B298" t="str">
        <x:v>Épée longue</x:v>
      </x:c>
      <x:c r="C298" t="n">
        <x:v>15</x:v>
      </x:c>
      <x:c r="D298" t="str">
        <x:v>Une main</x:v>
      </x:c>
      <x:c r="E298" s="28" t="n">
        <x:f>IF(M298=0,0,M298+O298)</x:f>
        <x:v>22</x:v>
      </x:c>
      <x:c r="F298" s="28" t="n">
        <x:f>IF(M298=0,0,M298*N298+O298)</x:f>
        <x:v>40</x:v>
      </x:c>
      <x:c r="G298" s="28" t="n">
        <x:f>ROUND(Catalogue!G18*SQRT((1+'Paramètres'!$B$4*(C298-1)+'Paramètres'!$B$5*(C298-1)^2)),0)</x:f>
        <x:v>0</x:v>
      </x:c>
      <x:c r="H298" s="28" t="n">
        <x:f>ROUND(Catalogue!H18*SQRT((1+'Paramètres'!$B$4*(C298-1)+'Paramètres'!$B$5*(C298-1)^2)),0)</x:f>
        <x:v>0</x:v>
      </x:c>
      <x:c r="I298" s="28" t="n">
        <x:v>2</x:v>
      </x:c>
      <x:c r="J298" s="28" t="n">
        <x:v>1</x:v>
      </x:c>
      <x:c r="K298" s="30" t="n">
        <x:v>1.7</x:v>
      </x:c>
      <x:c r="L298" s="54" t="n">
        <x:f>IF(M298=0,0,(E298+F298)/2)</x:f>
        <x:v>31</x:v>
      </x:c>
      <x:c r="M298" t="n">
        <x:v>2</x:v>
      </x:c>
      <x:c r="N298" t="n">
        <x:v>10</x:v>
      </x:c>
      <x:c r="O298" t="n">
        <x:v>20</x:v>
      </x:c>
      <x:c r="P298" s="63" t="str">
        <x:f>IF(M298=0,"—",M298&amp;"d"&amp;N298&amp;IF(O298=0,""," + "&amp;O298))</x:f>
        <x:v>2d10 + 20</x:v>
      </x:c>
      <x:c r="Q298" t="n">
        <x:f>ROUND(INDEX(Catalogue!E$4:E$85,MATCH(A298,Catalogue!A$4:A$85,0))*(1+'Paramètres'!$B$4*(C298-1)+'Paramètres'!$B$5*(C298-1)^2),0)</x:f>
        <x:v>23</x:v>
      </x:c>
      <x:c r="R298" t="n">
        <x:f>ROUND(INDEX(Catalogue!F$4:F$85,MATCH(A298,Catalogue!A$4:A$85,0))*(1+'Paramètres'!$B$4*(C298-1)+'Paramètres'!$B$5*(C298-1)^2),0)</x:f>
        <x:v>40</x:v>
      </x:c>
      <x:c r="S298" t="n">
        <x:f>L298-AVERAGE(Q298:R298)</x:f>
        <x:v>-0.5</x:v>
      </x:c>
      <x:c r="T298" t="str">
        <x:f>IF(M298=0,IF(AND(N298=0,O298=0,E298=0,F298=0),"OK","ERREUR"),IF(AND(M298&gt;=1,M298&lt;=32,OR(N298=4,N298=6,N298=8,N298=10,N298=12,N298=20),O298&gt;=0,E298=M298+O298,F298=M298*N298+O298),"OK","ERREUR"))</x:f>
        <x:v>OK</x:v>
      </x:c>
      <x:c r="U298" s="86" t="n">
        <x:f>IF(M298&gt;0,M298*(N298+1)/2+O298,0)</x:f>
        <x:v>31</x:v>
      </x:c>
      <x:c r="V298" t="str">
        <x:f>IF(ABS(L298-U298)&lt;0.001,"OK","ERREUR")</x:f>
        <x:v>OK</x:v>
      </x:c>
    </x:row>
    <x:row r="299" ht="18" customHeight="1">
      <x:c r="A299" t="str">
        <x:v>ARM015</x:v>
      </x:c>
      <x:c r="B299" t="str">
        <x:v>Épée longue</x:v>
      </x:c>
      <x:c r="C299" t="n">
        <x:v>16</x:v>
      </x:c>
      <x:c r="D299" t="str">
        <x:v>Une main</x:v>
      </x:c>
      <x:c r="E299" s="28" t="n">
        <x:f>IF(M299=0,0,M299+O299)</x:f>
        <x:v>26</x:v>
      </x:c>
      <x:c r="F299" s="28" t="n">
        <x:f>IF(M299=0,0,M299*N299+O299)</x:f>
        <x:v>44</x:v>
      </x:c>
      <x:c r="G299" s="28" t="n">
        <x:f>ROUND(Catalogue!G18*SQRT((1+'Paramètres'!$B$4*(C299-1)+'Paramètres'!$B$5*(C299-1)^2)),0)</x:f>
        <x:v>0</x:v>
      </x:c>
      <x:c r="H299" s="28" t="n">
        <x:f>ROUND(Catalogue!H18*SQRT((1+'Paramètres'!$B$4*(C299-1)+'Paramètres'!$B$5*(C299-1)^2)),0)</x:f>
        <x:v>0</x:v>
      </x:c>
      <x:c r="I299" s="28" t="n">
        <x:v>2</x:v>
      </x:c>
      <x:c r="J299" s="28" t="n">
        <x:v>1</x:v>
      </x:c>
      <x:c r="K299" s="30" t="n">
        <x:v>1.7</x:v>
      </x:c>
      <x:c r="L299" s="54" t="n">
        <x:f>IF(M299=0,0,(E299+F299)/2)</x:f>
        <x:v>35</x:v>
      </x:c>
      <x:c r="M299" t="n">
        <x:v>2</x:v>
      </x:c>
      <x:c r="N299" t="n">
        <x:v>10</x:v>
      </x:c>
      <x:c r="O299" t="n">
        <x:v>24</x:v>
      </x:c>
      <x:c r="P299" s="63" t="str">
        <x:f>IF(M299=0,"—",M299&amp;"d"&amp;N299&amp;IF(O299=0,""," + "&amp;O299))</x:f>
        <x:v>2d10 + 24</x:v>
      </x:c>
      <x:c r="Q299" t="n">
        <x:f>ROUND(INDEX(Catalogue!E$4:E$85,MATCH(A299,Catalogue!A$4:A$85,0))*(1+'Paramètres'!$B$4*(C299-1)+'Paramètres'!$B$5*(C299-1)^2),0)</x:f>
        <x:v>25</x:v>
      </x:c>
      <x:c r="R299" t="n">
        <x:f>ROUND(INDEX(Catalogue!F$4:F$85,MATCH(A299,Catalogue!A$4:A$85,0))*(1+'Paramètres'!$B$4*(C299-1)+'Paramètres'!$B$5*(C299-1)^2),0)</x:f>
        <x:v>44</x:v>
      </x:c>
      <x:c r="S299" t="n">
        <x:f>L299-AVERAGE(Q299:R299)</x:f>
        <x:v>0.5</x:v>
      </x:c>
      <x:c r="T299" t="str">
        <x:f>IF(M299=0,IF(AND(N299=0,O299=0,E299=0,F299=0),"OK","ERREUR"),IF(AND(M299&gt;=1,M299&lt;=32,OR(N299=4,N299=6,N299=8,N299=10,N299=12,N299=20),O299&gt;=0,E299=M299+O299,F299=M299*N299+O299),"OK","ERREUR"))</x:f>
        <x:v>OK</x:v>
      </x:c>
      <x:c r="U299" s="86" t="n">
        <x:f>IF(M299&gt;0,M299*(N299+1)/2+O299,0)</x:f>
        <x:v>35</x:v>
      </x:c>
      <x:c r="V299" t="str">
        <x:f>IF(ABS(L299-U299)&lt;0.001,"OK","ERREUR")</x:f>
        <x:v>OK</x:v>
      </x:c>
    </x:row>
    <x:row r="300" ht="18" customHeight="1">
      <x:c r="A300" t="str">
        <x:v>ARM015</x:v>
      </x:c>
      <x:c r="B300" t="str">
        <x:v>Épée longue</x:v>
      </x:c>
      <x:c r="C300" t="n">
        <x:v>17</x:v>
      </x:c>
      <x:c r="D300" t="str">
        <x:v>Une main</x:v>
      </x:c>
      <x:c r="E300" s="28" t="n">
        <x:f>IF(M300=0,0,M300+O300)</x:f>
        <x:v>27</x:v>
      </x:c>
      <x:c r="F300" s="28" t="n">
        <x:f>IF(M300=0,0,M300*N300+O300)</x:f>
        <x:v>48</x:v>
      </x:c>
      <x:c r="G300" s="28" t="n">
        <x:f>ROUND(Catalogue!G18*SQRT((1+'Paramètres'!$B$4*(C300-1)+'Paramètres'!$B$5*(C300-1)^2)),0)</x:f>
        <x:v>0</x:v>
      </x:c>
      <x:c r="H300" s="28" t="n">
        <x:f>ROUND(Catalogue!H18*SQRT((1+'Paramètres'!$B$4*(C300-1)+'Paramètres'!$B$5*(C300-1)^2)),0)</x:f>
        <x:v>0</x:v>
      </x:c>
      <x:c r="I300" s="28" t="n">
        <x:v>2</x:v>
      </x:c>
      <x:c r="J300" s="28" t="n">
        <x:v>1</x:v>
      </x:c>
      <x:c r="K300" s="30" t="n">
        <x:v>1.7</x:v>
      </x:c>
      <x:c r="L300" s="54" t="n">
        <x:f>IF(M300=0,0,(E300+F300)/2)</x:f>
        <x:v>37.5</x:v>
      </x:c>
      <x:c r="M300" t="n">
        <x:v>3</x:v>
      </x:c>
      <x:c r="N300" t="n">
        <x:v>8</x:v>
      </x:c>
      <x:c r="O300" t="n">
        <x:v>24</x:v>
      </x:c>
      <x:c r="P300" s="63" t="str">
        <x:f>IF(M300=0,"—",M300&amp;"d"&amp;N300&amp;IF(O300=0,""," + "&amp;O300))</x:f>
        <x:v>3d8 + 24</x:v>
      </x:c>
      <x:c r="Q300" t="n">
        <x:f>ROUND(INDEX(Catalogue!E$4:E$85,MATCH(A300,Catalogue!A$4:A$85,0))*(1+'Paramètres'!$B$4*(C300-1)+'Paramètres'!$B$5*(C300-1)^2),0)</x:f>
        <x:v>27</x:v>
      </x:c>
      <x:c r="R300" t="n">
        <x:f>ROUND(INDEX(Catalogue!F$4:F$85,MATCH(A300,Catalogue!A$4:A$85,0))*(1+'Paramètres'!$B$4*(C300-1)+'Paramètres'!$B$5*(C300-1)^2),0)</x:f>
        <x:v>48</x:v>
      </x:c>
      <x:c r="S300" t="n">
        <x:f>L300-AVERAGE(Q300:R300)</x:f>
        <x:v>0</x:v>
      </x:c>
      <x:c r="T300" t="str">
        <x:f>IF(M300=0,IF(AND(N300=0,O300=0,E300=0,F300=0),"OK","ERREUR"),IF(AND(M300&gt;=1,M300&lt;=32,OR(N300=4,N300=6,N300=8,N300=10,N300=12,N300=20),O300&gt;=0,E300=M300+O300,F300=M300*N300+O300),"OK","ERREUR"))</x:f>
        <x:v>OK</x:v>
      </x:c>
      <x:c r="U300" s="86" t="n">
        <x:f>IF(M300&gt;0,M300*(N300+1)/2+O300,0)</x:f>
        <x:v>37.5</x:v>
      </x:c>
      <x:c r="V300" t="str">
        <x:f>IF(ABS(L300-U300)&lt;0.001,"OK","ERREUR")</x:f>
        <x:v>OK</x:v>
      </x:c>
    </x:row>
    <x:row r="301" ht="18" customHeight="1">
      <x:c r="A301" t="str">
        <x:v>ARM015</x:v>
      </x:c>
      <x:c r="B301" t="str">
        <x:v>Épée longue</x:v>
      </x:c>
      <x:c r="C301" t="n">
        <x:v>18</x:v>
      </x:c>
      <x:c r="D301" t="str">
        <x:v>Une main</x:v>
      </x:c>
      <x:c r="E301" s="28" t="n">
        <x:f>IF(M301=0,0,M301+O301)</x:f>
        <x:v>30</x:v>
      </x:c>
      <x:c r="F301" s="28" t="n">
        <x:f>IF(M301=0,0,M301*N301+O301)</x:f>
        <x:v>52</x:v>
      </x:c>
      <x:c r="G301" s="28" t="n">
        <x:f>ROUND(Catalogue!G18*SQRT((1+'Paramètres'!$B$4*(C301-1)+'Paramètres'!$B$5*(C301-1)^2)),0)</x:f>
        <x:v>0</x:v>
      </x:c>
      <x:c r="H301" s="28" t="n">
        <x:f>ROUND(Catalogue!H18*SQRT((1+'Paramètres'!$B$4*(C301-1)+'Paramètres'!$B$5*(C301-1)^2)),0)</x:f>
        <x:v>0</x:v>
      </x:c>
      <x:c r="I301" s="28" t="n">
        <x:v>2</x:v>
      </x:c>
      <x:c r="J301" s="28" t="n">
        <x:v>1</x:v>
      </x:c>
      <x:c r="K301" s="30" t="n">
        <x:v>1.7</x:v>
      </x:c>
      <x:c r="L301" s="54" t="n">
        <x:f>IF(M301=0,0,(E301+F301)/2)</x:f>
        <x:v>41</x:v>
      </x:c>
      <x:c r="M301" t="n">
        <x:v>2</x:v>
      </x:c>
      <x:c r="N301" t="n">
        <x:v>12</x:v>
      </x:c>
      <x:c r="O301" t="n">
        <x:v>28</x:v>
      </x:c>
      <x:c r="P301" s="63" t="str">
        <x:f>IF(M301=0,"—",M301&amp;"d"&amp;N301&amp;IF(O301=0,""," + "&amp;O301))</x:f>
        <x:v>2d12 + 28</x:v>
      </x:c>
      <x:c r="Q301" t="n">
        <x:f>ROUND(INDEX(Catalogue!E$4:E$85,MATCH(A301,Catalogue!A$4:A$85,0))*(1+'Paramètres'!$B$4*(C301-1)+'Paramètres'!$B$5*(C301-1)^2),0)</x:f>
        <x:v>30</x:v>
      </x:c>
      <x:c r="R301" t="n">
        <x:f>ROUND(INDEX(Catalogue!F$4:F$85,MATCH(A301,Catalogue!A$4:A$85,0))*(1+'Paramètres'!$B$4*(C301-1)+'Paramètres'!$B$5*(C301-1)^2),0)</x:f>
        <x:v>52</x:v>
      </x:c>
      <x:c r="S301" t="n">
        <x:f>L301-AVERAGE(Q301:R301)</x:f>
        <x:v>0</x:v>
      </x:c>
      <x:c r="T301" t="str">
        <x:f>IF(M301=0,IF(AND(N301=0,O301=0,E301=0,F301=0),"OK","ERREUR"),IF(AND(M301&gt;=1,M301&lt;=32,OR(N301=4,N301=6,N301=8,N301=10,N301=12,N301=20),O301&gt;=0,E301=M301+O301,F301=M301*N301+O301),"OK","ERREUR"))</x:f>
        <x:v>OK</x:v>
      </x:c>
      <x:c r="U301" s="86" t="n">
        <x:f>IF(M301&gt;0,M301*(N301+1)/2+O301,0)</x:f>
        <x:v>41</x:v>
      </x:c>
      <x:c r="V301" t="str">
        <x:f>IF(ABS(L301-U301)&lt;0.001,"OK","ERREUR")</x:f>
        <x:v>OK</x:v>
      </x:c>
    </x:row>
    <x:row r="302" ht="18" customHeight="1">
      <x:c r="A302" t="str">
        <x:v>ARM015</x:v>
      </x:c>
      <x:c r="B302" t="str">
        <x:v>Épée longue</x:v>
      </x:c>
      <x:c r="C302" t="n">
        <x:v>19</x:v>
      </x:c>
      <x:c r="D302" t="str">
        <x:v>Une main</x:v>
      </x:c>
      <x:c r="E302" s="28" t="n">
        <x:f>IF(M302=0,0,M302+O302)</x:f>
        <x:v>32</x:v>
      </x:c>
      <x:c r="F302" s="28" t="n">
        <x:f>IF(M302=0,0,M302*N302+O302)</x:f>
        <x:v>57</x:v>
      </x:c>
      <x:c r="G302" s="28" t="n">
        <x:f>ROUND(Catalogue!G18*SQRT((1+'Paramètres'!$B$4*(C302-1)+'Paramètres'!$B$5*(C302-1)^2)),0)</x:f>
        <x:v>0</x:v>
      </x:c>
      <x:c r="H302" s="28" t="n">
        <x:f>ROUND(Catalogue!H18*SQRT((1+'Paramètres'!$B$4*(C302-1)+'Paramètres'!$B$5*(C302-1)^2)),0)</x:f>
        <x:v>0</x:v>
      </x:c>
      <x:c r="I302" s="28" t="n">
        <x:v>2</x:v>
      </x:c>
      <x:c r="J302" s="28" t="n">
        <x:v>1</x:v>
      </x:c>
      <x:c r="K302" s="30" t="n">
        <x:v>1.7</x:v>
      </x:c>
      <x:c r="L302" s="54" t="n">
        <x:f>IF(M302=0,0,(E302+F302)/2)</x:f>
        <x:v>44.5</x:v>
      </x:c>
      <x:c r="M302" t="n">
        <x:v>5</x:v>
      </x:c>
      <x:c r="N302" t="n">
        <x:v>6</x:v>
      </x:c>
      <x:c r="O302" t="n">
        <x:v>27</x:v>
      </x:c>
      <x:c r="P302" s="63" t="str">
        <x:f>IF(M302=0,"—",M302&amp;"d"&amp;N302&amp;IF(O302=0,""," + "&amp;O302))</x:f>
        <x:v>5d6 + 27</x:v>
      </x:c>
      <x:c r="Q302" t="n">
        <x:f>ROUND(INDEX(Catalogue!E$4:E$85,MATCH(A302,Catalogue!A$4:A$85,0))*(1+'Paramètres'!$B$4*(C302-1)+'Paramètres'!$B$5*(C302-1)^2),0)</x:f>
        <x:v>33</x:v>
      </x:c>
      <x:c r="R302" t="n">
        <x:f>ROUND(INDEX(Catalogue!F$4:F$85,MATCH(A302,Catalogue!A$4:A$85,0))*(1+'Paramètres'!$B$4*(C302-1)+'Paramètres'!$B$5*(C302-1)^2),0)</x:f>
        <x:v>57</x:v>
      </x:c>
      <x:c r="S302" t="n">
        <x:f>L302-AVERAGE(Q302:R302)</x:f>
        <x:v>-0.5</x:v>
      </x:c>
      <x:c r="T302" t="str">
        <x:f>IF(M302=0,IF(AND(N302=0,O302=0,E302=0,F302=0),"OK","ERREUR"),IF(AND(M302&gt;=1,M302&lt;=32,OR(N302=4,N302=6,N302=8,N302=10,N302=12,N302=20),O302&gt;=0,E302=M302+O302,F302=M302*N302+O302),"OK","ERREUR"))</x:f>
        <x:v>OK</x:v>
      </x:c>
      <x:c r="U302" s="86" t="n">
        <x:f>IF(M302&gt;0,M302*(N302+1)/2+O302,0)</x:f>
        <x:v>44.5</x:v>
      </x:c>
      <x:c r="V302" t="str">
        <x:f>IF(ABS(L302-U302)&lt;0.001,"OK","ERREUR")</x:f>
        <x:v>OK</x:v>
      </x:c>
    </x:row>
    <x:row r="303" ht="18" customHeight="1">
      <x:c r="A303" t="str">
        <x:v>ARM015</x:v>
      </x:c>
      <x:c r="B303" t="str">
        <x:v>Épée longue</x:v>
      </x:c>
      <x:c r="C303" t="n">
        <x:v>20</x:v>
      </x:c>
      <x:c r="D303" t="str">
        <x:v>Une main</x:v>
      </x:c>
      <x:c r="E303" s="28" t="n">
        <x:f>IF(M303=0,0,M303+O303)</x:f>
        <x:v>35</x:v>
      </x:c>
      <x:c r="F303" s="28" t="n">
        <x:f>IF(M303=0,0,M303*N303+O303)</x:f>
        <x:v>62</x:v>
      </x:c>
      <x:c r="G303" s="28" t="n">
        <x:f>ROUND(Catalogue!G18*SQRT((1+'Paramètres'!$B$4*(C303-1)+'Paramètres'!$B$5*(C303-1)^2)),0)</x:f>
        <x:v>0</x:v>
      </x:c>
      <x:c r="H303" s="28" t="n">
        <x:f>ROUND(Catalogue!H18*SQRT((1+'Paramètres'!$B$4*(C303-1)+'Paramètres'!$B$5*(C303-1)^2)),0)</x:f>
        <x:v>0</x:v>
      </x:c>
      <x:c r="I303" s="28" t="n">
        <x:v>2</x:v>
      </x:c>
      <x:c r="J303" s="28" t="n">
        <x:v>1</x:v>
      </x:c>
      <x:c r="K303" s="30" t="n">
        <x:v>1.7</x:v>
      </x:c>
      <x:c r="L303" s="54" t="n">
        <x:f>IF(M303=0,0,(E303+F303)/2)</x:f>
        <x:v>48.5</x:v>
      </x:c>
      <x:c r="M303" t="n">
        <x:v>3</x:v>
      </x:c>
      <x:c r="N303" t="n">
        <x:v>10</x:v>
      </x:c>
      <x:c r="O303" t="n">
        <x:v>32</x:v>
      </x:c>
      <x:c r="P303" s="63" t="str">
        <x:f>IF(M303=0,"—",M303&amp;"d"&amp;N303&amp;IF(O303=0,""," + "&amp;O303))</x:f>
        <x:v>3d10 + 32</x:v>
      </x:c>
      <x:c r="Q303" t="n">
        <x:f>ROUND(INDEX(Catalogue!E$4:E$85,MATCH(A303,Catalogue!A$4:A$85,0))*(1+'Paramètres'!$B$4*(C303-1)+'Paramètres'!$B$5*(C303-1)^2),0)</x:f>
        <x:v>35</x:v>
      </x:c>
      <x:c r="R303" t="n">
        <x:f>ROUND(INDEX(Catalogue!F$4:F$85,MATCH(A303,Catalogue!A$4:A$85,0))*(1+'Paramètres'!$B$4*(C303-1)+'Paramètres'!$B$5*(C303-1)^2),0)</x:f>
        <x:v>62</x:v>
      </x:c>
      <x:c r="S303" t="n">
        <x:f>L303-AVERAGE(Q303:R303)</x:f>
        <x:v>0</x:v>
      </x:c>
      <x:c r="T303" t="str">
        <x:f>IF(M303=0,IF(AND(N303=0,O303=0,E303=0,F303=0),"OK","ERREUR"),IF(AND(M303&gt;=1,M303&lt;=32,OR(N303=4,N303=6,N303=8,N303=10,N303=12,N303=20),O303&gt;=0,E303=M303+O303,F303=M303*N303+O303),"OK","ERREUR"))</x:f>
        <x:v>OK</x:v>
      </x:c>
      <x:c r="U303" s="86" t="n">
        <x:f>IF(M303&gt;0,M303*(N303+1)/2+O303,0)</x:f>
        <x:v>48.5</x:v>
      </x:c>
      <x:c r="V303" t="str">
        <x:f>IF(ABS(L303-U303)&lt;0.001,"OK","ERREUR")</x:f>
        <x:v>OK</x:v>
      </x:c>
    </x:row>
    <x:row r="304" ht="18" customHeight="1">
      <x:c r="A304" t="str">
        <x:v>ARM016</x:v>
      </x:c>
      <x:c r="B304" t="str">
        <x:v>Épée bâtarde</x:v>
      </x:c>
      <x:c r="C304" t="n">
        <x:v>1</x:v>
      </x:c>
      <x:c r="D304" t="str">
        <x:v>Une main</x:v>
      </x:c>
      <x:c r="E304" s="28" t="n">
        <x:f>IF(M304=0,0,M304+O304)</x:f>
        <x:v>4</x:v>
      </x:c>
      <x:c r="F304" s="28" t="n">
        <x:f>IF(M304=0,0,M304*N304+O304)</x:f>
        <x:v>7</x:v>
      </x:c>
      <x:c r="G304" s="28" t="n">
        <x:f>ROUND(Catalogue!G19*SQRT((1+'Paramètres'!$B$4*(C304-1)+'Paramètres'!$B$5*(C304-1)^2)),0)</x:f>
        <x:v>0</x:v>
      </x:c>
      <x:c r="H304" s="28" t="n">
        <x:f>ROUND(Catalogue!H19*SQRT((1+'Paramètres'!$B$4*(C304-1)+'Paramètres'!$B$5*(C304-1)^2)),0)</x:f>
        <x:v>0</x:v>
      </x:c>
      <x:c r="I304" s="28" t="n">
        <x:v>2</x:v>
      </x:c>
      <x:c r="J304" s="28" t="n">
        <x:v>1</x:v>
      </x:c>
      <x:c r="K304" s="30" t="n">
        <x:v>2</x:v>
      </x:c>
      <x:c r="L304" s="54" t="n">
        <x:f>IF(M304=0,0,(E304+F304)/2)</x:f>
        <x:v>5.5</x:v>
      </x:c>
      <x:c r="M304" t="n">
        <x:v>1</x:v>
      </x:c>
      <x:c r="N304" t="n">
        <x:v>4</x:v>
      </x:c>
      <x:c r="O304" t="n">
        <x:v>3</x:v>
      </x:c>
      <x:c r="P304" s="63" t="str">
        <x:f>IF(M304=0,"—",M304&amp;"d"&amp;N304&amp;IF(O304=0,""," + "&amp;O304))</x:f>
        <x:v>1d4 + 3</x:v>
      </x:c>
      <x:c r="Q304" t="n">
        <x:f>ROUND(INDEX(Catalogue!E$4:E$85,MATCH(A304,Catalogue!A$4:A$85,0))*(1+'Paramètres'!$B$4*(C304-1)+'Paramètres'!$B$5*(C304-1)^2),0)</x:f>
        <x:v>5</x:v>
      </x:c>
      <x:c r="R304" t="n">
        <x:f>ROUND(INDEX(Catalogue!F$4:F$85,MATCH(A304,Catalogue!A$4:A$85,0))*(1+'Paramètres'!$B$4*(C304-1)+'Paramètres'!$B$5*(C304-1)^2),0)</x:f>
        <x:v>7</x:v>
      </x:c>
      <x:c r="S304" t="n">
        <x:f>L304-AVERAGE(Q304:R304)</x:f>
        <x:v>-0.5</x:v>
      </x:c>
      <x:c r="T304" t="str">
        <x:f>IF(M304=0,IF(AND(N304=0,O304=0,E304=0,F304=0),"OK","ERREUR"),IF(AND(M304&gt;=1,M304&lt;=32,OR(N304=4,N304=6,N304=8,N304=10,N304=12,N304=20),O304&gt;=0,E304=M304+O304,F304=M304*N304+O304),"OK","ERREUR"))</x:f>
        <x:v>OK</x:v>
      </x:c>
      <x:c r="U304" s="86" t="n">
        <x:f>IF(M304&gt;0,M304*(N304+1)/2+O304,0)</x:f>
        <x:v>5.5</x:v>
      </x:c>
      <x:c r="V304" t="str">
        <x:f>IF(ABS(L304-U304)&lt;0.001,"OK","ERREUR")</x:f>
        <x:v>OK</x:v>
      </x:c>
    </x:row>
    <x:row r="305" ht="18" customHeight="1">
      <x:c r="A305" t="str">
        <x:v>ARM016</x:v>
      </x:c>
      <x:c r="B305" t="str">
        <x:v>Épée bâtarde</x:v>
      </x:c>
      <x:c r="C305" t="n">
        <x:v>2</x:v>
      </x:c>
      <x:c r="D305" t="str">
        <x:v>Une main</x:v>
      </x:c>
      <x:c r="E305" s="28" t="n">
        <x:f>IF(M305=0,0,M305+O305)</x:f>
        <x:v>5</x:v>
      </x:c>
      <x:c r="F305" s="28" t="n">
        <x:f>IF(M305=0,0,M305*N305+O305)</x:f>
        <x:v>8</x:v>
      </x:c>
      <x:c r="G305" s="28" t="n">
        <x:f>ROUND(Catalogue!G19*SQRT((1+'Paramètres'!$B$4*(C305-1)+'Paramètres'!$B$5*(C305-1)^2)),0)</x:f>
        <x:v>0</x:v>
      </x:c>
      <x:c r="H305" s="28" t="n">
        <x:f>ROUND(Catalogue!H19*SQRT((1+'Paramètres'!$B$4*(C305-1)+'Paramètres'!$B$5*(C305-1)^2)),0)</x:f>
        <x:v>0</x:v>
      </x:c>
      <x:c r="I305" s="28" t="n">
        <x:v>2</x:v>
      </x:c>
      <x:c r="J305" s="28" t="n">
        <x:v>1</x:v>
      </x:c>
      <x:c r="K305" s="30" t="n">
        <x:v>2</x:v>
      </x:c>
      <x:c r="L305" s="54" t="n">
        <x:f>IF(M305=0,0,(E305+F305)/2)</x:f>
        <x:v>6.5</x:v>
      </x:c>
      <x:c r="M305" t="n">
        <x:v>1</x:v>
      </x:c>
      <x:c r="N305" t="n">
        <x:v>4</x:v>
      </x:c>
      <x:c r="O305" t="n">
        <x:v>4</x:v>
      </x:c>
      <x:c r="P305" s="63" t="str">
        <x:f>IF(M305=0,"—",M305&amp;"d"&amp;N305&amp;IF(O305=0,""," + "&amp;O305))</x:f>
        <x:v>1d4 + 4</x:v>
      </x:c>
      <x:c r="Q305" t="n">
        <x:f>ROUND(INDEX(Catalogue!E$4:E$85,MATCH(A305,Catalogue!A$4:A$85,0))*(1+'Paramètres'!$B$4*(C305-1)+'Paramètres'!$B$5*(C305-1)^2),0)</x:f>
        <x:v>6</x:v>
      </x:c>
      <x:c r="R305" t="n">
        <x:f>ROUND(INDEX(Catalogue!F$4:F$85,MATCH(A305,Catalogue!A$4:A$85,0))*(1+'Paramètres'!$B$4*(C305-1)+'Paramètres'!$B$5*(C305-1)^2),0)</x:f>
        <x:v>8</x:v>
      </x:c>
      <x:c r="S305" t="n">
        <x:f>L305-AVERAGE(Q305:R305)</x:f>
        <x:v>-0.5</x:v>
      </x:c>
      <x:c r="T305" t="str">
        <x:f>IF(M305=0,IF(AND(N305=0,O305=0,E305=0,F305=0),"OK","ERREUR"),IF(AND(M305&gt;=1,M305&lt;=32,OR(N305=4,N305=6,N305=8,N305=10,N305=12,N305=20),O305&gt;=0,E305=M305+O305,F305=M305*N305+O305),"OK","ERREUR"))</x:f>
        <x:v>OK</x:v>
      </x:c>
      <x:c r="U305" s="86" t="n">
        <x:f>IF(M305&gt;0,M305*(N305+1)/2+O305,0)</x:f>
        <x:v>6.5</x:v>
      </x:c>
      <x:c r="V305" t="str">
        <x:f>IF(ABS(L305-U305)&lt;0.001,"OK","ERREUR")</x:f>
        <x:v>OK</x:v>
      </x:c>
    </x:row>
    <x:row r="306" ht="18" customHeight="1">
      <x:c r="A306" t="str">
        <x:v>ARM016</x:v>
      </x:c>
      <x:c r="B306" t="str">
        <x:v>Épée bâtarde</x:v>
      </x:c>
      <x:c r="C306" t="n">
        <x:v>3</x:v>
      </x:c>
      <x:c r="D306" t="str">
        <x:v>Une main</x:v>
      </x:c>
      <x:c r="E306" s="28" t="n">
        <x:f>IF(M306=0,0,M306+O306)</x:f>
        <x:v>6</x:v>
      </x:c>
      <x:c r="F306" s="28" t="n">
        <x:f>IF(M306=0,0,M306*N306+O306)</x:f>
        <x:v>9</x:v>
      </x:c>
      <x:c r="G306" s="28" t="n">
        <x:f>ROUND(Catalogue!G19*SQRT((1+'Paramètres'!$B$4*(C306-1)+'Paramètres'!$B$5*(C306-1)^2)),0)</x:f>
        <x:v>0</x:v>
      </x:c>
      <x:c r="H306" s="28" t="n">
        <x:f>ROUND(Catalogue!H19*SQRT((1+'Paramètres'!$B$4*(C306-1)+'Paramètres'!$B$5*(C306-1)^2)),0)</x:f>
        <x:v>0</x:v>
      </x:c>
      <x:c r="I306" s="28" t="n">
        <x:v>2</x:v>
      </x:c>
      <x:c r="J306" s="28" t="n">
        <x:v>1</x:v>
      </x:c>
      <x:c r="K306" s="30" t="n">
        <x:v>2</x:v>
      </x:c>
      <x:c r="L306" s="54" t="n">
        <x:f>IF(M306=0,0,(E306+F306)/2)</x:f>
        <x:v>7.5</x:v>
      </x:c>
      <x:c r="M306" t="n">
        <x:v>1</x:v>
      </x:c>
      <x:c r="N306" t="n">
        <x:v>4</x:v>
      </x:c>
      <x:c r="O306" t="n">
        <x:v>5</x:v>
      </x:c>
      <x:c r="P306" s="63" t="str">
        <x:f>IF(M306=0,"—",M306&amp;"d"&amp;N306&amp;IF(O306=0,""," + "&amp;O306))</x:f>
        <x:v>1d4 + 5</x:v>
      </x:c>
      <x:c r="Q306" t="n">
        <x:f>ROUND(INDEX(Catalogue!E$4:E$85,MATCH(A306,Catalogue!A$4:A$85,0))*(1+'Paramètres'!$B$4*(C306-1)+'Paramètres'!$B$5*(C306-1)^2),0)</x:f>
        <x:v>6</x:v>
      </x:c>
      <x:c r="R306" t="n">
        <x:f>ROUND(INDEX(Catalogue!F$4:F$85,MATCH(A306,Catalogue!A$4:A$85,0))*(1+'Paramètres'!$B$4*(C306-1)+'Paramètres'!$B$5*(C306-1)^2),0)</x:f>
        <x:v>9</x:v>
      </x:c>
      <x:c r="S306" t="n">
        <x:f>L306-AVERAGE(Q306:R306)</x:f>
        <x:v>0</x:v>
      </x:c>
      <x:c r="T306" t="str">
        <x:f>IF(M306=0,IF(AND(N306=0,O306=0,E306=0,F306=0),"OK","ERREUR"),IF(AND(M306&gt;=1,M306&lt;=32,OR(N306=4,N306=6,N306=8,N306=10,N306=12,N306=20),O306&gt;=0,E306=M306+O306,F306=M306*N306+O306),"OK","ERREUR"))</x:f>
        <x:v>OK</x:v>
      </x:c>
      <x:c r="U306" s="86" t="n">
        <x:f>IF(M306&gt;0,M306*(N306+1)/2+O306,0)</x:f>
        <x:v>7.5</x:v>
      </x:c>
      <x:c r="V306" t="str">
        <x:f>IF(ABS(L306-U306)&lt;0.001,"OK","ERREUR")</x:f>
        <x:v>OK</x:v>
      </x:c>
    </x:row>
    <x:row r="307" ht="18" customHeight="1">
      <x:c r="A307" t="str">
        <x:v>ARM016</x:v>
      </x:c>
      <x:c r="B307" t="str">
        <x:v>Épée bâtarde</x:v>
      </x:c>
      <x:c r="C307" t="n">
        <x:v>4</x:v>
      </x:c>
      <x:c r="D307" t="str">
        <x:v>Une main</x:v>
      </x:c>
      <x:c r="E307" s="28" t="n">
        <x:f>IF(M307=0,0,M307+O307)</x:f>
        <x:v>7</x:v>
      </x:c>
      <x:c r="F307" s="28" t="n">
        <x:f>IF(M307=0,0,M307*N307+O307)</x:f>
        <x:v>10</x:v>
      </x:c>
      <x:c r="G307" s="28" t="n">
        <x:f>ROUND(Catalogue!G19*SQRT((1+'Paramètres'!$B$4*(C307-1)+'Paramètres'!$B$5*(C307-1)^2)),0)</x:f>
        <x:v>0</x:v>
      </x:c>
      <x:c r="H307" s="28" t="n">
        <x:f>ROUND(Catalogue!H19*SQRT((1+'Paramètres'!$B$4*(C307-1)+'Paramètres'!$B$5*(C307-1)^2)),0)</x:f>
        <x:v>0</x:v>
      </x:c>
      <x:c r="I307" s="28" t="n">
        <x:v>2</x:v>
      </x:c>
      <x:c r="J307" s="28" t="n">
        <x:v>1</x:v>
      </x:c>
      <x:c r="K307" s="30" t="n">
        <x:v>2</x:v>
      </x:c>
      <x:c r="L307" s="54" t="n">
        <x:f>IF(M307=0,0,(E307+F307)/2)</x:f>
        <x:v>8.5</x:v>
      </x:c>
      <x:c r="M307" t="n">
        <x:v>1</x:v>
      </x:c>
      <x:c r="N307" t="n">
        <x:v>4</x:v>
      </x:c>
      <x:c r="O307" t="n">
        <x:v>6</x:v>
      </x:c>
      <x:c r="P307" s="63" t="str">
        <x:f>IF(M307=0,"—",M307&amp;"d"&amp;N307&amp;IF(O307=0,""," + "&amp;O307))</x:f>
        <x:v>1d4 + 6</x:v>
      </x:c>
      <x:c r="Q307" t="n">
        <x:f>ROUND(INDEX(Catalogue!E$4:E$85,MATCH(A307,Catalogue!A$4:A$85,0))*(1+'Paramètres'!$B$4*(C307-1)+'Paramètres'!$B$5*(C307-1)^2),0)</x:f>
        <x:v>7</x:v>
      </x:c>
      <x:c r="R307" t="n">
        <x:f>ROUND(INDEX(Catalogue!F$4:F$85,MATCH(A307,Catalogue!A$4:A$85,0))*(1+'Paramètres'!$B$4*(C307-1)+'Paramètres'!$B$5*(C307-1)^2),0)</x:f>
        <x:v>10</x:v>
      </x:c>
      <x:c r="S307" t="n">
        <x:f>L307-AVERAGE(Q307:R307)</x:f>
        <x:v>0</x:v>
      </x:c>
      <x:c r="T307" t="str">
        <x:f>IF(M307=0,IF(AND(N307=0,O307=0,E307=0,F307=0),"OK","ERREUR"),IF(AND(M307&gt;=1,M307&lt;=32,OR(N307=4,N307=6,N307=8,N307=10,N307=12,N307=20),O307&gt;=0,E307=M307+O307,F307=M307*N307+O307),"OK","ERREUR"))</x:f>
        <x:v>OK</x:v>
      </x:c>
      <x:c r="U307" s="86" t="n">
        <x:f>IF(M307&gt;0,M307*(N307+1)/2+O307,0)</x:f>
        <x:v>8.5</x:v>
      </x:c>
      <x:c r="V307" t="str">
        <x:f>IF(ABS(L307-U307)&lt;0.001,"OK","ERREUR")</x:f>
        <x:v>OK</x:v>
      </x:c>
    </x:row>
    <x:row r="308" ht="18" customHeight="1">
      <x:c r="A308" t="str">
        <x:v>ARM016</x:v>
      </x:c>
      <x:c r="B308" t="str">
        <x:v>Épée bâtarde</x:v>
      </x:c>
      <x:c r="C308" t="n">
        <x:v>5</x:v>
      </x:c>
      <x:c r="D308" t="str">
        <x:v>Une main</x:v>
      </x:c>
      <x:c r="E308" s="28" t="n">
        <x:f>IF(M308=0,0,M308+O308)</x:f>
        <x:v>9</x:v>
      </x:c>
      <x:c r="F308" s="28" t="n">
        <x:f>IF(M308=0,0,M308*N308+O308)</x:f>
        <x:v>12</x:v>
      </x:c>
      <x:c r="G308" s="28" t="n">
        <x:f>ROUND(Catalogue!G19*SQRT((1+'Paramètres'!$B$4*(C308-1)+'Paramètres'!$B$5*(C308-1)^2)),0)</x:f>
        <x:v>0</x:v>
      </x:c>
      <x:c r="H308" s="28" t="n">
        <x:f>ROUND(Catalogue!H19*SQRT((1+'Paramètres'!$B$4*(C308-1)+'Paramètres'!$B$5*(C308-1)^2)),0)</x:f>
        <x:v>0</x:v>
      </x:c>
      <x:c r="I308" s="28" t="n">
        <x:v>2</x:v>
      </x:c>
      <x:c r="J308" s="28" t="n">
        <x:v>1</x:v>
      </x:c>
      <x:c r="K308" s="30" t="n">
        <x:v>2</x:v>
      </x:c>
      <x:c r="L308" s="54" t="n">
        <x:f>IF(M308=0,0,(E308+F308)/2)</x:f>
        <x:v>10.5</x:v>
      </x:c>
      <x:c r="M308" t="n">
        <x:v>1</x:v>
      </x:c>
      <x:c r="N308" t="n">
        <x:v>4</x:v>
      </x:c>
      <x:c r="O308" t="n">
        <x:v>8</x:v>
      </x:c>
      <x:c r="P308" s="63" t="str">
        <x:f>IF(M308=0,"—",M308&amp;"d"&amp;N308&amp;IF(O308=0,""," + "&amp;O308))</x:f>
        <x:v>1d4 + 8</x:v>
      </x:c>
      <x:c r="Q308" t="n">
        <x:f>ROUND(INDEX(Catalogue!E$4:E$85,MATCH(A308,Catalogue!A$4:A$85,0))*(1+'Paramètres'!$B$4*(C308-1)+'Paramètres'!$B$5*(C308-1)^2),0)</x:f>
        <x:v>8</x:v>
      </x:c>
      <x:c r="R308" t="n">
        <x:f>ROUND(INDEX(Catalogue!F$4:F$85,MATCH(A308,Catalogue!A$4:A$85,0))*(1+'Paramètres'!$B$4*(C308-1)+'Paramètres'!$B$5*(C308-1)^2),0)</x:f>
        <x:v>12</x:v>
      </x:c>
      <x:c r="S308" t="n">
        <x:f>L308-AVERAGE(Q308:R308)</x:f>
        <x:v>0.5</x:v>
      </x:c>
      <x:c r="T308" t="str">
        <x:f>IF(M308=0,IF(AND(N308=0,O308=0,E308=0,F308=0),"OK","ERREUR"),IF(AND(M308&gt;=1,M308&lt;=32,OR(N308=4,N308=6,N308=8,N308=10,N308=12,N308=20),O308&gt;=0,E308=M308+O308,F308=M308*N308+O308),"OK","ERREUR"))</x:f>
        <x:v>OK</x:v>
      </x:c>
      <x:c r="U308" s="86" t="n">
        <x:f>IF(M308&gt;0,M308*(N308+1)/2+O308,0)</x:f>
        <x:v>10.5</x:v>
      </x:c>
      <x:c r="V308" t="str">
        <x:f>IF(ABS(L308-U308)&lt;0.001,"OK","ERREUR")</x:f>
        <x:v>OK</x:v>
      </x:c>
    </x:row>
    <x:row r="309" ht="18" customHeight="1">
      <x:c r="A309" t="str">
        <x:v>ARM016</x:v>
      </x:c>
      <x:c r="B309" t="str">
        <x:v>Épée bâtarde</x:v>
      </x:c>
      <x:c r="C309" t="n">
        <x:v>6</x:v>
      </x:c>
      <x:c r="D309" t="str">
        <x:v>Une main</x:v>
      </x:c>
      <x:c r="E309" s="28" t="n">
        <x:f>IF(M309=0,0,M309+O309)</x:f>
        <x:v>10</x:v>
      </x:c>
      <x:c r="F309" s="28" t="n">
        <x:f>IF(M309=0,0,M309*N309+O309)</x:f>
        <x:v>13</x:v>
      </x:c>
      <x:c r="G309" s="28" t="n">
        <x:f>ROUND(Catalogue!G19*SQRT((1+'Paramètres'!$B$4*(C309-1)+'Paramètres'!$B$5*(C309-1)^2)),0)</x:f>
        <x:v>0</x:v>
      </x:c>
      <x:c r="H309" s="28" t="n">
        <x:f>ROUND(Catalogue!H19*SQRT((1+'Paramètres'!$B$4*(C309-1)+'Paramètres'!$B$5*(C309-1)^2)),0)</x:f>
        <x:v>0</x:v>
      </x:c>
      <x:c r="I309" s="28" t="n">
        <x:v>2</x:v>
      </x:c>
      <x:c r="J309" s="28" t="n">
        <x:v>1</x:v>
      </x:c>
      <x:c r="K309" s="30" t="n">
        <x:v>2</x:v>
      </x:c>
      <x:c r="L309" s="54" t="n">
        <x:f>IF(M309=0,0,(E309+F309)/2)</x:f>
        <x:v>11.5</x:v>
      </x:c>
      <x:c r="M309" t="n">
        <x:v>1</x:v>
      </x:c>
      <x:c r="N309" t="n">
        <x:v>4</x:v>
      </x:c>
      <x:c r="O309" t="n">
        <x:v>9</x:v>
      </x:c>
      <x:c r="P309" s="63" t="str">
        <x:f>IF(M309=0,"—",M309&amp;"d"&amp;N309&amp;IF(O309=0,""," + "&amp;O309))</x:f>
        <x:v>1d4 + 9</x:v>
      </x:c>
      <x:c r="Q309" t="n">
        <x:f>ROUND(INDEX(Catalogue!E$4:E$85,MATCH(A309,Catalogue!A$4:A$85,0))*(1+'Paramètres'!$B$4*(C309-1)+'Paramètres'!$B$5*(C309-1)^2),0)</x:f>
        <x:v>10</x:v>
      </x:c>
      <x:c r="R309" t="n">
        <x:f>ROUND(INDEX(Catalogue!F$4:F$85,MATCH(A309,Catalogue!A$4:A$85,0))*(1+'Paramètres'!$B$4*(C309-1)+'Paramètres'!$B$5*(C309-1)^2),0)</x:f>
        <x:v>14</x:v>
      </x:c>
      <x:c r="S309" t="n">
        <x:f>L309-AVERAGE(Q309:R309)</x:f>
        <x:v>-0.5</x:v>
      </x:c>
      <x:c r="T309" t="str">
        <x:f>IF(M309=0,IF(AND(N309=0,O309=0,E309=0,F309=0),"OK","ERREUR"),IF(AND(M309&gt;=1,M309&lt;=32,OR(N309=4,N309=6,N309=8,N309=10,N309=12,N309=20),O309&gt;=0,E309=M309+O309,F309=M309*N309+O309),"OK","ERREUR"))</x:f>
        <x:v>OK</x:v>
      </x:c>
      <x:c r="U309" s="86" t="n">
        <x:f>IF(M309&gt;0,M309*(N309+1)/2+O309,0)</x:f>
        <x:v>11.5</x:v>
      </x:c>
      <x:c r="V309" t="str">
        <x:f>IF(ABS(L309-U309)&lt;0.001,"OK","ERREUR")</x:f>
        <x:v>OK</x:v>
      </x:c>
    </x:row>
    <x:row r="310" ht="18" customHeight="1">
      <x:c r="A310" t="str">
        <x:v>ARM016</x:v>
      </x:c>
      <x:c r="B310" t="str">
        <x:v>Épée bâtarde</x:v>
      </x:c>
      <x:c r="C310" t="n">
        <x:v>7</x:v>
      </x:c>
      <x:c r="D310" t="str">
        <x:v>Une main</x:v>
      </x:c>
      <x:c r="E310" s="28" t="n">
        <x:f>IF(M310=0,0,M310+O310)</x:f>
        <x:v>11</x:v>
      </x:c>
      <x:c r="F310" s="28" t="n">
        <x:f>IF(M310=0,0,M310*N310+O310)</x:f>
        <x:v>16</x:v>
      </x:c>
      <x:c r="G310" s="28" t="n">
        <x:f>ROUND(Catalogue!G19*SQRT((1+'Paramètres'!$B$4*(C310-1)+'Paramètres'!$B$5*(C310-1)^2)),0)</x:f>
        <x:v>0</x:v>
      </x:c>
      <x:c r="H310" s="28" t="n">
        <x:f>ROUND(Catalogue!H19*SQRT((1+'Paramètres'!$B$4*(C310-1)+'Paramètres'!$B$5*(C310-1)^2)),0)</x:f>
        <x:v>0</x:v>
      </x:c>
      <x:c r="I310" s="28" t="n">
        <x:v>2</x:v>
      </x:c>
      <x:c r="J310" s="28" t="n">
        <x:v>1</x:v>
      </x:c>
      <x:c r="K310" s="30" t="n">
        <x:v>2</x:v>
      </x:c>
      <x:c r="L310" s="54" t="n">
        <x:f>IF(M310=0,0,(E310+F310)/2)</x:f>
        <x:v>13.5</x:v>
      </x:c>
      <x:c r="M310" t="n">
        <x:v>1</x:v>
      </x:c>
      <x:c r="N310" t="n">
        <x:v>6</x:v>
      </x:c>
      <x:c r="O310" t="n">
        <x:v>10</x:v>
      </x:c>
      <x:c r="P310" s="63" t="str">
        <x:f>IF(M310=0,"—",M310&amp;"d"&amp;N310&amp;IF(O310=0,""," + "&amp;O310))</x:f>
        <x:v>1d6 + 10</x:v>
      </x:c>
      <x:c r="Q310" t="n">
        <x:f>ROUND(INDEX(Catalogue!E$4:E$85,MATCH(A310,Catalogue!A$4:A$85,0))*(1+'Paramètres'!$B$4*(C310-1)+'Paramètres'!$B$5*(C310-1)^2),0)</x:f>
        <x:v>11</x:v>
      </x:c>
      <x:c r="R310" t="n">
        <x:f>ROUND(INDEX(Catalogue!F$4:F$85,MATCH(A310,Catalogue!A$4:A$85,0))*(1+'Paramètres'!$B$4*(C310-1)+'Paramètres'!$B$5*(C310-1)^2),0)</x:f>
        <x:v>16</x:v>
      </x:c>
      <x:c r="S310" t="n">
        <x:f>L310-AVERAGE(Q310:R310)</x:f>
        <x:v>0</x:v>
      </x:c>
      <x:c r="T310" t="str">
        <x:f>IF(M310=0,IF(AND(N310=0,O310=0,E310=0,F310=0),"OK","ERREUR"),IF(AND(M310&gt;=1,M310&lt;=32,OR(N310=4,N310=6,N310=8,N310=10,N310=12,N310=20),O310&gt;=0,E310=M310+O310,F310=M310*N310+O310),"OK","ERREUR"))</x:f>
        <x:v>OK</x:v>
      </x:c>
      <x:c r="U310" s="86" t="n">
        <x:f>IF(M310&gt;0,M310*(N310+1)/2+O310,0)</x:f>
        <x:v>13.5</x:v>
      </x:c>
      <x:c r="V310" t="str">
        <x:f>IF(ABS(L310-U310)&lt;0.001,"OK","ERREUR")</x:f>
        <x:v>OK</x:v>
      </x:c>
    </x:row>
    <x:row r="311" ht="18" customHeight="1">
      <x:c r="A311" t="str">
        <x:v>ARM016</x:v>
      </x:c>
      <x:c r="B311" t="str">
        <x:v>Épée bâtarde</x:v>
      </x:c>
      <x:c r="C311" t="n">
        <x:v>8</x:v>
      </x:c>
      <x:c r="D311" t="str">
        <x:v>Une main</x:v>
      </x:c>
      <x:c r="E311" s="28" t="n">
        <x:f>IF(M311=0,0,M311+O311)</x:f>
        <x:v>13</x:v>
      </x:c>
      <x:c r="F311" s="28" t="n">
        <x:f>IF(M311=0,0,M311*N311+O311)</x:f>
        <x:v>18</x:v>
      </x:c>
      <x:c r="G311" s="28" t="n">
        <x:f>ROUND(Catalogue!G19*SQRT((1+'Paramètres'!$B$4*(C311-1)+'Paramètres'!$B$5*(C311-1)^2)),0)</x:f>
        <x:v>0</x:v>
      </x:c>
      <x:c r="H311" s="28" t="n">
        <x:f>ROUND(Catalogue!H19*SQRT((1+'Paramètres'!$B$4*(C311-1)+'Paramètres'!$B$5*(C311-1)^2)),0)</x:f>
        <x:v>0</x:v>
      </x:c>
      <x:c r="I311" s="28" t="n">
        <x:v>2</x:v>
      </x:c>
      <x:c r="J311" s="28" t="n">
        <x:v>1</x:v>
      </x:c>
      <x:c r="K311" s="30" t="n">
        <x:v>2</x:v>
      </x:c>
      <x:c r="L311" s="54" t="n">
        <x:f>IF(M311=0,0,(E311+F311)/2)</x:f>
        <x:v>15.5</x:v>
      </x:c>
      <x:c r="M311" t="n">
        <x:v>1</x:v>
      </x:c>
      <x:c r="N311" t="n">
        <x:v>6</x:v>
      </x:c>
      <x:c r="O311" t="n">
        <x:v>12</x:v>
      </x:c>
      <x:c r="P311" s="63" t="str">
        <x:f>IF(M311=0,"—",M311&amp;"d"&amp;N311&amp;IF(O311=0,""," + "&amp;O311))</x:f>
        <x:v>1d6 + 12</x:v>
      </x:c>
      <x:c r="Q311" t="n">
        <x:f>ROUND(INDEX(Catalogue!E$4:E$85,MATCH(A311,Catalogue!A$4:A$85,0))*(1+'Paramètres'!$B$4*(C311-1)+'Paramètres'!$B$5*(C311-1)^2),0)</x:f>
        <x:v>13</x:v>
      </x:c>
      <x:c r="R311" t="n">
        <x:f>ROUND(INDEX(Catalogue!F$4:F$85,MATCH(A311,Catalogue!A$4:A$85,0))*(1+'Paramètres'!$B$4*(C311-1)+'Paramètres'!$B$5*(C311-1)^2),0)</x:f>
        <x:v>18</x:v>
      </x:c>
      <x:c r="S311" t="n">
        <x:f>L311-AVERAGE(Q311:R311)</x:f>
        <x:v>0</x:v>
      </x:c>
      <x:c r="T311" t="str">
        <x:f>IF(M311=0,IF(AND(N311=0,O311=0,E311=0,F311=0),"OK","ERREUR"),IF(AND(M311&gt;=1,M311&lt;=32,OR(N311=4,N311=6,N311=8,N311=10,N311=12,N311=20),O311&gt;=0,E311=M311+O311,F311=M311*N311+O311),"OK","ERREUR"))</x:f>
        <x:v>OK</x:v>
      </x:c>
      <x:c r="U311" s="86" t="n">
        <x:f>IF(M311&gt;0,M311*(N311+1)/2+O311,0)</x:f>
        <x:v>15.5</x:v>
      </x:c>
      <x:c r="V311" t="str">
        <x:f>IF(ABS(L311-U311)&lt;0.001,"OK","ERREUR")</x:f>
        <x:v>OK</x:v>
      </x:c>
    </x:row>
    <x:row r="312" ht="18" customHeight="1">
      <x:c r="A312" t="str">
        <x:v>ARM016</x:v>
      </x:c>
      <x:c r="B312" t="str">
        <x:v>Épée bâtarde</x:v>
      </x:c>
      <x:c r="C312" t="n">
        <x:v>9</x:v>
      </x:c>
      <x:c r="D312" t="str">
        <x:v>Une main</x:v>
      </x:c>
      <x:c r="E312" s="28" t="n">
        <x:f>IF(M312=0,0,M312+O312)</x:f>
        <x:v>15</x:v>
      </x:c>
      <x:c r="F312" s="28" t="n">
        <x:f>IF(M312=0,0,M312*N312+O312)</x:f>
        <x:v>20</x:v>
      </x:c>
      <x:c r="G312" s="28" t="n">
        <x:f>ROUND(Catalogue!G19*SQRT((1+'Paramètres'!$B$4*(C312-1)+'Paramètres'!$B$5*(C312-1)^2)),0)</x:f>
        <x:v>0</x:v>
      </x:c>
      <x:c r="H312" s="28" t="n">
        <x:f>ROUND(Catalogue!H19*SQRT((1+'Paramètres'!$B$4*(C312-1)+'Paramètres'!$B$5*(C312-1)^2)),0)</x:f>
        <x:v>0</x:v>
      </x:c>
      <x:c r="I312" s="28" t="n">
        <x:v>2</x:v>
      </x:c>
      <x:c r="J312" s="28" t="n">
        <x:v>1</x:v>
      </x:c>
      <x:c r="K312" s="30" t="n">
        <x:v>2</x:v>
      </x:c>
      <x:c r="L312" s="54" t="n">
        <x:f>IF(M312=0,0,(E312+F312)/2)</x:f>
        <x:v>17.5</x:v>
      </x:c>
      <x:c r="M312" t="n">
        <x:v>1</x:v>
      </x:c>
      <x:c r="N312" t="n">
        <x:v>6</x:v>
      </x:c>
      <x:c r="O312" t="n">
        <x:v>14</x:v>
      </x:c>
      <x:c r="P312" s="63" t="str">
        <x:f>IF(M312=0,"—",M312&amp;"d"&amp;N312&amp;IF(O312=0,""," + "&amp;O312))</x:f>
        <x:v>1d6 + 14</x:v>
      </x:c>
      <x:c r="Q312" t="n">
        <x:f>ROUND(INDEX(Catalogue!E$4:E$85,MATCH(A312,Catalogue!A$4:A$85,0))*(1+'Paramètres'!$B$4*(C312-1)+'Paramètres'!$B$5*(C312-1)^2),0)</x:f>
        <x:v>15</x:v>
      </x:c>
      <x:c r="R312" t="n">
        <x:f>ROUND(INDEX(Catalogue!F$4:F$85,MATCH(A312,Catalogue!A$4:A$85,0))*(1+'Paramètres'!$B$4*(C312-1)+'Paramètres'!$B$5*(C312-1)^2),0)</x:f>
        <x:v>20</x:v>
      </x:c>
      <x:c r="S312" t="n">
        <x:f>L312-AVERAGE(Q312:R312)</x:f>
        <x:v>0</x:v>
      </x:c>
      <x:c r="T312" t="str">
        <x:f>IF(M312=0,IF(AND(N312=0,O312=0,E312=0,F312=0),"OK","ERREUR"),IF(AND(M312&gt;=1,M312&lt;=32,OR(N312=4,N312=6,N312=8,N312=10,N312=12,N312=20),O312&gt;=0,E312=M312+O312,F312=M312*N312+O312),"OK","ERREUR"))</x:f>
        <x:v>OK</x:v>
      </x:c>
      <x:c r="U312" s="86" t="n">
        <x:f>IF(M312&gt;0,M312*(N312+1)/2+O312,0)</x:f>
        <x:v>17.5</x:v>
      </x:c>
      <x:c r="V312" t="str">
        <x:f>IF(ABS(L312-U312)&lt;0.001,"OK","ERREUR")</x:f>
        <x:v>OK</x:v>
      </x:c>
    </x:row>
    <x:row r="313" ht="18" customHeight="1">
      <x:c r="A313" t="str">
        <x:v>ARM016</x:v>
      </x:c>
      <x:c r="B313" t="str">
        <x:v>Épée bâtarde</x:v>
      </x:c>
      <x:c r="C313" t="n">
        <x:v>10</x:v>
      </x:c>
      <x:c r="D313" t="str">
        <x:v>Une main</x:v>
      </x:c>
      <x:c r="E313" s="28" t="n">
        <x:f>IF(M313=0,0,M313+O313)</x:f>
        <x:v>16</x:v>
      </x:c>
      <x:c r="F313" s="28" t="n">
        <x:f>IF(M313=0,0,M313*N313+O313)</x:f>
        <x:v>23</x:v>
      </x:c>
      <x:c r="G313" s="28" t="n">
        <x:f>ROUND(Catalogue!G19*SQRT((1+'Paramètres'!$B$4*(C313-1)+'Paramètres'!$B$5*(C313-1)^2)),0)</x:f>
        <x:v>0</x:v>
      </x:c>
      <x:c r="H313" s="28" t="n">
        <x:f>ROUND(Catalogue!H19*SQRT((1+'Paramètres'!$B$4*(C313-1)+'Paramètres'!$B$5*(C313-1)^2)),0)</x:f>
        <x:v>0</x:v>
      </x:c>
      <x:c r="I313" s="28" t="n">
        <x:v>2</x:v>
      </x:c>
      <x:c r="J313" s="28" t="n">
        <x:v>1</x:v>
      </x:c>
      <x:c r="K313" s="30" t="n">
        <x:v>2</x:v>
      </x:c>
      <x:c r="L313" s="54" t="n">
        <x:f>IF(M313=0,0,(E313+F313)/2)</x:f>
        <x:v>19.5</x:v>
      </x:c>
      <x:c r="M313" t="n">
        <x:v>1</x:v>
      </x:c>
      <x:c r="N313" t="n">
        <x:v>8</x:v>
      </x:c>
      <x:c r="O313" t="n">
        <x:v>15</x:v>
      </x:c>
      <x:c r="P313" s="63" t="str">
        <x:f>IF(M313=0,"—",M313&amp;"d"&amp;N313&amp;IF(O313=0,""," + "&amp;O313))</x:f>
        <x:v>1d8 + 15</x:v>
      </x:c>
      <x:c r="Q313" t="n">
        <x:f>ROUND(INDEX(Catalogue!E$4:E$85,MATCH(A313,Catalogue!A$4:A$85,0))*(1+'Paramètres'!$B$4*(C313-1)+'Paramètres'!$B$5*(C313-1)^2),0)</x:f>
        <x:v>16</x:v>
      </x:c>
      <x:c r="R313" t="n">
        <x:f>ROUND(INDEX(Catalogue!F$4:F$85,MATCH(A313,Catalogue!A$4:A$85,0))*(1+'Paramètres'!$B$4*(C313-1)+'Paramètres'!$B$5*(C313-1)^2),0)</x:f>
        <x:v>23</x:v>
      </x:c>
      <x:c r="S313" t="n">
        <x:f>L313-AVERAGE(Q313:R313)</x:f>
        <x:v>0</x:v>
      </x:c>
      <x:c r="T313" t="str">
        <x:f>IF(M313=0,IF(AND(N313=0,O313=0,E313=0,F313=0),"OK","ERREUR"),IF(AND(M313&gt;=1,M313&lt;=32,OR(N313=4,N313=6,N313=8,N313=10,N313=12,N313=20),O313&gt;=0,E313=M313+O313,F313=M313*N313+O313),"OK","ERREUR"))</x:f>
        <x:v>OK</x:v>
      </x:c>
      <x:c r="U313" s="86" t="n">
        <x:f>IF(M313&gt;0,M313*(N313+1)/2+O313,0)</x:f>
        <x:v>19.5</x:v>
      </x:c>
      <x:c r="V313" t="str">
        <x:f>IF(ABS(L313-U313)&lt;0.001,"OK","ERREUR")</x:f>
        <x:v>OK</x:v>
      </x:c>
    </x:row>
    <x:row r="314" ht="18" customHeight="1">
      <x:c r="A314" t="str">
        <x:v>ARM016</x:v>
      </x:c>
      <x:c r="B314" t="str">
        <x:v>Épée bâtarde</x:v>
      </x:c>
      <x:c r="C314" t="n">
        <x:v>11</x:v>
      </x:c>
      <x:c r="D314" t="str">
        <x:v>Une main</x:v>
      </x:c>
      <x:c r="E314" s="28" t="n">
        <x:f>IF(M314=0,0,M314+O314)</x:f>
        <x:v>19</x:v>
      </x:c>
      <x:c r="F314" s="28" t="n">
        <x:f>IF(M314=0,0,M314*N314+O314)</x:f>
        <x:v>26</x:v>
      </x:c>
      <x:c r="G314" s="28" t="n">
        <x:f>ROUND(Catalogue!G19*SQRT((1+'Paramètres'!$B$4*(C314-1)+'Paramètres'!$B$5*(C314-1)^2)),0)</x:f>
        <x:v>0</x:v>
      </x:c>
      <x:c r="H314" s="28" t="n">
        <x:f>ROUND(Catalogue!H19*SQRT((1+'Paramètres'!$B$4*(C314-1)+'Paramètres'!$B$5*(C314-1)^2)),0)</x:f>
        <x:v>0</x:v>
      </x:c>
      <x:c r="I314" s="28" t="n">
        <x:v>2</x:v>
      </x:c>
      <x:c r="J314" s="28" t="n">
        <x:v>1</x:v>
      </x:c>
      <x:c r="K314" s="30" t="n">
        <x:v>2</x:v>
      </x:c>
      <x:c r="L314" s="54" t="n">
        <x:f>IF(M314=0,0,(E314+F314)/2)</x:f>
        <x:v>22.5</x:v>
      </x:c>
      <x:c r="M314" t="n">
        <x:v>1</x:v>
      </x:c>
      <x:c r="N314" t="n">
        <x:v>8</x:v>
      </x:c>
      <x:c r="O314" t="n">
        <x:v>18</x:v>
      </x:c>
      <x:c r="P314" s="63" t="str">
        <x:f>IF(M314=0,"—",M314&amp;"d"&amp;N314&amp;IF(O314=0,""," + "&amp;O314))</x:f>
        <x:v>1d8 + 18</x:v>
      </x:c>
      <x:c r="Q314" t="n">
        <x:f>ROUND(INDEX(Catalogue!E$4:E$85,MATCH(A314,Catalogue!A$4:A$85,0))*(1+'Paramètres'!$B$4*(C314-1)+'Paramètres'!$B$5*(C314-1)^2),0)</x:f>
        <x:v>19</x:v>
      </x:c>
      <x:c r="R314" t="n">
        <x:f>ROUND(INDEX(Catalogue!F$4:F$85,MATCH(A314,Catalogue!A$4:A$85,0))*(1+'Paramètres'!$B$4*(C314-1)+'Paramètres'!$B$5*(C314-1)^2),0)</x:f>
        <x:v>26</x:v>
      </x:c>
      <x:c r="S314" t="n">
        <x:f>L314-AVERAGE(Q314:R314)</x:f>
        <x:v>0</x:v>
      </x:c>
      <x:c r="T314" t="str">
        <x:f>IF(M314=0,IF(AND(N314=0,O314=0,E314=0,F314=0),"OK","ERREUR"),IF(AND(M314&gt;=1,M314&lt;=32,OR(N314=4,N314=6,N314=8,N314=10,N314=12,N314=20),O314&gt;=0,E314=M314+O314,F314=M314*N314+O314),"OK","ERREUR"))</x:f>
        <x:v>OK</x:v>
      </x:c>
      <x:c r="U314" s="86" t="n">
        <x:f>IF(M314&gt;0,M314*(N314+1)/2+O314,0)</x:f>
        <x:v>22.5</x:v>
      </x:c>
      <x:c r="V314" t="str">
        <x:f>IF(ABS(L314-U314)&lt;0.001,"OK","ERREUR")</x:f>
        <x:v>OK</x:v>
      </x:c>
    </x:row>
    <x:row r="315" ht="18" customHeight="1">
      <x:c r="A315" t="str">
        <x:v>ARM016</x:v>
      </x:c>
      <x:c r="B315" t="str">
        <x:v>Épée bâtarde</x:v>
      </x:c>
      <x:c r="C315" t="n">
        <x:v>12</x:v>
      </x:c>
      <x:c r="D315" t="str">
        <x:v>Une main</x:v>
      </x:c>
      <x:c r="E315" s="28" t="n">
        <x:f>IF(M315=0,0,M315+O315)</x:f>
        <x:v>20</x:v>
      </x:c>
      <x:c r="F315" s="28" t="n">
        <x:f>IF(M315=0,0,M315*N315+O315)</x:f>
        <x:v>29</x:v>
      </x:c>
      <x:c r="G315" s="28" t="n">
        <x:f>ROUND(Catalogue!G19*SQRT((1+'Paramètres'!$B$4*(C315-1)+'Paramètres'!$B$5*(C315-1)^2)),0)</x:f>
        <x:v>0</x:v>
      </x:c>
      <x:c r="H315" s="28" t="n">
        <x:f>ROUND(Catalogue!H19*SQRT((1+'Paramètres'!$B$4*(C315-1)+'Paramètres'!$B$5*(C315-1)^2)),0)</x:f>
        <x:v>0</x:v>
      </x:c>
      <x:c r="I315" s="28" t="n">
        <x:v>2</x:v>
      </x:c>
      <x:c r="J315" s="28" t="n">
        <x:v>1</x:v>
      </x:c>
      <x:c r="K315" s="30" t="n">
        <x:v>2</x:v>
      </x:c>
      <x:c r="L315" s="54" t="n">
        <x:f>IF(M315=0,0,(E315+F315)/2)</x:f>
        <x:v>24.5</x:v>
      </x:c>
      <x:c r="M315" t="n">
        <x:v>3</x:v>
      </x:c>
      <x:c r="N315" t="n">
        <x:v>4</x:v>
      </x:c>
      <x:c r="O315" t="n">
        <x:v>17</x:v>
      </x:c>
      <x:c r="P315" s="63" t="str">
        <x:f>IF(M315=0,"—",M315&amp;"d"&amp;N315&amp;IF(O315=0,""," + "&amp;O315))</x:f>
        <x:v>3d4 + 17</x:v>
      </x:c>
      <x:c r="Q315" t="n">
        <x:f>ROUND(INDEX(Catalogue!E$4:E$85,MATCH(A315,Catalogue!A$4:A$85,0))*(1+'Paramètres'!$B$4*(C315-1)+'Paramètres'!$B$5*(C315-1)^2),0)</x:f>
        <x:v>21</x:v>
      </x:c>
      <x:c r="R315" t="n">
        <x:f>ROUND(INDEX(Catalogue!F$4:F$85,MATCH(A315,Catalogue!A$4:A$85,0))*(1+'Paramètres'!$B$4*(C315-1)+'Paramètres'!$B$5*(C315-1)^2),0)</x:f>
        <x:v>29</x:v>
      </x:c>
      <x:c r="S315" t="n">
        <x:f>L315-AVERAGE(Q315:R315)</x:f>
        <x:v>-0.5</x:v>
      </x:c>
      <x:c r="T315" t="str">
        <x:f>IF(M315=0,IF(AND(N315=0,O315=0,E315=0,F315=0),"OK","ERREUR"),IF(AND(M315&gt;=1,M315&lt;=32,OR(N315=4,N315=6,N315=8,N315=10,N315=12,N315=20),O315&gt;=0,E315=M315+O315,F315=M315*N315+O315),"OK","ERREUR"))</x:f>
        <x:v>OK</x:v>
      </x:c>
      <x:c r="U315" s="86" t="n">
        <x:f>IF(M315&gt;0,M315*(N315+1)/2+O315,0)</x:f>
        <x:v>24.5</x:v>
      </x:c>
      <x:c r="V315" t="str">
        <x:f>IF(ABS(L315-U315)&lt;0.001,"OK","ERREUR")</x:f>
        <x:v>OK</x:v>
      </x:c>
    </x:row>
    <x:row r="316" ht="18" customHeight="1">
      <x:c r="A316" t="str">
        <x:v>ARM016</x:v>
      </x:c>
      <x:c r="B316" t="str">
        <x:v>Épée bâtarde</x:v>
      </x:c>
      <x:c r="C316" t="n">
        <x:v>13</x:v>
      </x:c>
      <x:c r="D316" t="str">
        <x:v>Une main</x:v>
      </x:c>
      <x:c r="E316" s="28" t="n">
        <x:f>IF(M316=0,0,M316+O316)</x:f>
        <x:v>23</x:v>
      </x:c>
      <x:c r="F316" s="28" t="n">
        <x:f>IF(M316=0,0,M316*N316+O316)</x:f>
        <x:v>32</x:v>
      </x:c>
      <x:c r="G316" s="28" t="n">
        <x:f>ROUND(Catalogue!G19*SQRT((1+'Paramètres'!$B$4*(C316-1)+'Paramètres'!$B$5*(C316-1)^2)),0)</x:f>
        <x:v>0</x:v>
      </x:c>
      <x:c r="H316" s="28" t="n">
        <x:f>ROUND(Catalogue!H19*SQRT((1+'Paramètres'!$B$4*(C316-1)+'Paramètres'!$B$5*(C316-1)^2)),0)</x:f>
        <x:v>0</x:v>
      </x:c>
      <x:c r="I316" s="28" t="n">
        <x:v>2</x:v>
      </x:c>
      <x:c r="J316" s="28" t="n">
        <x:v>1</x:v>
      </x:c>
      <x:c r="K316" s="30" t="n">
        <x:v>2</x:v>
      </x:c>
      <x:c r="L316" s="54" t="n">
        <x:f>IF(M316=0,0,(E316+F316)/2)</x:f>
        <x:v>27.5</x:v>
      </x:c>
      <x:c r="M316" t="n">
        <x:v>3</x:v>
      </x:c>
      <x:c r="N316" t="n">
        <x:v>4</x:v>
      </x:c>
      <x:c r="O316" t="n">
        <x:v>20</x:v>
      </x:c>
      <x:c r="P316" s="63" t="str">
        <x:f>IF(M316=0,"—",M316&amp;"d"&amp;N316&amp;IF(O316=0,""," + "&amp;O316))</x:f>
        <x:v>3d4 + 20</x:v>
      </x:c>
      <x:c r="Q316" t="n">
        <x:f>ROUND(INDEX(Catalogue!E$4:E$85,MATCH(A316,Catalogue!A$4:A$85,0))*(1+'Paramètres'!$B$4*(C316-1)+'Paramètres'!$B$5*(C316-1)^2),0)</x:f>
        <x:v>23</x:v>
      </x:c>
      <x:c r="R316" t="n">
        <x:f>ROUND(INDEX(Catalogue!F$4:F$85,MATCH(A316,Catalogue!A$4:A$85,0))*(1+'Paramètres'!$B$4*(C316-1)+'Paramètres'!$B$5*(C316-1)^2),0)</x:f>
        <x:v>32</x:v>
      </x:c>
      <x:c r="S316" t="n">
        <x:f>L316-AVERAGE(Q316:R316)</x:f>
        <x:v>0</x:v>
      </x:c>
      <x:c r="T316" t="str">
        <x:f>IF(M316=0,IF(AND(N316=0,O316=0,E316=0,F316=0),"OK","ERREUR"),IF(AND(M316&gt;=1,M316&lt;=32,OR(N316=4,N316=6,N316=8,N316=10,N316=12,N316=20),O316&gt;=0,E316=M316+O316,F316=M316*N316+O316),"OK","ERREUR"))</x:f>
        <x:v>OK</x:v>
      </x:c>
      <x:c r="U316" s="86" t="n">
        <x:f>IF(M316&gt;0,M316*(N316+1)/2+O316,0)</x:f>
        <x:v>27.5</x:v>
      </x:c>
      <x:c r="V316" t="str">
        <x:f>IF(ABS(L316-U316)&lt;0.001,"OK","ERREUR")</x:f>
        <x:v>OK</x:v>
      </x:c>
    </x:row>
    <x:row r="317" ht="18" customHeight="1">
      <x:c r="A317" t="str">
        <x:v>ARM016</x:v>
      </x:c>
      <x:c r="B317" t="str">
        <x:v>Épée bâtarde</x:v>
      </x:c>
      <x:c r="C317" t="n">
        <x:v>14</x:v>
      </x:c>
      <x:c r="D317" t="str">
        <x:v>Une main</x:v>
      </x:c>
      <x:c r="E317" s="28" t="n">
        <x:f>IF(M317=0,0,M317+O317)</x:f>
        <x:v>26</x:v>
      </x:c>
      <x:c r="F317" s="28" t="n">
        <x:f>IF(M317=0,0,M317*N317+O317)</x:f>
        <x:v>36</x:v>
      </x:c>
      <x:c r="G317" s="28" t="n">
        <x:f>ROUND(Catalogue!G19*SQRT((1+'Paramètres'!$B$4*(C317-1)+'Paramètres'!$B$5*(C317-1)^2)),0)</x:f>
        <x:v>0</x:v>
      </x:c>
      <x:c r="H317" s="28" t="n">
        <x:f>ROUND(Catalogue!H19*SQRT((1+'Paramètres'!$B$4*(C317-1)+'Paramètres'!$B$5*(C317-1)^2)),0)</x:f>
        <x:v>0</x:v>
      </x:c>
      <x:c r="I317" s="28" t="n">
        <x:v>2</x:v>
      </x:c>
      <x:c r="J317" s="28" t="n">
        <x:v>1</x:v>
      </x:c>
      <x:c r="K317" s="30" t="n">
        <x:v>2</x:v>
      </x:c>
      <x:c r="L317" s="54" t="n">
        <x:f>IF(M317=0,0,(E317+F317)/2)</x:f>
        <x:v>31</x:v>
      </x:c>
      <x:c r="M317" t="n">
        <x:v>2</x:v>
      </x:c>
      <x:c r="N317" t="n">
        <x:v>6</x:v>
      </x:c>
      <x:c r="O317" t="n">
        <x:v>24</x:v>
      </x:c>
      <x:c r="P317" s="63" t="str">
        <x:f>IF(M317=0,"—",M317&amp;"d"&amp;N317&amp;IF(O317=0,""," + "&amp;O317))</x:f>
        <x:v>2d6 + 24</x:v>
      </x:c>
      <x:c r="Q317" t="n">
        <x:f>ROUND(INDEX(Catalogue!E$4:E$85,MATCH(A317,Catalogue!A$4:A$85,0))*(1+'Paramètres'!$B$4*(C317-1)+'Paramètres'!$B$5*(C317-1)^2),0)</x:f>
        <x:v>26</x:v>
      </x:c>
      <x:c r="R317" t="n">
        <x:f>ROUND(INDEX(Catalogue!F$4:F$85,MATCH(A317,Catalogue!A$4:A$85,0))*(1+'Paramètres'!$B$4*(C317-1)+'Paramètres'!$B$5*(C317-1)^2),0)</x:f>
        <x:v>36</x:v>
      </x:c>
      <x:c r="S317" t="n">
        <x:f>L317-AVERAGE(Q317:R317)</x:f>
        <x:v>0</x:v>
      </x:c>
      <x:c r="T317" t="str">
        <x:f>IF(M317=0,IF(AND(N317=0,O317=0,E317=0,F317=0),"OK","ERREUR"),IF(AND(M317&gt;=1,M317&lt;=32,OR(N317=4,N317=6,N317=8,N317=10,N317=12,N317=20),O317&gt;=0,E317=M317+O317,F317=M317*N317+O317),"OK","ERREUR"))</x:f>
        <x:v>OK</x:v>
      </x:c>
      <x:c r="U317" s="86" t="n">
        <x:f>IF(M317&gt;0,M317*(N317+1)/2+O317,0)</x:f>
        <x:v>31</x:v>
      </x:c>
      <x:c r="V317" t="str">
        <x:f>IF(ABS(L317-U317)&lt;0.001,"OK","ERREUR")</x:f>
        <x:v>OK</x:v>
      </x:c>
    </x:row>
    <x:row r="318" ht="18" customHeight="1">
      <x:c r="A318" t="str">
        <x:v>ARM016</x:v>
      </x:c>
      <x:c r="B318" t="str">
        <x:v>Épée bâtarde</x:v>
      </x:c>
      <x:c r="C318" t="n">
        <x:v>15</x:v>
      </x:c>
      <x:c r="D318" t="str">
        <x:v>Une main</x:v>
      </x:c>
      <x:c r="E318" s="28" t="n">
        <x:f>IF(M318=0,0,M318+O318)</x:f>
        <x:v>28</x:v>
      </x:c>
      <x:c r="F318" s="28" t="n">
        <x:f>IF(M318=0,0,M318*N318+O318)</x:f>
        <x:v>40</x:v>
      </x:c>
      <x:c r="G318" s="28" t="n">
        <x:f>ROUND(Catalogue!G19*SQRT((1+'Paramètres'!$B$4*(C318-1)+'Paramètres'!$B$5*(C318-1)^2)),0)</x:f>
        <x:v>0</x:v>
      </x:c>
      <x:c r="H318" s="28" t="n">
        <x:f>ROUND(Catalogue!H19*SQRT((1+'Paramètres'!$B$4*(C318-1)+'Paramètres'!$B$5*(C318-1)^2)),0)</x:f>
        <x:v>0</x:v>
      </x:c>
      <x:c r="I318" s="28" t="n">
        <x:v>2</x:v>
      </x:c>
      <x:c r="J318" s="28" t="n">
        <x:v>1</x:v>
      </x:c>
      <x:c r="K318" s="30" t="n">
        <x:v>2</x:v>
      </x:c>
      <x:c r="L318" s="54" t="n">
        <x:f>IF(M318=0,0,(E318+F318)/2)</x:f>
        <x:v>34</x:v>
      </x:c>
      <x:c r="M318" t="n">
        <x:v>4</x:v>
      </x:c>
      <x:c r="N318" t="n">
        <x:v>4</x:v>
      </x:c>
      <x:c r="O318" t="n">
        <x:v>24</x:v>
      </x:c>
      <x:c r="P318" s="63" t="str">
        <x:f>IF(M318=0,"—",M318&amp;"d"&amp;N318&amp;IF(O318=0,""," + "&amp;O318))</x:f>
        <x:v>4d4 + 24</x:v>
      </x:c>
      <x:c r="Q318" t="n">
        <x:f>ROUND(INDEX(Catalogue!E$4:E$85,MATCH(A318,Catalogue!A$4:A$85,0))*(1+'Paramètres'!$B$4*(C318-1)+'Paramètres'!$B$5*(C318-1)^2),0)</x:f>
        <x:v>28</x:v>
      </x:c>
      <x:c r="R318" t="n">
        <x:f>ROUND(INDEX(Catalogue!F$4:F$85,MATCH(A318,Catalogue!A$4:A$85,0))*(1+'Paramètres'!$B$4*(C318-1)+'Paramètres'!$B$5*(C318-1)^2),0)</x:f>
        <x:v>40</x:v>
      </x:c>
      <x:c r="S318" t="n">
        <x:f>L318-AVERAGE(Q318:R318)</x:f>
        <x:v>0</x:v>
      </x:c>
      <x:c r="T318" t="str">
        <x:f>IF(M318=0,IF(AND(N318=0,O318=0,E318=0,F318=0),"OK","ERREUR"),IF(AND(M318&gt;=1,M318&lt;=32,OR(N318=4,N318=6,N318=8,N318=10,N318=12,N318=20),O318&gt;=0,E318=M318+O318,F318=M318*N318+O318),"OK","ERREUR"))</x:f>
        <x:v>OK</x:v>
      </x:c>
      <x:c r="U318" s="86" t="n">
        <x:f>IF(M318&gt;0,M318*(N318+1)/2+O318,0)</x:f>
        <x:v>34</x:v>
      </x:c>
      <x:c r="V318" t="str">
        <x:f>IF(ABS(L318-U318)&lt;0.001,"OK","ERREUR")</x:f>
        <x:v>OK</x:v>
      </x:c>
    </x:row>
    <x:row r="319" ht="18" customHeight="1">
      <x:c r="A319" t="str">
        <x:v>ARM016</x:v>
      </x:c>
      <x:c r="B319" t="str">
        <x:v>Épée bâtarde</x:v>
      </x:c>
      <x:c r="C319" t="n">
        <x:v>16</x:v>
      </x:c>
      <x:c r="D319" t="str">
        <x:v>Une main</x:v>
      </x:c>
      <x:c r="E319" s="28" t="n">
        <x:f>IF(M319=0,0,M319+O319)</x:f>
        <x:v>30</x:v>
      </x:c>
      <x:c r="F319" s="28" t="n">
        <x:f>IF(M319=0,0,M319*N319+O319)</x:f>
        <x:v>44</x:v>
      </x:c>
      <x:c r="G319" s="28" t="n">
        <x:f>ROUND(Catalogue!G19*SQRT((1+'Paramètres'!$B$4*(C319-1)+'Paramètres'!$B$5*(C319-1)^2)),0)</x:f>
        <x:v>0</x:v>
      </x:c>
      <x:c r="H319" s="28" t="n">
        <x:f>ROUND(Catalogue!H19*SQRT((1+'Paramètres'!$B$4*(C319-1)+'Paramètres'!$B$5*(C319-1)^2)),0)</x:f>
        <x:v>0</x:v>
      </x:c>
      <x:c r="I319" s="28" t="n">
        <x:v>2</x:v>
      </x:c>
      <x:c r="J319" s="28" t="n">
        <x:v>1</x:v>
      </x:c>
      <x:c r="K319" s="30" t="n">
        <x:v>2</x:v>
      </x:c>
      <x:c r="L319" s="54" t="n">
        <x:f>IF(M319=0,0,(E319+F319)/2)</x:f>
        <x:v>37</x:v>
      </x:c>
      <x:c r="M319" t="n">
        <x:v>2</x:v>
      </x:c>
      <x:c r="N319" t="n">
        <x:v>8</x:v>
      </x:c>
      <x:c r="O319" t="n">
        <x:v>28</x:v>
      </x:c>
      <x:c r="P319" s="63" t="str">
        <x:f>IF(M319=0,"—",M319&amp;"d"&amp;N319&amp;IF(O319=0,""," + "&amp;O319))</x:f>
        <x:v>2d8 + 28</x:v>
      </x:c>
      <x:c r="Q319" t="n">
        <x:f>ROUND(INDEX(Catalogue!E$4:E$85,MATCH(A319,Catalogue!A$4:A$85,0))*(1+'Paramètres'!$B$4*(C319-1)+'Paramètres'!$B$5*(C319-1)^2),0)</x:f>
        <x:v>31</x:v>
      </x:c>
      <x:c r="R319" t="n">
        <x:f>ROUND(INDEX(Catalogue!F$4:F$85,MATCH(A319,Catalogue!A$4:A$85,0))*(1+'Paramètres'!$B$4*(C319-1)+'Paramètres'!$B$5*(C319-1)^2),0)</x:f>
        <x:v>44</x:v>
      </x:c>
      <x:c r="S319" t="n">
        <x:f>L319-AVERAGE(Q319:R319)</x:f>
        <x:v>-0.5</x:v>
      </x:c>
      <x:c r="T319" t="str">
        <x:f>IF(M319=0,IF(AND(N319=0,O319=0,E319=0,F319=0),"OK","ERREUR"),IF(AND(M319&gt;=1,M319&lt;=32,OR(N319=4,N319=6,N319=8,N319=10,N319=12,N319=20),O319&gt;=0,E319=M319+O319,F319=M319*N319+O319),"OK","ERREUR"))</x:f>
        <x:v>OK</x:v>
      </x:c>
      <x:c r="U319" s="86" t="n">
        <x:f>IF(M319&gt;0,M319*(N319+1)/2+O319,0)</x:f>
        <x:v>37</x:v>
      </x:c>
      <x:c r="V319" t="str">
        <x:f>IF(ABS(L319-U319)&lt;0.001,"OK","ERREUR")</x:f>
        <x:v>OK</x:v>
      </x:c>
    </x:row>
    <x:row r="320" ht="18" customHeight="1">
      <x:c r="A320" t="str">
        <x:v>ARM016</x:v>
      </x:c>
      <x:c r="B320" t="str">
        <x:v>Épée bâtarde</x:v>
      </x:c>
      <x:c r="C320" t="n">
        <x:v>17</x:v>
      </x:c>
      <x:c r="D320" t="str">
        <x:v>Une main</x:v>
      </x:c>
      <x:c r="E320" s="28" t="n">
        <x:f>IF(M320=0,0,M320+O320)</x:f>
        <x:v>34</x:v>
      </x:c>
      <x:c r="F320" s="28" t="n">
        <x:f>IF(M320=0,0,M320*N320+O320)</x:f>
        <x:v>48</x:v>
      </x:c>
      <x:c r="G320" s="28" t="n">
        <x:f>ROUND(Catalogue!G19*SQRT((1+'Paramètres'!$B$4*(C320-1)+'Paramètres'!$B$5*(C320-1)^2)),0)</x:f>
        <x:v>0</x:v>
      </x:c>
      <x:c r="H320" s="28" t="n">
        <x:f>ROUND(Catalogue!H19*SQRT((1+'Paramètres'!$B$4*(C320-1)+'Paramètres'!$B$5*(C320-1)^2)),0)</x:f>
        <x:v>0</x:v>
      </x:c>
      <x:c r="I320" s="28" t="n">
        <x:v>2</x:v>
      </x:c>
      <x:c r="J320" s="28" t="n">
        <x:v>1</x:v>
      </x:c>
      <x:c r="K320" s="30" t="n">
        <x:v>2</x:v>
      </x:c>
      <x:c r="L320" s="54" t="n">
        <x:f>IF(M320=0,0,(E320+F320)/2)</x:f>
        <x:v>41</x:v>
      </x:c>
      <x:c r="M320" t="n">
        <x:v>2</x:v>
      </x:c>
      <x:c r="N320" t="n">
        <x:v>8</x:v>
      </x:c>
      <x:c r="O320" t="n">
        <x:v>32</x:v>
      </x:c>
      <x:c r="P320" s="63" t="str">
        <x:f>IF(M320=0,"—",M320&amp;"d"&amp;N320&amp;IF(O320=0,""," + "&amp;O320))</x:f>
        <x:v>2d8 + 32</x:v>
      </x:c>
      <x:c r="Q320" t="n">
        <x:f>ROUND(INDEX(Catalogue!E$4:E$85,MATCH(A320,Catalogue!A$4:A$85,0))*(1+'Paramètres'!$B$4*(C320-1)+'Paramètres'!$B$5*(C320-1)^2),0)</x:f>
        <x:v>34</x:v>
      </x:c>
      <x:c r="R320" t="n">
        <x:f>ROUND(INDEX(Catalogue!F$4:F$85,MATCH(A320,Catalogue!A$4:A$85,0))*(1+'Paramètres'!$B$4*(C320-1)+'Paramètres'!$B$5*(C320-1)^2),0)</x:f>
        <x:v>48</x:v>
      </x:c>
      <x:c r="S320" t="n">
        <x:f>L320-AVERAGE(Q320:R320)</x:f>
        <x:v>0</x:v>
      </x:c>
      <x:c r="T320" t="str">
        <x:f>IF(M320=0,IF(AND(N320=0,O320=0,E320=0,F320=0),"OK","ERREUR"),IF(AND(M320&gt;=1,M320&lt;=32,OR(N320=4,N320=6,N320=8,N320=10,N320=12,N320=20),O320&gt;=0,E320=M320+O320,F320=M320*N320+O320),"OK","ERREUR"))</x:f>
        <x:v>OK</x:v>
      </x:c>
      <x:c r="U320" s="86" t="n">
        <x:f>IF(M320&gt;0,M320*(N320+1)/2+O320,0)</x:f>
        <x:v>41</x:v>
      </x:c>
      <x:c r="V320" t="str">
        <x:f>IF(ABS(L320-U320)&lt;0.001,"OK","ERREUR")</x:f>
        <x:v>OK</x:v>
      </x:c>
    </x:row>
    <x:row r="321" ht="18" customHeight="1">
      <x:c r="A321" t="str">
        <x:v>ARM016</x:v>
      </x:c>
      <x:c r="B321" t="str">
        <x:v>Épée bâtarde</x:v>
      </x:c>
      <x:c r="C321" t="n">
        <x:v>18</x:v>
      </x:c>
      <x:c r="D321" t="str">
        <x:v>Une main</x:v>
      </x:c>
      <x:c r="E321" s="28" t="n">
        <x:f>IF(M321=0,0,M321+O321)</x:f>
        <x:v>37</x:v>
      </x:c>
      <x:c r="F321" s="28" t="n">
        <x:f>IF(M321=0,0,M321*N321+O321)</x:f>
        <x:v>52</x:v>
      </x:c>
      <x:c r="G321" s="28" t="n">
        <x:f>ROUND(Catalogue!G19*SQRT((1+'Paramètres'!$B$4*(C321-1)+'Paramètres'!$B$5*(C321-1)^2)),0)</x:f>
        <x:v>0</x:v>
      </x:c>
      <x:c r="H321" s="28" t="n">
        <x:f>ROUND(Catalogue!H19*SQRT((1+'Paramètres'!$B$4*(C321-1)+'Paramètres'!$B$5*(C321-1)^2)),0)</x:f>
        <x:v>0</x:v>
      </x:c>
      <x:c r="I321" s="28" t="n">
        <x:v>2</x:v>
      </x:c>
      <x:c r="J321" s="28" t="n">
        <x:v>1</x:v>
      </x:c>
      <x:c r="K321" s="30" t="n">
        <x:v>2</x:v>
      </x:c>
      <x:c r="L321" s="54" t="n">
        <x:f>IF(M321=0,0,(E321+F321)/2)</x:f>
        <x:v>44.5</x:v>
      </x:c>
      <x:c r="M321" t="n">
        <x:v>3</x:v>
      </x:c>
      <x:c r="N321" t="n">
        <x:v>6</x:v>
      </x:c>
      <x:c r="O321" t="n">
        <x:v>34</x:v>
      </x:c>
      <x:c r="P321" s="63" t="str">
        <x:f>IF(M321=0,"—",M321&amp;"d"&amp;N321&amp;IF(O321=0,""," + "&amp;O321))</x:f>
        <x:v>3d6 + 34</x:v>
      </x:c>
      <x:c r="Q321" t="n">
        <x:f>ROUND(INDEX(Catalogue!E$4:E$85,MATCH(A321,Catalogue!A$4:A$85,0))*(1+'Paramètres'!$B$4*(C321-1)+'Paramètres'!$B$5*(C321-1)^2),0)</x:f>
        <x:v>37</x:v>
      </x:c>
      <x:c r="R321" t="n">
        <x:f>ROUND(INDEX(Catalogue!F$4:F$85,MATCH(A321,Catalogue!A$4:A$85,0))*(1+'Paramètres'!$B$4*(C321-1)+'Paramètres'!$B$5*(C321-1)^2),0)</x:f>
        <x:v>52</x:v>
      </x:c>
      <x:c r="S321" t="n">
        <x:f>L321-AVERAGE(Q321:R321)</x:f>
        <x:v>0</x:v>
      </x:c>
      <x:c r="T321" t="str">
        <x:f>IF(M321=0,IF(AND(N321=0,O321=0,E321=0,F321=0),"OK","ERREUR"),IF(AND(M321&gt;=1,M321&lt;=32,OR(N321=4,N321=6,N321=8,N321=10,N321=12,N321=20),O321&gt;=0,E321=M321+O321,F321=M321*N321+O321),"OK","ERREUR"))</x:f>
        <x:v>OK</x:v>
      </x:c>
      <x:c r="U321" s="86" t="n">
        <x:f>IF(M321&gt;0,M321*(N321+1)/2+O321,0)</x:f>
        <x:v>44.5</x:v>
      </x:c>
      <x:c r="V321" t="str">
        <x:f>IF(ABS(L321-U321)&lt;0.001,"OK","ERREUR")</x:f>
        <x:v>OK</x:v>
      </x:c>
    </x:row>
    <x:row r="322" ht="18" customHeight="1">
      <x:c r="A322" t="str">
        <x:v>ARM016</x:v>
      </x:c>
      <x:c r="B322" t="str">
        <x:v>Épée bâtarde</x:v>
      </x:c>
      <x:c r="C322" t="n">
        <x:v>19</x:v>
      </x:c>
      <x:c r="D322" t="str">
        <x:v>Une main</x:v>
      </x:c>
      <x:c r="E322" s="28" t="n">
        <x:f>IF(M322=0,0,M322+O322)</x:f>
        <x:v>41</x:v>
      </x:c>
      <x:c r="F322" s="28" t="n">
        <x:f>IF(M322=0,0,M322*N322+O322)</x:f>
        <x:v>56</x:v>
      </x:c>
      <x:c r="G322" s="28" t="n">
        <x:f>ROUND(Catalogue!G19*SQRT((1+'Paramètres'!$B$4*(C322-1)+'Paramètres'!$B$5*(C322-1)^2)),0)</x:f>
        <x:v>0</x:v>
      </x:c>
      <x:c r="H322" s="28" t="n">
        <x:f>ROUND(Catalogue!H19*SQRT((1+'Paramètres'!$B$4*(C322-1)+'Paramètres'!$B$5*(C322-1)^2)),0)</x:f>
        <x:v>0</x:v>
      </x:c>
      <x:c r="I322" s="28" t="n">
        <x:v>2</x:v>
      </x:c>
      <x:c r="J322" s="28" t="n">
        <x:v>1</x:v>
      </x:c>
      <x:c r="K322" s="30" t="n">
        <x:v>2</x:v>
      </x:c>
      <x:c r="L322" s="54" t="n">
        <x:f>IF(M322=0,0,(E322+F322)/2)</x:f>
        <x:v>48.5</x:v>
      </x:c>
      <x:c r="M322" t="n">
        <x:v>3</x:v>
      </x:c>
      <x:c r="N322" t="n">
        <x:v>6</x:v>
      </x:c>
      <x:c r="O322" t="n">
        <x:v>38</x:v>
      </x:c>
      <x:c r="P322" s="63" t="str">
        <x:f>IF(M322=0,"—",M322&amp;"d"&amp;N322&amp;IF(O322=0,""," + "&amp;O322))</x:f>
        <x:v>3d6 + 38</x:v>
      </x:c>
      <x:c r="Q322" t="n">
        <x:f>ROUND(INDEX(Catalogue!E$4:E$85,MATCH(A322,Catalogue!A$4:A$85,0))*(1+'Paramètres'!$B$4*(C322-1)+'Paramètres'!$B$5*(C322-1)^2),0)</x:f>
        <x:v>41</x:v>
      </x:c>
      <x:c r="R322" t="n">
        <x:f>ROUND(INDEX(Catalogue!F$4:F$85,MATCH(A322,Catalogue!A$4:A$85,0))*(1+'Paramètres'!$B$4*(C322-1)+'Paramètres'!$B$5*(C322-1)^2),0)</x:f>
        <x:v>57</x:v>
      </x:c>
      <x:c r="S322" t="n">
        <x:f>L322-AVERAGE(Q322:R322)</x:f>
        <x:v>-0.5</x:v>
      </x:c>
      <x:c r="T322" t="str">
        <x:f>IF(M322=0,IF(AND(N322=0,O322=0,E322=0,F322=0),"OK","ERREUR"),IF(AND(M322&gt;=1,M322&lt;=32,OR(N322=4,N322=6,N322=8,N322=10,N322=12,N322=20),O322&gt;=0,E322=M322+O322,F322=M322*N322+O322),"OK","ERREUR"))</x:f>
        <x:v>OK</x:v>
      </x:c>
      <x:c r="U322" s="86" t="n">
        <x:f>IF(M322&gt;0,M322*(N322+1)/2+O322,0)</x:f>
        <x:v>48.5</x:v>
      </x:c>
      <x:c r="V322" t="str">
        <x:f>IF(ABS(L322-U322)&lt;0.001,"OK","ERREUR")</x:f>
        <x:v>OK</x:v>
      </x:c>
    </x:row>
    <x:row r="323" ht="18" customHeight="1">
      <x:c r="A323" t="str">
        <x:v>ARM016</x:v>
      </x:c>
      <x:c r="B323" t="str">
        <x:v>Épée bâtarde</x:v>
      </x:c>
      <x:c r="C323" t="n">
        <x:v>20</x:v>
      </x:c>
      <x:c r="D323" t="str">
        <x:v>Une main</x:v>
      </x:c>
      <x:c r="E323" s="28" t="n">
        <x:f>IF(M323=0,0,M323+O323)</x:f>
        <x:v>44</x:v>
      </x:c>
      <x:c r="F323" s="28" t="n">
        <x:f>IF(M323=0,0,M323*N323+O323)</x:f>
        <x:v>62</x:v>
      </x:c>
      <x:c r="G323" s="28" t="n">
        <x:f>ROUND(Catalogue!G19*SQRT((1+'Paramètres'!$B$4*(C323-1)+'Paramètres'!$B$5*(C323-1)^2)),0)</x:f>
        <x:v>0</x:v>
      </x:c>
      <x:c r="H323" s="28" t="n">
        <x:f>ROUND(Catalogue!H19*SQRT((1+'Paramètres'!$B$4*(C323-1)+'Paramètres'!$B$5*(C323-1)^2)),0)</x:f>
        <x:v>0</x:v>
      </x:c>
      <x:c r="I323" s="28" t="n">
        <x:v>2</x:v>
      </x:c>
      <x:c r="J323" s="28" t="n">
        <x:v>1</x:v>
      </x:c>
      <x:c r="K323" s="30" t="n">
        <x:v>2</x:v>
      </x:c>
      <x:c r="L323" s="54" t="n">
        <x:f>IF(M323=0,0,(E323+F323)/2)</x:f>
        <x:v>53</x:v>
      </x:c>
      <x:c r="M323" t="n">
        <x:v>2</x:v>
      </x:c>
      <x:c r="N323" t="n">
        <x:v>10</x:v>
      </x:c>
      <x:c r="O323" t="n">
        <x:v>42</x:v>
      </x:c>
      <x:c r="P323" s="63" t="str">
        <x:f>IF(M323=0,"—",M323&amp;"d"&amp;N323&amp;IF(O323=0,""," + "&amp;O323))</x:f>
        <x:v>2d10 + 42</x:v>
      </x:c>
      <x:c r="Q323" t="n">
        <x:f>ROUND(INDEX(Catalogue!E$4:E$85,MATCH(A323,Catalogue!A$4:A$85,0))*(1+'Paramètres'!$B$4*(C323-1)+'Paramètres'!$B$5*(C323-1)^2),0)</x:f>
        <x:v>44</x:v>
      </x:c>
      <x:c r="R323" t="n">
        <x:f>ROUND(INDEX(Catalogue!F$4:F$85,MATCH(A323,Catalogue!A$4:A$85,0))*(1+'Paramètres'!$B$4*(C323-1)+'Paramètres'!$B$5*(C323-1)^2),0)</x:f>
        <x:v>62</x:v>
      </x:c>
      <x:c r="S323" t="n">
        <x:f>L323-AVERAGE(Q323:R323)</x:f>
        <x:v>0</x:v>
      </x:c>
      <x:c r="T323" t="str">
        <x:f>IF(M323=0,IF(AND(N323=0,O323=0,E323=0,F323=0),"OK","ERREUR"),IF(AND(M323&gt;=1,M323&lt;=32,OR(N323=4,N323=6,N323=8,N323=10,N323=12,N323=20),O323&gt;=0,E323=M323+O323,F323=M323*N323+O323),"OK","ERREUR"))</x:f>
        <x:v>OK</x:v>
      </x:c>
      <x:c r="U323" s="86" t="n">
        <x:f>IF(M323&gt;0,M323*(N323+1)/2+O323,0)</x:f>
        <x:v>53</x:v>
      </x:c>
      <x:c r="V323" t="str">
        <x:f>IF(ABS(L323-U323)&lt;0.001,"OK","ERREUR")</x:f>
        <x:v>OK</x:v>
      </x:c>
    </x:row>
    <x:row r="324" ht="18" customHeight="1">
      <x:c r="A324" t="str">
        <x:v>ARM017</x:v>
      </x:c>
      <x:c r="B324" t="str">
        <x:v>Falchion</x:v>
      </x:c>
      <x:c r="C324" t="n">
        <x:v>1</x:v>
      </x:c>
      <x:c r="D324" t="str">
        <x:v>Une main</x:v>
      </x:c>
      <x:c r="E324" s="28" t="n">
        <x:f>IF(M324=0,0,M324+O324)</x:f>
        <x:v>4</x:v>
      </x:c>
      <x:c r="F324" s="28" t="n">
        <x:f>IF(M324=0,0,M324*N324+O324)</x:f>
        <x:v>7</x:v>
      </x:c>
      <x:c r="G324" s="28" t="n">
        <x:f>ROUND(Catalogue!G20*SQRT((1+'Paramètres'!$B$4*(C324-1)+'Paramètres'!$B$5*(C324-1)^2)),0)</x:f>
        <x:v>0</x:v>
      </x:c>
      <x:c r="H324" s="28" t="n">
        <x:f>ROUND(Catalogue!H20*SQRT((1+'Paramètres'!$B$4*(C324-1)+'Paramètres'!$B$5*(C324-1)^2)),0)</x:f>
        <x:v>0</x:v>
      </x:c>
      <x:c r="I324" s="28" t="n">
        <x:v>2</x:v>
      </x:c>
      <x:c r="J324" s="28" t="n">
        <x:v>1</x:v>
      </x:c>
      <x:c r="K324" s="30" t="n">
        <x:v>1.6</x:v>
      </x:c>
      <x:c r="L324" s="54" t="n">
        <x:f>IF(M324=0,0,(E324+F324)/2)</x:f>
        <x:v>5.5</x:v>
      </x:c>
      <x:c r="M324" t="n">
        <x:v>1</x:v>
      </x:c>
      <x:c r="N324" t="n">
        <x:v>4</x:v>
      </x:c>
      <x:c r="O324" t="n">
        <x:v>3</x:v>
      </x:c>
      <x:c r="P324" s="63" t="str">
        <x:f>IF(M324=0,"—",M324&amp;"d"&amp;N324&amp;IF(O324=0,""," + "&amp;O324))</x:f>
        <x:v>1d4 + 3</x:v>
      </x:c>
      <x:c r="Q324" t="n">
        <x:f>ROUND(INDEX(Catalogue!E$4:E$85,MATCH(A324,Catalogue!A$4:A$85,0))*(1+'Paramètres'!$B$4*(C324-1)+'Paramètres'!$B$5*(C324-1)^2),0)</x:f>
        <x:v>4</x:v>
      </x:c>
      <x:c r="R324" t="n">
        <x:f>ROUND(INDEX(Catalogue!F$4:F$85,MATCH(A324,Catalogue!A$4:A$85,0))*(1+'Paramètres'!$B$4*(C324-1)+'Paramètres'!$B$5*(C324-1)^2),0)</x:f>
        <x:v>7</x:v>
      </x:c>
      <x:c r="S324" t="n">
        <x:f>L324-AVERAGE(Q324:R324)</x:f>
        <x:v>0</x:v>
      </x:c>
      <x:c r="T324" t="str">
        <x:f>IF(M324=0,IF(AND(N324=0,O324=0,E324=0,F324=0),"OK","ERREUR"),IF(AND(M324&gt;=1,M324&lt;=32,OR(N324=4,N324=6,N324=8,N324=10,N324=12,N324=20),O324&gt;=0,E324=M324+O324,F324=M324*N324+O324),"OK","ERREUR"))</x:f>
        <x:v>OK</x:v>
      </x:c>
      <x:c r="U324" s="86" t="n">
        <x:f>IF(M324&gt;0,M324*(N324+1)/2+O324,0)</x:f>
        <x:v>5.5</x:v>
      </x:c>
      <x:c r="V324" t="str">
        <x:f>IF(ABS(L324-U324)&lt;0.001,"OK","ERREUR")</x:f>
        <x:v>OK</x:v>
      </x:c>
    </x:row>
    <x:row r="325" ht="18" customHeight="1">
      <x:c r="A325" t="str">
        <x:v>ARM017</x:v>
      </x:c>
      <x:c r="B325" t="str">
        <x:v>Falchion</x:v>
      </x:c>
      <x:c r="C325" t="n">
        <x:v>2</x:v>
      </x:c>
      <x:c r="D325" t="str">
        <x:v>Une main</x:v>
      </x:c>
      <x:c r="E325" s="28" t="n">
        <x:f>IF(M325=0,0,M325+O325)</x:f>
        <x:v>5</x:v>
      </x:c>
      <x:c r="F325" s="28" t="n">
        <x:f>IF(M325=0,0,M325*N325+O325)</x:f>
        <x:v>8</x:v>
      </x:c>
      <x:c r="G325" s="28" t="n">
        <x:f>ROUND(Catalogue!G20*SQRT((1+'Paramètres'!$B$4*(C325-1)+'Paramètres'!$B$5*(C325-1)^2)),0)</x:f>
        <x:v>0</x:v>
      </x:c>
      <x:c r="H325" s="28" t="n">
        <x:f>ROUND(Catalogue!H20*SQRT((1+'Paramètres'!$B$4*(C325-1)+'Paramètres'!$B$5*(C325-1)^2)),0)</x:f>
        <x:v>0</x:v>
      </x:c>
      <x:c r="I325" s="28" t="n">
        <x:v>2</x:v>
      </x:c>
      <x:c r="J325" s="28" t="n">
        <x:v>1</x:v>
      </x:c>
      <x:c r="K325" s="30" t="n">
        <x:v>1.6</x:v>
      </x:c>
      <x:c r="L325" s="54" t="n">
        <x:f>IF(M325=0,0,(E325+F325)/2)</x:f>
        <x:v>6.5</x:v>
      </x:c>
      <x:c r="M325" t="n">
        <x:v>1</x:v>
      </x:c>
      <x:c r="N325" t="n">
        <x:v>4</x:v>
      </x:c>
      <x:c r="O325" t="n">
        <x:v>4</x:v>
      </x:c>
      <x:c r="P325" s="63" t="str">
        <x:f>IF(M325=0,"—",M325&amp;"d"&amp;N325&amp;IF(O325=0,""," + "&amp;O325))</x:f>
        <x:v>1d4 + 4</x:v>
      </x:c>
      <x:c r="Q325" t="n">
        <x:f>ROUND(INDEX(Catalogue!E$4:E$85,MATCH(A325,Catalogue!A$4:A$85,0))*(1+'Paramètres'!$B$4*(C325-1)+'Paramètres'!$B$5*(C325-1)^2),0)</x:f>
        <x:v>5</x:v>
      </x:c>
      <x:c r="R325" t="n">
        <x:f>ROUND(INDEX(Catalogue!F$4:F$85,MATCH(A325,Catalogue!A$4:A$85,0))*(1+'Paramètres'!$B$4*(C325-1)+'Paramètres'!$B$5*(C325-1)^2),0)</x:f>
        <x:v>8</x:v>
      </x:c>
      <x:c r="S325" t="n">
        <x:f>L325-AVERAGE(Q325:R325)</x:f>
        <x:v>0</x:v>
      </x:c>
      <x:c r="T325" t="str">
        <x:f>IF(M325=0,IF(AND(N325=0,O325=0,E325=0,F325=0),"OK","ERREUR"),IF(AND(M325&gt;=1,M325&lt;=32,OR(N325=4,N325=6,N325=8,N325=10,N325=12,N325=20),O325&gt;=0,E325=M325+O325,F325=M325*N325+O325),"OK","ERREUR"))</x:f>
        <x:v>OK</x:v>
      </x:c>
      <x:c r="U325" s="86" t="n">
        <x:f>IF(M325&gt;0,M325*(N325+1)/2+O325,0)</x:f>
        <x:v>6.5</x:v>
      </x:c>
      <x:c r="V325" t="str">
        <x:f>IF(ABS(L325-U325)&lt;0.001,"OK","ERREUR")</x:f>
        <x:v>OK</x:v>
      </x:c>
    </x:row>
    <x:row r="326" ht="18" customHeight="1">
      <x:c r="A326" t="str">
        <x:v>ARM017</x:v>
      </x:c>
      <x:c r="B326" t="str">
        <x:v>Falchion</x:v>
      </x:c>
      <x:c r="C326" t="n">
        <x:v>3</x:v>
      </x:c>
      <x:c r="D326" t="str">
        <x:v>Une main</x:v>
      </x:c>
      <x:c r="E326" s="28" t="n">
        <x:f>IF(M326=0,0,M326+O326)</x:f>
        <x:v>5</x:v>
      </x:c>
      <x:c r="F326" s="28" t="n">
        <x:f>IF(M326=0,0,M326*N326+O326)</x:f>
        <x:v>8</x:v>
      </x:c>
      <x:c r="G326" s="28" t="n">
        <x:f>ROUND(Catalogue!G20*SQRT((1+'Paramètres'!$B$4*(C326-1)+'Paramètres'!$B$5*(C326-1)^2)),0)</x:f>
        <x:v>0</x:v>
      </x:c>
      <x:c r="H326" s="28" t="n">
        <x:f>ROUND(Catalogue!H20*SQRT((1+'Paramètres'!$B$4*(C326-1)+'Paramètres'!$B$5*(C326-1)^2)),0)</x:f>
        <x:v>0</x:v>
      </x:c>
      <x:c r="I326" s="28" t="n">
        <x:v>2</x:v>
      </x:c>
      <x:c r="J326" s="28" t="n">
        <x:v>1</x:v>
      </x:c>
      <x:c r="K326" s="30" t="n">
        <x:v>1.6</x:v>
      </x:c>
      <x:c r="L326" s="54" t="n">
        <x:f>IF(M326=0,0,(E326+F326)/2)</x:f>
        <x:v>6.5</x:v>
      </x:c>
      <x:c r="M326" t="n">
        <x:v>1</x:v>
      </x:c>
      <x:c r="N326" t="n">
        <x:v>4</x:v>
      </x:c>
      <x:c r="O326" t="n">
        <x:v>4</x:v>
      </x:c>
      <x:c r="P326" s="63" t="str">
        <x:f>IF(M326=0,"—",M326&amp;"d"&amp;N326&amp;IF(O326=0,""," + "&amp;O326))</x:f>
        <x:v>1d4 + 4</x:v>
      </x:c>
      <x:c r="Q326" t="n">
        <x:f>ROUND(INDEX(Catalogue!E$4:E$85,MATCH(A326,Catalogue!A$4:A$85,0))*(1+'Paramètres'!$B$4*(C326-1)+'Paramètres'!$B$5*(C326-1)^2),0)</x:f>
        <x:v>5</x:v>
      </x:c>
      <x:c r="R326" t="n">
        <x:f>ROUND(INDEX(Catalogue!F$4:F$85,MATCH(A326,Catalogue!A$4:A$85,0))*(1+'Paramètres'!$B$4*(C326-1)+'Paramètres'!$B$5*(C326-1)^2),0)</x:f>
        <x:v>9</x:v>
      </x:c>
      <x:c r="S326" t="n">
        <x:f>L326-AVERAGE(Q326:R326)</x:f>
        <x:v>-0.5</x:v>
      </x:c>
      <x:c r="T326" t="str">
        <x:f>IF(M326=0,IF(AND(N326=0,O326=0,E326=0,F326=0),"OK","ERREUR"),IF(AND(M326&gt;=1,M326&lt;=32,OR(N326=4,N326=6,N326=8,N326=10,N326=12,N326=20),O326&gt;=0,E326=M326+O326,F326=M326*N326+O326),"OK","ERREUR"))</x:f>
        <x:v>OK</x:v>
      </x:c>
      <x:c r="U326" s="86" t="n">
        <x:f>IF(M326&gt;0,M326*(N326+1)/2+O326,0)</x:f>
        <x:v>6.5</x:v>
      </x:c>
      <x:c r="V326" t="str">
        <x:f>IF(ABS(L326-U326)&lt;0.001,"OK","ERREUR")</x:f>
        <x:v>OK</x:v>
      </x:c>
    </x:row>
    <x:row r="327" ht="18" customHeight="1">
      <x:c r="A327" t="str">
        <x:v>ARM017</x:v>
      </x:c>
      <x:c r="B327" t="str">
        <x:v>Falchion</x:v>
      </x:c>
      <x:c r="C327" t="n">
        <x:v>4</x:v>
      </x:c>
      <x:c r="D327" t="str">
        <x:v>Une main</x:v>
      </x:c>
      <x:c r="E327" s="28" t="n">
        <x:f>IF(M327=0,0,M327+O327)</x:f>
        <x:v>6</x:v>
      </x:c>
      <x:c r="F327" s="28" t="n">
        <x:f>IF(M327=0,0,M327*N327+O327)</x:f>
        <x:v>9</x:v>
      </x:c>
      <x:c r="G327" s="28" t="n">
        <x:f>ROUND(Catalogue!G20*SQRT((1+'Paramètres'!$B$4*(C327-1)+'Paramètres'!$B$5*(C327-1)^2)),0)</x:f>
        <x:v>0</x:v>
      </x:c>
      <x:c r="H327" s="28" t="n">
        <x:f>ROUND(Catalogue!H20*SQRT((1+'Paramètres'!$B$4*(C327-1)+'Paramètres'!$B$5*(C327-1)^2)),0)</x:f>
        <x:v>0</x:v>
      </x:c>
      <x:c r="I327" s="28" t="n">
        <x:v>2</x:v>
      </x:c>
      <x:c r="J327" s="28" t="n">
        <x:v>1</x:v>
      </x:c>
      <x:c r="K327" s="30" t="n">
        <x:v>1.6</x:v>
      </x:c>
      <x:c r="L327" s="54" t="n">
        <x:f>IF(M327=0,0,(E327+F327)/2)</x:f>
        <x:v>7.5</x:v>
      </x:c>
      <x:c r="M327" t="n">
        <x:v>1</x:v>
      </x:c>
      <x:c r="N327" t="n">
        <x:v>4</x:v>
      </x:c>
      <x:c r="O327" t="n">
        <x:v>5</x:v>
      </x:c>
      <x:c r="P327" s="63" t="str">
        <x:f>IF(M327=0,"—",M327&amp;"d"&amp;N327&amp;IF(O327=0,""," + "&amp;O327))</x:f>
        <x:v>1d4 + 5</x:v>
      </x:c>
      <x:c r="Q327" t="n">
        <x:f>ROUND(INDEX(Catalogue!E$4:E$85,MATCH(A327,Catalogue!A$4:A$85,0))*(1+'Paramètres'!$B$4*(C327-1)+'Paramètres'!$B$5*(C327-1)^2),0)</x:f>
        <x:v>6</x:v>
      </x:c>
      <x:c r="R327" t="n">
        <x:f>ROUND(INDEX(Catalogue!F$4:F$85,MATCH(A327,Catalogue!A$4:A$85,0))*(1+'Paramètres'!$B$4*(C327-1)+'Paramètres'!$B$5*(C327-1)^2),0)</x:f>
        <x:v>10</x:v>
      </x:c>
      <x:c r="S327" t="n">
        <x:f>L327-AVERAGE(Q327:R327)</x:f>
        <x:v>-0.5</x:v>
      </x:c>
      <x:c r="T327" t="str">
        <x:f>IF(M327=0,IF(AND(N327=0,O327=0,E327=0,F327=0),"OK","ERREUR"),IF(AND(M327&gt;=1,M327&lt;=32,OR(N327=4,N327=6,N327=8,N327=10,N327=12,N327=20),O327&gt;=0,E327=M327+O327,F327=M327*N327+O327),"OK","ERREUR"))</x:f>
        <x:v>OK</x:v>
      </x:c>
      <x:c r="U327" s="86" t="n">
        <x:f>IF(M327&gt;0,M327*(N327+1)/2+O327,0)</x:f>
        <x:v>7.5</x:v>
      </x:c>
      <x:c r="V327" t="str">
        <x:f>IF(ABS(L327-U327)&lt;0.001,"OK","ERREUR")</x:f>
        <x:v>OK</x:v>
      </x:c>
    </x:row>
    <x:row r="328" ht="18" customHeight="1">
      <x:c r="A328" t="str">
        <x:v>ARM017</x:v>
      </x:c>
      <x:c r="B328" t="str">
        <x:v>Falchion</x:v>
      </x:c>
      <x:c r="C328" t="n">
        <x:v>5</x:v>
      </x:c>
      <x:c r="D328" t="str">
        <x:v>Une main</x:v>
      </x:c>
      <x:c r="E328" s="28" t="n">
        <x:f>IF(M328=0,0,M328+O328)</x:f>
        <x:v>7</x:v>
      </x:c>
      <x:c r="F328" s="28" t="n">
        <x:f>IF(M328=0,0,M328*N328+O328)</x:f>
        <x:v>12</x:v>
      </x:c>
      <x:c r="G328" s="28" t="n">
        <x:f>ROUND(Catalogue!G20*SQRT((1+'Paramètres'!$B$4*(C328-1)+'Paramètres'!$B$5*(C328-1)^2)),0)</x:f>
        <x:v>0</x:v>
      </x:c>
      <x:c r="H328" s="28" t="n">
        <x:f>ROUND(Catalogue!H20*SQRT((1+'Paramètres'!$B$4*(C328-1)+'Paramètres'!$B$5*(C328-1)^2)),0)</x:f>
        <x:v>0</x:v>
      </x:c>
      <x:c r="I328" s="28" t="n">
        <x:v>2</x:v>
      </x:c>
      <x:c r="J328" s="28" t="n">
        <x:v>1</x:v>
      </x:c>
      <x:c r="K328" s="30" t="n">
        <x:v>1.6</x:v>
      </x:c>
      <x:c r="L328" s="54" t="n">
        <x:f>IF(M328=0,0,(E328+F328)/2)</x:f>
        <x:v>9.5</x:v>
      </x:c>
      <x:c r="M328" t="n">
        <x:v>1</x:v>
      </x:c>
      <x:c r="N328" t="n">
        <x:v>6</x:v>
      </x:c>
      <x:c r="O328" t="n">
        <x:v>6</x:v>
      </x:c>
      <x:c r="P328" s="63" t="str">
        <x:f>IF(M328=0,"—",M328&amp;"d"&amp;N328&amp;IF(O328=0,""," + "&amp;O328))</x:f>
        <x:v>1d6 + 6</x:v>
      </x:c>
      <x:c r="Q328" t="n">
        <x:f>ROUND(INDEX(Catalogue!E$4:E$85,MATCH(A328,Catalogue!A$4:A$85,0))*(1+'Paramètres'!$B$4*(C328-1)+'Paramètres'!$B$5*(C328-1)^2),0)</x:f>
        <x:v>7</x:v>
      </x:c>
      <x:c r="R328" t="n">
        <x:f>ROUND(INDEX(Catalogue!F$4:F$85,MATCH(A328,Catalogue!A$4:A$85,0))*(1+'Paramètres'!$B$4*(C328-1)+'Paramètres'!$B$5*(C328-1)^2),0)</x:f>
        <x:v>12</x:v>
      </x:c>
      <x:c r="S328" t="n">
        <x:f>L328-AVERAGE(Q328:R328)</x:f>
        <x:v>0</x:v>
      </x:c>
      <x:c r="T328" t="str">
        <x:f>IF(M328=0,IF(AND(N328=0,O328=0,E328=0,F328=0),"OK","ERREUR"),IF(AND(M328&gt;=1,M328&lt;=32,OR(N328=4,N328=6,N328=8,N328=10,N328=12,N328=20),O328&gt;=0,E328=M328+O328,F328=M328*N328+O328),"OK","ERREUR"))</x:f>
        <x:v>OK</x:v>
      </x:c>
      <x:c r="U328" s="86" t="n">
        <x:f>IF(M328&gt;0,M328*(N328+1)/2+O328,0)</x:f>
        <x:v>9.5</x:v>
      </x:c>
      <x:c r="V328" t="str">
        <x:f>IF(ABS(L328-U328)&lt;0.001,"OK","ERREUR")</x:f>
        <x:v>OK</x:v>
      </x:c>
    </x:row>
    <x:row r="329" ht="18" customHeight="1">
      <x:c r="A329" t="str">
        <x:v>ARM017</x:v>
      </x:c>
      <x:c r="B329" t="str">
        <x:v>Falchion</x:v>
      </x:c>
      <x:c r="C329" t="n">
        <x:v>6</x:v>
      </x:c>
      <x:c r="D329" t="str">
        <x:v>Une main</x:v>
      </x:c>
      <x:c r="E329" s="28" t="n">
        <x:f>IF(M329=0,0,M329+O329)</x:f>
        <x:v>8</x:v>
      </x:c>
      <x:c r="F329" s="28" t="n">
        <x:f>IF(M329=0,0,M329*N329+O329)</x:f>
        <x:v>14</x:v>
      </x:c>
      <x:c r="G329" s="28" t="n">
        <x:f>ROUND(Catalogue!G20*SQRT((1+'Paramètres'!$B$4*(C329-1)+'Paramètres'!$B$5*(C329-1)^2)),0)</x:f>
        <x:v>0</x:v>
      </x:c>
      <x:c r="H329" s="28" t="n">
        <x:f>ROUND(Catalogue!H20*SQRT((1+'Paramètres'!$B$4*(C329-1)+'Paramètres'!$B$5*(C329-1)^2)),0)</x:f>
        <x:v>0</x:v>
      </x:c>
      <x:c r="I329" s="28" t="n">
        <x:v>2</x:v>
      </x:c>
      <x:c r="J329" s="28" t="n">
        <x:v>1</x:v>
      </x:c>
      <x:c r="K329" s="30" t="n">
        <x:v>1.6</x:v>
      </x:c>
      <x:c r="L329" s="54" t="n">
        <x:f>IF(M329=0,0,(E329+F329)/2)</x:f>
        <x:v>11</x:v>
      </x:c>
      <x:c r="M329" t="n">
        <x:v>2</x:v>
      </x:c>
      <x:c r="N329" t="n">
        <x:v>4</x:v>
      </x:c>
      <x:c r="O329" t="n">
        <x:v>6</x:v>
      </x:c>
      <x:c r="P329" s="63" t="str">
        <x:f>IF(M329=0,"—",M329&amp;"d"&amp;N329&amp;IF(O329=0,""," + "&amp;O329))</x:f>
        <x:v>2d4 + 6</x:v>
      </x:c>
      <x:c r="Q329" t="n">
        <x:f>ROUND(INDEX(Catalogue!E$4:E$85,MATCH(A329,Catalogue!A$4:A$85,0))*(1+'Paramètres'!$B$4*(C329-1)+'Paramètres'!$B$5*(C329-1)^2),0)</x:f>
        <x:v>8</x:v>
      </x:c>
      <x:c r="R329" t="n">
        <x:f>ROUND(INDEX(Catalogue!F$4:F$85,MATCH(A329,Catalogue!A$4:A$85,0))*(1+'Paramètres'!$B$4*(C329-1)+'Paramètres'!$B$5*(C329-1)^2),0)</x:f>
        <x:v>14</x:v>
      </x:c>
      <x:c r="S329" t="n">
        <x:f>L329-AVERAGE(Q329:R329)</x:f>
        <x:v>0</x:v>
      </x:c>
      <x:c r="T329" t="str">
        <x:f>IF(M329=0,IF(AND(N329=0,O329=0,E329=0,F329=0),"OK","ERREUR"),IF(AND(M329&gt;=1,M329&lt;=32,OR(N329=4,N329=6,N329=8,N329=10,N329=12,N329=20),O329&gt;=0,E329=M329+O329,F329=M329*N329+O329),"OK","ERREUR"))</x:f>
        <x:v>OK</x:v>
      </x:c>
      <x:c r="U329" s="86" t="n">
        <x:f>IF(M329&gt;0,M329*(N329+1)/2+O329,0)</x:f>
        <x:v>11</x:v>
      </x:c>
      <x:c r="V329" t="str">
        <x:f>IF(ABS(L329-U329)&lt;0.001,"OK","ERREUR")</x:f>
        <x:v>OK</x:v>
      </x:c>
    </x:row>
    <x:row r="330" ht="18" customHeight="1">
      <x:c r="A330" t="str">
        <x:v>ARM017</x:v>
      </x:c>
      <x:c r="B330" t="str">
        <x:v>Falchion</x:v>
      </x:c>
      <x:c r="C330" t="n">
        <x:v>7</x:v>
      </x:c>
      <x:c r="D330" t="str">
        <x:v>Une main</x:v>
      </x:c>
      <x:c r="E330" s="28" t="n">
        <x:f>IF(M330=0,0,M330+O330)</x:f>
        <x:v>9</x:v>
      </x:c>
      <x:c r="F330" s="28" t="n">
        <x:f>IF(M330=0,0,M330*N330+O330)</x:f>
        <x:v>16</x:v>
      </x:c>
      <x:c r="G330" s="28" t="n">
        <x:f>ROUND(Catalogue!G20*SQRT((1+'Paramètres'!$B$4*(C330-1)+'Paramètres'!$B$5*(C330-1)^2)),0)</x:f>
        <x:v>0</x:v>
      </x:c>
      <x:c r="H330" s="28" t="n">
        <x:f>ROUND(Catalogue!H20*SQRT((1+'Paramètres'!$B$4*(C330-1)+'Paramètres'!$B$5*(C330-1)^2)),0)</x:f>
        <x:v>0</x:v>
      </x:c>
      <x:c r="I330" s="28" t="n">
        <x:v>2</x:v>
      </x:c>
      <x:c r="J330" s="28" t="n">
        <x:v>1</x:v>
      </x:c>
      <x:c r="K330" s="30" t="n">
        <x:v>1.6</x:v>
      </x:c>
      <x:c r="L330" s="54" t="n">
        <x:f>IF(M330=0,0,(E330+F330)/2)</x:f>
        <x:v>12.5</x:v>
      </x:c>
      <x:c r="M330" t="n">
        <x:v>1</x:v>
      </x:c>
      <x:c r="N330" t="n">
        <x:v>8</x:v>
      </x:c>
      <x:c r="O330" t="n">
        <x:v>8</x:v>
      </x:c>
      <x:c r="P330" s="63" t="str">
        <x:f>IF(M330=0,"—",M330&amp;"d"&amp;N330&amp;IF(O330=0,""," + "&amp;O330))</x:f>
        <x:v>1d8 + 8</x:v>
      </x:c>
      <x:c r="Q330" t="n">
        <x:f>ROUND(INDEX(Catalogue!E$4:E$85,MATCH(A330,Catalogue!A$4:A$85,0))*(1+'Paramètres'!$B$4*(C330-1)+'Paramètres'!$B$5*(C330-1)^2),0)</x:f>
        <x:v>9</x:v>
      </x:c>
      <x:c r="R330" t="n">
        <x:f>ROUND(INDEX(Catalogue!F$4:F$85,MATCH(A330,Catalogue!A$4:A$85,0))*(1+'Paramètres'!$B$4*(C330-1)+'Paramètres'!$B$5*(C330-1)^2),0)</x:f>
        <x:v>16</x:v>
      </x:c>
      <x:c r="S330" t="n">
        <x:f>L330-AVERAGE(Q330:R330)</x:f>
        <x:v>0</x:v>
      </x:c>
      <x:c r="T330" t="str">
        <x:f>IF(M330=0,IF(AND(N330=0,O330=0,E330=0,F330=0),"OK","ERREUR"),IF(AND(M330&gt;=1,M330&lt;=32,OR(N330=4,N330=6,N330=8,N330=10,N330=12,N330=20),O330&gt;=0,E330=M330+O330,F330=M330*N330+O330),"OK","ERREUR"))</x:f>
        <x:v>OK</x:v>
      </x:c>
      <x:c r="U330" s="86" t="n">
        <x:f>IF(M330&gt;0,M330*(N330+1)/2+O330,0)</x:f>
        <x:v>12.5</x:v>
      </x:c>
      <x:c r="V330" t="str">
        <x:f>IF(ABS(L330-U330)&lt;0.001,"OK","ERREUR")</x:f>
        <x:v>OK</x:v>
      </x:c>
    </x:row>
    <x:row r="331" ht="18" customHeight="1">
      <x:c r="A331" t="str">
        <x:v>ARM017</x:v>
      </x:c>
      <x:c r="B331" t="str">
        <x:v>Falchion</x:v>
      </x:c>
      <x:c r="C331" t="n">
        <x:v>8</x:v>
      </x:c>
      <x:c r="D331" t="str">
        <x:v>Une main</x:v>
      </x:c>
      <x:c r="E331" s="28" t="n">
        <x:f>IF(M331=0,0,M331+O331)</x:f>
        <x:v>9</x:v>
      </x:c>
      <x:c r="F331" s="28" t="n">
        <x:f>IF(M331=0,0,M331*N331+O331)</x:f>
        <x:v>18</x:v>
      </x:c>
      <x:c r="G331" s="28" t="n">
        <x:f>ROUND(Catalogue!G20*SQRT((1+'Paramètres'!$B$4*(C331-1)+'Paramètres'!$B$5*(C331-1)^2)),0)</x:f>
        <x:v>0</x:v>
      </x:c>
      <x:c r="H331" s="28" t="n">
        <x:f>ROUND(Catalogue!H20*SQRT((1+'Paramètres'!$B$4*(C331-1)+'Paramètres'!$B$5*(C331-1)^2)),0)</x:f>
        <x:v>0</x:v>
      </x:c>
      <x:c r="I331" s="28" t="n">
        <x:v>2</x:v>
      </x:c>
      <x:c r="J331" s="28" t="n">
        <x:v>1</x:v>
      </x:c>
      <x:c r="K331" s="30" t="n">
        <x:v>1.6</x:v>
      </x:c>
      <x:c r="L331" s="54" t="n">
        <x:f>IF(M331=0,0,(E331+F331)/2)</x:f>
        <x:v>13.5</x:v>
      </x:c>
      <x:c r="M331" t="n">
        <x:v>3</x:v>
      </x:c>
      <x:c r="N331" t="n">
        <x:v>4</x:v>
      </x:c>
      <x:c r="O331" t="n">
        <x:v>6</x:v>
      </x:c>
      <x:c r="P331" s="63" t="str">
        <x:f>IF(M331=0,"—",M331&amp;"d"&amp;N331&amp;IF(O331=0,""," + "&amp;O331))</x:f>
        <x:v>3d4 + 6</x:v>
      </x:c>
      <x:c r="Q331" t="n">
        <x:f>ROUND(INDEX(Catalogue!E$4:E$85,MATCH(A331,Catalogue!A$4:A$85,0))*(1+'Paramètres'!$B$4*(C331-1)+'Paramètres'!$B$5*(C331-1)^2),0)</x:f>
        <x:v>10</x:v>
      </x:c>
      <x:c r="R331" t="n">
        <x:f>ROUND(INDEX(Catalogue!F$4:F$85,MATCH(A331,Catalogue!A$4:A$85,0))*(1+'Paramètres'!$B$4*(C331-1)+'Paramètres'!$B$5*(C331-1)^2),0)</x:f>
        <x:v>18</x:v>
      </x:c>
      <x:c r="S331" t="n">
        <x:f>L331-AVERAGE(Q331:R331)</x:f>
        <x:v>-0.5</x:v>
      </x:c>
      <x:c r="T331" t="str">
        <x:f>IF(M331=0,IF(AND(N331=0,O331=0,E331=0,F331=0),"OK","ERREUR"),IF(AND(M331&gt;=1,M331&lt;=32,OR(N331=4,N331=6,N331=8,N331=10,N331=12,N331=20),O331&gt;=0,E331=M331+O331,F331=M331*N331+O331),"OK","ERREUR"))</x:f>
        <x:v>OK</x:v>
      </x:c>
      <x:c r="U331" s="86" t="n">
        <x:f>IF(M331&gt;0,M331*(N331+1)/2+O331,0)</x:f>
        <x:v>13.5</x:v>
      </x:c>
      <x:c r="V331" t="str">
        <x:f>IF(ABS(L331-U331)&lt;0.001,"OK","ERREUR")</x:f>
        <x:v>OK</x:v>
      </x:c>
    </x:row>
    <x:row r="332" ht="18" customHeight="1">
      <x:c r="A332" t="str">
        <x:v>ARM017</x:v>
      </x:c>
      <x:c r="B332" t="str">
        <x:v>Falchion</x:v>
      </x:c>
      <x:c r="C332" t="n">
        <x:v>9</x:v>
      </x:c>
      <x:c r="D332" t="str">
        <x:v>Une main</x:v>
      </x:c>
      <x:c r="E332" s="28" t="n">
        <x:f>IF(M332=0,0,M332+O332)</x:f>
        <x:v>11</x:v>
      </x:c>
      <x:c r="F332" s="28" t="n">
        <x:f>IF(M332=0,0,M332*N332+O332)</x:f>
        <x:v>20</x:v>
      </x:c>
      <x:c r="G332" s="28" t="n">
        <x:f>ROUND(Catalogue!G20*SQRT((1+'Paramètres'!$B$4*(C332-1)+'Paramètres'!$B$5*(C332-1)^2)),0)</x:f>
        <x:v>0</x:v>
      </x:c>
      <x:c r="H332" s="28" t="n">
        <x:f>ROUND(Catalogue!H20*SQRT((1+'Paramètres'!$B$4*(C332-1)+'Paramètres'!$B$5*(C332-1)^2)),0)</x:f>
        <x:v>0</x:v>
      </x:c>
      <x:c r="I332" s="28" t="n">
        <x:v>2</x:v>
      </x:c>
      <x:c r="J332" s="28" t="n">
        <x:v>1</x:v>
      </x:c>
      <x:c r="K332" s="30" t="n">
        <x:v>1.6</x:v>
      </x:c>
      <x:c r="L332" s="54" t="n">
        <x:f>IF(M332=0,0,(E332+F332)/2)</x:f>
        <x:v>15.5</x:v>
      </x:c>
      <x:c r="M332" t="n">
        <x:v>3</x:v>
      </x:c>
      <x:c r="N332" t="n">
        <x:v>4</x:v>
      </x:c>
      <x:c r="O332" t="n">
        <x:v>8</x:v>
      </x:c>
      <x:c r="P332" s="63" t="str">
        <x:f>IF(M332=0,"—",M332&amp;"d"&amp;N332&amp;IF(O332=0,""," + "&amp;O332))</x:f>
        <x:v>3d4 + 8</x:v>
      </x:c>
      <x:c r="Q332" t="n">
        <x:f>ROUND(INDEX(Catalogue!E$4:E$85,MATCH(A332,Catalogue!A$4:A$85,0))*(1+'Paramètres'!$B$4*(C332-1)+'Paramètres'!$B$5*(C332-1)^2),0)</x:f>
        <x:v>12</x:v>
      </x:c>
      <x:c r="R332" t="n">
        <x:f>ROUND(INDEX(Catalogue!F$4:F$85,MATCH(A332,Catalogue!A$4:A$85,0))*(1+'Paramètres'!$B$4*(C332-1)+'Paramètres'!$B$5*(C332-1)^2),0)</x:f>
        <x:v>20</x:v>
      </x:c>
      <x:c r="S332" t="n">
        <x:f>L332-AVERAGE(Q332:R332)</x:f>
        <x:v>-0.5</x:v>
      </x:c>
      <x:c r="T332" t="str">
        <x:f>IF(M332=0,IF(AND(N332=0,O332=0,E332=0,F332=0),"OK","ERREUR"),IF(AND(M332&gt;=1,M332&lt;=32,OR(N332=4,N332=6,N332=8,N332=10,N332=12,N332=20),O332&gt;=0,E332=M332+O332,F332=M332*N332+O332),"OK","ERREUR"))</x:f>
        <x:v>OK</x:v>
      </x:c>
      <x:c r="U332" s="86" t="n">
        <x:f>IF(M332&gt;0,M332*(N332+1)/2+O332,0)</x:f>
        <x:v>15.5</x:v>
      </x:c>
      <x:c r="V332" t="str">
        <x:f>IF(ABS(L332-U332)&lt;0.001,"OK","ERREUR")</x:f>
        <x:v>OK</x:v>
      </x:c>
    </x:row>
    <x:row r="333" ht="18" customHeight="1">
      <x:c r="A333" t="str">
        <x:v>ARM017</x:v>
      </x:c>
      <x:c r="B333" t="str">
        <x:v>Falchion</x:v>
      </x:c>
      <x:c r="C333" t="n">
        <x:v>10</x:v>
      </x:c>
      <x:c r="D333" t="str">
        <x:v>Une main</x:v>
      </x:c>
      <x:c r="E333" s="28" t="n">
        <x:f>IF(M333=0,0,M333+O333)</x:f>
        <x:v>13</x:v>
      </x:c>
      <x:c r="F333" s="28" t="n">
        <x:f>IF(M333=0,0,M333*N333+O333)</x:f>
        <x:v>23</x:v>
      </x:c>
      <x:c r="G333" s="28" t="n">
        <x:f>ROUND(Catalogue!G20*SQRT((1+'Paramètres'!$B$4*(C333-1)+'Paramètres'!$B$5*(C333-1)^2)),0)</x:f>
        <x:v>0</x:v>
      </x:c>
      <x:c r="H333" s="28" t="n">
        <x:f>ROUND(Catalogue!H20*SQRT((1+'Paramètres'!$B$4*(C333-1)+'Paramètres'!$B$5*(C333-1)^2)),0)</x:f>
        <x:v>0</x:v>
      </x:c>
      <x:c r="I333" s="28" t="n">
        <x:v>2</x:v>
      </x:c>
      <x:c r="J333" s="28" t="n">
        <x:v>1</x:v>
      </x:c>
      <x:c r="K333" s="30" t="n">
        <x:v>1.6</x:v>
      </x:c>
      <x:c r="L333" s="54" t="n">
        <x:f>IF(M333=0,0,(E333+F333)/2)</x:f>
        <x:v>18</x:v>
      </x:c>
      <x:c r="M333" t="n">
        <x:v>2</x:v>
      </x:c>
      <x:c r="N333" t="n">
        <x:v>6</x:v>
      </x:c>
      <x:c r="O333" t="n">
        <x:v>11</x:v>
      </x:c>
      <x:c r="P333" s="63" t="str">
        <x:f>IF(M333=0,"—",M333&amp;"d"&amp;N333&amp;IF(O333=0,""," + "&amp;O333))</x:f>
        <x:v>2d6 + 11</x:v>
      </x:c>
      <x:c r="Q333" t="n">
        <x:f>ROUND(INDEX(Catalogue!E$4:E$85,MATCH(A333,Catalogue!A$4:A$85,0))*(1+'Paramètres'!$B$4*(C333-1)+'Paramètres'!$B$5*(C333-1)^2),0)</x:f>
        <x:v>13</x:v>
      </x:c>
      <x:c r="R333" t="n">
        <x:f>ROUND(INDEX(Catalogue!F$4:F$85,MATCH(A333,Catalogue!A$4:A$85,0))*(1+'Paramètres'!$B$4*(C333-1)+'Paramètres'!$B$5*(C333-1)^2),0)</x:f>
        <x:v>23</x:v>
      </x:c>
      <x:c r="S333" t="n">
        <x:f>L333-AVERAGE(Q333:R333)</x:f>
        <x:v>0</x:v>
      </x:c>
      <x:c r="T333" t="str">
        <x:f>IF(M333=0,IF(AND(N333=0,O333=0,E333=0,F333=0),"OK","ERREUR"),IF(AND(M333&gt;=1,M333&lt;=32,OR(N333=4,N333=6,N333=8,N333=10,N333=12,N333=20),O333&gt;=0,E333=M333+O333,F333=M333*N333+O333),"OK","ERREUR"))</x:f>
        <x:v>OK</x:v>
      </x:c>
      <x:c r="U333" s="86" t="n">
        <x:f>IF(M333&gt;0,M333*(N333+1)/2+O333,0)</x:f>
        <x:v>18</x:v>
      </x:c>
      <x:c r="V333" t="str">
        <x:f>IF(ABS(L333-U333)&lt;0.001,"OK","ERREUR")</x:f>
        <x:v>OK</x:v>
      </x:c>
    </x:row>
    <x:row r="334" ht="18" customHeight="1">
      <x:c r="A334" t="str">
        <x:v>ARM017</x:v>
      </x:c>
      <x:c r="B334" t="str">
        <x:v>Falchion</x:v>
      </x:c>
      <x:c r="C334" t="n">
        <x:v>11</x:v>
      </x:c>
      <x:c r="D334" t="str">
        <x:v>Une main</x:v>
      </x:c>
      <x:c r="E334" s="28" t="n">
        <x:f>IF(M334=0,0,M334+O334)</x:f>
        <x:v>15</x:v>
      </x:c>
      <x:c r="F334" s="28" t="n">
        <x:f>IF(M334=0,0,M334*N334+O334)</x:f>
        <x:v>26</x:v>
      </x:c>
      <x:c r="G334" s="28" t="n">
        <x:f>ROUND(Catalogue!G20*SQRT((1+'Paramètres'!$B$4*(C334-1)+'Paramètres'!$B$5*(C334-1)^2)),0)</x:f>
        <x:v>0</x:v>
      </x:c>
      <x:c r="H334" s="28" t="n">
        <x:f>ROUND(Catalogue!H20*SQRT((1+'Paramètres'!$B$4*(C334-1)+'Paramètres'!$B$5*(C334-1)^2)),0)</x:f>
        <x:v>0</x:v>
      </x:c>
      <x:c r="I334" s="28" t="n">
        <x:v>2</x:v>
      </x:c>
      <x:c r="J334" s="28" t="n">
        <x:v>1</x:v>
      </x:c>
      <x:c r="K334" s="30" t="n">
        <x:v>1.6</x:v>
      </x:c>
      <x:c r="L334" s="54" t="n">
        <x:f>IF(M334=0,0,(E334+F334)/2)</x:f>
        <x:v>20.5</x:v>
      </x:c>
      <x:c r="M334" t="n">
        <x:v>1</x:v>
      </x:c>
      <x:c r="N334" t="n">
        <x:v>12</x:v>
      </x:c>
      <x:c r="O334" t="n">
        <x:v>14</x:v>
      </x:c>
      <x:c r="P334" s="63" t="str">
        <x:f>IF(M334=0,"—",M334&amp;"d"&amp;N334&amp;IF(O334=0,""," + "&amp;O334))</x:f>
        <x:v>1d12 + 14</x:v>
      </x:c>
      <x:c r="Q334" t="n">
        <x:f>ROUND(INDEX(Catalogue!E$4:E$85,MATCH(A334,Catalogue!A$4:A$85,0))*(1+'Paramètres'!$B$4*(C334-1)+'Paramètres'!$B$5*(C334-1)^2),0)</x:f>
        <x:v>15</x:v>
      </x:c>
      <x:c r="R334" t="n">
        <x:f>ROUND(INDEX(Catalogue!F$4:F$85,MATCH(A334,Catalogue!A$4:A$85,0))*(1+'Paramètres'!$B$4*(C334-1)+'Paramètres'!$B$5*(C334-1)^2),0)</x:f>
        <x:v>26</x:v>
      </x:c>
      <x:c r="S334" t="n">
        <x:f>L334-AVERAGE(Q334:R334)</x:f>
        <x:v>0</x:v>
      </x:c>
      <x:c r="T334" t="str">
        <x:f>IF(M334=0,IF(AND(N334=0,O334=0,E334=0,F334=0),"OK","ERREUR"),IF(AND(M334&gt;=1,M334&lt;=32,OR(N334=4,N334=6,N334=8,N334=10,N334=12,N334=20),O334&gt;=0,E334=M334+O334,F334=M334*N334+O334),"OK","ERREUR"))</x:f>
        <x:v>OK</x:v>
      </x:c>
      <x:c r="U334" s="86" t="n">
        <x:f>IF(M334&gt;0,M334*(N334+1)/2+O334,0)</x:f>
        <x:v>20.5</x:v>
      </x:c>
      <x:c r="V334" t="str">
        <x:f>IF(ABS(L334-U334)&lt;0.001,"OK","ERREUR")</x:f>
        <x:v>OK</x:v>
      </x:c>
    </x:row>
    <x:row r="335" ht="18" customHeight="1">
      <x:c r="A335" t="str">
        <x:v>ARM017</x:v>
      </x:c>
      <x:c r="B335" t="str">
        <x:v>Falchion</x:v>
      </x:c>
      <x:c r="C335" t="n">
        <x:v>12</x:v>
      </x:c>
      <x:c r="D335" t="str">
        <x:v>Une main</x:v>
      </x:c>
      <x:c r="E335" s="28" t="n">
        <x:f>IF(M335=0,0,M335+O335)</x:f>
        <x:v>17</x:v>
      </x:c>
      <x:c r="F335" s="28" t="n">
        <x:f>IF(M335=0,0,M335*N335+O335)</x:f>
        <x:v>29</x:v>
      </x:c>
      <x:c r="G335" s="28" t="n">
        <x:f>ROUND(Catalogue!G20*SQRT((1+'Paramètres'!$B$4*(C335-1)+'Paramètres'!$B$5*(C335-1)^2)),0)</x:f>
        <x:v>0</x:v>
      </x:c>
      <x:c r="H335" s="28" t="n">
        <x:f>ROUND(Catalogue!H20*SQRT((1+'Paramètres'!$B$4*(C335-1)+'Paramètres'!$B$5*(C335-1)^2)),0)</x:f>
        <x:v>0</x:v>
      </x:c>
      <x:c r="I335" s="28" t="n">
        <x:v>2</x:v>
      </x:c>
      <x:c r="J335" s="28" t="n">
        <x:v>1</x:v>
      </x:c>
      <x:c r="K335" s="30" t="n">
        <x:v>1.6</x:v>
      </x:c>
      <x:c r="L335" s="54" t="n">
        <x:f>IF(M335=0,0,(E335+F335)/2)</x:f>
        <x:v>23</x:v>
      </x:c>
      <x:c r="M335" t="n">
        <x:v>4</x:v>
      </x:c>
      <x:c r="N335" t="n">
        <x:v>4</x:v>
      </x:c>
      <x:c r="O335" t="n">
        <x:v>13</x:v>
      </x:c>
      <x:c r="P335" s="63" t="str">
        <x:f>IF(M335=0,"—",M335&amp;"d"&amp;N335&amp;IF(O335=0,""," + "&amp;O335))</x:f>
        <x:v>4d4 + 13</x:v>
      </x:c>
      <x:c r="Q335" t="n">
        <x:f>ROUND(INDEX(Catalogue!E$4:E$85,MATCH(A335,Catalogue!A$4:A$85,0))*(1+'Paramètres'!$B$4*(C335-1)+'Paramètres'!$B$5*(C335-1)^2),0)</x:f>
        <x:v>17</x:v>
      </x:c>
      <x:c r="R335" t="n">
        <x:f>ROUND(INDEX(Catalogue!F$4:F$85,MATCH(A335,Catalogue!A$4:A$85,0))*(1+'Paramètres'!$B$4*(C335-1)+'Paramètres'!$B$5*(C335-1)^2),0)</x:f>
        <x:v>29</x:v>
      </x:c>
      <x:c r="S335" t="n">
        <x:f>L335-AVERAGE(Q335:R335)</x:f>
        <x:v>0</x:v>
      </x:c>
      <x:c r="T335" t="str">
        <x:f>IF(M335=0,IF(AND(N335=0,O335=0,E335=0,F335=0),"OK","ERREUR"),IF(AND(M335&gt;=1,M335&lt;=32,OR(N335=4,N335=6,N335=8,N335=10,N335=12,N335=20),O335&gt;=0,E335=M335+O335,F335=M335*N335+O335),"OK","ERREUR"))</x:f>
        <x:v>OK</x:v>
      </x:c>
      <x:c r="U335" s="86" t="n">
        <x:f>IF(M335&gt;0,M335*(N335+1)/2+O335,0)</x:f>
        <x:v>23</x:v>
      </x:c>
      <x:c r="V335" t="str">
        <x:f>IF(ABS(L335-U335)&lt;0.001,"OK","ERREUR")</x:f>
        <x:v>OK</x:v>
      </x:c>
    </x:row>
    <x:row r="336" ht="18" customHeight="1">
      <x:c r="A336" t="str">
        <x:v>ARM017</x:v>
      </x:c>
      <x:c r="B336" t="str">
        <x:v>Falchion</x:v>
      </x:c>
      <x:c r="C336" t="n">
        <x:v>13</x:v>
      </x:c>
      <x:c r="D336" t="str">
        <x:v>Une main</x:v>
      </x:c>
      <x:c r="E336" s="28" t="n">
        <x:f>IF(M336=0,0,M336+O336)</x:f>
        <x:v>18</x:v>
      </x:c>
      <x:c r="F336" s="28" t="n">
        <x:f>IF(M336=0,0,M336*N336+O336)</x:f>
        <x:v>32</x:v>
      </x:c>
      <x:c r="G336" s="28" t="n">
        <x:f>ROUND(Catalogue!G20*SQRT((1+'Paramètres'!$B$4*(C336-1)+'Paramètres'!$B$5*(C336-1)^2)),0)</x:f>
        <x:v>0</x:v>
      </x:c>
      <x:c r="H336" s="28" t="n">
        <x:f>ROUND(Catalogue!H20*SQRT((1+'Paramètres'!$B$4*(C336-1)+'Paramètres'!$B$5*(C336-1)^2)),0)</x:f>
        <x:v>0</x:v>
      </x:c>
      <x:c r="I336" s="28" t="n">
        <x:v>2</x:v>
      </x:c>
      <x:c r="J336" s="28" t="n">
        <x:v>1</x:v>
      </x:c>
      <x:c r="K336" s="30" t="n">
        <x:v>1.6</x:v>
      </x:c>
      <x:c r="L336" s="54" t="n">
        <x:f>IF(M336=0,0,(E336+F336)/2)</x:f>
        <x:v>25</x:v>
      </x:c>
      <x:c r="M336" t="n">
        <x:v>2</x:v>
      </x:c>
      <x:c r="N336" t="n">
        <x:v>8</x:v>
      </x:c>
      <x:c r="O336" t="n">
        <x:v>16</x:v>
      </x:c>
      <x:c r="P336" s="63" t="str">
        <x:f>IF(M336=0,"—",M336&amp;"d"&amp;N336&amp;IF(O336=0,""," + "&amp;O336))</x:f>
        <x:v>2d8 + 16</x:v>
      </x:c>
      <x:c r="Q336" t="n">
        <x:f>ROUND(INDEX(Catalogue!E$4:E$85,MATCH(A336,Catalogue!A$4:A$85,0))*(1+'Paramètres'!$B$4*(C336-1)+'Paramètres'!$B$5*(C336-1)^2),0)</x:f>
        <x:v>18</x:v>
      </x:c>
      <x:c r="R336" t="n">
        <x:f>ROUND(INDEX(Catalogue!F$4:F$85,MATCH(A336,Catalogue!A$4:A$85,0))*(1+'Paramètres'!$B$4*(C336-1)+'Paramètres'!$B$5*(C336-1)^2),0)</x:f>
        <x:v>32</x:v>
      </x:c>
      <x:c r="S336" t="n">
        <x:f>L336-AVERAGE(Q336:R336)</x:f>
        <x:v>0</x:v>
      </x:c>
      <x:c r="T336" t="str">
        <x:f>IF(M336=0,IF(AND(N336=0,O336=0,E336=0,F336=0),"OK","ERREUR"),IF(AND(M336&gt;=1,M336&lt;=32,OR(N336=4,N336=6,N336=8,N336=10,N336=12,N336=20),O336&gt;=0,E336=M336+O336,F336=M336*N336+O336),"OK","ERREUR"))</x:f>
        <x:v>OK</x:v>
      </x:c>
      <x:c r="U336" s="86" t="n">
        <x:f>IF(M336&gt;0,M336*(N336+1)/2+O336,0)</x:f>
        <x:v>25</x:v>
      </x:c>
      <x:c r="V336" t="str">
        <x:f>IF(ABS(L336-U336)&lt;0.001,"OK","ERREUR")</x:f>
        <x:v>OK</x:v>
      </x:c>
    </x:row>
    <x:row r="337" ht="18" customHeight="1">
      <x:c r="A337" t="str">
        <x:v>ARM017</x:v>
      </x:c>
      <x:c r="B337" t="str">
        <x:v>Falchion</x:v>
      </x:c>
      <x:c r="C337" t="n">
        <x:v>14</x:v>
      </x:c>
      <x:c r="D337" t="str">
        <x:v>Une main</x:v>
      </x:c>
      <x:c r="E337" s="28" t="n">
        <x:f>IF(M337=0,0,M337+O337)</x:f>
        <x:v>21</x:v>
      </x:c>
      <x:c r="F337" s="28" t="n">
        <x:f>IF(M337=0,0,M337*N337+O337)</x:f>
        <x:v>36</x:v>
      </x:c>
      <x:c r="G337" s="28" t="n">
        <x:f>ROUND(Catalogue!G20*SQRT((1+'Paramètres'!$B$4*(C337-1)+'Paramètres'!$B$5*(C337-1)^2)),0)</x:f>
        <x:v>0</x:v>
      </x:c>
      <x:c r="H337" s="28" t="n">
        <x:f>ROUND(Catalogue!H20*SQRT((1+'Paramètres'!$B$4*(C337-1)+'Paramètres'!$B$5*(C337-1)^2)),0)</x:f>
        <x:v>0</x:v>
      </x:c>
      <x:c r="I337" s="28" t="n">
        <x:v>2</x:v>
      </x:c>
      <x:c r="J337" s="28" t="n">
        <x:v>1</x:v>
      </x:c>
      <x:c r="K337" s="30" t="n">
        <x:v>1.6</x:v>
      </x:c>
      <x:c r="L337" s="54" t="n">
        <x:f>IF(M337=0,0,(E337+F337)/2)</x:f>
        <x:v>28.5</x:v>
      </x:c>
      <x:c r="M337" t="n">
        <x:v>3</x:v>
      </x:c>
      <x:c r="N337" t="n">
        <x:v>6</x:v>
      </x:c>
      <x:c r="O337" t="n">
        <x:v>18</x:v>
      </x:c>
      <x:c r="P337" s="63" t="str">
        <x:f>IF(M337=0,"—",M337&amp;"d"&amp;N337&amp;IF(O337=0,""," + "&amp;O337))</x:f>
        <x:v>3d6 + 18</x:v>
      </x:c>
      <x:c r="Q337" t="n">
        <x:f>ROUND(INDEX(Catalogue!E$4:E$85,MATCH(A337,Catalogue!A$4:A$85,0))*(1+'Paramètres'!$B$4*(C337-1)+'Paramètres'!$B$5*(C337-1)^2),0)</x:f>
        <x:v>21</x:v>
      </x:c>
      <x:c r="R337" t="n">
        <x:f>ROUND(INDEX(Catalogue!F$4:F$85,MATCH(A337,Catalogue!A$4:A$85,0))*(1+'Paramètres'!$B$4*(C337-1)+'Paramètres'!$B$5*(C337-1)^2),0)</x:f>
        <x:v>36</x:v>
      </x:c>
      <x:c r="S337" t="n">
        <x:f>L337-AVERAGE(Q337:R337)</x:f>
        <x:v>0</x:v>
      </x:c>
      <x:c r="T337" t="str">
        <x:f>IF(M337=0,IF(AND(N337=0,O337=0,E337=0,F337=0),"OK","ERREUR"),IF(AND(M337&gt;=1,M337&lt;=32,OR(N337=4,N337=6,N337=8,N337=10,N337=12,N337=20),O337&gt;=0,E337=M337+O337,F337=M337*N337+O337),"OK","ERREUR"))</x:f>
        <x:v>OK</x:v>
      </x:c>
      <x:c r="U337" s="86" t="n">
        <x:f>IF(M337&gt;0,M337*(N337+1)/2+O337,0)</x:f>
        <x:v>28.5</x:v>
      </x:c>
      <x:c r="V337" t="str">
        <x:f>IF(ABS(L337-U337)&lt;0.001,"OK","ERREUR")</x:f>
        <x:v>OK</x:v>
      </x:c>
    </x:row>
    <x:row r="338" ht="18" customHeight="1">
      <x:c r="A338" t="str">
        <x:v>ARM017</x:v>
      </x:c>
      <x:c r="B338" t="str">
        <x:v>Falchion</x:v>
      </x:c>
      <x:c r="C338" t="n">
        <x:v>15</x:v>
      </x:c>
      <x:c r="D338" t="str">
        <x:v>Une main</x:v>
      </x:c>
      <x:c r="E338" s="28" t="n">
        <x:f>IF(M338=0,0,M338+O338)</x:f>
        <x:v>22</x:v>
      </x:c>
      <x:c r="F338" s="28" t="n">
        <x:f>IF(M338=0,0,M338*N338+O338)</x:f>
        <x:v>40</x:v>
      </x:c>
      <x:c r="G338" s="28" t="n">
        <x:f>ROUND(Catalogue!G20*SQRT((1+'Paramètres'!$B$4*(C338-1)+'Paramètres'!$B$5*(C338-1)^2)),0)</x:f>
        <x:v>0</x:v>
      </x:c>
      <x:c r="H338" s="28" t="n">
        <x:f>ROUND(Catalogue!H20*SQRT((1+'Paramètres'!$B$4*(C338-1)+'Paramètres'!$B$5*(C338-1)^2)),0)</x:f>
        <x:v>0</x:v>
      </x:c>
      <x:c r="I338" s="28" t="n">
        <x:v>2</x:v>
      </x:c>
      <x:c r="J338" s="28" t="n">
        <x:v>1</x:v>
      </x:c>
      <x:c r="K338" s="30" t="n">
        <x:v>1.6</x:v>
      </x:c>
      <x:c r="L338" s="54" t="n">
        <x:f>IF(M338=0,0,(E338+F338)/2)</x:f>
        <x:v>31</x:v>
      </x:c>
      <x:c r="M338" t="n">
        <x:v>2</x:v>
      </x:c>
      <x:c r="N338" t="n">
        <x:v>10</x:v>
      </x:c>
      <x:c r="O338" t="n">
        <x:v>20</x:v>
      </x:c>
      <x:c r="P338" s="63" t="str">
        <x:f>IF(M338=0,"—",M338&amp;"d"&amp;N338&amp;IF(O338=0,""," + "&amp;O338))</x:f>
        <x:v>2d10 + 20</x:v>
      </x:c>
      <x:c r="Q338" t="n">
        <x:f>ROUND(INDEX(Catalogue!E$4:E$85,MATCH(A338,Catalogue!A$4:A$85,0))*(1+'Paramètres'!$B$4*(C338-1)+'Paramètres'!$B$5*(C338-1)^2),0)</x:f>
        <x:v>23</x:v>
      </x:c>
      <x:c r="R338" t="n">
        <x:f>ROUND(INDEX(Catalogue!F$4:F$85,MATCH(A338,Catalogue!A$4:A$85,0))*(1+'Paramètres'!$B$4*(C338-1)+'Paramètres'!$B$5*(C338-1)^2),0)</x:f>
        <x:v>40</x:v>
      </x:c>
      <x:c r="S338" t="n">
        <x:f>L338-AVERAGE(Q338:R338)</x:f>
        <x:v>-0.5</x:v>
      </x:c>
      <x:c r="T338" t="str">
        <x:f>IF(M338=0,IF(AND(N338=0,O338=0,E338=0,F338=0),"OK","ERREUR"),IF(AND(M338&gt;=1,M338&lt;=32,OR(N338=4,N338=6,N338=8,N338=10,N338=12,N338=20),O338&gt;=0,E338=M338+O338,F338=M338*N338+O338),"OK","ERREUR"))</x:f>
        <x:v>OK</x:v>
      </x:c>
      <x:c r="U338" s="86" t="n">
        <x:f>IF(M338&gt;0,M338*(N338+1)/2+O338,0)</x:f>
        <x:v>31</x:v>
      </x:c>
      <x:c r="V338" t="str">
        <x:f>IF(ABS(L338-U338)&lt;0.001,"OK","ERREUR")</x:f>
        <x:v>OK</x:v>
      </x:c>
    </x:row>
    <x:row r="339" ht="18" customHeight="1">
      <x:c r="A339" t="str">
        <x:v>ARM017</x:v>
      </x:c>
      <x:c r="B339" t="str">
        <x:v>Falchion</x:v>
      </x:c>
      <x:c r="C339" t="n">
        <x:v>16</x:v>
      </x:c>
      <x:c r="D339" t="str">
        <x:v>Une main</x:v>
      </x:c>
      <x:c r="E339" s="28" t="n">
        <x:f>IF(M339=0,0,M339+O339)</x:f>
        <x:v>26</x:v>
      </x:c>
      <x:c r="F339" s="28" t="n">
        <x:f>IF(M339=0,0,M339*N339+O339)</x:f>
        <x:v>44</x:v>
      </x:c>
      <x:c r="G339" s="28" t="n">
        <x:f>ROUND(Catalogue!G20*SQRT((1+'Paramètres'!$B$4*(C339-1)+'Paramètres'!$B$5*(C339-1)^2)),0)</x:f>
        <x:v>0</x:v>
      </x:c>
      <x:c r="H339" s="28" t="n">
        <x:f>ROUND(Catalogue!H20*SQRT((1+'Paramètres'!$B$4*(C339-1)+'Paramètres'!$B$5*(C339-1)^2)),0)</x:f>
        <x:v>0</x:v>
      </x:c>
      <x:c r="I339" s="28" t="n">
        <x:v>2</x:v>
      </x:c>
      <x:c r="J339" s="28" t="n">
        <x:v>1</x:v>
      </x:c>
      <x:c r="K339" s="30" t="n">
        <x:v>1.6</x:v>
      </x:c>
      <x:c r="L339" s="54" t="n">
        <x:f>IF(M339=0,0,(E339+F339)/2)</x:f>
        <x:v>35</x:v>
      </x:c>
      <x:c r="M339" t="n">
        <x:v>2</x:v>
      </x:c>
      <x:c r="N339" t="n">
        <x:v>10</x:v>
      </x:c>
      <x:c r="O339" t="n">
        <x:v>24</x:v>
      </x:c>
      <x:c r="P339" s="63" t="str">
        <x:f>IF(M339=0,"—",M339&amp;"d"&amp;N339&amp;IF(O339=0,""," + "&amp;O339))</x:f>
        <x:v>2d10 + 24</x:v>
      </x:c>
      <x:c r="Q339" t="n">
        <x:f>ROUND(INDEX(Catalogue!E$4:E$85,MATCH(A339,Catalogue!A$4:A$85,0))*(1+'Paramètres'!$B$4*(C339-1)+'Paramètres'!$B$5*(C339-1)^2),0)</x:f>
        <x:v>25</x:v>
      </x:c>
      <x:c r="R339" t="n">
        <x:f>ROUND(INDEX(Catalogue!F$4:F$85,MATCH(A339,Catalogue!A$4:A$85,0))*(1+'Paramètres'!$B$4*(C339-1)+'Paramètres'!$B$5*(C339-1)^2),0)</x:f>
        <x:v>44</x:v>
      </x:c>
      <x:c r="S339" t="n">
        <x:f>L339-AVERAGE(Q339:R339)</x:f>
        <x:v>0.5</x:v>
      </x:c>
      <x:c r="T339" t="str">
        <x:f>IF(M339=0,IF(AND(N339=0,O339=0,E339=0,F339=0),"OK","ERREUR"),IF(AND(M339&gt;=1,M339&lt;=32,OR(N339=4,N339=6,N339=8,N339=10,N339=12,N339=20),O339&gt;=0,E339=M339+O339,F339=M339*N339+O339),"OK","ERREUR"))</x:f>
        <x:v>OK</x:v>
      </x:c>
      <x:c r="U339" s="86" t="n">
        <x:f>IF(M339&gt;0,M339*(N339+1)/2+O339,0)</x:f>
        <x:v>35</x:v>
      </x:c>
      <x:c r="V339" t="str">
        <x:f>IF(ABS(L339-U339)&lt;0.001,"OK","ERREUR")</x:f>
        <x:v>OK</x:v>
      </x:c>
    </x:row>
    <x:row r="340" ht="18" customHeight="1">
      <x:c r="A340" t="str">
        <x:v>ARM017</x:v>
      </x:c>
      <x:c r="B340" t="str">
        <x:v>Falchion</x:v>
      </x:c>
      <x:c r="C340" t="n">
        <x:v>17</x:v>
      </x:c>
      <x:c r="D340" t="str">
        <x:v>Une main</x:v>
      </x:c>
      <x:c r="E340" s="28" t="n">
        <x:f>IF(M340=0,0,M340+O340)</x:f>
        <x:v>27</x:v>
      </x:c>
      <x:c r="F340" s="28" t="n">
        <x:f>IF(M340=0,0,M340*N340+O340)</x:f>
        <x:v>48</x:v>
      </x:c>
      <x:c r="G340" s="28" t="n">
        <x:f>ROUND(Catalogue!G20*SQRT((1+'Paramètres'!$B$4*(C340-1)+'Paramètres'!$B$5*(C340-1)^2)),0)</x:f>
        <x:v>0</x:v>
      </x:c>
      <x:c r="H340" s="28" t="n">
        <x:f>ROUND(Catalogue!H20*SQRT((1+'Paramètres'!$B$4*(C340-1)+'Paramètres'!$B$5*(C340-1)^2)),0)</x:f>
        <x:v>0</x:v>
      </x:c>
      <x:c r="I340" s="28" t="n">
        <x:v>2</x:v>
      </x:c>
      <x:c r="J340" s="28" t="n">
        <x:v>1</x:v>
      </x:c>
      <x:c r="K340" s="30" t="n">
        <x:v>1.6</x:v>
      </x:c>
      <x:c r="L340" s="54" t="n">
        <x:f>IF(M340=0,0,(E340+F340)/2)</x:f>
        <x:v>37.5</x:v>
      </x:c>
      <x:c r="M340" t="n">
        <x:v>3</x:v>
      </x:c>
      <x:c r="N340" t="n">
        <x:v>8</x:v>
      </x:c>
      <x:c r="O340" t="n">
        <x:v>24</x:v>
      </x:c>
      <x:c r="P340" s="63" t="str">
        <x:f>IF(M340=0,"—",M340&amp;"d"&amp;N340&amp;IF(O340=0,""," + "&amp;O340))</x:f>
        <x:v>3d8 + 24</x:v>
      </x:c>
      <x:c r="Q340" t="n">
        <x:f>ROUND(INDEX(Catalogue!E$4:E$85,MATCH(A340,Catalogue!A$4:A$85,0))*(1+'Paramètres'!$B$4*(C340-1)+'Paramètres'!$B$5*(C340-1)^2),0)</x:f>
        <x:v>27</x:v>
      </x:c>
      <x:c r="R340" t="n">
        <x:f>ROUND(INDEX(Catalogue!F$4:F$85,MATCH(A340,Catalogue!A$4:A$85,0))*(1+'Paramètres'!$B$4*(C340-1)+'Paramètres'!$B$5*(C340-1)^2),0)</x:f>
        <x:v>48</x:v>
      </x:c>
      <x:c r="S340" t="n">
        <x:f>L340-AVERAGE(Q340:R340)</x:f>
        <x:v>0</x:v>
      </x:c>
      <x:c r="T340" t="str">
        <x:f>IF(M340=0,IF(AND(N340=0,O340=0,E340=0,F340=0),"OK","ERREUR"),IF(AND(M340&gt;=1,M340&lt;=32,OR(N340=4,N340=6,N340=8,N340=10,N340=12,N340=20),O340&gt;=0,E340=M340+O340,F340=M340*N340+O340),"OK","ERREUR"))</x:f>
        <x:v>OK</x:v>
      </x:c>
      <x:c r="U340" s="86" t="n">
        <x:f>IF(M340&gt;0,M340*(N340+1)/2+O340,0)</x:f>
        <x:v>37.5</x:v>
      </x:c>
      <x:c r="V340" t="str">
        <x:f>IF(ABS(L340-U340)&lt;0.001,"OK","ERREUR")</x:f>
        <x:v>OK</x:v>
      </x:c>
    </x:row>
    <x:row r="341" ht="18" customHeight="1">
      <x:c r="A341" t="str">
        <x:v>ARM017</x:v>
      </x:c>
      <x:c r="B341" t="str">
        <x:v>Falchion</x:v>
      </x:c>
      <x:c r="C341" t="n">
        <x:v>18</x:v>
      </x:c>
      <x:c r="D341" t="str">
        <x:v>Une main</x:v>
      </x:c>
      <x:c r="E341" s="28" t="n">
        <x:f>IF(M341=0,0,M341+O341)</x:f>
        <x:v>30</x:v>
      </x:c>
      <x:c r="F341" s="28" t="n">
        <x:f>IF(M341=0,0,M341*N341+O341)</x:f>
        <x:v>52</x:v>
      </x:c>
      <x:c r="G341" s="28" t="n">
        <x:f>ROUND(Catalogue!G20*SQRT((1+'Paramètres'!$B$4*(C341-1)+'Paramètres'!$B$5*(C341-1)^2)),0)</x:f>
        <x:v>0</x:v>
      </x:c>
      <x:c r="H341" s="28" t="n">
        <x:f>ROUND(Catalogue!H20*SQRT((1+'Paramètres'!$B$4*(C341-1)+'Paramètres'!$B$5*(C341-1)^2)),0)</x:f>
        <x:v>0</x:v>
      </x:c>
      <x:c r="I341" s="28" t="n">
        <x:v>2</x:v>
      </x:c>
      <x:c r="J341" s="28" t="n">
        <x:v>1</x:v>
      </x:c>
      <x:c r="K341" s="30" t="n">
        <x:v>1.6</x:v>
      </x:c>
      <x:c r="L341" s="54" t="n">
        <x:f>IF(M341=0,0,(E341+F341)/2)</x:f>
        <x:v>41</x:v>
      </x:c>
      <x:c r="M341" t="n">
        <x:v>2</x:v>
      </x:c>
      <x:c r="N341" t="n">
        <x:v>12</x:v>
      </x:c>
      <x:c r="O341" t="n">
        <x:v>28</x:v>
      </x:c>
      <x:c r="P341" s="63" t="str">
        <x:f>IF(M341=0,"—",M341&amp;"d"&amp;N341&amp;IF(O341=0,""," + "&amp;O341))</x:f>
        <x:v>2d12 + 28</x:v>
      </x:c>
      <x:c r="Q341" t="n">
        <x:f>ROUND(INDEX(Catalogue!E$4:E$85,MATCH(A341,Catalogue!A$4:A$85,0))*(1+'Paramètres'!$B$4*(C341-1)+'Paramètres'!$B$5*(C341-1)^2),0)</x:f>
        <x:v>30</x:v>
      </x:c>
      <x:c r="R341" t="n">
        <x:f>ROUND(INDEX(Catalogue!F$4:F$85,MATCH(A341,Catalogue!A$4:A$85,0))*(1+'Paramètres'!$B$4*(C341-1)+'Paramètres'!$B$5*(C341-1)^2),0)</x:f>
        <x:v>52</x:v>
      </x:c>
      <x:c r="S341" t="n">
        <x:f>L341-AVERAGE(Q341:R341)</x:f>
        <x:v>0</x:v>
      </x:c>
      <x:c r="T341" t="str">
        <x:f>IF(M341=0,IF(AND(N341=0,O341=0,E341=0,F341=0),"OK","ERREUR"),IF(AND(M341&gt;=1,M341&lt;=32,OR(N341=4,N341=6,N341=8,N341=10,N341=12,N341=20),O341&gt;=0,E341=M341+O341,F341=M341*N341+O341),"OK","ERREUR"))</x:f>
        <x:v>OK</x:v>
      </x:c>
      <x:c r="U341" s="86" t="n">
        <x:f>IF(M341&gt;0,M341*(N341+1)/2+O341,0)</x:f>
        <x:v>41</x:v>
      </x:c>
      <x:c r="V341" t="str">
        <x:f>IF(ABS(L341-U341)&lt;0.001,"OK","ERREUR")</x:f>
        <x:v>OK</x:v>
      </x:c>
    </x:row>
    <x:row r="342" ht="18" customHeight="1">
      <x:c r="A342" t="str">
        <x:v>ARM017</x:v>
      </x:c>
      <x:c r="B342" t="str">
        <x:v>Falchion</x:v>
      </x:c>
      <x:c r="C342" t="n">
        <x:v>19</x:v>
      </x:c>
      <x:c r="D342" t="str">
        <x:v>Une main</x:v>
      </x:c>
      <x:c r="E342" s="28" t="n">
        <x:f>IF(M342=0,0,M342+O342)</x:f>
        <x:v>32</x:v>
      </x:c>
      <x:c r="F342" s="28" t="n">
        <x:f>IF(M342=0,0,M342*N342+O342)</x:f>
        <x:v>57</x:v>
      </x:c>
      <x:c r="G342" s="28" t="n">
        <x:f>ROUND(Catalogue!G20*SQRT((1+'Paramètres'!$B$4*(C342-1)+'Paramètres'!$B$5*(C342-1)^2)),0)</x:f>
        <x:v>0</x:v>
      </x:c>
      <x:c r="H342" s="28" t="n">
        <x:f>ROUND(Catalogue!H20*SQRT((1+'Paramètres'!$B$4*(C342-1)+'Paramètres'!$B$5*(C342-1)^2)),0)</x:f>
        <x:v>0</x:v>
      </x:c>
      <x:c r="I342" s="28" t="n">
        <x:v>2</x:v>
      </x:c>
      <x:c r="J342" s="28" t="n">
        <x:v>1</x:v>
      </x:c>
      <x:c r="K342" s="30" t="n">
        <x:v>1.6</x:v>
      </x:c>
      <x:c r="L342" s="54" t="n">
        <x:f>IF(M342=0,0,(E342+F342)/2)</x:f>
        <x:v>44.5</x:v>
      </x:c>
      <x:c r="M342" t="n">
        <x:v>5</x:v>
      </x:c>
      <x:c r="N342" t="n">
        <x:v>6</x:v>
      </x:c>
      <x:c r="O342" t="n">
        <x:v>27</x:v>
      </x:c>
      <x:c r="P342" s="63" t="str">
        <x:f>IF(M342=0,"—",M342&amp;"d"&amp;N342&amp;IF(O342=0,""," + "&amp;O342))</x:f>
        <x:v>5d6 + 27</x:v>
      </x:c>
      <x:c r="Q342" t="n">
        <x:f>ROUND(INDEX(Catalogue!E$4:E$85,MATCH(A342,Catalogue!A$4:A$85,0))*(1+'Paramètres'!$B$4*(C342-1)+'Paramètres'!$B$5*(C342-1)^2),0)</x:f>
        <x:v>33</x:v>
      </x:c>
      <x:c r="R342" t="n">
        <x:f>ROUND(INDEX(Catalogue!F$4:F$85,MATCH(A342,Catalogue!A$4:A$85,0))*(1+'Paramètres'!$B$4*(C342-1)+'Paramètres'!$B$5*(C342-1)^2),0)</x:f>
        <x:v>57</x:v>
      </x:c>
      <x:c r="S342" t="n">
        <x:f>L342-AVERAGE(Q342:R342)</x:f>
        <x:v>-0.5</x:v>
      </x:c>
      <x:c r="T342" t="str">
        <x:f>IF(M342=0,IF(AND(N342=0,O342=0,E342=0,F342=0),"OK","ERREUR"),IF(AND(M342&gt;=1,M342&lt;=32,OR(N342=4,N342=6,N342=8,N342=10,N342=12,N342=20),O342&gt;=0,E342=M342+O342,F342=M342*N342+O342),"OK","ERREUR"))</x:f>
        <x:v>OK</x:v>
      </x:c>
      <x:c r="U342" s="86" t="n">
        <x:f>IF(M342&gt;0,M342*(N342+1)/2+O342,0)</x:f>
        <x:v>44.5</x:v>
      </x:c>
      <x:c r="V342" t="str">
        <x:f>IF(ABS(L342-U342)&lt;0.001,"OK","ERREUR")</x:f>
        <x:v>OK</x:v>
      </x:c>
    </x:row>
    <x:row r="343" ht="18" customHeight="1">
      <x:c r="A343" t="str">
        <x:v>ARM017</x:v>
      </x:c>
      <x:c r="B343" t="str">
        <x:v>Falchion</x:v>
      </x:c>
      <x:c r="C343" t="n">
        <x:v>20</x:v>
      </x:c>
      <x:c r="D343" t="str">
        <x:v>Une main</x:v>
      </x:c>
      <x:c r="E343" s="28" t="n">
        <x:f>IF(M343=0,0,M343+O343)</x:f>
        <x:v>35</x:v>
      </x:c>
      <x:c r="F343" s="28" t="n">
        <x:f>IF(M343=0,0,M343*N343+O343)</x:f>
        <x:v>62</x:v>
      </x:c>
      <x:c r="G343" s="28" t="n">
        <x:f>ROUND(Catalogue!G20*SQRT((1+'Paramètres'!$B$4*(C343-1)+'Paramètres'!$B$5*(C343-1)^2)),0)</x:f>
        <x:v>0</x:v>
      </x:c>
      <x:c r="H343" s="28" t="n">
        <x:f>ROUND(Catalogue!H20*SQRT((1+'Paramètres'!$B$4*(C343-1)+'Paramètres'!$B$5*(C343-1)^2)),0)</x:f>
        <x:v>0</x:v>
      </x:c>
      <x:c r="I343" s="28" t="n">
        <x:v>2</x:v>
      </x:c>
      <x:c r="J343" s="28" t="n">
        <x:v>1</x:v>
      </x:c>
      <x:c r="K343" s="30" t="n">
        <x:v>1.6</x:v>
      </x:c>
      <x:c r="L343" s="54" t="n">
        <x:f>IF(M343=0,0,(E343+F343)/2)</x:f>
        <x:v>48.5</x:v>
      </x:c>
      <x:c r="M343" t="n">
        <x:v>3</x:v>
      </x:c>
      <x:c r="N343" t="n">
        <x:v>10</x:v>
      </x:c>
      <x:c r="O343" t="n">
        <x:v>32</x:v>
      </x:c>
      <x:c r="P343" s="63" t="str">
        <x:f>IF(M343=0,"—",M343&amp;"d"&amp;N343&amp;IF(O343=0,""," + "&amp;O343))</x:f>
        <x:v>3d10 + 32</x:v>
      </x:c>
      <x:c r="Q343" t="n">
        <x:f>ROUND(INDEX(Catalogue!E$4:E$85,MATCH(A343,Catalogue!A$4:A$85,0))*(1+'Paramètres'!$B$4*(C343-1)+'Paramètres'!$B$5*(C343-1)^2),0)</x:f>
        <x:v>35</x:v>
      </x:c>
      <x:c r="R343" t="n">
        <x:f>ROUND(INDEX(Catalogue!F$4:F$85,MATCH(A343,Catalogue!A$4:A$85,0))*(1+'Paramètres'!$B$4*(C343-1)+'Paramètres'!$B$5*(C343-1)^2),0)</x:f>
        <x:v>62</x:v>
      </x:c>
      <x:c r="S343" t="n">
        <x:f>L343-AVERAGE(Q343:R343)</x:f>
        <x:v>0</x:v>
      </x:c>
      <x:c r="T343" t="str">
        <x:f>IF(M343=0,IF(AND(N343=0,O343=0,E343=0,F343=0),"OK","ERREUR"),IF(AND(M343&gt;=1,M343&lt;=32,OR(N343=4,N343=6,N343=8,N343=10,N343=12,N343=20),O343&gt;=0,E343=M343+O343,F343=M343*N343+O343),"OK","ERREUR"))</x:f>
        <x:v>OK</x:v>
      </x:c>
      <x:c r="U343" s="86" t="n">
        <x:f>IF(M343&gt;0,M343*(N343+1)/2+O343,0)</x:f>
        <x:v>48.5</x:v>
      </x:c>
      <x:c r="V343" t="str">
        <x:f>IF(ABS(L343-U343)&lt;0.001,"OK","ERREUR")</x:f>
        <x:v>OK</x:v>
      </x:c>
    </x:row>
    <x:row r="344" ht="18" customHeight="1">
      <x:c r="A344" t="str">
        <x:v>ARM018</x:v>
      </x:c>
      <x:c r="B344" t="str">
        <x:v>Hache de guerre</x:v>
      </x:c>
      <x:c r="C344" t="n">
        <x:v>1</x:v>
      </x:c>
      <x:c r="D344" t="str">
        <x:v>Une main</x:v>
      </x:c>
      <x:c r="E344" s="28" t="n">
        <x:f>IF(M344=0,0,M344+O344)</x:f>
        <x:v>5</x:v>
      </x:c>
      <x:c r="F344" s="28" t="n">
        <x:f>IF(M344=0,0,M344*N344+O344)</x:f>
        <x:v>8</x:v>
      </x:c>
      <x:c r="G344" s="28" t="n">
        <x:f>ROUND(Catalogue!G21*SQRT((1+'Paramètres'!$B$4*(C344-1)+'Paramètres'!$B$5*(C344-1)^2)),0)</x:f>
        <x:v>0</x:v>
      </x:c>
      <x:c r="H344" s="28" t="n">
        <x:f>ROUND(Catalogue!H21*SQRT((1+'Paramètres'!$B$4*(C344-1)+'Paramètres'!$B$5*(C344-1)^2)),0)</x:f>
        <x:v>0</x:v>
      </x:c>
      <x:c r="I344" s="28" t="n">
        <x:v>2</x:v>
      </x:c>
      <x:c r="J344" s="28" t="n">
        <x:v>1</x:v>
      </x:c>
      <x:c r="K344" s="30" t="n">
        <x:v>2.1</x:v>
      </x:c>
      <x:c r="L344" s="54" t="n">
        <x:f>IF(M344=0,0,(E344+F344)/2)</x:f>
        <x:v>6.5</x:v>
      </x:c>
      <x:c r="M344" t="n">
        <x:v>1</x:v>
      </x:c>
      <x:c r="N344" t="n">
        <x:v>4</x:v>
      </x:c>
      <x:c r="O344" t="n">
        <x:v>4</x:v>
      </x:c>
      <x:c r="P344" s="63" t="str">
        <x:f>IF(M344=0,"—",M344&amp;"d"&amp;N344&amp;IF(O344=0,""," + "&amp;O344))</x:f>
        <x:v>1d4 + 4</x:v>
      </x:c>
      <x:c r="Q344" t="n">
        <x:f>ROUND(INDEX(Catalogue!E$4:E$85,MATCH(A344,Catalogue!A$4:A$85,0))*(1+'Paramètres'!$B$4*(C344-1)+'Paramètres'!$B$5*(C344-1)^2),0)</x:f>
        <x:v>5</x:v>
      </x:c>
      <x:c r="R344" t="n">
        <x:f>ROUND(INDEX(Catalogue!F$4:F$85,MATCH(A344,Catalogue!A$4:A$85,0))*(1+'Paramètres'!$B$4*(C344-1)+'Paramètres'!$B$5*(C344-1)^2),0)</x:f>
        <x:v>8</x:v>
      </x:c>
      <x:c r="S344" t="n">
        <x:f>L344-AVERAGE(Q344:R344)</x:f>
        <x:v>0</x:v>
      </x:c>
      <x:c r="T344" t="str">
        <x:f>IF(M344=0,IF(AND(N344=0,O344=0,E344=0,F344=0),"OK","ERREUR"),IF(AND(M344&gt;=1,M344&lt;=32,OR(N344=4,N344=6,N344=8,N344=10,N344=12,N344=20),O344&gt;=0,E344=M344+O344,F344=M344*N344+O344),"OK","ERREUR"))</x:f>
        <x:v>OK</x:v>
      </x:c>
      <x:c r="U344" s="86" t="n">
        <x:f>IF(M344&gt;0,M344*(N344+1)/2+O344,0)</x:f>
        <x:v>6.5</x:v>
      </x:c>
      <x:c r="V344" t="str">
        <x:f>IF(ABS(L344-U344)&lt;0.001,"OK","ERREUR")</x:f>
        <x:v>OK</x:v>
      </x:c>
    </x:row>
    <x:row r="345" ht="18" customHeight="1">
      <x:c r="A345" t="str">
        <x:v>ARM018</x:v>
      </x:c>
      <x:c r="B345" t="str">
        <x:v>Hache de guerre</x:v>
      </x:c>
      <x:c r="C345" t="n">
        <x:v>2</x:v>
      </x:c>
      <x:c r="D345" t="str">
        <x:v>Une main</x:v>
      </x:c>
      <x:c r="E345" s="28" t="n">
        <x:f>IF(M345=0,0,M345+O345)</x:f>
        <x:v>6</x:v>
      </x:c>
      <x:c r="F345" s="28" t="n">
        <x:f>IF(M345=0,0,M345*N345+O345)</x:f>
        <x:v>9</x:v>
      </x:c>
      <x:c r="G345" s="28" t="n">
        <x:f>ROUND(Catalogue!G21*SQRT((1+'Paramètres'!$B$4*(C345-1)+'Paramètres'!$B$5*(C345-1)^2)),0)</x:f>
        <x:v>0</x:v>
      </x:c>
      <x:c r="H345" s="28" t="n">
        <x:f>ROUND(Catalogue!H21*SQRT((1+'Paramètres'!$B$4*(C345-1)+'Paramètres'!$B$5*(C345-1)^2)),0)</x:f>
        <x:v>0</x:v>
      </x:c>
      <x:c r="I345" s="28" t="n">
        <x:v>2</x:v>
      </x:c>
      <x:c r="J345" s="28" t="n">
        <x:v>1</x:v>
      </x:c>
      <x:c r="K345" s="30" t="n">
        <x:v>2.1</x:v>
      </x:c>
      <x:c r="L345" s="54" t="n">
        <x:f>IF(M345=0,0,(E345+F345)/2)</x:f>
        <x:v>7.5</x:v>
      </x:c>
      <x:c r="M345" t="n">
        <x:v>1</x:v>
      </x:c>
      <x:c r="N345" t="n">
        <x:v>4</x:v>
      </x:c>
      <x:c r="O345" t="n">
        <x:v>5</x:v>
      </x:c>
      <x:c r="P345" s="63" t="str">
        <x:f>IF(M345=0,"—",M345&amp;"d"&amp;N345&amp;IF(O345=0,""," + "&amp;O345))</x:f>
        <x:v>1d4 + 5</x:v>
      </x:c>
      <x:c r="Q345" t="n">
        <x:f>ROUND(INDEX(Catalogue!E$4:E$85,MATCH(A345,Catalogue!A$4:A$85,0))*(1+'Paramètres'!$B$4*(C345-1)+'Paramètres'!$B$5*(C345-1)^2),0)</x:f>
        <x:v>6</x:v>
      </x:c>
      <x:c r="R345" t="n">
        <x:f>ROUND(INDEX(Catalogue!F$4:F$85,MATCH(A345,Catalogue!A$4:A$85,0))*(1+'Paramètres'!$B$4*(C345-1)+'Paramètres'!$B$5*(C345-1)^2),0)</x:f>
        <x:v>9</x:v>
      </x:c>
      <x:c r="S345" t="n">
        <x:f>L345-AVERAGE(Q345:R345)</x:f>
        <x:v>0</x:v>
      </x:c>
      <x:c r="T345" t="str">
        <x:f>IF(M345=0,IF(AND(N345=0,O345=0,E345=0,F345=0),"OK","ERREUR"),IF(AND(M345&gt;=1,M345&lt;=32,OR(N345=4,N345=6,N345=8,N345=10,N345=12,N345=20),O345&gt;=0,E345=M345+O345,F345=M345*N345+O345),"OK","ERREUR"))</x:f>
        <x:v>OK</x:v>
      </x:c>
      <x:c r="U345" s="86" t="n">
        <x:f>IF(M345&gt;0,M345*(N345+1)/2+O345,0)</x:f>
        <x:v>7.5</x:v>
      </x:c>
      <x:c r="V345" t="str">
        <x:f>IF(ABS(L345-U345)&lt;0.001,"OK","ERREUR")</x:f>
        <x:v>OK</x:v>
      </x:c>
    </x:row>
    <x:row r="346" ht="18" customHeight="1">
      <x:c r="A346" t="str">
        <x:v>ARM018</x:v>
      </x:c>
      <x:c r="B346" t="str">
        <x:v>Hache de guerre</x:v>
      </x:c>
      <x:c r="C346" t="n">
        <x:v>3</x:v>
      </x:c>
      <x:c r="D346" t="str">
        <x:v>Une main</x:v>
      </x:c>
      <x:c r="E346" s="28" t="n">
        <x:f>IF(M346=0,0,M346+O346)</x:f>
        <x:v>6</x:v>
      </x:c>
      <x:c r="F346" s="28" t="n">
        <x:f>IF(M346=0,0,M346*N346+O346)</x:f>
        <x:v>9</x:v>
      </x:c>
      <x:c r="G346" s="28" t="n">
        <x:f>ROUND(Catalogue!G21*SQRT((1+'Paramètres'!$B$4*(C346-1)+'Paramètres'!$B$5*(C346-1)^2)),0)</x:f>
        <x:v>0</x:v>
      </x:c>
      <x:c r="H346" s="28" t="n">
        <x:f>ROUND(Catalogue!H21*SQRT((1+'Paramètres'!$B$4*(C346-1)+'Paramètres'!$B$5*(C346-1)^2)),0)</x:f>
        <x:v>0</x:v>
      </x:c>
      <x:c r="I346" s="28" t="n">
        <x:v>2</x:v>
      </x:c>
      <x:c r="J346" s="28" t="n">
        <x:v>1</x:v>
      </x:c>
      <x:c r="K346" s="30" t="n">
        <x:v>2.1</x:v>
      </x:c>
      <x:c r="L346" s="54" t="n">
        <x:f>IF(M346=0,0,(E346+F346)/2)</x:f>
        <x:v>7.5</x:v>
      </x:c>
      <x:c r="M346" t="n">
        <x:v>1</x:v>
      </x:c>
      <x:c r="N346" t="n">
        <x:v>4</x:v>
      </x:c>
      <x:c r="O346" t="n">
        <x:v>5</x:v>
      </x:c>
      <x:c r="P346" s="63" t="str">
        <x:f>IF(M346=0,"—",M346&amp;"d"&amp;N346&amp;IF(O346=0,""," + "&amp;O346))</x:f>
        <x:v>1d4 + 5</x:v>
      </x:c>
      <x:c r="Q346" t="n">
        <x:f>ROUND(INDEX(Catalogue!E$4:E$85,MATCH(A346,Catalogue!A$4:A$85,0))*(1+'Paramètres'!$B$4*(C346-1)+'Paramètres'!$B$5*(C346-1)^2),0)</x:f>
        <x:v>6</x:v>
      </x:c>
      <x:c r="R346" t="n">
        <x:f>ROUND(INDEX(Catalogue!F$4:F$85,MATCH(A346,Catalogue!A$4:A$85,0))*(1+'Paramètres'!$B$4*(C346-1)+'Paramètres'!$B$5*(C346-1)^2),0)</x:f>
        <x:v>10</x:v>
      </x:c>
      <x:c r="S346" t="n">
        <x:f>L346-AVERAGE(Q346:R346)</x:f>
        <x:v>-0.5</x:v>
      </x:c>
      <x:c r="T346" t="str">
        <x:f>IF(M346=0,IF(AND(N346=0,O346=0,E346=0,F346=0),"OK","ERREUR"),IF(AND(M346&gt;=1,M346&lt;=32,OR(N346=4,N346=6,N346=8,N346=10,N346=12,N346=20),O346&gt;=0,E346=M346+O346,F346=M346*N346+O346),"OK","ERREUR"))</x:f>
        <x:v>OK</x:v>
      </x:c>
      <x:c r="U346" s="86" t="n">
        <x:f>IF(M346&gt;0,M346*(N346+1)/2+O346,0)</x:f>
        <x:v>7.5</x:v>
      </x:c>
      <x:c r="V346" t="str">
        <x:f>IF(ABS(L346-U346)&lt;0.001,"OK","ERREUR")</x:f>
        <x:v>OK</x:v>
      </x:c>
    </x:row>
    <x:row r="347" ht="18" customHeight="1">
      <x:c r="A347" t="str">
        <x:v>ARM018</x:v>
      </x:c>
      <x:c r="B347" t="str">
        <x:v>Hache de guerre</x:v>
      </x:c>
      <x:c r="C347" t="n">
        <x:v>4</x:v>
      </x:c>
      <x:c r="D347" t="str">
        <x:v>Une main</x:v>
      </x:c>
      <x:c r="E347" s="28" t="n">
        <x:f>IF(M347=0,0,M347+O347)</x:f>
        <x:v>7</x:v>
      </x:c>
      <x:c r="F347" s="28" t="n">
        <x:f>IF(M347=0,0,M347*N347+O347)</x:f>
        <x:v>12</x:v>
      </x:c>
      <x:c r="G347" s="28" t="n">
        <x:f>ROUND(Catalogue!G21*SQRT((1+'Paramètres'!$B$4*(C347-1)+'Paramètres'!$B$5*(C347-1)^2)),0)</x:f>
        <x:v>0</x:v>
      </x:c>
      <x:c r="H347" s="28" t="n">
        <x:f>ROUND(Catalogue!H21*SQRT((1+'Paramètres'!$B$4*(C347-1)+'Paramètres'!$B$5*(C347-1)^2)),0)</x:f>
        <x:v>0</x:v>
      </x:c>
      <x:c r="I347" s="28" t="n">
        <x:v>2</x:v>
      </x:c>
      <x:c r="J347" s="28" t="n">
        <x:v>1</x:v>
      </x:c>
      <x:c r="K347" s="30" t="n">
        <x:v>2.1</x:v>
      </x:c>
      <x:c r="L347" s="54" t="n">
        <x:f>IF(M347=0,0,(E347+F347)/2)</x:f>
        <x:v>9.5</x:v>
      </x:c>
      <x:c r="M347" t="n">
        <x:v>1</x:v>
      </x:c>
      <x:c r="N347" t="n">
        <x:v>6</x:v>
      </x:c>
      <x:c r="O347" t="n">
        <x:v>6</x:v>
      </x:c>
      <x:c r="P347" s="63" t="str">
        <x:f>IF(M347=0,"—",M347&amp;"d"&amp;N347&amp;IF(O347=0,""," + "&amp;O347))</x:f>
        <x:v>1d6 + 6</x:v>
      </x:c>
      <x:c r="Q347" t="n">
        <x:f>ROUND(INDEX(Catalogue!E$4:E$85,MATCH(A347,Catalogue!A$4:A$85,0))*(1+'Paramètres'!$B$4*(C347-1)+'Paramètres'!$B$5*(C347-1)^2),0)</x:f>
        <x:v>7</x:v>
      </x:c>
      <x:c r="R347" t="n">
        <x:f>ROUND(INDEX(Catalogue!F$4:F$85,MATCH(A347,Catalogue!A$4:A$85,0))*(1+'Paramètres'!$B$4*(C347-1)+'Paramètres'!$B$5*(C347-1)^2),0)</x:f>
        <x:v>12</x:v>
      </x:c>
      <x:c r="S347" t="n">
        <x:f>L347-AVERAGE(Q347:R347)</x:f>
        <x:v>0</x:v>
      </x:c>
      <x:c r="T347" t="str">
        <x:f>IF(M347=0,IF(AND(N347=0,O347=0,E347=0,F347=0),"OK","ERREUR"),IF(AND(M347&gt;=1,M347&lt;=32,OR(N347=4,N347=6,N347=8,N347=10,N347=12,N347=20),O347&gt;=0,E347=M347+O347,F347=M347*N347+O347),"OK","ERREUR"))</x:f>
        <x:v>OK</x:v>
      </x:c>
      <x:c r="U347" s="86" t="n">
        <x:f>IF(M347&gt;0,M347*(N347+1)/2+O347,0)</x:f>
        <x:v>9.5</x:v>
      </x:c>
      <x:c r="V347" t="str">
        <x:f>IF(ABS(L347-U347)&lt;0.001,"OK","ERREUR")</x:f>
        <x:v>OK</x:v>
      </x:c>
    </x:row>
    <x:row r="348" ht="18" customHeight="1">
      <x:c r="A348" t="str">
        <x:v>ARM018</x:v>
      </x:c>
      <x:c r="B348" t="str">
        <x:v>Hache de guerre</x:v>
      </x:c>
      <x:c r="C348" t="n">
        <x:v>5</x:v>
      </x:c>
      <x:c r="D348" t="str">
        <x:v>Une main</x:v>
      </x:c>
      <x:c r="E348" s="28" t="n">
        <x:f>IF(M348=0,0,M348+O348)</x:f>
        <x:v>8</x:v>
      </x:c>
      <x:c r="F348" s="28" t="n">
        <x:f>IF(M348=0,0,M348*N348+O348)</x:f>
        <x:v>14</x:v>
      </x:c>
      <x:c r="G348" s="28" t="n">
        <x:f>ROUND(Catalogue!G21*SQRT((1+'Paramètres'!$B$4*(C348-1)+'Paramètres'!$B$5*(C348-1)^2)),0)</x:f>
        <x:v>0</x:v>
      </x:c>
      <x:c r="H348" s="28" t="n">
        <x:f>ROUND(Catalogue!H21*SQRT((1+'Paramètres'!$B$4*(C348-1)+'Paramètres'!$B$5*(C348-1)^2)),0)</x:f>
        <x:v>0</x:v>
      </x:c>
      <x:c r="I348" s="28" t="n">
        <x:v>2</x:v>
      </x:c>
      <x:c r="J348" s="28" t="n">
        <x:v>1</x:v>
      </x:c>
      <x:c r="K348" s="30" t="n">
        <x:v>2.1</x:v>
      </x:c>
      <x:c r="L348" s="54" t="n">
        <x:f>IF(M348=0,0,(E348+F348)/2)</x:f>
        <x:v>11</x:v>
      </x:c>
      <x:c r="M348" t="n">
        <x:v>2</x:v>
      </x:c>
      <x:c r="N348" t="n">
        <x:v>4</x:v>
      </x:c>
      <x:c r="O348" t="n">
        <x:v>6</x:v>
      </x:c>
      <x:c r="P348" s="63" t="str">
        <x:f>IF(M348=0,"—",M348&amp;"d"&amp;N348&amp;IF(O348=0,""," + "&amp;O348))</x:f>
        <x:v>2d4 + 6</x:v>
      </x:c>
      <x:c r="Q348" t="n">
        <x:f>ROUND(INDEX(Catalogue!E$4:E$85,MATCH(A348,Catalogue!A$4:A$85,0))*(1+'Paramètres'!$B$4*(C348-1)+'Paramètres'!$B$5*(C348-1)^2),0)</x:f>
        <x:v>8</x:v>
      </x:c>
      <x:c r="R348" t="n">
        <x:f>ROUND(INDEX(Catalogue!F$4:F$85,MATCH(A348,Catalogue!A$4:A$85,0))*(1+'Paramètres'!$B$4*(C348-1)+'Paramètres'!$B$5*(C348-1)^2),0)</x:f>
        <x:v>14</x:v>
      </x:c>
      <x:c r="S348" t="n">
        <x:f>L348-AVERAGE(Q348:R348)</x:f>
        <x:v>0</x:v>
      </x:c>
      <x:c r="T348" t="str">
        <x:f>IF(M348=0,IF(AND(N348=0,O348=0,E348=0,F348=0),"OK","ERREUR"),IF(AND(M348&gt;=1,M348&lt;=32,OR(N348=4,N348=6,N348=8,N348=10,N348=12,N348=20),O348&gt;=0,E348=M348+O348,F348=M348*N348+O348),"OK","ERREUR"))</x:f>
        <x:v>OK</x:v>
      </x:c>
      <x:c r="U348" s="86" t="n">
        <x:f>IF(M348&gt;0,M348*(N348+1)/2+O348,0)</x:f>
        <x:v>11</x:v>
      </x:c>
      <x:c r="V348" t="str">
        <x:f>IF(ABS(L348-U348)&lt;0.001,"OK","ERREUR")</x:f>
        <x:v>OK</x:v>
      </x:c>
    </x:row>
    <x:row r="349" ht="18" customHeight="1">
      <x:c r="A349" t="str">
        <x:v>ARM018</x:v>
      </x:c>
      <x:c r="B349" t="str">
        <x:v>Hache de guerre</x:v>
      </x:c>
      <x:c r="C349" t="n">
        <x:v>6</x:v>
      </x:c>
      <x:c r="D349" t="str">
        <x:v>Une main</x:v>
      </x:c>
      <x:c r="E349" s="28" t="n">
        <x:f>IF(M349=0,0,M349+O349)</x:f>
        <x:v>10</x:v>
      </x:c>
      <x:c r="F349" s="28" t="n">
        <x:f>IF(M349=0,0,M349*N349+O349)</x:f>
        <x:v>16</x:v>
      </x:c>
      <x:c r="G349" s="28" t="n">
        <x:f>ROUND(Catalogue!G21*SQRT((1+'Paramètres'!$B$4*(C349-1)+'Paramètres'!$B$5*(C349-1)^2)),0)</x:f>
        <x:v>0</x:v>
      </x:c>
      <x:c r="H349" s="28" t="n">
        <x:f>ROUND(Catalogue!H21*SQRT((1+'Paramètres'!$B$4*(C349-1)+'Paramètres'!$B$5*(C349-1)^2)),0)</x:f>
        <x:v>0</x:v>
      </x:c>
      <x:c r="I349" s="28" t="n">
        <x:v>2</x:v>
      </x:c>
      <x:c r="J349" s="28" t="n">
        <x:v>1</x:v>
      </x:c>
      <x:c r="K349" s="30" t="n">
        <x:v>2.1</x:v>
      </x:c>
      <x:c r="L349" s="54" t="n">
        <x:f>IF(M349=0,0,(E349+F349)/2)</x:f>
        <x:v>13</x:v>
      </x:c>
      <x:c r="M349" t="n">
        <x:v>2</x:v>
      </x:c>
      <x:c r="N349" t="n">
        <x:v>4</x:v>
      </x:c>
      <x:c r="O349" t="n">
        <x:v>8</x:v>
      </x:c>
      <x:c r="P349" s="63" t="str">
        <x:f>IF(M349=0,"—",M349&amp;"d"&amp;N349&amp;IF(O349=0,""," + "&amp;O349))</x:f>
        <x:v>2d4 + 8</x:v>
      </x:c>
      <x:c r="Q349" t="n">
        <x:f>ROUND(INDEX(Catalogue!E$4:E$85,MATCH(A349,Catalogue!A$4:A$85,0))*(1+'Paramètres'!$B$4*(C349-1)+'Paramètres'!$B$5*(C349-1)^2),0)</x:f>
        <x:v>10</x:v>
      </x:c>
      <x:c r="R349" t="n">
        <x:f>ROUND(INDEX(Catalogue!F$4:F$85,MATCH(A349,Catalogue!A$4:A$85,0))*(1+'Paramètres'!$B$4*(C349-1)+'Paramètres'!$B$5*(C349-1)^2),0)</x:f>
        <x:v>16</x:v>
      </x:c>
      <x:c r="S349" t="n">
        <x:f>L349-AVERAGE(Q349:R349)</x:f>
        <x:v>0</x:v>
      </x:c>
      <x:c r="T349" t="str">
        <x:f>IF(M349=0,IF(AND(N349=0,O349=0,E349=0,F349=0),"OK","ERREUR"),IF(AND(M349&gt;=1,M349&lt;=32,OR(N349=4,N349=6,N349=8,N349=10,N349=12,N349=20),O349&gt;=0,E349=M349+O349,F349=M349*N349+O349),"OK","ERREUR"))</x:f>
        <x:v>OK</x:v>
      </x:c>
      <x:c r="U349" s="86" t="n">
        <x:f>IF(M349&gt;0,M349*(N349+1)/2+O349,0)</x:f>
        <x:v>13</x:v>
      </x:c>
      <x:c r="V349" t="str">
        <x:f>IF(ABS(L349-U349)&lt;0.001,"OK","ERREUR")</x:f>
        <x:v>OK</x:v>
      </x:c>
    </x:row>
    <x:row r="350" ht="18" customHeight="1">
      <x:c r="A350" t="str">
        <x:v>ARM018</x:v>
      </x:c>
      <x:c r="B350" t="str">
        <x:v>Hache de guerre</x:v>
      </x:c>
      <x:c r="C350" t="n">
        <x:v>7</x:v>
      </x:c>
      <x:c r="D350" t="str">
        <x:v>Une main</x:v>
      </x:c>
      <x:c r="E350" s="28" t="n">
        <x:f>IF(M350=0,0,M350+O350)</x:f>
        <x:v>11</x:v>
      </x:c>
      <x:c r="F350" s="28" t="n">
        <x:f>IF(M350=0,0,M350*N350+O350)</x:f>
        <x:v>18</x:v>
      </x:c>
      <x:c r="G350" s="28" t="n">
        <x:f>ROUND(Catalogue!G21*SQRT((1+'Paramètres'!$B$4*(C350-1)+'Paramètres'!$B$5*(C350-1)^2)),0)</x:f>
        <x:v>0</x:v>
      </x:c>
      <x:c r="H350" s="28" t="n">
        <x:f>ROUND(Catalogue!H21*SQRT((1+'Paramètres'!$B$4*(C350-1)+'Paramètres'!$B$5*(C350-1)^2)),0)</x:f>
        <x:v>0</x:v>
      </x:c>
      <x:c r="I350" s="28" t="n">
        <x:v>2</x:v>
      </x:c>
      <x:c r="J350" s="28" t="n">
        <x:v>1</x:v>
      </x:c>
      <x:c r="K350" s="30" t="n">
        <x:v>2.1</x:v>
      </x:c>
      <x:c r="L350" s="54" t="n">
        <x:f>IF(M350=0,0,(E350+F350)/2)</x:f>
        <x:v>14.5</x:v>
      </x:c>
      <x:c r="M350" t="n">
        <x:v>1</x:v>
      </x:c>
      <x:c r="N350" t="n">
        <x:v>8</x:v>
      </x:c>
      <x:c r="O350" t="n">
        <x:v>10</x:v>
      </x:c>
      <x:c r="P350" s="63" t="str">
        <x:f>IF(M350=0,"—",M350&amp;"d"&amp;N350&amp;IF(O350=0,""," + "&amp;O350))</x:f>
        <x:v>1d8 + 10</x:v>
      </x:c>
      <x:c r="Q350" t="n">
        <x:f>ROUND(INDEX(Catalogue!E$4:E$85,MATCH(A350,Catalogue!A$4:A$85,0))*(1+'Paramètres'!$B$4*(C350-1)+'Paramètres'!$B$5*(C350-1)^2),0)</x:f>
        <x:v>11</x:v>
      </x:c>
      <x:c r="R350" t="n">
        <x:f>ROUND(INDEX(Catalogue!F$4:F$85,MATCH(A350,Catalogue!A$4:A$85,0))*(1+'Paramètres'!$B$4*(C350-1)+'Paramètres'!$B$5*(C350-1)^2),0)</x:f>
        <x:v>18</x:v>
      </x:c>
      <x:c r="S350" t="n">
        <x:f>L350-AVERAGE(Q350:R350)</x:f>
        <x:v>0</x:v>
      </x:c>
      <x:c r="T350" t="str">
        <x:f>IF(M350=0,IF(AND(N350=0,O350=0,E350=0,F350=0),"OK","ERREUR"),IF(AND(M350&gt;=1,M350&lt;=32,OR(N350=4,N350=6,N350=8,N350=10,N350=12,N350=20),O350&gt;=0,E350=M350+O350,F350=M350*N350+O350),"OK","ERREUR"))</x:f>
        <x:v>OK</x:v>
      </x:c>
      <x:c r="U350" s="86" t="n">
        <x:f>IF(M350&gt;0,M350*(N350+1)/2+O350,0)</x:f>
        <x:v>14.5</x:v>
      </x:c>
      <x:c r="V350" t="str">
        <x:f>IF(ABS(L350-U350)&lt;0.001,"OK","ERREUR")</x:f>
        <x:v>OK</x:v>
      </x:c>
    </x:row>
    <x:row r="351" ht="18" customHeight="1">
      <x:c r="A351" t="str">
        <x:v>ARM018</x:v>
      </x:c>
      <x:c r="B351" t="str">
        <x:v>Hache de guerre</x:v>
      </x:c>
      <x:c r="C351" t="n">
        <x:v>8</x:v>
      </x:c>
      <x:c r="D351" t="str">
        <x:v>Une main</x:v>
      </x:c>
      <x:c r="E351" s="28" t="n">
        <x:f>IF(M351=0,0,M351+O351)</x:f>
        <x:v>13</x:v>
      </x:c>
      <x:c r="F351" s="28" t="n">
        <x:f>IF(M351=0,0,M351*N351+O351)</x:f>
        <x:v>20</x:v>
      </x:c>
      <x:c r="G351" s="28" t="n">
        <x:f>ROUND(Catalogue!G21*SQRT((1+'Paramètres'!$B$4*(C351-1)+'Paramètres'!$B$5*(C351-1)^2)),0)</x:f>
        <x:v>0</x:v>
      </x:c>
      <x:c r="H351" s="28" t="n">
        <x:f>ROUND(Catalogue!H21*SQRT((1+'Paramètres'!$B$4*(C351-1)+'Paramètres'!$B$5*(C351-1)^2)),0)</x:f>
        <x:v>0</x:v>
      </x:c>
      <x:c r="I351" s="28" t="n">
        <x:v>2</x:v>
      </x:c>
      <x:c r="J351" s="28" t="n">
        <x:v>1</x:v>
      </x:c>
      <x:c r="K351" s="30" t="n">
        <x:v>2.1</x:v>
      </x:c>
      <x:c r="L351" s="54" t="n">
        <x:f>IF(M351=0,0,(E351+F351)/2)</x:f>
        <x:v>16.5</x:v>
      </x:c>
      <x:c r="M351" t="n">
        <x:v>1</x:v>
      </x:c>
      <x:c r="N351" t="n">
        <x:v>8</x:v>
      </x:c>
      <x:c r="O351" t="n">
        <x:v>12</x:v>
      </x:c>
      <x:c r="P351" s="63" t="str">
        <x:f>IF(M351=0,"—",M351&amp;"d"&amp;N351&amp;IF(O351=0,""," + "&amp;O351))</x:f>
        <x:v>1d8 + 12</x:v>
      </x:c>
      <x:c r="Q351" t="n">
        <x:f>ROUND(INDEX(Catalogue!E$4:E$85,MATCH(A351,Catalogue!A$4:A$85,0))*(1+'Paramètres'!$B$4*(C351-1)+'Paramètres'!$B$5*(C351-1)^2),0)</x:f>
        <x:v>13</x:v>
      </x:c>
      <x:c r="R351" t="n">
        <x:f>ROUND(INDEX(Catalogue!F$4:F$85,MATCH(A351,Catalogue!A$4:A$85,0))*(1+'Paramètres'!$B$4*(C351-1)+'Paramètres'!$B$5*(C351-1)^2),0)</x:f>
        <x:v>20</x:v>
      </x:c>
      <x:c r="S351" t="n">
        <x:f>L351-AVERAGE(Q351:R351)</x:f>
        <x:v>0</x:v>
      </x:c>
      <x:c r="T351" t="str">
        <x:f>IF(M351=0,IF(AND(N351=0,O351=0,E351=0,F351=0),"OK","ERREUR"),IF(AND(M351&gt;=1,M351&lt;=32,OR(N351=4,N351=6,N351=8,N351=10,N351=12,N351=20),O351&gt;=0,E351=M351+O351,F351=M351*N351+O351),"OK","ERREUR"))</x:f>
        <x:v>OK</x:v>
      </x:c>
      <x:c r="U351" s="86" t="n">
        <x:f>IF(M351&gt;0,M351*(N351+1)/2+O351,0)</x:f>
        <x:v>16.5</x:v>
      </x:c>
      <x:c r="V351" t="str">
        <x:f>IF(ABS(L351-U351)&lt;0.001,"OK","ERREUR")</x:f>
        <x:v>OK</x:v>
      </x:c>
    </x:row>
    <x:row r="352" ht="18" customHeight="1">
      <x:c r="A352" t="str">
        <x:v>ARM018</x:v>
      </x:c>
      <x:c r="B352" t="str">
        <x:v>Hache de guerre</x:v>
      </x:c>
      <x:c r="C352" t="n">
        <x:v>9</x:v>
      </x:c>
      <x:c r="D352" t="str">
        <x:v>Une main</x:v>
      </x:c>
      <x:c r="E352" s="28" t="n">
        <x:f>IF(M352=0,0,M352+O352)</x:f>
        <x:v>14</x:v>
      </x:c>
      <x:c r="F352" s="28" t="n">
        <x:f>IF(M352=0,0,M352*N352+O352)</x:f>
        <x:v>23</x:v>
      </x:c>
      <x:c r="G352" s="28" t="n">
        <x:f>ROUND(Catalogue!G21*SQRT((1+'Paramètres'!$B$4*(C352-1)+'Paramètres'!$B$5*(C352-1)^2)),0)</x:f>
        <x:v>0</x:v>
      </x:c>
      <x:c r="H352" s="28" t="n">
        <x:f>ROUND(Catalogue!H21*SQRT((1+'Paramètres'!$B$4*(C352-1)+'Paramètres'!$B$5*(C352-1)^2)),0)</x:f>
        <x:v>0</x:v>
      </x:c>
      <x:c r="I352" s="28" t="n">
        <x:v>2</x:v>
      </x:c>
      <x:c r="J352" s="28" t="n">
        <x:v>1</x:v>
      </x:c>
      <x:c r="K352" s="30" t="n">
        <x:v>2.1</x:v>
      </x:c>
      <x:c r="L352" s="54" t="n">
        <x:f>IF(M352=0,0,(E352+F352)/2)</x:f>
        <x:v>18.5</x:v>
      </x:c>
      <x:c r="M352" t="n">
        <x:v>3</x:v>
      </x:c>
      <x:c r="N352" t="n">
        <x:v>4</x:v>
      </x:c>
      <x:c r="O352" t="n">
        <x:v>11</x:v>
      </x:c>
      <x:c r="P352" s="63" t="str">
        <x:f>IF(M352=0,"—",M352&amp;"d"&amp;N352&amp;IF(O352=0,""," + "&amp;O352))</x:f>
        <x:v>3d4 + 11</x:v>
      </x:c>
      <x:c r="Q352" t="n">
        <x:f>ROUND(INDEX(Catalogue!E$4:E$85,MATCH(A352,Catalogue!A$4:A$85,0))*(1+'Paramètres'!$B$4*(C352-1)+'Paramètres'!$B$5*(C352-1)^2),0)</x:f>
        <x:v>15</x:v>
      </x:c>
      <x:c r="R352" t="n">
        <x:f>ROUND(INDEX(Catalogue!F$4:F$85,MATCH(A352,Catalogue!A$4:A$85,0))*(1+'Paramètres'!$B$4*(C352-1)+'Paramètres'!$B$5*(C352-1)^2),0)</x:f>
        <x:v>23</x:v>
      </x:c>
      <x:c r="S352" t="n">
        <x:f>L352-AVERAGE(Q352:R352)</x:f>
        <x:v>-0.5</x:v>
      </x:c>
      <x:c r="T352" t="str">
        <x:f>IF(M352=0,IF(AND(N352=0,O352=0,E352=0,F352=0),"OK","ERREUR"),IF(AND(M352&gt;=1,M352&lt;=32,OR(N352=4,N352=6,N352=8,N352=10,N352=12,N352=20),O352&gt;=0,E352=M352+O352,F352=M352*N352+O352),"OK","ERREUR"))</x:f>
        <x:v>OK</x:v>
      </x:c>
      <x:c r="U352" s="86" t="n">
        <x:f>IF(M352&gt;0,M352*(N352+1)/2+O352,0)</x:f>
        <x:v>18.5</x:v>
      </x:c>
      <x:c r="V352" t="str">
        <x:f>IF(ABS(L352-U352)&lt;0.001,"OK","ERREUR")</x:f>
        <x:v>OK</x:v>
      </x:c>
    </x:row>
    <x:row r="353" ht="18" customHeight="1">
      <x:c r="A353" t="str">
        <x:v>ARM018</x:v>
      </x:c>
      <x:c r="B353" t="str">
        <x:v>Hache de guerre</x:v>
      </x:c>
      <x:c r="C353" t="n">
        <x:v>10</x:v>
      </x:c>
      <x:c r="D353" t="str">
        <x:v>Une main</x:v>
      </x:c>
      <x:c r="E353" s="28" t="n">
        <x:f>IF(M353=0,0,M353+O353)</x:f>
        <x:v>16</x:v>
      </x:c>
      <x:c r="F353" s="28" t="n">
        <x:f>IF(M353=0,0,M353*N353+O353)</x:f>
        <x:v>26</x:v>
      </x:c>
      <x:c r="G353" s="28" t="n">
        <x:f>ROUND(Catalogue!G21*SQRT((1+'Paramètres'!$B$4*(C353-1)+'Paramètres'!$B$5*(C353-1)^2)),0)</x:f>
        <x:v>0</x:v>
      </x:c>
      <x:c r="H353" s="28" t="n">
        <x:f>ROUND(Catalogue!H21*SQRT((1+'Paramètres'!$B$4*(C353-1)+'Paramètres'!$B$5*(C353-1)^2)),0)</x:f>
        <x:v>0</x:v>
      </x:c>
      <x:c r="I353" s="28" t="n">
        <x:v>2</x:v>
      </x:c>
      <x:c r="J353" s="28" t="n">
        <x:v>1</x:v>
      </x:c>
      <x:c r="K353" s="30" t="n">
        <x:v>2.1</x:v>
      </x:c>
      <x:c r="L353" s="54" t="n">
        <x:f>IF(M353=0,0,(E353+F353)/2)</x:f>
        <x:v>21</x:v>
      </x:c>
      <x:c r="M353" t="n">
        <x:v>2</x:v>
      </x:c>
      <x:c r="N353" t="n">
        <x:v>6</x:v>
      </x:c>
      <x:c r="O353" t="n">
        <x:v>14</x:v>
      </x:c>
      <x:c r="P353" s="63" t="str">
        <x:f>IF(M353=0,"—",M353&amp;"d"&amp;N353&amp;IF(O353=0,""," + "&amp;O353))</x:f>
        <x:v>2d6 + 14</x:v>
      </x:c>
      <x:c r="Q353" t="n">
        <x:f>ROUND(INDEX(Catalogue!E$4:E$85,MATCH(A353,Catalogue!A$4:A$85,0))*(1+'Paramètres'!$B$4*(C353-1)+'Paramètres'!$B$5*(C353-1)^2),0)</x:f>
        <x:v>16</x:v>
      </x:c>
      <x:c r="R353" t="n">
        <x:f>ROUND(INDEX(Catalogue!F$4:F$85,MATCH(A353,Catalogue!A$4:A$85,0))*(1+'Paramètres'!$B$4*(C353-1)+'Paramètres'!$B$5*(C353-1)^2),0)</x:f>
        <x:v>26</x:v>
      </x:c>
      <x:c r="S353" t="n">
        <x:f>L353-AVERAGE(Q353:R353)</x:f>
        <x:v>0</x:v>
      </x:c>
      <x:c r="T353" t="str">
        <x:f>IF(M353=0,IF(AND(N353=0,O353=0,E353=0,F353=0),"OK","ERREUR"),IF(AND(M353&gt;=1,M353&lt;=32,OR(N353=4,N353=6,N353=8,N353=10,N353=12,N353=20),O353&gt;=0,E353=M353+O353,F353=M353*N353+O353),"OK","ERREUR"))</x:f>
        <x:v>OK</x:v>
      </x:c>
      <x:c r="U353" s="86" t="n">
        <x:f>IF(M353&gt;0,M353*(N353+1)/2+O353,0)</x:f>
        <x:v>21</x:v>
      </x:c>
      <x:c r="V353" t="str">
        <x:f>IF(ABS(L353-U353)&lt;0.001,"OK","ERREUR")</x:f>
        <x:v>OK</x:v>
      </x:c>
    </x:row>
    <x:row r="354" ht="18" customHeight="1">
      <x:c r="A354" t="str">
        <x:v>ARM018</x:v>
      </x:c>
      <x:c r="B354" t="str">
        <x:v>Hache de guerre</x:v>
      </x:c>
      <x:c r="C354" t="n">
        <x:v>11</x:v>
      </x:c>
      <x:c r="D354" t="str">
        <x:v>Une main</x:v>
      </x:c>
      <x:c r="E354" s="28" t="n">
        <x:f>IF(M354=0,0,M354+O354)</x:f>
        <x:v>19</x:v>
      </x:c>
      <x:c r="F354" s="28" t="n">
        <x:f>IF(M354=0,0,M354*N354+O354)</x:f>
        <x:v>30</x:v>
      </x:c>
      <x:c r="G354" s="28" t="n">
        <x:f>ROUND(Catalogue!G21*SQRT((1+'Paramètres'!$B$4*(C354-1)+'Paramètres'!$B$5*(C354-1)^2)),0)</x:f>
        <x:v>0</x:v>
      </x:c>
      <x:c r="H354" s="28" t="n">
        <x:f>ROUND(Catalogue!H21*SQRT((1+'Paramètres'!$B$4*(C354-1)+'Paramètres'!$B$5*(C354-1)^2)),0)</x:f>
        <x:v>0</x:v>
      </x:c>
      <x:c r="I354" s="28" t="n">
        <x:v>2</x:v>
      </x:c>
      <x:c r="J354" s="28" t="n">
        <x:v>1</x:v>
      </x:c>
      <x:c r="K354" s="30" t="n">
        <x:v>2.1</x:v>
      </x:c>
      <x:c r="L354" s="54" t="n">
        <x:f>IF(M354=0,0,(E354+F354)/2)</x:f>
        <x:v>24.5</x:v>
      </x:c>
      <x:c r="M354" t="n">
        <x:v>1</x:v>
      </x:c>
      <x:c r="N354" t="n">
        <x:v>12</x:v>
      </x:c>
      <x:c r="O354" t="n">
        <x:v>18</x:v>
      </x:c>
      <x:c r="P354" s="63" t="str">
        <x:f>IF(M354=0,"—",M354&amp;"d"&amp;N354&amp;IF(O354=0,""," + "&amp;O354))</x:f>
        <x:v>1d12 + 18</x:v>
      </x:c>
      <x:c r="Q354" t="n">
        <x:f>ROUND(INDEX(Catalogue!E$4:E$85,MATCH(A354,Catalogue!A$4:A$85,0))*(1+'Paramètres'!$B$4*(C354-1)+'Paramètres'!$B$5*(C354-1)^2),0)</x:f>
        <x:v>19</x:v>
      </x:c>
      <x:c r="R354" t="n">
        <x:f>ROUND(INDEX(Catalogue!F$4:F$85,MATCH(A354,Catalogue!A$4:A$85,0))*(1+'Paramètres'!$B$4*(C354-1)+'Paramètres'!$B$5*(C354-1)^2),0)</x:f>
        <x:v>30</x:v>
      </x:c>
      <x:c r="S354" t="n">
        <x:f>L354-AVERAGE(Q354:R354)</x:f>
        <x:v>0</x:v>
      </x:c>
      <x:c r="T354" t="str">
        <x:f>IF(M354=0,IF(AND(N354=0,O354=0,E354=0,F354=0),"OK","ERREUR"),IF(AND(M354&gt;=1,M354&lt;=32,OR(N354=4,N354=6,N354=8,N354=10,N354=12,N354=20),O354&gt;=0,E354=M354+O354,F354=M354*N354+O354),"OK","ERREUR"))</x:f>
        <x:v>OK</x:v>
      </x:c>
      <x:c r="U354" s="86" t="n">
        <x:f>IF(M354&gt;0,M354*(N354+1)/2+O354,0)</x:f>
        <x:v>24.5</x:v>
      </x:c>
      <x:c r="V354" t="str">
        <x:f>IF(ABS(L354-U354)&lt;0.001,"OK","ERREUR")</x:f>
        <x:v>OK</x:v>
      </x:c>
    </x:row>
    <x:row r="355" ht="18" customHeight="1">
      <x:c r="A355" t="str">
        <x:v>ARM018</x:v>
      </x:c>
      <x:c r="B355" t="str">
        <x:v>Hache de guerre</x:v>
      </x:c>
      <x:c r="C355" t="n">
        <x:v>12</x:v>
      </x:c>
      <x:c r="D355" t="str">
        <x:v>Une main</x:v>
      </x:c>
      <x:c r="E355" s="28" t="n">
        <x:f>IF(M355=0,0,M355+O355)</x:f>
        <x:v>21</x:v>
      </x:c>
      <x:c r="F355" s="28" t="n">
        <x:f>IF(M355=0,0,M355*N355+O355)</x:f>
        <x:v>33</x:v>
      </x:c>
      <x:c r="G355" s="28" t="n">
        <x:f>ROUND(Catalogue!G21*SQRT((1+'Paramètres'!$B$4*(C355-1)+'Paramètres'!$B$5*(C355-1)^2)),0)</x:f>
        <x:v>0</x:v>
      </x:c>
      <x:c r="H355" s="28" t="n">
        <x:f>ROUND(Catalogue!H21*SQRT((1+'Paramètres'!$B$4*(C355-1)+'Paramètres'!$B$5*(C355-1)^2)),0)</x:f>
        <x:v>0</x:v>
      </x:c>
      <x:c r="I355" s="28" t="n">
        <x:v>2</x:v>
      </x:c>
      <x:c r="J355" s="28" t="n">
        <x:v>1</x:v>
      </x:c>
      <x:c r="K355" s="30" t="n">
        <x:v>2.1</x:v>
      </x:c>
      <x:c r="L355" s="54" t="n">
        <x:f>IF(M355=0,0,(E355+F355)/2)</x:f>
        <x:v>27</x:v>
      </x:c>
      <x:c r="M355" t="n">
        <x:v>4</x:v>
      </x:c>
      <x:c r="N355" t="n">
        <x:v>4</x:v>
      </x:c>
      <x:c r="O355" t="n">
        <x:v>17</x:v>
      </x:c>
      <x:c r="P355" s="63" t="str">
        <x:f>IF(M355=0,"—",M355&amp;"d"&amp;N355&amp;IF(O355=0,""," + "&amp;O355))</x:f>
        <x:v>4d4 + 17</x:v>
      </x:c>
      <x:c r="Q355" t="n">
        <x:f>ROUND(INDEX(Catalogue!E$4:E$85,MATCH(A355,Catalogue!A$4:A$85,0))*(1+'Paramètres'!$B$4*(C355-1)+'Paramètres'!$B$5*(C355-1)^2),0)</x:f>
        <x:v>21</x:v>
      </x:c>
      <x:c r="R355" t="n">
        <x:f>ROUND(INDEX(Catalogue!F$4:F$85,MATCH(A355,Catalogue!A$4:A$85,0))*(1+'Paramètres'!$B$4*(C355-1)+'Paramètres'!$B$5*(C355-1)^2),0)</x:f>
        <x:v>33</x:v>
      </x:c>
      <x:c r="S355" t="n">
        <x:f>L355-AVERAGE(Q355:R355)</x:f>
        <x:v>0</x:v>
      </x:c>
      <x:c r="T355" t="str">
        <x:f>IF(M355=0,IF(AND(N355=0,O355=0,E355=0,F355=0),"OK","ERREUR"),IF(AND(M355&gt;=1,M355&lt;=32,OR(N355=4,N355=6,N355=8,N355=10,N355=12,N355=20),O355&gt;=0,E355=M355+O355,F355=M355*N355+O355),"OK","ERREUR"))</x:f>
        <x:v>OK</x:v>
      </x:c>
      <x:c r="U355" s="86" t="n">
        <x:f>IF(M355&gt;0,M355*(N355+1)/2+O355,0)</x:f>
        <x:v>27</x:v>
      </x:c>
      <x:c r="V355" t="str">
        <x:f>IF(ABS(L355-U355)&lt;0.001,"OK","ERREUR")</x:f>
        <x:v>OK</x:v>
      </x:c>
    </x:row>
    <x:row r="356" ht="18" customHeight="1">
      <x:c r="A356" t="str">
        <x:v>ARM018</x:v>
      </x:c>
      <x:c r="B356" t="str">
        <x:v>Hache de guerre</x:v>
      </x:c>
      <x:c r="C356" t="n">
        <x:v>13</x:v>
      </x:c>
      <x:c r="D356" t="str">
        <x:v>Une main</x:v>
      </x:c>
      <x:c r="E356" s="28" t="n">
        <x:f>IF(M356=0,0,M356+O356)</x:f>
        <x:v>23</x:v>
      </x:c>
      <x:c r="F356" s="28" t="n">
        <x:f>IF(M356=0,0,M356*N356+O356)</x:f>
        <x:v>37</x:v>
      </x:c>
      <x:c r="G356" s="28" t="n">
        <x:f>ROUND(Catalogue!G21*SQRT((1+'Paramètres'!$B$4*(C356-1)+'Paramètres'!$B$5*(C356-1)^2)),0)</x:f>
        <x:v>0</x:v>
      </x:c>
      <x:c r="H356" s="28" t="n">
        <x:f>ROUND(Catalogue!H21*SQRT((1+'Paramètres'!$B$4*(C356-1)+'Paramètres'!$B$5*(C356-1)^2)),0)</x:f>
        <x:v>0</x:v>
      </x:c>
      <x:c r="I356" s="28" t="n">
        <x:v>2</x:v>
      </x:c>
      <x:c r="J356" s="28" t="n">
        <x:v>1</x:v>
      </x:c>
      <x:c r="K356" s="30" t="n">
        <x:v>2.1</x:v>
      </x:c>
      <x:c r="L356" s="54" t="n">
        <x:f>IF(M356=0,0,(E356+F356)/2)</x:f>
        <x:v>30</x:v>
      </x:c>
      <x:c r="M356" t="n">
        <x:v>2</x:v>
      </x:c>
      <x:c r="N356" t="n">
        <x:v>8</x:v>
      </x:c>
      <x:c r="O356" t="n">
        <x:v>21</x:v>
      </x:c>
      <x:c r="P356" s="63" t="str">
        <x:f>IF(M356=0,"—",M356&amp;"d"&amp;N356&amp;IF(O356=0,""," + "&amp;O356))</x:f>
        <x:v>2d8 + 21</x:v>
      </x:c>
      <x:c r="Q356" t="n">
        <x:f>ROUND(INDEX(Catalogue!E$4:E$85,MATCH(A356,Catalogue!A$4:A$85,0))*(1+'Paramètres'!$B$4*(C356-1)+'Paramètres'!$B$5*(C356-1)^2),0)</x:f>
        <x:v>23</x:v>
      </x:c>
      <x:c r="R356" t="n">
        <x:f>ROUND(INDEX(Catalogue!F$4:F$85,MATCH(A356,Catalogue!A$4:A$85,0))*(1+'Paramètres'!$B$4*(C356-1)+'Paramètres'!$B$5*(C356-1)^2),0)</x:f>
        <x:v>37</x:v>
      </x:c>
      <x:c r="S356" t="n">
        <x:f>L356-AVERAGE(Q356:R356)</x:f>
        <x:v>0</x:v>
      </x:c>
      <x:c r="T356" t="str">
        <x:f>IF(M356=0,IF(AND(N356=0,O356=0,E356=0,F356=0),"OK","ERREUR"),IF(AND(M356&gt;=1,M356&lt;=32,OR(N356=4,N356=6,N356=8,N356=10,N356=12,N356=20),O356&gt;=0,E356=M356+O356,F356=M356*N356+O356),"OK","ERREUR"))</x:f>
        <x:v>OK</x:v>
      </x:c>
      <x:c r="U356" s="86" t="n">
        <x:f>IF(M356&gt;0,M356*(N356+1)/2+O356,0)</x:f>
        <x:v>30</x:v>
      </x:c>
      <x:c r="V356" t="str">
        <x:f>IF(ABS(L356-U356)&lt;0.001,"OK","ERREUR")</x:f>
        <x:v>OK</x:v>
      </x:c>
    </x:row>
    <x:row r="357" ht="18" customHeight="1">
      <x:c r="A357" t="str">
        <x:v>ARM018</x:v>
      </x:c>
      <x:c r="B357" t="str">
        <x:v>Hache de guerre</x:v>
      </x:c>
      <x:c r="C357" t="n">
        <x:v>14</x:v>
      </x:c>
      <x:c r="D357" t="str">
        <x:v>Une main</x:v>
      </x:c>
      <x:c r="E357" s="28" t="n">
        <x:f>IF(M357=0,0,M357+O357)</x:f>
        <x:v>26</x:v>
      </x:c>
      <x:c r="F357" s="28" t="n">
        <x:f>IF(M357=0,0,M357*N357+O357)</x:f>
        <x:v>41</x:v>
      </x:c>
      <x:c r="G357" s="28" t="n">
        <x:f>ROUND(Catalogue!G21*SQRT((1+'Paramètres'!$B$4*(C357-1)+'Paramètres'!$B$5*(C357-1)^2)),0)</x:f>
        <x:v>0</x:v>
      </x:c>
      <x:c r="H357" s="28" t="n">
        <x:f>ROUND(Catalogue!H21*SQRT((1+'Paramètres'!$B$4*(C357-1)+'Paramètres'!$B$5*(C357-1)^2)),0)</x:f>
        <x:v>0</x:v>
      </x:c>
      <x:c r="I357" s="28" t="n">
        <x:v>2</x:v>
      </x:c>
      <x:c r="J357" s="28" t="n">
        <x:v>1</x:v>
      </x:c>
      <x:c r="K357" s="30" t="n">
        <x:v>2.1</x:v>
      </x:c>
      <x:c r="L357" s="54" t="n">
        <x:f>IF(M357=0,0,(E357+F357)/2)</x:f>
        <x:v>33.5</x:v>
      </x:c>
      <x:c r="M357" t="n">
        <x:v>3</x:v>
      </x:c>
      <x:c r="N357" t="n">
        <x:v>6</x:v>
      </x:c>
      <x:c r="O357" t="n">
        <x:v>23</x:v>
      </x:c>
      <x:c r="P357" s="63" t="str">
        <x:f>IF(M357=0,"—",M357&amp;"d"&amp;N357&amp;IF(O357=0,""," + "&amp;O357))</x:f>
        <x:v>3d6 + 23</x:v>
      </x:c>
      <x:c r="Q357" t="n">
        <x:f>ROUND(INDEX(Catalogue!E$4:E$85,MATCH(A357,Catalogue!A$4:A$85,0))*(1+'Paramètres'!$B$4*(C357-1)+'Paramètres'!$B$5*(C357-1)^2),0)</x:f>
        <x:v>26</x:v>
      </x:c>
      <x:c r="R357" t="n">
        <x:f>ROUND(INDEX(Catalogue!F$4:F$85,MATCH(A357,Catalogue!A$4:A$85,0))*(1+'Paramètres'!$B$4*(C357-1)+'Paramètres'!$B$5*(C357-1)^2),0)</x:f>
        <x:v>41</x:v>
      </x:c>
      <x:c r="S357" t="n">
        <x:f>L357-AVERAGE(Q357:R357)</x:f>
        <x:v>0</x:v>
      </x:c>
      <x:c r="T357" t="str">
        <x:f>IF(M357=0,IF(AND(N357=0,O357=0,E357=0,F357=0),"OK","ERREUR"),IF(AND(M357&gt;=1,M357&lt;=32,OR(N357=4,N357=6,N357=8,N357=10,N357=12,N357=20),O357&gt;=0,E357=M357+O357,F357=M357*N357+O357),"OK","ERREUR"))</x:f>
        <x:v>OK</x:v>
      </x:c>
      <x:c r="U357" s="86" t="n">
        <x:f>IF(M357&gt;0,M357*(N357+1)/2+O357,0)</x:f>
        <x:v>33.5</x:v>
      </x:c>
      <x:c r="V357" t="str">
        <x:f>IF(ABS(L357-U357)&lt;0.001,"OK","ERREUR")</x:f>
        <x:v>OK</x:v>
      </x:c>
    </x:row>
    <x:row r="358" ht="18" customHeight="1">
      <x:c r="A358" t="str">
        <x:v>ARM018</x:v>
      </x:c>
      <x:c r="B358" t="str">
        <x:v>Hache de guerre</x:v>
      </x:c>
      <x:c r="C358" t="n">
        <x:v>15</x:v>
      </x:c>
      <x:c r="D358" t="str">
        <x:v>Une main</x:v>
      </x:c>
      <x:c r="E358" s="28" t="n">
        <x:f>IF(M358=0,0,M358+O358)</x:f>
        <x:v>27</x:v>
      </x:c>
      <x:c r="F358" s="28" t="n">
        <x:f>IF(M358=0,0,M358*N358+O358)</x:f>
        <x:v>45</x:v>
      </x:c>
      <x:c r="G358" s="28" t="n">
        <x:f>ROUND(Catalogue!G21*SQRT((1+'Paramètres'!$B$4*(C358-1)+'Paramètres'!$B$5*(C358-1)^2)),0)</x:f>
        <x:v>0</x:v>
      </x:c>
      <x:c r="H358" s="28" t="n">
        <x:f>ROUND(Catalogue!H21*SQRT((1+'Paramètres'!$B$4*(C358-1)+'Paramètres'!$B$5*(C358-1)^2)),0)</x:f>
        <x:v>0</x:v>
      </x:c>
      <x:c r="I358" s="28" t="n">
        <x:v>2</x:v>
      </x:c>
      <x:c r="J358" s="28" t="n">
        <x:v>1</x:v>
      </x:c>
      <x:c r="K358" s="30" t="n">
        <x:v>2.1</x:v>
      </x:c>
      <x:c r="L358" s="54" t="n">
        <x:f>IF(M358=0,0,(E358+F358)/2)</x:f>
        <x:v>36</x:v>
      </x:c>
      <x:c r="M358" t="n">
        <x:v>2</x:v>
      </x:c>
      <x:c r="N358" t="n">
        <x:v>10</x:v>
      </x:c>
      <x:c r="O358" t="n">
        <x:v>25</x:v>
      </x:c>
      <x:c r="P358" s="63" t="str">
        <x:f>IF(M358=0,"—",M358&amp;"d"&amp;N358&amp;IF(O358=0,""," + "&amp;O358))</x:f>
        <x:v>2d10 + 25</x:v>
      </x:c>
      <x:c r="Q358" t="n">
        <x:f>ROUND(INDEX(Catalogue!E$4:E$85,MATCH(A358,Catalogue!A$4:A$85,0))*(1+'Paramètres'!$B$4*(C358-1)+'Paramètres'!$B$5*(C358-1)^2),0)</x:f>
        <x:v>28</x:v>
      </x:c>
      <x:c r="R358" t="n">
        <x:f>ROUND(INDEX(Catalogue!F$4:F$85,MATCH(A358,Catalogue!A$4:A$85,0))*(1+'Paramètres'!$B$4*(C358-1)+'Paramètres'!$B$5*(C358-1)^2),0)</x:f>
        <x:v>45</x:v>
      </x:c>
      <x:c r="S358" t="n">
        <x:f>L358-AVERAGE(Q358:R358)</x:f>
        <x:v>-0.5</x:v>
      </x:c>
      <x:c r="T358" t="str">
        <x:f>IF(M358=0,IF(AND(N358=0,O358=0,E358=0,F358=0),"OK","ERREUR"),IF(AND(M358&gt;=1,M358&lt;=32,OR(N358=4,N358=6,N358=8,N358=10,N358=12,N358=20),O358&gt;=0,E358=M358+O358,F358=M358*N358+O358),"OK","ERREUR"))</x:f>
        <x:v>OK</x:v>
      </x:c>
      <x:c r="U358" s="86" t="n">
        <x:f>IF(M358&gt;0,M358*(N358+1)/2+O358,0)</x:f>
        <x:v>36</x:v>
      </x:c>
      <x:c r="V358" t="str">
        <x:f>IF(ABS(L358-U358)&lt;0.001,"OK","ERREUR")</x:f>
        <x:v>OK</x:v>
      </x:c>
    </x:row>
    <x:row r="359" ht="18" customHeight="1">
      <x:c r="A359" t="str">
        <x:v>ARM018</x:v>
      </x:c>
      <x:c r="B359" t="str">
        <x:v>Hache de guerre</x:v>
      </x:c>
      <x:c r="C359" t="n">
        <x:v>16</x:v>
      </x:c>
      <x:c r="D359" t="str">
        <x:v>Une main</x:v>
      </x:c>
      <x:c r="E359" s="28" t="n">
        <x:f>IF(M359=0,0,M359+O359)</x:f>
        <x:v>31</x:v>
      </x:c>
      <x:c r="F359" s="28" t="n">
        <x:f>IF(M359=0,0,M359*N359+O359)</x:f>
        <x:v>49</x:v>
      </x:c>
      <x:c r="G359" s="28" t="n">
        <x:f>ROUND(Catalogue!G21*SQRT((1+'Paramètres'!$B$4*(C359-1)+'Paramètres'!$B$5*(C359-1)^2)),0)</x:f>
        <x:v>0</x:v>
      </x:c>
      <x:c r="H359" s="28" t="n">
        <x:f>ROUND(Catalogue!H21*SQRT((1+'Paramètres'!$B$4*(C359-1)+'Paramètres'!$B$5*(C359-1)^2)),0)</x:f>
        <x:v>0</x:v>
      </x:c>
      <x:c r="I359" s="28" t="n">
        <x:v>2</x:v>
      </x:c>
      <x:c r="J359" s="28" t="n">
        <x:v>1</x:v>
      </x:c>
      <x:c r="K359" s="30" t="n">
        <x:v>2.1</x:v>
      </x:c>
      <x:c r="L359" s="54" t="n">
        <x:f>IF(M359=0,0,(E359+F359)/2)</x:f>
        <x:v>40</x:v>
      </x:c>
      <x:c r="M359" t="n">
        <x:v>2</x:v>
      </x:c>
      <x:c r="N359" t="n">
        <x:v>10</x:v>
      </x:c>
      <x:c r="O359" t="n">
        <x:v>29</x:v>
      </x:c>
      <x:c r="P359" s="63" t="str">
        <x:f>IF(M359=0,"—",M359&amp;"d"&amp;N359&amp;IF(O359=0,""," + "&amp;O359))</x:f>
        <x:v>2d10 + 29</x:v>
      </x:c>
      <x:c r="Q359" t="n">
        <x:f>ROUND(INDEX(Catalogue!E$4:E$85,MATCH(A359,Catalogue!A$4:A$85,0))*(1+'Paramètres'!$B$4*(C359-1)+'Paramètres'!$B$5*(C359-1)^2),0)</x:f>
        <x:v>31</x:v>
      </x:c>
      <x:c r="R359" t="n">
        <x:f>ROUND(INDEX(Catalogue!F$4:F$85,MATCH(A359,Catalogue!A$4:A$85,0))*(1+'Paramètres'!$B$4*(C359-1)+'Paramètres'!$B$5*(C359-1)^2),0)</x:f>
        <x:v>50</x:v>
      </x:c>
      <x:c r="S359" t="n">
        <x:f>L359-AVERAGE(Q359:R359)</x:f>
        <x:v>-0.5</x:v>
      </x:c>
      <x:c r="T359" t="str">
        <x:f>IF(M359=0,IF(AND(N359=0,O359=0,E359=0,F359=0),"OK","ERREUR"),IF(AND(M359&gt;=1,M359&lt;=32,OR(N359=4,N359=6,N359=8,N359=10,N359=12,N359=20),O359&gt;=0,E359=M359+O359,F359=M359*N359+O359),"OK","ERREUR"))</x:f>
        <x:v>OK</x:v>
      </x:c>
      <x:c r="U359" s="86" t="n">
        <x:f>IF(M359&gt;0,M359*(N359+1)/2+O359,0)</x:f>
        <x:v>40</x:v>
      </x:c>
      <x:c r="V359" t="str">
        <x:f>IF(ABS(L359-U359)&lt;0.001,"OK","ERREUR")</x:f>
        <x:v>OK</x:v>
      </x:c>
    </x:row>
    <x:row r="360" ht="18" customHeight="1">
      <x:c r="A360" t="str">
        <x:v>ARM018</x:v>
      </x:c>
      <x:c r="B360" t="str">
        <x:v>Hache de guerre</x:v>
      </x:c>
      <x:c r="C360" t="n">
        <x:v>17</x:v>
      </x:c>
      <x:c r="D360" t="str">
        <x:v>Une main</x:v>
      </x:c>
      <x:c r="E360" s="28" t="n">
        <x:f>IF(M360=0,0,M360+O360)</x:f>
        <x:v>34</x:v>
      </x:c>
      <x:c r="F360" s="28" t="n">
        <x:f>IF(M360=0,0,M360*N360+O360)</x:f>
        <x:v>55</x:v>
      </x:c>
      <x:c r="G360" s="28" t="n">
        <x:f>ROUND(Catalogue!G21*SQRT((1+'Paramètres'!$B$4*(C360-1)+'Paramètres'!$B$5*(C360-1)^2)),0)</x:f>
        <x:v>0</x:v>
      </x:c>
      <x:c r="H360" s="28" t="n">
        <x:f>ROUND(Catalogue!H21*SQRT((1+'Paramètres'!$B$4*(C360-1)+'Paramètres'!$B$5*(C360-1)^2)),0)</x:f>
        <x:v>0</x:v>
      </x:c>
      <x:c r="I360" s="28" t="n">
        <x:v>2</x:v>
      </x:c>
      <x:c r="J360" s="28" t="n">
        <x:v>1</x:v>
      </x:c>
      <x:c r="K360" s="30" t="n">
        <x:v>2.1</x:v>
      </x:c>
      <x:c r="L360" s="54" t="n">
        <x:f>IF(M360=0,0,(E360+F360)/2)</x:f>
        <x:v>44.5</x:v>
      </x:c>
      <x:c r="M360" t="n">
        <x:v>3</x:v>
      </x:c>
      <x:c r="N360" t="n">
        <x:v>8</x:v>
      </x:c>
      <x:c r="O360" t="n">
        <x:v>31</x:v>
      </x:c>
      <x:c r="P360" s="63" t="str">
        <x:f>IF(M360=0,"—",M360&amp;"d"&amp;N360&amp;IF(O360=0,""," + "&amp;O360))</x:f>
        <x:v>3d8 + 31</x:v>
      </x:c>
      <x:c r="Q360" t="n">
        <x:f>ROUND(INDEX(Catalogue!E$4:E$85,MATCH(A360,Catalogue!A$4:A$85,0))*(1+'Paramètres'!$B$4*(C360-1)+'Paramètres'!$B$5*(C360-1)^2),0)</x:f>
        <x:v>34</x:v>
      </x:c>
      <x:c r="R360" t="n">
        <x:f>ROUND(INDEX(Catalogue!F$4:F$85,MATCH(A360,Catalogue!A$4:A$85,0))*(1+'Paramètres'!$B$4*(C360-1)+'Paramètres'!$B$5*(C360-1)^2),0)</x:f>
        <x:v>55</x:v>
      </x:c>
      <x:c r="S360" t="n">
        <x:f>L360-AVERAGE(Q360:R360)</x:f>
        <x:v>0</x:v>
      </x:c>
      <x:c r="T360" t="str">
        <x:f>IF(M360=0,IF(AND(N360=0,O360=0,E360=0,F360=0),"OK","ERREUR"),IF(AND(M360&gt;=1,M360&lt;=32,OR(N360=4,N360=6,N360=8,N360=10,N360=12,N360=20),O360&gt;=0,E360=M360+O360,F360=M360*N360+O360),"OK","ERREUR"))</x:f>
        <x:v>OK</x:v>
      </x:c>
      <x:c r="U360" s="86" t="n">
        <x:f>IF(M360&gt;0,M360*(N360+1)/2+O360,0)</x:f>
        <x:v>44.5</x:v>
      </x:c>
      <x:c r="V360" t="str">
        <x:f>IF(ABS(L360-U360)&lt;0.001,"OK","ERREUR")</x:f>
        <x:v>OK</x:v>
      </x:c>
    </x:row>
    <x:row r="361" ht="18" customHeight="1">
      <x:c r="A361" t="str">
        <x:v>ARM018</x:v>
      </x:c>
      <x:c r="B361" t="str">
        <x:v>Hache de guerre</x:v>
      </x:c>
      <x:c r="C361" t="n">
        <x:v>18</x:v>
      </x:c>
      <x:c r="D361" t="str">
        <x:v>Une main</x:v>
      </x:c>
      <x:c r="E361" s="28" t="n">
        <x:f>IF(M361=0,0,M361+O361)</x:f>
        <x:v>37</x:v>
      </x:c>
      <x:c r="F361" s="28" t="n">
        <x:f>IF(M361=0,0,M361*N361+O361)</x:f>
        <x:v>59</x:v>
      </x:c>
      <x:c r="G361" s="28" t="n">
        <x:f>ROUND(Catalogue!G21*SQRT((1+'Paramètres'!$B$4*(C361-1)+'Paramètres'!$B$5*(C361-1)^2)),0)</x:f>
        <x:v>0</x:v>
      </x:c>
      <x:c r="H361" s="28" t="n">
        <x:f>ROUND(Catalogue!H21*SQRT((1+'Paramètres'!$B$4*(C361-1)+'Paramètres'!$B$5*(C361-1)^2)),0)</x:f>
        <x:v>0</x:v>
      </x:c>
      <x:c r="I361" s="28" t="n">
        <x:v>2</x:v>
      </x:c>
      <x:c r="J361" s="28" t="n">
        <x:v>1</x:v>
      </x:c>
      <x:c r="K361" s="30" t="n">
        <x:v>2.1</x:v>
      </x:c>
      <x:c r="L361" s="54" t="n">
        <x:f>IF(M361=0,0,(E361+F361)/2)</x:f>
        <x:v>48</x:v>
      </x:c>
      <x:c r="M361" t="n">
        <x:v>2</x:v>
      </x:c>
      <x:c r="N361" t="n">
        <x:v>12</x:v>
      </x:c>
      <x:c r="O361" t="n">
        <x:v>35</x:v>
      </x:c>
      <x:c r="P361" s="63" t="str">
        <x:f>IF(M361=0,"—",M361&amp;"d"&amp;N361&amp;IF(O361=0,""," + "&amp;O361))</x:f>
        <x:v>2d12 + 35</x:v>
      </x:c>
      <x:c r="Q361" t="n">
        <x:f>ROUND(INDEX(Catalogue!E$4:E$85,MATCH(A361,Catalogue!A$4:A$85,0))*(1+'Paramètres'!$B$4*(C361-1)+'Paramètres'!$B$5*(C361-1)^2),0)</x:f>
        <x:v>37</x:v>
      </x:c>
      <x:c r="R361" t="n">
        <x:f>ROUND(INDEX(Catalogue!F$4:F$85,MATCH(A361,Catalogue!A$4:A$85,0))*(1+'Paramètres'!$B$4*(C361-1)+'Paramètres'!$B$5*(C361-1)^2),0)</x:f>
        <x:v>60</x:v>
      </x:c>
      <x:c r="S361" t="n">
        <x:f>L361-AVERAGE(Q361:R361)</x:f>
        <x:v>-0.5</x:v>
      </x:c>
      <x:c r="T361" t="str">
        <x:f>IF(M361=0,IF(AND(N361=0,O361=0,E361=0,F361=0),"OK","ERREUR"),IF(AND(M361&gt;=1,M361&lt;=32,OR(N361=4,N361=6,N361=8,N361=10,N361=12,N361=20),O361&gt;=0,E361=M361+O361,F361=M361*N361+O361),"OK","ERREUR"))</x:f>
        <x:v>OK</x:v>
      </x:c>
      <x:c r="U361" s="86" t="n">
        <x:f>IF(M361&gt;0,M361*(N361+1)/2+O361,0)</x:f>
        <x:v>48</x:v>
      </x:c>
      <x:c r="V361" t="str">
        <x:f>IF(ABS(L361-U361)&lt;0.001,"OK","ERREUR")</x:f>
        <x:v>OK</x:v>
      </x:c>
    </x:row>
    <x:row r="362" ht="18" customHeight="1">
      <x:c r="A362" t="str">
        <x:v>ARM018</x:v>
      </x:c>
      <x:c r="B362" t="str">
        <x:v>Hache de guerre</x:v>
      </x:c>
      <x:c r="C362" t="n">
        <x:v>19</x:v>
      </x:c>
      <x:c r="D362" t="str">
        <x:v>Une main</x:v>
      </x:c>
      <x:c r="E362" s="28" t="n">
        <x:f>IF(M362=0,0,M362+O362)</x:f>
        <x:v>40</x:v>
      </x:c>
      <x:c r="F362" s="28" t="n">
        <x:f>IF(M362=0,0,M362*N362+O362)</x:f>
        <x:v>65</x:v>
      </x:c>
      <x:c r="G362" s="28" t="n">
        <x:f>ROUND(Catalogue!G21*SQRT((1+'Paramètres'!$B$4*(C362-1)+'Paramètres'!$B$5*(C362-1)^2)),0)</x:f>
        <x:v>0</x:v>
      </x:c>
      <x:c r="H362" s="28" t="n">
        <x:f>ROUND(Catalogue!H21*SQRT((1+'Paramètres'!$B$4*(C362-1)+'Paramètres'!$B$5*(C362-1)^2)),0)</x:f>
        <x:v>0</x:v>
      </x:c>
      <x:c r="I362" s="28" t="n">
        <x:v>2</x:v>
      </x:c>
      <x:c r="J362" s="28" t="n">
        <x:v>1</x:v>
      </x:c>
      <x:c r="K362" s="30" t="n">
        <x:v>2.1</x:v>
      </x:c>
      <x:c r="L362" s="54" t="n">
        <x:f>IF(M362=0,0,(E362+F362)/2)</x:f>
        <x:v>52.5</x:v>
      </x:c>
      <x:c r="M362" t="n">
        <x:v>5</x:v>
      </x:c>
      <x:c r="N362" t="n">
        <x:v>6</x:v>
      </x:c>
      <x:c r="O362" t="n">
        <x:v>35</x:v>
      </x:c>
      <x:c r="P362" s="63" t="str">
        <x:f>IF(M362=0,"—",M362&amp;"d"&amp;N362&amp;IF(O362=0,""," + "&amp;O362))</x:f>
        <x:v>5d6 + 35</x:v>
      </x:c>
      <x:c r="Q362" t="n">
        <x:f>ROUND(INDEX(Catalogue!E$4:E$85,MATCH(A362,Catalogue!A$4:A$85,0))*(1+'Paramètres'!$B$4*(C362-1)+'Paramètres'!$B$5*(C362-1)^2),0)</x:f>
        <x:v>41</x:v>
      </x:c>
      <x:c r="R362" t="n">
        <x:f>ROUND(INDEX(Catalogue!F$4:F$85,MATCH(A362,Catalogue!A$4:A$85,0))*(1+'Paramètres'!$B$4*(C362-1)+'Paramètres'!$B$5*(C362-1)^2),0)</x:f>
        <x:v>65</x:v>
      </x:c>
      <x:c r="S362" t="n">
        <x:f>L362-AVERAGE(Q362:R362)</x:f>
        <x:v>-0.5</x:v>
      </x:c>
      <x:c r="T362" t="str">
        <x:f>IF(M362=0,IF(AND(N362=0,O362=0,E362=0,F362=0),"OK","ERREUR"),IF(AND(M362&gt;=1,M362&lt;=32,OR(N362=4,N362=6,N362=8,N362=10,N362=12,N362=20),O362&gt;=0,E362=M362+O362,F362=M362*N362+O362),"OK","ERREUR"))</x:f>
        <x:v>OK</x:v>
      </x:c>
      <x:c r="U362" s="86" t="n">
        <x:f>IF(M362&gt;0,M362*(N362+1)/2+O362,0)</x:f>
        <x:v>52.5</x:v>
      </x:c>
      <x:c r="V362" t="str">
        <x:f>IF(ABS(L362-U362)&lt;0.001,"OK","ERREUR")</x:f>
        <x:v>OK</x:v>
      </x:c>
    </x:row>
    <x:row r="363" ht="18" customHeight="1">
      <x:c r="A363" t="str">
        <x:v>ARM018</x:v>
      </x:c>
      <x:c r="B363" t="str">
        <x:v>Hache de guerre</x:v>
      </x:c>
      <x:c r="C363" t="n">
        <x:v>20</x:v>
      </x:c>
      <x:c r="D363" t="str">
        <x:v>Une main</x:v>
      </x:c>
      <x:c r="E363" s="28" t="n">
        <x:f>IF(M363=0,0,M363+O363)</x:f>
        <x:v>44</x:v>
      </x:c>
      <x:c r="F363" s="28" t="n">
        <x:f>IF(M363=0,0,M363*N363+O363)</x:f>
        <x:v>71</x:v>
      </x:c>
      <x:c r="G363" s="28" t="n">
        <x:f>ROUND(Catalogue!G21*SQRT((1+'Paramètres'!$B$4*(C363-1)+'Paramètres'!$B$5*(C363-1)^2)),0)</x:f>
        <x:v>0</x:v>
      </x:c>
      <x:c r="H363" s="28" t="n">
        <x:f>ROUND(Catalogue!H21*SQRT((1+'Paramètres'!$B$4*(C363-1)+'Paramètres'!$B$5*(C363-1)^2)),0)</x:f>
        <x:v>0</x:v>
      </x:c>
      <x:c r="I363" s="28" t="n">
        <x:v>2</x:v>
      </x:c>
      <x:c r="J363" s="28" t="n">
        <x:v>1</x:v>
      </x:c>
      <x:c r="K363" s="30" t="n">
        <x:v>2.1</x:v>
      </x:c>
      <x:c r="L363" s="54" t="n">
        <x:f>IF(M363=0,0,(E363+F363)/2)</x:f>
        <x:v>57.5</x:v>
      </x:c>
      <x:c r="M363" t="n">
        <x:v>3</x:v>
      </x:c>
      <x:c r="N363" t="n">
        <x:v>10</x:v>
      </x:c>
      <x:c r="O363" t="n">
        <x:v>41</x:v>
      </x:c>
      <x:c r="P363" s="63" t="str">
        <x:f>IF(M363=0,"—",M363&amp;"d"&amp;N363&amp;IF(O363=0,""," + "&amp;O363))</x:f>
        <x:v>3d10 + 41</x:v>
      </x:c>
      <x:c r="Q363" t="n">
        <x:f>ROUND(INDEX(Catalogue!E$4:E$85,MATCH(A363,Catalogue!A$4:A$85,0))*(1+'Paramètres'!$B$4*(C363-1)+'Paramètres'!$B$5*(C363-1)^2),0)</x:f>
        <x:v>44</x:v>
      </x:c>
      <x:c r="R363" t="n">
        <x:f>ROUND(INDEX(Catalogue!F$4:F$85,MATCH(A363,Catalogue!A$4:A$85,0))*(1+'Paramètres'!$B$4*(C363-1)+'Paramètres'!$B$5*(C363-1)^2),0)</x:f>
        <x:v>71</x:v>
      </x:c>
      <x:c r="S363" t="n">
        <x:f>L363-AVERAGE(Q363:R363)</x:f>
        <x:v>0</x:v>
      </x:c>
      <x:c r="T363" t="str">
        <x:f>IF(M363=0,IF(AND(N363=0,O363=0,E363=0,F363=0),"OK","ERREUR"),IF(AND(M363&gt;=1,M363&lt;=32,OR(N363=4,N363=6,N363=8,N363=10,N363=12,N363=20),O363&gt;=0,E363=M363+O363,F363=M363*N363+O363),"OK","ERREUR"))</x:f>
        <x:v>OK</x:v>
      </x:c>
      <x:c r="U363" s="86" t="n">
        <x:f>IF(M363&gt;0,M363*(N363+1)/2+O363,0)</x:f>
        <x:v>57.5</x:v>
      </x:c>
      <x:c r="V363" t="str">
        <x:f>IF(ABS(L363-U363)&lt;0.001,"OK","ERREUR")</x:f>
        <x:v>OK</x:v>
      </x:c>
    </x:row>
    <x:row r="364" ht="18" customHeight="1">
      <x:c r="A364" t="str">
        <x:v>ARM019</x:v>
      </x:c>
      <x:c r="B364" t="str">
        <x:v>Hache barbue</x:v>
      </x:c>
      <x:c r="C364" t="n">
        <x:v>1</x:v>
      </x:c>
      <x:c r="D364" t="str">
        <x:v>Une main</x:v>
      </x:c>
      <x:c r="E364" s="28" t="n">
        <x:f>IF(M364=0,0,M364+O364)</x:f>
        <x:v>4</x:v>
      </x:c>
      <x:c r="F364" s="28" t="n">
        <x:f>IF(M364=0,0,M364*N364+O364)</x:f>
        <x:v>7</x:v>
      </x:c>
      <x:c r="G364" s="28" t="n">
        <x:f>ROUND(Catalogue!G22*SQRT((1+'Paramètres'!$B$4*(C364-1)+'Paramètres'!$B$5*(C364-1)^2)),0)</x:f>
        <x:v>0</x:v>
      </x:c>
      <x:c r="H364" s="28" t="n">
        <x:f>ROUND(Catalogue!H22*SQRT((1+'Paramètres'!$B$4*(C364-1)+'Paramètres'!$B$5*(C364-1)^2)),0)</x:f>
        <x:v>0</x:v>
      </x:c>
      <x:c r="I364" s="28" t="n">
        <x:v>2</x:v>
      </x:c>
      <x:c r="J364" s="28" t="n">
        <x:v>1</x:v>
      </x:c>
      <x:c r="K364" s="30" t="n">
        <x:v>2</x:v>
      </x:c>
      <x:c r="L364" s="54" t="n">
        <x:f>IF(M364=0,0,(E364+F364)/2)</x:f>
        <x:v>5.5</x:v>
      </x:c>
      <x:c r="M364" t="n">
        <x:v>1</x:v>
      </x:c>
      <x:c r="N364" t="n">
        <x:v>4</x:v>
      </x:c>
      <x:c r="O364" t="n">
        <x:v>3</x:v>
      </x:c>
      <x:c r="P364" s="63" t="str">
        <x:f>IF(M364=0,"—",M364&amp;"d"&amp;N364&amp;IF(O364=0,""," + "&amp;O364))</x:f>
        <x:v>1d4 + 3</x:v>
      </x:c>
      <x:c r="Q364" t="n">
        <x:f>ROUND(INDEX(Catalogue!E$4:E$85,MATCH(A364,Catalogue!A$4:A$85,0))*(1+'Paramètres'!$B$4*(C364-1)+'Paramètres'!$B$5*(C364-1)^2),0)</x:f>
        <x:v>4</x:v>
      </x:c>
      <x:c r="R364" t="n">
        <x:f>ROUND(INDEX(Catalogue!F$4:F$85,MATCH(A364,Catalogue!A$4:A$85,0))*(1+'Paramètres'!$B$4*(C364-1)+'Paramètres'!$B$5*(C364-1)^2),0)</x:f>
        <x:v>8</x:v>
      </x:c>
      <x:c r="S364" t="n">
        <x:f>L364-AVERAGE(Q364:R364)</x:f>
        <x:v>-0.5</x:v>
      </x:c>
      <x:c r="T364" t="str">
        <x:f>IF(M364=0,IF(AND(N364=0,O364=0,E364=0,F364=0),"OK","ERREUR"),IF(AND(M364&gt;=1,M364&lt;=32,OR(N364=4,N364=6,N364=8,N364=10,N364=12,N364=20),O364&gt;=0,E364=M364+O364,F364=M364*N364+O364),"OK","ERREUR"))</x:f>
        <x:v>OK</x:v>
      </x:c>
      <x:c r="U364" s="86" t="n">
        <x:f>IF(M364&gt;0,M364*(N364+1)/2+O364,0)</x:f>
        <x:v>5.5</x:v>
      </x:c>
      <x:c r="V364" t="str">
        <x:f>IF(ABS(L364-U364)&lt;0.001,"OK","ERREUR")</x:f>
        <x:v>OK</x:v>
      </x:c>
    </x:row>
    <x:row r="365" ht="18" customHeight="1">
      <x:c r="A365" t="str">
        <x:v>ARM019</x:v>
      </x:c>
      <x:c r="B365" t="str">
        <x:v>Hache barbue</x:v>
      </x:c>
      <x:c r="C365" t="n">
        <x:v>2</x:v>
      </x:c>
      <x:c r="D365" t="str">
        <x:v>Une main</x:v>
      </x:c>
      <x:c r="E365" s="28" t="n">
        <x:f>IF(M365=0,0,M365+O365)</x:f>
        <x:v>5</x:v>
      </x:c>
      <x:c r="F365" s="28" t="n">
        <x:f>IF(M365=0,0,M365*N365+O365)</x:f>
        <x:v>8</x:v>
      </x:c>
      <x:c r="G365" s="28" t="n">
        <x:f>ROUND(Catalogue!G22*SQRT((1+'Paramètres'!$B$4*(C365-1)+'Paramètres'!$B$5*(C365-1)^2)),0)</x:f>
        <x:v>0</x:v>
      </x:c>
      <x:c r="H365" s="28" t="n">
        <x:f>ROUND(Catalogue!H22*SQRT((1+'Paramètres'!$B$4*(C365-1)+'Paramètres'!$B$5*(C365-1)^2)),0)</x:f>
        <x:v>0</x:v>
      </x:c>
      <x:c r="I365" s="28" t="n">
        <x:v>2</x:v>
      </x:c>
      <x:c r="J365" s="28" t="n">
        <x:v>1</x:v>
      </x:c>
      <x:c r="K365" s="30" t="n">
        <x:v>2</x:v>
      </x:c>
      <x:c r="L365" s="54" t="n">
        <x:f>IF(M365=0,0,(E365+F365)/2)</x:f>
        <x:v>6.5</x:v>
      </x:c>
      <x:c r="M365" t="n">
        <x:v>1</x:v>
      </x:c>
      <x:c r="N365" t="n">
        <x:v>4</x:v>
      </x:c>
      <x:c r="O365" t="n">
        <x:v>4</x:v>
      </x:c>
      <x:c r="P365" s="63" t="str">
        <x:f>IF(M365=0,"—",M365&amp;"d"&amp;N365&amp;IF(O365=0,""," + "&amp;O365))</x:f>
        <x:v>1d4 + 4</x:v>
      </x:c>
      <x:c r="Q365" t="n">
        <x:f>ROUND(INDEX(Catalogue!E$4:E$85,MATCH(A365,Catalogue!A$4:A$85,0))*(1+'Paramètres'!$B$4*(C365-1)+'Paramètres'!$B$5*(C365-1)^2),0)</x:f>
        <x:v>5</x:v>
      </x:c>
      <x:c r="R365" t="n">
        <x:f>ROUND(INDEX(Catalogue!F$4:F$85,MATCH(A365,Catalogue!A$4:A$85,0))*(1+'Paramètres'!$B$4*(C365-1)+'Paramètres'!$B$5*(C365-1)^2),0)</x:f>
        <x:v>9</x:v>
      </x:c>
      <x:c r="S365" t="n">
        <x:f>L365-AVERAGE(Q365:R365)</x:f>
        <x:v>-0.5</x:v>
      </x:c>
      <x:c r="T365" t="str">
        <x:f>IF(M365=0,IF(AND(N365=0,O365=0,E365=0,F365=0),"OK","ERREUR"),IF(AND(M365&gt;=1,M365&lt;=32,OR(N365=4,N365=6,N365=8,N365=10,N365=12,N365=20),O365&gt;=0,E365=M365+O365,F365=M365*N365+O365),"OK","ERREUR"))</x:f>
        <x:v>OK</x:v>
      </x:c>
      <x:c r="U365" s="86" t="n">
        <x:f>IF(M365&gt;0,M365*(N365+1)/2+O365,0)</x:f>
        <x:v>6.5</x:v>
      </x:c>
      <x:c r="V365" t="str">
        <x:f>IF(ABS(L365-U365)&lt;0.001,"OK","ERREUR")</x:f>
        <x:v>OK</x:v>
      </x:c>
    </x:row>
    <x:row r="366" ht="18" customHeight="1">
      <x:c r="A366" t="str">
        <x:v>ARM019</x:v>
      </x:c>
      <x:c r="B366" t="str">
        <x:v>Hache barbue</x:v>
      </x:c>
      <x:c r="C366" t="n">
        <x:v>3</x:v>
      </x:c>
      <x:c r="D366" t="str">
        <x:v>Une main</x:v>
      </x:c>
      <x:c r="E366" s="28" t="n">
        <x:f>IF(M366=0,0,M366+O366)</x:f>
        <x:v>5</x:v>
      </x:c>
      <x:c r="F366" s="28" t="n">
        <x:f>IF(M366=0,0,M366*N366+O366)</x:f>
        <x:v>10</x:v>
      </x:c>
      <x:c r="G366" s="28" t="n">
        <x:f>ROUND(Catalogue!G22*SQRT((1+'Paramètres'!$B$4*(C366-1)+'Paramètres'!$B$5*(C366-1)^2)),0)</x:f>
        <x:v>0</x:v>
      </x:c>
      <x:c r="H366" s="28" t="n">
        <x:f>ROUND(Catalogue!H22*SQRT((1+'Paramètres'!$B$4*(C366-1)+'Paramètres'!$B$5*(C366-1)^2)),0)</x:f>
        <x:v>0</x:v>
      </x:c>
      <x:c r="I366" s="28" t="n">
        <x:v>2</x:v>
      </x:c>
      <x:c r="J366" s="28" t="n">
        <x:v>1</x:v>
      </x:c>
      <x:c r="K366" s="30" t="n">
        <x:v>2</x:v>
      </x:c>
      <x:c r="L366" s="54" t="n">
        <x:f>IF(M366=0,0,(E366+F366)/2)</x:f>
        <x:v>7.5</x:v>
      </x:c>
      <x:c r="M366" t="n">
        <x:v>1</x:v>
      </x:c>
      <x:c r="N366" t="n">
        <x:v>6</x:v>
      </x:c>
      <x:c r="O366" t="n">
        <x:v>4</x:v>
      </x:c>
      <x:c r="P366" s="63" t="str">
        <x:f>IF(M366=0,"—",M366&amp;"d"&amp;N366&amp;IF(O366=0,""," + "&amp;O366))</x:f>
        <x:v>1d6 + 4</x:v>
      </x:c>
      <x:c r="Q366" t="n">
        <x:f>ROUND(INDEX(Catalogue!E$4:E$85,MATCH(A366,Catalogue!A$4:A$85,0))*(1+'Paramètres'!$B$4*(C366-1)+'Paramètres'!$B$5*(C366-1)^2),0)</x:f>
        <x:v>5</x:v>
      </x:c>
      <x:c r="R366" t="n">
        <x:f>ROUND(INDEX(Catalogue!F$4:F$85,MATCH(A366,Catalogue!A$4:A$85,0))*(1+'Paramètres'!$B$4*(C366-1)+'Paramètres'!$B$5*(C366-1)^2),0)</x:f>
        <x:v>10</x:v>
      </x:c>
      <x:c r="S366" t="n">
        <x:f>L366-AVERAGE(Q366:R366)</x:f>
        <x:v>0</x:v>
      </x:c>
      <x:c r="T366" t="str">
        <x:f>IF(M366=0,IF(AND(N366=0,O366=0,E366=0,F366=0),"OK","ERREUR"),IF(AND(M366&gt;=1,M366&lt;=32,OR(N366=4,N366=6,N366=8,N366=10,N366=12,N366=20),O366&gt;=0,E366=M366+O366,F366=M366*N366+O366),"OK","ERREUR"))</x:f>
        <x:v>OK</x:v>
      </x:c>
      <x:c r="U366" s="86" t="n">
        <x:f>IF(M366&gt;0,M366*(N366+1)/2+O366,0)</x:f>
        <x:v>7.5</x:v>
      </x:c>
      <x:c r="V366" t="str">
        <x:f>IF(ABS(L366-U366)&lt;0.001,"OK","ERREUR")</x:f>
        <x:v>OK</x:v>
      </x:c>
    </x:row>
    <x:row r="367" ht="18" customHeight="1">
      <x:c r="A367" t="str">
        <x:v>ARM019</x:v>
      </x:c>
      <x:c r="B367" t="str">
        <x:v>Hache barbue</x:v>
      </x:c>
      <x:c r="C367" t="n">
        <x:v>4</x:v>
      </x:c>
      <x:c r="D367" t="str">
        <x:v>Une main</x:v>
      </x:c>
      <x:c r="E367" s="28" t="n">
        <x:f>IF(M367=0,0,M367+O367)</x:f>
        <x:v>6</x:v>
      </x:c>
      <x:c r="F367" s="28" t="n">
        <x:f>IF(M367=0,0,M367*N367+O367)</x:f>
        <x:v>12</x:v>
      </x:c>
      <x:c r="G367" s="28" t="n">
        <x:f>ROUND(Catalogue!G22*SQRT((1+'Paramètres'!$B$4*(C367-1)+'Paramètres'!$B$5*(C367-1)^2)),0)</x:f>
        <x:v>0</x:v>
      </x:c>
      <x:c r="H367" s="28" t="n">
        <x:f>ROUND(Catalogue!H22*SQRT((1+'Paramètres'!$B$4*(C367-1)+'Paramètres'!$B$5*(C367-1)^2)),0)</x:f>
        <x:v>0</x:v>
      </x:c>
      <x:c r="I367" s="28" t="n">
        <x:v>2</x:v>
      </x:c>
      <x:c r="J367" s="28" t="n">
        <x:v>1</x:v>
      </x:c>
      <x:c r="K367" s="30" t="n">
        <x:v>2</x:v>
      </x:c>
      <x:c r="L367" s="54" t="n">
        <x:f>IF(M367=0,0,(E367+F367)/2)</x:f>
        <x:v>9</x:v>
      </x:c>
      <x:c r="M367" t="n">
        <x:v>2</x:v>
      </x:c>
      <x:c r="N367" t="n">
        <x:v>4</x:v>
      </x:c>
      <x:c r="O367" t="n">
        <x:v>4</x:v>
      </x:c>
      <x:c r="P367" s="63" t="str">
        <x:f>IF(M367=0,"—",M367&amp;"d"&amp;N367&amp;IF(O367=0,""," + "&amp;O367))</x:f>
        <x:v>2d4 + 4</x:v>
      </x:c>
      <x:c r="Q367" t="n">
        <x:f>ROUND(INDEX(Catalogue!E$4:E$85,MATCH(A367,Catalogue!A$4:A$85,0))*(1+'Paramètres'!$B$4*(C367-1)+'Paramètres'!$B$5*(C367-1)^2),0)</x:f>
        <x:v>6</x:v>
      </x:c>
      <x:c r="R367" t="n">
        <x:f>ROUND(INDEX(Catalogue!F$4:F$85,MATCH(A367,Catalogue!A$4:A$85,0))*(1+'Paramètres'!$B$4*(C367-1)+'Paramètres'!$B$5*(C367-1)^2),0)</x:f>
        <x:v>12</x:v>
      </x:c>
      <x:c r="S367" t="n">
        <x:f>L367-AVERAGE(Q367:R367)</x:f>
        <x:v>0</x:v>
      </x:c>
      <x:c r="T367" t="str">
        <x:f>IF(M367=0,IF(AND(N367=0,O367=0,E367=0,F367=0),"OK","ERREUR"),IF(AND(M367&gt;=1,M367&lt;=32,OR(N367=4,N367=6,N367=8,N367=10,N367=12,N367=20),O367&gt;=0,E367=M367+O367,F367=M367*N367+O367),"OK","ERREUR"))</x:f>
        <x:v>OK</x:v>
      </x:c>
      <x:c r="U367" s="86" t="n">
        <x:f>IF(M367&gt;0,M367*(N367+1)/2+O367,0)</x:f>
        <x:v>9</x:v>
      </x:c>
      <x:c r="V367" t="str">
        <x:f>IF(ABS(L367-U367)&lt;0.001,"OK","ERREUR")</x:f>
        <x:v>OK</x:v>
      </x:c>
    </x:row>
    <x:row r="368" ht="18" customHeight="1">
      <x:c r="A368" t="str">
        <x:v>ARM019</x:v>
      </x:c>
      <x:c r="B368" t="str">
        <x:v>Hache barbue</x:v>
      </x:c>
      <x:c r="C368" t="n">
        <x:v>5</x:v>
      </x:c>
      <x:c r="D368" t="str">
        <x:v>Une main</x:v>
      </x:c>
      <x:c r="E368" s="28" t="n">
        <x:f>IF(M368=0,0,M368+O368)</x:f>
        <x:v>7</x:v>
      </x:c>
      <x:c r="F368" s="28" t="n">
        <x:f>IF(M368=0,0,M368*N368+O368)</x:f>
        <x:v>14</x:v>
      </x:c>
      <x:c r="G368" s="28" t="n">
        <x:f>ROUND(Catalogue!G22*SQRT((1+'Paramètres'!$B$4*(C368-1)+'Paramètres'!$B$5*(C368-1)^2)),0)</x:f>
        <x:v>0</x:v>
      </x:c>
      <x:c r="H368" s="28" t="n">
        <x:f>ROUND(Catalogue!H22*SQRT((1+'Paramètres'!$B$4*(C368-1)+'Paramètres'!$B$5*(C368-1)^2)),0)</x:f>
        <x:v>0</x:v>
      </x:c>
      <x:c r="I368" s="28" t="n">
        <x:v>2</x:v>
      </x:c>
      <x:c r="J368" s="28" t="n">
        <x:v>1</x:v>
      </x:c>
      <x:c r="K368" s="30" t="n">
        <x:v>2</x:v>
      </x:c>
      <x:c r="L368" s="54" t="n">
        <x:f>IF(M368=0,0,(E368+F368)/2)</x:f>
        <x:v>10.5</x:v>
      </x:c>
      <x:c r="M368" t="n">
        <x:v>1</x:v>
      </x:c>
      <x:c r="N368" t="n">
        <x:v>8</x:v>
      </x:c>
      <x:c r="O368" t="n">
        <x:v>6</x:v>
      </x:c>
      <x:c r="P368" s="63" t="str">
        <x:f>IF(M368=0,"—",M368&amp;"d"&amp;N368&amp;IF(O368=0,""," + "&amp;O368))</x:f>
        <x:v>1d8 + 6</x:v>
      </x:c>
      <x:c r="Q368" t="n">
        <x:f>ROUND(INDEX(Catalogue!E$4:E$85,MATCH(A368,Catalogue!A$4:A$85,0))*(1+'Paramètres'!$B$4*(C368-1)+'Paramètres'!$B$5*(C368-1)^2),0)</x:f>
        <x:v>7</x:v>
      </x:c>
      <x:c r="R368" t="n">
        <x:f>ROUND(INDEX(Catalogue!F$4:F$85,MATCH(A368,Catalogue!A$4:A$85,0))*(1+'Paramètres'!$B$4*(C368-1)+'Paramètres'!$B$5*(C368-1)^2),0)</x:f>
        <x:v>14</x:v>
      </x:c>
      <x:c r="S368" t="n">
        <x:f>L368-AVERAGE(Q368:R368)</x:f>
        <x:v>0</x:v>
      </x:c>
      <x:c r="T368" t="str">
        <x:f>IF(M368=0,IF(AND(N368=0,O368=0,E368=0,F368=0),"OK","ERREUR"),IF(AND(M368&gt;=1,M368&lt;=32,OR(N368=4,N368=6,N368=8,N368=10,N368=12,N368=20),O368&gt;=0,E368=M368+O368,F368=M368*N368+O368),"OK","ERREUR"))</x:f>
        <x:v>OK</x:v>
      </x:c>
      <x:c r="U368" s="86" t="n">
        <x:f>IF(M368&gt;0,M368*(N368+1)/2+O368,0)</x:f>
        <x:v>10.5</x:v>
      </x:c>
      <x:c r="V368" t="str">
        <x:f>IF(ABS(L368-U368)&lt;0.001,"OK","ERREUR")</x:f>
        <x:v>OK</x:v>
      </x:c>
    </x:row>
    <x:row r="369" ht="18" customHeight="1">
      <x:c r="A369" t="str">
        <x:v>ARM019</x:v>
      </x:c>
      <x:c r="B369" t="str">
        <x:v>Hache barbue</x:v>
      </x:c>
      <x:c r="C369" t="n">
        <x:v>6</x:v>
      </x:c>
      <x:c r="D369" t="str">
        <x:v>Une main</x:v>
      </x:c>
      <x:c r="E369" s="28" t="n">
        <x:f>IF(M369=0,0,M369+O369)</x:f>
        <x:v>9</x:v>
      </x:c>
      <x:c r="F369" s="28" t="n">
        <x:f>IF(M369=0,0,M369*N369+O369)</x:f>
        <x:v>16</x:v>
      </x:c>
      <x:c r="G369" s="28" t="n">
        <x:f>ROUND(Catalogue!G22*SQRT((1+'Paramètres'!$B$4*(C369-1)+'Paramètres'!$B$5*(C369-1)^2)),0)</x:f>
        <x:v>0</x:v>
      </x:c>
      <x:c r="H369" s="28" t="n">
        <x:f>ROUND(Catalogue!H22*SQRT((1+'Paramètres'!$B$4*(C369-1)+'Paramètres'!$B$5*(C369-1)^2)),0)</x:f>
        <x:v>0</x:v>
      </x:c>
      <x:c r="I369" s="28" t="n">
        <x:v>2</x:v>
      </x:c>
      <x:c r="J369" s="28" t="n">
        <x:v>1</x:v>
      </x:c>
      <x:c r="K369" s="30" t="n">
        <x:v>2</x:v>
      </x:c>
      <x:c r="L369" s="54" t="n">
        <x:f>IF(M369=0,0,(E369+F369)/2)</x:f>
        <x:v>12.5</x:v>
      </x:c>
      <x:c r="M369" t="n">
        <x:v>1</x:v>
      </x:c>
      <x:c r="N369" t="n">
        <x:v>8</x:v>
      </x:c>
      <x:c r="O369" t="n">
        <x:v>8</x:v>
      </x:c>
      <x:c r="P369" s="63" t="str">
        <x:f>IF(M369=0,"—",M369&amp;"d"&amp;N369&amp;IF(O369=0,""," + "&amp;O369))</x:f>
        <x:v>1d8 + 8</x:v>
      </x:c>
      <x:c r="Q369" t="n">
        <x:f>ROUND(INDEX(Catalogue!E$4:E$85,MATCH(A369,Catalogue!A$4:A$85,0))*(1+'Paramètres'!$B$4*(C369-1)+'Paramètres'!$B$5*(C369-1)^2),0)</x:f>
        <x:v>8</x:v>
      </x:c>
      <x:c r="R369" t="n">
        <x:f>ROUND(INDEX(Catalogue!F$4:F$85,MATCH(A369,Catalogue!A$4:A$85,0))*(1+'Paramètres'!$B$4*(C369-1)+'Paramètres'!$B$5*(C369-1)^2),0)</x:f>
        <x:v>16</x:v>
      </x:c>
      <x:c r="S369" t="n">
        <x:f>L369-AVERAGE(Q369:R369)</x:f>
        <x:v>0.5</x:v>
      </x:c>
      <x:c r="T369" t="str">
        <x:f>IF(M369=0,IF(AND(N369=0,O369=0,E369=0,F369=0),"OK","ERREUR"),IF(AND(M369&gt;=1,M369&lt;=32,OR(N369=4,N369=6,N369=8,N369=10,N369=12,N369=20),O369&gt;=0,E369=M369+O369,F369=M369*N369+O369),"OK","ERREUR"))</x:f>
        <x:v>OK</x:v>
      </x:c>
      <x:c r="U369" s="86" t="n">
        <x:f>IF(M369&gt;0,M369*(N369+1)/2+O369,0)</x:f>
        <x:v>12.5</x:v>
      </x:c>
      <x:c r="V369" t="str">
        <x:f>IF(ABS(L369-U369)&lt;0.001,"OK","ERREUR")</x:f>
        <x:v>OK</x:v>
      </x:c>
    </x:row>
    <x:row r="370" ht="18" customHeight="1">
      <x:c r="A370" t="str">
        <x:v>ARM019</x:v>
      </x:c>
      <x:c r="B370" t="str">
        <x:v>Hache barbue</x:v>
      </x:c>
      <x:c r="C370" t="n">
        <x:v>7</x:v>
      </x:c>
      <x:c r="D370" t="str">
        <x:v>Une main</x:v>
      </x:c>
      <x:c r="E370" s="28" t="n">
        <x:f>IF(M370=0,0,M370+O370)</x:f>
        <x:v>9</x:v>
      </x:c>
      <x:c r="F370" s="28" t="n">
        <x:f>IF(M370=0,0,M370*N370+O370)</x:f>
        <x:v>18</x:v>
      </x:c>
      <x:c r="G370" s="28" t="n">
        <x:f>ROUND(Catalogue!G22*SQRT((1+'Paramètres'!$B$4*(C370-1)+'Paramètres'!$B$5*(C370-1)^2)),0)</x:f>
        <x:v>0</x:v>
      </x:c>
      <x:c r="H370" s="28" t="n">
        <x:f>ROUND(Catalogue!H22*SQRT((1+'Paramètres'!$B$4*(C370-1)+'Paramètres'!$B$5*(C370-1)^2)),0)</x:f>
        <x:v>0</x:v>
      </x:c>
      <x:c r="I370" s="28" t="n">
        <x:v>2</x:v>
      </x:c>
      <x:c r="J370" s="28" t="n">
        <x:v>1</x:v>
      </x:c>
      <x:c r="K370" s="30" t="n">
        <x:v>2</x:v>
      </x:c>
      <x:c r="L370" s="54" t="n">
        <x:f>IF(M370=0,0,(E370+F370)/2)</x:f>
        <x:v>13.5</x:v>
      </x:c>
      <x:c r="M370" t="n">
        <x:v>1</x:v>
      </x:c>
      <x:c r="N370" t="n">
        <x:v>10</x:v>
      </x:c>
      <x:c r="O370" t="n">
        <x:v>8</x:v>
      </x:c>
      <x:c r="P370" s="63" t="str">
        <x:f>IF(M370=0,"—",M370&amp;"d"&amp;N370&amp;IF(O370=0,""," + "&amp;O370))</x:f>
        <x:v>1d10 + 8</x:v>
      </x:c>
      <x:c r="Q370" t="n">
        <x:f>ROUND(INDEX(Catalogue!E$4:E$85,MATCH(A370,Catalogue!A$4:A$85,0))*(1+'Paramètres'!$B$4*(C370-1)+'Paramètres'!$B$5*(C370-1)^2),0)</x:f>
        <x:v>9</x:v>
      </x:c>
      <x:c r="R370" t="n">
        <x:f>ROUND(INDEX(Catalogue!F$4:F$85,MATCH(A370,Catalogue!A$4:A$85,0))*(1+'Paramètres'!$B$4*(C370-1)+'Paramètres'!$B$5*(C370-1)^2),0)</x:f>
        <x:v>18</x:v>
      </x:c>
      <x:c r="S370" t="n">
        <x:f>L370-AVERAGE(Q370:R370)</x:f>
        <x:v>0</x:v>
      </x:c>
      <x:c r="T370" t="str">
        <x:f>IF(M370=0,IF(AND(N370=0,O370=0,E370=0,F370=0),"OK","ERREUR"),IF(AND(M370&gt;=1,M370&lt;=32,OR(N370=4,N370=6,N370=8,N370=10,N370=12,N370=20),O370&gt;=0,E370=M370+O370,F370=M370*N370+O370),"OK","ERREUR"))</x:f>
        <x:v>OK</x:v>
      </x:c>
      <x:c r="U370" s="86" t="n">
        <x:f>IF(M370&gt;0,M370*(N370+1)/2+O370,0)</x:f>
        <x:v>13.5</x:v>
      </x:c>
      <x:c r="V370" t="str">
        <x:f>IF(ABS(L370-U370)&lt;0.001,"OK","ERREUR")</x:f>
        <x:v>OK</x:v>
      </x:c>
    </x:row>
    <x:row r="371" ht="18" customHeight="1">
      <x:c r="A371" t="str">
        <x:v>ARM019</x:v>
      </x:c>
      <x:c r="B371" t="str">
        <x:v>Hache barbue</x:v>
      </x:c>
      <x:c r="C371" t="n">
        <x:v>8</x:v>
      </x:c>
      <x:c r="D371" t="str">
        <x:v>Une main</x:v>
      </x:c>
      <x:c r="E371" s="28" t="n">
        <x:f>IF(M371=0,0,M371+O371)</x:f>
        <x:v>10</x:v>
      </x:c>
      <x:c r="F371" s="28" t="n">
        <x:f>IF(M371=0,0,M371*N371+O371)</x:f>
        <x:v>20</x:v>
      </x:c>
      <x:c r="G371" s="28" t="n">
        <x:f>ROUND(Catalogue!G22*SQRT((1+'Paramètres'!$B$4*(C371-1)+'Paramètres'!$B$5*(C371-1)^2)),0)</x:f>
        <x:v>0</x:v>
      </x:c>
      <x:c r="H371" s="28" t="n">
        <x:f>ROUND(Catalogue!H22*SQRT((1+'Paramètres'!$B$4*(C371-1)+'Paramètres'!$B$5*(C371-1)^2)),0)</x:f>
        <x:v>0</x:v>
      </x:c>
      <x:c r="I371" s="28" t="n">
        <x:v>2</x:v>
      </x:c>
      <x:c r="J371" s="28" t="n">
        <x:v>1</x:v>
      </x:c>
      <x:c r="K371" s="30" t="n">
        <x:v>2</x:v>
      </x:c>
      <x:c r="L371" s="54" t="n">
        <x:f>IF(M371=0,0,(E371+F371)/2)</x:f>
        <x:v>15</x:v>
      </x:c>
      <x:c r="M371" t="n">
        <x:v>2</x:v>
      </x:c>
      <x:c r="N371" t="n">
        <x:v>6</x:v>
      </x:c>
      <x:c r="O371" t="n">
        <x:v>8</x:v>
      </x:c>
      <x:c r="P371" s="63" t="str">
        <x:f>IF(M371=0,"—",M371&amp;"d"&amp;N371&amp;IF(O371=0,""," + "&amp;O371))</x:f>
        <x:v>2d6 + 8</x:v>
      </x:c>
      <x:c r="Q371" t="n">
        <x:f>ROUND(INDEX(Catalogue!E$4:E$85,MATCH(A371,Catalogue!A$4:A$85,0))*(1+'Paramètres'!$B$4*(C371-1)+'Paramètres'!$B$5*(C371-1)^2),0)</x:f>
        <x:v>10</x:v>
      </x:c>
      <x:c r="R371" t="n">
        <x:f>ROUND(INDEX(Catalogue!F$4:F$85,MATCH(A371,Catalogue!A$4:A$85,0))*(1+'Paramètres'!$B$4*(C371-1)+'Paramètres'!$B$5*(C371-1)^2),0)</x:f>
        <x:v>20</x:v>
      </x:c>
      <x:c r="S371" t="n">
        <x:f>L371-AVERAGE(Q371:R371)</x:f>
        <x:v>0</x:v>
      </x:c>
      <x:c r="T371" t="str">
        <x:f>IF(M371=0,IF(AND(N371=0,O371=0,E371=0,F371=0),"OK","ERREUR"),IF(AND(M371&gt;=1,M371&lt;=32,OR(N371=4,N371=6,N371=8,N371=10,N371=12,N371=20),O371&gt;=0,E371=M371+O371,F371=M371*N371+O371),"OK","ERREUR"))</x:f>
        <x:v>OK</x:v>
      </x:c>
      <x:c r="U371" s="86" t="n">
        <x:f>IF(M371&gt;0,M371*(N371+1)/2+O371,0)</x:f>
        <x:v>15</x:v>
      </x:c>
      <x:c r="V371" t="str">
        <x:f>IF(ABS(L371-U371)&lt;0.001,"OK","ERREUR")</x:f>
        <x:v>OK</x:v>
      </x:c>
    </x:row>
    <x:row r="372" ht="18" customHeight="1">
      <x:c r="A372" t="str">
        <x:v>ARM019</x:v>
      </x:c>
      <x:c r="B372" t="str">
        <x:v>Hache barbue</x:v>
      </x:c>
      <x:c r="C372" t="n">
        <x:v>9</x:v>
      </x:c>
      <x:c r="D372" t="str">
        <x:v>Une main</x:v>
      </x:c>
      <x:c r="E372" s="28" t="n">
        <x:f>IF(M372=0,0,M372+O372)</x:f>
        <x:v>12</x:v>
      </x:c>
      <x:c r="F372" s="28" t="n">
        <x:f>IF(M372=0,0,M372*N372+O372)</x:f>
        <x:v>23</x:v>
      </x:c>
      <x:c r="G372" s="28" t="n">
        <x:f>ROUND(Catalogue!G22*SQRT((1+'Paramètres'!$B$4*(C372-1)+'Paramètres'!$B$5*(C372-1)^2)),0)</x:f>
        <x:v>0</x:v>
      </x:c>
      <x:c r="H372" s="28" t="n">
        <x:f>ROUND(Catalogue!H22*SQRT((1+'Paramètres'!$B$4*(C372-1)+'Paramètres'!$B$5*(C372-1)^2)),0)</x:f>
        <x:v>0</x:v>
      </x:c>
      <x:c r="I372" s="28" t="n">
        <x:v>2</x:v>
      </x:c>
      <x:c r="J372" s="28" t="n">
        <x:v>1</x:v>
      </x:c>
      <x:c r="K372" s="30" t="n">
        <x:v>2</x:v>
      </x:c>
      <x:c r="L372" s="54" t="n">
        <x:f>IF(M372=0,0,(E372+F372)/2)</x:f>
        <x:v>17.5</x:v>
      </x:c>
      <x:c r="M372" t="n">
        <x:v>1</x:v>
      </x:c>
      <x:c r="N372" t="n">
        <x:v>12</x:v>
      </x:c>
      <x:c r="O372" t="n">
        <x:v>11</x:v>
      </x:c>
      <x:c r="P372" s="63" t="str">
        <x:f>IF(M372=0,"—",M372&amp;"d"&amp;N372&amp;IF(O372=0,""," + "&amp;O372))</x:f>
        <x:v>1d12 + 11</x:v>
      </x:c>
      <x:c r="Q372" t="n">
        <x:f>ROUND(INDEX(Catalogue!E$4:E$85,MATCH(A372,Catalogue!A$4:A$85,0))*(1+'Paramètres'!$B$4*(C372-1)+'Paramètres'!$B$5*(C372-1)^2),0)</x:f>
        <x:v>12</x:v>
      </x:c>
      <x:c r="R372" t="n">
        <x:f>ROUND(INDEX(Catalogue!F$4:F$85,MATCH(A372,Catalogue!A$4:A$85,0))*(1+'Paramètres'!$B$4*(C372-1)+'Paramètres'!$B$5*(C372-1)^2),0)</x:f>
        <x:v>23</x:v>
      </x:c>
      <x:c r="S372" t="n">
        <x:f>L372-AVERAGE(Q372:R372)</x:f>
        <x:v>0</x:v>
      </x:c>
      <x:c r="T372" t="str">
        <x:f>IF(M372=0,IF(AND(N372=0,O372=0,E372=0,F372=0),"OK","ERREUR"),IF(AND(M372&gt;=1,M372&lt;=32,OR(N372=4,N372=6,N372=8,N372=10,N372=12,N372=20),O372&gt;=0,E372=M372+O372,F372=M372*N372+O372),"OK","ERREUR"))</x:f>
        <x:v>OK</x:v>
      </x:c>
      <x:c r="U372" s="86" t="n">
        <x:f>IF(M372&gt;0,M372*(N372+1)/2+O372,0)</x:f>
        <x:v>17.5</x:v>
      </x:c>
      <x:c r="V372" t="str">
        <x:f>IF(ABS(L372-U372)&lt;0.001,"OK","ERREUR")</x:f>
        <x:v>OK</x:v>
      </x:c>
    </x:row>
    <x:row r="373" ht="18" customHeight="1">
      <x:c r="A373" t="str">
        <x:v>ARM019</x:v>
      </x:c>
      <x:c r="B373" t="str">
        <x:v>Hache barbue</x:v>
      </x:c>
      <x:c r="C373" t="n">
        <x:v>10</x:v>
      </x:c>
      <x:c r="D373" t="str">
        <x:v>Une main</x:v>
      </x:c>
      <x:c r="E373" s="28" t="n">
        <x:f>IF(M373=0,0,M373+O373)</x:f>
        <x:v>12</x:v>
      </x:c>
      <x:c r="F373" s="28" t="n">
        <x:f>IF(M373=0,0,M373*N373+O373)</x:f>
        <x:v>26</x:v>
      </x:c>
      <x:c r="G373" s="28" t="n">
        <x:f>ROUND(Catalogue!G22*SQRT((1+'Paramètres'!$B$4*(C373-1)+'Paramètres'!$B$5*(C373-1)^2)),0)</x:f>
        <x:v>0</x:v>
      </x:c>
      <x:c r="H373" s="28" t="n">
        <x:f>ROUND(Catalogue!H22*SQRT((1+'Paramètres'!$B$4*(C373-1)+'Paramètres'!$B$5*(C373-1)^2)),0)</x:f>
        <x:v>0</x:v>
      </x:c>
      <x:c r="I373" s="28" t="n">
        <x:v>2</x:v>
      </x:c>
      <x:c r="J373" s="28" t="n">
        <x:v>1</x:v>
      </x:c>
      <x:c r="K373" s="30" t="n">
        <x:v>2</x:v>
      </x:c>
      <x:c r="L373" s="54" t="n">
        <x:f>IF(M373=0,0,(E373+F373)/2)</x:f>
        <x:v>19</x:v>
      </x:c>
      <x:c r="M373" t="n">
        <x:v>2</x:v>
      </x:c>
      <x:c r="N373" t="n">
        <x:v>8</x:v>
      </x:c>
      <x:c r="O373" t="n">
        <x:v>10</x:v>
      </x:c>
      <x:c r="P373" s="63" t="str">
        <x:f>IF(M373=0,"—",M373&amp;"d"&amp;N373&amp;IF(O373=0,""," + "&amp;O373))</x:f>
        <x:v>2d8 + 10</x:v>
      </x:c>
      <x:c r="Q373" t="n">
        <x:f>ROUND(INDEX(Catalogue!E$4:E$85,MATCH(A373,Catalogue!A$4:A$85,0))*(1+'Paramètres'!$B$4*(C373-1)+'Paramètres'!$B$5*(C373-1)^2),0)</x:f>
        <x:v>13</x:v>
      </x:c>
      <x:c r="R373" t="n">
        <x:f>ROUND(INDEX(Catalogue!F$4:F$85,MATCH(A373,Catalogue!A$4:A$85,0))*(1+'Paramètres'!$B$4*(C373-1)+'Paramètres'!$B$5*(C373-1)^2),0)</x:f>
        <x:v>26</x:v>
      </x:c>
      <x:c r="S373" t="n">
        <x:f>L373-AVERAGE(Q373:R373)</x:f>
        <x:v>-0.5</x:v>
      </x:c>
      <x:c r="T373" t="str">
        <x:f>IF(M373=0,IF(AND(N373=0,O373=0,E373=0,F373=0),"OK","ERREUR"),IF(AND(M373&gt;=1,M373&lt;=32,OR(N373=4,N373=6,N373=8,N373=10,N373=12,N373=20),O373&gt;=0,E373=M373+O373,F373=M373*N373+O373),"OK","ERREUR"))</x:f>
        <x:v>OK</x:v>
      </x:c>
      <x:c r="U373" s="86" t="n">
        <x:f>IF(M373&gt;0,M373*(N373+1)/2+O373,0)</x:f>
        <x:v>19</x:v>
      </x:c>
      <x:c r="V373" t="str">
        <x:f>IF(ABS(L373-U373)&lt;0.001,"OK","ERREUR")</x:f>
        <x:v>OK</x:v>
      </x:c>
    </x:row>
    <x:row r="374" ht="18" customHeight="1">
      <x:c r="A374" t="str">
        <x:v>ARM019</x:v>
      </x:c>
      <x:c r="B374" t="str">
        <x:v>Hache barbue</x:v>
      </x:c>
      <x:c r="C374" t="n">
        <x:v>11</x:v>
      </x:c>
      <x:c r="D374" t="str">
        <x:v>Une main</x:v>
      </x:c>
      <x:c r="E374" s="28" t="n">
        <x:f>IF(M374=0,0,M374+O374)</x:f>
        <x:v>15</x:v>
      </x:c>
      <x:c r="F374" s="28" t="n">
        <x:f>IF(M374=0,0,M374*N374+O374)</x:f>
        <x:v>30</x:v>
      </x:c>
      <x:c r="G374" s="28" t="n">
        <x:f>ROUND(Catalogue!G22*SQRT((1+'Paramètres'!$B$4*(C374-1)+'Paramètres'!$B$5*(C374-1)^2)),0)</x:f>
        <x:v>0</x:v>
      </x:c>
      <x:c r="H374" s="28" t="n">
        <x:f>ROUND(Catalogue!H22*SQRT((1+'Paramètres'!$B$4*(C374-1)+'Paramètres'!$B$5*(C374-1)^2)),0)</x:f>
        <x:v>0</x:v>
      </x:c>
      <x:c r="I374" s="28" t="n">
        <x:v>2</x:v>
      </x:c>
      <x:c r="J374" s="28" t="n">
        <x:v>1</x:v>
      </x:c>
      <x:c r="K374" s="30" t="n">
        <x:v>2</x:v>
      </x:c>
      <x:c r="L374" s="54" t="n">
        <x:f>IF(M374=0,0,(E374+F374)/2)</x:f>
        <x:v>22.5</x:v>
      </x:c>
      <x:c r="M374" t="n">
        <x:v>3</x:v>
      </x:c>
      <x:c r="N374" t="n">
        <x:v>6</x:v>
      </x:c>
      <x:c r="O374" t="n">
        <x:v>12</x:v>
      </x:c>
      <x:c r="P374" s="63" t="str">
        <x:f>IF(M374=0,"—",M374&amp;"d"&amp;N374&amp;IF(O374=0,""," + "&amp;O374))</x:f>
        <x:v>3d6 + 12</x:v>
      </x:c>
      <x:c r="Q374" t="n">
        <x:f>ROUND(INDEX(Catalogue!E$4:E$85,MATCH(A374,Catalogue!A$4:A$85,0))*(1+'Paramètres'!$B$4*(C374-1)+'Paramètres'!$B$5*(C374-1)^2),0)</x:f>
        <x:v>15</x:v>
      </x:c>
      <x:c r="R374" t="n">
        <x:f>ROUND(INDEX(Catalogue!F$4:F$85,MATCH(A374,Catalogue!A$4:A$85,0))*(1+'Paramètres'!$B$4*(C374-1)+'Paramètres'!$B$5*(C374-1)^2),0)</x:f>
        <x:v>30</x:v>
      </x:c>
      <x:c r="S374" t="n">
        <x:f>L374-AVERAGE(Q374:R374)</x:f>
        <x:v>0</x:v>
      </x:c>
      <x:c r="T374" t="str">
        <x:f>IF(M374=0,IF(AND(N374=0,O374=0,E374=0,F374=0),"OK","ERREUR"),IF(AND(M374&gt;=1,M374&lt;=32,OR(N374=4,N374=6,N374=8,N374=10,N374=12,N374=20),O374&gt;=0,E374=M374+O374,F374=M374*N374+O374),"OK","ERREUR"))</x:f>
        <x:v>OK</x:v>
      </x:c>
      <x:c r="U374" s="86" t="n">
        <x:f>IF(M374&gt;0,M374*(N374+1)/2+O374,0)</x:f>
        <x:v>22.5</x:v>
      </x:c>
      <x:c r="V374" t="str">
        <x:f>IF(ABS(L374-U374)&lt;0.001,"OK","ERREUR")</x:f>
        <x:v>OK</x:v>
      </x:c>
    </x:row>
    <x:row r="375" ht="18" customHeight="1">
      <x:c r="A375" t="str">
        <x:v>ARM019</x:v>
      </x:c>
      <x:c r="B375" t="str">
        <x:v>Hache barbue</x:v>
      </x:c>
      <x:c r="C375" t="n">
        <x:v>12</x:v>
      </x:c>
      <x:c r="D375" t="str">
        <x:v>Une main</x:v>
      </x:c>
      <x:c r="E375" s="28" t="n">
        <x:f>IF(M375=0,0,M375+O375)</x:f>
        <x:v>17</x:v>
      </x:c>
      <x:c r="F375" s="28" t="n">
        <x:f>IF(M375=0,0,M375*N375+O375)</x:f>
        <x:v>32</x:v>
      </x:c>
      <x:c r="G375" s="28" t="n">
        <x:f>ROUND(Catalogue!G22*SQRT((1+'Paramètres'!$B$4*(C375-1)+'Paramètres'!$B$5*(C375-1)^2)),0)</x:f>
        <x:v>0</x:v>
      </x:c>
      <x:c r="H375" s="28" t="n">
        <x:f>ROUND(Catalogue!H22*SQRT((1+'Paramètres'!$B$4*(C375-1)+'Paramètres'!$B$5*(C375-1)^2)),0)</x:f>
        <x:v>0</x:v>
      </x:c>
      <x:c r="I375" s="28" t="n">
        <x:v>2</x:v>
      </x:c>
      <x:c r="J375" s="28" t="n">
        <x:v>1</x:v>
      </x:c>
      <x:c r="K375" s="30" t="n">
        <x:v>2</x:v>
      </x:c>
      <x:c r="L375" s="54" t="n">
        <x:f>IF(M375=0,0,(E375+F375)/2)</x:f>
        <x:v>24.5</x:v>
      </x:c>
      <x:c r="M375" t="n">
        <x:v>3</x:v>
      </x:c>
      <x:c r="N375" t="n">
        <x:v>6</x:v>
      </x:c>
      <x:c r="O375" t="n">
        <x:v>14</x:v>
      </x:c>
      <x:c r="P375" s="63" t="str">
        <x:f>IF(M375=0,"—",M375&amp;"d"&amp;N375&amp;IF(O375=0,""," + "&amp;O375))</x:f>
        <x:v>3d6 + 14</x:v>
      </x:c>
      <x:c r="Q375" t="n">
        <x:f>ROUND(INDEX(Catalogue!E$4:E$85,MATCH(A375,Catalogue!A$4:A$85,0))*(1+'Paramètres'!$B$4*(C375-1)+'Paramètres'!$B$5*(C375-1)^2),0)</x:f>
        <x:v>17</x:v>
      </x:c>
      <x:c r="R375" t="n">
        <x:f>ROUND(INDEX(Catalogue!F$4:F$85,MATCH(A375,Catalogue!A$4:A$85,0))*(1+'Paramètres'!$B$4*(C375-1)+'Paramètres'!$B$5*(C375-1)^2),0)</x:f>
        <x:v>33</x:v>
      </x:c>
      <x:c r="S375" t="n">
        <x:f>L375-AVERAGE(Q375:R375)</x:f>
        <x:v>-0.5</x:v>
      </x:c>
      <x:c r="T375" t="str">
        <x:f>IF(M375=0,IF(AND(N375=0,O375=0,E375=0,F375=0),"OK","ERREUR"),IF(AND(M375&gt;=1,M375&lt;=32,OR(N375=4,N375=6,N375=8,N375=10,N375=12,N375=20),O375&gt;=0,E375=M375+O375,F375=M375*N375+O375),"OK","ERREUR"))</x:f>
        <x:v>OK</x:v>
      </x:c>
      <x:c r="U375" s="86" t="n">
        <x:f>IF(M375&gt;0,M375*(N375+1)/2+O375,0)</x:f>
        <x:v>24.5</x:v>
      </x:c>
      <x:c r="V375" t="str">
        <x:f>IF(ABS(L375-U375)&lt;0.001,"OK","ERREUR")</x:f>
        <x:v>OK</x:v>
      </x:c>
    </x:row>
    <x:row r="376" ht="18" customHeight="1">
      <x:c r="A376" t="str">
        <x:v>ARM019</x:v>
      </x:c>
      <x:c r="B376" t="str">
        <x:v>Hache barbue</x:v>
      </x:c>
      <x:c r="C376" t="n">
        <x:v>13</x:v>
      </x:c>
      <x:c r="D376" t="str">
        <x:v>Une main</x:v>
      </x:c>
      <x:c r="E376" s="28" t="n">
        <x:f>IF(M376=0,0,M376+O376)</x:f>
        <x:v>18</x:v>
      </x:c>
      <x:c r="F376" s="28" t="n">
        <x:f>IF(M376=0,0,M376*N376+O376)</x:f>
        <x:v>36</x:v>
      </x:c>
      <x:c r="G376" s="28" t="n">
        <x:f>ROUND(Catalogue!G22*SQRT((1+'Paramètres'!$B$4*(C376-1)+'Paramètres'!$B$5*(C376-1)^2)),0)</x:f>
        <x:v>0</x:v>
      </x:c>
      <x:c r="H376" s="28" t="n">
        <x:f>ROUND(Catalogue!H22*SQRT((1+'Paramètres'!$B$4*(C376-1)+'Paramètres'!$B$5*(C376-1)^2)),0)</x:f>
        <x:v>0</x:v>
      </x:c>
      <x:c r="I376" s="28" t="n">
        <x:v>2</x:v>
      </x:c>
      <x:c r="J376" s="28" t="n">
        <x:v>1</x:v>
      </x:c>
      <x:c r="K376" s="30" t="n">
        <x:v>2</x:v>
      </x:c>
      <x:c r="L376" s="54" t="n">
        <x:f>IF(M376=0,0,(E376+F376)/2)</x:f>
        <x:v>27</x:v>
      </x:c>
      <x:c r="M376" t="n">
        <x:v>2</x:v>
      </x:c>
      <x:c r="N376" t="n">
        <x:v>10</x:v>
      </x:c>
      <x:c r="O376" t="n">
        <x:v>16</x:v>
      </x:c>
      <x:c r="P376" s="63" t="str">
        <x:f>IF(M376=0,"—",M376&amp;"d"&amp;N376&amp;IF(O376=0,""," + "&amp;O376))</x:f>
        <x:v>2d10 + 16</x:v>
      </x:c>
      <x:c r="Q376" t="n">
        <x:f>ROUND(INDEX(Catalogue!E$4:E$85,MATCH(A376,Catalogue!A$4:A$85,0))*(1+'Paramètres'!$B$4*(C376-1)+'Paramètres'!$B$5*(C376-1)^2),0)</x:f>
        <x:v>18</x:v>
      </x:c>
      <x:c r="R376" t="n">
        <x:f>ROUND(INDEX(Catalogue!F$4:F$85,MATCH(A376,Catalogue!A$4:A$85,0))*(1+'Paramètres'!$B$4*(C376-1)+'Paramètres'!$B$5*(C376-1)^2),0)</x:f>
        <x:v>37</x:v>
      </x:c>
      <x:c r="S376" t="n">
        <x:f>L376-AVERAGE(Q376:R376)</x:f>
        <x:v>-0.5</x:v>
      </x:c>
      <x:c r="T376" t="str">
        <x:f>IF(M376=0,IF(AND(N376=0,O376=0,E376=0,F376=0),"OK","ERREUR"),IF(AND(M376&gt;=1,M376&lt;=32,OR(N376=4,N376=6,N376=8,N376=10,N376=12,N376=20),O376&gt;=0,E376=M376+O376,F376=M376*N376+O376),"OK","ERREUR"))</x:f>
        <x:v>OK</x:v>
      </x:c>
      <x:c r="U376" s="86" t="n">
        <x:f>IF(M376&gt;0,M376*(N376+1)/2+O376,0)</x:f>
        <x:v>27</x:v>
      </x:c>
      <x:c r="V376" t="str">
        <x:f>IF(ABS(L376-U376)&lt;0.001,"OK","ERREUR")</x:f>
        <x:v>OK</x:v>
      </x:c>
    </x:row>
    <x:row r="377" ht="18" customHeight="1">
      <x:c r="A377" t="str">
        <x:v>ARM019</x:v>
      </x:c>
      <x:c r="B377" t="str">
        <x:v>Hache barbue</x:v>
      </x:c>
      <x:c r="C377" t="n">
        <x:v>14</x:v>
      </x:c>
      <x:c r="D377" t="str">
        <x:v>Une main</x:v>
      </x:c>
      <x:c r="E377" s="28" t="n">
        <x:f>IF(M377=0,0,M377+O377)</x:f>
        <x:v>21</x:v>
      </x:c>
      <x:c r="F377" s="28" t="n">
        <x:f>IF(M377=0,0,M377*N377+O377)</x:f>
        <x:v>41</x:v>
      </x:c>
      <x:c r="G377" s="28" t="n">
        <x:f>ROUND(Catalogue!G22*SQRT((1+'Paramètres'!$B$4*(C377-1)+'Paramètres'!$B$5*(C377-1)^2)),0)</x:f>
        <x:v>0</x:v>
      </x:c>
      <x:c r="H377" s="28" t="n">
        <x:f>ROUND(Catalogue!H22*SQRT((1+'Paramètres'!$B$4*(C377-1)+'Paramètres'!$B$5*(C377-1)^2)),0)</x:f>
        <x:v>0</x:v>
      </x:c>
      <x:c r="I377" s="28" t="n">
        <x:v>2</x:v>
      </x:c>
      <x:c r="J377" s="28" t="n">
        <x:v>1</x:v>
      </x:c>
      <x:c r="K377" s="30" t="n">
        <x:v>2</x:v>
      </x:c>
      <x:c r="L377" s="54" t="n">
        <x:f>IF(M377=0,0,(E377+F377)/2)</x:f>
        <x:v>31</x:v>
      </x:c>
      <x:c r="M377" t="n">
        <x:v>4</x:v>
      </x:c>
      <x:c r="N377" t="n">
        <x:v>6</x:v>
      </x:c>
      <x:c r="O377" t="n">
        <x:v>17</x:v>
      </x:c>
      <x:c r="P377" s="63" t="str">
        <x:f>IF(M377=0,"—",M377&amp;"d"&amp;N377&amp;IF(O377=0,""," + "&amp;O377))</x:f>
        <x:v>4d6 + 17</x:v>
      </x:c>
      <x:c r="Q377" t="n">
        <x:f>ROUND(INDEX(Catalogue!E$4:E$85,MATCH(A377,Catalogue!A$4:A$85,0))*(1+'Paramètres'!$B$4*(C377-1)+'Paramètres'!$B$5*(C377-1)^2),0)</x:f>
        <x:v>21</x:v>
      </x:c>
      <x:c r="R377" t="n">
        <x:f>ROUND(INDEX(Catalogue!F$4:F$85,MATCH(A377,Catalogue!A$4:A$85,0))*(1+'Paramètres'!$B$4*(C377-1)+'Paramètres'!$B$5*(C377-1)^2),0)</x:f>
        <x:v>41</x:v>
      </x:c>
      <x:c r="S377" t="n">
        <x:f>L377-AVERAGE(Q377:R377)</x:f>
        <x:v>0</x:v>
      </x:c>
      <x:c r="T377" t="str">
        <x:f>IF(M377=0,IF(AND(N377=0,O377=0,E377=0,F377=0),"OK","ERREUR"),IF(AND(M377&gt;=1,M377&lt;=32,OR(N377=4,N377=6,N377=8,N377=10,N377=12,N377=20),O377&gt;=0,E377=M377+O377,F377=M377*N377+O377),"OK","ERREUR"))</x:f>
        <x:v>OK</x:v>
      </x:c>
      <x:c r="U377" s="86" t="n">
        <x:f>IF(M377&gt;0,M377*(N377+1)/2+O377,0)</x:f>
        <x:v>31</x:v>
      </x:c>
      <x:c r="V377" t="str">
        <x:f>IF(ABS(L377-U377)&lt;0.001,"OK","ERREUR")</x:f>
        <x:v>OK</x:v>
      </x:c>
    </x:row>
    <x:row r="378" ht="18" customHeight="1">
      <x:c r="A378" t="str">
        <x:v>ARM019</x:v>
      </x:c>
      <x:c r="B378" t="str">
        <x:v>Hache barbue</x:v>
      </x:c>
      <x:c r="C378" t="n">
        <x:v>15</x:v>
      </x:c>
      <x:c r="D378" t="str">
        <x:v>Une main</x:v>
      </x:c>
      <x:c r="E378" s="28" t="n">
        <x:f>IF(M378=0,0,M378+O378)</x:f>
        <x:v>23</x:v>
      </x:c>
      <x:c r="F378" s="28" t="n">
        <x:f>IF(M378=0,0,M378*N378+O378)</x:f>
        <x:v>45</x:v>
      </x:c>
      <x:c r="G378" s="28" t="n">
        <x:f>ROUND(Catalogue!G22*SQRT((1+'Paramètres'!$B$4*(C378-1)+'Paramètres'!$B$5*(C378-1)^2)),0)</x:f>
        <x:v>0</x:v>
      </x:c>
      <x:c r="H378" s="28" t="n">
        <x:f>ROUND(Catalogue!H22*SQRT((1+'Paramètres'!$B$4*(C378-1)+'Paramètres'!$B$5*(C378-1)^2)),0)</x:f>
        <x:v>0</x:v>
      </x:c>
      <x:c r="I378" s="28" t="n">
        <x:v>2</x:v>
      </x:c>
      <x:c r="J378" s="28" t="n">
        <x:v>1</x:v>
      </x:c>
      <x:c r="K378" s="30" t="n">
        <x:v>2</x:v>
      </x:c>
      <x:c r="L378" s="54" t="n">
        <x:f>IF(M378=0,0,(E378+F378)/2)</x:f>
        <x:v>34</x:v>
      </x:c>
      <x:c r="M378" t="n">
        <x:v>2</x:v>
      </x:c>
      <x:c r="N378" t="n">
        <x:v>12</x:v>
      </x:c>
      <x:c r="O378" t="n">
        <x:v>21</x:v>
      </x:c>
      <x:c r="P378" s="63" t="str">
        <x:f>IF(M378=0,"—",M378&amp;"d"&amp;N378&amp;IF(O378=0,""," + "&amp;O378))</x:f>
        <x:v>2d12 + 21</x:v>
      </x:c>
      <x:c r="Q378" t="n">
        <x:f>ROUND(INDEX(Catalogue!E$4:E$85,MATCH(A378,Catalogue!A$4:A$85,0))*(1+'Paramètres'!$B$4*(C378-1)+'Paramètres'!$B$5*(C378-1)^2),0)</x:f>
        <x:v>23</x:v>
      </x:c>
      <x:c r="R378" t="n">
        <x:f>ROUND(INDEX(Catalogue!F$4:F$85,MATCH(A378,Catalogue!A$4:A$85,0))*(1+'Paramètres'!$B$4*(C378-1)+'Paramètres'!$B$5*(C378-1)^2),0)</x:f>
        <x:v>45</x:v>
      </x:c>
      <x:c r="S378" t="n">
        <x:f>L378-AVERAGE(Q378:R378)</x:f>
        <x:v>0</x:v>
      </x:c>
      <x:c r="T378" t="str">
        <x:f>IF(M378=0,IF(AND(N378=0,O378=0,E378=0,F378=0),"OK","ERREUR"),IF(AND(M378&gt;=1,M378&lt;=32,OR(N378=4,N378=6,N378=8,N378=10,N378=12,N378=20),O378&gt;=0,E378=M378+O378,F378=M378*N378+O378),"OK","ERREUR"))</x:f>
        <x:v>OK</x:v>
      </x:c>
      <x:c r="U378" s="86" t="n">
        <x:f>IF(M378&gt;0,M378*(N378+1)/2+O378,0)</x:f>
        <x:v>34</x:v>
      </x:c>
      <x:c r="V378" t="str">
        <x:f>IF(ABS(L378-U378)&lt;0.001,"OK","ERREUR")</x:f>
        <x:v>OK</x:v>
      </x:c>
    </x:row>
    <x:row r="379" ht="18" customHeight="1">
      <x:c r="A379" t="str">
        <x:v>ARM019</x:v>
      </x:c>
      <x:c r="B379" t="str">
        <x:v>Hache barbue</x:v>
      </x:c>
      <x:c r="C379" t="n">
        <x:v>16</x:v>
      </x:c>
      <x:c r="D379" t="str">
        <x:v>Une main</x:v>
      </x:c>
      <x:c r="E379" s="28" t="n">
        <x:f>IF(M379=0,0,M379+O379)</x:f>
        <x:v>25</x:v>
      </x:c>
      <x:c r="F379" s="28" t="n">
        <x:f>IF(M379=0,0,M379*N379+O379)</x:f>
        <x:v>50</x:v>
      </x:c>
      <x:c r="G379" s="28" t="n">
        <x:f>ROUND(Catalogue!G22*SQRT((1+'Paramètres'!$B$4*(C379-1)+'Paramètres'!$B$5*(C379-1)^2)),0)</x:f>
        <x:v>0</x:v>
      </x:c>
      <x:c r="H379" s="28" t="n">
        <x:f>ROUND(Catalogue!H22*SQRT((1+'Paramètres'!$B$4*(C379-1)+'Paramètres'!$B$5*(C379-1)^2)),0)</x:f>
        <x:v>0</x:v>
      </x:c>
      <x:c r="I379" s="28" t="n">
        <x:v>2</x:v>
      </x:c>
      <x:c r="J379" s="28" t="n">
        <x:v>1</x:v>
      </x:c>
      <x:c r="K379" s="30" t="n">
        <x:v>2</x:v>
      </x:c>
      <x:c r="L379" s="54" t="n">
        <x:f>IF(M379=0,0,(E379+F379)/2)</x:f>
        <x:v>37.5</x:v>
      </x:c>
      <x:c r="M379" t="n">
        <x:v>5</x:v>
      </x:c>
      <x:c r="N379" t="n">
        <x:v>6</x:v>
      </x:c>
      <x:c r="O379" t="n">
        <x:v>20</x:v>
      </x:c>
      <x:c r="P379" s="63" t="str">
        <x:f>IF(M379=0,"—",M379&amp;"d"&amp;N379&amp;IF(O379=0,""," + "&amp;O379))</x:f>
        <x:v>5d6 + 20</x:v>
      </x:c>
      <x:c r="Q379" t="n">
        <x:f>ROUND(INDEX(Catalogue!E$4:E$85,MATCH(A379,Catalogue!A$4:A$85,0))*(1+'Paramètres'!$B$4*(C379-1)+'Paramètres'!$B$5*(C379-1)^2),0)</x:f>
        <x:v>25</x:v>
      </x:c>
      <x:c r="R379" t="n">
        <x:f>ROUND(INDEX(Catalogue!F$4:F$85,MATCH(A379,Catalogue!A$4:A$85,0))*(1+'Paramètres'!$B$4*(C379-1)+'Paramètres'!$B$5*(C379-1)^2),0)</x:f>
        <x:v>50</x:v>
      </x:c>
      <x:c r="S379" t="n">
        <x:f>L379-AVERAGE(Q379:R379)</x:f>
        <x:v>0</x:v>
      </x:c>
      <x:c r="T379" t="str">
        <x:f>IF(M379=0,IF(AND(N379=0,O379=0,E379=0,F379=0),"OK","ERREUR"),IF(AND(M379&gt;=1,M379&lt;=32,OR(N379=4,N379=6,N379=8,N379=10,N379=12,N379=20),O379&gt;=0,E379=M379+O379,F379=M379*N379+O379),"OK","ERREUR"))</x:f>
        <x:v>OK</x:v>
      </x:c>
      <x:c r="U379" s="86" t="n">
        <x:f>IF(M379&gt;0,M379*(N379+1)/2+O379,0)</x:f>
        <x:v>37.5</x:v>
      </x:c>
      <x:c r="V379" t="str">
        <x:f>IF(ABS(L379-U379)&lt;0.001,"OK","ERREUR")</x:f>
        <x:v>OK</x:v>
      </x:c>
    </x:row>
    <x:row r="380" ht="18" customHeight="1">
      <x:c r="A380" t="str">
        <x:v>ARM019</x:v>
      </x:c>
      <x:c r="B380" t="str">
        <x:v>Hache barbue</x:v>
      </x:c>
      <x:c r="C380" t="n">
        <x:v>17</x:v>
      </x:c>
      <x:c r="D380" t="str">
        <x:v>Une main</x:v>
      </x:c>
      <x:c r="E380" s="28" t="n">
        <x:f>IF(M380=0,0,M380+O380)</x:f>
        <x:v>27</x:v>
      </x:c>
      <x:c r="F380" s="28" t="n">
        <x:f>IF(M380=0,0,M380*N380+O380)</x:f>
        <x:v>55</x:v>
      </x:c>
      <x:c r="G380" s="28" t="n">
        <x:f>ROUND(Catalogue!G22*SQRT((1+'Paramètres'!$B$4*(C380-1)+'Paramètres'!$B$5*(C380-1)^2)),0)</x:f>
        <x:v>0</x:v>
      </x:c>
      <x:c r="H380" s="28" t="n">
        <x:f>ROUND(Catalogue!H22*SQRT((1+'Paramètres'!$B$4*(C380-1)+'Paramètres'!$B$5*(C380-1)^2)),0)</x:f>
        <x:v>0</x:v>
      </x:c>
      <x:c r="I380" s="28" t="n">
        <x:v>2</x:v>
      </x:c>
      <x:c r="J380" s="28" t="n">
        <x:v>1</x:v>
      </x:c>
      <x:c r="K380" s="30" t="n">
        <x:v>2</x:v>
      </x:c>
      <x:c r="L380" s="54" t="n">
        <x:f>IF(M380=0,0,(E380+F380)/2)</x:f>
        <x:v>41</x:v>
      </x:c>
      <x:c r="M380" t="n">
        <x:v>4</x:v>
      </x:c>
      <x:c r="N380" t="n">
        <x:v>8</x:v>
      </x:c>
      <x:c r="O380" t="n">
        <x:v>23</x:v>
      </x:c>
      <x:c r="P380" s="63" t="str">
        <x:f>IF(M380=0,"—",M380&amp;"d"&amp;N380&amp;IF(O380=0,""," + "&amp;O380))</x:f>
        <x:v>4d8 + 23</x:v>
      </x:c>
      <x:c r="Q380" t="n">
        <x:f>ROUND(INDEX(Catalogue!E$4:E$85,MATCH(A380,Catalogue!A$4:A$85,0))*(1+'Paramètres'!$B$4*(C380-1)+'Paramètres'!$B$5*(C380-1)^2),0)</x:f>
        <x:v>27</x:v>
      </x:c>
      <x:c r="R380" t="n">
        <x:f>ROUND(INDEX(Catalogue!F$4:F$85,MATCH(A380,Catalogue!A$4:A$85,0))*(1+'Paramètres'!$B$4*(C380-1)+'Paramètres'!$B$5*(C380-1)^2),0)</x:f>
        <x:v>55</x:v>
      </x:c>
      <x:c r="S380" t="n">
        <x:f>L380-AVERAGE(Q380:R380)</x:f>
        <x:v>0</x:v>
      </x:c>
      <x:c r="T380" t="str">
        <x:f>IF(M380=0,IF(AND(N380=0,O380=0,E380=0,F380=0),"OK","ERREUR"),IF(AND(M380&gt;=1,M380&lt;=32,OR(N380=4,N380=6,N380=8,N380=10,N380=12,N380=20),O380&gt;=0,E380=M380+O380,F380=M380*N380+O380),"OK","ERREUR"))</x:f>
        <x:v>OK</x:v>
      </x:c>
      <x:c r="U380" s="86" t="n">
        <x:f>IF(M380&gt;0,M380*(N380+1)/2+O380,0)</x:f>
        <x:v>41</x:v>
      </x:c>
      <x:c r="V380" t="str">
        <x:f>IF(ABS(L380-U380)&lt;0.001,"OK","ERREUR")</x:f>
        <x:v>OK</x:v>
      </x:c>
    </x:row>
    <x:row r="381" ht="18" customHeight="1">
      <x:c r="A381" t="str">
        <x:v>ARM019</x:v>
      </x:c>
      <x:c r="B381" t="str">
        <x:v>Hache barbue</x:v>
      </x:c>
      <x:c r="C381" t="n">
        <x:v>18</x:v>
      </x:c>
      <x:c r="D381" t="str">
        <x:v>Une main</x:v>
      </x:c>
      <x:c r="E381" s="28" t="n">
        <x:f>IF(M381=0,0,M381+O381)</x:f>
        <x:v>30</x:v>
      </x:c>
      <x:c r="F381" s="28" t="n">
        <x:f>IF(M381=0,0,M381*N381+O381)</x:f>
        <x:v>60</x:v>
      </x:c>
      <x:c r="G381" s="28" t="n">
        <x:f>ROUND(Catalogue!G22*SQRT((1+'Paramètres'!$B$4*(C381-1)+'Paramètres'!$B$5*(C381-1)^2)),0)</x:f>
        <x:v>0</x:v>
      </x:c>
      <x:c r="H381" s="28" t="n">
        <x:f>ROUND(Catalogue!H22*SQRT((1+'Paramètres'!$B$4*(C381-1)+'Paramètres'!$B$5*(C381-1)^2)),0)</x:f>
        <x:v>0</x:v>
      </x:c>
      <x:c r="I381" s="28" t="n">
        <x:v>2</x:v>
      </x:c>
      <x:c r="J381" s="28" t="n">
        <x:v>1</x:v>
      </x:c>
      <x:c r="K381" s="30" t="n">
        <x:v>2</x:v>
      </x:c>
      <x:c r="L381" s="54" t="n">
        <x:f>IF(M381=0,0,(E381+F381)/2)</x:f>
        <x:v>45</x:v>
      </x:c>
      <x:c r="M381" t="n">
        <x:v>6</x:v>
      </x:c>
      <x:c r="N381" t="n">
        <x:v>6</x:v>
      </x:c>
      <x:c r="O381" t="n">
        <x:v>24</x:v>
      </x:c>
      <x:c r="P381" s="63" t="str">
        <x:f>IF(M381=0,"—",M381&amp;"d"&amp;N381&amp;IF(O381=0,""," + "&amp;O381))</x:f>
        <x:v>6d6 + 24</x:v>
      </x:c>
      <x:c r="Q381" t="n">
        <x:f>ROUND(INDEX(Catalogue!E$4:E$85,MATCH(A381,Catalogue!A$4:A$85,0))*(1+'Paramètres'!$B$4*(C381-1)+'Paramètres'!$B$5*(C381-1)^2),0)</x:f>
        <x:v>30</x:v>
      </x:c>
      <x:c r="R381" t="n">
        <x:f>ROUND(INDEX(Catalogue!F$4:F$85,MATCH(A381,Catalogue!A$4:A$85,0))*(1+'Paramètres'!$B$4*(C381-1)+'Paramètres'!$B$5*(C381-1)^2),0)</x:f>
        <x:v>60</x:v>
      </x:c>
      <x:c r="S381" t="n">
        <x:f>L381-AVERAGE(Q381:R381)</x:f>
        <x:v>0</x:v>
      </x:c>
      <x:c r="T381" t="str">
        <x:f>IF(M381=0,IF(AND(N381=0,O381=0,E381=0,F381=0),"OK","ERREUR"),IF(AND(M381&gt;=1,M381&lt;=32,OR(N381=4,N381=6,N381=8,N381=10,N381=12,N381=20),O381&gt;=0,E381=M381+O381,F381=M381*N381+O381),"OK","ERREUR"))</x:f>
        <x:v>OK</x:v>
      </x:c>
      <x:c r="U381" s="86" t="n">
        <x:f>IF(M381&gt;0,M381*(N381+1)/2+O381,0)</x:f>
        <x:v>45</x:v>
      </x:c>
      <x:c r="V381" t="str">
        <x:f>IF(ABS(L381-U381)&lt;0.001,"OK","ERREUR")</x:f>
        <x:v>OK</x:v>
      </x:c>
    </x:row>
    <x:row r="382" ht="18" customHeight="1">
      <x:c r="A382" t="str">
        <x:v>ARM019</x:v>
      </x:c>
      <x:c r="B382" t="str">
        <x:v>Hache barbue</x:v>
      </x:c>
      <x:c r="C382" t="n">
        <x:v>19</x:v>
      </x:c>
      <x:c r="D382" t="str">
        <x:v>Une main</x:v>
      </x:c>
      <x:c r="E382" s="28" t="n">
        <x:f>IF(M382=0,0,M382+O382)</x:f>
        <x:v>32</x:v>
      </x:c>
      <x:c r="F382" s="28" t="n">
        <x:f>IF(M382=0,0,M382*N382+O382)</x:f>
        <x:v>65</x:v>
      </x:c>
      <x:c r="G382" s="28" t="n">
        <x:f>ROUND(Catalogue!G22*SQRT((1+'Paramètres'!$B$4*(C382-1)+'Paramètres'!$B$5*(C382-1)^2)),0)</x:f>
        <x:v>0</x:v>
      </x:c>
      <x:c r="H382" s="28" t="n">
        <x:f>ROUND(Catalogue!H22*SQRT((1+'Paramètres'!$B$4*(C382-1)+'Paramètres'!$B$5*(C382-1)^2)),0)</x:f>
        <x:v>0</x:v>
      </x:c>
      <x:c r="I382" s="28" t="n">
        <x:v>2</x:v>
      </x:c>
      <x:c r="J382" s="28" t="n">
        <x:v>1</x:v>
      </x:c>
      <x:c r="K382" s="30" t="n">
        <x:v>2</x:v>
      </x:c>
      <x:c r="L382" s="54" t="n">
        <x:f>IF(M382=0,0,(E382+F382)/2)</x:f>
        <x:v>48.5</x:v>
      </x:c>
      <x:c r="M382" t="n">
        <x:v>3</x:v>
      </x:c>
      <x:c r="N382" t="n">
        <x:v>12</x:v>
      </x:c>
      <x:c r="O382" t="n">
        <x:v>29</x:v>
      </x:c>
      <x:c r="P382" s="63" t="str">
        <x:f>IF(M382=0,"—",M382&amp;"d"&amp;N382&amp;IF(O382=0,""," + "&amp;O382))</x:f>
        <x:v>3d12 + 29</x:v>
      </x:c>
      <x:c r="Q382" t="n">
        <x:f>ROUND(INDEX(Catalogue!E$4:E$85,MATCH(A382,Catalogue!A$4:A$85,0))*(1+'Paramètres'!$B$4*(C382-1)+'Paramètres'!$B$5*(C382-1)^2),0)</x:f>
        <x:v>33</x:v>
      </x:c>
      <x:c r="R382" t="n">
        <x:f>ROUND(INDEX(Catalogue!F$4:F$85,MATCH(A382,Catalogue!A$4:A$85,0))*(1+'Paramètres'!$B$4*(C382-1)+'Paramètres'!$B$5*(C382-1)^2),0)</x:f>
        <x:v>65</x:v>
      </x:c>
      <x:c r="S382" t="n">
        <x:f>L382-AVERAGE(Q382:R382)</x:f>
        <x:v>-0.5</x:v>
      </x:c>
      <x:c r="T382" t="str">
        <x:f>IF(M382=0,IF(AND(N382=0,O382=0,E382=0,F382=0),"OK","ERREUR"),IF(AND(M382&gt;=1,M382&lt;=32,OR(N382=4,N382=6,N382=8,N382=10,N382=12,N382=20),O382&gt;=0,E382=M382+O382,F382=M382*N382+O382),"OK","ERREUR"))</x:f>
        <x:v>OK</x:v>
      </x:c>
      <x:c r="U382" s="86" t="n">
        <x:f>IF(M382&gt;0,M382*(N382+1)/2+O382,0)</x:f>
        <x:v>48.5</x:v>
      </x:c>
      <x:c r="V382" t="str">
        <x:f>IF(ABS(L382-U382)&lt;0.001,"OK","ERREUR")</x:f>
        <x:v>OK</x:v>
      </x:c>
    </x:row>
    <x:row r="383" ht="18" customHeight="1">
      <x:c r="A383" t="str">
        <x:v>ARM019</x:v>
      </x:c>
      <x:c r="B383" t="str">
        <x:v>Hache barbue</x:v>
      </x:c>
      <x:c r="C383" t="n">
        <x:v>20</x:v>
      </x:c>
      <x:c r="D383" t="str">
        <x:v>Une main</x:v>
      </x:c>
      <x:c r="E383" s="28" t="n">
        <x:f>IF(M383=0,0,M383+O383)</x:f>
        <x:v>35</x:v>
      </x:c>
      <x:c r="F383" s="28" t="n">
        <x:f>IF(M383=0,0,M383*N383+O383)</x:f>
        <x:v>71</x:v>
      </x:c>
      <x:c r="G383" s="28" t="n">
        <x:f>ROUND(Catalogue!G22*SQRT((1+'Paramètres'!$B$4*(C383-1)+'Paramètres'!$B$5*(C383-1)^2)),0)</x:f>
        <x:v>0</x:v>
      </x:c>
      <x:c r="H383" s="28" t="n">
        <x:f>ROUND(Catalogue!H22*SQRT((1+'Paramètres'!$B$4*(C383-1)+'Paramètres'!$B$5*(C383-1)^2)),0)</x:f>
        <x:v>0</x:v>
      </x:c>
      <x:c r="I383" s="28" t="n">
        <x:v>2</x:v>
      </x:c>
      <x:c r="J383" s="28" t="n">
        <x:v>1</x:v>
      </x:c>
      <x:c r="K383" s="30" t="n">
        <x:v>2</x:v>
      </x:c>
      <x:c r="L383" s="54" t="n">
        <x:f>IF(M383=0,0,(E383+F383)/2)</x:f>
        <x:v>53</x:v>
      </x:c>
      <x:c r="M383" t="n">
        <x:v>4</x:v>
      </x:c>
      <x:c r="N383" t="n">
        <x:v>10</x:v>
      </x:c>
      <x:c r="O383" t="n">
        <x:v>31</x:v>
      </x:c>
      <x:c r="P383" s="63" t="str">
        <x:f>IF(M383=0,"—",M383&amp;"d"&amp;N383&amp;IF(O383=0,""," + "&amp;O383))</x:f>
        <x:v>4d10 + 31</x:v>
      </x:c>
      <x:c r="Q383" t="n">
        <x:f>ROUND(INDEX(Catalogue!E$4:E$85,MATCH(A383,Catalogue!A$4:A$85,0))*(1+'Paramètres'!$B$4*(C383-1)+'Paramètres'!$B$5*(C383-1)^2),0)</x:f>
        <x:v>35</x:v>
      </x:c>
      <x:c r="R383" t="n">
        <x:f>ROUND(INDEX(Catalogue!F$4:F$85,MATCH(A383,Catalogue!A$4:A$85,0))*(1+'Paramètres'!$B$4*(C383-1)+'Paramètres'!$B$5*(C383-1)^2),0)</x:f>
        <x:v>71</x:v>
      </x:c>
      <x:c r="S383" t="n">
        <x:f>L383-AVERAGE(Q383:R383)</x:f>
        <x:v>0</x:v>
      </x:c>
      <x:c r="T383" t="str">
        <x:f>IF(M383=0,IF(AND(N383=0,O383=0,E383=0,F383=0),"OK","ERREUR"),IF(AND(M383&gt;=1,M383&lt;=32,OR(N383=4,N383=6,N383=8,N383=10,N383=12,N383=20),O383&gt;=0,E383=M383+O383,F383=M383*N383+O383),"OK","ERREUR"))</x:f>
        <x:v>OK</x:v>
      </x:c>
      <x:c r="U383" s="86" t="n">
        <x:f>IF(M383&gt;0,M383*(N383+1)/2+O383,0)</x:f>
        <x:v>53</x:v>
      </x:c>
      <x:c r="V383" t="str">
        <x:f>IF(ABS(L383-U383)&lt;0.001,"OK","ERREUR")</x:f>
        <x:v>OK</x:v>
      </x:c>
    </x:row>
    <x:row r="384" ht="18" customHeight="1">
      <x:c r="A384" t="str">
        <x:v>ARM020</x:v>
      </x:c>
      <x:c r="B384" t="str">
        <x:v>Masse d'armes</x:v>
      </x:c>
      <x:c r="C384" t="n">
        <x:v>1</x:v>
      </x:c>
      <x:c r="D384" t="str">
        <x:v>Une main</x:v>
      </x:c>
      <x:c r="E384" s="28" t="n">
        <x:f>IF(M384=0,0,M384+O384)</x:f>
        <x:v>4</x:v>
      </x:c>
      <x:c r="F384" s="28" t="n">
        <x:f>IF(M384=0,0,M384*N384+O384)</x:f>
        <x:v>7</x:v>
      </x:c>
      <x:c r="G384" s="28" t="n">
        <x:f>ROUND(Catalogue!G23*SQRT((1+'Paramètres'!$B$4*(C384-1)+'Paramètres'!$B$5*(C384-1)^2)),0)</x:f>
        <x:v>0</x:v>
      </x:c>
      <x:c r="H384" s="28" t="n">
        <x:f>ROUND(Catalogue!H23*SQRT((1+'Paramètres'!$B$4*(C384-1)+'Paramètres'!$B$5*(C384-1)^2)),0)</x:f>
        <x:v>0</x:v>
      </x:c>
      <x:c r="I384" s="28" t="n">
        <x:v>2</x:v>
      </x:c>
      <x:c r="J384" s="28" t="n">
        <x:v>1</x:v>
      </x:c>
      <x:c r="K384" s="30" t="n">
        <x:v>1.8</x:v>
      </x:c>
      <x:c r="L384" s="54" t="n">
        <x:f>IF(M384=0,0,(E384+F384)/2)</x:f>
        <x:v>5.5</x:v>
      </x:c>
      <x:c r="M384" t="n">
        <x:v>1</x:v>
      </x:c>
      <x:c r="N384" t="n">
        <x:v>4</x:v>
      </x:c>
      <x:c r="O384" t="n">
        <x:v>3</x:v>
      </x:c>
      <x:c r="P384" s="63" t="str">
        <x:f>IF(M384=0,"—",M384&amp;"d"&amp;N384&amp;IF(O384=0,""," + "&amp;O384))</x:f>
        <x:v>1d4 + 3</x:v>
      </x:c>
      <x:c r="Q384" t="n">
        <x:f>ROUND(INDEX(Catalogue!E$4:E$85,MATCH(A384,Catalogue!A$4:A$85,0))*(1+'Paramètres'!$B$4*(C384-1)+'Paramètres'!$B$5*(C384-1)^2),0)</x:f>
        <x:v>4</x:v>
      </x:c>
      <x:c r="R384" t="n">
        <x:f>ROUND(INDEX(Catalogue!F$4:F$85,MATCH(A384,Catalogue!A$4:A$85,0))*(1+'Paramètres'!$B$4*(C384-1)+'Paramètres'!$B$5*(C384-1)^2),0)</x:f>
        <x:v>7</x:v>
      </x:c>
      <x:c r="S384" t="n">
        <x:f>L384-AVERAGE(Q384:R384)</x:f>
        <x:v>0</x:v>
      </x:c>
      <x:c r="T384" t="str">
        <x:f>IF(M384=0,IF(AND(N384=0,O384=0,E384=0,F384=0),"OK","ERREUR"),IF(AND(M384&gt;=1,M384&lt;=32,OR(N384=4,N384=6,N384=8,N384=10,N384=12,N384=20),O384&gt;=0,E384=M384+O384,F384=M384*N384+O384),"OK","ERREUR"))</x:f>
        <x:v>OK</x:v>
      </x:c>
      <x:c r="U384" s="86" t="n">
        <x:f>IF(M384&gt;0,M384*(N384+1)/2+O384,0)</x:f>
        <x:v>5.5</x:v>
      </x:c>
      <x:c r="V384" t="str">
        <x:f>IF(ABS(L384-U384)&lt;0.001,"OK","ERREUR")</x:f>
        <x:v>OK</x:v>
      </x:c>
    </x:row>
    <x:row r="385" ht="18" customHeight="1">
      <x:c r="A385" t="str">
        <x:v>ARM020</x:v>
      </x:c>
      <x:c r="B385" t="str">
        <x:v>Masse d'armes</x:v>
      </x:c>
      <x:c r="C385" t="n">
        <x:v>2</x:v>
      </x:c>
      <x:c r="D385" t="str">
        <x:v>Une main</x:v>
      </x:c>
      <x:c r="E385" s="28" t="n">
        <x:f>IF(M385=0,0,M385+O385)</x:f>
        <x:v>5</x:v>
      </x:c>
      <x:c r="F385" s="28" t="n">
        <x:f>IF(M385=0,0,M385*N385+O385)</x:f>
        <x:v>8</x:v>
      </x:c>
      <x:c r="G385" s="28" t="n">
        <x:f>ROUND(Catalogue!G23*SQRT((1+'Paramètres'!$B$4*(C385-1)+'Paramètres'!$B$5*(C385-1)^2)),0)</x:f>
        <x:v>0</x:v>
      </x:c>
      <x:c r="H385" s="28" t="n">
        <x:f>ROUND(Catalogue!H23*SQRT((1+'Paramètres'!$B$4*(C385-1)+'Paramètres'!$B$5*(C385-1)^2)),0)</x:f>
        <x:v>0</x:v>
      </x:c>
      <x:c r="I385" s="28" t="n">
        <x:v>2</x:v>
      </x:c>
      <x:c r="J385" s="28" t="n">
        <x:v>1</x:v>
      </x:c>
      <x:c r="K385" s="30" t="n">
        <x:v>1.8</x:v>
      </x:c>
      <x:c r="L385" s="54" t="n">
        <x:f>IF(M385=0,0,(E385+F385)/2)</x:f>
        <x:v>6.5</x:v>
      </x:c>
      <x:c r="M385" t="n">
        <x:v>1</x:v>
      </x:c>
      <x:c r="N385" t="n">
        <x:v>4</x:v>
      </x:c>
      <x:c r="O385" t="n">
        <x:v>4</x:v>
      </x:c>
      <x:c r="P385" s="63" t="str">
        <x:f>IF(M385=0,"—",M385&amp;"d"&amp;N385&amp;IF(O385=0,""," + "&amp;O385))</x:f>
        <x:v>1d4 + 4</x:v>
      </x:c>
      <x:c r="Q385" t="n">
        <x:f>ROUND(INDEX(Catalogue!E$4:E$85,MATCH(A385,Catalogue!A$4:A$85,0))*(1+'Paramètres'!$B$4*(C385-1)+'Paramètres'!$B$5*(C385-1)^2),0)</x:f>
        <x:v>5</x:v>
      </x:c>
      <x:c r="R385" t="n">
        <x:f>ROUND(INDEX(Catalogue!F$4:F$85,MATCH(A385,Catalogue!A$4:A$85,0))*(1+'Paramètres'!$B$4*(C385-1)+'Paramètres'!$B$5*(C385-1)^2),0)</x:f>
        <x:v>8</x:v>
      </x:c>
      <x:c r="S385" t="n">
        <x:f>L385-AVERAGE(Q385:R385)</x:f>
        <x:v>0</x:v>
      </x:c>
      <x:c r="T385" t="str">
        <x:f>IF(M385=0,IF(AND(N385=0,O385=0,E385=0,F385=0),"OK","ERREUR"),IF(AND(M385&gt;=1,M385&lt;=32,OR(N385=4,N385=6,N385=8,N385=10,N385=12,N385=20),O385&gt;=0,E385=M385+O385,F385=M385*N385+O385),"OK","ERREUR"))</x:f>
        <x:v>OK</x:v>
      </x:c>
      <x:c r="U385" s="86" t="n">
        <x:f>IF(M385&gt;0,M385*(N385+1)/2+O385,0)</x:f>
        <x:v>6.5</x:v>
      </x:c>
      <x:c r="V385" t="str">
        <x:f>IF(ABS(L385-U385)&lt;0.001,"OK","ERREUR")</x:f>
        <x:v>OK</x:v>
      </x:c>
    </x:row>
    <x:row r="386" ht="18" customHeight="1">
      <x:c r="A386" t="str">
        <x:v>ARM020</x:v>
      </x:c>
      <x:c r="B386" t="str">
        <x:v>Masse d'armes</x:v>
      </x:c>
      <x:c r="C386" t="n">
        <x:v>3</x:v>
      </x:c>
      <x:c r="D386" t="str">
        <x:v>Une main</x:v>
      </x:c>
      <x:c r="E386" s="28" t="n">
        <x:f>IF(M386=0,0,M386+O386)</x:f>
        <x:v>5</x:v>
      </x:c>
      <x:c r="F386" s="28" t="n">
        <x:f>IF(M386=0,0,M386*N386+O386)</x:f>
        <x:v>8</x:v>
      </x:c>
      <x:c r="G386" s="28" t="n">
        <x:f>ROUND(Catalogue!G23*SQRT((1+'Paramètres'!$B$4*(C386-1)+'Paramètres'!$B$5*(C386-1)^2)),0)</x:f>
        <x:v>0</x:v>
      </x:c>
      <x:c r="H386" s="28" t="n">
        <x:f>ROUND(Catalogue!H23*SQRT((1+'Paramètres'!$B$4*(C386-1)+'Paramètres'!$B$5*(C386-1)^2)),0)</x:f>
        <x:v>0</x:v>
      </x:c>
      <x:c r="I386" s="28" t="n">
        <x:v>2</x:v>
      </x:c>
      <x:c r="J386" s="28" t="n">
        <x:v>1</x:v>
      </x:c>
      <x:c r="K386" s="30" t="n">
        <x:v>1.8</x:v>
      </x:c>
      <x:c r="L386" s="54" t="n">
        <x:f>IF(M386=0,0,(E386+F386)/2)</x:f>
        <x:v>6.5</x:v>
      </x:c>
      <x:c r="M386" t="n">
        <x:v>1</x:v>
      </x:c>
      <x:c r="N386" t="n">
        <x:v>4</x:v>
      </x:c>
      <x:c r="O386" t="n">
        <x:v>4</x:v>
      </x:c>
      <x:c r="P386" s="63" t="str">
        <x:f>IF(M386=0,"—",M386&amp;"d"&amp;N386&amp;IF(O386=0,""," + "&amp;O386))</x:f>
        <x:v>1d4 + 4</x:v>
      </x:c>
      <x:c r="Q386" t="n">
        <x:f>ROUND(INDEX(Catalogue!E$4:E$85,MATCH(A386,Catalogue!A$4:A$85,0))*(1+'Paramètres'!$B$4*(C386-1)+'Paramètres'!$B$5*(C386-1)^2),0)</x:f>
        <x:v>5</x:v>
      </x:c>
      <x:c r="R386" t="n">
        <x:f>ROUND(INDEX(Catalogue!F$4:F$85,MATCH(A386,Catalogue!A$4:A$85,0))*(1+'Paramètres'!$B$4*(C386-1)+'Paramètres'!$B$5*(C386-1)^2),0)</x:f>
        <x:v>9</x:v>
      </x:c>
      <x:c r="S386" t="n">
        <x:f>L386-AVERAGE(Q386:R386)</x:f>
        <x:v>-0.5</x:v>
      </x:c>
      <x:c r="T386" t="str">
        <x:f>IF(M386=0,IF(AND(N386=0,O386=0,E386=0,F386=0),"OK","ERREUR"),IF(AND(M386&gt;=1,M386&lt;=32,OR(N386=4,N386=6,N386=8,N386=10,N386=12,N386=20),O386&gt;=0,E386=M386+O386,F386=M386*N386+O386),"OK","ERREUR"))</x:f>
        <x:v>OK</x:v>
      </x:c>
      <x:c r="U386" s="86" t="n">
        <x:f>IF(M386&gt;0,M386*(N386+1)/2+O386,0)</x:f>
        <x:v>6.5</x:v>
      </x:c>
      <x:c r="V386" t="str">
        <x:f>IF(ABS(L386-U386)&lt;0.001,"OK","ERREUR")</x:f>
        <x:v>OK</x:v>
      </x:c>
    </x:row>
    <x:row r="387" ht="18" customHeight="1">
      <x:c r="A387" t="str">
        <x:v>ARM020</x:v>
      </x:c>
      <x:c r="B387" t="str">
        <x:v>Masse d'armes</x:v>
      </x:c>
      <x:c r="C387" t="n">
        <x:v>4</x:v>
      </x:c>
      <x:c r="D387" t="str">
        <x:v>Une main</x:v>
      </x:c>
      <x:c r="E387" s="28" t="n">
        <x:f>IF(M387=0,0,M387+O387)</x:f>
        <x:v>6</x:v>
      </x:c>
      <x:c r="F387" s="28" t="n">
        <x:f>IF(M387=0,0,M387*N387+O387)</x:f>
        <x:v>9</x:v>
      </x:c>
      <x:c r="G387" s="28" t="n">
        <x:f>ROUND(Catalogue!G23*SQRT((1+'Paramètres'!$B$4*(C387-1)+'Paramètres'!$B$5*(C387-1)^2)),0)</x:f>
        <x:v>0</x:v>
      </x:c>
      <x:c r="H387" s="28" t="n">
        <x:f>ROUND(Catalogue!H23*SQRT((1+'Paramètres'!$B$4*(C387-1)+'Paramètres'!$B$5*(C387-1)^2)),0)</x:f>
        <x:v>0</x:v>
      </x:c>
      <x:c r="I387" s="28" t="n">
        <x:v>2</x:v>
      </x:c>
      <x:c r="J387" s="28" t="n">
        <x:v>1</x:v>
      </x:c>
      <x:c r="K387" s="30" t="n">
        <x:v>1.8</x:v>
      </x:c>
      <x:c r="L387" s="54" t="n">
        <x:f>IF(M387=0,0,(E387+F387)/2)</x:f>
        <x:v>7.5</x:v>
      </x:c>
      <x:c r="M387" t="n">
        <x:v>1</x:v>
      </x:c>
      <x:c r="N387" t="n">
        <x:v>4</x:v>
      </x:c>
      <x:c r="O387" t="n">
        <x:v>5</x:v>
      </x:c>
      <x:c r="P387" s="63" t="str">
        <x:f>IF(M387=0,"—",M387&amp;"d"&amp;N387&amp;IF(O387=0,""," + "&amp;O387))</x:f>
        <x:v>1d4 + 5</x:v>
      </x:c>
      <x:c r="Q387" t="n">
        <x:f>ROUND(INDEX(Catalogue!E$4:E$85,MATCH(A387,Catalogue!A$4:A$85,0))*(1+'Paramètres'!$B$4*(C387-1)+'Paramètres'!$B$5*(C387-1)^2),0)</x:f>
        <x:v>6</x:v>
      </x:c>
      <x:c r="R387" t="n">
        <x:f>ROUND(INDEX(Catalogue!F$4:F$85,MATCH(A387,Catalogue!A$4:A$85,0))*(1+'Paramètres'!$B$4*(C387-1)+'Paramètres'!$B$5*(C387-1)^2),0)</x:f>
        <x:v>10</x:v>
      </x:c>
      <x:c r="S387" t="n">
        <x:f>L387-AVERAGE(Q387:R387)</x:f>
        <x:v>-0.5</x:v>
      </x:c>
      <x:c r="T387" t="str">
        <x:f>IF(M387=0,IF(AND(N387=0,O387=0,E387=0,F387=0),"OK","ERREUR"),IF(AND(M387&gt;=1,M387&lt;=32,OR(N387=4,N387=6,N387=8,N387=10,N387=12,N387=20),O387&gt;=0,E387=M387+O387,F387=M387*N387+O387),"OK","ERREUR"))</x:f>
        <x:v>OK</x:v>
      </x:c>
      <x:c r="U387" s="86" t="n">
        <x:f>IF(M387&gt;0,M387*(N387+1)/2+O387,0)</x:f>
        <x:v>7.5</x:v>
      </x:c>
      <x:c r="V387" t="str">
        <x:f>IF(ABS(L387-U387)&lt;0.001,"OK","ERREUR")</x:f>
        <x:v>OK</x:v>
      </x:c>
    </x:row>
    <x:row r="388" ht="18" customHeight="1">
      <x:c r="A388" t="str">
        <x:v>ARM020</x:v>
      </x:c>
      <x:c r="B388" t="str">
        <x:v>Masse d'armes</x:v>
      </x:c>
      <x:c r="C388" t="n">
        <x:v>5</x:v>
      </x:c>
      <x:c r="D388" t="str">
        <x:v>Une main</x:v>
      </x:c>
      <x:c r="E388" s="28" t="n">
        <x:f>IF(M388=0,0,M388+O388)</x:f>
        <x:v>7</x:v>
      </x:c>
      <x:c r="F388" s="28" t="n">
        <x:f>IF(M388=0,0,M388*N388+O388)</x:f>
        <x:v>12</x:v>
      </x:c>
      <x:c r="G388" s="28" t="n">
        <x:f>ROUND(Catalogue!G23*SQRT((1+'Paramètres'!$B$4*(C388-1)+'Paramètres'!$B$5*(C388-1)^2)),0)</x:f>
        <x:v>0</x:v>
      </x:c>
      <x:c r="H388" s="28" t="n">
        <x:f>ROUND(Catalogue!H23*SQRT((1+'Paramètres'!$B$4*(C388-1)+'Paramètres'!$B$5*(C388-1)^2)),0)</x:f>
        <x:v>0</x:v>
      </x:c>
      <x:c r="I388" s="28" t="n">
        <x:v>2</x:v>
      </x:c>
      <x:c r="J388" s="28" t="n">
        <x:v>1</x:v>
      </x:c>
      <x:c r="K388" s="30" t="n">
        <x:v>1.8</x:v>
      </x:c>
      <x:c r="L388" s="54" t="n">
        <x:f>IF(M388=0,0,(E388+F388)/2)</x:f>
        <x:v>9.5</x:v>
      </x:c>
      <x:c r="M388" t="n">
        <x:v>1</x:v>
      </x:c>
      <x:c r="N388" t="n">
        <x:v>6</x:v>
      </x:c>
      <x:c r="O388" t="n">
        <x:v>6</x:v>
      </x:c>
      <x:c r="P388" s="63" t="str">
        <x:f>IF(M388=0,"—",M388&amp;"d"&amp;N388&amp;IF(O388=0,""," + "&amp;O388))</x:f>
        <x:v>1d6 + 6</x:v>
      </x:c>
      <x:c r="Q388" t="n">
        <x:f>ROUND(INDEX(Catalogue!E$4:E$85,MATCH(A388,Catalogue!A$4:A$85,0))*(1+'Paramètres'!$B$4*(C388-1)+'Paramètres'!$B$5*(C388-1)^2),0)</x:f>
        <x:v>7</x:v>
      </x:c>
      <x:c r="R388" t="n">
        <x:f>ROUND(INDEX(Catalogue!F$4:F$85,MATCH(A388,Catalogue!A$4:A$85,0))*(1+'Paramètres'!$B$4*(C388-1)+'Paramètres'!$B$5*(C388-1)^2),0)</x:f>
        <x:v>12</x:v>
      </x:c>
      <x:c r="S388" t="n">
        <x:f>L388-AVERAGE(Q388:R388)</x:f>
        <x:v>0</x:v>
      </x:c>
      <x:c r="T388" t="str">
        <x:f>IF(M388=0,IF(AND(N388=0,O388=0,E388=0,F388=0),"OK","ERREUR"),IF(AND(M388&gt;=1,M388&lt;=32,OR(N388=4,N388=6,N388=8,N388=10,N388=12,N388=20),O388&gt;=0,E388=M388+O388,F388=M388*N388+O388),"OK","ERREUR"))</x:f>
        <x:v>OK</x:v>
      </x:c>
      <x:c r="U388" s="86" t="n">
        <x:f>IF(M388&gt;0,M388*(N388+1)/2+O388,0)</x:f>
        <x:v>9.5</x:v>
      </x:c>
      <x:c r="V388" t="str">
        <x:f>IF(ABS(L388-U388)&lt;0.001,"OK","ERREUR")</x:f>
        <x:v>OK</x:v>
      </x:c>
    </x:row>
    <x:row r="389" ht="18" customHeight="1">
      <x:c r="A389" t="str">
        <x:v>ARM020</x:v>
      </x:c>
      <x:c r="B389" t="str">
        <x:v>Masse d'armes</x:v>
      </x:c>
      <x:c r="C389" t="n">
        <x:v>6</x:v>
      </x:c>
      <x:c r="D389" t="str">
        <x:v>Une main</x:v>
      </x:c>
      <x:c r="E389" s="28" t="n">
        <x:f>IF(M389=0,0,M389+O389)</x:f>
        <x:v>8</x:v>
      </x:c>
      <x:c r="F389" s="28" t="n">
        <x:f>IF(M389=0,0,M389*N389+O389)</x:f>
        <x:v>14</x:v>
      </x:c>
      <x:c r="G389" s="28" t="n">
        <x:f>ROUND(Catalogue!G23*SQRT((1+'Paramètres'!$B$4*(C389-1)+'Paramètres'!$B$5*(C389-1)^2)),0)</x:f>
        <x:v>0</x:v>
      </x:c>
      <x:c r="H389" s="28" t="n">
        <x:f>ROUND(Catalogue!H23*SQRT((1+'Paramètres'!$B$4*(C389-1)+'Paramètres'!$B$5*(C389-1)^2)),0)</x:f>
        <x:v>0</x:v>
      </x:c>
      <x:c r="I389" s="28" t="n">
        <x:v>2</x:v>
      </x:c>
      <x:c r="J389" s="28" t="n">
        <x:v>1</x:v>
      </x:c>
      <x:c r="K389" s="30" t="n">
        <x:v>1.8</x:v>
      </x:c>
      <x:c r="L389" s="54" t="n">
        <x:f>IF(M389=0,0,(E389+F389)/2)</x:f>
        <x:v>11</x:v>
      </x:c>
      <x:c r="M389" t="n">
        <x:v>2</x:v>
      </x:c>
      <x:c r="N389" t="n">
        <x:v>4</x:v>
      </x:c>
      <x:c r="O389" t="n">
        <x:v>6</x:v>
      </x:c>
      <x:c r="P389" s="63" t="str">
        <x:f>IF(M389=0,"—",M389&amp;"d"&amp;N389&amp;IF(O389=0,""," + "&amp;O389))</x:f>
        <x:v>2d4 + 6</x:v>
      </x:c>
      <x:c r="Q389" t="n">
        <x:f>ROUND(INDEX(Catalogue!E$4:E$85,MATCH(A389,Catalogue!A$4:A$85,0))*(1+'Paramètres'!$B$4*(C389-1)+'Paramètres'!$B$5*(C389-1)^2),0)</x:f>
        <x:v>8</x:v>
      </x:c>
      <x:c r="R389" t="n">
        <x:f>ROUND(INDEX(Catalogue!F$4:F$85,MATCH(A389,Catalogue!A$4:A$85,0))*(1+'Paramètres'!$B$4*(C389-1)+'Paramètres'!$B$5*(C389-1)^2),0)</x:f>
        <x:v>14</x:v>
      </x:c>
      <x:c r="S389" t="n">
        <x:f>L389-AVERAGE(Q389:R389)</x:f>
        <x:v>0</x:v>
      </x:c>
      <x:c r="T389" t="str">
        <x:f>IF(M389=0,IF(AND(N389=0,O389=0,E389=0,F389=0),"OK","ERREUR"),IF(AND(M389&gt;=1,M389&lt;=32,OR(N389=4,N389=6,N389=8,N389=10,N389=12,N389=20),O389&gt;=0,E389=M389+O389,F389=M389*N389+O389),"OK","ERREUR"))</x:f>
        <x:v>OK</x:v>
      </x:c>
      <x:c r="U389" s="86" t="n">
        <x:f>IF(M389&gt;0,M389*(N389+1)/2+O389,0)</x:f>
        <x:v>11</x:v>
      </x:c>
      <x:c r="V389" t="str">
        <x:f>IF(ABS(L389-U389)&lt;0.001,"OK","ERREUR")</x:f>
        <x:v>OK</x:v>
      </x:c>
    </x:row>
    <x:row r="390" ht="18" customHeight="1">
      <x:c r="A390" t="str">
        <x:v>ARM020</x:v>
      </x:c>
      <x:c r="B390" t="str">
        <x:v>Masse d'armes</x:v>
      </x:c>
      <x:c r="C390" t="n">
        <x:v>7</x:v>
      </x:c>
      <x:c r="D390" t="str">
        <x:v>Une main</x:v>
      </x:c>
      <x:c r="E390" s="28" t="n">
        <x:f>IF(M390=0,0,M390+O390)</x:f>
        <x:v>9</x:v>
      </x:c>
      <x:c r="F390" s="28" t="n">
        <x:f>IF(M390=0,0,M390*N390+O390)</x:f>
        <x:v>16</x:v>
      </x:c>
      <x:c r="G390" s="28" t="n">
        <x:f>ROUND(Catalogue!G23*SQRT((1+'Paramètres'!$B$4*(C390-1)+'Paramètres'!$B$5*(C390-1)^2)),0)</x:f>
        <x:v>0</x:v>
      </x:c>
      <x:c r="H390" s="28" t="n">
        <x:f>ROUND(Catalogue!H23*SQRT((1+'Paramètres'!$B$4*(C390-1)+'Paramètres'!$B$5*(C390-1)^2)),0)</x:f>
        <x:v>0</x:v>
      </x:c>
      <x:c r="I390" s="28" t="n">
        <x:v>2</x:v>
      </x:c>
      <x:c r="J390" s="28" t="n">
        <x:v>1</x:v>
      </x:c>
      <x:c r="K390" s="30" t="n">
        <x:v>1.8</x:v>
      </x:c>
      <x:c r="L390" s="54" t="n">
        <x:f>IF(M390=0,0,(E390+F390)/2)</x:f>
        <x:v>12.5</x:v>
      </x:c>
      <x:c r="M390" t="n">
        <x:v>1</x:v>
      </x:c>
      <x:c r="N390" t="n">
        <x:v>8</x:v>
      </x:c>
      <x:c r="O390" t="n">
        <x:v>8</x:v>
      </x:c>
      <x:c r="P390" s="63" t="str">
        <x:f>IF(M390=0,"—",M390&amp;"d"&amp;N390&amp;IF(O390=0,""," + "&amp;O390))</x:f>
        <x:v>1d8 + 8</x:v>
      </x:c>
      <x:c r="Q390" t="n">
        <x:f>ROUND(INDEX(Catalogue!E$4:E$85,MATCH(A390,Catalogue!A$4:A$85,0))*(1+'Paramètres'!$B$4*(C390-1)+'Paramètres'!$B$5*(C390-1)^2),0)</x:f>
        <x:v>9</x:v>
      </x:c>
      <x:c r="R390" t="n">
        <x:f>ROUND(INDEX(Catalogue!F$4:F$85,MATCH(A390,Catalogue!A$4:A$85,0))*(1+'Paramètres'!$B$4*(C390-1)+'Paramètres'!$B$5*(C390-1)^2),0)</x:f>
        <x:v>16</x:v>
      </x:c>
      <x:c r="S390" t="n">
        <x:f>L390-AVERAGE(Q390:R390)</x:f>
        <x:v>0</x:v>
      </x:c>
      <x:c r="T390" t="str">
        <x:f>IF(M390=0,IF(AND(N390=0,O390=0,E390=0,F390=0),"OK","ERREUR"),IF(AND(M390&gt;=1,M390&lt;=32,OR(N390=4,N390=6,N390=8,N390=10,N390=12,N390=20),O390&gt;=0,E390=M390+O390,F390=M390*N390+O390),"OK","ERREUR"))</x:f>
        <x:v>OK</x:v>
      </x:c>
      <x:c r="U390" s="86" t="n">
        <x:f>IF(M390&gt;0,M390*(N390+1)/2+O390,0)</x:f>
        <x:v>12.5</x:v>
      </x:c>
      <x:c r="V390" t="str">
        <x:f>IF(ABS(L390-U390)&lt;0.001,"OK","ERREUR")</x:f>
        <x:v>OK</x:v>
      </x:c>
    </x:row>
    <x:row r="391" ht="18" customHeight="1">
      <x:c r="A391" t="str">
        <x:v>ARM020</x:v>
      </x:c>
      <x:c r="B391" t="str">
        <x:v>Masse d'armes</x:v>
      </x:c>
      <x:c r="C391" t="n">
        <x:v>8</x:v>
      </x:c>
      <x:c r="D391" t="str">
        <x:v>Une main</x:v>
      </x:c>
      <x:c r="E391" s="28" t="n">
        <x:f>IF(M391=0,0,M391+O391)</x:f>
        <x:v>9</x:v>
      </x:c>
      <x:c r="F391" s="28" t="n">
        <x:f>IF(M391=0,0,M391*N391+O391)</x:f>
        <x:v>18</x:v>
      </x:c>
      <x:c r="G391" s="28" t="n">
        <x:f>ROUND(Catalogue!G23*SQRT((1+'Paramètres'!$B$4*(C391-1)+'Paramètres'!$B$5*(C391-1)^2)),0)</x:f>
        <x:v>0</x:v>
      </x:c>
      <x:c r="H391" s="28" t="n">
        <x:f>ROUND(Catalogue!H23*SQRT((1+'Paramètres'!$B$4*(C391-1)+'Paramètres'!$B$5*(C391-1)^2)),0)</x:f>
        <x:v>0</x:v>
      </x:c>
      <x:c r="I391" s="28" t="n">
        <x:v>2</x:v>
      </x:c>
      <x:c r="J391" s="28" t="n">
        <x:v>1</x:v>
      </x:c>
      <x:c r="K391" s="30" t="n">
        <x:v>1.8</x:v>
      </x:c>
      <x:c r="L391" s="54" t="n">
        <x:f>IF(M391=0,0,(E391+F391)/2)</x:f>
        <x:v>13.5</x:v>
      </x:c>
      <x:c r="M391" t="n">
        <x:v>3</x:v>
      </x:c>
      <x:c r="N391" t="n">
        <x:v>4</x:v>
      </x:c>
      <x:c r="O391" t="n">
        <x:v>6</x:v>
      </x:c>
      <x:c r="P391" s="63" t="str">
        <x:f>IF(M391=0,"—",M391&amp;"d"&amp;N391&amp;IF(O391=0,""," + "&amp;O391))</x:f>
        <x:v>3d4 + 6</x:v>
      </x:c>
      <x:c r="Q391" t="n">
        <x:f>ROUND(INDEX(Catalogue!E$4:E$85,MATCH(A391,Catalogue!A$4:A$85,0))*(1+'Paramètres'!$B$4*(C391-1)+'Paramètres'!$B$5*(C391-1)^2),0)</x:f>
        <x:v>10</x:v>
      </x:c>
      <x:c r="R391" t="n">
        <x:f>ROUND(INDEX(Catalogue!F$4:F$85,MATCH(A391,Catalogue!A$4:A$85,0))*(1+'Paramètres'!$B$4*(C391-1)+'Paramètres'!$B$5*(C391-1)^2),0)</x:f>
        <x:v>18</x:v>
      </x:c>
      <x:c r="S391" t="n">
        <x:f>L391-AVERAGE(Q391:R391)</x:f>
        <x:v>-0.5</x:v>
      </x:c>
      <x:c r="T391" t="str">
        <x:f>IF(M391=0,IF(AND(N391=0,O391=0,E391=0,F391=0),"OK","ERREUR"),IF(AND(M391&gt;=1,M391&lt;=32,OR(N391=4,N391=6,N391=8,N391=10,N391=12,N391=20),O391&gt;=0,E391=M391+O391,F391=M391*N391+O391),"OK","ERREUR"))</x:f>
        <x:v>OK</x:v>
      </x:c>
      <x:c r="U391" s="86" t="n">
        <x:f>IF(M391&gt;0,M391*(N391+1)/2+O391,0)</x:f>
        <x:v>13.5</x:v>
      </x:c>
      <x:c r="V391" t="str">
        <x:f>IF(ABS(L391-U391)&lt;0.001,"OK","ERREUR")</x:f>
        <x:v>OK</x:v>
      </x:c>
    </x:row>
    <x:row r="392" ht="18" customHeight="1">
      <x:c r="A392" t="str">
        <x:v>ARM020</x:v>
      </x:c>
      <x:c r="B392" t="str">
        <x:v>Masse d'armes</x:v>
      </x:c>
      <x:c r="C392" t="n">
        <x:v>9</x:v>
      </x:c>
      <x:c r="D392" t="str">
        <x:v>Une main</x:v>
      </x:c>
      <x:c r="E392" s="28" t="n">
        <x:f>IF(M392=0,0,M392+O392)</x:f>
        <x:v>11</x:v>
      </x:c>
      <x:c r="F392" s="28" t="n">
        <x:f>IF(M392=0,0,M392*N392+O392)</x:f>
        <x:v>20</x:v>
      </x:c>
      <x:c r="G392" s="28" t="n">
        <x:f>ROUND(Catalogue!G23*SQRT((1+'Paramètres'!$B$4*(C392-1)+'Paramètres'!$B$5*(C392-1)^2)),0)</x:f>
        <x:v>0</x:v>
      </x:c>
      <x:c r="H392" s="28" t="n">
        <x:f>ROUND(Catalogue!H23*SQRT((1+'Paramètres'!$B$4*(C392-1)+'Paramètres'!$B$5*(C392-1)^2)),0)</x:f>
        <x:v>0</x:v>
      </x:c>
      <x:c r="I392" s="28" t="n">
        <x:v>2</x:v>
      </x:c>
      <x:c r="J392" s="28" t="n">
        <x:v>1</x:v>
      </x:c>
      <x:c r="K392" s="30" t="n">
        <x:v>1.8</x:v>
      </x:c>
      <x:c r="L392" s="54" t="n">
        <x:f>IF(M392=0,0,(E392+F392)/2)</x:f>
        <x:v>15.5</x:v>
      </x:c>
      <x:c r="M392" t="n">
        <x:v>3</x:v>
      </x:c>
      <x:c r="N392" t="n">
        <x:v>4</x:v>
      </x:c>
      <x:c r="O392" t="n">
        <x:v>8</x:v>
      </x:c>
      <x:c r="P392" s="63" t="str">
        <x:f>IF(M392=0,"—",M392&amp;"d"&amp;N392&amp;IF(O392=0,""," + "&amp;O392))</x:f>
        <x:v>3d4 + 8</x:v>
      </x:c>
      <x:c r="Q392" t="n">
        <x:f>ROUND(INDEX(Catalogue!E$4:E$85,MATCH(A392,Catalogue!A$4:A$85,0))*(1+'Paramètres'!$B$4*(C392-1)+'Paramètres'!$B$5*(C392-1)^2),0)</x:f>
        <x:v>12</x:v>
      </x:c>
      <x:c r="R392" t="n">
        <x:f>ROUND(INDEX(Catalogue!F$4:F$85,MATCH(A392,Catalogue!A$4:A$85,0))*(1+'Paramètres'!$B$4*(C392-1)+'Paramètres'!$B$5*(C392-1)^2),0)</x:f>
        <x:v>20</x:v>
      </x:c>
      <x:c r="S392" t="n">
        <x:f>L392-AVERAGE(Q392:R392)</x:f>
        <x:v>-0.5</x:v>
      </x:c>
      <x:c r="T392" t="str">
        <x:f>IF(M392=0,IF(AND(N392=0,O392=0,E392=0,F392=0),"OK","ERREUR"),IF(AND(M392&gt;=1,M392&lt;=32,OR(N392=4,N392=6,N392=8,N392=10,N392=12,N392=20),O392&gt;=0,E392=M392+O392,F392=M392*N392+O392),"OK","ERREUR"))</x:f>
        <x:v>OK</x:v>
      </x:c>
      <x:c r="U392" s="86" t="n">
        <x:f>IF(M392&gt;0,M392*(N392+1)/2+O392,0)</x:f>
        <x:v>15.5</x:v>
      </x:c>
      <x:c r="V392" t="str">
        <x:f>IF(ABS(L392-U392)&lt;0.001,"OK","ERREUR")</x:f>
        <x:v>OK</x:v>
      </x:c>
    </x:row>
    <x:row r="393" ht="18" customHeight="1">
      <x:c r="A393" t="str">
        <x:v>ARM020</x:v>
      </x:c>
      <x:c r="B393" t="str">
        <x:v>Masse d'armes</x:v>
      </x:c>
      <x:c r="C393" t="n">
        <x:v>10</x:v>
      </x:c>
      <x:c r="D393" t="str">
        <x:v>Une main</x:v>
      </x:c>
      <x:c r="E393" s="28" t="n">
        <x:f>IF(M393=0,0,M393+O393)</x:f>
        <x:v>13</x:v>
      </x:c>
      <x:c r="F393" s="28" t="n">
        <x:f>IF(M393=0,0,M393*N393+O393)</x:f>
        <x:v>23</x:v>
      </x:c>
      <x:c r="G393" s="28" t="n">
        <x:f>ROUND(Catalogue!G23*SQRT((1+'Paramètres'!$B$4*(C393-1)+'Paramètres'!$B$5*(C393-1)^2)),0)</x:f>
        <x:v>0</x:v>
      </x:c>
      <x:c r="H393" s="28" t="n">
        <x:f>ROUND(Catalogue!H23*SQRT((1+'Paramètres'!$B$4*(C393-1)+'Paramètres'!$B$5*(C393-1)^2)),0)</x:f>
        <x:v>0</x:v>
      </x:c>
      <x:c r="I393" s="28" t="n">
        <x:v>2</x:v>
      </x:c>
      <x:c r="J393" s="28" t="n">
        <x:v>1</x:v>
      </x:c>
      <x:c r="K393" s="30" t="n">
        <x:v>1.8</x:v>
      </x:c>
      <x:c r="L393" s="54" t="n">
        <x:f>IF(M393=0,0,(E393+F393)/2)</x:f>
        <x:v>18</x:v>
      </x:c>
      <x:c r="M393" t="n">
        <x:v>2</x:v>
      </x:c>
      <x:c r="N393" t="n">
        <x:v>6</x:v>
      </x:c>
      <x:c r="O393" t="n">
        <x:v>11</x:v>
      </x:c>
      <x:c r="P393" s="63" t="str">
        <x:f>IF(M393=0,"—",M393&amp;"d"&amp;N393&amp;IF(O393=0,""," + "&amp;O393))</x:f>
        <x:v>2d6 + 11</x:v>
      </x:c>
      <x:c r="Q393" t="n">
        <x:f>ROUND(INDEX(Catalogue!E$4:E$85,MATCH(A393,Catalogue!A$4:A$85,0))*(1+'Paramètres'!$B$4*(C393-1)+'Paramètres'!$B$5*(C393-1)^2),0)</x:f>
        <x:v>13</x:v>
      </x:c>
      <x:c r="R393" t="n">
        <x:f>ROUND(INDEX(Catalogue!F$4:F$85,MATCH(A393,Catalogue!A$4:A$85,0))*(1+'Paramètres'!$B$4*(C393-1)+'Paramètres'!$B$5*(C393-1)^2),0)</x:f>
        <x:v>23</x:v>
      </x:c>
      <x:c r="S393" t="n">
        <x:f>L393-AVERAGE(Q393:R393)</x:f>
        <x:v>0</x:v>
      </x:c>
      <x:c r="T393" t="str">
        <x:f>IF(M393=0,IF(AND(N393=0,O393=0,E393=0,F393=0),"OK","ERREUR"),IF(AND(M393&gt;=1,M393&lt;=32,OR(N393=4,N393=6,N393=8,N393=10,N393=12,N393=20),O393&gt;=0,E393=M393+O393,F393=M393*N393+O393),"OK","ERREUR"))</x:f>
        <x:v>OK</x:v>
      </x:c>
      <x:c r="U393" s="86" t="n">
        <x:f>IF(M393&gt;0,M393*(N393+1)/2+O393,0)</x:f>
        <x:v>18</x:v>
      </x:c>
      <x:c r="V393" t="str">
        <x:f>IF(ABS(L393-U393)&lt;0.001,"OK","ERREUR")</x:f>
        <x:v>OK</x:v>
      </x:c>
    </x:row>
    <x:row r="394" ht="18" customHeight="1">
      <x:c r="A394" t="str">
        <x:v>ARM020</x:v>
      </x:c>
      <x:c r="B394" t="str">
        <x:v>Masse d'armes</x:v>
      </x:c>
      <x:c r="C394" t="n">
        <x:v>11</x:v>
      </x:c>
      <x:c r="D394" t="str">
        <x:v>Une main</x:v>
      </x:c>
      <x:c r="E394" s="28" t="n">
        <x:f>IF(M394=0,0,M394+O394)</x:f>
        <x:v>15</x:v>
      </x:c>
      <x:c r="F394" s="28" t="n">
        <x:f>IF(M394=0,0,M394*N394+O394)</x:f>
        <x:v>26</x:v>
      </x:c>
      <x:c r="G394" s="28" t="n">
        <x:f>ROUND(Catalogue!G23*SQRT((1+'Paramètres'!$B$4*(C394-1)+'Paramètres'!$B$5*(C394-1)^2)),0)</x:f>
        <x:v>0</x:v>
      </x:c>
      <x:c r="H394" s="28" t="n">
        <x:f>ROUND(Catalogue!H23*SQRT((1+'Paramètres'!$B$4*(C394-1)+'Paramètres'!$B$5*(C394-1)^2)),0)</x:f>
        <x:v>0</x:v>
      </x:c>
      <x:c r="I394" s="28" t="n">
        <x:v>2</x:v>
      </x:c>
      <x:c r="J394" s="28" t="n">
        <x:v>1</x:v>
      </x:c>
      <x:c r="K394" s="30" t="n">
        <x:v>1.8</x:v>
      </x:c>
      <x:c r="L394" s="54" t="n">
        <x:f>IF(M394=0,0,(E394+F394)/2)</x:f>
        <x:v>20.5</x:v>
      </x:c>
      <x:c r="M394" t="n">
        <x:v>1</x:v>
      </x:c>
      <x:c r="N394" t="n">
        <x:v>12</x:v>
      </x:c>
      <x:c r="O394" t="n">
        <x:v>14</x:v>
      </x:c>
      <x:c r="P394" s="63" t="str">
        <x:f>IF(M394=0,"—",M394&amp;"d"&amp;N394&amp;IF(O394=0,""," + "&amp;O394))</x:f>
        <x:v>1d12 + 14</x:v>
      </x:c>
      <x:c r="Q394" t="n">
        <x:f>ROUND(INDEX(Catalogue!E$4:E$85,MATCH(A394,Catalogue!A$4:A$85,0))*(1+'Paramètres'!$B$4*(C394-1)+'Paramètres'!$B$5*(C394-1)^2),0)</x:f>
        <x:v>15</x:v>
      </x:c>
      <x:c r="R394" t="n">
        <x:f>ROUND(INDEX(Catalogue!F$4:F$85,MATCH(A394,Catalogue!A$4:A$85,0))*(1+'Paramètres'!$B$4*(C394-1)+'Paramètres'!$B$5*(C394-1)^2),0)</x:f>
        <x:v>26</x:v>
      </x:c>
      <x:c r="S394" t="n">
        <x:f>L394-AVERAGE(Q394:R394)</x:f>
        <x:v>0</x:v>
      </x:c>
      <x:c r="T394" t="str">
        <x:f>IF(M394=0,IF(AND(N394=0,O394=0,E394=0,F394=0),"OK","ERREUR"),IF(AND(M394&gt;=1,M394&lt;=32,OR(N394=4,N394=6,N394=8,N394=10,N394=12,N394=20),O394&gt;=0,E394=M394+O394,F394=M394*N394+O394),"OK","ERREUR"))</x:f>
        <x:v>OK</x:v>
      </x:c>
      <x:c r="U394" s="86" t="n">
        <x:f>IF(M394&gt;0,M394*(N394+1)/2+O394,0)</x:f>
        <x:v>20.5</x:v>
      </x:c>
      <x:c r="V394" t="str">
        <x:f>IF(ABS(L394-U394)&lt;0.001,"OK","ERREUR")</x:f>
        <x:v>OK</x:v>
      </x:c>
    </x:row>
    <x:row r="395" ht="18" customHeight="1">
      <x:c r="A395" t="str">
        <x:v>ARM020</x:v>
      </x:c>
      <x:c r="B395" t="str">
        <x:v>Masse d'armes</x:v>
      </x:c>
      <x:c r="C395" t="n">
        <x:v>12</x:v>
      </x:c>
      <x:c r="D395" t="str">
        <x:v>Une main</x:v>
      </x:c>
      <x:c r="E395" s="28" t="n">
        <x:f>IF(M395=0,0,M395+O395)</x:f>
        <x:v>17</x:v>
      </x:c>
      <x:c r="F395" s="28" t="n">
        <x:f>IF(M395=0,0,M395*N395+O395)</x:f>
        <x:v>29</x:v>
      </x:c>
      <x:c r="G395" s="28" t="n">
        <x:f>ROUND(Catalogue!G23*SQRT((1+'Paramètres'!$B$4*(C395-1)+'Paramètres'!$B$5*(C395-1)^2)),0)</x:f>
        <x:v>0</x:v>
      </x:c>
      <x:c r="H395" s="28" t="n">
        <x:f>ROUND(Catalogue!H23*SQRT((1+'Paramètres'!$B$4*(C395-1)+'Paramètres'!$B$5*(C395-1)^2)),0)</x:f>
        <x:v>0</x:v>
      </x:c>
      <x:c r="I395" s="28" t="n">
        <x:v>2</x:v>
      </x:c>
      <x:c r="J395" s="28" t="n">
        <x:v>1</x:v>
      </x:c>
      <x:c r="K395" s="30" t="n">
        <x:v>1.8</x:v>
      </x:c>
      <x:c r="L395" s="54" t="n">
        <x:f>IF(M395=0,0,(E395+F395)/2)</x:f>
        <x:v>23</x:v>
      </x:c>
      <x:c r="M395" t="n">
        <x:v>4</x:v>
      </x:c>
      <x:c r="N395" t="n">
        <x:v>4</x:v>
      </x:c>
      <x:c r="O395" t="n">
        <x:v>13</x:v>
      </x:c>
      <x:c r="P395" s="63" t="str">
        <x:f>IF(M395=0,"—",M395&amp;"d"&amp;N395&amp;IF(O395=0,""," + "&amp;O395))</x:f>
        <x:v>4d4 + 13</x:v>
      </x:c>
      <x:c r="Q395" t="n">
        <x:f>ROUND(INDEX(Catalogue!E$4:E$85,MATCH(A395,Catalogue!A$4:A$85,0))*(1+'Paramètres'!$B$4*(C395-1)+'Paramètres'!$B$5*(C395-1)^2),0)</x:f>
        <x:v>17</x:v>
      </x:c>
      <x:c r="R395" t="n">
        <x:f>ROUND(INDEX(Catalogue!F$4:F$85,MATCH(A395,Catalogue!A$4:A$85,0))*(1+'Paramètres'!$B$4*(C395-1)+'Paramètres'!$B$5*(C395-1)^2),0)</x:f>
        <x:v>29</x:v>
      </x:c>
      <x:c r="S395" t="n">
        <x:f>L395-AVERAGE(Q395:R395)</x:f>
        <x:v>0</x:v>
      </x:c>
      <x:c r="T395" t="str">
        <x:f>IF(M395=0,IF(AND(N395=0,O395=0,E395=0,F395=0),"OK","ERREUR"),IF(AND(M395&gt;=1,M395&lt;=32,OR(N395=4,N395=6,N395=8,N395=10,N395=12,N395=20),O395&gt;=0,E395=M395+O395,F395=M395*N395+O395),"OK","ERREUR"))</x:f>
        <x:v>OK</x:v>
      </x:c>
      <x:c r="U395" s="86" t="n">
        <x:f>IF(M395&gt;0,M395*(N395+1)/2+O395,0)</x:f>
        <x:v>23</x:v>
      </x:c>
      <x:c r="V395" t="str">
        <x:f>IF(ABS(L395-U395)&lt;0.001,"OK","ERREUR")</x:f>
        <x:v>OK</x:v>
      </x:c>
    </x:row>
    <x:row r="396" ht="18" customHeight="1">
      <x:c r="A396" t="str">
        <x:v>ARM020</x:v>
      </x:c>
      <x:c r="B396" t="str">
        <x:v>Masse d'armes</x:v>
      </x:c>
      <x:c r="C396" t="n">
        <x:v>13</x:v>
      </x:c>
      <x:c r="D396" t="str">
        <x:v>Une main</x:v>
      </x:c>
      <x:c r="E396" s="28" t="n">
        <x:f>IF(M396=0,0,M396+O396)</x:f>
        <x:v>18</x:v>
      </x:c>
      <x:c r="F396" s="28" t="n">
        <x:f>IF(M396=0,0,M396*N396+O396)</x:f>
        <x:v>32</x:v>
      </x:c>
      <x:c r="G396" s="28" t="n">
        <x:f>ROUND(Catalogue!G23*SQRT((1+'Paramètres'!$B$4*(C396-1)+'Paramètres'!$B$5*(C396-1)^2)),0)</x:f>
        <x:v>0</x:v>
      </x:c>
      <x:c r="H396" s="28" t="n">
        <x:f>ROUND(Catalogue!H23*SQRT((1+'Paramètres'!$B$4*(C396-1)+'Paramètres'!$B$5*(C396-1)^2)),0)</x:f>
        <x:v>0</x:v>
      </x:c>
      <x:c r="I396" s="28" t="n">
        <x:v>2</x:v>
      </x:c>
      <x:c r="J396" s="28" t="n">
        <x:v>1</x:v>
      </x:c>
      <x:c r="K396" s="30" t="n">
        <x:v>1.8</x:v>
      </x:c>
      <x:c r="L396" s="54" t="n">
        <x:f>IF(M396=0,0,(E396+F396)/2)</x:f>
        <x:v>25</x:v>
      </x:c>
      <x:c r="M396" t="n">
        <x:v>2</x:v>
      </x:c>
      <x:c r="N396" t="n">
        <x:v>8</x:v>
      </x:c>
      <x:c r="O396" t="n">
        <x:v>16</x:v>
      </x:c>
      <x:c r="P396" s="63" t="str">
        <x:f>IF(M396=0,"—",M396&amp;"d"&amp;N396&amp;IF(O396=0,""," + "&amp;O396))</x:f>
        <x:v>2d8 + 16</x:v>
      </x:c>
      <x:c r="Q396" t="n">
        <x:f>ROUND(INDEX(Catalogue!E$4:E$85,MATCH(A396,Catalogue!A$4:A$85,0))*(1+'Paramètres'!$B$4*(C396-1)+'Paramètres'!$B$5*(C396-1)^2),0)</x:f>
        <x:v>18</x:v>
      </x:c>
      <x:c r="R396" t="n">
        <x:f>ROUND(INDEX(Catalogue!F$4:F$85,MATCH(A396,Catalogue!A$4:A$85,0))*(1+'Paramètres'!$B$4*(C396-1)+'Paramètres'!$B$5*(C396-1)^2),0)</x:f>
        <x:v>32</x:v>
      </x:c>
      <x:c r="S396" t="n">
        <x:f>L396-AVERAGE(Q396:R396)</x:f>
        <x:v>0</x:v>
      </x:c>
      <x:c r="T396" t="str">
        <x:f>IF(M396=0,IF(AND(N396=0,O396=0,E396=0,F396=0),"OK","ERREUR"),IF(AND(M396&gt;=1,M396&lt;=32,OR(N396=4,N396=6,N396=8,N396=10,N396=12,N396=20),O396&gt;=0,E396=M396+O396,F396=M396*N396+O396),"OK","ERREUR"))</x:f>
        <x:v>OK</x:v>
      </x:c>
      <x:c r="U396" s="86" t="n">
        <x:f>IF(M396&gt;0,M396*(N396+1)/2+O396,0)</x:f>
        <x:v>25</x:v>
      </x:c>
      <x:c r="V396" t="str">
        <x:f>IF(ABS(L396-U396)&lt;0.001,"OK","ERREUR")</x:f>
        <x:v>OK</x:v>
      </x:c>
    </x:row>
    <x:row r="397" ht="18" customHeight="1">
      <x:c r="A397" t="str">
        <x:v>ARM020</x:v>
      </x:c>
      <x:c r="B397" t="str">
        <x:v>Masse d'armes</x:v>
      </x:c>
      <x:c r="C397" t="n">
        <x:v>14</x:v>
      </x:c>
      <x:c r="D397" t="str">
        <x:v>Une main</x:v>
      </x:c>
      <x:c r="E397" s="28" t="n">
        <x:f>IF(M397=0,0,M397+O397)</x:f>
        <x:v>21</x:v>
      </x:c>
      <x:c r="F397" s="28" t="n">
        <x:f>IF(M397=0,0,M397*N397+O397)</x:f>
        <x:v>36</x:v>
      </x:c>
      <x:c r="G397" s="28" t="n">
        <x:f>ROUND(Catalogue!G23*SQRT((1+'Paramètres'!$B$4*(C397-1)+'Paramètres'!$B$5*(C397-1)^2)),0)</x:f>
        <x:v>0</x:v>
      </x:c>
      <x:c r="H397" s="28" t="n">
        <x:f>ROUND(Catalogue!H23*SQRT((1+'Paramètres'!$B$4*(C397-1)+'Paramètres'!$B$5*(C397-1)^2)),0)</x:f>
        <x:v>0</x:v>
      </x:c>
      <x:c r="I397" s="28" t="n">
        <x:v>2</x:v>
      </x:c>
      <x:c r="J397" s="28" t="n">
        <x:v>1</x:v>
      </x:c>
      <x:c r="K397" s="30" t="n">
        <x:v>1.8</x:v>
      </x:c>
      <x:c r="L397" s="54" t="n">
        <x:f>IF(M397=0,0,(E397+F397)/2)</x:f>
        <x:v>28.5</x:v>
      </x:c>
      <x:c r="M397" t="n">
        <x:v>3</x:v>
      </x:c>
      <x:c r="N397" t="n">
        <x:v>6</x:v>
      </x:c>
      <x:c r="O397" t="n">
        <x:v>18</x:v>
      </x:c>
      <x:c r="P397" s="63" t="str">
        <x:f>IF(M397=0,"—",M397&amp;"d"&amp;N397&amp;IF(O397=0,""," + "&amp;O397))</x:f>
        <x:v>3d6 + 18</x:v>
      </x:c>
      <x:c r="Q397" t="n">
        <x:f>ROUND(INDEX(Catalogue!E$4:E$85,MATCH(A397,Catalogue!A$4:A$85,0))*(1+'Paramètres'!$B$4*(C397-1)+'Paramètres'!$B$5*(C397-1)^2),0)</x:f>
        <x:v>21</x:v>
      </x:c>
      <x:c r="R397" t="n">
        <x:f>ROUND(INDEX(Catalogue!F$4:F$85,MATCH(A397,Catalogue!A$4:A$85,0))*(1+'Paramètres'!$B$4*(C397-1)+'Paramètres'!$B$5*(C397-1)^2),0)</x:f>
        <x:v>36</x:v>
      </x:c>
      <x:c r="S397" t="n">
        <x:f>L397-AVERAGE(Q397:R397)</x:f>
        <x:v>0</x:v>
      </x:c>
      <x:c r="T397" t="str">
        <x:f>IF(M397=0,IF(AND(N397=0,O397=0,E397=0,F397=0),"OK","ERREUR"),IF(AND(M397&gt;=1,M397&lt;=32,OR(N397=4,N397=6,N397=8,N397=10,N397=12,N397=20),O397&gt;=0,E397=M397+O397,F397=M397*N397+O397),"OK","ERREUR"))</x:f>
        <x:v>OK</x:v>
      </x:c>
      <x:c r="U397" s="86" t="n">
        <x:f>IF(M397&gt;0,M397*(N397+1)/2+O397,0)</x:f>
        <x:v>28.5</x:v>
      </x:c>
      <x:c r="V397" t="str">
        <x:f>IF(ABS(L397-U397)&lt;0.001,"OK","ERREUR")</x:f>
        <x:v>OK</x:v>
      </x:c>
    </x:row>
    <x:row r="398" ht="18" customHeight="1">
      <x:c r="A398" t="str">
        <x:v>ARM020</x:v>
      </x:c>
      <x:c r="B398" t="str">
        <x:v>Masse d'armes</x:v>
      </x:c>
      <x:c r="C398" t="n">
        <x:v>15</x:v>
      </x:c>
      <x:c r="D398" t="str">
        <x:v>Une main</x:v>
      </x:c>
      <x:c r="E398" s="28" t="n">
        <x:f>IF(M398=0,0,M398+O398)</x:f>
        <x:v>22</x:v>
      </x:c>
      <x:c r="F398" s="28" t="n">
        <x:f>IF(M398=0,0,M398*N398+O398)</x:f>
        <x:v>40</x:v>
      </x:c>
      <x:c r="G398" s="28" t="n">
        <x:f>ROUND(Catalogue!G23*SQRT((1+'Paramètres'!$B$4*(C398-1)+'Paramètres'!$B$5*(C398-1)^2)),0)</x:f>
        <x:v>0</x:v>
      </x:c>
      <x:c r="H398" s="28" t="n">
        <x:f>ROUND(Catalogue!H23*SQRT((1+'Paramètres'!$B$4*(C398-1)+'Paramètres'!$B$5*(C398-1)^2)),0)</x:f>
        <x:v>0</x:v>
      </x:c>
      <x:c r="I398" s="28" t="n">
        <x:v>2</x:v>
      </x:c>
      <x:c r="J398" s="28" t="n">
        <x:v>1</x:v>
      </x:c>
      <x:c r="K398" s="30" t="n">
        <x:v>1.8</x:v>
      </x:c>
      <x:c r="L398" s="54" t="n">
        <x:f>IF(M398=0,0,(E398+F398)/2)</x:f>
        <x:v>31</x:v>
      </x:c>
      <x:c r="M398" t="n">
        <x:v>2</x:v>
      </x:c>
      <x:c r="N398" t="n">
        <x:v>10</x:v>
      </x:c>
      <x:c r="O398" t="n">
        <x:v>20</x:v>
      </x:c>
      <x:c r="P398" s="63" t="str">
        <x:f>IF(M398=0,"—",M398&amp;"d"&amp;N398&amp;IF(O398=0,""," + "&amp;O398))</x:f>
        <x:v>2d10 + 20</x:v>
      </x:c>
      <x:c r="Q398" t="n">
        <x:f>ROUND(INDEX(Catalogue!E$4:E$85,MATCH(A398,Catalogue!A$4:A$85,0))*(1+'Paramètres'!$B$4*(C398-1)+'Paramètres'!$B$5*(C398-1)^2),0)</x:f>
        <x:v>23</x:v>
      </x:c>
      <x:c r="R398" t="n">
        <x:f>ROUND(INDEX(Catalogue!F$4:F$85,MATCH(A398,Catalogue!A$4:A$85,0))*(1+'Paramètres'!$B$4*(C398-1)+'Paramètres'!$B$5*(C398-1)^2),0)</x:f>
        <x:v>40</x:v>
      </x:c>
      <x:c r="S398" t="n">
        <x:f>L398-AVERAGE(Q398:R398)</x:f>
        <x:v>-0.5</x:v>
      </x:c>
      <x:c r="T398" t="str">
        <x:f>IF(M398=0,IF(AND(N398=0,O398=0,E398=0,F398=0),"OK","ERREUR"),IF(AND(M398&gt;=1,M398&lt;=32,OR(N398=4,N398=6,N398=8,N398=10,N398=12,N398=20),O398&gt;=0,E398=M398+O398,F398=M398*N398+O398),"OK","ERREUR"))</x:f>
        <x:v>OK</x:v>
      </x:c>
      <x:c r="U398" s="86" t="n">
        <x:f>IF(M398&gt;0,M398*(N398+1)/2+O398,0)</x:f>
        <x:v>31</x:v>
      </x:c>
      <x:c r="V398" t="str">
        <x:f>IF(ABS(L398-U398)&lt;0.001,"OK","ERREUR")</x:f>
        <x:v>OK</x:v>
      </x:c>
    </x:row>
    <x:row r="399" ht="18" customHeight="1">
      <x:c r="A399" t="str">
        <x:v>ARM020</x:v>
      </x:c>
      <x:c r="B399" t="str">
        <x:v>Masse d'armes</x:v>
      </x:c>
      <x:c r="C399" t="n">
        <x:v>16</x:v>
      </x:c>
      <x:c r="D399" t="str">
        <x:v>Une main</x:v>
      </x:c>
      <x:c r="E399" s="28" t="n">
        <x:f>IF(M399=0,0,M399+O399)</x:f>
        <x:v>26</x:v>
      </x:c>
      <x:c r="F399" s="28" t="n">
        <x:f>IF(M399=0,0,M399*N399+O399)</x:f>
        <x:v>44</x:v>
      </x:c>
      <x:c r="G399" s="28" t="n">
        <x:f>ROUND(Catalogue!G23*SQRT((1+'Paramètres'!$B$4*(C399-1)+'Paramètres'!$B$5*(C399-1)^2)),0)</x:f>
        <x:v>0</x:v>
      </x:c>
      <x:c r="H399" s="28" t="n">
        <x:f>ROUND(Catalogue!H23*SQRT((1+'Paramètres'!$B$4*(C399-1)+'Paramètres'!$B$5*(C399-1)^2)),0)</x:f>
        <x:v>0</x:v>
      </x:c>
      <x:c r="I399" s="28" t="n">
        <x:v>2</x:v>
      </x:c>
      <x:c r="J399" s="28" t="n">
        <x:v>1</x:v>
      </x:c>
      <x:c r="K399" s="30" t="n">
        <x:v>1.8</x:v>
      </x:c>
      <x:c r="L399" s="54" t="n">
        <x:f>IF(M399=0,0,(E399+F399)/2)</x:f>
        <x:v>35</x:v>
      </x:c>
      <x:c r="M399" t="n">
        <x:v>2</x:v>
      </x:c>
      <x:c r="N399" t="n">
        <x:v>10</x:v>
      </x:c>
      <x:c r="O399" t="n">
        <x:v>24</x:v>
      </x:c>
      <x:c r="P399" s="63" t="str">
        <x:f>IF(M399=0,"—",M399&amp;"d"&amp;N399&amp;IF(O399=0,""," + "&amp;O399))</x:f>
        <x:v>2d10 + 24</x:v>
      </x:c>
      <x:c r="Q399" t="n">
        <x:f>ROUND(INDEX(Catalogue!E$4:E$85,MATCH(A399,Catalogue!A$4:A$85,0))*(1+'Paramètres'!$B$4*(C399-1)+'Paramètres'!$B$5*(C399-1)^2),0)</x:f>
        <x:v>25</x:v>
      </x:c>
      <x:c r="R399" t="n">
        <x:f>ROUND(INDEX(Catalogue!F$4:F$85,MATCH(A399,Catalogue!A$4:A$85,0))*(1+'Paramètres'!$B$4*(C399-1)+'Paramètres'!$B$5*(C399-1)^2),0)</x:f>
        <x:v>44</x:v>
      </x:c>
      <x:c r="S399" t="n">
        <x:f>L399-AVERAGE(Q399:R399)</x:f>
        <x:v>0.5</x:v>
      </x:c>
      <x:c r="T399" t="str">
        <x:f>IF(M399=0,IF(AND(N399=0,O399=0,E399=0,F399=0),"OK","ERREUR"),IF(AND(M399&gt;=1,M399&lt;=32,OR(N399=4,N399=6,N399=8,N399=10,N399=12,N399=20),O399&gt;=0,E399=M399+O399,F399=M399*N399+O399),"OK","ERREUR"))</x:f>
        <x:v>OK</x:v>
      </x:c>
      <x:c r="U399" s="86" t="n">
        <x:f>IF(M399&gt;0,M399*(N399+1)/2+O399,0)</x:f>
        <x:v>35</x:v>
      </x:c>
      <x:c r="V399" t="str">
        <x:f>IF(ABS(L399-U399)&lt;0.001,"OK","ERREUR")</x:f>
        <x:v>OK</x:v>
      </x:c>
    </x:row>
    <x:row r="400" ht="18" customHeight="1">
      <x:c r="A400" t="str">
        <x:v>ARM020</x:v>
      </x:c>
      <x:c r="B400" t="str">
        <x:v>Masse d'armes</x:v>
      </x:c>
      <x:c r="C400" t="n">
        <x:v>17</x:v>
      </x:c>
      <x:c r="D400" t="str">
        <x:v>Une main</x:v>
      </x:c>
      <x:c r="E400" s="28" t="n">
        <x:f>IF(M400=0,0,M400+O400)</x:f>
        <x:v>27</x:v>
      </x:c>
      <x:c r="F400" s="28" t="n">
        <x:f>IF(M400=0,0,M400*N400+O400)</x:f>
        <x:v>48</x:v>
      </x:c>
      <x:c r="G400" s="28" t="n">
        <x:f>ROUND(Catalogue!G23*SQRT((1+'Paramètres'!$B$4*(C400-1)+'Paramètres'!$B$5*(C400-1)^2)),0)</x:f>
        <x:v>0</x:v>
      </x:c>
      <x:c r="H400" s="28" t="n">
        <x:f>ROUND(Catalogue!H23*SQRT((1+'Paramètres'!$B$4*(C400-1)+'Paramètres'!$B$5*(C400-1)^2)),0)</x:f>
        <x:v>0</x:v>
      </x:c>
      <x:c r="I400" s="28" t="n">
        <x:v>2</x:v>
      </x:c>
      <x:c r="J400" s="28" t="n">
        <x:v>1</x:v>
      </x:c>
      <x:c r="K400" s="30" t="n">
        <x:v>1.8</x:v>
      </x:c>
      <x:c r="L400" s="54" t="n">
        <x:f>IF(M400=0,0,(E400+F400)/2)</x:f>
        <x:v>37.5</x:v>
      </x:c>
      <x:c r="M400" t="n">
        <x:v>3</x:v>
      </x:c>
      <x:c r="N400" t="n">
        <x:v>8</x:v>
      </x:c>
      <x:c r="O400" t="n">
        <x:v>24</x:v>
      </x:c>
      <x:c r="P400" s="63" t="str">
        <x:f>IF(M400=0,"—",M400&amp;"d"&amp;N400&amp;IF(O400=0,""," + "&amp;O400))</x:f>
        <x:v>3d8 + 24</x:v>
      </x:c>
      <x:c r="Q400" t="n">
        <x:f>ROUND(INDEX(Catalogue!E$4:E$85,MATCH(A400,Catalogue!A$4:A$85,0))*(1+'Paramètres'!$B$4*(C400-1)+'Paramètres'!$B$5*(C400-1)^2),0)</x:f>
        <x:v>27</x:v>
      </x:c>
      <x:c r="R400" t="n">
        <x:f>ROUND(INDEX(Catalogue!F$4:F$85,MATCH(A400,Catalogue!A$4:A$85,0))*(1+'Paramètres'!$B$4*(C400-1)+'Paramètres'!$B$5*(C400-1)^2),0)</x:f>
        <x:v>48</x:v>
      </x:c>
      <x:c r="S400" t="n">
        <x:f>L400-AVERAGE(Q400:R400)</x:f>
        <x:v>0</x:v>
      </x:c>
      <x:c r="T400" t="str">
        <x:f>IF(M400=0,IF(AND(N400=0,O400=0,E400=0,F400=0),"OK","ERREUR"),IF(AND(M400&gt;=1,M400&lt;=32,OR(N400=4,N400=6,N400=8,N400=10,N400=12,N400=20),O400&gt;=0,E400=M400+O400,F400=M400*N400+O400),"OK","ERREUR"))</x:f>
        <x:v>OK</x:v>
      </x:c>
      <x:c r="U400" s="86" t="n">
        <x:f>IF(M400&gt;0,M400*(N400+1)/2+O400,0)</x:f>
        <x:v>37.5</x:v>
      </x:c>
      <x:c r="V400" t="str">
        <x:f>IF(ABS(L400-U400)&lt;0.001,"OK","ERREUR")</x:f>
        <x:v>OK</x:v>
      </x:c>
    </x:row>
    <x:row r="401" ht="18" customHeight="1">
      <x:c r="A401" t="str">
        <x:v>ARM020</x:v>
      </x:c>
      <x:c r="B401" t="str">
        <x:v>Masse d'armes</x:v>
      </x:c>
      <x:c r="C401" t="n">
        <x:v>18</x:v>
      </x:c>
      <x:c r="D401" t="str">
        <x:v>Une main</x:v>
      </x:c>
      <x:c r="E401" s="28" t="n">
        <x:f>IF(M401=0,0,M401+O401)</x:f>
        <x:v>30</x:v>
      </x:c>
      <x:c r="F401" s="28" t="n">
        <x:f>IF(M401=0,0,M401*N401+O401)</x:f>
        <x:v>52</x:v>
      </x:c>
      <x:c r="G401" s="28" t="n">
        <x:f>ROUND(Catalogue!G23*SQRT((1+'Paramètres'!$B$4*(C401-1)+'Paramètres'!$B$5*(C401-1)^2)),0)</x:f>
        <x:v>0</x:v>
      </x:c>
      <x:c r="H401" s="28" t="n">
        <x:f>ROUND(Catalogue!H23*SQRT((1+'Paramètres'!$B$4*(C401-1)+'Paramètres'!$B$5*(C401-1)^2)),0)</x:f>
        <x:v>0</x:v>
      </x:c>
      <x:c r="I401" s="28" t="n">
        <x:v>2</x:v>
      </x:c>
      <x:c r="J401" s="28" t="n">
        <x:v>1</x:v>
      </x:c>
      <x:c r="K401" s="30" t="n">
        <x:v>1.8</x:v>
      </x:c>
      <x:c r="L401" s="54" t="n">
        <x:f>IF(M401=0,0,(E401+F401)/2)</x:f>
        <x:v>41</x:v>
      </x:c>
      <x:c r="M401" t="n">
        <x:v>2</x:v>
      </x:c>
      <x:c r="N401" t="n">
        <x:v>12</x:v>
      </x:c>
      <x:c r="O401" t="n">
        <x:v>28</x:v>
      </x:c>
      <x:c r="P401" s="63" t="str">
        <x:f>IF(M401=0,"—",M401&amp;"d"&amp;N401&amp;IF(O401=0,""," + "&amp;O401))</x:f>
        <x:v>2d12 + 28</x:v>
      </x:c>
      <x:c r="Q401" t="n">
        <x:f>ROUND(INDEX(Catalogue!E$4:E$85,MATCH(A401,Catalogue!A$4:A$85,0))*(1+'Paramètres'!$B$4*(C401-1)+'Paramètres'!$B$5*(C401-1)^2),0)</x:f>
        <x:v>30</x:v>
      </x:c>
      <x:c r="R401" t="n">
        <x:f>ROUND(INDEX(Catalogue!F$4:F$85,MATCH(A401,Catalogue!A$4:A$85,0))*(1+'Paramètres'!$B$4*(C401-1)+'Paramètres'!$B$5*(C401-1)^2),0)</x:f>
        <x:v>52</x:v>
      </x:c>
      <x:c r="S401" t="n">
        <x:f>L401-AVERAGE(Q401:R401)</x:f>
        <x:v>0</x:v>
      </x:c>
      <x:c r="T401" t="str">
        <x:f>IF(M401=0,IF(AND(N401=0,O401=0,E401=0,F401=0),"OK","ERREUR"),IF(AND(M401&gt;=1,M401&lt;=32,OR(N401=4,N401=6,N401=8,N401=10,N401=12,N401=20),O401&gt;=0,E401=M401+O401,F401=M401*N401+O401),"OK","ERREUR"))</x:f>
        <x:v>OK</x:v>
      </x:c>
      <x:c r="U401" s="86" t="n">
        <x:f>IF(M401&gt;0,M401*(N401+1)/2+O401,0)</x:f>
        <x:v>41</x:v>
      </x:c>
      <x:c r="V401" t="str">
        <x:f>IF(ABS(L401-U401)&lt;0.001,"OK","ERREUR")</x:f>
        <x:v>OK</x:v>
      </x:c>
    </x:row>
    <x:row r="402" ht="18" customHeight="1">
      <x:c r="A402" t="str">
        <x:v>ARM020</x:v>
      </x:c>
      <x:c r="B402" t="str">
        <x:v>Masse d'armes</x:v>
      </x:c>
      <x:c r="C402" t="n">
        <x:v>19</x:v>
      </x:c>
      <x:c r="D402" t="str">
        <x:v>Une main</x:v>
      </x:c>
      <x:c r="E402" s="28" t="n">
        <x:f>IF(M402=0,0,M402+O402)</x:f>
        <x:v>32</x:v>
      </x:c>
      <x:c r="F402" s="28" t="n">
        <x:f>IF(M402=0,0,M402*N402+O402)</x:f>
        <x:v>57</x:v>
      </x:c>
      <x:c r="G402" s="28" t="n">
        <x:f>ROUND(Catalogue!G23*SQRT((1+'Paramètres'!$B$4*(C402-1)+'Paramètres'!$B$5*(C402-1)^2)),0)</x:f>
        <x:v>0</x:v>
      </x:c>
      <x:c r="H402" s="28" t="n">
        <x:f>ROUND(Catalogue!H23*SQRT((1+'Paramètres'!$B$4*(C402-1)+'Paramètres'!$B$5*(C402-1)^2)),0)</x:f>
        <x:v>0</x:v>
      </x:c>
      <x:c r="I402" s="28" t="n">
        <x:v>2</x:v>
      </x:c>
      <x:c r="J402" s="28" t="n">
        <x:v>1</x:v>
      </x:c>
      <x:c r="K402" s="30" t="n">
        <x:v>1.8</x:v>
      </x:c>
      <x:c r="L402" s="54" t="n">
        <x:f>IF(M402=0,0,(E402+F402)/2)</x:f>
        <x:v>44.5</x:v>
      </x:c>
      <x:c r="M402" t="n">
        <x:v>5</x:v>
      </x:c>
      <x:c r="N402" t="n">
        <x:v>6</x:v>
      </x:c>
      <x:c r="O402" t="n">
        <x:v>27</x:v>
      </x:c>
      <x:c r="P402" s="63" t="str">
        <x:f>IF(M402=0,"—",M402&amp;"d"&amp;N402&amp;IF(O402=0,""," + "&amp;O402))</x:f>
        <x:v>5d6 + 27</x:v>
      </x:c>
      <x:c r="Q402" t="n">
        <x:f>ROUND(INDEX(Catalogue!E$4:E$85,MATCH(A402,Catalogue!A$4:A$85,0))*(1+'Paramètres'!$B$4*(C402-1)+'Paramètres'!$B$5*(C402-1)^2),0)</x:f>
        <x:v>33</x:v>
      </x:c>
      <x:c r="R402" t="n">
        <x:f>ROUND(INDEX(Catalogue!F$4:F$85,MATCH(A402,Catalogue!A$4:A$85,0))*(1+'Paramètres'!$B$4*(C402-1)+'Paramètres'!$B$5*(C402-1)^2),0)</x:f>
        <x:v>57</x:v>
      </x:c>
      <x:c r="S402" t="n">
        <x:f>L402-AVERAGE(Q402:R402)</x:f>
        <x:v>-0.5</x:v>
      </x:c>
      <x:c r="T402" t="str">
        <x:f>IF(M402=0,IF(AND(N402=0,O402=0,E402=0,F402=0),"OK","ERREUR"),IF(AND(M402&gt;=1,M402&lt;=32,OR(N402=4,N402=6,N402=8,N402=10,N402=12,N402=20),O402&gt;=0,E402=M402+O402,F402=M402*N402+O402),"OK","ERREUR"))</x:f>
        <x:v>OK</x:v>
      </x:c>
      <x:c r="U402" s="86" t="n">
        <x:f>IF(M402&gt;0,M402*(N402+1)/2+O402,0)</x:f>
        <x:v>44.5</x:v>
      </x:c>
      <x:c r="V402" t="str">
        <x:f>IF(ABS(L402-U402)&lt;0.001,"OK","ERREUR")</x:f>
        <x:v>OK</x:v>
      </x:c>
    </x:row>
    <x:row r="403" ht="18" customHeight="1">
      <x:c r="A403" t="str">
        <x:v>ARM020</x:v>
      </x:c>
      <x:c r="B403" t="str">
        <x:v>Masse d'armes</x:v>
      </x:c>
      <x:c r="C403" t="n">
        <x:v>20</x:v>
      </x:c>
      <x:c r="D403" t="str">
        <x:v>Une main</x:v>
      </x:c>
      <x:c r="E403" s="28" t="n">
        <x:f>IF(M403=0,0,M403+O403)</x:f>
        <x:v>35</x:v>
      </x:c>
      <x:c r="F403" s="28" t="n">
        <x:f>IF(M403=0,0,M403*N403+O403)</x:f>
        <x:v>62</x:v>
      </x:c>
      <x:c r="G403" s="28" t="n">
        <x:f>ROUND(Catalogue!G23*SQRT((1+'Paramètres'!$B$4*(C403-1)+'Paramètres'!$B$5*(C403-1)^2)),0)</x:f>
        <x:v>0</x:v>
      </x:c>
      <x:c r="H403" s="28" t="n">
        <x:f>ROUND(Catalogue!H23*SQRT((1+'Paramètres'!$B$4*(C403-1)+'Paramètres'!$B$5*(C403-1)^2)),0)</x:f>
        <x:v>0</x:v>
      </x:c>
      <x:c r="I403" s="28" t="n">
        <x:v>2</x:v>
      </x:c>
      <x:c r="J403" s="28" t="n">
        <x:v>1</x:v>
      </x:c>
      <x:c r="K403" s="30" t="n">
        <x:v>1.8</x:v>
      </x:c>
      <x:c r="L403" s="54" t="n">
        <x:f>IF(M403=0,0,(E403+F403)/2)</x:f>
        <x:v>48.5</x:v>
      </x:c>
      <x:c r="M403" t="n">
        <x:v>3</x:v>
      </x:c>
      <x:c r="N403" t="n">
        <x:v>10</x:v>
      </x:c>
      <x:c r="O403" t="n">
        <x:v>32</x:v>
      </x:c>
      <x:c r="P403" s="63" t="str">
        <x:f>IF(M403=0,"—",M403&amp;"d"&amp;N403&amp;IF(O403=0,""," + "&amp;O403))</x:f>
        <x:v>3d10 + 32</x:v>
      </x:c>
      <x:c r="Q403" t="n">
        <x:f>ROUND(INDEX(Catalogue!E$4:E$85,MATCH(A403,Catalogue!A$4:A$85,0))*(1+'Paramètres'!$B$4*(C403-1)+'Paramètres'!$B$5*(C403-1)^2),0)</x:f>
        <x:v>35</x:v>
      </x:c>
      <x:c r="R403" t="n">
        <x:f>ROUND(INDEX(Catalogue!F$4:F$85,MATCH(A403,Catalogue!A$4:A$85,0))*(1+'Paramètres'!$B$4*(C403-1)+'Paramètres'!$B$5*(C403-1)^2),0)</x:f>
        <x:v>62</x:v>
      </x:c>
      <x:c r="S403" t="n">
        <x:f>L403-AVERAGE(Q403:R403)</x:f>
        <x:v>0</x:v>
      </x:c>
      <x:c r="T403" t="str">
        <x:f>IF(M403=0,IF(AND(N403=0,O403=0,E403=0,F403=0),"OK","ERREUR"),IF(AND(M403&gt;=1,M403&lt;=32,OR(N403=4,N403=6,N403=8,N403=10,N403=12,N403=20),O403&gt;=0,E403=M403+O403,F403=M403*N403+O403),"OK","ERREUR"))</x:f>
        <x:v>OK</x:v>
      </x:c>
      <x:c r="U403" s="86" t="n">
        <x:f>IF(M403&gt;0,M403*(N403+1)/2+O403,0)</x:f>
        <x:v>48.5</x:v>
      </x:c>
      <x:c r="V403" t="str">
        <x:f>IF(ABS(L403-U403)&lt;0.001,"OK","ERREUR")</x:f>
        <x:v>OK</x:v>
      </x:c>
    </x:row>
    <x:row r="404" ht="18" customHeight="1">
      <x:c r="A404" t="str">
        <x:v>ARM021</x:v>
      </x:c>
      <x:c r="B404" t="str">
        <x:v>Masse à ailettes</x:v>
      </x:c>
      <x:c r="C404" t="n">
        <x:v>1</x:v>
      </x:c>
      <x:c r="D404" t="str">
        <x:v>Une main</x:v>
      </x:c>
      <x:c r="E404" s="28" t="n">
        <x:f>IF(M404=0,0,M404+O404)</x:f>
        <x:v>4</x:v>
      </x:c>
      <x:c r="F404" s="28" t="n">
        <x:f>IF(M404=0,0,M404*N404+O404)</x:f>
        <x:v>7</x:v>
      </x:c>
      <x:c r="G404" s="28" t="n">
        <x:f>ROUND(Catalogue!G24*SQRT((1+'Paramètres'!$B$4*(C404-1)+'Paramètres'!$B$5*(C404-1)^2)),0)</x:f>
        <x:v>0</x:v>
      </x:c>
      <x:c r="H404" s="28" t="n">
        <x:f>ROUND(Catalogue!H24*SQRT((1+'Paramètres'!$B$4*(C404-1)+'Paramètres'!$B$5*(C404-1)^2)),0)</x:f>
        <x:v>0</x:v>
      </x:c>
      <x:c r="I404" s="28" t="n">
        <x:v>2</x:v>
      </x:c>
      <x:c r="J404" s="28" t="n">
        <x:v>1</x:v>
      </x:c>
      <x:c r="K404" s="30" t="n">
        <x:v>2</x:v>
      </x:c>
      <x:c r="L404" s="54" t="n">
        <x:f>IF(M404=0,0,(E404+F404)/2)</x:f>
        <x:v>5.5</x:v>
      </x:c>
      <x:c r="M404" t="n">
        <x:v>1</x:v>
      </x:c>
      <x:c r="N404" t="n">
        <x:v>4</x:v>
      </x:c>
      <x:c r="O404" t="n">
        <x:v>3</x:v>
      </x:c>
      <x:c r="P404" s="63" t="str">
        <x:f>IF(M404=0,"—",M404&amp;"d"&amp;N404&amp;IF(O404=0,""," + "&amp;O404))</x:f>
        <x:v>1d4 + 3</x:v>
      </x:c>
      <x:c r="Q404" t="n">
        <x:f>ROUND(INDEX(Catalogue!E$4:E$85,MATCH(A404,Catalogue!A$4:A$85,0))*(1+'Paramètres'!$B$4*(C404-1)+'Paramètres'!$B$5*(C404-1)^2),0)</x:f>
        <x:v>5</x:v>
      </x:c>
      <x:c r="R404" t="n">
        <x:f>ROUND(INDEX(Catalogue!F$4:F$85,MATCH(A404,Catalogue!A$4:A$85,0))*(1+'Paramètres'!$B$4*(C404-1)+'Paramètres'!$B$5*(C404-1)^2),0)</x:f>
        <x:v>7</x:v>
      </x:c>
      <x:c r="S404" t="n">
        <x:f>L404-AVERAGE(Q404:R404)</x:f>
        <x:v>-0.5</x:v>
      </x:c>
      <x:c r="T404" t="str">
        <x:f>IF(M404=0,IF(AND(N404=0,O404=0,E404=0,F404=0),"OK","ERREUR"),IF(AND(M404&gt;=1,M404&lt;=32,OR(N404=4,N404=6,N404=8,N404=10,N404=12,N404=20),O404&gt;=0,E404=M404+O404,F404=M404*N404+O404),"OK","ERREUR"))</x:f>
        <x:v>OK</x:v>
      </x:c>
      <x:c r="U404" s="86" t="n">
        <x:f>IF(M404&gt;0,M404*(N404+1)/2+O404,0)</x:f>
        <x:v>5.5</x:v>
      </x:c>
      <x:c r="V404" t="str">
        <x:f>IF(ABS(L404-U404)&lt;0.001,"OK","ERREUR")</x:f>
        <x:v>OK</x:v>
      </x:c>
    </x:row>
    <x:row r="405" ht="18" customHeight="1">
      <x:c r="A405" t="str">
        <x:v>ARM021</x:v>
      </x:c>
      <x:c r="B405" t="str">
        <x:v>Masse à ailettes</x:v>
      </x:c>
      <x:c r="C405" t="n">
        <x:v>2</x:v>
      </x:c>
      <x:c r="D405" t="str">
        <x:v>Une main</x:v>
      </x:c>
      <x:c r="E405" s="28" t="n">
        <x:f>IF(M405=0,0,M405+O405)</x:f>
        <x:v>5</x:v>
      </x:c>
      <x:c r="F405" s="28" t="n">
        <x:f>IF(M405=0,0,M405*N405+O405)</x:f>
        <x:v>8</x:v>
      </x:c>
      <x:c r="G405" s="28" t="n">
        <x:f>ROUND(Catalogue!G24*SQRT((1+'Paramètres'!$B$4*(C405-1)+'Paramètres'!$B$5*(C405-1)^2)),0)</x:f>
        <x:v>0</x:v>
      </x:c>
      <x:c r="H405" s="28" t="n">
        <x:f>ROUND(Catalogue!H24*SQRT((1+'Paramètres'!$B$4*(C405-1)+'Paramètres'!$B$5*(C405-1)^2)),0)</x:f>
        <x:v>0</x:v>
      </x:c>
      <x:c r="I405" s="28" t="n">
        <x:v>2</x:v>
      </x:c>
      <x:c r="J405" s="28" t="n">
        <x:v>1</x:v>
      </x:c>
      <x:c r="K405" s="30" t="n">
        <x:v>2</x:v>
      </x:c>
      <x:c r="L405" s="54" t="n">
        <x:f>IF(M405=0,0,(E405+F405)/2)</x:f>
        <x:v>6.5</x:v>
      </x:c>
      <x:c r="M405" t="n">
        <x:v>1</x:v>
      </x:c>
      <x:c r="N405" t="n">
        <x:v>4</x:v>
      </x:c>
      <x:c r="O405" t="n">
        <x:v>4</x:v>
      </x:c>
      <x:c r="P405" s="63" t="str">
        <x:f>IF(M405=0,"—",M405&amp;"d"&amp;N405&amp;IF(O405=0,""," + "&amp;O405))</x:f>
        <x:v>1d4 + 4</x:v>
      </x:c>
      <x:c r="Q405" t="n">
        <x:f>ROUND(INDEX(Catalogue!E$4:E$85,MATCH(A405,Catalogue!A$4:A$85,0))*(1+'Paramètres'!$B$4*(C405-1)+'Paramètres'!$B$5*(C405-1)^2),0)</x:f>
        <x:v>6</x:v>
      </x:c>
      <x:c r="R405" t="n">
        <x:f>ROUND(INDEX(Catalogue!F$4:F$85,MATCH(A405,Catalogue!A$4:A$85,0))*(1+'Paramètres'!$B$4*(C405-1)+'Paramètres'!$B$5*(C405-1)^2),0)</x:f>
        <x:v>8</x:v>
      </x:c>
      <x:c r="S405" t="n">
        <x:f>L405-AVERAGE(Q405:R405)</x:f>
        <x:v>-0.5</x:v>
      </x:c>
      <x:c r="T405" t="str">
        <x:f>IF(M405=0,IF(AND(N405=0,O405=0,E405=0,F405=0),"OK","ERREUR"),IF(AND(M405&gt;=1,M405&lt;=32,OR(N405=4,N405=6,N405=8,N405=10,N405=12,N405=20),O405&gt;=0,E405=M405+O405,F405=M405*N405+O405),"OK","ERREUR"))</x:f>
        <x:v>OK</x:v>
      </x:c>
      <x:c r="U405" s="86" t="n">
        <x:f>IF(M405&gt;0,M405*(N405+1)/2+O405,0)</x:f>
        <x:v>6.5</x:v>
      </x:c>
      <x:c r="V405" t="str">
        <x:f>IF(ABS(L405-U405)&lt;0.001,"OK","ERREUR")</x:f>
        <x:v>OK</x:v>
      </x:c>
    </x:row>
    <x:row r="406" ht="18" customHeight="1">
      <x:c r="A406" t="str">
        <x:v>ARM021</x:v>
      </x:c>
      <x:c r="B406" t="str">
        <x:v>Masse à ailettes</x:v>
      </x:c>
      <x:c r="C406" t="n">
        <x:v>3</x:v>
      </x:c>
      <x:c r="D406" t="str">
        <x:v>Une main</x:v>
      </x:c>
      <x:c r="E406" s="28" t="n">
        <x:f>IF(M406=0,0,M406+O406)</x:f>
        <x:v>6</x:v>
      </x:c>
      <x:c r="F406" s="28" t="n">
        <x:f>IF(M406=0,0,M406*N406+O406)</x:f>
        <x:v>9</x:v>
      </x:c>
      <x:c r="G406" s="28" t="n">
        <x:f>ROUND(Catalogue!G24*SQRT((1+'Paramètres'!$B$4*(C406-1)+'Paramètres'!$B$5*(C406-1)^2)),0)</x:f>
        <x:v>0</x:v>
      </x:c>
      <x:c r="H406" s="28" t="n">
        <x:f>ROUND(Catalogue!H24*SQRT((1+'Paramètres'!$B$4*(C406-1)+'Paramètres'!$B$5*(C406-1)^2)),0)</x:f>
        <x:v>0</x:v>
      </x:c>
      <x:c r="I406" s="28" t="n">
        <x:v>2</x:v>
      </x:c>
      <x:c r="J406" s="28" t="n">
        <x:v>1</x:v>
      </x:c>
      <x:c r="K406" s="30" t="n">
        <x:v>2</x:v>
      </x:c>
      <x:c r="L406" s="54" t="n">
        <x:f>IF(M406=0,0,(E406+F406)/2)</x:f>
        <x:v>7.5</x:v>
      </x:c>
      <x:c r="M406" t="n">
        <x:v>1</x:v>
      </x:c>
      <x:c r="N406" t="n">
        <x:v>4</x:v>
      </x:c>
      <x:c r="O406" t="n">
        <x:v>5</x:v>
      </x:c>
      <x:c r="P406" s="63" t="str">
        <x:f>IF(M406=0,"—",M406&amp;"d"&amp;N406&amp;IF(O406=0,""," + "&amp;O406))</x:f>
        <x:v>1d4 + 5</x:v>
      </x:c>
      <x:c r="Q406" t="n">
        <x:f>ROUND(INDEX(Catalogue!E$4:E$85,MATCH(A406,Catalogue!A$4:A$85,0))*(1+'Paramètres'!$B$4*(C406-1)+'Paramètres'!$B$5*(C406-1)^2),0)</x:f>
        <x:v>6</x:v>
      </x:c>
      <x:c r="R406" t="n">
        <x:f>ROUND(INDEX(Catalogue!F$4:F$85,MATCH(A406,Catalogue!A$4:A$85,0))*(1+'Paramètres'!$B$4*(C406-1)+'Paramètres'!$B$5*(C406-1)^2),0)</x:f>
        <x:v>9</x:v>
      </x:c>
      <x:c r="S406" t="n">
        <x:f>L406-AVERAGE(Q406:R406)</x:f>
        <x:v>0</x:v>
      </x:c>
      <x:c r="T406" t="str">
        <x:f>IF(M406=0,IF(AND(N406=0,O406=0,E406=0,F406=0),"OK","ERREUR"),IF(AND(M406&gt;=1,M406&lt;=32,OR(N406=4,N406=6,N406=8,N406=10,N406=12,N406=20),O406&gt;=0,E406=M406+O406,F406=M406*N406+O406),"OK","ERREUR"))</x:f>
        <x:v>OK</x:v>
      </x:c>
      <x:c r="U406" s="86" t="n">
        <x:f>IF(M406&gt;0,M406*(N406+1)/2+O406,0)</x:f>
        <x:v>7.5</x:v>
      </x:c>
      <x:c r="V406" t="str">
        <x:f>IF(ABS(L406-U406)&lt;0.001,"OK","ERREUR")</x:f>
        <x:v>OK</x:v>
      </x:c>
    </x:row>
    <x:row r="407" ht="18" customHeight="1">
      <x:c r="A407" t="str">
        <x:v>ARM021</x:v>
      </x:c>
      <x:c r="B407" t="str">
        <x:v>Masse à ailettes</x:v>
      </x:c>
      <x:c r="C407" t="n">
        <x:v>4</x:v>
      </x:c>
      <x:c r="D407" t="str">
        <x:v>Une main</x:v>
      </x:c>
      <x:c r="E407" s="28" t="n">
        <x:f>IF(M407=0,0,M407+O407)</x:f>
        <x:v>7</x:v>
      </x:c>
      <x:c r="F407" s="28" t="n">
        <x:f>IF(M407=0,0,M407*N407+O407)</x:f>
        <x:v>10</x:v>
      </x:c>
      <x:c r="G407" s="28" t="n">
        <x:f>ROUND(Catalogue!G24*SQRT((1+'Paramètres'!$B$4*(C407-1)+'Paramètres'!$B$5*(C407-1)^2)),0)</x:f>
        <x:v>0</x:v>
      </x:c>
      <x:c r="H407" s="28" t="n">
        <x:f>ROUND(Catalogue!H24*SQRT((1+'Paramètres'!$B$4*(C407-1)+'Paramètres'!$B$5*(C407-1)^2)),0)</x:f>
        <x:v>0</x:v>
      </x:c>
      <x:c r="I407" s="28" t="n">
        <x:v>2</x:v>
      </x:c>
      <x:c r="J407" s="28" t="n">
        <x:v>1</x:v>
      </x:c>
      <x:c r="K407" s="30" t="n">
        <x:v>2</x:v>
      </x:c>
      <x:c r="L407" s="54" t="n">
        <x:f>IF(M407=0,0,(E407+F407)/2)</x:f>
        <x:v>8.5</x:v>
      </x:c>
      <x:c r="M407" t="n">
        <x:v>1</x:v>
      </x:c>
      <x:c r="N407" t="n">
        <x:v>4</x:v>
      </x:c>
      <x:c r="O407" t="n">
        <x:v>6</x:v>
      </x:c>
      <x:c r="P407" s="63" t="str">
        <x:f>IF(M407=0,"—",M407&amp;"d"&amp;N407&amp;IF(O407=0,""," + "&amp;O407))</x:f>
        <x:v>1d4 + 6</x:v>
      </x:c>
      <x:c r="Q407" t="n">
        <x:f>ROUND(INDEX(Catalogue!E$4:E$85,MATCH(A407,Catalogue!A$4:A$85,0))*(1+'Paramètres'!$B$4*(C407-1)+'Paramètres'!$B$5*(C407-1)^2),0)</x:f>
        <x:v>7</x:v>
      </x:c>
      <x:c r="R407" t="n">
        <x:f>ROUND(INDEX(Catalogue!F$4:F$85,MATCH(A407,Catalogue!A$4:A$85,0))*(1+'Paramètres'!$B$4*(C407-1)+'Paramètres'!$B$5*(C407-1)^2),0)</x:f>
        <x:v>10</x:v>
      </x:c>
      <x:c r="S407" t="n">
        <x:f>L407-AVERAGE(Q407:R407)</x:f>
        <x:v>0</x:v>
      </x:c>
      <x:c r="T407" t="str">
        <x:f>IF(M407=0,IF(AND(N407=0,O407=0,E407=0,F407=0),"OK","ERREUR"),IF(AND(M407&gt;=1,M407&lt;=32,OR(N407=4,N407=6,N407=8,N407=10,N407=12,N407=20),O407&gt;=0,E407=M407+O407,F407=M407*N407+O407),"OK","ERREUR"))</x:f>
        <x:v>OK</x:v>
      </x:c>
      <x:c r="U407" s="86" t="n">
        <x:f>IF(M407&gt;0,M407*(N407+1)/2+O407,0)</x:f>
        <x:v>8.5</x:v>
      </x:c>
      <x:c r="V407" t="str">
        <x:f>IF(ABS(L407-U407)&lt;0.001,"OK","ERREUR")</x:f>
        <x:v>OK</x:v>
      </x:c>
    </x:row>
    <x:row r="408" ht="18" customHeight="1">
      <x:c r="A408" t="str">
        <x:v>ARM021</x:v>
      </x:c>
      <x:c r="B408" t="str">
        <x:v>Masse à ailettes</x:v>
      </x:c>
      <x:c r="C408" t="n">
        <x:v>5</x:v>
      </x:c>
      <x:c r="D408" t="str">
        <x:v>Une main</x:v>
      </x:c>
      <x:c r="E408" s="28" t="n">
        <x:f>IF(M408=0,0,M408+O408)</x:f>
        <x:v>9</x:v>
      </x:c>
      <x:c r="F408" s="28" t="n">
        <x:f>IF(M408=0,0,M408*N408+O408)</x:f>
        <x:v>12</x:v>
      </x:c>
      <x:c r="G408" s="28" t="n">
        <x:f>ROUND(Catalogue!G24*SQRT((1+'Paramètres'!$B$4*(C408-1)+'Paramètres'!$B$5*(C408-1)^2)),0)</x:f>
        <x:v>0</x:v>
      </x:c>
      <x:c r="H408" s="28" t="n">
        <x:f>ROUND(Catalogue!H24*SQRT((1+'Paramètres'!$B$4*(C408-1)+'Paramètres'!$B$5*(C408-1)^2)),0)</x:f>
        <x:v>0</x:v>
      </x:c>
      <x:c r="I408" s="28" t="n">
        <x:v>2</x:v>
      </x:c>
      <x:c r="J408" s="28" t="n">
        <x:v>1</x:v>
      </x:c>
      <x:c r="K408" s="30" t="n">
        <x:v>2</x:v>
      </x:c>
      <x:c r="L408" s="54" t="n">
        <x:f>IF(M408=0,0,(E408+F408)/2)</x:f>
        <x:v>10.5</x:v>
      </x:c>
      <x:c r="M408" t="n">
        <x:v>1</x:v>
      </x:c>
      <x:c r="N408" t="n">
        <x:v>4</x:v>
      </x:c>
      <x:c r="O408" t="n">
        <x:v>8</x:v>
      </x:c>
      <x:c r="P408" s="63" t="str">
        <x:f>IF(M408=0,"—",M408&amp;"d"&amp;N408&amp;IF(O408=0,""," + "&amp;O408))</x:f>
        <x:v>1d4 + 8</x:v>
      </x:c>
      <x:c r="Q408" t="n">
        <x:f>ROUND(INDEX(Catalogue!E$4:E$85,MATCH(A408,Catalogue!A$4:A$85,0))*(1+'Paramètres'!$B$4*(C408-1)+'Paramètres'!$B$5*(C408-1)^2),0)</x:f>
        <x:v>8</x:v>
      </x:c>
      <x:c r="R408" t="n">
        <x:f>ROUND(INDEX(Catalogue!F$4:F$85,MATCH(A408,Catalogue!A$4:A$85,0))*(1+'Paramètres'!$B$4*(C408-1)+'Paramètres'!$B$5*(C408-1)^2),0)</x:f>
        <x:v>12</x:v>
      </x:c>
      <x:c r="S408" t="n">
        <x:f>L408-AVERAGE(Q408:R408)</x:f>
        <x:v>0.5</x:v>
      </x:c>
      <x:c r="T408" t="str">
        <x:f>IF(M408=0,IF(AND(N408=0,O408=0,E408=0,F408=0),"OK","ERREUR"),IF(AND(M408&gt;=1,M408&lt;=32,OR(N408=4,N408=6,N408=8,N408=10,N408=12,N408=20),O408&gt;=0,E408=M408+O408,F408=M408*N408+O408),"OK","ERREUR"))</x:f>
        <x:v>OK</x:v>
      </x:c>
      <x:c r="U408" s="86" t="n">
        <x:f>IF(M408&gt;0,M408*(N408+1)/2+O408,0)</x:f>
        <x:v>10.5</x:v>
      </x:c>
      <x:c r="V408" t="str">
        <x:f>IF(ABS(L408-U408)&lt;0.001,"OK","ERREUR")</x:f>
        <x:v>OK</x:v>
      </x:c>
    </x:row>
    <x:row r="409" ht="18" customHeight="1">
      <x:c r="A409" t="str">
        <x:v>ARM021</x:v>
      </x:c>
      <x:c r="B409" t="str">
        <x:v>Masse à ailettes</x:v>
      </x:c>
      <x:c r="C409" t="n">
        <x:v>6</x:v>
      </x:c>
      <x:c r="D409" t="str">
        <x:v>Une main</x:v>
      </x:c>
      <x:c r="E409" s="28" t="n">
        <x:f>IF(M409=0,0,M409+O409)</x:f>
        <x:v>10</x:v>
      </x:c>
      <x:c r="F409" s="28" t="n">
        <x:f>IF(M409=0,0,M409*N409+O409)</x:f>
        <x:v>13</x:v>
      </x:c>
      <x:c r="G409" s="28" t="n">
        <x:f>ROUND(Catalogue!G24*SQRT((1+'Paramètres'!$B$4*(C409-1)+'Paramètres'!$B$5*(C409-1)^2)),0)</x:f>
        <x:v>0</x:v>
      </x:c>
      <x:c r="H409" s="28" t="n">
        <x:f>ROUND(Catalogue!H24*SQRT((1+'Paramètres'!$B$4*(C409-1)+'Paramètres'!$B$5*(C409-1)^2)),0)</x:f>
        <x:v>0</x:v>
      </x:c>
      <x:c r="I409" s="28" t="n">
        <x:v>2</x:v>
      </x:c>
      <x:c r="J409" s="28" t="n">
        <x:v>1</x:v>
      </x:c>
      <x:c r="K409" s="30" t="n">
        <x:v>2</x:v>
      </x:c>
      <x:c r="L409" s="54" t="n">
        <x:f>IF(M409=0,0,(E409+F409)/2)</x:f>
        <x:v>11.5</x:v>
      </x:c>
      <x:c r="M409" t="n">
        <x:v>1</x:v>
      </x:c>
      <x:c r="N409" t="n">
        <x:v>4</x:v>
      </x:c>
      <x:c r="O409" t="n">
        <x:v>9</x:v>
      </x:c>
      <x:c r="P409" s="63" t="str">
        <x:f>IF(M409=0,"—",M409&amp;"d"&amp;N409&amp;IF(O409=0,""," + "&amp;O409))</x:f>
        <x:v>1d4 + 9</x:v>
      </x:c>
      <x:c r="Q409" t="n">
        <x:f>ROUND(INDEX(Catalogue!E$4:E$85,MATCH(A409,Catalogue!A$4:A$85,0))*(1+'Paramètres'!$B$4*(C409-1)+'Paramètres'!$B$5*(C409-1)^2),0)</x:f>
        <x:v>10</x:v>
      </x:c>
      <x:c r="R409" t="n">
        <x:f>ROUND(INDEX(Catalogue!F$4:F$85,MATCH(A409,Catalogue!A$4:A$85,0))*(1+'Paramètres'!$B$4*(C409-1)+'Paramètres'!$B$5*(C409-1)^2),0)</x:f>
        <x:v>14</x:v>
      </x:c>
      <x:c r="S409" t="n">
        <x:f>L409-AVERAGE(Q409:R409)</x:f>
        <x:v>-0.5</x:v>
      </x:c>
      <x:c r="T409" t="str">
        <x:f>IF(M409=0,IF(AND(N409=0,O409=0,E409=0,F409=0),"OK","ERREUR"),IF(AND(M409&gt;=1,M409&lt;=32,OR(N409=4,N409=6,N409=8,N409=10,N409=12,N409=20),O409&gt;=0,E409=M409+O409,F409=M409*N409+O409),"OK","ERREUR"))</x:f>
        <x:v>OK</x:v>
      </x:c>
      <x:c r="U409" s="86" t="n">
        <x:f>IF(M409&gt;0,M409*(N409+1)/2+O409,0)</x:f>
        <x:v>11.5</x:v>
      </x:c>
      <x:c r="V409" t="str">
        <x:f>IF(ABS(L409-U409)&lt;0.001,"OK","ERREUR")</x:f>
        <x:v>OK</x:v>
      </x:c>
    </x:row>
    <x:row r="410" ht="18" customHeight="1">
      <x:c r="A410" t="str">
        <x:v>ARM021</x:v>
      </x:c>
      <x:c r="B410" t="str">
        <x:v>Masse à ailettes</x:v>
      </x:c>
      <x:c r="C410" t="n">
        <x:v>7</x:v>
      </x:c>
      <x:c r="D410" t="str">
        <x:v>Une main</x:v>
      </x:c>
      <x:c r="E410" s="28" t="n">
        <x:f>IF(M410=0,0,M410+O410)</x:f>
        <x:v>11</x:v>
      </x:c>
      <x:c r="F410" s="28" t="n">
        <x:f>IF(M410=0,0,M410*N410+O410)</x:f>
        <x:v>16</x:v>
      </x:c>
      <x:c r="G410" s="28" t="n">
        <x:f>ROUND(Catalogue!G24*SQRT((1+'Paramètres'!$B$4*(C410-1)+'Paramètres'!$B$5*(C410-1)^2)),0)</x:f>
        <x:v>0</x:v>
      </x:c>
      <x:c r="H410" s="28" t="n">
        <x:f>ROUND(Catalogue!H24*SQRT((1+'Paramètres'!$B$4*(C410-1)+'Paramètres'!$B$5*(C410-1)^2)),0)</x:f>
        <x:v>0</x:v>
      </x:c>
      <x:c r="I410" s="28" t="n">
        <x:v>2</x:v>
      </x:c>
      <x:c r="J410" s="28" t="n">
        <x:v>1</x:v>
      </x:c>
      <x:c r="K410" s="30" t="n">
        <x:v>2</x:v>
      </x:c>
      <x:c r="L410" s="54" t="n">
        <x:f>IF(M410=0,0,(E410+F410)/2)</x:f>
        <x:v>13.5</x:v>
      </x:c>
      <x:c r="M410" t="n">
        <x:v>1</x:v>
      </x:c>
      <x:c r="N410" t="n">
        <x:v>6</x:v>
      </x:c>
      <x:c r="O410" t="n">
        <x:v>10</x:v>
      </x:c>
      <x:c r="P410" s="63" t="str">
        <x:f>IF(M410=0,"—",M410&amp;"d"&amp;N410&amp;IF(O410=0,""," + "&amp;O410))</x:f>
        <x:v>1d6 + 10</x:v>
      </x:c>
      <x:c r="Q410" t="n">
        <x:f>ROUND(INDEX(Catalogue!E$4:E$85,MATCH(A410,Catalogue!A$4:A$85,0))*(1+'Paramètres'!$B$4*(C410-1)+'Paramètres'!$B$5*(C410-1)^2),0)</x:f>
        <x:v>11</x:v>
      </x:c>
      <x:c r="R410" t="n">
        <x:f>ROUND(INDEX(Catalogue!F$4:F$85,MATCH(A410,Catalogue!A$4:A$85,0))*(1+'Paramètres'!$B$4*(C410-1)+'Paramètres'!$B$5*(C410-1)^2),0)</x:f>
        <x:v>16</x:v>
      </x:c>
      <x:c r="S410" t="n">
        <x:f>L410-AVERAGE(Q410:R410)</x:f>
        <x:v>0</x:v>
      </x:c>
      <x:c r="T410" t="str">
        <x:f>IF(M410=0,IF(AND(N410=0,O410=0,E410=0,F410=0),"OK","ERREUR"),IF(AND(M410&gt;=1,M410&lt;=32,OR(N410=4,N410=6,N410=8,N410=10,N410=12,N410=20),O410&gt;=0,E410=M410+O410,F410=M410*N410+O410),"OK","ERREUR"))</x:f>
        <x:v>OK</x:v>
      </x:c>
      <x:c r="U410" s="86" t="n">
        <x:f>IF(M410&gt;0,M410*(N410+1)/2+O410,0)</x:f>
        <x:v>13.5</x:v>
      </x:c>
      <x:c r="V410" t="str">
        <x:f>IF(ABS(L410-U410)&lt;0.001,"OK","ERREUR")</x:f>
        <x:v>OK</x:v>
      </x:c>
    </x:row>
    <x:row r="411" ht="18" customHeight="1">
      <x:c r="A411" t="str">
        <x:v>ARM021</x:v>
      </x:c>
      <x:c r="B411" t="str">
        <x:v>Masse à ailettes</x:v>
      </x:c>
      <x:c r="C411" t="n">
        <x:v>8</x:v>
      </x:c>
      <x:c r="D411" t="str">
        <x:v>Une main</x:v>
      </x:c>
      <x:c r="E411" s="28" t="n">
        <x:f>IF(M411=0,0,M411+O411)</x:f>
        <x:v>13</x:v>
      </x:c>
      <x:c r="F411" s="28" t="n">
        <x:f>IF(M411=0,0,M411*N411+O411)</x:f>
        <x:v>18</x:v>
      </x:c>
      <x:c r="G411" s="28" t="n">
        <x:f>ROUND(Catalogue!G24*SQRT((1+'Paramètres'!$B$4*(C411-1)+'Paramètres'!$B$5*(C411-1)^2)),0)</x:f>
        <x:v>0</x:v>
      </x:c>
      <x:c r="H411" s="28" t="n">
        <x:f>ROUND(Catalogue!H24*SQRT((1+'Paramètres'!$B$4*(C411-1)+'Paramètres'!$B$5*(C411-1)^2)),0)</x:f>
        <x:v>0</x:v>
      </x:c>
      <x:c r="I411" s="28" t="n">
        <x:v>2</x:v>
      </x:c>
      <x:c r="J411" s="28" t="n">
        <x:v>1</x:v>
      </x:c>
      <x:c r="K411" s="30" t="n">
        <x:v>2</x:v>
      </x:c>
      <x:c r="L411" s="54" t="n">
        <x:f>IF(M411=0,0,(E411+F411)/2)</x:f>
        <x:v>15.5</x:v>
      </x:c>
      <x:c r="M411" t="n">
        <x:v>1</x:v>
      </x:c>
      <x:c r="N411" t="n">
        <x:v>6</x:v>
      </x:c>
      <x:c r="O411" t="n">
        <x:v>12</x:v>
      </x:c>
      <x:c r="P411" s="63" t="str">
        <x:f>IF(M411=0,"—",M411&amp;"d"&amp;N411&amp;IF(O411=0,""," + "&amp;O411))</x:f>
        <x:v>1d6 + 12</x:v>
      </x:c>
      <x:c r="Q411" t="n">
        <x:f>ROUND(INDEX(Catalogue!E$4:E$85,MATCH(A411,Catalogue!A$4:A$85,0))*(1+'Paramètres'!$B$4*(C411-1)+'Paramètres'!$B$5*(C411-1)^2),0)</x:f>
        <x:v>13</x:v>
      </x:c>
      <x:c r="R411" t="n">
        <x:f>ROUND(INDEX(Catalogue!F$4:F$85,MATCH(A411,Catalogue!A$4:A$85,0))*(1+'Paramètres'!$B$4*(C411-1)+'Paramètres'!$B$5*(C411-1)^2),0)</x:f>
        <x:v>18</x:v>
      </x:c>
      <x:c r="S411" t="n">
        <x:f>L411-AVERAGE(Q411:R411)</x:f>
        <x:v>0</x:v>
      </x:c>
      <x:c r="T411" t="str">
        <x:f>IF(M411=0,IF(AND(N411=0,O411=0,E411=0,F411=0),"OK","ERREUR"),IF(AND(M411&gt;=1,M411&lt;=32,OR(N411=4,N411=6,N411=8,N411=10,N411=12,N411=20),O411&gt;=0,E411=M411+O411,F411=M411*N411+O411),"OK","ERREUR"))</x:f>
        <x:v>OK</x:v>
      </x:c>
      <x:c r="U411" s="86" t="n">
        <x:f>IF(M411&gt;0,M411*(N411+1)/2+O411,0)</x:f>
        <x:v>15.5</x:v>
      </x:c>
      <x:c r="V411" t="str">
        <x:f>IF(ABS(L411-U411)&lt;0.001,"OK","ERREUR")</x:f>
        <x:v>OK</x:v>
      </x:c>
    </x:row>
    <x:row r="412" ht="18" customHeight="1">
      <x:c r="A412" t="str">
        <x:v>ARM021</x:v>
      </x:c>
      <x:c r="B412" t="str">
        <x:v>Masse à ailettes</x:v>
      </x:c>
      <x:c r="C412" t="n">
        <x:v>9</x:v>
      </x:c>
      <x:c r="D412" t="str">
        <x:v>Une main</x:v>
      </x:c>
      <x:c r="E412" s="28" t="n">
        <x:f>IF(M412=0,0,M412+O412)</x:f>
        <x:v>15</x:v>
      </x:c>
      <x:c r="F412" s="28" t="n">
        <x:f>IF(M412=0,0,M412*N412+O412)</x:f>
        <x:v>20</x:v>
      </x:c>
      <x:c r="G412" s="28" t="n">
        <x:f>ROUND(Catalogue!G24*SQRT((1+'Paramètres'!$B$4*(C412-1)+'Paramètres'!$B$5*(C412-1)^2)),0)</x:f>
        <x:v>0</x:v>
      </x:c>
      <x:c r="H412" s="28" t="n">
        <x:f>ROUND(Catalogue!H24*SQRT((1+'Paramètres'!$B$4*(C412-1)+'Paramètres'!$B$5*(C412-1)^2)),0)</x:f>
        <x:v>0</x:v>
      </x:c>
      <x:c r="I412" s="28" t="n">
        <x:v>2</x:v>
      </x:c>
      <x:c r="J412" s="28" t="n">
        <x:v>1</x:v>
      </x:c>
      <x:c r="K412" s="30" t="n">
        <x:v>2</x:v>
      </x:c>
      <x:c r="L412" s="54" t="n">
        <x:f>IF(M412=0,0,(E412+F412)/2)</x:f>
        <x:v>17.5</x:v>
      </x:c>
      <x:c r="M412" t="n">
        <x:v>1</x:v>
      </x:c>
      <x:c r="N412" t="n">
        <x:v>6</x:v>
      </x:c>
      <x:c r="O412" t="n">
        <x:v>14</x:v>
      </x:c>
      <x:c r="P412" s="63" t="str">
        <x:f>IF(M412=0,"—",M412&amp;"d"&amp;N412&amp;IF(O412=0,""," + "&amp;O412))</x:f>
        <x:v>1d6 + 14</x:v>
      </x:c>
      <x:c r="Q412" t="n">
        <x:f>ROUND(INDEX(Catalogue!E$4:E$85,MATCH(A412,Catalogue!A$4:A$85,0))*(1+'Paramètres'!$B$4*(C412-1)+'Paramètres'!$B$5*(C412-1)^2),0)</x:f>
        <x:v>15</x:v>
      </x:c>
      <x:c r="R412" t="n">
        <x:f>ROUND(INDEX(Catalogue!F$4:F$85,MATCH(A412,Catalogue!A$4:A$85,0))*(1+'Paramètres'!$B$4*(C412-1)+'Paramètres'!$B$5*(C412-1)^2),0)</x:f>
        <x:v>20</x:v>
      </x:c>
      <x:c r="S412" t="n">
        <x:f>L412-AVERAGE(Q412:R412)</x:f>
        <x:v>0</x:v>
      </x:c>
      <x:c r="T412" t="str">
        <x:f>IF(M412=0,IF(AND(N412=0,O412=0,E412=0,F412=0),"OK","ERREUR"),IF(AND(M412&gt;=1,M412&lt;=32,OR(N412=4,N412=6,N412=8,N412=10,N412=12,N412=20),O412&gt;=0,E412=M412+O412,F412=M412*N412+O412),"OK","ERREUR"))</x:f>
        <x:v>OK</x:v>
      </x:c>
      <x:c r="U412" s="86" t="n">
        <x:f>IF(M412&gt;0,M412*(N412+1)/2+O412,0)</x:f>
        <x:v>17.5</x:v>
      </x:c>
      <x:c r="V412" t="str">
        <x:f>IF(ABS(L412-U412)&lt;0.001,"OK","ERREUR")</x:f>
        <x:v>OK</x:v>
      </x:c>
    </x:row>
    <x:row r="413" ht="18" customHeight="1">
      <x:c r="A413" t="str">
        <x:v>ARM021</x:v>
      </x:c>
      <x:c r="B413" t="str">
        <x:v>Masse à ailettes</x:v>
      </x:c>
      <x:c r="C413" t="n">
        <x:v>10</x:v>
      </x:c>
      <x:c r="D413" t="str">
        <x:v>Une main</x:v>
      </x:c>
      <x:c r="E413" s="28" t="n">
        <x:f>IF(M413=0,0,M413+O413)</x:f>
        <x:v>16</x:v>
      </x:c>
      <x:c r="F413" s="28" t="n">
        <x:f>IF(M413=0,0,M413*N413+O413)</x:f>
        <x:v>23</x:v>
      </x:c>
      <x:c r="G413" s="28" t="n">
        <x:f>ROUND(Catalogue!G24*SQRT((1+'Paramètres'!$B$4*(C413-1)+'Paramètres'!$B$5*(C413-1)^2)),0)</x:f>
        <x:v>0</x:v>
      </x:c>
      <x:c r="H413" s="28" t="n">
        <x:f>ROUND(Catalogue!H24*SQRT((1+'Paramètres'!$B$4*(C413-1)+'Paramètres'!$B$5*(C413-1)^2)),0)</x:f>
        <x:v>0</x:v>
      </x:c>
      <x:c r="I413" s="28" t="n">
        <x:v>2</x:v>
      </x:c>
      <x:c r="J413" s="28" t="n">
        <x:v>1</x:v>
      </x:c>
      <x:c r="K413" s="30" t="n">
        <x:v>2</x:v>
      </x:c>
      <x:c r="L413" s="54" t="n">
        <x:f>IF(M413=0,0,(E413+F413)/2)</x:f>
        <x:v>19.5</x:v>
      </x:c>
      <x:c r="M413" t="n">
        <x:v>1</x:v>
      </x:c>
      <x:c r="N413" t="n">
        <x:v>8</x:v>
      </x:c>
      <x:c r="O413" t="n">
        <x:v>15</x:v>
      </x:c>
      <x:c r="P413" s="63" t="str">
        <x:f>IF(M413=0,"—",M413&amp;"d"&amp;N413&amp;IF(O413=0,""," + "&amp;O413))</x:f>
        <x:v>1d8 + 15</x:v>
      </x:c>
      <x:c r="Q413" t="n">
        <x:f>ROUND(INDEX(Catalogue!E$4:E$85,MATCH(A413,Catalogue!A$4:A$85,0))*(1+'Paramètres'!$B$4*(C413-1)+'Paramètres'!$B$5*(C413-1)^2),0)</x:f>
        <x:v>16</x:v>
      </x:c>
      <x:c r="R413" t="n">
        <x:f>ROUND(INDEX(Catalogue!F$4:F$85,MATCH(A413,Catalogue!A$4:A$85,0))*(1+'Paramètres'!$B$4*(C413-1)+'Paramètres'!$B$5*(C413-1)^2),0)</x:f>
        <x:v>23</x:v>
      </x:c>
      <x:c r="S413" t="n">
        <x:f>L413-AVERAGE(Q413:R413)</x:f>
        <x:v>0</x:v>
      </x:c>
      <x:c r="T413" t="str">
        <x:f>IF(M413=0,IF(AND(N413=0,O413=0,E413=0,F413=0),"OK","ERREUR"),IF(AND(M413&gt;=1,M413&lt;=32,OR(N413=4,N413=6,N413=8,N413=10,N413=12,N413=20),O413&gt;=0,E413=M413+O413,F413=M413*N413+O413),"OK","ERREUR"))</x:f>
        <x:v>OK</x:v>
      </x:c>
      <x:c r="U413" s="86" t="n">
        <x:f>IF(M413&gt;0,M413*(N413+1)/2+O413,0)</x:f>
        <x:v>19.5</x:v>
      </x:c>
      <x:c r="V413" t="str">
        <x:f>IF(ABS(L413-U413)&lt;0.001,"OK","ERREUR")</x:f>
        <x:v>OK</x:v>
      </x:c>
    </x:row>
    <x:row r="414" ht="18" customHeight="1">
      <x:c r="A414" t="str">
        <x:v>ARM021</x:v>
      </x:c>
      <x:c r="B414" t="str">
        <x:v>Masse à ailettes</x:v>
      </x:c>
      <x:c r="C414" t="n">
        <x:v>11</x:v>
      </x:c>
      <x:c r="D414" t="str">
        <x:v>Une main</x:v>
      </x:c>
      <x:c r="E414" s="28" t="n">
        <x:f>IF(M414=0,0,M414+O414)</x:f>
        <x:v>19</x:v>
      </x:c>
      <x:c r="F414" s="28" t="n">
        <x:f>IF(M414=0,0,M414*N414+O414)</x:f>
        <x:v>26</x:v>
      </x:c>
      <x:c r="G414" s="28" t="n">
        <x:f>ROUND(Catalogue!G24*SQRT((1+'Paramètres'!$B$4*(C414-1)+'Paramètres'!$B$5*(C414-1)^2)),0)</x:f>
        <x:v>0</x:v>
      </x:c>
      <x:c r="H414" s="28" t="n">
        <x:f>ROUND(Catalogue!H24*SQRT((1+'Paramètres'!$B$4*(C414-1)+'Paramètres'!$B$5*(C414-1)^2)),0)</x:f>
        <x:v>0</x:v>
      </x:c>
      <x:c r="I414" s="28" t="n">
        <x:v>2</x:v>
      </x:c>
      <x:c r="J414" s="28" t="n">
        <x:v>1</x:v>
      </x:c>
      <x:c r="K414" s="30" t="n">
        <x:v>2</x:v>
      </x:c>
      <x:c r="L414" s="54" t="n">
        <x:f>IF(M414=0,0,(E414+F414)/2)</x:f>
        <x:v>22.5</x:v>
      </x:c>
      <x:c r="M414" t="n">
        <x:v>1</x:v>
      </x:c>
      <x:c r="N414" t="n">
        <x:v>8</x:v>
      </x:c>
      <x:c r="O414" t="n">
        <x:v>18</x:v>
      </x:c>
      <x:c r="P414" s="63" t="str">
        <x:f>IF(M414=0,"—",M414&amp;"d"&amp;N414&amp;IF(O414=0,""," + "&amp;O414))</x:f>
        <x:v>1d8 + 18</x:v>
      </x:c>
      <x:c r="Q414" t="n">
        <x:f>ROUND(INDEX(Catalogue!E$4:E$85,MATCH(A414,Catalogue!A$4:A$85,0))*(1+'Paramètres'!$B$4*(C414-1)+'Paramètres'!$B$5*(C414-1)^2),0)</x:f>
        <x:v>19</x:v>
      </x:c>
      <x:c r="R414" t="n">
        <x:f>ROUND(INDEX(Catalogue!F$4:F$85,MATCH(A414,Catalogue!A$4:A$85,0))*(1+'Paramètres'!$B$4*(C414-1)+'Paramètres'!$B$5*(C414-1)^2),0)</x:f>
        <x:v>26</x:v>
      </x:c>
      <x:c r="S414" t="n">
        <x:f>L414-AVERAGE(Q414:R414)</x:f>
        <x:v>0</x:v>
      </x:c>
      <x:c r="T414" t="str">
        <x:f>IF(M414=0,IF(AND(N414=0,O414=0,E414=0,F414=0),"OK","ERREUR"),IF(AND(M414&gt;=1,M414&lt;=32,OR(N414=4,N414=6,N414=8,N414=10,N414=12,N414=20),O414&gt;=0,E414=M414+O414,F414=M414*N414+O414),"OK","ERREUR"))</x:f>
        <x:v>OK</x:v>
      </x:c>
      <x:c r="U414" s="86" t="n">
        <x:f>IF(M414&gt;0,M414*(N414+1)/2+O414,0)</x:f>
        <x:v>22.5</x:v>
      </x:c>
      <x:c r="V414" t="str">
        <x:f>IF(ABS(L414-U414)&lt;0.001,"OK","ERREUR")</x:f>
        <x:v>OK</x:v>
      </x:c>
    </x:row>
    <x:row r="415" ht="18" customHeight="1">
      <x:c r="A415" t="str">
        <x:v>ARM021</x:v>
      </x:c>
      <x:c r="B415" t="str">
        <x:v>Masse à ailettes</x:v>
      </x:c>
      <x:c r="C415" t="n">
        <x:v>12</x:v>
      </x:c>
      <x:c r="D415" t="str">
        <x:v>Une main</x:v>
      </x:c>
      <x:c r="E415" s="28" t="n">
        <x:f>IF(M415=0,0,M415+O415)</x:f>
        <x:v>20</x:v>
      </x:c>
      <x:c r="F415" s="28" t="n">
        <x:f>IF(M415=0,0,M415*N415+O415)</x:f>
        <x:v>29</x:v>
      </x:c>
      <x:c r="G415" s="28" t="n">
        <x:f>ROUND(Catalogue!G24*SQRT((1+'Paramètres'!$B$4*(C415-1)+'Paramètres'!$B$5*(C415-1)^2)),0)</x:f>
        <x:v>0</x:v>
      </x:c>
      <x:c r="H415" s="28" t="n">
        <x:f>ROUND(Catalogue!H24*SQRT((1+'Paramètres'!$B$4*(C415-1)+'Paramètres'!$B$5*(C415-1)^2)),0)</x:f>
        <x:v>0</x:v>
      </x:c>
      <x:c r="I415" s="28" t="n">
        <x:v>2</x:v>
      </x:c>
      <x:c r="J415" s="28" t="n">
        <x:v>1</x:v>
      </x:c>
      <x:c r="K415" s="30" t="n">
        <x:v>2</x:v>
      </x:c>
      <x:c r="L415" s="54" t="n">
        <x:f>IF(M415=0,0,(E415+F415)/2)</x:f>
        <x:v>24.5</x:v>
      </x:c>
      <x:c r="M415" t="n">
        <x:v>3</x:v>
      </x:c>
      <x:c r="N415" t="n">
        <x:v>4</x:v>
      </x:c>
      <x:c r="O415" t="n">
        <x:v>17</x:v>
      </x:c>
      <x:c r="P415" s="63" t="str">
        <x:f>IF(M415=0,"—",M415&amp;"d"&amp;N415&amp;IF(O415=0,""," + "&amp;O415))</x:f>
        <x:v>3d4 + 17</x:v>
      </x:c>
      <x:c r="Q415" t="n">
        <x:f>ROUND(INDEX(Catalogue!E$4:E$85,MATCH(A415,Catalogue!A$4:A$85,0))*(1+'Paramètres'!$B$4*(C415-1)+'Paramètres'!$B$5*(C415-1)^2),0)</x:f>
        <x:v>21</x:v>
      </x:c>
      <x:c r="R415" t="n">
        <x:f>ROUND(INDEX(Catalogue!F$4:F$85,MATCH(A415,Catalogue!A$4:A$85,0))*(1+'Paramètres'!$B$4*(C415-1)+'Paramètres'!$B$5*(C415-1)^2),0)</x:f>
        <x:v>29</x:v>
      </x:c>
      <x:c r="S415" t="n">
        <x:f>L415-AVERAGE(Q415:R415)</x:f>
        <x:v>-0.5</x:v>
      </x:c>
      <x:c r="T415" t="str">
        <x:f>IF(M415=0,IF(AND(N415=0,O415=0,E415=0,F415=0),"OK","ERREUR"),IF(AND(M415&gt;=1,M415&lt;=32,OR(N415=4,N415=6,N415=8,N415=10,N415=12,N415=20),O415&gt;=0,E415=M415+O415,F415=M415*N415+O415),"OK","ERREUR"))</x:f>
        <x:v>OK</x:v>
      </x:c>
      <x:c r="U415" s="86" t="n">
        <x:f>IF(M415&gt;0,M415*(N415+1)/2+O415,0)</x:f>
        <x:v>24.5</x:v>
      </x:c>
      <x:c r="V415" t="str">
        <x:f>IF(ABS(L415-U415)&lt;0.001,"OK","ERREUR")</x:f>
        <x:v>OK</x:v>
      </x:c>
    </x:row>
    <x:row r="416" ht="18" customHeight="1">
      <x:c r="A416" t="str">
        <x:v>ARM021</x:v>
      </x:c>
      <x:c r="B416" t="str">
        <x:v>Masse à ailettes</x:v>
      </x:c>
      <x:c r="C416" t="n">
        <x:v>13</x:v>
      </x:c>
      <x:c r="D416" t="str">
        <x:v>Une main</x:v>
      </x:c>
      <x:c r="E416" s="28" t="n">
        <x:f>IF(M416=0,0,M416+O416)</x:f>
        <x:v>23</x:v>
      </x:c>
      <x:c r="F416" s="28" t="n">
        <x:f>IF(M416=0,0,M416*N416+O416)</x:f>
        <x:v>32</x:v>
      </x:c>
      <x:c r="G416" s="28" t="n">
        <x:f>ROUND(Catalogue!G24*SQRT((1+'Paramètres'!$B$4*(C416-1)+'Paramètres'!$B$5*(C416-1)^2)),0)</x:f>
        <x:v>0</x:v>
      </x:c>
      <x:c r="H416" s="28" t="n">
        <x:f>ROUND(Catalogue!H24*SQRT((1+'Paramètres'!$B$4*(C416-1)+'Paramètres'!$B$5*(C416-1)^2)),0)</x:f>
        <x:v>0</x:v>
      </x:c>
      <x:c r="I416" s="28" t="n">
        <x:v>2</x:v>
      </x:c>
      <x:c r="J416" s="28" t="n">
        <x:v>1</x:v>
      </x:c>
      <x:c r="K416" s="30" t="n">
        <x:v>2</x:v>
      </x:c>
      <x:c r="L416" s="54" t="n">
        <x:f>IF(M416=0,0,(E416+F416)/2)</x:f>
        <x:v>27.5</x:v>
      </x:c>
      <x:c r="M416" t="n">
        <x:v>3</x:v>
      </x:c>
      <x:c r="N416" t="n">
        <x:v>4</x:v>
      </x:c>
      <x:c r="O416" t="n">
        <x:v>20</x:v>
      </x:c>
      <x:c r="P416" s="63" t="str">
        <x:f>IF(M416=0,"—",M416&amp;"d"&amp;N416&amp;IF(O416=0,""," + "&amp;O416))</x:f>
        <x:v>3d4 + 20</x:v>
      </x:c>
      <x:c r="Q416" t="n">
        <x:f>ROUND(INDEX(Catalogue!E$4:E$85,MATCH(A416,Catalogue!A$4:A$85,0))*(1+'Paramètres'!$B$4*(C416-1)+'Paramètres'!$B$5*(C416-1)^2),0)</x:f>
        <x:v>23</x:v>
      </x:c>
      <x:c r="R416" t="n">
        <x:f>ROUND(INDEX(Catalogue!F$4:F$85,MATCH(A416,Catalogue!A$4:A$85,0))*(1+'Paramètres'!$B$4*(C416-1)+'Paramètres'!$B$5*(C416-1)^2),0)</x:f>
        <x:v>32</x:v>
      </x:c>
      <x:c r="S416" t="n">
        <x:f>L416-AVERAGE(Q416:R416)</x:f>
        <x:v>0</x:v>
      </x:c>
      <x:c r="T416" t="str">
        <x:f>IF(M416=0,IF(AND(N416=0,O416=0,E416=0,F416=0),"OK","ERREUR"),IF(AND(M416&gt;=1,M416&lt;=32,OR(N416=4,N416=6,N416=8,N416=10,N416=12,N416=20),O416&gt;=0,E416=M416+O416,F416=M416*N416+O416),"OK","ERREUR"))</x:f>
        <x:v>OK</x:v>
      </x:c>
      <x:c r="U416" s="86" t="n">
        <x:f>IF(M416&gt;0,M416*(N416+1)/2+O416,0)</x:f>
        <x:v>27.5</x:v>
      </x:c>
      <x:c r="V416" t="str">
        <x:f>IF(ABS(L416-U416)&lt;0.001,"OK","ERREUR")</x:f>
        <x:v>OK</x:v>
      </x:c>
    </x:row>
    <x:row r="417" ht="18" customHeight="1">
      <x:c r="A417" t="str">
        <x:v>ARM021</x:v>
      </x:c>
      <x:c r="B417" t="str">
        <x:v>Masse à ailettes</x:v>
      </x:c>
      <x:c r="C417" t="n">
        <x:v>14</x:v>
      </x:c>
      <x:c r="D417" t="str">
        <x:v>Une main</x:v>
      </x:c>
      <x:c r="E417" s="28" t="n">
        <x:f>IF(M417=0,0,M417+O417)</x:f>
        <x:v>26</x:v>
      </x:c>
      <x:c r="F417" s="28" t="n">
        <x:f>IF(M417=0,0,M417*N417+O417)</x:f>
        <x:v>36</x:v>
      </x:c>
      <x:c r="G417" s="28" t="n">
        <x:f>ROUND(Catalogue!G24*SQRT((1+'Paramètres'!$B$4*(C417-1)+'Paramètres'!$B$5*(C417-1)^2)),0)</x:f>
        <x:v>0</x:v>
      </x:c>
      <x:c r="H417" s="28" t="n">
        <x:f>ROUND(Catalogue!H24*SQRT((1+'Paramètres'!$B$4*(C417-1)+'Paramètres'!$B$5*(C417-1)^2)),0)</x:f>
        <x:v>0</x:v>
      </x:c>
      <x:c r="I417" s="28" t="n">
        <x:v>2</x:v>
      </x:c>
      <x:c r="J417" s="28" t="n">
        <x:v>1</x:v>
      </x:c>
      <x:c r="K417" s="30" t="n">
        <x:v>2</x:v>
      </x:c>
      <x:c r="L417" s="54" t="n">
        <x:f>IF(M417=0,0,(E417+F417)/2)</x:f>
        <x:v>31</x:v>
      </x:c>
      <x:c r="M417" t="n">
        <x:v>2</x:v>
      </x:c>
      <x:c r="N417" t="n">
        <x:v>6</x:v>
      </x:c>
      <x:c r="O417" t="n">
        <x:v>24</x:v>
      </x:c>
      <x:c r="P417" s="63" t="str">
        <x:f>IF(M417=0,"—",M417&amp;"d"&amp;N417&amp;IF(O417=0,""," + "&amp;O417))</x:f>
        <x:v>2d6 + 24</x:v>
      </x:c>
      <x:c r="Q417" t="n">
        <x:f>ROUND(INDEX(Catalogue!E$4:E$85,MATCH(A417,Catalogue!A$4:A$85,0))*(1+'Paramètres'!$B$4*(C417-1)+'Paramètres'!$B$5*(C417-1)^2),0)</x:f>
        <x:v>26</x:v>
      </x:c>
      <x:c r="R417" t="n">
        <x:f>ROUND(INDEX(Catalogue!F$4:F$85,MATCH(A417,Catalogue!A$4:A$85,0))*(1+'Paramètres'!$B$4*(C417-1)+'Paramètres'!$B$5*(C417-1)^2),0)</x:f>
        <x:v>36</x:v>
      </x:c>
      <x:c r="S417" t="n">
        <x:f>L417-AVERAGE(Q417:R417)</x:f>
        <x:v>0</x:v>
      </x:c>
      <x:c r="T417" t="str">
        <x:f>IF(M417=0,IF(AND(N417=0,O417=0,E417=0,F417=0),"OK","ERREUR"),IF(AND(M417&gt;=1,M417&lt;=32,OR(N417=4,N417=6,N417=8,N417=10,N417=12,N417=20),O417&gt;=0,E417=M417+O417,F417=M417*N417+O417),"OK","ERREUR"))</x:f>
        <x:v>OK</x:v>
      </x:c>
      <x:c r="U417" s="86" t="n">
        <x:f>IF(M417&gt;0,M417*(N417+1)/2+O417,0)</x:f>
        <x:v>31</x:v>
      </x:c>
      <x:c r="V417" t="str">
        <x:f>IF(ABS(L417-U417)&lt;0.001,"OK","ERREUR")</x:f>
        <x:v>OK</x:v>
      </x:c>
    </x:row>
    <x:row r="418" ht="18" customHeight="1">
      <x:c r="A418" t="str">
        <x:v>ARM021</x:v>
      </x:c>
      <x:c r="B418" t="str">
        <x:v>Masse à ailettes</x:v>
      </x:c>
      <x:c r="C418" t="n">
        <x:v>15</x:v>
      </x:c>
      <x:c r="D418" t="str">
        <x:v>Une main</x:v>
      </x:c>
      <x:c r="E418" s="28" t="n">
        <x:f>IF(M418=0,0,M418+O418)</x:f>
        <x:v>28</x:v>
      </x:c>
      <x:c r="F418" s="28" t="n">
        <x:f>IF(M418=0,0,M418*N418+O418)</x:f>
        <x:v>40</x:v>
      </x:c>
      <x:c r="G418" s="28" t="n">
        <x:f>ROUND(Catalogue!G24*SQRT((1+'Paramètres'!$B$4*(C418-1)+'Paramètres'!$B$5*(C418-1)^2)),0)</x:f>
        <x:v>0</x:v>
      </x:c>
      <x:c r="H418" s="28" t="n">
        <x:f>ROUND(Catalogue!H24*SQRT((1+'Paramètres'!$B$4*(C418-1)+'Paramètres'!$B$5*(C418-1)^2)),0)</x:f>
        <x:v>0</x:v>
      </x:c>
      <x:c r="I418" s="28" t="n">
        <x:v>2</x:v>
      </x:c>
      <x:c r="J418" s="28" t="n">
        <x:v>1</x:v>
      </x:c>
      <x:c r="K418" s="30" t="n">
        <x:v>2</x:v>
      </x:c>
      <x:c r="L418" s="54" t="n">
        <x:f>IF(M418=0,0,(E418+F418)/2)</x:f>
        <x:v>34</x:v>
      </x:c>
      <x:c r="M418" t="n">
        <x:v>4</x:v>
      </x:c>
      <x:c r="N418" t="n">
        <x:v>4</x:v>
      </x:c>
      <x:c r="O418" t="n">
        <x:v>24</x:v>
      </x:c>
      <x:c r="P418" s="63" t="str">
        <x:f>IF(M418=0,"—",M418&amp;"d"&amp;N418&amp;IF(O418=0,""," + "&amp;O418))</x:f>
        <x:v>4d4 + 24</x:v>
      </x:c>
      <x:c r="Q418" t="n">
        <x:f>ROUND(INDEX(Catalogue!E$4:E$85,MATCH(A418,Catalogue!A$4:A$85,0))*(1+'Paramètres'!$B$4*(C418-1)+'Paramètres'!$B$5*(C418-1)^2),0)</x:f>
        <x:v>28</x:v>
      </x:c>
      <x:c r="R418" t="n">
        <x:f>ROUND(INDEX(Catalogue!F$4:F$85,MATCH(A418,Catalogue!A$4:A$85,0))*(1+'Paramètres'!$B$4*(C418-1)+'Paramètres'!$B$5*(C418-1)^2),0)</x:f>
        <x:v>40</x:v>
      </x:c>
      <x:c r="S418" t="n">
        <x:f>L418-AVERAGE(Q418:R418)</x:f>
        <x:v>0</x:v>
      </x:c>
      <x:c r="T418" t="str">
        <x:f>IF(M418=0,IF(AND(N418=0,O418=0,E418=0,F418=0),"OK","ERREUR"),IF(AND(M418&gt;=1,M418&lt;=32,OR(N418=4,N418=6,N418=8,N418=10,N418=12,N418=20),O418&gt;=0,E418=M418+O418,F418=M418*N418+O418),"OK","ERREUR"))</x:f>
        <x:v>OK</x:v>
      </x:c>
      <x:c r="U418" s="86" t="n">
        <x:f>IF(M418&gt;0,M418*(N418+1)/2+O418,0)</x:f>
        <x:v>34</x:v>
      </x:c>
      <x:c r="V418" t="str">
        <x:f>IF(ABS(L418-U418)&lt;0.001,"OK","ERREUR")</x:f>
        <x:v>OK</x:v>
      </x:c>
    </x:row>
    <x:row r="419" ht="18" customHeight="1">
      <x:c r="A419" t="str">
        <x:v>ARM021</x:v>
      </x:c>
      <x:c r="B419" t="str">
        <x:v>Masse à ailettes</x:v>
      </x:c>
      <x:c r="C419" t="n">
        <x:v>16</x:v>
      </x:c>
      <x:c r="D419" t="str">
        <x:v>Une main</x:v>
      </x:c>
      <x:c r="E419" s="28" t="n">
        <x:f>IF(M419=0,0,M419+O419)</x:f>
        <x:v>30</x:v>
      </x:c>
      <x:c r="F419" s="28" t="n">
        <x:f>IF(M419=0,0,M419*N419+O419)</x:f>
        <x:v>44</x:v>
      </x:c>
      <x:c r="G419" s="28" t="n">
        <x:f>ROUND(Catalogue!G24*SQRT((1+'Paramètres'!$B$4*(C419-1)+'Paramètres'!$B$5*(C419-1)^2)),0)</x:f>
        <x:v>0</x:v>
      </x:c>
      <x:c r="H419" s="28" t="n">
        <x:f>ROUND(Catalogue!H24*SQRT((1+'Paramètres'!$B$4*(C419-1)+'Paramètres'!$B$5*(C419-1)^2)),0)</x:f>
        <x:v>0</x:v>
      </x:c>
      <x:c r="I419" s="28" t="n">
        <x:v>2</x:v>
      </x:c>
      <x:c r="J419" s="28" t="n">
        <x:v>1</x:v>
      </x:c>
      <x:c r="K419" s="30" t="n">
        <x:v>2</x:v>
      </x:c>
      <x:c r="L419" s="54" t="n">
        <x:f>IF(M419=0,0,(E419+F419)/2)</x:f>
        <x:v>37</x:v>
      </x:c>
      <x:c r="M419" t="n">
        <x:v>2</x:v>
      </x:c>
      <x:c r="N419" t="n">
        <x:v>8</x:v>
      </x:c>
      <x:c r="O419" t="n">
        <x:v>28</x:v>
      </x:c>
      <x:c r="P419" s="63" t="str">
        <x:f>IF(M419=0,"—",M419&amp;"d"&amp;N419&amp;IF(O419=0,""," + "&amp;O419))</x:f>
        <x:v>2d8 + 28</x:v>
      </x:c>
      <x:c r="Q419" t="n">
        <x:f>ROUND(INDEX(Catalogue!E$4:E$85,MATCH(A419,Catalogue!A$4:A$85,0))*(1+'Paramètres'!$B$4*(C419-1)+'Paramètres'!$B$5*(C419-1)^2),0)</x:f>
        <x:v>31</x:v>
      </x:c>
      <x:c r="R419" t="n">
        <x:f>ROUND(INDEX(Catalogue!F$4:F$85,MATCH(A419,Catalogue!A$4:A$85,0))*(1+'Paramètres'!$B$4*(C419-1)+'Paramètres'!$B$5*(C419-1)^2),0)</x:f>
        <x:v>44</x:v>
      </x:c>
      <x:c r="S419" t="n">
        <x:f>L419-AVERAGE(Q419:R419)</x:f>
        <x:v>-0.5</x:v>
      </x:c>
      <x:c r="T419" t="str">
        <x:f>IF(M419=0,IF(AND(N419=0,O419=0,E419=0,F419=0),"OK","ERREUR"),IF(AND(M419&gt;=1,M419&lt;=32,OR(N419=4,N419=6,N419=8,N419=10,N419=12,N419=20),O419&gt;=0,E419=M419+O419,F419=M419*N419+O419),"OK","ERREUR"))</x:f>
        <x:v>OK</x:v>
      </x:c>
      <x:c r="U419" s="86" t="n">
        <x:f>IF(M419&gt;0,M419*(N419+1)/2+O419,0)</x:f>
        <x:v>37</x:v>
      </x:c>
      <x:c r="V419" t="str">
        <x:f>IF(ABS(L419-U419)&lt;0.001,"OK","ERREUR")</x:f>
        <x:v>OK</x:v>
      </x:c>
    </x:row>
    <x:row r="420" ht="18" customHeight="1">
      <x:c r="A420" t="str">
        <x:v>ARM021</x:v>
      </x:c>
      <x:c r="B420" t="str">
        <x:v>Masse à ailettes</x:v>
      </x:c>
      <x:c r="C420" t="n">
        <x:v>17</x:v>
      </x:c>
      <x:c r="D420" t="str">
        <x:v>Une main</x:v>
      </x:c>
      <x:c r="E420" s="28" t="n">
        <x:f>IF(M420=0,0,M420+O420)</x:f>
        <x:v>34</x:v>
      </x:c>
      <x:c r="F420" s="28" t="n">
        <x:f>IF(M420=0,0,M420*N420+O420)</x:f>
        <x:v>48</x:v>
      </x:c>
      <x:c r="G420" s="28" t="n">
        <x:f>ROUND(Catalogue!G24*SQRT((1+'Paramètres'!$B$4*(C420-1)+'Paramètres'!$B$5*(C420-1)^2)),0)</x:f>
        <x:v>0</x:v>
      </x:c>
      <x:c r="H420" s="28" t="n">
        <x:f>ROUND(Catalogue!H24*SQRT((1+'Paramètres'!$B$4*(C420-1)+'Paramètres'!$B$5*(C420-1)^2)),0)</x:f>
        <x:v>0</x:v>
      </x:c>
      <x:c r="I420" s="28" t="n">
        <x:v>2</x:v>
      </x:c>
      <x:c r="J420" s="28" t="n">
        <x:v>1</x:v>
      </x:c>
      <x:c r="K420" s="30" t="n">
        <x:v>2</x:v>
      </x:c>
      <x:c r="L420" s="54" t="n">
        <x:f>IF(M420=0,0,(E420+F420)/2)</x:f>
        <x:v>41</x:v>
      </x:c>
      <x:c r="M420" t="n">
        <x:v>2</x:v>
      </x:c>
      <x:c r="N420" t="n">
        <x:v>8</x:v>
      </x:c>
      <x:c r="O420" t="n">
        <x:v>32</x:v>
      </x:c>
      <x:c r="P420" s="63" t="str">
        <x:f>IF(M420=0,"—",M420&amp;"d"&amp;N420&amp;IF(O420=0,""," + "&amp;O420))</x:f>
        <x:v>2d8 + 32</x:v>
      </x:c>
      <x:c r="Q420" t="n">
        <x:f>ROUND(INDEX(Catalogue!E$4:E$85,MATCH(A420,Catalogue!A$4:A$85,0))*(1+'Paramètres'!$B$4*(C420-1)+'Paramètres'!$B$5*(C420-1)^2),0)</x:f>
        <x:v>34</x:v>
      </x:c>
      <x:c r="R420" t="n">
        <x:f>ROUND(INDEX(Catalogue!F$4:F$85,MATCH(A420,Catalogue!A$4:A$85,0))*(1+'Paramètres'!$B$4*(C420-1)+'Paramètres'!$B$5*(C420-1)^2),0)</x:f>
        <x:v>48</x:v>
      </x:c>
      <x:c r="S420" t="n">
        <x:f>L420-AVERAGE(Q420:R420)</x:f>
        <x:v>0</x:v>
      </x:c>
      <x:c r="T420" t="str">
        <x:f>IF(M420=0,IF(AND(N420=0,O420=0,E420=0,F420=0),"OK","ERREUR"),IF(AND(M420&gt;=1,M420&lt;=32,OR(N420=4,N420=6,N420=8,N420=10,N420=12,N420=20),O420&gt;=0,E420=M420+O420,F420=M420*N420+O420),"OK","ERREUR"))</x:f>
        <x:v>OK</x:v>
      </x:c>
      <x:c r="U420" s="86" t="n">
        <x:f>IF(M420&gt;0,M420*(N420+1)/2+O420,0)</x:f>
        <x:v>41</x:v>
      </x:c>
      <x:c r="V420" t="str">
        <x:f>IF(ABS(L420-U420)&lt;0.001,"OK","ERREUR")</x:f>
        <x:v>OK</x:v>
      </x:c>
    </x:row>
    <x:row r="421" ht="18" customHeight="1">
      <x:c r="A421" t="str">
        <x:v>ARM021</x:v>
      </x:c>
      <x:c r="B421" t="str">
        <x:v>Masse à ailettes</x:v>
      </x:c>
      <x:c r="C421" t="n">
        <x:v>18</x:v>
      </x:c>
      <x:c r="D421" t="str">
        <x:v>Une main</x:v>
      </x:c>
      <x:c r="E421" s="28" t="n">
        <x:f>IF(M421=0,0,M421+O421)</x:f>
        <x:v>37</x:v>
      </x:c>
      <x:c r="F421" s="28" t="n">
        <x:f>IF(M421=0,0,M421*N421+O421)</x:f>
        <x:v>52</x:v>
      </x:c>
      <x:c r="G421" s="28" t="n">
        <x:f>ROUND(Catalogue!G24*SQRT((1+'Paramètres'!$B$4*(C421-1)+'Paramètres'!$B$5*(C421-1)^2)),0)</x:f>
        <x:v>0</x:v>
      </x:c>
      <x:c r="H421" s="28" t="n">
        <x:f>ROUND(Catalogue!H24*SQRT((1+'Paramètres'!$B$4*(C421-1)+'Paramètres'!$B$5*(C421-1)^2)),0)</x:f>
        <x:v>0</x:v>
      </x:c>
      <x:c r="I421" s="28" t="n">
        <x:v>2</x:v>
      </x:c>
      <x:c r="J421" s="28" t="n">
        <x:v>1</x:v>
      </x:c>
      <x:c r="K421" s="30" t="n">
        <x:v>2</x:v>
      </x:c>
      <x:c r="L421" s="54" t="n">
        <x:f>IF(M421=0,0,(E421+F421)/2)</x:f>
        <x:v>44.5</x:v>
      </x:c>
      <x:c r="M421" t="n">
        <x:v>3</x:v>
      </x:c>
      <x:c r="N421" t="n">
        <x:v>6</x:v>
      </x:c>
      <x:c r="O421" t="n">
        <x:v>34</x:v>
      </x:c>
      <x:c r="P421" s="63" t="str">
        <x:f>IF(M421=0,"—",M421&amp;"d"&amp;N421&amp;IF(O421=0,""," + "&amp;O421))</x:f>
        <x:v>3d6 + 34</x:v>
      </x:c>
      <x:c r="Q421" t="n">
        <x:f>ROUND(INDEX(Catalogue!E$4:E$85,MATCH(A421,Catalogue!A$4:A$85,0))*(1+'Paramètres'!$B$4*(C421-1)+'Paramètres'!$B$5*(C421-1)^2),0)</x:f>
        <x:v>37</x:v>
      </x:c>
      <x:c r="R421" t="n">
        <x:f>ROUND(INDEX(Catalogue!F$4:F$85,MATCH(A421,Catalogue!A$4:A$85,0))*(1+'Paramètres'!$B$4*(C421-1)+'Paramètres'!$B$5*(C421-1)^2),0)</x:f>
        <x:v>52</x:v>
      </x:c>
      <x:c r="S421" t="n">
        <x:f>L421-AVERAGE(Q421:R421)</x:f>
        <x:v>0</x:v>
      </x:c>
      <x:c r="T421" t="str">
        <x:f>IF(M421=0,IF(AND(N421=0,O421=0,E421=0,F421=0),"OK","ERREUR"),IF(AND(M421&gt;=1,M421&lt;=32,OR(N421=4,N421=6,N421=8,N421=10,N421=12,N421=20),O421&gt;=0,E421=M421+O421,F421=M421*N421+O421),"OK","ERREUR"))</x:f>
        <x:v>OK</x:v>
      </x:c>
      <x:c r="U421" s="86" t="n">
        <x:f>IF(M421&gt;0,M421*(N421+1)/2+O421,0)</x:f>
        <x:v>44.5</x:v>
      </x:c>
      <x:c r="V421" t="str">
        <x:f>IF(ABS(L421-U421)&lt;0.001,"OK","ERREUR")</x:f>
        <x:v>OK</x:v>
      </x:c>
    </x:row>
    <x:row r="422" ht="18" customHeight="1">
      <x:c r="A422" t="str">
        <x:v>ARM021</x:v>
      </x:c>
      <x:c r="B422" t="str">
        <x:v>Masse à ailettes</x:v>
      </x:c>
      <x:c r="C422" t="n">
        <x:v>19</x:v>
      </x:c>
      <x:c r="D422" t="str">
        <x:v>Une main</x:v>
      </x:c>
      <x:c r="E422" s="28" t="n">
        <x:f>IF(M422=0,0,M422+O422)</x:f>
        <x:v>41</x:v>
      </x:c>
      <x:c r="F422" s="28" t="n">
        <x:f>IF(M422=0,0,M422*N422+O422)</x:f>
        <x:v>56</x:v>
      </x:c>
      <x:c r="G422" s="28" t="n">
        <x:f>ROUND(Catalogue!G24*SQRT((1+'Paramètres'!$B$4*(C422-1)+'Paramètres'!$B$5*(C422-1)^2)),0)</x:f>
        <x:v>0</x:v>
      </x:c>
      <x:c r="H422" s="28" t="n">
        <x:f>ROUND(Catalogue!H24*SQRT((1+'Paramètres'!$B$4*(C422-1)+'Paramètres'!$B$5*(C422-1)^2)),0)</x:f>
        <x:v>0</x:v>
      </x:c>
      <x:c r="I422" s="28" t="n">
        <x:v>2</x:v>
      </x:c>
      <x:c r="J422" s="28" t="n">
        <x:v>1</x:v>
      </x:c>
      <x:c r="K422" s="30" t="n">
        <x:v>2</x:v>
      </x:c>
      <x:c r="L422" s="54" t="n">
        <x:f>IF(M422=0,0,(E422+F422)/2)</x:f>
        <x:v>48.5</x:v>
      </x:c>
      <x:c r="M422" t="n">
        <x:v>3</x:v>
      </x:c>
      <x:c r="N422" t="n">
        <x:v>6</x:v>
      </x:c>
      <x:c r="O422" t="n">
        <x:v>38</x:v>
      </x:c>
      <x:c r="P422" s="63" t="str">
        <x:f>IF(M422=0,"—",M422&amp;"d"&amp;N422&amp;IF(O422=0,""," + "&amp;O422))</x:f>
        <x:v>3d6 + 38</x:v>
      </x:c>
      <x:c r="Q422" t="n">
        <x:f>ROUND(INDEX(Catalogue!E$4:E$85,MATCH(A422,Catalogue!A$4:A$85,0))*(1+'Paramètres'!$B$4*(C422-1)+'Paramètres'!$B$5*(C422-1)^2),0)</x:f>
        <x:v>41</x:v>
      </x:c>
      <x:c r="R422" t="n">
        <x:f>ROUND(INDEX(Catalogue!F$4:F$85,MATCH(A422,Catalogue!A$4:A$85,0))*(1+'Paramètres'!$B$4*(C422-1)+'Paramètres'!$B$5*(C422-1)^2),0)</x:f>
        <x:v>57</x:v>
      </x:c>
      <x:c r="S422" t="n">
        <x:f>L422-AVERAGE(Q422:R422)</x:f>
        <x:v>-0.5</x:v>
      </x:c>
      <x:c r="T422" t="str">
        <x:f>IF(M422=0,IF(AND(N422=0,O422=0,E422=0,F422=0),"OK","ERREUR"),IF(AND(M422&gt;=1,M422&lt;=32,OR(N422=4,N422=6,N422=8,N422=10,N422=12,N422=20),O422&gt;=0,E422=M422+O422,F422=M422*N422+O422),"OK","ERREUR"))</x:f>
        <x:v>OK</x:v>
      </x:c>
      <x:c r="U422" s="86" t="n">
        <x:f>IF(M422&gt;0,M422*(N422+1)/2+O422,0)</x:f>
        <x:v>48.5</x:v>
      </x:c>
      <x:c r="V422" t="str">
        <x:f>IF(ABS(L422-U422)&lt;0.001,"OK","ERREUR")</x:f>
        <x:v>OK</x:v>
      </x:c>
    </x:row>
    <x:row r="423" ht="18" customHeight="1">
      <x:c r="A423" t="str">
        <x:v>ARM021</x:v>
      </x:c>
      <x:c r="B423" t="str">
        <x:v>Masse à ailettes</x:v>
      </x:c>
      <x:c r="C423" t="n">
        <x:v>20</x:v>
      </x:c>
      <x:c r="D423" t="str">
        <x:v>Une main</x:v>
      </x:c>
      <x:c r="E423" s="28" t="n">
        <x:f>IF(M423=0,0,M423+O423)</x:f>
        <x:v>44</x:v>
      </x:c>
      <x:c r="F423" s="28" t="n">
        <x:f>IF(M423=0,0,M423*N423+O423)</x:f>
        <x:v>62</x:v>
      </x:c>
      <x:c r="G423" s="28" t="n">
        <x:f>ROUND(Catalogue!G24*SQRT((1+'Paramètres'!$B$4*(C423-1)+'Paramètres'!$B$5*(C423-1)^2)),0)</x:f>
        <x:v>0</x:v>
      </x:c>
      <x:c r="H423" s="28" t="n">
        <x:f>ROUND(Catalogue!H24*SQRT((1+'Paramètres'!$B$4*(C423-1)+'Paramètres'!$B$5*(C423-1)^2)),0)</x:f>
        <x:v>0</x:v>
      </x:c>
      <x:c r="I423" s="28" t="n">
        <x:v>2</x:v>
      </x:c>
      <x:c r="J423" s="28" t="n">
        <x:v>1</x:v>
      </x:c>
      <x:c r="K423" s="30" t="n">
        <x:v>2</x:v>
      </x:c>
      <x:c r="L423" s="54" t="n">
        <x:f>IF(M423=0,0,(E423+F423)/2)</x:f>
        <x:v>53</x:v>
      </x:c>
      <x:c r="M423" t="n">
        <x:v>2</x:v>
      </x:c>
      <x:c r="N423" t="n">
        <x:v>10</x:v>
      </x:c>
      <x:c r="O423" t="n">
        <x:v>42</x:v>
      </x:c>
      <x:c r="P423" s="63" t="str">
        <x:f>IF(M423=0,"—",M423&amp;"d"&amp;N423&amp;IF(O423=0,""," + "&amp;O423))</x:f>
        <x:v>2d10 + 42</x:v>
      </x:c>
      <x:c r="Q423" t="n">
        <x:f>ROUND(INDEX(Catalogue!E$4:E$85,MATCH(A423,Catalogue!A$4:A$85,0))*(1+'Paramètres'!$B$4*(C423-1)+'Paramètres'!$B$5*(C423-1)^2),0)</x:f>
        <x:v>44</x:v>
      </x:c>
      <x:c r="R423" t="n">
        <x:f>ROUND(INDEX(Catalogue!F$4:F$85,MATCH(A423,Catalogue!A$4:A$85,0))*(1+'Paramètres'!$B$4*(C423-1)+'Paramètres'!$B$5*(C423-1)^2),0)</x:f>
        <x:v>62</x:v>
      </x:c>
      <x:c r="S423" t="n">
        <x:f>L423-AVERAGE(Q423:R423)</x:f>
        <x:v>0</x:v>
      </x:c>
      <x:c r="T423" t="str">
        <x:f>IF(M423=0,IF(AND(N423=0,O423=0,E423=0,F423=0),"OK","ERREUR"),IF(AND(M423&gt;=1,M423&lt;=32,OR(N423=4,N423=6,N423=8,N423=10,N423=12,N423=20),O423&gt;=0,E423=M423+O423,F423=M423*N423+O423),"OK","ERREUR"))</x:f>
        <x:v>OK</x:v>
      </x:c>
      <x:c r="U423" s="86" t="n">
        <x:f>IF(M423&gt;0,M423*(N423+1)/2+O423,0)</x:f>
        <x:v>53</x:v>
      </x:c>
      <x:c r="V423" t="str">
        <x:f>IF(ABS(L423-U423)&lt;0.001,"OK","ERREUR")</x:f>
        <x:v>OK</x:v>
      </x:c>
    </x:row>
    <x:row r="424" ht="18" customHeight="1">
      <x:c r="A424" t="str">
        <x:v>ARM022</x:v>
      </x:c>
      <x:c r="B424" t="str">
        <x:v>Marteau de guerre</x:v>
      </x:c>
      <x:c r="C424" t="n">
        <x:v>1</x:v>
      </x:c>
      <x:c r="D424" t="str">
        <x:v>Une main</x:v>
      </x:c>
      <x:c r="E424" s="28" t="n">
        <x:f>IF(M424=0,0,M424+O424)</x:f>
        <x:v>5</x:v>
      </x:c>
      <x:c r="F424" s="28" t="n">
        <x:f>IF(M424=0,0,M424*N424+O424)</x:f>
        <x:v>8</x:v>
      </x:c>
      <x:c r="G424" s="28" t="n">
        <x:f>ROUND(Catalogue!G25*SQRT((1+'Paramètres'!$B$4*(C424-1)+'Paramètres'!$B$5*(C424-1)^2)),0)</x:f>
        <x:v>0</x:v>
      </x:c>
      <x:c r="H424" s="28" t="n">
        <x:f>ROUND(Catalogue!H25*SQRT((1+'Paramètres'!$B$4*(C424-1)+'Paramètres'!$B$5*(C424-1)^2)),0)</x:f>
        <x:v>0</x:v>
      </x:c>
      <x:c r="I424" s="28" t="n">
        <x:v>2</x:v>
      </x:c>
      <x:c r="J424" s="28" t="n">
        <x:v>1</x:v>
      </x:c>
      <x:c r="K424" s="30" t="n">
        <x:v>2.2</x:v>
      </x:c>
      <x:c r="L424" s="54" t="n">
        <x:f>IF(M424=0,0,(E424+F424)/2)</x:f>
        <x:v>6.5</x:v>
      </x:c>
      <x:c r="M424" t="n">
        <x:v>1</x:v>
      </x:c>
      <x:c r="N424" t="n">
        <x:v>4</x:v>
      </x:c>
      <x:c r="O424" t="n">
        <x:v>4</x:v>
      </x:c>
      <x:c r="P424" s="63" t="str">
        <x:f>IF(M424=0,"—",M424&amp;"d"&amp;N424&amp;IF(O424=0,""," + "&amp;O424))</x:f>
        <x:v>1d4 + 4</x:v>
      </x:c>
      <x:c r="Q424" t="n">
        <x:f>ROUND(INDEX(Catalogue!E$4:E$85,MATCH(A424,Catalogue!A$4:A$85,0))*(1+'Paramètres'!$B$4*(C424-1)+'Paramètres'!$B$5*(C424-1)^2),0)</x:f>
        <x:v>5</x:v>
      </x:c>
      <x:c r="R424" t="n">
        <x:f>ROUND(INDEX(Catalogue!F$4:F$85,MATCH(A424,Catalogue!A$4:A$85,0))*(1+'Paramètres'!$B$4*(C424-1)+'Paramètres'!$B$5*(C424-1)^2),0)</x:f>
        <x:v>8</x:v>
      </x:c>
      <x:c r="S424" t="n">
        <x:f>L424-AVERAGE(Q424:R424)</x:f>
        <x:v>0</x:v>
      </x:c>
      <x:c r="T424" t="str">
        <x:f>IF(M424=0,IF(AND(N424=0,O424=0,E424=0,F424=0),"OK","ERREUR"),IF(AND(M424&gt;=1,M424&lt;=32,OR(N424=4,N424=6,N424=8,N424=10,N424=12,N424=20),O424&gt;=0,E424=M424+O424,F424=M424*N424+O424),"OK","ERREUR"))</x:f>
        <x:v>OK</x:v>
      </x:c>
      <x:c r="U424" s="86" t="n">
        <x:f>IF(M424&gt;0,M424*(N424+1)/2+O424,0)</x:f>
        <x:v>6.5</x:v>
      </x:c>
      <x:c r="V424" t="str">
        <x:f>IF(ABS(L424-U424)&lt;0.001,"OK","ERREUR")</x:f>
        <x:v>OK</x:v>
      </x:c>
    </x:row>
    <x:row r="425" ht="18" customHeight="1">
      <x:c r="A425" t="str">
        <x:v>ARM022</x:v>
      </x:c>
      <x:c r="B425" t="str">
        <x:v>Marteau de guerre</x:v>
      </x:c>
      <x:c r="C425" t="n">
        <x:v>2</x:v>
      </x:c>
      <x:c r="D425" t="str">
        <x:v>Une main</x:v>
      </x:c>
      <x:c r="E425" s="28" t="n">
        <x:f>IF(M425=0,0,M425+O425)</x:f>
        <x:v>6</x:v>
      </x:c>
      <x:c r="F425" s="28" t="n">
        <x:f>IF(M425=0,0,M425*N425+O425)</x:f>
        <x:v>9</x:v>
      </x:c>
      <x:c r="G425" s="28" t="n">
        <x:f>ROUND(Catalogue!G25*SQRT((1+'Paramètres'!$B$4*(C425-1)+'Paramètres'!$B$5*(C425-1)^2)),0)</x:f>
        <x:v>0</x:v>
      </x:c>
      <x:c r="H425" s="28" t="n">
        <x:f>ROUND(Catalogue!H25*SQRT((1+'Paramètres'!$B$4*(C425-1)+'Paramètres'!$B$5*(C425-1)^2)),0)</x:f>
        <x:v>0</x:v>
      </x:c>
      <x:c r="I425" s="28" t="n">
        <x:v>2</x:v>
      </x:c>
      <x:c r="J425" s="28" t="n">
        <x:v>1</x:v>
      </x:c>
      <x:c r="K425" s="30" t="n">
        <x:v>2.2</x:v>
      </x:c>
      <x:c r="L425" s="54" t="n">
        <x:f>IF(M425=0,0,(E425+F425)/2)</x:f>
        <x:v>7.5</x:v>
      </x:c>
      <x:c r="M425" t="n">
        <x:v>1</x:v>
      </x:c>
      <x:c r="N425" t="n">
        <x:v>4</x:v>
      </x:c>
      <x:c r="O425" t="n">
        <x:v>5</x:v>
      </x:c>
      <x:c r="P425" s="63" t="str">
        <x:f>IF(M425=0,"—",M425&amp;"d"&amp;N425&amp;IF(O425=0,""," + "&amp;O425))</x:f>
        <x:v>1d4 + 5</x:v>
      </x:c>
      <x:c r="Q425" t="n">
        <x:f>ROUND(INDEX(Catalogue!E$4:E$85,MATCH(A425,Catalogue!A$4:A$85,0))*(1+'Paramètres'!$B$4*(C425-1)+'Paramètres'!$B$5*(C425-1)^2),0)</x:f>
        <x:v>6</x:v>
      </x:c>
      <x:c r="R425" t="n">
        <x:f>ROUND(INDEX(Catalogue!F$4:F$85,MATCH(A425,Catalogue!A$4:A$85,0))*(1+'Paramètres'!$B$4*(C425-1)+'Paramètres'!$B$5*(C425-1)^2),0)</x:f>
        <x:v>9</x:v>
      </x:c>
      <x:c r="S425" t="n">
        <x:f>L425-AVERAGE(Q425:R425)</x:f>
        <x:v>0</x:v>
      </x:c>
      <x:c r="T425" t="str">
        <x:f>IF(M425=0,IF(AND(N425=0,O425=0,E425=0,F425=0),"OK","ERREUR"),IF(AND(M425&gt;=1,M425&lt;=32,OR(N425=4,N425=6,N425=8,N425=10,N425=12,N425=20),O425&gt;=0,E425=M425+O425,F425=M425*N425+O425),"OK","ERREUR"))</x:f>
        <x:v>OK</x:v>
      </x:c>
      <x:c r="U425" s="86" t="n">
        <x:f>IF(M425&gt;0,M425*(N425+1)/2+O425,0)</x:f>
        <x:v>7.5</x:v>
      </x:c>
      <x:c r="V425" t="str">
        <x:f>IF(ABS(L425-U425)&lt;0.001,"OK","ERREUR")</x:f>
        <x:v>OK</x:v>
      </x:c>
    </x:row>
    <x:row r="426" ht="18" customHeight="1">
      <x:c r="A426" t="str">
        <x:v>ARM022</x:v>
      </x:c>
      <x:c r="B426" t="str">
        <x:v>Marteau de guerre</x:v>
      </x:c>
      <x:c r="C426" t="n">
        <x:v>3</x:v>
      </x:c>
      <x:c r="D426" t="str">
        <x:v>Une main</x:v>
      </x:c>
      <x:c r="E426" s="28" t="n">
        <x:f>IF(M426=0,0,M426+O426)</x:f>
        <x:v>6</x:v>
      </x:c>
      <x:c r="F426" s="28" t="n">
        <x:f>IF(M426=0,0,M426*N426+O426)</x:f>
        <x:v>9</x:v>
      </x:c>
      <x:c r="G426" s="28" t="n">
        <x:f>ROUND(Catalogue!G25*SQRT((1+'Paramètres'!$B$4*(C426-1)+'Paramètres'!$B$5*(C426-1)^2)),0)</x:f>
        <x:v>0</x:v>
      </x:c>
      <x:c r="H426" s="28" t="n">
        <x:f>ROUND(Catalogue!H25*SQRT((1+'Paramètres'!$B$4*(C426-1)+'Paramètres'!$B$5*(C426-1)^2)),0)</x:f>
        <x:v>0</x:v>
      </x:c>
      <x:c r="I426" s="28" t="n">
        <x:v>2</x:v>
      </x:c>
      <x:c r="J426" s="28" t="n">
        <x:v>1</x:v>
      </x:c>
      <x:c r="K426" s="30" t="n">
        <x:v>2.2</x:v>
      </x:c>
      <x:c r="L426" s="54" t="n">
        <x:f>IF(M426=0,0,(E426+F426)/2)</x:f>
        <x:v>7.5</x:v>
      </x:c>
      <x:c r="M426" t="n">
        <x:v>1</x:v>
      </x:c>
      <x:c r="N426" t="n">
        <x:v>4</x:v>
      </x:c>
      <x:c r="O426" t="n">
        <x:v>5</x:v>
      </x:c>
      <x:c r="P426" s="63" t="str">
        <x:f>IF(M426=0,"—",M426&amp;"d"&amp;N426&amp;IF(O426=0,""," + "&amp;O426))</x:f>
        <x:v>1d4 + 5</x:v>
      </x:c>
      <x:c r="Q426" t="n">
        <x:f>ROUND(INDEX(Catalogue!E$4:E$85,MATCH(A426,Catalogue!A$4:A$85,0))*(1+'Paramètres'!$B$4*(C426-1)+'Paramètres'!$B$5*(C426-1)^2),0)</x:f>
        <x:v>6</x:v>
      </x:c>
      <x:c r="R426" t="n">
        <x:f>ROUND(INDEX(Catalogue!F$4:F$85,MATCH(A426,Catalogue!A$4:A$85,0))*(1+'Paramètres'!$B$4*(C426-1)+'Paramètres'!$B$5*(C426-1)^2),0)</x:f>
        <x:v>10</x:v>
      </x:c>
      <x:c r="S426" t="n">
        <x:f>L426-AVERAGE(Q426:R426)</x:f>
        <x:v>-0.5</x:v>
      </x:c>
      <x:c r="T426" t="str">
        <x:f>IF(M426=0,IF(AND(N426=0,O426=0,E426=0,F426=0),"OK","ERREUR"),IF(AND(M426&gt;=1,M426&lt;=32,OR(N426=4,N426=6,N426=8,N426=10,N426=12,N426=20),O426&gt;=0,E426=M426+O426,F426=M426*N426+O426),"OK","ERREUR"))</x:f>
        <x:v>OK</x:v>
      </x:c>
      <x:c r="U426" s="86" t="n">
        <x:f>IF(M426&gt;0,M426*(N426+1)/2+O426,0)</x:f>
        <x:v>7.5</x:v>
      </x:c>
      <x:c r="V426" t="str">
        <x:f>IF(ABS(L426-U426)&lt;0.001,"OK","ERREUR")</x:f>
        <x:v>OK</x:v>
      </x:c>
    </x:row>
    <x:row r="427" ht="18" customHeight="1">
      <x:c r="A427" t="str">
        <x:v>ARM022</x:v>
      </x:c>
      <x:c r="B427" t="str">
        <x:v>Marteau de guerre</x:v>
      </x:c>
      <x:c r="C427" t="n">
        <x:v>4</x:v>
      </x:c>
      <x:c r="D427" t="str">
        <x:v>Une main</x:v>
      </x:c>
      <x:c r="E427" s="28" t="n">
        <x:f>IF(M427=0,0,M427+O427)</x:f>
        <x:v>7</x:v>
      </x:c>
      <x:c r="F427" s="28" t="n">
        <x:f>IF(M427=0,0,M427*N427+O427)</x:f>
        <x:v>12</x:v>
      </x:c>
      <x:c r="G427" s="28" t="n">
        <x:f>ROUND(Catalogue!G25*SQRT((1+'Paramètres'!$B$4*(C427-1)+'Paramètres'!$B$5*(C427-1)^2)),0)</x:f>
        <x:v>0</x:v>
      </x:c>
      <x:c r="H427" s="28" t="n">
        <x:f>ROUND(Catalogue!H25*SQRT((1+'Paramètres'!$B$4*(C427-1)+'Paramètres'!$B$5*(C427-1)^2)),0)</x:f>
        <x:v>0</x:v>
      </x:c>
      <x:c r="I427" s="28" t="n">
        <x:v>2</x:v>
      </x:c>
      <x:c r="J427" s="28" t="n">
        <x:v>1</x:v>
      </x:c>
      <x:c r="K427" s="30" t="n">
        <x:v>2.2</x:v>
      </x:c>
      <x:c r="L427" s="54" t="n">
        <x:f>IF(M427=0,0,(E427+F427)/2)</x:f>
        <x:v>9.5</x:v>
      </x:c>
      <x:c r="M427" t="n">
        <x:v>1</x:v>
      </x:c>
      <x:c r="N427" t="n">
        <x:v>6</x:v>
      </x:c>
      <x:c r="O427" t="n">
        <x:v>6</x:v>
      </x:c>
      <x:c r="P427" s="63" t="str">
        <x:f>IF(M427=0,"—",M427&amp;"d"&amp;N427&amp;IF(O427=0,""," + "&amp;O427))</x:f>
        <x:v>1d6 + 6</x:v>
      </x:c>
      <x:c r="Q427" t="n">
        <x:f>ROUND(INDEX(Catalogue!E$4:E$85,MATCH(A427,Catalogue!A$4:A$85,0))*(1+'Paramètres'!$B$4*(C427-1)+'Paramètres'!$B$5*(C427-1)^2),0)</x:f>
        <x:v>7</x:v>
      </x:c>
      <x:c r="R427" t="n">
        <x:f>ROUND(INDEX(Catalogue!F$4:F$85,MATCH(A427,Catalogue!A$4:A$85,0))*(1+'Paramètres'!$B$4*(C427-1)+'Paramètres'!$B$5*(C427-1)^2),0)</x:f>
        <x:v>12</x:v>
      </x:c>
      <x:c r="S427" t="n">
        <x:f>L427-AVERAGE(Q427:R427)</x:f>
        <x:v>0</x:v>
      </x:c>
      <x:c r="T427" t="str">
        <x:f>IF(M427=0,IF(AND(N427=0,O427=0,E427=0,F427=0),"OK","ERREUR"),IF(AND(M427&gt;=1,M427&lt;=32,OR(N427=4,N427=6,N427=8,N427=10,N427=12,N427=20),O427&gt;=0,E427=M427+O427,F427=M427*N427+O427),"OK","ERREUR"))</x:f>
        <x:v>OK</x:v>
      </x:c>
      <x:c r="U427" s="86" t="n">
        <x:f>IF(M427&gt;0,M427*(N427+1)/2+O427,0)</x:f>
        <x:v>9.5</x:v>
      </x:c>
      <x:c r="V427" t="str">
        <x:f>IF(ABS(L427-U427)&lt;0.001,"OK","ERREUR")</x:f>
        <x:v>OK</x:v>
      </x:c>
    </x:row>
    <x:row r="428" ht="18" customHeight="1">
      <x:c r="A428" t="str">
        <x:v>ARM022</x:v>
      </x:c>
      <x:c r="B428" t="str">
        <x:v>Marteau de guerre</x:v>
      </x:c>
      <x:c r="C428" t="n">
        <x:v>5</x:v>
      </x:c>
      <x:c r="D428" t="str">
        <x:v>Une main</x:v>
      </x:c>
      <x:c r="E428" s="28" t="n">
        <x:f>IF(M428=0,0,M428+O428)</x:f>
        <x:v>8</x:v>
      </x:c>
      <x:c r="F428" s="28" t="n">
        <x:f>IF(M428=0,0,M428*N428+O428)</x:f>
        <x:v>14</x:v>
      </x:c>
      <x:c r="G428" s="28" t="n">
        <x:f>ROUND(Catalogue!G25*SQRT((1+'Paramètres'!$B$4*(C428-1)+'Paramètres'!$B$5*(C428-1)^2)),0)</x:f>
        <x:v>0</x:v>
      </x:c>
      <x:c r="H428" s="28" t="n">
        <x:f>ROUND(Catalogue!H25*SQRT((1+'Paramètres'!$B$4*(C428-1)+'Paramètres'!$B$5*(C428-1)^2)),0)</x:f>
        <x:v>0</x:v>
      </x:c>
      <x:c r="I428" s="28" t="n">
        <x:v>2</x:v>
      </x:c>
      <x:c r="J428" s="28" t="n">
        <x:v>1</x:v>
      </x:c>
      <x:c r="K428" s="30" t="n">
        <x:v>2.2</x:v>
      </x:c>
      <x:c r="L428" s="54" t="n">
        <x:f>IF(M428=0,0,(E428+F428)/2)</x:f>
        <x:v>11</x:v>
      </x:c>
      <x:c r="M428" t="n">
        <x:v>2</x:v>
      </x:c>
      <x:c r="N428" t="n">
        <x:v>4</x:v>
      </x:c>
      <x:c r="O428" t="n">
        <x:v>6</x:v>
      </x:c>
      <x:c r="P428" s="63" t="str">
        <x:f>IF(M428=0,"—",M428&amp;"d"&amp;N428&amp;IF(O428=0,""," + "&amp;O428))</x:f>
        <x:v>2d4 + 6</x:v>
      </x:c>
      <x:c r="Q428" t="n">
        <x:f>ROUND(INDEX(Catalogue!E$4:E$85,MATCH(A428,Catalogue!A$4:A$85,0))*(1+'Paramètres'!$B$4*(C428-1)+'Paramètres'!$B$5*(C428-1)^2),0)</x:f>
        <x:v>8</x:v>
      </x:c>
      <x:c r="R428" t="n">
        <x:f>ROUND(INDEX(Catalogue!F$4:F$85,MATCH(A428,Catalogue!A$4:A$85,0))*(1+'Paramètres'!$B$4*(C428-1)+'Paramètres'!$B$5*(C428-1)^2),0)</x:f>
        <x:v>14</x:v>
      </x:c>
      <x:c r="S428" t="n">
        <x:f>L428-AVERAGE(Q428:R428)</x:f>
        <x:v>0</x:v>
      </x:c>
      <x:c r="T428" t="str">
        <x:f>IF(M428=0,IF(AND(N428=0,O428=0,E428=0,F428=0),"OK","ERREUR"),IF(AND(M428&gt;=1,M428&lt;=32,OR(N428=4,N428=6,N428=8,N428=10,N428=12,N428=20),O428&gt;=0,E428=M428+O428,F428=M428*N428+O428),"OK","ERREUR"))</x:f>
        <x:v>OK</x:v>
      </x:c>
      <x:c r="U428" s="86" t="n">
        <x:f>IF(M428&gt;0,M428*(N428+1)/2+O428,0)</x:f>
        <x:v>11</x:v>
      </x:c>
      <x:c r="V428" t="str">
        <x:f>IF(ABS(L428-U428)&lt;0.001,"OK","ERREUR")</x:f>
        <x:v>OK</x:v>
      </x:c>
    </x:row>
    <x:row r="429" ht="18" customHeight="1">
      <x:c r="A429" t="str">
        <x:v>ARM022</x:v>
      </x:c>
      <x:c r="B429" t="str">
        <x:v>Marteau de guerre</x:v>
      </x:c>
      <x:c r="C429" t="n">
        <x:v>6</x:v>
      </x:c>
      <x:c r="D429" t="str">
        <x:v>Une main</x:v>
      </x:c>
      <x:c r="E429" s="28" t="n">
        <x:f>IF(M429=0,0,M429+O429)</x:f>
        <x:v>10</x:v>
      </x:c>
      <x:c r="F429" s="28" t="n">
        <x:f>IF(M429=0,0,M429*N429+O429)</x:f>
        <x:v>16</x:v>
      </x:c>
      <x:c r="G429" s="28" t="n">
        <x:f>ROUND(Catalogue!G25*SQRT((1+'Paramètres'!$B$4*(C429-1)+'Paramètres'!$B$5*(C429-1)^2)),0)</x:f>
        <x:v>0</x:v>
      </x:c>
      <x:c r="H429" s="28" t="n">
        <x:f>ROUND(Catalogue!H25*SQRT((1+'Paramètres'!$B$4*(C429-1)+'Paramètres'!$B$5*(C429-1)^2)),0)</x:f>
        <x:v>0</x:v>
      </x:c>
      <x:c r="I429" s="28" t="n">
        <x:v>2</x:v>
      </x:c>
      <x:c r="J429" s="28" t="n">
        <x:v>1</x:v>
      </x:c>
      <x:c r="K429" s="30" t="n">
        <x:v>2.2</x:v>
      </x:c>
      <x:c r="L429" s="54" t="n">
        <x:f>IF(M429=0,0,(E429+F429)/2)</x:f>
        <x:v>13</x:v>
      </x:c>
      <x:c r="M429" t="n">
        <x:v>2</x:v>
      </x:c>
      <x:c r="N429" t="n">
        <x:v>4</x:v>
      </x:c>
      <x:c r="O429" t="n">
        <x:v>8</x:v>
      </x:c>
      <x:c r="P429" s="63" t="str">
        <x:f>IF(M429=0,"—",M429&amp;"d"&amp;N429&amp;IF(O429=0,""," + "&amp;O429))</x:f>
        <x:v>2d4 + 8</x:v>
      </x:c>
      <x:c r="Q429" t="n">
        <x:f>ROUND(INDEX(Catalogue!E$4:E$85,MATCH(A429,Catalogue!A$4:A$85,0))*(1+'Paramètres'!$B$4*(C429-1)+'Paramètres'!$B$5*(C429-1)^2),0)</x:f>
        <x:v>10</x:v>
      </x:c>
      <x:c r="R429" t="n">
        <x:f>ROUND(INDEX(Catalogue!F$4:F$85,MATCH(A429,Catalogue!A$4:A$85,0))*(1+'Paramètres'!$B$4*(C429-1)+'Paramètres'!$B$5*(C429-1)^2),0)</x:f>
        <x:v>16</x:v>
      </x:c>
      <x:c r="S429" t="n">
        <x:f>L429-AVERAGE(Q429:R429)</x:f>
        <x:v>0</x:v>
      </x:c>
      <x:c r="T429" t="str">
        <x:f>IF(M429=0,IF(AND(N429=0,O429=0,E429=0,F429=0),"OK","ERREUR"),IF(AND(M429&gt;=1,M429&lt;=32,OR(N429=4,N429=6,N429=8,N429=10,N429=12,N429=20),O429&gt;=0,E429=M429+O429,F429=M429*N429+O429),"OK","ERREUR"))</x:f>
        <x:v>OK</x:v>
      </x:c>
      <x:c r="U429" s="86" t="n">
        <x:f>IF(M429&gt;0,M429*(N429+1)/2+O429,0)</x:f>
        <x:v>13</x:v>
      </x:c>
      <x:c r="V429" t="str">
        <x:f>IF(ABS(L429-U429)&lt;0.001,"OK","ERREUR")</x:f>
        <x:v>OK</x:v>
      </x:c>
    </x:row>
    <x:row r="430" ht="18" customHeight="1">
      <x:c r="A430" t="str">
        <x:v>ARM022</x:v>
      </x:c>
      <x:c r="B430" t="str">
        <x:v>Marteau de guerre</x:v>
      </x:c>
      <x:c r="C430" t="n">
        <x:v>7</x:v>
      </x:c>
      <x:c r="D430" t="str">
        <x:v>Une main</x:v>
      </x:c>
      <x:c r="E430" s="28" t="n">
        <x:f>IF(M430=0,0,M430+O430)</x:f>
        <x:v>11</x:v>
      </x:c>
      <x:c r="F430" s="28" t="n">
        <x:f>IF(M430=0,0,M430*N430+O430)</x:f>
        <x:v>18</x:v>
      </x:c>
      <x:c r="G430" s="28" t="n">
        <x:f>ROUND(Catalogue!G25*SQRT((1+'Paramètres'!$B$4*(C430-1)+'Paramètres'!$B$5*(C430-1)^2)),0)</x:f>
        <x:v>0</x:v>
      </x:c>
      <x:c r="H430" s="28" t="n">
        <x:f>ROUND(Catalogue!H25*SQRT((1+'Paramètres'!$B$4*(C430-1)+'Paramètres'!$B$5*(C430-1)^2)),0)</x:f>
        <x:v>0</x:v>
      </x:c>
      <x:c r="I430" s="28" t="n">
        <x:v>2</x:v>
      </x:c>
      <x:c r="J430" s="28" t="n">
        <x:v>1</x:v>
      </x:c>
      <x:c r="K430" s="30" t="n">
        <x:v>2.2</x:v>
      </x:c>
      <x:c r="L430" s="54" t="n">
        <x:f>IF(M430=0,0,(E430+F430)/2)</x:f>
        <x:v>14.5</x:v>
      </x:c>
      <x:c r="M430" t="n">
        <x:v>1</x:v>
      </x:c>
      <x:c r="N430" t="n">
        <x:v>8</x:v>
      </x:c>
      <x:c r="O430" t="n">
        <x:v>10</x:v>
      </x:c>
      <x:c r="P430" s="63" t="str">
        <x:f>IF(M430=0,"—",M430&amp;"d"&amp;N430&amp;IF(O430=0,""," + "&amp;O430))</x:f>
        <x:v>1d8 + 10</x:v>
      </x:c>
      <x:c r="Q430" t="n">
        <x:f>ROUND(INDEX(Catalogue!E$4:E$85,MATCH(A430,Catalogue!A$4:A$85,0))*(1+'Paramètres'!$B$4*(C430-1)+'Paramètres'!$B$5*(C430-1)^2),0)</x:f>
        <x:v>11</x:v>
      </x:c>
      <x:c r="R430" t="n">
        <x:f>ROUND(INDEX(Catalogue!F$4:F$85,MATCH(A430,Catalogue!A$4:A$85,0))*(1+'Paramètres'!$B$4*(C430-1)+'Paramètres'!$B$5*(C430-1)^2),0)</x:f>
        <x:v>18</x:v>
      </x:c>
      <x:c r="S430" t="n">
        <x:f>L430-AVERAGE(Q430:R430)</x:f>
        <x:v>0</x:v>
      </x:c>
      <x:c r="T430" t="str">
        <x:f>IF(M430=0,IF(AND(N430=0,O430=0,E430=0,F430=0),"OK","ERREUR"),IF(AND(M430&gt;=1,M430&lt;=32,OR(N430=4,N430=6,N430=8,N430=10,N430=12,N430=20),O430&gt;=0,E430=M430+O430,F430=M430*N430+O430),"OK","ERREUR"))</x:f>
        <x:v>OK</x:v>
      </x:c>
      <x:c r="U430" s="86" t="n">
        <x:f>IF(M430&gt;0,M430*(N430+1)/2+O430,0)</x:f>
        <x:v>14.5</x:v>
      </x:c>
      <x:c r="V430" t="str">
        <x:f>IF(ABS(L430-U430)&lt;0.001,"OK","ERREUR")</x:f>
        <x:v>OK</x:v>
      </x:c>
    </x:row>
    <x:row r="431" ht="18" customHeight="1">
      <x:c r="A431" t="str">
        <x:v>ARM022</x:v>
      </x:c>
      <x:c r="B431" t="str">
        <x:v>Marteau de guerre</x:v>
      </x:c>
      <x:c r="C431" t="n">
        <x:v>8</x:v>
      </x:c>
      <x:c r="D431" t="str">
        <x:v>Une main</x:v>
      </x:c>
      <x:c r="E431" s="28" t="n">
        <x:f>IF(M431=0,0,M431+O431)</x:f>
        <x:v>13</x:v>
      </x:c>
      <x:c r="F431" s="28" t="n">
        <x:f>IF(M431=0,0,M431*N431+O431)</x:f>
        <x:v>20</x:v>
      </x:c>
      <x:c r="G431" s="28" t="n">
        <x:f>ROUND(Catalogue!G25*SQRT((1+'Paramètres'!$B$4*(C431-1)+'Paramètres'!$B$5*(C431-1)^2)),0)</x:f>
        <x:v>0</x:v>
      </x:c>
      <x:c r="H431" s="28" t="n">
        <x:f>ROUND(Catalogue!H25*SQRT((1+'Paramètres'!$B$4*(C431-1)+'Paramètres'!$B$5*(C431-1)^2)),0)</x:f>
        <x:v>0</x:v>
      </x:c>
      <x:c r="I431" s="28" t="n">
        <x:v>2</x:v>
      </x:c>
      <x:c r="J431" s="28" t="n">
        <x:v>1</x:v>
      </x:c>
      <x:c r="K431" s="30" t="n">
        <x:v>2.2</x:v>
      </x:c>
      <x:c r="L431" s="54" t="n">
        <x:f>IF(M431=0,0,(E431+F431)/2)</x:f>
        <x:v>16.5</x:v>
      </x:c>
      <x:c r="M431" t="n">
        <x:v>1</x:v>
      </x:c>
      <x:c r="N431" t="n">
        <x:v>8</x:v>
      </x:c>
      <x:c r="O431" t="n">
        <x:v>12</x:v>
      </x:c>
      <x:c r="P431" s="63" t="str">
        <x:f>IF(M431=0,"—",M431&amp;"d"&amp;N431&amp;IF(O431=0,""," + "&amp;O431))</x:f>
        <x:v>1d8 + 12</x:v>
      </x:c>
      <x:c r="Q431" t="n">
        <x:f>ROUND(INDEX(Catalogue!E$4:E$85,MATCH(A431,Catalogue!A$4:A$85,0))*(1+'Paramètres'!$B$4*(C431-1)+'Paramètres'!$B$5*(C431-1)^2),0)</x:f>
        <x:v>13</x:v>
      </x:c>
      <x:c r="R431" t="n">
        <x:f>ROUND(INDEX(Catalogue!F$4:F$85,MATCH(A431,Catalogue!A$4:A$85,0))*(1+'Paramètres'!$B$4*(C431-1)+'Paramètres'!$B$5*(C431-1)^2),0)</x:f>
        <x:v>20</x:v>
      </x:c>
      <x:c r="S431" t="n">
        <x:f>L431-AVERAGE(Q431:R431)</x:f>
        <x:v>0</x:v>
      </x:c>
      <x:c r="T431" t="str">
        <x:f>IF(M431=0,IF(AND(N431=0,O431=0,E431=0,F431=0),"OK","ERREUR"),IF(AND(M431&gt;=1,M431&lt;=32,OR(N431=4,N431=6,N431=8,N431=10,N431=12,N431=20),O431&gt;=0,E431=M431+O431,F431=M431*N431+O431),"OK","ERREUR"))</x:f>
        <x:v>OK</x:v>
      </x:c>
      <x:c r="U431" s="86" t="n">
        <x:f>IF(M431&gt;0,M431*(N431+1)/2+O431,0)</x:f>
        <x:v>16.5</x:v>
      </x:c>
      <x:c r="V431" t="str">
        <x:f>IF(ABS(L431-U431)&lt;0.001,"OK","ERREUR")</x:f>
        <x:v>OK</x:v>
      </x:c>
    </x:row>
    <x:row r="432" ht="18" customHeight="1">
      <x:c r="A432" t="str">
        <x:v>ARM022</x:v>
      </x:c>
      <x:c r="B432" t="str">
        <x:v>Marteau de guerre</x:v>
      </x:c>
      <x:c r="C432" t="n">
        <x:v>9</x:v>
      </x:c>
      <x:c r="D432" t="str">
        <x:v>Une main</x:v>
      </x:c>
      <x:c r="E432" s="28" t="n">
        <x:f>IF(M432=0,0,M432+O432)</x:f>
        <x:v>14</x:v>
      </x:c>
      <x:c r="F432" s="28" t="n">
        <x:f>IF(M432=0,0,M432*N432+O432)</x:f>
        <x:v>23</x:v>
      </x:c>
      <x:c r="G432" s="28" t="n">
        <x:f>ROUND(Catalogue!G25*SQRT((1+'Paramètres'!$B$4*(C432-1)+'Paramètres'!$B$5*(C432-1)^2)),0)</x:f>
        <x:v>0</x:v>
      </x:c>
      <x:c r="H432" s="28" t="n">
        <x:f>ROUND(Catalogue!H25*SQRT((1+'Paramètres'!$B$4*(C432-1)+'Paramètres'!$B$5*(C432-1)^2)),0)</x:f>
        <x:v>0</x:v>
      </x:c>
      <x:c r="I432" s="28" t="n">
        <x:v>2</x:v>
      </x:c>
      <x:c r="J432" s="28" t="n">
        <x:v>1</x:v>
      </x:c>
      <x:c r="K432" s="30" t="n">
        <x:v>2.2</x:v>
      </x:c>
      <x:c r="L432" s="54" t="n">
        <x:f>IF(M432=0,0,(E432+F432)/2)</x:f>
        <x:v>18.5</x:v>
      </x:c>
      <x:c r="M432" t="n">
        <x:v>3</x:v>
      </x:c>
      <x:c r="N432" t="n">
        <x:v>4</x:v>
      </x:c>
      <x:c r="O432" t="n">
        <x:v>11</x:v>
      </x:c>
      <x:c r="P432" s="63" t="str">
        <x:f>IF(M432=0,"—",M432&amp;"d"&amp;N432&amp;IF(O432=0,""," + "&amp;O432))</x:f>
        <x:v>3d4 + 11</x:v>
      </x:c>
      <x:c r="Q432" t="n">
        <x:f>ROUND(INDEX(Catalogue!E$4:E$85,MATCH(A432,Catalogue!A$4:A$85,0))*(1+'Paramètres'!$B$4*(C432-1)+'Paramètres'!$B$5*(C432-1)^2),0)</x:f>
        <x:v>15</x:v>
      </x:c>
      <x:c r="R432" t="n">
        <x:f>ROUND(INDEX(Catalogue!F$4:F$85,MATCH(A432,Catalogue!A$4:A$85,0))*(1+'Paramètres'!$B$4*(C432-1)+'Paramètres'!$B$5*(C432-1)^2),0)</x:f>
        <x:v>23</x:v>
      </x:c>
      <x:c r="S432" t="n">
        <x:f>L432-AVERAGE(Q432:R432)</x:f>
        <x:v>-0.5</x:v>
      </x:c>
      <x:c r="T432" t="str">
        <x:f>IF(M432=0,IF(AND(N432=0,O432=0,E432=0,F432=0),"OK","ERREUR"),IF(AND(M432&gt;=1,M432&lt;=32,OR(N432=4,N432=6,N432=8,N432=10,N432=12,N432=20),O432&gt;=0,E432=M432+O432,F432=M432*N432+O432),"OK","ERREUR"))</x:f>
        <x:v>OK</x:v>
      </x:c>
      <x:c r="U432" s="86" t="n">
        <x:f>IF(M432&gt;0,M432*(N432+1)/2+O432,0)</x:f>
        <x:v>18.5</x:v>
      </x:c>
      <x:c r="V432" t="str">
        <x:f>IF(ABS(L432-U432)&lt;0.001,"OK","ERREUR")</x:f>
        <x:v>OK</x:v>
      </x:c>
    </x:row>
    <x:row r="433" ht="18" customHeight="1">
      <x:c r="A433" t="str">
        <x:v>ARM022</x:v>
      </x:c>
      <x:c r="B433" t="str">
        <x:v>Marteau de guerre</x:v>
      </x:c>
      <x:c r="C433" t="n">
        <x:v>10</x:v>
      </x:c>
      <x:c r="D433" t="str">
        <x:v>Une main</x:v>
      </x:c>
      <x:c r="E433" s="28" t="n">
        <x:f>IF(M433=0,0,M433+O433)</x:f>
        <x:v>16</x:v>
      </x:c>
      <x:c r="F433" s="28" t="n">
        <x:f>IF(M433=0,0,M433*N433+O433)</x:f>
        <x:v>26</x:v>
      </x:c>
      <x:c r="G433" s="28" t="n">
        <x:f>ROUND(Catalogue!G25*SQRT((1+'Paramètres'!$B$4*(C433-1)+'Paramètres'!$B$5*(C433-1)^2)),0)</x:f>
        <x:v>0</x:v>
      </x:c>
      <x:c r="H433" s="28" t="n">
        <x:f>ROUND(Catalogue!H25*SQRT((1+'Paramètres'!$B$4*(C433-1)+'Paramètres'!$B$5*(C433-1)^2)),0)</x:f>
        <x:v>0</x:v>
      </x:c>
      <x:c r="I433" s="28" t="n">
        <x:v>2</x:v>
      </x:c>
      <x:c r="J433" s="28" t="n">
        <x:v>1</x:v>
      </x:c>
      <x:c r="K433" s="30" t="n">
        <x:v>2.2</x:v>
      </x:c>
      <x:c r="L433" s="54" t="n">
        <x:f>IF(M433=0,0,(E433+F433)/2)</x:f>
        <x:v>21</x:v>
      </x:c>
      <x:c r="M433" t="n">
        <x:v>2</x:v>
      </x:c>
      <x:c r="N433" t="n">
        <x:v>6</x:v>
      </x:c>
      <x:c r="O433" t="n">
        <x:v>14</x:v>
      </x:c>
      <x:c r="P433" s="63" t="str">
        <x:f>IF(M433=0,"—",M433&amp;"d"&amp;N433&amp;IF(O433=0,""," + "&amp;O433))</x:f>
        <x:v>2d6 + 14</x:v>
      </x:c>
      <x:c r="Q433" t="n">
        <x:f>ROUND(INDEX(Catalogue!E$4:E$85,MATCH(A433,Catalogue!A$4:A$85,0))*(1+'Paramètres'!$B$4*(C433-1)+'Paramètres'!$B$5*(C433-1)^2),0)</x:f>
        <x:v>16</x:v>
      </x:c>
      <x:c r="R433" t="n">
        <x:f>ROUND(INDEX(Catalogue!F$4:F$85,MATCH(A433,Catalogue!A$4:A$85,0))*(1+'Paramètres'!$B$4*(C433-1)+'Paramètres'!$B$5*(C433-1)^2),0)</x:f>
        <x:v>26</x:v>
      </x:c>
      <x:c r="S433" t="n">
        <x:f>L433-AVERAGE(Q433:R433)</x:f>
        <x:v>0</x:v>
      </x:c>
      <x:c r="T433" t="str">
        <x:f>IF(M433=0,IF(AND(N433=0,O433=0,E433=0,F433=0),"OK","ERREUR"),IF(AND(M433&gt;=1,M433&lt;=32,OR(N433=4,N433=6,N433=8,N433=10,N433=12,N433=20),O433&gt;=0,E433=M433+O433,F433=M433*N433+O433),"OK","ERREUR"))</x:f>
        <x:v>OK</x:v>
      </x:c>
      <x:c r="U433" s="86" t="n">
        <x:f>IF(M433&gt;0,M433*(N433+1)/2+O433,0)</x:f>
        <x:v>21</x:v>
      </x:c>
      <x:c r="V433" t="str">
        <x:f>IF(ABS(L433-U433)&lt;0.001,"OK","ERREUR")</x:f>
        <x:v>OK</x:v>
      </x:c>
    </x:row>
    <x:row r="434" ht="18" customHeight="1">
      <x:c r="A434" t="str">
        <x:v>ARM022</x:v>
      </x:c>
      <x:c r="B434" t="str">
        <x:v>Marteau de guerre</x:v>
      </x:c>
      <x:c r="C434" t="n">
        <x:v>11</x:v>
      </x:c>
      <x:c r="D434" t="str">
        <x:v>Une main</x:v>
      </x:c>
      <x:c r="E434" s="28" t="n">
        <x:f>IF(M434=0,0,M434+O434)</x:f>
        <x:v>19</x:v>
      </x:c>
      <x:c r="F434" s="28" t="n">
        <x:f>IF(M434=0,0,M434*N434+O434)</x:f>
        <x:v>30</x:v>
      </x:c>
      <x:c r="G434" s="28" t="n">
        <x:f>ROUND(Catalogue!G25*SQRT((1+'Paramètres'!$B$4*(C434-1)+'Paramètres'!$B$5*(C434-1)^2)),0)</x:f>
        <x:v>0</x:v>
      </x:c>
      <x:c r="H434" s="28" t="n">
        <x:f>ROUND(Catalogue!H25*SQRT((1+'Paramètres'!$B$4*(C434-1)+'Paramètres'!$B$5*(C434-1)^2)),0)</x:f>
        <x:v>0</x:v>
      </x:c>
      <x:c r="I434" s="28" t="n">
        <x:v>2</x:v>
      </x:c>
      <x:c r="J434" s="28" t="n">
        <x:v>1</x:v>
      </x:c>
      <x:c r="K434" s="30" t="n">
        <x:v>2.2</x:v>
      </x:c>
      <x:c r="L434" s="54" t="n">
        <x:f>IF(M434=0,0,(E434+F434)/2)</x:f>
        <x:v>24.5</x:v>
      </x:c>
      <x:c r="M434" t="n">
        <x:v>1</x:v>
      </x:c>
      <x:c r="N434" t="n">
        <x:v>12</x:v>
      </x:c>
      <x:c r="O434" t="n">
        <x:v>18</x:v>
      </x:c>
      <x:c r="P434" s="63" t="str">
        <x:f>IF(M434=0,"—",M434&amp;"d"&amp;N434&amp;IF(O434=0,""," + "&amp;O434))</x:f>
        <x:v>1d12 + 18</x:v>
      </x:c>
      <x:c r="Q434" t="n">
        <x:f>ROUND(INDEX(Catalogue!E$4:E$85,MATCH(A434,Catalogue!A$4:A$85,0))*(1+'Paramètres'!$B$4*(C434-1)+'Paramètres'!$B$5*(C434-1)^2),0)</x:f>
        <x:v>19</x:v>
      </x:c>
      <x:c r="R434" t="n">
        <x:f>ROUND(INDEX(Catalogue!F$4:F$85,MATCH(A434,Catalogue!A$4:A$85,0))*(1+'Paramètres'!$B$4*(C434-1)+'Paramètres'!$B$5*(C434-1)^2),0)</x:f>
        <x:v>30</x:v>
      </x:c>
      <x:c r="S434" t="n">
        <x:f>L434-AVERAGE(Q434:R434)</x:f>
        <x:v>0</x:v>
      </x:c>
      <x:c r="T434" t="str">
        <x:f>IF(M434=0,IF(AND(N434=0,O434=0,E434=0,F434=0),"OK","ERREUR"),IF(AND(M434&gt;=1,M434&lt;=32,OR(N434=4,N434=6,N434=8,N434=10,N434=12,N434=20),O434&gt;=0,E434=M434+O434,F434=M434*N434+O434),"OK","ERREUR"))</x:f>
        <x:v>OK</x:v>
      </x:c>
      <x:c r="U434" s="86" t="n">
        <x:f>IF(M434&gt;0,M434*(N434+1)/2+O434,0)</x:f>
        <x:v>24.5</x:v>
      </x:c>
      <x:c r="V434" t="str">
        <x:f>IF(ABS(L434-U434)&lt;0.001,"OK","ERREUR")</x:f>
        <x:v>OK</x:v>
      </x:c>
    </x:row>
    <x:row r="435" ht="18" customHeight="1">
      <x:c r="A435" t="str">
        <x:v>ARM022</x:v>
      </x:c>
      <x:c r="B435" t="str">
        <x:v>Marteau de guerre</x:v>
      </x:c>
      <x:c r="C435" t="n">
        <x:v>12</x:v>
      </x:c>
      <x:c r="D435" t="str">
        <x:v>Une main</x:v>
      </x:c>
      <x:c r="E435" s="28" t="n">
        <x:f>IF(M435=0,0,M435+O435)</x:f>
        <x:v>21</x:v>
      </x:c>
      <x:c r="F435" s="28" t="n">
        <x:f>IF(M435=0,0,M435*N435+O435)</x:f>
        <x:v>33</x:v>
      </x:c>
      <x:c r="G435" s="28" t="n">
        <x:f>ROUND(Catalogue!G25*SQRT((1+'Paramètres'!$B$4*(C435-1)+'Paramètres'!$B$5*(C435-1)^2)),0)</x:f>
        <x:v>0</x:v>
      </x:c>
      <x:c r="H435" s="28" t="n">
        <x:f>ROUND(Catalogue!H25*SQRT((1+'Paramètres'!$B$4*(C435-1)+'Paramètres'!$B$5*(C435-1)^2)),0)</x:f>
        <x:v>0</x:v>
      </x:c>
      <x:c r="I435" s="28" t="n">
        <x:v>2</x:v>
      </x:c>
      <x:c r="J435" s="28" t="n">
        <x:v>1</x:v>
      </x:c>
      <x:c r="K435" s="30" t="n">
        <x:v>2.2</x:v>
      </x:c>
      <x:c r="L435" s="54" t="n">
        <x:f>IF(M435=0,0,(E435+F435)/2)</x:f>
        <x:v>27</x:v>
      </x:c>
      <x:c r="M435" t="n">
        <x:v>4</x:v>
      </x:c>
      <x:c r="N435" t="n">
        <x:v>4</x:v>
      </x:c>
      <x:c r="O435" t="n">
        <x:v>17</x:v>
      </x:c>
      <x:c r="P435" s="63" t="str">
        <x:f>IF(M435=0,"—",M435&amp;"d"&amp;N435&amp;IF(O435=0,""," + "&amp;O435))</x:f>
        <x:v>4d4 + 17</x:v>
      </x:c>
      <x:c r="Q435" t="n">
        <x:f>ROUND(INDEX(Catalogue!E$4:E$85,MATCH(A435,Catalogue!A$4:A$85,0))*(1+'Paramètres'!$B$4*(C435-1)+'Paramètres'!$B$5*(C435-1)^2),0)</x:f>
        <x:v>21</x:v>
      </x:c>
      <x:c r="R435" t="n">
        <x:f>ROUND(INDEX(Catalogue!F$4:F$85,MATCH(A435,Catalogue!A$4:A$85,0))*(1+'Paramètres'!$B$4*(C435-1)+'Paramètres'!$B$5*(C435-1)^2),0)</x:f>
        <x:v>33</x:v>
      </x:c>
      <x:c r="S435" t="n">
        <x:f>L435-AVERAGE(Q435:R435)</x:f>
        <x:v>0</x:v>
      </x:c>
      <x:c r="T435" t="str">
        <x:f>IF(M435=0,IF(AND(N435=0,O435=0,E435=0,F435=0),"OK","ERREUR"),IF(AND(M435&gt;=1,M435&lt;=32,OR(N435=4,N435=6,N435=8,N435=10,N435=12,N435=20),O435&gt;=0,E435=M435+O435,F435=M435*N435+O435),"OK","ERREUR"))</x:f>
        <x:v>OK</x:v>
      </x:c>
      <x:c r="U435" s="86" t="n">
        <x:f>IF(M435&gt;0,M435*(N435+1)/2+O435,0)</x:f>
        <x:v>27</x:v>
      </x:c>
      <x:c r="V435" t="str">
        <x:f>IF(ABS(L435-U435)&lt;0.001,"OK","ERREUR")</x:f>
        <x:v>OK</x:v>
      </x:c>
    </x:row>
    <x:row r="436" ht="18" customHeight="1">
      <x:c r="A436" t="str">
        <x:v>ARM022</x:v>
      </x:c>
      <x:c r="B436" t="str">
        <x:v>Marteau de guerre</x:v>
      </x:c>
      <x:c r="C436" t="n">
        <x:v>13</x:v>
      </x:c>
      <x:c r="D436" t="str">
        <x:v>Une main</x:v>
      </x:c>
      <x:c r="E436" s="28" t="n">
        <x:f>IF(M436=0,0,M436+O436)</x:f>
        <x:v>23</x:v>
      </x:c>
      <x:c r="F436" s="28" t="n">
        <x:f>IF(M436=0,0,M436*N436+O436)</x:f>
        <x:v>37</x:v>
      </x:c>
      <x:c r="G436" s="28" t="n">
        <x:f>ROUND(Catalogue!G25*SQRT((1+'Paramètres'!$B$4*(C436-1)+'Paramètres'!$B$5*(C436-1)^2)),0)</x:f>
        <x:v>0</x:v>
      </x:c>
      <x:c r="H436" s="28" t="n">
        <x:f>ROUND(Catalogue!H25*SQRT((1+'Paramètres'!$B$4*(C436-1)+'Paramètres'!$B$5*(C436-1)^2)),0)</x:f>
        <x:v>0</x:v>
      </x:c>
      <x:c r="I436" s="28" t="n">
        <x:v>2</x:v>
      </x:c>
      <x:c r="J436" s="28" t="n">
        <x:v>1</x:v>
      </x:c>
      <x:c r="K436" s="30" t="n">
        <x:v>2.2</x:v>
      </x:c>
      <x:c r="L436" s="54" t="n">
        <x:f>IF(M436=0,0,(E436+F436)/2)</x:f>
        <x:v>30</x:v>
      </x:c>
      <x:c r="M436" t="n">
        <x:v>2</x:v>
      </x:c>
      <x:c r="N436" t="n">
        <x:v>8</x:v>
      </x:c>
      <x:c r="O436" t="n">
        <x:v>21</x:v>
      </x:c>
      <x:c r="P436" s="63" t="str">
        <x:f>IF(M436=0,"—",M436&amp;"d"&amp;N436&amp;IF(O436=0,""," + "&amp;O436))</x:f>
        <x:v>2d8 + 21</x:v>
      </x:c>
      <x:c r="Q436" t="n">
        <x:f>ROUND(INDEX(Catalogue!E$4:E$85,MATCH(A436,Catalogue!A$4:A$85,0))*(1+'Paramètres'!$B$4*(C436-1)+'Paramètres'!$B$5*(C436-1)^2),0)</x:f>
        <x:v>23</x:v>
      </x:c>
      <x:c r="R436" t="n">
        <x:f>ROUND(INDEX(Catalogue!F$4:F$85,MATCH(A436,Catalogue!A$4:A$85,0))*(1+'Paramètres'!$B$4*(C436-1)+'Paramètres'!$B$5*(C436-1)^2),0)</x:f>
        <x:v>37</x:v>
      </x:c>
      <x:c r="S436" t="n">
        <x:f>L436-AVERAGE(Q436:R436)</x:f>
        <x:v>0</x:v>
      </x:c>
      <x:c r="T436" t="str">
        <x:f>IF(M436=0,IF(AND(N436=0,O436=0,E436=0,F436=0),"OK","ERREUR"),IF(AND(M436&gt;=1,M436&lt;=32,OR(N436=4,N436=6,N436=8,N436=10,N436=12,N436=20),O436&gt;=0,E436=M436+O436,F436=M436*N436+O436),"OK","ERREUR"))</x:f>
        <x:v>OK</x:v>
      </x:c>
      <x:c r="U436" s="86" t="n">
        <x:f>IF(M436&gt;0,M436*(N436+1)/2+O436,0)</x:f>
        <x:v>30</x:v>
      </x:c>
      <x:c r="V436" t="str">
        <x:f>IF(ABS(L436-U436)&lt;0.001,"OK","ERREUR")</x:f>
        <x:v>OK</x:v>
      </x:c>
    </x:row>
    <x:row r="437" ht="18" customHeight="1">
      <x:c r="A437" t="str">
        <x:v>ARM022</x:v>
      </x:c>
      <x:c r="B437" t="str">
        <x:v>Marteau de guerre</x:v>
      </x:c>
      <x:c r="C437" t="n">
        <x:v>14</x:v>
      </x:c>
      <x:c r="D437" t="str">
        <x:v>Une main</x:v>
      </x:c>
      <x:c r="E437" s="28" t="n">
        <x:f>IF(M437=0,0,M437+O437)</x:f>
        <x:v>26</x:v>
      </x:c>
      <x:c r="F437" s="28" t="n">
        <x:f>IF(M437=0,0,M437*N437+O437)</x:f>
        <x:v>41</x:v>
      </x:c>
      <x:c r="G437" s="28" t="n">
        <x:f>ROUND(Catalogue!G25*SQRT((1+'Paramètres'!$B$4*(C437-1)+'Paramètres'!$B$5*(C437-1)^2)),0)</x:f>
        <x:v>0</x:v>
      </x:c>
      <x:c r="H437" s="28" t="n">
        <x:f>ROUND(Catalogue!H25*SQRT((1+'Paramètres'!$B$4*(C437-1)+'Paramètres'!$B$5*(C437-1)^2)),0)</x:f>
        <x:v>0</x:v>
      </x:c>
      <x:c r="I437" s="28" t="n">
        <x:v>2</x:v>
      </x:c>
      <x:c r="J437" s="28" t="n">
        <x:v>1</x:v>
      </x:c>
      <x:c r="K437" s="30" t="n">
        <x:v>2.2</x:v>
      </x:c>
      <x:c r="L437" s="54" t="n">
        <x:f>IF(M437=0,0,(E437+F437)/2)</x:f>
        <x:v>33.5</x:v>
      </x:c>
      <x:c r="M437" t="n">
        <x:v>3</x:v>
      </x:c>
      <x:c r="N437" t="n">
        <x:v>6</x:v>
      </x:c>
      <x:c r="O437" t="n">
        <x:v>23</x:v>
      </x:c>
      <x:c r="P437" s="63" t="str">
        <x:f>IF(M437=0,"—",M437&amp;"d"&amp;N437&amp;IF(O437=0,""," + "&amp;O437))</x:f>
        <x:v>3d6 + 23</x:v>
      </x:c>
      <x:c r="Q437" t="n">
        <x:f>ROUND(INDEX(Catalogue!E$4:E$85,MATCH(A437,Catalogue!A$4:A$85,0))*(1+'Paramètres'!$B$4*(C437-1)+'Paramètres'!$B$5*(C437-1)^2),0)</x:f>
        <x:v>26</x:v>
      </x:c>
      <x:c r="R437" t="n">
        <x:f>ROUND(INDEX(Catalogue!F$4:F$85,MATCH(A437,Catalogue!A$4:A$85,0))*(1+'Paramètres'!$B$4*(C437-1)+'Paramètres'!$B$5*(C437-1)^2),0)</x:f>
        <x:v>41</x:v>
      </x:c>
      <x:c r="S437" t="n">
        <x:f>L437-AVERAGE(Q437:R437)</x:f>
        <x:v>0</x:v>
      </x:c>
      <x:c r="T437" t="str">
        <x:f>IF(M437=0,IF(AND(N437=0,O437=0,E437=0,F437=0),"OK","ERREUR"),IF(AND(M437&gt;=1,M437&lt;=32,OR(N437=4,N437=6,N437=8,N437=10,N437=12,N437=20),O437&gt;=0,E437=M437+O437,F437=M437*N437+O437),"OK","ERREUR"))</x:f>
        <x:v>OK</x:v>
      </x:c>
      <x:c r="U437" s="86" t="n">
        <x:f>IF(M437&gt;0,M437*(N437+1)/2+O437,0)</x:f>
        <x:v>33.5</x:v>
      </x:c>
      <x:c r="V437" t="str">
        <x:f>IF(ABS(L437-U437)&lt;0.001,"OK","ERREUR")</x:f>
        <x:v>OK</x:v>
      </x:c>
    </x:row>
    <x:row r="438" ht="18" customHeight="1">
      <x:c r="A438" t="str">
        <x:v>ARM022</x:v>
      </x:c>
      <x:c r="B438" t="str">
        <x:v>Marteau de guerre</x:v>
      </x:c>
      <x:c r="C438" t="n">
        <x:v>15</x:v>
      </x:c>
      <x:c r="D438" t="str">
        <x:v>Une main</x:v>
      </x:c>
      <x:c r="E438" s="28" t="n">
        <x:f>IF(M438=0,0,M438+O438)</x:f>
        <x:v>27</x:v>
      </x:c>
      <x:c r="F438" s="28" t="n">
        <x:f>IF(M438=0,0,M438*N438+O438)</x:f>
        <x:v>45</x:v>
      </x:c>
      <x:c r="G438" s="28" t="n">
        <x:f>ROUND(Catalogue!G25*SQRT((1+'Paramètres'!$B$4*(C438-1)+'Paramètres'!$B$5*(C438-1)^2)),0)</x:f>
        <x:v>0</x:v>
      </x:c>
      <x:c r="H438" s="28" t="n">
        <x:f>ROUND(Catalogue!H25*SQRT((1+'Paramètres'!$B$4*(C438-1)+'Paramètres'!$B$5*(C438-1)^2)),0)</x:f>
        <x:v>0</x:v>
      </x:c>
      <x:c r="I438" s="28" t="n">
        <x:v>2</x:v>
      </x:c>
      <x:c r="J438" s="28" t="n">
        <x:v>1</x:v>
      </x:c>
      <x:c r="K438" s="30" t="n">
        <x:v>2.2</x:v>
      </x:c>
      <x:c r="L438" s="54" t="n">
        <x:f>IF(M438=0,0,(E438+F438)/2)</x:f>
        <x:v>36</x:v>
      </x:c>
      <x:c r="M438" t="n">
        <x:v>2</x:v>
      </x:c>
      <x:c r="N438" t="n">
        <x:v>10</x:v>
      </x:c>
      <x:c r="O438" t="n">
        <x:v>25</x:v>
      </x:c>
      <x:c r="P438" s="63" t="str">
        <x:f>IF(M438=0,"—",M438&amp;"d"&amp;N438&amp;IF(O438=0,""," + "&amp;O438))</x:f>
        <x:v>2d10 + 25</x:v>
      </x:c>
      <x:c r="Q438" t="n">
        <x:f>ROUND(INDEX(Catalogue!E$4:E$85,MATCH(A438,Catalogue!A$4:A$85,0))*(1+'Paramètres'!$B$4*(C438-1)+'Paramètres'!$B$5*(C438-1)^2),0)</x:f>
        <x:v>28</x:v>
      </x:c>
      <x:c r="R438" t="n">
        <x:f>ROUND(INDEX(Catalogue!F$4:F$85,MATCH(A438,Catalogue!A$4:A$85,0))*(1+'Paramètres'!$B$4*(C438-1)+'Paramètres'!$B$5*(C438-1)^2),0)</x:f>
        <x:v>45</x:v>
      </x:c>
      <x:c r="S438" t="n">
        <x:f>L438-AVERAGE(Q438:R438)</x:f>
        <x:v>-0.5</x:v>
      </x:c>
      <x:c r="T438" t="str">
        <x:f>IF(M438=0,IF(AND(N438=0,O438=0,E438=0,F438=0),"OK","ERREUR"),IF(AND(M438&gt;=1,M438&lt;=32,OR(N438=4,N438=6,N438=8,N438=10,N438=12,N438=20),O438&gt;=0,E438=M438+O438,F438=M438*N438+O438),"OK","ERREUR"))</x:f>
        <x:v>OK</x:v>
      </x:c>
      <x:c r="U438" s="86" t="n">
        <x:f>IF(M438&gt;0,M438*(N438+1)/2+O438,0)</x:f>
        <x:v>36</x:v>
      </x:c>
      <x:c r="V438" t="str">
        <x:f>IF(ABS(L438-U438)&lt;0.001,"OK","ERREUR")</x:f>
        <x:v>OK</x:v>
      </x:c>
    </x:row>
    <x:row r="439" ht="18" customHeight="1">
      <x:c r="A439" t="str">
        <x:v>ARM022</x:v>
      </x:c>
      <x:c r="B439" t="str">
        <x:v>Marteau de guerre</x:v>
      </x:c>
      <x:c r="C439" t="n">
        <x:v>16</x:v>
      </x:c>
      <x:c r="D439" t="str">
        <x:v>Une main</x:v>
      </x:c>
      <x:c r="E439" s="28" t="n">
        <x:f>IF(M439=0,0,M439+O439)</x:f>
        <x:v>31</x:v>
      </x:c>
      <x:c r="F439" s="28" t="n">
        <x:f>IF(M439=0,0,M439*N439+O439)</x:f>
        <x:v>49</x:v>
      </x:c>
      <x:c r="G439" s="28" t="n">
        <x:f>ROUND(Catalogue!G25*SQRT((1+'Paramètres'!$B$4*(C439-1)+'Paramètres'!$B$5*(C439-1)^2)),0)</x:f>
        <x:v>0</x:v>
      </x:c>
      <x:c r="H439" s="28" t="n">
        <x:f>ROUND(Catalogue!H25*SQRT((1+'Paramètres'!$B$4*(C439-1)+'Paramètres'!$B$5*(C439-1)^2)),0)</x:f>
        <x:v>0</x:v>
      </x:c>
      <x:c r="I439" s="28" t="n">
        <x:v>2</x:v>
      </x:c>
      <x:c r="J439" s="28" t="n">
        <x:v>1</x:v>
      </x:c>
      <x:c r="K439" s="30" t="n">
        <x:v>2.2</x:v>
      </x:c>
      <x:c r="L439" s="54" t="n">
        <x:f>IF(M439=0,0,(E439+F439)/2)</x:f>
        <x:v>40</x:v>
      </x:c>
      <x:c r="M439" t="n">
        <x:v>2</x:v>
      </x:c>
      <x:c r="N439" t="n">
        <x:v>10</x:v>
      </x:c>
      <x:c r="O439" t="n">
        <x:v>29</x:v>
      </x:c>
      <x:c r="P439" s="63" t="str">
        <x:f>IF(M439=0,"—",M439&amp;"d"&amp;N439&amp;IF(O439=0,""," + "&amp;O439))</x:f>
        <x:v>2d10 + 29</x:v>
      </x:c>
      <x:c r="Q439" t="n">
        <x:f>ROUND(INDEX(Catalogue!E$4:E$85,MATCH(A439,Catalogue!A$4:A$85,0))*(1+'Paramètres'!$B$4*(C439-1)+'Paramètres'!$B$5*(C439-1)^2),0)</x:f>
        <x:v>31</x:v>
      </x:c>
      <x:c r="R439" t="n">
        <x:f>ROUND(INDEX(Catalogue!F$4:F$85,MATCH(A439,Catalogue!A$4:A$85,0))*(1+'Paramètres'!$B$4*(C439-1)+'Paramètres'!$B$5*(C439-1)^2),0)</x:f>
        <x:v>50</x:v>
      </x:c>
      <x:c r="S439" t="n">
        <x:f>L439-AVERAGE(Q439:R439)</x:f>
        <x:v>-0.5</x:v>
      </x:c>
      <x:c r="T439" t="str">
        <x:f>IF(M439=0,IF(AND(N439=0,O439=0,E439=0,F439=0),"OK","ERREUR"),IF(AND(M439&gt;=1,M439&lt;=32,OR(N439=4,N439=6,N439=8,N439=10,N439=12,N439=20),O439&gt;=0,E439=M439+O439,F439=M439*N439+O439),"OK","ERREUR"))</x:f>
        <x:v>OK</x:v>
      </x:c>
      <x:c r="U439" s="86" t="n">
        <x:f>IF(M439&gt;0,M439*(N439+1)/2+O439,0)</x:f>
        <x:v>40</x:v>
      </x:c>
      <x:c r="V439" t="str">
        <x:f>IF(ABS(L439-U439)&lt;0.001,"OK","ERREUR")</x:f>
        <x:v>OK</x:v>
      </x:c>
    </x:row>
    <x:row r="440" ht="18" customHeight="1">
      <x:c r="A440" t="str">
        <x:v>ARM022</x:v>
      </x:c>
      <x:c r="B440" t="str">
        <x:v>Marteau de guerre</x:v>
      </x:c>
      <x:c r="C440" t="n">
        <x:v>17</x:v>
      </x:c>
      <x:c r="D440" t="str">
        <x:v>Une main</x:v>
      </x:c>
      <x:c r="E440" s="28" t="n">
        <x:f>IF(M440=0,0,M440+O440)</x:f>
        <x:v>34</x:v>
      </x:c>
      <x:c r="F440" s="28" t="n">
        <x:f>IF(M440=0,0,M440*N440+O440)</x:f>
        <x:v>55</x:v>
      </x:c>
      <x:c r="G440" s="28" t="n">
        <x:f>ROUND(Catalogue!G25*SQRT((1+'Paramètres'!$B$4*(C440-1)+'Paramètres'!$B$5*(C440-1)^2)),0)</x:f>
        <x:v>0</x:v>
      </x:c>
      <x:c r="H440" s="28" t="n">
        <x:f>ROUND(Catalogue!H25*SQRT((1+'Paramètres'!$B$4*(C440-1)+'Paramètres'!$B$5*(C440-1)^2)),0)</x:f>
        <x:v>0</x:v>
      </x:c>
      <x:c r="I440" s="28" t="n">
        <x:v>2</x:v>
      </x:c>
      <x:c r="J440" s="28" t="n">
        <x:v>1</x:v>
      </x:c>
      <x:c r="K440" s="30" t="n">
        <x:v>2.2</x:v>
      </x:c>
      <x:c r="L440" s="54" t="n">
        <x:f>IF(M440=0,0,(E440+F440)/2)</x:f>
        <x:v>44.5</x:v>
      </x:c>
      <x:c r="M440" t="n">
        <x:v>3</x:v>
      </x:c>
      <x:c r="N440" t="n">
        <x:v>8</x:v>
      </x:c>
      <x:c r="O440" t="n">
        <x:v>31</x:v>
      </x:c>
      <x:c r="P440" s="63" t="str">
        <x:f>IF(M440=0,"—",M440&amp;"d"&amp;N440&amp;IF(O440=0,""," + "&amp;O440))</x:f>
        <x:v>3d8 + 31</x:v>
      </x:c>
      <x:c r="Q440" t="n">
        <x:f>ROUND(INDEX(Catalogue!E$4:E$85,MATCH(A440,Catalogue!A$4:A$85,0))*(1+'Paramètres'!$B$4*(C440-1)+'Paramètres'!$B$5*(C440-1)^2),0)</x:f>
        <x:v>34</x:v>
      </x:c>
      <x:c r="R440" t="n">
        <x:f>ROUND(INDEX(Catalogue!F$4:F$85,MATCH(A440,Catalogue!A$4:A$85,0))*(1+'Paramètres'!$B$4*(C440-1)+'Paramètres'!$B$5*(C440-1)^2),0)</x:f>
        <x:v>55</x:v>
      </x:c>
      <x:c r="S440" t="n">
        <x:f>L440-AVERAGE(Q440:R440)</x:f>
        <x:v>0</x:v>
      </x:c>
      <x:c r="T440" t="str">
        <x:f>IF(M440=0,IF(AND(N440=0,O440=0,E440=0,F440=0),"OK","ERREUR"),IF(AND(M440&gt;=1,M440&lt;=32,OR(N440=4,N440=6,N440=8,N440=10,N440=12,N440=20),O440&gt;=0,E440=M440+O440,F440=M440*N440+O440),"OK","ERREUR"))</x:f>
        <x:v>OK</x:v>
      </x:c>
      <x:c r="U440" s="86" t="n">
        <x:f>IF(M440&gt;0,M440*(N440+1)/2+O440,0)</x:f>
        <x:v>44.5</x:v>
      </x:c>
      <x:c r="V440" t="str">
        <x:f>IF(ABS(L440-U440)&lt;0.001,"OK","ERREUR")</x:f>
        <x:v>OK</x:v>
      </x:c>
    </x:row>
    <x:row r="441" ht="18" customHeight="1">
      <x:c r="A441" t="str">
        <x:v>ARM022</x:v>
      </x:c>
      <x:c r="B441" t="str">
        <x:v>Marteau de guerre</x:v>
      </x:c>
      <x:c r="C441" t="n">
        <x:v>18</x:v>
      </x:c>
      <x:c r="D441" t="str">
        <x:v>Une main</x:v>
      </x:c>
      <x:c r="E441" s="28" t="n">
        <x:f>IF(M441=0,0,M441+O441)</x:f>
        <x:v>37</x:v>
      </x:c>
      <x:c r="F441" s="28" t="n">
        <x:f>IF(M441=0,0,M441*N441+O441)</x:f>
        <x:v>59</x:v>
      </x:c>
      <x:c r="G441" s="28" t="n">
        <x:f>ROUND(Catalogue!G25*SQRT((1+'Paramètres'!$B$4*(C441-1)+'Paramètres'!$B$5*(C441-1)^2)),0)</x:f>
        <x:v>0</x:v>
      </x:c>
      <x:c r="H441" s="28" t="n">
        <x:f>ROUND(Catalogue!H25*SQRT((1+'Paramètres'!$B$4*(C441-1)+'Paramètres'!$B$5*(C441-1)^2)),0)</x:f>
        <x:v>0</x:v>
      </x:c>
      <x:c r="I441" s="28" t="n">
        <x:v>2</x:v>
      </x:c>
      <x:c r="J441" s="28" t="n">
        <x:v>1</x:v>
      </x:c>
      <x:c r="K441" s="30" t="n">
        <x:v>2.2</x:v>
      </x:c>
      <x:c r="L441" s="54" t="n">
        <x:f>IF(M441=0,0,(E441+F441)/2)</x:f>
        <x:v>48</x:v>
      </x:c>
      <x:c r="M441" t="n">
        <x:v>2</x:v>
      </x:c>
      <x:c r="N441" t="n">
        <x:v>12</x:v>
      </x:c>
      <x:c r="O441" t="n">
        <x:v>35</x:v>
      </x:c>
      <x:c r="P441" s="63" t="str">
        <x:f>IF(M441=0,"—",M441&amp;"d"&amp;N441&amp;IF(O441=0,""," + "&amp;O441))</x:f>
        <x:v>2d12 + 35</x:v>
      </x:c>
      <x:c r="Q441" t="n">
        <x:f>ROUND(INDEX(Catalogue!E$4:E$85,MATCH(A441,Catalogue!A$4:A$85,0))*(1+'Paramètres'!$B$4*(C441-1)+'Paramètres'!$B$5*(C441-1)^2),0)</x:f>
        <x:v>37</x:v>
      </x:c>
      <x:c r="R441" t="n">
        <x:f>ROUND(INDEX(Catalogue!F$4:F$85,MATCH(A441,Catalogue!A$4:A$85,0))*(1+'Paramètres'!$B$4*(C441-1)+'Paramètres'!$B$5*(C441-1)^2),0)</x:f>
        <x:v>60</x:v>
      </x:c>
      <x:c r="S441" t="n">
        <x:f>L441-AVERAGE(Q441:R441)</x:f>
        <x:v>-0.5</x:v>
      </x:c>
      <x:c r="T441" t="str">
        <x:f>IF(M441=0,IF(AND(N441=0,O441=0,E441=0,F441=0),"OK","ERREUR"),IF(AND(M441&gt;=1,M441&lt;=32,OR(N441=4,N441=6,N441=8,N441=10,N441=12,N441=20),O441&gt;=0,E441=M441+O441,F441=M441*N441+O441),"OK","ERREUR"))</x:f>
        <x:v>OK</x:v>
      </x:c>
      <x:c r="U441" s="86" t="n">
        <x:f>IF(M441&gt;0,M441*(N441+1)/2+O441,0)</x:f>
        <x:v>48</x:v>
      </x:c>
      <x:c r="V441" t="str">
        <x:f>IF(ABS(L441-U441)&lt;0.001,"OK","ERREUR")</x:f>
        <x:v>OK</x:v>
      </x:c>
    </x:row>
    <x:row r="442" ht="18" customHeight="1">
      <x:c r="A442" t="str">
        <x:v>ARM022</x:v>
      </x:c>
      <x:c r="B442" t="str">
        <x:v>Marteau de guerre</x:v>
      </x:c>
      <x:c r="C442" t="n">
        <x:v>19</x:v>
      </x:c>
      <x:c r="D442" t="str">
        <x:v>Une main</x:v>
      </x:c>
      <x:c r="E442" s="28" t="n">
        <x:f>IF(M442=0,0,M442+O442)</x:f>
        <x:v>40</x:v>
      </x:c>
      <x:c r="F442" s="28" t="n">
        <x:f>IF(M442=0,0,M442*N442+O442)</x:f>
        <x:v>65</x:v>
      </x:c>
      <x:c r="G442" s="28" t="n">
        <x:f>ROUND(Catalogue!G25*SQRT((1+'Paramètres'!$B$4*(C442-1)+'Paramètres'!$B$5*(C442-1)^2)),0)</x:f>
        <x:v>0</x:v>
      </x:c>
      <x:c r="H442" s="28" t="n">
        <x:f>ROUND(Catalogue!H25*SQRT((1+'Paramètres'!$B$4*(C442-1)+'Paramètres'!$B$5*(C442-1)^2)),0)</x:f>
        <x:v>0</x:v>
      </x:c>
      <x:c r="I442" s="28" t="n">
        <x:v>2</x:v>
      </x:c>
      <x:c r="J442" s="28" t="n">
        <x:v>1</x:v>
      </x:c>
      <x:c r="K442" s="30" t="n">
        <x:v>2.2</x:v>
      </x:c>
      <x:c r="L442" s="54" t="n">
        <x:f>IF(M442=0,0,(E442+F442)/2)</x:f>
        <x:v>52.5</x:v>
      </x:c>
      <x:c r="M442" t="n">
        <x:v>5</x:v>
      </x:c>
      <x:c r="N442" t="n">
        <x:v>6</x:v>
      </x:c>
      <x:c r="O442" t="n">
        <x:v>35</x:v>
      </x:c>
      <x:c r="P442" s="63" t="str">
        <x:f>IF(M442=0,"—",M442&amp;"d"&amp;N442&amp;IF(O442=0,""," + "&amp;O442))</x:f>
        <x:v>5d6 + 35</x:v>
      </x:c>
      <x:c r="Q442" t="n">
        <x:f>ROUND(INDEX(Catalogue!E$4:E$85,MATCH(A442,Catalogue!A$4:A$85,0))*(1+'Paramètres'!$B$4*(C442-1)+'Paramètres'!$B$5*(C442-1)^2),0)</x:f>
        <x:v>41</x:v>
      </x:c>
      <x:c r="R442" t="n">
        <x:f>ROUND(INDEX(Catalogue!F$4:F$85,MATCH(A442,Catalogue!A$4:A$85,0))*(1+'Paramètres'!$B$4*(C442-1)+'Paramètres'!$B$5*(C442-1)^2),0)</x:f>
        <x:v>65</x:v>
      </x:c>
      <x:c r="S442" t="n">
        <x:f>L442-AVERAGE(Q442:R442)</x:f>
        <x:v>-0.5</x:v>
      </x:c>
      <x:c r="T442" t="str">
        <x:f>IF(M442=0,IF(AND(N442=0,O442=0,E442=0,F442=0),"OK","ERREUR"),IF(AND(M442&gt;=1,M442&lt;=32,OR(N442=4,N442=6,N442=8,N442=10,N442=12,N442=20),O442&gt;=0,E442=M442+O442,F442=M442*N442+O442),"OK","ERREUR"))</x:f>
        <x:v>OK</x:v>
      </x:c>
      <x:c r="U442" s="86" t="n">
        <x:f>IF(M442&gt;0,M442*(N442+1)/2+O442,0)</x:f>
        <x:v>52.5</x:v>
      </x:c>
      <x:c r="V442" t="str">
        <x:f>IF(ABS(L442-U442)&lt;0.001,"OK","ERREUR")</x:f>
        <x:v>OK</x:v>
      </x:c>
    </x:row>
    <x:row r="443" ht="18" customHeight="1">
      <x:c r="A443" t="str">
        <x:v>ARM022</x:v>
      </x:c>
      <x:c r="B443" t="str">
        <x:v>Marteau de guerre</x:v>
      </x:c>
      <x:c r="C443" t="n">
        <x:v>20</x:v>
      </x:c>
      <x:c r="D443" t="str">
        <x:v>Une main</x:v>
      </x:c>
      <x:c r="E443" s="28" t="n">
        <x:f>IF(M443=0,0,M443+O443)</x:f>
        <x:v>44</x:v>
      </x:c>
      <x:c r="F443" s="28" t="n">
        <x:f>IF(M443=0,0,M443*N443+O443)</x:f>
        <x:v>71</x:v>
      </x:c>
      <x:c r="G443" s="28" t="n">
        <x:f>ROUND(Catalogue!G25*SQRT((1+'Paramètres'!$B$4*(C443-1)+'Paramètres'!$B$5*(C443-1)^2)),0)</x:f>
        <x:v>0</x:v>
      </x:c>
      <x:c r="H443" s="28" t="n">
        <x:f>ROUND(Catalogue!H25*SQRT((1+'Paramètres'!$B$4*(C443-1)+'Paramètres'!$B$5*(C443-1)^2)),0)</x:f>
        <x:v>0</x:v>
      </x:c>
      <x:c r="I443" s="28" t="n">
        <x:v>2</x:v>
      </x:c>
      <x:c r="J443" s="28" t="n">
        <x:v>1</x:v>
      </x:c>
      <x:c r="K443" s="30" t="n">
        <x:v>2.2</x:v>
      </x:c>
      <x:c r="L443" s="54" t="n">
        <x:f>IF(M443=0,0,(E443+F443)/2)</x:f>
        <x:v>57.5</x:v>
      </x:c>
      <x:c r="M443" t="n">
        <x:v>3</x:v>
      </x:c>
      <x:c r="N443" t="n">
        <x:v>10</x:v>
      </x:c>
      <x:c r="O443" t="n">
        <x:v>41</x:v>
      </x:c>
      <x:c r="P443" s="63" t="str">
        <x:f>IF(M443=0,"—",M443&amp;"d"&amp;N443&amp;IF(O443=0,""," + "&amp;O443))</x:f>
        <x:v>3d10 + 41</x:v>
      </x:c>
      <x:c r="Q443" t="n">
        <x:f>ROUND(INDEX(Catalogue!E$4:E$85,MATCH(A443,Catalogue!A$4:A$85,0))*(1+'Paramètres'!$B$4*(C443-1)+'Paramètres'!$B$5*(C443-1)^2),0)</x:f>
        <x:v>44</x:v>
      </x:c>
      <x:c r="R443" t="n">
        <x:f>ROUND(INDEX(Catalogue!F$4:F$85,MATCH(A443,Catalogue!A$4:A$85,0))*(1+'Paramètres'!$B$4*(C443-1)+'Paramètres'!$B$5*(C443-1)^2),0)</x:f>
        <x:v>71</x:v>
      </x:c>
      <x:c r="S443" t="n">
        <x:f>L443-AVERAGE(Q443:R443)</x:f>
        <x:v>0</x:v>
      </x:c>
      <x:c r="T443" t="str">
        <x:f>IF(M443=0,IF(AND(N443=0,O443=0,E443=0,F443=0),"OK","ERREUR"),IF(AND(M443&gt;=1,M443&lt;=32,OR(N443=4,N443=6,N443=8,N443=10,N443=12,N443=20),O443&gt;=0,E443=M443+O443,F443=M443*N443+O443),"OK","ERREUR"))</x:f>
        <x:v>OK</x:v>
      </x:c>
      <x:c r="U443" s="86" t="n">
        <x:f>IF(M443&gt;0,M443*(N443+1)/2+O443,0)</x:f>
        <x:v>57.5</x:v>
      </x:c>
      <x:c r="V443" t="str">
        <x:f>IF(ABS(L443-U443)&lt;0.001,"OK","ERREUR")</x:f>
        <x:v>OK</x:v>
      </x:c>
    </x:row>
    <x:row r="444" ht="18" customHeight="1">
      <x:c r="A444" t="str">
        <x:v>ARM023</x:v>
      </x:c>
      <x:c r="B444" t="str">
        <x:v>Fléau d'armes</x:v>
      </x:c>
      <x:c r="C444" t="n">
        <x:v>1</x:v>
      </x:c>
      <x:c r="D444" t="str">
        <x:v>Une main</x:v>
      </x:c>
      <x:c r="E444" s="28" t="n">
        <x:f>IF(M444=0,0,M444+O444)</x:f>
        <x:v>4</x:v>
      </x:c>
      <x:c r="F444" s="28" t="n">
        <x:f>IF(M444=0,0,M444*N444+O444)</x:f>
        <x:v>7</x:v>
      </x:c>
      <x:c r="G444" s="28" t="n">
        <x:f>ROUND(Catalogue!G26*SQRT((1+'Paramètres'!$B$4*(C444-1)+'Paramètres'!$B$5*(C444-1)^2)),0)</x:f>
        <x:v>0</x:v>
      </x:c>
      <x:c r="H444" s="28" t="n">
        <x:f>ROUND(Catalogue!H26*SQRT((1+'Paramètres'!$B$4*(C444-1)+'Paramètres'!$B$5*(C444-1)^2)),0)</x:f>
        <x:v>0</x:v>
      </x:c>
      <x:c r="I444" s="28" t="n">
        <x:v>2</x:v>
      </x:c>
      <x:c r="J444" s="28" t="n">
        <x:v>1</x:v>
      </x:c>
      <x:c r="K444" s="30" t="n">
        <x:v>2.5</x:v>
      </x:c>
      <x:c r="L444" s="54" t="n">
        <x:f>IF(M444=0,0,(E444+F444)/2)</x:f>
        <x:v>5.5</x:v>
      </x:c>
      <x:c r="M444" t="n">
        <x:v>1</x:v>
      </x:c>
      <x:c r="N444" t="n">
        <x:v>4</x:v>
      </x:c>
      <x:c r="O444" t="n">
        <x:v>3</x:v>
      </x:c>
      <x:c r="P444" s="63" t="str">
        <x:f>IF(M444=0,"—",M444&amp;"d"&amp;N444&amp;IF(O444=0,""," + "&amp;O444))</x:f>
        <x:v>1d4 + 3</x:v>
      </x:c>
      <x:c r="Q444" t="n">
        <x:f>ROUND(INDEX(Catalogue!E$4:E$85,MATCH(A444,Catalogue!A$4:A$85,0))*(1+'Paramètres'!$B$4*(C444-1)+'Paramètres'!$B$5*(C444-1)^2),0)</x:f>
        <x:v>4</x:v>
      </x:c>
      <x:c r="R444" t="n">
        <x:f>ROUND(INDEX(Catalogue!F$4:F$85,MATCH(A444,Catalogue!A$4:A$85,0))*(1+'Paramètres'!$B$4*(C444-1)+'Paramètres'!$B$5*(C444-1)^2),0)</x:f>
        <x:v>8</x:v>
      </x:c>
      <x:c r="S444" t="n">
        <x:f>L444-AVERAGE(Q444:R444)</x:f>
        <x:v>-0.5</x:v>
      </x:c>
      <x:c r="T444" t="str">
        <x:f>IF(M444=0,IF(AND(N444=0,O444=0,E444=0,F444=0),"OK","ERREUR"),IF(AND(M444&gt;=1,M444&lt;=32,OR(N444=4,N444=6,N444=8,N444=10,N444=12,N444=20),O444&gt;=0,E444=M444+O444,F444=M444*N444+O444),"OK","ERREUR"))</x:f>
        <x:v>OK</x:v>
      </x:c>
      <x:c r="U444" s="86" t="n">
        <x:f>IF(M444&gt;0,M444*(N444+1)/2+O444,0)</x:f>
        <x:v>5.5</x:v>
      </x:c>
      <x:c r="V444" t="str">
        <x:f>IF(ABS(L444-U444)&lt;0.001,"OK","ERREUR")</x:f>
        <x:v>OK</x:v>
      </x:c>
    </x:row>
    <x:row r="445" ht="18" customHeight="1">
      <x:c r="A445" t="str">
        <x:v>ARM023</x:v>
      </x:c>
      <x:c r="B445" t="str">
        <x:v>Fléau d'armes</x:v>
      </x:c>
      <x:c r="C445" t="n">
        <x:v>2</x:v>
      </x:c>
      <x:c r="D445" t="str">
        <x:v>Une main</x:v>
      </x:c>
      <x:c r="E445" s="28" t="n">
        <x:f>IF(M445=0,0,M445+O445)</x:f>
        <x:v>5</x:v>
      </x:c>
      <x:c r="F445" s="28" t="n">
        <x:f>IF(M445=0,0,M445*N445+O445)</x:f>
        <x:v>8</x:v>
      </x:c>
      <x:c r="G445" s="28" t="n">
        <x:f>ROUND(Catalogue!G26*SQRT((1+'Paramètres'!$B$4*(C445-1)+'Paramètres'!$B$5*(C445-1)^2)),0)</x:f>
        <x:v>0</x:v>
      </x:c>
      <x:c r="H445" s="28" t="n">
        <x:f>ROUND(Catalogue!H26*SQRT((1+'Paramètres'!$B$4*(C445-1)+'Paramètres'!$B$5*(C445-1)^2)),0)</x:f>
        <x:v>0</x:v>
      </x:c>
      <x:c r="I445" s="28" t="n">
        <x:v>2</x:v>
      </x:c>
      <x:c r="J445" s="28" t="n">
        <x:v>1</x:v>
      </x:c>
      <x:c r="K445" s="30" t="n">
        <x:v>2.5</x:v>
      </x:c>
      <x:c r="L445" s="54" t="n">
        <x:f>IF(M445=0,0,(E445+F445)/2)</x:f>
        <x:v>6.5</x:v>
      </x:c>
      <x:c r="M445" t="n">
        <x:v>1</x:v>
      </x:c>
      <x:c r="N445" t="n">
        <x:v>4</x:v>
      </x:c>
      <x:c r="O445" t="n">
        <x:v>4</x:v>
      </x:c>
      <x:c r="P445" s="63" t="str">
        <x:f>IF(M445=0,"—",M445&amp;"d"&amp;N445&amp;IF(O445=0,""," + "&amp;O445))</x:f>
        <x:v>1d4 + 4</x:v>
      </x:c>
      <x:c r="Q445" t="n">
        <x:f>ROUND(INDEX(Catalogue!E$4:E$85,MATCH(A445,Catalogue!A$4:A$85,0))*(1+'Paramètres'!$B$4*(C445-1)+'Paramètres'!$B$5*(C445-1)^2),0)</x:f>
        <x:v>5</x:v>
      </x:c>
      <x:c r="R445" t="n">
        <x:f>ROUND(INDEX(Catalogue!F$4:F$85,MATCH(A445,Catalogue!A$4:A$85,0))*(1+'Paramètres'!$B$4*(C445-1)+'Paramètres'!$B$5*(C445-1)^2),0)</x:f>
        <x:v>9</x:v>
      </x:c>
      <x:c r="S445" t="n">
        <x:f>L445-AVERAGE(Q445:R445)</x:f>
        <x:v>-0.5</x:v>
      </x:c>
      <x:c r="T445" t="str">
        <x:f>IF(M445=0,IF(AND(N445=0,O445=0,E445=0,F445=0),"OK","ERREUR"),IF(AND(M445&gt;=1,M445&lt;=32,OR(N445=4,N445=6,N445=8,N445=10,N445=12,N445=20),O445&gt;=0,E445=M445+O445,F445=M445*N445+O445),"OK","ERREUR"))</x:f>
        <x:v>OK</x:v>
      </x:c>
      <x:c r="U445" s="86" t="n">
        <x:f>IF(M445&gt;0,M445*(N445+1)/2+O445,0)</x:f>
        <x:v>6.5</x:v>
      </x:c>
      <x:c r="V445" t="str">
        <x:f>IF(ABS(L445-U445)&lt;0.001,"OK","ERREUR")</x:f>
        <x:v>OK</x:v>
      </x:c>
    </x:row>
    <x:row r="446" ht="18" customHeight="1">
      <x:c r="A446" t="str">
        <x:v>ARM023</x:v>
      </x:c>
      <x:c r="B446" t="str">
        <x:v>Fléau d'armes</x:v>
      </x:c>
      <x:c r="C446" t="n">
        <x:v>3</x:v>
      </x:c>
      <x:c r="D446" t="str">
        <x:v>Une main</x:v>
      </x:c>
      <x:c r="E446" s="28" t="n">
        <x:f>IF(M446=0,0,M446+O446)</x:f>
        <x:v>5</x:v>
      </x:c>
      <x:c r="F446" s="28" t="n">
        <x:f>IF(M446=0,0,M446*N446+O446)</x:f>
        <x:v>10</x:v>
      </x:c>
      <x:c r="G446" s="28" t="n">
        <x:f>ROUND(Catalogue!G26*SQRT((1+'Paramètres'!$B$4*(C446-1)+'Paramètres'!$B$5*(C446-1)^2)),0)</x:f>
        <x:v>0</x:v>
      </x:c>
      <x:c r="H446" s="28" t="n">
        <x:f>ROUND(Catalogue!H26*SQRT((1+'Paramètres'!$B$4*(C446-1)+'Paramètres'!$B$5*(C446-1)^2)),0)</x:f>
        <x:v>0</x:v>
      </x:c>
      <x:c r="I446" s="28" t="n">
        <x:v>2</x:v>
      </x:c>
      <x:c r="J446" s="28" t="n">
        <x:v>1</x:v>
      </x:c>
      <x:c r="K446" s="30" t="n">
        <x:v>2.5</x:v>
      </x:c>
      <x:c r="L446" s="54" t="n">
        <x:f>IF(M446=0,0,(E446+F446)/2)</x:f>
        <x:v>7.5</x:v>
      </x:c>
      <x:c r="M446" t="n">
        <x:v>1</x:v>
      </x:c>
      <x:c r="N446" t="n">
        <x:v>6</x:v>
      </x:c>
      <x:c r="O446" t="n">
        <x:v>4</x:v>
      </x:c>
      <x:c r="P446" s="63" t="str">
        <x:f>IF(M446=0,"—",M446&amp;"d"&amp;N446&amp;IF(O446=0,""," + "&amp;O446))</x:f>
        <x:v>1d6 + 4</x:v>
      </x:c>
      <x:c r="Q446" t="n">
        <x:f>ROUND(INDEX(Catalogue!E$4:E$85,MATCH(A446,Catalogue!A$4:A$85,0))*(1+'Paramètres'!$B$4*(C446-1)+'Paramètres'!$B$5*(C446-1)^2),0)</x:f>
        <x:v>5</x:v>
      </x:c>
      <x:c r="R446" t="n">
        <x:f>ROUND(INDEX(Catalogue!F$4:F$85,MATCH(A446,Catalogue!A$4:A$85,0))*(1+'Paramètres'!$B$4*(C446-1)+'Paramètres'!$B$5*(C446-1)^2),0)</x:f>
        <x:v>10</x:v>
      </x:c>
      <x:c r="S446" t="n">
        <x:f>L446-AVERAGE(Q446:R446)</x:f>
        <x:v>0</x:v>
      </x:c>
      <x:c r="T446" t="str">
        <x:f>IF(M446=0,IF(AND(N446=0,O446=0,E446=0,F446=0),"OK","ERREUR"),IF(AND(M446&gt;=1,M446&lt;=32,OR(N446=4,N446=6,N446=8,N446=10,N446=12,N446=20),O446&gt;=0,E446=M446+O446,F446=M446*N446+O446),"OK","ERREUR"))</x:f>
        <x:v>OK</x:v>
      </x:c>
      <x:c r="U446" s="86" t="n">
        <x:f>IF(M446&gt;0,M446*(N446+1)/2+O446,0)</x:f>
        <x:v>7.5</x:v>
      </x:c>
      <x:c r="V446" t="str">
        <x:f>IF(ABS(L446-U446)&lt;0.001,"OK","ERREUR")</x:f>
        <x:v>OK</x:v>
      </x:c>
    </x:row>
    <x:row r="447" ht="18" customHeight="1">
      <x:c r="A447" t="str">
        <x:v>ARM023</x:v>
      </x:c>
      <x:c r="B447" t="str">
        <x:v>Fléau d'armes</x:v>
      </x:c>
      <x:c r="C447" t="n">
        <x:v>4</x:v>
      </x:c>
      <x:c r="D447" t="str">
        <x:v>Une main</x:v>
      </x:c>
      <x:c r="E447" s="28" t="n">
        <x:f>IF(M447=0,0,M447+O447)</x:f>
        <x:v>6</x:v>
      </x:c>
      <x:c r="F447" s="28" t="n">
        <x:f>IF(M447=0,0,M447*N447+O447)</x:f>
        <x:v>12</x:v>
      </x:c>
      <x:c r="G447" s="28" t="n">
        <x:f>ROUND(Catalogue!G26*SQRT((1+'Paramètres'!$B$4*(C447-1)+'Paramètres'!$B$5*(C447-1)^2)),0)</x:f>
        <x:v>0</x:v>
      </x:c>
      <x:c r="H447" s="28" t="n">
        <x:f>ROUND(Catalogue!H26*SQRT((1+'Paramètres'!$B$4*(C447-1)+'Paramètres'!$B$5*(C447-1)^2)),0)</x:f>
        <x:v>0</x:v>
      </x:c>
      <x:c r="I447" s="28" t="n">
        <x:v>2</x:v>
      </x:c>
      <x:c r="J447" s="28" t="n">
        <x:v>1</x:v>
      </x:c>
      <x:c r="K447" s="30" t="n">
        <x:v>2.5</x:v>
      </x:c>
      <x:c r="L447" s="54" t="n">
        <x:f>IF(M447=0,0,(E447+F447)/2)</x:f>
        <x:v>9</x:v>
      </x:c>
      <x:c r="M447" t="n">
        <x:v>2</x:v>
      </x:c>
      <x:c r="N447" t="n">
        <x:v>4</x:v>
      </x:c>
      <x:c r="O447" t="n">
        <x:v>4</x:v>
      </x:c>
      <x:c r="P447" s="63" t="str">
        <x:f>IF(M447=0,"—",M447&amp;"d"&amp;N447&amp;IF(O447=0,""," + "&amp;O447))</x:f>
        <x:v>2d4 + 4</x:v>
      </x:c>
      <x:c r="Q447" t="n">
        <x:f>ROUND(INDEX(Catalogue!E$4:E$85,MATCH(A447,Catalogue!A$4:A$85,0))*(1+'Paramètres'!$B$4*(C447-1)+'Paramètres'!$B$5*(C447-1)^2),0)</x:f>
        <x:v>6</x:v>
      </x:c>
      <x:c r="R447" t="n">
        <x:f>ROUND(INDEX(Catalogue!F$4:F$85,MATCH(A447,Catalogue!A$4:A$85,0))*(1+'Paramètres'!$B$4*(C447-1)+'Paramètres'!$B$5*(C447-1)^2),0)</x:f>
        <x:v>12</x:v>
      </x:c>
      <x:c r="S447" t="n">
        <x:f>L447-AVERAGE(Q447:R447)</x:f>
        <x:v>0</x:v>
      </x:c>
      <x:c r="T447" t="str">
        <x:f>IF(M447=0,IF(AND(N447=0,O447=0,E447=0,F447=0),"OK","ERREUR"),IF(AND(M447&gt;=1,M447&lt;=32,OR(N447=4,N447=6,N447=8,N447=10,N447=12,N447=20),O447&gt;=0,E447=M447+O447,F447=M447*N447+O447),"OK","ERREUR"))</x:f>
        <x:v>OK</x:v>
      </x:c>
      <x:c r="U447" s="86" t="n">
        <x:f>IF(M447&gt;0,M447*(N447+1)/2+O447,0)</x:f>
        <x:v>9</x:v>
      </x:c>
      <x:c r="V447" t="str">
        <x:f>IF(ABS(L447-U447)&lt;0.001,"OK","ERREUR")</x:f>
        <x:v>OK</x:v>
      </x:c>
    </x:row>
    <x:row r="448" ht="18" customHeight="1">
      <x:c r="A448" t="str">
        <x:v>ARM023</x:v>
      </x:c>
      <x:c r="B448" t="str">
        <x:v>Fléau d'armes</x:v>
      </x:c>
      <x:c r="C448" t="n">
        <x:v>5</x:v>
      </x:c>
      <x:c r="D448" t="str">
        <x:v>Une main</x:v>
      </x:c>
      <x:c r="E448" s="28" t="n">
        <x:f>IF(M448=0,0,M448+O448)</x:f>
        <x:v>7</x:v>
      </x:c>
      <x:c r="F448" s="28" t="n">
        <x:f>IF(M448=0,0,M448*N448+O448)</x:f>
        <x:v>14</x:v>
      </x:c>
      <x:c r="G448" s="28" t="n">
        <x:f>ROUND(Catalogue!G26*SQRT((1+'Paramètres'!$B$4*(C448-1)+'Paramètres'!$B$5*(C448-1)^2)),0)</x:f>
        <x:v>0</x:v>
      </x:c>
      <x:c r="H448" s="28" t="n">
        <x:f>ROUND(Catalogue!H26*SQRT((1+'Paramètres'!$B$4*(C448-1)+'Paramètres'!$B$5*(C448-1)^2)),0)</x:f>
        <x:v>0</x:v>
      </x:c>
      <x:c r="I448" s="28" t="n">
        <x:v>2</x:v>
      </x:c>
      <x:c r="J448" s="28" t="n">
        <x:v>1</x:v>
      </x:c>
      <x:c r="K448" s="30" t="n">
        <x:v>2.5</x:v>
      </x:c>
      <x:c r="L448" s="54" t="n">
        <x:f>IF(M448=0,0,(E448+F448)/2)</x:f>
        <x:v>10.5</x:v>
      </x:c>
      <x:c r="M448" t="n">
        <x:v>1</x:v>
      </x:c>
      <x:c r="N448" t="n">
        <x:v>8</x:v>
      </x:c>
      <x:c r="O448" t="n">
        <x:v>6</x:v>
      </x:c>
      <x:c r="P448" s="63" t="str">
        <x:f>IF(M448=0,"—",M448&amp;"d"&amp;N448&amp;IF(O448=0,""," + "&amp;O448))</x:f>
        <x:v>1d8 + 6</x:v>
      </x:c>
      <x:c r="Q448" t="n">
        <x:f>ROUND(INDEX(Catalogue!E$4:E$85,MATCH(A448,Catalogue!A$4:A$85,0))*(1+'Paramètres'!$B$4*(C448-1)+'Paramètres'!$B$5*(C448-1)^2),0)</x:f>
        <x:v>7</x:v>
      </x:c>
      <x:c r="R448" t="n">
        <x:f>ROUND(INDEX(Catalogue!F$4:F$85,MATCH(A448,Catalogue!A$4:A$85,0))*(1+'Paramètres'!$B$4*(C448-1)+'Paramètres'!$B$5*(C448-1)^2),0)</x:f>
        <x:v>14</x:v>
      </x:c>
      <x:c r="S448" t="n">
        <x:f>L448-AVERAGE(Q448:R448)</x:f>
        <x:v>0</x:v>
      </x:c>
      <x:c r="T448" t="str">
        <x:f>IF(M448=0,IF(AND(N448=0,O448=0,E448=0,F448=0),"OK","ERREUR"),IF(AND(M448&gt;=1,M448&lt;=32,OR(N448=4,N448=6,N448=8,N448=10,N448=12,N448=20),O448&gt;=0,E448=M448+O448,F448=M448*N448+O448),"OK","ERREUR"))</x:f>
        <x:v>OK</x:v>
      </x:c>
      <x:c r="U448" s="86" t="n">
        <x:f>IF(M448&gt;0,M448*(N448+1)/2+O448,0)</x:f>
        <x:v>10.5</x:v>
      </x:c>
      <x:c r="V448" t="str">
        <x:f>IF(ABS(L448-U448)&lt;0.001,"OK","ERREUR")</x:f>
        <x:v>OK</x:v>
      </x:c>
    </x:row>
    <x:row r="449" ht="18" customHeight="1">
      <x:c r="A449" t="str">
        <x:v>ARM023</x:v>
      </x:c>
      <x:c r="B449" t="str">
        <x:v>Fléau d'armes</x:v>
      </x:c>
      <x:c r="C449" t="n">
        <x:v>6</x:v>
      </x:c>
      <x:c r="D449" t="str">
        <x:v>Une main</x:v>
      </x:c>
      <x:c r="E449" s="28" t="n">
        <x:f>IF(M449=0,0,M449+O449)</x:f>
        <x:v>9</x:v>
      </x:c>
      <x:c r="F449" s="28" t="n">
        <x:f>IF(M449=0,0,M449*N449+O449)</x:f>
        <x:v>16</x:v>
      </x:c>
      <x:c r="G449" s="28" t="n">
        <x:f>ROUND(Catalogue!G26*SQRT((1+'Paramètres'!$B$4*(C449-1)+'Paramètres'!$B$5*(C449-1)^2)),0)</x:f>
        <x:v>0</x:v>
      </x:c>
      <x:c r="H449" s="28" t="n">
        <x:f>ROUND(Catalogue!H26*SQRT((1+'Paramètres'!$B$4*(C449-1)+'Paramètres'!$B$5*(C449-1)^2)),0)</x:f>
        <x:v>0</x:v>
      </x:c>
      <x:c r="I449" s="28" t="n">
        <x:v>2</x:v>
      </x:c>
      <x:c r="J449" s="28" t="n">
        <x:v>1</x:v>
      </x:c>
      <x:c r="K449" s="30" t="n">
        <x:v>2.5</x:v>
      </x:c>
      <x:c r="L449" s="54" t="n">
        <x:f>IF(M449=0,0,(E449+F449)/2)</x:f>
        <x:v>12.5</x:v>
      </x:c>
      <x:c r="M449" t="n">
        <x:v>1</x:v>
      </x:c>
      <x:c r="N449" t="n">
        <x:v>8</x:v>
      </x:c>
      <x:c r="O449" t="n">
        <x:v>8</x:v>
      </x:c>
      <x:c r="P449" s="63" t="str">
        <x:f>IF(M449=0,"—",M449&amp;"d"&amp;N449&amp;IF(O449=0,""," + "&amp;O449))</x:f>
        <x:v>1d8 + 8</x:v>
      </x:c>
      <x:c r="Q449" t="n">
        <x:f>ROUND(INDEX(Catalogue!E$4:E$85,MATCH(A449,Catalogue!A$4:A$85,0))*(1+'Paramètres'!$B$4*(C449-1)+'Paramètres'!$B$5*(C449-1)^2),0)</x:f>
        <x:v>8</x:v>
      </x:c>
      <x:c r="R449" t="n">
        <x:f>ROUND(INDEX(Catalogue!F$4:F$85,MATCH(A449,Catalogue!A$4:A$85,0))*(1+'Paramètres'!$B$4*(C449-1)+'Paramètres'!$B$5*(C449-1)^2),0)</x:f>
        <x:v>16</x:v>
      </x:c>
      <x:c r="S449" t="n">
        <x:f>L449-AVERAGE(Q449:R449)</x:f>
        <x:v>0.5</x:v>
      </x:c>
      <x:c r="T449" t="str">
        <x:f>IF(M449=0,IF(AND(N449=0,O449=0,E449=0,F449=0),"OK","ERREUR"),IF(AND(M449&gt;=1,M449&lt;=32,OR(N449=4,N449=6,N449=8,N449=10,N449=12,N449=20),O449&gt;=0,E449=M449+O449,F449=M449*N449+O449),"OK","ERREUR"))</x:f>
        <x:v>OK</x:v>
      </x:c>
      <x:c r="U449" s="86" t="n">
        <x:f>IF(M449&gt;0,M449*(N449+1)/2+O449,0)</x:f>
        <x:v>12.5</x:v>
      </x:c>
      <x:c r="V449" t="str">
        <x:f>IF(ABS(L449-U449)&lt;0.001,"OK","ERREUR")</x:f>
        <x:v>OK</x:v>
      </x:c>
    </x:row>
    <x:row r="450" ht="18" customHeight="1">
      <x:c r="A450" t="str">
        <x:v>ARM023</x:v>
      </x:c>
      <x:c r="B450" t="str">
        <x:v>Fléau d'armes</x:v>
      </x:c>
      <x:c r="C450" t="n">
        <x:v>7</x:v>
      </x:c>
      <x:c r="D450" t="str">
        <x:v>Une main</x:v>
      </x:c>
      <x:c r="E450" s="28" t="n">
        <x:f>IF(M450=0,0,M450+O450)</x:f>
        <x:v>9</x:v>
      </x:c>
      <x:c r="F450" s="28" t="n">
        <x:f>IF(M450=0,0,M450*N450+O450)</x:f>
        <x:v>18</x:v>
      </x:c>
      <x:c r="G450" s="28" t="n">
        <x:f>ROUND(Catalogue!G26*SQRT((1+'Paramètres'!$B$4*(C450-1)+'Paramètres'!$B$5*(C450-1)^2)),0)</x:f>
        <x:v>0</x:v>
      </x:c>
      <x:c r="H450" s="28" t="n">
        <x:f>ROUND(Catalogue!H26*SQRT((1+'Paramètres'!$B$4*(C450-1)+'Paramètres'!$B$5*(C450-1)^2)),0)</x:f>
        <x:v>0</x:v>
      </x:c>
      <x:c r="I450" s="28" t="n">
        <x:v>2</x:v>
      </x:c>
      <x:c r="J450" s="28" t="n">
        <x:v>1</x:v>
      </x:c>
      <x:c r="K450" s="30" t="n">
        <x:v>2.5</x:v>
      </x:c>
      <x:c r="L450" s="54" t="n">
        <x:f>IF(M450=0,0,(E450+F450)/2)</x:f>
        <x:v>13.5</x:v>
      </x:c>
      <x:c r="M450" t="n">
        <x:v>1</x:v>
      </x:c>
      <x:c r="N450" t="n">
        <x:v>10</x:v>
      </x:c>
      <x:c r="O450" t="n">
        <x:v>8</x:v>
      </x:c>
      <x:c r="P450" s="63" t="str">
        <x:f>IF(M450=0,"—",M450&amp;"d"&amp;N450&amp;IF(O450=0,""," + "&amp;O450))</x:f>
        <x:v>1d10 + 8</x:v>
      </x:c>
      <x:c r="Q450" t="n">
        <x:f>ROUND(INDEX(Catalogue!E$4:E$85,MATCH(A450,Catalogue!A$4:A$85,0))*(1+'Paramètres'!$B$4*(C450-1)+'Paramètres'!$B$5*(C450-1)^2),0)</x:f>
        <x:v>9</x:v>
      </x:c>
      <x:c r="R450" t="n">
        <x:f>ROUND(INDEX(Catalogue!F$4:F$85,MATCH(A450,Catalogue!A$4:A$85,0))*(1+'Paramètres'!$B$4*(C450-1)+'Paramètres'!$B$5*(C450-1)^2),0)</x:f>
        <x:v>18</x:v>
      </x:c>
      <x:c r="S450" t="n">
        <x:f>L450-AVERAGE(Q450:R450)</x:f>
        <x:v>0</x:v>
      </x:c>
      <x:c r="T450" t="str">
        <x:f>IF(M450=0,IF(AND(N450=0,O450=0,E450=0,F450=0),"OK","ERREUR"),IF(AND(M450&gt;=1,M450&lt;=32,OR(N450=4,N450=6,N450=8,N450=10,N450=12,N450=20),O450&gt;=0,E450=M450+O450,F450=M450*N450+O450),"OK","ERREUR"))</x:f>
        <x:v>OK</x:v>
      </x:c>
      <x:c r="U450" s="86" t="n">
        <x:f>IF(M450&gt;0,M450*(N450+1)/2+O450,0)</x:f>
        <x:v>13.5</x:v>
      </x:c>
      <x:c r="V450" t="str">
        <x:f>IF(ABS(L450-U450)&lt;0.001,"OK","ERREUR")</x:f>
        <x:v>OK</x:v>
      </x:c>
    </x:row>
    <x:row r="451" ht="18" customHeight="1">
      <x:c r="A451" t="str">
        <x:v>ARM023</x:v>
      </x:c>
      <x:c r="B451" t="str">
        <x:v>Fléau d'armes</x:v>
      </x:c>
      <x:c r="C451" t="n">
        <x:v>8</x:v>
      </x:c>
      <x:c r="D451" t="str">
        <x:v>Une main</x:v>
      </x:c>
      <x:c r="E451" s="28" t="n">
        <x:f>IF(M451=0,0,M451+O451)</x:f>
        <x:v>10</x:v>
      </x:c>
      <x:c r="F451" s="28" t="n">
        <x:f>IF(M451=0,0,M451*N451+O451)</x:f>
        <x:v>20</x:v>
      </x:c>
      <x:c r="G451" s="28" t="n">
        <x:f>ROUND(Catalogue!G26*SQRT((1+'Paramètres'!$B$4*(C451-1)+'Paramètres'!$B$5*(C451-1)^2)),0)</x:f>
        <x:v>0</x:v>
      </x:c>
      <x:c r="H451" s="28" t="n">
        <x:f>ROUND(Catalogue!H26*SQRT((1+'Paramètres'!$B$4*(C451-1)+'Paramètres'!$B$5*(C451-1)^2)),0)</x:f>
        <x:v>0</x:v>
      </x:c>
      <x:c r="I451" s="28" t="n">
        <x:v>2</x:v>
      </x:c>
      <x:c r="J451" s="28" t="n">
        <x:v>1</x:v>
      </x:c>
      <x:c r="K451" s="30" t="n">
        <x:v>2.5</x:v>
      </x:c>
      <x:c r="L451" s="54" t="n">
        <x:f>IF(M451=0,0,(E451+F451)/2)</x:f>
        <x:v>15</x:v>
      </x:c>
      <x:c r="M451" t="n">
        <x:v>2</x:v>
      </x:c>
      <x:c r="N451" t="n">
        <x:v>6</x:v>
      </x:c>
      <x:c r="O451" t="n">
        <x:v>8</x:v>
      </x:c>
      <x:c r="P451" s="63" t="str">
        <x:f>IF(M451=0,"—",M451&amp;"d"&amp;N451&amp;IF(O451=0,""," + "&amp;O451))</x:f>
        <x:v>2d6 + 8</x:v>
      </x:c>
      <x:c r="Q451" t="n">
        <x:f>ROUND(INDEX(Catalogue!E$4:E$85,MATCH(A451,Catalogue!A$4:A$85,0))*(1+'Paramètres'!$B$4*(C451-1)+'Paramètres'!$B$5*(C451-1)^2),0)</x:f>
        <x:v>10</x:v>
      </x:c>
      <x:c r="R451" t="n">
        <x:f>ROUND(INDEX(Catalogue!F$4:F$85,MATCH(A451,Catalogue!A$4:A$85,0))*(1+'Paramètres'!$B$4*(C451-1)+'Paramètres'!$B$5*(C451-1)^2),0)</x:f>
        <x:v>20</x:v>
      </x:c>
      <x:c r="S451" t="n">
        <x:f>L451-AVERAGE(Q451:R451)</x:f>
        <x:v>0</x:v>
      </x:c>
      <x:c r="T451" t="str">
        <x:f>IF(M451=0,IF(AND(N451=0,O451=0,E451=0,F451=0),"OK","ERREUR"),IF(AND(M451&gt;=1,M451&lt;=32,OR(N451=4,N451=6,N451=8,N451=10,N451=12,N451=20),O451&gt;=0,E451=M451+O451,F451=M451*N451+O451),"OK","ERREUR"))</x:f>
        <x:v>OK</x:v>
      </x:c>
      <x:c r="U451" s="86" t="n">
        <x:f>IF(M451&gt;0,M451*(N451+1)/2+O451,0)</x:f>
        <x:v>15</x:v>
      </x:c>
      <x:c r="V451" t="str">
        <x:f>IF(ABS(L451-U451)&lt;0.001,"OK","ERREUR")</x:f>
        <x:v>OK</x:v>
      </x:c>
    </x:row>
    <x:row r="452" ht="18" customHeight="1">
      <x:c r="A452" t="str">
        <x:v>ARM023</x:v>
      </x:c>
      <x:c r="B452" t="str">
        <x:v>Fléau d'armes</x:v>
      </x:c>
      <x:c r="C452" t="n">
        <x:v>9</x:v>
      </x:c>
      <x:c r="D452" t="str">
        <x:v>Une main</x:v>
      </x:c>
      <x:c r="E452" s="28" t="n">
        <x:f>IF(M452=0,0,M452+O452)</x:f>
        <x:v>12</x:v>
      </x:c>
      <x:c r="F452" s="28" t="n">
        <x:f>IF(M452=0,0,M452*N452+O452)</x:f>
        <x:v>23</x:v>
      </x:c>
      <x:c r="G452" s="28" t="n">
        <x:f>ROUND(Catalogue!G26*SQRT((1+'Paramètres'!$B$4*(C452-1)+'Paramètres'!$B$5*(C452-1)^2)),0)</x:f>
        <x:v>0</x:v>
      </x:c>
      <x:c r="H452" s="28" t="n">
        <x:f>ROUND(Catalogue!H26*SQRT((1+'Paramètres'!$B$4*(C452-1)+'Paramètres'!$B$5*(C452-1)^2)),0)</x:f>
        <x:v>0</x:v>
      </x:c>
      <x:c r="I452" s="28" t="n">
        <x:v>2</x:v>
      </x:c>
      <x:c r="J452" s="28" t="n">
        <x:v>1</x:v>
      </x:c>
      <x:c r="K452" s="30" t="n">
        <x:v>2.5</x:v>
      </x:c>
      <x:c r="L452" s="54" t="n">
        <x:f>IF(M452=0,0,(E452+F452)/2)</x:f>
        <x:v>17.5</x:v>
      </x:c>
      <x:c r="M452" t="n">
        <x:v>1</x:v>
      </x:c>
      <x:c r="N452" t="n">
        <x:v>12</x:v>
      </x:c>
      <x:c r="O452" t="n">
        <x:v>11</x:v>
      </x:c>
      <x:c r="P452" s="63" t="str">
        <x:f>IF(M452=0,"—",M452&amp;"d"&amp;N452&amp;IF(O452=0,""," + "&amp;O452))</x:f>
        <x:v>1d12 + 11</x:v>
      </x:c>
      <x:c r="Q452" t="n">
        <x:f>ROUND(INDEX(Catalogue!E$4:E$85,MATCH(A452,Catalogue!A$4:A$85,0))*(1+'Paramètres'!$B$4*(C452-1)+'Paramètres'!$B$5*(C452-1)^2),0)</x:f>
        <x:v>12</x:v>
      </x:c>
      <x:c r="R452" t="n">
        <x:f>ROUND(INDEX(Catalogue!F$4:F$85,MATCH(A452,Catalogue!A$4:A$85,0))*(1+'Paramètres'!$B$4*(C452-1)+'Paramètres'!$B$5*(C452-1)^2),0)</x:f>
        <x:v>23</x:v>
      </x:c>
      <x:c r="S452" t="n">
        <x:f>L452-AVERAGE(Q452:R452)</x:f>
        <x:v>0</x:v>
      </x:c>
      <x:c r="T452" t="str">
        <x:f>IF(M452=0,IF(AND(N452=0,O452=0,E452=0,F452=0),"OK","ERREUR"),IF(AND(M452&gt;=1,M452&lt;=32,OR(N452=4,N452=6,N452=8,N452=10,N452=12,N452=20),O452&gt;=0,E452=M452+O452,F452=M452*N452+O452),"OK","ERREUR"))</x:f>
        <x:v>OK</x:v>
      </x:c>
      <x:c r="U452" s="86" t="n">
        <x:f>IF(M452&gt;0,M452*(N452+1)/2+O452,0)</x:f>
        <x:v>17.5</x:v>
      </x:c>
      <x:c r="V452" t="str">
        <x:f>IF(ABS(L452-U452)&lt;0.001,"OK","ERREUR")</x:f>
        <x:v>OK</x:v>
      </x:c>
    </x:row>
    <x:row r="453" ht="18" customHeight="1">
      <x:c r="A453" t="str">
        <x:v>ARM023</x:v>
      </x:c>
      <x:c r="B453" t="str">
        <x:v>Fléau d'armes</x:v>
      </x:c>
      <x:c r="C453" t="n">
        <x:v>10</x:v>
      </x:c>
      <x:c r="D453" t="str">
        <x:v>Une main</x:v>
      </x:c>
      <x:c r="E453" s="28" t="n">
        <x:f>IF(M453=0,0,M453+O453)</x:f>
        <x:v>12</x:v>
      </x:c>
      <x:c r="F453" s="28" t="n">
        <x:f>IF(M453=0,0,M453*N453+O453)</x:f>
        <x:v>26</x:v>
      </x:c>
      <x:c r="G453" s="28" t="n">
        <x:f>ROUND(Catalogue!G26*SQRT((1+'Paramètres'!$B$4*(C453-1)+'Paramètres'!$B$5*(C453-1)^2)),0)</x:f>
        <x:v>0</x:v>
      </x:c>
      <x:c r="H453" s="28" t="n">
        <x:f>ROUND(Catalogue!H26*SQRT((1+'Paramètres'!$B$4*(C453-1)+'Paramètres'!$B$5*(C453-1)^2)),0)</x:f>
        <x:v>0</x:v>
      </x:c>
      <x:c r="I453" s="28" t="n">
        <x:v>2</x:v>
      </x:c>
      <x:c r="J453" s="28" t="n">
        <x:v>1</x:v>
      </x:c>
      <x:c r="K453" s="30" t="n">
        <x:v>2.5</x:v>
      </x:c>
      <x:c r="L453" s="54" t="n">
        <x:f>IF(M453=0,0,(E453+F453)/2)</x:f>
        <x:v>19</x:v>
      </x:c>
      <x:c r="M453" t="n">
        <x:v>2</x:v>
      </x:c>
      <x:c r="N453" t="n">
        <x:v>8</x:v>
      </x:c>
      <x:c r="O453" t="n">
        <x:v>10</x:v>
      </x:c>
      <x:c r="P453" s="63" t="str">
        <x:f>IF(M453=0,"—",M453&amp;"d"&amp;N453&amp;IF(O453=0,""," + "&amp;O453))</x:f>
        <x:v>2d8 + 10</x:v>
      </x:c>
      <x:c r="Q453" t="n">
        <x:f>ROUND(INDEX(Catalogue!E$4:E$85,MATCH(A453,Catalogue!A$4:A$85,0))*(1+'Paramètres'!$B$4*(C453-1)+'Paramètres'!$B$5*(C453-1)^2),0)</x:f>
        <x:v>13</x:v>
      </x:c>
      <x:c r="R453" t="n">
        <x:f>ROUND(INDEX(Catalogue!F$4:F$85,MATCH(A453,Catalogue!A$4:A$85,0))*(1+'Paramètres'!$B$4*(C453-1)+'Paramètres'!$B$5*(C453-1)^2),0)</x:f>
        <x:v>26</x:v>
      </x:c>
      <x:c r="S453" t="n">
        <x:f>L453-AVERAGE(Q453:R453)</x:f>
        <x:v>-0.5</x:v>
      </x:c>
      <x:c r="T453" t="str">
        <x:f>IF(M453=0,IF(AND(N453=0,O453=0,E453=0,F453=0),"OK","ERREUR"),IF(AND(M453&gt;=1,M453&lt;=32,OR(N453=4,N453=6,N453=8,N453=10,N453=12,N453=20),O453&gt;=0,E453=M453+O453,F453=M453*N453+O453),"OK","ERREUR"))</x:f>
        <x:v>OK</x:v>
      </x:c>
      <x:c r="U453" s="86" t="n">
        <x:f>IF(M453&gt;0,M453*(N453+1)/2+O453,0)</x:f>
        <x:v>19</x:v>
      </x:c>
      <x:c r="V453" t="str">
        <x:f>IF(ABS(L453-U453)&lt;0.001,"OK","ERREUR")</x:f>
        <x:v>OK</x:v>
      </x:c>
    </x:row>
    <x:row r="454" ht="18" customHeight="1">
      <x:c r="A454" t="str">
        <x:v>ARM023</x:v>
      </x:c>
      <x:c r="B454" t="str">
        <x:v>Fléau d'armes</x:v>
      </x:c>
      <x:c r="C454" t="n">
        <x:v>11</x:v>
      </x:c>
      <x:c r="D454" t="str">
        <x:v>Une main</x:v>
      </x:c>
      <x:c r="E454" s="28" t="n">
        <x:f>IF(M454=0,0,M454+O454)</x:f>
        <x:v>15</x:v>
      </x:c>
      <x:c r="F454" s="28" t="n">
        <x:f>IF(M454=0,0,M454*N454+O454)</x:f>
        <x:v>30</x:v>
      </x:c>
      <x:c r="G454" s="28" t="n">
        <x:f>ROUND(Catalogue!G26*SQRT((1+'Paramètres'!$B$4*(C454-1)+'Paramètres'!$B$5*(C454-1)^2)),0)</x:f>
        <x:v>0</x:v>
      </x:c>
      <x:c r="H454" s="28" t="n">
        <x:f>ROUND(Catalogue!H26*SQRT((1+'Paramètres'!$B$4*(C454-1)+'Paramètres'!$B$5*(C454-1)^2)),0)</x:f>
        <x:v>0</x:v>
      </x:c>
      <x:c r="I454" s="28" t="n">
        <x:v>2</x:v>
      </x:c>
      <x:c r="J454" s="28" t="n">
        <x:v>1</x:v>
      </x:c>
      <x:c r="K454" s="30" t="n">
        <x:v>2.5</x:v>
      </x:c>
      <x:c r="L454" s="54" t="n">
        <x:f>IF(M454=0,0,(E454+F454)/2)</x:f>
        <x:v>22.5</x:v>
      </x:c>
      <x:c r="M454" t="n">
        <x:v>3</x:v>
      </x:c>
      <x:c r="N454" t="n">
        <x:v>6</x:v>
      </x:c>
      <x:c r="O454" t="n">
        <x:v>12</x:v>
      </x:c>
      <x:c r="P454" s="63" t="str">
        <x:f>IF(M454=0,"—",M454&amp;"d"&amp;N454&amp;IF(O454=0,""," + "&amp;O454))</x:f>
        <x:v>3d6 + 12</x:v>
      </x:c>
      <x:c r="Q454" t="n">
        <x:f>ROUND(INDEX(Catalogue!E$4:E$85,MATCH(A454,Catalogue!A$4:A$85,0))*(1+'Paramètres'!$B$4*(C454-1)+'Paramètres'!$B$5*(C454-1)^2),0)</x:f>
        <x:v>15</x:v>
      </x:c>
      <x:c r="R454" t="n">
        <x:f>ROUND(INDEX(Catalogue!F$4:F$85,MATCH(A454,Catalogue!A$4:A$85,0))*(1+'Paramètres'!$B$4*(C454-1)+'Paramètres'!$B$5*(C454-1)^2),0)</x:f>
        <x:v>30</x:v>
      </x:c>
      <x:c r="S454" t="n">
        <x:f>L454-AVERAGE(Q454:R454)</x:f>
        <x:v>0</x:v>
      </x:c>
      <x:c r="T454" t="str">
        <x:f>IF(M454=0,IF(AND(N454=0,O454=0,E454=0,F454=0),"OK","ERREUR"),IF(AND(M454&gt;=1,M454&lt;=32,OR(N454=4,N454=6,N454=8,N454=10,N454=12,N454=20),O454&gt;=0,E454=M454+O454,F454=M454*N454+O454),"OK","ERREUR"))</x:f>
        <x:v>OK</x:v>
      </x:c>
      <x:c r="U454" s="86" t="n">
        <x:f>IF(M454&gt;0,M454*(N454+1)/2+O454,0)</x:f>
        <x:v>22.5</x:v>
      </x:c>
      <x:c r="V454" t="str">
        <x:f>IF(ABS(L454-U454)&lt;0.001,"OK","ERREUR")</x:f>
        <x:v>OK</x:v>
      </x:c>
    </x:row>
    <x:row r="455" ht="18" customHeight="1">
      <x:c r="A455" t="str">
        <x:v>ARM023</x:v>
      </x:c>
      <x:c r="B455" t="str">
        <x:v>Fléau d'armes</x:v>
      </x:c>
      <x:c r="C455" t="n">
        <x:v>12</x:v>
      </x:c>
      <x:c r="D455" t="str">
        <x:v>Une main</x:v>
      </x:c>
      <x:c r="E455" s="28" t="n">
        <x:f>IF(M455=0,0,M455+O455)</x:f>
        <x:v>17</x:v>
      </x:c>
      <x:c r="F455" s="28" t="n">
        <x:f>IF(M455=0,0,M455*N455+O455)</x:f>
        <x:v>32</x:v>
      </x:c>
      <x:c r="G455" s="28" t="n">
        <x:f>ROUND(Catalogue!G26*SQRT((1+'Paramètres'!$B$4*(C455-1)+'Paramètres'!$B$5*(C455-1)^2)),0)</x:f>
        <x:v>0</x:v>
      </x:c>
      <x:c r="H455" s="28" t="n">
        <x:f>ROUND(Catalogue!H26*SQRT((1+'Paramètres'!$B$4*(C455-1)+'Paramètres'!$B$5*(C455-1)^2)),0)</x:f>
        <x:v>0</x:v>
      </x:c>
      <x:c r="I455" s="28" t="n">
        <x:v>2</x:v>
      </x:c>
      <x:c r="J455" s="28" t="n">
        <x:v>1</x:v>
      </x:c>
      <x:c r="K455" s="30" t="n">
        <x:v>2.5</x:v>
      </x:c>
      <x:c r="L455" s="54" t="n">
        <x:f>IF(M455=0,0,(E455+F455)/2)</x:f>
        <x:v>24.5</x:v>
      </x:c>
      <x:c r="M455" t="n">
        <x:v>3</x:v>
      </x:c>
      <x:c r="N455" t="n">
        <x:v>6</x:v>
      </x:c>
      <x:c r="O455" t="n">
        <x:v>14</x:v>
      </x:c>
      <x:c r="P455" s="63" t="str">
        <x:f>IF(M455=0,"—",M455&amp;"d"&amp;N455&amp;IF(O455=0,""," + "&amp;O455))</x:f>
        <x:v>3d6 + 14</x:v>
      </x:c>
      <x:c r="Q455" t="n">
        <x:f>ROUND(INDEX(Catalogue!E$4:E$85,MATCH(A455,Catalogue!A$4:A$85,0))*(1+'Paramètres'!$B$4*(C455-1)+'Paramètres'!$B$5*(C455-1)^2),0)</x:f>
        <x:v>17</x:v>
      </x:c>
      <x:c r="R455" t="n">
        <x:f>ROUND(INDEX(Catalogue!F$4:F$85,MATCH(A455,Catalogue!A$4:A$85,0))*(1+'Paramètres'!$B$4*(C455-1)+'Paramètres'!$B$5*(C455-1)^2),0)</x:f>
        <x:v>33</x:v>
      </x:c>
      <x:c r="S455" t="n">
        <x:f>L455-AVERAGE(Q455:R455)</x:f>
        <x:v>-0.5</x:v>
      </x:c>
      <x:c r="T455" t="str">
        <x:f>IF(M455=0,IF(AND(N455=0,O455=0,E455=0,F455=0),"OK","ERREUR"),IF(AND(M455&gt;=1,M455&lt;=32,OR(N455=4,N455=6,N455=8,N455=10,N455=12,N455=20),O455&gt;=0,E455=M455+O455,F455=M455*N455+O455),"OK","ERREUR"))</x:f>
        <x:v>OK</x:v>
      </x:c>
      <x:c r="U455" s="86" t="n">
        <x:f>IF(M455&gt;0,M455*(N455+1)/2+O455,0)</x:f>
        <x:v>24.5</x:v>
      </x:c>
      <x:c r="V455" t="str">
        <x:f>IF(ABS(L455-U455)&lt;0.001,"OK","ERREUR")</x:f>
        <x:v>OK</x:v>
      </x:c>
    </x:row>
    <x:row r="456" ht="18" customHeight="1">
      <x:c r="A456" t="str">
        <x:v>ARM023</x:v>
      </x:c>
      <x:c r="B456" t="str">
        <x:v>Fléau d'armes</x:v>
      </x:c>
      <x:c r="C456" t="n">
        <x:v>13</x:v>
      </x:c>
      <x:c r="D456" t="str">
        <x:v>Une main</x:v>
      </x:c>
      <x:c r="E456" s="28" t="n">
        <x:f>IF(M456=0,0,M456+O456)</x:f>
        <x:v>18</x:v>
      </x:c>
      <x:c r="F456" s="28" t="n">
        <x:f>IF(M456=0,0,M456*N456+O456)</x:f>
        <x:v>36</x:v>
      </x:c>
      <x:c r="G456" s="28" t="n">
        <x:f>ROUND(Catalogue!G26*SQRT((1+'Paramètres'!$B$4*(C456-1)+'Paramètres'!$B$5*(C456-1)^2)),0)</x:f>
        <x:v>0</x:v>
      </x:c>
      <x:c r="H456" s="28" t="n">
        <x:f>ROUND(Catalogue!H26*SQRT((1+'Paramètres'!$B$4*(C456-1)+'Paramètres'!$B$5*(C456-1)^2)),0)</x:f>
        <x:v>0</x:v>
      </x:c>
      <x:c r="I456" s="28" t="n">
        <x:v>2</x:v>
      </x:c>
      <x:c r="J456" s="28" t="n">
        <x:v>1</x:v>
      </x:c>
      <x:c r="K456" s="30" t="n">
        <x:v>2.5</x:v>
      </x:c>
      <x:c r="L456" s="54" t="n">
        <x:f>IF(M456=0,0,(E456+F456)/2)</x:f>
        <x:v>27</x:v>
      </x:c>
      <x:c r="M456" t="n">
        <x:v>2</x:v>
      </x:c>
      <x:c r="N456" t="n">
        <x:v>10</x:v>
      </x:c>
      <x:c r="O456" t="n">
        <x:v>16</x:v>
      </x:c>
      <x:c r="P456" s="63" t="str">
        <x:f>IF(M456=0,"—",M456&amp;"d"&amp;N456&amp;IF(O456=0,""," + "&amp;O456))</x:f>
        <x:v>2d10 + 16</x:v>
      </x:c>
      <x:c r="Q456" t="n">
        <x:f>ROUND(INDEX(Catalogue!E$4:E$85,MATCH(A456,Catalogue!A$4:A$85,0))*(1+'Paramètres'!$B$4*(C456-1)+'Paramètres'!$B$5*(C456-1)^2),0)</x:f>
        <x:v>18</x:v>
      </x:c>
      <x:c r="R456" t="n">
        <x:f>ROUND(INDEX(Catalogue!F$4:F$85,MATCH(A456,Catalogue!A$4:A$85,0))*(1+'Paramètres'!$B$4*(C456-1)+'Paramètres'!$B$5*(C456-1)^2),0)</x:f>
        <x:v>37</x:v>
      </x:c>
      <x:c r="S456" t="n">
        <x:f>L456-AVERAGE(Q456:R456)</x:f>
        <x:v>-0.5</x:v>
      </x:c>
      <x:c r="T456" t="str">
        <x:f>IF(M456=0,IF(AND(N456=0,O456=0,E456=0,F456=0),"OK","ERREUR"),IF(AND(M456&gt;=1,M456&lt;=32,OR(N456=4,N456=6,N456=8,N456=10,N456=12,N456=20),O456&gt;=0,E456=M456+O456,F456=M456*N456+O456),"OK","ERREUR"))</x:f>
        <x:v>OK</x:v>
      </x:c>
      <x:c r="U456" s="86" t="n">
        <x:f>IF(M456&gt;0,M456*(N456+1)/2+O456,0)</x:f>
        <x:v>27</x:v>
      </x:c>
      <x:c r="V456" t="str">
        <x:f>IF(ABS(L456-U456)&lt;0.001,"OK","ERREUR")</x:f>
        <x:v>OK</x:v>
      </x:c>
    </x:row>
    <x:row r="457" ht="18" customHeight="1">
      <x:c r="A457" t="str">
        <x:v>ARM023</x:v>
      </x:c>
      <x:c r="B457" t="str">
        <x:v>Fléau d'armes</x:v>
      </x:c>
      <x:c r="C457" t="n">
        <x:v>14</x:v>
      </x:c>
      <x:c r="D457" t="str">
        <x:v>Une main</x:v>
      </x:c>
      <x:c r="E457" s="28" t="n">
        <x:f>IF(M457=0,0,M457+O457)</x:f>
        <x:v>21</x:v>
      </x:c>
      <x:c r="F457" s="28" t="n">
        <x:f>IF(M457=0,0,M457*N457+O457)</x:f>
        <x:v>41</x:v>
      </x:c>
      <x:c r="G457" s="28" t="n">
        <x:f>ROUND(Catalogue!G26*SQRT((1+'Paramètres'!$B$4*(C457-1)+'Paramètres'!$B$5*(C457-1)^2)),0)</x:f>
        <x:v>0</x:v>
      </x:c>
      <x:c r="H457" s="28" t="n">
        <x:f>ROUND(Catalogue!H26*SQRT((1+'Paramètres'!$B$4*(C457-1)+'Paramètres'!$B$5*(C457-1)^2)),0)</x:f>
        <x:v>0</x:v>
      </x:c>
      <x:c r="I457" s="28" t="n">
        <x:v>2</x:v>
      </x:c>
      <x:c r="J457" s="28" t="n">
        <x:v>1</x:v>
      </x:c>
      <x:c r="K457" s="30" t="n">
        <x:v>2.5</x:v>
      </x:c>
      <x:c r="L457" s="54" t="n">
        <x:f>IF(M457=0,0,(E457+F457)/2)</x:f>
        <x:v>31</x:v>
      </x:c>
      <x:c r="M457" t="n">
        <x:v>4</x:v>
      </x:c>
      <x:c r="N457" t="n">
        <x:v>6</x:v>
      </x:c>
      <x:c r="O457" t="n">
        <x:v>17</x:v>
      </x:c>
      <x:c r="P457" s="63" t="str">
        <x:f>IF(M457=0,"—",M457&amp;"d"&amp;N457&amp;IF(O457=0,""," + "&amp;O457))</x:f>
        <x:v>4d6 + 17</x:v>
      </x:c>
      <x:c r="Q457" t="n">
        <x:f>ROUND(INDEX(Catalogue!E$4:E$85,MATCH(A457,Catalogue!A$4:A$85,0))*(1+'Paramètres'!$B$4*(C457-1)+'Paramètres'!$B$5*(C457-1)^2),0)</x:f>
        <x:v>21</x:v>
      </x:c>
      <x:c r="R457" t="n">
        <x:f>ROUND(INDEX(Catalogue!F$4:F$85,MATCH(A457,Catalogue!A$4:A$85,0))*(1+'Paramètres'!$B$4*(C457-1)+'Paramètres'!$B$5*(C457-1)^2),0)</x:f>
        <x:v>41</x:v>
      </x:c>
      <x:c r="S457" t="n">
        <x:f>L457-AVERAGE(Q457:R457)</x:f>
        <x:v>0</x:v>
      </x:c>
      <x:c r="T457" t="str">
        <x:f>IF(M457=0,IF(AND(N457=0,O457=0,E457=0,F457=0),"OK","ERREUR"),IF(AND(M457&gt;=1,M457&lt;=32,OR(N457=4,N457=6,N457=8,N457=10,N457=12,N457=20),O457&gt;=0,E457=M457+O457,F457=M457*N457+O457),"OK","ERREUR"))</x:f>
        <x:v>OK</x:v>
      </x:c>
      <x:c r="U457" s="86" t="n">
        <x:f>IF(M457&gt;0,M457*(N457+1)/2+O457,0)</x:f>
        <x:v>31</x:v>
      </x:c>
      <x:c r="V457" t="str">
        <x:f>IF(ABS(L457-U457)&lt;0.001,"OK","ERREUR")</x:f>
        <x:v>OK</x:v>
      </x:c>
    </x:row>
    <x:row r="458" ht="18" customHeight="1">
      <x:c r="A458" t="str">
        <x:v>ARM023</x:v>
      </x:c>
      <x:c r="B458" t="str">
        <x:v>Fléau d'armes</x:v>
      </x:c>
      <x:c r="C458" t="n">
        <x:v>15</x:v>
      </x:c>
      <x:c r="D458" t="str">
        <x:v>Une main</x:v>
      </x:c>
      <x:c r="E458" s="28" t="n">
        <x:f>IF(M458=0,0,M458+O458)</x:f>
        <x:v>23</x:v>
      </x:c>
      <x:c r="F458" s="28" t="n">
        <x:f>IF(M458=0,0,M458*N458+O458)</x:f>
        <x:v>45</x:v>
      </x:c>
      <x:c r="G458" s="28" t="n">
        <x:f>ROUND(Catalogue!G26*SQRT((1+'Paramètres'!$B$4*(C458-1)+'Paramètres'!$B$5*(C458-1)^2)),0)</x:f>
        <x:v>0</x:v>
      </x:c>
      <x:c r="H458" s="28" t="n">
        <x:f>ROUND(Catalogue!H26*SQRT((1+'Paramètres'!$B$4*(C458-1)+'Paramètres'!$B$5*(C458-1)^2)),0)</x:f>
        <x:v>0</x:v>
      </x:c>
      <x:c r="I458" s="28" t="n">
        <x:v>2</x:v>
      </x:c>
      <x:c r="J458" s="28" t="n">
        <x:v>1</x:v>
      </x:c>
      <x:c r="K458" s="30" t="n">
        <x:v>2.5</x:v>
      </x:c>
      <x:c r="L458" s="54" t="n">
        <x:f>IF(M458=0,0,(E458+F458)/2)</x:f>
        <x:v>34</x:v>
      </x:c>
      <x:c r="M458" t="n">
        <x:v>2</x:v>
      </x:c>
      <x:c r="N458" t="n">
        <x:v>12</x:v>
      </x:c>
      <x:c r="O458" t="n">
        <x:v>21</x:v>
      </x:c>
      <x:c r="P458" s="63" t="str">
        <x:f>IF(M458=0,"—",M458&amp;"d"&amp;N458&amp;IF(O458=0,""," + "&amp;O458))</x:f>
        <x:v>2d12 + 21</x:v>
      </x:c>
      <x:c r="Q458" t="n">
        <x:f>ROUND(INDEX(Catalogue!E$4:E$85,MATCH(A458,Catalogue!A$4:A$85,0))*(1+'Paramètres'!$B$4*(C458-1)+'Paramètres'!$B$5*(C458-1)^2),0)</x:f>
        <x:v>23</x:v>
      </x:c>
      <x:c r="R458" t="n">
        <x:f>ROUND(INDEX(Catalogue!F$4:F$85,MATCH(A458,Catalogue!A$4:A$85,0))*(1+'Paramètres'!$B$4*(C458-1)+'Paramètres'!$B$5*(C458-1)^2),0)</x:f>
        <x:v>45</x:v>
      </x:c>
      <x:c r="S458" t="n">
        <x:f>L458-AVERAGE(Q458:R458)</x:f>
        <x:v>0</x:v>
      </x:c>
      <x:c r="T458" t="str">
        <x:f>IF(M458=0,IF(AND(N458=0,O458=0,E458=0,F458=0),"OK","ERREUR"),IF(AND(M458&gt;=1,M458&lt;=32,OR(N458=4,N458=6,N458=8,N458=10,N458=12,N458=20),O458&gt;=0,E458=M458+O458,F458=M458*N458+O458),"OK","ERREUR"))</x:f>
        <x:v>OK</x:v>
      </x:c>
      <x:c r="U458" s="86" t="n">
        <x:f>IF(M458&gt;0,M458*(N458+1)/2+O458,0)</x:f>
        <x:v>34</x:v>
      </x:c>
      <x:c r="V458" t="str">
        <x:f>IF(ABS(L458-U458)&lt;0.001,"OK","ERREUR")</x:f>
        <x:v>OK</x:v>
      </x:c>
    </x:row>
    <x:row r="459" ht="18" customHeight="1">
      <x:c r="A459" t="str">
        <x:v>ARM023</x:v>
      </x:c>
      <x:c r="B459" t="str">
        <x:v>Fléau d'armes</x:v>
      </x:c>
      <x:c r="C459" t="n">
        <x:v>16</x:v>
      </x:c>
      <x:c r="D459" t="str">
        <x:v>Une main</x:v>
      </x:c>
      <x:c r="E459" s="28" t="n">
        <x:f>IF(M459=0,0,M459+O459)</x:f>
        <x:v>25</x:v>
      </x:c>
      <x:c r="F459" s="28" t="n">
        <x:f>IF(M459=0,0,M459*N459+O459)</x:f>
        <x:v>50</x:v>
      </x:c>
      <x:c r="G459" s="28" t="n">
        <x:f>ROUND(Catalogue!G26*SQRT((1+'Paramètres'!$B$4*(C459-1)+'Paramètres'!$B$5*(C459-1)^2)),0)</x:f>
        <x:v>0</x:v>
      </x:c>
      <x:c r="H459" s="28" t="n">
        <x:f>ROUND(Catalogue!H26*SQRT((1+'Paramètres'!$B$4*(C459-1)+'Paramètres'!$B$5*(C459-1)^2)),0)</x:f>
        <x:v>0</x:v>
      </x:c>
      <x:c r="I459" s="28" t="n">
        <x:v>2</x:v>
      </x:c>
      <x:c r="J459" s="28" t="n">
        <x:v>1</x:v>
      </x:c>
      <x:c r="K459" s="30" t="n">
        <x:v>2.5</x:v>
      </x:c>
      <x:c r="L459" s="54" t="n">
        <x:f>IF(M459=0,0,(E459+F459)/2)</x:f>
        <x:v>37.5</x:v>
      </x:c>
      <x:c r="M459" t="n">
        <x:v>5</x:v>
      </x:c>
      <x:c r="N459" t="n">
        <x:v>6</x:v>
      </x:c>
      <x:c r="O459" t="n">
        <x:v>20</x:v>
      </x:c>
      <x:c r="P459" s="63" t="str">
        <x:f>IF(M459=0,"—",M459&amp;"d"&amp;N459&amp;IF(O459=0,""," + "&amp;O459))</x:f>
        <x:v>5d6 + 20</x:v>
      </x:c>
      <x:c r="Q459" t="n">
        <x:f>ROUND(INDEX(Catalogue!E$4:E$85,MATCH(A459,Catalogue!A$4:A$85,0))*(1+'Paramètres'!$B$4*(C459-1)+'Paramètres'!$B$5*(C459-1)^2),0)</x:f>
        <x:v>25</x:v>
      </x:c>
      <x:c r="R459" t="n">
        <x:f>ROUND(INDEX(Catalogue!F$4:F$85,MATCH(A459,Catalogue!A$4:A$85,0))*(1+'Paramètres'!$B$4*(C459-1)+'Paramètres'!$B$5*(C459-1)^2),0)</x:f>
        <x:v>50</x:v>
      </x:c>
      <x:c r="S459" t="n">
        <x:f>L459-AVERAGE(Q459:R459)</x:f>
        <x:v>0</x:v>
      </x:c>
      <x:c r="T459" t="str">
        <x:f>IF(M459=0,IF(AND(N459=0,O459=0,E459=0,F459=0),"OK","ERREUR"),IF(AND(M459&gt;=1,M459&lt;=32,OR(N459=4,N459=6,N459=8,N459=10,N459=12,N459=20),O459&gt;=0,E459=M459+O459,F459=M459*N459+O459),"OK","ERREUR"))</x:f>
        <x:v>OK</x:v>
      </x:c>
      <x:c r="U459" s="86" t="n">
        <x:f>IF(M459&gt;0,M459*(N459+1)/2+O459,0)</x:f>
        <x:v>37.5</x:v>
      </x:c>
      <x:c r="V459" t="str">
        <x:f>IF(ABS(L459-U459)&lt;0.001,"OK","ERREUR")</x:f>
        <x:v>OK</x:v>
      </x:c>
    </x:row>
    <x:row r="460" ht="18" customHeight="1">
      <x:c r="A460" t="str">
        <x:v>ARM023</x:v>
      </x:c>
      <x:c r="B460" t="str">
        <x:v>Fléau d'armes</x:v>
      </x:c>
      <x:c r="C460" t="n">
        <x:v>17</x:v>
      </x:c>
      <x:c r="D460" t="str">
        <x:v>Une main</x:v>
      </x:c>
      <x:c r="E460" s="28" t="n">
        <x:f>IF(M460=0,0,M460+O460)</x:f>
        <x:v>27</x:v>
      </x:c>
      <x:c r="F460" s="28" t="n">
        <x:f>IF(M460=0,0,M460*N460+O460)</x:f>
        <x:v>55</x:v>
      </x:c>
      <x:c r="G460" s="28" t="n">
        <x:f>ROUND(Catalogue!G26*SQRT((1+'Paramètres'!$B$4*(C460-1)+'Paramètres'!$B$5*(C460-1)^2)),0)</x:f>
        <x:v>0</x:v>
      </x:c>
      <x:c r="H460" s="28" t="n">
        <x:f>ROUND(Catalogue!H26*SQRT((1+'Paramètres'!$B$4*(C460-1)+'Paramètres'!$B$5*(C460-1)^2)),0)</x:f>
        <x:v>0</x:v>
      </x:c>
      <x:c r="I460" s="28" t="n">
        <x:v>2</x:v>
      </x:c>
      <x:c r="J460" s="28" t="n">
        <x:v>1</x:v>
      </x:c>
      <x:c r="K460" s="30" t="n">
        <x:v>2.5</x:v>
      </x:c>
      <x:c r="L460" s="54" t="n">
        <x:f>IF(M460=0,0,(E460+F460)/2)</x:f>
        <x:v>41</x:v>
      </x:c>
      <x:c r="M460" t="n">
        <x:v>4</x:v>
      </x:c>
      <x:c r="N460" t="n">
        <x:v>8</x:v>
      </x:c>
      <x:c r="O460" t="n">
        <x:v>23</x:v>
      </x:c>
      <x:c r="P460" s="63" t="str">
        <x:f>IF(M460=0,"—",M460&amp;"d"&amp;N460&amp;IF(O460=0,""," + "&amp;O460))</x:f>
        <x:v>4d8 + 23</x:v>
      </x:c>
      <x:c r="Q460" t="n">
        <x:f>ROUND(INDEX(Catalogue!E$4:E$85,MATCH(A460,Catalogue!A$4:A$85,0))*(1+'Paramètres'!$B$4*(C460-1)+'Paramètres'!$B$5*(C460-1)^2),0)</x:f>
        <x:v>27</x:v>
      </x:c>
      <x:c r="R460" t="n">
        <x:f>ROUND(INDEX(Catalogue!F$4:F$85,MATCH(A460,Catalogue!A$4:A$85,0))*(1+'Paramètres'!$B$4*(C460-1)+'Paramètres'!$B$5*(C460-1)^2),0)</x:f>
        <x:v>55</x:v>
      </x:c>
      <x:c r="S460" t="n">
        <x:f>L460-AVERAGE(Q460:R460)</x:f>
        <x:v>0</x:v>
      </x:c>
      <x:c r="T460" t="str">
        <x:f>IF(M460=0,IF(AND(N460=0,O460=0,E460=0,F460=0),"OK","ERREUR"),IF(AND(M460&gt;=1,M460&lt;=32,OR(N460=4,N460=6,N460=8,N460=10,N460=12,N460=20),O460&gt;=0,E460=M460+O460,F460=M460*N460+O460),"OK","ERREUR"))</x:f>
        <x:v>OK</x:v>
      </x:c>
      <x:c r="U460" s="86" t="n">
        <x:f>IF(M460&gt;0,M460*(N460+1)/2+O460,0)</x:f>
        <x:v>41</x:v>
      </x:c>
      <x:c r="V460" t="str">
        <x:f>IF(ABS(L460-U460)&lt;0.001,"OK","ERREUR")</x:f>
        <x:v>OK</x:v>
      </x:c>
    </x:row>
    <x:row r="461" ht="18" customHeight="1">
      <x:c r="A461" t="str">
        <x:v>ARM023</x:v>
      </x:c>
      <x:c r="B461" t="str">
        <x:v>Fléau d'armes</x:v>
      </x:c>
      <x:c r="C461" t="n">
        <x:v>18</x:v>
      </x:c>
      <x:c r="D461" t="str">
        <x:v>Une main</x:v>
      </x:c>
      <x:c r="E461" s="28" t="n">
        <x:f>IF(M461=0,0,M461+O461)</x:f>
        <x:v>30</x:v>
      </x:c>
      <x:c r="F461" s="28" t="n">
        <x:f>IF(M461=0,0,M461*N461+O461)</x:f>
        <x:v>60</x:v>
      </x:c>
      <x:c r="G461" s="28" t="n">
        <x:f>ROUND(Catalogue!G26*SQRT((1+'Paramètres'!$B$4*(C461-1)+'Paramètres'!$B$5*(C461-1)^2)),0)</x:f>
        <x:v>0</x:v>
      </x:c>
      <x:c r="H461" s="28" t="n">
        <x:f>ROUND(Catalogue!H26*SQRT((1+'Paramètres'!$B$4*(C461-1)+'Paramètres'!$B$5*(C461-1)^2)),0)</x:f>
        <x:v>0</x:v>
      </x:c>
      <x:c r="I461" s="28" t="n">
        <x:v>2</x:v>
      </x:c>
      <x:c r="J461" s="28" t="n">
        <x:v>1</x:v>
      </x:c>
      <x:c r="K461" s="30" t="n">
        <x:v>2.5</x:v>
      </x:c>
      <x:c r="L461" s="54" t="n">
        <x:f>IF(M461=0,0,(E461+F461)/2)</x:f>
        <x:v>45</x:v>
      </x:c>
      <x:c r="M461" t="n">
        <x:v>6</x:v>
      </x:c>
      <x:c r="N461" t="n">
        <x:v>6</x:v>
      </x:c>
      <x:c r="O461" t="n">
        <x:v>24</x:v>
      </x:c>
      <x:c r="P461" s="63" t="str">
        <x:f>IF(M461=0,"—",M461&amp;"d"&amp;N461&amp;IF(O461=0,""," + "&amp;O461))</x:f>
        <x:v>6d6 + 24</x:v>
      </x:c>
      <x:c r="Q461" t="n">
        <x:f>ROUND(INDEX(Catalogue!E$4:E$85,MATCH(A461,Catalogue!A$4:A$85,0))*(1+'Paramètres'!$B$4*(C461-1)+'Paramètres'!$B$5*(C461-1)^2),0)</x:f>
        <x:v>30</x:v>
      </x:c>
      <x:c r="R461" t="n">
        <x:f>ROUND(INDEX(Catalogue!F$4:F$85,MATCH(A461,Catalogue!A$4:A$85,0))*(1+'Paramètres'!$B$4*(C461-1)+'Paramètres'!$B$5*(C461-1)^2),0)</x:f>
        <x:v>60</x:v>
      </x:c>
      <x:c r="S461" t="n">
        <x:f>L461-AVERAGE(Q461:R461)</x:f>
        <x:v>0</x:v>
      </x:c>
      <x:c r="T461" t="str">
        <x:f>IF(M461=0,IF(AND(N461=0,O461=0,E461=0,F461=0),"OK","ERREUR"),IF(AND(M461&gt;=1,M461&lt;=32,OR(N461=4,N461=6,N461=8,N461=10,N461=12,N461=20),O461&gt;=0,E461=M461+O461,F461=M461*N461+O461),"OK","ERREUR"))</x:f>
        <x:v>OK</x:v>
      </x:c>
      <x:c r="U461" s="86" t="n">
        <x:f>IF(M461&gt;0,M461*(N461+1)/2+O461,0)</x:f>
        <x:v>45</x:v>
      </x:c>
      <x:c r="V461" t="str">
        <x:f>IF(ABS(L461-U461)&lt;0.001,"OK","ERREUR")</x:f>
        <x:v>OK</x:v>
      </x:c>
    </x:row>
    <x:row r="462" ht="18" customHeight="1">
      <x:c r="A462" t="str">
        <x:v>ARM023</x:v>
      </x:c>
      <x:c r="B462" t="str">
        <x:v>Fléau d'armes</x:v>
      </x:c>
      <x:c r="C462" t="n">
        <x:v>19</x:v>
      </x:c>
      <x:c r="D462" t="str">
        <x:v>Une main</x:v>
      </x:c>
      <x:c r="E462" s="28" t="n">
        <x:f>IF(M462=0,0,M462+O462)</x:f>
        <x:v>32</x:v>
      </x:c>
      <x:c r="F462" s="28" t="n">
        <x:f>IF(M462=0,0,M462*N462+O462)</x:f>
        <x:v>65</x:v>
      </x:c>
      <x:c r="G462" s="28" t="n">
        <x:f>ROUND(Catalogue!G26*SQRT((1+'Paramètres'!$B$4*(C462-1)+'Paramètres'!$B$5*(C462-1)^2)),0)</x:f>
        <x:v>0</x:v>
      </x:c>
      <x:c r="H462" s="28" t="n">
        <x:f>ROUND(Catalogue!H26*SQRT((1+'Paramètres'!$B$4*(C462-1)+'Paramètres'!$B$5*(C462-1)^2)),0)</x:f>
        <x:v>0</x:v>
      </x:c>
      <x:c r="I462" s="28" t="n">
        <x:v>2</x:v>
      </x:c>
      <x:c r="J462" s="28" t="n">
        <x:v>1</x:v>
      </x:c>
      <x:c r="K462" s="30" t="n">
        <x:v>2.5</x:v>
      </x:c>
      <x:c r="L462" s="54" t="n">
        <x:f>IF(M462=0,0,(E462+F462)/2)</x:f>
        <x:v>48.5</x:v>
      </x:c>
      <x:c r="M462" t="n">
        <x:v>3</x:v>
      </x:c>
      <x:c r="N462" t="n">
        <x:v>12</x:v>
      </x:c>
      <x:c r="O462" t="n">
        <x:v>29</x:v>
      </x:c>
      <x:c r="P462" s="63" t="str">
        <x:f>IF(M462=0,"—",M462&amp;"d"&amp;N462&amp;IF(O462=0,""," + "&amp;O462))</x:f>
        <x:v>3d12 + 29</x:v>
      </x:c>
      <x:c r="Q462" t="n">
        <x:f>ROUND(INDEX(Catalogue!E$4:E$85,MATCH(A462,Catalogue!A$4:A$85,0))*(1+'Paramètres'!$B$4*(C462-1)+'Paramètres'!$B$5*(C462-1)^2),0)</x:f>
        <x:v>33</x:v>
      </x:c>
      <x:c r="R462" t="n">
        <x:f>ROUND(INDEX(Catalogue!F$4:F$85,MATCH(A462,Catalogue!A$4:A$85,0))*(1+'Paramètres'!$B$4*(C462-1)+'Paramètres'!$B$5*(C462-1)^2),0)</x:f>
        <x:v>65</x:v>
      </x:c>
      <x:c r="S462" t="n">
        <x:f>L462-AVERAGE(Q462:R462)</x:f>
        <x:v>-0.5</x:v>
      </x:c>
      <x:c r="T462" t="str">
        <x:f>IF(M462=0,IF(AND(N462=0,O462=0,E462=0,F462=0),"OK","ERREUR"),IF(AND(M462&gt;=1,M462&lt;=32,OR(N462=4,N462=6,N462=8,N462=10,N462=12,N462=20),O462&gt;=0,E462=M462+O462,F462=M462*N462+O462),"OK","ERREUR"))</x:f>
        <x:v>OK</x:v>
      </x:c>
      <x:c r="U462" s="86" t="n">
        <x:f>IF(M462&gt;0,M462*(N462+1)/2+O462,0)</x:f>
        <x:v>48.5</x:v>
      </x:c>
      <x:c r="V462" t="str">
        <x:f>IF(ABS(L462-U462)&lt;0.001,"OK","ERREUR")</x:f>
        <x:v>OK</x:v>
      </x:c>
    </x:row>
    <x:row r="463" ht="18" customHeight="1">
      <x:c r="A463" t="str">
        <x:v>ARM023</x:v>
      </x:c>
      <x:c r="B463" t="str">
        <x:v>Fléau d'armes</x:v>
      </x:c>
      <x:c r="C463" t="n">
        <x:v>20</x:v>
      </x:c>
      <x:c r="D463" t="str">
        <x:v>Une main</x:v>
      </x:c>
      <x:c r="E463" s="28" t="n">
        <x:f>IF(M463=0,0,M463+O463)</x:f>
        <x:v>35</x:v>
      </x:c>
      <x:c r="F463" s="28" t="n">
        <x:f>IF(M463=0,0,M463*N463+O463)</x:f>
        <x:v>71</x:v>
      </x:c>
      <x:c r="G463" s="28" t="n">
        <x:f>ROUND(Catalogue!G26*SQRT((1+'Paramètres'!$B$4*(C463-1)+'Paramètres'!$B$5*(C463-1)^2)),0)</x:f>
        <x:v>0</x:v>
      </x:c>
      <x:c r="H463" s="28" t="n">
        <x:f>ROUND(Catalogue!H26*SQRT((1+'Paramètres'!$B$4*(C463-1)+'Paramètres'!$B$5*(C463-1)^2)),0)</x:f>
        <x:v>0</x:v>
      </x:c>
      <x:c r="I463" s="28" t="n">
        <x:v>2</x:v>
      </x:c>
      <x:c r="J463" s="28" t="n">
        <x:v>1</x:v>
      </x:c>
      <x:c r="K463" s="30" t="n">
        <x:v>2.5</x:v>
      </x:c>
      <x:c r="L463" s="54" t="n">
        <x:f>IF(M463=0,0,(E463+F463)/2)</x:f>
        <x:v>53</x:v>
      </x:c>
      <x:c r="M463" t="n">
        <x:v>4</x:v>
      </x:c>
      <x:c r="N463" t="n">
        <x:v>10</x:v>
      </x:c>
      <x:c r="O463" t="n">
        <x:v>31</x:v>
      </x:c>
      <x:c r="P463" s="63" t="str">
        <x:f>IF(M463=0,"—",M463&amp;"d"&amp;N463&amp;IF(O463=0,""," + "&amp;O463))</x:f>
        <x:v>4d10 + 31</x:v>
      </x:c>
      <x:c r="Q463" t="n">
        <x:f>ROUND(INDEX(Catalogue!E$4:E$85,MATCH(A463,Catalogue!A$4:A$85,0))*(1+'Paramètres'!$B$4*(C463-1)+'Paramètres'!$B$5*(C463-1)^2),0)</x:f>
        <x:v>35</x:v>
      </x:c>
      <x:c r="R463" t="n">
        <x:f>ROUND(INDEX(Catalogue!F$4:F$85,MATCH(A463,Catalogue!A$4:A$85,0))*(1+'Paramètres'!$B$4*(C463-1)+'Paramètres'!$B$5*(C463-1)^2),0)</x:f>
        <x:v>71</x:v>
      </x:c>
      <x:c r="S463" t="n">
        <x:f>L463-AVERAGE(Q463:R463)</x:f>
        <x:v>0</x:v>
      </x:c>
      <x:c r="T463" t="str">
        <x:f>IF(M463=0,IF(AND(N463=0,O463=0,E463=0,F463=0),"OK","ERREUR"),IF(AND(M463&gt;=1,M463&lt;=32,OR(N463=4,N463=6,N463=8,N463=10,N463=12,N463=20),O463&gt;=0,E463=M463+O463,F463=M463*N463+O463),"OK","ERREUR"))</x:f>
        <x:v>OK</x:v>
      </x:c>
      <x:c r="U463" s="86" t="n">
        <x:f>IF(M463&gt;0,M463*(N463+1)/2+O463,0)</x:f>
        <x:v>53</x:v>
      </x:c>
      <x:c r="V463" t="str">
        <x:f>IF(ABS(L463-U463)&lt;0.001,"OK","ERREUR")</x:f>
        <x:v>OK</x:v>
      </x:c>
    </x:row>
    <x:row r="464" ht="18" customHeight="1">
      <x:c r="A464" t="str">
        <x:v>ARM024</x:v>
      </x:c>
      <x:c r="B464" t="str">
        <x:v>Étoile du matin</x:v>
      </x:c>
      <x:c r="C464" t="n">
        <x:v>1</x:v>
      </x:c>
      <x:c r="D464" t="str">
        <x:v>Une main</x:v>
      </x:c>
      <x:c r="E464" s="28" t="n">
        <x:f>IF(M464=0,0,M464+O464)</x:f>
        <x:v>5</x:v>
      </x:c>
      <x:c r="F464" s="28" t="n">
        <x:f>IF(M464=0,0,M464*N464+O464)</x:f>
        <x:v>8</x:v>
      </x:c>
      <x:c r="G464" s="28" t="n">
        <x:f>ROUND(Catalogue!G27*SQRT((1+'Paramètres'!$B$4*(C464-1)+'Paramètres'!$B$5*(C464-1)^2)),0)</x:f>
        <x:v>0</x:v>
      </x:c>
      <x:c r="H464" s="28" t="n">
        <x:f>ROUND(Catalogue!H27*SQRT((1+'Paramètres'!$B$4*(C464-1)+'Paramètres'!$B$5*(C464-1)^2)),0)</x:f>
        <x:v>0</x:v>
      </x:c>
      <x:c r="I464" s="28" t="n">
        <x:v>2</x:v>
      </x:c>
      <x:c r="J464" s="28" t="n">
        <x:v>1</x:v>
      </x:c>
      <x:c r="K464" s="30" t="n">
        <x:v>2.3</x:v>
      </x:c>
      <x:c r="L464" s="54" t="n">
        <x:f>IF(M464=0,0,(E464+F464)/2)</x:f>
        <x:v>6.5</x:v>
      </x:c>
      <x:c r="M464" t="n">
        <x:v>1</x:v>
      </x:c>
      <x:c r="N464" t="n">
        <x:v>4</x:v>
      </x:c>
      <x:c r="O464" t="n">
        <x:v>4</x:v>
      </x:c>
      <x:c r="P464" s="63" t="str">
        <x:f>IF(M464=0,"—",M464&amp;"d"&amp;N464&amp;IF(O464=0,""," + "&amp;O464))</x:f>
        <x:v>1d4 + 4</x:v>
      </x:c>
      <x:c r="Q464" t="n">
        <x:f>ROUND(INDEX(Catalogue!E$4:E$85,MATCH(A464,Catalogue!A$4:A$85,0))*(1+'Paramètres'!$B$4*(C464-1)+'Paramètres'!$B$5*(C464-1)^2),0)</x:f>
        <x:v>5</x:v>
      </x:c>
      <x:c r="R464" t="n">
        <x:f>ROUND(INDEX(Catalogue!F$4:F$85,MATCH(A464,Catalogue!A$4:A$85,0))*(1+'Paramètres'!$B$4*(C464-1)+'Paramètres'!$B$5*(C464-1)^2),0)</x:f>
        <x:v>8</x:v>
      </x:c>
      <x:c r="S464" t="n">
        <x:f>L464-AVERAGE(Q464:R464)</x:f>
        <x:v>0</x:v>
      </x:c>
      <x:c r="T464" t="str">
        <x:f>IF(M464=0,IF(AND(N464=0,O464=0,E464=0,F464=0),"OK","ERREUR"),IF(AND(M464&gt;=1,M464&lt;=32,OR(N464=4,N464=6,N464=8,N464=10,N464=12,N464=20),O464&gt;=0,E464=M464+O464,F464=M464*N464+O464),"OK","ERREUR"))</x:f>
        <x:v>OK</x:v>
      </x:c>
      <x:c r="U464" s="86" t="n">
        <x:f>IF(M464&gt;0,M464*(N464+1)/2+O464,0)</x:f>
        <x:v>6.5</x:v>
      </x:c>
      <x:c r="V464" t="str">
        <x:f>IF(ABS(L464-U464)&lt;0.001,"OK","ERREUR")</x:f>
        <x:v>OK</x:v>
      </x:c>
    </x:row>
    <x:row r="465" ht="18" customHeight="1">
      <x:c r="A465" t="str">
        <x:v>ARM024</x:v>
      </x:c>
      <x:c r="B465" t="str">
        <x:v>Étoile du matin</x:v>
      </x:c>
      <x:c r="C465" t="n">
        <x:v>2</x:v>
      </x:c>
      <x:c r="D465" t="str">
        <x:v>Une main</x:v>
      </x:c>
      <x:c r="E465" s="28" t="n">
        <x:f>IF(M465=0,0,M465+O465)</x:f>
        <x:v>6</x:v>
      </x:c>
      <x:c r="F465" s="28" t="n">
        <x:f>IF(M465=0,0,M465*N465+O465)</x:f>
        <x:v>9</x:v>
      </x:c>
      <x:c r="G465" s="28" t="n">
        <x:f>ROUND(Catalogue!G27*SQRT((1+'Paramètres'!$B$4*(C465-1)+'Paramètres'!$B$5*(C465-1)^2)),0)</x:f>
        <x:v>0</x:v>
      </x:c>
      <x:c r="H465" s="28" t="n">
        <x:f>ROUND(Catalogue!H27*SQRT((1+'Paramètres'!$B$4*(C465-1)+'Paramètres'!$B$5*(C465-1)^2)),0)</x:f>
        <x:v>0</x:v>
      </x:c>
      <x:c r="I465" s="28" t="n">
        <x:v>2</x:v>
      </x:c>
      <x:c r="J465" s="28" t="n">
        <x:v>1</x:v>
      </x:c>
      <x:c r="K465" s="30" t="n">
        <x:v>2.3</x:v>
      </x:c>
      <x:c r="L465" s="54" t="n">
        <x:f>IF(M465=0,0,(E465+F465)/2)</x:f>
        <x:v>7.5</x:v>
      </x:c>
      <x:c r="M465" t="n">
        <x:v>1</x:v>
      </x:c>
      <x:c r="N465" t="n">
        <x:v>4</x:v>
      </x:c>
      <x:c r="O465" t="n">
        <x:v>5</x:v>
      </x:c>
      <x:c r="P465" s="63" t="str">
        <x:f>IF(M465=0,"—",M465&amp;"d"&amp;N465&amp;IF(O465=0,""," + "&amp;O465))</x:f>
        <x:v>1d4 + 5</x:v>
      </x:c>
      <x:c r="Q465" t="n">
        <x:f>ROUND(INDEX(Catalogue!E$4:E$85,MATCH(A465,Catalogue!A$4:A$85,0))*(1+'Paramètres'!$B$4*(C465-1)+'Paramètres'!$B$5*(C465-1)^2),0)</x:f>
        <x:v>6</x:v>
      </x:c>
      <x:c r="R465" t="n">
        <x:f>ROUND(INDEX(Catalogue!F$4:F$85,MATCH(A465,Catalogue!A$4:A$85,0))*(1+'Paramètres'!$B$4*(C465-1)+'Paramètres'!$B$5*(C465-1)^2),0)</x:f>
        <x:v>9</x:v>
      </x:c>
      <x:c r="S465" t="n">
        <x:f>L465-AVERAGE(Q465:R465)</x:f>
        <x:v>0</x:v>
      </x:c>
      <x:c r="T465" t="str">
        <x:f>IF(M465=0,IF(AND(N465=0,O465=0,E465=0,F465=0),"OK","ERREUR"),IF(AND(M465&gt;=1,M465&lt;=32,OR(N465=4,N465=6,N465=8,N465=10,N465=12,N465=20),O465&gt;=0,E465=M465+O465,F465=M465*N465+O465),"OK","ERREUR"))</x:f>
        <x:v>OK</x:v>
      </x:c>
      <x:c r="U465" s="86" t="n">
        <x:f>IF(M465&gt;0,M465*(N465+1)/2+O465,0)</x:f>
        <x:v>7.5</x:v>
      </x:c>
      <x:c r="V465" t="str">
        <x:f>IF(ABS(L465-U465)&lt;0.001,"OK","ERREUR")</x:f>
        <x:v>OK</x:v>
      </x:c>
    </x:row>
    <x:row r="466" ht="18" customHeight="1">
      <x:c r="A466" t="str">
        <x:v>ARM024</x:v>
      </x:c>
      <x:c r="B466" t="str">
        <x:v>Étoile du matin</x:v>
      </x:c>
      <x:c r="C466" t="n">
        <x:v>3</x:v>
      </x:c>
      <x:c r="D466" t="str">
        <x:v>Une main</x:v>
      </x:c>
      <x:c r="E466" s="28" t="n">
        <x:f>IF(M466=0,0,M466+O466)</x:f>
        <x:v>6</x:v>
      </x:c>
      <x:c r="F466" s="28" t="n">
        <x:f>IF(M466=0,0,M466*N466+O466)</x:f>
        <x:v>9</x:v>
      </x:c>
      <x:c r="G466" s="28" t="n">
        <x:f>ROUND(Catalogue!G27*SQRT((1+'Paramètres'!$B$4*(C466-1)+'Paramètres'!$B$5*(C466-1)^2)),0)</x:f>
        <x:v>0</x:v>
      </x:c>
      <x:c r="H466" s="28" t="n">
        <x:f>ROUND(Catalogue!H27*SQRT((1+'Paramètres'!$B$4*(C466-1)+'Paramètres'!$B$5*(C466-1)^2)),0)</x:f>
        <x:v>0</x:v>
      </x:c>
      <x:c r="I466" s="28" t="n">
        <x:v>2</x:v>
      </x:c>
      <x:c r="J466" s="28" t="n">
        <x:v>1</x:v>
      </x:c>
      <x:c r="K466" s="30" t="n">
        <x:v>2.3</x:v>
      </x:c>
      <x:c r="L466" s="54" t="n">
        <x:f>IF(M466=0,0,(E466+F466)/2)</x:f>
        <x:v>7.5</x:v>
      </x:c>
      <x:c r="M466" t="n">
        <x:v>1</x:v>
      </x:c>
      <x:c r="N466" t="n">
        <x:v>4</x:v>
      </x:c>
      <x:c r="O466" t="n">
        <x:v>5</x:v>
      </x:c>
      <x:c r="P466" s="63" t="str">
        <x:f>IF(M466=0,"—",M466&amp;"d"&amp;N466&amp;IF(O466=0,""," + "&amp;O466))</x:f>
        <x:v>1d4 + 5</x:v>
      </x:c>
      <x:c r="Q466" t="n">
        <x:f>ROUND(INDEX(Catalogue!E$4:E$85,MATCH(A466,Catalogue!A$4:A$85,0))*(1+'Paramètres'!$B$4*(C466-1)+'Paramètres'!$B$5*(C466-1)^2),0)</x:f>
        <x:v>6</x:v>
      </x:c>
      <x:c r="R466" t="n">
        <x:f>ROUND(INDEX(Catalogue!F$4:F$85,MATCH(A466,Catalogue!A$4:A$85,0))*(1+'Paramètres'!$B$4*(C466-1)+'Paramètres'!$B$5*(C466-1)^2),0)</x:f>
        <x:v>10</x:v>
      </x:c>
      <x:c r="S466" t="n">
        <x:f>L466-AVERAGE(Q466:R466)</x:f>
        <x:v>-0.5</x:v>
      </x:c>
      <x:c r="T466" t="str">
        <x:f>IF(M466=0,IF(AND(N466=0,O466=0,E466=0,F466=0),"OK","ERREUR"),IF(AND(M466&gt;=1,M466&lt;=32,OR(N466=4,N466=6,N466=8,N466=10,N466=12,N466=20),O466&gt;=0,E466=M466+O466,F466=M466*N466+O466),"OK","ERREUR"))</x:f>
        <x:v>OK</x:v>
      </x:c>
      <x:c r="U466" s="86" t="n">
        <x:f>IF(M466&gt;0,M466*(N466+1)/2+O466,0)</x:f>
        <x:v>7.5</x:v>
      </x:c>
      <x:c r="V466" t="str">
        <x:f>IF(ABS(L466-U466)&lt;0.001,"OK","ERREUR")</x:f>
        <x:v>OK</x:v>
      </x:c>
    </x:row>
    <x:row r="467" ht="18" customHeight="1">
      <x:c r="A467" t="str">
        <x:v>ARM024</x:v>
      </x:c>
      <x:c r="B467" t="str">
        <x:v>Étoile du matin</x:v>
      </x:c>
      <x:c r="C467" t="n">
        <x:v>4</x:v>
      </x:c>
      <x:c r="D467" t="str">
        <x:v>Une main</x:v>
      </x:c>
      <x:c r="E467" s="28" t="n">
        <x:f>IF(M467=0,0,M467+O467)</x:f>
        <x:v>7</x:v>
      </x:c>
      <x:c r="F467" s="28" t="n">
        <x:f>IF(M467=0,0,M467*N467+O467)</x:f>
        <x:v>12</x:v>
      </x:c>
      <x:c r="G467" s="28" t="n">
        <x:f>ROUND(Catalogue!G27*SQRT((1+'Paramètres'!$B$4*(C467-1)+'Paramètres'!$B$5*(C467-1)^2)),0)</x:f>
        <x:v>0</x:v>
      </x:c>
      <x:c r="H467" s="28" t="n">
        <x:f>ROUND(Catalogue!H27*SQRT((1+'Paramètres'!$B$4*(C467-1)+'Paramètres'!$B$5*(C467-1)^2)),0)</x:f>
        <x:v>0</x:v>
      </x:c>
      <x:c r="I467" s="28" t="n">
        <x:v>2</x:v>
      </x:c>
      <x:c r="J467" s="28" t="n">
        <x:v>1</x:v>
      </x:c>
      <x:c r="K467" s="30" t="n">
        <x:v>2.3</x:v>
      </x:c>
      <x:c r="L467" s="54" t="n">
        <x:f>IF(M467=0,0,(E467+F467)/2)</x:f>
        <x:v>9.5</x:v>
      </x:c>
      <x:c r="M467" t="n">
        <x:v>1</x:v>
      </x:c>
      <x:c r="N467" t="n">
        <x:v>6</x:v>
      </x:c>
      <x:c r="O467" t="n">
        <x:v>6</x:v>
      </x:c>
      <x:c r="P467" s="63" t="str">
        <x:f>IF(M467=0,"—",M467&amp;"d"&amp;N467&amp;IF(O467=0,""," + "&amp;O467))</x:f>
        <x:v>1d6 + 6</x:v>
      </x:c>
      <x:c r="Q467" t="n">
        <x:f>ROUND(INDEX(Catalogue!E$4:E$85,MATCH(A467,Catalogue!A$4:A$85,0))*(1+'Paramètres'!$B$4*(C467-1)+'Paramètres'!$B$5*(C467-1)^2),0)</x:f>
        <x:v>7</x:v>
      </x:c>
      <x:c r="R467" t="n">
        <x:f>ROUND(INDEX(Catalogue!F$4:F$85,MATCH(A467,Catalogue!A$4:A$85,0))*(1+'Paramètres'!$B$4*(C467-1)+'Paramètres'!$B$5*(C467-1)^2),0)</x:f>
        <x:v>12</x:v>
      </x:c>
      <x:c r="S467" t="n">
        <x:f>L467-AVERAGE(Q467:R467)</x:f>
        <x:v>0</x:v>
      </x:c>
      <x:c r="T467" t="str">
        <x:f>IF(M467=0,IF(AND(N467=0,O467=0,E467=0,F467=0),"OK","ERREUR"),IF(AND(M467&gt;=1,M467&lt;=32,OR(N467=4,N467=6,N467=8,N467=10,N467=12,N467=20),O467&gt;=0,E467=M467+O467,F467=M467*N467+O467),"OK","ERREUR"))</x:f>
        <x:v>OK</x:v>
      </x:c>
      <x:c r="U467" s="86" t="n">
        <x:f>IF(M467&gt;0,M467*(N467+1)/2+O467,0)</x:f>
        <x:v>9.5</x:v>
      </x:c>
      <x:c r="V467" t="str">
        <x:f>IF(ABS(L467-U467)&lt;0.001,"OK","ERREUR")</x:f>
        <x:v>OK</x:v>
      </x:c>
    </x:row>
    <x:row r="468" ht="18" customHeight="1">
      <x:c r="A468" t="str">
        <x:v>ARM024</x:v>
      </x:c>
      <x:c r="B468" t="str">
        <x:v>Étoile du matin</x:v>
      </x:c>
      <x:c r="C468" t="n">
        <x:v>5</x:v>
      </x:c>
      <x:c r="D468" t="str">
        <x:v>Une main</x:v>
      </x:c>
      <x:c r="E468" s="28" t="n">
        <x:f>IF(M468=0,0,M468+O468)</x:f>
        <x:v>8</x:v>
      </x:c>
      <x:c r="F468" s="28" t="n">
        <x:f>IF(M468=0,0,M468*N468+O468)</x:f>
        <x:v>14</x:v>
      </x:c>
      <x:c r="G468" s="28" t="n">
        <x:f>ROUND(Catalogue!G27*SQRT((1+'Paramètres'!$B$4*(C468-1)+'Paramètres'!$B$5*(C468-1)^2)),0)</x:f>
        <x:v>0</x:v>
      </x:c>
      <x:c r="H468" s="28" t="n">
        <x:f>ROUND(Catalogue!H27*SQRT((1+'Paramètres'!$B$4*(C468-1)+'Paramètres'!$B$5*(C468-1)^2)),0)</x:f>
        <x:v>0</x:v>
      </x:c>
      <x:c r="I468" s="28" t="n">
        <x:v>2</x:v>
      </x:c>
      <x:c r="J468" s="28" t="n">
        <x:v>1</x:v>
      </x:c>
      <x:c r="K468" s="30" t="n">
        <x:v>2.3</x:v>
      </x:c>
      <x:c r="L468" s="54" t="n">
        <x:f>IF(M468=0,0,(E468+F468)/2)</x:f>
        <x:v>11</x:v>
      </x:c>
      <x:c r="M468" t="n">
        <x:v>2</x:v>
      </x:c>
      <x:c r="N468" t="n">
        <x:v>4</x:v>
      </x:c>
      <x:c r="O468" t="n">
        <x:v>6</x:v>
      </x:c>
      <x:c r="P468" s="63" t="str">
        <x:f>IF(M468=0,"—",M468&amp;"d"&amp;N468&amp;IF(O468=0,""," + "&amp;O468))</x:f>
        <x:v>2d4 + 6</x:v>
      </x:c>
      <x:c r="Q468" t="n">
        <x:f>ROUND(INDEX(Catalogue!E$4:E$85,MATCH(A468,Catalogue!A$4:A$85,0))*(1+'Paramètres'!$B$4*(C468-1)+'Paramètres'!$B$5*(C468-1)^2),0)</x:f>
        <x:v>8</x:v>
      </x:c>
      <x:c r="R468" t="n">
        <x:f>ROUND(INDEX(Catalogue!F$4:F$85,MATCH(A468,Catalogue!A$4:A$85,0))*(1+'Paramètres'!$B$4*(C468-1)+'Paramètres'!$B$5*(C468-1)^2),0)</x:f>
        <x:v>14</x:v>
      </x:c>
      <x:c r="S468" t="n">
        <x:f>L468-AVERAGE(Q468:R468)</x:f>
        <x:v>0</x:v>
      </x:c>
      <x:c r="T468" t="str">
        <x:f>IF(M468=0,IF(AND(N468=0,O468=0,E468=0,F468=0),"OK","ERREUR"),IF(AND(M468&gt;=1,M468&lt;=32,OR(N468=4,N468=6,N468=8,N468=10,N468=12,N468=20),O468&gt;=0,E468=M468+O468,F468=M468*N468+O468),"OK","ERREUR"))</x:f>
        <x:v>OK</x:v>
      </x:c>
      <x:c r="U468" s="86" t="n">
        <x:f>IF(M468&gt;0,M468*(N468+1)/2+O468,0)</x:f>
        <x:v>11</x:v>
      </x:c>
      <x:c r="V468" t="str">
        <x:f>IF(ABS(L468-U468)&lt;0.001,"OK","ERREUR")</x:f>
        <x:v>OK</x:v>
      </x:c>
    </x:row>
    <x:row r="469" ht="18" customHeight="1">
      <x:c r="A469" t="str">
        <x:v>ARM024</x:v>
      </x:c>
      <x:c r="B469" t="str">
        <x:v>Étoile du matin</x:v>
      </x:c>
      <x:c r="C469" t="n">
        <x:v>6</x:v>
      </x:c>
      <x:c r="D469" t="str">
        <x:v>Une main</x:v>
      </x:c>
      <x:c r="E469" s="28" t="n">
        <x:f>IF(M469=0,0,M469+O469)</x:f>
        <x:v>10</x:v>
      </x:c>
      <x:c r="F469" s="28" t="n">
        <x:f>IF(M469=0,0,M469*N469+O469)</x:f>
        <x:v>16</x:v>
      </x:c>
      <x:c r="G469" s="28" t="n">
        <x:f>ROUND(Catalogue!G27*SQRT((1+'Paramètres'!$B$4*(C469-1)+'Paramètres'!$B$5*(C469-1)^2)),0)</x:f>
        <x:v>0</x:v>
      </x:c>
      <x:c r="H469" s="28" t="n">
        <x:f>ROUND(Catalogue!H27*SQRT((1+'Paramètres'!$B$4*(C469-1)+'Paramètres'!$B$5*(C469-1)^2)),0)</x:f>
        <x:v>0</x:v>
      </x:c>
      <x:c r="I469" s="28" t="n">
        <x:v>2</x:v>
      </x:c>
      <x:c r="J469" s="28" t="n">
        <x:v>1</x:v>
      </x:c>
      <x:c r="K469" s="30" t="n">
        <x:v>2.3</x:v>
      </x:c>
      <x:c r="L469" s="54" t="n">
        <x:f>IF(M469=0,0,(E469+F469)/2)</x:f>
        <x:v>13</x:v>
      </x:c>
      <x:c r="M469" t="n">
        <x:v>2</x:v>
      </x:c>
      <x:c r="N469" t="n">
        <x:v>4</x:v>
      </x:c>
      <x:c r="O469" t="n">
        <x:v>8</x:v>
      </x:c>
      <x:c r="P469" s="63" t="str">
        <x:f>IF(M469=0,"—",M469&amp;"d"&amp;N469&amp;IF(O469=0,""," + "&amp;O469))</x:f>
        <x:v>2d4 + 8</x:v>
      </x:c>
      <x:c r="Q469" t="n">
        <x:f>ROUND(INDEX(Catalogue!E$4:E$85,MATCH(A469,Catalogue!A$4:A$85,0))*(1+'Paramètres'!$B$4*(C469-1)+'Paramètres'!$B$5*(C469-1)^2),0)</x:f>
        <x:v>10</x:v>
      </x:c>
      <x:c r="R469" t="n">
        <x:f>ROUND(INDEX(Catalogue!F$4:F$85,MATCH(A469,Catalogue!A$4:A$85,0))*(1+'Paramètres'!$B$4*(C469-1)+'Paramètres'!$B$5*(C469-1)^2),0)</x:f>
        <x:v>16</x:v>
      </x:c>
      <x:c r="S469" t="n">
        <x:f>L469-AVERAGE(Q469:R469)</x:f>
        <x:v>0</x:v>
      </x:c>
      <x:c r="T469" t="str">
        <x:f>IF(M469=0,IF(AND(N469=0,O469=0,E469=0,F469=0),"OK","ERREUR"),IF(AND(M469&gt;=1,M469&lt;=32,OR(N469=4,N469=6,N469=8,N469=10,N469=12,N469=20),O469&gt;=0,E469=M469+O469,F469=M469*N469+O469),"OK","ERREUR"))</x:f>
        <x:v>OK</x:v>
      </x:c>
      <x:c r="U469" s="86" t="n">
        <x:f>IF(M469&gt;0,M469*(N469+1)/2+O469,0)</x:f>
        <x:v>13</x:v>
      </x:c>
      <x:c r="V469" t="str">
        <x:f>IF(ABS(L469-U469)&lt;0.001,"OK","ERREUR")</x:f>
        <x:v>OK</x:v>
      </x:c>
    </x:row>
    <x:row r="470" ht="18" customHeight="1">
      <x:c r="A470" t="str">
        <x:v>ARM024</x:v>
      </x:c>
      <x:c r="B470" t="str">
        <x:v>Étoile du matin</x:v>
      </x:c>
      <x:c r="C470" t="n">
        <x:v>7</x:v>
      </x:c>
      <x:c r="D470" t="str">
        <x:v>Une main</x:v>
      </x:c>
      <x:c r="E470" s="28" t="n">
        <x:f>IF(M470=0,0,M470+O470)</x:f>
        <x:v>11</x:v>
      </x:c>
      <x:c r="F470" s="28" t="n">
        <x:f>IF(M470=0,0,M470*N470+O470)</x:f>
        <x:v>18</x:v>
      </x:c>
      <x:c r="G470" s="28" t="n">
        <x:f>ROUND(Catalogue!G27*SQRT((1+'Paramètres'!$B$4*(C470-1)+'Paramètres'!$B$5*(C470-1)^2)),0)</x:f>
        <x:v>0</x:v>
      </x:c>
      <x:c r="H470" s="28" t="n">
        <x:f>ROUND(Catalogue!H27*SQRT((1+'Paramètres'!$B$4*(C470-1)+'Paramètres'!$B$5*(C470-1)^2)),0)</x:f>
        <x:v>0</x:v>
      </x:c>
      <x:c r="I470" s="28" t="n">
        <x:v>2</x:v>
      </x:c>
      <x:c r="J470" s="28" t="n">
        <x:v>1</x:v>
      </x:c>
      <x:c r="K470" s="30" t="n">
        <x:v>2.3</x:v>
      </x:c>
      <x:c r="L470" s="54" t="n">
        <x:f>IF(M470=0,0,(E470+F470)/2)</x:f>
        <x:v>14.5</x:v>
      </x:c>
      <x:c r="M470" t="n">
        <x:v>1</x:v>
      </x:c>
      <x:c r="N470" t="n">
        <x:v>8</x:v>
      </x:c>
      <x:c r="O470" t="n">
        <x:v>10</x:v>
      </x:c>
      <x:c r="P470" s="63" t="str">
        <x:f>IF(M470=0,"—",M470&amp;"d"&amp;N470&amp;IF(O470=0,""," + "&amp;O470))</x:f>
        <x:v>1d8 + 10</x:v>
      </x:c>
      <x:c r="Q470" t="n">
        <x:f>ROUND(INDEX(Catalogue!E$4:E$85,MATCH(A470,Catalogue!A$4:A$85,0))*(1+'Paramètres'!$B$4*(C470-1)+'Paramètres'!$B$5*(C470-1)^2),0)</x:f>
        <x:v>11</x:v>
      </x:c>
      <x:c r="R470" t="n">
        <x:f>ROUND(INDEX(Catalogue!F$4:F$85,MATCH(A470,Catalogue!A$4:A$85,0))*(1+'Paramètres'!$B$4*(C470-1)+'Paramètres'!$B$5*(C470-1)^2),0)</x:f>
        <x:v>18</x:v>
      </x:c>
      <x:c r="S470" t="n">
        <x:f>L470-AVERAGE(Q470:R470)</x:f>
        <x:v>0</x:v>
      </x:c>
      <x:c r="T470" t="str">
        <x:f>IF(M470=0,IF(AND(N470=0,O470=0,E470=0,F470=0),"OK","ERREUR"),IF(AND(M470&gt;=1,M470&lt;=32,OR(N470=4,N470=6,N470=8,N470=10,N470=12,N470=20),O470&gt;=0,E470=M470+O470,F470=M470*N470+O470),"OK","ERREUR"))</x:f>
        <x:v>OK</x:v>
      </x:c>
      <x:c r="U470" s="86" t="n">
        <x:f>IF(M470&gt;0,M470*(N470+1)/2+O470,0)</x:f>
        <x:v>14.5</x:v>
      </x:c>
      <x:c r="V470" t="str">
        <x:f>IF(ABS(L470-U470)&lt;0.001,"OK","ERREUR")</x:f>
        <x:v>OK</x:v>
      </x:c>
    </x:row>
    <x:row r="471" ht="18" customHeight="1">
      <x:c r="A471" t="str">
        <x:v>ARM024</x:v>
      </x:c>
      <x:c r="B471" t="str">
        <x:v>Étoile du matin</x:v>
      </x:c>
      <x:c r="C471" t="n">
        <x:v>8</x:v>
      </x:c>
      <x:c r="D471" t="str">
        <x:v>Une main</x:v>
      </x:c>
      <x:c r="E471" s="28" t="n">
        <x:f>IF(M471=0,0,M471+O471)</x:f>
        <x:v>13</x:v>
      </x:c>
      <x:c r="F471" s="28" t="n">
        <x:f>IF(M471=0,0,M471*N471+O471)</x:f>
        <x:v>20</x:v>
      </x:c>
      <x:c r="G471" s="28" t="n">
        <x:f>ROUND(Catalogue!G27*SQRT((1+'Paramètres'!$B$4*(C471-1)+'Paramètres'!$B$5*(C471-1)^2)),0)</x:f>
        <x:v>0</x:v>
      </x:c>
      <x:c r="H471" s="28" t="n">
        <x:f>ROUND(Catalogue!H27*SQRT((1+'Paramètres'!$B$4*(C471-1)+'Paramètres'!$B$5*(C471-1)^2)),0)</x:f>
        <x:v>0</x:v>
      </x:c>
      <x:c r="I471" s="28" t="n">
        <x:v>2</x:v>
      </x:c>
      <x:c r="J471" s="28" t="n">
        <x:v>1</x:v>
      </x:c>
      <x:c r="K471" s="30" t="n">
        <x:v>2.3</x:v>
      </x:c>
      <x:c r="L471" s="54" t="n">
        <x:f>IF(M471=0,0,(E471+F471)/2)</x:f>
        <x:v>16.5</x:v>
      </x:c>
      <x:c r="M471" t="n">
        <x:v>1</x:v>
      </x:c>
      <x:c r="N471" t="n">
        <x:v>8</x:v>
      </x:c>
      <x:c r="O471" t="n">
        <x:v>12</x:v>
      </x:c>
      <x:c r="P471" s="63" t="str">
        <x:f>IF(M471=0,"—",M471&amp;"d"&amp;N471&amp;IF(O471=0,""," + "&amp;O471))</x:f>
        <x:v>1d8 + 12</x:v>
      </x:c>
      <x:c r="Q471" t="n">
        <x:f>ROUND(INDEX(Catalogue!E$4:E$85,MATCH(A471,Catalogue!A$4:A$85,0))*(1+'Paramètres'!$B$4*(C471-1)+'Paramètres'!$B$5*(C471-1)^2),0)</x:f>
        <x:v>13</x:v>
      </x:c>
      <x:c r="R471" t="n">
        <x:f>ROUND(INDEX(Catalogue!F$4:F$85,MATCH(A471,Catalogue!A$4:A$85,0))*(1+'Paramètres'!$B$4*(C471-1)+'Paramètres'!$B$5*(C471-1)^2),0)</x:f>
        <x:v>20</x:v>
      </x:c>
      <x:c r="S471" t="n">
        <x:f>L471-AVERAGE(Q471:R471)</x:f>
        <x:v>0</x:v>
      </x:c>
      <x:c r="T471" t="str">
        <x:f>IF(M471=0,IF(AND(N471=0,O471=0,E471=0,F471=0),"OK","ERREUR"),IF(AND(M471&gt;=1,M471&lt;=32,OR(N471=4,N471=6,N471=8,N471=10,N471=12,N471=20),O471&gt;=0,E471=M471+O471,F471=M471*N471+O471),"OK","ERREUR"))</x:f>
        <x:v>OK</x:v>
      </x:c>
      <x:c r="U471" s="86" t="n">
        <x:f>IF(M471&gt;0,M471*(N471+1)/2+O471,0)</x:f>
        <x:v>16.5</x:v>
      </x:c>
      <x:c r="V471" t="str">
        <x:f>IF(ABS(L471-U471)&lt;0.001,"OK","ERREUR")</x:f>
        <x:v>OK</x:v>
      </x:c>
    </x:row>
    <x:row r="472" ht="18" customHeight="1">
      <x:c r="A472" t="str">
        <x:v>ARM024</x:v>
      </x:c>
      <x:c r="B472" t="str">
        <x:v>Étoile du matin</x:v>
      </x:c>
      <x:c r="C472" t="n">
        <x:v>9</x:v>
      </x:c>
      <x:c r="D472" t="str">
        <x:v>Une main</x:v>
      </x:c>
      <x:c r="E472" s="28" t="n">
        <x:f>IF(M472=0,0,M472+O472)</x:f>
        <x:v>14</x:v>
      </x:c>
      <x:c r="F472" s="28" t="n">
        <x:f>IF(M472=0,0,M472*N472+O472)</x:f>
        <x:v>23</x:v>
      </x:c>
      <x:c r="G472" s="28" t="n">
        <x:f>ROUND(Catalogue!G27*SQRT((1+'Paramètres'!$B$4*(C472-1)+'Paramètres'!$B$5*(C472-1)^2)),0)</x:f>
        <x:v>0</x:v>
      </x:c>
      <x:c r="H472" s="28" t="n">
        <x:f>ROUND(Catalogue!H27*SQRT((1+'Paramètres'!$B$4*(C472-1)+'Paramètres'!$B$5*(C472-1)^2)),0)</x:f>
        <x:v>0</x:v>
      </x:c>
      <x:c r="I472" s="28" t="n">
        <x:v>2</x:v>
      </x:c>
      <x:c r="J472" s="28" t="n">
        <x:v>1</x:v>
      </x:c>
      <x:c r="K472" s="30" t="n">
        <x:v>2.3</x:v>
      </x:c>
      <x:c r="L472" s="54" t="n">
        <x:f>IF(M472=0,0,(E472+F472)/2)</x:f>
        <x:v>18.5</x:v>
      </x:c>
      <x:c r="M472" t="n">
        <x:v>3</x:v>
      </x:c>
      <x:c r="N472" t="n">
        <x:v>4</x:v>
      </x:c>
      <x:c r="O472" t="n">
        <x:v>11</x:v>
      </x:c>
      <x:c r="P472" s="63" t="str">
        <x:f>IF(M472=0,"—",M472&amp;"d"&amp;N472&amp;IF(O472=0,""," + "&amp;O472))</x:f>
        <x:v>3d4 + 11</x:v>
      </x:c>
      <x:c r="Q472" t="n">
        <x:f>ROUND(INDEX(Catalogue!E$4:E$85,MATCH(A472,Catalogue!A$4:A$85,0))*(1+'Paramètres'!$B$4*(C472-1)+'Paramètres'!$B$5*(C472-1)^2),0)</x:f>
        <x:v>15</x:v>
      </x:c>
      <x:c r="R472" t="n">
        <x:f>ROUND(INDEX(Catalogue!F$4:F$85,MATCH(A472,Catalogue!A$4:A$85,0))*(1+'Paramètres'!$B$4*(C472-1)+'Paramètres'!$B$5*(C472-1)^2),0)</x:f>
        <x:v>23</x:v>
      </x:c>
      <x:c r="S472" t="n">
        <x:f>L472-AVERAGE(Q472:R472)</x:f>
        <x:v>-0.5</x:v>
      </x:c>
      <x:c r="T472" t="str">
        <x:f>IF(M472=0,IF(AND(N472=0,O472=0,E472=0,F472=0),"OK","ERREUR"),IF(AND(M472&gt;=1,M472&lt;=32,OR(N472=4,N472=6,N472=8,N472=10,N472=12,N472=20),O472&gt;=0,E472=M472+O472,F472=M472*N472+O472),"OK","ERREUR"))</x:f>
        <x:v>OK</x:v>
      </x:c>
      <x:c r="U472" s="86" t="n">
        <x:f>IF(M472&gt;0,M472*(N472+1)/2+O472,0)</x:f>
        <x:v>18.5</x:v>
      </x:c>
      <x:c r="V472" t="str">
        <x:f>IF(ABS(L472-U472)&lt;0.001,"OK","ERREUR")</x:f>
        <x:v>OK</x:v>
      </x:c>
    </x:row>
    <x:row r="473" ht="18" customHeight="1">
      <x:c r="A473" t="str">
        <x:v>ARM024</x:v>
      </x:c>
      <x:c r="B473" t="str">
        <x:v>Étoile du matin</x:v>
      </x:c>
      <x:c r="C473" t="n">
        <x:v>10</x:v>
      </x:c>
      <x:c r="D473" t="str">
        <x:v>Une main</x:v>
      </x:c>
      <x:c r="E473" s="28" t="n">
        <x:f>IF(M473=0,0,M473+O473)</x:f>
        <x:v>16</x:v>
      </x:c>
      <x:c r="F473" s="28" t="n">
        <x:f>IF(M473=0,0,M473*N473+O473)</x:f>
        <x:v>26</x:v>
      </x:c>
      <x:c r="G473" s="28" t="n">
        <x:f>ROUND(Catalogue!G27*SQRT((1+'Paramètres'!$B$4*(C473-1)+'Paramètres'!$B$5*(C473-1)^2)),0)</x:f>
        <x:v>0</x:v>
      </x:c>
      <x:c r="H473" s="28" t="n">
        <x:f>ROUND(Catalogue!H27*SQRT((1+'Paramètres'!$B$4*(C473-1)+'Paramètres'!$B$5*(C473-1)^2)),0)</x:f>
        <x:v>0</x:v>
      </x:c>
      <x:c r="I473" s="28" t="n">
        <x:v>2</x:v>
      </x:c>
      <x:c r="J473" s="28" t="n">
        <x:v>1</x:v>
      </x:c>
      <x:c r="K473" s="30" t="n">
        <x:v>2.3</x:v>
      </x:c>
      <x:c r="L473" s="54" t="n">
        <x:f>IF(M473=0,0,(E473+F473)/2)</x:f>
        <x:v>21</x:v>
      </x:c>
      <x:c r="M473" t="n">
        <x:v>2</x:v>
      </x:c>
      <x:c r="N473" t="n">
        <x:v>6</x:v>
      </x:c>
      <x:c r="O473" t="n">
        <x:v>14</x:v>
      </x:c>
      <x:c r="P473" s="63" t="str">
        <x:f>IF(M473=0,"—",M473&amp;"d"&amp;N473&amp;IF(O473=0,""," + "&amp;O473))</x:f>
        <x:v>2d6 + 14</x:v>
      </x:c>
      <x:c r="Q473" t="n">
        <x:f>ROUND(INDEX(Catalogue!E$4:E$85,MATCH(A473,Catalogue!A$4:A$85,0))*(1+'Paramètres'!$B$4*(C473-1)+'Paramètres'!$B$5*(C473-1)^2),0)</x:f>
        <x:v>16</x:v>
      </x:c>
      <x:c r="R473" t="n">
        <x:f>ROUND(INDEX(Catalogue!F$4:F$85,MATCH(A473,Catalogue!A$4:A$85,0))*(1+'Paramètres'!$B$4*(C473-1)+'Paramètres'!$B$5*(C473-1)^2),0)</x:f>
        <x:v>26</x:v>
      </x:c>
      <x:c r="S473" t="n">
        <x:f>L473-AVERAGE(Q473:R473)</x:f>
        <x:v>0</x:v>
      </x:c>
      <x:c r="T473" t="str">
        <x:f>IF(M473=0,IF(AND(N473=0,O473=0,E473=0,F473=0),"OK","ERREUR"),IF(AND(M473&gt;=1,M473&lt;=32,OR(N473=4,N473=6,N473=8,N473=10,N473=12,N473=20),O473&gt;=0,E473=M473+O473,F473=M473*N473+O473),"OK","ERREUR"))</x:f>
        <x:v>OK</x:v>
      </x:c>
      <x:c r="U473" s="86" t="n">
        <x:f>IF(M473&gt;0,M473*(N473+1)/2+O473,0)</x:f>
        <x:v>21</x:v>
      </x:c>
      <x:c r="V473" t="str">
        <x:f>IF(ABS(L473-U473)&lt;0.001,"OK","ERREUR")</x:f>
        <x:v>OK</x:v>
      </x:c>
    </x:row>
    <x:row r="474" ht="18" customHeight="1">
      <x:c r="A474" t="str">
        <x:v>ARM024</x:v>
      </x:c>
      <x:c r="B474" t="str">
        <x:v>Étoile du matin</x:v>
      </x:c>
      <x:c r="C474" t="n">
        <x:v>11</x:v>
      </x:c>
      <x:c r="D474" t="str">
        <x:v>Une main</x:v>
      </x:c>
      <x:c r="E474" s="28" t="n">
        <x:f>IF(M474=0,0,M474+O474)</x:f>
        <x:v>19</x:v>
      </x:c>
      <x:c r="F474" s="28" t="n">
        <x:f>IF(M474=0,0,M474*N474+O474)</x:f>
        <x:v>30</x:v>
      </x:c>
      <x:c r="G474" s="28" t="n">
        <x:f>ROUND(Catalogue!G27*SQRT((1+'Paramètres'!$B$4*(C474-1)+'Paramètres'!$B$5*(C474-1)^2)),0)</x:f>
        <x:v>0</x:v>
      </x:c>
      <x:c r="H474" s="28" t="n">
        <x:f>ROUND(Catalogue!H27*SQRT((1+'Paramètres'!$B$4*(C474-1)+'Paramètres'!$B$5*(C474-1)^2)),0)</x:f>
        <x:v>0</x:v>
      </x:c>
      <x:c r="I474" s="28" t="n">
        <x:v>2</x:v>
      </x:c>
      <x:c r="J474" s="28" t="n">
        <x:v>1</x:v>
      </x:c>
      <x:c r="K474" s="30" t="n">
        <x:v>2.3</x:v>
      </x:c>
      <x:c r="L474" s="54" t="n">
        <x:f>IF(M474=0,0,(E474+F474)/2)</x:f>
        <x:v>24.5</x:v>
      </x:c>
      <x:c r="M474" t="n">
        <x:v>1</x:v>
      </x:c>
      <x:c r="N474" t="n">
        <x:v>12</x:v>
      </x:c>
      <x:c r="O474" t="n">
        <x:v>18</x:v>
      </x:c>
      <x:c r="P474" s="63" t="str">
        <x:f>IF(M474=0,"—",M474&amp;"d"&amp;N474&amp;IF(O474=0,""," + "&amp;O474))</x:f>
        <x:v>1d12 + 18</x:v>
      </x:c>
      <x:c r="Q474" t="n">
        <x:f>ROUND(INDEX(Catalogue!E$4:E$85,MATCH(A474,Catalogue!A$4:A$85,0))*(1+'Paramètres'!$B$4*(C474-1)+'Paramètres'!$B$5*(C474-1)^2),0)</x:f>
        <x:v>19</x:v>
      </x:c>
      <x:c r="R474" t="n">
        <x:f>ROUND(INDEX(Catalogue!F$4:F$85,MATCH(A474,Catalogue!A$4:A$85,0))*(1+'Paramètres'!$B$4*(C474-1)+'Paramètres'!$B$5*(C474-1)^2),0)</x:f>
        <x:v>30</x:v>
      </x:c>
      <x:c r="S474" t="n">
        <x:f>L474-AVERAGE(Q474:R474)</x:f>
        <x:v>0</x:v>
      </x:c>
      <x:c r="T474" t="str">
        <x:f>IF(M474=0,IF(AND(N474=0,O474=0,E474=0,F474=0),"OK","ERREUR"),IF(AND(M474&gt;=1,M474&lt;=32,OR(N474=4,N474=6,N474=8,N474=10,N474=12,N474=20),O474&gt;=0,E474=M474+O474,F474=M474*N474+O474),"OK","ERREUR"))</x:f>
        <x:v>OK</x:v>
      </x:c>
      <x:c r="U474" s="86" t="n">
        <x:f>IF(M474&gt;0,M474*(N474+1)/2+O474,0)</x:f>
        <x:v>24.5</x:v>
      </x:c>
      <x:c r="V474" t="str">
        <x:f>IF(ABS(L474-U474)&lt;0.001,"OK","ERREUR")</x:f>
        <x:v>OK</x:v>
      </x:c>
    </x:row>
    <x:row r="475" ht="18" customHeight="1">
      <x:c r="A475" t="str">
        <x:v>ARM024</x:v>
      </x:c>
      <x:c r="B475" t="str">
        <x:v>Étoile du matin</x:v>
      </x:c>
      <x:c r="C475" t="n">
        <x:v>12</x:v>
      </x:c>
      <x:c r="D475" t="str">
        <x:v>Une main</x:v>
      </x:c>
      <x:c r="E475" s="28" t="n">
        <x:f>IF(M475=0,0,M475+O475)</x:f>
        <x:v>21</x:v>
      </x:c>
      <x:c r="F475" s="28" t="n">
        <x:f>IF(M475=0,0,M475*N475+O475)</x:f>
        <x:v>33</x:v>
      </x:c>
      <x:c r="G475" s="28" t="n">
        <x:f>ROUND(Catalogue!G27*SQRT((1+'Paramètres'!$B$4*(C475-1)+'Paramètres'!$B$5*(C475-1)^2)),0)</x:f>
        <x:v>0</x:v>
      </x:c>
      <x:c r="H475" s="28" t="n">
        <x:f>ROUND(Catalogue!H27*SQRT((1+'Paramètres'!$B$4*(C475-1)+'Paramètres'!$B$5*(C475-1)^2)),0)</x:f>
        <x:v>0</x:v>
      </x:c>
      <x:c r="I475" s="28" t="n">
        <x:v>2</x:v>
      </x:c>
      <x:c r="J475" s="28" t="n">
        <x:v>1</x:v>
      </x:c>
      <x:c r="K475" s="30" t="n">
        <x:v>2.3</x:v>
      </x:c>
      <x:c r="L475" s="54" t="n">
        <x:f>IF(M475=0,0,(E475+F475)/2)</x:f>
        <x:v>27</x:v>
      </x:c>
      <x:c r="M475" t="n">
        <x:v>4</x:v>
      </x:c>
      <x:c r="N475" t="n">
        <x:v>4</x:v>
      </x:c>
      <x:c r="O475" t="n">
        <x:v>17</x:v>
      </x:c>
      <x:c r="P475" s="63" t="str">
        <x:f>IF(M475=0,"—",M475&amp;"d"&amp;N475&amp;IF(O475=0,""," + "&amp;O475))</x:f>
        <x:v>4d4 + 17</x:v>
      </x:c>
      <x:c r="Q475" t="n">
        <x:f>ROUND(INDEX(Catalogue!E$4:E$85,MATCH(A475,Catalogue!A$4:A$85,0))*(1+'Paramètres'!$B$4*(C475-1)+'Paramètres'!$B$5*(C475-1)^2),0)</x:f>
        <x:v>21</x:v>
      </x:c>
      <x:c r="R475" t="n">
        <x:f>ROUND(INDEX(Catalogue!F$4:F$85,MATCH(A475,Catalogue!A$4:A$85,0))*(1+'Paramètres'!$B$4*(C475-1)+'Paramètres'!$B$5*(C475-1)^2),0)</x:f>
        <x:v>33</x:v>
      </x:c>
      <x:c r="S475" t="n">
        <x:f>L475-AVERAGE(Q475:R475)</x:f>
        <x:v>0</x:v>
      </x:c>
      <x:c r="T475" t="str">
        <x:f>IF(M475=0,IF(AND(N475=0,O475=0,E475=0,F475=0),"OK","ERREUR"),IF(AND(M475&gt;=1,M475&lt;=32,OR(N475=4,N475=6,N475=8,N475=10,N475=12,N475=20),O475&gt;=0,E475=M475+O475,F475=M475*N475+O475),"OK","ERREUR"))</x:f>
        <x:v>OK</x:v>
      </x:c>
      <x:c r="U475" s="86" t="n">
        <x:f>IF(M475&gt;0,M475*(N475+1)/2+O475,0)</x:f>
        <x:v>27</x:v>
      </x:c>
      <x:c r="V475" t="str">
        <x:f>IF(ABS(L475-U475)&lt;0.001,"OK","ERREUR")</x:f>
        <x:v>OK</x:v>
      </x:c>
    </x:row>
    <x:row r="476" ht="18" customHeight="1">
      <x:c r="A476" t="str">
        <x:v>ARM024</x:v>
      </x:c>
      <x:c r="B476" t="str">
        <x:v>Étoile du matin</x:v>
      </x:c>
      <x:c r="C476" t="n">
        <x:v>13</x:v>
      </x:c>
      <x:c r="D476" t="str">
        <x:v>Une main</x:v>
      </x:c>
      <x:c r="E476" s="28" t="n">
        <x:f>IF(M476=0,0,M476+O476)</x:f>
        <x:v>23</x:v>
      </x:c>
      <x:c r="F476" s="28" t="n">
        <x:f>IF(M476=0,0,M476*N476+O476)</x:f>
        <x:v>37</x:v>
      </x:c>
      <x:c r="G476" s="28" t="n">
        <x:f>ROUND(Catalogue!G27*SQRT((1+'Paramètres'!$B$4*(C476-1)+'Paramètres'!$B$5*(C476-1)^2)),0)</x:f>
        <x:v>0</x:v>
      </x:c>
      <x:c r="H476" s="28" t="n">
        <x:f>ROUND(Catalogue!H27*SQRT((1+'Paramètres'!$B$4*(C476-1)+'Paramètres'!$B$5*(C476-1)^2)),0)</x:f>
        <x:v>0</x:v>
      </x:c>
      <x:c r="I476" s="28" t="n">
        <x:v>2</x:v>
      </x:c>
      <x:c r="J476" s="28" t="n">
        <x:v>1</x:v>
      </x:c>
      <x:c r="K476" s="30" t="n">
        <x:v>2.3</x:v>
      </x:c>
      <x:c r="L476" s="54" t="n">
        <x:f>IF(M476=0,0,(E476+F476)/2)</x:f>
        <x:v>30</x:v>
      </x:c>
      <x:c r="M476" t="n">
        <x:v>2</x:v>
      </x:c>
      <x:c r="N476" t="n">
        <x:v>8</x:v>
      </x:c>
      <x:c r="O476" t="n">
        <x:v>21</x:v>
      </x:c>
      <x:c r="P476" s="63" t="str">
        <x:f>IF(M476=0,"—",M476&amp;"d"&amp;N476&amp;IF(O476=0,""," + "&amp;O476))</x:f>
        <x:v>2d8 + 21</x:v>
      </x:c>
      <x:c r="Q476" t="n">
        <x:f>ROUND(INDEX(Catalogue!E$4:E$85,MATCH(A476,Catalogue!A$4:A$85,0))*(1+'Paramètres'!$B$4*(C476-1)+'Paramètres'!$B$5*(C476-1)^2),0)</x:f>
        <x:v>23</x:v>
      </x:c>
      <x:c r="R476" t="n">
        <x:f>ROUND(INDEX(Catalogue!F$4:F$85,MATCH(A476,Catalogue!A$4:A$85,0))*(1+'Paramètres'!$B$4*(C476-1)+'Paramètres'!$B$5*(C476-1)^2),0)</x:f>
        <x:v>37</x:v>
      </x:c>
      <x:c r="S476" t="n">
        <x:f>L476-AVERAGE(Q476:R476)</x:f>
        <x:v>0</x:v>
      </x:c>
      <x:c r="T476" t="str">
        <x:f>IF(M476=0,IF(AND(N476=0,O476=0,E476=0,F476=0),"OK","ERREUR"),IF(AND(M476&gt;=1,M476&lt;=32,OR(N476=4,N476=6,N476=8,N476=10,N476=12,N476=20),O476&gt;=0,E476=M476+O476,F476=M476*N476+O476),"OK","ERREUR"))</x:f>
        <x:v>OK</x:v>
      </x:c>
      <x:c r="U476" s="86" t="n">
        <x:f>IF(M476&gt;0,M476*(N476+1)/2+O476,0)</x:f>
        <x:v>30</x:v>
      </x:c>
      <x:c r="V476" t="str">
        <x:f>IF(ABS(L476-U476)&lt;0.001,"OK","ERREUR")</x:f>
        <x:v>OK</x:v>
      </x:c>
    </x:row>
    <x:row r="477" ht="18" customHeight="1">
      <x:c r="A477" t="str">
        <x:v>ARM024</x:v>
      </x:c>
      <x:c r="B477" t="str">
        <x:v>Étoile du matin</x:v>
      </x:c>
      <x:c r="C477" t="n">
        <x:v>14</x:v>
      </x:c>
      <x:c r="D477" t="str">
        <x:v>Une main</x:v>
      </x:c>
      <x:c r="E477" s="28" t="n">
        <x:f>IF(M477=0,0,M477+O477)</x:f>
        <x:v>26</x:v>
      </x:c>
      <x:c r="F477" s="28" t="n">
        <x:f>IF(M477=0,0,M477*N477+O477)</x:f>
        <x:v>41</x:v>
      </x:c>
      <x:c r="G477" s="28" t="n">
        <x:f>ROUND(Catalogue!G27*SQRT((1+'Paramètres'!$B$4*(C477-1)+'Paramètres'!$B$5*(C477-1)^2)),0)</x:f>
        <x:v>0</x:v>
      </x:c>
      <x:c r="H477" s="28" t="n">
        <x:f>ROUND(Catalogue!H27*SQRT((1+'Paramètres'!$B$4*(C477-1)+'Paramètres'!$B$5*(C477-1)^2)),0)</x:f>
        <x:v>0</x:v>
      </x:c>
      <x:c r="I477" s="28" t="n">
        <x:v>2</x:v>
      </x:c>
      <x:c r="J477" s="28" t="n">
        <x:v>1</x:v>
      </x:c>
      <x:c r="K477" s="30" t="n">
        <x:v>2.3</x:v>
      </x:c>
      <x:c r="L477" s="54" t="n">
        <x:f>IF(M477=0,0,(E477+F477)/2)</x:f>
        <x:v>33.5</x:v>
      </x:c>
      <x:c r="M477" t="n">
        <x:v>3</x:v>
      </x:c>
      <x:c r="N477" t="n">
        <x:v>6</x:v>
      </x:c>
      <x:c r="O477" t="n">
        <x:v>23</x:v>
      </x:c>
      <x:c r="P477" s="63" t="str">
        <x:f>IF(M477=0,"—",M477&amp;"d"&amp;N477&amp;IF(O477=0,""," + "&amp;O477))</x:f>
        <x:v>3d6 + 23</x:v>
      </x:c>
      <x:c r="Q477" t="n">
        <x:f>ROUND(INDEX(Catalogue!E$4:E$85,MATCH(A477,Catalogue!A$4:A$85,0))*(1+'Paramètres'!$B$4*(C477-1)+'Paramètres'!$B$5*(C477-1)^2),0)</x:f>
        <x:v>26</x:v>
      </x:c>
      <x:c r="R477" t="n">
        <x:f>ROUND(INDEX(Catalogue!F$4:F$85,MATCH(A477,Catalogue!A$4:A$85,0))*(1+'Paramètres'!$B$4*(C477-1)+'Paramètres'!$B$5*(C477-1)^2),0)</x:f>
        <x:v>41</x:v>
      </x:c>
      <x:c r="S477" t="n">
        <x:f>L477-AVERAGE(Q477:R477)</x:f>
        <x:v>0</x:v>
      </x:c>
      <x:c r="T477" t="str">
        <x:f>IF(M477=0,IF(AND(N477=0,O477=0,E477=0,F477=0),"OK","ERREUR"),IF(AND(M477&gt;=1,M477&lt;=32,OR(N477=4,N477=6,N477=8,N477=10,N477=12,N477=20),O477&gt;=0,E477=M477+O477,F477=M477*N477+O477),"OK","ERREUR"))</x:f>
        <x:v>OK</x:v>
      </x:c>
      <x:c r="U477" s="86" t="n">
        <x:f>IF(M477&gt;0,M477*(N477+1)/2+O477,0)</x:f>
        <x:v>33.5</x:v>
      </x:c>
      <x:c r="V477" t="str">
        <x:f>IF(ABS(L477-U477)&lt;0.001,"OK","ERREUR")</x:f>
        <x:v>OK</x:v>
      </x:c>
    </x:row>
    <x:row r="478" ht="18" customHeight="1">
      <x:c r="A478" t="str">
        <x:v>ARM024</x:v>
      </x:c>
      <x:c r="B478" t="str">
        <x:v>Étoile du matin</x:v>
      </x:c>
      <x:c r="C478" t="n">
        <x:v>15</x:v>
      </x:c>
      <x:c r="D478" t="str">
        <x:v>Une main</x:v>
      </x:c>
      <x:c r="E478" s="28" t="n">
        <x:f>IF(M478=0,0,M478+O478)</x:f>
        <x:v>27</x:v>
      </x:c>
      <x:c r="F478" s="28" t="n">
        <x:f>IF(M478=0,0,M478*N478+O478)</x:f>
        <x:v>45</x:v>
      </x:c>
      <x:c r="G478" s="28" t="n">
        <x:f>ROUND(Catalogue!G27*SQRT((1+'Paramètres'!$B$4*(C478-1)+'Paramètres'!$B$5*(C478-1)^2)),0)</x:f>
        <x:v>0</x:v>
      </x:c>
      <x:c r="H478" s="28" t="n">
        <x:f>ROUND(Catalogue!H27*SQRT((1+'Paramètres'!$B$4*(C478-1)+'Paramètres'!$B$5*(C478-1)^2)),0)</x:f>
        <x:v>0</x:v>
      </x:c>
      <x:c r="I478" s="28" t="n">
        <x:v>2</x:v>
      </x:c>
      <x:c r="J478" s="28" t="n">
        <x:v>1</x:v>
      </x:c>
      <x:c r="K478" s="30" t="n">
        <x:v>2.3</x:v>
      </x:c>
      <x:c r="L478" s="54" t="n">
        <x:f>IF(M478=0,0,(E478+F478)/2)</x:f>
        <x:v>36</x:v>
      </x:c>
      <x:c r="M478" t="n">
        <x:v>2</x:v>
      </x:c>
      <x:c r="N478" t="n">
        <x:v>10</x:v>
      </x:c>
      <x:c r="O478" t="n">
        <x:v>25</x:v>
      </x:c>
      <x:c r="P478" s="63" t="str">
        <x:f>IF(M478=0,"—",M478&amp;"d"&amp;N478&amp;IF(O478=0,""," + "&amp;O478))</x:f>
        <x:v>2d10 + 25</x:v>
      </x:c>
      <x:c r="Q478" t="n">
        <x:f>ROUND(INDEX(Catalogue!E$4:E$85,MATCH(A478,Catalogue!A$4:A$85,0))*(1+'Paramètres'!$B$4*(C478-1)+'Paramètres'!$B$5*(C478-1)^2),0)</x:f>
        <x:v>28</x:v>
      </x:c>
      <x:c r="R478" t="n">
        <x:f>ROUND(INDEX(Catalogue!F$4:F$85,MATCH(A478,Catalogue!A$4:A$85,0))*(1+'Paramètres'!$B$4*(C478-1)+'Paramètres'!$B$5*(C478-1)^2),0)</x:f>
        <x:v>45</x:v>
      </x:c>
      <x:c r="S478" t="n">
        <x:f>L478-AVERAGE(Q478:R478)</x:f>
        <x:v>-0.5</x:v>
      </x:c>
      <x:c r="T478" t="str">
        <x:f>IF(M478=0,IF(AND(N478=0,O478=0,E478=0,F478=0),"OK","ERREUR"),IF(AND(M478&gt;=1,M478&lt;=32,OR(N478=4,N478=6,N478=8,N478=10,N478=12,N478=20),O478&gt;=0,E478=M478+O478,F478=M478*N478+O478),"OK","ERREUR"))</x:f>
        <x:v>OK</x:v>
      </x:c>
      <x:c r="U478" s="86" t="n">
        <x:f>IF(M478&gt;0,M478*(N478+1)/2+O478,0)</x:f>
        <x:v>36</x:v>
      </x:c>
      <x:c r="V478" t="str">
        <x:f>IF(ABS(L478-U478)&lt;0.001,"OK","ERREUR")</x:f>
        <x:v>OK</x:v>
      </x:c>
    </x:row>
    <x:row r="479" ht="18" customHeight="1">
      <x:c r="A479" t="str">
        <x:v>ARM024</x:v>
      </x:c>
      <x:c r="B479" t="str">
        <x:v>Étoile du matin</x:v>
      </x:c>
      <x:c r="C479" t="n">
        <x:v>16</x:v>
      </x:c>
      <x:c r="D479" t="str">
        <x:v>Une main</x:v>
      </x:c>
      <x:c r="E479" s="28" t="n">
        <x:f>IF(M479=0,0,M479+O479)</x:f>
        <x:v>31</x:v>
      </x:c>
      <x:c r="F479" s="28" t="n">
        <x:f>IF(M479=0,0,M479*N479+O479)</x:f>
        <x:v>49</x:v>
      </x:c>
      <x:c r="G479" s="28" t="n">
        <x:f>ROUND(Catalogue!G27*SQRT((1+'Paramètres'!$B$4*(C479-1)+'Paramètres'!$B$5*(C479-1)^2)),0)</x:f>
        <x:v>0</x:v>
      </x:c>
      <x:c r="H479" s="28" t="n">
        <x:f>ROUND(Catalogue!H27*SQRT((1+'Paramètres'!$B$4*(C479-1)+'Paramètres'!$B$5*(C479-1)^2)),0)</x:f>
        <x:v>0</x:v>
      </x:c>
      <x:c r="I479" s="28" t="n">
        <x:v>2</x:v>
      </x:c>
      <x:c r="J479" s="28" t="n">
        <x:v>1</x:v>
      </x:c>
      <x:c r="K479" s="30" t="n">
        <x:v>2.3</x:v>
      </x:c>
      <x:c r="L479" s="54" t="n">
        <x:f>IF(M479=0,0,(E479+F479)/2)</x:f>
        <x:v>40</x:v>
      </x:c>
      <x:c r="M479" t="n">
        <x:v>2</x:v>
      </x:c>
      <x:c r="N479" t="n">
        <x:v>10</x:v>
      </x:c>
      <x:c r="O479" t="n">
        <x:v>29</x:v>
      </x:c>
      <x:c r="P479" s="63" t="str">
        <x:f>IF(M479=0,"—",M479&amp;"d"&amp;N479&amp;IF(O479=0,""," + "&amp;O479))</x:f>
        <x:v>2d10 + 29</x:v>
      </x:c>
      <x:c r="Q479" t="n">
        <x:f>ROUND(INDEX(Catalogue!E$4:E$85,MATCH(A479,Catalogue!A$4:A$85,0))*(1+'Paramètres'!$B$4*(C479-1)+'Paramètres'!$B$5*(C479-1)^2),0)</x:f>
        <x:v>31</x:v>
      </x:c>
      <x:c r="R479" t="n">
        <x:f>ROUND(INDEX(Catalogue!F$4:F$85,MATCH(A479,Catalogue!A$4:A$85,0))*(1+'Paramètres'!$B$4*(C479-1)+'Paramètres'!$B$5*(C479-1)^2),0)</x:f>
        <x:v>50</x:v>
      </x:c>
      <x:c r="S479" t="n">
        <x:f>L479-AVERAGE(Q479:R479)</x:f>
        <x:v>-0.5</x:v>
      </x:c>
      <x:c r="T479" t="str">
        <x:f>IF(M479=0,IF(AND(N479=0,O479=0,E479=0,F479=0),"OK","ERREUR"),IF(AND(M479&gt;=1,M479&lt;=32,OR(N479=4,N479=6,N479=8,N479=10,N479=12,N479=20),O479&gt;=0,E479=M479+O479,F479=M479*N479+O479),"OK","ERREUR"))</x:f>
        <x:v>OK</x:v>
      </x:c>
      <x:c r="U479" s="86" t="n">
        <x:f>IF(M479&gt;0,M479*(N479+1)/2+O479,0)</x:f>
        <x:v>40</x:v>
      </x:c>
      <x:c r="V479" t="str">
        <x:f>IF(ABS(L479-U479)&lt;0.001,"OK","ERREUR")</x:f>
        <x:v>OK</x:v>
      </x:c>
    </x:row>
    <x:row r="480" ht="18" customHeight="1">
      <x:c r="A480" t="str">
        <x:v>ARM024</x:v>
      </x:c>
      <x:c r="B480" t="str">
        <x:v>Étoile du matin</x:v>
      </x:c>
      <x:c r="C480" t="n">
        <x:v>17</x:v>
      </x:c>
      <x:c r="D480" t="str">
        <x:v>Une main</x:v>
      </x:c>
      <x:c r="E480" s="28" t="n">
        <x:f>IF(M480=0,0,M480+O480)</x:f>
        <x:v>34</x:v>
      </x:c>
      <x:c r="F480" s="28" t="n">
        <x:f>IF(M480=0,0,M480*N480+O480)</x:f>
        <x:v>55</x:v>
      </x:c>
      <x:c r="G480" s="28" t="n">
        <x:f>ROUND(Catalogue!G27*SQRT((1+'Paramètres'!$B$4*(C480-1)+'Paramètres'!$B$5*(C480-1)^2)),0)</x:f>
        <x:v>0</x:v>
      </x:c>
      <x:c r="H480" s="28" t="n">
        <x:f>ROUND(Catalogue!H27*SQRT((1+'Paramètres'!$B$4*(C480-1)+'Paramètres'!$B$5*(C480-1)^2)),0)</x:f>
        <x:v>0</x:v>
      </x:c>
      <x:c r="I480" s="28" t="n">
        <x:v>2</x:v>
      </x:c>
      <x:c r="J480" s="28" t="n">
        <x:v>1</x:v>
      </x:c>
      <x:c r="K480" s="30" t="n">
        <x:v>2.3</x:v>
      </x:c>
      <x:c r="L480" s="54" t="n">
        <x:f>IF(M480=0,0,(E480+F480)/2)</x:f>
        <x:v>44.5</x:v>
      </x:c>
      <x:c r="M480" t="n">
        <x:v>3</x:v>
      </x:c>
      <x:c r="N480" t="n">
        <x:v>8</x:v>
      </x:c>
      <x:c r="O480" t="n">
        <x:v>31</x:v>
      </x:c>
      <x:c r="P480" s="63" t="str">
        <x:f>IF(M480=0,"—",M480&amp;"d"&amp;N480&amp;IF(O480=0,""," + "&amp;O480))</x:f>
        <x:v>3d8 + 31</x:v>
      </x:c>
      <x:c r="Q480" t="n">
        <x:f>ROUND(INDEX(Catalogue!E$4:E$85,MATCH(A480,Catalogue!A$4:A$85,0))*(1+'Paramètres'!$B$4*(C480-1)+'Paramètres'!$B$5*(C480-1)^2),0)</x:f>
        <x:v>34</x:v>
      </x:c>
      <x:c r="R480" t="n">
        <x:f>ROUND(INDEX(Catalogue!F$4:F$85,MATCH(A480,Catalogue!A$4:A$85,0))*(1+'Paramètres'!$B$4*(C480-1)+'Paramètres'!$B$5*(C480-1)^2),0)</x:f>
        <x:v>55</x:v>
      </x:c>
      <x:c r="S480" t="n">
        <x:f>L480-AVERAGE(Q480:R480)</x:f>
        <x:v>0</x:v>
      </x:c>
      <x:c r="T480" t="str">
        <x:f>IF(M480=0,IF(AND(N480=0,O480=0,E480=0,F480=0),"OK","ERREUR"),IF(AND(M480&gt;=1,M480&lt;=32,OR(N480=4,N480=6,N480=8,N480=10,N480=12,N480=20),O480&gt;=0,E480=M480+O480,F480=M480*N480+O480),"OK","ERREUR"))</x:f>
        <x:v>OK</x:v>
      </x:c>
      <x:c r="U480" s="86" t="n">
        <x:f>IF(M480&gt;0,M480*(N480+1)/2+O480,0)</x:f>
        <x:v>44.5</x:v>
      </x:c>
      <x:c r="V480" t="str">
        <x:f>IF(ABS(L480-U480)&lt;0.001,"OK","ERREUR")</x:f>
        <x:v>OK</x:v>
      </x:c>
    </x:row>
    <x:row r="481" ht="18" customHeight="1">
      <x:c r="A481" t="str">
        <x:v>ARM024</x:v>
      </x:c>
      <x:c r="B481" t="str">
        <x:v>Étoile du matin</x:v>
      </x:c>
      <x:c r="C481" t="n">
        <x:v>18</x:v>
      </x:c>
      <x:c r="D481" t="str">
        <x:v>Une main</x:v>
      </x:c>
      <x:c r="E481" s="28" t="n">
        <x:f>IF(M481=0,0,M481+O481)</x:f>
        <x:v>37</x:v>
      </x:c>
      <x:c r="F481" s="28" t="n">
        <x:f>IF(M481=0,0,M481*N481+O481)</x:f>
        <x:v>59</x:v>
      </x:c>
      <x:c r="G481" s="28" t="n">
        <x:f>ROUND(Catalogue!G27*SQRT((1+'Paramètres'!$B$4*(C481-1)+'Paramètres'!$B$5*(C481-1)^2)),0)</x:f>
        <x:v>0</x:v>
      </x:c>
      <x:c r="H481" s="28" t="n">
        <x:f>ROUND(Catalogue!H27*SQRT((1+'Paramètres'!$B$4*(C481-1)+'Paramètres'!$B$5*(C481-1)^2)),0)</x:f>
        <x:v>0</x:v>
      </x:c>
      <x:c r="I481" s="28" t="n">
        <x:v>2</x:v>
      </x:c>
      <x:c r="J481" s="28" t="n">
        <x:v>1</x:v>
      </x:c>
      <x:c r="K481" s="30" t="n">
        <x:v>2.3</x:v>
      </x:c>
      <x:c r="L481" s="54" t="n">
        <x:f>IF(M481=0,0,(E481+F481)/2)</x:f>
        <x:v>48</x:v>
      </x:c>
      <x:c r="M481" t="n">
        <x:v>2</x:v>
      </x:c>
      <x:c r="N481" t="n">
        <x:v>12</x:v>
      </x:c>
      <x:c r="O481" t="n">
        <x:v>35</x:v>
      </x:c>
      <x:c r="P481" s="63" t="str">
        <x:f>IF(M481=0,"—",M481&amp;"d"&amp;N481&amp;IF(O481=0,""," + "&amp;O481))</x:f>
        <x:v>2d12 + 35</x:v>
      </x:c>
      <x:c r="Q481" t="n">
        <x:f>ROUND(INDEX(Catalogue!E$4:E$85,MATCH(A481,Catalogue!A$4:A$85,0))*(1+'Paramètres'!$B$4*(C481-1)+'Paramètres'!$B$5*(C481-1)^2),0)</x:f>
        <x:v>37</x:v>
      </x:c>
      <x:c r="R481" t="n">
        <x:f>ROUND(INDEX(Catalogue!F$4:F$85,MATCH(A481,Catalogue!A$4:A$85,0))*(1+'Paramètres'!$B$4*(C481-1)+'Paramètres'!$B$5*(C481-1)^2),0)</x:f>
        <x:v>60</x:v>
      </x:c>
      <x:c r="S481" t="n">
        <x:f>L481-AVERAGE(Q481:R481)</x:f>
        <x:v>-0.5</x:v>
      </x:c>
      <x:c r="T481" t="str">
        <x:f>IF(M481=0,IF(AND(N481=0,O481=0,E481=0,F481=0),"OK","ERREUR"),IF(AND(M481&gt;=1,M481&lt;=32,OR(N481=4,N481=6,N481=8,N481=10,N481=12,N481=20),O481&gt;=0,E481=M481+O481,F481=M481*N481+O481),"OK","ERREUR"))</x:f>
        <x:v>OK</x:v>
      </x:c>
      <x:c r="U481" s="86" t="n">
        <x:f>IF(M481&gt;0,M481*(N481+1)/2+O481,0)</x:f>
        <x:v>48</x:v>
      </x:c>
      <x:c r="V481" t="str">
        <x:f>IF(ABS(L481-U481)&lt;0.001,"OK","ERREUR")</x:f>
        <x:v>OK</x:v>
      </x:c>
    </x:row>
    <x:row r="482" ht="18" customHeight="1">
      <x:c r="A482" t="str">
        <x:v>ARM024</x:v>
      </x:c>
      <x:c r="B482" t="str">
        <x:v>Étoile du matin</x:v>
      </x:c>
      <x:c r="C482" t="n">
        <x:v>19</x:v>
      </x:c>
      <x:c r="D482" t="str">
        <x:v>Une main</x:v>
      </x:c>
      <x:c r="E482" s="28" t="n">
        <x:f>IF(M482=0,0,M482+O482)</x:f>
        <x:v>40</x:v>
      </x:c>
      <x:c r="F482" s="28" t="n">
        <x:f>IF(M482=0,0,M482*N482+O482)</x:f>
        <x:v>65</x:v>
      </x:c>
      <x:c r="G482" s="28" t="n">
        <x:f>ROUND(Catalogue!G27*SQRT((1+'Paramètres'!$B$4*(C482-1)+'Paramètres'!$B$5*(C482-1)^2)),0)</x:f>
        <x:v>0</x:v>
      </x:c>
      <x:c r="H482" s="28" t="n">
        <x:f>ROUND(Catalogue!H27*SQRT((1+'Paramètres'!$B$4*(C482-1)+'Paramètres'!$B$5*(C482-1)^2)),0)</x:f>
        <x:v>0</x:v>
      </x:c>
      <x:c r="I482" s="28" t="n">
        <x:v>2</x:v>
      </x:c>
      <x:c r="J482" s="28" t="n">
        <x:v>1</x:v>
      </x:c>
      <x:c r="K482" s="30" t="n">
        <x:v>2.3</x:v>
      </x:c>
      <x:c r="L482" s="54" t="n">
        <x:f>IF(M482=0,0,(E482+F482)/2)</x:f>
        <x:v>52.5</x:v>
      </x:c>
      <x:c r="M482" t="n">
        <x:v>5</x:v>
      </x:c>
      <x:c r="N482" t="n">
        <x:v>6</x:v>
      </x:c>
      <x:c r="O482" t="n">
        <x:v>35</x:v>
      </x:c>
      <x:c r="P482" s="63" t="str">
        <x:f>IF(M482=0,"—",M482&amp;"d"&amp;N482&amp;IF(O482=0,""," + "&amp;O482))</x:f>
        <x:v>5d6 + 35</x:v>
      </x:c>
      <x:c r="Q482" t="n">
        <x:f>ROUND(INDEX(Catalogue!E$4:E$85,MATCH(A482,Catalogue!A$4:A$85,0))*(1+'Paramètres'!$B$4*(C482-1)+'Paramètres'!$B$5*(C482-1)^2),0)</x:f>
        <x:v>41</x:v>
      </x:c>
      <x:c r="R482" t="n">
        <x:f>ROUND(INDEX(Catalogue!F$4:F$85,MATCH(A482,Catalogue!A$4:A$85,0))*(1+'Paramètres'!$B$4*(C482-1)+'Paramètres'!$B$5*(C482-1)^2),0)</x:f>
        <x:v>65</x:v>
      </x:c>
      <x:c r="S482" t="n">
        <x:f>L482-AVERAGE(Q482:R482)</x:f>
        <x:v>-0.5</x:v>
      </x:c>
      <x:c r="T482" t="str">
        <x:f>IF(M482=0,IF(AND(N482=0,O482=0,E482=0,F482=0),"OK","ERREUR"),IF(AND(M482&gt;=1,M482&lt;=32,OR(N482=4,N482=6,N482=8,N482=10,N482=12,N482=20),O482&gt;=0,E482=M482+O482,F482=M482*N482+O482),"OK","ERREUR"))</x:f>
        <x:v>OK</x:v>
      </x:c>
      <x:c r="U482" s="86" t="n">
        <x:f>IF(M482&gt;0,M482*(N482+1)/2+O482,0)</x:f>
        <x:v>52.5</x:v>
      </x:c>
      <x:c r="V482" t="str">
        <x:f>IF(ABS(L482-U482)&lt;0.001,"OK","ERREUR")</x:f>
        <x:v>OK</x:v>
      </x:c>
    </x:row>
    <x:row r="483" ht="18" customHeight="1">
      <x:c r="A483" t="str">
        <x:v>ARM024</x:v>
      </x:c>
      <x:c r="B483" t="str">
        <x:v>Étoile du matin</x:v>
      </x:c>
      <x:c r="C483" t="n">
        <x:v>20</x:v>
      </x:c>
      <x:c r="D483" t="str">
        <x:v>Une main</x:v>
      </x:c>
      <x:c r="E483" s="28" t="n">
        <x:f>IF(M483=0,0,M483+O483)</x:f>
        <x:v>44</x:v>
      </x:c>
      <x:c r="F483" s="28" t="n">
        <x:f>IF(M483=0,0,M483*N483+O483)</x:f>
        <x:v>71</x:v>
      </x:c>
      <x:c r="G483" s="28" t="n">
        <x:f>ROUND(Catalogue!G27*SQRT((1+'Paramètres'!$B$4*(C483-1)+'Paramètres'!$B$5*(C483-1)^2)),0)</x:f>
        <x:v>0</x:v>
      </x:c>
      <x:c r="H483" s="28" t="n">
        <x:f>ROUND(Catalogue!H27*SQRT((1+'Paramètres'!$B$4*(C483-1)+'Paramètres'!$B$5*(C483-1)^2)),0)</x:f>
        <x:v>0</x:v>
      </x:c>
      <x:c r="I483" s="28" t="n">
        <x:v>2</x:v>
      </x:c>
      <x:c r="J483" s="28" t="n">
        <x:v>1</x:v>
      </x:c>
      <x:c r="K483" s="30" t="n">
        <x:v>2.3</x:v>
      </x:c>
      <x:c r="L483" s="54" t="n">
        <x:f>IF(M483=0,0,(E483+F483)/2)</x:f>
        <x:v>57.5</x:v>
      </x:c>
      <x:c r="M483" t="n">
        <x:v>3</x:v>
      </x:c>
      <x:c r="N483" t="n">
        <x:v>10</x:v>
      </x:c>
      <x:c r="O483" t="n">
        <x:v>41</x:v>
      </x:c>
      <x:c r="P483" s="63" t="str">
        <x:f>IF(M483=0,"—",M483&amp;"d"&amp;N483&amp;IF(O483=0,""," + "&amp;O483))</x:f>
        <x:v>3d10 + 41</x:v>
      </x:c>
      <x:c r="Q483" t="n">
        <x:f>ROUND(INDEX(Catalogue!E$4:E$85,MATCH(A483,Catalogue!A$4:A$85,0))*(1+'Paramètres'!$B$4*(C483-1)+'Paramètres'!$B$5*(C483-1)^2),0)</x:f>
        <x:v>44</x:v>
      </x:c>
      <x:c r="R483" t="n">
        <x:f>ROUND(INDEX(Catalogue!F$4:F$85,MATCH(A483,Catalogue!A$4:A$85,0))*(1+'Paramètres'!$B$4*(C483-1)+'Paramètres'!$B$5*(C483-1)^2),0)</x:f>
        <x:v>71</x:v>
      </x:c>
      <x:c r="S483" t="n">
        <x:f>L483-AVERAGE(Q483:R483)</x:f>
        <x:v>0</x:v>
      </x:c>
      <x:c r="T483" t="str">
        <x:f>IF(M483=0,IF(AND(N483=0,O483=0,E483=0,F483=0),"OK","ERREUR"),IF(AND(M483&gt;=1,M483&lt;=32,OR(N483=4,N483=6,N483=8,N483=10,N483=12,N483=20),O483&gt;=0,E483=M483+O483,F483=M483*N483+O483),"OK","ERREUR"))</x:f>
        <x:v>OK</x:v>
      </x:c>
      <x:c r="U483" s="86" t="n">
        <x:f>IF(M483&gt;0,M483*(N483+1)/2+O483,0)</x:f>
        <x:v>57.5</x:v>
      </x:c>
      <x:c r="V483" t="str">
        <x:f>IF(ABS(L483-U483)&lt;0.001,"OK","ERREUR")</x:f>
        <x:v>OK</x:v>
      </x:c>
    </x:row>
    <x:row r="484" ht="18" customHeight="1">
      <x:c r="A484" t="str">
        <x:v>ARM025</x:v>
      </x:c>
      <x:c r="B484" t="str">
        <x:v>Pic de guerre</x:v>
      </x:c>
      <x:c r="C484" t="n">
        <x:v>1</x:v>
      </x:c>
      <x:c r="D484" t="str">
        <x:v>Une main</x:v>
      </x:c>
      <x:c r="E484" s="28" t="n">
        <x:f>IF(M484=0,0,M484+O484)</x:f>
        <x:v>4</x:v>
      </x:c>
      <x:c r="F484" s="28" t="n">
        <x:f>IF(M484=0,0,M484*N484+O484)</x:f>
        <x:v>7</x:v>
      </x:c>
      <x:c r="G484" s="28" t="n">
        <x:f>ROUND(Catalogue!G28*SQRT((1+'Paramètres'!$B$4*(C484-1)+'Paramètres'!$B$5*(C484-1)^2)),0)</x:f>
        <x:v>0</x:v>
      </x:c>
      <x:c r="H484" s="28" t="n">
        <x:f>ROUND(Catalogue!H28*SQRT((1+'Paramètres'!$B$4*(C484-1)+'Paramètres'!$B$5*(C484-1)^2)),0)</x:f>
        <x:v>0</x:v>
      </x:c>
      <x:c r="I484" s="28" t="n">
        <x:v>2</x:v>
      </x:c>
      <x:c r="J484" s="28" t="n">
        <x:v>1</x:v>
      </x:c>
      <x:c r="K484" s="30" t="n">
        <x:v>1.9</x:v>
      </x:c>
      <x:c r="L484" s="54" t="n">
        <x:f>IF(M484=0,0,(E484+F484)/2)</x:f>
        <x:v>5.5</x:v>
      </x:c>
      <x:c r="M484" t="n">
        <x:v>1</x:v>
      </x:c>
      <x:c r="N484" t="n">
        <x:v>4</x:v>
      </x:c>
      <x:c r="O484" t="n">
        <x:v>3</x:v>
      </x:c>
      <x:c r="P484" s="63" t="str">
        <x:f>IF(M484=0,"—",M484&amp;"d"&amp;N484&amp;IF(O484=0,""," + "&amp;O484))</x:f>
        <x:v>1d4 + 3</x:v>
      </x:c>
      <x:c r="Q484" t="n">
        <x:f>ROUND(INDEX(Catalogue!E$4:E$85,MATCH(A484,Catalogue!A$4:A$85,0))*(1+'Paramètres'!$B$4*(C484-1)+'Paramètres'!$B$5*(C484-1)^2),0)</x:f>
        <x:v>4</x:v>
      </x:c>
      <x:c r="R484" t="n">
        <x:f>ROUND(INDEX(Catalogue!F$4:F$85,MATCH(A484,Catalogue!A$4:A$85,0))*(1+'Paramètres'!$B$4*(C484-1)+'Paramètres'!$B$5*(C484-1)^2),0)</x:f>
        <x:v>8</x:v>
      </x:c>
      <x:c r="S484" t="n">
        <x:f>L484-AVERAGE(Q484:R484)</x:f>
        <x:v>-0.5</x:v>
      </x:c>
      <x:c r="T484" t="str">
        <x:f>IF(M484=0,IF(AND(N484=0,O484=0,E484=0,F484=0),"OK","ERREUR"),IF(AND(M484&gt;=1,M484&lt;=32,OR(N484=4,N484=6,N484=8,N484=10,N484=12,N484=20),O484&gt;=0,E484=M484+O484,F484=M484*N484+O484),"OK","ERREUR"))</x:f>
        <x:v>OK</x:v>
      </x:c>
      <x:c r="U484" s="86" t="n">
        <x:f>IF(M484&gt;0,M484*(N484+1)/2+O484,0)</x:f>
        <x:v>5.5</x:v>
      </x:c>
      <x:c r="V484" t="str">
        <x:f>IF(ABS(L484-U484)&lt;0.001,"OK","ERREUR")</x:f>
        <x:v>OK</x:v>
      </x:c>
    </x:row>
    <x:row r="485" ht="18" customHeight="1">
      <x:c r="A485" t="str">
        <x:v>ARM025</x:v>
      </x:c>
      <x:c r="B485" t="str">
        <x:v>Pic de guerre</x:v>
      </x:c>
      <x:c r="C485" t="n">
        <x:v>2</x:v>
      </x:c>
      <x:c r="D485" t="str">
        <x:v>Une main</x:v>
      </x:c>
      <x:c r="E485" s="28" t="n">
        <x:f>IF(M485=0,0,M485+O485)</x:f>
        <x:v>5</x:v>
      </x:c>
      <x:c r="F485" s="28" t="n">
        <x:f>IF(M485=0,0,M485*N485+O485)</x:f>
        <x:v>8</x:v>
      </x:c>
      <x:c r="G485" s="28" t="n">
        <x:f>ROUND(Catalogue!G28*SQRT((1+'Paramètres'!$B$4*(C485-1)+'Paramètres'!$B$5*(C485-1)^2)),0)</x:f>
        <x:v>0</x:v>
      </x:c>
      <x:c r="H485" s="28" t="n">
        <x:f>ROUND(Catalogue!H28*SQRT((1+'Paramètres'!$B$4*(C485-1)+'Paramètres'!$B$5*(C485-1)^2)),0)</x:f>
        <x:v>0</x:v>
      </x:c>
      <x:c r="I485" s="28" t="n">
        <x:v>2</x:v>
      </x:c>
      <x:c r="J485" s="28" t="n">
        <x:v>1</x:v>
      </x:c>
      <x:c r="K485" s="30" t="n">
        <x:v>1.9</x:v>
      </x:c>
      <x:c r="L485" s="54" t="n">
        <x:f>IF(M485=0,0,(E485+F485)/2)</x:f>
        <x:v>6.5</x:v>
      </x:c>
      <x:c r="M485" t="n">
        <x:v>1</x:v>
      </x:c>
      <x:c r="N485" t="n">
        <x:v>4</x:v>
      </x:c>
      <x:c r="O485" t="n">
        <x:v>4</x:v>
      </x:c>
      <x:c r="P485" s="63" t="str">
        <x:f>IF(M485=0,"—",M485&amp;"d"&amp;N485&amp;IF(O485=0,""," + "&amp;O485))</x:f>
        <x:v>1d4 + 4</x:v>
      </x:c>
      <x:c r="Q485" t="n">
        <x:f>ROUND(INDEX(Catalogue!E$4:E$85,MATCH(A485,Catalogue!A$4:A$85,0))*(1+'Paramètres'!$B$4*(C485-1)+'Paramètres'!$B$5*(C485-1)^2),0)</x:f>
        <x:v>5</x:v>
      </x:c>
      <x:c r="R485" t="n">
        <x:f>ROUND(INDEX(Catalogue!F$4:F$85,MATCH(A485,Catalogue!A$4:A$85,0))*(1+'Paramètres'!$B$4*(C485-1)+'Paramètres'!$B$5*(C485-1)^2),0)</x:f>
        <x:v>9</x:v>
      </x:c>
      <x:c r="S485" t="n">
        <x:f>L485-AVERAGE(Q485:R485)</x:f>
        <x:v>-0.5</x:v>
      </x:c>
      <x:c r="T485" t="str">
        <x:f>IF(M485=0,IF(AND(N485=0,O485=0,E485=0,F485=0),"OK","ERREUR"),IF(AND(M485&gt;=1,M485&lt;=32,OR(N485=4,N485=6,N485=8,N485=10,N485=12,N485=20),O485&gt;=0,E485=M485+O485,F485=M485*N485+O485),"OK","ERREUR"))</x:f>
        <x:v>OK</x:v>
      </x:c>
      <x:c r="U485" s="86" t="n">
        <x:f>IF(M485&gt;0,M485*(N485+1)/2+O485,0)</x:f>
        <x:v>6.5</x:v>
      </x:c>
      <x:c r="V485" t="str">
        <x:f>IF(ABS(L485-U485)&lt;0.001,"OK","ERREUR")</x:f>
        <x:v>OK</x:v>
      </x:c>
    </x:row>
    <x:row r="486" ht="18" customHeight="1">
      <x:c r="A486" t="str">
        <x:v>ARM025</x:v>
      </x:c>
      <x:c r="B486" t="str">
        <x:v>Pic de guerre</x:v>
      </x:c>
      <x:c r="C486" t="n">
        <x:v>3</x:v>
      </x:c>
      <x:c r="D486" t="str">
        <x:v>Une main</x:v>
      </x:c>
      <x:c r="E486" s="28" t="n">
        <x:f>IF(M486=0,0,M486+O486)</x:f>
        <x:v>5</x:v>
      </x:c>
      <x:c r="F486" s="28" t="n">
        <x:f>IF(M486=0,0,M486*N486+O486)</x:f>
        <x:v>10</x:v>
      </x:c>
      <x:c r="G486" s="28" t="n">
        <x:f>ROUND(Catalogue!G28*SQRT((1+'Paramètres'!$B$4*(C486-1)+'Paramètres'!$B$5*(C486-1)^2)),0)</x:f>
        <x:v>0</x:v>
      </x:c>
      <x:c r="H486" s="28" t="n">
        <x:f>ROUND(Catalogue!H28*SQRT((1+'Paramètres'!$B$4*(C486-1)+'Paramètres'!$B$5*(C486-1)^2)),0)</x:f>
        <x:v>0</x:v>
      </x:c>
      <x:c r="I486" s="28" t="n">
        <x:v>2</x:v>
      </x:c>
      <x:c r="J486" s="28" t="n">
        <x:v>1</x:v>
      </x:c>
      <x:c r="K486" s="30" t="n">
        <x:v>1.9</x:v>
      </x:c>
      <x:c r="L486" s="54" t="n">
        <x:f>IF(M486=0,0,(E486+F486)/2)</x:f>
        <x:v>7.5</x:v>
      </x:c>
      <x:c r="M486" t="n">
        <x:v>1</x:v>
      </x:c>
      <x:c r="N486" t="n">
        <x:v>6</x:v>
      </x:c>
      <x:c r="O486" t="n">
        <x:v>4</x:v>
      </x:c>
      <x:c r="P486" s="63" t="str">
        <x:f>IF(M486=0,"—",M486&amp;"d"&amp;N486&amp;IF(O486=0,""," + "&amp;O486))</x:f>
        <x:v>1d6 + 4</x:v>
      </x:c>
      <x:c r="Q486" t="n">
        <x:f>ROUND(INDEX(Catalogue!E$4:E$85,MATCH(A486,Catalogue!A$4:A$85,0))*(1+'Paramètres'!$B$4*(C486-1)+'Paramètres'!$B$5*(C486-1)^2),0)</x:f>
        <x:v>5</x:v>
      </x:c>
      <x:c r="R486" t="n">
        <x:f>ROUND(INDEX(Catalogue!F$4:F$85,MATCH(A486,Catalogue!A$4:A$85,0))*(1+'Paramètres'!$B$4*(C486-1)+'Paramètres'!$B$5*(C486-1)^2),0)</x:f>
        <x:v>10</x:v>
      </x:c>
      <x:c r="S486" t="n">
        <x:f>L486-AVERAGE(Q486:R486)</x:f>
        <x:v>0</x:v>
      </x:c>
      <x:c r="T486" t="str">
        <x:f>IF(M486=0,IF(AND(N486=0,O486=0,E486=0,F486=0),"OK","ERREUR"),IF(AND(M486&gt;=1,M486&lt;=32,OR(N486=4,N486=6,N486=8,N486=10,N486=12,N486=20),O486&gt;=0,E486=M486+O486,F486=M486*N486+O486),"OK","ERREUR"))</x:f>
        <x:v>OK</x:v>
      </x:c>
      <x:c r="U486" s="86" t="n">
        <x:f>IF(M486&gt;0,M486*(N486+1)/2+O486,0)</x:f>
        <x:v>7.5</x:v>
      </x:c>
      <x:c r="V486" t="str">
        <x:f>IF(ABS(L486-U486)&lt;0.001,"OK","ERREUR")</x:f>
        <x:v>OK</x:v>
      </x:c>
    </x:row>
    <x:row r="487" ht="18" customHeight="1">
      <x:c r="A487" t="str">
        <x:v>ARM025</x:v>
      </x:c>
      <x:c r="B487" t="str">
        <x:v>Pic de guerre</x:v>
      </x:c>
      <x:c r="C487" t="n">
        <x:v>4</x:v>
      </x:c>
      <x:c r="D487" t="str">
        <x:v>Une main</x:v>
      </x:c>
      <x:c r="E487" s="28" t="n">
        <x:f>IF(M487=0,0,M487+O487)</x:f>
        <x:v>6</x:v>
      </x:c>
      <x:c r="F487" s="28" t="n">
        <x:f>IF(M487=0,0,M487*N487+O487)</x:f>
        <x:v>12</x:v>
      </x:c>
      <x:c r="G487" s="28" t="n">
        <x:f>ROUND(Catalogue!G28*SQRT((1+'Paramètres'!$B$4*(C487-1)+'Paramètres'!$B$5*(C487-1)^2)),0)</x:f>
        <x:v>0</x:v>
      </x:c>
      <x:c r="H487" s="28" t="n">
        <x:f>ROUND(Catalogue!H28*SQRT((1+'Paramètres'!$B$4*(C487-1)+'Paramètres'!$B$5*(C487-1)^2)),0)</x:f>
        <x:v>0</x:v>
      </x:c>
      <x:c r="I487" s="28" t="n">
        <x:v>2</x:v>
      </x:c>
      <x:c r="J487" s="28" t="n">
        <x:v>1</x:v>
      </x:c>
      <x:c r="K487" s="30" t="n">
        <x:v>1.9</x:v>
      </x:c>
      <x:c r="L487" s="54" t="n">
        <x:f>IF(M487=0,0,(E487+F487)/2)</x:f>
        <x:v>9</x:v>
      </x:c>
      <x:c r="M487" t="n">
        <x:v>2</x:v>
      </x:c>
      <x:c r="N487" t="n">
        <x:v>4</x:v>
      </x:c>
      <x:c r="O487" t="n">
        <x:v>4</x:v>
      </x:c>
      <x:c r="P487" s="63" t="str">
        <x:f>IF(M487=0,"—",M487&amp;"d"&amp;N487&amp;IF(O487=0,""," + "&amp;O487))</x:f>
        <x:v>2d4 + 4</x:v>
      </x:c>
      <x:c r="Q487" t="n">
        <x:f>ROUND(INDEX(Catalogue!E$4:E$85,MATCH(A487,Catalogue!A$4:A$85,0))*(1+'Paramètres'!$B$4*(C487-1)+'Paramètres'!$B$5*(C487-1)^2),0)</x:f>
        <x:v>6</x:v>
      </x:c>
      <x:c r="R487" t="n">
        <x:f>ROUND(INDEX(Catalogue!F$4:F$85,MATCH(A487,Catalogue!A$4:A$85,0))*(1+'Paramètres'!$B$4*(C487-1)+'Paramètres'!$B$5*(C487-1)^2),0)</x:f>
        <x:v>12</x:v>
      </x:c>
      <x:c r="S487" t="n">
        <x:f>L487-AVERAGE(Q487:R487)</x:f>
        <x:v>0</x:v>
      </x:c>
      <x:c r="T487" t="str">
        <x:f>IF(M487=0,IF(AND(N487=0,O487=0,E487=0,F487=0),"OK","ERREUR"),IF(AND(M487&gt;=1,M487&lt;=32,OR(N487=4,N487=6,N487=8,N487=10,N487=12,N487=20),O487&gt;=0,E487=M487+O487,F487=M487*N487+O487),"OK","ERREUR"))</x:f>
        <x:v>OK</x:v>
      </x:c>
      <x:c r="U487" s="86" t="n">
        <x:f>IF(M487&gt;0,M487*(N487+1)/2+O487,0)</x:f>
        <x:v>9</x:v>
      </x:c>
      <x:c r="V487" t="str">
        <x:f>IF(ABS(L487-U487)&lt;0.001,"OK","ERREUR")</x:f>
        <x:v>OK</x:v>
      </x:c>
    </x:row>
    <x:row r="488" ht="18" customHeight="1">
      <x:c r="A488" t="str">
        <x:v>ARM025</x:v>
      </x:c>
      <x:c r="B488" t="str">
        <x:v>Pic de guerre</x:v>
      </x:c>
      <x:c r="C488" t="n">
        <x:v>5</x:v>
      </x:c>
      <x:c r="D488" t="str">
        <x:v>Une main</x:v>
      </x:c>
      <x:c r="E488" s="28" t="n">
        <x:f>IF(M488=0,0,M488+O488)</x:f>
        <x:v>7</x:v>
      </x:c>
      <x:c r="F488" s="28" t="n">
        <x:f>IF(M488=0,0,M488*N488+O488)</x:f>
        <x:v>14</x:v>
      </x:c>
      <x:c r="G488" s="28" t="n">
        <x:f>ROUND(Catalogue!G28*SQRT((1+'Paramètres'!$B$4*(C488-1)+'Paramètres'!$B$5*(C488-1)^2)),0)</x:f>
        <x:v>0</x:v>
      </x:c>
      <x:c r="H488" s="28" t="n">
        <x:f>ROUND(Catalogue!H28*SQRT((1+'Paramètres'!$B$4*(C488-1)+'Paramètres'!$B$5*(C488-1)^2)),0)</x:f>
        <x:v>0</x:v>
      </x:c>
      <x:c r="I488" s="28" t="n">
        <x:v>2</x:v>
      </x:c>
      <x:c r="J488" s="28" t="n">
        <x:v>1</x:v>
      </x:c>
      <x:c r="K488" s="30" t="n">
        <x:v>1.9</x:v>
      </x:c>
      <x:c r="L488" s="54" t="n">
        <x:f>IF(M488=0,0,(E488+F488)/2)</x:f>
        <x:v>10.5</x:v>
      </x:c>
      <x:c r="M488" t="n">
        <x:v>1</x:v>
      </x:c>
      <x:c r="N488" t="n">
        <x:v>8</x:v>
      </x:c>
      <x:c r="O488" t="n">
        <x:v>6</x:v>
      </x:c>
      <x:c r="P488" s="63" t="str">
        <x:f>IF(M488=0,"—",M488&amp;"d"&amp;N488&amp;IF(O488=0,""," + "&amp;O488))</x:f>
        <x:v>1d8 + 6</x:v>
      </x:c>
      <x:c r="Q488" t="n">
        <x:f>ROUND(INDEX(Catalogue!E$4:E$85,MATCH(A488,Catalogue!A$4:A$85,0))*(1+'Paramètres'!$B$4*(C488-1)+'Paramètres'!$B$5*(C488-1)^2),0)</x:f>
        <x:v>7</x:v>
      </x:c>
      <x:c r="R488" t="n">
        <x:f>ROUND(INDEX(Catalogue!F$4:F$85,MATCH(A488,Catalogue!A$4:A$85,0))*(1+'Paramètres'!$B$4*(C488-1)+'Paramètres'!$B$5*(C488-1)^2),0)</x:f>
        <x:v>14</x:v>
      </x:c>
      <x:c r="S488" t="n">
        <x:f>L488-AVERAGE(Q488:R488)</x:f>
        <x:v>0</x:v>
      </x:c>
      <x:c r="T488" t="str">
        <x:f>IF(M488=0,IF(AND(N488=0,O488=0,E488=0,F488=0),"OK","ERREUR"),IF(AND(M488&gt;=1,M488&lt;=32,OR(N488=4,N488=6,N488=8,N488=10,N488=12,N488=20),O488&gt;=0,E488=M488+O488,F488=M488*N488+O488),"OK","ERREUR"))</x:f>
        <x:v>OK</x:v>
      </x:c>
      <x:c r="U488" s="86" t="n">
        <x:f>IF(M488&gt;0,M488*(N488+1)/2+O488,0)</x:f>
        <x:v>10.5</x:v>
      </x:c>
      <x:c r="V488" t="str">
        <x:f>IF(ABS(L488-U488)&lt;0.001,"OK","ERREUR")</x:f>
        <x:v>OK</x:v>
      </x:c>
    </x:row>
    <x:row r="489" ht="18" customHeight="1">
      <x:c r="A489" t="str">
        <x:v>ARM025</x:v>
      </x:c>
      <x:c r="B489" t="str">
        <x:v>Pic de guerre</x:v>
      </x:c>
      <x:c r="C489" t="n">
        <x:v>6</x:v>
      </x:c>
      <x:c r="D489" t="str">
        <x:v>Une main</x:v>
      </x:c>
      <x:c r="E489" s="28" t="n">
        <x:f>IF(M489=0,0,M489+O489)</x:f>
        <x:v>9</x:v>
      </x:c>
      <x:c r="F489" s="28" t="n">
        <x:f>IF(M489=0,0,M489*N489+O489)</x:f>
        <x:v>16</x:v>
      </x:c>
      <x:c r="G489" s="28" t="n">
        <x:f>ROUND(Catalogue!G28*SQRT((1+'Paramètres'!$B$4*(C489-1)+'Paramètres'!$B$5*(C489-1)^2)),0)</x:f>
        <x:v>0</x:v>
      </x:c>
      <x:c r="H489" s="28" t="n">
        <x:f>ROUND(Catalogue!H28*SQRT((1+'Paramètres'!$B$4*(C489-1)+'Paramètres'!$B$5*(C489-1)^2)),0)</x:f>
        <x:v>0</x:v>
      </x:c>
      <x:c r="I489" s="28" t="n">
        <x:v>2</x:v>
      </x:c>
      <x:c r="J489" s="28" t="n">
        <x:v>1</x:v>
      </x:c>
      <x:c r="K489" s="30" t="n">
        <x:v>1.9</x:v>
      </x:c>
      <x:c r="L489" s="54" t="n">
        <x:f>IF(M489=0,0,(E489+F489)/2)</x:f>
        <x:v>12.5</x:v>
      </x:c>
      <x:c r="M489" t="n">
        <x:v>1</x:v>
      </x:c>
      <x:c r="N489" t="n">
        <x:v>8</x:v>
      </x:c>
      <x:c r="O489" t="n">
        <x:v>8</x:v>
      </x:c>
      <x:c r="P489" s="63" t="str">
        <x:f>IF(M489=0,"—",M489&amp;"d"&amp;N489&amp;IF(O489=0,""," + "&amp;O489))</x:f>
        <x:v>1d8 + 8</x:v>
      </x:c>
      <x:c r="Q489" t="n">
        <x:f>ROUND(INDEX(Catalogue!E$4:E$85,MATCH(A489,Catalogue!A$4:A$85,0))*(1+'Paramètres'!$B$4*(C489-1)+'Paramètres'!$B$5*(C489-1)^2),0)</x:f>
        <x:v>8</x:v>
      </x:c>
      <x:c r="R489" t="n">
        <x:f>ROUND(INDEX(Catalogue!F$4:F$85,MATCH(A489,Catalogue!A$4:A$85,0))*(1+'Paramètres'!$B$4*(C489-1)+'Paramètres'!$B$5*(C489-1)^2),0)</x:f>
        <x:v>16</x:v>
      </x:c>
      <x:c r="S489" t="n">
        <x:f>L489-AVERAGE(Q489:R489)</x:f>
        <x:v>0.5</x:v>
      </x:c>
      <x:c r="T489" t="str">
        <x:f>IF(M489=0,IF(AND(N489=0,O489=0,E489=0,F489=0),"OK","ERREUR"),IF(AND(M489&gt;=1,M489&lt;=32,OR(N489=4,N489=6,N489=8,N489=10,N489=12,N489=20),O489&gt;=0,E489=M489+O489,F489=M489*N489+O489),"OK","ERREUR"))</x:f>
        <x:v>OK</x:v>
      </x:c>
      <x:c r="U489" s="86" t="n">
        <x:f>IF(M489&gt;0,M489*(N489+1)/2+O489,0)</x:f>
        <x:v>12.5</x:v>
      </x:c>
      <x:c r="V489" t="str">
        <x:f>IF(ABS(L489-U489)&lt;0.001,"OK","ERREUR")</x:f>
        <x:v>OK</x:v>
      </x:c>
    </x:row>
    <x:row r="490" ht="18" customHeight="1">
      <x:c r="A490" t="str">
        <x:v>ARM025</x:v>
      </x:c>
      <x:c r="B490" t="str">
        <x:v>Pic de guerre</x:v>
      </x:c>
      <x:c r="C490" t="n">
        <x:v>7</x:v>
      </x:c>
      <x:c r="D490" t="str">
        <x:v>Une main</x:v>
      </x:c>
      <x:c r="E490" s="28" t="n">
        <x:f>IF(M490=0,0,M490+O490)</x:f>
        <x:v>9</x:v>
      </x:c>
      <x:c r="F490" s="28" t="n">
        <x:f>IF(M490=0,0,M490*N490+O490)</x:f>
        <x:v>18</x:v>
      </x:c>
      <x:c r="G490" s="28" t="n">
        <x:f>ROUND(Catalogue!G28*SQRT((1+'Paramètres'!$B$4*(C490-1)+'Paramètres'!$B$5*(C490-1)^2)),0)</x:f>
        <x:v>0</x:v>
      </x:c>
      <x:c r="H490" s="28" t="n">
        <x:f>ROUND(Catalogue!H28*SQRT((1+'Paramètres'!$B$4*(C490-1)+'Paramètres'!$B$5*(C490-1)^2)),0)</x:f>
        <x:v>0</x:v>
      </x:c>
      <x:c r="I490" s="28" t="n">
        <x:v>2</x:v>
      </x:c>
      <x:c r="J490" s="28" t="n">
        <x:v>1</x:v>
      </x:c>
      <x:c r="K490" s="30" t="n">
        <x:v>1.9</x:v>
      </x:c>
      <x:c r="L490" s="54" t="n">
        <x:f>IF(M490=0,0,(E490+F490)/2)</x:f>
        <x:v>13.5</x:v>
      </x:c>
      <x:c r="M490" t="n">
        <x:v>1</x:v>
      </x:c>
      <x:c r="N490" t="n">
        <x:v>10</x:v>
      </x:c>
      <x:c r="O490" t="n">
        <x:v>8</x:v>
      </x:c>
      <x:c r="P490" s="63" t="str">
        <x:f>IF(M490=0,"—",M490&amp;"d"&amp;N490&amp;IF(O490=0,""," + "&amp;O490))</x:f>
        <x:v>1d10 + 8</x:v>
      </x:c>
      <x:c r="Q490" t="n">
        <x:f>ROUND(INDEX(Catalogue!E$4:E$85,MATCH(A490,Catalogue!A$4:A$85,0))*(1+'Paramètres'!$B$4*(C490-1)+'Paramètres'!$B$5*(C490-1)^2),0)</x:f>
        <x:v>9</x:v>
      </x:c>
      <x:c r="R490" t="n">
        <x:f>ROUND(INDEX(Catalogue!F$4:F$85,MATCH(A490,Catalogue!A$4:A$85,0))*(1+'Paramètres'!$B$4*(C490-1)+'Paramètres'!$B$5*(C490-1)^2),0)</x:f>
        <x:v>18</x:v>
      </x:c>
      <x:c r="S490" t="n">
        <x:f>L490-AVERAGE(Q490:R490)</x:f>
        <x:v>0</x:v>
      </x:c>
      <x:c r="T490" t="str">
        <x:f>IF(M490=0,IF(AND(N490=0,O490=0,E490=0,F490=0),"OK","ERREUR"),IF(AND(M490&gt;=1,M490&lt;=32,OR(N490=4,N490=6,N490=8,N490=10,N490=12,N490=20),O490&gt;=0,E490=M490+O490,F490=M490*N490+O490),"OK","ERREUR"))</x:f>
        <x:v>OK</x:v>
      </x:c>
      <x:c r="U490" s="86" t="n">
        <x:f>IF(M490&gt;0,M490*(N490+1)/2+O490,0)</x:f>
        <x:v>13.5</x:v>
      </x:c>
      <x:c r="V490" t="str">
        <x:f>IF(ABS(L490-U490)&lt;0.001,"OK","ERREUR")</x:f>
        <x:v>OK</x:v>
      </x:c>
    </x:row>
    <x:row r="491" ht="18" customHeight="1">
      <x:c r="A491" t="str">
        <x:v>ARM025</x:v>
      </x:c>
      <x:c r="B491" t="str">
        <x:v>Pic de guerre</x:v>
      </x:c>
      <x:c r="C491" t="n">
        <x:v>8</x:v>
      </x:c>
      <x:c r="D491" t="str">
        <x:v>Une main</x:v>
      </x:c>
      <x:c r="E491" s="28" t="n">
        <x:f>IF(M491=0,0,M491+O491)</x:f>
        <x:v>10</x:v>
      </x:c>
      <x:c r="F491" s="28" t="n">
        <x:f>IF(M491=0,0,M491*N491+O491)</x:f>
        <x:v>20</x:v>
      </x:c>
      <x:c r="G491" s="28" t="n">
        <x:f>ROUND(Catalogue!G28*SQRT((1+'Paramètres'!$B$4*(C491-1)+'Paramètres'!$B$5*(C491-1)^2)),0)</x:f>
        <x:v>0</x:v>
      </x:c>
      <x:c r="H491" s="28" t="n">
        <x:f>ROUND(Catalogue!H28*SQRT((1+'Paramètres'!$B$4*(C491-1)+'Paramètres'!$B$5*(C491-1)^2)),0)</x:f>
        <x:v>0</x:v>
      </x:c>
      <x:c r="I491" s="28" t="n">
        <x:v>2</x:v>
      </x:c>
      <x:c r="J491" s="28" t="n">
        <x:v>1</x:v>
      </x:c>
      <x:c r="K491" s="30" t="n">
        <x:v>1.9</x:v>
      </x:c>
      <x:c r="L491" s="54" t="n">
        <x:f>IF(M491=0,0,(E491+F491)/2)</x:f>
        <x:v>15</x:v>
      </x:c>
      <x:c r="M491" t="n">
        <x:v>2</x:v>
      </x:c>
      <x:c r="N491" t="n">
        <x:v>6</x:v>
      </x:c>
      <x:c r="O491" t="n">
        <x:v>8</x:v>
      </x:c>
      <x:c r="P491" s="63" t="str">
        <x:f>IF(M491=0,"—",M491&amp;"d"&amp;N491&amp;IF(O491=0,""," + "&amp;O491))</x:f>
        <x:v>2d6 + 8</x:v>
      </x:c>
      <x:c r="Q491" t="n">
        <x:f>ROUND(INDEX(Catalogue!E$4:E$85,MATCH(A491,Catalogue!A$4:A$85,0))*(1+'Paramètres'!$B$4*(C491-1)+'Paramètres'!$B$5*(C491-1)^2),0)</x:f>
        <x:v>10</x:v>
      </x:c>
      <x:c r="R491" t="n">
        <x:f>ROUND(INDEX(Catalogue!F$4:F$85,MATCH(A491,Catalogue!A$4:A$85,0))*(1+'Paramètres'!$B$4*(C491-1)+'Paramètres'!$B$5*(C491-1)^2),0)</x:f>
        <x:v>20</x:v>
      </x:c>
      <x:c r="S491" t="n">
        <x:f>L491-AVERAGE(Q491:R491)</x:f>
        <x:v>0</x:v>
      </x:c>
      <x:c r="T491" t="str">
        <x:f>IF(M491=0,IF(AND(N491=0,O491=0,E491=0,F491=0),"OK","ERREUR"),IF(AND(M491&gt;=1,M491&lt;=32,OR(N491=4,N491=6,N491=8,N491=10,N491=12,N491=20),O491&gt;=0,E491=M491+O491,F491=M491*N491+O491),"OK","ERREUR"))</x:f>
        <x:v>OK</x:v>
      </x:c>
      <x:c r="U491" s="86" t="n">
        <x:f>IF(M491&gt;0,M491*(N491+1)/2+O491,0)</x:f>
        <x:v>15</x:v>
      </x:c>
      <x:c r="V491" t="str">
        <x:f>IF(ABS(L491-U491)&lt;0.001,"OK","ERREUR")</x:f>
        <x:v>OK</x:v>
      </x:c>
    </x:row>
    <x:row r="492" ht="18" customHeight="1">
      <x:c r="A492" t="str">
        <x:v>ARM025</x:v>
      </x:c>
      <x:c r="B492" t="str">
        <x:v>Pic de guerre</x:v>
      </x:c>
      <x:c r="C492" t="n">
        <x:v>9</x:v>
      </x:c>
      <x:c r="D492" t="str">
        <x:v>Une main</x:v>
      </x:c>
      <x:c r="E492" s="28" t="n">
        <x:f>IF(M492=0,0,M492+O492)</x:f>
        <x:v>12</x:v>
      </x:c>
      <x:c r="F492" s="28" t="n">
        <x:f>IF(M492=0,0,M492*N492+O492)</x:f>
        <x:v>23</x:v>
      </x:c>
      <x:c r="G492" s="28" t="n">
        <x:f>ROUND(Catalogue!G28*SQRT((1+'Paramètres'!$B$4*(C492-1)+'Paramètres'!$B$5*(C492-1)^2)),0)</x:f>
        <x:v>0</x:v>
      </x:c>
      <x:c r="H492" s="28" t="n">
        <x:f>ROUND(Catalogue!H28*SQRT((1+'Paramètres'!$B$4*(C492-1)+'Paramètres'!$B$5*(C492-1)^2)),0)</x:f>
        <x:v>0</x:v>
      </x:c>
      <x:c r="I492" s="28" t="n">
        <x:v>2</x:v>
      </x:c>
      <x:c r="J492" s="28" t="n">
        <x:v>1</x:v>
      </x:c>
      <x:c r="K492" s="30" t="n">
        <x:v>1.9</x:v>
      </x:c>
      <x:c r="L492" s="54" t="n">
        <x:f>IF(M492=0,0,(E492+F492)/2)</x:f>
        <x:v>17.5</x:v>
      </x:c>
      <x:c r="M492" t="n">
        <x:v>1</x:v>
      </x:c>
      <x:c r="N492" t="n">
        <x:v>12</x:v>
      </x:c>
      <x:c r="O492" t="n">
        <x:v>11</x:v>
      </x:c>
      <x:c r="P492" s="63" t="str">
        <x:f>IF(M492=0,"—",M492&amp;"d"&amp;N492&amp;IF(O492=0,""," + "&amp;O492))</x:f>
        <x:v>1d12 + 11</x:v>
      </x:c>
      <x:c r="Q492" t="n">
        <x:f>ROUND(INDEX(Catalogue!E$4:E$85,MATCH(A492,Catalogue!A$4:A$85,0))*(1+'Paramètres'!$B$4*(C492-1)+'Paramètres'!$B$5*(C492-1)^2),0)</x:f>
        <x:v>12</x:v>
      </x:c>
      <x:c r="R492" t="n">
        <x:f>ROUND(INDEX(Catalogue!F$4:F$85,MATCH(A492,Catalogue!A$4:A$85,0))*(1+'Paramètres'!$B$4*(C492-1)+'Paramètres'!$B$5*(C492-1)^2),0)</x:f>
        <x:v>23</x:v>
      </x:c>
      <x:c r="S492" t="n">
        <x:f>L492-AVERAGE(Q492:R492)</x:f>
        <x:v>0</x:v>
      </x:c>
      <x:c r="T492" t="str">
        <x:f>IF(M492=0,IF(AND(N492=0,O492=0,E492=0,F492=0),"OK","ERREUR"),IF(AND(M492&gt;=1,M492&lt;=32,OR(N492=4,N492=6,N492=8,N492=10,N492=12,N492=20),O492&gt;=0,E492=M492+O492,F492=M492*N492+O492),"OK","ERREUR"))</x:f>
        <x:v>OK</x:v>
      </x:c>
      <x:c r="U492" s="86" t="n">
        <x:f>IF(M492&gt;0,M492*(N492+1)/2+O492,0)</x:f>
        <x:v>17.5</x:v>
      </x:c>
      <x:c r="V492" t="str">
        <x:f>IF(ABS(L492-U492)&lt;0.001,"OK","ERREUR")</x:f>
        <x:v>OK</x:v>
      </x:c>
    </x:row>
    <x:row r="493" ht="18" customHeight="1">
      <x:c r="A493" t="str">
        <x:v>ARM025</x:v>
      </x:c>
      <x:c r="B493" t="str">
        <x:v>Pic de guerre</x:v>
      </x:c>
      <x:c r="C493" t="n">
        <x:v>10</x:v>
      </x:c>
      <x:c r="D493" t="str">
        <x:v>Une main</x:v>
      </x:c>
      <x:c r="E493" s="28" t="n">
        <x:f>IF(M493=0,0,M493+O493)</x:f>
        <x:v>12</x:v>
      </x:c>
      <x:c r="F493" s="28" t="n">
        <x:f>IF(M493=0,0,M493*N493+O493)</x:f>
        <x:v>26</x:v>
      </x:c>
      <x:c r="G493" s="28" t="n">
        <x:f>ROUND(Catalogue!G28*SQRT((1+'Paramètres'!$B$4*(C493-1)+'Paramètres'!$B$5*(C493-1)^2)),0)</x:f>
        <x:v>0</x:v>
      </x:c>
      <x:c r="H493" s="28" t="n">
        <x:f>ROUND(Catalogue!H28*SQRT((1+'Paramètres'!$B$4*(C493-1)+'Paramètres'!$B$5*(C493-1)^2)),0)</x:f>
        <x:v>0</x:v>
      </x:c>
      <x:c r="I493" s="28" t="n">
        <x:v>2</x:v>
      </x:c>
      <x:c r="J493" s="28" t="n">
        <x:v>1</x:v>
      </x:c>
      <x:c r="K493" s="30" t="n">
        <x:v>1.9</x:v>
      </x:c>
      <x:c r="L493" s="54" t="n">
        <x:f>IF(M493=0,0,(E493+F493)/2)</x:f>
        <x:v>19</x:v>
      </x:c>
      <x:c r="M493" t="n">
        <x:v>2</x:v>
      </x:c>
      <x:c r="N493" t="n">
        <x:v>8</x:v>
      </x:c>
      <x:c r="O493" t="n">
        <x:v>10</x:v>
      </x:c>
      <x:c r="P493" s="63" t="str">
        <x:f>IF(M493=0,"—",M493&amp;"d"&amp;N493&amp;IF(O493=0,""," + "&amp;O493))</x:f>
        <x:v>2d8 + 10</x:v>
      </x:c>
      <x:c r="Q493" t="n">
        <x:f>ROUND(INDEX(Catalogue!E$4:E$85,MATCH(A493,Catalogue!A$4:A$85,0))*(1+'Paramètres'!$B$4*(C493-1)+'Paramètres'!$B$5*(C493-1)^2),0)</x:f>
        <x:v>13</x:v>
      </x:c>
      <x:c r="R493" t="n">
        <x:f>ROUND(INDEX(Catalogue!F$4:F$85,MATCH(A493,Catalogue!A$4:A$85,0))*(1+'Paramètres'!$B$4*(C493-1)+'Paramètres'!$B$5*(C493-1)^2),0)</x:f>
        <x:v>26</x:v>
      </x:c>
      <x:c r="S493" t="n">
        <x:f>L493-AVERAGE(Q493:R493)</x:f>
        <x:v>-0.5</x:v>
      </x:c>
      <x:c r="T493" t="str">
        <x:f>IF(M493=0,IF(AND(N493=0,O493=0,E493=0,F493=0),"OK","ERREUR"),IF(AND(M493&gt;=1,M493&lt;=32,OR(N493=4,N493=6,N493=8,N493=10,N493=12,N493=20),O493&gt;=0,E493=M493+O493,F493=M493*N493+O493),"OK","ERREUR"))</x:f>
        <x:v>OK</x:v>
      </x:c>
      <x:c r="U493" s="86" t="n">
        <x:f>IF(M493&gt;0,M493*(N493+1)/2+O493,0)</x:f>
        <x:v>19</x:v>
      </x:c>
      <x:c r="V493" t="str">
        <x:f>IF(ABS(L493-U493)&lt;0.001,"OK","ERREUR")</x:f>
        <x:v>OK</x:v>
      </x:c>
    </x:row>
    <x:row r="494" ht="18" customHeight="1">
      <x:c r="A494" t="str">
        <x:v>ARM025</x:v>
      </x:c>
      <x:c r="B494" t="str">
        <x:v>Pic de guerre</x:v>
      </x:c>
      <x:c r="C494" t="n">
        <x:v>11</x:v>
      </x:c>
      <x:c r="D494" t="str">
        <x:v>Une main</x:v>
      </x:c>
      <x:c r="E494" s="28" t="n">
        <x:f>IF(M494=0,0,M494+O494)</x:f>
        <x:v>15</x:v>
      </x:c>
      <x:c r="F494" s="28" t="n">
        <x:f>IF(M494=0,0,M494*N494+O494)</x:f>
        <x:v>30</x:v>
      </x:c>
      <x:c r="G494" s="28" t="n">
        <x:f>ROUND(Catalogue!G28*SQRT((1+'Paramètres'!$B$4*(C494-1)+'Paramètres'!$B$5*(C494-1)^2)),0)</x:f>
        <x:v>0</x:v>
      </x:c>
      <x:c r="H494" s="28" t="n">
        <x:f>ROUND(Catalogue!H28*SQRT((1+'Paramètres'!$B$4*(C494-1)+'Paramètres'!$B$5*(C494-1)^2)),0)</x:f>
        <x:v>0</x:v>
      </x:c>
      <x:c r="I494" s="28" t="n">
        <x:v>2</x:v>
      </x:c>
      <x:c r="J494" s="28" t="n">
        <x:v>1</x:v>
      </x:c>
      <x:c r="K494" s="30" t="n">
        <x:v>1.9</x:v>
      </x:c>
      <x:c r="L494" s="54" t="n">
        <x:f>IF(M494=0,0,(E494+F494)/2)</x:f>
        <x:v>22.5</x:v>
      </x:c>
      <x:c r="M494" t="n">
        <x:v>3</x:v>
      </x:c>
      <x:c r="N494" t="n">
        <x:v>6</x:v>
      </x:c>
      <x:c r="O494" t="n">
        <x:v>12</x:v>
      </x:c>
      <x:c r="P494" s="63" t="str">
        <x:f>IF(M494=0,"—",M494&amp;"d"&amp;N494&amp;IF(O494=0,""," + "&amp;O494))</x:f>
        <x:v>3d6 + 12</x:v>
      </x:c>
      <x:c r="Q494" t="n">
        <x:f>ROUND(INDEX(Catalogue!E$4:E$85,MATCH(A494,Catalogue!A$4:A$85,0))*(1+'Paramètres'!$B$4*(C494-1)+'Paramètres'!$B$5*(C494-1)^2),0)</x:f>
        <x:v>15</x:v>
      </x:c>
      <x:c r="R494" t="n">
        <x:f>ROUND(INDEX(Catalogue!F$4:F$85,MATCH(A494,Catalogue!A$4:A$85,0))*(1+'Paramètres'!$B$4*(C494-1)+'Paramètres'!$B$5*(C494-1)^2),0)</x:f>
        <x:v>30</x:v>
      </x:c>
      <x:c r="S494" t="n">
        <x:f>L494-AVERAGE(Q494:R494)</x:f>
        <x:v>0</x:v>
      </x:c>
      <x:c r="T494" t="str">
        <x:f>IF(M494=0,IF(AND(N494=0,O494=0,E494=0,F494=0),"OK","ERREUR"),IF(AND(M494&gt;=1,M494&lt;=32,OR(N494=4,N494=6,N494=8,N494=10,N494=12,N494=20),O494&gt;=0,E494=M494+O494,F494=M494*N494+O494),"OK","ERREUR"))</x:f>
        <x:v>OK</x:v>
      </x:c>
      <x:c r="U494" s="86" t="n">
        <x:f>IF(M494&gt;0,M494*(N494+1)/2+O494,0)</x:f>
        <x:v>22.5</x:v>
      </x:c>
      <x:c r="V494" t="str">
        <x:f>IF(ABS(L494-U494)&lt;0.001,"OK","ERREUR")</x:f>
        <x:v>OK</x:v>
      </x:c>
    </x:row>
    <x:row r="495" ht="18" customHeight="1">
      <x:c r="A495" t="str">
        <x:v>ARM025</x:v>
      </x:c>
      <x:c r="B495" t="str">
        <x:v>Pic de guerre</x:v>
      </x:c>
      <x:c r="C495" t="n">
        <x:v>12</x:v>
      </x:c>
      <x:c r="D495" t="str">
        <x:v>Une main</x:v>
      </x:c>
      <x:c r="E495" s="28" t="n">
        <x:f>IF(M495=0,0,M495+O495)</x:f>
        <x:v>17</x:v>
      </x:c>
      <x:c r="F495" s="28" t="n">
        <x:f>IF(M495=0,0,M495*N495+O495)</x:f>
        <x:v>32</x:v>
      </x:c>
      <x:c r="G495" s="28" t="n">
        <x:f>ROUND(Catalogue!G28*SQRT((1+'Paramètres'!$B$4*(C495-1)+'Paramètres'!$B$5*(C495-1)^2)),0)</x:f>
        <x:v>0</x:v>
      </x:c>
      <x:c r="H495" s="28" t="n">
        <x:f>ROUND(Catalogue!H28*SQRT((1+'Paramètres'!$B$4*(C495-1)+'Paramètres'!$B$5*(C495-1)^2)),0)</x:f>
        <x:v>0</x:v>
      </x:c>
      <x:c r="I495" s="28" t="n">
        <x:v>2</x:v>
      </x:c>
      <x:c r="J495" s="28" t="n">
        <x:v>1</x:v>
      </x:c>
      <x:c r="K495" s="30" t="n">
        <x:v>1.9</x:v>
      </x:c>
      <x:c r="L495" s="54" t="n">
        <x:f>IF(M495=0,0,(E495+F495)/2)</x:f>
        <x:v>24.5</x:v>
      </x:c>
      <x:c r="M495" t="n">
        <x:v>3</x:v>
      </x:c>
      <x:c r="N495" t="n">
        <x:v>6</x:v>
      </x:c>
      <x:c r="O495" t="n">
        <x:v>14</x:v>
      </x:c>
      <x:c r="P495" s="63" t="str">
        <x:f>IF(M495=0,"—",M495&amp;"d"&amp;N495&amp;IF(O495=0,""," + "&amp;O495))</x:f>
        <x:v>3d6 + 14</x:v>
      </x:c>
      <x:c r="Q495" t="n">
        <x:f>ROUND(INDEX(Catalogue!E$4:E$85,MATCH(A495,Catalogue!A$4:A$85,0))*(1+'Paramètres'!$B$4*(C495-1)+'Paramètres'!$B$5*(C495-1)^2),0)</x:f>
        <x:v>17</x:v>
      </x:c>
      <x:c r="R495" t="n">
        <x:f>ROUND(INDEX(Catalogue!F$4:F$85,MATCH(A495,Catalogue!A$4:A$85,0))*(1+'Paramètres'!$B$4*(C495-1)+'Paramètres'!$B$5*(C495-1)^2),0)</x:f>
        <x:v>33</x:v>
      </x:c>
      <x:c r="S495" t="n">
        <x:f>L495-AVERAGE(Q495:R495)</x:f>
        <x:v>-0.5</x:v>
      </x:c>
      <x:c r="T495" t="str">
        <x:f>IF(M495=0,IF(AND(N495=0,O495=0,E495=0,F495=0),"OK","ERREUR"),IF(AND(M495&gt;=1,M495&lt;=32,OR(N495=4,N495=6,N495=8,N495=10,N495=12,N495=20),O495&gt;=0,E495=M495+O495,F495=M495*N495+O495),"OK","ERREUR"))</x:f>
        <x:v>OK</x:v>
      </x:c>
      <x:c r="U495" s="86" t="n">
        <x:f>IF(M495&gt;0,M495*(N495+1)/2+O495,0)</x:f>
        <x:v>24.5</x:v>
      </x:c>
      <x:c r="V495" t="str">
        <x:f>IF(ABS(L495-U495)&lt;0.001,"OK","ERREUR")</x:f>
        <x:v>OK</x:v>
      </x:c>
    </x:row>
    <x:row r="496" ht="18" customHeight="1">
      <x:c r="A496" t="str">
        <x:v>ARM025</x:v>
      </x:c>
      <x:c r="B496" t="str">
        <x:v>Pic de guerre</x:v>
      </x:c>
      <x:c r="C496" t="n">
        <x:v>13</x:v>
      </x:c>
      <x:c r="D496" t="str">
        <x:v>Une main</x:v>
      </x:c>
      <x:c r="E496" s="28" t="n">
        <x:f>IF(M496=0,0,M496+O496)</x:f>
        <x:v>18</x:v>
      </x:c>
      <x:c r="F496" s="28" t="n">
        <x:f>IF(M496=0,0,M496*N496+O496)</x:f>
        <x:v>36</x:v>
      </x:c>
      <x:c r="G496" s="28" t="n">
        <x:f>ROUND(Catalogue!G28*SQRT((1+'Paramètres'!$B$4*(C496-1)+'Paramètres'!$B$5*(C496-1)^2)),0)</x:f>
        <x:v>0</x:v>
      </x:c>
      <x:c r="H496" s="28" t="n">
        <x:f>ROUND(Catalogue!H28*SQRT((1+'Paramètres'!$B$4*(C496-1)+'Paramètres'!$B$5*(C496-1)^2)),0)</x:f>
        <x:v>0</x:v>
      </x:c>
      <x:c r="I496" s="28" t="n">
        <x:v>2</x:v>
      </x:c>
      <x:c r="J496" s="28" t="n">
        <x:v>1</x:v>
      </x:c>
      <x:c r="K496" s="30" t="n">
        <x:v>1.9</x:v>
      </x:c>
      <x:c r="L496" s="54" t="n">
        <x:f>IF(M496=0,0,(E496+F496)/2)</x:f>
        <x:v>27</x:v>
      </x:c>
      <x:c r="M496" t="n">
        <x:v>2</x:v>
      </x:c>
      <x:c r="N496" t="n">
        <x:v>10</x:v>
      </x:c>
      <x:c r="O496" t="n">
        <x:v>16</x:v>
      </x:c>
      <x:c r="P496" s="63" t="str">
        <x:f>IF(M496=0,"—",M496&amp;"d"&amp;N496&amp;IF(O496=0,""," + "&amp;O496))</x:f>
        <x:v>2d10 + 16</x:v>
      </x:c>
      <x:c r="Q496" t="n">
        <x:f>ROUND(INDEX(Catalogue!E$4:E$85,MATCH(A496,Catalogue!A$4:A$85,0))*(1+'Paramètres'!$B$4*(C496-1)+'Paramètres'!$B$5*(C496-1)^2),0)</x:f>
        <x:v>18</x:v>
      </x:c>
      <x:c r="R496" t="n">
        <x:f>ROUND(INDEX(Catalogue!F$4:F$85,MATCH(A496,Catalogue!A$4:A$85,0))*(1+'Paramètres'!$B$4*(C496-1)+'Paramètres'!$B$5*(C496-1)^2),0)</x:f>
        <x:v>37</x:v>
      </x:c>
      <x:c r="S496" t="n">
        <x:f>L496-AVERAGE(Q496:R496)</x:f>
        <x:v>-0.5</x:v>
      </x:c>
      <x:c r="T496" t="str">
        <x:f>IF(M496=0,IF(AND(N496=0,O496=0,E496=0,F496=0),"OK","ERREUR"),IF(AND(M496&gt;=1,M496&lt;=32,OR(N496=4,N496=6,N496=8,N496=10,N496=12,N496=20),O496&gt;=0,E496=M496+O496,F496=M496*N496+O496),"OK","ERREUR"))</x:f>
        <x:v>OK</x:v>
      </x:c>
      <x:c r="U496" s="86" t="n">
        <x:f>IF(M496&gt;0,M496*(N496+1)/2+O496,0)</x:f>
        <x:v>27</x:v>
      </x:c>
      <x:c r="V496" t="str">
        <x:f>IF(ABS(L496-U496)&lt;0.001,"OK","ERREUR")</x:f>
        <x:v>OK</x:v>
      </x:c>
    </x:row>
    <x:row r="497" ht="18" customHeight="1">
      <x:c r="A497" t="str">
        <x:v>ARM025</x:v>
      </x:c>
      <x:c r="B497" t="str">
        <x:v>Pic de guerre</x:v>
      </x:c>
      <x:c r="C497" t="n">
        <x:v>14</x:v>
      </x:c>
      <x:c r="D497" t="str">
        <x:v>Une main</x:v>
      </x:c>
      <x:c r="E497" s="28" t="n">
        <x:f>IF(M497=0,0,M497+O497)</x:f>
        <x:v>21</x:v>
      </x:c>
      <x:c r="F497" s="28" t="n">
        <x:f>IF(M497=0,0,M497*N497+O497)</x:f>
        <x:v>41</x:v>
      </x:c>
      <x:c r="G497" s="28" t="n">
        <x:f>ROUND(Catalogue!G28*SQRT((1+'Paramètres'!$B$4*(C497-1)+'Paramètres'!$B$5*(C497-1)^2)),0)</x:f>
        <x:v>0</x:v>
      </x:c>
      <x:c r="H497" s="28" t="n">
        <x:f>ROUND(Catalogue!H28*SQRT((1+'Paramètres'!$B$4*(C497-1)+'Paramètres'!$B$5*(C497-1)^2)),0)</x:f>
        <x:v>0</x:v>
      </x:c>
      <x:c r="I497" s="28" t="n">
        <x:v>2</x:v>
      </x:c>
      <x:c r="J497" s="28" t="n">
        <x:v>1</x:v>
      </x:c>
      <x:c r="K497" s="30" t="n">
        <x:v>1.9</x:v>
      </x:c>
      <x:c r="L497" s="54" t="n">
        <x:f>IF(M497=0,0,(E497+F497)/2)</x:f>
        <x:v>31</x:v>
      </x:c>
      <x:c r="M497" t="n">
        <x:v>4</x:v>
      </x:c>
      <x:c r="N497" t="n">
        <x:v>6</x:v>
      </x:c>
      <x:c r="O497" t="n">
        <x:v>17</x:v>
      </x:c>
      <x:c r="P497" s="63" t="str">
        <x:f>IF(M497=0,"—",M497&amp;"d"&amp;N497&amp;IF(O497=0,""," + "&amp;O497))</x:f>
        <x:v>4d6 + 17</x:v>
      </x:c>
      <x:c r="Q497" t="n">
        <x:f>ROUND(INDEX(Catalogue!E$4:E$85,MATCH(A497,Catalogue!A$4:A$85,0))*(1+'Paramètres'!$B$4*(C497-1)+'Paramètres'!$B$5*(C497-1)^2),0)</x:f>
        <x:v>21</x:v>
      </x:c>
      <x:c r="R497" t="n">
        <x:f>ROUND(INDEX(Catalogue!F$4:F$85,MATCH(A497,Catalogue!A$4:A$85,0))*(1+'Paramètres'!$B$4*(C497-1)+'Paramètres'!$B$5*(C497-1)^2),0)</x:f>
        <x:v>41</x:v>
      </x:c>
      <x:c r="S497" t="n">
        <x:f>L497-AVERAGE(Q497:R497)</x:f>
        <x:v>0</x:v>
      </x:c>
      <x:c r="T497" t="str">
        <x:f>IF(M497=0,IF(AND(N497=0,O497=0,E497=0,F497=0),"OK","ERREUR"),IF(AND(M497&gt;=1,M497&lt;=32,OR(N497=4,N497=6,N497=8,N497=10,N497=12,N497=20),O497&gt;=0,E497=M497+O497,F497=M497*N497+O497),"OK","ERREUR"))</x:f>
        <x:v>OK</x:v>
      </x:c>
      <x:c r="U497" s="86" t="n">
        <x:f>IF(M497&gt;0,M497*(N497+1)/2+O497,0)</x:f>
        <x:v>31</x:v>
      </x:c>
      <x:c r="V497" t="str">
        <x:f>IF(ABS(L497-U497)&lt;0.001,"OK","ERREUR")</x:f>
        <x:v>OK</x:v>
      </x:c>
    </x:row>
    <x:row r="498" ht="18" customHeight="1">
      <x:c r="A498" t="str">
        <x:v>ARM025</x:v>
      </x:c>
      <x:c r="B498" t="str">
        <x:v>Pic de guerre</x:v>
      </x:c>
      <x:c r="C498" t="n">
        <x:v>15</x:v>
      </x:c>
      <x:c r="D498" t="str">
        <x:v>Une main</x:v>
      </x:c>
      <x:c r="E498" s="28" t="n">
        <x:f>IF(M498=0,0,M498+O498)</x:f>
        <x:v>23</x:v>
      </x:c>
      <x:c r="F498" s="28" t="n">
        <x:f>IF(M498=0,0,M498*N498+O498)</x:f>
        <x:v>45</x:v>
      </x:c>
      <x:c r="G498" s="28" t="n">
        <x:f>ROUND(Catalogue!G28*SQRT((1+'Paramètres'!$B$4*(C498-1)+'Paramètres'!$B$5*(C498-1)^2)),0)</x:f>
        <x:v>0</x:v>
      </x:c>
      <x:c r="H498" s="28" t="n">
        <x:f>ROUND(Catalogue!H28*SQRT((1+'Paramètres'!$B$4*(C498-1)+'Paramètres'!$B$5*(C498-1)^2)),0)</x:f>
        <x:v>0</x:v>
      </x:c>
      <x:c r="I498" s="28" t="n">
        <x:v>2</x:v>
      </x:c>
      <x:c r="J498" s="28" t="n">
        <x:v>1</x:v>
      </x:c>
      <x:c r="K498" s="30" t="n">
        <x:v>1.9</x:v>
      </x:c>
      <x:c r="L498" s="54" t="n">
        <x:f>IF(M498=0,0,(E498+F498)/2)</x:f>
        <x:v>34</x:v>
      </x:c>
      <x:c r="M498" t="n">
        <x:v>2</x:v>
      </x:c>
      <x:c r="N498" t="n">
        <x:v>12</x:v>
      </x:c>
      <x:c r="O498" t="n">
        <x:v>21</x:v>
      </x:c>
      <x:c r="P498" s="63" t="str">
        <x:f>IF(M498=0,"—",M498&amp;"d"&amp;N498&amp;IF(O498=0,""," + "&amp;O498))</x:f>
        <x:v>2d12 + 21</x:v>
      </x:c>
      <x:c r="Q498" t="n">
        <x:f>ROUND(INDEX(Catalogue!E$4:E$85,MATCH(A498,Catalogue!A$4:A$85,0))*(1+'Paramètres'!$B$4*(C498-1)+'Paramètres'!$B$5*(C498-1)^2),0)</x:f>
        <x:v>23</x:v>
      </x:c>
      <x:c r="R498" t="n">
        <x:f>ROUND(INDEX(Catalogue!F$4:F$85,MATCH(A498,Catalogue!A$4:A$85,0))*(1+'Paramètres'!$B$4*(C498-1)+'Paramètres'!$B$5*(C498-1)^2),0)</x:f>
        <x:v>45</x:v>
      </x:c>
      <x:c r="S498" t="n">
        <x:f>L498-AVERAGE(Q498:R498)</x:f>
        <x:v>0</x:v>
      </x:c>
      <x:c r="T498" t="str">
        <x:f>IF(M498=0,IF(AND(N498=0,O498=0,E498=0,F498=0),"OK","ERREUR"),IF(AND(M498&gt;=1,M498&lt;=32,OR(N498=4,N498=6,N498=8,N498=10,N498=12,N498=20),O498&gt;=0,E498=M498+O498,F498=M498*N498+O498),"OK","ERREUR"))</x:f>
        <x:v>OK</x:v>
      </x:c>
      <x:c r="U498" s="86" t="n">
        <x:f>IF(M498&gt;0,M498*(N498+1)/2+O498,0)</x:f>
        <x:v>34</x:v>
      </x:c>
      <x:c r="V498" t="str">
        <x:f>IF(ABS(L498-U498)&lt;0.001,"OK","ERREUR")</x:f>
        <x:v>OK</x:v>
      </x:c>
    </x:row>
    <x:row r="499" ht="18" customHeight="1">
      <x:c r="A499" t="str">
        <x:v>ARM025</x:v>
      </x:c>
      <x:c r="B499" t="str">
        <x:v>Pic de guerre</x:v>
      </x:c>
      <x:c r="C499" t="n">
        <x:v>16</x:v>
      </x:c>
      <x:c r="D499" t="str">
        <x:v>Une main</x:v>
      </x:c>
      <x:c r="E499" s="28" t="n">
        <x:f>IF(M499=0,0,M499+O499)</x:f>
        <x:v>25</x:v>
      </x:c>
      <x:c r="F499" s="28" t="n">
        <x:f>IF(M499=0,0,M499*N499+O499)</x:f>
        <x:v>50</x:v>
      </x:c>
      <x:c r="G499" s="28" t="n">
        <x:f>ROUND(Catalogue!G28*SQRT((1+'Paramètres'!$B$4*(C499-1)+'Paramètres'!$B$5*(C499-1)^2)),0)</x:f>
        <x:v>0</x:v>
      </x:c>
      <x:c r="H499" s="28" t="n">
        <x:f>ROUND(Catalogue!H28*SQRT((1+'Paramètres'!$B$4*(C499-1)+'Paramètres'!$B$5*(C499-1)^2)),0)</x:f>
        <x:v>0</x:v>
      </x:c>
      <x:c r="I499" s="28" t="n">
        <x:v>2</x:v>
      </x:c>
      <x:c r="J499" s="28" t="n">
        <x:v>1</x:v>
      </x:c>
      <x:c r="K499" s="30" t="n">
        <x:v>1.9</x:v>
      </x:c>
      <x:c r="L499" s="54" t="n">
        <x:f>IF(M499=0,0,(E499+F499)/2)</x:f>
        <x:v>37.5</x:v>
      </x:c>
      <x:c r="M499" t="n">
        <x:v>5</x:v>
      </x:c>
      <x:c r="N499" t="n">
        <x:v>6</x:v>
      </x:c>
      <x:c r="O499" t="n">
        <x:v>20</x:v>
      </x:c>
      <x:c r="P499" s="63" t="str">
        <x:f>IF(M499=0,"—",M499&amp;"d"&amp;N499&amp;IF(O499=0,""," + "&amp;O499))</x:f>
        <x:v>5d6 + 20</x:v>
      </x:c>
      <x:c r="Q499" t="n">
        <x:f>ROUND(INDEX(Catalogue!E$4:E$85,MATCH(A499,Catalogue!A$4:A$85,0))*(1+'Paramètres'!$B$4*(C499-1)+'Paramètres'!$B$5*(C499-1)^2),0)</x:f>
        <x:v>25</x:v>
      </x:c>
      <x:c r="R499" t="n">
        <x:f>ROUND(INDEX(Catalogue!F$4:F$85,MATCH(A499,Catalogue!A$4:A$85,0))*(1+'Paramètres'!$B$4*(C499-1)+'Paramètres'!$B$5*(C499-1)^2),0)</x:f>
        <x:v>50</x:v>
      </x:c>
      <x:c r="S499" t="n">
        <x:f>L499-AVERAGE(Q499:R499)</x:f>
        <x:v>0</x:v>
      </x:c>
      <x:c r="T499" t="str">
        <x:f>IF(M499=0,IF(AND(N499=0,O499=0,E499=0,F499=0),"OK","ERREUR"),IF(AND(M499&gt;=1,M499&lt;=32,OR(N499=4,N499=6,N499=8,N499=10,N499=12,N499=20),O499&gt;=0,E499=M499+O499,F499=M499*N499+O499),"OK","ERREUR"))</x:f>
        <x:v>OK</x:v>
      </x:c>
      <x:c r="U499" s="86" t="n">
        <x:f>IF(M499&gt;0,M499*(N499+1)/2+O499,0)</x:f>
        <x:v>37.5</x:v>
      </x:c>
      <x:c r="V499" t="str">
        <x:f>IF(ABS(L499-U499)&lt;0.001,"OK","ERREUR")</x:f>
        <x:v>OK</x:v>
      </x:c>
    </x:row>
    <x:row r="500" ht="18" customHeight="1">
      <x:c r="A500" t="str">
        <x:v>ARM025</x:v>
      </x:c>
      <x:c r="B500" t="str">
        <x:v>Pic de guerre</x:v>
      </x:c>
      <x:c r="C500" t="n">
        <x:v>17</x:v>
      </x:c>
      <x:c r="D500" t="str">
        <x:v>Une main</x:v>
      </x:c>
      <x:c r="E500" s="28" t="n">
        <x:f>IF(M500=0,0,M500+O500)</x:f>
        <x:v>27</x:v>
      </x:c>
      <x:c r="F500" s="28" t="n">
        <x:f>IF(M500=0,0,M500*N500+O500)</x:f>
        <x:v>55</x:v>
      </x:c>
      <x:c r="G500" s="28" t="n">
        <x:f>ROUND(Catalogue!G28*SQRT((1+'Paramètres'!$B$4*(C500-1)+'Paramètres'!$B$5*(C500-1)^2)),0)</x:f>
        <x:v>0</x:v>
      </x:c>
      <x:c r="H500" s="28" t="n">
        <x:f>ROUND(Catalogue!H28*SQRT((1+'Paramètres'!$B$4*(C500-1)+'Paramètres'!$B$5*(C500-1)^2)),0)</x:f>
        <x:v>0</x:v>
      </x:c>
      <x:c r="I500" s="28" t="n">
        <x:v>2</x:v>
      </x:c>
      <x:c r="J500" s="28" t="n">
        <x:v>1</x:v>
      </x:c>
      <x:c r="K500" s="30" t="n">
        <x:v>1.9</x:v>
      </x:c>
      <x:c r="L500" s="54" t="n">
        <x:f>IF(M500=0,0,(E500+F500)/2)</x:f>
        <x:v>41</x:v>
      </x:c>
      <x:c r="M500" t="n">
        <x:v>4</x:v>
      </x:c>
      <x:c r="N500" t="n">
        <x:v>8</x:v>
      </x:c>
      <x:c r="O500" t="n">
        <x:v>23</x:v>
      </x:c>
      <x:c r="P500" s="63" t="str">
        <x:f>IF(M500=0,"—",M500&amp;"d"&amp;N500&amp;IF(O500=0,""," + "&amp;O500))</x:f>
        <x:v>4d8 + 23</x:v>
      </x:c>
      <x:c r="Q500" t="n">
        <x:f>ROUND(INDEX(Catalogue!E$4:E$85,MATCH(A500,Catalogue!A$4:A$85,0))*(1+'Paramètres'!$B$4*(C500-1)+'Paramètres'!$B$5*(C500-1)^2),0)</x:f>
        <x:v>27</x:v>
      </x:c>
      <x:c r="R500" t="n">
        <x:f>ROUND(INDEX(Catalogue!F$4:F$85,MATCH(A500,Catalogue!A$4:A$85,0))*(1+'Paramètres'!$B$4*(C500-1)+'Paramètres'!$B$5*(C500-1)^2),0)</x:f>
        <x:v>55</x:v>
      </x:c>
      <x:c r="S500" t="n">
        <x:f>L500-AVERAGE(Q500:R500)</x:f>
        <x:v>0</x:v>
      </x:c>
      <x:c r="T500" t="str">
        <x:f>IF(M500=0,IF(AND(N500=0,O500=0,E500=0,F500=0),"OK","ERREUR"),IF(AND(M500&gt;=1,M500&lt;=32,OR(N500=4,N500=6,N500=8,N500=10,N500=12,N500=20),O500&gt;=0,E500=M500+O500,F500=M500*N500+O500),"OK","ERREUR"))</x:f>
        <x:v>OK</x:v>
      </x:c>
      <x:c r="U500" s="86" t="n">
        <x:f>IF(M500&gt;0,M500*(N500+1)/2+O500,0)</x:f>
        <x:v>41</x:v>
      </x:c>
      <x:c r="V500" t="str">
        <x:f>IF(ABS(L500-U500)&lt;0.001,"OK","ERREUR")</x:f>
        <x:v>OK</x:v>
      </x:c>
    </x:row>
    <x:row r="501" ht="18" customHeight="1">
      <x:c r="A501" t="str">
        <x:v>ARM025</x:v>
      </x:c>
      <x:c r="B501" t="str">
        <x:v>Pic de guerre</x:v>
      </x:c>
      <x:c r="C501" t="n">
        <x:v>18</x:v>
      </x:c>
      <x:c r="D501" t="str">
        <x:v>Une main</x:v>
      </x:c>
      <x:c r="E501" s="28" t="n">
        <x:f>IF(M501=0,0,M501+O501)</x:f>
        <x:v>30</x:v>
      </x:c>
      <x:c r="F501" s="28" t="n">
        <x:f>IF(M501=0,0,M501*N501+O501)</x:f>
        <x:v>60</x:v>
      </x:c>
      <x:c r="G501" s="28" t="n">
        <x:f>ROUND(Catalogue!G28*SQRT((1+'Paramètres'!$B$4*(C501-1)+'Paramètres'!$B$5*(C501-1)^2)),0)</x:f>
        <x:v>0</x:v>
      </x:c>
      <x:c r="H501" s="28" t="n">
        <x:f>ROUND(Catalogue!H28*SQRT((1+'Paramètres'!$B$4*(C501-1)+'Paramètres'!$B$5*(C501-1)^2)),0)</x:f>
        <x:v>0</x:v>
      </x:c>
      <x:c r="I501" s="28" t="n">
        <x:v>2</x:v>
      </x:c>
      <x:c r="J501" s="28" t="n">
        <x:v>1</x:v>
      </x:c>
      <x:c r="K501" s="30" t="n">
        <x:v>1.9</x:v>
      </x:c>
      <x:c r="L501" s="54" t="n">
        <x:f>IF(M501=0,0,(E501+F501)/2)</x:f>
        <x:v>45</x:v>
      </x:c>
      <x:c r="M501" t="n">
        <x:v>6</x:v>
      </x:c>
      <x:c r="N501" t="n">
        <x:v>6</x:v>
      </x:c>
      <x:c r="O501" t="n">
        <x:v>24</x:v>
      </x:c>
      <x:c r="P501" s="63" t="str">
        <x:f>IF(M501=0,"—",M501&amp;"d"&amp;N501&amp;IF(O501=0,""," + "&amp;O501))</x:f>
        <x:v>6d6 + 24</x:v>
      </x:c>
      <x:c r="Q501" t="n">
        <x:f>ROUND(INDEX(Catalogue!E$4:E$85,MATCH(A501,Catalogue!A$4:A$85,0))*(1+'Paramètres'!$B$4*(C501-1)+'Paramètres'!$B$5*(C501-1)^2),0)</x:f>
        <x:v>30</x:v>
      </x:c>
      <x:c r="R501" t="n">
        <x:f>ROUND(INDEX(Catalogue!F$4:F$85,MATCH(A501,Catalogue!A$4:A$85,0))*(1+'Paramètres'!$B$4*(C501-1)+'Paramètres'!$B$5*(C501-1)^2),0)</x:f>
        <x:v>60</x:v>
      </x:c>
      <x:c r="S501" t="n">
        <x:f>L501-AVERAGE(Q501:R501)</x:f>
        <x:v>0</x:v>
      </x:c>
      <x:c r="T501" t="str">
        <x:f>IF(M501=0,IF(AND(N501=0,O501=0,E501=0,F501=0),"OK","ERREUR"),IF(AND(M501&gt;=1,M501&lt;=32,OR(N501=4,N501=6,N501=8,N501=10,N501=12,N501=20),O501&gt;=0,E501=M501+O501,F501=M501*N501+O501),"OK","ERREUR"))</x:f>
        <x:v>OK</x:v>
      </x:c>
      <x:c r="U501" s="86" t="n">
        <x:f>IF(M501&gt;0,M501*(N501+1)/2+O501,0)</x:f>
        <x:v>45</x:v>
      </x:c>
      <x:c r="V501" t="str">
        <x:f>IF(ABS(L501-U501)&lt;0.001,"OK","ERREUR")</x:f>
        <x:v>OK</x:v>
      </x:c>
    </x:row>
    <x:row r="502" ht="18" customHeight="1">
      <x:c r="A502" t="str">
        <x:v>ARM025</x:v>
      </x:c>
      <x:c r="B502" t="str">
        <x:v>Pic de guerre</x:v>
      </x:c>
      <x:c r="C502" t="n">
        <x:v>19</x:v>
      </x:c>
      <x:c r="D502" t="str">
        <x:v>Une main</x:v>
      </x:c>
      <x:c r="E502" s="28" t="n">
        <x:f>IF(M502=0,0,M502+O502)</x:f>
        <x:v>32</x:v>
      </x:c>
      <x:c r="F502" s="28" t="n">
        <x:f>IF(M502=0,0,M502*N502+O502)</x:f>
        <x:v>65</x:v>
      </x:c>
      <x:c r="G502" s="28" t="n">
        <x:f>ROUND(Catalogue!G28*SQRT((1+'Paramètres'!$B$4*(C502-1)+'Paramètres'!$B$5*(C502-1)^2)),0)</x:f>
        <x:v>0</x:v>
      </x:c>
      <x:c r="H502" s="28" t="n">
        <x:f>ROUND(Catalogue!H28*SQRT((1+'Paramètres'!$B$4*(C502-1)+'Paramètres'!$B$5*(C502-1)^2)),0)</x:f>
        <x:v>0</x:v>
      </x:c>
      <x:c r="I502" s="28" t="n">
        <x:v>2</x:v>
      </x:c>
      <x:c r="J502" s="28" t="n">
        <x:v>1</x:v>
      </x:c>
      <x:c r="K502" s="30" t="n">
        <x:v>1.9</x:v>
      </x:c>
      <x:c r="L502" s="54" t="n">
        <x:f>IF(M502=0,0,(E502+F502)/2)</x:f>
        <x:v>48.5</x:v>
      </x:c>
      <x:c r="M502" t="n">
        <x:v>3</x:v>
      </x:c>
      <x:c r="N502" t="n">
        <x:v>12</x:v>
      </x:c>
      <x:c r="O502" t="n">
        <x:v>29</x:v>
      </x:c>
      <x:c r="P502" s="63" t="str">
        <x:f>IF(M502=0,"—",M502&amp;"d"&amp;N502&amp;IF(O502=0,""," + "&amp;O502))</x:f>
        <x:v>3d12 + 29</x:v>
      </x:c>
      <x:c r="Q502" t="n">
        <x:f>ROUND(INDEX(Catalogue!E$4:E$85,MATCH(A502,Catalogue!A$4:A$85,0))*(1+'Paramètres'!$B$4*(C502-1)+'Paramètres'!$B$5*(C502-1)^2),0)</x:f>
        <x:v>33</x:v>
      </x:c>
      <x:c r="R502" t="n">
        <x:f>ROUND(INDEX(Catalogue!F$4:F$85,MATCH(A502,Catalogue!A$4:A$85,0))*(1+'Paramètres'!$B$4*(C502-1)+'Paramètres'!$B$5*(C502-1)^2),0)</x:f>
        <x:v>65</x:v>
      </x:c>
      <x:c r="S502" t="n">
        <x:f>L502-AVERAGE(Q502:R502)</x:f>
        <x:v>-0.5</x:v>
      </x:c>
      <x:c r="T502" t="str">
        <x:f>IF(M502=0,IF(AND(N502=0,O502=0,E502=0,F502=0),"OK","ERREUR"),IF(AND(M502&gt;=1,M502&lt;=32,OR(N502=4,N502=6,N502=8,N502=10,N502=12,N502=20),O502&gt;=0,E502=M502+O502,F502=M502*N502+O502),"OK","ERREUR"))</x:f>
        <x:v>OK</x:v>
      </x:c>
      <x:c r="U502" s="86" t="n">
        <x:f>IF(M502&gt;0,M502*(N502+1)/2+O502,0)</x:f>
        <x:v>48.5</x:v>
      </x:c>
      <x:c r="V502" t="str">
        <x:f>IF(ABS(L502-U502)&lt;0.001,"OK","ERREUR")</x:f>
        <x:v>OK</x:v>
      </x:c>
    </x:row>
    <x:row r="503" ht="18" customHeight="1">
      <x:c r="A503" t="str">
        <x:v>ARM025</x:v>
      </x:c>
      <x:c r="B503" t="str">
        <x:v>Pic de guerre</x:v>
      </x:c>
      <x:c r="C503" t="n">
        <x:v>20</x:v>
      </x:c>
      <x:c r="D503" t="str">
        <x:v>Une main</x:v>
      </x:c>
      <x:c r="E503" s="28" t="n">
        <x:f>IF(M503=0,0,M503+O503)</x:f>
        <x:v>35</x:v>
      </x:c>
      <x:c r="F503" s="28" t="n">
        <x:f>IF(M503=0,0,M503*N503+O503)</x:f>
        <x:v>71</x:v>
      </x:c>
      <x:c r="G503" s="28" t="n">
        <x:f>ROUND(Catalogue!G28*SQRT((1+'Paramètres'!$B$4*(C503-1)+'Paramètres'!$B$5*(C503-1)^2)),0)</x:f>
        <x:v>0</x:v>
      </x:c>
      <x:c r="H503" s="28" t="n">
        <x:f>ROUND(Catalogue!H28*SQRT((1+'Paramètres'!$B$4*(C503-1)+'Paramètres'!$B$5*(C503-1)^2)),0)</x:f>
        <x:v>0</x:v>
      </x:c>
      <x:c r="I503" s="28" t="n">
        <x:v>2</x:v>
      </x:c>
      <x:c r="J503" s="28" t="n">
        <x:v>1</x:v>
      </x:c>
      <x:c r="K503" s="30" t="n">
        <x:v>1.9</x:v>
      </x:c>
      <x:c r="L503" s="54" t="n">
        <x:f>IF(M503=0,0,(E503+F503)/2)</x:f>
        <x:v>53</x:v>
      </x:c>
      <x:c r="M503" t="n">
        <x:v>4</x:v>
      </x:c>
      <x:c r="N503" t="n">
        <x:v>10</x:v>
      </x:c>
      <x:c r="O503" t="n">
        <x:v>31</x:v>
      </x:c>
      <x:c r="P503" s="63" t="str">
        <x:f>IF(M503=0,"—",M503&amp;"d"&amp;N503&amp;IF(O503=0,""," + "&amp;O503))</x:f>
        <x:v>4d10 + 31</x:v>
      </x:c>
      <x:c r="Q503" t="n">
        <x:f>ROUND(INDEX(Catalogue!E$4:E$85,MATCH(A503,Catalogue!A$4:A$85,0))*(1+'Paramètres'!$B$4*(C503-1)+'Paramètres'!$B$5*(C503-1)^2),0)</x:f>
        <x:v>35</x:v>
      </x:c>
      <x:c r="R503" t="n">
        <x:f>ROUND(INDEX(Catalogue!F$4:F$85,MATCH(A503,Catalogue!A$4:A$85,0))*(1+'Paramètres'!$B$4*(C503-1)+'Paramètres'!$B$5*(C503-1)^2),0)</x:f>
        <x:v>71</x:v>
      </x:c>
      <x:c r="S503" t="n">
        <x:f>L503-AVERAGE(Q503:R503)</x:f>
        <x:v>0</x:v>
      </x:c>
      <x:c r="T503" t="str">
        <x:f>IF(M503=0,IF(AND(N503=0,O503=0,E503=0,F503=0),"OK","ERREUR"),IF(AND(M503&gt;=1,M503&lt;=32,OR(N503=4,N503=6,N503=8,N503=10,N503=12,N503=20),O503&gt;=0,E503=M503+O503,F503=M503*N503+O503),"OK","ERREUR"))</x:f>
        <x:v>OK</x:v>
      </x:c>
      <x:c r="U503" s="86" t="n">
        <x:f>IF(M503&gt;0,M503*(N503+1)/2+O503,0)</x:f>
        <x:v>53</x:v>
      </x:c>
      <x:c r="V503" t="str">
        <x:f>IF(ABS(L503-U503)&lt;0.001,"OK","ERREUR")</x:f>
        <x:v>OK</x:v>
      </x:c>
    </x:row>
    <x:row r="504" ht="18" customHeight="1">
      <x:c r="A504" t="str">
        <x:v>ARM026</x:v>
      </x:c>
      <x:c r="B504" t="str">
        <x:v>Sceptre de bataille</x:v>
      </x:c>
      <x:c r="C504" t="n">
        <x:v>1</x:v>
      </x:c>
      <x:c r="D504" t="str">
        <x:v>Une main</x:v>
      </x:c>
      <x:c r="E504" s="28" t="n">
        <x:f>IF(M504=0,0,M504+O504)</x:f>
        <x:v>3</x:v>
      </x:c>
      <x:c r="F504" s="28" t="n">
        <x:f>IF(M504=0,0,M504*N504+O504)</x:f>
        <x:v>6</x:v>
      </x:c>
      <x:c r="G504" s="28" t="n">
        <x:f>ROUND(Catalogue!G29*SQRT((1+'Paramètres'!$B$4*(C504-1)+'Paramètres'!$B$5*(C504-1)^2)),0)</x:f>
        <x:v>0</x:v>
      </x:c>
      <x:c r="H504" s="28" t="n">
        <x:f>ROUND(Catalogue!H29*SQRT((1+'Paramètres'!$B$4*(C504-1)+'Paramètres'!$B$5*(C504-1)^2)),0)</x:f>
        <x:v>0</x:v>
      </x:c>
      <x:c r="I504" s="28" t="n">
        <x:v>2</x:v>
      </x:c>
      <x:c r="J504" s="28" t="n">
        <x:v>1</x:v>
      </x:c>
      <x:c r="K504" s="30" t="n">
        <x:v>1.3</x:v>
      </x:c>
      <x:c r="L504" s="54" t="n">
        <x:f>IF(M504=0,0,(E504+F504)/2)</x:f>
        <x:v>4.5</x:v>
      </x:c>
      <x:c r="M504" t="n">
        <x:v>1</x:v>
      </x:c>
      <x:c r="N504" t="n">
        <x:v>4</x:v>
      </x:c>
      <x:c r="O504" t="n">
        <x:v>2</x:v>
      </x:c>
      <x:c r="P504" s="63" t="str">
        <x:f>IF(M504=0,"—",M504&amp;"d"&amp;N504&amp;IF(O504=0,""," + "&amp;O504))</x:f>
        <x:v>1d4 + 2</x:v>
      </x:c>
      <x:c r="Q504" t="n">
        <x:f>ROUND(INDEX(Catalogue!E$4:E$85,MATCH(A504,Catalogue!A$4:A$85,0))*(1+'Paramètres'!$B$4*(C504-1)+'Paramètres'!$B$5*(C504-1)^2),0)</x:f>
        <x:v>3</x:v>
      </x:c>
      <x:c r="R504" t="n">
        <x:f>ROUND(INDEX(Catalogue!F$4:F$85,MATCH(A504,Catalogue!A$4:A$85,0))*(1+'Paramètres'!$B$4*(C504-1)+'Paramètres'!$B$5*(C504-1)^2),0)</x:f>
        <x:v>6</x:v>
      </x:c>
      <x:c r="S504" t="n">
        <x:f>L504-AVERAGE(Q504:R504)</x:f>
        <x:v>0</x:v>
      </x:c>
      <x:c r="T504" t="str">
        <x:f>IF(M504=0,IF(AND(N504=0,O504=0,E504=0,F504=0),"OK","ERREUR"),IF(AND(M504&gt;=1,M504&lt;=32,OR(N504=4,N504=6,N504=8,N504=10,N504=12,N504=20),O504&gt;=0,E504=M504+O504,F504=M504*N504+O504),"OK","ERREUR"))</x:f>
        <x:v>OK</x:v>
      </x:c>
      <x:c r="U504" s="86" t="n">
        <x:f>IF(M504&gt;0,M504*(N504+1)/2+O504,0)</x:f>
        <x:v>4.5</x:v>
      </x:c>
      <x:c r="V504" t="str">
        <x:f>IF(ABS(L504-U504)&lt;0.001,"OK","ERREUR")</x:f>
        <x:v>OK</x:v>
      </x:c>
    </x:row>
    <x:row r="505" ht="18" customHeight="1">
      <x:c r="A505" t="str">
        <x:v>ARM026</x:v>
      </x:c>
      <x:c r="B505" t="str">
        <x:v>Sceptre de bataille</x:v>
      </x:c>
      <x:c r="C505" t="n">
        <x:v>2</x:v>
      </x:c>
      <x:c r="D505" t="str">
        <x:v>Une main</x:v>
      </x:c>
      <x:c r="E505" s="28" t="n">
        <x:f>IF(M505=0,0,M505+O505)</x:f>
        <x:v>3</x:v>
      </x:c>
      <x:c r="F505" s="28" t="n">
        <x:f>IF(M505=0,0,M505*N505+O505)</x:f>
        <x:v>6</x:v>
      </x:c>
      <x:c r="G505" s="28" t="n">
        <x:f>ROUND(Catalogue!G29*SQRT((1+'Paramètres'!$B$4*(C505-1)+'Paramètres'!$B$5*(C505-1)^2)),0)</x:f>
        <x:v>0</x:v>
      </x:c>
      <x:c r="H505" s="28" t="n">
        <x:f>ROUND(Catalogue!H29*SQRT((1+'Paramètres'!$B$4*(C505-1)+'Paramètres'!$B$5*(C505-1)^2)),0)</x:f>
        <x:v>0</x:v>
      </x:c>
      <x:c r="I505" s="28" t="n">
        <x:v>2</x:v>
      </x:c>
      <x:c r="J505" s="28" t="n">
        <x:v>1</x:v>
      </x:c>
      <x:c r="K505" s="30" t="n">
        <x:v>1.3</x:v>
      </x:c>
      <x:c r="L505" s="54" t="n">
        <x:f>IF(M505=0,0,(E505+F505)/2)</x:f>
        <x:v>4.5</x:v>
      </x:c>
      <x:c r="M505" t="n">
        <x:v>1</x:v>
      </x:c>
      <x:c r="N505" t="n">
        <x:v>4</x:v>
      </x:c>
      <x:c r="O505" t="n">
        <x:v>2</x:v>
      </x:c>
      <x:c r="P505" s="63" t="str">
        <x:f>IF(M505=0,"—",M505&amp;"d"&amp;N505&amp;IF(O505=0,""," + "&amp;O505))</x:f>
        <x:v>1d4 + 2</x:v>
      </x:c>
      <x:c r="Q505" t="n">
        <x:f>ROUND(INDEX(Catalogue!E$4:E$85,MATCH(A505,Catalogue!A$4:A$85,0))*(1+'Paramètres'!$B$4*(C505-1)+'Paramètres'!$B$5*(C505-1)^2),0)</x:f>
        <x:v>3</x:v>
      </x:c>
      <x:c r="R505" t="n">
        <x:f>ROUND(INDEX(Catalogue!F$4:F$85,MATCH(A505,Catalogue!A$4:A$85,0))*(1+'Paramètres'!$B$4*(C505-1)+'Paramètres'!$B$5*(C505-1)^2),0)</x:f>
        <x:v>7</x:v>
      </x:c>
      <x:c r="S505" t="n">
        <x:f>L505-AVERAGE(Q505:R505)</x:f>
        <x:v>-0.5</x:v>
      </x:c>
      <x:c r="T505" t="str">
        <x:f>IF(M505=0,IF(AND(N505=0,O505=0,E505=0,F505=0),"OK","ERREUR"),IF(AND(M505&gt;=1,M505&lt;=32,OR(N505=4,N505=6,N505=8,N505=10,N505=12,N505=20),O505&gt;=0,E505=M505+O505,F505=M505*N505+O505),"OK","ERREUR"))</x:f>
        <x:v>OK</x:v>
      </x:c>
      <x:c r="U505" s="86" t="n">
        <x:f>IF(M505&gt;0,M505*(N505+1)/2+O505,0)</x:f>
        <x:v>4.5</x:v>
      </x:c>
      <x:c r="V505" t="str">
        <x:f>IF(ABS(L505-U505)&lt;0.001,"OK","ERREUR")</x:f>
        <x:v>OK</x:v>
      </x:c>
    </x:row>
    <x:row r="506" ht="18" customHeight="1">
      <x:c r="A506" t="str">
        <x:v>ARM026</x:v>
      </x:c>
      <x:c r="B506" t="str">
        <x:v>Sceptre de bataille</x:v>
      </x:c>
      <x:c r="C506" t="n">
        <x:v>3</x:v>
      </x:c>
      <x:c r="D506" t="str">
        <x:v>Une main</x:v>
      </x:c>
      <x:c r="E506" s="28" t="n">
        <x:f>IF(M506=0,0,M506+O506)</x:f>
        <x:v>4</x:v>
      </x:c>
      <x:c r="F506" s="28" t="n">
        <x:f>IF(M506=0,0,M506*N506+O506)</x:f>
        <x:v>7</x:v>
      </x:c>
      <x:c r="G506" s="28" t="n">
        <x:f>ROUND(Catalogue!G29*SQRT((1+'Paramètres'!$B$4*(C506-1)+'Paramètres'!$B$5*(C506-1)^2)),0)</x:f>
        <x:v>0</x:v>
      </x:c>
      <x:c r="H506" s="28" t="n">
        <x:f>ROUND(Catalogue!H29*SQRT((1+'Paramètres'!$B$4*(C506-1)+'Paramètres'!$B$5*(C506-1)^2)),0)</x:f>
        <x:v>0</x:v>
      </x:c>
      <x:c r="I506" s="28" t="n">
        <x:v>2</x:v>
      </x:c>
      <x:c r="J506" s="28" t="n">
        <x:v>1</x:v>
      </x:c>
      <x:c r="K506" s="30" t="n">
        <x:v>1.3</x:v>
      </x:c>
      <x:c r="L506" s="54" t="n">
        <x:f>IF(M506=0,0,(E506+F506)/2)</x:f>
        <x:v>5.5</x:v>
      </x:c>
      <x:c r="M506" t="n">
        <x:v>1</x:v>
      </x:c>
      <x:c r="N506" t="n">
        <x:v>4</x:v>
      </x:c>
      <x:c r="O506" t="n">
        <x:v>3</x:v>
      </x:c>
      <x:c r="P506" s="63" t="str">
        <x:f>IF(M506=0,"—",M506&amp;"d"&amp;N506&amp;IF(O506=0,""," + "&amp;O506))</x:f>
        <x:v>1d4 + 3</x:v>
      </x:c>
      <x:c r="Q506" t="n">
        <x:f>ROUND(INDEX(Catalogue!E$4:E$85,MATCH(A506,Catalogue!A$4:A$85,0))*(1+'Paramètres'!$B$4*(C506-1)+'Paramètres'!$B$5*(C506-1)^2),0)</x:f>
        <x:v>4</x:v>
      </x:c>
      <x:c r="R506" t="n">
        <x:f>ROUND(INDEX(Catalogue!F$4:F$85,MATCH(A506,Catalogue!A$4:A$85,0))*(1+'Paramètres'!$B$4*(C506-1)+'Paramètres'!$B$5*(C506-1)^2),0)</x:f>
        <x:v>8</x:v>
      </x:c>
      <x:c r="S506" t="n">
        <x:f>L506-AVERAGE(Q506:R506)</x:f>
        <x:v>-0.5</x:v>
      </x:c>
      <x:c r="T506" t="str">
        <x:f>IF(M506=0,IF(AND(N506=0,O506=0,E506=0,F506=0),"OK","ERREUR"),IF(AND(M506&gt;=1,M506&lt;=32,OR(N506=4,N506=6,N506=8,N506=10,N506=12,N506=20),O506&gt;=0,E506=M506+O506,F506=M506*N506+O506),"OK","ERREUR"))</x:f>
        <x:v>OK</x:v>
      </x:c>
      <x:c r="U506" s="86" t="n">
        <x:f>IF(M506&gt;0,M506*(N506+1)/2+O506,0)</x:f>
        <x:v>5.5</x:v>
      </x:c>
      <x:c r="V506" t="str">
        <x:f>IF(ABS(L506-U506)&lt;0.001,"OK","ERREUR")</x:f>
        <x:v>OK</x:v>
      </x:c>
    </x:row>
    <x:row r="507" ht="18" customHeight="1">
      <x:c r="A507" t="str">
        <x:v>ARM026</x:v>
      </x:c>
      <x:c r="B507" t="str">
        <x:v>Sceptre de bataille</x:v>
      </x:c>
      <x:c r="C507" t="n">
        <x:v>4</x:v>
      </x:c>
      <x:c r="D507" t="str">
        <x:v>Une main</x:v>
      </x:c>
      <x:c r="E507" s="28" t="n">
        <x:f>IF(M507=0,0,M507+O507)</x:f>
        <x:v>4</x:v>
      </x:c>
      <x:c r="F507" s="28" t="n">
        <x:f>IF(M507=0,0,M507*N507+O507)</x:f>
        <x:v>9</x:v>
      </x:c>
      <x:c r="G507" s="28" t="n">
        <x:f>ROUND(Catalogue!G29*SQRT((1+'Paramètres'!$B$4*(C507-1)+'Paramètres'!$B$5*(C507-1)^2)),0)</x:f>
        <x:v>0</x:v>
      </x:c>
      <x:c r="H507" s="28" t="n">
        <x:f>ROUND(Catalogue!H29*SQRT((1+'Paramètres'!$B$4*(C507-1)+'Paramètres'!$B$5*(C507-1)^2)),0)</x:f>
        <x:v>0</x:v>
      </x:c>
      <x:c r="I507" s="28" t="n">
        <x:v>2</x:v>
      </x:c>
      <x:c r="J507" s="28" t="n">
        <x:v>1</x:v>
      </x:c>
      <x:c r="K507" s="30" t="n">
        <x:v>1.3</x:v>
      </x:c>
      <x:c r="L507" s="54" t="n">
        <x:f>IF(M507=0,0,(E507+F507)/2)</x:f>
        <x:v>6.5</x:v>
      </x:c>
      <x:c r="M507" t="n">
        <x:v>1</x:v>
      </x:c>
      <x:c r="N507" t="n">
        <x:v>6</x:v>
      </x:c>
      <x:c r="O507" t="n">
        <x:v>3</x:v>
      </x:c>
      <x:c r="P507" s="63" t="str">
        <x:f>IF(M507=0,"—",M507&amp;"d"&amp;N507&amp;IF(O507=0,""," + "&amp;O507))</x:f>
        <x:v>1d6 + 3</x:v>
      </x:c>
      <x:c r="Q507" t="n">
        <x:f>ROUND(INDEX(Catalogue!E$4:E$85,MATCH(A507,Catalogue!A$4:A$85,0))*(1+'Paramètres'!$B$4*(C507-1)+'Paramètres'!$B$5*(C507-1)^2),0)</x:f>
        <x:v>4</x:v>
      </x:c>
      <x:c r="R507" t="n">
        <x:f>ROUND(INDEX(Catalogue!F$4:F$85,MATCH(A507,Catalogue!A$4:A$85,0))*(1+'Paramètres'!$B$4*(C507-1)+'Paramètres'!$B$5*(C507-1)^2),0)</x:f>
        <x:v>9</x:v>
      </x:c>
      <x:c r="S507" t="n">
        <x:f>L507-AVERAGE(Q507:R507)</x:f>
        <x:v>0</x:v>
      </x:c>
      <x:c r="T507" t="str">
        <x:f>IF(M507=0,IF(AND(N507=0,O507=0,E507=0,F507=0),"OK","ERREUR"),IF(AND(M507&gt;=1,M507&lt;=32,OR(N507=4,N507=6,N507=8,N507=10,N507=12,N507=20),O507&gt;=0,E507=M507+O507,F507=M507*N507+O507),"OK","ERREUR"))</x:f>
        <x:v>OK</x:v>
      </x:c>
      <x:c r="U507" s="86" t="n">
        <x:f>IF(M507&gt;0,M507*(N507+1)/2+O507,0)</x:f>
        <x:v>6.5</x:v>
      </x:c>
      <x:c r="V507" t="str">
        <x:f>IF(ABS(L507-U507)&lt;0.001,"OK","ERREUR")</x:f>
        <x:v>OK</x:v>
      </x:c>
    </x:row>
    <x:row r="508" ht="18" customHeight="1">
      <x:c r="A508" t="str">
        <x:v>ARM026</x:v>
      </x:c>
      <x:c r="B508" t="str">
        <x:v>Sceptre de bataille</x:v>
      </x:c>
      <x:c r="C508" t="n">
        <x:v>5</x:v>
      </x:c>
      <x:c r="D508" t="str">
        <x:v>Une main</x:v>
      </x:c>
      <x:c r="E508" s="28" t="n">
        <x:f>IF(M508=0,0,M508+O508)</x:f>
        <x:v>5</x:v>
      </x:c>
      <x:c r="F508" s="28" t="n">
        <x:f>IF(M508=0,0,M508*N508+O508)</x:f>
        <x:v>10</x:v>
      </x:c>
      <x:c r="G508" s="28" t="n">
        <x:f>ROUND(Catalogue!G29*SQRT((1+'Paramètres'!$B$4*(C508-1)+'Paramètres'!$B$5*(C508-1)^2)),0)</x:f>
        <x:v>0</x:v>
      </x:c>
      <x:c r="H508" s="28" t="n">
        <x:f>ROUND(Catalogue!H29*SQRT((1+'Paramètres'!$B$4*(C508-1)+'Paramètres'!$B$5*(C508-1)^2)),0)</x:f>
        <x:v>0</x:v>
      </x:c>
      <x:c r="I508" s="28" t="n">
        <x:v>2</x:v>
      </x:c>
      <x:c r="J508" s="28" t="n">
        <x:v>1</x:v>
      </x:c>
      <x:c r="K508" s="30" t="n">
        <x:v>1.3</x:v>
      </x:c>
      <x:c r="L508" s="54" t="n">
        <x:f>IF(M508=0,0,(E508+F508)/2)</x:f>
        <x:v>7.5</x:v>
      </x:c>
      <x:c r="M508" t="n">
        <x:v>1</x:v>
      </x:c>
      <x:c r="N508" t="n">
        <x:v>6</x:v>
      </x:c>
      <x:c r="O508" t="n">
        <x:v>4</x:v>
      </x:c>
      <x:c r="P508" s="63" t="str">
        <x:f>IF(M508=0,"—",M508&amp;"d"&amp;N508&amp;IF(O508=0,""," + "&amp;O508))</x:f>
        <x:v>1d6 + 4</x:v>
      </x:c>
      <x:c r="Q508" t="n">
        <x:f>ROUND(INDEX(Catalogue!E$4:E$85,MATCH(A508,Catalogue!A$4:A$85,0))*(1+'Paramètres'!$B$4*(C508-1)+'Paramètres'!$B$5*(C508-1)^2),0)</x:f>
        <x:v>5</x:v>
      </x:c>
      <x:c r="R508" t="n">
        <x:f>ROUND(INDEX(Catalogue!F$4:F$85,MATCH(A508,Catalogue!A$4:A$85,0))*(1+'Paramètres'!$B$4*(C508-1)+'Paramètres'!$B$5*(C508-1)^2),0)</x:f>
        <x:v>10</x:v>
      </x:c>
      <x:c r="S508" t="n">
        <x:f>L508-AVERAGE(Q508:R508)</x:f>
        <x:v>0</x:v>
      </x:c>
      <x:c r="T508" t="str">
        <x:f>IF(M508=0,IF(AND(N508=0,O508=0,E508=0,F508=0),"OK","ERREUR"),IF(AND(M508&gt;=1,M508&lt;=32,OR(N508=4,N508=6,N508=8,N508=10,N508=12,N508=20),O508&gt;=0,E508=M508+O508,F508=M508*N508+O508),"OK","ERREUR"))</x:f>
        <x:v>OK</x:v>
      </x:c>
      <x:c r="U508" s="86" t="n">
        <x:f>IF(M508&gt;0,M508*(N508+1)/2+O508,0)</x:f>
        <x:v>7.5</x:v>
      </x:c>
      <x:c r="V508" t="str">
        <x:f>IF(ABS(L508-U508)&lt;0.001,"OK","ERREUR")</x:f>
        <x:v>OK</x:v>
      </x:c>
    </x:row>
    <x:row r="509" ht="18" customHeight="1">
      <x:c r="A509" t="str">
        <x:v>ARM026</x:v>
      </x:c>
      <x:c r="B509" t="str">
        <x:v>Sceptre de bataille</x:v>
      </x:c>
      <x:c r="C509" t="n">
        <x:v>6</x:v>
      </x:c>
      <x:c r="D509" t="str">
        <x:v>Une main</x:v>
      </x:c>
      <x:c r="E509" s="28" t="n">
        <x:f>IF(M509=0,0,M509+O509)</x:f>
        <x:v>6</x:v>
      </x:c>
      <x:c r="F509" s="28" t="n">
        <x:f>IF(M509=0,0,M509*N509+O509)</x:f>
        <x:v>12</x:v>
      </x:c>
      <x:c r="G509" s="28" t="n">
        <x:f>ROUND(Catalogue!G29*SQRT((1+'Paramètres'!$B$4*(C509-1)+'Paramètres'!$B$5*(C509-1)^2)),0)</x:f>
        <x:v>0</x:v>
      </x:c>
      <x:c r="H509" s="28" t="n">
        <x:f>ROUND(Catalogue!H29*SQRT((1+'Paramètres'!$B$4*(C509-1)+'Paramètres'!$B$5*(C509-1)^2)),0)</x:f>
        <x:v>0</x:v>
      </x:c>
      <x:c r="I509" s="28" t="n">
        <x:v>2</x:v>
      </x:c>
      <x:c r="J509" s="28" t="n">
        <x:v>1</x:v>
      </x:c>
      <x:c r="K509" s="30" t="n">
        <x:v>1.3</x:v>
      </x:c>
      <x:c r="L509" s="54" t="n">
        <x:f>IF(M509=0,0,(E509+F509)/2)</x:f>
        <x:v>9</x:v>
      </x:c>
      <x:c r="M509" t="n">
        <x:v>2</x:v>
      </x:c>
      <x:c r="N509" t="n">
        <x:v>4</x:v>
      </x:c>
      <x:c r="O509" t="n">
        <x:v>4</x:v>
      </x:c>
      <x:c r="P509" s="63" t="str">
        <x:f>IF(M509=0,"—",M509&amp;"d"&amp;N509&amp;IF(O509=0,""," + "&amp;O509))</x:f>
        <x:v>2d4 + 4</x:v>
      </x:c>
      <x:c r="Q509" t="n">
        <x:f>ROUND(INDEX(Catalogue!E$4:E$85,MATCH(A509,Catalogue!A$4:A$85,0))*(1+'Paramètres'!$B$4*(C509-1)+'Paramètres'!$B$5*(C509-1)^2),0)</x:f>
        <x:v>6</x:v>
      </x:c>
      <x:c r="R509" t="n">
        <x:f>ROUND(INDEX(Catalogue!F$4:F$85,MATCH(A509,Catalogue!A$4:A$85,0))*(1+'Paramètres'!$B$4*(C509-1)+'Paramètres'!$B$5*(C509-1)^2),0)</x:f>
        <x:v>12</x:v>
      </x:c>
      <x:c r="S509" t="n">
        <x:f>L509-AVERAGE(Q509:R509)</x:f>
        <x:v>0</x:v>
      </x:c>
      <x:c r="T509" t="str">
        <x:f>IF(M509=0,IF(AND(N509=0,O509=0,E509=0,F509=0),"OK","ERREUR"),IF(AND(M509&gt;=1,M509&lt;=32,OR(N509=4,N509=6,N509=8,N509=10,N509=12,N509=20),O509&gt;=0,E509=M509+O509,F509=M509*N509+O509),"OK","ERREUR"))</x:f>
        <x:v>OK</x:v>
      </x:c>
      <x:c r="U509" s="86" t="n">
        <x:f>IF(M509&gt;0,M509*(N509+1)/2+O509,0)</x:f>
        <x:v>9</x:v>
      </x:c>
      <x:c r="V509" t="str">
        <x:f>IF(ABS(L509-U509)&lt;0.001,"OK","ERREUR")</x:f>
        <x:v>OK</x:v>
      </x:c>
    </x:row>
    <x:row r="510" ht="18" customHeight="1">
      <x:c r="A510" t="str">
        <x:v>ARM026</x:v>
      </x:c>
      <x:c r="B510" t="str">
        <x:v>Sceptre de bataille</x:v>
      </x:c>
      <x:c r="C510" t="n">
        <x:v>7</x:v>
      </x:c>
      <x:c r="D510" t="str">
        <x:v>Une main</x:v>
      </x:c>
      <x:c r="E510" s="28" t="n">
        <x:f>IF(M510=0,0,M510+O510)</x:f>
        <x:v>7</x:v>
      </x:c>
      <x:c r="F510" s="28" t="n">
        <x:f>IF(M510=0,0,M510*N510+O510)</x:f>
        <x:v>13</x:v>
      </x:c>
      <x:c r="G510" s="28" t="n">
        <x:f>ROUND(Catalogue!G29*SQRT((1+'Paramètres'!$B$4*(C510-1)+'Paramètres'!$B$5*(C510-1)^2)),0)</x:f>
        <x:v>0</x:v>
      </x:c>
      <x:c r="H510" s="28" t="n">
        <x:f>ROUND(Catalogue!H29*SQRT((1+'Paramètres'!$B$4*(C510-1)+'Paramètres'!$B$5*(C510-1)^2)),0)</x:f>
        <x:v>0</x:v>
      </x:c>
      <x:c r="I510" s="28" t="n">
        <x:v>2</x:v>
      </x:c>
      <x:c r="J510" s="28" t="n">
        <x:v>1</x:v>
      </x:c>
      <x:c r="K510" s="30" t="n">
        <x:v>1.3</x:v>
      </x:c>
      <x:c r="L510" s="54" t="n">
        <x:f>IF(M510=0,0,(E510+F510)/2)</x:f>
        <x:v>10</x:v>
      </x:c>
      <x:c r="M510" t="n">
        <x:v>2</x:v>
      </x:c>
      <x:c r="N510" t="n">
        <x:v>4</x:v>
      </x:c>
      <x:c r="O510" t="n">
        <x:v>5</x:v>
      </x:c>
      <x:c r="P510" s="63" t="str">
        <x:f>IF(M510=0,"—",M510&amp;"d"&amp;N510&amp;IF(O510=0,""," + "&amp;O510))</x:f>
        <x:v>2d4 + 5</x:v>
      </x:c>
      <x:c r="Q510" t="n">
        <x:f>ROUND(INDEX(Catalogue!E$4:E$85,MATCH(A510,Catalogue!A$4:A$85,0))*(1+'Paramètres'!$B$4*(C510-1)+'Paramètres'!$B$5*(C510-1)^2),0)</x:f>
        <x:v>7</x:v>
      </x:c>
      <x:c r="R510" t="n">
        <x:f>ROUND(INDEX(Catalogue!F$4:F$85,MATCH(A510,Catalogue!A$4:A$85,0))*(1+'Paramètres'!$B$4*(C510-1)+'Paramètres'!$B$5*(C510-1)^2),0)</x:f>
        <x:v>13</x:v>
      </x:c>
      <x:c r="S510" t="n">
        <x:f>L510-AVERAGE(Q510:R510)</x:f>
        <x:v>0</x:v>
      </x:c>
      <x:c r="T510" t="str">
        <x:f>IF(M510=0,IF(AND(N510=0,O510=0,E510=0,F510=0),"OK","ERREUR"),IF(AND(M510&gt;=1,M510&lt;=32,OR(N510=4,N510=6,N510=8,N510=10,N510=12,N510=20),O510&gt;=0,E510=M510+O510,F510=M510*N510+O510),"OK","ERREUR"))</x:f>
        <x:v>OK</x:v>
      </x:c>
      <x:c r="U510" s="86" t="n">
        <x:f>IF(M510&gt;0,M510*(N510+1)/2+O510,0)</x:f>
        <x:v>10</x:v>
      </x:c>
      <x:c r="V510" t="str">
        <x:f>IF(ABS(L510-U510)&lt;0.001,"OK","ERREUR")</x:f>
        <x:v>OK</x:v>
      </x:c>
    </x:row>
    <x:row r="511" ht="18" customHeight="1">
      <x:c r="A511" t="str">
        <x:v>ARM026</x:v>
      </x:c>
      <x:c r="B511" t="str">
        <x:v>Sceptre de bataille</x:v>
      </x:c>
      <x:c r="C511" t="n">
        <x:v>8</x:v>
      </x:c>
      <x:c r="D511" t="str">
        <x:v>Une main</x:v>
      </x:c>
      <x:c r="E511" s="28" t="n">
        <x:f>IF(M511=0,0,M511+O511)</x:f>
        <x:v>8</x:v>
      </x:c>
      <x:c r="F511" s="28" t="n">
        <x:f>IF(M511=0,0,M511*N511+O511)</x:f>
        <x:v>15</x:v>
      </x:c>
      <x:c r="G511" s="28" t="n">
        <x:f>ROUND(Catalogue!G29*SQRT((1+'Paramètres'!$B$4*(C511-1)+'Paramètres'!$B$5*(C511-1)^2)),0)</x:f>
        <x:v>0</x:v>
      </x:c>
      <x:c r="H511" s="28" t="n">
        <x:f>ROUND(Catalogue!H29*SQRT((1+'Paramètres'!$B$4*(C511-1)+'Paramètres'!$B$5*(C511-1)^2)),0)</x:f>
        <x:v>0</x:v>
      </x:c>
      <x:c r="I511" s="28" t="n">
        <x:v>2</x:v>
      </x:c>
      <x:c r="J511" s="28" t="n">
        <x:v>1</x:v>
      </x:c>
      <x:c r="K511" s="30" t="n">
        <x:v>1.3</x:v>
      </x:c>
      <x:c r="L511" s="54" t="n">
        <x:f>IF(M511=0,0,(E511+F511)/2)</x:f>
        <x:v>11.5</x:v>
      </x:c>
      <x:c r="M511" t="n">
        <x:v>1</x:v>
      </x:c>
      <x:c r="N511" t="n">
        <x:v>8</x:v>
      </x:c>
      <x:c r="O511" t="n">
        <x:v>7</x:v>
      </x:c>
      <x:c r="P511" s="63" t="str">
        <x:f>IF(M511=0,"—",M511&amp;"d"&amp;N511&amp;IF(O511=0,""," + "&amp;O511))</x:f>
        <x:v>1d8 + 7</x:v>
      </x:c>
      <x:c r="Q511" t="n">
        <x:f>ROUND(INDEX(Catalogue!E$4:E$85,MATCH(A511,Catalogue!A$4:A$85,0))*(1+'Paramètres'!$B$4*(C511-1)+'Paramètres'!$B$5*(C511-1)^2),0)</x:f>
        <x:v>8</x:v>
      </x:c>
      <x:c r="R511" t="n">
        <x:f>ROUND(INDEX(Catalogue!F$4:F$85,MATCH(A511,Catalogue!A$4:A$85,0))*(1+'Paramètres'!$B$4*(C511-1)+'Paramètres'!$B$5*(C511-1)^2),0)</x:f>
        <x:v>15</x:v>
      </x:c>
      <x:c r="S511" t="n">
        <x:f>L511-AVERAGE(Q511:R511)</x:f>
        <x:v>0</x:v>
      </x:c>
      <x:c r="T511" t="str">
        <x:f>IF(M511=0,IF(AND(N511=0,O511=0,E511=0,F511=0),"OK","ERREUR"),IF(AND(M511&gt;=1,M511&lt;=32,OR(N511=4,N511=6,N511=8,N511=10,N511=12,N511=20),O511&gt;=0,E511=M511+O511,F511=M511*N511+O511),"OK","ERREUR"))</x:f>
        <x:v>OK</x:v>
      </x:c>
      <x:c r="U511" s="86" t="n">
        <x:f>IF(M511&gt;0,M511*(N511+1)/2+O511,0)</x:f>
        <x:v>11.5</x:v>
      </x:c>
      <x:c r="V511" t="str">
        <x:f>IF(ABS(L511-U511)&lt;0.001,"OK","ERREUR")</x:f>
        <x:v>OK</x:v>
      </x:c>
    </x:row>
    <x:row r="512" ht="18" customHeight="1">
      <x:c r="A512" t="str">
        <x:v>ARM026</x:v>
      </x:c>
      <x:c r="B512" t="str">
        <x:v>Sceptre de bataille</x:v>
      </x:c>
      <x:c r="C512" t="n">
        <x:v>9</x:v>
      </x:c>
      <x:c r="D512" t="str">
        <x:v>Une main</x:v>
      </x:c>
      <x:c r="E512" s="28" t="n">
        <x:f>IF(M512=0,0,M512+O512)</x:f>
        <x:v>8</x:v>
      </x:c>
      <x:c r="F512" s="28" t="n">
        <x:f>IF(M512=0,0,M512*N512+O512)</x:f>
        <x:v>17</x:v>
      </x:c>
      <x:c r="G512" s="28" t="n">
        <x:f>ROUND(Catalogue!G29*SQRT((1+'Paramètres'!$B$4*(C512-1)+'Paramètres'!$B$5*(C512-1)^2)),0)</x:f>
        <x:v>0</x:v>
      </x:c>
      <x:c r="H512" s="28" t="n">
        <x:f>ROUND(Catalogue!H29*SQRT((1+'Paramètres'!$B$4*(C512-1)+'Paramètres'!$B$5*(C512-1)^2)),0)</x:f>
        <x:v>0</x:v>
      </x:c>
      <x:c r="I512" s="28" t="n">
        <x:v>2</x:v>
      </x:c>
      <x:c r="J512" s="28" t="n">
        <x:v>1</x:v>
      </x:c>
      <x:c r="K512" s="30" t="n">
        <x:v>1.3</x:v>
      </x:c>
      <x:c r="L512" s="54" t="n">
        <x:f>IF(M512=0,0,(E512+F512)/2)</x:f>
        <x:v>12.5</x:v>
      </x:c>
      <x:c r="M512" t="n">
        <x:v>3</x:v>
      </x:c>
      <x:c r="N512" t="n">
        <x:v>4</x:v>
      </x:c>
      <x:c r="O512" t="n">
        <x:v>5</x:v>
      </x:c>
      <x:c r="P512" s="63" t="str">
        <x:f>IF(M512=0,"—",M512&amp;"d"&amp;N512&amp;IF(O512=0,""," + "&amp;O512))</x:f>
        <x:v>3d4 + 5</x:v>
      </x:c>
      <x:c r="Q512" t="n">
        <x:f>ROUND(INDEX(Catalogue!E$4:E$85,MATCH(A512,Catalogue!A$4:A$85,0))*(1+'Paramètres'!$B$4*(C512-1)+'Paramètres'!$B$5*(C512-1)^2),0)</x:f>
        <x:v>9</x:v>
      </x:c>
      <x:c r="R512" t="n">
        <x:f>ROUND(INDEX(Catalogue!F$4:F$85,MATCH(A512,Catalogue!A$4:A$85,0))*(1+'Paramètres'!$B$4*(C512-1)+'Paramètres'!$B$5*(C512-1)^2),0)</x:f>
        <x:v>17</x:v>
      </x:c>
      <x:c r="S512" t="n">
        <x:f>L512-AVERAGE(Q512:R512)</x:f>
        <x:v>-0.5</x:v>
      </x:c>
      <x:c r="T512" t="str">
        <x:f>IF(M512=0,IF(AND(N512=0,O512=0,E512=0,F512=0),"OK","ERREUR"),IF(AND(M512&gt;=1,M512&lt;=32,OR(N512=4,N512=6,N512=8,N512=10,N512=12,N512=20),O512&gt;=0,E512=M512+O512,F512=M512*N512+O512),"OK","ERREUR"))</x:f>
        <x:v>OK</x:v>
      </x:c>
      <x:c r="U512" s="86" t="n">
        <x:f>IF(M512&gt;0,M512*(N512+1)/2+O512,0)</x:f>
        <x:v>12.5</x:v>
      </x:c>
      <x:c r="V512" t="str">
        <x:f>IF(ABS(L512-U512)&lt;0.001,"OK","ERREUR")</x:f>
        <x:v>OK</x:v>
      </x:c>
    </x:row>
    <x:row r="513" ht="18" customHeight="1">
      <x:c r="A513" t="str">
        <x:v>ARM026</x:v>
      </x:c>
      <x:c r="B513" t="str">
        <x:v>Sceptre de bataille</x:v>
      </x:c>
      <x:c r="C513" t="n">
        <x:v>10</x:v>
      </x:c>
      <x:c r="D513" t="str">
        <x:v>Une main</x:v>
      </x:c>
      <x:c r="E513" s="28" t="n">
        <x:f>IF(M513=0,0,M513+O513)</x:f>
        <x:v>10</x:v>
      </x:c>
      <x:c r="F513" s="28" t="n">
        <x:f>IF(M513=0,0,M513*N513+O513)</x:f>
        <x:v>20</x:v>
      </x:c>
      <x:c r="G513" s="28" t="n">
        <x:f>ROUND(Catalogue!G29*SQRT((1+'Paramètres'!$B$4*(C513-1)+'Paramètres'!$B$5*(C513-1)^2)),0)</x:f>
        <x:v>0</x:v>
      </x:c>
      <x:c r="H513" s="28" t="n">
        <x:f>ROUND(Catalogue!H29*SQRT((1+'Paramètres'!$B$4*(C513-1)+'Paramètres'!$B$5*(C513-1)^2)),0)</x:f>
        <x:v>0</x:v>
      </x:c>
      <x:c r="I513" s="28" t="n">
        <x:v>2</x:v>
      </x:c>
      <x:c r="J513" s="28" t="n">
        <x:v>1</x:v>
      </x:c>
      <x:c r="K513" s="30" t="n">
        <x:v>1.3</x:v>
      </x:c>
      <x:c r="L513" s="54" t="n">
        <x:f>IF(M513=0,0,(E513+F513)/2)</x:f>
        <x:v>15</x:v>
      </x:c>
      <x:c r="M513" t="n">
        <x:v>2</x:v>
      </x:c>
      <x:c r="N513" t="n">
        <x:v>6</x:v>
      </x:c>
      <x:c r="O513" t="n">
        <x:v>8</x:v>
      </x:c>
      <x:c r="P513" s="63" t="str">
        <x:f>IF(M513=0,"—",M513&amp;"d"&amp;N513&amp;IF(O513=0,""," + "&amp;O513))</x:f>
        <x:v>2d6 + 8</x:v>
      </x:c>
      <x:c r="Q513" t="n">
        <x:f>ROUND(INDEX(Catalogue!E$4:E$85,MATCH(A513,Catalogue!A$4:A$85,0))*(1+'Paramètres'!$B$4*(C513-1)+'Paramètres'!$B$5*(C513-1)^2),0)</x:f>
        <x:v>10</x:v>
      </x:c>
      <x:c r="R513" t="n">
        <x:f>ROUND(INDEX(Catalogue!F$4:F$85,MATCH(A513,Catalogue!A$4:A$85,0))*(1+'Paramètres'!$B$4*(C513-1)+'Paramètres'!$B$5*(C513-1)^2),0)</x:f>
        <x:v>20</x:v>
      </x:c>
      <x:c r="S513" t="n">
        <x:f>L513-AVERAGE(Q513:R513)</x:f>
        <x:v>0</x:v>
      </x:c>
      <x:c r="T513" t="str">
        <x:f>IF(M513=0,IF(AND(N513=0,O513=0,E513=0,F513=0),"OK","ERREUR"),IF(AND(M513&gt;=1,M513&lt;=32,OR(N513=4,N513=6,N513=8,N513=10,N513=12,N513=20),O513&gt;=0,E513=M513+O513,F513=M513*N513+O513),"OK","ERREUR"))</x:f>
        <x:v>OK</x:v>
      </x:c>
      <x:c r="U513" s="86" t="n">
        <x:f>IF(M513&gt;0,M513*(N513+1)/2+O513,0)</x:f>
        <x:v>15</x:v>
      </x:c>
      <x:c r="V513" t="str">
        <x:f>IF(ABS(L513-U513)&lt;0.001,"OK","ERREUR")</x:f>
        <x:v>OK</x:v>
      </x:c>
    </x:row>
    <x:row r="514" ht="18" customHeight="1">
      <x:c r="A514" t="str">
        <x:v>ARM026</x:v>
      </x:c>
      <x:c r="B514" t="str">
        <x:v>Sceptre de bataille</x:v>
      </x:c>
      <x:c r="C514" t="n">
        <x:v>11</x:v>
      </x:c>
      <x:c r="D514" t="str">
        <x:v>Une main</x:v>
      </x:c>
      <x:c r="E514" s="28" t="n">
        <x:f>IF(M514=0,0,M514+O514)</x:f>
        <x:v>11</x:v>
      </x:c>
      <x:c r="F514" s="28" t="n">
        <x:f>IF(M514=0,0,M514*N514+O514)</x:f>
        <x:v>22</x:v>
      </x:c>
      <x:c r="G514" s="28" t="n">
        <x:f>ROUND(Catalogue!G29*SQRT((1+'Paramètres'!$B$4*(C514-1)+'Paramètres'!$B$5*(C514-1)^2)),0)</x:f>
        <x:v>0</x:v>
      </x:c>
      <x:c r="H514" s="28" t="n">
        <x:f>ROUND(Catalogue!H29*SQRT((1+'Paramètres'!$B$4*(C514-1)+'Paramètres'!$B$5*(C514-1)^2)),0)</x:f>
        <x:v>0</x:v>
      </x:c>
      <x:c r="I514" s="28" t="n">
        <x:v>2</x:v>
      </x:c>
      <x:c r="J514" s="28" t="n">
        <x:v>1</x:v>
      </x:c>
      <x:c r="K514" s="30" t="n">
        <x:v>1.3</x:v>
      </x:c>
      <x:c r="L514" s="54" t="n">
        <x:f>IF(M514=0,0,(E514+F514)/2)</x:f>
        <x:v>16.5</x:v>
      </x:c>
      <x:c r="M514" t="n">
        <x:v>1</x:v>
      </x:c>
      <x:c r="N514" t="n">
        <x:v>12</x:v>
      </x:c>
      <x:c r="O514" t="n">
        <x:v>10</x:v>
      </x:c>
      <x:c r="P514" s="63" t="str">
        <x:f>IF(M514=0,"—",M514&amp;"d"&amp;N514&amp;IF(O514=0,""," + "&amp;O514))</x:f>
        <x:v>1d12 + 10</x:v>
      </x:c>
      <x:c r="Q514" t="n">
        <x:f>ROUND(INDEX(Catalogue!E$4:E$85,MATCH(A514,Catalogue!A$4:A$85,0))*(1+'Paramètres'!$B$4*(C514-1)+'Paramètres'!$B$5*(C514-1)^2),0)</x:f>
        <x:v>11</x:v>
      </x:c>
      <x:c r="R514" t="n">
        <x:f>ROUND(INDEX(Catalogue!F$4:F$85,MATCH(A514,Catalogue!A$4:A$85,0))*(1+'Paramètres'!$B$4*(C514-1)+'Paramètres'!$B$5*(C514-1)^2),0)</x:f>
        <x:v>22</x:v>
      </x:c>
      <x:c r="S514" t="n">
        <x:f>L514-AVERAGE(Q514:R514)</x:f>
        <x:v>0</x:v>
      </x:c>
      <x:c r="T514" t="str">
        <x:f>IF(M514=0,IF(AND(N514=0,O514=0,E514=0,F514=0),"OK","ERREUR"),IF(AND(M514&gt;=1,M514&lt;=32,OR(N514=4,N514=6,N514=8,N514=10,N514=12,N514=20),O514&gt;=0,E514=M514+O514,F514=M514*N514+O514),"OK","ERREUR"))</x:f>
        <x:v>OK</x:v>
      </x:c>
      <x:c r="U514" s="86" t="n">
        <x:f>IF(M514&gt;0,M514*(N514+1)/2+O514,0)</x:f>
        <x:v>16.5</x:v>
      </x:c>
      <x:c r="V514" t="str">
        <x:f>IF(ABS(L514-U514)&lt;0.001,"OK","ERREUR")</x:f>
        <x:v>OK</x:v>
      </x:c>
    </x:row>
    <x:row r="515" ht="18" customHeight="1">
      <x:c r="A515" t="str">
        <x:v>ARM026</x:v>
      </x:c>
      <x:c r="B515" t="str">
        <x:v>Sceptre de bataille</x:v>
      </x:c>
      <x:c r="C515" t="n">
        <x:v>12</x:v>
      </x:c>
      <x:c r="D515" t="str">
        <x:v>Une main</x:v>
      </x:c>
      <x:c r="E515" s="28" t="n">
        <x:f>IF(M515=0,0,M515+O515)</x:f>
        <x:v>11</x:v>
      </x:c>
      <x:c r="F515" s="28" t="n">
        <x:f>IF(M515=0,0,M515*N515+O515)</x:f>
        <x:v>25</x:v>
      </x:c>
      <x:c r="G515" s="28" t="n">
        <x:f>ROUND(Catalogue!G29*SQRT((1+'Paramètres'!$B$4*(C515-1)+'Paramètres'!$B$5*(C515-1)^2)),0)</x:f>
        <x:v>0</x:v>
      </x:c>
      <x:c r="H515" s="28" t="n">
        <x:f>ROUND(Catalogue!H29*SQRT((1+'Paramètres'!$B$4*(C515-1)+'Paramètres'!$B$5*(C515-1)^2)),0)</x:f>
        <x:v>0</x:v>
      </x:c>
      <x:c r="I515" s="28" t="n">
        <x:v>2</x:v>
      </x:c>
      <x:c r="J515" s="28" t="n">
        <x:v>1</x:v>
      </x:c>
      <x:c r="K515" s="30" t="n">
        <x:v>1.3</x:v>
      </x:c>
      <x:c r="L515" s="54" t="n">
        <x:f>IF(M515=0,0,(E515+F515)/2)</x:f>
        <x:v>18</x:v>
      </x:c>
      <x:c r="M515" t="n">
        <x:v>2</x:v>
      </x:c>
      <x:c r="N515" t="n">
        <x:v>8</x:v>
      </x:c>
      <x:c r="O515" t="n">
        <x:v>9</x:v>
      </x:c>
      <x:c r="P515" s="63" t="str">
        <x:f>IF(M515=0,"—",M515&amp;"d"&amp;N515&amp;IF(O515=0,""," + "&amp;O515))</x:f>
        <x:v>2d8 + 9</x:v>
      </x:c>
      <x:c r="Q515" t="n">
        <x:f>ROUND(INDEX(Catalogue!E$4:E$85,MATCH(A515,Catalogue!A$4:A$85,0))*(1+'Paramètres'!$B$4*(C515-1)+'Paramètres'!$B$5*(C515-1)^2),0)</x:f>
        <x:v>12</x:v>
      </x:c>
      <x:c r="R515" t="n">
        <x:f>ROUND(INDEX(Catalogue!F$4:F$85,MATCH(A515,Catalogue!A$4:A$85,0))*(1+'Paramètres'!$B$4*(C515-1)+'Paramètres'!$B$5*(C515-1)^2),0)</x:f>
        <x:v>25</x:v>
      </x:c>
      <x:c r="S515" t="n">
        <x:f>L515-AVERAGE(Q515:R515)</x:f>
        <x:v>-0.5</x:v>
      </x:c>
      <x:c r="T515" t="str">
        <x:f>IF(M515=0,IF(AND(N515=0,O515=0,E515=0,F515=0),"OK","ERREUR"),IF(AND(M515&gt;=1,M515&lt;=32,OR(N515=4,N515=6,N515=8,N515=10,N515=12,N515=20),O515&gt;=0,E515=M515+O515,F515=M515*N515+O515),"OK","ERREUR"))</x:f>
        <x:v>OK</x:v>
      </x:c>
      <x:c r="U515" s="86" t="n">
        <x:f>IF(M515&gt;0,M515*(N515+1)/2+O515,0)</x:f>
        <x:v>18</x:v>
      </x:c>
      <x:c r="V515" t="str">
        <x:f>IF(ABS(L515-U515)&lt;0.001,"OK","ERREUR")</x:f>
        <x:v>OK</x:v>
      </x:c>
    </x:row>
    <x:row r="516" ht="18" customHeight="1">
      <x:c r="A516" t="str">
        <x:v>ARM026</x:v>
      </x:c>
      <x:c r="B516" t="str">
        <x:v>Sceptre de bataille</x:v>
      </x:c>
      <x:c r="C516" t="n">
        <x:v>13</x:v>
      </x:c>
      <x:c r="D516" t="str">
        <x:v>Une main</x:v>
      </x:c>
      <x:c r="E516" s="28" t="n">
        <x:f>IF(M516=0,0,M516+O516)</x:f>
        <x:v>14</x:v>
      </x:c>
      <x:c r="F516" s="28" t="n">
        <x:f>IF(M516=0,0,M516*N516+O516)</x:f>
        <x:v>28</x:v>
      </x:c>
      <x:c r="G516" s="28" t="n">
        <x:f>ROUND(Catalogue!G29*SQRT((1+'Paramètres'!$B$4*(C516-1)+'Paramètres'!$B$5*(C516-1)^2)),0)</x:f>
        <x:v>0</x:v>
      </x:c>
      <x:c r="H516" s="28" t="n">
        <x:f>ROUND(Catalogue!H29*SQRT((1+'Paramètres'!$B$4*(C516-1)+'Paramètres'!$B$5*(C516-1)^2)),0)</x:f>
        <x:v>0</x:v>
      </x:c>
      <x:c r="I516" s="28" t="n">
        <x:v>2</x:v>
      </x:c>
      <x:c r="J516" s="28" t="n">
        <x:v>1</x:v>
      </x:c>
      <x:c r="K516" s="30" t="n">
        <x:v>1.3</x:v>
      </x:c>
      <x:c r="L516" s="54" t="n">
        <x:f>IF(M516=0,0,(E516+F516)/2)</x:f>
        <x:v>21</x:v>
      </x:c>
      <x:c r="M516" t="n">
        <x:v>2</x:v>
      </x:c>
      <x:c r="N516" t="n">
        <x:v>8</x:v>
      </x:c>
      <x:c r="O516" t="n">
        <x:v>12</x:v>
      </x:c>
      <x:c r="P516" s="63" t="str">
        <x:f>IF(M516=0,"—",M516&amp;"d"&amp;N516&amp;IF(O516=0,""," + "&amp;O516))</x:f>
        <x:v>2d8 + 12</x:v>
      </x:c>
      <x:c r="Q516" t="n">
        <x:f>ROUND(INDEX(Catalogue!E$4:E$85,MATCH(A516,Catalogue!A$4:A$85,0))*(1+'Paramètres'!$B$4*(C516-1)+'Paramètres'!$B$5*(C516-1)^2),0)</x:f>
        <x:v>14</x:v>
      </x:c>
      <x:c r="R516" t="n">
        <x:f>ROUND(INDEX(Catalogue!F$4:F$85,MATCH(A516,Catalogue!A$4:A$85,0))*(1+'Paramètres'!$B$4*(C516-1)+'Paramètres'!$B$5*(C516-1)^2),0)</x:f>
        <x:v>28</x:v>
      </x:c>
      <x:c r="S516" t="n">
        <x:f>L516-AVERAGE(Q516:R516)</x:f>
        <x:v>0</x:v>
      </x:c>
      <x:c r="T516" t="str">
        <x:f>IF(M516=0,IF(AND(N516=0,O516=0,E516=0,F516=0),"OK","ERREUR"),IF(AND(M516&gt;=1,M516&lt;=32,OR(N516=4,N516=6,N516=8,N516=10,N516=12,N516=20),O516&gt;=0,E516=M516+O516,F516=M516*N516+O516),"OK","ERREUR"))</x:f>
        <x:v>OK</x:v>
      </x:c>
      <x:c r="U516" s="86" t="n">
        <x:f>IF(M516&gt;0,M516*(N516+1)/2+O516,0)</x:f>
        <x:v>21</x:v>
      </x:c>
      <x:c r="V516" t="str">
        <x:f>IF(ABS(L516-U516)&lt;0.001,"OK","ERREUR")</x:f>
        <x:v>OK</x:v>
      </x:c>
    </x:row>
    <x:row r="517" ht="18" customHeight="1">
      <x:c r="A517" t="str">
        <x:v>ARM026</x:v>
      </x:c>
      <x:c r="B517" t="str">
        <x:v>Sceptre de bataille</x:v>
      </x:c>
      <x:c r="C517" t="n">
        <x:v>14</x:v>
      </x:c>
      <x:c r="D517" t="str">
        <x:v>Une main</x:v>
      </x:c>
      <x:c r="E517" s="28" t="n">
        <x:f>IF(M517=0,0,M517+O517)</x:f>
        <x:v>15</x:v>
      </x:c>
      <x:c r="F517" s="28" t="n">
        <x:f>IF(M517=0,0,M517*N517+O517)</x:f>
        <x:v>30</x:v>
      </x:c>
      <x:c r="G517" s="28" t="n">
        <x:f>ROUND(Catalogue!G29*SQRT((1+'Paramètres'!$B$4*(C517-1)+'Paramètres'!$B$5*(C517-1)^2)),0)</x:f>
        <x:v>0</x:v>
      </x:c>
      <x:c r="H517" s="28" t="n">
        <x:f>ROUND(Catalogue!H29*SQRT((1+'Paramètres'!$B$4*(C517-1)+'Paramètres'!$B$5*(C517-1)^2)),0)</x:f>
        <x:v>0</x:v>
      </x:c>
      <x:c r="I517" s="28" t="n">
        <x:v>2</x:v>
      </x:c>
      <x:c r="J517" s="28" t="n">
        <x:v>1</x:v>
      </x:c>
      <x:c r="K517" s="30" t="n">
        <x:v>1.3</x:v>
      </x:c>
      <x:c r="L517" s="54" t="n">
        <x:f>IF(M517=0,0,(E517+F517)/2)</x:f>
        <x:v>22.5</x:v>
      </x:c>
      <x:c r="M517" t="n">
        <x:v>3</x:v>
      </x:c>
      <x:c r="N517" t="n">
        <x:v>6</x:v>
      </x:c>
      <x:c r="O517" t="n">
        <x:v>12</x:v>
      </x:c>
      <x:c r="P517" s="63" t="str">
        <x:f>IF(M517=0,"—",M517&amp;"d"&amp;N517&amp;IF(O517=0,""," + "&amp;O517))</x:f>
        <x:v>3d6 + 12</x:v>
      </x:c>
      <x:c r="Q517" t="n">
        <x:f>ROUND(INDEX(Catalogue!E$4:E$85,MATCH(A517,Catalogue!A$4:A$85,0))*(1+'Paramètres'!$B$4*(C517-1)+'Paramètres'!$B$5*(C517-1)^2),0)</x:f>
        <x:v>15</x:v>
      </x:c>
      <x:c r="R517" t="n">
        <x:f>ROUND(INDEX(Catalogue!F$4:F$85,MATCH(A517,Catalogue!A$4:A$85,0))*(1+'Paramètres'!$B$4*(C517-1)+'Paramètres'!$B$5*(C517-1)^2),0)</x:f>
        <x:v>31</x:v>
      </x:c>
      <x:c r="S517" t="n">
        <x:f>L517-AVERAGE(Q517:R517)</x:f>
        <x:v>-0.5</x:v>
      </x:c>
      <x:c r="T517" t="str">
        <x:f>IF(M517=0,IF(AND(N517=0,O517=0,E517=0,F517=0),"OK","ERREUR"),IF(AND(M517&gt;=1,M517&lt;=32,OR(N517=4,N517=6,N517=8,N517=10,N517=12,N517=20),O517&gt;=0,E517=M517+O517,F517=M517*N517+O517),"OK","ERREUR"))</x:f>
        <x:v>OK</x:v>
      </x:c>
      <x:c r="U517" s="86" t="n">
        <x:f>IF(M517&gt;0,M517*(N517+1)/2+O517,0)</x:f>
        <x:v>22.5</x:v>
      </x:c>
      <x:c r="V517" t="str">
        <x:f>IF(ABS(L517-U517)&lt;0.001,"OK","ERREUR")</x:f>
        <x:v>OK</x:v>
      </x:c>
    </x:row>
    <x:row r="518" ht="18" customHeight="1">
      <x:c r="A518" t="str">
        <x:v>ARM026</x:v>
      </x:c>
      <x:c r="B518" t="str">
        <x:v>Sceptre de bataille</x:v>
      </x:c>
      <x:c r="C518" t="n">
        <x:v>15</x:v>
      </x:c>
      <x:c r="D518" t="str">
        <x:v>Une main</x:v>
      </x:c>
      <x:c r="E518" s="28" t="n">
        <x:f>IF(M518=0,0,M518+O518)</x:f>
        <x:v>16</x:v>
      </x:c>
      <x:c r="F518" s="28" t="n">
        <x:f>IF(M518=0,0,M518*N518+O518)</x:f>
        <x:v>34</x:v>
      </x:c>
      <x:c r="G518" s="28" t="n">
        <x:f>ROUND(Catalogue!G29*SQRT((1+'Paramètres'!$B$4*(C518-1)+'Paramètres'!$B$5*(C518-1)^2)),0)</x:f>
        <x:v>0</x:v>
      </x:c>
      <x:c r="H518" s="28" t="n">
        <x:f>ROUND(Catalogue!H29*SQRT((1+'Paramètres'!$B$4*(C518-1)+'Paramètres'!$B$5*(C518-1)^2)),0)</x:f>
        <x:v>0</x:v>
      </x:c>
      <x:c r="I518" s="28" t="n">
        <x:v>2</x:v>
      </x:c>
      <x:c r="J518" s="28" t="n">
        <x:v>1</x:v>
      </x:c>
      <x:c r="K518" s="30" t="n">
        <x:v>1.3</x:v>
      </x:c>
      <x:c r="L518" s="54" t="n">
        <x:f>IF(M518=0,0,(E518+F518)/2)</x:f>
        <x:v>25</x:v>
      </x:c>
      <x:c r="M518" t="n">
        <x:v>2</x:v>
      </x:c>
      <x:c r="N518" t="n">
        <x:v>10</x:v>
      </x:c>
      <x:c r="O518" t="n">
        <x:v>14</x:v>
      </x:c>
      <x:c r="P518" s="63" t="str">
        <x:f>IF(M518=0,"—",M518&amp;"d"&amp;N518&amp;IF(O518=0,""," + "&amp;O518))</x:f>
        <x:v>2d10 + 14</x:v>
      </x:c>
      <x:c r="Q518" t="n">
        <x:f>ROUND(INDEX(Catalogue!E$4:E$85,MATCH(A518,Catalogue!A$4:A$85,0))*(1+'Paramètres'!$B$4*(C518-1)+'Paramètres'!$B$5*(C518-1)^2),0)</x:f>
        <x:v>17</x:v>
      </x:c>
      <x:c r="R518" t="n">
        <x:f>ROUND(INDEX(Catalogue!F$4:F$85,MATCH(A518,Catalogue!A$4:A$85,0))*(1+'Paramètres'!$B$4*(C518-1)+'Paramètres'!$B$5*(C518-1)^2),0)</x:f>
        <x:v>34</x:v>
      </x:c>
      <x:c r="S518" t="n">
        <x:f>L518-AVERAGE(Q518:R518)</x:f>
        <x:v>-0.5</x:v>
      </x:c>
      <x:c r="T518" t="str">
        <x:f>IF(M518=0,IF(AND(N518=0,O518=0,E518=0,F518=0),"OK","ERREUR"),IF(AND(M518&gt;=1,M518&lt;=32,OR(N518=4,N518=6,N518=8,N518=10,N518=12,N518=20),O518&gt;=0,E518=M518+O518,F518=M518*N518+O518),"OK","ERREUR"))</x:f>
        <x:v>OK</x:v>
      </x:c>
      <x:c r="U518" s="86" t="n">
        <x:f>IF(M518&gt;0,M518*(N518+1)/2+O518,0)</x:f>
        <x:v>25</x:v>
      </x:c>
      <x:c r="V518" t="str">
        <x:f>IF(ABS(L518-U518)&lt;0.001,"OK","ERREUR")</x:f>
        <x:v>OK</x:v>
      </x:c>
    </x:row>
    <x:row r="519" ht="18" customHeight="1">
      <x:c r="A519" t="str">
        <x:v>ARM026</x:v>
      </x:c>
      <x:c r="B519" t="str">
        <x:v>Sceptre de bataille</x:v>
      </x:c>
      <x:c r="C519" t="n">
        <x:v>16</x:v>
      </x:c>
      <x:c r="D519" t="str">
        <x:v>Une main</x:v>
      </x:c>
      <x:c r="E519" s="28" t="n">
        <x:f>IF(M519=0,0,M519+O519)</x:f>
        <x:v>19</x:v>
      </x:c>
      <x:c r="F519" s="28" t="n">
        <x:f>IF(M519=0,0,M519*N519+O519)</x:f>
        <x:v>37</x:v>
      </x:c>
      <x:c r="G519" s="28" t="n">
        <x:f>ROUND(Catalogue!G29*SQRT((1+'Paramètres'!$B$4*(C519-1)+'Paramètres'!$B$5*(C519-1)^2)),0)</x:f>
        <x:v>0</x:v>
      </x:c>
      <x:c r="H519" s="28" t="n">
        <x:f>ROUND(Catalogue!H29*SQRT((1+'Paramètres'!$B$4*(C519-1)+'Paramètres'!$B$5*(C519-1)^2)),0)</x:f>
        <x:v>0</x:v>
      </x:c>
      <x:c r="I519" s="28" t="n">
        <x:v>2</x:v>
      </x:c>
      <x:c r="J519" s="28" t="n">
        <x:v>1</x:v>
      </x:c>
      <x:c r="K519" s="30" t="n">
        <x:v>1.3</x:v>
      </x:c>
      <x:c r="L519" s="54" t="n">
        <x:f>IF(M519=0,0,(E519+F519)/2)</x:f>
        <x:v>28</x:v>
      </x:c>
      <x:c r="M519" t="n">
        <x:v>2</x:v>
      </x:c>
      <x:c r="N519" t="n">
        <x:v>10</x:v>
      </x:c>
      <x:c r="O519" t="n">
        <x:v>17</x:v>
      </x:c>
      <x:c r="P519" s="63" t="str">
        <x:f>IF(M519=0,"—",M519&amp;"d"&amp;N519&amp;IF(O519=0,""," + "&amp;O519))</x:f>
        <x:v>2d10 + 17</x:v>
      </x:c>
      <x:c r="Q519" t="n">
        <x:f>ROUND(INDEX(Catalogue!E$4:E$85,MATCH(A519,Catalogue!A$4:A$85,0))*(1+'Paramètres'!$B$4*(C519-1)+'Paramètres'!$B$5*(C519-1)^2),0)</x:f>
        <x:v>19</x:v>
      </x:c>
      <x:c r="R519" t="n">
        <x:f>ROUND(INDEX(Catalogue!F$4:F$85,MATCH(A519,Catalogue!A$4:A$85,0))*(1+'Paramètres'!$B$4*(C519-1)+'Paramètres'!$B$5*(C519-1)^2),0)</x:f>
        <x:v>38</x:v>
      </x:c>
      <x:c r="S519" t="n">
        <x:f>L519-AVERAGE(Q519:R519)</x:f>
        <x:v>-0.5</x:v>
      </x:c>
      <x:c r="T519" t="str">
        <x:f>IF(M519=0,IF(AND(N519=0,O519=0,E519=0,F519=0),"OK","ERREUR"),IF(AND(M519&gt;=1,M519&lt;=32,OR(N519=4,N519=6,N519=8,N519=10,N519=12,N519=20),O519&gt;=0,E519=M519+O519,F519=M519*N519+O519),"OK","ERREUR"))</x:f>
        <x:v>OK</x:v>
      </x:c>
      <x:c r="U519" s="86" t="n">
        <x:f>IF(M519&gt;0,M519*(N519+1)/2+O519,0)</x:f>
        <x:v>28</x:v>
      </x:c>
      <x:c r="V519" t="str">
        <x:f>IF(ABS(L519-U519)&lt;0.001,"OK","ERREUR")</x:f>
        <x:v>OK</x:v>
      </x:c>
    </x:row>
    <x:row r="520" ht="18" customHeight="1">
      <x:c r="A520" t="str">
        <x:v>ARM026</x:v>
      </x:c>
      <x:c r="B520" t="str">
        <x:v>Sceptre de bataille</x:v>
      </x:c>
      <x:c r="C520" t="n">
        <x:v>17</x:v>
      </x:c>
      <x:c r="D520" t="str">
        <x:v>Une main</x:v>
      </x:c>
      <x:c r="E520" s="28" t="n">
        <x:f>IF(M520=0,0,M520+O520)</x:f>
        <x:v>21</x:v>
      </x:c>
      <x:c r="F520" s="28" t="n">
        <x:f>IF(M520=0,0,M520*N520+O520)</x:f>
        <x:v>41</x:v>
      </x:c>
      <x:c r="G520" s="28" t="n">
        <x:f>ROUND(Catalogue!G29*SQRT((1+'Paramètres'!$B$4*(C520-1)+'Paramètres'!$B$5*(C520-1)^2)),0)</x:f>
        <x:v>0</x:v>
      </x:c>
      <x:c r="H520" s="28" t="n">
        <x:f>ROUND(Catalogue!H29*SQRT((1+'Paramètres'!$B$4*(C520-1)+'Paramètres'!$B$5*(C520-1)^2)),0)</x:f>
        <x:v>0</x:v>
      </x:c>
      <x:c r="I520" s="28" t="n">
        <x:v>2</x:v>
      </x:c>
      <x:c r="J520" s="28" t="n">
        <x:v>1</x:v>
      </x:c>
      <x:c r="K520" s="30" t="n">
        <x:v>1.3</x:v>
      </x:c>
      <x:c r="L520" s="54" t="n">
        <x:f>IF(M520=0,0,(E520+F520)/2)</x:f>
        <x:v>31</x:v>
      </x:c>
      <x:c r="M520" t="n">
        <x:v>4</x:v>
      </x:c>
      <x:c r="N520" t="n">
        <x:v>6</x:v>
      </x:c>
      <x:c r="O520" t="n">
        <x:v>17</x:v>
      </x:c>
      <x:c r="P520" s="63" t="str">
        <x:f>IF(M520=0,"—",M520&amp;"d"&amp;N520&amp;IF(O520=0,""," + "&amp;O520))</x:f>
        <x:v>4d6 + 17</x:v>
      </x:c>
      <x:c r="Q520" t="n">
        <x:f>ROUND(INDEX(Catalogue!E$4:E$85,MATCH(A520,Catalogue!A$4:A$85,0))*(1+'Paramètres'!$B$4*(C520-1)+'Paramètres'!$B$5*(C520-1)^2),0)</x:f>
        <x:v>21</x:v>
      </x:c>
      <x:c r="R520" t="n">
        <x:f>ROUND(INDEX(Catalogue!F$4:F$85,MATCH(A520,Catalogue!A$4:A$85,0))*(1+'Paramètres'!$B$4*(C520-1)+'Paramètres'!$B$5*(C520-1)^2),0)</x:f>
        <x:v>41</x:v>
      </x:c>
      <x:c r="S520" t="n">
        <x:f>L520-AVERAGE(Q520:R520)</x:f>
        <x:v>0</x:v>
      </x:c>
      <x:c r="T520" t="str">
        <x:f>IF(M520=0,IF(AND(N520=0,O520=0,E520=0,F520=0),"OK","ERREUR"),IF(AND(M520&gt;=1,M520&lt;=32,OR(N520=4,N520=6,N520=8,N520=10,N520=12,N520=20),O520&gt;=0,E520=M520+O520,F520=M520*N520+O520),"OK","ERREUR"))</x:f>
        <x:v>OK</x:v>
      </x:c>
      <x:c r="U520" s="86" t="n">
        <x:f>IF(M520&gt;0,M520*(N520+1)/2+O520,0)</x:f>
        <x:v>31</x:v>
      </x:c>
      <x:c r="V520" t="str">
        <x:f>IF(ABS(L520-U520)&lt;0.001,"OK","ERREUR")</x:f>
        <x:v>OK</x:v>
      </x:c>
    </x:row>
    <x:row r="521" ht="18" customHeight="1">
      <x:c r="A521" t="str">
        <x:v>ARM026</x:v>
      </x:c>
      <x:c r="B521" t="str">
        <x:v>Sceptre de bataille</x:v>
      </x:c>
      <x:c r="C521" t="n">
        <x:v>18</x:v>
      </x:c>
      <x:c r="D521" t="str">
        <x:v>Une main</x:v>
      </x:c>
      <x:c r="E521" s="28" t="n">
        <x:f>IF(M521=0,0,M521+O521)</x:f>
        <x:v>22</x:v>
      </x:c>
      <x:c r="F521" s="28" t="n">
        <x:f>IF(M521=0,0,M521*N521+O521)</x:f>
        <x:v>44</x:v>
      </x:c>
      <x:c r="G521" s="28" t="n">
        <x:f>ROUND(Catalogue!G29*SQRT((1+'Paramètres'!$B$4*(C521-1)+'Paramètres'!$B$5*(C521-1)^2)),0)</x:f>
        <x:v>0</x:v>
      </x:c>
      <x:c r="H521" s="28" t="n">
        <x:f>ROUND(Catalogue!H29*SQRT((1+'Paramètres'!$B$4*(C521-1)+'Paramètres'!$B$5*(C521-1)^2)),0)</x:f>
        <x:v>0</x:v>
      </x:c>
      <x:c r="I521" s="28" t="n">
        <x:v>2</x:v>
      </x:c>
      <x:c r="J521" s="28" t="n">
        <x:v>1</x:v>
      </x:c>
      <x:c r="K521" s="30" t="n">
        <x:v>1.3</x:v>
      </x:c>
      <x:c r="L521" s="54" t="n">
        <x:f>IF(M521=0,0,(E521+F521)/2)</x:f>
        <x:v>33</x:v>
      </x:c>
      <x:c r="M521" t="n">
        <x:v>2</x:v>
      </x:c>
      <x:c r="N521" t="n">
        <x:v>12</x:v>
      </x:c>
      <x:c r="O521" t="n">
        <x:v>20</x:v>
      </x:c>
      <x:c r="P521" s="63" t="str">
        <x:f>IF(M521=0,"—",M521&amp;"d"&amp;N521&amp;IF(O521=0,""," + "&amp;O521))</x:f>
        <x:v>2d12 + 20</x:v>
      </x:c>
      <x:c r="Q521" t="n">
        <x:f>ROUND(INDEX(Catalogue!E$4:E$85,MATCH(A521,Catalogue!A$4:A$85,0))*(1+'Paramètres'!$B$4*(C521-1)+'Paramètres'!$B$5*(C521-1)^2),0)</x:f>
        <x:v>22</x:v>
      </x:c>
      <x:c r="R521" t="n">
        <x:f>ROUND(INDEX(Catalogue!F$4:F$85,MATCH(A521,Catalogue!A$4:A$85,0))*(1+'Paramètres'!$B$4*(C521-1)+'Paramètres'!$B$5*(C521-1)^2),0)</x:f>
        <x:v>45</x:v>
      </x:c>
      <x:c r="S521" t="n">
        <x:f>L521-AVERAGE(Q521:R521)</x:f>
        <x:v>-0.5</x:v>
      </x:c>
      <x:c r="T521" t="str">
        <x:f>IF(M521=0,IF(AND(N521=0,O521=0,E521=0,F521=0),"OK","ERREUR"),IF(AND(M521&gt;=1,M521&lt;=32,OR(N521=4,N521=6,N521=8,N521=10,N521=12,N521=20),O521&gt;=0,E521=M521+O521,F521=M521*N521+O521),"OK","ERREUR"))</x:f>
        <x:v>OK</x:v>
      </x:c>
      <x:c r="U521" s="86" t="n">
        <x:f>IF(M521&gt;0,M521*(N521+1)/2+O521,0)</x:f>
        <x:v>33</x:v>
      </x:c>
      <x:c r="V521" t="str">
        <x:f>IF(ABS(L521-U521)&lt;0.001,"OK","ERREUR")</x:f>
        <x:v>OK</x:v>
      </x:c>
    </x:row>
    <x:row r="522" ht="18" customHeight="1">
      <x:c r="A522" t="str">
        <x:v>ARM026</x:v>
      </x:c>
      <x:c r="B522" t="str">
        <x:v>Sceptre de bataille</x:v>
      </x:c>
      <x:c r="C522" t="n">
        <x:v>19</x:v>
      </x:c>
      <x:c r="D522" t="str">
        <x:v>Une main</x:v>
      </x:c>
      <x:c r="E522" s="28" t="n">
        <x:f>IF(M522=0,0,M522+O522)</x:f>
        <x:v>24</x:v>
      </x:c>
      <x:c r="F522" s="28" t="n">
        <x:f>IF(M522=0,0,M522*N522+O522)</x:f>
        <x:v>49</x:v>
      </x:c>
      <x:c r="G522" s="28" t="n">
        <x:f>ROUND(Catalogue!G29*SQRT((1+'Paramètres'!$B$4*(C522-1)+'Paramètres'!$B$5*(C522-1)^2)),0)</x:f>
        <x:v>0</x:v>
      </x:c>
      <x:c r="H522" s="28" t="n">
        <x:f>ROUND(Catalogue!H29*SQRT((1+'Paramètres'!$B$4*(C522-1)+'Paramètres'!$B$5*(C522-1)^2)),0)</x:f>
        <x:v>0</x:v>
      </x:c>
      <x:c r="I522" s="28" t="n">
        <x:v>2</x:v>
      </x:c>
      <x:c r="J522" s="28" t="n">
        <x:v>1</x:v>
      </x:c>
      <x:c r="K522" s="30" t="n">
        <x:v>1.3</x:v>
      </x:c>
      <x:c r="L522" s="54" t="n">
        <x:f>IF(M522=0,0,(E522+F522)/2)</x:f>
        <x:v>36.5</x:v>
      </x:c>
      <x:c r="M522" t="n">
        <x:v>5</x:v>
      </x:c>
      <x:c r="N522" t="n">
        <x:v>6</x:v>
      </x:c>
      <x:c r="O522" t="n">
        <x:v>19</x:v>
      </x:c>
      <x:c r="P522" s="63" t="str">
        <x:f>IF(M522=0,"—",M522&amp;"d"&amp;N522&amp;IF(O522=0,""," + "&amp;O522))</x:f>
        <x:v>5d6 + 19</x:v>
      </x:c>
      <x:c r="Q522" t="n">
        <x:f>ROUND(INDEX(Catalogue!E$4:E$85,MATCH(A522,Catalogue!A$4:A$85,0))*(1+'Paramètres'!$B$4*(C522-1)+'Paramètres'!$B$5*(C522-1)^2),0)</x:f>
        <x:v>24</x:v>
      </x:c>
      <x:c r="R522" t="n">
        <x:f>ROUND(INDEX(Catalogue!F$4:F$85,MATCH(A522,Catalogue!A$4:A$85,0))*(1+'Paramètres'!$B$4*(C522-1)+'Paramètres'!$B$5*(C522-1)^2),0)</x:f>
        <x:v>49</x:v>
      </x:c>
      <x:c r="S522" t="n">
        <x:f>L522-AVERAGE(Q522:R522)</x:f>
        <x:v>0</x:v>
      </x:c>
      <x:c r="T522" t="str">
        <x:f>IF(M522=0,IF(AND(N522=0,O522=0,E522=0,F522=0),"OK","ERREUR"),IF(AND(M522&gt;=1,M522&lt;=32,OR(N522=4,N522=6,N522=8,N522=10,N522=12,N522=20),O522&gt;=0,E522=M522+O522,F522=M522*N522+O522),"OK","ERREUR"))</x:f>
        <x:v>OK</x:v>
      </x:c>
      <x:c r="U522" s="86" t="n">
        <x:f>IF(M522&gt;0,M522*(N522+1)/2+O522,0)</x:f>
        <x:v>36.5</x:v>
      </x:c>
      <x:c r="V522" t="str">
        <x:f>IF(ABS(L522-U522)&lt;0.001,"OK","ERREUR")</x:f>
        <x:v>OK</x:v>
      </x:c>
    </x:row>
    <x:row r="523" ht="18" customHeight="1">
      <x:c r="A523" t="str">
        <x:v>ARM026</x:v>
      </x:c>
      <x:c r="B523" t="str">
        <x:v>Sceptre de bataille</x:v>
      </x:c>
      <x:c r="C523" t="n">
        <x:v>20</x:v>
      </x:c>
      <x:c r="D523" t="str">
        <x:v>Une main</x:v>
      </x:c>
      <x:c r="E523" s="28" t="n">
        <x:f>IF(M523=0,0,M523+O523)</x:f>
        <x:v>27</x:v>
      </x:c>
      <x:c r="F523" s="28" t="n">
        <x:f>IF(M523=0,0,M523*N523+O523)</x:f>
        <x:v>54</x:v>
      </x:c>
      <x:c r="G523" s="28" t="n">
        <x:f>ROUND(Catalogue!G29*SQRT((1+'Paramètres'!$B$4*(C523-1)+'Paramètres'!$B$5*(C523-1)^2)),0)</x:f>
        <x:v>0</x:v>
      </x:c>
      <x:c r="H523" s="28" t="n">
        <x:f>ROUND(Catalogue!H29*SQRT((1+'Paramètres'!$B$4*(C523-1)+'Paramètres'!$B$5*(C523-1)^2)),0)</x:f>
        <x:v>0</x:v>
      </x:c>
      <x:c r="I523" s="28" t="n">
        <x:v>2</x:v>
      </x:c>
      <x:c r="J523" s="28" t="n">
        <x:v>1</x:v>
      </x:c>
      <x:c r="K523" s="30" t="n">
        <x:v>1.3</x:v>
      </x:c>
      <x:c r="L523" s="54" t="n">
        <x:f>IF(M523=0,0,(E523+F523)/2)</x:f>
        <x:v>40.5</x:v>
      </x:c>
      <x:c r="M523" t="n">
        <x:v>3</x:v>
      </x:c>
      <x:c r="N523" t="n">
        <x:v>10</x:v>
      </x:c>
      <x:c r="O523" t="n">
        <x:v>24</x:v>
      </x:c>
      <x:c r="P523" s="63" t="str">
        <x:f>IF(M523=0,"—",M523&amp;"d"&amp;N523&amp;IF(O523=0,""," + "&amp;O523))</x:f>
        <x:v>3d10 + 24</x:v>
      </x:c>
      <x:c r="Q523" t="n">
        <x:f>ROUND(INDEX(Catalogue!E$4:E$85,MATCH(A523,Catalogue!A$4:A$85,0))*(1+'Paramètres'!$B$4*(C523-1)+'Paramètres'!$B$5*(C523-1)^2),0)</x:f>
        <x:v>27</x:v>
      </x:c>
      <x:c r="R523" t="n">
        <x:f>ROUND(INDEX(Catalogue!F$4:F$85,MATCH(A523,Catalogue!A$4:A$85,0))*(1+'Paramètres'!$B$4*(C523-1)+'Paramètres'!$B$5*(C523-1)^2),0)</x:f>
        <x:v>53</x:v>
      </x:c>
      <x:c r="S523" t="n">
        <x:f>L523-AVERAGE(Q523:R523)</x:f>
        <x:v>0.5</x:v>
      </x:c>
      <x:c r="T523" t="str">
        <x:f>IF(M523=0,IF(AND(N523=0,O523=0,E523=0,F523=0),"OK","ERREUR"),IF(AND(M523&gt;=1,M523&lt;=32,OR(N523=4,N523=6,N523=8,N523=10,N523=12,N523=20),O523&gt;=0,E523=M523+O523,F523=M523*N523+O523),"OK","ERREUR"))</x:f>
        <x:v>OK</x:v>
      </x:c>
      <x:c r="U523" s="86" t="n">
        <x:f>IF(M523&gt;0,M523*(N523+1)/2+O523,0)</x:f>
        <x:v>40.5</x:v>
      </x:c>
      <x:c r="V523" t="str">
        <x:f>IF(ABS(L523-U523)&lt;0.001,"OK","ERREUR")</x:f>
        <x:v>OK</x:v>
      </x:c>
    </x:row>
    <x:row r="524" ht="18" customHeight="1">
      <x:c r="A524" t="str">
        <x:v>ARM027</x:v>
      </x:c>
      <x:c r="B524" t="str">
        <x:v>Grande épée</x:v>
      </x:c>
      <x:c r="C524" t="n">
        <x:v>1</x:v>
      </x:c>
      <x:c r="D524" t="str">
        <x:v>Deux mains</x:v>
      </x:c>
      <x:c r="E524" s="28" t="n">
        <x:f>IF(M524=0,0,M524+O524)</x:f>
        <x:v>6</x:v>
      </x:c>
      <x:c r="F524" s="28" t="n">
        <x:f>IF(M524=0,0,M524*N524+O524)</x:f>
        <x:v>11</x:v>
      </x:c>
      <x:c r="G524" s="28" t="n">
        <x:f>ROUND(Catalogue!G30*SQRT((1+'Paramètres'!$B$4*(C524-1)+'Paramètres'!$B$5*(C524-1)^2)),0)</x:f>
        <x:v>0</x:v>
      </x:c>
      <x:c r="H524" s="28" t="n">
        <x:f>ROUND(Catalogue!H30*SQRT((1+'Paramètres'!$B$4*(C524-1)+'Paramètres'!$B$5*(C524-1)^2)),0)</x:f>
        <x:v>0</x:v>
      </x:c>
      <x:c r="I524" s="28" t="n">
        <x:v>3</x:v>
      </x:c>
      <x:c r="J524" s="28" t="n">
        <x:v>1</x:v>
      </x:c>
      <x:c r="K524" s="30" t="n">
        <x:v>3.6</x:v>
      </x:c>
      <x:c r="L524" s="54" t="n">
        <x:f>IF(M524=0,0,(E524+F524)/2)</x:f>
        <x:v>8.5</x:v>
      </x:c>
      <x:c r="M524" t="n">
        <x:v>1</x:v>
      </x:c>
      <x:c r="N524" t="n">
        <x:v>6</x:v>
      </x:c>
      <x:c r="O524" t="n">
        <x:v>5</x:v>
      </x:c>
      <x:c r="P524" s="63" t="str">
        <x:f>IF(M524=0,"—",M524&amp;"d"&amp;N524&amp;IF(O524=0,""," + "&amp;O524))</x:f>
        <x:v>1d6 + 5</x:v>
      </x:c>
      <x:c r="Q524" t="n">
        <x:f>ROUND(INDEX(Catalogue!E$4:E$85,MATCH(A524,Catalogue!A$4:A$85,0))*(1+'Paramètres'!$B$4*(C524-1)+'Paramètres'!$B$5*(C524-1)^2),0)</x:f>
        <x:v>7</x:v>
      </x:c>
      <x:c r="R524" t="n">
        <x:f>ROUND(INDEX(Catalogue!F$4:F$85,MATCH(A524,Catalogue!A$4:A$85,0))*(1+'Paramètres'!$B$4*(C524-1)+'Paramètres'!$B$5*(C524-1)^2),0)</x:f>
        <x:v>11</x:v>
      </x:c>
      <x:c r="S524" t="n">
        <x:f>L524-AVERAGE(Q524:R524)</x:f>
        <x:v>-0.5</x:v>
      </x:c>
      <x:c r="T524" t="str">
        <x:f>IF(M524=0,IF(AND(N524=0,O524=0,E524=0,F524=0),"OK","ERREUR"),IF(AND(M524&gt;=1,M524&lt;=32,OR(N524=4,N524=6,N524=8,N524=10,N524=12,N524=20),O524&gt;=0,E524=M524+O524,F524=M524*N524+O524),"OK","ERREUR"))</x:f>
        <x:v>OK</x:v>
      </x:c>
      <x:c r="U524" s="86" t="n">
        <x:f>IF(M524&gt;0,M524*(N524+1)/2+O524,0)</x:f>
        <x:v>8.5</x:v>
      </x:c>
      <x:c r="V524" t="str">
        <x:f>IF(ABS(L524-U524)&lt;0.001,"OK","ERREUR")</x:f>
        <x:v>OK</x:v>
      </x:c>
    </x:row>
    <x:row r="525" ht="18" customHeight="1">
      <x:c r="A525" t="str">
        <x:v>ARM027</x:v>
      </x:c>
      <x:c r="B525" t="str">
        <x:v>Grande épée</x:v>
      </x:c>
      <x:c r="C525" t="n">
        <x:v>2</x:v>
      </x:c>
      <x:c r="D525" t="str">
        <x:v>Deux mains</x:v>
      </x:c>
      <x:c r="E525" s="28" t="n">
        <x:f>IF(M525=0,0,M525+O525)</x:f>
        <x:v>7</x:v>
      </x:c>
      <x:c r="F525" s="28" t="n">
        <x:f>IF(M525=0,0,M525*N525+O525)</x:f>
        <x:v>12</x:v>
      </x:c>
      <x:c r="G525" s="28" t="n">
        <x:f>ROUND(Catalogue!G30*SQRT((1+'Paramètres'!$B$4*(C525-1)+'Paramètres'!$B$5*(C525-1)^2)),0)</x:f>
        <x:v>0</x:v>
      </x:c>
      <x:c r="H525" s="28" t="n">
        <x:f>ROUND(Catalogue!H30*SQRT((1+'Paramètres'!$B$4*(C525-1)+'Paramètres'!$B$5*(C525-1)^2)),0)</x:f>
        <x:v>0</x:v>
      </x:c>
      <x:c r="I525" s="28" t="n">
        <x:v>3</x:v>
      </x:c>
      <x:c r="J525" s="28" t="n">
        <x:v>1</x:v>
      </x:c>
      <x:c r="K525" s="30" t="n">
        <x:v>3.6</x:v>
      </x:c>
      <x:c r="L525" s="54" t="n">
        <x:f>IF(M525=0,0,(E525+F525)/2)</x:f>
        <x:v>9.5</x:v>
      </x:c>
      <x:c r="M525" t="n">
        <x:v>1</x:v>
      </x:c>
      <x:c r="N525" t="n">
        <x:v>6</x:v>
      </x:c>
      <x:c r="O525" t="n">
        <x:v>6</x:v>
      </x:c>
      <x:c r="P525" s="63" t="str">
        <x:f>IF(M525=0,"—",M525&amp;"d"&amp;N525&amp;IF(O525=0,""," + "&amp;O525))</x:f>
        <x:v>1d6 + 6</x:v>
      </x:c>
      <x:c r="Q525" t="n">
        <x:f>ROUND(INDEX(Catalogue!E$4:E$85,MATCH(A525,Catalogue!A$4:A$85,0))*(1+'Paramètres'!$B$4*(C525-1)+'Paramètres'!$B$5*(C525-1)^2),0)</x:f>
        <x:v>8</x:v>
      </x:c>
      <x:c r="R525" t="n">
        <x:f>ROUND(INDEX(Catalogue!F$4:F$85,MATCH(A525,Catalogue!A$4:A$85,0))*(1+'Paramètres'!$B$4*(C525-1)+'Paramètres'!$B$5*(C525-1)^2),0)</x:f>
        <x:v>12</x:v>
      </x:c>
      <x:c r="S525" t="n">
        <x:f>L525-AVERAGE(Q525:R525)</x:f>
        <x:v>-0.5</x:v>
      </x:c>
      <x:c r="T525" t="str">
        <x:f>IF(M525=0,IF(AND(N525=0,O525=0,E525=0,F525=0),"OK","ERREUR"),IF(AND(M525&gt;=1,M525&lt;=32,OR(N525=4,N525=6,N525=8,N525=10,N525=12,N525=20),O525&gt;=0,E525=M525+O525,F525=M525*N525+O525),"OK","ERREUR"))</x:f>
        <x:v>OK</x:v>
      </x:c>
      <x:c r="U525" s="86" t="n">
        <x:f>IF(M525&gt;0,M525*(N525+1)/2+O525,0)</x:f>
        <x:v>9.5</x:v>
      </x:c>
      <x:c r="V525" t="str">
        <x:f>IF(ABS(L525-U525)&lt;0.001,"OK","ERREUR")</x:f>
        <x:v>OK</x:v>
      </x:c>
    </x:row>
    <x:row r="526" ht="18" customHeight="1">
      <x:c r="A526" t="str">
        <x:v>ARM027</x:v>
      </x:c>
      <x:c r="B526" t="str">
        <x:v>Grande épée</x:v>
      </x:c>
      <x:c r="C526" t="n">
        <x:v>3</x:v>
      </x:c>
      <x:c r="D526" t="str">
        <x:v>Deux mains</x:v>
      </x:c>
      <x:c r="E526" s="28" t="n">
        <x:f>IF(M526=0,0,M526+O526)</x:f>
        <x:v>9</x:v>
      </x:c>
      <x:c r="F526" s="28" t="n">
        <x:f>IF(M526=0,0,M526*N526+O526)</x:f>
        <x:v>14</x:v>
      </x:c>
      <x:c r="G526" s="28" t="n">
        <x:f>ROUND(Catalogue!G30*SQRT((1+'Paramètres'!$B$4*(C526-1)+'Paramètres'!$B$5*(C526-1)^2)),0)</x:f>
        <x:v>0</x:v>
      </x:c>
      <x:c r="H526" s="28" t="n">
        <x:f>ROUND(Catalogue!H30*SQRT((1+'Paramètres'!$B$4*(C526-1)+'Paramètres'!$B$5*(C526-1)^2)),0)</x:f>
        <x:v>0</x:v>
      </x:c>
      <x:c r="I526" s="28" t="n">
        <x:v>3</x:v>
      </x:c>
      <x:c r="J526" s="28" t="n">
        <x:v>1</x:v>
      </x:c>
      <x:c r="K526" s="30" t="n">
        <x:v>3.6</x:v>
      </x:c>
      <x:c r="L526" s="54" t="n">
        <x:f>IF(M526=0,0,(E526+F526)/2)</x:f>
        <x:v>11.5</x:v>
      </x:c>
      <x:c r="M526" t="n">
        <x:v>1</x:v>
      </x:c>
      <x:c r="N526" t="n">
        <x:v>6</x:v>
      </x:c>
      <x:c r="O526" t="n">
        <x:v>8</x:v>
      </x:c>
      <x:c r="P526" s="63" t="str">
        <x:f>IF(M526=0,"—",M526&amp;"d"&amp;N526&amp;IF(O526=0,""," + "&amp;O526))</x:f>
        <x:v>1d6 + 8</x:v>
      </x:c>
      <x:c r="Q526" t="n">
        <x:f>ROUND(INDEX(Catalogue!E$4:E$85,MATCH(A526,Catalogue!A$4:A$85,0))*(1+'Paramètres'!$B$4*(C526-1)+'Paramètres'!$B$5*(C526-1)^2),0)</x:f>
        <x:v>9</x:v>
      </x:c>
      <x:c r="R526" t="n">
        <x:f>ROUND(INDEX(Catalogue!F$4:F$85,MATCH(A526,Catalogue!A$4:A$85,0))*(1+'Paramètres'!$B$4*(C526-1)+'Paramètres'!$B$5*(C526-1)^2),0)</x:f>
        <x:v>14</x:v>
      </x:c>
      <x:c r="S526" t="n">
        <x:f>L526-AVERAGE(Q526:R526)</x:f>
        <x:v>0</x:v>
      </x:c>
      <x:c r="T526" t="str">
        <x:f>IF(M526=0,IF(AND(N526=0,O526=0,E526=0,F526=0),"OK","ERREUR"),IF(AND(M526&gt;=1,M526&lt;=32,OR(N526=4,N526=6,N526=8,N526=10,N526=12,N526=20),O526&gt;=0,E526=M526+O526,F526=M526*N526+O526),"OK","ERREUR"))</x:f>
        <x:v>OK</x:v>
      </x:c>
      <x:c r="U526" s="86" t="n">
        <x:f>IF(M526&gt;0,M526*(N526+1)/2+O526,0)</x:f>
        <x:v>11.5</x:v>
      </x:c>
      <x:c r="V526" t="str">
        <x:f>IF(ABS(L526-U526)&lt;0.001,"OK","ERREUR")</x:f>
        <x:v>OK</x:v>
      </x:c>
    </x:row>
    <x:row r="527" ht="18" customHeight="1">
      <x:c r="A527" t="str">
        <x:v>ARM027</x:v>
      </x:c>
      <x:c r="B527" t="str">
        <x:v>Grande épée</x:v>
      </x:c>
      <x:c r="C527" t="n">
        <x:v>4</x:v>
      </x:c>
      <x:c r="D527" t="str">
        <x:v>Deux mains</x:v>
      </x:c>
      <x:c r="E527" s="28" t="n">
        <x:f>IF(M527=0,0,M527+O527)</x:f>
        <x:v>10</x:v>
      </x:c>
      <x:c r="F527" s="28" t="n">
        <x:f>IF(M527=0,0,M527*N527+O527)</x:f>
        <x:v>15</x:v>
      </x:c>
      <x:c r="G527" s="28" t="n">
        <x:f>ROUND(Catalogue!G30*SQRT((1+'Paramètres'!$B$4*(C527-1)+'Paramètres'!$B$5*(C527-1)^2)),0)</x:f>
        <x:v>0</x:v>
      </x:c>
      <x:c r="H527" s="28" t="n">
        <x:f>ROUND(Catalogue!H30*SQRT((1+'Paramètres'!$B$4*(C527-1)+'Paramètres'!$B$5*(C527-1)^2)),0)</x:f>
        <x:v>0</x:v>
      </x:c>
      <x:c r="I527" s="28" t="n">
        <x:v>3</x:v>
      </x:c>
      <x:c r="J527" s="28" t="n">
        <x:v>1</x:v>
      </x:c>
      <x:c r="K527" s="30" t="n">
        <x:v>3.6</x:v>
      </x:c>
      <x:c r="L527" s="54" t="n">
        <x:f>IF(M527=0,0,(E527+F527)/2)</x:f>
        <x:v>12.5</x:v>
      </x:c>
      <x:c r="M527" t="n">
        <x:v>1</x:v>
      </x:c>
      <x:c r="N527" t="n">
        <x:v>6</x:v>
      </x:c>
      <x:c r="O527" t="n">
        <x:v>9</x:v>
      </x:c>
      <x:c r="P527" s="63" t="str">
        <x:f>IF(M527=0,"—",M527&amp;"d"&amp;N527&amp;IF(O527=0,""," + "&amp;O527))</x:f>
        <x:v>1d6 + 9</x:v>
      </x:c>
      <x:c r="Q527" t="n">
        <x:f>ROUND(INDEX(Catalogue!E$4:E$85,MATCH(A527,Catalogue!A$4:A$85,0))*(1+'Paramètres'!$B$4*(C527-1)+'Paramètres'!$B$5*(C527-1)^2),0)</x:f>
        <x:v>10</x:v>
      </x:c>
      <x:c r="R527" t="n">
        <x:f>ROUND(INDEX(Catalogue!F$4:F$85,MATCH(A527,Catalogue!A$4:A$85,0))*(1+'Paramètres'!$B$4*(C527-1)+'Paramètres'!$B$5*(C527-1)^2),0)</x:f>
        <x:v>16</x:v>
      </x:c>
      <x:c r="S527" t="n">
        <x:f>L527-AVERAGE(Q527:R527)</x:f>
        <x:v>-0.5</x:v>
      </x:c>
      <x:c r="T527" t="str">
        <x:f>IF(M527=0,IF(AND(N527=0,O527=0,E527=0,F527=0),"OK","ERREUR"),IF(AND(M527&gt;=1,M527&lt;=32,OR(N527=4,N527=6,N527=8,N527=10,N527=12,N527=20),O527&gt;=0,E527=M527+O527,F527=M527*N527+O527),"OK","ERREUR"))</x:f>
        <x:v>OK</x:v>
      </x:c>
      <x:c r="U527" s="86" t="n">
        <x:f>IF(M527&gt;0,M527*(N527+1)/2+O527,0)</x:f>
        <x:v>12.5</x:v>
      </x:c>
      <x:c r="V527" t="str">
        <x:f>IF(ABS(L527-U527)&lt;0.001,"OK","ERREUR")</x:f>
        <x:v>OK</x:v>
      </x:c>
    </x:row>
    <x:row r="528" ht="18" customHeight="1">
      <x:c r="A528" t="str">
        <x:v>ARM027</x:v>
      </x:c>
      <x:c r="B528" t="str">
        <x:v>Grande épée</x:v>
      </x:c>
      <x:c r="C528" t="n">
        <x:v>5</x:v>
      </x:c>
      <x:c r="D528" t="str">
        <x:v>Deux mains</x:v>
      </x:c>
      <x:c r="E528" s="28" t="n">
        <x:f>IF(M528=0,0,M528+O528)</x:f>
        <x:v>12</x:v>
      </x:c>
      <x:c r="F528" s="28" t="n">
        <x:f>IF(M528=0,0,M528*N528+O528)</x:f>
        <x:v>19</x:v>
      </x:c>
      <x:c r="G528" s="28" t="n">
        <x:f>ROUND(Catalogue!G30*SQRT((1+'Paramètres'!$B$4*(C528-1)+'Paramètres'!$B$5*(C528-1)^2)),0)</x:f>
        <x:v>0</x:v>
      </x:c>
      <x:c r="H528" s="28" t="n">
        <x:f>ROUND(Catalogue!H30*SQRT((1+'Paramètres'!$B$4*(C528-1)+'Paramètres'!$B$5*(C528-1)^2)),0)</x:f>
        <x:v>0</x:v>
      </x:c>
      <x:c r="I528" s="28" t="n">
        <x:v>3</x:v>
      </x:c>
      <x:c r="J528" s="28" t="n">
        <x:v>1</x:v>
      </x:c>
      <x:c r="K528" s="30" t="n">
        <x:v>3.6</x:v>
      </x:c>
      <x:c r="L528" s="54" t="n">
        <x:f>IF(M528=0,0,(E528+F528)/2)</x:f>
        <x:v>15.5</x:v>
      </x:c>
      <x:c r="M528" t="n">
        <x:v>1</x:v>
      </x:c>
      <x:c r="N528" t="n">
        <x:v>8</x:v>
      </x:c>
      <x:c r="O528" t="n">
        <x:v>11</x:v>
      </x:c>
      <x:c r="P528" s="63" t="str">
        <x:f>IF(M528=0,"—",M528&amp;"d"&amp;N528&amp;IF(O528=0,""," + "&amp;O528))</x:f>
        <x:v>1d8 + 11</x:v>
      </x:c>
      <x:c r="Q528" t="n">
        <x:f>ROUND(INDEX(Catalogue!E$4:E$85,MATCH(A528,Catalogue!A$4:A$85,0))*(1+'Paramètres'!$B$4*(C528-1)+'Paramètres'!$B$5*(C528-1)^2),0)</x:f>
        <x:v>12</x:v>
      </x:c>
      <x:c r="R528" t="n">
        <x:f>ROUND(INDEX(Catalogue!F$4:F$85,MATCH(A528,Catalogue!A$4:A$85,0))*(1+'Paramètres'!$B$4*(C528-1)+'Paramètres'!$B$5*(C528-1)^2),0)</x:f>
        <x:v>19</x:v>
      </x:c>
      <x:c r="S528" t="n">
        <x:f>L528-AVERAGE(Q528:R528)</x:f>
        <x:v>0</x:v>
      </x:c>
      <x:c r="T528" t="str">
        <x:f>IF(M528=0,IF(AND(N528=0,O528=0,E528=0,F528=0),"OK","ERREUR"),IF(AND(M528&gt;=1,M528&lt;=32,OR(N528=4,N528=6,N528=8,N528=10,N528=12,N528=20),O528&gt;=0,E528=M528+O528,F528=M528*N528+O528),"OK","ERREUR"))</x:f>
        <x:v>OK</x:v>
      </x:c>
      <x:c r="U528" s="86" t="n">
        <x:f>IF(M528&gt;0,M528*(N528+1)/2+O528,0)</x:f>
        <x:v>15.5</x:v>
      </x:c>
      <x:c r="V528" t="str">
        <x:f>IF(ABS(L528-U528)&lt;0.001,"OK","ERREUR")</x:f>
        <x:v>OK</x:v>
      </x:c>
    </x:row>
    <x:row r="529" ht="18" customHeight="1">
      <x:c r="A529" t="str">
        <x:v>ARM027</x:v>
      </x:c>
      <x:c r="B529" t="str">
        <x:v>Grande épée</x:v>
      </x:c>
      <x:c r="C529" t="n">
        <x:v>6</x:v>
      </x:c>
      <x:c r="D529" t="str">
        <x:v>Deux mains</x:v>
      </x:c>
      <x:c r="E529" s="28" t="n">
        <x:f>IF(M529=0,0,M529+O529)</x:f>
        <x:v>14</x:v>
      </x:c>
      <x:c r="F529" s="28" t="n">
        <x:f>IF(M529=0,0,M529*N529+O529)</x:f>
        <x:v>21</x:v>
      </x:c>
      <x:c r="G529" s="28" t="n">
        <x:f>ROUND(Catalogue!G30*SQRT((1+'Paramètres'!$B$4*(C529-1)+'Paramètres'!$B$5*(C529-1)^2)),0)</x:f>
        <x:v>0</x:v>
      </x:c>
      <x:c r="H529" s="28" t="n">
        <x:f>ROUND(Catalogue!H30*SQRT((1+'Paramètres'!$B$4*(C529-1)+'Paramètres'!$B$5*(C529-1)^2)),0)</x:f>
        <x:v>0</x:v>
      </x:c>
      <x:c r="I529" s="28" t="n">
        <x:v>3</x:v>
      </x:c>
      <x:c r="J529" s="28" t="n">
        <x:v>1</x:v>
      </x:c>
      <x:c r="K529" s="30" t="n">
        <x:v>3.6</x:v>
      </x:c>
      <x:c r="L529" s="54" t="n">
        <x:f>IF(M529=0,0,(E529+F529)/2)</x:f>
        <x:v>17.5</x:v>
      </x:c>
      <x:c r="M529" t="n">
        <x:v>1</x:v>
      </x:c>
      <x:c r="N529" t="n">
        <x:v>8</x:v>
      </x:c>
      <x:c r="O529" t="n">
        <x:v>13</x:v>
      </x:c>
      <x:c r="P529" s="63" t="str">
        <x:f>IF(M529=0,"—",M529&amp;"d"&amp;N529&amp;IF(O529=0,""," + "&amp;O529))</x:f>
        <x:v>1d8 + 13</x:v>
      </x:c>
      <x:c r="Q529" t="n">
        <x:f>ROUND(INDEX(Catalogue!E$4:E$85,MATCH(A529,Catalogue!A$4:A$85,0))*(1+'Paramètres'!$B$4*(C529-1)+'Paramètres'!$B$5*(C529-1)^2),0)</x:f>
        <x:v>14</x:v>
      </x:c>
      <x:c r="R529" t="n">
        <x:f>ROUND(INDEX(Catalogue!F$4:F$85,MATCH(A529,Catalogue!A$4:A$85,0))*(1+'Paramètres'!$B$4*(C529-1)+'Paramètres'!$B$5*(C529-1)^2),0)</x:f>
        <x:v>21</x:v>
      </x:c>
      <x:c r="S529" t="n">
        <x:f>L529-AVERAGE(Q529:R529)</x:f>
        <x:v>0</x:v>
      </x:c>
      <x:c r="T529" t="str">
        <x:f>IF(M529=0,IF(AND(N529=0,O529=0,E529=0,F529=0),"OK","ERREUR"),IF(AND(M529&gt;=1,M529&lt;=32,OR(N529=4,N529=6,N529=8,N529=10,N529=12,N529=20),O529&gt;=0,E529=M529+O529,F529=M529*N529+O529),"OK","ERREUR"))</x:f>
        <x:v>OK</x:v>
      </x:c>
      <x:c r="U529" s="86" t="n">
        <x:f>IF(M529&gt;0,M529*(N529+1)/2+O529,0)</x:f>
        <x:v>17.5</x:v>
      </x:c>
      <x:c r="V529" t="str">
        <x:f>IF(ABS(L529-U529)&lt;0.001,"OK","ERREUR")</x:f>
        <x:v>OK</x:v>
      </x:c>
    </x:row>
    <x:row r="530" ht="18" customHeight="1">
      <x:c r="A530" t="str">
        <x:v>ARM027</x:v>
      </x:c>
      <x:c r="B530" t="str">
        <x:v>Grande épée</x:v>
      </x:c>
      <x:c r="C530" t="n">
        <x:v>7</x:v>
      </x:c>
      <x:c r="D530" t="str">
        <x:v>Deux mains</x:v>
      </x:c>
      <x:c r="E530" s="28" t="n">
        <x:f>IF(M530=0,0,M530+O530)</x:f>
        <x:v>16</x:v>
      </x:c>
      <x:c r="F530" s="28" t="n">
        <x:f>IF(M530=0,0,M530*N530+O530)</x:f>
        <x:v>25</x:v>
      </x:c>
      <x:c r="G530" s="28" t="n">
        <x:f>ROUND(Catalogue!G30*SQRT((1+'Paramètres'!$B$4*(C530-1)+'Paramètres'!$B$5*(C530-1)^2)),0)</x:f>
        <x:v>0</x:v>
      </x:c>
      <x:c r="H530" s="28" t="n">
        <x:f>ROUND(Catalogue!H30*SQRT((1+'Paramètres'!$B$4*(C530-1)+'Paramètres'!$B$5*(C530-1)^2)),0)</x:f>
        <x:v>0</x:v>
      </x:c>
      <x:c r="I530" s="28" t="n">
        <x:v>3</x:v>
      </x:c>
      <x:c r="J530" s="28" t="n">
        <x:v>1</x:v>
      </x:c>
      <x:c r="K530" s="30" t="n">
        <x:v>3.6</x:v>
      </x:c>
      <x:c r="L530" s="54" t="n">
        <x:f>IF(M530=0,0,(E530+F530)/2)</x:f>
        <x:v>20.5</x:v>
      </x:c>
      <x:c r="M530" t="n">
        <x:v>1</x:v>
      </x:c>
      <x:c r="N530" t="n">
        <x:v>10</x:v>
      </x:c>
      <x:c r="O530" t="n">
        <x:v>15</x:v>
      </x:c>
      <x:c r="P530" s="63" t="str">
        <x:f>IF(M530=0,"—",M530&amp;"d"&amp;N530&amp;IF(O530=0,""," + "&amp;O530))</x:f>
        <x:v>1d10 + 15</x:v>
      </x:c>
      <x:c r="Q530" t="n">
        <x:f>ROUND(INDEX(Catalogue!E$4:E$85,MATCH(A530,Catalogue!A$4:A$85,0))*(1+'Paramètres'!$B$4*(C530-1)+'Paramètres'!$B$5*(C530-1)^2),0)</x:f>
        <x:v>16</x:v>
      </x:c>
      <x:c r="R530" t="n">
        <x:f>ROUND(INDEX(Catalogue!F$4:F$85,MATCH(A530,Catalogue!A$4:A$85,0))*(1+'Paramètres'!$B$4*(C530-1)+'Paramètres'!$B$5*(C530-1)^2),0)</x:f>
        <x:v>25</x:v>
      </x:c>
      <x:c r="S530" t="n">
        <x:f>L530-AVERAGE(Q530:R530)</x:f>
        <x:v>0</x:v>
      </x:c>
      <x:c r="T530" t="str">
        <x:f>IF(M530=0,IF(AND(N530=0,O530=0,E530=0,F530=0),"OK","ERREUR"),IF(AND(M530&gt;=1,M530&lt;=32,OR(N530=4,N530=6,N530=8,N530=10,N530=12,N530=20),O530&gt;=0,E530=M530+O530,F530=M530*N530+O530),"OK","ERREUR"))</x:f>
        <x:v>OK</x:v>
      </x:c>
      <x:c r="U530" s="86" t="n">
        <x:f>IF(M530&gt;0,M530*(N530+1)/2+O530,0)</x:f>
        <x:v>20.5</x:v>
      </x:c>
      <x:c r="V530" t="str">
        <x:f>IF(ABS(L530-U530)&lt;0.001,"OK","ERREUR")</x:f>
        <x:v>OK</x:v>
      </x:c>
    </x:row>
    <x:row r="531" ht="18" customHeight="1">
      <x:c r="A531" t="str">
        <x:v>ARM027</x:v>
      </x:c>
      <x:c r="B531" t="str">
        <x:v>Grande épée</x:v>
      </x:c>
      <x:c r="C531" t="n">
        <x:v>8</x:v>
      </x:c>
      <x:c r="D531" t="str">
        <x:v>Deux mains</x:v>
      </x:c>
      <x:c r="E531" s="28" t="n">
        <x:f>IF(M531=0,0,M531+O531)</x:f>
        <x:v>18</x:v>
      </x:c>
      <x:c r="F531" s="28" t="n">
        <x:f>IF(M531=0,0,M531*N531+O531)</x:f>
        <x:v>28</x:v>
      </x:c>
      <x:c r="G531" s="28" t="n">
        <x:f>ROUND(Catalogue!G30*SQRT((1+'Paramètres'!$B$4*(C531-1)+'Paramètres'!$B$5*(C531-1)^2)),0)</x:f>
        <x:v>0</x:v>
      </x:c>
      <x:c r="H531" s="28" t="n">
        <x:f>ROUND(Catalogue!H30*SQRT((1+'Paramètres'!$B$4*(C531-1)+'Paramètres'!$B$5*(C531-1)^2)),0)</x:f>
        <x:v>0</x:v>
      </x:c>
      <x:c r="I531" s="28" t="n">
        <x:v>3</x:v>
      </x:c>
      <x:c r="J531" s="28" t="n">
        <x:v>1</x:v>
      </x:c>
      <x:c r="K531" s="30" t="n">
        <x:v>3.6</x:v>
      </x:c>
      <x:c r="L531" s="54" t="n">
        <x:f>IF(M531=0,0,(E531+F531)/2)</x:f>
        <x:v>23</x:v>
      </x:c>
      <x:c r="M531" t="n">
        <x:v>2</x:v>
      </x:c>
      <x:c r="N531" t="n">
        <x:v>6</x:v>
      </x:c>
      <x:c r="O531" t="n">
        <x:v>16</x:v>
      </x:c>
      <x:c r="P531" s="63" t="str">
        <x:f>IF(M531=0,"—",M531&amp;"d"&amp;N531&amp;IF(O531=0,""," + "&amp;O531))</x:f>
        <x:v>2d6 + 16</x:v>
      </x:c>
      <x:c r="Q531" t="n">
        <x:f>ROUND(INDEX(Catalogue!E$4:E$85,MATCH(A531,Catalogue!A$4:A$85,0))*(1+'Paramètres'!$B$4*(C531-1)+'Paramètres'!$B$5*(C531-1)^2),0)</x:f>
        <x:v>18</x:v>
      </x:c>
      <x:c r="R531" t="n">
        <x:f>ROUND(INDEX(Catalogue!F$4:F$85,MATCH(A531,Catalogue!A$4:A$85,0))*(1+'Paramètres'!$B$4*(C531-1)+'Paramètres'!$B$5*(C531-1)^2),0)</x:f>
        <x:v>28</x:v>
      </x:c>
      <x:c r="S531" t="n">
        <x:f>L531-AVERAGE(Q531:R531)</x:f>
        <x:v>0</x:v>
      </x:c>
      <x:c r="T531" t="str">
        <x:f>IF(M531=0,IF(AND(N531=0,O531=0,E531=0,F531=0),"OK","ERREUR"),IF(AND(M531&gt;=1,M531&lt;=32,OR(N531=4,N531=6,N531=8,N531=10,N531=12,N531=20),O531&gt;=0,E531=M531+O531,F531=M531*N531+O531),"OK","ERREUR"))</x:f>
        <x:v>OK</x:v>
      </x:c>
      <x:c r="U531" s="86" t="n">
        <x:f>IF(M531&gt;0,M531*(N531+1)/2+O531,0)</x:f>
        <x:v>23</x:v>
      </x:c>
      <x:c r="V531" t="str">
        <x:f>IF(ABS(L531-U531)&lt;0.001,"OK","ERREUR")</x:f>
        <x:v>OK</x:v>
      </x:c>
    </x:row>
    <x:row r="532" ht="18" customHeight="1">
      <x:c r="A532" t="str">
        <x:v>ARM027</x:v>
      </x:c>
      <x:c r="B532" t="str">
        <x:v>Grande épée</x:v>
      </x:c>
      <x:c r="C532" t="n">
        <x:v>9</x:v>
      </x:c>
      <x:c r="D532" t="str">
        <x:v>Deux mains</x:v>
      </x:c>
      <x:c r="E532" s="28" t="n">
        <x:f>IF(M532=0,0,M532+O532)</x:f>
        <x:v>20</x:v>
      </x:c>
      <x:c r="F532" s="28" t="n">
        <x:f>IF(M532=0,0,M532*N532+O532)</x:f>
        <x:v>31</x:v>
      </x:c>
      <x:c r="G532" s="28" t="n">
        <x:f>ROUND(Catalogue!G30*SQRT((1+'Paramètres'!$B$4*(C532-1)+'Paramètres'!$B$5*(C532-1)^2)),0)</x:f>
        <x:v>0</x:v>
      </x:c>
      <x:c r="H532" s="28" t="n">
        <x:f>ROUND(Catalogue!H30*SQRT((1+'Paramètres'!$B$4*(C532-1)+'Paramètres'!$B$5*(C532-1)^2)),0)</x:f>
        <x:v>0</x:v>
      </x:c>
      <x:c r="I532" s="28" t="n">
        <x:v>3</x:v>
      </x:c>
      <x:c r="J532" s="28" t="n">
        <x:v>1</x:v>
      </x:c>
      <x:c r="K532" s="30" t="n">
        <x:v>3.6</x:v>
      </x:c>
      <x:c r="L532" s="54" t="n">
        <x:f>IF(M532=0,0,(E532+F532)/2)</x:f>
        <x:v>25.5</x:v>
      </x:c>
      <x:c r="M532" t="n">
        <x:v>1</x:v>
      </x:c>
      <x:c r="N532" t="n">
        <x:v>12</x:v>
      </x:c>
      <x:c r="O532" t="n">
        <x:v>19</x:v>
      </x:c>
      <x:c r="P532" s="63" t="str">
        <x:f>IF(M532=0,"—",M532&amp;"d"&amp;N532&amp;IF(O532=0,""," + "&amp;O532))</x:f>
        <x:v>1d12 + 19</x:v>
      </x:c>
      <x:c r="Q532" t="n">
        <x:f>ROUND(INDEX(Catalogue!E$4:E$85,MATCH(A532,Catalogue!A$4:A$85,0))*(1+'Paramètres'!$B$4*(C532-1)+'Paramètres'!$B$5*(C532-1)^2),0)</x:f>
        <x:v>20</x:v>
      </x:c>
      <x:c r="R532" t="n">
        <x:f>ROUND(INDEX(Catalogue!F$4:F$85,MATCH(A532,Catalogue!A$4:A$85,0))*(1+'Paramètres'!$B$4*(C532-1)+'Paramètres'!$B$5*(C532-1)^2),0)</x:f>
        <x:v>32</x:v>
      </x:c>
      <x:c r="S532" t="n">
        <x:f>L532-AVERAGE(Q532:R532)</x:f>
        <x:v>-0.5</x:v>
      </x:c>
      <x:c r="T532" t="str">
        <x:f>IF(M532=0,IF(AND(N532=0,O532=0,E532=0,F532=0),"OK","ERREUR"),IF(AND(M532&gt;=1,M532&lt;=32,OR(N532=4,N532=6,N532=8,N532=10,N532=12,N532=20),O532&gt;=0,E532=M532+O532,F532=M532*N532+O532),"OK","ERREUR"))</x:f>
        <x:v>OK</x:v>
      </x:c>
      <x:c r="U532" s="86" t="n">
        <x:f>IF(M532&gt;0,M532*(N532+1)/2+O532,0)</x:f>
        <x:v>25.5</x:v>
      </x:c>
      <x:c r="V532" t="str">
        <x:f>IF(ABS(L532-U532)&lt;0.001,"OK","ERREUR")</x:f>
        <x:v>OK</x:v>
      </x:c>
    </x:row>
    <x:row r="533" ht="18" customHeight="1">
      <x:c r="A533" t="str">
        <x:v>ARM027</x:v>
      </x:c>
      <x:c r="B533" t="str">
        <x:v>Grande épée</x:v>
      </x:c>
      <x:c r="C533" t="n">
        <x:v>10</x:v>
      </x:c>
      <x:c r="D533" t="str">
        <x:v>Deux mains</x:v>
      </x:c>
      <x:c r="E533" s="28" t="n">
        <x:f>IF(M533=0,0,M533+O533)</x:f>
        <x:v>22</x:v>
      </x:c>
      <x:c r="F533" s="28" t="n">
        <x:f>IF(M533=0,0,M533*N533+O533)</x:f>
        <x:v>36</x:v>
      </x:c>
      <x:c r="G533" s="28" t="n">
        <x:f>ROUND(Catalogue!G30*SQRT((1+'Paramètres'!$B$4*(C533-1)+'Paramètres'!$B$5*(C533-1)^2)),0)</x:f>
        <x:v>0</x:v>
      </x:c>
      <x:c r="H533" s="28" t="n">
        <x:f>ROUND(Catalogue!H30*SQRT((1+'Paramètres'!$B$4*(C533-1)+'Paramètres'!$B$5*(C533-1)^2)),0)</x:f>
        <x:v>0</x:v>
      </x:c>
      <x:c r="I533" s="28" t="n">
        <x:v>3</x:v>
      </x:c>
      <x:c r="J533" s="28" t="n">
        <x:v>1</x:v>
      </x:c>
      <x:c r="K533" s="30" t="n">
        <x:v>3.6</x:v>
      </x:c>
      <x:c r="L533" s="54" t="n">
        <x:f>IF(M533=0,0,(E533+F533)/2)</x:f>
        <x:v>29</x:v>
      </x:c>
      <x:c r="M533" t="n">
        <x:v>2</x:v>
      </x:c>
      <x:c r="N533" t="n">
        <x:v>8</x:v>
      </x:c>
      <x:c r="O533" t="n">
        <x:v>20</x:v>
      </x:c>
      <x:c r="P533" s="63" t="str">
        <x:f>IF(M533=0,"—",M533&amp;"d"&amp;N533&amp;IF(O533=0,""," + "&amp;O533))</x:f>
        <x:v>2d8 + 20</x:v>
      </x:c>
      <x:c r="Q533" t="n">
        <x:f>ROUND(INDEX(Catalogue!E$4:E$85,MATCH(A533,Catalogue!A$4:A$85,0))*(1+'Paramètres'!$B$4*(C533-1)+'Paramètres'!$B$5*(C533-1)^2),0)</x:f>
        <x:v>23</x:v>
      </x:c>
      <x:c r="R533" t="n">
        <x:f>ROUND(INDEX(Catalogue!F$4:F$85,MATCH(A533,Catalogue!A$4:A$85,0))*(1+'Paramètres'!$B$4*(C533-1)+'Paramètres'!$B$5*(C533-1)^2),0)</x:f>
        <x:v>36</x:v>
      </x:c>
      <x:c r="S533" t="n">
        <x:f>L533-AVERAGE(Q533:R533)</x:f>
        <x:v>-0.5</x:v>
      </x:c>
      <x:c r="T533" t="str">
        <x:f>IF(M533=0,IF(AND(N533=0,O533=0,E533=0,F533=0),"OK","ERREUR"),IF(AND(M533&gt;=1,M533&lt;=32,OR(N533=4,N533=6,N533=8,N533=10,N533=12,N533=20),O533&gt;=0,E533=M533+O533,F533=M533*N533+O533),"OK","ERREUR"))</x:f>
        <x:v>OK</x:v>
      </x:c>
      <x:c r="U533" s="86" t="n">
        <x:f>IF(M533&gt;0,M533*(N533+1)/2+O533,0)</x:f>
        <x:v>29</x:v>
      </x:c>
      <x:c r="V533" t="str">
        <x:f>IF(ABS(L533-U533)&lt;0.001,"OK","ERREUR")</x:f>
        <x:v>OK</x:v>
      </x:c>
    </x:row>
    <x:row r="534" ht="18" customHeight="1">
      <x:c r="A534" t="str">
        <x:v>ARM027</x:v>
      </x:c>
      <x:c r="B534" t="str">
        <x:v>Grande épée</x:v>
      </x:c>
      <x:c r="C534" t="n">
        <x:v>11</x:v>
      </x:c>
      <x:c r="D534" t="str">
        <x:v>Deux mains</x:v>
      </x:c>
      <x:c r="E534" s="28" t="n">
        <x:f>IF(M534=0,0,M534+O534)</x:f>
        <x:v>26</x:v>
      </x:c>
      <x:c r="F534" s="28" t="n">
        <x:f>IF(M534=0,0,M534*N534+O534)</x:f>
        <x:v>41</x:v>
      </x:c>
      <x:c r="G534" s="28" t="n">
        <x:f>ROUND(Catalogue!G30*SQRT((1+'Paramètres'!$B$4*(C534-1)+'Paramètres'!$B$5*(C534-1)^2)),0)</x:f>
        <x:v>0</x:v>
      </x:c>
      <x:c r="H534" s="28" t="n">
        <x:f>ROUND(Catalogue!H30*SQRT((1+'Paramètres'!$B$4*(C534-1)+'Paramètres'!$B$5*(C534-1)^2)),0)</x:f>
        <x:v>0</x:v>
      </x:c>
      <x:c r="I534" s="28" t="n">
        <x:v>3</x:v>
      </x:c>
      <x:c r="J534" s="28" t="n">
        <x:v>1</x:v>
      </x:c>
      <x:c r="K534" s="30" t="n">
        <x:v>3.6</x:v>
      </x:c>
      <x:c r="L534" s="54" t="n">
        <x:f>IF(M534=0,0,(E534+F534)/2)</x:f>
        <x:v>33.5</x:v>
      </x:c>
      <x:c r="M534" t="n">
        <x:v>3</x:v>
      </x:c>
      <x:c r="N534" t="n">
        <x:v>6</x:v>
      </x:c>
      <x:c r="O534" t="n">
        <x:v>23</x:v>
      </x:c>
      <x:c r="P534" s="63" t="str">
        <x:f>IF(M534=0,"—",M534&amp;"d"&amp;N534&amp;IF(O534=0,""," + "&amp;O534))</x:f>
        <x:v>3d6 + 23</x:v>
      </x:c>
      <x:c r="Q534" t="n">
        <x:f>ROUND(INDEX(Catalogue!E$4:E$85,MATCH(A534,Catalogue!A$4:A$85,0))*(1+'Paramètres'!$B$4*(C534-1)+'Paramètres'!$B$5*(C534-1)^2),0)</x:f>
        <x:v>26</x:v>
      </x:c>
      <x:c r="R534" t="n">
        <x:f>ROUND(INDEX(Catalogue!F$4:F$85,MATCH(A534,Catalogue!A$4:A$85,0))*(1+'Paramètres'!$B$4*(C534-1)+'Paramètres'!$B$5*(C534-1)^2),0)</x:f>
        <x:v>41</x:v>
      </x:c>
      <x:c r="S534" t="n">
        <x:f>L534-AVERAGE(Q534:R534)</x:f>
        <x:v>0</x:v>
      </x:c>
      <x:c r="T534" t="str">
        <x:f>IF(M534=0,IF(AND(N534=0,O534=0,E534=0,F534=0),"OK","ERREUR"),IF(AND(M534&gt;=1,M534&lt;=32,OR(N534=4,N534=6,N534=8,N534=10,N534=12,N534=20),O534&gt;=0,E534=M534+O534,F534=M534*N534+O534),"OK","ERREUR"))</x:f>
        <x:v>OK</x:v>
      </x:c>
      <x:c r="U534" s="86" t="n">
        <x:f>IF(M534&gt;0,M534*(N534+1)/2+O534,0)</x:f>
        <x:v>33.5</x:v>
      </x:c>
      <x:c r="V534" t="str">
        <x:f>IF(ABS(L534-U534)&lt;0.001,"OK","ERREUR")</x:f>
        <x:v>OK</x:v>
      </x:c>
    </x:row>
    <x:row r="535" ht="18" customHeight="1">
      <x:c r="A535" t="str">
        <x:v>ARM027</x:v>
      </x:c>
      <x:c r="B535" t="str">
        <x:v>Grande épée</x:v>
      </x:c>
      <x:c r="C535" t="n">
        <x:v>12</x:v>
      </x:c>
      <x:c r="D535" t="str">
        <x:v>Deux mains</x:v>
      </x:c>
      <x:c r="E535" s="28" t="n">
        <x:f>IF(M535=0,0,M535+O535)</x:f>
        <x:v>28</x:v>
      </x:c>
      <x:c r="F535" s="28" t="n">
        <x:f>IF(M535=0,0,M535*N535+O535)</x:f>
        <x:v>46</x:v>
      </x:c>
      <x:c r="G535" s="28" t="n">
        <x:f>ROUND(Catalogue!G30*SQRT((1+'Paramètres'!$B$4*(C535-1)+'Paramètres'!$B$5*(C535-1)^2)),0)</x:f>
        <x:v>0</x:v>
      </x:c>
      <x:c r="H535" s="28" t="n">
        <x:f>ROUND(Catalogue!H30*SQRT((1+'Paramètres'!$B$4*(C535-1)+'Paramètres'!$B$5*(C535-1)^2)),0)</x:f>
        <x:v>0</x:v>
      </x:c>
      <x:c r="I535" s="28" t="n">
        <x:v>3</x:v>
      </x:c>
      <x:c r="J535" s="28" t="n">
        <x:v>1</x:v>
      </x:c>
      <x:c r="K535" s="30" t="n">
        <x:v>3.6</x:v>
      </x:c>
      <x:c r="L535" s="54" t="n">
        <x:f>IF(M535=0,0,(E535+F535)/2)</x:f>
        <x:v>37</x:v>
      </x:c>
      <x:c r="M535" t="n">
        <x:v>2</x:v>
      </x:c>
      <x:c r="N535" t="n">
        <x:v>10</x:v>
      </x:c>
      <x:c r="O535" t="n">
        <x:v>26</x:v>
      </x:c>
      <x:c r="P535" s="63" t="str">
        <x:f>IF(M535=0,"—",M535&amp;"d"&amp;N535&amp;IF(O535=0,""," + "&amp;O535))</x:f>
        <x:v>2d10 + 26</x:v>
      </x:c>
      <x:c r="Q535" t="n">
        <x:f>ROUND(INDEX(Catalogue!E$4:E$85,MATCH(A535,Catalogue!A$4:A$85,0))*(1+'Paramètres'!$B$4*(C535-1)+'Paramètres'!$B$5*(C535-1)^2),0)</x:f>
        <x:v>29</x:v>
      </x:c>
      <x:c r="R535" t="n">
        <x:f>ROUND(INDEX(Catalogue!F$4:F$85,MATCH(A535,Catalogue!A$4:A$85,0))*(1+'Paramètres'!$B$4*(C535-1)+'Paramètres'!$B$5*(C535-1)^2),0)</x:f>
        <x:v>46</x:v>
      </x:c>
      <x:c r="S535" t="n">
        <x:f>L535-AVERAGE(Q535:R535)</x:f>
        <x:v>-0.5</x:v>
      </x:c>
      <x:c r="T535" t="str">
        <x:f>IF(M535=0,IF(AND(N535=0,O535=0,E535=0,F535=0),"OK","ERREUR"),IF(AND(M535&gt;=1,M535&lt;=32,OR(N535=4,N535=6,N535=8,N535=10,N535=12,N535=20),O535&gt;=0,E535=M535+O535,F535=M535*N535+O535),"OK","ERREUR"))</x:f>
        <x:v>OK</x:v>
      </x:c>
      <x:c r="U535" s="86" t="n">
        <x:f>IF(M535&gt;0,M535*(N535+1)/2+O535,0)</x:f>
        <x:v>37</x:v>
      </x:c>
      <x:c r="V535" t="str">
        <x:f>IF(ABS(L535-U535)&lt;0.001,"OK","ERREUR")</x:f>
        <x:v>OK</x:v>
      </x:c>
    </x:row>
    <x:row r="536" ht="18" customHeight="1">
      <x:c r="A536" t="str">
        <x:v>ARM027</x:v>
      </x:c>
      <x:c r="B536" t="str">
        <x:v>Grande épée</x:v>
      </x:c>
      <x:c r="C536" t="n">
        <x:v>13</x:v>
      </x:c>
      <x:c r="D536" t="str">
        <x:v>Deux mains</x:v>
      </x:c>
      <x:c r="E536" s="28" t="n">
        <x:f>IF(M536=0,0,M536+O536)</x:f>
        <x:v>32</x:v>
      </x:c>
      <x:c r="F536" s="28" t="n">
        <x:f>IF(M536=0,0,M536*N536+O536)</x:f>
        <x:v>50</x:v>
      </x:c>
      <x:c r="G536" s="28" t="n">
        <x:f>ROUND(Catalogue!G30*SQRT((1+'Paramètres'!$B$4*(C536-1)+'Paramètres'!$B$5*(C536-1)^2)),0)</x:f>
        <x:v>0</x:v>
      </x:c>
      <x:c r="H536" s="28" t="n">
        <x:f>ROUND(Catalogue!H30*SQRT((1+'Paramètres'!$B$4*(C536-1)+'Paramètres'!$B$5*(C536-1)^2)),0)</x:f>
        <x:v>0</x:v>
      </x:c>
      <x:c r="I536" s="28" t="n">
        <x:v>3</x:v>
      </x:c>
      <x:c r="J536" s="28" t="n">
        <x:v>1</x:v>
      </x:c>
      <x:c r="K536" s="30" t="n">
        <x:v>3.6</x:v>
      </x:c>
      <x:c r="L536" s="54" t="n">
        <x:f>IF(M536=0,0,(E536+F536)/2)</x:f>
        <x:v>41</x:v>
      </x:c>
      <x:c r="M536" t="n">
        <x:v>2</x:v>
      </x:c>
      <x:c r="N536" t="n">
        <x:v>10</x:v>
      </x:c>
      <x:c r="O536" t="n">
        <x:v>30</x:v>
      </x:c>
      <x:c r="P536" s="63" t="str">
        <x:f>IF(M536=0,"—",M536&amp;"d"&amp;N536&amp;IF(O536=0,""," + "&amp;O536))</x:f>
        <x:v>2d10 + 30</x:v>
      </x:c>
      <x:c r="Q536" t="n">
        <x:f>ROUND(INDEX(Catalogue!E$4:E$85,MATCH(A536,Catalogue!A$4:A$85,0))*(1+'Paramètres'!$B$4*(C536-1)+'Paramètres'!$B$5*(C536-1)^2),0)</x:f>
        <x:v>32</x:v>
      </x:c>
      <x:c r="R536" t="n">
        <x:f>ROUND(INDEX(Catalogue!F$4:F$85,MATCH(A536,Catalogue!A$4:A$85,0))*(1+'Paramètres'!$B$4*(C536-1)+'Paramètres'!$B$5*(C536-1)^2),0)</x:f>
        <x:v>51</x:v>
      </x:c>
      <x:c r="S536" t="n">
        <x:f>L536-AVERAGE(Q536:R536)</x:f>
        <x:v>-0.5</x:v>
      </x:c>
      <x:c r="T536" t="str">
        <x:f>IF(M536=0,IF(AND(N536=0,O536=0,E536=0,F536=0),"OK","ERREUR"),IF(AND(M536&gt;=1,M536&lt;=32,OR(N536=4,N536=6,N536=8,N536=10,N536=12,N536=20),O536&gt;=0,E536=M536+O536,F536=M536*N536+O536),"OK","ERREUR"))</x:f>
        <x:v>OK</x:v>
      </x:c>
      <x:c r="U536" s="86" t="n">
        <x:f>IF(M536&gt;0,M536*(N536+1)/2+O536,0)</x:f>
        <x:v>41</x:v>
      </x:c>
      <x:c r="V536" t="str">
        <x:f>IF(ABS(L536-U536)&lt;0.001,"OK","ERREUR")</x:f>
        <x:v>OK</x:v>
      </x:c>
    </x:row>
    <x:row r="537" ht="18" customHeight="1">
      <x:c r="A537" t="str">
        <x:v>ARM027</x:v>
      </x:c>
      <x:c r="B537" t="str">
        <x:v>Grande épée</x:v>
      </x:c>
      <x:c r="C537" t="n">
        <x:v>14</x:v>
      </x:c>
      <x:c r="D537" t="str">
        <x:v>Deux mains</x:v>
      </x:c>
      <x:c r="E537" s="28" t="n">
        <x:f>IF(M537=0,0,M537+O537)</x:f>
        <x:v>36</x:v>
      </x:c>
      <x:c r="F537" s="28" t="n">
        <x:f>IF(M537=0,0,M537*N537+O537)</x:f>
        <x:v>56</x:v>
      </x:c>
      <x:c r="G537" s="28" t="n">
        <x:f>ROUND(Catalogue!G30*SQRT((1+'Paramètres'!$B$4*(C537-1)+'Paramètres'!$B$5*(C537-1)^2)),0)</x:f>
        <x:v>0</x:v>
      </x:c>
      <x:c r="H537" s="28" t="n">
        <x:f>ROUND(Catalogue!H30*SQRT((1+'Paramètres'!$B$4*(C537-1)+'Paramètres'!$B$5*(C537-1)^2)),0)</x:f>
        <x:v>0</x:v>
      </x:c>
      <x:c r="I537" s="28" t="n">
        <x:v>3</x:v>
      </x:c>
      <x:c r="J537" s="28" t="n">
        <x:v>1</x:v>
      </x:c>
      <x:c r="K537" s="30" t="n">
        <x:v>3.6</x:v>
      </x:c>
      <x:c r="L537" s="54" t="n">
        <x:f>IF(M537=0,0,(E537+F537)/2)</x:f>
        <x:v>46</x:v>
      </x:c>
      <x:c r="M537" t="n">
        <x:v>4</x:v>
      </x:c>
      <x:c r="N537" t="n">
        <x:v>6</x:v>
      </x:c>
      <x:c r="O537" t="n">
        <x:v>32</x:v>
      </x:c>
      <x:c r="P537" s="63" t="str">
        <x:f>IF(M537=0,"—",M537&amp;"d"&amp;N537&amp;IF(O537=0,""," + "&amp;O537))</x:f>
        <x:v>4d6 + 32</x:v>
      </x:c>
      <x:c r="Q537" t="n">
        <x:f>ROUND(INDEX(Catalogue!E$4:E$85,MATCH(A537,Catalogue!A$4:A$85,0))*(1+'Paramètres'!$B$4*(C537-1)+'Paramètres'!$B$5*(C537-1)^2),0)</x:f>
        <x:v>36</x:v>
      </x:c>
      <x:c r="R537" t="n">
        <x:f>ROUND(INDEX(Catalogue!F$4:F$85,MATCH(A537,Catalogue!A$4:A$85,0))*(1+'Paramètres'!$B$4*(C537-1)+'Paramètres'!$B$5*(C537-1)^2),0)</x:f>
        <x:v>56</x:v>
      </x:c>
      <x:c r="S537" t="n">
        <x:f>L537-AVERAGE(Q537:R537)</x:f>
        <x:v>0</x:v>
      </x:c>
      <x:c r="T537" t="str">
        <x:f>IF(M537=0,IF(AND(N537=0,O537=0,E537=0,F537=0),"OK","ERREUR"),IF(AND(M537&gt;=1,M537&lt;=32,OR(N537=4,N537=6,N537=8,N537=10,N537=12,N537=20),O537&gt;=0,E537=M537+O537,F537=M537*N537+O537),"OK","ERREUR"))</x:f>
        <x:v>OK</x:v>
      </x:c>
      <x:c r="U537" s="86" t="n">
        <x:f>IF(M537&gt;0,M537*(N537+1)/2+O537,0)</x:f>
        <x:v>46</x:v>
      </x:c>
      <x:c r="V537" t="str">
        <x:f>IF(ABS(L537-U537)&lt;0.001,"OK","ERREUR")</x:f>
        <x:v>OK</x:v>
      </x:c>
    </x:row>
    <x:row r="538" ht="18" customHeight="1">
      <x:c r="A538" t="str">
        <x:v>ARM027</x:v>
      </x:c>
      <x:c r="B538" t="str">
        <x:v>Grande épée</x:v>
      </x:c>
      <x:c r="C538" t="n">
        <x:v>15</x:v>
      </x:c>
      <x:c r="D538" t="str">
        <x:v>Deux mains</x:v>
      </x:c>
      <x:c r="E538" s="28" t="n">
        <x:f>IF(M538=0,0,M538+O538)</x:f>
        <x:v>40</x:v>
      </x:c>
      <x:c r="F538" s="28" t="n">
        <x:f>IF(M538=0,0,M538*N538+O538)</x:f>
        <x:v>62</x:v>
      </x:c>
      <x:c r="G538" s="28" t="n">
        <x:f>ROUND(Catalogue!G30*SQRT((1+'Paramètres'!$B$4*(C538-1)+'Paramètres'!$B$5*(C538-1)^2)),0)</x:f>
        <x:v>0</x:v>
      </x:c>
      <x:c r="H538" s="28" t="n">
        <x:f>ROUND(Catalogue!H30*SQRT((1+'Paramètres'!$B$4*(C538-1)+'Paramètres'!$B$5*(C538-1)^2)),0)</x:f>
        <x:v>0</x:v>
      </x:c>
      <x:c r="I538" s="28" t="n">
        <x:v>3</x:v>
      </x:c>
      <x:c r="J538" s="28" t="n">
        <x:v>1</x:v>
      </x:c>
      <x:c r="K538" s="30" t="n">
        <x:v>3.6</x:v>
      </x:c>
      <x:c r="L538" s="54" t="n">
        <x:f>IF(M538=0,0,(E538+F538)/2)</x:f>
        <x:v>51</x:v>
      </x:c>
      <x:c r="M538" t="n">
        <x:v>2</x:v>
      </x:c>
      <x:c r="N538" t="n">
        <x:v>12</x:v>
      </x:c>
      <x:c r="O538" t="n">
        <x:v>38</x:v>
      </x:c>
      <x:c r="P538" s="63" t="str">
        <x:f>IF(M538=0,"—",M538&amp;"d"&amp;N538&amp;IF(O538=0,""," + "&amp;O538))</x:f>
        <x:v>2d12 + 38</x:v>
      </x:c>
      <x:c r="Q538" t="n">
        <x:f>ROUND(INDEX(Catalogue!E$4:E$85,MATCH(A538,Catalogue!A$4:A$85,0))*(1+'Paramètres'!$B$4*(C538-1)+'Paramètres'!$B$5*(C538-1)^2),0)</x:f>
        <x:v>40</x:v>
      </x:c>
      <x:c r="R538" t="n">
        <x:f>ROUND(INDEX(Catalogue!F$4:F$85,MATCH(A538,Catalogue!A$4:A$85,0))*(1+'Paramètres'!$B$4*(C538-1)+'Paramètres'!$B$5*(C538-1)^2),0)</x:f>
        <x:v>62</x:v>
      </x:c>
      <x:c r="S538" t="n">
        <x:f>L538-AVERAGE(Q538:R538)</x:f>
        <x:v>0</x:v>
      </x:c>
      <x:c r="T538" t="str">
        <x:f>IF(M538=0,IF(AND(N538=0,O538=0,E538=0,F538=0),"OK","ERREUR"),IF(AND(M538&gt;=1,M538&lt;=32,OR(N538=4,N538=6,N538=8,N538=10,N538=12,N538=20),O538&gt;=0,E538=M538+O538,F538=M538*N538+O538),"OK","ERREUR"))</x:f>
        <x:v>OK</x:v>
      </x:c>
      <x:c r="U538" s="86" t="n">
        <x:f>IF(M538&gt;0,M538*(N538+1)/2+O538,0)</x:f>
        <x:v>51</x:v>
      </x:c>
      <x:c r="V538" t="str">
        <x:f>IF(ABS(L538-U538)&lt;0.001,"OK","ERREUR")</x:f>
        <x:v>OK</x:v>
      </x:c>
    </x:row>
    <x:row r="539" ht="18" customHeight="1">
      <x:c r="A539" t="str">
        <x:v>ARM027</x:v>
      </x:c>
      <x:c r="B539" t="str">
        <x:v>Grande épée</x:v>
      </x:c>
      <x:c r="C539" t="n">
        <x:v>16</x:v>
      </x:c>
      <x:c r="D539" t="str">
        <x:v>Deux mains</x:v>
      </x:c>
      <x:c r="E539" s="28" t="n">
        <x:f>IF(M539=0,0,M539+O539)</x:f>
        <x:v>44</x:v>
      </x:c>
      <x:c r="F539" s="28" t="n">
        <x:f>IF(M539=0,0,M539*N539+O539)</x:f>
        <x:v>69</x:v>
      </x:c>
      <x:c r="G539" s="28" t="n">
        <x:f>ROUND(Catalogue!G30*SQRT((1+'Paramètres'!$B$4*(C539-1)+'Paramètres'!$B$5*(C539-1)^2)),0)</x:f>
        <x:v>0</x:v>
      </x:c>
      <x:c r="H539" s="28" t="n">
        <x:f>ROUND(Catalogue!H30*SQRT((1+'Paramètres'!$B$4*(C539-1)+'Paramètres'!$B$5*(C539-1)^2)),0)</x:f>
        <x:v>0</x:v>
      </x:c>
      <x:c r="I539" s="28" t="n">
        <x:v>3</x:v>
      </x:c>
      <x:c r="J539" s="28" t="n">
        <x:v>1</x:v>
      </x:c>
      <x:c r="K539" s="30" t="n">
        <x:v>3.6</x:v>
      </x:c>
      <x:c r="L539" s="54" t="n">
        <x:f>IF(M539=0,0,(E539+F539)/2)</x:f>
        <x:v>56.5</x:v>
      </x:c>
      <x:c r="M539" t="n">
        <x:v>5</x:v>
      </x:c>
      <x:c r="N539" t="n">
        <x:v>6</x:v>
      </x:c>
      <x:c r="O539" t="n">
        <x:v>39</x:v>
      </x:c>
      <x:c r="P539" s="63" t="str">
        <x:f>IF(M539=0,"—",M539&amp;"d"&amp;N539&amp;IF(O539=0,""," + "&amp;O539))</x:f>
        <x:v>5d6 + 39</x:v>
      </x:c>
      <x:c r="Q539" t="n">
        <x:f>ROUND(INDEX(Catalogue!E$4:E$85,MATCH(A539,Catalogue!A$4:A$85,0))*(1+'Paramètres'!$B$4*(C539-1)+'Paramètres'!$B$5*(C539-1)^2),0)</x:f>
        <x:v>44</x:v>
      </x:c>
      <x:c r="R539" t="n">
        <x:f>ROUND(INDEX(Catalogue!F$4:F$85,MATCH(A539,Catalogue!A$4:A$85,0))*(1+'Paramètres'!$B$4*(C539-1)+'Paramètres'!$B$5*(C539-1)^2),0)</x:f>
        <x:v>69</x:v>
      </x:c>
      <x:c r="S539" t="n">
        <x:f>L539-AVERAGE(Q539:R539)</x:f>
        <x:v>0</x:v>
      </x:c>
      <x:c r="T539" t="str">
        <x:f>IF(M539=0,IF(AND(N539=0,O539=0,E539=0,F539=0),"OK","ERREUR"),IF(AND(M539&gt;=1,M539&lt;=32,OR(N539=4,N539=6,N539=8,N539=10,N539=12,N539=20),O539&gt;=0,E539=M539+O539,F539=M539*N539+O539),"OK","ERREUR"))</x:f>
        <x:v>OK</x:v>
      </x:c>
      <x:c r="U539" s="86" t="n">
        <x:f>IF(M539&gt;0,M539*(N539+1)/2+O539,0)</x:f>
        <x:v>56.5</x:v>
      </x:c>
      <x:c r="V539" t="str">
        <x:f>IF(ABS(L539-U539)&lt;0.001,"OK","ERREUR")</x:f>
        <x:v>OK</x:v>
      </x:c>
    </x:row>
    <x:row r="540" ht="18" customHeight="1">
      <x:c r="A540" t="str">
        <x:v>ARM027</x:v>
      </x:c>
      <x:c r="B540" t="str">
        <x:v>Grande épée</x:v>
      </x:c>
      <x:c r="C540" t="n">
        <x:v>17</x:v>
      </x:c>
      <x:c r="D540" t="str">
        <x:v>Deux mains</x:v>
      </x:c>
      <x:c r="E540" s="28" t="n">
        <x:f>IF(M540=0,0,M540+O540)</x:f>
        <x:v>48</x:v>
      </x:c>
      <x:c r="F540" s="28" t="n">
        <x:f>IF(M540=0,0,M540*N540+O540)</x:f>
        <x:v>75</x:v>
      </x:c>
      <x:c r="G540" s="28" t="n">
        <x:f>ROUND(Catalogue!G30*SQRT((1+'Paramètres'!$B$4*(C540-1)+'Paramètres'!$B$5*(C540-1)^2)),0)</x:f>
        <x:v>0</x:v>
      </x:c>
      <x:c r="H540" s="28" t="n">
        <x:f>ROUND(Catalogue!H30*SQRT((1+'Paramètres'!$B$4*(C540-1)+'Paramètres'!$B$5*(C540-1)^2)),0)</x:f>
        <x:v>0</x:v>
      </x:c>
      <x:c r="I540" s="28" t="n">
        <x:v>3</x:v>
      </x:c>
      <x:c r="J540" s="28" t="n">
        <x:v>1</x:v>
      </x:c>
      <x:c r="K540" s="30" t="n">
        <x:v>3.6</x:v>
      </x:c>
      <x:c r="L540" s="54" t="n">
        <x:f>IF(M540=0,0,(E540+F540)/2)</x:f>
        <x:v>61.5</x:v>
      </x:c>
      <x:c r="M540" t="n">
        <x:v>3</x:v>
      </x:c>
      <x:c r="N540" t="n">
        <x:v>10</x:v>
      </x:c>
      <x:c r="O540" t="n">
        <x:v>45</x:v>
      </x:c>
      <x:c r="P540" s="63" t="str">
        <x:f>IF(M540=0,"—",M540&amp;"d"&amp;N540&amp;IF(O540=0,""," + "&amp;O540))</x:f>
        <x:v>3d10 + 45</x:v>
      </x:c>
      <x:c r="Q540" t="n">
        <x:f>ROUND(INDEX(Catalogue!E$4:E$85,MATCH(A540,Catalogue!A$4:A$85,0))*(1+'Paramètres'!$B$4*(C540-1)+'Paramètres'!$B$5*(C540-1)^2),0)</x:f>
        <x:v>48</x:v>
      </x:c>
      <x:c r="R540" t="n">
        <x:f>ROUND(INDEX(Catalogue!F$4:F$85,MATCH(A540,Catalogue!A$4:A$85,0))*(1+'Paramètres'!$B$4*(C540-1)+'Paramètres'!$B$5*(C540-1)^2),0)</x:f>
        <x:v>75</x:v>
      </x:c>
      <x:c r="S540" t="n">
        <x:f>L540-AVERAGE(Q540:R540)</x:f>
        <x:v>0</x:v>
      </x:c>
      <x:c r="T540" t="str">
        <x:f>IF(M540=0,IF(AND(N540=0,O540=0,E540=0,F540=0),"OK","ERREUR"),IF(AND(M540&gt;=1,M540&lt;=32,OR(N540=4,N540=6,N540=8,N540=10,N540=12,N540=20),O540&gt;=0,E540=M540+O540,F540=M540*N540+O540),"OK","ERREUR"))</x:f>
        <x:v>OK</x:v>
      </x:c>
      <x:c r="U540" s="86" t="n">
        <x:f>IF(M540&gt;0,M540*(N540+1)/2+O540,0)</x:f>
        <x:v>61.5</x:v>
      </x:c>
      <x:c r="V540" t="str">
        <x:f>IF(ABS(L540-U540)&lt;0.001,"OK","ERREUR")</x:f>
        <x:v>OK</x:v>
      </x:c>
    </x:row>
    <x:row r="541" ht="18" customHeight="1">
      <x:c r="A541" t="str">
        <x:v>ARM027</x:v>
      </x:c>
      <x:c r="B541" t="str">
        <x:v>Grande épée</x:v>
      </x:c>
      <x:c r="C541" t="n">
        <x:v>18</x:v>
      </x:c>
      <x:c r="D541" t="str">
        <x:v>Deux mains</x:v>
      </x:c>
      <x:c r="E541" s="28" t="n">
        <x:f>IF(M541=0,0,M541+O541)</x:f>
        <x:v>52</x:v>
      </x:c>
      <x:c r="F541" s="28" t="n">
        <x:f>IF(M541=0,0,M541*N541+O541)</x:f>
        <x:v>82</x:v>
      </x:c>
      <x:c r="G541" s="28" t="n">
        <x:f>ROUND(Catalogue!G30*SQRT((1+'Paramètres'!$B$4*(C541-1)+'Paramètres'!$B$5*(C541-1)^2)),0)</x:f>
        <x:v>0</x:v>
      </x:c>
      <x:c r="H541" s="28" t="n">
        <x:f>ROUND(Catalogue!H30*SQRT((1+'Paramètres'!$B$4*(C541-1)+'Paramètres'!$B$5*(C541-1)^2)),0)</x:f>
        <x:v>0</x:v>
      </x:c>
      <x:c r="I541" s="28" t="n">
        <x:v>3</x:v>
      </x:c>
      <x:c r="J541" s="28" t="n">
        <x:v>1</x:v>
      </x:c>
      <x:c r="K541" s="30" t="n">
        <x:v>3.6</x:v>
      </x:c>
      <x:c r="L541" s="54" t="n">
        <x:f>IF(M541=0,0,(E541+F541)/2)</x:f>
        <x:v>67</x:v>
      </x:c>
      <x:c r="M541" t="n">
        <x:v>6</x:v>
      </x:c>
      <x:c r="N541" t="n">
        <x:v>6</x:v>
      </x:c>
      <x:c r="O541" t="n">
        <x:v>46</x:v>
      </x:c>
      <x:c r="P541" s="63" t="str">
        <x:f>IF(M541=0,"—",M541&amp;"d"&amp;N541&amp;IF(O541=0,""," + "&amp;O541))</x:f>
        <x:v>6d6 + 46</x:v>
      </x:c>
      <x:c r="Q541" t="n">
        <x:f>ROUND(INDEX(Catalogue!E$4:E$85,MATCH(A541,Catalogue!A$4:A$85,0))*(1+'Paramètres'!$B$4*(C541-1)+'Paramètres'!$B$5*(C541-1)^2),0)</x:f>
        <x:v>52</x:v>
      </x:c>
      <x:c r="R541" t="n">
        <x:f>ROUND(INDEX(Catalogue!F$4:F$85,MATCH(A541,Catalogue!A$4:A$85,0))*(1+'Paramètres'!$B$4*(C541-1)+'Paramètres'!$B$5*(C541-1)^2),0)</x:f>
        <x:v>82</x:v>
      </x:c>
      <x:c r="S541" t="n">
        <x:f>L541-AVERAGE(Q541:R541)</x:f>
        <x:v>0</x:v>
      </x:c>
      <x:c r="T541" t="str">
        <x:f>IF(M541=0,IF(AND(N541=0,O541=0,E541=0,F541=0),"OK","ERREUR"),IF(AND(M541&gt;=1,M541&lt;=32,OR(N541=4,N541=6,N541=8,N541=10,N541=12,N541=20),O541&gt;=0,E541=M541+O541,F541=M541*N541+O541),"OK","ERREUR"))</x:f>
        <x:v>OK</x:v>
      </x:c>
      <x:c r="U541" s="86" t="n">
        <x:f>IF(M541&gt;0,M541*(N541+1)/2+O541,0)</x:f>
        <x:v>67</x:v>
      </x:c>
      <x:c r="V541" t="str">
        <x:f>IF(ABS(L541-U541)&lt;0.001,"OK","ERREUR")</x:f>
        <x:v>OK</x:v>
      </x:c>
    </x:row>
    <x:row r="542" ht="18" customHeight="1">
      <x:c r="A542" t="str">
        <x:v>ARM027</x:v>
      </x:c>
      <x:c r="B542" t="str">
        <x:v>Grande épée</x:v>
      </x:c>
      <x:c r="C542" t="n">
        <x:v>19</x:v>
      </x:c>
      <x:c r="D542" t="str">
        <x:v>Deux mains</x:v>
      </x:c>
      <x:c r="E542" s="28" t="n">
        <x:f>IF(M542=0,0,M542+O542)</x:f>
        <x:v>57</x:v>
      </x:c>
      <x:c r="F542" s="28" t="n">
        <x:f>IF(M542=0,0,M542*N542+O542)</x:f>
        <x:v>90</x:v>
      </x:c>
      <x:c r="G542" s="28" t="n">
        <x:f>ROUND(Catalogue!G30*SQRT((1+'Paramètres'!$B$4*(C542-1)+'Paramètres'!$B$5*(C542-1)^2)),0)</x:f>
        <x:v>0</x:v>
      </x:c>
      <x:c r="H542" s="28" t="n">
        <x:f>ROUND(Catalogue!H30*SQRT((1+'Paramètres'!$B$4*(C542-1)+'Paramètres'!$B$5*(C542-1)^2)),0)</x:f>
        <x:v>0</x:v>
      </x:c>
      <x:c r="I542" s="28" t="n">
        <x:v>3</x:v>
      </x:c>
      <x:c r="J542" s="28" t="n">
        <x:v>1</x:v>
      </x:c>
      <x:c r="K542" s="30" t="n">
        <x:v>3.6</x:v>
      </x:c>
      <x:c r="L542" s="54" t="n">
        <x:f>IF(M542=0,0,(E542+F542)/2)</x:f>
        <x:v>73.5</x:v>
      </x:c>
      <x:c r="M542" t="n">
        <x:v>3</x:v>
      </x:c>
      <x:c r="N542" t="n">
        <x:v>12</x:v>
      </x:c>
      <x:c r="O542" t="n">
        <x:v>54</x:v>
      </x:c>
      <x:c r="P542" s="63" t="str">
        <x:f>IF(M542=0,"—",M542&amp;"d"&amp;N542&amp;IF(O542=0,""," + "&amp;O542))</x:f>
        <x:v>3d12 + 54</x:v>
      </x:c>
      <x:c r="Q542" t="n">
        <x:f>ROUND(INDEX(Catalogue!E$4:E$85,MATCH(A542,Catalogue!A$4:A$85,0))*(1+'Paramètres'!$B$4*(C542-1)+'Paramètres'!$B$5*(C542-1)^2),0)</x:f>
        <x:v>57</x:v>
      </x:c>
      <x:c r="R542" t="n">
        <x:f>ROUND(INDEX(Catalogue!F$4:F$85,MATCH(A542,Catalogue!A$4:A$85,0))*(1+'Paramètres'!$B$4*(C542-1)+'Paramètres'!$B$5*(C542-1)^2),0)</x:f>
        <x:v>90</x:v>
      </x:c>
      <x:c r="S542" t="n">
        <x:f>L542-AVERAGE(Q542:R542)</x:f>
        <x:v>0</x:v>
      </x:c>
      <x:c r="T542" t="str">
        <x:f>IF(M542=0,IF(AND(N542=0,O542=0,E542=0,F542=0),"OK","ERREUR"),IF(AND(M542&gt;=1,M542&lt;=32,OR(N542=4,N542=6,N542=8,N542=10,N542=12,N542=20),O542&gt;=0,E542=M542+O542,F542=M542*N542+O542),"OK","ERREUR"))</x:f>
        <x:v>OK</x:v>
      </x:c>
      <x:c r="U542" s="86" t="n">
        <x:f>IF(M542&gt;0,M542*(N542+1)/2+O542,0)</x:f>
        <x:v>73.5</x:v>
      </x:c>
      <x:c r="V542" t="str">
        <x:f>IF(ABS(L542-U542)&lt;0.001,"OK","ERREUR")</x:f>
        <x:v>OK</x:v>
      </x:c>
    </x:row>
    <x:row r="543" ht="18" customHeight="1">
      <x:c r="A543" t="str">
        <x:v>ARM027</x:v>
      </x:c>
      <x:c r="B543" t="str">
        <x:v>Grande épée</x:v>
      </x:c>
      <x:c r="C543" t="n">
        <x:v>20</x:v>
      </x:c>
      <x:c r="D543" t="str">
        <x:v>Deux mains</x:v>
      </x:c>
      <x:c r="E543" s="28" t="n">
        <x:f>IF(M543=0,0,M543+O543)</x:f>
        <x:v>62</x:v>
      </x:c>
      <x:c r="F543" s="28" t="n">
        <x:f>IF(M543=0,0,M543*N543+O543)</x:f>
        <x:v>98</x:v>
      </x:c>
      <x:c r="G543" s="28" t="n">
        <x:f>ROUND(Catalogue!G30*SQRT((1+'Paramètres'!$B$4*(C543-1)+'Paramètres'!$B$5*(C543-1)^2)),0)</x:f>
        <x:v>0</x:v>
      </x:c>
      <x:c r="H543" s="28" t="n">
        <x:f>ROUND(Catalogue!H30*SQRT((1+'Paramètres'!$B$4*(C543-1)+'Paramètres'!$B$5*(C543-1)^2)),0)</x:f>
        <x:v>0</x:v>
      </x:c>
      <x:c r="I543" s="28" t="n">
        <x:v>3</x:v>
      </x:c>
      <x:c r="J543" s="28" t="n">
        <x:v>1</x:v>
      </x:c>
      <x:c r="K543" s="30" t="n">
        <x:v>3.6</x:v>
      </x:c>
      <x:c r="L543" s="54" t="n">
        <x:f>IF(M543=0,0,(E543+F543)/2)</x:f>
        <x:v>80</x:v>
      </x:c>
      <x:c r="M543" t="n">
        <x:v>4</x:v>
      </x:c>
      <x:c r="N543" t="n">
        <x:v>10</x:v>
      </x:c>
      <x:c r="O543" t="n">
        <x:v>58</x:v>
      </x:c>
      <x:c r="P543" s="63" t="str">
        <x:f>IF(M543=0,"—",M543&amp;"d"&amp;N543&amp;IF(O543=0,""," + "&amp;O543))</x:f>
        <x:v>4d10 + 58</x:v>
      </x:c>
      <x:c r="Q543" t="n">
        <x:f>ROUND(INDEX(Catalogue!E$4:E$85,MATCH(A543,Catalogue!A$4:A$85,0))*(1+'Paramètres'!$B$4*(C543-1)+'Paramètres'!$B$5*(C543-1)^2),0)</x:f>
        <x:v>62</x:v>
      </x:c>
      <x:c r="R543" t="n">
        <x:f>ROUND(INDEX(Catalogue!F$4:F$85,MATCH(A543,Catalogue!A$4:A$85,0))*(1+'Paramètres'!$B$4*(C543-1)+'Paramètres'!$B$5*(C543-1)^2),0)</x:f>
        <x:v>98</x:v>
      </x:c>
      <x:c r="S543" t="n">
        <x:f>L543-AVERAGE(Q543:R543)</x:f>
        <x:v>0</x:v>
      </x:c>
      <x:c r="T543" t="str">
        <x:f>IF(M543=0,IF(AND(N543=0,O543=0,E543=0,F543=0),"OK","ERREUR"),IF(AND(M543&gt;=1,M543&lt;=32,OR(N543=4,N543=6,N543=8,N543=10,N543=12,N543=20),O543&gt;=0,E543=M543+O543,F543=M543*N543+O543),"OK","ERREUR"))</x:f>
        <x:v>OK</x:v>
      </x:c>
      <x:c r="U543" s="86" t="n">
        <x:f>IF(M543&gt;0,M543*(N543+1)/2+O543,0)</x:f>
        <x:v>80</x:v>
      </x:c>
      <x:c r="V543" t="str">
        <x:f>IF(ABS(L543-U543)&lt;0.001,"OK","ERREUR")</x:f>
        <x:v>OK</x:v>
      </x:c>
    </x:row>
    <x:row r="544" ht="18" customHeight="1">
      <x:c r="A544" t="str">
        <x:v>ARM028</x:v>
      </x:c>
      <x:c r="B544" t="str">
        <x:v>Claymore</x:v>
      </x:c>
      <x:c r="C544" t="n">
        <x:v>1</x:v>
      </x:c>
      <x:c r="D544" t="str">
        <x:v>Deux mains</x:v>
      </x:c>
      <x:c r="E544" s="28" t="n">
        <x:f>IF(M544=0,0,M544+O544)</x:f>
        <x:v>7</x:v>
      </x:c>
      <x:c r="F544" s="28" t="n">
        <x:f>IF(M544=0,0,M544*N544+O544)</x:f>
        <x:v>12</x:v>
      </x:c>
      <x:c r="G544" s="28" t="n">
        <x:f>ROUND(Catalogue!G31*SQRT((1+'Paramètres'!$B$4*(C544-1)+'Paramètres'!$B$5*(C544-1)^2)),0)</x:f>
        <x:v>0</x:v>
      </x:c>
      <x:c r="H544" s="28" t="n">
        <x:f>ROUND(Catalogue!H31*SQRT((1+'Paramètres'!$B$4*(C544-1)+'Paramètres'!$B$5*(C544-1)^2)),0)</x:f>
        <x:v>0</x:v>
      </x:c>
      <x:c r="I544" s="28" t="n">
        <x:v>3</x:v>
      </x:c>
      <x:c r="J544" s="28" t="n">
        <x:v>1</x:v>
      </x:c>
      <x:c r="K544" s="30" t="n">
        <x:v>3.8</x:v>
      </x:c>
      <x:c r="L544" s="54" t="n">
        <x:f>IF(M544=0,0,(E544+F544)/2)</x:f>
        <x:v>9.5</x:v>
      </x:c>
      <x:c r="M544" t="n">
        <x:v>1</x:v>
      </x:c>
      <x:c r="N544" t="n">
        <x:v>6</x:v>
      </x:c>
      <x:c r="O544" t="n">
        <x:v>6</x:v>
      </x:c>
      <x:c r="P544" s="63" t="str">
        <x:f>IF(M544=0,"—",M544&amp;"d"&amp;N544&amp;IF(O544=0,""," + "&amp;O544))</x:f>
        <x:v>1d6 + 6</x:v>
      </x:c>
      <x:c r="Q544" t="n">
        <x:f>ROUND(INDEX(Catalogue!E$4:E$85,MATCH(A544,Catalogue!A$4:A$85,0))*(1+'Paramètres'!$B$4*(C544-1)+'Paramètres'!$B$5*(C544-1)^2),0)</x:f>
        <x:v>7</x:v>
      </x:c>
      <x:c r="R544" t="n">
        <x:f>ROUND(INDEX(Catalogue!F$4:F$85,MATCH(A544,Catalogue!A$4:A$85,0))*(1+'Paramètres'!$B$4*(C544-1)+'Paramètres'!$B$5*(C544-1)^2),0)</x:f>
        <x:v>12</x:v>
      </x:c>
      <x:c r="S544" t="n">
        <x:f>L544-AVERAGE(Q544:R544)</x:f>
        <x:v>0</x:v>
      </x:c>
      <x:c r="T544" t="str">
        <x:f>IF(M544=0,IF(AND(N544=0,O544=0,E544=0,F544=0),"OK","ERREUR"),IF(AND(M544&gt;=1,M544&lt;=32,OR(N544=4,N544=6,N544=8,N544=10,N544=12,N544=20),O544&gt;=0,E544=M544+O544,F544=M544*N544+O544),"OK","ERREUR"))</x:f>
        <x:v>OK</x:v>
      </x:c>
      <x:c r="U544" s="86" t="n">
        <x:f>IF(M544&gt;0,M544*(N544+1)/2+O544,0)</x:f>
        <x:v>9.5</x:v>
      </x:c>
      <x:c r="V544" t="str">
        <x:f>IF(ABS(L544-U544)&lt;0.001,"OK","ERREUR")</x:f>
        <x:v>OK</x:v>
      </x:c>
    </x:row>
    <x:row r="545" ht="18" customHeight="1">
      <x:c r="A545" t="str">
        <x:v>ARM028</x:v>
      </x:c>
      <x:c r="B545" t="str">
        <x:v>Claymore</x:v>
      </x:c>
      <x:c r="C545" t="n">
        <x:v>2</x:v>
      </x:c>
      <x:c r="D545" t="str">
        <x:v>Deux mains</x:v>
      </x:c>
      <x:c r="E545" s="28" t="n">
        <x:f>IF(M545=0,0,M545+O545)</x:f>
        <x:v>9</x:v>
      </x:c>
      <x:c r="F545" s="28" t="n">
        <x:f>IF(M545=0,0,M545*N545+O545)</x:f>
        <x:v>14</x:v>
      </x:c>
      <x:c r="G545" s="28" t="n">
        <x:f>ROUND(Catalogue!G31*SQRT((1+'Paramètres'!$B$4*(C545-1)+'Paramètres'!$B$5*(C545-1)^2)),0)</x:f>
        <x:v>0</x:v>
      </x:c>
      <x:c r="H545" s="28" t="n">
        <x:f>ROUND(Catalogue!H31*SQRT((1+'Paramètres'!$B$4*(C545-1)+'Paramètres'!$B$5*(C545-1)^2)),0)</x:f>
        <x:v>0</x:v>
      </x:c>
      <x:c r="I545" s="28" t="n">
        <x:v>3</x:v>
      </x:c>
      <x:c r="J545" s="28" t="n">
        <x:v>1</x:v>
      </x:c>
      <x:c r="K545" s="30" t="n">
        <x:v>3.8</x:v>
      </x:c>
      <x:c r="L545" s="54" t="n">
        <x:f>IF(M545=0,0,(E545+F545)/2)</x:f>
        <x:v>11.5</x:v>
      </x:c>
      <x:c r="M545" t="n">
        <x:v>1</x:v>
      </x:c>
      <x:c r="N545" t="n">
        <x:v>6</x:v>
      </x:c>
      <x:c r="O545" t="n">
        <x:v>8</x:v>
      </x:c>
      <x:c r="P545" s="63" t="str">
        <x:f>IF(M545=0,"—",M545&amp;"d"&amp;N545&amp;IF(O545=0,""," + "&amp;O545))</x:f>
        <x:v>1d6 + 8</x:v>
      </x:c>
      <x:c r="Q545" t="n">
        <x:f>ROUND(INDEX(Catalogue!E$4:E$85,MATCH(A545,Catalogue!A$4:A$85,0))*(1+'Paramètres'!$B$4*(C545-1)+'Paramètres'!$B$5*(C545-1)^2),0)</x:f>
        <x:v>8</x:v>
      </x:c>
      <x:c r="R545" t="n">
        <x:f>ROUND(INDEX(Catalogue!F$4:F$85,MATCH(A545,Catalogue!A$4:A$85,0))*(1+'Paramètres'!$B$4*(C545-1)+'Paramètres'!$B$5*(C545-1)^2),0)</x:f>
        <x:v>14</x:v>
      </x:c>
      <x:c r="S545" t="n">
        <x:f>L545-AVERAGE(Q545:R545)</x:f>
        <x:v>0.5</x:v>
      </x:c>
      <x:c r="T545" t="str">
        <x:f>IF(M545=0,IF(AND(N545=0,O545=0,E545=0,F545=0),"OK","ERREUR"),IF(AND(M545&gt;=1,M545&lt;=32,OR(N545=4,N545=6,N545=8,N545=10,N545=12,N545=20),O545&gt;=0,E545=M545+O545,F545=M545*N545+O545),"OK","ERREUR"))</x:f>
        <x:v>OK</x:v>
      </x:c>
      <x:c r="U545" s="86" t="n">
        <x:f>IF(M545&gt;0,M545*(N545+1)/2+O545,0)</x:f>
        <x:v>11.5</x:v>
      </x:c>
      <x:c r="V545" t="str">
        <x:f>IF(ABS(L545-U545)&lt;0.001,"OK","ERREUR")</x:f>
        <x:v>OK</x:v>
      </x:c>
    </x:row>
    <x:row r="546" ht="18" customHeight="1">
      <x:c r="A546" t="str">
        <x:v>ARM028</x:v>
      </x:c>
      <x:c r="B546" t="str">
        <x:v>Claymore</x:v>
      </x:c>
      <x:c r="C546" t="n">
        <x:v>3</x:v>
      </x:c>
      <x:c r="D546" t="str">
        <x:v>Deux mains</x:v>
      </x:c>
      <x:c r="E546" s="28" t="n">
        <x:f>IF(M546=0,0,M546+O546)</x:f>
        <x:v>9</x:v>
      </x:c>
      <x:c r="F546" s="28" t="n">
        <x:f>IF(M546=0,0,M546*N546+O546)</x:f>
        <x:v>14</x:v>
      </x:c>
      <x:c r="G546" s="28" t="n">
        <x:f>ROUND(Catalogue!G31*SQRT((1+'Paramètres'!$B$4*(C546-1)+'Paramètres'!$B$5*(C546-1)^2)),0)</x:f>
        <x:v>0</x:v>
      </x:c>
      <x:c r="H546" s="28" t="n">
        <x:f>ROUND(Catalogue!H31*SQRT((1+'Paramètres'!$B$4*(C546-1)+'Paramètres'!$B$5*(C546-1)^2)),0)</x:f>
        <x:v>0</x:v>
      </x:c>
      <x:c r="I546" s="28" t="n">
        <x:v>3</x:v>
      </x:c>
      <x:c r="J546" s="28" t="n">
        <x:v>1</x:v>
      </x:c>
      <x:c r="K546" s="30" t="n">
        <x:v>3.8</x:v>
      </x:c>
      <x:c r="L546" s="54" t="n">
        <x:f>IF(M546=0,0,(E546+F546)/2)</x:f>
        <x:v>11.5</x:v>
      </x:c>
      <x:c r="M546" t="n">
        <x:v>1</x:v>
      </x:c>
      <x:c r="N546" t="n">
        <x:v>6</x:v>
      </x:c>
      <x:c r="O546" t="n">
        <x:v>8</x:v>
      </x:c>
      <x:c r="P546" s="63" t="str">
        <x:f>IF(M546=0,"—",M546&amp;"d"&amp;N546&amp;IF(O546=0,""," + "&amp;O546))</x:f>
        <x:v>1d6 + 8</x:v>
      </x:c>
      <x:c r="Q546" t="n">
        <x:f>ROUND(INDEX(Catalogue!E$4:E$85,MATCH(A546,Catalogue!A$4:A$85,0))*(1+'Paramètres'!$B$4*(C546-1)+'Paramètres'!$B$5*(C546-1)^2),0)</x:f>
        <x:v>9</x:v>
      </x:c>
      <x:c r="R546" t="n">
        <x:f>ROUND(INDEX(Catalogue!F$4:F$85,MATCH(A546,Catalogue!A$4:A$85,0))*(1+'Paramètres'!$B$4*(C546-1)+'Paramètres'!$B$5*(C546-1)^2),0)</x:f>
        <x:v>15</x:v>
      </x:c>
      <x:c r="S546" t="n">
        <x:f>L546-AVERAGE(Q546:R546)</x:f>
        <x:v>-0.5</x:v>
      </x:c>
      <x:c r="T546" t="str">
        <x:f>IF(M546=0,IF(AND(N546=0,O546=0,E546=0,F546=0),"OK","ERREUR"),IF(AND(M546&gt;=1,M546&lt;=32,OR(N546=4,N546=6,N546=8,N546=10,N546=12,N546=20),O546&gt;=0,E546=M546+O546,F546=M546*N546+O546),"OK","ERREUR"))</x:f>
        <x:v>OK</x:v>
      </x:c>
      <x:c r="U546" s="86" t="n">
        <x:f>IF(M546&gt;0,M546*(N546+1)/2+O546,0)</x:f>
        <x:v>11.5</x:v>
      </x:c>
      <x:c r="V546" t="str">
        <x:f>IF(ABS(L546-U546)&lt;0.001,"OK","ERREUR")</x:f>
        <x:v>OK</x:v>
      </x:c>
    </x:row>
    <x:row r="547" ht="18" customHeight="1">
      <x:c r="A547" t="str">
        <x:v>ARM028</x:v>
      </x:c>
      <x:c r="B547" t="str">
        <x:v>Claymore</x:v>
      </x:c>
      <x:c r="C547" t="n">
        <x:v>4</x:v>
      </x:c>
      <x:c r="D547" t="str">
        <x:v>Deux mains</x:v>
      </x:c>
      <x:c r="E547" s="28" t="n">
        <x:f>IF(M547=0,0,M547+O547)</x:f>
        <x:v>10</x:v>
      </x:c>
      <x:c r="F547" s="28" t="n">
        <x:f>IF(M547=0,0,M547*N547+O547)</x:f>
        <x:v>17</x:v>
      </x:c>
      <x:c r="G547" s="28" t="n">
        <x:f>ROUND(Catalogue!G31*SQRT((1+'Paramètres'!$B$4*(C547-1)+'Paramètres'!$B$5*(C547-1)^2)),0)</x:f>
        <x:v>0</x:v>
      </x:c>
      <x:c r="H547" s="28" t="n">
        <x:f>ROUND(Catalogue!H31*SQRT((1+'Paramètres'!$B$4*(C547-1)+'Paramètres'!$B$5*(C547-1)^2)),0)</x:f>
        <x:v>0</x:v>
      </x:c>
      <x:c r="I547" s="28" t="n">
        <x:v>3</x:v>
      </x:c>
      <x:c r="J547" s="28" t="n">
        <x:v>1</x:v>
      </x:c>
      <x:c r="K547" s="30" t="n">
        <x:v>3.8</x:v>
      </x:c>
      <x:c r="L547" s="54" t="n">
        <x:f>IF(M547=0,0,(E547+F547)/2)</x:f>
        <x:v>13.5</x:v>
      </x:c>
      <x:c r="M547" t="n">
        <x:v>1</x:v>
      </x:c>
      <x:c r="N547" t="n">
        <x:v>8</x:v>
      </x:c>
      <x:c r="O547" t="n">
        <x:v>9</x:v>
      </x:c>
      <x:c r="P547" s="63" t="str">
        <x:f>IF(M547=0,"—",M547&amp;"d"&amp;N547&amp;IF(O547=0,""," + "&amp;O547))</x:f>
        <x:v>1d8 + 9</x:v>
      </x:c>
      <x:c r="Q547" t="n">
        <x:f>ROUND(INDEX(Catalogue!E$4:E$85,MATCH(A547,Catalogue!A$4:A$85,0))*(1+'Paramètres'!$B$4*(C547-1)+'Paramètres'!$B$5*(C547-1)^2),0)</x:f>
        <x:v>10</x:v>
      </x:c>
      <x:c r="R547" t="n">
        <x:f>ROUND(INDEX(Catalogue!F$4:F$85,MATCH(A547,Catalogue!A$4:A$85,0))*(1+'Paramètres'!$B$4*(C547-1)+'Paramètres'!$B$5*(C547-1)^2),0)</x:f>
        <x:v>18</x:v>
      </x:c>
      <x:c r="S547" t="n">
        <x:f>L547-AVERAGE(Q547:R547)</x:f>
        <x:v>-0.5</x:v>
      </x:c>
      <x:c r="T547" t="str">
        <x:f>IF(M547=0,IF(AND(N547=0,O547=0,E547=0,F547=0),"OK","ERREUR"),IF(AND(M547&gt;=1,M547&lt;=32,OR(N547=4,N547=6,N547=8,N547=10,N547=12,N547=20),O547&gt;=0,E547=M547+O547,F547=M547*N547+O547),"OK","ERREUR"))</x:f>
        <x:v>OK</x:v>
      </x:c>
      <x:c r="U547" s="86" t="n">
        <x:f>IF(M547&gt;0,M547*(N547+1)/2+O547,0)</x:f>
        <x:v>13.5</x:v>
      </x:c>
      <x:c r="V547" t="str">
        <x:f>IF(ABS(L547-U547)&lt;0.001,"OK","ERREUR")</x:f>
        <x:v>OK</x:v>
      </x:c>
    </x:row>
    <x:row r="548" ht="18" customHeight="1">
      <x:c r="A548" t="str">
        <x:v>ARM028</x:v>
      </x:c>
      <x:c r="B548" t="str">
        <x:v>Claymore</x:v>
      </x:c>
      <x:c r="C548" t="n">
        <x:v>5</x:v>
      </x:c>
      <x:c r="D548" t="str">
        <x:v>Deux mains</x:v>
      </x:c>
      <x:c r="E548" s="28" t="n">
        <x:f>IF(M548=0,0,M548+O548)</x:f>
        <x:v>12</x:v>
      </x:c>
      <x:c r="F548" s="28" t="n">
        <x:f>IF(M548=0,0,M548*N548+O548)</x:f>
        <x:v>19</x:v>
      </x:c>
      <x:c r="G548" s="28" t="n">
        <x:f>ROUND(Catalogue!G31*SQRT((1+'Paramètres'!$B$4*(C548-1)+'Paramètres'!$B$5*(C548-1)^2)),0)</x:f>
        <x:v>0</x:v>
      </x:c>
      <x:c r="H548" s="28" t="n">
        <x:f>ROUND(Catalogue!H31*SQRT((1+'Paramètres'!$B$4*(C548-1)+'Paramètres'!$B$5*(C548-1)^2)),0)</x:f>
        <x:v>0</x:v>
      </x:c>
      <x:c r="I548" s="28" t="n">
        <x:v>3</x:v>
      </x:c>
      <x:c r="J548" s="28" t="n">
        <x:v>1</x:v>
      </x:c>
      <x:c r="K548" s="30" t="n">
        <x:v>3.8</x:v>
      </x:c>
      <x:c r="L548" s="54" t="n">
        <x:f>IF(M548=0,0,(E548+F548)/2)</x:f>
        <x:v>15.5</x:v>
      </x:c>
      <x:c r="M548" t="n">
        <x:v>1</x:v>
      </x:c>
      <x:c r="N548" t="n">
        <x:v>8</x:v>
      </x:c>
      <x:c r="O548" t="n">
        <x:v>11</x:v>
      </x:c>
      <x:c r="P548" s="63" t="str">
        <x:f>IF(M548=0,"—",M548&amp;"d"&amp;N548&amp;IF(O548=0,""," + "&amp;O548))</x:f>
        <x:v>1d8 + 11</x:v>
      </x:c>
      <x:c r="Q548" t="n">
        <x:f>ROUND(INDEX(Catalogue!E$4:E$85,MATCH(A548,Catalogue!A$4:A$85,0))*(1+'Paramètres'!$B$4*(C548-1)+'Paramètres'!$B$5*(C548-1)^2),0)</x:f>
        <x:v>12</x:v>
      </x:c>
      <x:c r="R548" t="n">
        <x:f>ROUND(INDEX(Catalogue!F$4:F$85,MATCH(A548,Catalogue!A$4:A$85,0))*(1+'Paramètres'!$B$4*(C548-1)+'Paramètres'!$B$5*(C548-1)^2),0)</x:f>
        <x:v>20</x:v>
      </x:c>
      <x:c r="S548" t="n">
        <x:f>L548-AVERAGE(Q548:R548)</x:f>
        <x:v>-0.5</x:v>
      </x:c>
      <x:c r="T548" t="str">
        <x:f>IF(M548=0,IF(AND(N548=0,O548=0,E548=0,F548=0),"OK","ERREUR"),IF(AND(M548&gt;=1,M548&lt;=32,OR(N548=4,N548=6,N548=8,N548=10,N548=12,N548=20),O548&gt;=0,E548=M548+O548,F548=M548*N548+O548),"OK","ERREUR"))</x:f>
        <x:v>OK</x:v>
      </x:c>
      <x:c r="U548" s="86" t="n">
        <x:f>IF(M548&gt;0,M548*(N548+1)/2+O548,0)</x:f>
        <x:v>15.5</x:v>
      </x:c>
      <x:c r="V548" t="str">
        <x:f>IF(ABS(L548-U548)&lt;0.001,"OK","ERREUR")</x:f>
        <x:v>OK</x:v>
      </x:c>
    </x:row>
    <x:row r="549" ht="18" customHeight="1">
      <x:c r="A549" t="str">
        <x:v>ARM028</x:v>
      </x:c>
      <x:c r="B549" t="str">
        <x:v>Claymore</x:v>
      </x:c>
      <x:c r="C549" t="n">
        <x:v>6</x:v>
      </x:c>
      <x:c r="D549" t="str">
        <x:v>Deux mains</x:v>
      </x:c>
      <x:c r="E549" s="28" t="n">
        <x:f>IF(M549=0,0,M549+O549)</x:f>
        <x:v>14</x:v>
      </x:c>
      <x:c r="F549" s="28" t="n">
        <x:f>IF(M549=0,0,M549*N549+O549)</x:f>
        <x:v>23</x:v>
      </x:c>
      <x:c r="G549" s="28" t="n">
        <x:f>ROUND(Catalogue!G31*SQRT((1+'Paramètres'!$B$4*(C549-1)+'Paramètres'!$B$5*(C549-1)^2)),0)</x:f>
        <x:v>0</x:v>
      </x:c>
      <x:c r="H549" s="28" t="n">
        <x:f>ROUND(Catalogue!H31*SQRT((1+'Paramètres'!$B$4*(C549-1)+'Paramètres'!$B$5*(C549-1)^2)),0)</x:f>
        <x:v>0</x:v>
      </x:c>
      <x:c r="I549" s="28" t="n">
        <x:v>3</x:v>
      </x:c>
      <x:c r="J549" s="28" t="n">
        <x:v>1</x:v>
      </x:c>
      <x:c r="K549" s="30" t="n">
        <x:v>3.8</x:v>
      </x:c>
      <x:c r="L549" s="54" t="n">
        <x:f>IF(M549=0,0,(E549+F549)/2)</x:f>
        <x:v>18.5</x:v>
      </x:c>
      <x:c r="M549" t="n">
        <x:v>1</x:v>
      </x:c>
      <x:c r="N549" t="n">
        <x:v>10</x:v>
      </x:c>
      <x:c r="O549" t="n">
        <x:v>13</x:v>
      </x:c>
      <x:c r="P549" s="63" t="str">
        <x:f>IF(M549=0,"—",M549&amp;"d"&amp;N549&amp;IF(O549=0,""," + "&amp;O549))</x:f>
        <x:v>1d10 + 13</x:v>
      </x:c>
      <x:c r="Q549" t="n">
        <x:f>ROUND(INDEX(Catalogue!E$4:E$85,MATCH(A549,Catalogue!A$4:A$85,0))*(1+'Paramètres'!$B$4*(C549-1)+'Paramètres'!$B$5*(C549-1)^2),0)</x:f>
        <x:v>14</x:v>
      </x:c>
      <x:c r="R549" t="n">
        <x:f>ROUND(INDEX(Catalogue!F$4:F$85,MATCH(A549,Catalogue!A$4:A$85,0))*(1+'Paramètres'!$B$4*(C549-1)+'Paramètres'!$B$5*(C549-1)^2),0)</x:f>
        <x:v>23</x:v>
      </x:c>
      <x:c r="S549" t="n">
        <x:f>L549-AVERAGE(Q549:R549)</x:f>
        <x:v>0</x:v>
      </x:c>
      <x:c r="T549" t="str">
        <x:f>IF(M549=0,IF(AND(N549=0,O549=0,E549=0,F549=0),"OK","ERREUR"),IF(AND(M549&gt;=1,M549&lt;=32,OR(N549=4,N549=6,N549=8,N549=10,N549=12,N549=20),O549&gt;=0,E549=M549+O549,F549=M549*N549+O549),"OK","ERREUR"))</x:f>
        <x:v>OK</x:v>
      </x:c>
      <x:c r="U549" s="86" t="n">
        <x:f>IF(M549&gt;0,M549*(N549+1)/2+O549,0)</x:f>
        <x:v>18.5</x:v>
      </x:c>
      <x:c r="V549" t="str">
        <x:f>IF(ABS(L549-U549)&lt;0.001,"OK","ERREUR")</x:f>
        <x:v>OK</x:v>
      </x:c>
    </x:row>
    <x:row r="550" ht="18" customHeight="1">
      <x:c r="A550" t="str">
        <x:v>ARM028</x:v>
      </x:c>
      <x:c r="B550" t="str">
        <x:v>Claymore</x:v>
      </x:c>
      <x:c r="C550" t="n">
        <x:v>7</x:v>
      </x:c>
      <x:c r="D550" t="str">
        <x:v>Deux mains</x:v>
      </x:c>
      <x:c r="E550" s="28" t="n">
        <x:f>IF(M550=0,0,M550+O550)</x:f>
        <x:v>16</x:v>
      </x:c>
      <x:c r="F550" s="28" t="n">
        <x:f>IF(M550=0,0,M550*N550+O550)</x:f>
        <x:v>27</x:v>
      </x:c>
      <x:c r="G550" s="28" t="n">
        <x:f>ROUND(Catalogue!G31*SQRT((1+'Paramètres'!$B$4*(C550-1)+'Paramètres'!$B$5*(C550-1)^2)),0)</x:f>
        <x:v>0</x:v>
      </x:c>
      <x:c r="H550" s="28" t="n">
        <x:f>ROUND(Catalogue!H31*SQRT((1+'Paramètres'!$B$4*(C550-1)+'Paramètres'!$B$5*(C550-1)^2)),0)</x:f>
        <x:v>0</x:v>
      </x:c>
      <x:c r="I550" s="28" t="n">
        <x:v>3</x:v>
      </x:c>
      <x:c r="J550" s="28" t="n">
        <x:v>1</x:v>
      </x:c>
      <x:c r="K550" s="30" t="n">
        <x:v>3.8</x:v>
      </x:c>
      <x:c r="L550" s="54" t="n">
        <x:f>IF(M550=0,0,(E550+F550)/2)</x:f>
        <x:v>21.5</x:v>
      </x:c>
      <x:c r="M550" t="n">
        <x:v>1</x:v>
      </x:c>
      <x:c r="N550" t="n">
        <x:v>12</x:v>
      </x:c>
      <x:c r="O550" t="n">
        <x:v>15</x:v>
      </x:c>
      <x:c r="P550" s="63" t="str">
        <x:f>IF(M550=0,"—",M550&amp;"d"&amp;N550&amp;IF(O550=0,""," + "&amp;O550))</x:f>
        <x:v>1d12 + 15</x:v>
      </x:c>
      <x:c r="Q550" t="n">
        <x:f>ROUND(INDEX(Catalogue!E$4:E$85,MATCH(A550,Catalogue!A$4:A$85,0))*(1+'Paramètres'!$B$4*(C550-1)+'Paramètres'!$B$5*(C550-1)^2),0)</x:f>
        <x:v>16</x:v>
      </x:c>
      <x:c r="R550" t="n">
        <x:f>ROUND(INDEX(Catalogue!F$4:F$85,MATCH(A550,Catalogue!A$4:A$85,0))*(1+'Paramètres'!$B$4*(C550-1)+'Paramètres'!$B$5*(C550-1)^2),0)</x:f>
        <x:v>27</x:v>
      </x:c>
      <x:c r="S550" t="n">
        <x:f>L550-AVERAGE(Q550:R550)</x:f>
        <x:v>0</x:v>
      </x:c>
      <x:c r="T550" t="str">
        <x:f>IF(M550=0,IF(AND(N550=0,O550=0,E550=0,F550=0),"OK","ERREUR"),IF(AND(M550&gt;=1,M550&lt;=32,OR(N550=4,N550=6,N550=8,N550=10,N550=12,N550=20),O550&gt;=0,E550=M550+O550,F550=M550*N550+O550),"OK","ERREUR"))</x:f>
        <x:v>OK</x:v>
      </x:c>
      <x:c r="U550" s="86" t="n">
        <x:f>IF(M550&gt;0,M550*(N550+1)/2+O550,0)</x:f>
        <x:v>21.5</x:v>
      </x:c>
      <x:c r="V550" t="str">
        <x:f>IF(ABS(L550-U550)&lt;0.001,"OK","ERREUR")</x:f>
        <x:v>OK</x:v>
      </x:c>
    </x:row>
    <x:row r="551" ht="18" customHeight="1">
      <x:c r="A551" t="str">
        <x:v>ARM028</x:v>
      </x:c>
      <x:c r="B551" t="str">
        <x:v>Claymore</x:v>
      </x:c>
      <x:c r="C551" t="n">
        <x:v>8</x:v>
      </x:c>
      <x:c r="D551" t="str">
        <x:v>Deux mains</x:v>
      </x:c>
      <x:c r="E551" s="28" t="n">
        <x:f>IF(M551=0,0,M551+O551)</x:f>
        <x:v>18</x:v>
      </x:c>
      <x:c r="F551" s="28" t="n">
        <x:f>IF(M551=0,0,M551*N551+O551)</x:f>
        <x:v>32</x:v>
      </x:c>
      <x:c r="G551" s="28" t="n">
        <x:f>ROUND(Catalogue!G31*SQRT((1+'Paramètres'!$B$4*(C551-1)+'Paramètres'!$B$5*(C551-1)^2)),0)</x:f>
        <x:v>0</x:v>
      </x:c>
      <x:c r="H551" s="28" t="n">
        <x:f>ROUND(Catalogue!H31*SQRT((1+'Paramètres'!$B$4*(C551-1)+'Paramètres'!$B$5*(C551-1)^2)),0)</x:f>
        <x:v>0</x:v>
      </x:c>
      <x:c r="I551" s="28" t="n">
        <x:v>3</x:v>
      </x:c>
      <x:c r="J551" s="28" t="n">
        <x:v>1</x:v>
      </x:c>
      <x:c r="K551" s="30" t="n">
        <x:v>3.8</x:v>
      </x:c>
      <x:c r="L551" s="54" t="n">
        <x:f>IF(M551=0,0,(E551+F551)/2)</x:f>
        <x:v>25</x:v>
      </x:c>
      <x:c r="M551" t="n">
        <x:v>2</x:v>
      </x:c>
      <x:c r="N551" t="n">
        <x:v>8</x:v>
      </x:c>
      <x:c r="O551" t="n">
        <x:v>16</x:v>
      </x:c>
      <x:c r="P551" s="63" t="str">
        <x:f>IF(M551=0,"—",M551&amp;"d"&amp;N551&amp;IF(O551=0,""," + "&amp;O551))</x:f>
        <x:v>2d8 + 16</x:v>
      </x:c>
      <x:c r="Q551" t="n">
        <x:f>ROUND(INDEX(Catalogue!E$4:E$85,MATCH(A551,Catalogue!A$4:A$85,0))*(1+'Paramètres'!$B$4*(C551-1)+'Paramètres'!$B$5*(C551-1)^2),0)</x:f>
        <x:v>18</x:v>
      </x:c>
      <x:c r="R551" t="n">
        <x:f>ROUND(INDEX(Catalogue!F$4:F$85,MATCH(A551,Catalogue!A$4:A$85,0))*(1+'Paramètres'!$B$4*(C551-1)+'Paramètres'!$B$5*(C551-1)^2),0)</x:f>
        <x:v>31</x:v>
      </x:c>
      <x:c r="S551" t="n">
        <x:f>L551-AVERAGE(Q551:R551)</x:f>
        <x:v>0.5</x:v>
      </x:c>
      <x:c r="T551" t="str">
        <x:f>IF(M551=0,IF(AND(N551=0,O551=0,E551=0,F551=0),"OK","ERREUR"),IF(AND(M551&gt;=1,M551&lt;=32,OR(N551=4,N551=6,N551=8,N551=10,N551=12,N551=20),O551&gt;=0,E551=M551+O551,F551=M551*N551+O551),"OK","ERREUR"))</x:f>
        <x:v>OK</x:v>
      </x:c>
      <x:c r="U551" s="86" t="n">
        <x:f>IF(M551&gt;0,M551*(N551+1)/2+O551,0)</x:f>
        <x:v>25</x:v>
      </x:c>
      <x:c r="V551" t="str">
        <x:f>IF(ABS(L551-U551)&lt;0.001,"OK","ERREUR")</x:f>
        <x:v>OK</x:v>
      </x:c>
    </x:row>
    <x:row r="552" ht="18" customHeight="1">
      <x:c r="A552" t="str">
        <x:v>ARM028</x:v>
      </x:c>
      <x:c r="B552" t="str">
        <x:v>Claymore</x:v>
      </x:c>
      <x:c r="C552" t="n">
        <x:v>9</x:v>
      </x:c>
      <x:c r="D552" t="str">
        <x:v>Deux mains</x:v>
      </x:c>
      <x:c r="E552" s="28" t="n">
        <x:f>IF(M552=0,0,M552+O552)</x:f>
        <x:v>20</x:v>
      </x:c>
      <x:c r="F552" s="28" t="n">
        <x:f>IF(M552=0,0,M552*N552+O552)</x:f>
        <x:v>35</x:v>
      </x:c>
      <x:c r="G552" s="28" t="n">
        <x:f>ROUND(Catalogue!G31*SQRT((1+'Paramètres'!$B$4*(C552-1)+'Paramètres'!$B$5*(C552-1)^2)),0)</x:f>
        <x:v>0</x:v>
      </x:c>
      <x:c r="H552" s="28" t="n">
        <x:f>ROUND(Catalogue!H31*SQRT((1+'Paramètres'!$B$4*(C552-1)+'Paramètres'!$B$5*(C552-1)^2)),0)</x:f>
        <x:v>0</x:v>
      </x:c>
      <x:c r="I552" s="28" t="n">
        <x:v>3</x:v>
      </x:c>
      <x:c r="J552" s="28" t="n">
        <x:v>1</x:v>
      </x:c>
      <x:c r="K552" s="30" t="n">
        <x:v>3.8</x:v>
      </x:c>
      <x:c r="L552" s="54" t="n">
        <x:f>IF(M552=0,0,(E552+F552)/2)</x:f>
        <x:v>27.5</x:v>
      </x:c>
      <x:c r="M552" t="n">
        <x:v>3</x:v>
      </x:c>
      <x:c r="N552" t="n">
        <x:v>6</x:v>
      </x:c>
      <x:c r="O552" t="n">
        <x:v>17</x:v>
      </x:c>
      <x:c r="P552" s="63" t="str">
        <x:f>IF(M552=0,"—",M552&amp;"d"&amp;N552&amp;IF(O552=0,""," + "&amp;O552))</x:f>
        <x:v>3d6 + 17</x:v>
      </x:c>
      <x:c r="Q552" t="n">
        <x:f>ROUND(INDEX(Catalogue!E$4:E$85,MATCH(A552,Catalogue!A$4:A$85,0))*(1+'Paramètres'!$B$4*(C552-1)+'Paramètres'!$B$5*(C552-1)^2),0)</x:f>
        <x:v>20</x:v>
      </x:c>
      <x:c r="R552" t="n">
        <x:f>ROUND(INDEX(Catalogue!F$4:F$85,MATCH(A552,Catalogue!A$4:A$85,0))*(1+'Paramètres'!$B$4*(C552-1)+'Paramètres'!$B$5*(C552-1)^2),0)</x:f>
        <x:v>35</x:v>
      </x:c>
      <x:c r="S552" t="n">
        <x:f>L552-AVERAGE(Q552:R552)</x:f>
        <x:v>0</x:v>
      </x:c>
      <x:c r="T552" t="str">
        <x:f>IF(M552=0,IF(AND(N552=0,O552=0,E552=0,F552=0),"OK","ERREUR"),IF(AND(M552&gt;=1,M552&lt;=32,OR(N552=4,N552=6,N552=8,N552=10,N552=12,N552=20),O552&gt;=0,E552=M552+O552,F552=M552*N552+O552),"OK","ERREUR"))</x:f>
        <x:v>OK</x:v>
      </x:c>
      <x:c r="U552" s="86" t="n">
        <x:f>IF(M552&gt;0,M552*(N552+1)/2+O552,0)</x:f>
        <x:v>27.5</x:v>
      </x:c>
      <x:c r="V552" t="str">
        <x:f>IF(ABS(L552-U552)&lt;0.001,"OK","ERREUR")</x:f>
        <x:v>OK</x:v>
      </x:c>
    </x:row>
    <x:row r="553" ht="18" customHeight="1">
      <x:c r="A553" t="str">
        <x:v>ARM028</x:v>
      </x:c>
      <x:c r="B553" t="str">
        <x:v>Claymore</x:v>
      </x:c>
      <x:c r="C553" t="n">
        <x:v>10</x:v>
      </x:c>
      <x:c r="D553" t="str">
        <x:v>Deux mains</x:v>
      </x:c>
      <x:c r="E553" s="28" t="n">
        <x:f>IF(M553=0,0,M553+O553)</x:f>
        <x:v>23</x:v>
      </x:c>
      <x:c r="F553" s="28" t="n">
        <x:f>IF(M553=0,0,M553*N553+O553)</x:f>
        <x:v>38</x:v>
      </x:c>
      <x:c r="G553" s="28" t="n">
        <x:f>ROUND(Catalogue!G31*SQRT((1+'Paramètres'!$B$4*(C553-1)+'Paramètres'!$B$5*(C553-1)^2)),0)</x:f>
        <x:v>0</x:v>
      </x:c>
      <x:c r="H553" s="28" t="n">
        <x:f>ROUND(Catalogue!H31*SQRT((1+'Paramètres'!$B$4*(C553-1)+'Paramètres'!$B$5*(C553-1)^2)),0)</x:f>
        <x:v>0</x:v>
      </x:c>
      <x:c r="I553" s="28" t="n">
        <x:v>3</x:v>
      </x:c>
      <x:c r="J553" s="28" t="n">
        <x:v>1</x:v>
      </x:c>
      <x:c r="K553" s="30" t="n">
        <x:v>3.8</x:v>
      </x:c>
      <x:c r="L553" s="54" t="n">
        <x:f>IF(M553=0,0,(E553+F553)/2)</x:f>
        <x:v>30.5</x:v>
      </x:c>
      <x:c r="M553" t="n">
        <x:v>3</x:v>
      </x:c>
      <x:c r="N553" t="n">
        <x:v>6</x:v>
      </x:c>
      <x:c r="O553" t="n">
        <x:v>20</x:v>
      </x:c>
      <x:c r="P553" s="63" t="str">
        <x:f>IF(M553=0,"—",M553&amp;"d"&amp;N553&amp;IF(O553=0,""," + "&amp;O553))</x:f>
        <x:v>3d6 + 20</x:v>
      </x:c>
      <x:c r="Q553" t="n">
        <x:f>ROUND(INDEX(Catalogue!E$4:E$85,MATCH(A553,Catalogue!A$4:A$85,0))*(1+'Paramètres'!$B$4*(C553-1)+'Paramètres'!$B$5*(C553-1)^2),0)</x:f>
        <x:v>23</x:v>
      </x:c>
      <x:c r="R553" t="n">
        <x:f>ROUND(INDEX(Catalogue!F$4:F$85,MATCH(A553,Catalogue!A$4:A$85,0))*(1+'Paramètres'!$B$4*(C553-1)+'Paramètres'!$B$5*(C553-1)^2),0)</x:f>
        <x:v>39</x:v>
      </x:c>
      <x:c r="S553" t="n">
        <x:f>L553-AVERAGE(Q553:R553)</x:f>
        <x:v>-0.5</x:v>
      </x:c>
      <x:c r="T553" t="str">
        <x:f>IF(M553=0,IF(AND(N553=0,O553=0,E553=0,F553=0),"OK","ERREUR"),IF(AND(M553&gt;=1,M553&lt;=32,OR(N553=4,N553=6,N553=8,N553=10,N553=12,N553=20),O553&gt;=0,E553=M553+O553,F553=M553*N553+O553),"OK","ERREUR"))</x:f>
        <x:v>OK</x:v>
      </x:c>
      <x:c r="U553" s="86" t="n">
        <x:f>IF(M553&gt;0,M553*(N553+1)/2+O553,0)</x:f>
        <x:v>30.5</x:v>
      </x:c>
      <x:c r="V553" t="str">
        <x:f>IF(ABS(L553-U553)&lt;0.001,"OK","ERREUR")</x:f>
        <x:v>OK</x:v>
      </x:c>
    </x:row>
    <x:row r="554" ht="18" customHeight="1">
      <x:c r="A554" t="str">
        <x:v>ARM028</x:v>
      </x:c>
      <x:c r="B554" t="str">
        <x:v>Claymore</x:v>
      </x:c>
      <x:c r="C554" t="n">
        <x:v>11</x:v>
      </x:c>
      <x:c r="D554" t="str">
        <x:v>Deux mains</x:v>
      </x:c>
      <x:c r="E554" s="28" t="n">
        <x:f>IF(M554=0,0,M554+O554)</x:f>
        <x:v>26</x:v>
      </x:c>
      <x:c r="F554" s="28" t="n">
        <x:f>IF(M554=0,0,M554*N554+O554)</x:f>
        <x:v>44</x:v>
      </x:c>
      <x:c r="G554" s="28" t="n">
        <x:f>ROUND(Catalogue!G31*SQRT((1+'Paramètres'!$B$4*(C554-1)+'Paramètres'!$B$5*(C554-1)^2)),0)</x:f>
        <x:v>0</x:v>
      </x:c>
      <x:c r="H554" s="28" t="n">
        <x:f>ROUND(Catalogue!H31*SQRT((1+'Paramètres'!$B$4*(C554-1)+'Paramètres'!$B$5*(C554-1)^2)),0)</x:f>
        <x:v>0</x:v>
      </x:c>
      <x:c r="I554" s="28" t="n">
        <x:v>3</x:v>
      </x:c>
      <x:c r="J554" s="28" t="n">
        <x:v>1</x:v>
      </x:c>
      <x:c r="K554" s="30" t="n">
        <x:v>3.8</x:v>
      </x:c>
      <x:c r="L554" s="54" t="n">
        <x:f>IF(M554=0,0,(E554+F554)/2)</x:f>
        <x:v>35</x:v>
      </x:c>
      <x:c r="M554" t="n">
        <x:v>2</x:v>
      </x:c>
      <x:c r="N554" t="n">
        <x:v>10</x:v>
      </x:c>
      <x:c r="O554" t="n">
        <x:v>24</x:v>
      </x:c>
      <x:c r="P554" s="63" t="str">
        <x:f>IF(M554=0,"—",M554&amp;"d"&amp;N554&amp;IF(O554=0,""," + "&amp;O554))</x:f>
        <x:v>2d10 + 24</x:v>
      </x:c>
      <x:c r="Q554" t="n">
        <x:f>ROUND(INDEX(Catalogue!E$4:E$85,MATCH(A554,Catalogue!A$4:A$85,0))*(1+'Paramètres'!$B$4*(C554-1)+'Paramètres'!$B$5*(C554-1)^2),0)</x:f>
        <x:v>26</x:v>
      </x:c>
      <x:c r="R554" t="n">
        <x:f>ROUND(INDEX(Catalogue!F$4:F$85,MATCH(A554,Catalogue!A$4:A$85,0))*(1+'Paramètres'!$B$4*(C554-1)+'Paramètres'!$B$5*(C554-1)^2),0)</x:f>
        <x:v>44</x:v>
      </x:c>
      <x:c r="S554" t="n">
        <x:f>L554-AVERAGE(Q554:R554)</x:f>
        <x:v>0</x:v>
      </x:c>
      <x:c r="T554" t="str">
        <x:f>IF(M554=0,IF(AND(N554=0,O554=0,E554=0,F554=0),"OK","ERREUR"),IF(AND(M554&gt;=1,M554&lt;=32,OR(N554=4,N554=6,N554=8,N554=10,N554=12,N554=20),O554&gt;=0,E554=M554+O554,F554=M554*N554+O554),"OK","ERREUR"))</x:f>
        <x:v>OK</x:v>
      </x:c>
      <x:c r="U554" s="86" t="n">
        <x:f>IF(M554&gt;0,M554*(N554+1)/2+O554,0)</x:f>
        <x:v>35</x:v>
      </x:c>
      <x:c r="V554" t="str">
        <x:f>IF(ABS(L554-U554)&lt;0.001,"OK","ERREUR")</x:f>
        <x:v>OK</x:v>
      </x:c>
    </x:row>
    <x:row r="555" ht="18" customHeight="1">
      <x:c r="A555" t="str">
        <x:v>ARM028</x:v>
      </x:c>
      <x:c r="B555" t="str">
        <x:v>Claymore</x:v>
      </x:c>
      <x:c r="C555" t="n">
        <x:v>12</x:v>
      </x:c>
      <x:c r="D555" t="str">
        <x:v>Deux mains</x:v>
      </x:c>
      <x:c r="E555" s="28" t="n">
        <x:f>IF(M555=0,0,M555+O555)</x:f>
        <x:v>29</x:v>
      </x:c>
      <x:c r="F555" s="28" t="n">
        <x:f>IF(M555=0,0,M555*N555+O555)</x:f>
        <x:v>50</x:v>
      </x:c>
      <x:c r="G555" s="28" t="n">
        <x:f>ROUND(Catalogue!G31*SQRT((1+'Paramètres'!$B$4*(C555-1)+'Paramètres'!$B$5*(C555-1)^2)),0)</x:f>
        <x:v>0</x:v>
      </x:c>
      <x:c r="H555" s="28" t="n">
        <x:f>ROUND(Catalogue!H31*SQRT((1+'Paramètres'!$B$4*(C555-1)+'Paramètres'!$B$5*(C555-1)^2)),0)</x:f>
        <x:v>0</x:v>
      </x:c>
      <x:c r="I555" s="28" t="n">
        <x:v>3</x:v>
      </x:c>
      <x:c r="J555" s="28" t="n">
        <x:v>1</x:v>
      </x:c>
      <x:c r="K555" s="30" t="n">
        <x:v>3.8</x:v>
      </x:c>
      <x:c r="L555" s="54" t="n">
        <x:f>IF(M555=0,0,(E555+F555)/2)</x:f>
        <x:v>39.5</x:v>
      </x:c>
      <x:c r="M555" t="n">
        <x:v>3</x:v>
      </x:c>
      <x:c r="N555" t="n">
        <x:v>8</x:v>
      </x:c>
      <x:c r="O555" t="n">
        <x:v>26</x:v>
      </x:c>
      <x:c r="P555" s="63" t="str">
        <x:f>IF(M555=0,"—",M555&amp;"d"&amp;N555&amp;IF(O555=0,""," + "&amp;O555))</x:f>
        <x:v>3d8 + 26</x:v>
      </x:c>
      <x:c r="Q555" t="n">
        <x:f>ROUND(INDEX(Catalogue!E$4:E$85,MATCH(A555,Catalogue!A$4:A$85,0))*(1+'Paramètres'!$B$4*(C555-1)+'Paramètres'!$B$5*(C555-1)^2),0)</x:f>
        <x:v>29</x:v>
      </x:c>
      <x:c r="R555" t="n">
        <x:f>ROUND(INDEX(Catalogue!F$4:F$85,MATCH(A555,Catalogue!A$4:A$85,0))*(1+'Paramètres'!$B$4*(C555-1)+'Paramètres'!$B$5*(C555-1)^2),0)</x:f>
        <x:v>50</x:v>
      </x:c>
      <x:c r="S555" t="n">
        <x:f>L555-AVERAGE(Q555:R555)</x:f>
        <x:v>0</x:v>
      </x:c>
      <x:c r="T555" t="str">
        <x:f>IF(M555=0,IF(AND(N555=0,O555=0,E555=0,F555=0),"OK","ERREUR"),IF(AND(M555&gt;=1,M555&lt;=32,OR(N555=4,N555=6,N555=8,N555=10,N555=12,N555=20),O555&gt;=0,E555=M555+O555,F555=M555*N555+O555),"OK","ERREUR"))</x:f>
        <x:v>OK</x:v>
      </x:c>
      <x:c r="U555" s="86" t="n">
        <x:f>IF(M555&gt;0,M555*(N555+1)/2+O555,0)</x:f>
        <x:v>39.5</x:v>
      </x:c>
      <x:c r="V555" t="str">
        <x:f>IF(ABS(L555-U555)&lt;0.001,"OK","ERREUR")</x:f>
        <x:v>OK</x:v>
      </x:c>
    </x:row>
    <x:row r="556" ht="18" customHeight="1">
      <x:c r="A556" t="str">
        <x:v>ARM028</x:v>
      </x:c>
      <x:c r="B556" t="str">
        <x:v>Claymore</x:v>
      </x:c>
      <x:c r="C556" t="n">
        <x:v>13</x:v>
      </x:c>
      <x:c r="D556" t="str">
        <x:v>Deux mains</x:v>
      </x:c>
      <x:c r="E556" s="28" t="n">
        <x:f>IF(M556=0,0,M556+O556)</x:f>
        <x:v>32</x:v>
      </x:c>
      <x:c r="F556" s="28" t="n">
        <x:f>IF(M556=0,0,M556*N556+O556)</x:f>
        <x:v>54</x:v>
      </x:c>
      <x:c r="G556" s="28" t="n">
        <x:f>ROUND(Catalogue!G31*SQRT((1+'Paramètres'!$B$4*(C556-1)+'Paramètres'!$B$5*(C556-1)^2)),0)</x:f>
        <x:v>0</x:v>
      </x:c>
      <x:c r="H556" s="28" t="n">
        <x:f>ROUND(Catalogue!H31*SQRT((1+'Paramètres'!$B$4*(C556-1)+'Paramètres'!$B$5*(C556-1)^2)),0)</x:f>
        <x:v>0</x:v>
      </x:c>
      <x:c r="I556" s="28" t="n">
        <x:v>3</x:v>
      </x:c>
      <x:c r="J556" s="28" t="n">
        <x:v>1</x:v>
      </x:c>
      <x:c r="K556" s="30" t="n">
        <x:v>3.8</x:v>
      </x:c>
      <x:c r="L556" s="54" t="n">
        <x:f>IF(M556=0,0,(E556+F556)/2)</x:f>
        <x:v>43</x:v>
      </x:c>
      <x:c r="M556" t="n">
        <x:v>2</x:v>
      </x:c>
      <x:c r="N556" t="n">
        <x:v>12</x:v>
      </x:c>
      <x:c r="O556" t="n">
        <x:v>30</x:v>
      </x:c>
      <x:c r="P556" s="63" t="str">
        <x:f>IF(M556=0,"—",M556&amp;"d"&amp;N556&amp;IF(O556=0,""," + "&amp;O556))</x:f>
        <x:v>2d12 + 30</x:v>
      </x:c>
      <x:c r="Q556" t="n">
        <x:f>ROUND(INDEX(Catalogue!E$4:E$85,MATCH(A556,Catalogue!A$4:A$85,0))*(1+'Paramètres'!$B$4*(C556-1)+'Paramètres'!$B$5*(C556-1)^2),0)</x:f>
        <x:v>32</x:v>
      </x:c>
      <x:c r="R556" t="n">
        <x:f>ROUND(INDEX(Catalogue!F$4:F$85,MATCH(A556,Catalogue!A$4:A$85,0))*(1+'Paramètres'!$B$4*(C556-1)+'Paramètres'!$B$5*(C556-1)^2),0)</x:f>
        <x:v>55</x:v>
      </x:c>
      <x:c r="S556" t="n">
        <x:f>L556-AVERAGE(Q556:R556)</x:f>
        <x:v>-0.5</x:v>
      </x:c>
      <x:c r="T556" t="str">
        <x:f>IF(M556=0,IF(AND(N556=0,O556=0,E556=0,F556=0),"OK","ERREUR"),IF(AND(M556&gt;=1,M556&lt;=32,OR(N556=4,N556=6,N556=8,N556=10,N556=12,N556=20),O556&gt;=0,E556=M556+O556,F556=M556*N556+O556),"OK","ERREUR"))</x:f>
        <x:v>OK</x:v>
      </x:c>
      <x:c r="U556" s="86" t="n">
        <x:f>IF(M556&gt;0,M556*(N556+1)/2+O556,0)</x:f>
        <x:v>43</x:v>
      </x:c>
      <x:c r="V556" t="str">
        <x:f>IF(ABS(L556-U556)&lt;0.001,"OK","ERREUR")</x:f>
        <x:v>OK</x:v>
      </x:c>
    </x:row>
    <x:row r="557" ht="18" customHeight="1">
      <x:c r="A557" t="str">
        <x:v>ARM028</x:v>
      </x:c>
      <x:c r="B557" t="str">
        <x:v>Claymore</x:v>
      </x:c>
      <x:c r="C557" t="n">
        <x:v>14</x:v>
      </x:c>
      <x:c r="D557" t="str">
        <x:v>Deux mains</x:v>
      </x:c>
      <x:c r="E557" s="28" t="n">
        <x:f>IF(M557=0,0,M557+O557)</x:f>
        <x:v>35</x:v>
      </x:c>
      <x:c r="F557" s="28" t="n">
        <x:f>IF(M557=0,0,M557*N557+O557)</x:f>
        <x:v>62</x:v>
      </x:c>
      <x:c r="G557" s="28" t="n">
        <x:f>ROUND(Catalogue!G31*SQRT((1+'Paramètres'!$B$4*(C557-1)+'Paramètres'!$B$5*(C557-1)^2)),0)</x:f>
        <x:v>0</x:v>
      </x:c>
      <x:c r="H557" s="28" t="n">
        <x:f>ROUND(Catalogue!H31*SQRT((1+'Paramètres'!$B$4*(C557-1)+'Paramètres'!$B$5*(C557-1)^2)),0)</x:f>
        <x:v>0</x:v>
      </x:c>
      <x:c r="I557" s="28" t="n">
        <x:v>3</x:v>
      </x:c>
      <x:c r="J557" s="28" t="n">
        <x:v>1</x:v>
      </x:c>
      <x:c r="K557" s="30" t="n">
        <x:v>3.8</x:v>
      </x:c>
      <x:c r="L557" s="54" t="n">
        <x:f>IF(M557=0,0,(E557+F557)/2)</x:f>
        <x:v>48.5</x:v>
      </x:c>
      <x:c r="M557" t="n">
        <x:v>3</x:v>
      </x:c>
      <x:c r="N557" t="n">
        <x:v>10</x:v>
      </x:c>
      <x:c r="O557" t="n">
        <x:v>32</x:v>
      </x:c>
      <x:c r="P557" s="63" t="str">
        <x:f>IF(M557=0,"—",M557&amp;"d"&amp;N557&amp;IF(O557=0,""," + "&amp;O557))</x:f>
        <x:v>3d10 + 32</x:v>
      </x:c>
      <x:c r="Q557" t="n">
        <x:f>ROUND(INDEX(Catalogue!E$4:E$85,MATCH(A557,Catalogue!A$4:A$85,0))*(1+'Paramètres'!$B$4*(C557-1)+'Paramètres'!$B$5*(C557-1)^2),0)</x:f>
        <x:v>36</x:v>
      </x:c>
      <x:c r="R557" t="n">
        <x:f>ROUND(INDEX(Catalogue!F$4:F$85,MATCH(A557,Catalogue!A$4:A$85,0))*(1+'Paramètres'!$B$4*(C557-1)+'Paramètres'!$B$5*(C557-1)^2),0)</x:f>
        <x:v>62</x:v>
      </x:c>
      <x:c r="S557" t="n">
        <x:f>L557-AVERAGE(Q557:R557)</x:f>
        <x:v>-0.5</x:v>
      </x:c>
      <x:c r="T557" t="str">
        <x:f>IF(M557=0,IF(AND(N557=0,O557=0,E557=0,F557=0),"OK","ERREUR"),IF(AND(M557&gt;=1,M557&lt;=32,OR(N557=4,N557=6,N557=8,N557=10,N557=12,N557=20),O557&gt;=0,E557=M557+O557,F557=M557*N557+O557),"OK","ERREUR"))</x:f>
        <x:v>OK</x:v>
      </x:c>
      <x:c r="U557" s="86" t="n">
        <x:f>IF(M557&gt;0,M557*(N557+1)/2+O557,0)</x:f>
        <x:v>48.5</x:v>
      </x:c>
      <x:c r="V557" t="str">
        <x:f>IF(ABS(L557-U557)&lt;0.001,"OK","ERREUR")</x:f>
        <x:v>OK</x:v>
      </x:c>
    </x:row>
    <x:row r="558" ht="18" customHeight="1">
      <x:c r="A558" t="str">
        <x:v>ARM028</x:v>
      </x:c>
      <x:c r="B558" t="str">
        <x:v>Claymore</x:v>
      </x:c>
      <x:c r="C558" t="n">
        <x:v>15</x:v>
      </x:c>
      <x:c r="D558" t="str">
        <x:v>Deux mains</x:v>
      </x:c>
      <x:c r="E558" s="28" t="n">
        <x:f>IF(M558=0,0,M558+O558)</x:f>
        <x:v>40</x:v>
      </x:c>
      <x:c r="F558" s="28" t="n">
        <x:f>IF(M558=0,0,M558*N558+O558)</x:f>
        <x:v>68</x:v>
      </x:c>
      <x:c r="G558" s="28" t="n">
        <x:f>ROUND(Catalogue!G31*SQRT((1+'Paramètres'!$B$4*(C558-1)+'Paramètres'!$B$5*(C558-1)^2)),0)</x:f>
        <x:v>0</x:v>
      </x:c>
      <x:c r="H558" s="28" t="n">
        <x:f>ROUND(Catalogue!H31*SQRT((1+'Paramètres'!$B$4*(C558-1)+'Paramètres'!$B$5*(C558-1)^2)),0)</x:f>
        <x:v>0</x:v>
      </x:c>
      <x:c r="I558" s="28" t="n">
        <x:v>3</x:v>
      </x:c>
      <x:c r="J558" s="28" t="n">
        <x:v>1</x:v>
      </x:c>
      <x:c r="K558" s="30" t="n">
        <x:v>3.8</x:v>
      </x:c>
      <x:c r="L558" s="54" t="n">
        <x:f>IF(M558=0,0,(E558+F558)/2)</x:f>
        <x:v>54</x:v>
      </x:c>
      <x:c r="M558" t="n">
        <x:v>4</x:v>
      </x:c>
      <x:c r="N558" t="n">
        <x:v>8</x:v>
      </x:c>
      <x:c r="O558" t="n">
        <x:v>36</x:v>
      </x:c>
      <x:c r="P558" s="63" t="str">
        <x:f>IF(M558=0,"—",M558&amp;"d"&amp;N558&amp;IF(O558=0,""," + "&amp;O558))</x:f>
        <x:v>4d8 + 36</x:v>
      </x:c>
      <x:c r="Q558" t="n">
        <x:f>ROUND(INDEX(Catalogue!E$4:E$85,MATCH(A558,Catalogue!A$4:A$85,0))*(1+'Paramètres'!$B$4*(C558-1)+'Paramètres'!$B$5*(C558-1)^2),0)</x:f>
        <x:v>40</x:v>
      </x:c>
      <x:c r="R558" t="n">
        <x:f>ROUND(INDEX(Catalogue!F$4:F$85,MATCH(A558,Catalogue!A$4:A$85,0))*(1+'Paramètres'!$B$4*(C558-1)+'Paramètres'!$B$5*(C558-1)^2),0)</x:f>
        <x:v>68</x:v>
      </x:c>
      <x:c r="S558" t="n">
        <x:f>L558-AVERAGE(Q558:R558)</x:f>
        <x:v>0</x:v>
      </x:c>
      <x:c r="T558" t="str">
        <x:f>IF(M558=0,IF(AND(N558=0,O558=0,E558=0,F558=0),"OK","ERREUR"),IF(AND(M558&gt;=1,M558&lt;=32,OR(N558=4,N558=6,N558=8,N558=10,N558=12,N558=20),O558&gt;=0,E558=M558+O558,F558=M558*N558+O558),"OK","ERREUR"))</x:f>
        <x:v>OK</x:v>
      </x:c>
      <x:c r="U558" s="86" t="n">
        <x:f>IF(M558&gt;0,M558*(N558+1)/2+O558,0)</x:f>
        <x:v>54</x:v>
      </x:c>
      <x:c r="V558" t="str">
        <x:f>IF(ABS(L558-U558)&lt;0.001,"OK","ERREUR")</x:f>
        <x:v>OK</x:v>
      </x:c>
    </x:row>
    <x:row r="559" ht="18" customHeight="1">
      <x:c r="A559" t="str">
        <x:v>ARM028</x:v>
      </x:c>
      <x:c r="B559" t="str">
        <x:v>Claymore</x:v>
      </x:c>
      <x:c r="C559" t="n">
        <x:v>16</x:v>
      </x:c>
      <x:c r="D559" t="str">
        <x:v>Deux mains</x:v>
      </x:c>
      <x:c r="E559" s="28" t="n">
        <x:f>IF(M559=0,0,M559+O559)</x:f>
        <x:v>44</x:v>
      </x:c>
      <x:c r="F559" s="28" t="n">
        <x:f>IF(M559=0,0,M559*N559+O559)</x:f>
        <x:v>74</x:v>
      </x:c>
      <x:c r="G559" s="28" t="n">
        <x:f>ROUND(Catalogue!G31*SQRT((1+'Paramètres'!$B$4*(C559-1)+'Paramètres'!$B$5*(C559-1)^2)),0)</x:f>
        <x:v>0</x:v>
      </x:c>
      <x:c r="H559" s="28" t="n">
        <x:f>ROUND(Catalogue!H31*SQRT((1+'Paramètres'!$B$4*(C559-1)+'Paramètres'!$B$5*(C559-1)^2)),0)</x:f>
        <x:v>0</x:v>
      </x:c>
      <x:c r="I559" s="28" t="n">
        <x:v>3</x:v>
      </x:c>
      <x:c r="J559" s="28" t="n">
        <x:v>1</x:v>
      </x:c>
      <x:c r="K559" s="30" t="n">
        <x:v>3.8</x:v>
      </x:c>
      <x:c r="L559" s="54" t="n">
        <x:f>IF(M559=0,0,(E559+F559)/2)</x:f>
        <x:v>59</x:v>
      </x:c>
      <x:c r="M559" t="n">
        <x:v>6</x:v>
      </x:c>
      <x:c r="N559" t="n">
        <x:v>6</x:v>
      </x:c>
      <x:c r="O559" t="n">
        <x:v>38</x:v>
      </x:c>
      <x:c r="P559" s="63" t="str">
        <x:f>IF(M559=0,"—",M559&amp;"d"&amp;N559&amp;IF(O559=0,""," + "&amp;O559))</x:f>
        <x:v>6d6 + 38</x:v>
      </x:c>
      <x:c r="Q559" t="n">
        <x:f>ROUND(INDEX(Catalogue!E$4:E$85,MATCH(A559,Catalogue!A$4:A$85,0))*(1+'Paramètres'!$B$4*(C559-1)+'Paramètres'!$B$5*(C559-1)^2),0)</x:f>
        <x:v>44</x:v>
      </x:c>
      <x:c r="R559" t="n">
        <x:f>ROUND(INDEX(Catalogue!F$4:F$85,MATCH(A559,Catalogue!A$4:A$85,0))*(1+'Paramètres'!$B$4*(C559-1)+'Paramètres'!$B$5*(C559-1)^2),0)</x:f>
        <x:v>75</x:v>
      </x:c>
      <x:c r="S559" t="n">
        <x:f>L559-AVERAGE(Q559:R559)</x:f>
        <x:v>-0.5</x:v>
      </x:c>
      <x:c r="T559" t="str">
        <x:f>IF(M559=0,IF(AND(N559=0,O559=0,E559=0,F559=0),"OK","ERREUR"),IF(AND(M559&gt;=1,M559&lt;=32,OR(N559=4,N559=6,N559=8,N559=10,N559=12,N559=20),O559&gt;=0,E559=M559+O559,F559=M559*N559+O559),"OK","ERREUR"))</x:f>
        <x:v>OK</x:v>
      </x:c>
      <x:c r="U559" s="86" t="n">
        <x:f>IF(M559&gt;0,M559*(N559+1)/2+O559,0)</x:f>
        <x:v>59</x:v>
      </x:c>
      <x:c r="V559" t="str">
        <x:f>IF(ABS(L559-U559)&lt;0.001,"OK","ERREUR")</x:f>
        <x:v>OK</x:v>
      </x:c>
    </x:row>
    <x:row r="560" ht="18" customHeight="1">
      <x:c r="A560" t="str">
        <x:v>ARM028</x:v>
      </x:c>
      <x:c r="B560" t="str">
        <x:v>Claymore</x:v>
      </x:c>
      <x:c r="C560" t="n">
        <x:v>17</x:v>
      </x:c>
      <x:c r="D560" t="str">
        <x:v>Deux mains</x:v>
      </x:c>
      <x:c r="E560" s="28" t="n">
        <x:f>IF(M560=0,0,M560+O560)</x:f>
        <x:v>48</x:v>
      </x:c>
      <x:c r="F560" s="28" t="n">
        <x:f>IF(M560=0,0,M560*N560+O560)</x:f>
        <x:v>81</x:v>
      </x:c>
      <x:c r="G560" s="28" t="n">
        <x:f>ROUND(Catalogue!G31*SQRT((1+'Paramètres'!$B$4*(C560-1)+'Paramètres'!$B$5*(C560-1)^2)),0)</x:f>
        <x:v>0</x:v>
      </x:c>
      <x:c r="H560" s="28" t="n">
        <x:f>ROUND(Catalogue!H31*SQRT((1+'Paramètres'!$B$4*(C560-1)+'Paramètres'!$B$5*(C560-1)^2)),0)</x:f>
        <x:v>0</x:v>
      </x:c>
      <x:c r="I560" s="28" t="n">
        <x:v>3</x:v>
      </x:c>
      <x:c r="J560" s="28" t="n">
        <x:v>1</x:v>
      </x:c>
      <x:c r="K560" s="30" t="n">
        <x:v>3.8</x:v>
      </x:c>
      <x:c r="L560" s="54" t="n">
        <x:f>IF(M560=0,0,(E560+F560)/2)</x:f>
        <x:v>64.5</x:v>
      </x:c>
      <x:c r="M560" t="n">
        <x:v>3</x:v>
      </x:c>
      <x:c r="N560" t="n">
        <x:v>12</x:v>
      </x:c>
      <x:c r="O560" t="n">
        <x:v>45</x:v>
      </x:c>
      <x:c r="P560" s="63" t="str">
        <x:f>IF(M560=0,"—",M560&amp;"d"&amp;N560&amp;IF(O560=0,""," + "&amp;O560))</x:f>
        <x:v>3d12 + 45</x:v>
      </x:c>
      <x:c r="Q560" t="n">
        <x:f>ROUND(INDEX(Catalogue!E$4:E$85,MATCH(A560,Catalogue!A$4:A$85,0))*(1+'Paramètres'!$B$4*(C560-1)+'Paramètres'!$B$5*(C560-1)^2),0)</x:f>
        <x:v>48</x:v>
      </x:c>
      <x:c r="R560" t="n">
        <x:f>ROUND(INDEX(Catalogue!F$4:F$85,MATCH(A560,Catalogue!A$4:A$85,0))*(1+'Paramètres'!$B$4*(C560-1)+'Paramètres'!$B$5*(C560-1)^2),0)</x:f>
        <x:v>82</x:v>
      </x:c>
      <x:c r="S560" t="n">
        <x:f>L560-AVERAGE(Q560:R560)</x:f>
        <x:v>-0.5</x:v>
      </x:c>
      <x:c r="T560" t="str">
        <x:f>IF(M560=0,IF(AND(N560=0,O560=0,E560=0,F560=0),"OK","ERREUR"),IF(AND(M560&gt;=1,M560&lt;=32,OR(N560=4,N560=6,N560=8,N560=10,N560=12,N560=20),O560&gt;=0,E560=M560+O560,F560=M560*N560+O560),"OK","ERREUR"))</x:f>
        <x:v>OK</x:v>
      </x:c>
      <x:c r="U560" s="86" t="n">
        <x:f>IF(M560&gt;0,M560*(N560+1)/2+O560,0)</x:f>
        <x:v>64.5</x:v>
      </x:c>
      <x:c r="V560" t="str">
        <x:f>IF(ABS(L560-U560)&lt;0.001,"OK","ERREUR")</x:f>
        <x:v>OK</x:v>
      </x:c>
    </x:row>
    <x:row r="561" ht="18" customHeight="1">
      <x:c r="A561" t="str">
        <x:v>ARM028</x:v>
      </x:c>
      <x:c r="B561" t="str">
        <x:v>Claymore</x:v>
      </x:c>
      <x:c r="C561" t="n">
        <x:v>18</x:v>
      </x:c>
      <x:c r="D561" t="str">
        <x:v>Deux mains</x:v>
      </x:c>
      <x:c r="E561" s="28" t="n">
        <x:f>IF(M561=0,0,M561+O561)</x:f>
        <x:v>52</x:v>
      </x:c>
      <x:c r="F561" s="28" t="n">
        <x:f>IF(M561=0,0,M561*N561+O561)</x:f>
        <x:v>90</x:v>
      </x:c>
      <x:c r="G561" s="28" t="n">
        <x:f>ROUND(Catalogue!G31*SQRT((1+'Paramètres'!$B$4*(C561-1)+'Paramètres'!$B$5*(C561-1)^2)),0)</x:f>
        <x:v>0</x:v>
      </x:c>
      <x:c r="H561" s="28" t="n">
        <x:f>ROUND(Catalogue!H31*SQRT((1+'Paramètres'!$B$4*(C561-1)+'Paramètres'!$B$5*(C561-1)^2)),0)</x:f>
        <x:v>0</x:v>
      </x:c>
      <x:c r="I561" s="28" t="n">
        <x:v>3</x:v>
      </x:c>
      <x:c r="J561" s="28" t="n">
        <x:v>1</x:v>
      </x:c>
      <x:c r="K561" s="30" t="n">
        <x:v>3.8</x:v>
      </x:c>
      <x:c r="L561" s="54" t="n">
        <x:f>IF(M561=0,0,(E561+F561)/2)</x:f>
        <x:v>71</x:v>
      </x:c>
      <x:c r="M561" t="n">
        <x:v>2</x:v>
      </x:c>
      <x:c r="N561" t="n">
        <x:v>20</x:v>
      </x:c>
      <x:c r="O561" t="n">
        <x:v>50</x:v>
      </x:c>
      <x:c r="P561" s="63" t="str">
        <x:f>IF(M561=0,"—",M561&amp;"d"&amp;N561&amp;IF(O561=0,""," + "&amp;O561))</x:f>
        <x:v>2d20 + 50</x:v>
      </x:c>
      <x:c r="Q561" t="n">
        <x:f>ROUND(INDEX(Catalogue!E$4:E$85,MATCH(A561,Catalogue!A$4:A$85,0))*(1+'Paramètres'!$B$4*(C561-1)+'Paramètres'!$B$5*(C561-1)^2),0)</x:f>
        <x:v>52</x:v>
      </x:c>
      <x:c r="R561" t="n">
        <x:f>ROUND(INDEX(Catalogue!F$4:F$85,MATCH(A561,Catalogue!A$4:A$85,0))*(1+'Paramètres'!$B$4*(C561-1)+'Paramètres'!$B$5*(C561-1)^2),0)</x:f>
        <x:v>90</x:v>
      </x:c>
      <x:c r="S561" t="n">
        <x:f>L561-AVERAGE(Q561:R561)</x:f>
        <x:v>0</x:v>
      </x:c>
      <x:c r="T561" t="str">
        <x:f>IF(M561=0,IF(AND(N561=0,O561=0,E561=0,F561=0),"OK","ERREUR"),IF(AND(M561&gt;=1,M561&lt;=32,OR(N561=4,N561=6,N561=8,N561=10,N561=12,N561=20),O561&gt;=0,E561=M561+O561,F561=M561*N561+O561),"OK","ERREUR"))</x:f>
        <x:v>OK</x:v>
      </x:c>
      <x:c r="U561" s="86" t="n">
        <x:f>IF(M561&gt;0,M561*(N561+1)/2+O561,0)</x:f>
        <x:v>71</x:v>
      </x:c>
      <x:c r="V561" t="str">
        <x:f>IF(ABS(L561-U561)&lt;0.001,"OK","ERREUR")</x:f>
        <x:v>OK</x:v>
      </x:c>
    </x:row>
    <x:row r="562" ht="18" customHeight="1">
      <x:c r="A562" t="str">
        <x:v>ARM028</x:v>
      </x:c>
      <x:c r="B562" t="str">
        <x:v>Claymore</x:v>
      </x:c>
      <x:c r="C562" t="n">
        <x:v>19</x:v>
      </x:c>
      <x:c r="D562" t="str">
        <x:v>Deux mains</x:v>
      </x:c>
      <x:c r="E562" s="28" t="n">
        <x:f>IF(M562=0,0,M562+O562)</x:f>
        <x:v>56</x:v>
      </x:c>
      <x:c r="F562" s="28" t="n">
        <x:f>IF(M562=0,0,M562*N562+O562)</x:f>
        <x:v>98</x:v>
      </x:c>
      <x:c r="G562" s="28" t="n">
        <x:f>ROUND(Catalogue!G31*SQRT((1+'Paramètres'!$B$4*(C562-1)+'Paramètres'!$B$5*(C562-1)^2)),0)</x:f>
        <x:v>0</x:v>
      </x:c>
      <x:c r="H562" s="28" t="n">
        <x:f>ROUND(Catalogue!H31*SQRT((1+'Paramètres'!$B$4*(C562-1)+'Paramètres'!$B$5*(C562-1)^2)),0)</x:f>
        <x:v>0</x:v>
      </x:c>
      <x:c r="I562" s="28" t="n">
        <x:v>3</x:v>
      </x:c>
      <x:c r="J562" s="28" t="n">
        <x:v>1</x:v>
      </x:c>
      <x:c r="K562" s="30" t="n">
        <x:v>3.8</x:v>
      </x:c>
      <x:c r="L562" s="54" t="n">
        <x:f>IF(M562=0,0,(E562+F562)/2)</x:f>
        <x:v>77</x:v>
      </x:c>
      <x:c r="M562" t="n">
        <x:v>6</x:v>
      </x:c>
      <x:c r="N562" t="n">
        <x:v>8</x:v>
      </x:c>
      <x:c r="O562" t="n">
        <x:v>50</x:v>
      </x:c>
      <x:c r="P562" s="63" t="str">
        <x:f>IF(M562=0,"—",M562&amp;"d"&amp;N562&amp;IF(O562=0,""," + "&amp;O562))</x:f>
        <x:v>6d8 + 50</x:v>
      </x:c>
      <x:c r="Q562" t="n">
        <x:f>ROUND(INDEX(Catalogue!E$4:E$85,MATCH(A562,Catalogue!A$4:A$85,0))*(1+'Paramètres'!$B$4*(C562-1)+'Paramètres'!$B$5*(C562-1)^2),0)</x:f>
        <x:v>57</x:v>
      </x:c>
      <x:c r="R562" t="n">
        <x:f>ROUND(INDEX(Catalogue!F$4:F$85,MATCH(A562,Catalogue!A$4:A$85,0))*(1+'Paramètres'!$B$4*(C562-1)+'Paramètres'!$B$5*(C562-1)^2),0)</x:f>
        <x:v>98</x:v>
      </x:c>
      <x:c r="S562" t="n">
        <x:f>L562-AVERAGE(Q562:R562)</x:f>
        <x:v>-0.5</x:v>
      </x:c>
      <x:c r="T562" t="str">
        <x:f>IF(M562=0,IF(AND(N562=0,O562=0,E562=0,F562=0),"OK","ERREUR"),IF(AND(M562&gt;=1,M562&lt;=32,OR(N562=4,N562=6,N562=8,N562=10,N562=12,N562=20),O562&gt;=0,E562=M562+O562,F562=M562*N562+O562),"OK","ERREUR"))</x:f>
        <x:v>OK</x:v>
      </x:c>
      <x:c r="U562" s="86" t="n">
        <x:f>IF(M562&gt;0,M562*(N562+1)/2+O562,0)</x:f>
        <x:v>77</x:v>
      </x:c>
      <x:c r="V562" t="str">
        <x:f>IF(ABS(L562-U562)&lt;0.001,"OK","ERREUR")</x:f>
        <x:v>OK</x:v>
      </x:c>
    </x:row>
    <x:row r="563" ht="18" customHeight="1">
      <x:c r="A563" t="str">
        <x:v>ARM028</x:v>
      </x:c>
      <x:c r="B563" t="str">
        <x:v>Claymore</x:v>
      </x:c>
      <x:c r="C563" t="n">
        <x:v>20</x:v>
      </x:c>
      <x:c r="D563" t="str">
        <x:v>Deux mains</x:v>
      </x:c>
      <x:c r="E563" s="28" t="n">
        <x:f>IF(M563=0,0,M563+O563)</x:f>
        <x:v>62</x:v>
      </x:c>
      <x:c r="F563" s="28" t="n">
        <x:f>IF(M563=0,0,M563*N563+O563)</x:f>
        <x:v>106</x:v>
      </x:c>
      <x:c r="G563" s="28" t="n">
        <x:f>ROUND(Catalogue!G31*SQRT((1+'Paramètres'!$B$4*(C563-1)+'Paramètres'!$B$5*(C563-1)^2)),0)</x:f>
        <x:v>0</x:v>
      </x:c>
      <x:c r="H563" s="28" t="n">
        <x:f>ROUND(Catalogue!H31*SQRT((1+'Paramètres'!$B$4*(C563-1)+'Paramètres'!$B$5*(C563-1)^2)),0)</x:f>
        <x:v>0</x:v>
      </x:c>
      <x:c r="I563" s="28" t="n">
        <x:v>3</x:v>
      </x:c>
      <x:c r="J563" s="28" t="n">
        <x:v>1</x:v>
      </x:c>
      <x:c r="K563" s="30" t="n">
        <x:v>3.8</x:v>
      </x:c>
      <x:c r="L563" s="54" t="n">
        <x:f>IF(M563=0,0,(E563+F563)/2)</x:f>
        <x:v>84</x:v>
      </x:c>
      <x:c r="M563" t="n">
        <x:v>4</x:v>
      </x:c>
      <x:c r="N563" t="n">
        <x:v>12</x:v>
      </x:c>
      <x:c r="O563" t="n">
        <x:v>58</x:v>
      </x:c>
      <x:c r="P563" s="63" t="str">
        <x:f>IF(M563=0,"—",M563&amp;"d"&amp;N563&amp;IF(O563=0,""," + "&amp;O563))</x:f>
        <x:v>4d12 + 58</x:v>
      </x:c>
      <x:c r="Q563" t="n">
        <x:f>ROUND(INDEX(Catalogue!E$4:E$85,MATCH(A563,Catalogue!A$4:A$85,0))*(1+'Paramètres'!$B$4*(C563-1)+'Paramètres'!$B$5*(C563-1)^2),0)</x:f>
        <x:v>62</x:v>
      </x:c>
      <x:c r="R563" t="n">
        <x:f>ROUND(INDEX(Catalogue!F$4:F$85,MATCH(A563,Catalogue!A$4:A$85,0))*(1+'Paramètres'!$B$4*(C563-1)+'Paramètres'!$B$5*(C563-1)^2),0)</x:f>
        <x:v>106</x:v>
      </x:c>
      <x:c r="S563" t="n">
        <x:f>L563-AVERAGE(Q563:R563)</x:f>
        <x:v>0</x:v>
      </x:c>
      <x:c r="T563" t="str">
        <x:f>IF(M563=0,IF(AND(N563=0,O563=0,E563=0,F563=0),"OK","ERREUR"),IF(AND(M563&gt;=1,M563&lt;=32,OR(N563=4,N563=6,N563=8,N563=10,N563=12,N563=20),O563&gt;=0,E563=M563+O563,F563=M563*N563+O563),"OK","ERREUR"))</x:f>
        <x:v>OK</x:v>
      </x:c>
      <x:c r="U563" s="86" t="n">
        <x:f>IF(M563&gt;0,M563*(N563+1)/2+O563,0)</x:f>
        <x:v>84</x:v>
      </x:c>
      <x:c r="V563" t="str">
        <x:f>IF(ABS(L563-U563)&lt;0.001,"OK","ERREUR")</x:f>
        <x:v>OK</x:v>
      </x:c>
    </x:row>
    <x:row r="564" ht="18" customHeight="1">
      <x:c r="A564" t="str">
        <x:v>ARM029</x:v>
      </x:c>
      <x:c r="B564" t="str">
        <x:v>Espadon</x:v>
      </x:c>
      <x:c r="C564" t="n">
        <x:v>1</x:v>
      </x:c>
      <x:c r="D564" t="str">
        <x:v>Deux mains</x:v>
      </x:c>
      <x:c r="E564" s="28" t="n">
        <x:f>IF(M564=0,0,M564+O564)</x:f>
        <x:v>7</x:v>
      </x:c>
      <x:c r="F564" s="28" t="n">
        <x:f>IF(M564=0,0,M564*N564+O564)</x:f>
        <x:v>12</x:v>
      </x:c>
      <x:c r="G564" s="28" t="n">
        <x:f>ROUND(Catalogue!G32*SQRT((1+'Paramètres'!$B$4*(C564-1)+'Paramètres'!$B$5*(C564-1)^2)),0)</x:f>
        <x:v>0</x:v>
      </x:c>
      <x:c r="H564" s="28" t="n">
        <x:f>ROUND(Catalogue!H32*SQRT((1+'Paramètres'!$B$4*(C564-1)+'Paramètres'!$B$5*(C564-1)^2)),0)</x:f>
        <x:v>0</x:v>
      </x:c>
      <x:c r="I564" s="28" t="n">
        <x:v>3</x:v>
      </x:c>
      <x:c r="J564" s="28" t="n">
        <x:v>1</x:v>
      </x:c>
      <x:c r="K564" s="30" t="n">
        <x:v>4.4</x:v>
      </x:c>
      <x:c r="L564" s="54" t="n">
        <x:f>IF(M564=0,0,(E564+F564)/2)</x:f>
        <x:v>9.5</x:v>
      </x:c>
      <x:c r="M564" t="n">
        <x:v>1</x:v>
      </x:c>
      <x:c r="N564" t="n">
        <x:v>6</x:v>
      </x:c>
      <x:c r="O564" t="n">
        <x:v>6</x:v>
      </x:c>
      <x:c r="P564" s="63" t="str">
        <x:f>IF(M564=0,"—",M564&amp;"d"&amp;N564&amp;IF(O564=0,""," + "&amp;O564))</x:f>
        <x:v>1d6 + 6</x:v>
      </x:c>
      <x:c r="Q564" t="n">
        <x:f>ROUND(INDEX(Catalogue!E$4:E$85,MATCH(A564,Catalogue!A$4:A$85,0))*(1+'Paramètres'!$B$4*(C564-1)+'Paramètres'!$B$5*(C564-1)^2),0)</x:f>
        <x:v>8</x:v>
      </x:c>
      <x:c r="R564" t="n">
        <x:f>ROUND(INDEX(Catalogue!F$4:F$85,MATCH(A564,Catalogue!A$4:A$85,0))*(1+'Paramètres'!$B$4*(C564-1)+'Paramètres'!$B$5*(C564-1)^2),0)</x:f>
        <x:v>12</x:v>
      </x:c>
      <x:c r="S564" t="n">
        <x:f>L564-AVERAGE(Q564:R564)</x:f>
        <x:v>-0.5</x:v>
      </x:c>
      <x:c r="T564" t="str">
        <x:f>IF(M564=0,IF(AND(N564=0,O564=0,E564=0,F564=0),"OK","ERREUR"),IF(AND(M564&gt;=1,M564&lt;=32,OR(N564=4,N564=6,N564=8,N564=10,N564=12,N564=20),O564&gt;=0,E564=M564+O564,F564=M564*N564+O564),"OK","ERREUR"))</x:f>
        <x:v>OK</x:v>
      </x:c>
      <x:c r="U564" s="86" t="n">
        <x:f>IF(M564&gt;0,M564*(N564+1)/2+O564,0)</x:f>
        <x:v>9.5</x:v>
      </x:c>
      <x:c r="V564" t="str">
        <x:f>IF(ABS(L564-U564)&lt;0.001,"OK","ERREUR")</x:f>
        <x:v>OK</x:v>
      </x:c>
    </x:row>
    <x:row r="565" ht="18" customHeight="1">
      <x:c r="A565" t="str">
        <x:v>ARM029</x:v>
      </x:c>
      <x:c r="B565" t="str">
        <x:v>Espadon</x:v>
      </x:c>
      <x:c r="C565" t="n">
        <x:v>2</x:v>
      </x:c>
      <x:c r="D565" t="str">
        <x:v>Deux mains</x:v>
      </x:c>
      <x:c r="E565" s="28" t="n">
        <x:f>IF(M565=0,0,M565+O565)</x:f>
        <x:v>9</x:v>
      </x:c>
      <x:c r="F565" s="28" t="n">
        <x:f>IF(M565=0,0,M565*N565+O565)</x:f>
        <x:v>14</x:v>
      </x:c>
      <x:c r="G565" s="28" t="n">
        <x:f>ROUND(Catalogue!G32*SQRT((1+'Paramètres'!$B$4*(C565-1)+'Paramètres'!$B$5*(C565-1)^2)),0)</x:f>
        <x:v>0</x:v>
      </x:c>
      <x:c r="H565" s="28" t="n">
        <x:f>ROUND(Catalogue!H32*SQRT((1+'Paramètres'!$B$4*(C565-1)+'Paramètres'!$B$5*(C565-1)^2)),0)</x:f>
        <x:v>0</x:v>
      </x:c>
      <x:c r="I565" s="28" t="n">
        <x:v>3</x:v>
      </x:c>
      <x:c r="J565" s="28" t="n">
        <x:v>1</x:v>
      </x:c>
      <x:c r="K565" s="30" t="n">
        <x:v>4.4</x:v>
      </x:c>
      <x:c r="L565" s="54" t="n">
        <x:f>IF(M565=0,0,(E565+F565)/2)</x:f>
        <x:v>11.5</x:v>
      </x:c>
      <x:c r="M565" t="n">
        <x:v>1</x:v>
      </x:c>
      <x:c r="N565" t="n">
        <x:v>6</x:v>
      </x:c>
      <x:c r="O565" t="n">
        <x:v>8</x:v>
      </x:c>
      <x:c r="P565" s="63" t="str">
        <x:f>IF(M565=0,"—",M565&amp;"d"&amp;N565&amp;IF(O565=0,""," + "&amp;O565))</x:f>
        <x:v>1d6 + 8</x:v>
      </x:c>
      <x:c r="Q565" t="n">
        <x:f>ROUND(INDEX(Catalogue!E$4:E$85,MATCH(A565,Catalogue!A$4:A$85,0))*(1+'Paramètres'!$B$4*(C565-1)+'Paramètres'!$B$5*(C565-1)^2),0)</x:f>
        <x:v>9</x:v>
      </x:c>
      <x:c r="R565" t="n">
        <x:f>ROUND(INDEX(Catalogue!F$4:F$85,MATCH(A565,Catalogue!A$4:A$85,0))*(1+'Paramètres'!$B$4*(C565-1)+'Paramètres'!$B$5*(C565-1)^2),0)</x:f>
        <x:v>14</x:v>
      </x:c>
      <x:c r="S565" t="n">
        <x:f>L565-AVERAGE(Q565:R565)</x:f>
        <x:v>0</x:v>
      </x:c>
      <x:c r="T565" t="str">
        <x:f>IF(M565=0,IF(AND(N565=0,O565=0,E565=0,F565=0),"OK","ERREUR"),IF(AND(M565&gt;=1,M565&lt;=32,OR(N565=4,N565=6,N565=8,N565=10,N565=12,N565=20),O565&gt;=0,E565=M565+O565,F565=M565*N565+O565),"OK","ERREUR"))</x:f>
        <x:v>OK</x:v>
      </x:c>
      <x:c r="U565" s="86" t="n">
        <x:f>IF(M565&gt;0,M565*(N565+1)/2+O565,0)</x:f>
        <x:v>11.5</x:v>
      </x:c>
      <x:c r="V565" t="str">
        <x:f>IF(ABS(L565-U565)&lt;0.001,"OK","ERREUR")</x:f>
        <x:v>OK</x:v>
      </x:c>
    </x:row>
    <x:row r="566" ht="18" customHeight="1">
      <x:c r="A566" t="str">
        <x:v>ARM029</x:v>
      </x:c>
      <x:c r="B566" t="str">
        <x:v>Espadon</x:v>
      </x:c>
      <x:c r="C566" t="n">
        <x:v>3</x:v>
      </x:c>
      <x:c r="D566" t="str">
        <x:v>Deux mains</x:v>
      </x:c>
      <x:c r="E566" s="28" t="n">
        <x:f>IF(M566=0,0,M566+O566)</x:f>
        <x:v>10</x:v>
      </x:c>
      <x:c r="F566" s="28" t="n">
        <x:f>IF(M566=0,0,M566*N566+O566)</x:f>
        <x:v>15</x:v>
      </x:c>
      <x:c r="G566" s="28" t="n">
        <x:f>ROUND(Catalogue!G32*SQRT((1+'Paramètres'!$B$4*(C566-1)+'Paramètres'!$B$5*(C566-1)^2)),0)</x:f>
        <x:v>0</x:v>
      </x:c>
      <x:c r="H566" s="28" t="n">
        <x:f>ROUND(Catalogue!H32*SQRT((1+'Paramètres'!$B$4*(C566-1)+'Paramètres'!$B$5*(C566-1)^2)),0)</x:f>
        <x:v>0</x:v>
      </x:c>
      <x:c r="I566" s="28" t="n">
        <x:v>3</x:v>
      </x:c>
      <x:c r="J566" s="28" t="n">
        <x:v>1</x:v>
      </x:c>
      <x:c r="K566" s="30" t="n">
        <x:v>4.4</x:v>
      </x:c>
      <x:c r="L566" s="54" t="n">
        <x:f>IF(M566=0,0,(E566+F566)/2)</x:f>
        <x:v>12.5</x:v>
      </x:c>
      <x:c r="M566" t="n">
        <x:v>1</x:v>
      </x:c>
      <x:c r="N566" t="n">
        <x:v>6</x:v>
      </x:c>
      <x:c r="O566" t="n">
        <x:v>9</x:v>
      </x:c>
      <x:c r="P566" s="63" t="str">
        <x:f>IF(M566=0,"—",M566&amp;"d"&amp;N566&amp;IF(O566=0,""," + "&amp;O566))</x:f>
        <x:v>1d6 + 9</x:v>
      </x:c>
      <x:c r="Q566" t="n">
        <x:f>ROUND(INDEX(Catalogue!E$4:E$85,MATCH(A566,Catalogue!A$4:A$85,0))*(1+'Paramètres'!$B$4*(C566-1)+'Paramètres'!$B$5*(C566-1)^2),0)</x:f>
        <x:v>10</x:v>
      </x:c>
      <x:c r="R566" t="n">
        <x:f>ROUND(INDEX(Catalogue!F$4:F$85,MATCH(A566,Catalogue!A$4:A$85,0))*(1+'Paramètres'!$B$4*(C566-1)+'Paramètres'!$B$5*(C566-1)^2),0)</x:f>
        <x:v>15</x:v>
      </x:c>
      <x:c r="S566" t="n">
        <x:f>L566-AVERAGE(Q566:R566)</x:f>
        <x:v>0</x:v>
      </x:c>
      <x:c r="T566" t="str">
        <x:f>IF(M566=0,IF(AND(N566=0,O566=0,E566=0,F566=0),"OK","ERREUR"),IF(AND(M566&gt;=1,M566&lt;=32,OR(N566=4,N566=6,N566=8,N566=10,N566=12,N566=20),O566&gt;=0,E566=M566+O566,F566=M566*N566+O566),"OK","ERREUR"))</x:f>
        <x:v>OK</x:v>
      </x:c>
      <x:c r="U566" s="86" t="n">
        <x:f>IF(M566&gt;0,M566*(N566+1)/2+O566,0)</x:f>
        <x:v>12.5</x:v>
      </x:c>
      <x:c r="V566" t="str">
        <x:f>IF(ABS(L566-U566)&lt;0.001,"OK","ERREUR")</x:f>
        <x:v>OK</x:v>
      </x:c>
    </x:row>
    <x:row r="567" ht="18" customHeight="1">
      <x:c r="A567" t="str">
        <x:v>ARM029</x:v>
      </x:c>
      <x:c r="B567" t="str">
        <x:v>Espadon</x:v>
      </x:c>
      <x:c r="C567" t="n">
        <x:v>4</x:v>
      </x:c>
      <x:c r="D567" t="str">
        <x:v>Deux mains</x:v>
      </x:c>
      <x:c r="E567" s="28" t="n">
        <x:f>IF(M567=0,0,M567+O567)</x:f>
        <x:v>12</x:v>
      </x:c>
      <x:c r="F567" s="28" t="n">
        <x:f>IF(M567=0,0,M567*N567+O567)</x:f>
        <x:v>17</x:v>
      </x:c>
      <x:c r="G567" s="28" t="n">
        <x:f>ROUND(Catalogue!G32*SQRT((1+'Paramètres'!$B$4*(C567-1)+'Paramètres'!$B$5*(C567-1)^2)),0)</x:f>
        <x:v>0</x:v>
      </x:c>
      <x:c r="H567" s="28" t="n">
        <x:f>ROUND(Catalogue!H32*SQRT((1+'Paramètres'!$B$4*(C567-1)+'Paramètres'!$B$5*(C567-1)^2)),0)</x:f>
        <x:v>0</x:v>
      </x:c>
      <x:c r="I567" s="28" t="n">
        <x:v>3</x:v>
      </x:c>
      <x:c r="J567" s="28" t="n">
        <x:v>1</x:v>
      </x:c>
      <x:c r="K567" s="30" t="n">
        <x:v>4.4</x:v>
      </x:c>
      <x:c r="L567" s="54" t="n">
        <x:f>IF(M567=0,0,(E567+F567)/2)</x:f>
        <x:v>14.5</x:v>
      </x:c>
      <x:c r="M567" t="n">
        <x:v>1</x:v>
      </x:c>
      <x:c r="N567" t="n">
        <x:v>6</x:v>
      </x:c>
      <x:c r="O567" t="n">
        <x:v>11</x:v>
      </x:c>
      <x:c r="P567" s="63" t="str">
        <x:f>IF(M567=0,"—",M567&amp;"d"&amp;N567&amp;IF(O567=0,""," + "&amp;O567))</x:f>
        <x:v>1d6 + 11</x:v>
      </x:c>
      <x:c r="Q567" t="n">
        <x:f>ROUND(INDEX(Catalogue!E$4:E$85,MATCH(A567,Catalogue!A$4:A$85,0))*(1+'Paramètres'!$B$4*(C567-1)+'Paramètres'!$B$5*(C567-1)^2),0)</x:f>
        <x:v>12</x:v>
      </x:c>
      <x:c r="R567" t="n">
        <x:f>ROUND(INDEX(Catalogue!F$4:F$85,MATCH(A567,Catalogue!A$4:A$85,0))*(1+'Paramètres'!$B$4*(C567-1)+'Paramètres'!$B$5*(C567-1)^2),0)</x:f>
        <x:v>18</x:v>
      </x:c>
      <x:c r="S567" t="n">
        <x:f>L567-AVERAGE(Q567:R567)</x:f>
        <x:v>-0.5</x:v>
      </x:c>
      <x:c r="T567" t="str">
        <x:f>IF(M567=0,IF(AND(N567=0,O567=0,E567=0,F567=0),"OK","ERREUR"),IF(AND(M567&gt;=1,M567&lt;=32,OR(N567=4,N567=6,N567=8,N567=10,N567=12,N567=20),O567&gt;=0,E567=M567+O567,F567=M567*N567+O567),"OK","ERREUR"))</x:f>
        <x:v>OK</x:v>
      </x:c>
      <x:c r="U567" s="86" t="n">
        <x:f>IF(M567&gt;0,M567*(N567+1)/2+O567,0)</x:f>
        <x:v>14.5</x:v>
      </x:c>
      <x:c r="V567" t="str">
        <x:f>IF(ABS(L567-U567)&lt;0.001,"OK","ERREUR")</x:f>
        <x:v>OK</x:v>
      </x:c>
    </x:row>
    <x:row r="568" ht="18" customHeight="1">
      <x:c r="A568" t="str">
        <x:v>ARM029</x:v>
      </x:c>
      <x:c r="B568" t="str">
        <x:v>Espadon</x:v>
      </x:c>
      <x:c r="C568" t="n">
        <x:v>5</x:v>
      </x:c>
      <x:c r="D568" t="str">
        <x:v>Deux mains</x:v>
      </x:c>
      <x:c r="E568" s="28" t="n">
        <x:f>IF(M568=0,0,M568+O568)</x:f>
        <x:v>14</x:v>
      </x:c>
      <x:c r="F568" s="28" t="n">
        <x:f>IF(M568=0,0,M568*N568+O568)</x:f>
        <x:v>19</x:v>
      </x:c>
      <x:c r="G568" s="28" t="n">
        <x:f>ROUND(Catalogue!G32*SQRT((1+'Paramètres'!$B$4*(C568-1)+'Paramètres'!$B$5*(C568-1)^2)),0)</x:f>
        <x:v>0</x:v>
      </x:c>
      <x:c r="H568" s="28" t="n">
        <x:f>ROUND(Catalogue!H32*SQRT((1+'Paramètres'!$B$4*(C568-1)+'Paramètres'!$B$5*(C568-1)^2)),0)</x:f>
        <x:v>0</x:v>
      </x:c>
      <x:c r="I568" s="28" t="n">
        <x:v>3</x:v>
      </x:c>
      <x:c r="J568" s="28" t="n">
        <x:v>1</x:v>
      </x:c>
      <x:c r="K568" s="30" t="n">
        <x:v>4.4</x:v>
      </x:c>
      <x:c r="L568" s="54" t="n">
        <x:f>IF(M568=0,0,(E568+F568)/2)</x:f>
        <x:v>16.5</x:v>
      </x:c>
      <x:c r="M568" t="n">
        <x:v>1</x:v>
      </x:c>
      <x:c r="N568" t="n">
        <x:v>6</x:v>
      </x:c>
      <x:c r="O568" t="n">
        <x:v>13</x:v>
      </x:c>
      <x:c r="P568" s="63" t="str">
        <x:f>IF(M568=0,"—",M568&amp;"d"&amp;N568&amp;IF(O568=0,""," + "&amp;O568))</x:f>
        <x:v>1d6 + 13</x:v>
      </x:c>
      <x:c r="Q568" t="n">
        <x:f>ROUND(INDEX(Catalogue!E$4:E$85,MATCH(A568,Catalogue!A$4:A$85,0))*(1+'Paramètres'!$B$4*(C568-1)+'Paramètres'!$B$5*(C568-1)^2),0)</x:f>
        <x:v>14</x:v>
      </x:c>
      <x:c r="R568" t="n">
        <x:f>ROUND(INDEX(Catalogue!F$4:F$85,MATCH(A568,Catalogue!A$4:A$85,0))*(1+'Paramètres'!$B$4*(C568-1)+'Paramètres'!$B$5*(C568-1)^2),0)</x:f>
        <x:v>20</x:v>
      </x:c>
      <x:c r="S568" t="n">
        <x:f>L568-AVERAGE(Q568:R568)</x:f>
        <x:v>-0.5</x:v>
      </x:c>
      <x:c r="T568" t="str">
        <x:f>IF(M568=0,IF(AND(N568=0,O568=0,E568=0,F568=0),"OK","ERREUR"),IF(AND(M568&gt;=1,M568&lt;=32,OR(N568=4,N568=6,N568=8,N568=10,N568=12,N568=20),O568&gt;=0,E568=M568+O568,F568=M568*N568+O568),"OK","ERREUR"))</x:f>
        <x:v>OK</x:v>
      </x:c>
      <x:c r="U568" s="86" t="n">
        <x:f>IF(M568&gt;0,M568*(N568+1)/2+O568,0)</x:f>
        <x:v>16.5</x:v>
      </x:c>
      <x:c r="V568" t="str">
        <x:f>IF(ABS(L568-U568)&lt;0.001,"OK","ERREUR")</x:f>
        <x:v>OK</x:v>
      </x:c>
    </x:row>
    <x:row r="569" ht="18" customHeight="1">
      <x:c r="A569" t="str">
        <x:v>ARM029</x:v>
      </x:c>
      <x:c r="B569" t="str">
        <x:v>Espadon</x:v>
      </x:c>
      <x:c r="C569" t="n">
        <x:v>6</x:v>
      </x:c>
      <x:c r="D569" t="str">
        <x:v>Deux mains</x:v>
      </x:c>
      <x:c r="E569" s="28" t="n">
        <x:f>IF(M569=0,0,M569+O569)</x:f>
        <x:v>16</x:v>
      </x:c>
      <x:c r="F569" s="28" t="n">
        <x:f>IF(M569=0,0,M569*N569+O569)</x:f>
        <x:v>23</x:v>
      </x:c>
      <x:c r="G569" s="28" t="n">
        <x:f>ROUND(Catalogue!G32*SQRT((1+'Paramètres'!$B$4*(C569-1)+'Paramètres'!$B$5*(C569-1)^2)),0)</x:f>
        <x:v>0</x:v>
      </x:c>
      <x:c r="H569" s="28" t="n">
        <x:f>ROUND(Catalogue!H32*SQRT((1+'Paramètres'!$B$4*(C569-1)+'Paramètres'!$B$5*(C569-1)^2)),0)</x:f>
        <x:v>0</x:v>
      </x:c>
      <x:c r="I569" s="28" t="n">
        <x:v>3</x:v>
      </x:c>
      <x:c r="J569" s="28" t="n">
        <x:v>1</x:v>
      </x:c>
      <x:c r="K569" s="30" t="n">
        <x:v>4.4</x:v>
      </x:c>
      <x:c r="L569" s="54" t="n">
        <x:f>IF(M569=0,0,(E569+F569)/2)</x:f>
        <x:v>19.5</x:v>
      </x:c>
      <x:c r="M569" t="n">
        <x:v>1</x:v>
      </x:c>
      <x:c r="N569" t="n">
        <x:v>8</x:v>
      </x:c>
      <x:c r="O569" t="n">
        <x:v>15</x:v>
      </x:c>
      <x:c r="P569" s="63" t="str">
        <x:f>IF(M569=0,"—",M569&amp;"d"&amp;N569&amp;IF(O569=0,""," + "&amp;O569))</x:f>
        <x:v>1d8 + 15</x:v>
      </x:c>
      <x:c r="Q569" t="n">
        <x:f>ROUND(INDEX(Catalogue!E$4:E$85,MATCH(A569,Catalogue!A$4:A$85,0))*(1+'Paramètres'!$B$4*(C569-1)+'Paramètres'!$B$5*(C569-1)^2),0)</x:f>
        <x:v>16</x:v>
      </x:c>
      <x:c r="R569" t="n">
        <x:f>ROUND(INDEX(Catalogue!F$4:F$85,MATCH(A569,Catalogue!A$4:A$85,0))*(1+'Paramètres'!$B$4*(C569-1)+'Paramètres'!$B$5*(C569-1)^2),0)</x:f>
        <x:v>23</x:v>
      </x:c>
      <x:c r="S569" t="n">
        <x:f>L569-AVERAGE(Q569:R569)</x:f>
        <x:v>0</x:v>
      </x:c>
      <x:c r="T569" t="str">
        <x:f>IF(M569=0,IF(AND(N569=0,O569=0,E569=0,F569=0),"OK","ERREUR"),IF(AND(M569&gt;=1,M569&lt;=32,OR(N569=4,N569=6,N569=8,N569=10,N569=12,N569=20),O569&gt;=0,E569=M569+O569,F569=M569*N569+O569),"OK","ERREUR"))</x:f>
        <x:v>OK</x:v>
      </x:c>
      <x:c r="U569" s="86" t="n">
        <x:f>IF(M569&gt;0,M569*(N569+1)/2+O569,0)</x:f>
        <x:v>19.5</x:v>
      </x:c>
      <x:c r="V569" t="str">
        <x:f>IF(ABS(L569-U569)&lt;0.001,"OK","ERREUR")</x:f>
        <x:v>OK</x:v>
      </x:c>
    </x:row>
    <x:row r="570" ht="18" customHeight="1">
      <x:c r="A570" t="str">
        <x:v>ARM029</x:v>
      </x:c>
      <x:c r="B570" t="str">
        <x:v>Espadon</x:v>
      </x:c>
      <x:c r="C570" t="n">
        <x:v>7</x:v>
      </x:c>
      <x:c r="D570" t="str">
        <x:v>Deux mains</x:v>
      </x:c>
      <x:c r="E570" s="28" t="n">
        <x:f>IF(M570=0,0,M570+O570)</x:f>
        <x:v>18</x:v>
      </x:c>
      <x:c r="F570" s="28" t="n">
        <x:f>IF(M570=0,0,M570*N570+O570)</x:f>
        <x:v>27</x:v>
      </x:c>
      <x:c r="G570" s="28" t="n">
        <x:f>ROUND(Catalogue!G32*SQRT((1+'Paramètres'!$B$4*(C570-1)+'Paramètres'!$B$5*(C570-1)^2)),0)</x:f>
        <x:v>0</x:v>
      </x:c>
      <x:c r="H570" s="28" t="n">
        <x:f>ROUND(Catalogue!H32*SQRT((1+'Paramètres'!$B$4*(C570-1)+'Paramètres'!$B$5*(C570-1)^2)),0)</x:f>
        <x:v>0</x:v>
      </x:c>
      <x:c r="I570" s="28" t="n">
        <x:v>3</x:v>
      </x:c>
      <x:c r="J570" s="28" t="n">
        <x:v>1</x:v>
      </x:c>
      <x:c r="K570" s="30" t="n">
        <x:v>4.4</x:v>
      </x:c>
      <x:c r="L570" s="54" t="n">
        <x:f>IF(M570=0,0,(E570+F570)/2)</x:f>
        <x:v>22.5</x:v>
      </x:c>
      <x:c r="M570" t="n">
        <x:v>1</x:v>
      </x:c>
      <x:c r="N570" t="n">
        <x:v>10</x:v>
      </x:c>
      <x:c r="O570" t="n">
        <x:v>17</x:v>
      </x:c>
      <x:c r="P570" s="63" t="str">
        <x:f>IF(M570=0,"—",M570&amp;"d"&amp;N570&amp;IF(O570=0,""," + "&amp;O570))</x:f>
        <x:v>1d10 + 17</x:v>
      </x:c>
      <x:c r="Q570" t="n">
        <x:f>ROUND(INDEX(Catalogue!E$4:E$85,MATCH(A570,Catalogue!A$4:A$85,0))*(1+'Paramètres'!$B$4*(C570-1)+'Paramètres'!$B$5*(C570-1)^2),0)</x:f>
        <x:v>18</x:v>
      </x:c>
      <x:c r="R570" t="n">
        <x:f>ROUND(INDEX(Catalogue!F$4:F$85,MATCH(A570,Catalogue!A$4:A$85,0))*(1+'Paramètres'!$B$4*(C570-1)+'Paramètres'!$B$5*(C570-1)^2),0)</x:f>
        <x:v>27</x:v>
      </x:c>
      <x:c r="S570" t="n">
        <x:f>L570-AVERAGE(Q570:R570)</x:f>
        <x:v>0</x:v>
      </x:c>
      <x:c r="T570" t="str">
        <x:f>IF(M570=0,IF(AND(N570=0,O570=0,E570=0,F570=0),"OK","ERREUR"),IF(AND(M570&gt;=1,M570&lt;=32,OR(N570=4,N570=6,N570=8,N570=10,N570=12,N570=20),O570&gt;=0,E570=M570+O570,F570=M570*N570+O570),"OK","ERREUR"))</x:f>
        <x:v>OK</x:v>
      </x:c>
      <x:c r="U570" s="86" t="n">
        <x:f>IF(M570&gt;0,M570*(N570+1)/2+O570,0)</x:f>
        <x:v>22.5</x:v>
      </x:c>
      <x:c r="V570" t="str">
        <x:f>IF(ABS(L570-U570)&lt;0.001,"OK","ERREUR")</x:f>
        <x:v>OK</x:v>
      </x:c>
    </x:row>
    <x:row r="571" ht="18" customHeight="1">
      <x:c r="A571" t="str">
        <x:v>ARM029</x:v>
      </x:c>
      <x:c r="B571" t="str">
        <x:v>Espadon</x:v>
      </x:c>
      <x:c r="C571" t="n">
        <x:v>8</x:v>
      </x:c>
      <x:c r="D571" t="str">
        <x:v>Deux mains</x:v>
      </x:c>
      <x:c r="E571" s="28" t="n">
        <x:f>IF(M571=0,0,M571+O571)</x:f>
        <x:v>20</x:v>
      </x:c>
      <x:c r="F571" s="28" t="n">
        <x:f>IF(M571=0,0,M571*N571+O571)</x:f>
        <x:v>31</x:v>
      </x:c>
      <x:c r="G571" s="28" t="n">
        <x:f>ROUND(Catalogue!G32*SQRT((1+'Paramètres'!$B$4*(C571-1)+'Paramètres'!$B$5*(C571-1)^2)),0)</x:f>
        <x:v>0</x:v>
      </x:c>
      <x:c r="H571" s="28" t="n">
        <x:f>ROUND(Catalogue!H32*SQRT((1+'Paramètres'!$B$4*(C571-1)+'Paramètres'!$B$5*(C571-1)^2)),0)</x:f>
        <x:v>0</x:v>
      </x:c>
      <x:c r="I571" s="28" t="n">
        <x:v>3</x:v>
      </x:c>
      <x:c r="J571" s="28" t="n">
        <x:v>1</x:v>
      </x:c>
      <x:c r="K571" s="30" t="n">
        <x:v>4.4</x:v>
      </x:c>
      <x:c r="L571" s="54" t="n">
        <x:f>IF(M571=0,0,(E571+F571)/2)</x:f>
        <x:v>25.5</x:v>
      </x:c>
      <x:c r="M571" t="n">
        <x:v>1</x:v>
      </x:c>
      <x:c r="N571" t="n">
        <x:v>12</x:v>
      </x:c>
      <x:c r="O571" t="n">
        <x:v>19</x:v>
      </x:c>
      <x:c r="P571" s="63" t="str">
        <x:f>IF(M571=0,"—",M571&amp;"d"&amp;N571&amp;IF(O571=0,""," + "&amp;O571))</x:f>
        <x:v>1d12 + 19</x:v>
      </x:c>
      <x:c r="Q571" t="n">
        <x:f>ROUND(INDEX(Catalogue!E$4:E$85,MATCH(A571,Catalogue!A$4:A$85,0))*(1+'Paramètres'!$B$4*(C571-1)+'Paramètres'!$B$5*(C571-1)^2),0)</x:f>
        <x:v>20</x:v>
      </x:c>
      <x:c r="R571" t="n">
        <x:f>ROUND(INDEX(Catalogue!F$4:F$85,MATCH(A571,Catalogue!A$4:A$85,0))*(1+'Paramètres'!$B$4*(C571-1)+'Paramètres'!$B$5*(C571-1)^2),0)</x:f>
        <x:v>31</x:v>
      </x:c>
      <x:c r="S571" t="n">
        <x:f>L571-AVERAGE(Q571:R571)</x:f>
        <x:v>0</x:v>
      </x:c>
      <x:c r="T571" t="str">
        <x:f>IF(M571=0,IF(AND(N571=0,O571=0,E571=0,F571=0),"OK","ERREUR"),IF(AND(M571&gt;=1,M571&lt;=32,OR(N571=4,N571=6,N571=8,N571=10,N571=12,N571=20),O571&gt;=0,E571=M571+O571,F571=M571*N571+O571),"OK","ERREUR"))</x:f>
        <x:v>OK</x:v>
      </x:c>
      <x:c r="U571" s="86" t="n">
        <x:f>IF(M571&gt;0,M571*(N571+1)/2+O571,0)</x:f>
        <x:v>25.5</x:v>
      </x:c>
      <x:c r="V571" t="str">
        <x:f>IF(ABS(L571-U571)&lt;0.001,"OK","ERREUR")</x:f>
        <x:v>OK</x:v>
      </x:c>
    </x:row>
    <x:row r="572" ht="18" customHeight="1">
      <x:c r="A572" t="str">
        <x:v>ARM029</x:v>
      </x:c>
      <x:c r="B572" t="str">
        <x:v>Espadon</x:v>
      </x:c>
      <x:c r="C572" t="n">
        <x:v>9</x:v>
      </x:c>
      <x:c r="D572" t="str">
        <x:v>Deux mains</x:v>
      </x:c>
      <x:c r="E572" s="28" t="n">
        <x:f>IF(M572=0,0,M572+O572)</x:f>
        <x:v>23</x:v>
      </x:c>
      <x:c r="F572" s="28" t="n">
        <x:f>IF(M572=0,0,M572*N572+O572)</x:f>
        <x:v>34</x:v>
      </x:c>
      <x:c r="G572" s="28" t="n">
        <x:f>ROUND(Catalogue!G32*SQRT((1+'Paramètres'!$B$4*(C572-1)+'Paramètres'!$B$5*(C572-1)^2)),0)</x:f>
        <x:v>0</x:v>
      </x:c>
      <x:c r="H572" s="28" t="n">
        <x:f>ROUND(Catalogue!H32*SQRT((1+'Paramètres'!$B$4*(C572-1)+'Paramètres'!$B$5*(C572-1)^2)),0)</x:f>
        <x:v>0</x:v>
      </x:c>
      <x:c r="I572" s="28" t="n">
        <x:v>3</x:v>
      </x:c>
      <x:c r="J572" s="28" t="n">
        <x:v>1</x:v>
      </x:c>
      <x:c r="K572" s="30" t="n">
        <x:v>4.4</x:v>
      </x:c>
      <x:c r="L572" s="54" t="n">
        <x:f>IF(M572=0,0,(E572+F572)/2)</x:f>
        <x:v>28.5</x:v>
      </x:c>
      <x:c r="M572" t="n">
        <x:v>1</x:v>
      </x:c>
      <x:c r="N572" t="n">
        <x:v>12</x:v>
      </x:c>
      <x:c r="O572" t="n">
        <x:v>22</x:v>
      </x:c>
      <x:c r="P572" s="63" t="str">
        <x:f>IF(M572=0,"—",M572&amp;"d"&amp;N572&amp;IF(O572=0,""," + "&amp;O572))</x:f>
        <x:v>1d12 + 22</x:v>
      </x:c>
      <x:c r="Q572" t="n">
        <x:f>ROUND(INDEX(Catalogue!E$4:E$85,MATCH(A572,Catalogue!A$4:A$85,0))*(1+'Paramètres'!$B$4*(C572-1)+'Paramètres'!$B$5*(C572-1)^2),0)</x:f>
        <x:v>23</x:v>
      </x:c>
      <x:c r="R572" t="n">
        <x:f>ROUND(INDEX(Catalogue!F$4:F$85,MATCH(A572,Catalogue!A$4:A$85,0))*(1+'Paramètres'!$B$4*(C572-1)+'Paramètres'!$B$5*(C572-1)^2),0)</x:f>
        <x:v>35</x:v>
      </x:c>
      <x:c r="S572" t="n">
        <x:f>L572-AVERAGE(Q572:R572)</x:f>
        <x:v>-0.5</x:v>
      </x:c>
      <x:c r="T572" t="str">
        <x:f>IF(M572=0,IF(AND(N572=0,O572=0,E572=0,F572=0),"OK","ERREUR"),IF(AND(M572&gt;=1,M572&lt;=32,OR(N572=4,N572=6,N572=8,N572=10,N572=12,N572=20),O572&gt;=0,E572=M572+O572,F572=M572*N572+O572),"OK","ERREUR"))</x:f>
        <x:v>OK</x:v>
      </x:c>
      <x:c r="U572" s="86" t="n">
        <x:f>IF(M572&gt;0,M572*(N572+1)/2+O572,0)</x:f>
        <x:v>28.5</x:v>
      </x:c>
      <x:c r="V572" t="str">
        <x:f>IF(ABS(L572-U572)&lt;0.001,"OK","ERREUR")</x:f>
        <x:v>OK</x:v>
      </x:c>
    </x:row>
    <x:row r="573" ht="18" customHeight="1">
      <x:c r="A573" t="str">
        <x:v>ARM029</x:v>
      </x:c>
      <x:c r="B573" t="str">
        <x:v>Espadon</x:v>
      </x:c>
      <x:c r="C573" t="n">
        <x:v>10</x:v>
      </x:c>
      <x:c r="D573" t="str">
        <x:v>Deux mains</x:v>
      </x:c>
      <x:c r="E573" s="28" t="n">
        <x:f>IF(M573=0,0,M573+O573)</x:f>
        <x:v>26</x:v>
      </x:c>
      <x:c r="F573" s="28" t="n">
        <x:f>IF(M573=0,0,M573*N573+O573)</x:f>
        <x:v>40</x:v>
      </x:c>
      <x:c r="G573" s="28" t="n">
        <x:f>ROUND(Catalogue!G32*SQRT((1+'Paramètres'!$B$4*(C573-1)+'Paramètres'!$B$5*(C573-1)^2)),0)</x:f>
        <x:v>0</x:v>
      </x:c>
      <x:c r="H573" s="28" t="n">
        <x:f>ROUND(Catalogue!H32*SQRT((1+'Paramètres'!$B$4*(C573-1)+'Paramètres'!$B$5*(C573-1)^2)),0)</x:f>
        <x:v>0</x:v>
      </x:c>
      <x:c r="I573" s="28" t="n">
        <x:v>3</x:v>
      </x:c>
      <x:c r="J573" s="28" t="n">
        <x:v>1</x:v>
      </x:c>
      <x:c r="K573" s="30" t="n">
        <x:v>4.4</x:v>
      </x:c>
      <x:c r="L573" s="54" t="n">
        <x:f>IF(M573=0,0,(E573+F573)/2)</x:f>
        <x:v>33</x:v>
      </x:c>
      <x:c r="M573" t="n">
        <x:v>2</x:v>
      </x:c>
      <x:c r="N573" t="n">
        <x:v>8</x:v>
      </x:c>
      <x:c r="O573" t="n">
        <x:v>24</x:v>
      </x:c>
      <x:c r="P573" s="63" t="str">
        <x:f>IF(M573=0,"—",M573&amp;"d"&amp;N573&amp;IF(O573=0,""," + "&amp;O573))</x:f>
        <x:v>2d8 + 24</x:v>
      </x:c>
      <x:c r="Q573" t="n">
        <x:f>ROUND(INDEX(Catalogue!E$4:E$85,MATCH(A573,Catalogue!A$4:A$85,0))*(1+'Paramètres'!$B$4*(C573-1)+'Paramètres'!$B$5*(C573-1)^2),0)</x:f>
        <x:v>26</x:v>
      </x:c>
      <x:c r="R573" t="n">
        <x:f>ROUND(INDEX(Catalogue!F$4:F$85,MATCH(A573,Catalogue!A$4:A$85,0))*(1+'Paramètres'!$B$4*(C573-1)+'Paramètres'!$B$5*(C573-1)^2),0)</x:f>
        <x:v>39</x:v>
      </x:c>
      <x:c r="S573" t="n">
        <x:f>L573-AVERAGE(Q573:R573)</x:f>
        <x:v>0.5</x:v>
      </x:c>
      <x:c r="T573" t="str">
        <x:f>IF(M573=0,IF(AND(N573=0,O573=0,E573=0,F573=0),"OK","ERREUR"),IF(AND(M573&gt;=1,M573&lt;=32,OR(N573=4,N573=6,N573=8,N573=10,N573=12,N573=20),O573&gt;=0,E573=M573+O573,F573=M573*N573+O573),"OK","ERREUR"))</x:f>
        <x:v>OK</x:v>
      </x:c>
      <x:c r="U573" s="86" t="n">
        <x:f>IF(M573&gt;0,M573*(N573+1)/2+O573,0)</x:f>
        <x:v>33</x:v>
      </x:c>
      <x:c r="V573" t="str">
        <x:f>IF(ABS(L573-U573)&lt;0.001,"OK","ERREUR")</x:f>
        <x:v>OK</x:v>
      </x:c>
    </x:row>
    <x:row r="574" ht="18" customHeight="1">
      <x:c r="A574" t="str">
        <x:v>ARM029</x:v>
      </x:c>
      <x:c r="B574" t="str">
        <x:v>Espadon</x:v>
      </x:c>
      <x:c r="C574" t="n">
        <x:v>11</x:v>
      </x:c>
      <x:c r="D574" t="str">
        <x:v>Deux mains</x:v>
      </x:c>
      <x:c r="E574" s="28" t="n">
        <x:f>IF(M574=0,0,M574+O574)</x:f>
        <x:v>30</x:v>
      </x:c>
      <x:c r="F574" s="28" t="n">
        <x:f>IF(M574=0,0,M574*N574+O574)</x:f>
        <x:v>44</x:v>
      </x:c>
      <x:c r="G574" s="28" t="n">
        <x:f>ROUND(Catalogue!G32*SQRT((1+'Paramètres'!$B$4*(C574-1)+'Paramètres'!$B$5*(C574-1)^2)),0)</x:f>
        <x:v>0</x:v>
      </x:c>
      <x:c r="H574" s="28" t="n">
        <x:f>ROUND(Catalogue!H32*SQRT((1+'Paramètres'!$B$4*(C574-1)+'Paramètres'!$B$5*(C574-1)^2)),0)</x:f>
        <x:v>0</x:v>
      </x:c>
      <x:c r="I574" s="28" t="n">
        <x:v>3</x:v>
      </x:c>
      <x:c r="J574" s="28" t="n">
        <x:v>1</x:v>
      </x:c>
      <x:c r="K574" s="30" t="n">
        <x:v>4.4</x:v>
      </x:c>
      <x:c r="L574" s="54" t="n">
        <x:f>IF(M574=0,0,(E574+F574)/2)</x:f>
        <x:v>37</x:v>
      </x:c>
      <x:c r="M574" t="n">
        <x:v>2</x:v>
      </x:c>
      <x:c r="N574" t="n">
        <x:v>8</x:v>
      </x:c>
      <x:c r="O574" t="n">
        <x:v>28</x:v>
      </x:c>
      <x:c r="P574" s="63" t="str">
        <x:f>IF(M574=0,"—",M574&amp;"d"&amp;N574&amp;IF(O574=0,""," + "&amp;O574))</x:f>
        <x:v>2d8 + 28</x:v>
      </x:c>
      <x:c r="Q574" t="n">
        <x:f>ROUND(INDEX(Catalogue!E$4:E$85,MATCH(A574,Catalogue!A$4:A$85,0))*(1+'Paramètres'!$B$4*(C574-1)+'Paramètres'!$B$5*(C574-1)^2),0)</x:f>
        <x:v>30</x:v>
      </x:c>
      <x:c r="R574" t="n">
        <x:f>ROUND(INDEX(Catalogue!F$4:F$85,MATCH(A574,Catalogue!A$4:A$85,0))*(1+'Paramètres'!$B$4*(C574-1)+'Paramètres'!$B$5*(C574-1)^2),0)</x:f>
        <x:v>44</x:v>
      </x:c>
      <x:c r="S574" t="n">
        <x:f>L574-AVERAGE(Q574:R574)</x:f>
        <x:v>0</x:v>
      </x:c>
      <x:c r="T574" t="str">
        <x:f>IF(M574=0,IF(AND(N574=0,O574=0,E574=0,F574=0),"OK","ERREUR"),IF(AND(M574&gt;=1,M574&lt;=32,OR(N574=4,N574=6,N574=8,N574=10,N574=12,N574=20),O574&gt;=0,E574=M574+O574,F574=M574*N574+O574),"OK","ERREUR"))</x:f>
        <x:v>OK</x:v>
      </x:c>
      <x:c r="U574" s="86" t="n">
        <x:f>IF(M574&gt;0,M574*(N574+1)/2+O574,0)</x:f>
        <x:v>37</x:v>
      </x:c>
      <x:c r="V574" t="str">
        <x:f>IF(ABS(L574-U574)&lt;0.001,"OK","ERREUR")</x:f>
        <x:v>OK</x:v>
      </x:c>
    </x:row>
    <x:row r="575" ht="18" customHeight="1">
      <x:c r="A575" t="str">
        <x:v>ARM029</x:v>
      </x:c>
      <x:c r="B575" t="str">
        <x:v>Espadon</x:v>
      </x:c>
      <x:c r="C575" t="n">
        <x:v>12</x:v>
      </x:c>
      <x:c r="D575" t="str">
        <x:v>Deux mains</x:v>
      </x:c>
      <x:c r="E575" s="28" t="n">
        <x:f>IF(M575=0,0,M575+O575)</x:f>
        <x:v>32</x:v>
      </x:c>
      <x:c r="F575" s="28" t="n">
        <x:f>IF(M575=0,0,M575*N575+O575)</x:f>
        <x:v>50</x:v>
      </x:c>
      <x:c r="G575" s="28" t="n">
        <x:f>ROUND(Catalogue!G32*SQRT((1+'Paramètres'!$B$4*(C575-1)+'Paramètres'!$B$5*(C575-1)^2)),0)</x:f>
        <x:v>0</x:v>
      </x:c>
      <x:c r="H575" s="28" t="n">
        <x:f>ROUND(Catalogue!H32*SQRT((1+'Paramètres'!$B$4*(C575-1)+'Paramètres'!$B$5*(C575-1)^2)),0)</x:f>
        <x:v>0</x:v>
      </x:c>
      <x:c r="I575" s="28" t="n">
        <x:v>3</x:v>
      </x:c>
      <x:c r="J575" s="28" t="n">
        <x:v>1</x:v>
      </x:c>
      <x:c r="K575" s="30" t="n">
        <x:v>4.4</x:v>
      </x:c>
      <x:c r="L575" s="54" t="n">
        <x:f>IF(M575=0,0,(E575+F575)/2)</x:f>
        <x:v>41</x:v>
      </x:c>
      <x:c r="M575" t="n">
        <x:v>2</x:v>
      </x:c>
      <x:c r="N575" t="n">
        <x:v>10</x:v>
      </x:c>
      <x:c r="O575" t="n">
        <x:v>30</x:v>
      </x:c>
      <x:c r="P575" s="63" t="str">
        <x:f>IF(M575=0,"—",M575&amp;"d"&amp;N575&amp;IF(O575=0,""," + "&amp;O575))</x:f>
        <x:v>2d10 + 30</x:v>
      </x:c>
      <x:c r="Q575" t="n">
        <x:f>ROUND(INDEX(Catalogue!E$4:E$85,MATCH(A575,Catalogue!A$4:A$85,0))*(1+'Paramètres'!$B$4*(C575-1)+'Paramètres'!$B$5*(C575-1)^2),0)</x:f>
        <x:v>33</x:v>
      </x:c>
      <x:c r="R575" t="n">
        <x:f>ROUND(INDEX(Catalogue!F$4:F$85,MATCH(A575,Catalogue!A$4:A$85,0))*(1+'Paramètres'!$B$4*(C575-1)+'Paramètres'!$B$5*(C575-1)^2),0)</x:f>
        <x:v>50</x:v>
      </x:c>
      <x:c r="S575" t="n">
        <x:f>L575-AVERAGE(Q575:R575)</x:f>
        <x:v>-0.5</x:v>
      </x:c>
      <x:c r="T575" t="str">
        <x:f>IF(M575=0,IF(AND(N575=0,O575=0,E575=0,F575=0),"OK","ERREUR"),IF(AND(M575&gt;=1,M575&lt;=32,OR(N575=4,N575=6,N575=8,N575=10,N575=12,N575=20),O575&gt;=0,E575=M575+O575,F575=M575*N575+O575),"OK","ERREUR"))</x:f>
        <x:v>OK</x:v>
      </x:c>
      <x:c r="U575" s="86" t="n">
        <x:f>IF(M575&gt;0,M575*(N575+1)/2+O575,0)</x:f>
        <x:v>41</x:v>
      </x:c>
      <x:c r="V575" t="str">
        <x:f>IF(ABS(L575-U575)&lt;0.001,"OK","ERREUR")</x:f>
        <x:v>OK</x:v>
      </x:c>
    </x:row>
    <x:row r="576" ht="18" customHeight="1">
      <x:c r="A576" t="str">
        <x:v>ARM029</x:v>
      </x:c>
      <x:c r="B576" t="str">
        <x:v>Espadon</x:v>
      </x:c>
      <x:c r="C576" t="n">
        <x:v>13</x:v>
      </x:c>
      <x:c r="D576" t="str">
        <x:v>Deux mains</x:v>
      </x:c>
      <x:c r="E576" s="28" t="n">
        <x:f>IF(M576=0,0,M576+O576)</x:f>
        <x:v>37</x:v>
      </x:c>
      <x:c r="F576" s="28" t="n">
        <x:f>IF(M576=0,0,M576*N576+O576)</x:f>
        <x:v>55</x:v>
      </x:c>
      <x:c r="G576" s="28" t="n">
        <x:f>ROUND(Catalogue!G32*SQRT((1+'Paramètres'!$B$4*(C576-1)+'Paramètres'!$B$5*(C576-1)^2)),0)</x:f>
        <x:v>0</x:v>
      </x:c>
      <x:c r="H576" s="28" t="n">
        <x:f>ROUND(Catalogue!H32*SQRT((1+'Paramètres'!$B$4*(C576-1)+'Paramètres'!$B$5*(C576-1)^2)),0)</x:f>
        <x:v>0</x:v>
      </x:c>
      <x:c r="I576" s="28" t="n">
        <x:v>3</x:v>
      </x:c>
      <x:c r="J576" s="28" t="n">
        <x:v>1</x:v>
      </x:c>
      <x:c r="K576" s="30" t="n">
        <x:v>4.4</x:v>
      </x:c>
      <x:c r="L576" s="54" t="n">
        <x:f>IF(M576=0,0,(E576+F576)/2)</x:f>
        <x:v>46</x:v>
      </x:c>
      <x:c r="M576" t="n">
        <x:v>2</x:v>
      </x:c>
      <x:c r="N576" t="n">
        <x:v>10</x:v>
      </x:c>
      <x:c r="O576" t="n">
        <x:v>35</x:v>
      </x:c>
      <x:c r="P576" s="63" t="str">
        <x:f>IF(M576=0,"—",M576&amp;"d"&amp;N576&amp;IF(O576=0,""," + "&amp;O576))</x:f>
        <x:v>2d10 + 35</x:v>
      </x:c>
      <x:c r="Q576" t="n">
        <x:f>ROUND(INDEX(Catalogue!E$4:E$85,MATCH(A576,Catalogue!A$4:A$85,0))*(1+'Paramètres'!$B$4*(C576-1)+'Paramètres'!$B$5*(C576-1)^2),0)</x:f>
        <x:v>37</x:v>
      </x:c>
      <x:c r="R576" t="n">
        <x:f>ROUND(INDEX(Catalogue!F$4:F$85,MATCH(A576,Catalogue!A$4:A$85,0))*(1+'Paramètres'!$B$4*(C576-1)+'Paramètres'!$B$5*(C576-1)^2),0)</x:f>
        <x:v>55</x:v>
      </x:c>
      <x:c r="S576" t="n">
        <x:f>L576-AVERAGE(Q576:R576)</x:f>
        <x:v>0</x:v>
      </x:c>
      <x:c r="T576" t="str">
        <x:f>IF(M576=0,IF(AND(N576=0,O576=0,E576=0,F576=0),"OK","ERREUR"),IF(AND(M576&gt;=1,M576&lt;=32,OR(N576=4,N576=6,N576=8,N576=10,N576=12,N576=20),O576&gt;=0,E576=M576+O576,F576=M576*N576+O576),"OK","ERREUR"))</x:f>
        <x:v>OK</x:v>
      </x:c>
      <x:c r="U576" s="86" t="n">
        <x:f>IF(M576&gt;0,M576*(N576+1)/2+O576,0)</x:f>
        <x:v>46</x:v>
      </x:c>
      <x:c r="V576" t="str">
        <x:f>IF(ABS(L576-U576)&lt;0.001,"OK","ERREUR")</x:f>
        <x:v>OK</x:v>
      </x:c>
    </x:row>
    <x:row r="577" ht="18" customHeight="1">
      <x:c r="A577" t="str">
        <x:v>ARM029</x:v>
      </x:c>
      <x:c r="B577" t="str">
        <x:v>Espadon</x:v>
      </x:c>
      <x:c r="C577" t="n">
        <x:v>14</x:v>
      </x:c>
      <x:c r="D577" t="str">
        <x:v>Deux mains</x:v>
      </x:c>
      <x:c r="E577" s="28" t="n">
        <x:f>IF(M577=0,0,M577+O577)</x:f>
        <x:v>41</x:v>
      </x:c>
      <x:c r="F577" s="28" t="n">
        <x:f>IF(M577=0,0,M577*N577+O577)</x:f>
        <x:v>62</x:v>
      </x:c>
      <x:c r="G577" s="28" t="n">
        <x:f>ROUND(Catalogue!G32*SQRT((1+'Paramètres'!$B$4*(C577-1)+'Paramètres'!$B$5*(C577-1)^2)),0)</x:f>
        <x:v>0</x:v>
      </x:c>
      <x:c r="H577" s="28" t="n">
        <x:f>ROUND(Catalogue!H32*SQRT((1+'Paramètres'!$B$4*(C577-1)+'Paramètres'!$B$5*(C577-1)^2)),0)</x:f>
        <x:v>0</x:v>
      </x:c>
      <x:c r="I577" s="28" t="n">
        <x:v>3</x:v>
      </x:c>
      <x:c r="J577" s="28" t="n">
        <x:v>1</x:v>
      </x:c>
      <x:c r="K577" s="30" t="n">
        <x:v>4.4</x:v>
      </x:c>
      <x:c r="L577" s="54" t="n">
        <x:f>IF(M577=0,0,(E577+F577)/2)</x:f>
        <x:v>51.5</x:v>
      </x:c>
      <x:c r="M577" t="n">
        <x:v>3</x:v>
      </x:c>
      <x:c r="N577" t="n">
        <x:v>8</x:v>
      </x:c>
      <x:c r="O577" t="n">
        <x:v>38</x:v>
      </x:c>
      <x:c r="P577" s="63" t="str">
        <x:f>IF(M577=0,"—",M577&amp;"d"&amp;N577&amp;IF(O577=0,""," + "&amp;O577))</x:f>
        <x:v>3d8 + 38</x:v>
      </x:c>
      <x:c r="Q577" t="n">
        <x:f>ROUND(INDEX(Catalogue!E$4:E$85,MATCH(A577,Catalogue!A$4:A$85,0))*(1+'Paramètres'!$B$4*(C577-1)+'Paramètres'!$B$5*(C577-1)^2),0)</x:f>
        <x:v>41</x:v>
      </x:c>
      <x:c r="R577" t="n">
        <x:f>ROUND(INDEX(Catalogue!F$4:F$85,MATCH(A577,Catalogue!A$4:A$85,0))*(1+'Paramètres'!$B$4*(C577-1)+'Paramètres'!$B$5*(C577-1)^2),0)</x:f>
        <x:v>62</x:v>
      </x:c>
      <x:c r="S577" t="n">
        <x:f>L577-AVERAGE(Q577:R577)</x:f>
        <x:v>0</x:v>
      </x:c>
      <x:c r="T577" t="str">
        <x:f>IF(M577=0,IF(AND(N577=0,O577=0,E577=0,F577=0),"OK","ERREUR"),IF(AND(M577&gt;=1,M577&lt;=32,OR(N577=4,N577=6,N577=8,N577=10,N577=12,N577=20),O577&gt;=0,E577=M577+O577,F577=M577*N577+O577),"OK","ERREUR"))</x:f>
        <x:v>OK</x:v>
      </x:c>
      <x:c r="U577" s="86" t="n">
        <x:f>IF(M577&gt;0,M577*(N577+1)/2+O577,0)</x:f>
        <x:v>51.5</x:v>
      </x:c>
      <x:c r="V577" t="str">
        <x:f>IF(ABS(L577-U577)&lt;0.001,"OK","ERREUR")</x:f>
        <x:v>OK</x:v>
      </x:c>
    </x:row>
    <x:row r="578" ht="18" customHeight="1">
      <x:c r="A578" t="str">
        <x:v>ARM029</x:v>
      </x:c>
      <x:c r="B578" t="str">
        <x:v>Espadon</x:v>
      </x:c>
      <x:c r="C578" t="n">
        <x:v>15</x:v>
      </x:c>
      <x:c r="D578" t="str">
        <x:v>Deux mains</x:v>
      </x:c>
      <x:c r="E578" s="28" t="n">
        <x:f>IF(M578=0,0,M578+O578)</x:f>
        <x:v>45</x:v>
      </x:c>
      <x:c r="F578" s="28" t="n">
        <x:f>IF(M578=0,0,M578*N578+O578)</x:f>
        <x:v>67</x:v>
      </x:c>
      <x:c r="G578" s="28" t="n">
        <x:f>ROUND(Catalogue!G32*SQRT((1+'Paramètres'!$B$4*(C578-1)+'Paramètres'!$B$5*(C578-1)^2)),0)</x:f>
        <x:v>0</x:v>
      </x:c>
      <x:c r="H578" s="28" t="n">
        <x:f>ROUND(Catalogue!H32*SQRT((1+'Paramètres'!$B$4*(C578-1)+'Paramètres'!$B$5*(C578-1)^2)),0)</x:f>
        <x:v>0</x:v>
      </x:c>
      <x:c r="I578" s="28" t="n">
        <x:v>3</x:v>
      </x:c>
      <x:c r="J578" s="28" t="n">
        <x:v>1</x:v>
      </x:c>
      <x:c r="K578" s="30" t="n">
        <x:v>4.4</x:v>
      </x:c>
      <x:c r="L578" s="54" t="n">
        <x:f>IF(M578=0,0,(E578+F578)/2)</x:f>
        <x:v>56</x:v>
      </x:c>
      <x:c r="M578" t="n">
        <x:v>2</x:v>
      </x:c>
      <x:c r="N578" t="n">
        <x:v>12</x:v>
      </x:c>
      <x:c r="O578" t="n">
        <x:v>43</x:v>
      </x:c>
      <x:c r="P578" s="63" t="str">
        <x:f>IF(M578=0,"—",M578&amp;"d"&amp;N578&amp;IF(O578=0,""," + "&amp;O578))</x:f>
        <x:v>2d12 + 43</x:v>
      </x:c>
      <x:c r="Q578" t="n">
        <x:f>ROUND(INDEX(Catalogue!E$4:E$85,MATCH(A578,Catalogue!A$4:A$85,0))*(1+'Paramètres'!$B$4*(C578-1)+'Paramètres'!$B$5*(C578-1)^2),0)</x:f>
        <x:v>45</x:v>
      </x:c>
      <x:c r="R578" t="n">
        <x:f>ROUND(INDEX(Catalogue!F$4:F$85,MATCH(A578,Catalogue!A$4:A$85,0))*(1+'Paramètres'!$B$4*(C578-1)+'Paramètres'!$B$5*(C578-1)^2),0)</x:f>
        <x:v>68</x:v>
      </x:c>
      <x:c r="S578" t="n">
        <x:f>L578-AVERAGE(Q578:R578)</x:f>
        <x:v>-0.5</x:v>
      </x:c>
      <x:c r="T578" t="str">
        <x:f>IF(M578=0,IF(AND(N578=0,O578=0,E578=0,F578=0),"OK","ERREUR"),IF(AND(M578&gt;=1,M578&lt;=32,OR(N578=4,N578=6,N578=8,N578=10,N578=12,N578=20),O578&gt;=0,E578=M578+O578,F578=M578*N578+O578),"OK","ERREUR"))</x:f>
        <x:v>OK</x:v>
      </x:c>
      <x:c r="U578" s="86" t="n">
        <x:f>IF(M578&gt;0,M578*(N578+1)/2+O578,0)</x:f>
        <x:v>56</x:v>
      </x:c>
      <x:c r="V578" t="str">
        <x:f>IF(ABS(L578-U578)&lt;0.001,"OK","ERREUR")</x:f>
        <x:v>OK</x:v>
      </x:c>
    </x:row>
    <x:row r="579" ht="18" customHeight="1">
      <x:c r="A579" t="str">
        <x:v>ARM029</x:v>
      </x:c>
      <x:c r="B579" t="str">
        <x:v>Espadon</x:v>
      </x:c>
      <x:c r="C579" t="n">
        <x:v>16</x:v>
      </x:c>
      <x:c r="D579" t="str">
        <x:v>Deux mains</x:v>
      </x:c>
      <x:c r="E579" s="28" t="n">
        <x:f>IF(M579=0,0,M579+O579)</x:f>
        <x:v>50</x:v>
      </x:c>
      <x:c r="F579" s="28" t="n">
        <x:f>IF(M579=0,0,M579*N579+O579)</x:f>
        <x:v>75</x:v>
      </x:c>
      <x:c r="G579" s="28" t="n">
        <x:f>ROUND(Catalogue!G32*SQRT((1+'Paramètres'!$B$4*(C579-1)+'Paramètres'!$B$5*(C579-1)^2)),0)</x:f>
        <x:v>0</x:v>
      </x:c>
      <x:c r="H579" s="28" t="n">
        <x:f>ROUND(Catalogue!H32*SQRT((1+'Paramètres'!$B$4*(C579-1)+'Paramètres'!$B$5*(C579-1)^2)),0)</x:f>
        <x:v>0</x:v>
      </x:c>
      <x:c r="I579" s="28" t="n">
        <x:v>3</x:v>
      </x:c>
      <x:c r="J579" s="28" t="n">
        <x:v>1</x:v>
      </x:c>
      <x:c r="K579" s="30" t="n">
        <x:v>4.4</x:v>
      </x:c>
      <x:c r="L579" s="54" t="n">
        <x:f>IF(M579=0,0,(E579+F579)/2)</x:f>
        <x:v>62.5</x:v>
      </x:c>
      <x:c r="M579" t="n">
        <x:v>5</x:v>
      </x:c>
      <x:c r="N579" t="n">
        <x:v>6</x:v>
      </x:c>
      <x:c r="O579" t="n">
        <x:v>45</x:v>
      </x:c>
      <x:c r="P579" s="63" t="str">
        <x:f>IF(M579=0,"—",M579&amp;"d"&amp;N579&amp;IF(O579=0,""," + "&amp;O579))</x:f>
        <x:v>5d6 + 45</x:v>
      </x:c>
      <x:c r="Q579" t="n">
        <x:f>ROUND(INDEX(Catalogue!E$4:E$85,MATCH(A579,Catalogue!A$4:A$85,0))*(1+'Paramètres'!$B$4*(C579-1)+'Paramètres'!$B$5*(C579-1)^2),0)</x:f>
        <x:v>50</x:v>
      </x:c>
      <x:c r="R579" t="n">
        <x:f>ROUND(INDEX(Catalogue!F$4:F$85,MATCH(A579,Catalogue!A$4:A$85,0))*(1+'Paramètres'!$B$4*(C579-1)+'Paramètres'!$B$5*(C579-1)^2),0)</x:f>
        <x:v>75</x:v>
      </x:c>
      <x:c r="S579" t="n">
        <x:f>L579-AVERAGE(Q579:R579)</x:f>
        <x:v>0</x:v>
      </x:c>
      <x:c r="T579" t="str">
        <x:f>IF(M579=0,IF(AND(N579=0,O579=0,E579=0,F579=0),"OK","ERREUR"),IF(AND(M579&gt;=1,M579&lt;=32,OR(N579=4,N579=6,N579=8,N579=10,N579=12,N579=20),O579&gt;=0,E579=M579+O579,F579=M579*N579+O579),"OK","ERREUR"))</x:f>
        <x:v>OK</x:v>
      </x:c>
      <x:c r="U579" s="86" t="n">
        <x:f>IF(M579&gt;0,M579*(N579+1)/2+O579,0)</x:f>
        <x:v>62.5</x:v>
      </x:c>
      <x:c r="V579" t="str">
        <x:f>IF(ABS(L579-U579)&lt;0.001,"OK","ERREUR")</x:f>
        <x:v>OK</x:v>
      </x:c>
    </x:row>
    <x:row r="580" ht="18" customHeight="1">
      <x:c r="A580" t="str">
        <x:v>ARM029</x:v>
      </x:c>
      <x:c r="B580" t="str">
        <x:v>Espadon</x:v>
      </x:c>
      <x:c r="C580" t="n">
        <x:v>17</x:v>
      </x:c>
      <x:c r="D580" t="str">
        <x:v>Deux mains</x:v>
      </x:c>
      <x:c r="E580" s="28" t="n">
        <x:f>IF(M580=0,0,M580+O580)</x:f>
        <x:v>55</x:v>
      </x:c>
      <x:c r="F580" s="28" t="n">
        <x:f>IF(M580=0,0,M580*N580+O580)</x:f>
        <x:v>82</x:v>
      </x:c>
      <x:c r="G580" s="28" t="n">
        <x:f>ROUND(Catalogue!G32*SQRT((1+'Paramètres'!$B$4*(C580-1)+'Paramètres'!$B$5*(C580-1)^2)),0)</x:f>
        <x:v>0</x:v>
      </x:c>
      <x:c r="H580" s="28" t="n">
        <x:f>ROUND(Catalogue!H32*SQRT((1+'Paramètres'!$B$4*(C580-1)+'Paramètres'!$B$5*(C580-1)^2)),0)</x:f>
        <x:v>0</x:v>
      </x:c>
      <x:c r="I580" s="28" t="n">
        <x:v>3</x:v>
      </x:c>
      <x:c r="J580" s="28" t="n">
        <x:v>1</x:v>
      </x:c>
      <x:c r="K580" s="30" t="n">
        <x:v>4.4</x:v>
      </x:c>
      <x:c r="L580" s="54" t="n">
        <x:f>IF(M580=0,0,(E580+F580)/2)</x:f>
        <x:v>68.5</x:v>
      </x:c>
      <x:c r="M580" t="n">
        <x:v>3</x:v>
      </x:c>
      <x:c r="N580" t="n">
        <x:v>10</x:v>
      </x:c>
      <x:c r="O580" t="n">
        <x:v>52</x:v>
      </x:c>
      <x:c r="P580" s="63" t="str">
        <x:f>IF(M580=0,"—",M580&amp;"d"&amp;N580&amp;IF(O580=0,""," + "&amp;O580))</x:f>
        <x:v>3d10 + 52</x:v>
      </x:c>
      <x:c r="Q580" t="n">
        <x:f>ROUND(INDEX(Catalogue!E$4:E$85,MATCH(A580,Catalogue!A$4:A$85,0))*(1+'Paramètres'!$B$4*(C580-1)+'Paramètres'!$B$5*(C580-1)^2),0)</x:f>
        <x:v>55</x:v>
      </x:c>
      <x:c r="R580" t="n">
        <x:f>ROUND(INDEX(Catalogue!F$4:F$85,MATCH(A580,Catalogue!A$4:A$85,0))*(1+'Paramètres'!$B$4*(C580-1)+'Paramètres'!$B$5*(C580-1)^2),0)</x:f>
        <x:v>82</x:v>
      </x:c>
      <x:c r="S580" t="n">
        <x:f>L580-AVERAGE(Q580:R580)</x:f>
        <x:v>0</x:v>
      </x:c>
      <x:c r="T580" t="str">
        <x:f>IF(M580=0,IF(AND(N580=0,O580=0,E580=0,F580=0),"OK","ERREUR"),IF(AND(M580&gt;=1,M580&lt;=32,OR(N580=4,N580=6,N580=8,N580=10,N580=12,N580=20),O580&gt;=0,E580=M580+O580,F580=M580*N580+O580),"OK","ERREUR"))</x:f>
        <x:v>OK</x:v>
      </x:c>
      <x:c r="U580" s="86" t="n">
        <x:f>IF(M580&gt;0,M580*(N580+1)/2+O580,0)</x:f>
        <x:v>68.5</x:v>
      </x:c>
      <x:c r="V580" t="str">
        <x:f>IF(ABS(L580-U580)&lt;0.001,"OK","ERREUR")</x:f>
        <x:v>OK</x:v>
      </x:c>
    </x:row>
    <x:row r="581" ht="18" customHeight="1">
      <x:c r="A581" t="str">
        <x:v>ARM029</x:v>
      </x:c>
      <x:c r="B581" t="str">
        <x:v>Espadon</x:v>
      </x:c>
      <x:c r="C581" t="n">
        <x:v>18</x:v>
      </x:c>
      <x:c r="D581" t="str">
        <x:v>Deux mains</x:v>
      </x:c>
      <x:c r="E581" s="28" t="n">
        <x:f>IF(M581=0,0,M581+O581)</x:f>
        <x:v>60</x:v>
      </x:c>
      <x:c r="F581" s="28" t="n">
        <x:f>IF(M581=0,0,M581*N581+O581)</x:f>
        <x:v>90</x:v>
      </x:c>
      <x:c r="G581" s="28" t="n">
        <x:f>ROUND(Catalogue!G32*SQRT((1+'Paramètres'!$B$4*(C581-1)+'Paramètres'!$B$5*(C581-1)^2)),0)</x:f>
        <x:v>0</x:v>
      </x:c>
      <x:c r="H581" s="28" t="n">
        <x:f>ROUND(Catalogue!H32*SQRT((1+'Paramètres'!$B$4*(C581-1)+'Paramètres'!$B$5*(C581-1)^2)),0)</x:f>
        <x:v>0</x:v>
      </x:c>
      <x:c r="I581" s="28" t="n">
        <x:v>3</x:v>
      </x:c>
      <x:c r="J581" s="28" t="n">
        <x:v>1</x:v>
      </x:c>
      <x:c r="K581" s="30" t="n">
        <x:v>4.4</x:v>
      </x:c>
      <x:c r="L581" s="54" t="n">
        <x:f>IF(M581=0,0,(E581+F581)/2)</x:f>
        <x:v>75</x:v>
      </x:c>
      <x:c r="M581" t="n">
        <x:v>6</x:v>
      </x:c>
      <x:c r="N581" t="n">
        <x:v>6</x:v>
      </x:c>
      <x:c r="O581" t="n">
        <x:v>54</x:v>
      </x:c>
      <x:c r="P581" s="63" t="str">
        <x:f>IF(M581=0,"—",M581&amp;"d"&amp;N581&amp;IF(O581=0,""," + "&amp;O581))</x:f>
        <x:v>6d6 + 54</x:v>
      </x:c>
      <x:c r="Q581" t="n">
        <x:f>ROUND(INDEX(Catalogue!E$4:E$85,MATCH(A581,Catalogue!A$4:A$85,0))*(1+'Paramètres'!$B$4*(C581-1)+'Paramètres'!$B$5*(C581-1)^2),0)</x:f>
        <x:v>60</x:v>
      </x:c>
      <x:c r="R581" t="n">
        <x:f>ROUND(INDEX(Catalogue!F$4:F$85,MATCH(A581,Catalogue!A$4:A$85,0))*(1+'Paramètres'!$B$4*(C581-1)+'Paramètres'!$B$5*(C581-1)^2),0)</x:f>
        <x:v>90</x:v>
      </x:c>
      <x:c r="S581" t="n">
        <x:f>L581-AVERAGE(Q581:R581)</x:f>
        <x:v>0</x:v>
      </x:c>
      <x:c r="T581" t="str">
        <x:f>IF(M581=0,IF(AND(N581=0,O581=0,E581=0,F581=0),"OK","ERREUR"),IF(AND(M581&gt;=1,M581&lt;=32,OR(N581=4,N581=6,N581=8,N581=10,N581=12,N581=20),O581&gt;=0,E581=M581+O581,F581=M581*N581+O581),"OK","ERREUR"))</x:f>
        <x:v>OK</x:v>
      </x:c>
      <x:c r="U581" s="86" t="n">
        <x:f>IF(M581&gt;0,M581*(N581+1)/2+O581,0)</x:f>
        <x:v>75</x:v>
      </x:c>
      <x:c r="V581" t="str">
        <x:f>IF(ABS(L581-U581)&lt;0.001,"OK","ERREUR")</x:f>
        <x:v>OK</x:v>
      </x:c>
    </x:row>
    <x:row r="582" ht="18" customHeight="1">
      <x:c r="A582" t="str">
        <x:v>ARM029</x:v>
      </x:c>
      <x:c r="B582" t="str">
        <x:v>Espadon</x:v>
      </x:c>
      <x:c r="C582" t="n">
        <x:v>19</x:v>
      </x:c>
      <x:c r="D582" t="str">
        <x:v>Deux mains</x:v>
      </x:c>
      <x:c r="E582" s="28" t="n">
        <x:f>IF(M582=0,0,M582+O582)</x:f>
        <x:v>65</x:v>
      </x:c>
      <x:c r="F582" s="28" t="n">
        <x:f>IF(M582=0,0,M582*N582+O582)</x:f>
        <x:v>98</x:v>
      </x:c>
      <x:c r="G582" s="28" t="n">
        <x:f>ROUND(Catalogue!G32*SQRT((1+'Paramètres'!$B$4*(C582-1)+'Paramètres'!$B$5*(C582-1)^2)),0)</x:f>
        <x:v>0</x:v>
      </x:c>
      <x:c r="H582" s="28" t="n">
        <x:f>ROUND(Catalogue!H32*SQRT((1+'Paramètres'!$B$4*(C582-1)+'Paramètres'!$B$5*(C582-1)^2)),0)</x:f>
        <x:v>0</x:v>
      </x:c>
      <x:c r="I582" s="28" t="n">
        <x:v>3</x:v>
      </x:c>
      <x:c r="J582" s="28" t="n">
        <x:v>1</x:v>
      </x:c>
      <x:c r="K582" s="30" t="n">
        <x:v>4.4</x:v>
      </x:c>
      <x:c r="L582" s="54" t="n">
        <x:f>IF(M582=0,0,(E582+F582)/2)</x:f>
        <x:v>81.5</x:v>
      </x:c>
      <x:c r="M582" t="n">
        <x:v>3</x:v>
      </x:c>
      <x:c r="N582" t="n">
        <x:v>12</x:v>
      </x:c>
      <x:c r="O582" t="n">
        <x:v>62</x:v>
      </x:c>
      <x:c r="P582" s="63" t="str">
        <x:f>IF(M582=0,"—",M582&amp;"d"&amp;N582&amp;IF(O582=0,""," + "&amp;O582))</x:f>
        <x:v>3d12 + 62</x:v>
      </x:c>
      <x:c r="Q582" t="n">
        <x:f>ROUND(INDEX(Catalogue!E$4:E$85,MATCH(A582,Catalogue!A$4:A$85,0))*(1+'Paramètres'!$B$4*(C582-1)+'Paramètres'!$B$5*(C582-1)^2),0)</x:f>
        <x:v>65</x:v>
      </x:c>
      <x:c r="R582" t="n">
        <x:f>ROUND(INDEX(Catalogue!F$4:F$85,MATCH(A582,Catalogue!A$4:A$85,0))*(1+'Paramètres'!$B$4*(C582-1)+'Paramètres'!$B$5*(C582-1)^2),0)</x:f>
        <x:v>98</x:v>
      </x:c>
      <x:c r="S582" t="n">
        <x:f>L582-AVERAGE(Q582:R582)</x:f>
        <x:v>0</x:v>
      </x:c>
      <x:c r="T582" t="str">
        <x:f>IF(M582=0,IF(AND(N582=0,O582=0,E582=0,F582=0),"OK","ERREUR"),IF(AND(M582&gt;=1,M582&lt;=32,OR(N582=4,N582=6,N582=8,N582=10,N582=12,N582=20),O582&gt;=0,E582=M582+O582,F582=M582*N582+O582),"OK","ERREUR"))</x:f>
        <x:v>OK</x:v>
      </x:c>
      <x:c r="U582" s="86" t="n">
        <x:f>IF(M582&gt;0,M582*(N582+1)/2+O582,0)</x:f>
        <x:v>81.5</x:v>
      </x:c>
      <x:c r="V582" t="str">
        <x:f>IF(ABS(L582-U582)&lt;0.001,"OK","ERREUR")</x:f>
        <x:v>OK</x:v>
      </x:c>
    </x:row>
    <x:row r="583" ht="18" customHeight="1">
      <x:c r="A583" t="str">
        <x:v>ARM029</x:v>
      </x:c>
      <x:c r="B583" t="str">
        <x:v>Espadon</x:v>
      </x:c>
      <x:c r="C583" t="n">
        <x:v>20</x:v>
      </x:c>
      <x:c r="D583" t="str">
        <x:v>Deux mains</x:v>
      </x:c>
      <x:c r="E583" s="28" t="n">
        <x:f>IF(M583=0,0,M583+O583)</x:f>
        <x:v>71</x:v>
      </x:c>
      <x:c r="F583" s="28" t="n">
        <x:f>IF(M583=0,0,M583*N583+O583)</x:f>
        <x:v>106</x:v>
      </x:c>
      <x:c r="G583" s="28" t="n">
        <x:f>ROUND(Catalogue!G32*SQRT((1+'Paramètres'!$B$4*(C583-1)+'Paramètres'!$B$5*(C583-1)^2)),0)</x:f>
        <x:v>0</x:v>
      </x:c>
      <x:c r="H583" s="28" t="n">
        <x:f>ROUND(Catalogue!H32*SQRT((1+'Paramètres'!$B$4*(C583-1)+'Paramètres'!$B$5*(C583-1)^2)),0)</x:f>
        <x:v>0</x:v>
      </x:c>
      <x:c r="I583" s="28" t="n">
        <x:v>3</x:v>
      </x:c>
      <x:c r="J583" s="28" t="n">
        <x:v>1</x:v>
      </x:c>
      <x:c r="K583" s="30" t="n">
        <x:v>4.4</x:v>
      </x:c>
      <x:c r="L583" s="54" t="n">
        <x:f>IF(M583=0,0,(E583+F583)/2)</x:f>
        <x:v>88.5</x:v>
      </x:c>
      <x:c r="M583" t="n">
        <x:v>5</x:v>
      </x:c>
      <x:c r="N583" t="n">
        <x:v>8</x:v>
      </x:c>
      <x:c r="O583" t="n">
        <x:v>66</x:v>
      </x:c>
      <x:c r="P583" s="63" t="str">
        <x:f>IF(M583=0,"—",M583&amp;"d"&amp;N583&amp;IF(O583=0,""," + "&amp;O583))</x:f>
        <x:v>5d8 + 66</x:v>
      </x:c>
      <x:c r="Q583" t="n">
        <x:f>ROUND(INDEX(Catalogue!E$4:E$85,MATCH(A583,Catalogue!A$4:A$85,0))*(1+'Paramètres'!$B$4*(C583-1)+'Paramètres'!$B$5*(C583-1)^2),0)</x:f>
        <x:v>71</x:v>
      </x:c>
      <x:c r="R583" t="n">
        <x:f>ROUND(INDEX(Catalogue!F$4:F$85,MATCH(A583,Catalogue!A$4:A$85,0))*(1+'Paramètres'!$B$4*(C583-1)+'Paramètres'!$B$5*(C583-1)^2),0)</x:f>
        <x:v>106</x:v>
      </x:c>
      <x:c r="S583" t="n">
        <x:f>L583-AVERAGE(Q583:R583)</x:f>
        <x:v>0</x:v>
      </x:c>
      <x:c r="T583" t="str">
        <x:f>IF(M583=0,IF(AND(N583=0,O583=0,E583=0,F583=0),"OK","ERREUR"),IF(AND(M583&gt;=1,M583&lt;=32,OR(N583=4,N583=6,N583=8,N583=10,N583=12,N583=20),O583&gt;=0,E583=M583+O583,F583=M583*N583+O583),"OK","ERREUR"))</x:f>
        <x:v>OK</x:v>
      </x:c>
      <x:c r="U583" s="86" t="n">
        <x:f>IF(M583&gt;0,M583*(N583+1)/2+O583,0)</x:f>
        <x:v>88.5</x:v>
      </x:c>
      <x:c r="V583" t="str">
        <x:f>IF(ABS(L583-U583)&lt;0.001,"OK","ERREUR")</x:f>
        <x:v>OK</x:v>
      </x:c>
    </x:row>
    <x:row r="584" ht="18" customHeight="1">
      <x:c r="A584" t="str">
        <x:v>ARM030</x:v>
      </x:c>
      <x:c r="B584" t="str">
        <x:v>Lame d'exécution</x:v>
      </x:c>
      <x:c r="C584" t="n">
        <x:v>1</x:v>
      </x:c>
      <x:c r="D584" t="str">
        <x:v>Deux mains</x:v>
      </x:c>
      <x:c r="E584" s="28" t="n">
        <x:f>IF(M584=0,0,M584+O584)</x:f>
        <x:v>8</x:v>
      </x:c>
      <x:c r="F584" s="28" t="n">
        <x:f>IF(M584=0,0,M584*N584+O584)</x:f>
        <x:v>13</x:v>
      </x:c>
      <x:c r="G584" s="28" t="n">
        <x:f>ROUND(Catalogue!G33*SQRT((1+'Paramètres'!$B$4*(C584-1)+'Paramètres'!$B$5*(C584-1)^2)),0)</x:f>
        <x:v>0</x:v>
      </x:c>
      <x:c r="H584" s="28" t="n">
        <x:f>ROUND(Catalogue!H33*SQRT((1+'Paramètres'!$B$4*(C584-1)+'Paramètres'!$B$5*(C584-1)^2)),0)</x:f>
        <x:v>0</x:v>
      </x:c>
      <x:c r="I584" s="28" t="n">
        <x:v>3</x:v>
      </x:c>
      <x:c r="J584" s="28" t="n">
        <x:v>1</x:v>
      </x:c>
      <x:c r="K584" s="30" t="n">
        <x:v>4.8</x:v>
      </x:c>
      <x:c r="L584" s="54" t="n">
        <x:f>IF(M584=0,0,(E584+F584)/2)</x:f>
        <x:v>10.5</x:v>
      </x:c>
      <x:c r="M584" t="n">
        <x:v>1</x:v>
      </x:c>
      <x:c r="N584" t="n">
        <x:v>6</x:v>
      </x:c>
      <x:c r="O584" t="n">
        <x:v>7</x:v>
      </x:c>
      <x:c r="P584" s="63" t="str">
        <x:f>IF(M584=0,"—",M584&amp;"d"&amp;N584&amp;IF(O584=0,""," + "&amp;O584))</x:f>
        <x:v>1d6 + 7</x:v>
      </x:c>
      <x:c r="Q584" t="n">
        <x:f>ROUND(INDEX(Catalogue!E$4:E$85,MATCH(A584,Catalogue!A$4:A$85,0))*(1+'Paramètres'!$B$4*(C584-1)+'Paramètres'!$B$5*(C584-1)^2),0)</x:f>
        <x:v>8</x:v>
      </x:c>
      <x:c r="R584" t="n">
        <x:f>ROUND(INDEX(Catalogue!F$4:F$85,MATCH(A584,Catalogue!A$4:A$85,0))*(1+'Paramètres'!$B$4*(C584-1)+'Paramètres'!$B$5*(C584-1)^2),0)</x:f>
        <x:v>13</x:v>
      </x:c>
      <x:c r="S584" t="n">
        <x:f>L584-AVERAGE(Q584:R584)</x:f>
        <x:v>0</x:v>
      </x:c>
      <x:c r="T584" t="str">
        <x:f>IF(M584=0,IF(AND(N584=0,O584=0,E584=0,F584=0),"OK","ERREUR"),IF(AND(M584&gt;=1,M584&lt;=32,OR(N584=4,N584=6,N584=8,N584=10,N584=12,N584=20),O584&gt;=0,E584=M584+O584,F584=M584*N584+O584),"OK","ERREUR"))</x:f>
        <x:v>OK</x:v>
      </x:c>
      <x:c r="U584" s="86" t="n">
        <x:f>IF(M584&gt;0,M584*(N584+1)/2+O584,0)</x:f>
        <x:v>10.5</x:v>
      </x:c>
      <x:c r="V584" t="str">
        <x:f>IF(ABS(L584-U584)&lt;0.001,"OK","ERREUR")</x:f>
        <x:v>OK</x:v>
      </x:c>
    </x:row>
    <x:row r="585" ht="18" customHeight="1">
      <x:c r="A585" t="str">
        <x:v>ARM030</x:v>
      </x:c>
      <x:c r="B585" t="str">
        <x:v>Lame d'exécution</x:v>
      </x:c>
      <x:c r="C585" t="n">
        <x:v>2</x:v>
      </x:c>
      <x:c r="D585" t="str">
        <x:v>Deux mains</x:v>
      </x:c>
      <x:c r="E585" s="28" t="n">
        <x:f>IF(M585=0,0,M585+O585)</x:f>
        <x:v>9</x:v>
      </x:c>
      <x:c r="F585" s="28" t="n">
        <x:f>IF(M585=0,0,M585*N585+O585)</x:f>
        <x:v>14</x:v>
      </x:c>
      <x:c r="G585" s="28" t="n">
        <x:f>ROUND(Catalogue!G33*SQRT((1+'Paramètres'!$B$4*(C585-1)+'Paramètres'!$B$5*(C585-1)^2)),0)</x:f>
        <x:v>0</x:v>
      </x:c>
      <x:c r="H585" s="28" t="n">
        <x:f>ROUND(Catalogue!H33*SQRT((1+'Paramètres'!$B$4*(C585-1)+'Paramètres'!$B$5*(C585-1)^2)),0)</x:f>
        <x:v>0</x:v>
      </x:c>
      <x:c r="I585" s="28" t="n">
        <x:v>3</x:v>
      </x:c>
      <x:c r="J585" s="28" t="n">
        <x:v>1</x:v>
      </x:c>
      <x:c r="K585" s="30" t="n">
        <x:v>4.8</x:v>
      </x:c>
      <x:c r="L585" s="54" t="n">
        <x:f>IF(M585=0,0,(E585+F585)/2)</x:f>
        <x:v>11.5</x:v>
      </x:c>
      <x:c r="M585" t="n">
        <x:v>1</x:v>
      </x:c>
      <x:c r="N585" t="n">
        <x:v>6</x:v>
      </x:c>
      <x:c r="O585" t="n">
        <x:v>8</x:v>
      </x:c>
      <x:c r="P585" s="63" t="str">
        <x:f>IF(M585=0,"—",M585&amp;"d"&amp;N585&amp;IF(O585=0,""," + "&amp;O585))</x:f>
        <x:v>1d6 + 8</x:v>
      </x:c>
      <x:c r="Q585" t="n">
        <x:f>ROUND(INDEX(Catalogue!E$4:E$85,MATCH(A585,Catalogue!A$4:A$85,0))*(1+'Paramètres'!$B$4*(C585-1)+'Paramètres'!$B$5*(C585-1)^2),0)</x:f>
        <x:v>9</x:v>
      </x:c>
      <x:c r="R585" t="n">
        <x:f>ROUND(INDEX(Catalogue!F$4:F$85,MATCH(A585,Catalogue!A$4:A$85,0))*(1+'Paramètres'!$B$4*(C585-1)+'Paramètres'!$B$5*(C585-1)^2),0)</x:f>
        <x:v>15</x:v>
      </x:c>
      <x:c r="S585" t="n">
        <x:f>L585-AVERAGE(Q585:R585)</x:f>
        <x:v>-0.5</x:v>
      </x:c>
      <x:c r="T585" t="str">
        <x:f>IF(M585=0,IF(AND(N585=0,O585=0,E585=0,F585=0),"OK","ERREUR"),IF(AND(M585&gt;=1,M585&lt;=32,OR(N585=4,N585=6,N585=8,N585=10,N585=12,N585=20),O585&gt;=0,E585=M585+O585,F585=M585*N585+O585),"OK","ERREUR"))</x:f>
        <x:v>OK</x:v>
      </x:c>
      <x:c r="U585" s="86" t="n">
        <x:f>IF(M585&gt;0,M585*(N585+1)/2+O585,0)</x:f>
        <x:v>11.5</x:v>
      </x:c>
      <x:c r="V585" t="str">
        <x:f>IF(ABS(L585-U585)&lt;0.001,"OK","ERREUR")</x:f>
        <x:v>OK</x:v>
      </x:c>
    </x:row>
    <x:row r="586" ht="18" customHeight="1">
      <x:c r="A586" t="str">
        <x:v>ARM030</x:v>
      </x:c>
      <x:c r="B586" t="str">
        <x:v>Lame d'exécution</x:v>
      </x:c>
      <x:c r="C586" t="n">
        <x:v>3</x:v>
      </x:c>
      <x:c r="D586" t="str">
        <x:v>Deux mains</x:v>
      </x:c>
      <x:c r="E586" s="28" t="n">
        <x:f>IF(M586=0,0,M586+O586)</x:f>
        <x:v>10</x:v>
      </x:c>
      <x:c r="F586" s="28" t="n">
        <x:f>IF(M586=0,0,M586*N586+O586)</x:f>
        <x:v>17</x:v>
      </x:c>
      <x:c r="G586" s="28" t="n">
        <x:f>ROUND(Catalogue!G33*SQRT((1+'Paramètres'!$B$4*(C586-1)+'Paramètres'!$B$5*(C586-1)^2)),0)</x:f>
        <x:v>0</x:v>
      </x:c>
      <x:c r="H586" s="28" t="n">
        <x:f>ROUND(Catalogue!H33*SQRT((1+'Paramètres'!$B$4*(C586-1)+'Paramètres'!$B$5*(C586-1)^2)),0)</x:f>
        <x:v>0</x:v>
      </x:c>
      <x:c r="I586" s="28" t="n">
        <x:v>3</x:v>
      </x:c>
      <x:c r="J586" s="28" t="n">
        <x:v>1</x:v>
      </x:c>
      <x:c r="K586" s="30" t="n">
        <x:v>4.8</x:v>
      </x:c>
      <x:c r="L586" s="54" t="n">
        <x:f>IF(M586=0,0,(E586+F586)/2)</x:f>
        <x:v>13.5</x:v>
      </x:c>
      <x:c r="M586" t="n">
        <x:v>1</x:v>
      </x:c>
      <x:c r="N586" t="n">
        <x:v>8</x:v>
      </x:c>
      <x:c r="O586" t="n">
        <x:v>9</x:v>
      </x:c>
      <x:c r="P586" s="63" t="str">
        <x:f>IF(M586=0,"—",M586&amp;"d"&amp;N586&amp;IF(O586=0,""," + "&amp;O586))</x:f>
        <x:v>1d8 + 9</x:v>
      </x:c>
      <x:c r="Q586" t="n">
        <x:f>ROUND(INDEX(Catalogue!E$4:E$85,MATCH(A586,Catalogue!A$4:A$85,0))*(1+'Paramètres'!$B$4*(C586-1)+'Paramètres'!$B$5*(C586-1)^2),0)</x:f>
        <x:v>10</x:v>
      </x:c>
      <x:c r="R586" t="n">
        <x:f>ROUND(INDEX(Catalogue!F$4:F$85,MATCH(A586,Catalogue!A$4:A$85,0))*(1+'Paramètres'!$B$4*(C586-1)+'Paramètres'!$B$5*(C586-1)^2),0)</x:f>
        <x:v>17</x:v>
      </x:c>
      <x:c r="S586" t="n">
        <x:f>L586-AVERAGE(Q586:R586)</x:f>
        <x:v>0</x:v>
      </x:c>
      <x:c r="T586" t="str">
        <x:f>IF(M586=0,IF(AND(N586=0,O586=0,E586=0,F586=0),"OK","ERREUR"),IF(AND(M586&gt;=1,M586&lt;=32,OR(N586=4,N586=6,N586=8,N586=10,N586=12,N586=20),O586&gt;=0,E586=M586+O586,F586=M586*N586+O586),"OK","ERREUR"))</x:f>
        <x:v>OK</x:v>
      </x:c>
      <x:c r="U586" s="86" t="n">
        <x:f>IF(M586&gt;0,M586*(N586+1)/2+O586,0)</x:f>
        <x:v>13.5</x:v>
      </x:c>
      <x:c r="V586" t="str">
        <x:f>IF(ABS(L586-U586)&lt;0.001,"OK","ERREUR")</x:f>
        <x:v>OK</x:v>
      </x:c>
    </x:row>
    <x:row r="587" ht="18" customHeight="1">
      <x:c r="A587" t="str">
        <x:v>ARM030</x:v>
      </x:c>
      <x:c r="B587" t="str">
        <x:v>Lame d'exécution</x:v>
      </x:c>
      <x:c r="C587" t="n">
        <x:v>4</x:v>
      </x:c>
      <x:c r="D587" t="str">
        <x:v>Deux mains</x:v>
      </x:c>
      <x:c r="E587" s="28" t="n">
        <x:f>IF(M587=0,0,M587+O587)</x:f>
        <x:v>12</x:v>
      </x:c>
      <x:c r="F587" s="28" t="n">
        <x:f>IF(M587=0,0,M587*N587+O587)</x:f>
        <x:v>19</x:v>
      </x:c>
      <x:c r="G587" s="28" t="n">
        <x:f>ROUND(Catalogue!G33*SQRT((1+'Paramètres'!$B$4*(C587-1)+'Paramètres'!$B$5*(C587-1)^2)),0)</x:f>
        <x:v>0</x:v>
      </x:c>
      <x:c r="H587" s="28" t="n">
        <x:f>ROUND(Catalogue!H33*SQRT((1+'Paramètres'!$B$4*(C587-1)+'Paramètres'!$B$5*(C587-1)^2)),0)</x:f>
        <x:v>0</x:v>
      </x:c>
      <x:c r="I587" s="28" t="n">
        <x:v>3</x:v>
      </x:c>
      <x:c r="J587" s="28" t="n">
        <x:v>1</x:v>
      </x:c>
      <x:c r="K587" s="30" t="n">
        <x:v>4.8</x:v>
      </x:c>
      <x:c r="L587" s="54" t="n">
        <x:f>IF(M587=0,0,(E587+F587)/2)</x:f>
        <x:v>15.5</x:v>
      </x:c>
      <x:c r="M587" t="n">
        <x:v>1</x:v>
      </x:c>
      <x:c r="N587" t="n">
        <x:v>8</x:v>
      </x:c>
      <x:c r="O587" t="n">
        <x:v>11</x:v>
      </x:c>
      <x:c r="P587" s="63" t="str">
        <x:f>IF(M587=0,"—",M587&amp;"d"&amp;N587&amp;IF(O587=0,""," + "&amp;O587))</x:f>
        <x:v>1d8 + 11</x:v>
      </x:c>
      <x:c r="Q587" t="n">
        <x:f>ROUND(INDEX(Catalogue!E$4:E$85,MATCH(A587,Catalogue!A$4:A$85,0))*(1+'Paramètres'!$B$4*(C587-1)+'Paramètres'!$B$5*(C587-1)^2),0)</x:f>
        <x:v>12</x:v>
      </x:c>
      <x:c r="R587" t="n">
        <x:f>ROUND(INDEX(Catalogue!F$4:F$85,MATCH(A587,Catalogue!A$4:A$85,0))*(1+'Paramètres'!$B$4*(C587-1)+'Paramètres'!$B$5*(C587-1)^2),0)</x:f>
        <x:v>19</x:v>
      </x:c>
      <x:c r="S587" t="n">
        <x:f>L587-AVERAGE(Q587:R587)</x:f>
        <x:v>0</x:v>
      </x:c>
      <x:c r="T587" t="str">
        <x:f>IF(M587=0,IF(AND(N587=0,O587=0,E587=0,F587=0),"OK","ERREUR"),IF(AND(M587&gt;=1,M587&lt;=32,OR(N587=4,N587=6,N587=8,N587=10,N587=12,N587=20),O587&gt;=0,E587=M587+O587,F587=M587*N587+O587),"OK","ERREUR"))</x:f>
        <x:v>OK</x:v>
      </x:c>
      <x:c r="U587" s="86" t="n">
        <x:f>IF(M587&gt;0,M587*(N587+1)/2+O587,0)</x:f>
        <x:v>15.5</x:v>
      </x:c>
      <x:c r="V587" t="str">
        <x:f>IF(ABS(L587-U587)&lt;0.001,"OK","ERREUR")</x:f>
        <x:v>OK</x:v>
      </x:c>
    </x:row>
    <x:row r="588" ht="18" customHeight="1">
      <x:c r="A588" t="str">
        <x:v>ARM030</x:v>
      </x:c>
      <x:c r="B588" t="str">
        <x:v>Lame d'exécution</x:v>
      </x:c>
      <x:c r="C588" t="n">
        <x:v>5</x:v>
      </x:c>
      <x:c r="D588" t="str">
        <x:v>Deux mains</x:v>
      </x:c>
      <x:c r="E588" s="28" t="n">
        <x:f>IF(M588=0,0,M588+O588)</x:f>
        <x:v>14</x:v>
      </x:c>
      <x:c r="F588" s="28" t="n">
        <x:f>IF(M588=0,0,M588*N588+O588)</x:f>
        <x:v>21</x:v>
      </x:c>
      <x:c r="G588" s="28" t="n">
        <x:f>ROUND(Catalogue!G33*SQRT((1+'Paramètres'!$B$4*(C588-1)+'Paramètres'!$B$5*(C588-1)^2)),0)</x:f>
        <x:v>0</x:v>
      </x:c>
      <x:c r="H588" s="28" t="n">
        <x:f>ROUND(Catalogue!H33*SQRT((1+'Paramètres'!$B$4*(C588-1)+'Paramètres'!$B$5*(C588-1)^2)),0)</x:f>
        <x:v>0</x:v>
      </x:c>
      <x:c r="I588" s="28" t="n">
        <x:v>3</x:v>
      </x:c>
      <x:c r="J588" s="28" t="n">
        <x:v>1</x:v>
      </x:c>
      <x:c r="K588" s="30" t="n">
        <x:v>4.8</x:v>
      </x:c>
      <x:c r="L588" s="54" t="n">
        <x:f>IF(M588=0,0,(E588+F588)/2)</x:f>
        <x:v>17.5</x:v>
      </x:c>
      <x:c r="M588" t="n">
        <x:v>1</x:v>
      </x:c>
      <x:c r="N588" t="n">
        <x:v>8</x:v>
      </x:c>
      <x:c r="O588" t="n">
        <x:v>13</x:v>
      </x:c>
      <x:c r="P588" s="63" t="str">
        <x:f>IF(M588=0,"—",M588&amp;"d"&amp;N588&amp;IF(O588=0,""," + "&amp;O588))</x:f>
        <x:v>1d8 + 13</x:v>
      </x:c>
      <x:c r="Q588" t="n">
        <x:f>ROUND(INDEX(Catalogue!E$4:E$85,MATCH(A588,Catalogue!A$4:A$85,0))*(1+'Paramètres'!$B$4*(C588-1)+'Paramètres'!$B$5*(C588-1)^2),0)</x:f>
        <x:v>14</x:v>
      </x:c>
      <x:c r="R588" t="n">
        <x:f>ROUND(INDEX(Catalogue!F$4:F$85,MATCH(A588,Catalogue!A$4:A$85,0))*(1+'Paramètres'!$B$4*(C588-1)+'Paramètres'!$B$5*(C588-1)^2),0)</x:f>
        <x:v>22</x:v>
      </x:c>
      <x:c r="S588" t="n">
        <x:f>L588-AVERAGE(Q588:R588)</x:f>
        <x:v>-0.5</x:v>
      </x:c>
      <x:c r="T588" t="str">
        <x:f>IF(M588=0,IF(AND(N588=0,O588=0,E588=0,F588=0),"OK","ERREUR"),IF(AND(M588&gt;=1,M588&lt;=32,OR(N588=4,N588=6,N588=8,N588=10,N588=12,N588=20),O588&gt;=0,E588=M588+O588,F588=M588*N588+O588),"OK","ERREUR"))</x:f>
        <x:v>OK</x:v>
      </x:c>
      <x:c r="U588" s="86" t="n">
        <x:f>IF(M588&gt;0,M588*(N588+1)/2+O588,0)</x:f>
        <x:v>17.5</x:v>
      </x:c>
      <x:c r="V588" t="str">
        <x:f>IF(ABS(L588-U588)&lt;0.001,"OK","ERREUR")</x:f>
        <x:v>OK</x:v>
      </x:c>
    </x:row>
    <x:row r="589" ht="18" customHeight="1">
      <x:c r="A589" t="str">
        <x:v>ARM030</x:v>
      </x:c>
      <x:c r="B589" t="str">
        <x:v>Lame d'exécution</x:v>
      </x:c>
      <x:c r="C589" t="n">
        <x:v>6</x:v>
      </x:c>
      <x:c r="D589" t="str">
        <x:v>Deux mains</x:v>
      </x:c>
      <x:c r="E589" s="28" t="n">
        <x:f>IF(M589=0,0,M589+O589)</x:f>
        <x:v>16</x:v>
      </x:c>
      <x:c r="F589" s="28" t="n">
        <x:f>IF(M589=0,0,M589*N589+O589)</x:f>
        <x:v>25</x:v>
      </x:c>
      <x:c r="G589" s="28" t="n">
        <x:f>ROUND(Catalogue!G33*SQRT((1+'Paramètres'!$B$4*(C589-1)+'Paramètres'!$B$5*(C589-1)^2)),0)</x:f>
        <x:v>0</x:v>
      </x:c>
      <x:c r="H589" s="28" t="n">
        <x:f>ROUND(Catalogue!H33*SQRT((1+'Paramètres'!$B$4*(C589-1)+'Paramètres'!$B$5*(C589-1)^2)),0)</x:f>
        <x:v>0</x:v>
      </x:c>
      <x:c r="I589" s="28" t="n">
        <x:v>3</x:v>
      </x:c>
      <x:c r="J589" s="28" t="n">
        <x:v>1</x:v>
      </x:c>
      <x:c r="K589" s="30" t="n">
        <x:v>4.8</x:v>
      </x:c>
      <x:c r="L589" s="54" t="n">
        <x:f>IF(M589=0,0,(E589+F589)/2)</x:f>
        <x:v>20.5</x:v>
      </x:c>
      <x:c r="M589" t="n">
        <x:v>1</x:v>
      </x:c>
      <x:c r="N589" t="n">
        <x:v>10</x:v>
      </x:c>
      <x:c r="O589" t="n">
        <x:v>15</x:v>
      </x:c>
      <x:c r="P589" s="63" t="str">
        <x:f>IF(M589=0,"—",M589&amp;"d"&amp;N589&amp;IF(O589=0,""," + "&amp;O589))</x:f>
        <x:v>1d10 + 15</x:v>
      </x:c>
      <x:c r="Q589" t="n">
        <x:f>ROUND(INDEX(Catalogue!E$4:E$85,MATCH(A589,Catalogue!A$4:A$85,0))*(1+'Paramètres'!$B$4*(C589-1)+'Paramètres'!$B$5*(C589-1)^2),0)</x:f>
        <x:v>16</x:v>
      </x:c>
      <x:c r="R589" t="n">
        <x:f>ROUND(INDEX(Catalogue!F$4:F$85,MATCH(A589,Catalogue!A$4:A$85,0))*(1+'Paramètres'!$B$4*(C589-1)+'Paramètres'!$B$5*(C589-1)^2),0)</x:f>
        <x:v>25</x:v>
      </x:c>
      <x:c r="S589" t="n">
        <x:f>L589-AVERAGE(Q589:R589)</x:f>
        <x:v>0</x:v>
      </x:c>
      <x:c r="T589" t="str">
        <x:f>IF(M589=0,IF(AND(N589=0,O589=0,E589=0,F589=0),"OK","ERREUR"),IF(AND(M589&gt;=1,M589&lt;=32,OR(N589=4,N589=6,N589=8,N589=10,N589=12,N589=20),O589&gt;=0,E589=M589+O589,F589=M589*N589+O589),"OK","ERREUR"))</x:f>
        <x:v>OK</x:v>
      </x:c>
      <x:c r="U589" s="86" t="n">
        <x:f>IF(M589&gt;0,M589*(N589+1)/2+O589,0)</x:f>
        <x:v>20.5</x:v>
      </x:c>
      <x:c r="V589" t="str">
        <x:f>IF(ABS(L589-U589)&lt;0.001,"OK","ERREUR")</x:f>
        <x:v>OK</x:v>
      </x:c>
    </x:row>
    <x:row r="590" ht="18" customHeight="1">
      <x:c r="A590" t="str">
        <x:v>ARM030</x:v>
      </x:c>
      <x:c r="B590" t="str">
        <x:v>Lame d'exécution</x:v>
      </x:c>
      <x:c r="C590" t="n">
        <x:v>7</x:v>
      </x:c>
      <x:c r="D590" t="str">
        <x:v>Deux mains</x:v>
      </x:c>
      <x:c r="E590" s="28" t="n">
        <x:f>IF(M590=0,0,M590+O590)</x:f>
        <x:v>18</x:v>
      </x:c>
      <x:c r="F590" s="28" t="n">
        <x:f>IF(M590=0,0,M590*N590+O590)</x:f>
        <x:v>29</x:v>
      </x:c>
      <x:c r="G590" s="28" t="n">
        <x:f>ROUND(Catalogue!G33*SQRT((1+'Paramètres'!$B$4*(C590-1)+'Paramètres'!$B$5*(C590-1)^2)),0)</x:f>
        <x:v>0</x:v>
      </x:c>
      <x:c r="H590" s="28" t="n">
        <x:f>ROUND(Catalogue!H33*SQRT((1+'Paramètres'!$B$4*(C590-1)+'Paramètres'!$B$5*(C590-1)^2)),0)</x:f>
        <x:v>0</x:v>
      </x:c>
      <x:c r="I590" s="28" t="n">
        <x:v>3</x:v>
      </x:c>
      <x:c r="J590" s="28" t="n">
        <x:v>1</x:v>
      </x:c>
      <x:c r="K590" s="30" t="n">
        <x:v>4.8</x:v>
      </x:c>
      <x:c r="L590" s="54" t="n">
        <x:f>IF(M590=0,0,(E590+F590)/2)</x:f>
        <x:v>23.5</x:v>
      </x:c>
      <x:c r="M590" t="n">
        <x:v>1</x:v>
      </x:c>
      <x:c r="N590" t="n">
        <x:v>12</x:v>
      </x:c>
      <x:c r="O590" t="n">
        <x:v>17</x:v>
      </x:c>
      <x:c r="P590" s="63" t="str">
        <x:f>IF(M590=0,"—",M590&amp;"d"&amp;N590&amp;IF(O590=0,""," + "&amp;O590))</x:f>
        <x:v>1d12 + 17</x:v>
      </x:c>
      <x:c r="Q590" t="n">
        <x:f>ROUND(INDEX(Catalogue!E$4:E$85,MATCH(A590,Catalogue!A$4:A$85,0))*(1+'Paramètres'!$B$4*(C590-1)+'Paramètres'!$B$5*(C590-1)^2),0)</x:f>
        <x:v>18</x:v>
      </x:c>
      <x:c r="R590" t="n">
        <x:f>ROUND(INDEX(Catalogue!F$4:F$85,MATCH(A590,Catalogue!A$4:A$85,0))*(1+'Paramètres'!$B$4*(C590-1)+'Paramètres'!$B$5*(C590-1)^2),0)</x:f>
        <x:v>29</x:v>
      </x:c>
      <x:c r="S590" t="n">
        <x:f>L590-AVERAGE(Q590:R590)</x:f>
        <x:v>0</x:v>
      </x:c>
      <x:c r="T590" t="str">
        <x:f>IF(M590=0,IF(AND(N590=0,O590=0,E590=0,F590=0),"OK","ERREUR"),IF(AND(M590&gt;=1,M590&lt;=32,OR(N590=4,N590=6,N590=8,N590=10,N590=12,N590=20),O590&gt;=0,E590=M590+O590,F590=M590*N590+O590),"OK","ERREUR"))</x:f>
        <x:v>OK</x:v>
      </x:c>
      <x:c r="U590" s="86" t="n">
        <x:f>IF(M590&gt;0,M590*(N590+1)/2+O590,0)</x:f>
        <x:v>23.5</x:v>
      </x:c>
      <x:c r="V590" t="str">
        <x:f>IF(ABS(L590-U590)&lt;0.001,"OK","ERREUR")</x:f>
        <x:v>OK</x:v>
      </x:c>
    </x:row>
    <x:row r="591" ht="18" customHeight="1">
      <x:c r="A591" t="str">
        <x:v>ARM030</x:v>
      </x:c>
      <x:c r="B591" t="str">
        <x:v>Lame d'exécution</x:v>
      </x:c>
      <x:c r="C591" t="n">
        <x:v>8</x:v>
      </x:c>
      <x:c r="D591" t="str">
        <x:v>Deux mains</x:v>
      </x:c>
      <x:c r="E591" s="28" t="n">
        <x:f>IF(M591=0,0,M591+O591)</x:f>
        <x:v>19</x:v>
      </x:c>
      <x:c r="F591" s="28" t="n">
        <x:f>IF(M591=0,0,M591*N591+O591)</x:f>
        <x:v>33</x:v>
      </x:c>
      <x:c r="G591" s="28" t="n">
        <x:f>ROUND(Catalogue!G33*SQRT((1+'Paramètres'!$B$4*(C591-1)+'Paramètres'!$B$5*(C591-1)^2)),0)</x:f>
        <x:v>0</x:v>
      </x:c>
      <x:c r="H591" s="28" t="n">
        <x:f>ROUND(Catalogue!H33*SQRT((1+'Paramètres'!$B$4*(C591-1)+'Paramètres'!$B$5*(C591-1)^2)),0)</x:f>
        <x:v>0</x:v>
      </x:c>
      <x:c r="I591" s="28" t="n">
        <x:v>3</x:v>
      </x:c>
      <x:c r="J591" s="28" t="n">
        <x:v>1</x:v>
      </x:c>
      <x:c r="K591" s="30" t="n">
        <x:v>4.8</x:v>
      </x:c>
      <x:c r="L591" s="54" t="n">
        <x:f>IF(M591=0,0,(E591+F591)/2)</x:f>
        <x:v>26</x:v>
      </x:c>
      <x:c r="M591" t="n">
        <x:v>2</x:v>
      </x:c>
      <x:c r="N591" t="n">
        <x:v>8</x:v>
      </x:c>
      <x:c r="O591" t="n">
        <x:v>17</x:v>
      </x:c>
      <x:c r="P591" s="63" t="str">
        <x:f>IF(M591=0,"—",M591&amp;"d"&amp;N591&amp;IF(O591=0,""," + "&amp;O591))</x:f>
        <x:v>2d8 + 17</x:v>
      </x:c>
      <x:c r="Q591" t="n">
        <x:f>ROUND(INDEX(Catalogue!E$4:E$85,MATCH(A591,Catalogue!A$4:A$85,0))*(1+'Paramètres'!$B$4*(C591-1)+'Paramètres'!$B$5*(C591-1)^2),0)</x:f>
        <x:v>20</x:v>
      </x:c>
      <x:c r="R591" t="n">
        <x:f>ROUND(INDEX(Catalogue!F$4:F$85,MATCH(A591,Catalogue!A$4:A$85,0))*(1+'Paramètres'!$B$4*(C591-1)+'Paramètres'!$B$5*(C591-1)^2),0)</x:f>
        <x:v>33</x:v>
      </x:c>
      <x:c r="S591" t="n">
        <x:f>L591-AVERAGE(Q591:R591)</x:f>
        <x:v>-0.5</x:v>
      </x:c>
      <x:c r="T591" t="str">
        <x:f>IF(M591=0,IF(AND(N591=0,O591=0,E591=0,F591=0),"OK","ERREUR"),IF(AND(M591&gt;=1,M591&lt;=32,OR(N591=4,N591=6,N591=8,N591=10,N591=12,N591=20),O591&gt;=0,E591=M591+O591,F591=M591*N591+O591),"OK","ERREUR"))</x:f>
        <x:v>OK</x:v>
      </x:c>
      <x:c r="U591" s="86" t="n">
        <x:f>IF(M591&gt;0,M591*(N591+1)/2+O591,0)</x:f>
        <x:v>26</x:v>
      </x:c>
      <x:c r="V591" t="str">
        <x:f>IF(ABS(L591-U591)&lt;0.001,"OK","ERREUR")</x:f>
        <x:v>OK</x:v>
      </x:c>
    </x:row>
    <x:row r="592" ht="18" customHeight="1">
      <x:c r="A592" t="str">
        <x:v>ARM030</x:v>
      </x:c>
      <x:c r="B592" t="str">
        <x:v>Lame d'exécution</x:v>
      </x:c>
      <x:c r="C592" t="n">
        <x:v>9</x:v>
      </x:c>
      <x:c r="D592" t="str">
        <x:v>Deux mains</x:v>
      </x:c>
      <x:c r="E592" s="28" t="n">
        <x:f>IF(M592=0,0,M592+O592)</x:f>
        <x:v>23</x:v>
      </x:c>
      <x:c r="F592" s="28" t="n">
        <x:f>IF(M592=0,0,M592*N592+O592)</x:f>
        <x:v>38</x:v>
      </x:c>
      <x:c r="G592" s="28" t="n">
        <x:f>ROUND(Catalogue!G33*SQRT((1+'Paramètres'!$B$4*(C592-1)+'Paramètres'!$B$5*(C592-1)^2)),0)</x:f>
        <x:v>0</x:v>
      </x:c>
      <x:c r="H592" s="28" t="n">
        <x:f>ROUND(Catalogue!H33*SQRT((1+'Paramètres'!$B$4*(C592-1)+'Paramètres'!$B$5*(C592-1)^2)),0)</x:f>
        <x:v>0</x:v>
      </x:c>
      <x:c r="I592" s="28" t="n">
        <x:v>3</x:v>
      </x:c>
      <x:c r="J592" s="28" t="n">
        <x:v>1</x:v>
      </x:c>
      <x:c r="K592" s="30" t="n">
        <x:v>4.8</x:v>
      </x:c>
      <x:c r="L592" s="54" t="n">
        <x:f>IF(M592=0,0,(E592+F592)/2)</x:f>
        <x:v>30.5</x:v>
      </x:c>
      <x:c r="M592" t="n">
        <x:v>3</x:v>
      </x:c>
      <x:c r="N592" t="n">
        <x:v>6</x:v>
      </x:c>
      <x:c r="O592" t="n">
        <x:v>20</x:v>
      </x:c>
      <x:c r="P592" s="63" t="str">
        <x:f>IF(M592=0,"—",M592&amp;"d"&amp;N592&amp;IF(O592=0,""," + "&amp;O592))</x:f>
        <x:v>3d6 + 20</x:v>
      </x:c>
      <x:c r="Q592" t="n">
        <x:f>ROUND(INDEX(Catalogue!E$4:E$85,MATCH(A592,Catalogue!A$4:A$85,0))*(1+'Paramètres'!$B$4*(C592-1)+'Paramètres'!$B$5*(C592-1)^2),0)</x:f>
        <x:v>23</x:v>
      </x:c>
      <x:c r="R592" t="n">
        <x:f>ROUND(INDEX(Catalogue!F$4:F$85,MATCH(A592,Catalogue!A$4:A$85,0))*(1+'Paramètres'!$B$4*(C592-1)+'Paramètres'!$B$5*(C592-1)^2),0)</x:f>
        <x:v>38</x:v>
      </x:c>
      <x:c r="S592" t="n">
        <x:f>L592-AVERAGE(Q592:R592)</x:f>
        <x:v>0</x:v>
      </x:c>
      <x:c r="T592" t="str">
        <x:f>IF(M592=0,IF(AND(N592=0,O592=0,E592=0,F592=0),"OK","ERREUR"),IF(AND(M592&gt;=1,M592&lt;=32,OR(N592=4,N592=6,N592=8,N592=10,N592=12,N592=20),O592&gt;=0,E592=M592+O592,F592=M592*N592+O592),"OK","ERREUR"))</x:f>
        <x:v>OK</x:v>
      </x:c>
      <x:c r="U592" s="86" t="n">
        <x:f>IF(M592&gt;0,M592*(N592+1)/2+O592,0)</x:f>
        <x:v>30.5</x:v>
      </x:c>
      <x:c r="V592" t="str">
        <x:f>IF(ABS(L592-U592)&lt;0.001,"OK","ERREUR")</x:f>
        <x:v>OK</x:v>
      </x:c>
    </x:row>
    <x:row r="593" ht="18" customHeight="1">
      <x:c r="A593" t="str">
        <x:v>ARM030</x:v>
      </x:c>
      <x:c r="B593" t="str">
        <x:v>Lame d'exécution</x:v>
      </x:c>
      <x:c r="C593" t="n">
        <x:v>10</x:v>
      </x:c>
      <x:c r="D593" t="str">
        <x:v>Deux mains</x:v>
      </x:c>
      <x:c r="E593" s="28" t="n">
        <x:f>IF(M593=0,0,M593+O593)</x:f>
        <x:v>25</x:v>
      </x:c>
      <x:c r="F593" s="28" t="n">
        <x:f>IF(M593=0,0,M593*N593+O593)</x:f>
        <x:v>44</x:v>
      </x:c>
      <x:c r="G593" s="28" t="n">
        <x:f>ROUND(Catalogue!G33*SQRT((1+'Paramètres'!$B$4*(C593-1)+'Paramètres'!$B$5*(C593-1)^2)),0)</x:f>
        <x:v>0</x:v>
      </x:c>
      <x:c r="H593" s="28" t="n">
        <x:f>ROUND(Catalogue!H33*SQRT((1+'Paramètres'!$B$4*(C593-1)+'Paramètres'!$B$5*(C593-1)^2)),0)</x:f>
        <x:v>0</x:v>
      </x:c>
      <x:c r="I593" s="28" t="n">
        <x:v>3</x:v>
      </x:c>
      <x:c r="J593" s="28" t="n">
        <x:v>1</x:v>
      </x:c>
      <x:c r="K593" s="30" t="n">
        <x:v>4.8</x:v>
      </x:c>
      <x:c r="L593" s="54" t="n">
        <x:f>IF(M593=0,0,(E593+F593)/2)</x:f>
        <x:v>34.5</x:v>
      </x:c>
      <x:c r="M593" t="n">
        <x:v>1</x:v>
      </x:c>
      <x:c r="N593" t="n">
        <x:v>20</x:v>
      </x:c>
      <x:c r="O593" t="n">
        <x:v>24</x:v>
      </x:c>
      <x:c r="P593" s="63" t="str">
        <x:f>IF(M593=0,"—",M593&amp;"d"&amp;N593&amp;IF(O593=0,""," + "&amp;O593))</x:f>
        <x:v>1d20 + 24</x:v>
      </x:c>
      <x:c r="Q593" t="n">
        <x:f>ROUND(INDEX(Catalogue!E$4:E$85,MATCH(A593,Catalogue!A$4:A$85,0))*(1+'Paramètres'!$B$4*(C593-1)+'Paramètres'!$B$5*(C593-1)^2),0)</x:f>
        <x:v>26</x:v>
      </x:c>
      <x:c r="R593" t="n">
        <x:f>ROUND(INDEX(Catalogue!F$4:F$85,MATCH(A593,Catalogue!A$4:A$85,0))*(1+'Paramètres'!$B$4*(C593-1)+'Paramètres'!$B$5*(C593-1)^2),0)</x:f>
        <x:v>43</x:v>
      </x:c>
      <x:c r="S593" t="n">
        <x:f>L593-AVERAGE(Q593:R593)</x:f>
        <x:v>0</x:v>
      </x:c>
      <x:c r="T593" t="str">
        <x:f>IF(M593=0,IF(AND(N593=0,O593=0,E593=0,F593=0),"OK","ERREUR"),IF(AND(M593&gt;=1,M593&lt;=32,OR(N593=4,N593=6,N593=8,N593=10,N593=12,N593=20),O593&gt;=0,E593=M593+O593,F593=M593*N593+O593),"OK","ERREUR"))</x:f>
        <x:v>OK</x:v>
      </x:c>
      <x:c r="U593" s="86" t="n">
        <x:f>IF(M593&gt;0,M593*(N593+1)/2+O593,0)</x:f>
        <x:v>34.5</x:v>
      </x:c>
      <x:c r="V593" t="str">
        <x:f>IF(ABS(L593-U593)&lt;0.001,"OK","ERREUR")</x:f>
        <x:v>OK</x:v>
      </x:c>
    </x:row>
    <x:row r="594" ht="18" customHeight="1">
      <x:c r="A594" t="str">
        <x:v>ARM030</x:v>
      </x:c>
      <x:c r="B594" t="str">
        <x:v>Lame d'exécution</x:v>
      </x:c>
      <x:c r="C594" t="n">
        <x:v>11</x:v>
      </x:c>
      <x:c r="D594" t="str">
        <x:v>Deux mains</x:v>
      </x:c>
      <x:c r="E594" s="28" t="n">
        <x:f>IF(M594=0,0,M594+O594)</x:f>
        <x:v>29</x:v>
      </x:c>
      <x:c r="F594" s="28" t="n">
        <x:f>IF(M594=0,0,M594*N594+O594)</x:f>
        <x:v>48</x:v>
      </x:c>
      <x:c r="G594" s="28" t="n">
        <x:f>ROUND(Catalogue!G33*SQRT((1+'Paramètres'!$B$4*(C594-1)+'Paramètres'!$B$5*(C594-1)^2)),0)</x:f>
        <x:v>0</x:v>
      </x:c>
      <x:c r="H594" s="28" t="n">
        <x:f>ROUND(Catalogue!H33*SQRT((1+'Paramètres'!$B$4*(C594-1)+'Paramètres'!$B$5*(C594-1)^2)),0)</x:f>
        <x:v>0</x:v>
      </x:c>
      <x:c r="I594" s="28" t="n">
        <x:v>3</x:v>
      </x:c>
      <x:c r="J594" s="28" t="n">
        <x:v>1</x:v>
      </x:c>
      <x:c r="K594" s="30" t="n">
        <x:v>4.8</x:v>
      </x:c>
      <x:c r="L594" s="54" t="n">
        <x:f>IF(M594=0,0,(E594+F594)/2)</x:f>
        <x:v>38.5</x:v>
      </x:c>
      <x:c r="M594" t="n">
        <x:v>1</x:v>
      </x:c>
      <x:c r="N594" t="n">
        <x:v>20</x:v>
      </x:c>
      <x:c r="O594" t="n">
        <x:v>28</x:v>
      </x:c>
      <x:c r="P594" s="63" t="str">
        <x:f>IF(M594=0,"—",M594&amp;"d"&amp;N594&amp;IF(O594=0,""," + "&amp;O594))</x:f>
        <x:v>1d20 + 28</x:v>
      </x:c>
      <x:c r="Q594" t="n">
        <x:f>ROUND(INDEX(Catalogue!E$4:E$85,MATCH(A594,Catalogue!A$4:A$85,0))*(1+'Paramètres'!$B$4*(C594-1)+'Paramètres'!$B$5*(C594-1)^2),0)</x:f>
        <x:v>30</x:v>
      </x:c>
      <x:c r="R594" t="n">
        <x:f>ROUND(INDEX(Catalogue!F$4:F$85,MATCH(A594,Catalogue!A$4:A$85,0))*(1+'Paramètres'!$B$4*(C594-1)+'Paramètres'!$B$5*(C594-1)^2),0)</x:f>
        <x:v>48</x:v>
      </x:c>
      <x:c r="S594" t="n">
        <x:f>L594-AVERAGE(Q594:R594)</x:f>
        <x:v>-0.5</x:v>
      </x:c>
      <x:c r="T594" t="str">
        <x:f>IF(M594=0,IF(AND(N594=0,O594=0,E594=0,F594=0),"OK","ERREUR"),IF(AND(M594&gt;=1,M594&lt;=32,OR(N594=4,N594=6,N594=8,N594=10,N594=12,N594=20),O594&gt;=0,E594=M594+O594,F594=M594*N594+O594),"OK","ERREUR"))</x:f>
        <x:v>OK</x:v>
      </x:c>
      <x:c r="U594" s="86" t="n">
        <x:f>IF(M594&gt;0,M594*(N594+1)/2+O594,0)</x:f>
        <x:v>38.5</x:v>
      </x:c>
      <x:c r="V594" t="str">
        <x:f>IF(ABS(L594-U594)&lt;0.001,"OK","ERREUR")</x:f>
        <x:v>OK</x:v>
      </x:c>
    </x:row>
    <x:row r="595" ht="18" customHeight="1">
      <x:c r="A595" t="str">
        <x:v>ARM030</x:v>
      </x:c>
      <x:c r="B595" t="str">
        <x:v>Lame d'exécution</x:v>
      </x:c>
      <x:c r="C595" t="n">
        <x:v>12</x:v>
      </x:c>
      <x:c r="D595" t="str">
        <x:v>Deux mains</x:v>
      </x:c>
      <x:c r="E595" s="28" t="n">
        <x:f>IF(M595=0,0,M595+O595)</x:f>
        <x:v>34</x:v>
      </x:c>
      <x:c r="F595" s="28" t="n">
        <x:f>IF(M595=0,0,M595*N595+O595)</x:f>
        <x:v>53</x:v>
      </x:c>
      <x:c r="G595" s="28" t="n">
        <x:f>ROUND(Catalogue!G33*SQRT((1+'Paramètres'!$B$4*(C595-1)+'Paramètres'!$B$5*(C595-1)^2)),0)</x:f>
        <x:v>0</x:v>
      </x:c>
      <x:c r="H595" s="28" t="n">
        <x:f>ROUND(Catalogue!H33*SQRT((1+'Paramètres'!$B$4*(C595-1)+'Paramètres'!$B$5*(C595-1)^2)),0)</x:f>
        <x:v>0</x:v>
      </x:c>
      <x:c r="I595" s="28" t="n">
        <x:v>3</x:v>
      </x:c>
      <x:c r="J595" s="28" t="n">
        <x:v>1</x:v>
      </x:c>
      <x:c r="K595" s="30" t="n">
        <x:v>4.8</x:v>
      </x:c>
      <x:c r="L595" s="54" t="n">
        <x:f>IF(M595=0,0,(E595+F595)/2)</x:f>
        <x:v>43.5</x:v>
      </x:c>
      <x:c r="M595" t="n">
        <x:v>1</x:v>
      </x:c>
      <x:c r="N595" t="n">
        <x:v>20</x:v>
      </x:c>
      <x:c r="O595" t="n">
        <x:v>33</x:v>
      </x:c>
      <x:c r="P595" s="63" t="str">
        <x:f>IF(M595=0,"—",M595&amp;"d"&amp;N595&amp;IF(O595=0,""," + "&amp;O595))</x:f>
        <x:v>1d20 + 33</x:v>
      </x:c>
      <x:c r="Q595" t="n">
        <x:f>ROUND(INDEX(Catalogue!E$4:E$85,MATCH(A595,Catalogue!A$4:A$85,0))*(1+'Paramètres'!$B$4*(C595-1)+'Paramètres'!$B$5*(C595-1)^2),0)</x:f>
        <x:v>33</x:v>
      </x:c>
      <x:c r="R595" t="n">
        <x:f>ROUND(INDEX(Catalogue!F$4:F$85,MATCH(A595,Catalogue!A$4:A$85,0))*(1+'Paramètres'!$B$4*(C595-1)+'Paramètres'!$B$5*(C595-1)^2),0)</x:f>
        <x:v>54</x:v>
      </x:c>
      <x:c r="S595" t="n">
        <x:f>L595-AVERAGE(Q595:R595)</x:f>
        <x:v>0</x:v>
      </x:c>
      <x:c r="T595" t="str">
        <x:f>IF(M595=0,IF(AND(N595=0,O595=0,E595=0,F595=0),"OK","ERREUR"),IF(AND(M595&gt;=1,M595&lt;=32,OR(N595=4,N595=6,N595=8,N595=10,N595=12,N595=20),O595&gt;=0,E595=M595+O595,F595=M595*N595+O595),"OK","ERREUR"))</x:f>
        <x:v>OK</x:v>
      </x:c>
      <x:c r="U595" s="86" t="n">
        <x:f>IF(M595&gt;0,M595*(N595+1)/2+O595,0)</x:f>
        <x:v>43.5</x:v>
      </x:c>
      <x:c r="V595" t="str">
        <x:f>IF(ABS(L595-U595)&lt;0.001,"OK","ERREUR")</x:f>
        <x:v>OK</x:v>
      </x:c>
    </x:row>
    <x:row r="596" ht="18" customHeight="1">
      <x:c r="A596" t="str">
        <x:v>ARM030</x:v>
      </x:c>
      <x:c r="B596" t="str">
        <x:v>Lame d'exécution</x:v>
      </x:c>
      <x:c r="C596" t="n">
        <x:v>13</x:v>
      </x:c>
      <x:c r="D596" t="str">
        <x:v>Deux mains</x:v>
      </x:c>
      <x:c r="E596" s="28" t="n">
        <x:f>IF(M596=0,0,M596+O596)</x:f>
        <x:v>37</x:v>
      </x:c>
      <x:c r="F596" s="28" t="n">
        <x:f>IF(M596=0,0,M596*N596+O596)</x:f>
        <x:v>59</x:v>
      </x:c>
      <x:c r="G596" s="28" t="n">
        <x:f>ROUND(Catalogue!G33*SQRT((1+'Paramètres'!$B$4*(C596-1)+'Paramètres'!$B$5*(C596-1)^2)),0)</x:f>
        <x:v>0</x:v>
      </x:c>
      <x:c r="H596" s="28" t="n">
        <x:f>ROUND(Catalogue!H33*SQRT((1+'Paramètres'!$B$4*(C596-1)+'Paramètres'!$B$5*(C596-1)^2)),0)</x:f>
        <x:v>0</x:v>
      </x:c>
      <x:c r="I596" s="28" t="n">
        <x:v>3</x:v>
      </x:c>
      <x:c r="J596" s="28" t="n">
        <x:v>1</x:v>
      </x:c>
      <x:c r="K596" s="30" t="n">
        <x:v>4.8</x:v>
      </x:c>
      <x:c r="L596" s="54" t="n">
        <x:f>IF(M596=0,0,(E596+F596)/2)</x:f>
        <x:v>48</x:v>
      </x:c>
      <x:c r="M596" t="n">
        <x:v>2</x:v>
      </x:c>
      <x:c r="N596" t="n">
        <x:v>12</x:v>
      </x:c>
      <x:c r="O596" t="n">
        <x:v>35</x:v>
      </x:c>
      <x:c r="P596" s="63" t="str">
        <x:f>IF(M596=0,"—",M596&amp;"d"&amp;N596&amp;IF(O596=0,""," + "&amp;O596))</x:f>
        <x:v>2d12 + 35</x:v>
      </x:c>
      <x:c r="Q596" t="n">
        <x:f>ROUND(INDEX(Catalogue!E$4:E$85,MATCH(A596,Catalogue!A$4:A$85,0))*(1+'Paramètres'!$B$4*(C596-1)+'Paramètres'!$B$5*(C596-1)^2),0)</x:f>
        <x:v>37</x:v>
      </x:c>
      <x:c r="R596" t="n">
        <x:f>ROUND(INDEX(Catalogue!F$4:F$85,MATCH(A596,Catalogue!A$4:A$85,0))*(1+'Paramètres'!$B$4*(C596-1)+'Paramètres'!$B$5*(C596-1)^2),0)</x:f>
        <x:v>60</x:v>
      </x:c>
      <x:c r="S596" t="n">
        <x:f>L596-AVERAGE(Q596:R596)</x:f>
        <x:v>-0.5</x:v>
      </x:c>
      <x:c r="T596" t="str">
        <x:f>IF(M596=0,IF(AND(N596=0,O596=0,E596=0,F596=0),"OK","ERREUR"),IF(AND(M596&gt;=1,M596&lt;=32,OR(N596=4,N596=6,N596=8,N596=10,N596=12,N596=20),O596&gt;=0,E596=M596+O596,F596=M596*N596+O596),"OK","ERREUR"))</x:f>
        <x:v>OK</x:v>
      </x:c>
      <x:c r="U596" s="86" t="n">
        <x:f>IF(M596&gt;0,M596*(N596+1)/2+O596,0)</x:f>
        <x:v>48</x:v>
      </x:c>
      <x:c r="V596" t="str">
        <x:f>IF(ABS(L596-U596)&lt;0.001,"OK","ERREUR")</x:f>
        <x:v>OK</x:v>
      </x:c>
    </x:row>
    <x:row r="597" ht="18" customHeight="1">
      <x:c r="A597" t="str">
        <x:v>ARM030</x:v>
      </x:c>
      <x:c r="B597" t="str">
        <x:v>Lame d'exécution</x:v>
      </x:c>
      <x:c r="C597" t="n">
        <x:v>14</x:v>
      </x:c>
      <x:c r="D597" t="str">
        <x:v>Deux mains</x:v>
      </x:c>
      <x:c r="E597" s="28" t="n">
        <x:f>IF(M597=0,0,M597+O597)</x:f>
        <x:v>40</x:v>
      </x:c>
      <x:c r="F597" s="28" t="n">
        <x:f>IF(M597=0,0,M597*N597+O597)</x:f>
        <x:v>67</x:v>
      </x:c>
      <x:c r="G597" s="28" t="n">
        <x:f>ROUND(Catalogue!G33*SQRT((1+'Paramètres'!$B$4*(C597-1)+'Paramètres'!$B$5*(C597-1)^2)),0)</x:f>
        <x:v>0</x:v>
      </x:c>
      <x:c r="H597" s="28" t="n">
        <x:f>ROUND(Catalogue!H33*SQRT((1+'Paramètres'!$B$4*(C597-1)+'Paramètres'!$B$5*(C597-1)^2)),0)</x:f>
        <x:v>0</x:v>
      </x:c>
      <x:c r="I597" s="28" t="n">
        <x:v>3</x:v>
      </x:c>
      <x:c r="J597" s="28" t="n">
        <x:v>1</x:v>
      </x:c>
      <x:c r="K597" s="30" t="n">
        <x:v>4.8</x:v>
      </x:c>
      <x:c r="L597" s="54" t="n">
        <x:f>IF(M597=0,0,(E597+F597)/2)</x:f>
        <x:v>53.5</x:v>
      </x:c>
      <x:c r="M597" t="n">
        <x:v>3</x:v>
      </x:c>
      <x:c r="N597" t="n">
        <x:v>10</x:v>
      </x:c>
      <x:c r="O597" t="n">
        <x:v>37</x:v>
      </x:c>
      <x:c r="P597" s="63" t="str">
        <x:f>IF(M597=0,"—",M597&amp;"d"&amp;N597&amp;IF(O597=0,""," + "&amp;O597))</x:f>
        <x:v>3d10 + 37</x:v>
      </x:c>
      <x:c r="Q597" t="n">
        <x:f>ROUND(INDEX(Catalogue!E$4:E$85,MATCH(A597,Catalogue!A$4:A$85,0))*(1+'Paramètres'!$B$4*(C597-1)+'Paramètres'!$B$5*(C597-1)^2),0)</x:f>
        <x:v>41</x:v>
      </x:c>
      <x:c r="R597" t="n">
        <x:f>ROUND(INDEX(Catalogue!F$4:F$85,MATCH(A597,Catalogue!A$4:A$85,0))*(1+'Paramètres'!$B$4*(C597-1)+'Paramètres'!$B$5*(C597-1)^2),0)</x:f>
        <x:v>67</x:v>
      </x:c>
      <x:c r="S597" t="n">
        <x:f>L597-AVERAGE(Q597:R597)</x:f>
        <x:v>-0.5</x:v>
      </x:c>
      <x:c r="T597" t="str">
        <x:f>IF(M597=0,IF(AND(N597=0,O597=0,E597=0,F597=0),"OK","ERREUR"),IF(AND(M597&gt;=1,M597&lt;=32,OR(N597=4,N597=6,N597=8,N597=10,N597=12,N597=20),O597&gt;=0,E597=M597+O597,F597=M597*N597+O597),"OK","ERREUR"))</x:f>
        <x:v>OK</x:v>
      </x:c>
      <x:c r="U597" s="86" t="n">
        <x:f>IF(M597&gt;0,M597*(N597+1)/2+O597,0)</x:f>
        <x:v>53.5</x:v>
      </x:c>
      <x:c r="V597" t="str">
        <x:f>IF(ABS(L597-U597)&lt;0.001,"OK","ERREUR")</x:f>
        <x:v>OK</x:v>
      </x:c>
    </x:row>
    <x:row r="598" ht="18" customHeight="1">
      <x:c r="A598" t="str">
        <x:v>ARM030</x:v>
      </x:c>
      <x:c r="B598" t="str">
        <x:v>Lame d'exécution</x:v>
      </x:c>
      <x:c r="C598" t="n">
        <x:v>15</x:v>
      </x:c>
      <x:c r="D598" t="str">
        <x:v>Deux mains</x:v>
      </x:c>
      <x:c r="E598" s="28" t="n">
        <x:f>IF(M598=0,0,M598+O598)</x:f>
        <x:v>45</x:v>
      </x:c>
      <x:c r="F598" s="28" t="n">
        <x:f>IF(M598=0,0,M598*N598+O598)</x:f>
        <x:v>73</x:v>
      </x:c>
      <x:c r="G598" s="28" t="n">
        <x:f>ROUND(Catalogue!G33*SQRT((1+'Paramètres'!$B$4*(C598-1)+'Paramètres'!$B$5*(C598-1)^2)),0)</x:f>
        <x:v>0</x:v>
      </x:c>
      <x:c r="H598" s="28" t="n">
        <x:f>ROUND(Catalogue!H33*SQRT((1+'Paramètres'!$B$4*(C598-1)+'Paramètres'!$B$5*(C598-1)^2)),0)</x:f>
        <x:v>0</x:v>
      </x:c>
      <x:c r="I598" s="28" t="n">
        <x:v>3</x:v>
      </x:c>
      <x:c r="J598" s="28" t="n">
        <x:v>1</x:v>
      </x:c>
      <x:c r="K598" s="30" t="n">
        <x:v>4.8</x:v>
      </x:c>
      <x:c r="L598" s="54" t="n">
        <x:f>IF(M598=0,0,(E598+F598)/2)</x:f>
        <x:v>59</x:v>
      </x:c>
      <x:c r="M598" t="n">
        <x:v>4</x:v>
      </x:c>
      <x:c r="N598" t="n">
        <x:v>8</x:v>
      </x:c>
      <x:c r="O598" t="n">
        <x:v>41</x:v>
      </x:c>
      <x:c r="P598" s="63" t="str">
        <x:f>IF(M598=0,"—",M598&amp;"d"&amp;N598&amp;IF(O598=0,""," + "&amp;O598))</x:f>
        <x:v>4d8 + 41</x:v>
      </x:c>
      <x:c r="Q598" t="n">
        <x:f>ROUND(INDEX(Catalogue!E$4:E$85,MATCH(A598,Catalogue!A$4:A$85,0))*(1+'Paramètres'!$B$4*(C598-1)+'Paramètres'!$B$5*(C598-1)^2),0)</x:f>
        <x:v>45</x:v>
      </x:c>
      <x:c r="R598" t="n">
        <x:f>ROUND(INDEX(Catalogue!F$4:F$85,MATCH(A598,Catalogue!A$4:A$85,0))*(1+'Paramètres'!$B$4*(C598-1)+'Paramètres'!$B$5*(C598-1)^2),0)</x:f>
        <x:v>74</x:v>
      </x:c>
      <x:c r="S598" t="n">
        <x:f>L598-AVERAGE(Q598:R598)</x:f>
        <x:v>-0.5</x:v>
      </x:c>
      <x:c r="T598" t="str">
        <x:f>IF(M598=0,IF(AND(N598=0,O598=0,E598=0,F598=0),"OK","ERREUR"),IF(AND(M598&gt;=1,M598&lt;=32,OR(N598=4,N598=6,N598=8,N598=10,N598=12,N598=20),O598&gt;=0,E598=M598+O598,F598=M598*N598+O598),"OK","ERREUR"))</x:f>
        <x:v>OK</x:v>
      </x:c>
      <x:c r="U598" s="86" t="n">
        <x:f>IF(M598&gt;0,M598*(N598+1)/2+O598,0)</x:f>
        <x:v>59</x:v>
      </x:c>
      <x:c r="V598" t="str">
        <x:f>IF(ABS(L598-U598)&lt;0.001,"OK","ERREUR")</x:f>
        <x:v>OK</x:v>
      </x:c>
    </x:row>
    <x:row r="599" ht="18" customHeight="1">
      <x:c r="A599" t="str">
        <x:v>ARM030</x:v>
      </x:c>
      <x:c r="B599" t="str">
        <x:v>Lame d'exécution</x:v>
      </x:c>
      <x:c r="C599" t="n">
        <x:v>16</x:v>
      </x:c>
      <x:c r="D599" t="str">
        <x:v>Deux mains</x:v>
      </x:c>
      <x:c r="E599" s="28" t="n">
        <x:f>IF(M599=0,0,M599+O599)</x:f>
        <x:v>50</x:v>
      </x:c>
      <x:c r="F599" s="28" t="n">
        <x:f>IF(M599=0,0,M599*N599+O599)</x:f>
        <x:v>80</x:v>
      </x:c>
      <x:c r="G599" s="28" t="n">
        <x:f>ROUND(Catalogue!G33*SQRT((1+'Paramètres'!$B$4*(C599-1)+'Paramètres'!$B$5*(C599-1)^2)),0)</x:f>
        <x:v>0</x:v>
      </x:c>
      <x:c r="H599" s="28" t="n">
        <x:f>ROUND(Catalogue!H33*SQRT((1+'Paramètres'!$B$4*(C599-1)+'Paramètres'!$B$5*(C599-1)^2)),0)</x:f>
        <x:v>0</x:v>
      </x:c>
      <x:c r="I599" s="28" t="n">
        <x:v>3</x:v>
      </x:c>
      <x:c r="J599" s="28" t="n">
        <x:v>1</x:v>
      </x:c>
      <x:c r="K599" s="30" t="n">
        <x:v>4.8</x:v>
      </x:c>
      <x:c r="L599" s="54" t="n">
        <x:f>IF(M599=0,0,(E599+F599)/2)</x:f>
        <x:v>65</x:v>
      </x:c>
      <x:c r="M599" t="n">
        <x:v>6</x:v>
      </x:c>
      <x:c r="N599" t="n">
        <x:v>6</x:v>
      </x:c>
      <x:c r="O599" t="n">
        <x:v>44</x:v>
      </x:c>
      <x:c r="P599" s="63" t="str">
        <x:f>IF(M599=0,"—",M599&amp;"d"&amp;N599&amp;IF(O599=0,""," + "&amp;O599))</x:f>
        <x:v>6d6 + 44</x:v>
      </x:c>
      <x:c r="Q599" t="n">
        <x:f>ROUND(INDEX(Catalogue!E$4:E$85,MATCH(A599,Catalogue!A$4:A$85,0))*(1+'Paramètres'!$B$4*(C599-1)+'Paramètres'!$B$5*(C599-1)^2),0)</x:f>
        <x:v>50</x:v>
      </x:c>
      <x:c r="R599" t="n">
        <x:f>ROUND(INDEX(Catalogue!F$4:F$85,MATCH(A599,Catalogue!A$4:A$85,0))*(1+'Paramètres'!$B$4*(C599-1)+'Paramètres'!$B$5*(C599-1)^2),0)</x:f>
        <x:v>81</x:v>
      </x:c>
      <x:c r="S599" t="n">
        <x:f>L599-AVERAGE(Q599:R599)</x:f>
        <x:v>-0.5</x:v>
      </x:c>
      <x:c r="T599" t="str">
        <x:f>IF(M599=0,IF(AND(N599=0,O599=0,E599=0,F599=0),"OK","ERREUR"),IF(AND(M599&gt;=1,M599&lt;=32,OR(N599=4,N599=6,N599=8,N599=10,N599=12,N599=20),O599&gt;=0,E599=M599+O599,F599=M599*N599+O599),"OK","ERREUR"))</x:f>
        <x:v>OK</x:v>
      </x:c>
      <x:c r="U599" s="86" t="n">
        <x:f>IF(M599&gt;0,M599*(N599+1)/2+O599,0)</x:f>
        <x:v>65</x:v>
      </x:c>
      <x:c r="V599" t="str">
        <x:f>IF(ABS(L599-U599)&lt;0.001,"OK","ERREUR")</x:f>
        <x:v>OK</x:v>
      </x:c>
    </x:row>
    <x:row r="600" ht="18" customHeight="1">
      <x:c r="A600" t="str">
        <x:v>ARM030</x:v>
      </x:c>
      <x:c r="B600" t="str">
        <x:v>Lame d'exécution</x:v>
      </x:c>
      <x:c r="C600" t="n">
        <x:v>17</x:v>
      </x:c>
      <x:c r="D600" t="str">
        <x:v>Deux mains</x:v>
      </x:c>
      <x:c r="E600" s="28" t="n">
        <x:f>IF(M600=0,0,M600+O600)</x:f>
        <x:v>53</x:v>
      </x:c>
      <x:c r="F600" s="28" t="n">
        <x:f>IF(M600=0,0,M600*N600+O600)</x:f>
        <x:v>91</x:v>
      </x:c>
      <x:c r="G600" s="28" t="n">
        <x:f>ROUND(Catalogue!G33*SQRT((1+'Paramètres'!$B$4*(C600-1)+'Paramètres'!$B$5*(C600-1)^2)),0)</x:f>
        <x:v>0</x:v>
      </x:c>
      <x:c r="H600" s="28" t="n">
        <x:f>ROUND(Catalogue!H33*SQRT((1+'Paramètres'!$B$4*(C600-1)+'Paramètres'!$B$5*(C600-1)^2)),0)</x:f>
        <x:v>0</x:v>
      </x:c>
      <x:c r="I600" s="28" t="n">
        <x:v>3</x:v>
      </x:c>
      <x:c r="J600" s="28" t="n">
        <x:v>1</x:v>
      </x:c>
      <x:c r="K600" s="30" t="n">
        <x:v>4.8</x:v>
      </x:c>
      <x:c r="L600" s="54" t="n">
        <x:f>IF(M600=0,0,(E600+F600)/2)</x:f>
        <x:v>72</x:v>
      </x:c>
      <x:c r="M600" t="n">
        <x:v>2</x:v>
      </x:c>
      <x:c r="N600" t="n">
        <x:v>20</x:v>
      </x:c>
      <x:c r="O600" t="n">
        <x:v>51</x:v>
      </x:c>
      <x:c r="P600" s="63" t="str">
        <x:f>IF(M600=0,"—",M600&amp;"d"&amp;N600&amp;IF(O600=0,""," + "&amp;O600))</x:f>
        <x:v>2d20 + 51</x:v>
      </x:c>
      <x:c r="Q600" t="n">
        <x:f>ROUND(INDEX(Catalogue!E$4:E$85,MATCH(A600,Catalogue!A$4:A$85,0))*(1+'Paramètres'!$B$4*(C600-1)+'Paramètres'!$B$5*(C600-1)^2),0)</x:f>
        <x:v>55</x:v>
      </x:c>
      <x:c r="R600" t="n">
        <x:f>ROUND(INDEX(Catalogue!F$4:F$85,MATCH(A600,Catalogue!A$4:A$85,0))*(1+'Paramètres'!$B$4*(C600-1)+'Paramètres'!$B$5*(C600-1)^2),0)</x:f>
        <x:v>89</x:v>
      </x:c>
      <x:c r="S600" t="n">
        <x:f>L600-AVERAGE(Q600:R600)</x:f>
        <x:v>0</x:v>
      </x:c>
      <x:c r="T600" t="str">
        <x:f>IF(M600=0,IF(AND(N600=0,O600=0,E600=0,F600=0),"OK","ERREUR"),IF(AND(M600&gt;=1,M600&lt;=32,OR(N600=4,N600=6,N600=8,N600=10,N600=12,N600=20),O600&gt;=0,E600=M600+O600,F600=M600*N600+O600),"OK","ERREUR"))</x:f>
        <x:v>OK</x:v>
      </x:c>
      <x:c r="U600" s="86" t="n">
        <x:f>IF(M600&gt;0,M600*(N600+1)/2+O600,0)</x:f>
        <x:v>72</x:v>
      </x:c>
      <x:c r="V600" t="str">
        <x:f>IF(ABS(L600-U600)&lt;0.001,"OK","ERREUR")</x:f>
        <x:v>OK</x:v>
      </x:c>
    </x:row>
    <x:row r="601" ht="18" customHeight="1">
      <x:c r="A601" t="str">
        <x:v>ARM030</x:v>
      </x:c>
      <x:c r="B601" t="str">
        <x:v>Lame d'exécution</x:v>
      </x:c>
      <x:c r="C601" t="n">
        <x:v>18</x:v>
      </x:c>
      <x:c r="D601" t="str">
        <x:v>Deux mains</x:v>
      </x:c>
      <x:c r="E601" s="28" t="n">
        <x:f>IF(M601=0,0,M601+O601)</x:f>
        <x:v>59</x:v>
      </x:c>
      <x:c r="F601" s="28" t="n">
        <x:f>IF(M601=0,0,M601*N601+O601)</x:f>
        <x:v>97</x:v>
      </x:c>
      <x:c r="G601" s="28" t="n">
        <x:f>ROUND(Catalogue!G33*SQRT((1+'Paramètres'!$B$4*(C601-1)+'Paramètres'!$B$5*(C601-1)^2)),0)</x:f>
        <x:v>0</x:v>
      </x:c>
      <x:c r="H601" s="28" t="n">
        <x:f>ROUND(Catalogue!H33*SQRT((1+'Paramètres'!$B$4*(C601-1)+'Paramètres'!$B$5*(C601-1)^2)),0)</x:f>
        <x:v>0</x:v>
      </x:c>
      <x:c r="I601" s="28" t="n">
        <x:v>3</x:v>
      </x:c>
      <x:c r="J601" s="28" t="n">
        <x:v>1</x:v>
      </x:c>
      <x:c r="K601" s="30" t="n">
        <x:v>4.8</x:v>
      </x:c>
      <x:c r="L601" s="54" t="n">
        <x:f>IF(M601=0,0,(E601+F601)/2)</x:f>
        <x:v>78</x:v>
      </x:c>
      <x:c r="M601" t="n">
        <x:v>2</x:v>
      </x:c>
      <x:c r="N601" t="n">
        <x:v>20</x:v>
      </x:c>
      <x:c r="O601" t="n">
        <x:v>57</x:v>
      </x:c>
      <x:c r="P601" s="63" t="str">
        <x:f>IF(M601=0,"—",M601&amp;"d"&amp;N601&amp;IF(O601=0,""," + "&amp;O601))</x:f>
        <x:v>2d20 + 57</x:v>
      </x:c>
      <x:c r="Q601" t="n">
        <x:f>ROUND(INDEX(Catalogue!E$4:E$85,MATCH(A601,Catalogue!A$4:A$85,0))*(1+'Paramètres'!$B$4*(C601-1)+'Paramètres'!$B$5*(C601-1)^2),0)</x:f>
        <x:v>60</x:v>
      </x:c>
      <x:c r="R601" t="n">
        <x:f>ROUND(INDEX(Catalogue!F$4:F$85,MATCH(A601,Catalogue!A$4:A$85,0))*(1+'Paramètres'!$B$4*(C601-1)+'Paramètres'!$B$5*(C601-1)^2),0)</x:f>
        <x:v>97</x:v>
      </x:c>
      <x:c r="S601" t="n">
        <x:f>L601-AVERAGE(Q601:R601)</x:f>
        <x:v>-0.5</x:v>
      </x:c>
      <x:c r="T601" t="str">
        <x:f>IF(M601=0,IF(AND(N601=0,O601=0,E601=0,F601=0),"OK","ERREUR"),IF(AND(M601&gt;=1,M601&lt;=32,OR(N601=4,N601=6,N601=8,N601=10,N601=12,N601=20),O601&gt;=0,E601=M601+O601,F601=M601*N601+O601),"OK","ERREUR"))</x:f>
        <x:v>OK</x:v>
      </x:c>
      <x:c r="U601" s="86" t="n">
        <x:f>IF(M601&gt;0,M601*(N601+1)/2+O601,0)</x:f>
        <x:v>78</x:v>
      </x:c>
      <x:c r="V601" t="str">
        <x:f>IF(ABS(L601-U601)&lt;0.001,"OK","ERREUR")</x:f>
        <x:v>OK</x:v>
      </x:c>
    </x:row>
    <x:row r="602" ht="18" customHeight="1">
      <x:c r="A602" t="str">
        <x:v>ARM030</x:v>
      </x:c>
      <x:c r="B602" t="str">
        <x:v>Lame d'exécution</x:v>
      </x:c>
      <x:c r="C602" t="n">
        <x:v>19</x:v>
      </x:c>
      <x:c r="D602" t="str">
        <x:v>Deux mains</x:v>
      </x:c>
      <x:c r="E602" s="28" t="n">
        <x:f>IF(M602=0,0,M602+O602)</x:f>
        <x:v>66</x:v>
      </x:c>
      <x:c r="F602" s="28" t="n">
        <x:f>IF(M602=0,0,M602*N602+O602)</x:f>
        <x:v>104</x:v>
      </x:c>
      <x:c r="G602" s="28" t="n">
        <x:f>ROUND(Catalogue!G33*SQRT((1+'Paramètres'!$B$4*(C602-1)+'Paramètres'!$B$5*(C602-1)^2)),0)</x:f>
        <x:v>0</x:v>
      </x:c>
      <x:c r="H602" s="28" t="n">
        <x:f>ROUND(Catalogue!H33*SQRT((1+'Paramètres'!$B$4*(C602-1)+'Paramètres'!$B$5*(C602-1)^2)),0)</x:f>
        <x:v>0</x:v>
      </x:c>
      <x:c r="I602" s="28" t="n">
        <x:v>3</x:v>
      </x:c>
      <x:c r="J602" s="28" t="n">
        <x:v>1</x:v>
      </x:c>
      <x:c r="K602" s="30" t="n">
        <x:v>4.8</x:v>
      </x:c>
      <x:c r="L602" s="54" t="n">
        <x:f>IF(M602=0,0,(E602+F602)/2)</x:f>
        <x:v>85</x:v>
      </x:c>
      <x:c r="M602" t="n">
        <x:v>2</x:v>
      </x:c>
      <x:c r="N602" t="n">
        <x:v>20</x:v>
      </x:c>
      <x:c r="O602" t="n">
        <x:v>64</x:v>
      </x:c>
      <x:c r="P602" s="63" t="str">
        <x:f>IF(M602=0,"—",M602&amp;"d"&amp;N602&amp;IF(O602=0,""," + "&amp;O602))</x:f>
        <x:v>2d20 + 64</x:v>
      </x:c>
      <x:c r="Q602" t="n">
        <x:f>ROUND(INDEX(Catalogue!E$4:E$85,MATCH(A602,Catalogue!A$4:A$85,0))*(1+'Paramètres'!$B$4*(C602-1)+'Paramètres'!$B$5*(C602-1)^2),0)</x:f>
        <x:v>65</x:v>
      </x:c>
      <x:c r="R602" t="n">
        <x:f>ROUND(INDEX(Catalogue!F$4:F$85,MATCH(A602,Catalogue!A$4:A$85,0))*(1+'Paramètres'!$B$4*(C602-1)+'Paramètres'!$B$5*(C602-1)^2),0)</x:f>
        <x:v>106</x:v>
      </x:c>
      <x:c r="S602" t="n">
        <x:f>L602-AVERAGE(Q602:R602)</x:f>
        <x:v>-0.5</x:v>
      </x:c>
      <x:c r="T602" t="str">
        <x:f>IF(M602=0,IF(AND(N602=0,O602=0,E602=0,F602=0),"OK","ERREUR"),IF(AND(M602&gt;=1,M602&lt;=32,OR(N602=4,N602=6,N602=8,N602=10,N602=12,N602=20),O602&gt;=0,E602=M602+O602,F602=M602*N602+O602),"OK","ERREUR"))</x:f>
        <x:v>OK</x:v>
      </x:c>
      <x:c r="U602" s="86" t="n">
        <x:f>IF(M602&gt;0,M602*(N602+1)/2+O602,0)</x:f>
        <x:v>85</x:v>
      </x:c>
      <x:c r="V602" t="str">
        <x:f>IF(ABS(L602-U602)&lt;0.001,"OK","ERREUR")</x:f>
        <x:v>OK</x:v>
      </x:c>
    </x:row>
    <x:row r="603" ht="18" customHeight="1">
      <x:c r="A603" t="str">
        <x:v>ARM030</x:v>
      </x:c>
      <x:c r="B603" t="str">
        <x:v>Lame d'exécution</x:v>
      </x:c>
      <x:c r="C603" t="n">
        <x:v>20</x:v>
      </x:c>
      <x:c r="D603" t="str">
        <x:v>Deux mains</x:v>
      </x:c>
      <x:c r="E603" s="28" t="n">
        <x:f>IF(M603=0,0,M603+O603)</x:f>
        <x:v>74</x:v>
      </x:c>
      <x:c r="F603" s="28" t="n">
        <x:f>IF(M603=0,0,M603*N603+O603)</x:f>
        <x:v>112</x:v>
      </x:c>
      <x:c r="G603" s="28" t="n">
        <x:f>ROUND(Catalogue!G33*SQRT((1+'Paramètres'!$B$4*(C603-1)+'Paramètres'!$B$5*(C603-1)^2)),0)</x:f>
        <x:v>0</x:v>
      </x:c>
      <x:c r="H603" s="28" t="n">
        <x:f>ROUND(Catalogue!H33*SQRT((1+'Paramètres'!$B$4*(C603-1)+'Paramètres'!$B$5*(C603-1)^2)),0)</x:f>
        <x:v>0</x:v>
      </x:c>
      <x:c r="I603" s="28" t="n">
        <x:v>3</x:v>
      </x:c>
      <x:c r="J603" s="28" t="n">
        <x:v>1</x:v>
      </x:c>
      <x:c r="K603" s="30" t="n">
        <x:v>4.8</x:v>
      </x:c>
      <x:c r="L603" s="54" t="n">
        <x:f>IF(M603=0,0,(E603+F603)/2)</x:f>
        <x:v>93</x:v>
      </x:c>
      <x:c r="M603" t="n">
        <x:v>2</x:v>
      </x:c>
      <x:c r="N603" t="n">
        <x:v>20</x:v>
      </x:c>
      <x:c r="O603" t="n">
        <x:v>72</x:v>
      </x:c>
      <x:c r="P603" s="63" t="str">
        <x:f>IF(M603=0,"—",M603&amp;"d"&amp;N603&amp;IF(O603=0,""," + "&amp;O603))</x:f>
        <x:v>2d20 + 72</x:v>
      </x:c>
      <x:c r="Q603" t="n">
        <x:f>ROUND(INDEX(Catalogue!E$4:E$85,MATCH(A603,Catalogue!A$4:A$85,0))*(1+'Paramètres'!$B$4*(C603-1)+'Paramètres'!$B$5*(C603-1)^2),0)</x:f>
        <x:v>71</x:v>
      </x:c>
      <x:c r="R603" t="n">
        <x:f>ROUND(INDEX(Catalogue!F$4:F$85,MATCH(A603,Catalogue!A$4:A$85,0))*(1+'Paramètres'!$B$4*(C603-1)+'Paramètres'!$B$5*(C603-1)^2),0)</x:f>
        <x:v>115</x:v>
      </x:c>
      <x:c r="S603" t="n">
        <x:f>L603-AVERAGE(Q603:R603)</x:f>
        <x:v>0</x:v>
      </x:c>
      <x:c r="T603" t="str">
        <x:f>IF(M603=0,IF(AND(N603=0,O603=0,E603=0,F603=0),"OK","ERREUR"),IF(AND(M603&gt;=1,M603&lt;=32,OR(N603=4,N603=6,N603=8,N603=10,N603=12,N603=20),O603&gt;=0,E603=M603+O603,F603=M603*N603+O603),"OK","ERREUR"))</x:f>
        <x:v>OK</x:v>
      </x:c>
      <x:c r="U603" s="86" t="n">
        <x:f>IF(M603&gt;0,M603*(N603+1)/2+O603,0)</x:f>
        <x:v>93</x:v>
      </x:c>
      <x:c r="V603" t="str">
        <x:f>IF(ABS(L603-U603)&lt;0.001,"OK","ERREUR")</x:f>
        <x:v>OK</x:v>
      </x:c>
    </x:row>
    <x:row r="604" ht="18" customHeight="1">
      <x:c r="A604" t="str">
        <x:v>ARM031</x:v>
      </x:c>
      <x:c r="B604" t="str">
        <x:v>Grande hache</x:v>
      </x:c>
      <x:c r="C604" t="n">
        <x:v>1</x:v>
      </x:c>
      <x:c r="D604" t="str">
        <x:v>Deux mains</x:v>
      </x:c>
      <x:c r="E604" s="28" t="n">
        <x:f>IF(M604=0,0,M604+O604)</x:f>
        <x:v>8</x:v>
      </x:c>
      <x:c r="F604" s="28" t="n">
        <x:f>IF(M604=0,0,M604*N604+O604)</x:f>
        <x:v>13</x:v>
      </x:c>
      <x:c r="G604" s="28" t="n">
        <x:f>ROUND(Catalogue!G34*SQRT((1+'Paramètres'!$B$4*(C604-1)+'Paramètres'!$B$5*(C604-1)^2)),0)</x:f>
        <x:v>0</x:v>
      </x:c>
      <x:c r="H604" s="28" t="n">
        <x:f>ROUND(Catalogue!H34*SQRT((1+'Paramètres'!$B$4*(C604-1)+'Paramètres'!$B$5*(C604-1)^2)),0)</x:f>
        <x:v>0</x:v>
      </x:c>
      <x:c r="I604" s="28" t="n">
        <x:v>3</x:v>
      </x:c>
      <x:c r="J604" s="28" t="n">
        <x:v>1</x:v>
      </x:c>
      <x:c r="K604" s="30" t="n">
        <x:v>4.7</x:v>
      </x:c>
      <x:c r="L604" s="54" t="n">
        <x:f>IF(M604=0,0,(E604+F604)/2)</x:f>
        <x:v>10.5</x:v>
      </x:c>
      <x:c r="M604" t="n">
        <x:v>1</x:v>
      </x:c>
      <x:c r="N604" t="n">
        <x:v>6</x:v>
      </x:c>
      <x:c r="O604" t="n">
        <x:v>7</x:v>
      </x:c>
      <x:c r="P604" s="63" t="str">
        <x:f>IF(M604=0,"—",M604&amp;"d"&amp;N604&amp;IF(O604=0,""," + "&amp;O604))</x:f>
        <x:v>1d6 + 7</x:v>
      </x:c>
      <x:c r="Q604" t="n">
        <x:f>ROUND(INDEX(Catalogue!E$4:E$85,MATCH(A604,Catalogue!A$4:A$85,0))*(1+'Paramètres'!$B$4*(C604-1)+'Paramètres'!$B$5*(C604-1)^2),0)</x:f>
        <x:v>8</x:v>
      </x:c>
      <x:c r="R604" t="n">
        <x:f>ROUND(INDEX(Catalogue!F$4:F$85,MATCH(A604,Catalogue!A$4:A$85,0))*(1+'Paramètres'!$B$4*(C604-1)+'Paramètres'!$B$5*(C604-1)^2),0)</x:f>
        <x:v>13</x:v>
      </x:c>
      <x:c r="S604" t="n">
        <x:f>L604-AVERAGE(Q604:R604)</x:f>
        <x:v>0</x:v>
      </x:c>
      <x:c r="T604" t="str">
        <x:f>IF(M604=0,IF(AND(N604=0,O604=0,E604=0,F604=0),"OK","ERREUR"),IF(AND(M604&gt;=1,M604&lt;=32,OR(N604=4,N604=6,N604=8,N604=10,N604=12,N604=20),O604&gt;=0,E604=M604+O604,F604=M604*N604+O604),"OK","ERREUR"))</x:f>
        <x:v>OK</x:v>
      </x:c>
      <x:c r="U604" s="86" t="n">
        <x:f>IF(M604&gt;0,M604*(N604+1)/2+O604,0)</x:f>
        <x:v>10.5</x:v>
      </x:c>
      <x:c r="V604" t="str">
        <x:f>IF(ABS(L604-U604)&lt;0.001,"OK","ERREUR")</x:f>
        <x:v>OK</x:v>
      </x:c>
    </x:row>
    <x:row r="605" ht="18" customHeight="1">
      <x:c r="A605" t="str">
        <x:v>ARM031</x:v>
      </x:c>
      <x:c r="B605" t="str">
        <x:v>Grande hache</x:v>
      </x:c>
      <x:c r="C605" t="n">
        <x:v>2</x:v>
      </x:c>
      <x:c r="D605" t="str">
        <x:v>Deux mains</x:v>
      </x:c>
      <x:c r="E605" s="28" t="n">
        <x:f>IF(M605=0,0,M605+O605)</x:f>
        <x:v>9</x:v>
      </x:c>
      <x:c r="F605" s="28" t="n">
        <x:f>IF(M605=0,0,M605*N605+O605)</x:f>
        <x:v>14</x:v>
      </x:c>
      <x:c r="G605" s="28" t="n">
        <x:f>ROUND(Catalogue!G34*SQRT((1+'Paramètres'!$B$4*(C605-1)+'Paramètres'!$B$5*(C605-1)^2)),0)</x:f>
        <x:v>0</x:v>
      </x:c>
      <x:c r="H605" s="28" t="n">
        <x:f>ROUND(Catalogue!H34*SQRT((1+'Paramètres'!$B$4*(C605-1)+'Paramètres'!$B$5*(C605-1)^2)),0)</x:f>
        <x:v>0</x:v>
      </x:c>
      <x:c r="I605" s="28" t="n">
        <x:v>3</x:v>
      </x:c>
      <x:c r="J605" s="28" t="n">
        <x:v>1</x:v>
      </x:c>
      <x:c r="K605" s="30" t="n">
        <x:v>4.7</x:v>
      </x:c>
      <x:c r="L605" s="54" t="n">
        <x:f>IF(M605=0,0,(E605+F605)/2)</x:f>
        <x:v>11.5</x:v>
      </x:c>
      <x:c r="M605" t="n">
        <x:v>1</x:v>
      </x:c>
      <x:c r="N605" t="n">
        <x:v>6</x:v>
      </x:c>
      <x:c r="O605" t="n">
        <x:v>8</x:v>
      </x:c>
      <x:c r="P605" s="63" t="str">
        <x:f>IF(M605=0,"—",M605&amp;"d"&amp;N605&amp;IF(O605=0,""," + "&amp;O605))</x:f>
        <x:v>1d6 + 8</x:v>
      </x:c>
      <x:c r="Q605" t="n">
        <x:f>ROUND(INDEX(Catalogue!E$4:E$85,MATCH(A605,Catalogue!A$4:A$85,0))*(1+'Paramètres'!$B$4*(C605-1)+'Paramètres'!$B$5*(C605-1)^2),0)</x:f>
        <x:v>9</x:v>
      </x:c>
      <x:c r="R605" t="n">
        <x:f>ROUND(INDEX(Catalogue!F$4:F$85,MATCH(A605,Catalogue!A$4:A$85,0))*(1+'Paramètres'!$B$4*(C605-1)+'Paramètres'!$B$5*(C605-1)^2),0)</x:f>
        <x:v>15</x:v>
      </x:c>
      <x:c r="S605" t="n">
        <x:f>L605-AVERAGE(Q605:R605)</x:f>
        <x:v>-0.5</x:v>
      </x:c>
      <x:c r="T605" t="str">
        <x:f>IF(M605=0,IF(AND(N605=0,O605=0,E605=0,F605=0),"OK","ERREUR"),IF(AND(M605&gt;=1,M605&lt;=32,OR(N605=4,N605=6,N605=8,N605=10,N605=12,N605=20),O605&gt;=0,E605=M605+O605,F605=M605*N605+O605),"OK","ERREUR"))</x:f>
        <x:v>OK</x:v>
      </x:c>
      <x:c r="U605" s="86" t="n">
        <x:f>IF(M605&gt;0,M605*(N605+1)/2+O605,0)</x:f>
        <x:v>11.5</x:v>
      </x:c>
      <x:c r="V605" t="str">
        <x:f>IF(ABS(L605-U605)&lt;0.001,"OK","ERREUR")</x:f>
        <x:v>OK</x:v>
      </x:c>
    </x:row>
    <x:row r="606" ht="18" customHeight="1">
      <x:c r="A606" t="str">
        <x:v>ARM031</x:v>
      </x:c>
      <x:c r="B606" t="str">
        <x:v>Grande hache</x:v>
      </x:c>
      <x:c r="C606" t="n">
        <x:v>3</x:v>
      </x:c>
      <x:c r="D606" t="str">
        <x:v>Deux mains</x:v>
      </x:c>
      <x:c r="E606" s="28" t="n">
        <x:f>IF(M606=0,0,M606+O606)</x:f>
        <x:v>10</x:v>
      </x:c>
      <x:c r="F606" s="28" t="n">
        <x:f>IF(M606=0,0,M606*N606+O606)</x:f>
        <x:v>17</x:v>
      </x:c>
      <x:c r="G606" s="28" t="n">
        <x:f>ROUND(Catalogue!G34*SQRT((1+'Paramètres'!$B$4*(C606-1)+'Paramètres'!$B$5*(C606-1)^2)),0)</x:f>
        <x:v>0</x:v>
      </x:c>
      <x:c r="H606" s="28" t="n">
        <x:f>ROUND(Catalogue!H34*SQRT((1+'Paramètres'!$B$4*(C606-1)+'Paramètres'!$B$5*(C606-1)^2)),0)</x:f>
        <x:v>0</x:v>
      </x:c>
      <x:c r="I606" s="28" t="n">
        <x:v>3</x:v>
      </x:c>
      <x:c r="J606" s="28" t="n">
        <x:v>1</x:v>
      </x:c>
      <x:c r="K606" s="30" t="n">
        <x:v>4.7</x:v>
      </x:c>
      <x:c r="L606" s="54" t="n">
        <x:f>IF(M606=0,0,(E606+F606)/2)</x:f>
        <x:v>13.5</x:v>
      </x:c>
      <x:c r="M606" t="n">
        <x:v>1</x:v>
      </x:c>
      <x:c r="N606" t="n">
        <x:v>8</x:v>
      </x:c>
      <x:c r="O606" t="n">
        <x:v>9</x:v>
      </x:c>
      <x:c r="P606" s="63" t="str">
        <x:f>IF(M606=0,"—",M606&amp;"d"&amp;N606&amp;IF(O606=0,""," + "&amp;O606))</x:f>
        <x:v>1d8 + 9</x:v>
      </x:c>
      <x:c r="Q606" t="n">
        <x:f>ROUND(INDEX(Catalogue!E$4:E$85,MATCH(A606,Catalogue!A$4:A$85,0))*(1+'Paramètres'!$B$4*(C606-1)+'Paramètres'!$B$5*(C606-1)^2),0)</x:f>
        <x:v>10</x:v>
      </x:c>
      <x:c r="R606" t="n">
        <x:f>ROUND(INDEX(Catalogue!F$4:F$85,MATCH(A606,Catalogue!A$4:A$85,0))*(1+'Paramètres'!$B$4*(C606-1)+'Paramètres'!$B$5*(C606-1)^2),0)</x:f>
        <x:v>17</x:v>
      </x:c>
      <x:c r="S606" t="n">
        <x:f>L606-AVERAGE(Q606:R606)</x:f>
        <x:v>0</x:v>
      </x:c>
      <x:c r="T606" t="str">
        <x:f>IF(M606=0,IF(AND(N606=0,O606=0,E606=0,F606=0),"OK","ERREUR"),IF(AND(M606&gt;=1,M606&lt;=32,OR(N606=4,N606=6,N606=8,N606=10,N606=12,N606=20),O606&gt;=0,E606=M606+O606,F606=M606*N606+O606),"OK","ERREUR"))</x:f>
        <x:v>OK</x:v>
      </x:c>
      <x:c r="U606" s="86" t="n">
        <x:f>IF(M606&gt;0,M606*(N606+1)/2+O606,0)</x:f>
        <x:v>13.5</x:v>
      </x:c>
      <x:c r="V606" t="str">
        <x:f>IF(ABS(L606-U606)&lt;0.001,"OK","ERREUR")</x:f>
        <x:v>OK</x:v>
      </x:c>
    </x:row>
    <x:row r="607" ht="18" customHeight="1">
      <x:c r="A607" t="str">
        <x:v>ARM031</x:v>
      </x:c>
      <x:c r="B607" t="str">
        <x:v>Grande hache</x:v>
      </x:c>
      <x:c r="C607" t="n">
        <x:v>4</x:v>
      </x:c>
      <x:c r="D607" t="str">
        <x:v>Deux mains</x:v>
      </x:c>
      <x:c r="E607" s="28" t="n">
        <x:f>IF(M607=0,0,M607+O607)</x:f>
        <x:v>12</x:v>
      </x:c>
      <x:c r="F607" s="28" t="n">
        <x:f>IF(M607=0,0,M607*N607+O607)</x:f>
        <x:v>19</x:v>
      </x:c>
      <x:c r="G607" s="28" t="n">
        <x:f>ROUND(Catalogue!G34*SQRT((1+'Paramètres'!$B$4*(C607-1)+'Paramètres'!$B$5*(C607-1)^2)),0)</x:f>
        <x:v>0</x:v>
      </x:c>
      <x:c r="H607" s="28" t="n">
        <x:f>ROUND(Catalogue!H34*SQRT((1+'Paramètres'!$B$4*(C607-1)+'Paramètres'!$B$5*(C607-1)^2)),0)</x:f>
        <x:v>0</x:v>
      </x:c>
      <x:c r="I607" s="28" t="n">
        <x:v>3</x:v>
      </x:c>
      <x:c r="J607" s="28" t="n">
        <x:v>1</x:v>
      </x:c>
      <x:c r="K607" s="30" t="n">
        <x:v>4.7</x:v>
      </x:c>
      <x:c r="L607" s="54" t="n">
        <x:f>IF(M607=0,0,(E607+F607)/2)</x:f>
        <x:v>15.5</x:v>
      </x:c>
      <x:c r="M607" t="n">
        <x:v>1</x:v>
      </x:c>
      <x:c r="N607" t="n">
        <x:v>8</x:v>
      </x:c>
      <x:c r="O607" t="n">
        <x:v>11</x:v>
      </x:c>
      <x:c r="P607" s="63" t="str">
        <x:f>IF(M607=0,"—",M607&amp;"d"&amp;N607&amp;IF(O607=0,""," + "&amp;O607))</x:f>
        <x:v>1d8 + 11</x:v>
      </x:c>
      <x:c r="Q607" t="n">
        <x:f>ROUND(INDEX(Catalogue!E$4:E$85,MATCH(A607,Catalogue!A$4:A$85,0))*(1+'Paramètres'!$B$4*(C607-1)+'Paramètres'!$B$5*(C607-1)^2),0)</x:f>
        <x:v>12</x:v>
      </x:c>
      <x:c r="R607" t="n">
        <x:f>ROUND(INDEX(Catalogue!F$4:F$85,MATCH(A607,Catalogue!A$4:A$85,0))*(1+'Paramètres'!$B$4*(C607-1)+'Paramètres'!$B$5*(C607-1)^2),0)</x:f>
        <x:v>19</x:v>
      </x:c>
      <x:c r="S607" t="n">
        <x:f>L607-AVERAGE(Q607:R607)</x:f>
        <x:v>0</x:v>
      </x:c>
      <x:c r="T607" t="str">
        <x:f>IF(M607=0,IF(AND(N607=0,O607=0,E607=0,F607=0),"OK","ERREUR"),IF(AND(M607&gt;=1,M607&lt;=32,OR(N607=4,N607=6,N607=8,N607=10,N607=12,N607=20),O607&gt;=0,E607=M607+O607,F607=M607*N607+O607),"OK","ERREUR"))</x:f>
        <x:v>OK</x:v>
      </x:c>
      <x:c r="U607" s="86" t="n">
        <x:f>IF(M607&gt;0,M607*(N607+1)/2+O607,0)</x:f>
        <x:v>15.5</x:v>
      </x:c>
      <x:c r="V607" t="str">
        <x:f>IF(ABS(L607-U607)&lt;0.001,"OK","ERREUR")</x:f>
        <x:v>OK</x:v>
      </x:c>
    </x:row>
    <x:row r="608" ht="18" customHeight="1">
      <x:c r="A608" t="str">
        <x:v>ARM031</x:v>
      </x:c>
      <x:c r="B608" t="str">
        <x:v>Grande hache</x:v>
      </x:c>
      <x:c r="C608" t="n">
        <x:v>5</x:v>
      </x:c>
      <x:c r="D608" t="str">
        <x:v>Deux mains</x:v>
      </x:c>
      <x:c r="E608" s="28" t="n">
        <x:f>IF(M608=0,0,M608+O608)</x:f>
        <x:v>14</x:v>
      </x:c>
      <x:c r="F608" s="28" t="n">
        <x:f>IF(M608=0,0,M608*N608+O608)</x:f>
        <x:v>21</x:v>
      </x:c>
      <x:c r="G608" s="28" t="n">
        <x:f>ROUND(Catalogue!G34*SQRT((1+'Paramètres'!$B$4*(C608-1)+'Paramètres'!$B$5*(C608-1)^2)),0)</x:f>
        <x:v>0</x:v>
      </x:c>
      <x:c r="H608" s="28" t="n">
        <x:f>ROUND(Catalogue!H34*SQRT((1+'Paramètres'!$B$4*(C608-1)+'Paramètres'!$B$5*(C608-1)^2)),0)</x:f>
        <x:v>0</x:v>
      </x:c>
      <x:c r="I608" s="28" t="n">
        <x:v>3</x:v>
      </x:c>
      <x:c r="J608" s="28" t="n">
        <x:v>1</x:v>
      </x:c>
      <x:c r="K608" s="30" t="n">
        <x:v>4.7</x:v>
      </x:c>
      <x:c r="L608" s="54" t="n">
        <x:f>IF(M608=0,0,(E608+F608)/2)</x:f>
        <x:v>17.5</x:v>
      </x:c>
      <x:c r="M608" t="n">
        <x:v>1</x:v>
      </x:c>
      <x:c r="N608" t="n">
        <x:v>8</x:v>
      </x:c>
      <x:c r="O608" t="n">
        <x:v>13</x:v>
      </x:c>
      <x:c r="P608" s="63" t="str">
        <x:f>IF(M608=0,"—",M608&amp;"d"&amp;N608&amp;IF(O608=0,""," + "&amp;O608))</x:f>
        <x:v>1d8 + 13</x:v>
      </x:c>
      <x:c r="Q608" t="n">
        <x:f>ROUND(INDEX(Catalogue!E$4:E$85,MATCH(A608,Catalogue!A$4:A$85,0))*(1+'Paramètres'!$B$4*(C608-1)+'Paramètres'!$B$5*(C608-1)^2),0)</x:f>
        <x:v>14</x:v>
      </x:c>
      <x:c r="R608" t="n">
        <x:f>ROUND(INDEX(Catalogue!F$4:F$85,MATCH(A608,Catalogue!A$4:A$85,0))*(1+'Paramètres'!$B$4*(C608-1)+'Paramètres'!$B$5*(C608-1)^2),0)</x:f>
        <x:v>22</x:v>
      </x:c>
      <x:c r="S608" t="n">
        <x:f>L608-AVERAGE(Q608:R608)</x:f>
        <x:v>-0.5</x:v>
      </x:c>
      <x:c r="T608" t="str">
        <x:f>IF(M608=0,IF(AND(N608=0,O608=0,E608=0,F608=0),"OK","ERREUR"),IF(AND(M608&gt;=1,M608&lt;=32,OR(N608=4,N608=6,N608=8,N608=10,N608=12,N608=20),O608&gt;=0,E608=M608+O608,F608=M608*N608+O608),"OK","ERREUR"))</x:f>
        <x:v>OK</x:v>
      </x:c>
      <x:c r="U608" s="86" t="n">
        <x:f>IF(M608&gt;0,M608*(N608+1)/2+O608,0)</x:f>
        <x:v>17.5</x:v>
      </x:c>
      <x:c r="V608" t="str">
        <x:f>IF(ABS(L608-U608)&lt;0.001,"OK","ERREUR")</x:f>
        <x:v>OK</x:v>
      </x:c>
    </x:row>
    <x:row r="609" ht="18" customHeight="1">
      <x:c r="A609" t="str">
        <x:v>ARM031</x:v>
      </x:c>
      <x:c r="B609" t="str">
        <x:v>Grande hache</x:v>
      </x:c>
      <x:c r="C609" t="n">
        <x:v>6</x:v>
      </x:c>
      <x:c r="D609" t="str">
        <x:v>Deux mains</x:v>
      </x:c>
      <x:c r="E609" s="28" t="n">
        <x:f>IF(M609=0,0,M609+O609)</x:f>
        <x:v>16</x:v>
      </x:c>
      <x:c r="F609" s="28" t="n">
        <x:f>IF(M609=0,0,M609*N609+O609)</x:f>
        <x:v>25</x:v>
      </x:c>
      <x:c r="G609" s="28" t="n">
        <x:f>ROUND(Catalogue!G34*SQRT((1+'Paramètres'!$B$4*(C609-1)+'Paramètres'!$B$5*(C609-1)^2)),0)</x:f>
        <x:v>0</x:v>
      </x:c>
      <x:c r="H609" s="28" t="n">
        <x:f>ROUND(Catalogue!H34*SQRT((1+'Paramètres'!$B$4*(C609-1)+'Paramètres'!$B$5*(C609-1)^2)),0)</x:f>
        <x:v>0</x:v>
      </x:c>
      <x:c r="I609" s="28" t="n">
        <x:v>3</x:v>
      </x:c>
      <x:c r="J609" s="28" t="n">
        <x:v>1</x:v>
      </x:c>
      <x:c r="K609" s="30" t="n">
        <x:v>4.7</x:v>
      </x:c>
      <x:c r="L609" s="54" t="n">
        <x:f>IF(M609=0,0,(E609+F609)/2)</x:f>
        <x:v>20.5</x:v>
      </x:c>
      <x:c r="M609" t="n">
        <x:v>1</x:v>
      </x:c>
      <x:c r="N609" t="n">
        <x:v>10</x:v>
      </x:c>
      <x:c r="O609" t="n">
        <x:v>15</x:v>
      </x:c>
      <x:c r="P609" s="63" t="str">
        <x:f>IF(M609=0,"—",M609&amp;"d"&amp;N609&amp;IF(O609=0,""," + "&amp;O609))</x:f>
        <x:v>1d10 + 15</x:v>
      </x:c>
      <x:c r="Q609" t="n">
        <x:f>ROUND(INDEX(Catalogue!E$4:E$85,MATCH(A609,Catalogue!A$4:A$85,0))*(1+'Paramètres'!$B$4*(C609-1)+'Paramètres'!$B$5*(C609-1)^2),0)</x:f>
        <x:v>16</x:v>
      </x:c>
      <x:c r="R609" t="n">
        <x:f>ROUND(INDEX(Catalogue!F$4:F$85,MATCH(A609,Catalogue!A$4:A$85,0))*(1+'Paramètres'!$B$4*(C609-1)+'Paramètres'!$B$5*(C609-1)^2),0)</x:f>
        <x:v>25</x:v>
      </x:c>
      <x:c r="S609" t="n">
        <x:f>L609-AVERAGE(Q609:R609)</x:f>
        <x:v>0</x:v>
      </x:c>
      <x:c r="T609" t="str">
        <x:f>IF(M609=0,IF(AND(N609=0,O609=0,E609=0,F609=0),"OK","ERREUR"),IF(AND(M609&gt;=1,M609&lt;=32,OR(N609=4,N609=6,N609=8,N609=10,N609=12,N609=20),O609&gt;=0,E609=M609+O609,F609=M609*N609+O609),"OK","ERREUR"))</x:f>
        <x:v>OK</x:v>
      </x:c>
      <x:c r="U609" s="86" t="n">
        <x:f>IF(M609&gt;0,M609*(N609+1)/2+O609,0)</x:f>
        <x:v>20.5</x:v>
      </x:c>
      <x:c r="V609" t="str">
        <x:f>IF(ABS(L609-U609)&lt;0.001,"OK","ERREUR")</x:f>
        <x:v>OK</x:v>
      </x:c>
    </x:row>
    <x:row r="610" ht="18" customHeight="1">
      <x:c r="A610" t="str">
        <x:v>ARM031</x:v>
      </x:c>
      <x:c r="B610" t="str">
        <x:v>Grande hache</x:v>
      </x:c>
      <x:c r="C610" t="n">
        <x:v>7</x:v>
      </x:c>
      <x:c r="D610" t="str">
        <x:v>Deux mains</x:v>
      </x:c>
      <x:c r="E610" s="28" t="n">
        <x:f>IF(M610=0,0,M610+O610)</x:f>
        <x:v>18</x:v>
      </x:c>
      <x:c r="F610" s="28" t="n">
        <x:f>IF(M610=0,0,M610*N610+O610)</x:f>
        <x:v>29</x:v>
      </x:c>
      <x:c r="G610" s="28" t="n">
        <x:f>ROUND(Catalogue!G34*SQRT((1+'Paramètres'!$B$4*(C610-1)+'Paramètres'!$B$5*(C610-1)^2)),0)</x:f>
        <x:v>0</x:v>
      </x:c>
      <x:c r="H610" s="28" t="n">
        <x:f>ROUND(Catalogue!H34*SQRT((1+'Paramètres'!$B$4*(C610-1)+'Paramètres'!$B$5*(C610-1)^2)),0)</x:f>
        <x:v>0</x:v>
      </x:c>
      <x:c r="I610" s="28" t="n">
        <x:v>3</x:v>
      </x:c>
      <x:c r="J610" s="28" t="n">
        <x:v>1</x:v>
      </x:c>
      <x:c r="K610" s="30" t="n">
        <x:v>4.7</x:v>
      </x:c>
      <x:c r="L610" s="54" t="n">
        <x:f>IF(M610=0,0,(E610+F610)/2)</x:f>
        <x:v>23.5</x:v>
      </x:c>
      <x:c r="M610" t="n">
        <x:v>1</x:v>
      </x:c>
      <x:c r="N610" t="n">
        <x:v>12</x:v>
      </x:c>
      <x:c r="O610" t="n">
        <x:v>17</x:v>
      </x:c>
      <x:c r="P610" s="63" t="str">
        <x:f>IF(M610=0,"—",M610&amp;"d"&amp;N610&amp;IF(O610=0,""," + "&amp;O610))</x:f>
        <x:v>1d12 + 17</x:v>
      </x:c>
      <x:c r="Q610" t="n">
        <x:f>ROUND(INDEX(Catalogue!E$4:E$85,MATCH(A610,Catalogue!A$4:A$85,0))*(1+'Paramètres'!$B$4*(C610-1)+'Paramètres'!$B$5*(C610-1)^2),0)</x:f>
        <x:v>18</x:v>
      </x:c>
      <x:c r="R610" t="n">
        <x:f>ROUND(INDEX(Catalogue!F$4:F$85,MATCH(A610,Catalogue!A$4:A$85,0))*(1+'Paramètres'!$B$4*(C610-1)+'Paramètres'!$B$5*(C610-1)^2),0)</x:f>
        <x:v>29</x:v>
      </x:c>
      <x:c r="S610" t="n">
        <x:f>L610-AVERAGE(Q610:R610)</x:f>
        <x:v>0</x:v>
      </x:c>
      <x:c r="T610" t="str">
        <x:f>IF(M610=0,IF(AND(N610=0,O610=0,E610=0,F610=0),"OK","ERREUR"),IF(AND(M610&gt;=1,M610&lt;=32,OR(N610=4,N610=6,N610=8,N610=10,N610=12,N610=20),O610&gt;=0,E610=M610+O610,F610=M610*N610+O610),"OK","ERREUR"))</x:f>
        <x:v>OK</x:v>
      </x:c>
      <x:c r="U610" s="86" t="n">
        <x:f>IF(M610&gt;0,M610*(N610+1)/2+O610,0)</x:f>
        <x:v>23.5</x:v>
      </x:c>
      <x:c r="V610" t="str">
        <x:f>IF(ABS(L610-U610)&lt;0.001,"OK","ERREUR")</x:f>
        <x:v>OK</x:v>
      </x:c>
    </x:row>
    <x:row r="611" ht="18" customHeight="1">
      <x:c r="A611" t="str">
        <x:v>ARM031</x:v>
      </x:c>
      <x:c r="B611" t="str">
        <x:v>Grande hache</x:v>
      </x:c>
      <x:c r="C611" t="n">
        <x:v>8</x:v>
      </x:c>
      <x:c r="D611" t="str">
        <x:v>Deux mains</x:v>
      </x:c>
      <x:c r="E611" s="28" t="n">
        <x:f>IF(M611=0,0,M611+O611)</x:f>
        <x:v>19</x:v>
      </x:c>
      <x:c r="F611" s="28" t="n">
        <x:f>IF(M611=0,0,M611*N611+O611)</x:f>
        <x:v>33</x:v>
      </x:c>
      <x:c r="G611" s="28" t="n">
        <x:f>ROUND(Catalogue!G34*SQRT((1+'Paramètres'!$B$4*(C611-1)+'Paramètres'!$B$5*(C611-1)^2)),0)</x:f>
        <x:v>0</x:v>
      </x:c>
      <x:c r="H611" s="28" t="n">
        <x:f>ROUND(Catalogue!H34*SQRT((1+'Paramètres'!$B$4*(C611-1)+'Paramètres'!$B$5*(C611-1)^2)),0)</x:f>
        <x:v>0</x:v>
      </x:c>
      <x:c r="I611" s="28" t="n">
        <x:v>3</x:v>
      </x:c>
      <x:c r="J611" s="28" t="n">
        <x:v>1</x:v>
      </x:c>
      <x:c r="K611" s="30" t="n">
        <x:v>4.7</x:v>
      </x:c>
      <x:c r="L611" s="54" t="n">
        <x:f>IF(M611=0,0,(E611+F611)/2)</x:f>
        <x:v>26</x:v>
      </x:c>
      <x:c r="M611" t="n">
        <x:v>2</x:v>
      </x:c>
      <x:c r="N611" t="n">
        <x:v>8</x:v>
      </x:c>
      <x:c r="O611" t="n">
        <x:v>17</x:v>
      </x:c>
      <x:c r="P611" s="63" t="str">
        <x:f>IF(M611=0,"—",M611&amp;"d"&amp;N611&amp;IF(O611=0,""," + "&amp;O611))</x:f>
        <x:v>2d8 + 17</x:v>
      </x:c>
      <x:c r="Q611" t="n">
        <x:f>ROUND(INDEX(Catalogue!E$4:E$85,MATCH(A611,Catalogue!A$4:A$85,0))*(1+'Paramètres'!$B$4*(C611-1)+'Paramètres'!$B$5*(C611-1)^2),0)</x:f>
        <x:v>20</x:v>
      </x:c>
      <x:c r="R611" t="n">
        <x:f>ROUND(INDEX(Catalogue!F$4:F$85,MATCH(A611,Catalogue!A$4:A$85,0))*(1+'Paramètres'!$B$4*(C611-1)+'Paramètres'!$B$5*(C611-1)^2),0)</x:f>
        <x:v>33</x:v>
      </x:c>
      <x:c r="S611" t="n">
        <x:f>L611-AVERAGE(Q611:R611)</x:f>
        <x:v>-0.5</x:v>
      </x:c>
      <x:c r="T611" t="str">
        <x:f>IF(M611=0,IF(AND(N611=0,O611=0,E611=0,F611=0),"OK","ERREUR"),IF(AND(M611&gt;=1,M611&lt;=32,OR(N611=4,N611=6,N611=8,N611=10,N611=12,N611=20),O611&gt;=0,E611=M611+O611,F611=M611*N611+O611),"OK","ERREUR"))</x:f>
        <x:v>OK</x:v>
      </x:c>
      <x:c r="U611" s="86" t="n">
        <x:f>IF(M611&gt;0,M611*(N611+1)/2+O611,0)</x:f>
        <x:v>26</x:v>
      </x:c>
      <x:c r="V611" t="str">
        <x:f>IF(ABS(L611-U611)&lt;0.001,"OK","ERREUR")</x:f>
        <x:v>OK</x:v>
      </x:c>
    </x:row>
    <x:row r="612" ht="18" customHeight="1">
      <x:c r="A612" t="str">
        <x:v>ARM031</x:v>
      </x:c>
      <x:c r="B612" t="str">
        <x:v>Grande hache</x:v>
      </x:c>
      <x:c r="C612" t="n">
        <x:v>9</x:v>
      </x:c>
      <x:c r="D612" t="str">
        <x:v>Deux mains</x:v>
      </x:c>
      <x:c r="E612" s="28" t="n">
        <x:f>IF(M612=0,0,M612+O612)</x:f>
        <x:v>23</x:v>
      </x:c>
      <x:c r="F612" s="28" t="n">
        <x:f>IF(M612=0,0,M612*N612+O612)</x:f>
        <x:v>38</x:v>
      </x:c>
      <x:c r="G612" s="28" t="n">
        <x:f>ROUND(Catalogue!G34*SQRT((1+'Paramètres'!$B$4*(C612-1)+'Paramètres'!$B$5*(C612-1)^2)),0)</x:f>
        <x:v>0</x:v>
      </x:c>
      <x:c r="H612" s="28" t="n">
        <x:f>ROUND(Catalogue!H34*SQRT((1+'Paramètres'!$B$4*(C612-1)+'Paramètres'!$B$5*(C612-1)^2)),0)</x:f>
        <x:v>0</x:v>
      </x:c>
      <x:c r="I612" s="28" t="n">
        <x:v>3</x:v>
      </x:c>
      <x:c r="J612" s="28" t="n">
        <x:v>1</x:v>
      </x:c>
      <x:c r="K612" s="30" t="n">
        <x:v>4.7</x:v>
      </x:c>
      <x:c r="L612" s="54" t="n">
        <x:f>IF(M612=0,0,(E612+F612)/2)</x:f>
        <x:v>30.5</x:v>
      </x:c>
      <x:c r="M612" t="n">
        <x:v>3</x:v>
      </x:c>
      <x:c r="N612" t="n">
        <x:v>6</x:v>
      </x:c>
      <x:c r="O612" t="n">
        <x:v>20</x:v>
      </x:c>
      <x:c r="P612" s="63" t="str">
        <x:f>IF(M612=0,"—",M612&amp;"d"&amp;N612&amp;IF(O612=0,""," + "&amp;O612))</x:f>
        <x:v>3d6 + 20</x:v>
      </x:c>
      <x:c r="Q612" t="n">
        <x:f>ROUND(INDEX(Catalogue!E$4:E$85,MATCH(A612,Catalogue!A$4:A$85,0))*(1+'Paramètres'!$B$4*(C612-1)+'Paramètres'!$B$5*(C612-1)^2),0)</x:f>
        <x:v>23</x:v>
      </x:c>
      <x:c r="R612" t="n">
        <x:f>ROUND(INDEX(Catalogue!F$4:F$85,MATCH(A612,Catalogue!A$4:A$85,0))*(1+'Paramètres'!$B$4*(C612-1)+'Paramètres'!$B$5*(C612-1)^2),0)</x:f>
        <x:v>38</x:v>
      </x:c>
      <x:c r="S612" t="n">
        <x:f>L612-AVERAGE(Q612:R612)</x:f>
        <x:v>0</x:v>
      </x:c>
      <x:c r="T612" t="str">
        <x:f>IF(M612=0,IF(AND(N612=0,O612=0,E612=0,F612=0),"OK","ERREUR"),IF(AND(M612&gt;=1,M612&lt;=32,OR(N612=4,N612=6,N612=8,N612=10,N612=12,N612=20),O612&gt;=0,E612=M612+O612,F612=M612*N612+O612),"OK","ERREUR"))</x:f>
        <x:v>OK</x:v>
      </x:c>
      <x:c r="U612" s="86" t="n">
        <x:f>IF(M612&gt;0,M612*(N612+1)/2+O612,0)</x:f>
        <x:v>30.5</x:v>
      </x:c>
      <x:c r="V612" t="str">
        <x:f>IF(ABS(L612-U612)&lt;0.001,"OK","ERREUR")</x:f>
        <x:v>OK</x:v>
      </x:c>
    </x:row>
    <x:row r="613" ht="18" customHeight="1">
      <x:c r="A613" t="str">
        <x:v>ARM031</x:v>
      </x:c>
      <x:c r="B613" t="str">
        <x:v>Grande hache</x:v>
      </x:c>
      <x:c r="C613" t="n">
        <x:v>10</x:v>
      </x:c>
      <x:c r="D613" t="str">
        <x:v>Deux mains</x:v>
      </x:c>
      <x:c r="E613" s="28" t="n">
        <x:f>IF(M613=0,0,M613+O613)</x:f>
        <x:v>26</x:v>
      </x:c>
      <x:c r="F613" s="28" t="n">
        <x:f>IF(M613=0,0,M613*N613+O613)</x:f>
        <x:v>44</x:v>
      </x:c>
      <x:c r="G613" s="28" t="n">
        <x:f>ROUND(Catalogue!G34*SQRT((1+'Paramètres'!$B$4*(C613-1)+'Paramètres'!$B$5*(C613-1)^2)),0)</x:f>
        <x:v>0</x:v>
      </x:c>
      <x:c r="H613" s="28" t="n">
        <x:f>ROUND(Catalogue!H34*SQRT((1+'Paramètres'!$B$4*(C613-1)+'Paramètres'!$B$5*(C613-1)^2)),0)</x:f>
        <x:v>0</x:v>
      </x:c>
      <x:c r="I613" s="28" t="n">
        <x:v>3</x:v>
      </x:c>
      <x:c r="J613" s="28" t="n">
        <x:v>1</x:v>
      </x:c>
      <x:c r="K613" s="30" t="n">
        <x:v>4.7</x:v>
      </x:c>
      <x:c r="L613" s="54" t="n">
        <x:f>IF(M613=0,0,(E613+F613)/2)</x:f>
        <x:v>35</x:v>
      </x:c>
      <x:c r="M613" t="n">
        <x:v>2</x:v>
      </x:c>
      <x:c r="N613" t="n">
        <x:v>10</x:v>
      </x:c>
      <x:c r="O613" t="n">
        <x:v>24</x:v>
      </x:c>
      <x:c r="P613" s="63" t="str">
        <x:f>IF(M613=0,"—",M613&amp;"d"&amp;N613&amp;IF(O613=0,""," + "&amp;O613))</x:f>
        <x:v>2d10 + 24</x:v>
      </x:c>
      <x:c r="Q613" t="n">
        <x:f>ROUND(INDEX(Catalogue!E$4:E$85,MATCH(A613,Catalogue!A$4:A$85,0))*(1+'Paramètres'!$B$4*(C613-1)+'Paramètres'!$B$5*(C613-1)^2),0)</x:f>
        <x:v>26</x:v>
      </x:c>
      <x:c r="R613" t="n">
        <x:f>ROUND(INDEX(Catalogue!F$4:F$85,MATCH(A613,Catalogue!A$4:A$85,0))*(1+'Paramètres'!$B$4*(C613-1)+'Paramètres'!$B$5*(C613-1)^2),0)</x:f>
        <x:v>43</x:v>
      </x:c>
      <x:c r="S613" t="n">
        <x:f>L613-AVERAGE(Q613:R613)</x:f>
        <x:v>0.5</x:v>
      </x:c>
      <x:c r="T613" t="str">
        <x:f>IF(M613=0,IF(AND(N613=0,O613=0,E613=0,F613=0),"OK","ERREUR"),IF(AND(M613&gt;=1,M613&lt;=32,OR(N613=4,N613=6,N613=8,N613=10,N613=12,N613=20),O613&gt;=0,E613=M613+O613,F613=M613*N613+O613),"OK","ERREUR"))</x:f>
        <x:v>OK</x:v>
      </x:c>
      <x:c r="U613" s="86" t="n">
        <x:f>IF(M613&gt;0,M613*(N613+1)/2+O613,0)</x:f>
        <x:v>35</x:v>
      </x:c>
      <x:c r="V613" t="str">
        <x:f>IF(ABS(L613-U613)&lt;0.001,"OK","ERREUR")</x:f>
        <x:v>OK</x:v>
      </x:c>
    </x:row>
    <x:row r="614" ht="18" customHeight="1">
      <x:c r="A614" t="str">
        <x:v>ARM031</x:v>
      </x:c>
      <x:c r="B614" t="str">
        <x:v>Grande hache</x:v>
      </x:c>
      <x:c r="C614" t="n">
        <x:v>11</x:v>
      </x:c>
      <x:c r="D614" t="str">
        <x:v>Deux mains</x:v>
      </x:c>
      <x:c r="E614" s="28" t="n">
        <x:f>IF(M614=0,0,M614+O614)</x:f>
        <x:v>30</x:v>
      </x:c>
      <x:c r="F614" s="28" t="n">
        <x:f>IF(M614=0,0,M614*N614+O614)</x:f>
        <x:v>48</x:v>
      </x:c>
      <x:c r="G614" s="28" t="n">
        <x:f>ROUND(Catalogue!G34*SQRT((1+'Paramètres'!$B$4*(C614-1)+'Paramètres'!$B$5*(C614-1)^2)),0)</x:f>
        <x:v>0</x:v>
      </x:c>
      <x:c r="H614" s="28" t="n">
        <x:f>ROUND(Catalogue!H34*SQRT((1+'Paramètres'!$B$4*(C614-1)+'Paramètres'!$B$5*(C614-1)^2)),0)</x:f>
        <x:v>0</x:v>
      </x:c>
      <x:c r="I614" s="28" t="n">
        <x:v>3</x:v>
      </x:c>
      <x:c r="J614" s="28" t="n">
        <x:v>1</x:v>
      </x:c>
      <x:c r="K614" s="30" t="n">
        <x:v>4.7</x:v>
      </x:c>
      <x:c r="L614" s="54" t="n">
        <x:f>IF(M614=0,0,(E614+F614)/2)</x:f>
        <x:v>39</x:v>
      </x:c>
      <x:c r="M614" t="n">
        <x:v>2</x:v>
      </x:c>
      <x:c r="N614" t="n">
        <x:v>10</x:v>
      </x:c>
      <x:c r="O614" t="n">
        <x:v>28</x:v>
      </x:c>
      <x:c r="P614" s="63" t="str">
        <x:f>IF(M614=0,"—",M614&amp;"d"&amp;N614&amp;IF(O614=0,""," + "&amp;O614))</x:f>
        <x:v>2d10 + 28</x:v>
      </x:c>
      <x:c r="Q614" t="n">
        <x:f>ROUND(INDEX(Catalogue!E$4:E$85,MATCH(A614,Catalogue!A$4:A$85,0))*(1+'Paramètres'!$B$4*(C614-1)+'Paramètres'!$B$5*(C614-1)^2),0)</x:f>
        <x:v>30</x:v>
      </x:c>
      <x:c r="R614" t="n">
        <x:f>ROUND(INDEX(Catalogue!F$4:F$85,MATCH(A614,Catalogue!A$4:A$85,0))*(1+'Paramètres'!$B$4*(C614-1)+'Paramètres'!$B$5*(C614-1)^2),0)</x:f>
        <x:v>48</x:v>
      </x:c>
      <x:c r="S614" t="n">
        <x:f>L614-AVERAGE(Q614:R614)</x:f>
        <x:v>0</x:v>
      </x:c>
      <x:c r="T614" t="str">
        <x:f>IF(M614=0,IF(AND(N614=0,O614=0,E614=0,F614=0),"OK","ERREUR"),IF(AND(M614&gt;=1,M614&lt;=32,OR(N614=4,N614=6,N614=8,N614=10,N614=12,N614=20),O614&gt;=0,E614=M614+O614,F614=M614*N614+O614),"OK","ERREUR"))</x:f>
        <x:v>OK</x:v>
      </x:c>
      <x:c r="U614" s="86" t="n">
        <x:f>IF(M614&gt;0,M614*(N614+1)/2+O614,0)</x:f>
        <x:v>39</x:v>
      </x:c>
      <x:c r="V614" t="str">
        <x:f>IF(ABS(L614-U614)&lt;0.001,"OK","ERREUR")</x:f>
        <x:v>OK</x:v>
      </x:c>
    </x:row>
    <x:row r="615" ht="18" customHeight="1">
      <x:c r="A615" t="str">
        <x:v>ARM031</x:v>
      </x:c>
      <x:c r="B615" t="str">
        <x:v>Grande hache</x:v>
      </x:c>
      <x:c r="C615" t="n">
        <x:v>12</x:v>
      </x:c>
      <x:c r="D615" t="str">
        <x:v>Deux mains</x:v>
      </x:c>
      <x:c r="E615" s="28" t="n">
        <x:f>IF(M615=0,0,M615+O615)</x:f>
        <x:v>33</x:v>
      </x:c>
      <x:c r="F615" s="28" t="n">
        <x:f>IF(M615=0,0,M615*N615+O615)</x:f>
        <x:v>54</x:v>
      </x:c>
      <x:c r="G615" s="28" t="n">
        <x:f>ROUND(Catalogue!G34*SQRT((1+'Paramètres'!$B$4*(C615-1)+'Paramètres'!$B$5*(C615-1)^2)),0)</x:f>
        <x:v>0</x:v>
      </x:c>
      <x:c r="H615" s="28" t="n">
        <x:f>ROUND(Catalogue!H34*SQRT((1+'Paramètres'!$B$4*(C615-1)+'Paramètres'!$B$5*(C615-1)^2)),0)</x:f>
        <x:v>0</x:v>
      </x:c>
      <x:c r="I615" s="28" t="n">
        <x:v>3</x:v>
      </x:c>
      <x:c r="J615" s="28" t="n">
        <x:v>1</x:v>
      </x:c>
      <x:c r="K615" s="30" t="n">
        <x:v>4.7</x:v>
      </x:c>
      <x:c r="L615" s="54" t="n">
        <x:f>IF(M615=0,0,(E615+F615)/2)</x:f>
        <x:v>43.5</x:v>
      </x:c>
      <x:c r="M615" t="n">
        <x:v>3</x:v>
      </x:c>
      <x:c r="N615" t="n">
        <x:v>8</x:v>
      </x:c>
      <x:c r="O615" t="n">
        <x:v>30</x:v>
      </x:c>
      <x:c r="P615" s="63" t="str">
        <x:f>IF(M615=0,"—",M615&amp;"d"&amp;N615&amp;IF(O615=0,""," + "&amp;O615))</x:f>
        <x:v>3d8 + 30</x:v>
      </x:c>
      <x:c r="Q615" t="n">
        <x:f>ROUND(INDEX(Catalogue!E$4:E$85,MATCH(A615,Catalogue!A$4:A$85,0))*(1+'Paramètres'!$B$4*(C615-1)+'Paramètres'!$B$5*(C615-1)^2),0)</x:f>
        <x:v>33</x:v>
      </x:c>
      <x:c r="R615" t="n">
        <x:f>ROUND(INDEX(Catalogue!F$4:F$85,MATCH(A615,Catalogue!A$4:A$85,0))*(1+'Paramètres'!$B$4*(C615-1)+'Paramètres'!$B$5*(C615-1)^2),0)</x:f>
        <x:v>54</x:v>
      </x:c>
      <x:c r="S615" t="n">
        <x:f>L615-AVERAGE(Q615:R615)</x:f>
        <x:v>0</x:v>
      </x:c>
      <x:c r="T615" t="str">
        <x:f>IF(M615=0,IF(AND(N615=0,O615=0,E615=0,F615=0),"OK","ERREUR"),IF(AND(M615&gt;=1,M615&lt;=32,OR(N615=4,N615=6,N615=8,N615=10,N615=12,N615=20),O615&gt;=0,E615=M615+O615,F615=M615*N615+O615),"OK","ERREUR"))</x:f>
        <x:v>OK</x:v>
      </x:c>
      <x:c r="U615" s="86" t="n">
        <x:f>IF(M615&gt;0,M615*(N615+1)/2+O615,0)</x:f>
        <x:v>43.5</x:v>
      </x:c>
      <x:c r="V615" t="str">
        <x:f>IF(ABS(L615-U615)&lt;0.001,"OK","ERREUR")</x:f>
        <x:v>OK</x:v>
      </x:c>
    </x:row>
    <x:row r="616" ht="18" customHeight="1">
      <x:c r="A616" t="str">
        <x:v>ARM031</x:v>
      </x:c>
      <x:c r="B616" t="str">
        <x:v>Grande hache</x:v>
      </x:c>
      <x:c r="C616" t="n">
        <x:v>13</x:v>
      </x:c>
      <x:c r="D616" t="str">
        <x:v>Deux mains</x:v>
      </x:c>
      <x:c r="E616" s="28" t="n">
        <x:f>IF(M616=0,0,M616+O616)</x:f>
        <x:v>37</x:v>
      </x:c>
      <x:c r="F616" s="28" t="n">
        <x:f>IF(M616=0,0,M616*N616+O616)</x:f>
        <x:v>59</x:v>
      </x:c>
      <x:c r="G616" s="28" t="n">
        <x:f>ROUND(Catalogue!G34*SQRT((1+'Paramètres'!$B$4*(C616-1)+'Paramètres'!$B$5*(C616-1)^2)),0)</x:f>
        <x:v>0</x:v>
      </x:c>
      <x:c r="H616" s="28" t="n">
        <x:f>ROUND(Catalogue!H34*SQRT((1+'Paramètres'!$B$4*(C616-1)+'Paramètres'!$B$5*(C616-1)^2)),0)</x:f>
        <x:v>0</x:v>
      </x:c>
      <x:c r="I616" s="28" t="n">
        <x:v>3</x:v>
      </x:c>
      <x:c r="J616" s="28" t="n">
        <x:v>1</x:v>
      </x:c>
      <x:c r="K616" s="30" t="n">
        <x:v>4.7</x:v>
      </x:c>
      <x:c r="L616" s="54" t="n">
        <x:f>IF(M616=0,0,(E616+F616)/2)</x:f>
        <x:v>48</x:v>
      </x:c>
      <x:c r="M616" t="n">
        <x:v>2</x:v>
      </x:c>
      <x:c r="N616" t="n">
        <x:v>12</x:v>
      </x:c>
      <x:c r="O616" t="n">
        <x:v>35</x:v>
      </x:c>
      <x:c r="P616" s="63" t="str">
        <x:f>IF(M616=0,"—",M616&amp;"d"&amp;N616&amp;IF(O616=0,""," + "&amp;O616))</x:f>
        <x:v>2d12 + 35</x:v>
      </x:c>
      <x:c r="Q616" t="n">
        <x:f>ROUND(INDEX(Catalogue!E$4:E$85,MATCH(A616,Catalogue!A$4:A$85,0))*(1+'Paramètres'!$B$4*(C616-1)+'Paramètres'!$B$5*(C616-1)^2),0)</x:f>
        <x:v>37</x:v>
      </x:c>
      <x:c r="R616" t="n">
        <x:f>ROUND(INDEX(Catalogue!F$4:F$85,MATCH(A616,Catalogue!A$4:A$85,0))*(1+'Paramètres'!$B$4*(C616-1)+'Paramètres'!$B$5*(C616-1)^2),0)</x:f>
        <x:v>60</x:v>
      </x:c>
      <x:c r="S616" t="n">
        <x:f>L616-AVERAGE(Q616:R616)</x:f>
        <x:v>-0.5</x:v>
      </x:c>
      <x:c r="T616" t="str">
        <x:f>IF(M616=0,IF(AND(N616=0,O616=0,E616=0,F616=0),"OK","ERREUR"),IF(AND(M616&gt;=1,M616&lt;=32,OR(N616=4,N616=6,N616=8,N616=10,N616=12,N616=20),O616&gt;=0,E616=M616+O616,F616=M616*N616+O616),"OK","ERREUR"))</x:f>
        <x:v>OK</x:v>
      </x:c>
      <x:c r="U616" s="86" t="n">
        <x:f>IF(M616&gt;0,M616*(N616+1)/2+O616,0)</x:f>
        <x:v>48</x:v>
      </x:c>
      <x:c r="V616" t="str">
        <x:f>IF(ABS(L616-U616)&lt;0.001,"OK","ERREUR")</x:f>
        <x:v>OK</x:v>
      </x:c>
    </x:row>
    <x:row r="617" ht="18" customHeight="1">
      <x:c r="A617" t="str">
        <x:v>ARM031</x:v>
      </x:c>
      <x:c r="B617" t="str">
        <x:v>Grande hache</x:v>
      </x:c>
      <x:c r="C617" t="n">
        <x:v>14</x:v>
      </x:c>
      <x:c r="D617" t="str">
        <x:v>Deux mains</x:v>
      </x:c>
      <x:c r="E617" s="28" t="n">
        <x:f>IF(M617=0,0,M617+O617)</x:f>
        <x:v>40</x:v>
      </x:c>
      <x:c r="F617" s="28" t="n">
        <x:f>IF(M617=0,0,M617*N617+O617)</x:f>
        <x:v>67</x:v>
      </x:c>
      <x:c r="G617" s="28" t="n">
        <x:f>ROUND(Catalogue!G34*SQRT((1+'Paramètres'!$B$4*(C617-1)+'Paramètres'!$B$5*(C617-1)^2)),0)</x:f>
        <x:v>0</x:v>
      </x:c>
      <x:c r="H617" s="28" t="n">
        <x:f>ROUND(Catalogue!H34*SQRT((1+'Paramètres'!$B$4*(C617-1)+'Paramètres'!$B$5*(C617-1)^2)),0)</x:f>
        <x:v>0</x:v>
      </x:c>
      <x:c r="I617" s="28" t="n">
        <x:v>3</x:v>
      </x:c>
      <x:c r="J617" s="28" t="n">
        <x:v>1</x:v>
      </x:c>
      <x:c r="K617" s="30" t="n">
        <x:v>4.7</x:v>
      </x:c>
      <x:c r="L617" s="54" t="n">
        <x:f>IF(M617=0,0,(E617+F617)/2)</x:f>
        <x:v>53.5</x:v>
      </x:c>
      <x:c r="M617" t="n">
        <x:v>3</x:v>
      </x:c>
      <x:c r="N617" t="n">
        <x:v>10</x:v>
      </x:c>
      <x:c r="O617" t="n">
        <x:v>37</x:v>
      </x:c>
      <x:c r="P617" s="63" t="str">
        <x:f>IF(M617=0,"—",M617&amp;"d"&amp;N617&amp;IF(O617=0,""," + "&amp;O617))</x:f>
        <x:v>3d10 + 37</x:v>
      </x:c>
      <x:c r="Q617" t="n">
        <x:f>ROUND(INDEX(Catalogue!E$4:E$85,MATCH(A617,Catalogue!A$4:A$85,0))*(1+'Paramètres'!$B$4*(C617-1)+'Paramètres'!$B$5*(C617-1)^2),0)</x:f>
        <x:v>41</x:v>
      </x:c>
      <x:c r="R617" t="n">
        <x:f>ROUND(INDEX(Catalogue!F$4:F$85,MATCH(A617,Catalogue!A$4:A$85,0))*(1+'Paramètres'!$B$4*(C617-1)+'Paramètres'!$B$5*(C617-1)^2),0)</x:f>
        <x:v>67</x:v>
      </x:c>
      <x:c r="S617" t="n">
        <x:f>L617-AVERAGE(Q617:R617)</x:f>
        <x:v>-0.5</x:v>
      </x:c>
      <x:c r="T617" t="str">
        <x:f>IF(M617=0,IF(AND(N617=0,O617=0,E617=0,F617=0),"OK","ERREUR"),IF(AND(M617&gt;=1,M617&lt;=32,OR(N617=4,N617=6,N617=8,N617=10,N617=12,N617=20),O617&gt;=0,E617=M617+O617,F617=M617*N617+O617),"OK","ERREUR"))</x:f>
        <x:v>OK</x:v>
      </x:c>
      <x:c r="U617" s="86" t="n">
        <x:f>IF(M617&gt;0,M617*(N617+1)/2+O617,0)</x:f>
        <x:v>53.5</x:v>
      </x:c>
      <x:c r="V617" t="str">
        <x:f>IF(ABS(L617-U617)&lt;0.001,"OK","ERREUR")</x:f>
        <x:v>OK</x:v>
      </x:c>
    </x:row>
    <x:row r="618" ht="18" customHeight="1">
      <x:c r="A618" t="str">
        <x:v>ARM031</x:v>
      </x:c>
      <x:c r="B618" t="str">
        <x:v>Grande hache</x:v>
      </x:c>
      <x:c r="C618" t="n">
        <x:v>15</x:v>
      </x:c>
      <x:c r="D618" t="str">
        <x:v>Deux mains</x:v>
      </x:c>
      <x:c r="E618" s="28" t="n">
        <x:f>IF(M618=0,0,M618+O618)</x:f>
        <x:v>45</x:v>
      </x:c>
      <x:c r="F618" s="28" t="n">
        <x:f>IF(M618=0,0,M618*N618+O618)</x:f>
        <x:v>73</x:v>
      </x:c>
      <x:c r="G618" s="28" t="n">
        <x:f>ROUND(Catalogue!G34*SQRT((1+'Paramètres'!$B$4*(C618-1)+'Paramètres'!$B$5*(C618-1)^2)),0)</x:f>
        <x:v>0</x:v>
      </x:c>
      <x:c r="H618" s="28" t="n">
        <x:f>ROUND(Catalogue!H34*SQRT((1+'Paramètres'!$B$4*(C618-1)+'Paramètres'!$B$5*(C618-1)^2)),0)</x:f>
        <x:v>0</x:v>
      </x:c>
      <x:c r="I618" s="28" t="n">
        <x:v>3</x:v>
      </x:c>
      <x:c r="J618" s="28" t="n">
        <x:v>1</x:v>
      </x:c>
      <x:c r="K618" s="30" t="n">
        <x:v>4.7</x:v>
      </x:c>
      <x:c r="L618" s="54" t="n">
        <x:f>IF(M618=0,0,(E618+F618)/2)</x:f>
        <x:v>59</x:v>
      </x:c>
      <x:c r="M618" t="n">
        <x:v>4</x:v>
      </x:c>
      <x:c r="N618" t="n">
        <x:v>8</x:v>
      </x:c>
      <x:c r="O618" t="n">
        <x:v>41</x:v>
      </x:c>
      <x:c r="P618" s="63" t="str">
        <x:f>IF(M618=0,"—",M618&amp;"d"&amp;N618&amp;IF(O618=0,""," + "&amp;O618))</x:f>
        <x:v>4d8 + 41</x:v>
      </x:c>
      <x:c r="Q618" t="n">
        <x:f>ROUND(INDEX(Catalogue!E$4:E$85,MATCH(A618,Catalogue!A$4:A$85,0))*(1+'Paramètres'!$B$4*(C618-1)+'Paramètres'!$B$5*(C618-1)^2),0)</x:f>
        <x:v>45</x:v>
      </x:c>
      <x:c r="R618" t="n">
        <x:f>ROUND(INDEX(Catalogue!F$4:F$85,MATCH(A618,Catalogue!A$4:A$85,0))*(1+'Paramètres'!$B$4*(C618-1)+'Paramètres'!$B$5*(C618-1)^2),0)</x:f>
        <x:v>74</x:v>
      </x:c>
      <x:c r="S618" t="n">
        <x:f>L618-AVERAGE(Q618:R618)</x:f>
        <x:v>-0.5</x:v>
      </x:c>
      <x:c r="T618" t="str">
        <x:f>IF(M618=0,IF(AND(N618=0,O618=0,E618=0,F618=0),"OK","ERREUR"),IF(AND(M618&gt;=1,M618&lt;=32,OR(N618=4,N618=6,N618=8,N618=10,N618=12,N618=20),O618&gt;=0,E618=M618+O618,F618=M618*N618+O618),"OK","ERREUR"))</x:f>
        <x:v>OK</x:v>
      </x:c>
      <x:c r="U618" s="86" t="n">
        <x:f>IF(M618&gt;0,M618*(N618+1)/2+O618,0)</x:f>
        <x:v>59</x:v>
      </x:c>
      <x:c r="V618" t="str">
        <x:f>IF(ABS(L618-U618)&lt;0.001,"OK","ERREUR")</x:f>
        <x:v>OK</x:v>
      </x:c>
    </x:row>
    <x:row r="619" ht="18" customHeight="1">
      <x:c r="A619" t="str">
        <x:v>ARM031</x:v>
      </x:c>
      <x:c r="B619" t="str">
        <x:v>Grande hache</x:v>
      </x:c>
      <x:c r="C619" t="n">
        <x:v>16</x:v>
      </x:c>
      <x:c r="D619" t="str">
        <x:v>Deux mains</x:v>
      </x:c>
      <x:c r="E619" s="28" t="n">
        <x:f>IF(M619=0,0,M619+O619)</x:f>
        <x:v>50</x:v>
      </x:c>
      <x:c r="F619" s="28" t="n">
        <x:f>IF(M619=0,0,M619*N619+O619)</x:f>
        <x:v>80</x:v>
      </x:c>
      <x:c r="G619" s="28" t="n">
        <x:f>ROUND(Catalogue!G34*SQRT((1+'Paramètres'!$B$4*(C619-1)+'Paramètres'!$B$5*(C619-1)^2)),0)</x:f>
        <x:v>0</x:v>
      </x:c>
      <x:c r="H619" s="28" t="n">
        <x:f>ROUND(Catalogue!H34*SQRT((1+'Paramètres'!$B$4*(C619-1)+'Paramètres'!$B$5*(C619-1)^2)),0)</x:f>
        <x:v>0</x:v>
      </x:c>
      <x:c r="I619" s="28" t="n">
        <x:v>3</x:v>
      </x:c>
      <x:c r="J619" s="28" t="n">
        <x:v>1</x:v>
      </x:c>
      <x:c r="K619" s="30" t="n">
        <x:v>4.7</x:v>
      </x:c>
      <x:c r="L619" s="54" t="n">
        <x:f>IF(M619=0,0,(E619+F619)/2)</x:f>
        <x:v>65</x:v>
      </x:c>
      <x:c r="M619" t="n">
        <x:v>6</x:v>
      </x:c>
      <x:c r="N619" t="n">
        <x:v>6</x:v>
      </x:c>
      <x:c r="O619" t="n">
        <x:v>44</x:v>
      </x:c>
      <x:c r="P619" s="63" t="str">
        <x:f>IF(M619=0,"—",M619&amp;"d"&amp;N619&amp;IF(O619=0,""," + "&amp;O619))</x:f>
        <x:v>6d6 + 44</x:v>
      </x:c>
      <x:c r="Q619" t="n">
        <x:f>ROUND(INDEX(Catalogue!E$4:E$85,MATCH(A619,Catalogue!A$4:A$85,0))*(1+'Paramètres'!$B$4*(C619-1)+'Paramètres'!$B$5*(C619-1)^2),0)</x:f>
        <x:v>50</x:v>
      </x:c>
      <x:c r="R619" t="n">
        <x:f>ROUND(INDEX(Catalogue!F$4:F$85,MATCH(A619,Catalogue!A$4:A$85,0))*(1+'Paramètres'!$B$4*(C619-1)+'Paramètres'!$B$5*(C619-1)^2),0)</x:f>
        <x:v>81</x:v>
      </x:c>
      <x:c r="S619" t="n">
        <x:f>L619-AVERAGE(Q619:R619)</x:f>
        <x:v>-0.5</x:v>
      </x:c>
      <x:c r="T619" t="str">
        <x:f>IF(M619=0,IF(AND(N619=0,O619=0,E619=0,F619=0),"OK","ERREUR"),IF(AND(M619&gt;=1,M619&lt;=32,OR(N619=4,N619=6,N619=8,N619=10,N619=12,N619=20),O619&gt;=0,E619=M619+O619,F619=M619*N619+O619),"OK","ERREUR"))</x:f>
        <x:v>OK</x:v>
      </x:c>
      <x:c r="U619" s="86" t="n">
        <x:f>IF(M619&gt;0,M619*(N619+1)/2+O619,0)</x:f>
        <x:v>65</x:v>
      </x:c>
      <x:c r="V619" t="str">
        <x:f>IF(ABS(L619-U619)&lt;0.001,"OK","ERREUR")</x:f>
        <x:v>OK</x:v>
      </x:c>
    </x:row>
    <x:row r="620" ht="18" customHeight="1">
      <x:c r="A620" t="str">
        <x:v>ARM031</x:v>
      </x:c>
      <x:c r="B620" t="str">
        <x:v>Grande hache</x:v>
      </x:c>
      <x:c r="C620" t="n">
        <x:v>17</x:v>
      </x:c>
      <x:c r="D620" t="str">
        <x:v>Deux mains</x:v>
      </x:c>
      <x:c r="E620" s="28" t="n">
        <x:f>IF(M620=0,0,M620+O620)</x:f>
        <x:v>55</x:v>
      </x:c>
      <x:c r="F620" s="28" t="n">
        <x:f>IF(M620=0,0,M620*N620+O620)</x:f>
        <x:v>88</x:v>
      </x:c>
      <x:c r="G620" s="28" t="n">
        <x:f>ROUND(Catalogue!G34*SQRT((1+'Paramètres'!$B$4*(C620-1)+'Paramètres'!$B$5*(C620-1)^2)),0)</x:f>
        <x:v>0</x:v>
      </x:c>
      <x:c r="H620" s="28" t="n">
        <x:f>ROUND(Catalogue!H34*SQRT((1+'Paramètres'!$B$4*(C620-1)+'Paramètres'!$B$5*(C620-1)^2)),0)</x:f>
        <x:v>0</x:v>
      </x:c>
      <x:c r="I620" s="28" t="n">
        <x:v>3</x:v>
      </x:c>
      <x:c r="J620" s="28" t="n">
        <x:v>1</x:v>
      </x:c>
      <x:c r="K620" s="30" t="n">
        <x:v>4.7</x:v>
      </x:c>
      <x:c r="L620" s="54" t="n">
        <x:f>IF(M620=0,0,(E620+F620)/2)</x:f>
        <x:v>71.5</x:v>
      </x:c>
      <x:c r="M620" t="n">
        <x:v>3</x:v>
      </x:c>
      <x:c r="N620" t="n">
        <x:v>12</x:v>
      </x:c>
      <x:c r="O620" t="n">
        <x:v>52</x:v>
      </x:c>
      <x:c r="P620" s="63" t="str">
        <x:f>IF(M620=0,"—",M620&amp;"d"&amp;N620&amp;IF(O620=0,""," + "&amp;O620))</x:f>
        <x:v>3d12 + 52</x:v>
      </x:c>
      <x:c r="Q620" t="n">
        <x:f>ROUND(INDEX(Catalogue!E$4:E$85,MATCH(A620,Catalogue!A$4:A$85,0))*(1+'Paramètres'!$B$4*(C620-1)+'Paramètres'!$B$5*(C620-1)^2),0)</x:f>
        <x:v>55</x:v>
      </x:c>
      <x:c r="R620" t="n">
        <x:f>ROUND(INDEX(Catalogue!F$4:F$85,MATCH(A620,Catalogue!A$4:A$85,0))*(1+'Paramètres'!$B$4*(C620-1)+'Paramètres'!$B$5*(C620-1)^2),0)</x:f>
        <x:v>89</x:v>
      </x:c>
      <x:c r="S620" t="n">
        <x:f>L620-AVERAGE(Q620:R620)</x:f>
        <x:v>-0.5</x:v>
      </x:c>
      <x:c r="T620" t="str">
        <x:f>IF(M620=0,IF(AND(N620=0,O620=0,E620=0,F620=0),"OK","ERREUR"),IF(AND(M620&gt;=1,M620&lt;=32,OR(N620=4,N620=6,N620=8,N620=10,N620=12,N620=20),O620&gt;=0,E620=M620+O620,F620=M620*N620+O620),"OK","ERREUR"))</x:f>
        <x:v>OK</x:v>
      </x:c>
      <x:c r="U620" s="86" t="n">
        <x:f>IF(M620&gt;0,M620*(N620+1)/2+O620,0)</x:f>
        <x:v>71.5</x:v>
      </x:c>
      <x:c r="V620" t="str">
        <x:f>IF(ABS(L620-U620)&lt;0.001,"OK","ERREUR")</x:f>
        <x:v>OK</x:v>
      </x:c>
    </x:row>
    <x:row r="621" ht="18" customHeight="1">
      <x:c r="A621" t="str">
        <x:v>ARM031</x:v>
      </x:c>
      <x:c r="B621" t="str">
        <x:v>Grande hache</x:v>
      </x:c>
      <x:c r="C621" t="n">
        <x:v>18</x:v>
      </x:c>
      <x:c r="D621" t="str">
        <x:v>Deux mains</x:v>
      </x:c>
      <x:c r="E621" s="28" t="n">
        <x:f>IF(M621=0,0,M621+O621)</x:f>
        <x:v>60</x:v>
      </x:c>
      <x:c r="F621" s="28" t="n">
        <x:f>IF(M621=0,0,M621*N621+O621)</x:f>
        <x:v>96</x:v>
      </x:c>
      <x:c r="G621" s="28" t="n">
        <x:f>ROUND(Catalogue!G34*SQRT((1+'Paramètres'!$B$4*(C621-1)+'Paramètres'!$B$5*(C621-1)^2)),0)</x:f>
        <x:v>0</x:v>
      </x:c>
      <x:c r="H621" s="28" t="n">
        <x:f>ROUND(Catalogue!H34*SQRT((1+'Paramètres'!$B$4*(C621-1)+'Paramètres'!$B$5*(C621-1)^2)),0)</x:f>
        <x:v>0</x:v>
      </x:c>
      <x:c r="I621" s="28" t="n">
        <x:v>3</x:v>
      </x:c>
      <x:c r="J621" s="28" t="n">
        <x:v>1</x:v>
      </x:c>
      <x:c r="K621" s="30" t="n">
        <x:v>4.7</x:v>
      </x:c>
      <x:c r="L621" s="54" t="n">
        <x:f>IF(M621=0,0,(E621+F621)/2)</x:f>
        <x:v>78</x:v>
      </x:c>
      <x:c r="M621" t="n">
        <x:v>4</x:v>
      </x:c>
      <x:c r="N621" t="n">
        <x:v>10</x:v>
      </x:c>
      <x:c r="O621" t="n">
        <x:v>56</x:v>
      </x:c>
      <x:c r="P621" s="63" t="str">
        <x:f>IF(M621=0,"—",M621&amp;"d"&amp;N621&amp;IF(O621=0,""," + "&amp;O621))</x:f>
        <x:v>4d10 + 56</x:v>
      </x:c>
      <x:c r="Q621" t="n">
        <x:f>ROUND(INDEX(Catalogue!E$4:E$85,MATCH(A621,Catalogue!A$4:A$85,0))*(1+'Paramètres'!$B$4*(C621-1)+'Paramètres'!$B$5*(C621-1)^2),0)</x:f>
        <x:v>60</x:v>
      </x:c>
      <x:c r="R621" t="n">
        <x:f>ROUND(INDEX(Catalogue!F$4:F$85,MATCH(A621,Catalogue!A$4:A$85,0))*(1+'Paramètres'!$B$4*(C621-1)+'Paramètres'!$B$5*(C621-1)^2),0)</x:f>
        <x:v>97</x:v>
      </x:c>
      <x:c r="S621" t="n">
        <x:f>L621-AVERAGE(Q621:R621)</x:f>
        <x:v>-0.5</x:v>
      </x:c>
      <x:c r="T621" t="str">
        <x:f>IF(M621=0,IF(AND(N621=0,O621=0,E621=0,F621=0),"OK","ERREUR"),IF(AND(M621&gt;=1,M621&lt;=32,OR(N621=4,N621=6,N621=8,N621=10,N621=12,N621=20),O621&gt;=0,E621=M621+O621,F621=M621*N621+O621),"OK","ERREUR"))</x:f>
        <x:v>OK</x:v>
      </x:c>
      <x:c r="U621" s="86" t="n">
        <x:f>IF(M621&gt;0,M621*(N621+1)/2+O621,0)</x:f>
        <x:v>78</x:v>
      </x:c>
      <x:c r="V621" t="str">
        <x:f>IF(ABS(L621-U621)&lt;0.001,"OK","ERREUR")</x:f>
        <x:v>OK</x:v>
      </x:c>
    </x:row>
    <x:row r="622" ht="18" customHeight="1">
      <x:c r="A622" t="str">
        <x:v>ARM031</x:v>
      </x:c>
      <x:c r="B622" t="str">
        <x:v>Grande hache</x:v>
      </x:c>
      <x:c r="C622" t="n">
        <x:v>19</x:v>
      </x:c>
      <x:c r="D622" t="str">
        <x:v>Deux mains</x:v>
      </x:c>
      <x:c r="E622" s="28" t="n">
        <x:f>IF(M622=0,0,M622+O622)</x:f>
        <x:v>64</x:v>
      </x:c>
      <x:c r="F622" s="28" t="n">
        <x:f>IF(M622=0,0,M622*N622+O622)</x:f>
        <x:v>106</x:v>
      </x:c>
      <x:c r="G622" s="28" t="n">
        <x:f>ROUND(Catalogue!G34*SQRT((1+'Paramètres'!$B$4*(C622-1)+'Paramètres'!$B$5*(C622-1)^2)),0)</x:f>
        <x:v>0</x:v>
      </x:c>
      <x:c r="H622" s="28" t="n">
        <x:f>ROUND(Catalogue!H34*SQRT((1+'Paramètres'!$B$4*(C622-1)+'Paramètres'!$B$5*(C622-1)^2)),0)</x:f>
        <x:v>0</x:v>
      </x:c>
      <x:c r="I622" s="28" t="n">
        <x:v>3</x:v>
      </x:c>
      <x:c r="J622" s="28" t="n">
        <x:v>1</x:v>
      </x:c>
      <x:c r="K622" s="30" t="n">
        <x:v>4.7</x:v>
      </x:c>
      <x:c r="L622" s="54" t="n">
        <x:f>IF(M622=0,0,(E622+F622)/2)</x:f>
        <x:v>85</x:v>
      </x:c>
      <x:c r="M622" t="n">
        <x:v>6</x:v>
      </x:c>
      <x:c r="N622" t="n">
        <x:v>8</x:v>
      </x:c>
      <x:c r="O622" t="n">
        <x:v>58</x:v>
      </x:c>
      <x:c r="P622" s="63" t="str">
        <x:f>IF(M622=0,"—",M622&amp;"d"&amp;N622&amp;IF(O622=0,""," + "&amp;O622))</x:f>
        <x:v>6d8 + 58</x:v>
      </x:c>
      <x:c r="Q622" t="n">
        <x:f>ROUND(INDEX(Catalogue!E$4:E$85,MATCH(A622,Catalogue!A$4:A$85,0))*(1+'Paramètres'!$B$4*(C622-1)+'Paramètres'!$B$5*(C622-1)^2),0)</x:f>
        <x:v>65</x:v>
      </x:c>
      <x:c r="R622" t="n">
        <x:f>ROUND(INDEX(Catalogue!F$4:F$85,MATCH(A622,Catalogue!A$4:A$85,0))*(1+'Paramètres'!$B$4*(C622-1)+'Paramètres'!$B$5*(C622-1)^2),0)</x:f>
        <x:v>106</x:v>
      </x:c>
      <x:c r="S622" t="n">
        <x:f>L622-AVERAGE(Q622:R622)</x:f>
        <x:v>-0.5</x:v>
      </x:c>
      <x:c r="T622" t="str">
        <x:f>IF(M622=0,IF(AND(N622=0,O622=0,E622=0,F622=0),"OK","ERREUR"),IF(AND(M622&gt;=1,M622&lt;=32,OR(N622=4,N622=6,N622=8,N622=10,N622=12,N622=20),O622&gt;=0,E622=M622+O622,F622=M622*N622+O622),"OK","ERREUR"))</x:f>
        <x:v>OK</x:v>
      </x:c>
      <x:c r="U622" s="86" t="n">
        <x:f>IF(M622&gt;0,M622*(N622+1)/2+O622,0)</x:f>
        <x:v>85</x:v>
      </x:c>
      <x:c r="V622" t="str">
        <x:f>IF(ABS(L622-U622)&lt;0.001,"OK","ERREUR")</x:f>
        <x:v>OK</x:v>
      </x:c>
    </x:row>
    <x:row r="623" ht="18" customHeight="1">
      <x:c r="A623" t="str">
        <x:v>ARM031</x:v>
      </x:c>
      <x:c r="B623" t="str">
        <x:v>Grande hache</x:v>
      </x:c>
      <x:c r="C623" t="n">
        <x:v>20</x:v>
      </x:c>
      <x:c r="D623" t="str">
        <x:v>Deux mains</x:v>
      </x:c>
      <x:c r="E623" s="28" t="n">
        <x:f>IF(M623=0,0,M623+O623)</x:f>
        <x:v>71</x:v>
      </x:c>
      <x:c r="F623" s="28" t="n">
        <x:f>IF(M623=0,0,M623*N623+O623)</x:f>
        <x:v>115</x:v>
      </x:c>
      <x:c r="G623" s="28" t="n">
        <x:f>ROUND(Catalogue!G34*SQRT((1+'Paramètres'!$B$4*(C623-1)+'Paramètres'!$B$5*(C623-1)^2)),0)</x:f>
        <x:v>0</x:v>
      </x:c>
      <x:c r="H623" s="28" t="n">
        <x:f>ROUND(Catalogue!H34*SQRT((1+'Paramètres'!$B$4*(C623-1)+'Paramètres'!$B$5*(C623-1)^2)),0)</x:f>
        <x:v>0</x:v>
      </x:c>
      <x:c r="I623" s="28" t="n">
        <x:v>3</x:v>
      </x:c>
      <x:c r="J623" s="28" t="n">
        <x:v>1</x:v>
      </x:c>
      <x:c r="K623" s="30" t="n">
        <x:v>4.7</x:v>
      </x:c>
      <x:c r="L623" s="54" t="n">
        <x:f>IF(M623=0,0,(E623+F623)/2)</x:f>
        <x:v>93</x:v>
      </x:c>
      <x:c r="M623" t="n">
        <x:v>4</x:v>
      </x:c>
      <x:c r="N623" t="n">
        <x:v>12</x:v>
      </x:c>
      <x:c r="O623" t="n">
        <x:v>67</x:v>
      </x:c>
      <x:c r="P623" s="63" t="str">
        <x:f>IF(M623=0,"—",M623&amp;"d"&amp;N623&amp;IF(O623=0,""," + "&amp;O623))</x:f>
        <x:v>4d12 + 67</x:v>
      </x:c>
      <x:c r="Q623" t="n">
        <x:f>ROUND(INDEX(Catalogue!E$4:E$85,MATCH(A623,Catalogue!A$4:A$85,0))*(1+'Paramètres'!$B$4*(C623-1)+'Paramètres'!$B$5*(C623-1)^2),0)</x:f>
        <x:v>71</x:v>
      </x:c>
      <x:c r="R623" t="n">
        <x:f>ROUND(INDEX(Catalogue!F$4:F$85,MATCH(A623,Catalogue!A$4:A$85,0))*(1+'Paramètres'!$B$4*(C623-1)+'Paramètres'!$B$5*(C623-1)^2),0)</x:f>
        <x:v>115</x:v>
      </x:c>
      <x:c r="S623" t="n">
        <x:f>L623-AVERAGE(Q623:R623)</x:f>
        <x:v>0</x:v>
      </x:c>
      <x:c r="T623" t="str">
        <x:f>IF(M623=0,IF(AND(N623=0,O623=0,E623=0,F623=0),"OK","ERREUR"),IF(AND(M623&gt;=1,M623&lt;=32,OR(N623=4,N623=6,N623=8,N623=10,N623=12,N623=20),O623&gt;=0,E623=M623+O623,F623=M623*N623+O623),"OK","ERREUR"))</x:f>
        <x:v>OK</x:v>
      </x:c>
      <x:c r="U623" s="86" t="n">
        <x:f>IF(M623&gt;0,M623*(N623+1)/2+O623,0)</x:f>
        <x:v>93</x:v>
      </x:c>
      <x:c r="V623" t="str">
        <x:f>IF(ABS(L623-U623)&lt;0.001,"OK","ERREUR")</x:f>
        <x:v>OK</x:v>
      </x:c>
    </x:row>
    <x:row r="624" ht="18" customHeight="1">
      <x:c r="A624" t="str">
        <x:v>ARM032</x:v>
      </x:c>
      <x:c r="B624" t="str">
        <x:v>Hache double</x:v>
      </x:c>
      <x:c r="C624" t="n">
        <x:v>1</x:v>
      </x:c>
      <x:c r="D624" t="str">
        <x:v>Deux mains</x:v>
      </x:c>
      <x:c r="E624" s="28" t="n">
        <x:f>IF(M624=0,0,M624+O624)</x:f>
        <x:v>7</x:v>
      </x:c>
      <x:c r="F624" s="28" t="n">
        <x:f>IF(M624=0,0,M624*N624+O624)</x:f>
        <x:v>14</x:v>
      </x:c>
      <x:c r="G624" s="28" t="n">
        <x:f>ROUND(Catalogue!G35*SQRT((1+'Paramètres'!$B$4*(C624-1)+'Paramètres'!$B$5*(C624-1)^2)),0)</x:f>
        <x:v>0</x:v>
      </x:c>
      <x:c r="H624" s="28" t="n">
        <x:f>ROUND(Catalogue!H35*SQRT((1+'Paramètres'!$B$4*(C624-1)+'Paramètres'!$B$5*(C624-1)^2)),0)</x:f>
        <x:v>0</x:v>
      </x:c>
      <x:c r="I624" s="28" t="n">
        <x:v>3</x:v>
      </x:c>
      <x:c r="J624" s="28" t="n">
        <x:v>1</x:v>
      </x:c>
      <x:c r="K624" s="30" t="n">
        <x:v>5</x:v>
      </x:c>
      <x:c r="L624" s="54" t="n">
        <x:f>IF(M624=0,0,(E624+F624)/2)</x:f>
        <x:v>10.5</x:v>
      </x:c>
      <x:c r="M624" t="n">
        <x:v>1</x:v>
      </x:c>
      <x:c r="N624" t="n">
        <x:v>8</x:v>
      </x:c>
      <x:c r="O624" t="n">
        <x:v>6</x:v>
      </x:c>
      <x:c r="P624" s="63" t="str">
        <x:f>IF(M624=0,"—",M624&amp;"d"&amp;N624&amp;IF(O624=0,""," + "&amp;O624))</x:f>
        <x:v>1d8 + 6</x:v>
      </x:c>
      <x:c r="Q624" t="n">
        <x:f>ROUND(INDEX(Catalogue!E$4:E$85,MATCH(A624,Catalogue!A$4:A$85,0))*(1+'Paramètres'!$B$4*(C624-1)+'Paramètres'!$B$5*(C624-1)^2),0)</x:f>
        <x:v>7</x:v>
      </x:c>
      <x:c r="R624" t="n">
        <x:f>ROUND(INDEX(Catalogue!F$4:F$85,MATCH(A624,Catalogue!A$4:A$85,0))*(1+'Paramètres'!$B$4*(C624-1)+'Paramètres'!$B$5*(C624-1)^2),0)</x:f>
        <x:v>14</x:v>
      </x:c>
      <x:c r="S624" t="n">
        <x:f>L624-AVERAGE(Q624:R624)</x:f>
        <x:v>0</x:v>
      </x:c>
      <x:c r="T624" t="str">
        <x:f>IF(M624=0,IF(AND(N624=0,O624=0,E624=0,F624=0),"OK","ERREUR"),IF(AND(M624&gt;=1,M624&lt;=32,OR(N624=4,N624=6,N624=8,N624=10,N624=12,N624=20),O624&gt;=0,E624=M624+O624,F624=M624*N624+O624),"OK","ERREUR"))</x:f>
        <x:v>OK</x:v>
      </x:c>
      <x:c r="U624" s="86" t="n">
        <x:f>IF(M624&gt;0,M624*(N624+1)/2+O624,0)</x:f>
        <x:v>10.5</x:v>
      </x:c>
      <x:c r="V624" t="str">
        <x:f>IF(ABS(L624-U624)&lt;0.001,"OK","ERREUR")</x:f>
        <x:v>OK</x:v>
      </x:c>
    </x:row>
    <x:row r="625" ht="18" customHeight="1">
      <x:c r="A625" t="str">
        <x:v>ARM032</x:v>
      </x:c>
      <x:c r="B625" t="str">
        <x:v>Hache double</x:v>
      </x:c>
      <x:c r="C625" t="n">
        <x:v>2</x:v>
      </x:c>
      <x:c r="D625" t="str">
        <x:v>Deux mains</x:v>
      </x:c>
      <x:c r="E625" s="28" t="n">
        <x:f>IF(M625=0,0,M625+O625)</x:f>
        <x:v>9</x:v>
      </x:c>
      <x:c r="F625" s="28" t="n">
        <x:f>IF(M625=0,0,M625*N625+O625)</x:f>
        <x:v>16</x:v>
      </x:c>
      <x:c r="G625" s="28" t="n">
        <x:f>ROUND(Catalogue!G35*SQRT((1+'Paramètres'!$B$4*(C625-1)+'Paramètres'!$B$5*(C625-1)^2)),0)</x:f>
        <x:v>0</x:v>
      </x:c>
      <x:c r="H625" s="28" t="n">
        <x:f>ROUND(Catalogue!H35*SQRT((1+'Paramètres'!$B$4*(C625-1)+'Paramètres'!$B$5*(C625-1)^2)),0)</x:f>
        <x:v>0</x:v>
      </x:c>
      <x:c r="I625" s="28" t="n">
        <x:v>3</x:v>
      </x:c>
      <x:c r="J625" s="28" t="n">
        <x:v>1</x:v>
      </x:c>
      <x:c r="K625" s="30" t="n">
        <x:v>5</x:v>
      </x:c>
      <x:c r="L625" s="54" t="n">
        <x:f>IF(M625=0,0,(E625+F625)/2)</x:f>
        <x:v>12.5</x:v>
      </x:c>
      <x:c r="M625" t="n">
        <x:v>1</x:v>
      </x:c>
      <x:c r="N625" t="n">
        <x:v>8</x:v>
      </x:c>
      <x:c r="O625" t="n">
        <x:v>8</x:v>
      </x:c>
      <x:c r="P625" s="63" t="str">
        <x:f>IF(M625=0,"—",M625&amp;"d"&amp;N625&amp;IF(O625=0,""," + "&amp;O625))</x:f>
        <x:v>1d8 + 8</x:v>
      </x:c>
      <x:c r="Q625" t="n">
        <x:f>ROUND(INDEX(Catalogue!E$4:E$85,MATCH(A625,Catalogue!A$4:A$85,0))*(1+'Paramètres'!$B$4*(C625-1)+'Paramètres'!$B$5*(C625-1)^2),0)</x:f>
        <x:v>8</x:v>
      </x:c>
      <x:c r="R625" t="n">
        <x:f>ROUND(INDEX(Catalogue!F$4:F$85,MATCH(A625,Catalogue!A$4:A$85,0))*(1+'Paramètres'!$B$4*(C625-1)+'Paramètres'!$B$5*(C625-1)^2),0)</x:f>
        <x:v>16</x:v>
      </x:c>
      <x:c r="S625" t="n">
        <x:f>L625-AVERAGE(Q625:R625)</x:f>
        <x:v>0.5</x:v>
      </x:c>
      <x:c r="T625" t="str">
        <x:f>IF(M625=0,IF(AND(N625=0,O625=0,E625=0,F625=0),"OK","ERREUR"),IF(AND(M625&gt;=1,M625&lt;=32,OR(N625=4,N625=6,N625=8,N625=10,N625=12,N625=20),O625&gt;=0,E625=M625+O625,F625=M625*N625+O625),"OK","ERREUR"))</x:f>
        <x:v>OK</x:v>
      </x:c>
      <x:c r="U625" s="86" t="n">
        <x:f>IF(M625&gt;0,M625*(N625+1)/2+O625,0)</x:f>
        <x:v>12.5</x:v>
      </x:c>
      <x:c r="V625" t="str">
        <x:f>IF(ABS(L625-U625)&lt;0.001,"OK","ERREUR")</x:f>
        <x:v>OK</x:v>
      </x:c>
    </x:row>
    <x:row r="626" ht="18" customHeight="1">
      <x:c r="A626" t="str">
        <x:v>ARM032</x:v>
      </x:c>
      <x:c r="B626" t="str">
        <x:v>Hache double</x:v>
      </x:c>
      <x:c r="C626" t="n">
        <x:v>3</x:v>
      </x:c>
      <x:c r="D626" t="str">
        <x:v>Deux mains</x:v>
      </x:c>
      <x:c r="E626" s="28" t="n">
        <x:f>IF(M626=0,0,M626+O626)</x:f>
        <x:v>9</x:v>
      </x:c>
      <x:c r="F626" s="28" t="n">
        <x:f>IF(M626=0,0,M626*N626+O626)</x:f>
        <x:v>18</x:v>
      </x:c>
      <x:c r="G626" s="28" t="n">
        <x:f>ROUND(Catalogue!G35*SQRT((1+'Paramètres'!$B$4*(C626-1)+'Paramètres'!$B$5*(C626-1)^2)),0)</x:f>
        <x:v>0</x:v>
      </x:c>
      <x:c r="H626" s="28" t="n">
        <x:f>ROUND(Catalogue!H35*SQRT((1+'Paramètres'!$B$4*(C626-1)+'Paramètres'!$B$5*(C626-1)^2)),0)</x:f>
        <x:v>0</x:v>
      </x:c>
      <x:c r="I626" s="28" t="n">
        <x:v>3</x:v>
      </x:c>
      <x:c r="J626" s="28" t="n">
        <x:v>1</x:v>
      </x:c>
      <x:c r="K626" s="30" t="n">
        <x:v>5</x:v>
      </x:c>
      <x:c r="L626" s="54" t="n">
        <x:f>IF(M626=0,0,(E626+F626)/2)</x:f>
        <x:v>13.5</x:v>
      </x:c>
      <x:c r="M626" t="n">
        <x:v>1</x:v>
      </x:c>
      <x:c r="N626" t="n">
        <x:v>10</x:v>
      </x:c>
      <x:c r="O626" t="n">
        <x:v>8</x:v>
      </x:c>
      <x:c r="P626" s="63" t="str">
        <x:f>IF(M626=0,"—",M626&amp;"d"&amp;N626&amp;IF(O626=0,""," + "&amp;O626))</x:f>
        <x:v>1d10 + 8</x:v>
      </x:c>
      <x:c r="Q626" t="n">
        <x:f>ROUND(INDEX(Catalogue!E$4:E$85,MATCH(A626,Catalogue!A$4:A$85,0))*(1+'Paramètres'!$B$4*(C626-1)+'Paramètres'!$B$5*(C626-1)^2),0)</x:f>
        <x:v>9</x:v>
      </x:c>
      <x:c r="R626" t="n">
        <x:f>ROUND(INDEX(Catalogue!F$4:F$85,MATCH(A626,Catalogue!A$4:A$85,0))*(1+'Paramètres'!$B$4*(C626-1)+'Paramètres'!$B$5*(C626-1)^2),0)</x:f>
        <x:v>18</x:v>
      </x:c>
      <x:c r="S626" t="n">
        <x:f>L626-AVERAGE(Q626:R626)</x:f>
        <x:v>0</x:v>
      </x:c>
      <x:c r="T626" t="str">
        <x:f>IF(M626=0,IF(AND(N626=0,O626=0,E626=0,F626=0),"OK","ERREUR"),IF(AND(M626&gt;=1,M626&lt;=32,OR(N626=4,N626=6,N626=8,N626=10,N626=12,N626=20),O626&gt;=0,E626=M626+O626,F626=M626*N626+O626),"OK","ERREUR"))</x:f>
        <x:v>OK</x:v>
      </x:c>
      <x:c r="U626" s="86" t="n">
        <x:f>IF(M626&gt;0,M626*(N626+1)/2+O626,0)</x:f>
        <x:v>13.5</x:v>
      </x:c>
      <x:c r="V626" t="str">
        <x:f>IF(ABS(L626-U626)&lt;0.001,"OK","ERREUR")</x:f>
        <x:v>OK</x:v>
      </x:c>
    </x:row>
    <x:row r="627" ht="18" customHeight="1">
      <x:c r="A627" t="str">
        <x:v>ARM032</x:v>
      </x:c>
      <x:c r="B627" t="str">
        <x:v>Hache double</x:v>
      </x:c>
      <x:c r="C627" t="n">
        <x:v>4</x:v>
      </x:c>
      <x:c r="D627" t="str">
        <x:v>Deux mains</x:v>
      </x:c>
      <x:c r="E627" s="28" t="n">
        <x:f>IF(M627=0,0,M627+O627)</x:f>
        <x:v>10</x:v>
      </x:c>
      <x:c r="F627" s="28" t="n">
        <x:f>IF(M627=0,0,M627*N627+O627)</x:f>
        <x:v>21</x:v>
      </x:c>
      <x:c r="G627" s="28" t="n">
        <x:f>ROUND(Catalogue!G35*SQRT((1+'Paramètres'!$B$4*(C627-1)+'Paramètres'!$B$5*(C627-1)^2)),0)</x:f>
        <x:v>0</x:v>
      </x:c>
      <x:c r="H627" s="28" t="n">
        <x:f>ROUND(Catalogue!H35*SQRT((1+'Paramètres'!$B$4*(C627-1)+'Paramètres'!$B$5*(C627-1)^2)),0)</x:f>
        <x:v>0</x:v>
      </x:c>
      <x:c r="I627" s="28" t="n">
        <x:v>3</x:v>
      </x:c>
      <x:c r="J627" s="28" t="n">
        <x:v>1</x:v>
      </x:c>
      <x:c r="K627" s="30" t="n">
        <x:v>5</x:v>
      </x:c>
      <x:c r="L627" s="54" t="n">
        <x:f>IF(M627=0,0,(E627+F627)/2)</x:f>
        <x:v>15.5</x:v>
      </x:c>
      <x:c r="M627" t="n">
        <x:v>1</x:v>
      </x:c>
      <x:c r="N627" t="n">
        <x:v>12</x:v>
      </x:c>
      <x:c r="O627" t="n">
        <x:v>9</x:v>
      </x:c>
      <x:c r="P627" s="63" t="str">
        <x:f>IF(M627=0,"—",M627&amp;"d"&amp;N627&amp;IF(O627=0,""," + "&amp;O627))</x:f>
        <x:v>1d12 + 9</x:v>
      </x:c>
      <x:c r="Q627" t="n">
        <x:f>ROUND(INDEX(Catalogue!E$4:E$85,MATCH(A627,Catalogue!A$4:A$85,0))*(1+'Paramètres'!$B$4*(C627-1)+'Paramètres'!$B$5*(C627-1)^2),0)</x:f>
        <x:v>10</x:v>
      </x:c>
      <x:c r="R627" t="n">
        <x:f>ROUND(INDEX(Catalogue!F$4:F$85,MATCH(A627,Catalogue!A$4:A$85,0))*(1+'Paramètres'!$B$4*(C627-1)+'Paramètres'!$B$5*(C627-1)^2),0)</x:f>
        <x:v>21</x:v>
      </x:c>
      <x:c r="S627" t="n">
        <x:f>L627-AVERAGE(Q627:R627)</x:f>
        <x:v>0</x:v>
      </x:c>
      <x:c r="T627" t="str">
        <x:f>IF(M627=0,IF(AND(N627=0,O627=0,E627=0,F627=0),"OK","ERREUR"),IF(AND(M627&gt;=1,M627&lt;=32,OR(N627=4,N627=6,N627=8,N627=10,N627=12,N627=20),O627&gt;=0,E627=M627+O627,F627=M627*N627+O627),"OK","ERREUR"))</x:f>
        <x:v>OK</x:v>
      </x:c>
      <x:c r="U627" s="86" t="n">
        <x:f>IF(M627&gt;0,M627*(N627+1)/2+O627,0)</x:f>
        <x:v>15.5</x:v>
      </x:c>
      <x:c r="V627" t="str">
        <x:f>IF(ABS(L627-U627)&lt;0.001,"OK","ERREUR")</x:f>
        <x:v>OK</x:v>
      </x:c>
    </x:row>
    <x:row r="628" ht="18" customHeight="1">
      <x:c r="A628" t="str">
        <x:v>ARM032</x:v>
      </x:c>
      <x:c r="B628" t="str">
        <x:v>Hache double</x:v>
      </x:c>
      <x:c r="C628" t="n">
        <x:v>5</x:v>
      </x:c>
      <x:c r="D628" t="str">
        <x:v>Deux mains</x:v>
      </x:c>
      <x:c r="E628" s="28" t="n">
        <x:f>IF(M628=0,0,M628+O628)</x:f>
        <x:v>12</x:v>
      </x:c>
      <x:c r="F628" s="28" t="n">
        <x:f>IF(M628=0,0,M628*N628+O628)</x:f>
        <x:v>23</x:v>
      </x:c>
      <x:c r="G628" s="28" t="n">
        <x:f>ROUND(Catalogue!G35*SQRT((1+'Paramètres'!$B$4*(C628-1)+'Paramètres'!$B$5*(C628-1)^2)),0)</x:f>
        <x:v>0</x:v>
      </x:c>
      <x:c r="H628" s="28" t="n">
        <x:f>ROUND(Catalogue!H35*SQRT((1+'Paramètres'!$B$4*(C628-1)+'Paramètres'!$B$5*(C628-1)^2)),0)</x:f>
        <x:v>0</x:v>
      </x:c>
      <x:c r="I628" s="28" t="n">
        <x:v>3</x:v>
      </x:c>
      <x:c r="J628" s="28" t="n">
        <x:v>1</x:v>
      </x:c>
      <x:c r="K628" s="30" t="n">
        <x:v>5</x:v>
      </x:c>
      <x:c r="L628" s="54" t="n">
        <x:f>IF(M628=0,0,(E628+F628)/2)</x:f>
        <x:v>17.5</x:v>
      </x:c>
      <x:c r="M628" t="n">
        <x:v>1</x:v>
      </x:c>
      <x:c r="N628" t="n">
        <x:v>12</x:v>
      </x:c>
      <x:c r="O628" t="n">
        <x:v>11</x:v>
      </x:c>
      <x:c r="P628" s="63" t="str">
        <x:f>IF(M628=0,"—",M628&amp;"d"&amp;N628&amp;IF(O628=0,""," + "&amp;O628))</x:f>
        <x:v>1d12 + 11</x:v>
      </x:c>
      <x:c r="Q628" t="n">
        <x:f>ROUND(INDEX(Catalogue!E$4:E$85,MATCH(A628,Catalogue!A$4:A$85,0))*(1+'Paramètres'!$B$4*(C628-1)+'Paramètres'!$B$5*(C628-1)^2),0)</x:f>
        <x:v>12</x:v>
      </x:c>
      <x:c r="R628" t="n">
        <x:f>ROUND(INDEX(Catalogue!F$4:F$85,MATCH(A628,Catalogue!A$4:A$85,0))*(1+'Paramètres'!$B$4*(C628-1)+'Paramètres'!$B$5*(C628-1)^2),0)</x:f>
        <x:v>24</x:v>
      </x:c>
      <x:c r="S628" t="n">
        <x:f>L628-AVERAGE(Q628:R628)</x:f>
        <x:v>-0.5</x:v>
      </x:c>
      <x:c r="T628" t="str">
        <x:f>IF(M628=0,IF(AND(N628=0,O628=0,E628=0,F628=0),"OK","ERREUR"),IF(AND(M628&gt;=1,M628&lt;=32,OR(N628=4,N628=6,N628=8,N628=10,N628=12,N628=20),O628&gt;=0,E628=M628+O628,F628=M628*N628+O628),"OK","ERREUR"))</x:f>
        <x:v>OK</x:v>
      </x:c>
      <x:c r="U628" s="86" t="n">
        <x:f>IF(M628&gt;0,M628*(N628+1)/2+O628,0)</x:f>
        <x:v>17.5</x:v>
      </x:c>
      <x:c r="V628" t="str">
        <x:f>IF(ABS(L628-U628)&lt;0.001,"OK","ERREUR")</x:f>
        <x:v>OK</x:v>
      </x:c>
    </x:row>
    <x:row r="629" ht="18" customHeight="1">
      <x:c r="A629" t="str">
        <x:v>ARM032</x:v>
      </x:c>
      <x:c r="B629" t="str">
        <x:v>Hache double</x:v>
      </x:c>
      <x:c r="C629" t="n">
        <x:v>6</x:v>
      </x:c>
      <x:c r="D629" t="str">
        <x:v>Deux mains</x:v>
      </x:c>
      <x:c r="E629" s="28" t="n">
        <x:f>IF(M629=0,0,M629+O629)</x:f>
        <x:v>13</x:v>
      </x:c>
      <x:c r="F629" s="28" t="n">
        <x:f>IF(M629=0,0,M629*N629+O629)</x:f>
        <x:v>27</x:v>
      </x:c>
      <x:c r="G629" s="28" t="n">
        <x:f>ROUND(Catalogue!G35*SQRT((1+'Paramètres'!$B$4*(C629-1)+'Paramètres'!$B$5*(C629-1)^2)),0)</x:f>
        <x:v>0</x:v>
      </x:c>
      <x:c r="H629" s="28" t="n">
        <x:f>ROUND(Catalogue!H35*SQRT((1+'Paramètres'!$B$4*(C629-1)+'Paramètres'!$B$5*(C629-1)^2)),0)</x:f>
        <x:v>0</x:v>
      </x:c>
      <x:c r="I629" s="28" t="n">
        <x:v>3</x:v>
      </x:c>
      <x:c r="J629" s="28" t="n">
        <x:v>1</x:v>
      </x:c>
      <x:c r="K629" s="30" t="n">
        <x:v>5</x:v>
      </x:c>
      <x:c r="L629" s="54" t="n">
        <x:f>IF(M629=0,0,(E629+F629)/2)</x:f>
        <x:v>20</x:v>
      </x:c>
      <x:c r="M629" t="n">
        <x:v>2</x:v>
      </x:c>
      <x:c r="N629" t="n">
        <x:v>8</x:v>
      </x:c>
      <x:c r="O629" t="n">
        <x:v>11</x:v>
      </x:c>
      <x:c r="P629" s="63" t="str">
        <x:f>IF(M629=0,"—",M629&amp;"d"&amp;N629&amp;IF(O629=0,""," + "&amp;O629))</x:f>
        <x:v>2d8 + 11</x:v>
      </x:c>
      <x:c r="Q629" t="n">
        <x:f>ROUND(INDEX(Catalogue!E$4:E$85,MATCH(A629,Catalogue!A$4:A$85,0))*(1+'Paramètres'!$B$4*(C629-1)+'Paramètres'!$B$5*(C629-1)^2),0)</x:f>
        <x:v>14</x:v>
      </x:c>
      <x:c r="R629" t="n">
        <x:f>ROUND(INDEX(Catalogue!F$4:F$85,MATCH(A629,Catalogue!A$4:A$85,0))*(1+'Paramètres'!$B$4*(C629-1)+'Paramètres'!$B$5*(C629-1)^2),0)</x:f>
        <x:v>27</x:v>
      </x:c>
      <x:c r="S629" t="n">
        <x:f>L629-AVERAGE(Q629:R629)</x:f>
        <x:v>-0.5</x:v>
      </x:c>
      <x:c r="T629" t="str">
        <x:f>IF(M629=0,IF(AND(N629=0,O629=0,E629=0,F629=0),"OK","ERREUR"),IF(AND(M629&gt;=1,M629&lt;=32,OR(N629=4,N629=6,N629=8,N629=10,N629=12,N629=20),O629&gt;=0,E629=M629+O629,F629=M629*N629+O629),"OK","ERREUR"))</x:f>
        <x:v>OK</x:v>
      </x:c>
      <x:c r="U629" s="86" t="n">
        <x:f>IF(M629&gt;0,M629*(N629+1)/2+O629,0)</x:f>
        <x:v>20</x:v>
      </x:c>
      <x:c r="V629" t="str">
        <x:f>IF(ABS(L629-U629)&lt;0.001,"OK","ERREUR")</x:f>
        <x:v>OK</x:v>
      </x:c>
    </x:row>
    <x:row r="630" ht="18" customHeight="1">
      <x:c r="A630" t="str">
        <x:v>ARM032</x:v>
      </x:c>
      <x:c r="B630" t="str">
        <x:v>Hache double</x:v>
      </x:c>
      <x:c r="C630" t="n">
        <x:v>7</x:v>
      </x:c>
      <x:c r="D630" t="str">
        <x:v>Deux mains</x:v>
      </x:c>
      <x:c r="E630" s="28" t="n">
        <x:f>IF(M630=0,0,M630+O630)</x:f>
        <x:v>16</x:v>
      </x:c>
      <x:c r="F630" s="28" t="n">
        <x:f>IF(M630=0,0,M630*N630+O630)</x:f>
        <x:v>31</x:v>
      </x:c>
      <x:c r="G630" s="28" t="n">
        <x:f>ROUND(Catalogue!G35*SQRT((1+'Paramètres'!$B$4*(C630-1)+'Paramètres'!$B$5*(C630-1)^2)),0)</x:f>
        <x:v>0</x:v>
      </x:c>
      <x:c r="H630" s="28" t="n">
        <x:f>ROUND(Catalogue!H35*SQRT((1+'Paramètres'!$B$4*(C630-1)+'Paramètres'!$B$5*(C630-1)^2)),0)</x:f>
        <x:v>0</x:v>
      </x:c>
      <x:c r="I630" s="28" t="n">
        <x:v>3</x:v>
      </x:c>
      <x:c r="J630" s="28" t="n">
        <x:v>1</x:v>
      </x:c>
      <x:c r="K630" s="30" t="n">
        <x:v>5</x:v>
      </x:c>
      <x:c r="L630" s="54" t="n">
        <x:f>IF(M630=0,0,(E630+F630)/2)</x:f>
        <x:v>23.5</x:v>
      </x:c>
      <x:c r="M630" t="n">
        <x:v>3</x:v>
      </x:c>
      <x:c r="N630" t="n">
        <x:v>6</x:v>
      </x:c>
      <x:c r="O630" t="n">
        <x:v>13</x:v>
      </x:c>
      <x:c r="P630" s="63" t="str">
        <x:f>IF(M630=0,"—",M630&amp;"d"&amp;N630&amp;IF(O630=0,""," + "&amp;O630))</x:f>
        <x:v>3d6 + 13</x:v>
      </x:c>
      <x:c r="Q630" t="n">
        <x:f>ROUND(INDEX(Catalogue!E$4:E$85,MATCH(A630,Catalogue!A$4:A$85,0))*(1+'Paramètres'!$B$4*(C630-1)+'Paramètres'!$B$5*(C630-1)^2),0)</x:f>
        <x:v>16</x:v>
      </x:c>
      <x:c r="R630" t="n">
        <x:f>ROUND(INDEX(Catalogue!F$4:F$85,MATCH(A630,Catalogue!A$4:A$85,0))*(1+'Paramètres'!$B$4*(C630-1)+'Paramètres'!$B$5*(C630-1)^2),0)</x:f>
        <x:v>31</x:v>
      </x:c>
      <x:c r="S630" t="n">
        <x:f>L630-AVERAGE(Q630:R630)</x:f>
        <x:v>0</x:v>
      </x:c>
      <x:c r="T630" t="str">
        <x:f>IF(M630=0,IF(AND(N630=0,O630=0,E630=0,F630=0),"OK","ERREUR"),IF(AND(M630&gt;=1,M630&lt;=32,OR(N630=4,N630=6,N630=8,N630=10,N630=12,N630=20),O630&gt;=0,E630=M630+O630,F630=M630*N630+O630),"OK","ERREUR"))</x:f>
        <x:v>OK</x:v>
      </x:c>
      <x:c r="U630" s="86" t="n">
        <x:f>IF(M630&gt;0,M630*(N630+1)/2+O630,0)</x:f>
        <x:v>23.5</x:v>
      </x:c>
      <x:c r="V630" t="str">
        <x:f>IF(ABS(L630-U630)&lt;0.001,"OK","ERREUR")</x:f>
        <x:v>OK</x:v>
      </x:c>
    </x:row>
    <x:row r="631" ht="18" customHeight="1">
      <x:c r="A631" t="str">
        <x:v>ARM032</x:v>
      </x:c>
      <x:c r="B631" t="str">
        <x:v>Hache double</x:v>
      </x:c>
      <x:c r="C631" t="n">
        <x:v>8</x:v>
      </x:c>
      <x:c r="D631" t="str">
        <x:v>Deux mains</x:v>
      </x:c>
      <x:c r="E631" s="28" t="n">
        <x:f>IF(M631=0,0,M631+O631)</x:f>
        <x:v>18</x:v>
      </x:c>
      <x:c r="F631" s="28" t="n">
        <x:f>IF(M631=0,0,M631*N631+O631)</x:f>
        <x:v>36</x:v>
      </x:c>
      <x:c r="G631" s="28" t="n">
        <x:f>ROUND(Catalogue!G35*SQRT((1+'Paramètres'!$B$4*(C631-1)+'Paramètres'!$B$5*(C631-1)^2)),0)</x:f>
        <x:v>0</x:v>
      </x:c>
      <x:c r="H631" s="28" t="n">
        <x:f>ROUND(Catalogue!H35*SQRT((1+'Paramètres'!$B$4*(C631-1)+'Paramètres'!$B$5*(C631-1)^2)),0)</x:f>
        <x:v>0</x:v>
      </x:c>
      <x:c r="I631" s="28" t="n">
        <x:v>3</x:v>
      </x:c>
      <x:c r="J631" s="28" t="n">
        <x:v>1</x:v>
      </x:c>
      <x:c r="K631" s="30" t="n">
        <x:v>5</x:v>
      </x:c>
      <x:c r="L631" s="54" t="n">
        <x:f>IF(M631=0,0,(E631+F631)/2)</x:f>
        <x:v>27</x:v>
      </x:c>
      <x:c r="M631" t="n">
        <x:v>2</x:v>
      </x:c>
      <x:c r="N631" t="n">
        <x:v>10</x:v>
      </x:c>
      <x:c r="O631" t="n">
        <x:v>16</x:v>
      </x:c>
      <x:c r="P631" s="63" t="str">
        <x:f>IF(M631=0,"—",M631&amp;"d"&amp;N631&amp;IF(O631=0,""," + "&amp;O631))</x:f>
        <x:v>2d10 + 16</x:v>
      </x:c>
      <x:c r="Q631" t="n">
        <x:f>ROUND(INDEX(Catalogue!E$4:E$85,MATCH(A631,Catalogue!A$4:A$85,0))*(1+'Paramètres'!$B$4*(C631-1)+'Paramètres'!$B$5*(C631-1)^2),0)</x:f>
        <x:v>18</x:v>
      </x:c>
      <x:c r="R631" t="n">
        <x:f>ROUND(INDEX(Catalogue!F$4:F$85,MATCH(A631,Catalogue!A$4:A$85,0))*(1+'Paramètres'!$B$4*(C631-1)+'Paramètres'!$B$5*(C631-1)^2),0)</x:f>
        <x:v>36</x:v>
      </x:c>
      <x:c r="S631" t="n">
        <x:f>L631-AVERAGE(Q631:R631)</x:f>
        <x:v>0</x:v>
      </x:c>
      <x:c r="T631" t="str">
        <x:f>IF(M631=0,IF(AND(N631=0,O631=0,E631=0,F631=0),"OK","ERREUR"),IF(AND(M631&gt;=1,M631&lt;=32,OR(N631=4,N631=6,N631=8,N631=10,N631=12,N631=20),O631&gt;=0,E631=M631+O631,F631=M631*N631+O631),"OK","ERREUR"))</x:f>
        <x:v>OK</x:v>
      </x:c>
      <x:c r="U631" s="86" t="n">
        <x:f>IF(M631&gt;0,M631*(N631+1)/2+O631,0)</x:f>
        <x:v>27</x:v>
      </x:c>
      <x:c r="V631" t="str">
        <x:f>IF(ABS(L631-U631)&lt;0.001,"OK","ERREUR")</x:f>
        <x:v>OK</x:v>
      </x:c>
    </x:row>
    <x:row r="632" ht="18" customHeight="1">
      <x:c r="A632" t="str">
        <x:v>ARM032</x:v>
      </x:c>
      <x:c r="B632" t="str">
        <x:v>Hache double</x:v>
      </x:c>
      <x:c r="C632" t="n">
        <x:v>9</x:v>
      </x:c>
      <x:c r="D632" t="str">
        <x:v>Deux mains</x:v>
      </x:c>
      <x:c r="E632" s="28" t="n">
        <x:f>IF(M632=0,0,M632+O632)</x:f>
        <x:v>20</x:v>
      </x:c>
      <x:c r="F632" s="28" t="n">
        <x:f>IF(M632=0,0,M632*N632+O632)</x:f>
        <x:v>41</x:v>
      </x:c>
      <x:c r="G632" s="28" t="n">
        <x:f>ROUND(Catalogue!G35*SQRT((1+'Paramètres'!$B$4*(C632-1)+'Paramètres'!$B$5*(C632-1)^2)),0)</x:f>
        <x:v>0</x:v>
      </x:c>
      <x:c r="H632" s="28" t="n">
        <x:f>ROUND(Catalogue!H35*SQRT((1+'Paramètres'!$B$4*(C632-1)+'Paramètres'!$B$5*(C632-1)^2)),0)</x:f>
        <x:v>0</x:v>
      </x:c>
      <x:c r="I632" s="28" t="n">
        <x:v>3</x:v>
      </x:c>
      <x:c r="J632" s="28" t="n">
        <x:v>1</x:v>
      </x:c>
      <x:c r="K632" s="30" t="n">
        <x:v>5</x:v>
      </x:c>
      <x:c r="L632" s="54" t="n">
        <x:f>IF(M632=0,0,(E632+F632)/2)</x:f>
        <x:v>30.5</x:v>
      </x:c>
      <x:c r="M632" t="n">
        <x:v>3</x:v>
      </x:c>
      <x:c r="N632" t="n">
        <x:v>8</x:v>
      </x:c>
      <x:c r="O632" t="n">
        <x:v>17</x:v>
      </x:c>
      <x:c r="P632" s="63" t="str">
        <x:f>IF(M632=0,"—",M632&amp;"d"&amp;N632&amp;IF(O632=0,""," + "&amp;O632))</x:f>
        <x:v>3d8 + 17</x:v>
      </x:c>
      <x:c r="Q632" t="n">
        <x:f>ROUND(INDEX(Catalogue!E$4:E$85,MATCH(A632,Catalogue!A$4:A$85,0))*(1+'Paramètres'!$B$4*(C632-1)+'Paramètres'!$B$5*(C632-1)^2),0)</x:f>
        <x:v>20</x:v>
      </x:c>
      <x:c r="R632" t="n">
        <x:f>ROUND(INDEX(Catalogue!F$4:F$85,MATCH(A632,Catalogue!A$4:A$85,0))*(1+'Paramètres'!$B$4*(C632-1)+'Paramètres'!$B$5*(C632-1)^2),0)</x:f>
        <x:v>41</x:v>
      </x:c>
      <x:c r="S632" t="n">
        <x:f>L632-AVERAGE(Q632:R632)</x:f>
        <x:v>0</x:v>
      </x:c>
      <x:c r="T632" t="str">
        <x:f>IF(M632=0,IF(AND(N632=0,O632=0,E632=0,F632=0),"OK","ERREUR"),IF(AND(M632&gt;=1,M632&lt;=32,OR(N632=4,N632=6,N632=8,N632=10,N632=12,N632=20),O632&gt;=0,E632=M632+O632,F632=M632*N632+O632),"OK","ERREUR"))</x:f>
        <x:v>OK</x:v>
      </x:c>
      <x:c r="U632" s="86" t="n">
        <x:f>IF(M632&gt;0,M632*(N632+1)/2+O632,0)</x:f>
        <x:v>30.5</x:v>
      </x:c>
      <x:c r="V632" t="str">
        <x:f>IF(ABS(L632-U632)&lt;0.001,"OK","ERREUR")</x:f>
        <x:v>OK</x:v>
      </x:c>
    </x:row>
    <x:row r="633" ht="18" customHeight="1">
      <x:c r="A633" t="str">
        <x:v>ARM032</x:v>
      </x:c>
      <x:c r="B633" t="str">
        <x:v>Hache double</x:v>
      </x:c>
      <x:c r="C633" t="n">
        <x:v>10</x:v>
      </x:c>
      <x:c r="D633" t="str">
        <x:v>Deux mains</x:v>
      </x:c>
      <x:c r="E633" s="28" t="n">
        <x:f>IF(M633=0,0,M633+O633)</x:f>
        <x:v>23</x:v>
      </x:c>
      <x:c r="F633" s="28" t="n">
        <x:f>IF(M633=0,0,M633*N633+O633)</x:f>
        <x:v>45</x:v>
      </x:c>
      <x:c r="G633" s="28" t="n">
        <x:f>ROUND(Catalogue!G35*SQRT((1+'Paramètres'!$B$4*(C633-1)+'Paramètres'!$B$5*(C633-1)^2)),0)</x:f>
        <x:v>0</x:v>
      </x:c>
      <x:c r="H633" s="28" t="n">
        <x:f>ROUND(Catalogue!H35*SQRT((1+'Paramètres'!$B$4*(C633-1)+'Paramètres'!$B$5*(C633-1)^2)),0)</x:f>
        <x:v>0</x:v>
      </x:c>
      <x:c r="I633" s="28" t="n">
        <x:v>3</x:v>
      </x:c>
      <x:c r="J633" s="28" t="n">
        <x:v>1</x:v>
      </x:c>
      <x:c r="K633" s="30" t="n">
        <x:v>5</x:v>
      </x:c>
      <x:c r="L633" s="54" t="n">
        <x:f>IF(M633=0,0,(E633+F633)/2)</x:f>
        <x:v>34</x:v>
      </x:c>
      <x:c r="M633" t="n">
        <x:v>2</x:v>
      </x:c>
      <x:c r="N633" t="n">
        <x:v>12</x:v>
      </x:c>
      <x:c r="O633" t="n">
        <x:v>21</x:v>
      </x:c>
      <x:c r="P633" s="63" t="str">
        <x:f>IF(M633=0,"—",M633&amp;"d"&amp;N633&amp;IF(O633=0,""," + "&amp;O633))</x:f>
        <x:v>2d12 + 21</x:v>
      </x:c>
      <x:c r="Q633" t="n">
        <x:f>ROUND(INDEX(Catalogue!E$4:E$85,MATCH(A633,Catalogue!A$4:A$85,0))*(1+'Paramètres'!$B$4*(C633-1)+'Paramètres'!$B$5*(C633-1)^2),0)</x:f>
        <x:v>23</x:v>
      </x:c>
      <x:c r="R633" t="n">
        <x:f>ROUND(INDEX(Catalogue!F$4:F$85,MATCH(A633,Catalogue!A$4:A$85,0))*(1+'Paramètres'!$B$4*(C633-1)+'Paramètres'!$B$5*(C633-1)^2),0)</x:f>
        <x:v>46</x:v>
      </x:c>
      <x:c r="S633" t="n">
        <x:f>L633-AVERAGE(Q633:R633)</x:f>
        <x:v>-0.5</x:v>
      </x:c>
      <x:c r="T633" t="str">
        <x:f>IF(M633=0,IF(AND(N633=0,O633=0,E633=0,F633=0),"OK","ERREUR"),IF(AND(M633&gt;=1,M633&lt;=32,OR(N633=4,N633=6,N633=8,N633=10,N633=12,N633=20),O633&gt;=0,E633=M633+O633,F633=M633*N633+O633),"OK","ERREUR"))</x:f>
        <x:v>OK</x:v>
      </x:c>
      <x:c r="U633" s="86" t="n">
        <x:f>IF(M633&gt;0,M633*(N633+1)/2+O633,0)</x:f>
        <x:v>34</x:v>
      </x:c>
      <x:c r="V633" t="str">
        <x:f>IF(ABS(L633-U633)&lt;0.001,"OK","ERREUR")</x:f>
        <x:v>OK</x:v>
      </x:c>
    </x:row>
    <x:row r="634" ht="18" customHeight="1">
      <x:c r="A634" t="str">
        <x:v>ARM032</x:v>
      </x:c>
      <x:c r="B634" t="str">
        <x:v>Hache double</x:v>
      </x:c>
      <x:c r="C634" t="n">
        <x:v>11</x:v>
      </x:c>
      <x:c r="D634" t="str">
        <x:v>Deux mains</x:v>
      </x:c>
      <x:c r="E634" s="28" t="n">
        <x:f>IF(M634=0,0,M634+O634)</x:f>
        <x:v>25</x:v>
      </x:c>
      <x:c r="F634" s="28" t="n">
        <x:f>IF(M634=0,0,M634*N634+O634)</x:f>
        <x:v>52</x:v>
      </x:c>
      <x:c r="G634" s="28" t="n">
        <x:f>ROUND(Catalogue!G35*SQRT((1+'Paramètres'!$B$4*(C634-1)+'Paramètres'!$B$5*(C634-1)^2)),0)</x:f>
        <x:v>0</x:v>
      </x:c>
      <x:c r="H634" s="28" t="n">
        <x:f>ROUND(Catalogue!H35*SQRT((1+'Paramètres'!$B$4*(C634-1)+'Paramètres'!$B$5*(C634-1)^2)),0)</x:f>
        <x:v>0</x:v>
      </x:c>
      <x:c r="I634" s="28" t="n">
        <x:v>3</x:v>
      </x:c>
      <x:c r="J634" s="28" t="n">
        <x:v>1</x:v>
      </x:c>
      <x:c r="K634" s="30" t="n">
        <x:v>5</x:v>
      </x:c>
      <x:c r="L634" s="54" t="n">
        <x:f>IF(M634=0,0,(E634+F634)/2)</x:f>
        <x:v>38.5</x:v>
      </x:c>
      <x:c r="M634" t="n">
        <x:v>3</x:v>
      </x:c>
      <x:c r="N634" t="n">
        <x:v>10</x:v>
      </x:c>
      <x:c r="O634" t="n">
        <x:v>22</x:v>
      </x:c>
      <x:c r="P634" s="63" t="str">
        <x:f>IF(M634=0,"—",M634&amp;"d"&amp;N634&amp;IF(O634=0,""," + "&amp;O634))</x:f>
        <x:v>3d10 + 22</x:v>
      </x:c>
      <x:c r="Q634" t="n">
        <x:f>ROUND(INDEX(Catalogue!E$4:E$85,MATCH(A634,Catalogue!A$4:A$85,0))*(1+'Paramètres'!$B$4*(C634-1)+'Paramètres'!$B$5*(C634-1)^2),0)</x:f>
        <x:v>26</x:v>
      </x:c>
      <x:c r="R634" t="n">
        <x:f>ROUND(INDEX(Catalogue!F$4:F$85,MATCH(A634,Catalogue!A$4:A$85,0))*(1+'Paramètres'!$B$4*(C634-1)+'Paramètres'!$B$5*(C634-1)^2),0)</x:f>
        <x:v>52</x:v>
      </x:c>
      <x:c r="S634" t="n">
        <x:f>L634-AVERAGE(Q634:R634)</x:f>
        <x:v>-0.5</x:v>
      </x:c>
      <x:c r="T634" t="str">
        <x:f>IF(M634=0,IF(AND(N634=0,O634=0,E634=0,F634=0),"OK","ERREUR"),IF(AND(M634&gt;=1,M634&lt;=32,OR(N634=4,N634=6,N634=8,N634=10,N634=12,N634=20),O634&gt;=0,E634=M634+O634,F634=M634*N634+O634),"OK","ERREUR"))</x:f>
        <x:v>OK</x:v>
      </x:c>
      <x:c r="U634" s="86" t="n">
        <x:f>IF(M634&gt;0,M634*(N634+1)/2+O634,0)</x:f>
        <x:v>38.5</x:v>
      </x:c>
      <x:c r="V634" t="str">
        <x:f>IF(ABS(L634-U634)&lt;0.001,"OK","ERREUR")</x:f>
        <x:v>OK</x:v>
      </x:c>
    </x:row>
    <x:row r="635" ht="18" customHeight="1">
      <x:c r="A635" t="str">
        <x:v>ARM032</x:v>
      </x:c>
      <x:c r="B635" t="str">
        <x:v>Hache double</x:v>
      </x:c>
      <x:c r="C635" t="n">
        <x:v>12</x:v>
      </x:c>
      <x:c r="D635" t="str">
        <x:v>Deux mains</x:v>
      </x:c>
      <x:c r="E635" s="28" t="n">
        <x:f>IF(M635=0,0,M635+O635)</x:f>
        <x:v>29</x:v>
      </x:c>
      <x:c r="F635" s="28" t="n">
        <x:f>IF(M635=0,0,M635*N635+O635)</x:f>
        <x:v>57</x:v>
      </x:c>
      <x:c r="G635" s="28" t="n">
        <x:f>ROUND(Catalogue!G35*SQRT((1+'Paramètres'!$B$4*(C635-1)+'Paramètres'!$B$5*(C635-1)^2)),0)</x:f>
        <x:v>0</x:v>
      </x:c>
      <x:c r="H635" s="28" t="n">
        <x:f>ROUND(Catalogue!H35*SQRT((1+'Paramètres'!$B$4*(C635-1)+'Paramètres'!$B$5*(C635-1)^2)),0)</x:f>
        <x:v>0</x:v>
      </x:c>
      <x:c r="I635" s="28" t="n">
        <x:v>3</x:v>
      </x:c>
      <x:c r="J635" s="28" t="n">
        <x:v>1</x:v>
      </x:c>
      <x:c r="K635" s="30" t="n">
        <x:v>5</x:v>
      </x:c>
      <x:c r="L635" s="54" t="n">
        <x:f>IF(M635=0,0,(E635+F635)/2)</x:f>
        <x:v>43</x:v>
      </x:c>
      <x:c r="M635" t="n">
        <x:v>4</x:v>
      </x:c>
      <x:c r="N635" t="n">
        <x:v>8</x:v>
      </x:c>
      <x:c r="O635" t="n">
        <x:v>25</x:v>
      </x:c>
      <x:c r="P635" s="63" t="str">
        <x:f>IF(M635=0,"—",M635&amp;"d"&amp;N635&amp;IF(O635=0,""," + "&amp;O635))</x:f>
        <x:v>4d8 + 25</x:v>
      </x:c>
      <x:c r="Q635" t="n">
        <x:f>ROUND(INDEX(Catalogue!E$4:E$85,MATCH(A635,Catalogue!A$4:A$85,0))*(1+'Paramètres'!$B$4*(C635-1)+'Paramètres'!$B$5*(C635-1)^2),0)</x:f>
        <x:v>29</x:v>
      </x:c>
      <x:c r="R635" t="n">
        <x:f>ROUND(INDEX(Catalogue!F$4:F$85,MATCH(A635,Catalogue!A$4:A$85,0))*(1+'Paramètres'!$B$4*(C635-1)+'Paramètres'!$B$5*(C635-1)^2),0)</x:f>
        <x:v>58</x:v>
      </x:c>
      <x:c r="S635" t="n">
        <x:f>L635-AVERAGE(Q635:R635)</x:f>
        <x:v>-0.5</x:v>
      </x:c>
      <x:c r="T635" t="str">
        <x:f>IF(M635=0,IF(AND(N635=0,O635=0,E635=0,F635=0),"OK","ERREUR"),IF(AND(M635&gt;=1,M635&lt;=32,OR(N635=4,N635=6,N635=8,N635=10,N635=12,N635=20),O635&gt;=0,E635=M635+O635,F635=M635*N635+O635),"OK","ERREUR"))</x:f>
        <x:v>OK</x:v>
      </x:c>
      <x:c r="U635" s="86" t="n">
        <x:f>IF(M635&gt;0,M635*(N635+1)/2+O635,0)</x:f>
        <x:v>43</x:v>
      </x:c>
      <x:c r="V635" t="str">
        <x:f>IF(ABS(L635-U635)&lt;0.001,"OK","ERREUR")</x:f>
        <x:v>OK</x:v>
      </x:c>
    </x:row>
    <x:row r="636" ht="18" customHeight="1">
      <x:c r="A636" t="str">
        <x:v>ARM032</x:v>
      </x:c>
      <x:c r="B636" t="str">
        <x:v>Hache double</x:v>
      </x:c>
      <x:c r="C636" t="n">
        <x:v>13</x:v>
      </x:c>
      <x:c r="D636" t="str">
        <x:v>Deux mains</x:v>
      </x:c>
      <x:c r="E636" s="28" t="n">
        <x:f>IF(M636=0,0,M636+O636)</x:f>
        <x:v>32</x:v>
      </x:c>
      <x:c r="F636" s="28" t="n">
        <x:f>IF(M636=0,0,M636*N636+O636)</x:f>
        <x:v>65</x:v>
      </x:c>
      <x:c r="G636" s="28" t="n">
        <x:f>ROUND(Catalogue!G35*SQRT((1+'Paramètres'!$B$4*(C636-1)+'Paramètres'!$B$5*(C636-1)^2)),0)</x:f>
        <x:v>0</x:v>
      </x:c>
      <x:c r="H636" s="28" t="n">
        <x:f>ROUND(Catalogue!H35*SQRT((1+'Paramètres'!$B$4*(C636-1)+'Paramètres'!$B$5*(C636-1)^2)),0)</x:f>
        <x:v>0</x:v>
      </x:c>
      <x:c r="I636" s="28" t="n">
        <x:v>3</x:v>
      </x:c>
      <x:c r="J636" s="28" t="n">
        <x:v>1</x:v>
      </x:c>
      <x:c r="K636" s="30" t="n">
        <x:v>5</x:v>
      </x:c>
      <x:c r="L636" s="54" t="n">
        <x:f>IF(M636=0,0,(E636+F636)/2)</x:f>
        <x:v>48.5</x:v>
      </x:c>
      <x:c r="M636" t="n">
        <x:v>3</x:v>
      </x:c>
      <x:c r="N636" t="n">
        <x:v>12</x:v>
      </x:c>
      <x:c r="O636" t="n">
        <x:v>29</x:v>
      </x:c>
      <x:c r="P636" s="63" t="str">
        <x:f>IF(M636=0,"—",M636&amp;"d"&amp;N636&amp;IF(O636=0,""," + "&amp;O636))</x:f>
        <x:v>3d12 + 29</x:v>
      </x:c>
      <x:c r="Q636" t="n">
        <x:f>ROUND(INDEX(Catalogue!E$4:E$85,MATCH(A636,Catalogue!A$4:A$85,0))*(1+'Paramètres'!$B$4*(C636-1)+'Paramètres'!$B$5*(C636-1)^2),0)</x:f>
        <x:v>32</x:v>
      </x:c>
      <x:c r="R636" t="n">
        <x:f>ROUND(INDEX(Catalogue!F$4:F$85,MATCH(A636,Catalogue!A$4:A$85,0))*(1+'Paramètres'!$B$4*(C636-1)+'Paramètres'!$B$5*(C636-1)^2),0)</x:f>
        <x:v>65</x:v>
      </x:c>
      <x:c r="S636" t="n">
        <x:f>L636-AVERAGE(Q636:R636)</x:f>
        <x:v>0</x:v>
      </x:c>
      <x:c r="T636" t="str">
        <x:f>IF(M636=0,IF(AND(N636=0,O636=0,E636=0,F636=0),"OK","ERREUR"),IF(AND(M636&gt;=1,M636&lt;=32,OR(N636=4,N636=6,N636=8,N636=10,N636=12,N636=20),O636&gt;=0,E636=M636+O636,F636=M636*N636+O636),"OK","ERREUR"))</x:f>
        <x:v>OK</x:v>
      </x:c>
      <x:c r="U636" s="86" t="n">
        <x:f>IF(M636&gt;0,M636*(N636+1)/2+O636,0)</x:f>
        <x:v>48.5</x:v>
      </x:c>
      <x:c r="V636" t="str">
        <x:f>IF(ABS(L636-U636)&lt;0.001,"OK","ERREUR")</x:f>
        <x:v>OK</x:v>
      </x:c>
    </x:row>
    <x:row r="637" ht="18" customHeight="1">
      <x:c r="A637" t="str">
        <x:v>ARM032</x:v>
      </x:c>
      <x:c r="B637" t="str">
        <x:v>Hache double</x:v>
      </x:c>
      <x:c r="C637" t="n">
        <x:v>14</x:v>
      </x:c>
      <x:c r="D637" t="str">
        <x:v>Deux mains</x:v>
      </x:c>
      <x:c r="E637" s="28" t="n">
        <x:f>IF(M637=0,0,M637+O637)</x:f>
        <x:v>36</x:v>
      </x:c>
      <x:c r="F637" s="28" t="n">
        <x:f>IF(M637=0,0,M637*N637+O637)</x:f>
        <x:v>72</x:v>
      </x:c>
      <x:c r="G637" s="28" t="n">
        <x:f>ROUND(Catalogue!G35*SQRT((1+'Paramètres'!$B$4*(C637-1)+'Paramètres'!$B$5*(C637-1)^2)),0)</x:f>
        <x:v>0</x:v>
      </x:c>
      <x:c r="H637" s="28" t="n">
        <x:f>ROUND(Catalogue!H35*SQRT((1+'Paramètres'!$B$4*(C637-1)+'Paramètres'!$B$5*(C637-1)^2)),0)</x:f>
        <x:v>0</x:v>
      </x:c>
      <x:c r="I637" s="28" t="n">
        <x:v>3</x:v>
      </x:c>
      <x:c r="J637" s="28" t="n">
        <x:v>1</x:v>
      </x:c>
      <x:c r="K637" s="30" t="n">
        <x:v>5</x:v>
      </x:c>
      <x:c r="L637" s="54" t="n">
        <x:f>IF(M637=0,0,(E637+F637)/2)</x:f>
        <x:v>54</x:v>
      </x:c>
      <x:c r="M637" t="n">
        <x:v>4</x:v>
      </x:c>
      <x:c r="N637" t="n">
        <x:v>10</x:v>
      </x:c>
      <x:c r="O637" t="n">
        <x:v>32</x:v>
      </x:c>
      <x:c r="P637" s="63" t="str">
        <x:f>IF(M637=0,"—",M637&amp;"d"&amp;N637&amp;IF(O637=0,""," + "&amp;O637))</x:f>
        <x:v>4d10 + 32</x:v>
      </x:c>
      <x:c r="Q637" t="n">
        <x:f>ROUND(INDEX(Catalogue!E$4:E$85,MATCH(A637,Catalogue!A$4:A$85,0))*(1+'Paramètres'!$B$4*(C637-1)+'Paramètres'!$B$5*(C637-1)^2),0)</x:f>
        <x:v>36</x:v>
      </x:c>
      <x:c r="R637" t="n">
        <x:f>ROUND(INDEX(Catalogue!F$4:F$85,MATCH(A637,Catalogue!A$4:A$85,0))*(1+'Paramètres'!$B$4*(C637-1)+'Paramètres'!$B$5*(C637-1)^2),0)</x:f>
        <x:v>72</x:v>
      </x:c>
      <x:c r="S637" t="n">
        <x:f>L637-AVERAGE(Q637:R637)</x:f>
        <x:v>0</x:v>
      </x:c>
      <x:c r="T637" t="str">
        <x:f>IF(M637=0,IF(AND(N637=0,O637=0,E637=0,F637=0),"OK","ERREUR"),IF(AND(M637&gt;=1,M637&lt;=32,OR(N637=4,N637=6,N637=8,N637=10,N637=12,N637=20),O637&gt;=0,E637=M637+O637,F637=M637*N637+O637),"OK","ERREUR"))</x:f>
        <x:v>OK</x:v>
      </x:c>
      <x:c r="U637" s="86" t="n">
        <x:f>IF(M637&gt;0,M637*(N637+1)/2+O637,0)</x:f>
        <x:v>54</x:v>
      </x:c>
      <x:c r="V637" t="str">
        <x:f>IF(ABS(L637-U637)&lt;0.001,"OK","ERREUR")</x:f>
        <x:v>OK</x:v>
      </x:c>
    </x:row>
    <x:row r="638" ht="18" customHeight="1">
      <x:c r="A638" t="str">
        <x:v>ARM032</x:v>
      </x:c>
      <x:c r="B638" t="str">
        <x:v>Hache double</x:v>
      </x:c>
      <x:c r="C638" t="n">
        <x:v>15</x:v>
      </x:c>
      <x:c r="D638" t="str">
        <x:v>Deux mains</x:v>
      </x:c>
      <x:c r="E638" s="28" t="n">
        <x:f>IF(M638=0,0,M638+O638)</x:f>
        <x:v>40</x:v>
      </x:c>
      <x:c r="F638" s="28" t="n">
        <x:f>IF(M638=0,0,M638*N638+O638)</x:f>
        <x:v>78</x:v>
      </x:c>
      <x:c r="G638" s="28" t="n">
        <x:f>ROUND(Catalogue!G35*SQRT((1+'Paramètres'!$B$4*(C638-1)+'Paramètres'!$B$5*(C638-1)^2)),0)</x:f>
        <x:v>0</x:v>
      </x:c>
      <x:c r="H638" s="28" t="n">
        <x:f>ROUND(Catalogue!H35*SQRT((1+'Paramètres'!$B$4*(C638-1)+'Paramètres'!$B$5*(C638-1)^2)),0)</x:f>
        <x:v>0</x:v>
      </x:c>
      <x:c r="I638" s="28" t="n">
        <x:v>3</x:v>
      </x:c>
      <x:c r="J638" s="28" t="n">
        <x:v>1</x:v>
      </x:c>
      <x:c r="K638" s="30" t="n">
        <x:v>5</x:v>
      </x:c>
      <x:c r="L638" s="54" t="n">
        <x:f>IF(M638=0,0,(E638+F638)/2)</x:f>
        <x:v>59</x:v>
      </x:c>
      <x:c r="M638" t="n">
        <x:v>2</x:v>
      </x:c>
      <x:c r="N638" t="n">
        <x:v>20</x:v>
      </x:c>
      <x:c r="O638" t="n">
        <x:v>38</x:v>
      </x:c>
      <x:c r="P638" s="63" t="str">
        <x:f>IF(M638=0,"—",M638&amp;"d"&amp;N638&amp;IF(O638=0,""," + "&amp;O638))</x:f>
        <x:v>2d20 + 38</x:v>
      </x:c>
      <x:c r="Q638" t="n">
        <x:f>ROUND(INDEX(Catalogue!E$4:E$85,MATCH(A638,Catalogue!A$4:A$85,0))*(1+'Paramètres'!$B$4*(C638-1)+'Paramètres'!$B$5*(C638-1)^2),0)</x:f>
        <x:v>40</x:v>
      </x:c>
      <x:c r="R638" t="n">
        <x:f>ROUND(INDEX(Catalogue!F$4:F$85,MATCH(A638,Catalogue!A$4:A$85,0))*(1+'Paramètres'!$B$4*(C638-1)+'Paramètres'!$B$5*(C638-1)^2),0)</x:f>
        <x:v>79</x:v>
      </x:c>
      <x:c r="S638" t="n">
        <x:f>L638-AVERAGE(Q638:R638)</x:f>
        <x:v>-0.5</x:v>
      </x:c>
      <x:c r="T638" t="str">
        <x:f>IF(M638=0,IF(AND(N638=0,O638=0,E638=0,F638=0),"OK","ERREUR"),IF(AND(M638&gt;=1,M638&lt;=32,OR(N638=4,N638=6,N638=8,N638=10,N638=12,N638=20),O638&gt;=0,E638=M638+O638,F638=M638*N638+O638),"OK","ERREUR"))</x:f>
        <x:v>OK</x:v>
      </x:c>
      <x:c r="U638" s="86" t="n">
        <x:f>IF(M638&gt;0,M638*(N638+1)/2+O638,0)</x:f>
        <x:v>59</x:v>
      </x:c>
      <x:c r="V638" t="str">
        <x:f>IF(ABS(L638-U638)&lt;0.001,"OK","ERREUR")</x:f>
        <x:v>OK</x:v>
      </x:c>
    </x:row>
    <x:row r="639" ht="18" customHeight="1">
      <x:c r="A639" t="str">
        <x:v>ARM032</x:v>
      </x:c>
      <x:c r="B639" t="str">
        <x:v>Hache double</x:v>
      </x:c>
      <x:c r="C639" t="n">
        <x:v>16</x:v>
      </x:c>
      <x:c r="D639" t="str">
        <x:v>Deux mains</x:v>
      </x:c>
      <x:c r="E639" s="28" t="n">
        <x:f>IF(M639=0,0,M639+O639)</x:f>
        <x:v>44</x:v>
      </x:c>
      <x:c r="F639" s="28" t="n">
        <x:f>IF(M639=0,0,M639*N639+O639)</x:f>
        <x:v>88</x:v>
      </x:c>
      <x:c r="G639" s="28" t="n">
        <x:f>ROUND(Catalogue!G35*SQRT((1+'Paramètres'!$B$4*(C639-1)+'Paramètres'!$B$5*(C639-1)^2)),0)</x:f>
        <x:v>0</x:v>
      </x:c>
      <x:c r="H639" s="28" t="n">
        <x:f>ROUND(Catalogue!H35*SQRT((1+'Paramètres'!$B$4*(C639-1)+'Paramètres'!$B$5*(C639-1)^2)),0)</x:f>
        <x:v>0</x:v>
      </x:c>
      <x:c r="I639" s="28" t="n">
        <x:v>3</x:v>
      </x:c>
      <x:c r="J639" s="28" t="n">
        <x:v>1</x:v>
      </x:c>
      <x:c r="K639" s="30" t="n">
        <x:v>5</x:v>
      </x:c>
      <x:c r="L639" s="54" t="n">
        <x:f>IF(M639=0,0,(E639+F639)/2)</x:f>
        <x:v>66</x:v>
      </x:c>
      <x:c r="M639" t="n">
        <x:v>4</x:v>
      </x:c>
      <x:c r="N639" t="n">
        <x:v>12</x:v>
      </x:c>
      <x:c r="O639" t="n">
        <x:v>40</x:v>
      </x:c>
      <x:c r="P639" s="63" t="str">
        <x:f>IF(M639=0,"—",M639&amp;"d"&amp;N639&amp;IF(O639=0,""," + "&amp;O639))</x:f>
        <x:v>4d12 + 40</x:v>
      </x:c>
      <x:c r="Q639" t="n">
        <x:f>ROUND(INDEX(Catalogue!E$4:E$85,MATCH(A639,Catalogue!A$4:A$85,0))*(1+'Paramètres'!$B$4*(C639-1)+'Paramètres'!$B$5*(C639-1)^2),0)</x:f>
        <x:v>44</x:v>
      </x:c>
      <x:c r="R639" t="n">
        <x:f>ROUND(INDEX(Catalogue!F$4:F$85,MATCH(A639,Catalogue!A$4:A$85,0))*(1+'Paramètres'!$B$4*(C639-1)+'Paramètres'!$B$5*(C639-1)^2),0)</x:f>
        <x:v>88</x:v>
      </x:c>
      <x:c r="S639" t="n">
        <x:f>L639-AVERAGE(Q639:R639)</x:f>
        <x:v>0</x:v>
      </x:c>
      <x:c r="T639" t="str">
        <x:f>IF(M639=0,IF(AND(N639=0,O639=0,E639=0,F639=0),"OK","ERREUR"),IF(AND(M639&gt;=1,M639&lt;=32,OR(N639=4,N639=6,N639=8,N639=10,N639=12,N639=20),O639&gt;=0,E639=M639+O639,F639=M639*N639+O639),"OK","ERREUR"))</x:f>
        <x:v>OK</x:v>
      </x:c>
      <x:c r="U639" s="86" t="n">
        <x:f>IF(M639&gt;0,M639*(N639+1)/2+O639,0)</x:f>
        <x:v>66</x:v>
      </x:c>
      <x:c r="V639" t="str">
        <x:f>IF(ABS(L639-U639)&lt;0.001,"OK","ERREUR")</x:f>
        <x:v>OK</x:v>
      </x:c>
    </x:row>
    <x:row r="640" ht="18" customHeight="1">
      <x:c r="A640" t="str">
        <x:v>ARM032</x:v>
      </x:c>
      <x:c r="B640" t="str">
        <x:v>Hache double</x:v>
      </x:c>
      <x:c r="C640" t="n">
        <x:v>17</x:v>
      </x:c>
      <x:c r="D640" t="str">
        <x:v>Deux mains</x:v>
      </x:c>
      <x:c r="E640" s="28" t="n">
        <x:f>IF(M640=0,0,M640+O640)</x:f>
        <x:v>49</x:v>
      </x:c>
      <x:c r="F640" s="28" t="n">
        <x:f>IF(M640=0,0,M640*N640+O640)</x:f>
        <x:v>94</x:v>
      </x:c>
      <x:c r="G640" s="28" t="n">
        <x:f>ROUND(Catalogue!G35*SQRT((1+'Paramètres'!$B$4*(C640-1)+'Paramètres'!$B$5*(C640-1)^2)),0)</x:f>
        <x:v>0</x:v>
      </x:c>
      <x:c r="H640" s="28" t="n">
        <x:f>ROUND(Catalogue!H35*SQRT((1+'Paramètres'!$B$4*(C640-1)+'Paramètres'!$B$5*(C640-1)^2)),0)</x:f>
        <x:v>0</x:v>
      </x:c>
      <x:c r="I640" s="28" t="n">
        <x:v>3</x:v>
      </x:c>
      <x:c r="J640" s="28" t="n">
        <x:v>1</x:v>
      </x:c>
      <x:c r="K640" s="30" t="n">
        <x:v>5</x:v>
      </x:c>
      <x:c r="L640" s="54" t="n">
        <x:f>IF(M640=0,0,(E640+F640)/2)</x:f>
        <x:v>71.5</x:v>
      </x:c>
      <x:c r="M640" t="n">
        <x:v>5</x:v>
      </x:c>
      <x:c r="N640" t="n">
        <x:v>10</x:v>
      </x:c>
      <x:c r="O640" t="n">
        <x:v>44</x:v>
      </x:c>
      <x:c r="P640" s="63" t="str">
        <x:f>IF(M640=0,"—",M640&amp;"d"&amp;N640&amp;IF(O640=0,""," + "&amp;O640))</x:f>
        <x:v>5d10 + 44</x:v>
      </x:c>
      <x:c r="Q640" t="n">
        <x:f>ROUND(INDEX(Catalogue!E$4:E$85,MATCH(A640,Catalogue!A$4:A$85,0))*(1+'Paramètres'!$B$4*(C640-1)+'Paramètres'!$B$5*(C640-1)^2),0)</x:f>
        <x:v>48</x:v>
      </x:c>
      <x:c r="R640" t="n">
        <x:f>ROUND(INDEX(Catalogue!F$4:F$85,MATCH(A640,Catalogue!A$4:A$85,0))*(1+'Paramètres'!$B$4*(C640-1)+'Paramètres'!$B$5*(C640-1)^2),0)</x:f>
        <x:v>96</x:v>
      </x:c>
      <x:c r="S640" t="n">
        <x:f>L640-AVERAGE(Q640:R640)</x:f>
        <x:v>-0.5</x:v>
      </x:c>
      <x:c r="T640" t="str">
        <x:f>IF(M640=0,IF(AND(N640=0,O640=0,E640=0,F640=0),"OK","ERREUR"),IF(AND(M640&gt;=1,M640&lt;=32,OR(N640=4,N640=6,N640=8,N640=10,N640=12,N640=20),O640&gt;=0,E640=M640+O640,F640=M640*N640+O640),"OK","ERREUR"))</x:f>
        <x:v>OK</x:v>
      </x:c>
      <x:c r="U640" s="86" t="n">
        <x:f>IF(M640&gt;0,M640*(N640+1)/2+O640,0)</x:f>
        <x:v>71.5</x:v>
      </x:c>
      <x:c r="V640" t="str">
        <x:f>IF(ABS(L640-U640)&lt;0.001,"OK","ERREUR")</x:f>
        <x:v>OK</x:v>
      </x:c>
    </x:row>
    <x:row r="641" ht="18" customHeight="1">
      <x:c r="A641" t="str">
        <x:v>ARM032</x:v>
      </x:c>
      <x:c r="B641" t="str">
        <x:v>Hache double</x:v>
      </x:c>
      <x:c r="C641" t="n">
        <x:v>18</x:v>
      </x:c>
      <x:c r="D641" t="str">
        <x:v>Deux mains</x:v>
      </x:c>
      <x:c r="E641" s="28" t="n">
        <x:f>IF(M641=0,0,M641+O641)</x:f>
        <x:v>51</x:v>
      </x:c>
      <x:c r="F641" s="28" t="n">
        <x:f>IF(M641=0,0,M641*N641+O641)</x:f>
        <x:v>105</x:v>
      </x:c>
      <x:c r="G641" s="28" t="n">
        <x:f>ROUND(Catalogue!G35*SQRT((1+'Paramètres'!$B$4*(C641-1)+'Paramètres'!$B$5*(C641-1)^2)),0)</x:f>
        <x:v>0</x:v>
      </x:c>
      <x:c r="H641" s="28" t="n">
        <x:f>ROUND(Catalogue!H35*SQRT((1+'Paramètres'!$B$4*(C641-1)+'Paramètres'!$B$5*(C641-1)^2)),0)</x:f>
        <x:v>0</x:v>
      </x:c>
      <x:c r="I641" s="28" t="n">
        <x:v>3</x:v>
      </x:c>
      <x:c r="J641" s="28" t="n">
        <x:v>1</x:v>
      </x:c>
      <x:c r="K641" s="30" t="n">
        <x:v>5</x:v>
      </x:c>
      <x:c r="L641" s="54" t="n">
        <x:f>IF(M641=0,0,(E641+F641)/2)</x:f>
        <x:v>78</x:v>
      </x:c>
      <x:c r="M641" t="n">
        <x:v>6</x:v>
      </x:c>
      <x:c r="N641" t="n">
        <x:v>10</x:v>
      </x:c>
      <x:c r="O641" t="n">
        <x:v>45</x:v>
      </x:c>
      <x:c r="P641" s="63" t="str">
        <x:f>IF(M641=0,"—",M641&amp;"d"&amp;N641&amp;IF(O641=0,""," + "&amp;O641))</x:f>
        <x:v>6d10 + 45</x:v>
      </x:c>
      <x:c r="Q641" t="n">
        <x:f>ROUND(INDEX(Catalogue!E$4:E$85,MATCH(A641,Catalogue!A$4:A$85,0))*(1+'Paramètres'!$B$4*(C641-1)+'Paramètres'!$B$5*(C641-1)^2),0)</x:f>
        <x:v>52</x:v>
      </x:c>
      <x:c r="R641" t="n">
        <x:f>ROUND(INDEX(Catalogue!F$4:F$85,MATCH(A641,Catalogue!A$4:A$85,0))*(1+'Paramètres'!$B$4*(C641-1)+'Paramètres'!$B$5*(C641-1)^2),0)</x:f>
        <x:v>105</x:v>
      </x:c>
      <x:c r="S641" t="n">
        <x:f>L641-AVERAGE(Q641:R641)</x:f>
        <x:v>-0.5</x:v>
      </x:c>
      <x:c r="T641" t="str">
        <x:f>IF(M641=0,IF(AND(N641=0,O641=0,E641=0,F641=0),"OK","ERREUR"),IF(AND(M641&gt;=1,M641&lt;=32,OR(N641=4,N641=6,N641=8,N641=10,N641=12,N641=20),O641&gt;=0,E641=M641+O641,F641=M641*N641+O641),"OK","ERREUR"))</x:f>
        <x:v>OK</x:v>
      </x:c>
      <x:c r="U641" s="86" t="n">
        <x:f>IF(M641&gt;0,M641*(N641+1)/2+O641,0)</x:f>
        <x:v>78</x:v>
      </x:c>
      <x:c r="V641" t="str">
        <x:f>IF(ABS(L641-U641)&lt;0.001,"OK","ERREUR")</x:f>
        <x:v>OK</x:v>
      </x:c>
    </x:row>
    <x:row r="642" ht="18" customHeight="1">
      <x:c r="A642" t="str">
        <x:v>ARM032</x:v>
      </x:c>
      <x:c r="B642" t="str">
        <x:v>Hache double</x:v>
      </x:c>
      <x:c r="C642" t="n">
        <x:v>19</x:v>
      </x:c>
      <x:c r="D642" t="str">
        <x:v>Deux mains</x:v>
      </x:c>
      <x:c r="E642" s="28" t="n">
        <x:f>IF(M642=0,0,M642+O642)</x:f>
        <x:v>57</x:v>
      </x:c>
      <x:c r="F642" s="28" t="n">
        <x:f>IF(M642=0,0,M642*N642+O642)</x:f>
        <x:v>114</x:v>
      </x:c>
      <x:c r="G642" s="28" t="n">
        <x:f>ROUND(Catalogue!G35*SQRT((1+'Paramètres'!$B$4*(C642-1)+'Paramètres'!$B$5*(C642-1)^2)),0)</x:f>
        <x:v>0</x:v>
      </x:c>
      <x:c r="H642" s="28" t="n">
        <x:f>ROUND(Catalogue!H35*SQRT((1+'Paramètres'!$B$4*(C642-1)+'Paramètres'!$B$5*(C642-1)^2)),0)</x:f>
        <x:v>0</x:v>
      </x:c>
      <x:c r="I642" s="28" t="n">
        <x:v>3</x:v>
      </x:c>
      <x:c r="J642" s="28" t="n">
        <x:v>1</x:v>
      </x:c>
      <x:c r="K642" s="30" t="n">
        <x:v>5</x:v>
      </x:c>
      <x:c r="L642" s="54" t="n">
        <x:f>IF(M642=0,0,(E642+F642)/2)</x:f>
        <x:v>85.5</x:v>
      </x:c>
      <x:c r="M642" t="n">
        <x:v>3</x:v>
      </x:c>
      <x:c r="N642" t="n">
        <x:v>20</x:v>
      </x:c>
      <x:c r="O642" t="n">
        <x:v>54</x:v>
      </x:c>
      <x:c r="P642" s="63" t="str">
        <x:f>IF(M642=0,"—",M642&amp;"d"&amp;N642&amp;IF(O642=0,""," + "&amp;O642))</x:f>
        <x:v>3d20 + 54</x:v>
      </x:c>
      <x:c r="Q642" t="n">
        <x:f>ROUND(INDEX(Catalogue!E$4:E$85,MATCH(A642,Catalogue!A$4:A$85,0))*(1+'Paramètres'!$B$4*(C642-1)+'Paramètres'!$B$5*(C642-1)^2),0)</x:f>
        <x:v>57</x:v>
      </x:c>
      <x:c r="R642" t="n">
        <x:f>ROUND(INDEX(Catalogue!F$4:F$85,MATCH(A642,Catalogue!A$4:A$85,0))*(1+'Paramètres'!$B$4*(C642-1)+'Paramètres'!$B$5*(C642-1)^2),0)</x:f>
        <x:v>114</x:v>
      </x:c>
      <x:c r="S642" t="n">
        <x:f>L642-AVERAGE(Q642:R642)</x:f>
        <x:v>0</x:v>
      </x:c>
      <x:c r="T642" t="str">
        <x:f>IF(M642=0,IF(AND(N642=0,O642=0,E642=0,F642=0),"OK","ERREUR"),IF(AND(M642&gt;=1,M642&lt;=32,OR(N642=4,N642=6,N642=8,N642=10,N642=12,N642=20),O642&gt;=0,E642=M642+O642,F642=M642*N642+O642),"OK","ERREUR"))</x:f>
        <x:v>OK</x:v>
      </x:c>
      <x:c r="U642" s="86" t="n">
        <x:f>IF(M642&gt;0,M642*(N642+1)/2+O642,0)</x:f>
        <x:v>85.5</x:v>
      </x:c>
      <x:c r="V642" t="str">
        <x:f>IF(ABS(L642-U642)&lt;0.001,"OK","ERREUR")</x:f>
        <x:v>OK</x:v>
      </x:c>
    </x:row>
    <x:row r="643" ht="18" customHeight="1">
      <x:c r="A643" t="str">
        <x:v>ARM032</x:v>
      </x:c>
      <x:c r="B643" t="str">
        <x:v>Hache double</x:v>
      </x:c>
      <x:c r="C643" t="n">
        <x:v>20</x:v>
      </x:c>
      <x:c r="D643" t="str">
        <x:v>Deux mains</x:v>
      </x:c>
      <x:c r="E643" s="28" t="n">
        <x:f>IF(M643=0,0,M643+O643)</x:f>
        <x:v>60</x:v>
      </x:c>
      <x:c r="F643" s="28" t="n">
        <x:f>IF(M643=0,0,M643*N643+O643)</x:f>
        <x:v>126</x:v>
      </x:c>
      <x:c r="G643" s="28" t="n">
        <x:f>ROUND(Catalogue!G35*SQRT((1+'Paramètres'!$B$4*(C643-1)+'Paramètres'!$B$5*(C643-1)^2)),0)</x:f>
        <x:v>0</x:v>
      </x:c>
      <x:c r="H643" s="28" t="n">
        <x:f>ROUND(Catalogue!H35*SQRT((1+'Paramètres'!$B$4*(C643-1)+'Paramètres'!$B$5*(C643-1)^2)),0)</x:f>
        <x:v>0</x:v>
      </x:c>
      <x:c r="I643" s="28" t="n">
        <x:v>3</x:v>
      </x:c>
      <x:c r="J643" s="28" t="n">
        <x:v>1</x:v>
      </x:c>
      <x:c r="K643" s="30" t="n">
        <x:v>5</x:v>
      </x:c>
      <x:c r="L643" s="54" t="n">
        <x:f>IF(M643=0,0,(E643+F643)/2)</x:f>
        <x:v>93</x:v>
      </x:c>
      <x:c r="M643" t="n">
        <x:v>6</x:v>
      </x:c>
      <x:c r="N643" t="n">
        <x:v>12</x:v>
      </x:c>
      <x:c r="O643" t="n">
        <x:v>54</x:v>
      </x:c>
      <x:c r="P643" s="63" t="str">
        <x:f>IF(M643=0,"—",M643&amp;"d"&amp;N643&amp;IF(O643=0,""," + "&amp;O643))</x:f>
        <x:v>6d12 + 54</x:v>
      </x:c>
      <x:c r="Q643" t="n">
        <x:f>ROUND(INDEX(Catalogue!E$4:E$85,MATCH(A643,Catalogue!A$4:A$85,0))*(1+'Paramètres'!$B$4*(C643-1)+'Paramètres'!$B$5*(C643-1)^2),0)</x:f>
        <x:v>62</x:v>
      </x:c>
      <x:c r="R643" t="n">
        <x:f>ROUND(INDEX(Catalogue!F$4:F$85,MATCH(A643,Catalogue!A$4:A$85,0))*(1+'Paramètres'!$B$4*(C643-1)+'Paramètres'!$B$5*(C643-1)^2),0)</x:f>
        <x:v>124</x:v>
      </x:c>
      <x:c r="S643" t="n">
        <x:f>L643-AVERAGE(Q643:R643)</x:f>
        <x:v>0</x:v>
      </x:c>
      <x:c r="T643" t="str">
        <x:f>IF(M643=0,IF(AND(N643=0,O643=0,E643=0,F643=0),"OK","ERREUR"),IF(AND(M643&gt;=1,M643&lt;=32,OR(N643=4,N643=6,N643=8,N643=10,N643=12,N643=20),O643&gt;=0,E643=M643+O643,F643=M643*N643+O643),"OK","ERREUR"))</x:f>
        <x:v>OK</x:v>
      </x:c>
      <x:c r="U643" s="86" t="n">
        <x:f>IF(M643&gt;0,M643*(N643+1)/2+O643,0)</x:f>
        <x:v>93</x:v>
      </x:c>
      <x:c r="V643" t="str">
        <x:f>IF(ABS(L643-U643)&lt;0.001,"OK","ERREUR")</x:f>
        <x:v>OK</x:v>
      </x:c>
    </x:row>
    <x:row r="644" ht="18" customHeight="1">
      <x:c r="A644" t="str">
        <x:v>ARM033</x:v>
      </x:c>
      <x:c r="B644" t="str">
        <x:v>Bardiche</x:v>
      </x:c>
      <x:c r="C644" t="n">
        <x:v>1</x:v>
      </x:c>
      <x:c r="D644" t="str">
        <x:v>Deux mains</x:v>
      </x:c>
      <x:c r="E644" s="28" t="n">
        <x:f>IF(M644=0,0,M644+O644)</x:f>
        <x:v>7</x:v>
      </x:c>
      <x:c r="F644" s="28" t="n">
        <x:f>IF(M644=0,0,M644*N644+O644)</x:f>
        <x:v>12</x:v>
      </x:c>
      <x:c r="G644" s="28" t="n">
        <x:f>ROUND(Catalogue!G36*SQRT((1+'Paramètres'!$B$4*(C644-1)+'Paramètres'!$B$5*(C644-1)^2)),0)</x:f>
        <x:v>0</x:v>
      </x:c>
      <x:c r="H644" s="28" t="n">
        <x:f>ROUND(Catalogue!H36*SQRT((1+'Paramètres'!$B$4*(C644-1)+'Paramètres'!$B$5*(C644-1)^2)),0)</x:f>
        <x:v>0</x:v>
      </x:c>
      <x:c r="I644" s="28" t="n">
        <x:v>3</x:v>
      </x:c>
      <x:c r="J644" s="28" t="n">
        <x:v>1</x:v>
      </x:c>
      <x:c r="K644" s="30" t="n">
        <x:v>4.3</x:v>
      </x:c>
      <x:c r="L644" s="54" t="n">
        <x:f>IF(M644=0,0,(E644+F644)/2)</x:f>
        <x:v>9.5</x:v>
      </x:c>
      <x:c r="M644" t="n">
        <x:v>1</x:v>
      </x:c>
      <x:c r="N644" t="n">
        <x:v>6</x:v>
      </x:c>
      <x:c r="O644" t="n">
        <x:v>6</x:v>
      </x:c>
      <x:c r="P644" s="63" t="str">
        <x:f>IF(M644=0,"—",M644&amp;"d"&amp;N644&amp;IF(O644=0,""," + "&amp;O644))</x:f>
        <x:v>1d6 + 6</x:v>
      </x:c>
      <x:c r="Q644" t="n">
        <x:f>ROUND(INDEX(Catalogue!E$4:E$85,MATCH(A644,Catalogue!A$4:A$85,0))*(1+'Paramètres'!$B$4*(C644-1)+'Paramètres'!$B$5*(C644-1)^2),0)</x:f>
        <x:v>7</x:v>
      </x:c>
      <x:c r="R644" t="n">
        <x:f>ROUND(INDEX(Catalogue!F$4:F$85,MATCH(A644,Catalogue!A$4:A$85,0))*(1+'Paramètres'!$B$4*(C644-1)+'Paramètres'!$B$5*(C644-1)^2),0)</x:f>
        <x:v>12</x:v>
      </x:c>
      <x:c r="S644" t="n">
        <x:f>L644-AVERAGE(Q644:R644)</x:f>
        <x:v>0</x:v>
      </x:c>
      <x:c r="T644" t="str">
        <x:f>IF(M644=0,IF(AND(N644=0,O644=0,E644=0,F644=0),"OK","ERREUR"),IF(AND(M644&gt;=1,M644&lt;=32,OR(N644=4,N644=6,N644=8,N644=10,N644=12,N644=20),O644&gt;=0,E644=M644+O644,F644=M644*N644+O644),"OK","ERREUR"))</x:f>
        <x:v>OK</x:v>
      </x:c>
      <x:c r="U644" s="86" t="n">
        <x:f>IF(M644&gt;0,M644*(N644+1)/2+O644,0)</x:f>
        <x:v>9.5</x:v>
      </x:c>
      <x:c r="V644" t="str">
        <x:f>IF(ABS(L644-U644)&lt;0.001,"OK","ERREUR")</x:f>
        <x:v>OK</x:v>
      </x:c>
    </x:row>
    <x:row r="645" ht="18" customHeight="1">
      <x:c r="A645" t="str">
        <x:v>ARM033</x:v>
      </x:c>
      <x:c r="B645" t="str">
        <x:v>Bardiche</x:v>
      </x:c>
      <x:c r="C645" t="n">
        <x:v>2</x:v>
      </x:c>
      <x:c r="D645" t="str">
        <x:v>Deux mains</x:v>
      </x:c>
      <x:c r="E645" s="28" t="n">
        <x:f>IF(M645=0,0,M645+O645)</x:f>
        <x:v>9</x:v>
      </x:c>
      <x:c r="F645" s="28" t="n">
        <x:f>IF(M645=0,0,M645*N645+O645)</x:f>
        <x:v>14</x:v>
      </x:c>
      <x:c r="G645" s="28" t="n">
        <x:f>ROUND(Catalogue!G36*SQRT((1+'Paramètres'!$B$4*(C645-1)+'Paramètres'!$B$5*(C645-1)^2)),0)</x:f>
        <x:v>0</x:v>
      </x:c>
      <x:c r="H645" s="28" t="n">
        <x:f>ROUND(Catalogue!H36*SQRT((1+'Paramètres'!$B$4*(C645-1)+'Paramètres'!$B$5*(C645-1)^2)),0)</x:f>
        <x:v>0</x:v>
      </x:c>
      <x:c r="I645" s="28" t="n">
        <x:v>3</x:v>
      </x:c>
      <x:c r="J645" s="28" t="n">
        <x:v>1</x:v>
      </x:c>
      <x:c r="K645" s="30" t="n">
        <x:v>4.3</x:v>
      </x:c>
      <x:c r="L645" s="54" t="n">
        <x:f>IF(M645=0,0,(E645+F645)/2)</x:f>
        <x:v>11.5</x:v>
      </x:c>
      <x:c r="M645" t="n">
        <x:v>1</x:v>
      </x:c>
      <x:c r="N645" t="n">
        <x:v>6</x:v>
      </x:c>
      <x:c r="O645" t="n">
        <x:v>8</x:v>
      </x:c>
      <x:c r="P645" s="63" t="str">
        <x:f>IF(M645=0,"—",M645&amp;"d"&amp;N645&amp;IF(O645=0,""," + "&amp;O645))</x:f>
        <x:v>1d6 + 8</x:v>
      </x:c>
      <x:c r="Q645" t="n">
        <x:f>ROUND(INDEX(Catalogue!E$4:E$85,MATCH(A645,Catalogue!A$4:A$85,0))*(1+'Paramètres'!$B$4*(C645-1)+'Paramètres'!$B$5*(C645-1)^2),0)</x:f>
        <x:v>8</x:v>
      </x:c>
      <x:c r="R645" t="n">
        <x:f>ROUND(INDEX(Catalogue!F$4:F$85,MATCH(A645,Catalogue!A$4:A$85,0))*(1+'Paramètres'!$B$4*(C645-1)+'Paramètres'!$B$5*(C645-1)^2),0)</x:f>
        <x:v>14</x:v>
      </x:c>
      <x:c r="S645" t="n">
        <x:f>L645-AVERAGE(Q645:R645)</x:f>
        <x:v>0.5</x:v>
      </x:c>
      <x:c r="T645" t="str">
        <x:f>IF(M645=0,IF(AND(N645=0,O645=0,E645=0,F645=0),"OK","ERREUR"),IF(AND(M645&gt;=1,M645&lt;=32,OR(N645=4,N645=6,N645=8,N645=10,N645=12,N645=20),O645&gt;=0,E645=M645+O645,F645=M645*N645+O645),"OK","ERREUR"))</x:f>
        <x:v>OK</x:v>
      </x:c>
      <x:c r="U645" s="86" t="n">
        <x:f>IF(M645&gt;0,M645*(N645+1)/2+O645,0)</x:f>
        <x:v>11.5</x:v>
      </x:c>
      <x:c r="V645" t="str">
        <x:f>IF(ABS(L645-U645)&lt;0.001,"OK","ERREUR")</x:f>
        <x:v>OK</x:v>
      </x:c>
    </x:row>
    <x:row r="646" ht="18" customHeight="1">
      <x:c r="A646" t="str">
        <x:v>ARM033</x:v>
      </x:c>
      <x:c r="B646" t="str">
        <x:v>Bardiche</x:v>
      </x:c>
      <x:c r="C646" t="n">
        <x:v>3</x:v>
      </x:c>
      <x:c r="D646" t="str">
        <x:v>Deux mains</x:v>
      </x:c>
      <x:c r="E646" s="28" t="n">
        <x:f>IF(M646=0,0,M646+O646)</x:f>
        <x:v>9</x:v>
      </x:c>
      <x:c r="F646" s="28" t="n">
        <x:f>IF(M646=0,0,M646*N646+O646)</x:f>
        <x:v>14</x:v>
      </x:c>
      <x:c r="G646" s="28" t="n">
        <x:f>ROUND(Catalogue!G36*SQRT((1+'Paramètres'!$B$4*(C646-1)+'Paramètres'!$B$5*(C646-1)^2)),0)</x:f>
        <x:v>0</x:v>
      </x:c>
      <x:c r="H646" s="28" t="n">
        <x:f>ROUND(Catalogue!H36*SQRT((1+'Paramètres'!$B$4*(C646-1)+'Paramètres'!$B$5*(C646-1)^2)),0)</x:f>
        <x:v>0</x:v>
      </x:c>
      <x:c r="I646" s="28" t="n">
        <x:v>3</x:v>
      </x:c>
      <x:c r="J646" s="28" t="n">
        <x:v>1</x:v>
      </x:c>
      <x:c r="K646" s="30" t="n">
        <x:v>4.3</x:v>
      </x:c>
      <x:c r="L646" s="54" t="n">
        <x:f>IF(M646=0,0,(E646+F646)/2)</x:f>
        <x:v>11.5</x:v>
      </x:c>
      <x:c r="M646" t="n">
        <x:v>1</x:v>
      </x:c>
      <x:c r="N646" t="n">
        <x:v>6</x:v>
      </x:c>
      <x:c r="O646" t="n">
        <x:v>8</x:v>
      </x:c>
      <x:c r="P646" s="63" t="str">
        <x:f>IF(M646=0,"—",M646&amp;"d"&amp;N646&amp;IF(O646=0,""," + "&amp;O646))</x:f>
        <x:v>1d6 + 8</x:v>
      </x:c>
      <x:c r="Q646" t="n">
        <x:f>ROUND(INDEX(Catalogue!E$4:E$85,MATCH(A646,Catalogue!A$4:A$85,0))*(1+'Paramètres'!$B$4*(C646-1)+'Paramètres'!$B$5*(C646-1)^2),0)</x:f>
        <x:v>9</x:v>
      </x:c>
      <x:c r="R646" t="n">
        <x:f>ROUND(INDEX(Catalogue!F$4:F$85,MATCH(A646,Catalogue!A$4:A$85,0))*(1+'Paramètres'!$B$4*(C646-1)+'Paramètres'!$B$5*(C646-1)^2),0)</x:f>
        <x:v>15</x:v>
      </x:c>
      <x:c r="S646" t="n">
        <x:f>L646-AVERAGE(Q646:R646)</x:f>
        <x:v>-0.5</x:v>
      </x:c>
      <x:c r="T646" t="str">
        <x:f>IF(M646=0,IF(AND(N646=0,O646=0,E646=0,F646=0),"OK","ERREUR"),IF(AND(M646&gt;=1,M646&lt;=32,OR(N646=4,N646=6,N646=8,N646=10,N646=12,N646=20),O646&gt;=0,E646=M646+O646,F646=M646*N646+O646),"OK","ERREUR"))</x:f>
        <x:v>OK</x:v>
      </x:c>
      <x:c r="U646" s="86" t="n">
        <x:f>IF(M646&gt;0,M646*(N646+1)/2+O646,0)</x:f>
        <x:v>11.5</x:v>
      </x:c>
      <x:c r="V646" t="str">
        <x:f>IF(ABS(L646-U646)&lt;0.001,"OK","ERREUR")</x:f>
        <x:v>OK</x:v>
      </x:c>
    </x:row>
    <x:row r="647" ht="18" customHeight="1">
      <x:c r="A647" t="str">
        <x:v>ARM033</x:v>
      </x:c>
      <x:c r="B647" t="str">
        <x:v>Bardiche</x:v>
      </x:c>
      <x:c r="C647" t="n">
        <x:v>4</x:v>
      </x:c>
      <x:c r="D647" t="str">
        <x:v>Deux mains</x:v>
      </x:c>
      <x:c r="E647" s="28" t="n">
        <x:f>IF(M647=0,0,M647+O647)</x:f>
        <x:v>10</x:v>
      </x:c>
      <x:c r="F647" s="28" t="n">
        <x:f>IF(M647=0,0,M647*N647+O647)</x:f>
        <x:v>17</x:v>
      </x:c>
      <x:c r="G647" s="28" t="n">
        <x:f>ROUND(Catalogue!G36*SQRT((1+'Paramètres'!$B$4*(C647-1)+'Paramètres'!$B$5*(C647-1)^2)),0)</x:f>
        <x:v>0</x:v>
      </x:c>
      <x:c r="H647" s="28" t="n">
        <x:f>ROUND(Catalogue!H36*SQRT((1+'Paramètres'!$B$4*(C647-1)+'Paramètres'!$B$5*(C647-1)^2)),0)</x:f>
        <x:v>0</x:v>
      </x:c>
      <x:c r="I647" s="28" t="n">
        <x:v>3</x:v>
      </x:c>
      <x:c r="J647" s="28" t="n">
        <x:v>1</x:v>
      </x:c>
      <x:c r="K647" s="30" t="n">
        <x:v>4.3</x:v>
      </x:c>
      <x:c r="L647" s="54" t="n">
        <x:f>IF(M647=0,0,(E647+F647)/2)</x:f>
        <x:v>13.5</x:v>
      </x:c>
      <x:c r="M647" t="n">
        <x:v>1</x:v>
      </x:c>
      <x:c r="N647" t="n">
        <x:v>8</x:v>
      </x:c>
      <x:c r="O647" t="n">
        <x:v>9</x:v>
      </x:c>
      <x:c r="P647" s="63" t="str">
        <x:f>IF(M647=0,"—",M647&amp;"d"&amp;N647&amp;IF(O647=0,""," + "&amp;O647))</x:f>
        <x:v>1d8 + 9</x:v>
      </x:c>
      <x:c r="Q647" t="n">
        <x:f>ROUND(INDEX(Catalogue!E$4:E$85,MATCH(A647,Catalogue!A$4:A$85,0))*(1+'Paramètres'!$B$4*(C647-1)+'Paramètres'!$B$5*(C647-1)^2),0)</x:f>
        <x:v>10</x:v>
      </x:c>
      <x:c r="R647" t="n">
        <x:f>ROUND(INDEX(Catalogue!F$4:F$85,MATCH(A647,Catalogue!A$4:A$85,0))*(1+'Paramètres'!$B$4*(C647-1)+'Paramètres'!$B$5*(C647-1)^2),0)</x:f>
        <x:v>18</x:v>
      </x:c>
      <x:c r="S647" t="n">
        <x:f>L647-AVERAGE(Q647:R647)</x:f>
        <x:v>-0.5</x:v>
      </x:c>
      <x:c r="T647" t="str">
        <x:f>IF(M647=0,IF(AND(N647=0,O647=0,E647=0,F647=0),"OK","ERREUR"),IF(AND(M647&gt;=1,M647&lt;=32,OR(N647=4,N647=6,N647=8,N647=10,N647=12,N647=20),O647&gt;=0,E647=M647+O647,F647=M647*N647+O647),"OK","ERREUR"))</x:f>
        <x:v>OK</x:v>
      </x:c>
      <x:c r="U647" s="86" t="n">
        <x:f>IF(M647&gt;0,M647*(N647+1)/2+O647,0)</x:f>
        <x:v>13.5</x:v>
      </x:c>
      <x:c r="V647" t="str">
        <x:f>IF(ABS(L647-U647)&lt;0.001,"OK","ERREUR")</x:f>
        <x:v>OK</x:v>
      </x:c>
    </x:row>
    <x:row r="648" ht="18" customHeight="1">
      <x:c r="A648" t="str">
        <x:v>ARM033</x:v>
      </x:c>
      <x:c r="B648" t="str">
        <x:v>Bardiche</x:v>
      </x:c>
      <x:c r="C648" t="n">
        <x:v>5</x:v>
      </x:c>
      <x:c r="D648" t="str">
        <x:v>Deux mains</x:v>
      </x:c>
      <x:c r="E648" s="28" t="n">
        <x:f>IF(M648=0,0,M648+O648)</x:f>
        <x:v>12</x:v>
      </x:c>
      <x:c r="F648" s="28" t="n">
        <x:f>IF(M648=0,0,M648*N648+O648)</x:f>
        <x:v>19</x:v>
      </x:c>
      <x:c r="G648" s="28" t="n">
        <x:f>ROUND(Catalogue!G36*SQRT((1+'Paramètres'!$B$4*(C648-1)+'Paramètres'!$B$5*(C648-1)^2)),0)</x:f>
        <x:v>0</x:v>
      </x:c>
      <x:c r="H648" s="28" t="n">
        <x:f>ROUND(Catalogue!H36*SQRT((1+'Paramètres'!$B$4*(C648-1)+'Paramètres'!$B$5*(C648-1)^2)),0)</x:f>
        <x:v>0</x:v>
      </x:c>
      <x:c r="I648" s="28" t="n">
        <x:v>3</x:v>
      </x:c>
      <x:c r="J648" s="28" t="n">
        <x:v>1</x:v>
      </x:c>
      <x:c r="K648" s="30" t="n">
        <x:v>4.3</x:v>
      </x:c>
      <x:c r="L648" s="54" t="n">
        <x:f>IF(M648=0,0,(E648+F648)/2)</x:f>
        <x:v>15.5</x:v>
      </x:c>
      <x:c r="M648" t="n">
        <x:v>1</x:v>
      </x:c>
      <x:c r="N648" t="n">
        <x:v>8</x:v>
      </x:c>
      <x:c r="O648" t="n">
        <x:v>11</x:v>
      </x:c>
      <x:c r="P648" s="63" t="str">
        <x:f>IF(M648=0,"—",M648&amp;"d"&amp;N648&amp;IF(O648=0,""," + "&amp;O648))</x:f>
        <x:v>1d8 + 11</x:v>
      </x:c>
      <x:c r="Q648" t="n">
        <x:f>ROUND(INDEX(Catalogue!E$4:E$85,MATCH(A648,Catalogue!A$4:A$85,0))*(1+'Paramètres'!$B$4*(C648-1)+'Paramètres'!$B$5*(C648-1)^2),0)</x:f>
        <x:v>12</x:v>
      </x:c>
      <x:c r="R648" t="n">
        <x:f>ROUND(INDEX(Catalogue!F$4:F$85,MATCH(A648,Catalogue!A$4:A$85,0))*(1+'Paramètres'!$B$4*(C648-1)+'Paramètres'!$B$5*(C648-1)^2),0)</x:f>
        <x:v>20</x:v>
      </x:c>
      <x:c r="S648" t="n">
        <x:f>L648-AVERAGE(Q648:R648)</x:f>
        <x:v>-0.5</x:v>
      </x:c>
      <x:c r="T648" t="str">
        <x:f>IF(M648=0,IF(AND(N648=0,O648=0,E648=0,F648=0),"OK","ERREUR"),IF(AND(M648&gt;=1,M648&lt;=32,OR(N648=4,N648=6,N648=8,N648=10,N648=12,N648=20),O648&gt;=0,E648=M648+O648,F648=M648*N648+O648),"OK","ERREUR"))</x:f>
        <x:v>OK</x:v>
      </x:c>
      <x:c r="U648" s="86" t="n">
        <x:f>IF(M648&gt;0,M648*(N648+1)/2+O648,0)</x:f>
        <x:v>15.5</x:v>
      </x:c>
      <x:c r="V648" t="str">
        <x:f>IF(ABS(L648-U648)&lt;0.001,"OK","ERREUR")</x:f>
        <x:v>OK</x:v>
      </x:c>
    </x:row>
    <x:row r="649" ht="18" customHeight="1">
      <x:c r="A649" t="str">
        <x:v>ARM033</x:v>
      </x:c>
      <x:c r="B649" t="str">
        <x:v>Bardiche</x:v>
      </x:c>
      <x:c r="C649" t="n">
        <x:v>6</x:v>
      </x:c>
      <x:c r="D649" t="str">
        <x:v>Deux mains</x:v>
      </x:c>
      <x:c r="E649" s="28" t="n">
        <x:f>IF(M649=0,0,M649+O649)</x:f>
        <x:v>14</x:v>
      </x:c>
      <x:c r="F649" s="28" t="n">
        <x:f>IF(M649=0,0,M649*N649+O649)</x:f>
        <x:v>23</x:v>
      </x:c>
      <x:c r="G649" s="28" t="n">
        <x:f>ROUND(Catalogue!G36*SQRT((1+'Paramètres'!$B$4*(C649-1)+'Paramètres'!$B$5*(C649-1)^2)),0)</x:f>
        <x:v>0</x:v>
      </x:c>
      <x:c r="H649" s="28" t="n">
        <x:f>ROUND(Catalogue!H36*SQRT((1+'Paramètres'!$B$4*(C649-1)+'Paramètres'!$B$5*(C649-1)^2)),0)</x:f>
        <x:v>0</x:v>
      </x:c>
      <x:c r="I649" s="28" t="n">
        <x:v>3</x:v>
      </x:c>
      <x:c r="J649" s="28" t="n">
        <x:v>1</x:v>
      </x:c>
      <x:c r="K649" s="30" t="n">
        <x:v>4.3</x:v>
      </x:c>
      <x:c r="L649" s="54" t="n">
        <x:f>IF(M649=0,0,(E649+F649)/2)</x:f>
        <x:v>18.5</x:v>
      </x:c>
      <x:c r="M649" t="n">
        <x:v>1</x:v>
      </x:c>
      <x:c r="N649" t="n">
        <x:v>10</x:v>
      </x:c>
      <x:c r="O649" t="n">
        <x:v>13</x:v>
      </x:c>
      <x:c r="P649" s="63" t="str">
        <x:f>IF(M649=0,"—",M649&amp;"d"&amp;N649&amp;IF(O649=0,""," + "&amp;O649))</x:f>
        <x:v>1d10 + 13</x:v>
      </x:c>
      <x:c r="Q649" t="n">
        <x:f>ROUND(INDEX(Catalogue!E$4:E$85,MATCH(A649,Catalogue!A$4:A$85,0))*(1+'Paramètres'!$B$4*(C649-1)+'Paramètres'!$B$5*(C649-1)^2),0)</x:f>
        <x:v>14</x:v>
      </x:c>
      <x:c r="R649" t="n">
        <x:f>ROUND(INDEX(Catalogue!F$4:F$85,MATCH(A649,Catalogue!A$4:A$85,0))*(1+'Paramètres'!$B$4*(C649-1)+'Paramètres'!$B$5*(C649-1)^2),0)</x:f>
        <x:v>23</x:v>
      </x:c>
      <x:c r="S649" t="n">
        <x:f>L649-AVERAGE(Q649:R649)</x:f>
        <x:v>0</x:v>
      </x:c>
      <x:c r="T649" t="str">
        <x:f>IF(M649=0,IF(AND(N649=0,O649=0,E649=0,F649=0),"OK","ERREUR"),IF(AND(M649&gt;=1,M649&lt;=32,OR(N649=4,N649=6,N649=8,N649=10,N649=12,N649=20),O649&gt;=0,E649=M649+O649,F649=M649*N649+O649),"OK","ERREUR"))</x:f>
        <x:v>OK</x:v>
      </x:c>
      <x:c r="U649" s="86" t="n">
        <x:f>IF(M649&gt;0,M649*(N649+1)/2+O649,0)</x:f>
        <x:v>18.5</x:v>
      </x:c>
      <x:c r="V649" t="str">
        <x:f>IF(ABS(L649-U649)&lt;0.001,"OK","ERREUR")</x:f>
        <x:v>OK</x:v>
      </x:c>
    </x:row>
    <x:row r="650" ht="18" customHeight="1">
      <x:c r="A650" t="str">
        <x:v>ARM033</x:v>
      </x:c>
      <x:c r="B650" t="str">
        <x:v>Bardiche</x:v>
      </x:c>
      <x:c r="C650" t="n">
        <x:v>7</x:v>
      </x:c>
      <x:c r="D650" t="str">
        <x:v>Deux mains</x:v>
      </x:c>
      <x:c r="E650" s="28" t="n">
        <x:f>IF(M650=0,0,M650+O650)</x:f>
        <x:v>16</x:v>
      </x:c>
      <x:c r="F650" s="28" t="n">
        <x:f>IF(M650=0,0,M650*N650+O650)</x:f>
        <x:v>27</x:v>
      </x:c>
      <x:c r="G650" s="28" t="n">
        <x:f>ROUND(Catalogue!G36*SQRT((1+'Paramètres'!$B$4*(C650-1)+'Paramètres'!$B$5*(C650-1)^2)),0)</x:f>
        <x:v>0</x:v>
      </x:c>
      <x:c r="H650" s="28" t="n">
        <x:f>ROUND(Catalogue!H36*SQRT((1+'Paramètres'!$B$4*(C650-1)+'Paramètres'!$B$5*(C650-1)^2)),0)</x:f>
        <x:v>0</x:v>
      </x:c>
      <x:c r="I650" s="28" t="n">
        <x:v>3</x:v>
      </x:c>
      <x:c r="J650" s="28" t="n">
        <x:v>1</x:v>
      </x:c>
      <x:c r="K650" s="30" t="n">
        <x:v>4.3</x:v>
      </x:c>
      <x:c r="L650" s="54" t="n">
        <x:f>IF(M650=0,0,(E650+F650)/2)</x:f>
        <x:v>21.5</x:v>
      </x:c>
      <x:c r="M650" t="n">
        <x:v>1</x:v>
      </x:c>
      <x:c r="N650" t="n">
        <x:v>12</x:v>
      </x:c>
      <x:c r="O650" t="n">
        <x:v>15</x:v>
      </x:c>
      <x:c r="P650" s="63" t="str">
        <x:f>IF(M650=0,"—",M650&amp;"d"&amp;N650&amp;IF(O650=0,""," + "&amp;O650))</x:f>
        <x:v>1d12 + 15</x:v>
      </x:c>
      <x:c r="Q650" t="n">
        <x:f>ROUND(INDEX(Catalogue!E$4:E$85,MATCH(A650,Catalogue!A$4:A$85,0))*(1+'Paramètres'!$B$4*(C650-1)+'Paramètres'!$B$5*(C650-1)^2),0)</x:f>
        <x:v>16</x:v>
      </x:c>
      <x:c r="R650" t="n">
        <x:f>ROUND(INDEX(Catalogue!F$4:F$85,MATCH(A650,Catalogue!A$4:A$85,0))*(1+'Paramètres'!$B$4*(C650-1)+'Paramètres'!$B$5*(C650-1)^2),0)</x:f>
        <x:v>27</x:v>
      </x:c>
      <x:c r="S650" t="n">
        <x:f>L650-AVERAGE(Q650:R650)</x:f>
        <x:v>0</x:v>
      </x:c>
      <x:c r="T650" t="str">
        <x:f>IF(M650=0,IF(AND(N650=0,O650=0,E650=0,F650=0),"OK","ERREUR"),IF(AND(M650&gt;=1,M650&lt;=32,OR(N650=4,N650=6,N650=8,N650=10,N650=12,N650=20),O650&gt;=0,E650=M650+O650,F650=M650*N650+O650),"OK","ERREUR"))</x:f>
        <x:v>OK</x:v>
      </x:c>
      <x:c r="U650" s="86" t="n">
        <x:f>IF(M650&gt;0,M650*(N650+1)/2+O650,0)</x:f>
        <x:v>21.5</x:v>
      </x:c>
      <x:c r="V650" t="str">
        <x:f>IF(ABS(L650-U650)&lt;0.001,"OK","ERREUR")</x:f>
        <x:v>OK</x:v>
      </x:c>
    </x:row>
    <x:row r="651" ht="18" customHeight="1">
      <x:c r="A651" t="str">
        <x:v>ARM033</x:v>
      </x:c>
      <x:c r="B651" t="str">
        <x:v>Bardiche</x:v>
      </x:c>
      <x:c r="C651" t="n">
        <x:v>8</x:v>
      </x:c>
      <x:c r="D651" t="str">
        <x:v>Deux mains</x:v>
      </x:c>
      <x:c r="E651" s="28" t="n">
        <x:f>IF(M651=0,0,M651+O651)</x:f>
        <x:v>18</x:v>
      </x:c>
      <x:c r="F651" s="28" t="n">
        <x:f>IF(M651=0,0,M651*N651+O651)</x:f>
        <x:v>32</x:v>
      </x:c>
      <x:c r="G651" s="28" t="n">
        <x:f>ROUND(Catalogue!G36*SQRT((1+'Paramètres'!$B$4*(C651-1)+'Paramètres'!$B$5*(C651-1)^2)),0)</x:f>
        <x:v>0</x:v>
      </x:c>
      <x:c r="H651" s="28" t="n">
        <x:f>ROUND(Catalogue!H36*SQRT((1+'Paramètres'!$B$4*(C651-1)+'Paramètres'!$B$5*(C651-1)^2)),0)</x:f>
        <x:v>0</x:v>
      </x:c>
      <x:c r="I651" s="28" t="n">
        <x:v>3</x:v>
      </x:c>
      <x:c r="J651" s="28" t="n">
        <x:v>1</x:v>
      </x:c>
      <x:c r="K651" s="30" t="n">
        <x:v>4.3</x:v>
      </x:c>
      <x:c r="L651" s="54" t="n">
        <x:f>IF(M651=0,0,(E651+F651)/2)</x:f>
        <x:v>25</x:v>
      </x:c>
      <x:c r="M651" t="n">
        <x:v>2</x:v>
      </x:c>
      <x:c r="N651" t="n">
        <x:v>8</x:v>
      </x:c>
      <x:c r="O651" t="n">
        <x:v>16</x:v>
      </x:c>
      <x:c r="P651" s="63" t="str">
        <x:f>IF(M651=0,"—",M651&amp;"d"&amp;N651&amp;IF(O651=0,""," + "&amp;O651))</x:f>
        <x:v>2d8 + 16</x:v>
      </x:c>
      <x:c r="Q651" t="n">
        <x:f>ROUND(INDEX(Catalogue!E$4:E$85,MATCH(A651,Catalogue!A$4:A$85,0))*(1+'Paramètres'!$B$4*(C651-1)+'Paramètres'!$B$5*(C651-1)^2),0)</x:f>
        <x:v>18</x:v>
      </x:c>
      <x:c r="R651" t="n">
        <x:f>ROUND(INDEX(Catalogue!F$4:F$85,MATCH(A651,Catalogue!A$4:A$85,0))*(1+'Paramètres'!$B$4*(C651-1)+'Paramètres'!$B$5*(C651-1)^2),0)</x:f>
        <x:v>31</x:v>
      </x:c>
      <x:c r="S651" t="n">
        <x:f>L651-AVERAGE(Q651:R651)</x:f>
        <x:v>0.5</x:v>
      </x:c>
      <x:c r="T651" t="str">
        <x:f>IF(M651=0,IF(AND(N651=0,O651=0,E651=0,F651=0),"OK","ERREUR"),IF(AND(M651&gt;=1,M651&lt;=32,OR(N651=4,N651=6,N651=8,N651=10,N651=12,N651=20),O651&gt;=0,E651=M651+O651,F651=M651*N651+O651),"OK","ERREUR"))</x:f>
        <x:v>OK</x:v>
      </x:c>
      <x:c r="U651" s="86" t="n">
        <x:f>IF(M651&gt;0,M651*(N651+1)/2+O651,0)</x:f>
        <x:v>25</x:v>
      </x:c>
      <x:c r="V651" t="str">
        <x:f>IF(ABS(L651-U651)&lt;0.001,"OK","ERREUR")</x:f>
        <x:v>OK</x:v>
      </x:c>
    </x:row>
    <x:row r="652" ht="18" customHeight="1">
      <x:c r="A652" t="str">
        <x:v>ARM033</x:v>
      </x:c>
      <x:c r="B652" t="str">
        <x:v>Bardiche</x:v>
      </x:c>
      <x:c r="C652" t="n">
        <x:v>9</x:v>
      </x:c>
      <x:c r="D652" t="str">
        <x:v>Deux mains</x:v>
      </x:c>
      <x:c r="E652" s="28" t="n">
        <x:f>IF(M652=0,0,M652+O652)</x:f>
        <x:v>20</x:v>
      </x:c>
      <x:c r="F652" s="28" t="n">
        <x:f>IF(M652=0,0,M652*N652+O652)</x:f>
        <x:v>35</x:v>
      </x:c>
      <x:c r="G652" s="28" t="n">
        <x:f>ROUND(Catalogue!G36*SQRT((1+'Paramètres'!$B$4*(C652-1)+'Paramètres'!$B$5*(C652-1)^2)),0)</x:f>
        <x:v>0</x:v>
      </x:c>
      <x:c r="H652" s="28" t="n">
        <x:f>ROUND(Catalogue!H36*SQRT((1+'Paramètres'!$B$4*(C652-1)+'Paramètres'!$B$5*(C652-1)^2)),0)</x:f>
        <x:v>0</x:v>
      </x:c>
      <x:c r="I652" s="28" t="n">
        <x:v>3</x:v>
      </x:c>
      <x:c r="J652" s="28" t="n">
        <x:v>1</x:v>
      </x:c>
      <x:c r="K652" s="30" t="n">
        <x:v>4.3</x:v>
      </x:c>
      <x:c r="L652" s="54" t="n">
        <x:f>IF(M652=0,0,(E652+F652)/2)</x:f>
        <x:v>27.5</x:v>
      </x:c>
      <x:c r="M652" t="n">
        <x:v>3</x:v>
      </x:c>
      <x:c r="N652" t="n">
        <x:v>6</x:v>
      </x:c>
      <x:c r="O652" t="n">
        <x:v>17</x:v>
      </x:c>
      <x:c r="P652" s="63" t="str">
        <x:f>IF(M652=0,"—",M652&amp;"d"&amp;N652&amp;IF(O652=0,""," + "&amp;O652))</x:f>
        <x:v>3d6 + 17</x:v>
      </x:c>
      <x:c r="Q652" t="n">
        <x:f>ROUND(INDEX(Catalogue!E$4:E$85,MATCH(A652,Catalogue!A$4:A$85,0))*(1+'Paramètres'!$B$4*(C652-1)+'Paramètres'!$B$5*(C652-1)^2),0)</x:f>
        <x:v>20</x:v>
      </x:c>
      <x:c r="R652" t="n">
        <x:f>ROUND(INDEX(Catalogue!F$4:F$85,MATCH(A652,Catalogue!A$4:A$85,0))*(1+'Paramètres'!$B$4*(C652-1)+'Paramètres'!$B$5*(C652-1)^2),0)</x:f>
        <x:v>35</x:v>
      </x:c>
      <x:c r="S652" t="n">
        <x:f>L652-AVERAGE(Q652:R652)</x:f>
        <x:v>0</x:v>
      </x:c>
      <x:c r="T652" t="str">
        <x:f>IF(M652=0,IF(AND(N652=0,O652=0,E652=0,F652=0),"OK","ERREUR"),IF(AND(M652&gt;=1,M652&lt;=32,OR(N652=4,N652=6,N652=8,N652=10,N652=12,N652=20),O652&gt;=0,E652=M652+O652,F652=M652*N652+O652),"OK","ERREUR"))</x:f>
        <x:v>OK</x:v>
      </x:c>
      <x:c r="U652" s="86" t="n">
        <x:f>IF(M652&gt;0,M652*(N652+1)/2+O652,0)</x:f>
        <x:v>27.5</x:v>
      </x:c>
      <x:c r="V652" t="str">
        <x:f>IF(ABS(L652-U652)&lt;0.001,"OK","ERREUR")</x:f>
        <x:v>OK</x:v>
      </x:c>
    </x:row>
    <x:row r="653" ht="18" customHeight="1">
      <x:c r="A653" t="str">
        <x:v>ARM033</x:v>
      </x:c>
      <x:c r="B653" t="str">
        <x:v>Bardiche</x:v>
      </x:c>
      <x:c r="C653" t="n">
        <x:v>10</x:v>
      </x:c>
      <x:c r="D653" t="str">
        <x:v>Deux mains</x:v>
      </x:c>
      <x:c r="E653" s="28" t="n">
        <x:f>IF(M653=0,0,M653+O653)</x:f>
        <x:v>23</x:v>
      </x:c>
      <x:c r="F653" s="28" t="n">
        <x:f>IF(M653=0,0,M653*N653+O653)</x:f>
        <x:v>38</x:v>
      </x:c>
      <x:c r="G653" s="28" t="n">
        <x:f>ROUND(Catalogue!G36*SQRT((1+'Paramètres'!$B$4*(C653-1)+'Paramètres'!$B$5*(C653-1)^2)),0)</x:f>
        <x:v>0</x:v>
      </x:c>
      <x:c r="H653" s="28" t="n">
        <x:f>ROUND(Catalogue!H36*SQRT((1+'Paramètres'!$B$4*(C653-1)+'Paramètres'!$B$5*(C653-1)^2)),0)</x:f>
        <x:v>0</x:v>
      </x:c>
      <x:c r="I653" s="28" t="n">
        <x:v>3</x:v>
      </x:c>
      <x:c r="J653" s="28" t="n">
        <x:v>1</x:v>
      </x:c>
      <x:c r="K653" s="30" t="n">
        <x:v>4.3</x:v>
      </x:c>
      <x:c r="L653" s="54" t="n">
        <x:f>IF(M653=0,0,(E653+F653)/2)</x:f>
        <x:v>30.5</x:v>
      </x:c>
      <x:c r="M653" t="n">
        <x:v>3</x:v>
      </x:c>
      <x:c r="N653" t="n">
        <x:v>6</x:v>
      </x:c>
      <x:c r="O653" t="n">
        <x:v>20</x:v>
      </x:c>
      <x:c r="P653" s="63" t="str">
        <x:f>IF(M653=0,"—",M653&amp;"d"&amp;N653&amp;IF(O653=0,""," + "&amp;O653))</x:f>
        <x:v>3d6 + 20</x:v>
      </x:c>
      <x:c r="Q653" t="n">
        <x:f>ROUND(INDEX(Catalogue!E$4:E$85,MATCH(A653,Catalogue!A$4:A$85,0))*(1+'Paramètres'!$B$4*(C653-1)+'Paramètres'!$B$5*(C653-1)^2),0)</x:f>
        <x:v>23</x:v>
      </x:c>
      <x:c r="R653" t="n">
        <x:f>ROUND(INDEX(Catalogue!F$4:F$85,MATCH(A653,Catalogue!A$4:A$85,0))*(1+'Paramètres'!$B$4*(C653-1)+'Paramètres'!$B$5*(C653-1)^2),0)</x:f>
        <x:v>39</x:v>
      </x:c>
      <x:c r="S653" t="n">
        <x:f>L653-AVERAGE(Q653:R653)</x:f>
        <x:v>-0.5</x:v>
      </x:c>
      <x:c r="T653" t="str">
        <x:f>IF(M653=0,IF(AND(N653=0,O653=0,E653=0,F653=0),"OK","ERREUR"),IF(AND(M653&gt;=1,M653&lt;=32,OR(N653=4,N653=6,N653=8,N653=10,N653=12,N653=20),O653&gt;=0,E653=M653+O653,F653=M653*N653+O653),"OK","ERREUR"))</x:f>
        <x:v>OK</x:v>
      </x:c>
      <x:c r="U653" s="86" t="n">
        <x:f>IF(M653&gt;0,M653*(N653+1)/2+O653,0)</x:f>
        <x:v>30.5</x:v>
      </x:c>
      <x:c r="V653" t="str">
        <x:f>IF(ABS(L653-U653)&lt;0.001,"OK","ERREUR")</x:f>
        <x:v>OK</x:v>
      </x:c>
    </x:row>
    <x:row r="654" ht="18" customHeight="1">
      <x:c r="A654" t="str">
        <x:v>ARM033</x:v>
      </x:c>
      <x:c r="B654" t="str">
        <x:v>Bardiche</x:v>
      </x:c>
      <x:c r="C654" t="n">
        <x:v>11</x:v>
      </x:c>
      <x:c r="D654" t="str">
        <x:v>Deux mains</x:v>
      </x:c>
      <x:c r="E654" s="28" t="n">
        <x:f>IF(M654=0,0,M654+O654)</x:f>
        <x:v>26</x:v>
      </x:c>
      <x:c r="F654" s="28" t="n">
        <x:f>IF(M654=0,0,M654*N654+O654)</x:f>
        <x:v>44</x:v>
      </x:c>
      <x:c r="G654" s="28" t="n">
        <x:f>ROUND(Catalogue!G36*SQRT((1+'Paramètres'!$B$4*(C654-1)+'Paramètres'!$B$5*(C654-1)^2)),0)</x:f>
        <x:v>0</x:v>
      </x:c>
      <x:c r="H654" s="28" t="n">
        <x:f>ROUND(Catalogue!H36*SQRT((1+'Paramètres'!$B$4*(C654-1)+'Paramètres'!$B$5*(C654-1)^2)),0)</x:f>
        <x:v>0</x:v>
      </x:c>
      <x:c r="I654" s="28" t="n">
        <x:v>3</x:v>
      </x:c>
      <x:c r="J654" s="28" t="n">
        <x:v>1</x:v>
      </x:c>
      <x:c r="K654" s="30" t="n">
        <x:v>4.3</x:v>
      </x:c>
      <x:c r="L654" s="54" t="n">
        <x:f>IF(M654=0,0,(E654+F654)/2)</x:f>
        <x:v>35</x:v>
      </x:c>
      <x:c r="M654" t="n">
        <x:v>2</x:v>
      </x:c>
      <x:c r="N654" t="n">
        <x:v>10</x:v>
      </x:c>
      <x:c r="O654" t="n">
        <x:v>24</x:v>
      </x:c>
      <x:c r="P654" s="63" t="str">
        <x:f>IF(M654=0,"—",M654&amp;"d"&amp;N654&amp;IF(O654=0,""," + "&amp;O654))</x:f>
        <x:v>2d10 + 24</x:v>
      </x:c>
      <x:c r="Q654" t="n">
        <x:f>ROUND(INDEX(Catalogue!E$4:E$85,MATCH(A654,Catalogue!A$4:A$85,0))*(1+'Paramètres'!$B$4*(C654-1)+'Paramètres'!$B$5*(C654-1)^2),0)</x:f>
        <x:v>26</x:v>
      </x:c>
      <x:c r="R654" t="n">
        <x:f>ROUND(INDEX(Catalogue!F$4:F$85,MATCH(A654,Catalogue!A$4:A$85,0))*(1+'Paramètres'!$B$4*(C654-1)+'Paramètres'!$B$5*(C654-1)^2),0)</x:f>
        <x:v>44</x:v>
      </x:c>
      <x:c r="S654" t="n">
        <x:f>L654-AVERAGE(Q654:R654)</x:f>
        <x:v>0</x:v>
      </x:c>
      <x:c r="T654" t="str">
        <x:f>IF(M654=0,IF(AND(N654=0,O654=0,E654=0,F654=0),"OK","ERREUR"),IF(AND(M654&gt;=1,M654&lt;=32,OR(N654=4,N654=6,N654=8,N654=10,N654=12,N654=20),O654&gt;=0,E654=M654+O654,F654=M654*N654+O654),"OK","ERREUR"))</x:f>
        <x:v>OK</x:v>
      </x:c>
      <x:c r="U654" s="86" t="n">
        <x:f>IF(M654&gt;0,M654*(N654+1)/2+O654,0)</x:f>
        <x:v>35</x:v>
      </x:c>
      <x:c r="V654" t="str">
        <x:f>IF(ABS(L654-U654)&lt;0.001,"OK","ERREUR")</x:f>
        <x:v>OK</x:v>
      </x:c>
    </x:row>
    <x:row r="655" ht="18" customHeight="1">
      <x:c r="A655" t="str">
        <x:v>ARM033</x:v>
      </x:c>
      <x:c r="B655" t="str">
        <x:v>Bardiche</x:v>
      </x:c>
      <x:c r="C655" t="n">
        <x:v>12</x:v>
      </x:c>
      <x:c r="D655" t="str">
        <x:v>Deux mains</x:v>
      </x:c>
      <x:c r="E655" s="28" t="n">
        <x:f>IF(M655=0,0,M655+O655)</x:f>
        <x:v>29</x:v>
      </x:c>
      <x:c r="F655" s="28" t="n">
        <x:f>IF(M655=0,0,M655*N655+O655)</x:f>
        <x:v>50</x:v>
      </x:c>
      <x:c r="G655" s="28" t="n">
        <x:f>ROUND(Catalogue!G36*SQRT((1+'Paramètres'!$B$4*(C655-1)+'Paramètres'!$B$5*(C655-1)^2)),0)</x:f>
        <x:v>0</x:v>
      </x:c>
      <x:c r="H655" s="28" t="n">
        <x:f>ROUND(Catalogue!H36*SQRT((1+'Paramètres'!$B$4*(C655-1)+'Paramètres'!$B$5*(C655-1)^2)),0)</x:f>
        <x:v>0</x:v>
      </x:c>
      <x:c r="I655" s="28" t="n">
        <x:v>3</x:v>
      </x:c>
      <x:c r="J655" s="28" t="n">
        <x:v>1</x:v>
      </x:c>
      <x:c r="K655" s="30" t="n">
        <x:v>4.3</x:v>
      </x:c>
      <x:c r="L655" s="54" t="n">
        <x:f>IF(M655=0,0,(E655+F655)/2)</x:f>
        <x:v>39.5</x:v>
      </x:c>
      <x:c r="M655" t="n">
        <x:v>3</x:v>
      </x:c>
      <x:c r="N655" t="n">
        <x:v>8</x:v>
      </x:c>
      <x:c r="O655" t="n">
        <x:v>26</x:v>
      </x:c>
      <x:c r="P655" s="63" t="str">
        <x:f>IF(M655=0,"—",M655&amp;"d"&amp;N655&amp;IF(O655=0,""," + "&amp;O655))</x:f>
        <x:v>3d8 + 26</x:v>
      </x:c>
      <x:c r="Q655" t="n">
        <x:f>ROUND(INDEX(Catalogue!E$4:E$85,MATCH(A655,Catalogue!A$4:A$85,0))*(1+'Paramètres'!$B$4*(C655-1)+'Paramètres'!$B$5*(C655-1)^2),0)</x:f>
        <x:v>29</x:v>
      </x:c>
      <x:c r="R655" t="n">
        <x:f>ROUND(INDEX(Catalogue!F$4:F$85,MATCH(A655,Catalogue!A$4:A$85,0))*(1+'Paramètres'!$B$4*(C655-1)+'Paramètres'!$B$5*(C655-1)^2),0)</x:f>
        <x:v>50</x:v>
      </x:c>
      <x:c r="S655" t="n">
        <x:f>L655-AVERAGE(Q655:R655)</x:f>
        <x:v>0</x:v>
      </x:c>
      <x:c r="T655" t="str">
        <x:f>IF(M655=0,IF(AND(N655=0,O655=0,E655=0,F655=0),"OK","ERREUR"),IF(AND(M655&gt;=1,M655&lt;=32,OR(N655=4,N655=6,N655=8,N655=10,N655=12,N655=20),O655&gt;=0,E655=M655+O655,F655=M655*N655+O655),"OK","ERREUR"))</x:f>
        <x:v>OK</x:v>
      </x:c>
      <x:c r="U655" s="86" t="n">
        <x:f>IF(M655&gt;0,M655*(N655+1)/2+O655,0)</x:f>
        <x:v>39.5</x:v>
      </x:c>
      <x:c r="V655" t="str">
        <x:f>IF(ABS(L655-U655)&lt;0.001,"OK","ERREUR")</x:f>
        <x:v>OK</x:v>
      </x:c>
    </x:row>
    <x:row r="656" ht="18" customHeight="1">
      <x:c r="A656" t="str">
        <x:v>ARM033</x:v>
      </x:c>
      <x:c r="B656" t="str">
        <x:v>Bardiche</x:v>
      </x:c>
      <x:c r="C656" t="n">
        <x:v>13</x:v>
      </x:c>
      <x:c r="D656" t="str">
        <x:v>Deux mains</x:v>
      </x:c>
      <x:c r="E656" s="28" t="n">
        <x:f>IF(M656=0,0,M656+O656)</x:f>
        <x:v>32</x:v>
      </x:c>
      <x:c r="F656" s="28" t="n">
        <x:f>IF(M656=0,0,M656*N656+O656)</x:f>
        <x:v>54</x:v>
      </x:c>
      <x:c r="G656" s="28" t="n">
        <x:f>ROUND(Catalogue!G36*SQRT((1+'Paramètres'!$B$4*(C656-1)+'Paramètres'!$B$5*(C656-1)^2)),0)</x:f>
        <x:v>0</x:v>
      </x:c>
      <x:c r="H656" s="28" t="n">
        <x:f>ROUND(Catalogue!H36*SQRT((1+'Paramètres'!$B$4*(C656-1)+'Paramètres'!$B$5*(C656-1)^2)),0)</x:f>
        <x:v>0</x:v>
      </x:c>
      <x:c r="I656" s="28" t="n">
        <x:v>3</x:v>
      </x:c>
      <x:c r="J656" s="28" t="n">
        <x:v>1</x:v>
      </x:c>
      <x:c r="K656" s="30" t="n">
        <x:v>4.3</x:v>
      </x:c>
      <x:c r="L656" s="54" t="n">
        <x:f>IF(M656=0,0,(E656+F656)/2)</x:f>
        <x:v>43</x:v>
      </x:c>
      <x:c r="M656" t="n">
        <x:v>2</x:v>
      </x:c>
      <x:c r="N656" t="n">
        <x:v>12</x:v>
      </x:c>
      <x:c r="O656" t="n">
        <x:v>30</x:v>
      </x:c>
      <x:c r="P656" s="63" t="str">
        <x:f>IF(M656=0,"—",M656&amp;"d"&amp;N656&amp;IF(O656=0,""," + "&amp;O656))</x:f>
        <x:v>2d12 + 30</x:v>
      </x:c>
      <x:c r="Q656" t="n">
        <x:f>ROUND(INDEX(Catalogue!E$4:E$85,MATCH(A656,Catalogue!A$4:A$85,0))*(1+'Paramètres'!$B$4*(C656-1)+'Paramètres'!$B$5*(C656-1)^2),0)</x:f>
        <x:v>32</x:v>
      </x:c>
      <x:c r="R656" t="n">
        <x:f>ROUND(INDEX(Catalogue!F$4:F$85,MATCH(A656,Catalogue!A$4:A$85,0))*(1+'Paramètres'!$B$4*(C656-1)+'Paramètres'!$B$5*(C656-1)^2),0)</x:f>
        <x:v>55</x:v>
      </x:c>
      <x:c r="S656" t="n">
        <x:f>L656-AVERAGE(Q656:R656)</x:f>
        <x:v>-0.5</x:v>
      </x:c>
      <x:c r="T656" t="str">
        <x:f>IF(M656=0,IF(AND(N656=0,O656=0,E656=0,F656=0),"OK","ERREUR"),IF(AND(M656&gt;=1,M656&lt;=32,OR(N656=4,N656=6,N656=8,N656=10,N656=12,N656=20),O656&gt;=0,E656=M656+O656,F656=M656*N656+O656),"OK","ERREUR"))</x:f>
        <x:v>OK</x:v>
      </x:c>
      <x:c r="U656" s="86" t="n">
        <x:f>IF(M656&gt;0,M656*(N656+1)/2+O656,0)</x:f>
        <x:v>43</x:v>
      </x:c>
      <x:c r="V656" t="str">
        <x:f>IF(ABS(L656-U656)&lt;0.001,"OK","ERREUR")</x:f>
        <x:v>OK</x:v>
      </x:c>
    </x:row>
    <x:row r="657" ht="18" customHeight="1">
      <x:c r="A657" t="str">
        <x:v>ARM033</x:v>
      </x:c>
      <x:c r="B657" t="str">
        <x:v>Bardiche</x:v>
      </x:c>
      <x:c r="C657" t="n">
        <x:v>14</x:v>
      </x:c>
      <x:c r="D657" t="str">
        <x:v>Deux mains</x:v>
      </x:c>
      <x:c r="E657" s="28" t="n">
        <x:f>IF(M657=0,0,M657+O657)</x:f>
        <x:v>35</x:v>
      </x:c>
      <x:c r="F657" s="28" t="n">
        <x:f>IF(M657=0,0,M657*N657+O657)</x:f>
        <x:v>62</x:v>
      </x:c>
      <x:c r="G657" s="28" t="n">
        <x:f>ROUND(Catalogue!G36*SQRT((1+'Paramètres'!$B$4*(C657-1)+'Paramètres'!$B$5*(C657-1)^2)),0)</x:f>
        <x:v>0</x:v>
      </x:c>
      <x:c r="H657" s="28" t="n">
        <x:f>ROUND(Catalogue!H36*SQRT((1+'Paramètres'!$B$4*(C657-1)+'Paramètres'!$B$5*(C657-1)^2)),0)</x:f>
        <x:v>0</x:v>
      </x:c>
      <x:c r="I657" s="28" t="n">
        <x:v>3</x:v>
      </x:c>
      <x:c r="J657" s="28" t="n">
        <x:v>1</x:v>
      </x:c>
      <x:c r="K657" s="30" t="n">
        <x:v>4.3</x:v>
      </x:c>
      <x:c r="L657" s="54" t="n">
        <x:f>IF(M657=0,0,(E657+F657)/2)</x:f>
        <x:v>48.5</x:v>
      </x:c>
      <x:c r="M657" t="n">
        <x:v>3</x:v>
      </x:c>
      <x:c r="N657" t="n">
        <x:v>10</x:v>
      </x:c>
      <x:c r="O657" t="n">
        <x:v>32</x:v>
      </x:c>
      <x:c r="P657" s="63" t="str">
        <x:f>IF(M657=0,"—",M657&amp;"d"&amp;N657&amp;IF(O657=0,""," + "&amp;O657))</x:f>
        <x:v>3d10 + 32</x:v>
      </x:c>
      <x:c r="Q657" t="n">
        <x:f>ROUND(INDEX(Catalogue!E$4:E$85,MATCH(A657,Catalogue!A$4:A$85,0))*(1+'Paramètres'!$B$4*(C657-1)+'Paramètres'!$B$5*(C657-1)^2),0)</x:f>
        <x:v>36</x:v>
      </x:c>
      <x:c r="R657" t="n">
        <x:f>ROUND(INDEX(Catalogue!F$4:F$85,MATCH(A657,Catalogue!A$4:A$85,0))*(1+'Paramètres'!$B$4*(C657-1)+'Paramètres'!$B$5*(C657-1)^2),0)</x:f>
        <x:v>62</x:v>
      </x:c>
      <x:c r="S657" t="n">
        <x:f>L657-AVERAGE(Q657:R657)</x:f>
        <x:v>-0.5</x:v>
      </x:c>
      <x:c r="T657" t="str">
        <x:f>IF(M657=0,IF(AND(N657=0,O657=0,E657=0,F657=0),"OK","ERREUR"),IF(AND(M657&gt;=1,M657&lt;=32,OR(N657=4,N657=6,N657=8,N657=10,N657=12,N657=20),O657&gt;=0,E657=M657+O657,F657=M657*N657+O657),"OK","ERREUR"))</x:f>
        <x:v>OK</x:v>
      </x:c>
      <x:c r="U657" s="86" t="n">
        <x:f>IF(M657&gt;0,M657*(N657+1)/2+O657,0)</x:f>
        <x:v>48.5</x:v>
      </x:c>
      <x:c r="V657" t="str">
        <x:f>IF(ABS(L657-U657)&lt;0.001,"OK","ERREUR")</x:f>
        <x:v>OK</x:v>
      </x:c>
    </x:row>
    <x:row r="658" ht="18" customHeight="1">
      <x:c r="A658" t="str">
        <x:v>ARM033</x:v>
      </x:c>
      <x:c r="B658" t="str">
        <x:v>Bardiche</x:v>
      </x:c>
      <x:c r="C658" t="n">
        <x:v>15</x:v>
      </x:c>
      <x:c r="D658" t="str">
        <x:v>Deux mains</x:v>
      </x:c>
      <x:c r="E658" s="28" t="n">
        <x:f>IF(M658=0,0,M658+O658)</x:f>
        <x:v>40</x:v>
      </x:c>
      <x:c r="F658" s="28" t="n">
        <x:f>IF(M658=0,0,M658*N658+O658)</x:f>
        <x:v>68</x:v>
      </x:c>
      <x:c r="G658" s="28" t="n">
        <x:f>ROUND(Catalogue!G36*SQRT((1+'Paramètres'!$B$4*(C658-1)+'Paramètres'!$B$5*(C658-1)^2)),0)</x:f>
        <x:v>0</x:v>
      </x:c>
      <x:c r="H658" s="28" t="n">
        <x:f>ROUND(Catalogue!H36*SQRT((1+'Paramètres'!$B$4*(C658-1)+'Paramètres'!$B$5*(C658-1)^2)),0)</x:f>
        <x:v>0</x:v>
      </x:c>
      <x:c r="I658" s="28" t="n">
        <x:v>3</x:v>
      </x:c>
      <x:c r="J658" s="28" t="n">
        <x:v>1</x:v>
      </x:c>
      <x:c r="K658" s="30" t="n">
        <x:v>4.3</x:v>
      </x:c>
      <x:c r="L658" s="54" t="n">
        <x:f>IF(M658=0,0,(E658+F658)/2)</x:f>
        <x:v>54</x:v>
      </x:c>
      <x:c r="M658" t="n">
        <x:v>4</x:v>
      </x:c>
      <x:c r="N658" t="n">
        <x:v>8</x:v>
      </x:c>
      <x:c r="O658" t="n">
        <x:v>36</x:v>
      </x:c>
      <x:c r="P658" s="63" t="str">
        <x:f>IF(M658=0,"—",M658&amp;"d"&amp;N658&amp;IF(O658=0,""," + "&amp;O658))</x:f>
        <x:v>4d8 + 36</x:v>
      </x:c>
      <x:c r="Q658" t="n">
        <x:f>ROUND(INDEX(Catalogue!E$4:E$85,MATCH(A658,Catalogue!A$4:A$85,0))*(1+'Paramètres'!$B$4*(C658-1)+'Paramètres'!$B$5*(C658-1)^2),0)</x:f>
        <x:v>40</x:v>
      </x:c>
      <x:c r="R658" t="n">
        <x:f>ROUND(INDEX(Catalogue!F$4:F$85,MATCH(A658,Catalogue!A$4:A$85,0))*(1+'Paramètres'!$B$4*(C658-1)+'Paramètres'!$B$5*(C658-1)^2),0)</x:f>
        <x:v>68</x:v>
      </x:c>
      <x:c r="S658" t="n">
        <x:f>L658-AVERAGE(Q658:R658)</x:f>
        <x:v>0</x:v>
      </x:c>
      <x:c r="T658" t="str">
        <x:f>IF(M658=0,IF(AND(N658=0,O658=0,E658=0,F658=0),"OK","ERREUR"),IF(AND(M658&gt;=1,M658&lt;=32,OR(N658=4,N658=6,N658=8,N658=10,N658=12,N658=20),O658&gt;=0,E658=M658+O658,F658=M658*N658+O658),"OK","ERREUR"))</x:f>
        <x:v>OK</x:v>
      </x:c>
      <x:c r="U658" s="86" t="n">
        <x:f>IF(M658&gt;0,M658*(N658+1)/2+O658,0)</x:f>
        <x:v>54</x:v>
      </x:c>
      <x:c r="V658" t="str">
        <x:f>IF(ABS(L658-U658)&lt;0.001,"OK","ERREUR")</x:f>
        <x:v>OK</x:v>
      </x:c>
    </x:row>
    <x:row r="659" ht="18" customHeight="1">
      <x:c r="A659" t="str">
        <x:v>ARM033</x:v>
      </x:c>
      <x:c r="B659" t="str">
        <x:v>Bardiche</x:v>
      </x:c>
      <x:c r="C659" t="n">
        <x:v>16</x:v>
      </x:c>
      <x:c r="D659" t="str">
        <x:v>Deux mains</x:v>
      </x:c>
      <x:c r="E659" s="28" t="n">
        <x:f>IF(M659=0,0,M659+O659)</x:f>
        <x:v>44</x:v>
      </x:c>
      <x:c r="F659" s="28" t="n">
        <x:f>IF(M659=0,0,M659*N659+O659)</x:f>
        <x:v>74</x:v>
      </x:c>
      <x:c r="G659" s="28" t="n">
        <x:f>ROUND(Catalogue!G36*SQRT((1+'Paramètres'!$B$4*(C659-1)+'Paramètres'!$B$5*(C659-1)^2)),0)</x:f>
        <x:v>0</x:v>
      </x:c>
      <x:c r="H659" s="28" t="n">
        <x:f>ROUND(Catalogue!H36*SQRT((1+'Paramètres'!$B$4*(C659-1)+'Paramètres'!$B$5*(C659-1)^2)),0)</x:f>
        <x:v>0</x:v>
      </x:c>
      <x:c r="I659" s="28" t="n">
        <x:v>3</x:v>
      </x:c>
      <x:c r="J659" s="28" t="n">
        <x:v>1</x:v>
      </x:c>
      <x:c r="K659" s="30" t="n">
        <x:v>4.3</x:v>
      </x:c>
      <x:c r="L659" s="54" t="n">
        <x:f>IF(M659=0,0,(E659+F659)/2)</x:f>
        <x:v>59</x:v>
      </x:c>
      <x:c r="M659" t="n">
        <x:v>6</x:v>
      </x:c>
      <x:c r="N659" t="n">
        <x:v>6</x:v>
      </x:c>
      <x:c r="O659" t="n">
        <x:v>38</x:v>
      </x:c>
      <x:c r="P659" s="63" t="str">
        <x:f>IF(M659=0,"—",M659&amp;"d"&amp;N659&amp;IF(O659=0,""," + "&amp;O659))</x:f>
        <x:v>6d6 + 38</x:v>
      </x:c>
      <x:c r="Q659" t="n">
        <x:f>ROUND(INDEX(Catalogue!E$4:E$85,MATCH(A659,Catalogue!A$4:A$85,0))*(1+'Paramètres'!$B$4*(C659-1)+'Paramètres'!$B$5*(C659-1)^2),0)</x:f>
        <x:v>44</x:v>
      </x:c>
      <x:c r="R659" t="n">
        <x:f>ROUND(INDEX(Catalogue!F$4:F$85,MATCH(A659,Catalogue!A$4:A$85,0))*(1+'Paramètres'!$B$4*(C659-1)+'Paramètres'!$B$5*(C659-1)^2),0)</x:f>
        <x:v>75</x:v>
      </x:c>
      <x:c r="S659" t="n">
        <x:f>L659-AVERAGE(Q659:R659)</x:f>
        <x:v>-0.5</x:v>
      </x:c>
      <x:c r="T659" t="str">
        <x:f>IF(M659=0,IF(AND(N659=0,O659=0,E659=0,F659=0),"OK","ERREUR"),IF(AND(M659&gt;=1,M659&lt;=32,OR(N659=4,N659=6,N659=8,N659=10,N659=12,N659=20),O659&gt;=0,E659=M659+O659,F659=M659*N659+O659),"OK","ERREUR"))</x:f>
        <x:v>OK</x:v>
      </x:c>
      <x:c r="U659" s="86" t="n">
        <x:f>IF(M659&gt;0,M659*(N659+1)/2+O659,0)</x:f>
        <x:v>59</x:v>
      </x:c>
      <x:c r="V659" t="str">
        <x:f>IF(ABS(L659-U659)&lt;0.001,"OK","ERREUR")</x:f>
        <x:v>OK</x:v>
      </x:c>
    </x:row>
    <x:row r="660" ht="18" customHeight="1">
      <x:c r="A660" t="str">
        <x:v>ARM033</x:v>
      </x:c>
      <x:c r="B660" t="str">
        <x:v>Bardiche</x:v>
      </x:c>
      <x:c r="C660" t="n">
        <x:v>17</x:v>
      </x:c>
      <x:c r="D660" t="str">
        <x:v>Deux mains</x:v>
      </x:c>
      <x:c r="E660" s="28" t="n">
        <x:f>IF(M660=0,0,M660+O660)</x:f>
        <x:v>48</x:v>
      </x:c>
      <x:c r="F660" s="28" t="n">
        <x:f>IF(M660=0,0,M660*N660+O660)</x:f>
        <x:v>81</x:v>
      </x:c>
      <x:c r="G660" s="28" t="n">
        <x:f>ROUND(Catalogue!G36*SQRT((1+'Paramètres'!$B$4*(C660-1)+'Paramètres'!$B$5*(C660-1)^2)),0)</x:f>
        <x:v>0</x:v>
      </x:c>
      <x:c r="H660" s="28" t="n">
        <x:f>ROUND(Catalogue!H36*SQRT((1+'Paramètres'!$B$4*(C660-1)+'Paramètres'!$B$5*(C660-1)^2)),0)</x:f>
        <x:v>0</x:v>
      </x:c>
      <x:c r="I660" s="28" t="n">
        <x:v>3</x:v>
      </x:c>
      <x:c r="J660" s="28" t="n">
        <x:v>1</x:v>
      </x:c>
      <x:c r="K660" s="30" t="n">
        <x:v>4.3</x:v>
      </x:c>
      <x:c r="L660" s="54" t="n">
        <x:f>IF(M660=0,0,(E660+F660)/2)</x:f>
        <x:v>64.5</x:v>
      </x:c>
      <x:c r="M660" t="n">
        <x:v>3</x:v>
      </x:c>
      <x:c r="N660" t="n">
        <x:v>12</x:v>
      </x:c>
      <x:c r="O660" t="n">
        <x:v>45</x:v>
      </x:c>
      <x:c r="P660" s="63" t="str">
        <x:f>IF(M660=0,"—",M660&amp;"d"&amp;N660&amp;IF(O660=0,""," + "&amp;O660))</x:f>
        <x:v>3d12 + 45</x:v>
      </x:c>
      <x:c r="Q660" t="n">
        <x:f>ROUND(INDEX(Catalogue!E$4:E$85,MATCH(A660,Catalogue!A$4:A$85,0))*(1+'Paramètres'!$B$4*(C660-1)+'Paramètres'!$B$5*(C660-1)^2),0)</x:f>
        <x:v>48</x:v>
      </x:c>
      <x:c r="R660" t="n">
        <x:f>ROUND(INDEX(Catalogue!F$4:F$85,MATCH(A660,Catalogue!A$4:A$85,0))*(1+'Paramètres'!$B$4*(C660-1)+'Paramètres'!$B$5*(C660-1)^2),0)</x:f>
        <x:v>82</x:v>
      </x:c>
      <x:c r="S660" t="n">
        <x:f>L660-AVERAGE(Q660:R660)</x:f>
        <x:v>-0.5</x:v>
      </x:c>
      <x:c r="T660" t="str">
        <x:f>IF(M660=0,IF(AND(N660=0,O660=0,E660=0,F660=0),"OK","ERREUR"),IF(AND(M660&gt;=1,M660&lt;=32,OR(N660=4,N660=6,N660=8,N660=10,N660=12,N660=20),O660&gt;=0,E660=M660+O660,F660=M660*N660+O660),"OK","ERREUR"))</x:f>
        <x:v>OK</x:v>
      </x:c>
      <x:c r="U660" s="86" t="n">
        <x:f>IF(M660&gt;0,M660*(N660+1)/2+O660,0)</x:f>
        <x:v>64.5</x:v>
      </x:c>
      <x:c r="V660" t="str">
        <x:f>IF(ABS(L660-U660)&lt;0.001,"OK","ERREUR")</x:f>
        <x:v>OK</x:v>
      </x:c>
    </x:row>
    <x:row r="661" ht="18" customHeight="1">
      <x:c r="A661" t="str">
        <x:v>ARM033</x:v>
      </x:c>
      <x:c r="B661" t="str">
        <x:v>Bardiche</x:v>
      </x:c>
      <x:c r="C661" t="n">
        <x:v>18</x:v>
      </x:c>
      <x:c r="D661" t="str">
        <x:v>Deux mains</x:v>
      </x:c>
      <x:c r="E661" s="28" t="n">
        <x:f>IF(M661=0,0,M661+O661)</x:f>
        <x:v>52</x:v>
      </x:c>
      <x:c r="F661" s="28" t="n">
        <x:f>IF(M661=0,0,M661*N661+O661)</x:f>
        <x:v>90</x:v>
      </x:c>
      <x:c r="G661" s="28" t="n">
        <x:f>ROUND(Catalogue!G36*SQRT((1+'Paramètres'!$B$4*(C661-1)+'Paramètres'!$B$5*(C661-1)^2)),0)</x:f>
        <x:v>0</x:v>
      </x:c>
      <x:c r="H661" s="28" t="n">
        <x:f>ROUND(Catalogue!H36*SQRT((1+'Paramètres'!$B$4*(C661-1)+'Paramètres'!$B$5*(C661-1)^2)),0)</x:f>
        <x:v>0</x:v>
      </x:c>
      <x:c r="I661" s="28" t="n">
        <x:v>3</x:v>
      </x:c>
      <x:c r="J661" s="28" t="n">
        <x:v>1</x:v>
      </x:c>
      <x:c r="K661" s="30" t="n">
        <x:v>4.3</x:v>
      </x:c>
      <x:c r="L661" s="54" t="n">
        <x:f>IF(M661=0,0,(E661+F661)/2)</x:f>
        <x:v>71</x:v>
      </x:c>
      <x:c r="M661" t="n">
        <x:v>2</x:v>
      </x:c>
      <x:c r="N661" t="n">
        <x:v>20</x:v>
      </x:c>
      <x:c r="O661" t="n">
        <x:v>50</x:v>
      </x:c>
      <x:c r="P661" s="63" t="str">
        <x:f>IF(M661=0,"—",M661&amp;"d"&amp;N661&amp;IF(O661=0,""," + "&amp;O661))</x:f>
        <x:v>2d20 + 50</x:v>
      </x:c>
      <x:c r="Q661" t="n">
        <x:f>ROUND(INDEX(Catalogue!E$4:E$85,MATCH(A661,Catalogue!A$4:A$85,0))*(1+'Paramètres'!$B$4*(C661-1)+'Paramètres'!$B$5*(C661-1)^2),0)</x:f>
        <x:v>52</x:v>
      </x:c>
      <x:c r="R661" t="n">
        <x:f>ROUND(INDEX(Catalogue!F$4:F$85,MATCH(A661,Catalogue!A$4:A$85,0))*(1+'Paramètres'!$B$4*(C661-1)+'Paramètres'!$B$5*(C661-1)^2),0)</x:f>
        <x:v>90</x:v>
      </x:c>
      <x:c r="S661" t="n">
        <x:f>L661-AVERAGE(Q661:R661)</x:f>
        <x:v>0</x:v>
      </x:c>
      <x:c r="T661" t="str">
        <x:f>IF(M661=0,IF(AND(N661=0,O661=0,E661=0,F661=0),"OK","ERREUR"),IF(AND(M661&gt;=1,M661&lt;=32,OR(N661=4,N661=6,N661=8,N661=10,N661=12,N661=20),O661&gt;=0,E661=M661+O661,F661=M661*N661+O661),"OK","ERREUR"))</x:f>
        <x:v>OK</x:v>
      </x:c>
      <x:c r="U661" s="86" t="n">
        <x:f>IF(M661&gt;0,M661*(N661+1)/2+O661,0)</x:f>
        <x:v>71</x:v>
      </x:c>
      <x:c r="V661" t="str">
        <x:f>IF(ABS(L661-U661)&lt;0.001,"OK","ERREUR")</x:f>
        <x:v>OK</x:v>
      </x:c>
    </x:row>
    <x:row r="662" ht="18" customHeight="1">
      <x:c r="A662" t="str">
        <x:v>ARM033</x:v>
      </x:c>
      <x:c r="B662" t="str">
        <x:v>Bardiche</x:v>
      </x:c>
      <x:c r="C662" t="n">
        <x:v>19</x:v>
      </x:c>
      <x:c r="D662" t="str">
        <x:v>Deux mains</x:v>
      </x:c>
      <x:c r="E662" s="28" t="n">
        <x:f>IF(M662=0,0,M662+O662)</x:f>
        <x:v>56</x:v>
      </x:c>
      <x:c r="F662" s="28" t="n">
        <x:f>IF(M662=0,0,M662*N662+O662)</x:f>
        <x:v>98</x:v>
      </x:c>
      <x:c r="G662" s="28" t="n">
        <x:f>ROUND(Catalogue!G36*SQRT((1+'Paramètres'!$B$4*(C662-1)+'Paramètres'!$B$5*(C662-1)^2)),0)</x:f>
        <x:v>0</x:v>
      </x:c>
      <x:c r="H662" s="28" t="n">
        <x:f>ROUND(Catalogue!H36*SQRT((1+'Paramètres'!$B$4*(C662-1)+'Paramètres'!$B$5*(C662-1)^2)),0)</x:f>
        <x:v>0</x:v>
      </x:c>
      <x:c r="I662" s="28" t="n">
        <x:v>3</x:v>
      </x:c>
      <x:c r="J662" s="28" t="n">
        <x:v>1</x:v>
      </x:c>
      <x:c r="K662" s="30" t="n">
        <x:v>4.3</x:v>
      </x:c>
      <x:c r="L662" s="54" t="n">
        <x:f>IF(M662=0,0,(E662+F662)/2)</x:f>
        <x:v>77</x:v>
      </x:c>
      <x:c r="M662" t="n">
        <x:v>6</x:v>
      </x:c>
      <x:c r="N662" t="n">
        <x:v>8</x:v>
      </x:c>
      <x:c r="O662" t="n">
        <x:v>50</x:v>
      </x:c>
      <x:c r="P662" s="63" t="str">
        <x:f>IF(M662=0,"—",M662&amp;"d"&amp;N662&amp;IF(O662=0,""," + "&amp;O662))</x:f>
        <x:v>6d8 + 50</x:v>
      </x:c>
      <x:c r="Q662" t="n">
        <x:f>ROUND(INDEX(Catalogue!E$4:E$85,MATCH(A662,Catalogue!A$4:A$85,0))*(1+'Paramètres'!$B$4*(C662-1)+'Paramètres'!$B$5*(C662-1)^2),0)</x:f>
        <x:v>57</x:v>
      </x:c>
      <x:c r="R662" t="n">
        <x:f>ROUND(INDEX(Catalogue!F$4:F$85,MATCH(A662,Catalogue!A$4:A$85,0))*(1+'Paramètres'!$B$4*(C662-1)+'Paramètres'!$B$5*(C662-1)^2),0)</x:f>
        <x:v>98</x:v>
      </x:c>
      <x:c r="S662" t="n">
        <x:f>L662-AVERAGE(Q662:R662)</x:f>
        <x:v>-0.5</x:v>
      </x:c>
      <x:c r="T662" t="str">
        <x:f>IF(M662=0,IF(AND(N662=0,O662=0,E662=0,F662=0),"OK","ERREUR"),IF(AND(M662&gt;=1,M662&lt;=32,OR(N662=4,N662=6,N662=8,N662=10,N662=12,N662=20),O662&gt;=0,E662=M662+O662,F662=M662*N662+O662),"OK","ERREUR"))</x:f>
        <x:v>OK</x:v>
      </x:c>
      <x:c r="U662" s="86" t="n">
        <x:f>IF(M662&gt;0,M662*(N662+1)/2+O662,0)</x:f>
        <x:v>77</x:v>
      </x:c>
      <x:c r="V662" t="str">
        <x:f>IF(ABS(L662-U662)&lt;0.001,"OK","ERREUR")</x:f>
        <x:v>OK</x:v>
      </x:c>
    </x:row>
    <x:row r="663" ht="18" customHeight="1">
      <x:c r="A663" t="str">
        <x:v>ARM033</x:v>
      </x:c>
      <x:c r="B663" t="str">
        <x:v>Bardiche</x:v>
      </x:c>
      <x:c r="C663" t="n">
        <x:v>20</x:v>
      </x:c>
      <x:c r="D663" t="str">
        <x:v>Deux mains</x:v>
      </x:c>
      <x:c r="E663" s="28" t="n">
        <x:f>IF(M663=0,0,M663+O663)</x:f>
        <x:v>62</x:v>
      </x:c>
      <x:c r="F663" s="28" t="n">
        <x:f>IF(M663=0,0,M663*N663+O663)</x:f>
        <x:v>106</x:v>
      </x:c>
      <x:c r="G663" s="28" t="n">
        <x:f>ROUND(Catalogue!G36*SQRT((1+'Paramètres'!$B$4*(C663-1)+'Paramètres'!$B$5*(C663-1)^2)),0)</x:f>
        <x:v>0</x:v>
      </x:c>
      <x:c r="H663" s="28" t="n">
        <x:f>ROUND(Catalogue!H36*SQRT((1+'Paramètres'!$B$4*(C663-1)+'Paramètres'!$B$5*(C663-1)^2)),0)</x:f>
        <x:v>0</x:v>
      </x:c>
      <x:c r="I663" s="28" t="n">
        <x:v>3</x:v>
      </x:c>
      <x:c r="J663" s="28" t="n">
        <x:v>1</x:v>
      </x:c>
      <x:c r="K663" s="30" t="n">
        <x:v>4.3</x:v>
      </x:c>
      <x:c r="L663" s="54" t="n">
        <x:f>IF(M663=0,0,(E663+F663)/2)</x:f>
        <x:v>84</x:v>
      </x:c>
      <x:c r="M663" t="n">
        <x:v>4</x:v>
      </x:c>
      <x:c r="N663" t="n">
        <x:v>12</x:v>
      </x:c>
      <x:c r="O663" t="n">
        <x:v>58</x:v>
      </x:c>
      <x:c r="P663" s="63" t="str">
        <x:f>IF(M663=0,"—",M663&amp;"d"&amp;N663&amp;IF(O663=0,""," + "&amp;O663))</x:f>
        <x:v>4d12 + 58</x:v>
      </x:c>
      <x:c r="Q663" t="n">
        <x:f>ROUND(INDEX(Catalogue!E$4:E$85,MATCH(A663,Catalogue!A$4:A$85,0))*(1+'Paramètres'!$B$4*(C663-1)+'Paramètres'!$B$5*(C663-1)^2),0)</x:f>
        <x:v>62</x:v>
      </x:c>
      <x:c r="R663" t="n">
        <x:f>ROUND(INDEX(Catalogue!F$4:F$85,MATCH(A663,Catalogue!A$4:A$85,0))*(1+'Paramètres'!$B$4*(C663-1)+'Paramètres'!$B$5*(C663-1)^2),0)</x:f>
        <x:v>106</x:v>
      </x:c>
      <x:c r="S663" t="n">
        <x:f>L663-AVERAGE(Q663:R663)</x:f>
        <x:v>0</x:v>
      </x:c>
      <x:c r="T663" t="str">
        <x:f>IF(M663=0,IF(AND(N663=0,O663=0,E663=0,F663=0),"OK","ERREUR"),IF(AND(M663&gt;=1,M663&lt;=32,OR(N663=4,N663=6,N663=8,N663=10,N663=12,N663=20),O663&gt;=0,E663=M663+O663,F663=M663*N663+O663),"OK","ERREUR"))</x:f>
        <x:v>OK</x:v>
      </x:c>
      <x:c r="U663" s="86" t="n">
        <x:f>IF(M663&gt;0,M663*(N663+1)/2+O663,0)</x:f>
        <x:v>84</x:v>
      </x:c>
      <x:c r="V663" t="str">
        <x:f>IF(ABS(L663-U663)&lt;0.001,"OK","ERREUR")</x:f>
        <x:v>OK</x:v>
      </x:c>
    </x:row>
    <x:row r="664" ht="18" customHeight="1">
      <x:c r="A664" t="str">
        <x:v>ARM034</x:v>
      </x:c>
      <x:c r="B664" t="str">
        <x:v>Marteau à deux mains</x:v>
      </x:c>
      <x:c r="C664" t="n">
        <x:v>1</x:v>
      </x:c>
      <x:c r="D664" t="str">
        <x:v>Deux mains</x:v>
      </x:c>
      <x:c r="E664" s="28" t="n">
        <x:f>IF(M664=0,0,M664+O664)</x:f>
        <x:v>8</x:v>
      </x:c>
      <x:c r="F664" s="28" t="n">
        <x:f>IF(M664=0,0,M664*N664+O664)</x:f>
        <x:v>13</x:v>
      </x:c>
      <x:c r="G664" s="28" t="n">
        <x:f>ROUND(Catalogue!G37*SQRT((1+'Paramètres'!$B$4*(C664-1)+'Paramètres'!$B$5*(C664-1)^2)),0)</x:f>
        <x:v>0</x:v>
      </x:c>
      <x:c r="H664" s="28" t="n">
        <x:f>ROUND(Catalogue!H37*SQRT((1+'Paramètres'!$B$4*(C664-1)+'Paramètres'!$B$5*(C664-1)^2)),0)</x:f>
        <x:v>0</x:v>
      </x:c>
      <x:c r="I664" s="28" t="n">
        <x:v>3</x:v>
      </x:c>
      <x:c r="J664" s="28" t="n">
        <x:v>1</x:v>
      </x:c>
      <x:c r="K664" s="30" t="n">
        <x:v>5.3</x:v>
      </x:c>
      <x:c r="L664" s="54" t="n">
        <x:f>IF(M664=0,0,(E664+F664)/2)</x:f>
        <x:v>10.5</x:v>
      </x:c>
      <x:c r="M664" t="n">
        <x:v>1</x:v>
      </x:c>
      <x:c r="N664" t="n">
        <x:v>6</x:v>
      </x:c>
      <x:c r="O664" t="n">
        <x:v>7</x:v>
      </x:c>
      <x:c r="P664" s="63" t="str">
        <x:f>IF(M664=0,"—",M664&amp;"d"&amp;N664&amp;IF(O664=0,""," + "&amp;O664))</x:f>
        <x:v>1d6 + 7</x:v>
      </x:c>
      <x:c r="Q664" t="n">
        <x:f>ROUND(INDEX(Catalogue!E$4:E$85,MATCH(A664,Catalogue!A$4:A$85,0))*(1+'Paramètres'!$B$4*(C664-1)+'Paramètres'!$B$5*(C664-1)^2),0)</x:f>
        <x:v>8</x:v>
      </x:c>
      <x:c r="R664" t="n">
        <x:f>ROUND(INDEX(Catalogue!F$4:F$85,MATCH(A664,Catalogue!A$4:A$85,0))*(1+'Paramètres'!$B$4*(C664-1)+'Paramètres'!$B$5*(C664-1)^2),0)</x:f>
        <x:v>13</x:v>
      </x:c>
      <x:c r="S664" t="n">
        <x:f>L664-AVERAGE(Q664:R664)</x:f>
        <x:v>0</x:v>
      </x:c>
      <x:c r="T664" t="str">
        <x:f>IF(M664=0,IF(AND(N664=0,O664=0,E664=0,F664=0),"OK","ERREUR"),IF(AND(M664&gt;=1,M664&lt;=32,OR(N664=4,N664=6,N664=8,N664=10,N664=12,N664=20),O664&gt;=0,E664=M664+O664,F664=M664*N664+O664),"OK","ERREUR"))</x:f>
        <x:v>OK</x:v>
      </x:c>
      <x:c r="U664" s="86" t="n">
        <x:f>IF(M664&gt;0,M664*(N664+1)/2+O664,0)</x:f>
        <x:v>10.5</x:v>
      </x:c>
      <x:c r="V664" t="str">
        <x:f>IF(ABS(L664-U664)&lt;0.001,"OK","ERREUR")</x:f>
        <x:v>OK</x:v>
      </x:c>
    </x:row>
    <x:row r="665" ht="18" customHeight="1">
      <x:c r="A665" t="str">
        <x:v>ARM034</x:v>
      </x:c>
      <x:c r="B665" t="str">
        <x:v>Marteau à deux mains</x:v>
      </x:c>
      <x:c r="C665" t="n">
        <x:v>2</x:v>
      </x:c>
      <x:c r="D665" t="str">
        <x:v>Deux mains</x:v>
      </x:c>
      <x:c r="E665" s="28" t="n">
        <x:f>IF(M665=0,0,M665+O665)</x:f>
        <x:v>9</x:v>
      </x:c>
      <x:c r="F665" s="28" t="n">
        <x:f>IF(M665=0,0,M665*N665+O665)</x:f>
        <x:v>14</x:v>
      </x:c>
      <x:c r="G665" s="28" t="n">
        <x:f>ROUND(Catalogue!G37*SQRT((1+'Paramètres'!$B$4*(C665-1)+'Paramètres'!$B$5*(C665-1)^2)),0)</x:f>
        <x:v>0</x:v>
      </x:c>
      <x:c r="H665" s="28" t="n">
        <x:f>ROUND(Catalogue!H37*SQRT((1+'Paramètres'!$B$4*(C665-1)+'Paramètres'!$B$5*(C665-1)^2)),0)</x:f>
        <x:v>0</x:v>
      </x:c>
      <x:c r="I665" s="28" t="n">
        <x:v>3</x:v>
      </x:c>
      <x:c r="J665" s="28" t="n">
        <x:v>1</x:v>
      </x:c>
      <x:c r="K665" s="30" t="n">
        <x:v>5.3</x:v>
      </x:c>
      <x:c r="L665" s="54" t="n">
        <x:f>IF(M665=0,0,(E665+F665)/2)</x:f>
        <x:v>11.5</x:v>
      </x:c>
      <x:c r="M665" t="n">
        <x:v>1</x:v>
      </x:c>
      <x:c r="N665" t="n">
        <x:v>6</x:v>
      </x:c>
      <x:c r="O665" t="n">
        <x:v>8</x:v>
      </x:c>
      <x:c r="P665" s="63" t="str">
        <x:f>IF(M665=0,"—",M665&amp;"d"&amp;N665&amp;IF(O665=0,""," + "&amp;O665))</x:f>
        <x:v>1d6 + 8</x:v>
      </x:c>
      <x:c r="Q665" t="n">
        <x:f>ROUND(INDEX(Catalogue!E$4:E$85,MATCH(A665,Catalogue!A$4:A$85,0))*(1+'Paramètres'!$B$4*(C665-1)+'Paramètres'!$B$5*(C665-1)^2),0)</x:f>
        <x:v>9</x:v>
      </x:c>
      <x:c r="R665" t="n">
        <x:f>ROUND(INDEX(Catalogue!F$4:F$85,MATCH(A665,Catalogue!A$4:A$85,0))*(1+'Paramètres'!$B$4*(C665-1)+'Paramètres'!$B$5*(C665-1)^2),0)</x:f>
        <x:v>15</x:v>
      </x:c>
      <x:c r="S665" t="n">
        <x:f>L665-AVERAGE(Q665:R665)</x:f>
        <x:v>-0.5</x:v>
      </x:c>
      <x:c r="T665" t="str">
        <x:f>IF(M665=0,IF(AND(N665=0,O665=0,E665=0,F665=0),"OK","ERREUR"),IF(AND(M665&gt;=1,M665&lt;=32,OR(N665=4,N665=6,N665=8,N665=10,N665=12,N665=20),O665&gt;=0,E665=M665+O665,F665=M665*N665+O665),"OK","ERREUR"))</x:f>
        <x:v>OK</x:v>
      </x:c>
      <x:c r="U665" s="86" t="n">
        <x:f>IF(M665&gt;0,M665*(N665+1)/2+O665,0)</x:f>
        <x:v>11.5</x:v>
      </x:c>
      <x:c r="V665" t="str">
        <x:f>IF(ABS(L665-U665)&lt;0.001,"OK","ERREUR")</x:f>
        <x:v>OK</x:v>
      </x:c>
    </x:row>
    <x:row r="666" ht="18" customHeight="1">
      <x:c r="A666" t="str">
        <x:v>ARM034</x:v>
      </x:c>
      <x:c r="B666" t="str">
        <x:v>Marteau à deux mains</x:v>
      </x:c>
      <x:c r="C666" t="n">
        <x:v>3</x:v>
      </x:c>
      <x:c r="D666" t="str">
        <x:v>Deux mains</x:v>
      </x:c>
      <x:c r="E666" s="28" t="n">
        <x:f>IF(M666=0,0,M666+O666)</x:f>
        <x:v>10</x:v>
      </x:c>
      <x:c r="F666" s="28" t="n">
        <x:f>IF(M666=0,0,M666*N666+O666)</x:f>
        <x:v>17</x:v>
      </x:c>
      <x:c r="G666" s="28" t="n">
        <x:f>ROUND(Catalogue!G37*SQRT((1+'Paramètres'!$B$4*(C666-1)+'Paramètres'!$B$5*(C666-1)^2)),0)</x:f>
        <x:v>0</x:v>
      </x:c>
      <x:c r="H666" s="28" t="n">
        <x:f>ROUND(Catalogue!H37*SQRT((1+'Paramètres'!$B$4*(C666-1)+'Paramètres'!$B$5*(C666-1)^2)),0)</x:f>
        <x:v>0</x:v>
      </x:c>
      <x:c r="I666" s="28" t="n">
        <x:v>3</x:v>
      </x:c>
      <x:c r="J666" s="28" t="n">
        <x:v>1</x:v>
      </x:c>
      <x:c r="K666" s="30" t="n">
        <x:v>5.3</x:v>
      </x:c>
      <x:c r="L666" s="54" t="n">
        <x:f>IF(M666=0,0,(E666+F666)/2)</x:f>
        <x:v>13.5</x:v>
      </x:c>
      <x:c r="M666" t="n">
        <x:v>1</x:v>
      </x:c>
      <x:c r="N666" t="n">
        <x:v>8</x:v>
      </x:c>
      <x:c r="O666" t="n">
        <x:v>9</x:v>
      </x:c>
      <x:c r="P666" s="63" t="str">
        <x:f>IF(M666=0,"—",M666&amp;"d"&amp;N666&amp;IF(O666=0,""," + "&amp;O666))</x:f>
        <x:v>1d8 + 9</x:v>
      </x:c>
      <x:c r="Q666" t="n">
        <x:f>ROUND(INDEX(Catalogue!E$4:E$85,MATCH(A666,Catalogue!A$4:A$85,0))*(1+'Paramètres'!$B$4*(C666-1)+'Paramètres'!$B$5*(C666-1)^2),0)</x:f>
        <x:v>10</x:v>
      </x:c>
      <x:c r="R666" t="n">
        <x:f>ROUND(INDEX(Catalogue!F$4:F$85,MATCH(A666,Catalogue!A$4:A$85,0))*(1+'Paramètres'!$B$4*(C666-1)+'Paramètres'!$B$5*(C666-1)^2),0)</x:f>
        <x:v>17</x:v>
      </x:c>
      <x:c r="S666" t="n">
        <x:f>L666-AVERAGE(Q666:R666)</x:f>
        <x:v>0</x:v>
      </x:c>
      <x:c r="T666" t="str">
        <x:f>IF(M666=0,IF(AND(N666=0,O666=0,E666=0,F666=0),"OK","ERREUR"),IF(AND(M666&gt;=1,M666&lt;=32,OR(N666=4,N666=6,N666=8,N666=10,N666=12,N666=20),O666&gt;=0,E666=M666+O666,F666=M666*N666+O666),"OK","ERREUR"))</x:f>
        <x:v>OK</x:v>
      </x:c>
      <x:c r="U666" s="86" t="n">
        <x:f>IF(M666&gt;0,M666*(N666+1)/2+O666,0)</x:f>
        <x:v>13.5</x:v>
      </x:c>
      <x:c r="V666" t="str">
        <x:f>IF(ABS(L666-U666)&lt;0.001,"OK","ERREUR")</x:f>
        <x:v>OK</x:v>
      </x:c>
    </x:row>
    <x:row r="667" ht="18" customHeight="1">
      <x:c r="A667" t="str">
        <x:v>ARM034</x:v>
      </x:c>
      <x:c r="B667" t="str">
        <x:v>Marteau à deux mains</x:v>
      </x:c>
      <x:c r="C667" t="n">
        <x:v>4</x:v>
      </x:c>
      <x:c r="D667" t="str">
        <x:v>Deux mains</x:v>
      </x:c>
      <x:c r="E667" s="28" t="n">
        <x:f>IF(M667=0,0,M667+O667)</x:f>
        <x:v>12</x:v>
      </x:c>
      <x:c r="F667" s="28" t="n">
        <x:f>IF(M667=0,0,M667*N667+O667)</x:f>
        <x:v>19</x:v>
      </x:c>
      <x:c r="G667" s="28" t="n">
        <x:f>ROUND(Catalogue!G37*SQRT((1+'Paramètres'!$B$4*(C667-1)+'Paramètres'!$B$5*(C667-1)^2)),0)</x:f>
        <x:v>0</x:v>
      </x:c>
      <x:c r="H667" s="28" t="n">
        <x:f>ROUND(Catalogue!H37*SQRT((1+'Paramètres'!$B$4*(C667-1)+'Paramètres'!$B$5*(C667-1)^2)),0)</x:f>
        <x:v>0</x:v>
      </x:c>
      <x:c r="I667" s="28" t="n">
        <x:v>3</x:v>
      </x:c>
      <x:c r="J667" s="28" t="n">
        <x:v>1</x:v>
      </x:c>
      <x:c r="K667" s="30" t="n">
        <x:v>5.3</x:v>
      </x:c>
      <x:c r="L667" s="54" t="n">
        <x:f>IF(M667=0,0,(E667+F667)/2)</x:f>
        <x:v>15.5</x:v>
      </x:c>
      <x:c r="M667" t="n">
        <x:v>1</x:v>
      </x:c>
      <x:c r="N667" t="n">
        <x:v>8</x:v>
      </x:c>
      <x:c r="O667" t="n">
        <x:v>11</x:v>
      </x:c>
      <x:c r="P667" s="63" t="str">
        <x:f>IF(M667=0,"—",M667&amp;"d"&amp;N667&amp;IF(O667=0,""," + "&amp;O667))</x:f>
        <x:v>1d8 + 11</x:v>
      </x:c>
      <x:c r="Q667" t="n">
        <x:f>ROUND(INDEX(Catalogue!E$4:E$85,MATCH(A667,Catalogue!A$4:A$85,0))*(1+'Paramètres'!$B$4*(C667-1)+'Paramètres'!$B$5*(C667-1)^2),0)</x:f>
        <x:v>12</x:v>
      </x:c>
      <x:c r="R667" t="n">
        <x:f>ROUND(INDEX(Catalogue!F$4:F$85,MATCH(A667,Catalogue!A$4:A$85,0))*(1+'Paramètres'!$B$4*(C667-1)+'Paramètres'!$B$5*(C667-1)^2),0)</x:f>
        <x:v>19</x:v>
      </x:c>
      <x:c r="S667" t="n">
        <x:f>L667-AVERAGE(Q667:R667)</x:f>
        <x:v>0</x:v>
      </x:c>
      <x:c r="T667" t="str">
        <x:f>IF(M667=0,IF(AND(N667=0,O667=0,E667=0,F667=0),"OK","ERREUR"),IF(AND(M667&gt;=1,M667&lt;=32,OR(N667=4,N667=6,N667=8,N667=10,N667=12,N667=20),O667&gt;=0,E667=M667+O667,F667=M667*N667+O667),"OK","ERREUR"))</x:f>
        <x:v>OK</x:v>
      </x:c>
      <x:c r="U667" s="86" t="n">
        <x:f>IF(M667&gt;0,M667*(N667+1)/2+O667,0)</x:f>
        <x:v>15.5</x:v>
      </x:c>
      <x:c r="V667" t="str">
        <x:f>IF(ABS(L667-U667)&lt;0.001,"OK","ERREUR")</x:f>
        <x:v>OK</x:v>
      </x:c>
    </x:row>
    <x:row r="668" ht="18" customHeight="1">
      <x:c r="A668" t="str">
        <x:v>ARM034</x:v>
      </x:c>
      <x:c r="B668" t="str">
        <x:v>Marteau à deux mains</x:v>
      </x:c>
      <x:c r="C668" t="n">
        <x:v>5</x:v>
      </x:c>
      <x:c r="D668" t="str">
        <x:v>Deux mains</x:v>
      </x:c>
      <x:c r="E668" s="28" t="n">
        <x:f>IF(M668=0,0,M668+O668)</x:f>
        <x:v>14</x:v>
      </x:c>
      <x:c r="F668" s="28" t="n">
        <x:f>IF(M668=0,0,M668*N668+O668)</x:f>
        <x:v>21</x:v>
      </x:c>
      <x:c r="G668" s="28" t="n">
        <x:f>ROUND(Catalogue!G37*SQRT((1+'Paramètres'!$B$4*(C668-1)+'Paramètres'!$B$5*(C668-1)^2)),0)</x:f>
        <x:v>0</x:v>
      </x:c>
      <x:c r="H668" s="28" t="n">
        <x:f>ROUND(Catalogue!H37*SQRT((1+'Paramètres'!$B$4*(C668-1)+'Paramètres'!$B$5*(C668-1)^2)),0)</x:f>
        <x:v>0</x:v>
      </x:c>
      <x:c r="I668" s="28" t="n">
        <x:v>3</x:v>
      </x:c>
      <x:c r="J668" s="28" t="n">
        <x:v>1</x:v>
      </x:c>
      <x:c r="K668" s="30" t="n">
        <x:v>5.3</x:v>
      </x:c>
      <x:c r="L668" s="54" t="n">
        <x:f>IF(M668=0,0,(E668+F668)/2)</x:f>
        <x:v>17.5</x:v>
      </x:c>
      <x:c r="M668" t="n">
        <x:v>1</x:v>
      </x:c>
      <x:c r="N668" t="n">
        <x:v>8</x:v>
      </x:c>
      <x:c r="O668" t="n">
        <x:v>13</x:v>
      </x:c>
      <x:c r="P668" s="63" t="str">
        <x:f>IF(M668=0,"—",M668&amp;"d"&amp;N668&amp;IF(O668=0,""," + "&amp;O668))</x:f>
        <x:v>1d8 + 13</x:v>
      </x:c>
      <x:c r="Q668" t="n">
        <x:f>ROUND(INDEX(Catalogue!E$4:E$85,MATCH(A668,Catalogue!A$4:A$85,0))*(1+'Paramètres'!$B$4*(C668-1)+'Paramètres'!$B$5*(C668-1)^2),0)</x:f>
        <x:v>14</x:v>
      </x:c>
      <x:c r="R668" t="n">
        <x:f>ROUND(INDEX(Catalogue!F$4:F$85,MATCH(A668,Catalogue!A$4:A$85,0))*(1+'Paramètres'!$B$4*(C668-1)+'Paramètres'!$B$5*(C668-1)^2),0)</x:f>
        <x:v>22</x:v>
      </x:c>
      <x:c r="S668" t="n">
        <x:f>L668-AVERAGE(Q668:R668)</x:f>
        <x:v>-0.5</x:v>
      </x:c>
      <x:c r="T668" t="str">
        <x:f>IF(M668=0,IF(AND(N668=0,O668=0,E668=0,F668=0),"OK","ERREUR"),IF(AND(M668&gt;=1,M668&lt;=32,OR(N668=4,N668=6,N668=8,N668=10,N668=12,N668=20),O668&gt;=0,E668=M668+O668,F668=M668*N668+O668),"OK","ERREUR"))</x:f>
        <x:v>OK</x:v>
      </x:c>
      <x:c r="U668" s="86" t="n">
        <x:f>IF(M668&gt;0,M668*(N668+1)/2+O668,0)</x:f>
        <x:v>17.5</x:v>
      </x:c>
      <x:c r="V668" t="str">
        <x:f>IF(ABS(L668-U668)&lt;0.001,"OK","ERREUR")</x:f>
        <x:v>OK</x:v>
      </x:c>
    </x:row>
    <x:row r="669" ht="18" customHeight="1">
      <x:c r="A669" t="str">
        <x:v>ARM034</x:v>
      </x:c>
      <x:c r="B669" t="str">
        <x:v>Marteau à deux mains</x:v>
      </x:c>
      <x:c r="C669" t="n">
        <x:v>6</x:v>
      </x:c>
      <x:c r="D669" t="str">
        <x:v>Deux mains</x:v>
      </x:c>
      <x:c r="E669" s="28" t="n">
        <x:f>IF(M669=0,0,M669+O669)</x:f>
        <x:v>16</x:v>
      </x:c>
      <x:c r="F669" s="28" t="n">
        <x:f>IF(M669=0,0,M669*N669+O669)</x:f>
        <x:v>25</x:v>
      </x:c>
      <x:c r="G669" s="28" t="n">
        <x:f>ROUND(Catalogue!G37*SQRT((1+'Paramètres'!$B$4*(C669-1)+'Paramètres'!$B$5*(C669-1)^2)),0)</x:f>
        <x:v>0</x:v>
      </x:c>
      <x:c r="H669" s="28" t="n">
        <x:f>ROUND(Catalogue!H37*SQRT((1+'Paramètres'!$B$4*(C669-1)+'Paramètres'!$B$5*(C669-1)^2)),0)</x:f>
        <x:v>0</x:v>
      </x:c>
      <x:c r="I669" s="28" t="n">
        <x:v>3</x:v>
      </x:c>
      <x:c r="J669" s="28" t="n">
        <x:v>1</x:v>
      </x:c>
      <x:c r="K669" s="30" t="n">
        <x:v>5.3</x:v>
      </x:c>
      <x:c r="L669" s="54" t="n">
        <x:f>IF(M669=0,0,(E669+F669)/2)</x:f>
        <x:v>20.5</x:v>
      </x:c>
      <x:c r="M669" t="n">
        <x:v>1</x:v>
      </x:c>
      <x:c r="N669" t="n">
        <x:v>10</x:v>
      </x:c>
      <x:c r="O669" t="n">
        <x:v>15</x:v>
      </x:c>
      <x:c r="P669" s="63" t="str">
        <x:f>IF(M669=0,"—",M669&amp;"d"&amp;N669&amp;IF(O669=0,""," + "&amp;O669))</x:f>
        <x:v>1d10 + 15</x:v>
      </x:c>
      <x:c r="Q669" t="n">
        <x:f>ROUND(INDEX(Catalogue!E$4:E$85,MATCH(A669,Catalogue!A$4:A$85,0))*(1+'Paramètres'!$B$4*(C669-1)+'Paramètres'!$B$5*(C669-1)^2),0)</x:f>
        <x:v>16</x:v>
      </x:c>
      <x:c r="R669" t="n">
        <x:f>ROUND(INDEX(Catalogue!F$4:F$85,MATCH(A669,Catalogue!A$4:A$85,0))*(1+'Paramètres'!$B$4*(C669-1)+'Paramètres'!$B$5*(C669-1)^2),0)</x:f>
        <x:v>25</x:v>
      </x:c>
      <x:c r="S669" t="n">
        <x:f>L669-AVERAGE(Q669:R669)</x:f>
        <x:v>0</x:v>
      </x:c>
      <x:c r="T669" t="str">
        <x:f>IF(M669=0,IF(AND(N669=0,O669=0,E669=0,F669=0),"OK","ERREUR"),IF(AND(M669&gt;=1,M669&lt;=32,OR(N669=4,N669=6,N669=8,N669=10,N669=12,N669=20),O669&gt;=0,E669=M669+O669,F669=M669*N669+O669),"OK","ERREUR"))</x:f>
        <x:v>OK</x:v>
      </x:c>
      <x:c r="U669" s="86" t="n">
        <x:f>IF(M669&gt;0,M669*(N669+1)/2+O669,0)</x:f>
        <x:v>20.5</x:v>
      </x:c>
      <x:c r="V669" t="str">
        <x:f>IF(ABS(L669-U669)&lt;0.001,"OK","ERREUR")</x:f>
        <x:v>OK</x:v>
      </x:c>
    </x:row>
    <x:row r="670" ht="18" customHeight="1">
      <x:c r="A670" t="str">
        <x:v>ARM034</x:v>
      </x:c>
      <x:c r="B670" t="str">
        <x:v>Marteau à deux mains</x:v>
      </x:c>
      <x:c r="C670" t="n">
        <x:v>7</x:v>
      </x:c>
      <x:c r="D670" t="str">
        <x:v>Deux mains</x:v>
      </x:c>
      <x:c r="E670" s="28" t="n">
        <x:f>IF(M670=0,0,M670+O670)</x:f>
        <x:v>18</x:v>
      </x:c>
      <x:c r="F670" s="28" t="n">
        <x:f>IF(M670=0,0,M670*N670+O670)</x:f>
        <x:v>29</x:v>
      </x:c>
      <x:c r="G670" s="28" t="n">
        <x:f>ROUND(Catalogue!G37*SQRT((1+'Paramètres'!$B$4*(C670-1)+'Paramètres'!$B$5*(C670-1)^2)),0)</x:f>
        <x:v>0</x:v>
      </x:c>
      <x:c r="H670" s="28" t="n">
        <x:f>ROUND(Catalogue!H37*SQRT((1+'Paramètres'!$B$4*(C670-1)+'Paramètres'!$B$5*(C670-1)^2)),0)</x:f>
        <x:v>0</x:v>
      </x:c>
      <x:c r="I670" s="28" t="n">
        <x:v>3</x:v>
      </x:c>
      <x:c r="J670" s="28" t="n">
        <x:v>1</x:v>
      </x:c>
      <x:c r="K670" s="30" t="n">
        <x:v>5.3</x:v>
      </x:c>
      <x:c r="L670" s="54" t="n">
        <x:f>IF(M670=0,0,(E670+F670)/2)</x:f>
        <x:v>23.5</x:v>
      </x:c>
      <x:c r="M670" t="n">
        <x:v>1</x:v>
      </x:c>
      <x:c r="N670" t="n">
        <x:v>12</x:v>
      </x:c>
      <x:c r="O670" t="n">
        <x:v>17</x:v>
      </x:c>
      <x:c r="P670" s="63" t="str">
        <x:f>IF(M670=0,"—",M670&amp;"d"&amp;N670&amp;IF(O670=0,""," + "&amp;O670))</x:f>
        <x:v>1d12 + 17</x:v>
      </x:c>
      <x:c r="Q670" t="n">
        <x:f>ROUND(INDEX(Catalogue!E$4:E$85,MATCH(A670,Catalogue!A$4:A$85,0))*(1+'Paramètres'!$B$4*(C670-1)+'Paramètres'!$B$5*(C670-1)^2),0)</x:f>
        <x:v>18</x:v>
      </x:c>
      <x:c r="R670" t="n">
        <x:f>ROUND(INDEX(Catalogue!F$4:F$85,MATCH(A670,Catalogue!A$4:A$85,0))*(1+'Paramètres'!$B$4*(C670-1)+'Paramètres'!$B$5*(C670-1)^2),0)</x:f>
        <x:v>29</x:v>
      </x:c>
      <x:c r="S670" t="n">
        <x:f>L670-AVERAGE(Q670:R670)</x:f>
        <x:v>0</x:v>
      </x:c>
      <x:c r="T670" t="str">
        <x:f>IF(M670=0,IF(AND(N670=0,O670=0,E670=0,F670=0),"OK","ERREUR"),IF(AND(M670&gt;=1,M670&lt;=32,OR(N670=4,N670=6,N670=8,N670=10,N670=12,N670=20),O670&gt;=0,E670=M670+O670,F670=M670*N670+O670),"OK","ERREUR"))</x:f>
        <x:v>OK</x:v>
      </x:c>
      <x:c r="U670" s="86" t="n">
        <x:f>IF(M670&gt;0,M670*(N670+1)/2+O670,0)</x:f>
        <x:v>23.5</x:v>
      </x:c>
      <x:c r="V670" t="str">
        <x:f>IF(ABS(L670-U670)&lt;0.001,"OK","ERREUR")</x:f>
        <x:v>OK</x:v>
      </x:c>
    </x:row>
    <x:row r="671" ht="18" customHeight="1">
      <x:c r="A671" t="str">
        <x:v>ARM034</x:v>
      </x:c>
      <x:c r="B671" t="str">
        <x:v>Marteau à deux mains</x:v>
      </x:c>
      <x:c r="C671" t="n">
        <x:v>8</x:v>
      </x:c>
      <x:c r="D671" t="str">
        <x:v>Deux mains</x:v>
      </x:c>
      <x:c r="E671" s="28" t="n">
        <x:f>IF(M671=0,0,M671+O671)</x:f>
        <x:v>19</x:v>
      </x:c>
      <x:c r="F671" s="28" t="n">
        <x:f>IF(M671=0,0,M671*N671+O671)</x:f>
        <x:v>33</x:v>
      </x:c>
      <x:c r="G671" s="28" t="n">
        <x:f>ROUND(Catalogue!G37*SQRT((1+'Paramètres'!$B$4*(C671-1)+'Paramètres'!$B$5*(C671-1)^2)),0)</x:f>
        <x:v>0</x:v>
      </x:c>
      <x:c r="H671" s="28" t="n">
        <x:f>ROUND(Catalogue!H37*SQRT((1+'Paramètres'!$B$4*(C671-1)+'Paramètres'!$B$5*(C671-1)^2)),0)</x:f>
        <x:v>0</x:v>
      </x:c>
      <x:c r="I671" s="28" t="n">
        <x:v>3</x:v>
      </x:c>
      <x:c r="J671" s="28" t="n">
        <x:v>1</x:v>
      </x:c>
      <x:c r="K671" s="30" t="n">
        <x:v>5.3</x:v>
      </x:c>
      <x:c r="L671" s="54" t="n">
        <x:f>IF(M671=0,0,(E671+F671)/2)</x:f>
        <x:v>26</x:v>
      </x:c>
      <x:c r="M671" t="n">
        <x:v>2</x:v>
      </x:c>
      <x:c r="N671" t="n">
        <x:v>8</x:v>
      </x:c>
      <x:c r="O671" t="n">
        <x:v>17</x:v>
      </x:c>
      <x:c r="P671" s="63" t="str">
        <x:f>IF(M671=0,"—",M671&amp;"d"&amp;N671&amp;IF(O671=0,""," + "&amp;O671))</x:f>
        <x:v>2d8 + 17</x:v>
      </x:c>
      <x:c r="Q671" t="n">
        <x:f>ROUND(INDEX(Catalogue!E$4:E$85,MATCH(A671,Catalogue!A$4:A$85,0))*(1+'Paramètres'!$B$4*(C671-1)+'Paramètres'!$B$5*(C671-1)^2),0)</x:f>
        <x:v>20</x:v>
      </x:c>
      <x:c r="R671" t="n">
        <x:f>ROUND(INDEX(Catalogue!F$4:F$85,MATCH(A671,Catalogue!A$4:A$85,0))*(1+'Paramètres'!$B$4*(C671-1)+'Paramètres'!$B$5*(C671-1)^2),0)</x:f>
        <x:v>33</x:v>
      </x:c>
      <x:c r="S671" t="n">
        <x:f>L671-AVERAGE(Q671:R671)</x:f>
        <x:v>-0.5</x:v>
      </x:c>
      <x:c r="T671" t="str">
        <x:f>IF(M671=0,IF(AND(N671=0,O671=0,E671=0,F671=0),"OK","ERREUR"),IF(AND(M671&gt;=1,M671&lt;=32,OR(N671=4,N671=6,N671=8,N671=10,N671=12,N671=20),O671&gt;=0,E671=M671+O671,F671=M671*N671+O671),"OK","ERREUR"))</x:f>
        <x:v>OK</x:v>
      </x:c>
      <x:c r="U671" s="86" t="n">
        <x:f>IF(M671&gt;0,M671*(N671+1)/2+O671,0)</x:f>
        <x:v>26</x:v>
      </x:c>
      <x:c r="V671" t="str">
        <x:f>IF(ABS(L671-U671)&lt;0.001,"OK","ERREUR")</x:f>
        <x:v>OK</x:v>
      </x:c>
    </x:row>
    <x:row r="672" ht="18" customHeight="1">
      <x:c r="A672" t="str">
        <x:v>ARM034</x:v>
      </x:c>
      <x:c r="B672" t="str">
        <x:v>Marteau à deux mains</x:v>
      </x:c>
      <x:c r="C672" t="n">
        <x:v>9</x:v>
      </x:c>
      <x:c r="D672" t="str">
        <x:v>Deux mains</x:v>
      </x:c>
      <x:c r="E672" s="28" t="n">
        <x:f>IF(M672=0,0,M672+O672)</x:f>
        <x:v>23</x:v>
      </x:c>
      <x:c r="F672" s="28" t="n">
        <x:f>IF(M672=0,0,M672*N672+O672)</x:f>
        <x:v>38</x:v>
      </x:c>
      <x:c r="G672" s="28" t="n">
        <x:f>ROUND(Catalogue!G37*SQRT((1+'Paramètres'!$B$4*(C672-1)+'Paramètres'!$B$5*(C672-1)^2)),0)</x:f>
        <x:v>0</x:v>
      </x:c>
      <x:c r="H672" s="28" t="n">
        <x:f>ROUND(Catalogue!H37*SQRT((1+'Paramètres'!$B$4*(C672-1)+'Paramètres'!$B$5*(C672-1)^2)),0)</x:f>
        <x:v>0</x:v>
      </x:c>
      <x:c r="I672" s="28" t="n">
        <x:v>3</x:v>
      </x:c>
      <x:c r="J672" s="28" t="n">
        <x:v>1</x:v>
      </x:c>
      <x:c r="K672" s="30" t="n">
        <x:v>5.3</x:v>
      </x:c>
      <x:c r="L672" s="54" t="n">
        <x:f>IF(M672=0,0,(E672+F672)/2)</x:f>
        <x:v>30.5</x:v>
      </x:c>
      <x:c r="M672" t="n">
        <x:v>3</x:v>
      </x:c>
      <x:c r="N672" t="n">
        <x:v>6</x:v>
      </x:c>
      <x:c r="O672" t="n">
        <x:v>20</x:v>
      </x:c>
      <x:c r="P672" s="63" t="str">
        <x:f>IF(M672=0,"—",M672&amp;"d"&amp;N672&amp;IF(O672=0,""," + "&amp;O672))</x:f>
        <x:v>3d6 + 20</x:v>
      </x:c>
      <x:c r="Q672" t="n">
        <x:f>ROUND(INDEX(Catalogue!E$4:E$85,MATCH(A672,Catalogue!A$4:A$85,0))*(1+'Paramètres'!$B$4*(C672-1)+'Paramètres'!$B$5*(C672-1)^2),0)</x:f>
        <x:v>23</x:v>
      </x:c>
      <x:c r="R672" t="n">
        <x:f>ROUND(INDEX(Catalogue!F$4:F$85,MATCH(A672,Catalogue!A$4:A$85,0))*(1+'Paramètres'!$B$4*(C672-1)+'Paramètres'!$B$5*(C672-1)^2),0)</x:f>
        <x:v>38</x:v>
      </x:c>
      <x:c r="S672" t="n">
        <x:f>L672-AVERAGE(Q672:R672)</x:f>
        <x:v>0</x:v>
      </x:c>
      <x:c r="T672" t="str">
        <x:f>IF(M672=0,IF(AND(N672=0,O672=0,E672=0,F672=0),"OK","ERREUR"),IF(AND(M672&gt;=1,M672&lt;=32,OR(N672=4,N672=6,N672=8,N672=10,N672=12,N672=20),O672&gt;=0,E672=M672+O672,F672=M672*N672+O672),"OK","ERREUR"))</x:f>
        <x:v>OK</x:v>
      </x:c>
      <x:c r="U672" s="86" t="n">
        <x:f>IF(M672&gt;0,M672*(N672+1)/2+O672,0)</x:f>
        <x:v>30.5</x:v>
      </x:c>
      <x:c r="V672" t="str">
        <x:f>IF(ABS(L672-U672)&lt;0.001,"OK","ERREUR")</x:f>
        <x:v>OK</x:v>
      </x:c>
    </x:row>
    <x:row r="673" ht="18" customHeight="1">
      <x:c r="A673" t="str">
        <x:v>ARM034</x:v>
      </x:c>
      <x:c r="B673" t="str">
        <x:v>Marteau à deux mains</x:v>
      </x:c>
      <x:c r="C673" t="n">
        <x:v>10</x:v>
      </x:c>
      <x:c r="D673" t="str">
        <x:v>Deux mains</x:v>
      </x:c>
      <x:c r="E673" s="28" t="n">
        <x:f>IF(M673=0,0,M673+O673)</x:f>
        <x:v>26</x:v>
      </x:c>
      <x:c r="F673" s="28" t="n">
        <x:f>IF(M673=0,0,M673*N673+O673)</x:f>
        <x:v>44</x:v>
      </x:c>
      <x:c r="G673" s="28" t="n">
        <x:f>ROUND(Catalogue!G37*SQRT((1+'Paramètres'!$B$4*(C673-1)+'Paramètres'!$B$5*(C673-1)^2)),0)</x:f>
        <x:v>0</x:v>
      </x:c>
      <x:c r="H673" s="28" t="n">
        <x:f>ROUND(Catalogue!H37*SQRT((1+'Paramètres'!$B$4*(C673-1)+'Paramètres'!$B$5*(C673-1)^2)),0)</x:f>
        <x:v>0</x:v>
      </x:c>
      <x:c r="I673" s="28" t="n">
        <x:v>3</x:v>
      </x:c>
      <x:c r="J673" s="28" t="n">
        <x:v>1</x:v>
      </x:c>
      <x:c r="K673" s="30" t="n">
        <x:v>5.3</x:v>
      </x:c>
      <x:c r="L673" s="54" t="n">
        <x:f>IF(M673=0,0,(E673+F673)/2)</x:f>
        <x:v>35</x:v>
      </x:c>
      <x:c r="M673" t="n">
        <x:v>2</x:v>
      </x:c>
      <x:c r="N673" t="n">
        <x:v>10</x:v>
      </x:c>
      <x:c r="O673" t="n">
        <x:v>24</x:v>
      </x:c>
      <x:c r="P673" s="63" t="str">
        <x:f>IF(M673=0,"—",M673&amp;"d"&amp;N673&amp;IF(O673=0,""," + "&amp;O673))</x:f>
        <x:v>2d10 + 24</x:v>
      </x:c>
      <x:c r="Q673" t="n">
        <x:f>ROUND(INDEX(Catalogue!E$4:E$85,MATCH(A673,Catalogue!A$4:A$85,0))*(1+'Paramètres'!$B$4*(C673-1)+'Paramètres'!$B$5*(C673-1)^2),0)</x:f>
        <x:v>26</x:v>
      </x:c>
      <x:c r="R673" t="n">
        <x:f>ROUND(INDEX(Catalogue!F$4:F$85,MATCH(A673,Catalogue!A$4:A$85,0))*(1+'Paramètres'!$B$4*(C673-1)+'Paramètres'!$B$5*(C673-1)^2),0)</x:f>
        <x:v>43</x:v>
      </x:c>
      <x:c r="S673" t="n">
        <x:f>L673-AVERAGE(Q673:R673)</x:f>
        <x:v>0.5</x:v>
      </x:c>
      <x:c r="T673" t="str">
        <x:f>IF(M673=0,IF(AND(N673=0,O673=0,E673=0,F673=0),"OK","ERREUR"),IF(AND(M673&gt;=1,M673&lt;=32,OR(N673=4,N673=6,N673=8,N673=10,N673=12,N673=20),O673&gt;=0,E673=M673+O673,F673=M673*N673+O673),"OK","ERREUR"))</x:f>
        <x:v>OK</x:v>
      </x:c>
      <x:c r="U673" s="86" t="n">
        <x:f>IF(M673&gt;0,M673*(N673+1)/2+O673,0)</x:f>
        <x:v>35</x:v>
      </x:c>
      <x:c r="V673" t="str">
        <x:f>IF(ABS(L673-U673)&lt;0.001,"OK","ERREUR")</x:f>
        <x:v>OK</x:v>
      </x:c>
    </x:row>
    <x:row r="674" ht="18" customHeight="1">
      <x:c r="A674" t="str">
        <x:v>ARM034</x:v>
      </x:c>
      <x:c r="B674" t="str">
        <x:v>Marteau à deux mains</x:v>
      </x:c>
      <x:c r="C674" t="n">
        <x:v>11</x:v>
      </x:c>
      <x:c r="D674" t="str">
        <x:v>Deux mains</x:v>
      </x:c>
      <x:c r="E674" s="28" t="n">
        <x:f>IF(M674=0,0,M674+O674)</x:f>
        <x:v>30</x:v>
      </x:c>
      <x:c r="F674" s="28" t="n">
        <x:f>IF(M674=0,0,M674*N674+O674)</x:f>
        <x:v>48</x:v>
      </x:c>
      <x:c r="G674" s="28" t="n">
        <x:f>ROUND(Catalogue!G37*SQRT((1+'Paramètres'!$B$4*(C674-1)+'Paramètres'!$B$5*(C674-1)^2)),0)</x:f>
        <x:v>0</x:v>
      </x:c>
      <x:c r="H674" s="28" t="n">
        <x:f>ROUND(Catalogue!H37*SQRT((1+'Paramètres'!$B$4*(C674-1)+'Paramètres'!$B$5*(C674-1)^2)),0)</x:f>
        <x:v>0</x:v>
      </x:c>
      <x:c r="I674" s="28" t="n">
        <x:v>3</x:v>
      </x:c>
      <x:c r="J674" s="28" t="n">
        <x:v>1</x:v>
      </x:c>
      <x:c r="K674" s="30" t="n">
        <x:v>5.3</x:v>
      </x:c>
      <x:c r="L674" s="54" t="n">
        <x:f>IF(M674=0,0,(E674+F674)/2)</x:f>
        <x:v>39</x:v>
      </x:c>
      <x:c r="M674" t="n">
        <x:v>2</x:v>
      </x:c>
      <x:c r="N674" t="n">
        <x:v>10</x:v>
      </x:c>
      <x:c r="O674" t="n">
        <x:v>28</x:v>
      </x:c>
      <x:c r="P674" s="63" t="str">
        <x:f>IF(M674=0,"—",M674&amp;"d"&amp;N674&amp;IF(O674=0,""," + "&amp;O674))</x:f>
        <x:v>2d10 + 28</x:v>
      </x:c>
      <x:c r="Q674" t="n">
        <x:f>ROUND(INDEX(Catalogue!E$4:E$85,MATCH(A674,Catalogue!A$4:A$85,0))*(1+'Paramètres'!$B$4*(C674-1)+'Paramètres'!$B$5*(C674-1)^2),0)</x:f>
        <x:v>30</x:v>
      </x:c>
      <x:c r="R674" t="n">
        <x:f>ROUND(INDEX(Catalogue!F$4:F$85,MATCH(A674,Catalogue!A$4:A$85,0))*(1+'Paramètres'!$B$4*(C674-1)+'Paramètres'!$B$5*(C674-1)^2),0)</x:f>
        <x:v>48</x:v>
      </x:c>
      <x:c r="S674" t="n">
        <x:f>L674-AVERAGE(Q674:R674)</x:f>
        <x:v>0</x:v>
      </x:c>
      <x:c r="T674" t="str">
        <x:f>IF(M674=0,IF(AND(N674=0,O674=0,E674=0,F674=0),"OK","ERREUR"),IF(AND(M674&gt;=1,M674&lt;=32,OR(N674=4,N674=6,N674=8,N674=10,N674=12,N674=20),O674&gt;=0,E674=M674+O674,F674=M674*N674+O674),"OK","ERREUR"))</x:f>
        <x:v>OK</x:v>
      </x:c>
      <x:c r="U674" s="86" t="n">
        <x:f>IF(M674&gt;0,M674*(N674+1)/2+O674,0)</x:f>
        <x:v>39</x:v>
      </x:c>
      <x:c r="V674" t="str">
        <x:f>IF(ABS(L674-U674)&lt;0.001,"OK","ERREUR")</x:f>
        <x:v>OK</x:v>
      </x:c>
    </x:row>
    <x:row r="675" ht="18" customHeight="1">
      <x:c r="A675" t="str">
        <x:v>ARM034</x:v>
      </x:c>
      <x:c r="B675" t="str">
        <x:v>Marteau à deux mains</x:v>
      </x:c>
      <x:c r="C675" t="n">
        <x:v>12</x:v>
      </x:c>
      <x:c r="D675" t="str">
        <x:v>Deux mains</x:v>
      </x:c>
      <x:c r="E675" s="28" t="n">
        <x:f>IF(M675=0,0,M675+O675)</x:f>
        <x:v>33</x:v>
      </x:c>
      <x:c r="F675" s="28" t="n">
        <x:f>IF(M675=0,0,M675*N675+O675)</x:f>
        <x:v>54</x:v>
      </x:c>
      <x:c r="G675" s="28" t="n">
        <x:f>ROUND(Catalogue!G37*SQRT((1+'Paramètres'!$B$4*(C675-1)+'Paramètres'!$B$5*(C675-1)^2)),0)</x:f>
        <x:v>0</x:v>
      </x:c>
      <x:c r="H675" s="28" t="n">
        <x:f>ROUND(Catalogue!H37*SQRT((1+'Paramètres'!$B$4*(C675-1)+'Paramètres'!$B$5*(C675-1)^2)),0)</x:f>
        <x:v>0</x:v>
      </x:c>
      <x:c r="I675" s="28" t="n">
        <x:v>3</x:v>
      </x:c>
      <x:c r="J675" s="28" t="n">
        <x:v>1</x:v>
      </x:c>
      <x:c r="K675" s="30" t="n">
        <x:v>5.3</x:v>
      </x:c>
      <x:c r="L675" s="54" t="n">
        <x:f>IF(M675=0,0,(E675+F675)/2)</x:f>
        <x:v>43.5</x:v>
      </x:c>
      <x:c r="M675" t="n">
        <x:v>3</x:v>
      </x:c>
      <x:c r="N675" t="n">
        <x:v>8</x:v>
      </x:c>
      <x:c r="O675" t="n">
        <x:v>30</x:v>
      </x:c>
      <x:c r="P675" s="63" t="str">
        <x:f>IF(M675=0,"—",M675&amp;"d"&amp;N675&amp;IF(O675=0,""," + "&amp;O675))</x:f>
        <x:v>3d8 + 30</x:v>
      </x:c>
      <x:c r="Q675" t="n">
        <x:f>ROUND(INDEX(Catalogue!E$4:E$85,MATCH(A675,Catalogue!A$4:A$85,0))*(1+'Paramètres'!$B$4*(C675-1)+'Paramètres'!$B$5*(C675-1)^2),0)</x:f>
        <x:v>33</x:v>
      </x:c>
      <x:c r="R675" t="n">
        <x:f>ROUND(INDEX(Catalogue!F$4:F$85,MATCH(A675,Catalogue!A$4:A$85,0))*(1+'Paramètres'!$B$4*(C675-1)+'Paramètres'!$B$5*(C675-1)^2),0)</x:f>
        <x:v>54</x:v>
      </x:c>
      <x:c r="S675" t="n">
        <x:f>L675-AVERAGE(Q675:R675)</x:f>
        <x:v>0</x:v>
      </x:c>
      <x:c r="T675" t="str">
        <x:f>IF(M675=0,IF(AND(N675=0,O675=0,E675=0,F675=0),"OK","ERREUR"),IF(AND(M675&gt;=1,M675&lt;=32,OR(N675=4,N675=6,N675=8,N675=10,N675=12,N675=20),O675&gt;=0,E675=M675+O675,F675=M675*N675+O675),"OK","ERREUR"))</x:f>
        <x:v>OK</x:v>
      </x:c>
      <x:c r="U675" s="86" t="n">
        <x:f>IF(M675&gt;0,M675*(N675+1)/2+O675,0)</x:f>
        <x:v>43.5</x:v>
      </x:c>
      <x:c r="V675" t="str">
        <x:f>IF(ABS(L675-U675)&lt;0.001,"OK","ERREUR")</x:f>
        <x:v>OK</x:v>
      </x:c>
    </x:row>
    <x:row r="676" ht="18" customHeight="1">
      <x:c r="A676" t="str">
        <x:v>ARM034</x:v>
      </x:c>
      <x:c r="B676" t="str">
        <x:v>Marteau à deux mains</x:v>
      </x:c>
      <x:c r="C676" t="n">
        <x:v>13</x:v>
      </x:c>
      <x:c r="D676" t="str">
        <x:v>Deux mains</x:v>
      </x:c>
      <x:c r="E676" s="28" t="n">
        <x:f>IF(M676=0,0,M676+O676)</x:f>
        <x:v>37</x:v>
      </x:c>
      <x:c r="F676" s="28" t="n">
        <x:f>IF(M676=0,0,M676*N676+O676)</x:f>
        <x:v>59</x:v>
      </x:c>
      <x:c r="G676" s="28" t="n">
        <x:f>ROUND(Catalogue!G37*SQRT((1+'Paramètres'!$B$4*(C676-1)+'Paramètres'!$B$5*(C676-1)^2)),0)</x:f>
        <x:v>0</x:v>
      </x:c>
      <x:c r="H676" s="28" t="n">
        <x:f>ROUND(Catalogue!H37*SQRT((1+'Paramètres'!$B$4*(C676-1)+'Paramètres'!$B$5*(C676-1)^2)),0)</x:f>
        <x:v>0</x:v>
      </x:c>
      <x:c r="I676" s="28" t="n">
        <x:v>3</x:v>
      </x:c>
      <x:c r="J676" s="28" t="n">
        <x:v>1</x:v>
      </x:c>
      <x:c r="K676" s="30" t="n">
        <x:v>5.3</x:v>
      </x:c>
      <x:c r="L676" s="54" t="n">
        <x:f>IF(M676=0,0,(E676+F676)/2)</x:f>
        <x:v>48</x:v>
      </x:c>
      <x:c r="M676" t="n">
        <x:v>2</x:v>
      </x:c>
      <x:c r="N676" t="n">
        <x:v>12</x:v>
      </x:c>
      <x:c r="O676" t="n">
        <x:v>35</x:v>
      </x:c>
      <x:c r="P676" s="63" t="str">
        <x:f>IF(M676=0,"—",M676&amp;"d"&amp;N676&amp;IF(O676=0,""," + "&amp;O676))</x:f>
        <x:v>2d12 + 35</x:v>
      </x:c>
      <x:c r="Q676" t="n">
        <x:f>ROUND(INDEX(Catalogue!E$4:E$85,MATCH(A676,Catalogue!A$4:A$85,0))*(1+'Paramètres'!$B$4*(C676-1)+'Paramètres'!$B$5*(C676-1)^2),0)</x:f>
        <x:v>37</x:v>
      </x:c>
      <x:c r="R676" t="n">
        <x:f>ROUND(INDEX(Catalogue!F$4:F$85,MATCH(A676,Catalogue!A$4:A$85,0))*(1+'Paramètres'!$B$4*(C676-1)+'Paramètres'!$B$5*(C676-1)^2),0)</x:f>
        <x:v>60</x:v>
      </x:c>
      <x:c r="S676" t="n">
        <x:f>L676-AVERAGE(Q676:R676)</x:f>
        <x:v>-0.5</x:v>
      </x:c>
      <x:c r="T676" t="str">
        <x:f>IF(M676=0,IF(AND(N676=0,O676=0,E676=0,F676=0),"OK","ERREUR"),IF(AND(M676&gt;=1,M676&lt;=32,OR(N676=4,N676=6,N676=8,N676=10,N676=12,N676=20),O676&gt;=0,E676=M676+O676,F676=M676*N676+O676),"OK","ERREUR"))</x:f>
        <x:v>OK</x:v>
      </x:c>
      <x:c r="U676" s="86" t="n">
        <x:f>IF(M676&gt;0,M676*(N676+1)/2+O676,0)</x:f>
        <x:v>48</x:v>
      </x:c>
      <x:c r="V676" t="str">
        <x:f>IF(ABS(L676-U676)&lt;0.001,"OK","ERREUR")</x:f>
        <x:v>OK</x:v>
      </x:c>
    </x:row>
    <x:row r="677" ht="18" customHeight="1">
      <x:c r="A677" t="str">
        <x:v>ARM034</x:v>
      </x:c>
      <x:c r="B677" t="str">
        <x:v>Marteau à deux mains</x:v>
      </x:c>
      <x:c r="C677" t="n">
        <x:v>14</x:v>
      </x:c>
      <x:c r="D677" t="str">
        <x:v>Deux mains</x:v>
      </x:c>
      <x:c r="E677" s="28" t="n">
        <x:f>IF(M677=0,0,M677+O677)</x:f>
        <x:v>40</x:v>
      </x:c>
      <x:c r="F677" s="28" t="n">
        <x:f>IF(M677=0,0,M677*N677+O677)</x:f>
        <x:v>67</x:v>
      </x:c>
      <x:c r="G677" s="28" t="n">
        <x:f>ROUND(Catalogue!G37*SQRT((1+'Paramètres'!$B$4*(C677-1)+'Paramètres'!$B$5*(C677-1)^2)),0)</x:f>
        <x:v>0</x:v>
      </x:c>
      <x:c r="H677" s="28" t="n">
        <x:f>ROUND(Catalogue!H37*SQRT((1+'Paramètres'!$B$4*(C677-1)+'Paramètres'!$B$5*(C677-1)^2)),0)</x:f>
        <x:v>0</x:v>
      </x:c>
      <x:c r="I677" s="28" t="n">
        <x:v>3</x:v>
      </x:c>
      <x:c r="J677" s="28" t="n">
        <x:v>1</x:v>
      </x:c>
      <x:c r="K677" s="30" t="n">
        <x:v>5.3</x:v>
      </x:c>
      <x:c r="L677" s="54" t="n">
        <x:f>IF(M677=0,0,(E677+F677)/2)</x:f>
        <x:v>53.5</x:v>
      </x:c>
      <x:c r="M677" t="n">
        <x:v>3</x:v>
      </x:c>
      <x:c r="N677" t="n">
        <x:v>10</x:v>
      </x:c>
      <x:c r="O677" t="n">
        <x:v>37</x:v>
      </x:c>
      <x:c r="P677" s="63" t="str">
        <x:f>IF(M677=0,"—",M677&amp;"d"&amp;N677&amp;IF(O677=0,""," + "&amp;O677))</x:f>
        <x:v>3d10 + 37</x:v>
      </x:c>
      <x:c r="Q677" t="n">
        <x:f>ROUND(INDEX(Catalogue!E$4:E$85,MATCH(A677,Catalogue!A$4:A$85,0))*(1+'Paramètres'!$B$4*(C677-1)+'Paramètres'!$B$5*(C677-1)^2),0)</x:f>
        <x:v>41</x:v>
      </x:c>
      <x:c r="R677" t="n">
        <x:f>ROUND(INDEX(Catalogue!F$4:F$85,MATCH(A677,Catalogue!A$4:A$85,0))*(1+'Paramètres'!$B$4*(C677-1)+'Paramètres'!$B$5*(C677-1)^2),0)</x:f>
        <x:v>67</x:v>
      </x:c>
      <x:c r="S677" t="n">
        <x:f>L677-AVERAGE(Q677:R677)</x:f>
        <x:v>-0.5</x:v>
      </x:c>
      <x:c r="T677" t="str">
        <x:f>IF(M677=0,IF(AND(N677=0,O677=0,E677=0,F677=0),"OK","ERREUR"),IF(AND(M677&gt;=1,M677&lt;=32,OR(N677=4,N677=6,N677=8,N677=10,N677=12,N677=20),O677&gt;=0,E677=M677+O677,F677=M677*N677+O677),"OK","ERREUR"))</x:f>
        <x:v>OK</x:v>
      </x:c>
      <x:c r="U677" s="86" t="n">
        <x:f>IF(M677&gt;0,M677*(N677+1)/2+O677,0)</x:f>
        <x:v>53.5</x:v>
      </x:c>
      <x:c r="V677" t="str">
        <x:f>IF(ABS(L677-U677)&lt;0.001,"OK","ERREUR")</x:f>
        <x:v>OK</x:v>
      </x:c>
    </x:row>
    <x:row r="678" ht="18" customHeight="1">
      <x:c r="A678" t="str">
        <x:v>ARM034</x:v>
      </x:c>
      <x:c r="B678" t="str">
        <x:v>Marteau à deux mains</x:v>
      </x:c>
      <x:c r="C678" t="n">
        <x:v>15</x:v>
      </x:c>
      <x:c r="D678" t="str">
        <x:v>Deux mains</x:v>
      </x:c>
      <x:c r="E678" s="28" t="n">
        <x:f>IF(M678=0,0,M678+O678)</x:f>
        <x:v>45</x:v>
      </x:c>
      <x:c r="F678" s="28" t="n">
        <x:f>IF(M678=0,0,M678*N678+O678)</x:f>
        <x:v>73</x:v>
      </x:c>
      <x:c r="G678" s="28" t="n">
        <x:f>ROUND(Catalogue!G37*SQRT((1+'Paramètres'!$B$4*(C678-1)+'Paramètres'!$B$5*(C678-1)^2)),0)</x:f>
        <x:v>0</x:v>
      </x:c>
      <x:c r="H678" s="28" t="n">
        <x:f>ROUND(Catalogue!H37*SQRT((1+'Paramètres'!$B$4*(C678-1)+'Paramètres'!$B$5*(C678-1)^2)),0)</x:f>
        <x:v>0</x:v>
      </x:c>
      <x:c r="I678" s="28" t="n">
        <x:v>3</x:v>
      </x:c>
      <x:c r="J678" s="28" t="n">
        <x:v>1</x:v>
      </x:c>
      <x:c r="K678" s="30" t="n">
        <x:v>5.3</x:v>
      </x:c>
      <x:c r="L678" s="54" t="n">
        <x:f>IF(M678=0,0,(E678+F678)/2)</x:f>
        <x:v>59</x:v>
      </x:c>
      <x:c r="M678" t="n">
        <x:v>4</x:v>
      </x:c>
      <x:c r="N678" t="n">
        <x:v>8</x:v>
      </x:c>
      <x:c r="O678" t="n">
        <x:v>41</x:v>
      </x:c>
      <x:c r="P678" s="63" t="str">
        <x:f>IF(M678=0,"—",M678&amp;"d"&amp;N678&amp;IF(O678=0,""," + "&amp;O678))</x:f>
        <x:v>4d8 + 41</x:v>
      </x:c>
      <x:c r="Q678" t="n">
        <x:f>ROUND(INDEX(Catalogue!E$4:E$85,MATCH(A678,Catalogue!A$4:A$85,0))*(1+'Paramètres'!$B$4*(C678-1)+'Paramètres'!$B$5*(C678-1)^2),0)</x:f>
        <x:v>45</x:v>
      </x:c>
      <x:c r="R678" t="n">
        <x:f>ROUND(INDEX(Catalogue!F$4:F$85,MATCH(A678,Catalogue!A$4:A$85,0))*(1+'Paramètres'!$B$4*(C678-1)+'Paramètres'!$B$5*(C678-1)^2),0)</x:f>
        <x:v>74</x:v>
      </x:c>
      <x:c r="S678" t="n">
        <x:f>L678-AVERAGE(Q678:R678)</x:f>
        <x:v>-0.5</x:v>
      </x:c>
      <x:c r="T678" t="str">
        <x:f>IF(M678=0,IF(AND(N678=0,O678=0,E678=0,F678=0),"OK","ERREUR"),IF(AND(M678&gt;=1,M678&lt;=32,OR(N678=4,N678=6,N678=8,N678=10,N678=12,N678=20),O678&gt;=0,E678=M678+O678,F678=M678*N678+O678),"OK","ERREUR"))</x:f>
        <x:v>OK</x:v>
      </x:c>
      <x:c r="U678" s="86" t="n">
        <x:f>IF(M678&gt;0,M678*(N678+1)/2+O678,0)</x:f>
        <x:v>59</x:v>
      </x:c>
      <x:c r="V678" t="str">
        <x:f>IF(ABS(L678-U678)&lt;0.001,"OK","ERREUR")</x:f>
        <x:v>OK</x:v>
      </x:c>
    </x:row>
    <x:row r="679" ht="18" customHeight="1">
      <x:c r="A679" t="str">
        <x:v>ARM034</x:v>
      </x:c>
      <x:c r="B679" t="str">
        <x:v>Marteau à deux mains</x:v>
      </x:c>
      <x:c r="C679" t="n">
        <x:v>16</x:v>
      </x:c>
      <x:c r="D679" t="str">
        <x:v>Deux mains</x:v>
      </x:c>
      <x:c r="E679" s="28" t="n">
        <x:f>IF(M679=0,0,M679+O679)</x:f>
        <x:v>50</x:v>
      </x:c>
      <x:c r="F679" s="28" t="n">
        <x:f>IF(M679=0,0,M679*N679+O679)</x:f>
        <x:v>80</x:v>
      </x:c>
      <x:c r="G679" s="28" t="n">
        <x:f>ROUND(Catalogue!G37*SQRT((1+'Paramètres'!$B$4*(C679-1)+'Paramètres'!$B$5*(C679-1)^2)),0)</x:f>
        <x:v>0</x:v>
      </x:c>
      <x:c r="H679" s="28" t="n">
        <x:f>ROUND(Catalogue!H37*SQRT((1+'Paramètres'!$B$4*(C679-1)+'Paramètres'!$B$5*(C679-1)^2)),0)</x:f>
        <x:v>0</x:v>
      </x:c>
      <x:c r="I679" s="28" t="n">
        <x:v>3</x:v>
      </x:c>
      <x:c r="J679" s="28" t="n">
        <x:v>1</x:v>
      </x:c>
      <x:c r="K679" s="30" t="n">
        <x:v>5.3</x:v>
      </x:c>
      <x:c r="L679" s="54" t="n">
        <x:f>IF(M679=0,0,(E679+F679)/2)</x:f>
        <x:v>65</x:v>
      </x:c>
      <x:c r="M679" t="n">
        <x:v>6</x:v>
      </x:c>
      <x:c r="N679" t="n">
        <x:v>6</x:v>
      </x:c>
      <x:c r="O679" t="n">
        <x:v>44</x:v>
      </x:c>
      <x:c r="P679" s="63" t="str">
        <x:f>IF(M679=0,"—",M679&amp;"d"&amp;N679&amp;IF(O679=0,""," + "&amp;O679))</x:f>
        <x:v>6d6 + 44</x:v>
      </x:c>
      <x:c r="Q679" t="n">
        <x:f>ROUND(INDEX(Catalogue!E$4:E$85,MATCH(A679,Catalogue!A$4:A$85,0))*(1+'Paramètres'!$B$4*(C679-1)+'Paramètres'!$B$5*(C679-1)^2),0)</x:f>
        <x:v>50</x:v>
      </x:c>
      <x:c r="R679" t="n">
        <x:f>ROUND(INDEX(Catalogue!F$4:F$85,MATCH(A679,Catalogue!A$4:A$85,0))*(1+'Paramètres'!$B$4*(C679-1)+'Paramètres'!$B$5*(C679-1)^2),0)</x:f>
        <x:v>81</x:v>
      </x:c>
      <x:c r="S679" t="n">
        <x:f>L679-AVERAGE(Q679:R679)</x:f>
        <x:v>-0.5</x:v>
      </x:c>
      <x:c r="T679" t="str">
        <x:f>IF(M679=0,IF(AND(N679=0,O679=0,E679=0,F679=0),"OK","ERREUR"),IF(AND(M679&gt;=1,M679&lt;=32,OR(N679=4,N679=6,N679=8,N679=10,N679=12,N679=20),O679&gt;=0,E679=M679+O679,F679=M679*N679+O679),"OK","ERREUR"))</x:f>
        <x:v>OK</x:v>
      </x:c>
      <x:c r="U679" s="86" t="n">
        <x:f>IF(M679&gt;0,M679*(N679+1)/2+O679,0)</x:f>
        <x:v>65</x:v>
      </x:c>
      <x:c r="V679" t="str">
        <x:f>IF(ABS(L679-U679)&lt;0.001,"OK","ERREUR")</x:f>
        <x:v>OK</x:v>
      </x:c>
    </x:row>
    <x:row r="680" ht="18" customHeight="1">
      <x:c r="A680" t="str">
        <x:v>ARM034</x:v>
      </x:c>
      <x:c r="B680" t="str">
        <x:v>Marteau à deux mains</x:v>
      </x:c>
      <x:c r="C680" t="n">
        <x:v>17</x:v>
      </x:c>
      <x:c r="D680" t="str">
        <x:v>Deux mains</x:v>
      </x:c>
      <x:c r="E680" s="28" t="n">
        <x:f>IF(M680=0,0,M680+O680)</x:f>
        <x:v>55</x:v>
      </x:c>
      <x:c r="F680" s="28" t="n">
        <x:f>IF(M680=0,0,M680*N680+O680)</x:f>
        <x:v>88</x:v>
      </x:c>
      <x:c r="G680" s="28" t="n">
        <x:f>ROUND(Catalogue!G37*SQRT((1+'Paramètres'!$B$4*(C680-1)+'Paramètres'!$B$5*(C680-1)^2)),0)</x:f>
        <x:v>0</x:v>
      </x:c>
      <x:c r="H680" s="28" t="n">
        <x:f>ROUND(Catalogue!H37*SQRT((1+'Paramètres'!$B$4*(C680-1)+'Paramètres'!$B$5*(C680-1)^2)),0)</x:f>
        <x:v>0</x:v>
      </x:c>
      <x:c r="I680" s="28" t="n">
        <x:v>3</x:v>
      </x:c>
      <x:c r="J680" s="28" t="n">
        <x:v>1</x:v>
      </x:c>
      <x:c r="K680" s="30" t="n">
        <x:v>5.3</x:v>
      </x:c>
      <x:c r="L680" s="54" t="n">
        <x:f>IF(M680=0,0,(E680+F680)/2)</x:f>
        <x:v>71.5</x:v>
      </x:c>
      <x:c r="M680" t="n">
        <x:v>3</x:v>
      </x:c>
      <x:c r="N680" t="n">
        <x:v>12</x:v>
      </x:c>
      <x:c r="O680" t="n">
        <x:v>52</x:v>
      </x:c>
      <x:c r="P680" s="63" t="str">
        <x:f>IF(M680=0,"—",M680&amp;"d"&amp;N680&amp;IF(O680=0,""," + "&amp;O680))</x:f>
        <x:v>3d12 + 52</x:v>
      </x:c>
      <x:c r="Q680" t="n">
        <x:f>ROUND(INDEX(Catalogue!E$4:E$85,MATCH(A680,Catalogue!A$4:A$85,0))*(1+'Paramètres'!$B$4*(C680-1)+'Paramètres'!$B$5*(C680-1)^2),0)</x:f>
        <x:v>55</x:v>
      </x:c>
      <x:c r="R680" t="n">
        <x:f>ROUND(INDEX(Catalogue!F$4:F$85,MATCH(A680,Catalogue!A$4:A$85,0))*(1+'Paramètres'!$B$4*(C680-1)+'Paramètres'!$B$5*(C680-1)^2),0)</x:f>
        <x:v>89</x:v>
      </x:c>
      <x:c r="S680" t="n">
        <x:f>L680-AVERAGE(Q680:R680)</x:f>
        <x:v>-0.5</x:v>
      </x:c>
      <x:c r="T680" t="str">
        <x:f>IF(M680=0,IF(AND(N680=0,O680=0,E680=0,F680=0),"OK","ERREUR"),IF(AND(M680&gt;=1,M680&lt;=32,OR(N680=4,N680=6,N680=8,N680=10,N680=12,N680=20),O680&gt;=0,E680=M680+O680,F680=M680*N680+O680),"OK","ERREUR"))</x:f>
        <x:v>OK</x:v>
      </x:c>
      <x:c r="U680" s="86" t="n">
        <x:f>IF(M680&gt;0,M680*(N680+1)/2+O680,0)</x:f>
        <x:v>71.5</x:v>
      </x:c>
      <x:c r="V680" t="str">
        <x:f>IF(ABS(L680-U680)&lt;0.001,"OK","ERREUR")</x:f>
        <x:v>OK</x:v>
      </x:c>
    </x:row>
    <x:row r="681" ht="18" customHeight="1">
      <x:c r="A681" t="str">
        <x:v>ARM034</x:v>
      </x:c>
      <x:c r="B681" t="str">
        <x:v>Marteau à deux mains</x:v>
      </x:c>
      <x:c r="C681" t="n">
        <x:v>18</x:v>
      </x:c>
      <x:c r="D681" t="str">
        <x:v>Deux mains</x:v>
      </x:c>
      <x:c r="E681" s="28" t="n">
        <x:f>IF(M681=0,0,M681+O681)</x:f>
        <x:v>60</x:v>
      </x:c>
      <x:c r="F681" s="28" t="n">
        <x:f>IF(M681=0,0,M681*N681+O681)</x:f>
        <x:v>96</x:v>
      </x:c>
      <x:c r="G681" s="28" t="n">
        <x:f>ROUND(Catalogue!G37*SQRT((1+'Paramètres'!$B$4*(C681-1)+'Paramètres'!$B$5*(C681-1)^2)),0)</x:f>
        <x:v>0</x:v>
      </x:c>
      <x:c r="H681" s="28" t="n">
        <x:f>ROUND(Catalogue!H37*SQRT((1+'Paramètres'!$B$4*(C681-1)+'Paramètres'!$B$5*(C681-1)^2)),0)</x:f>
        <x:v>0</x:v>
      </x:c>
      <x:c r="I681" s="28" t="n">
        <x:v>3</x:v>
      </x:c>
      <x:c r="J681" s="28" t="n">
        <x:v>1</x:v>
      </x:c>
      <x:c r="K681" s="30" t="n">
        <x:v>5.3</x:v>
      </x:c>
      <x:c r="L681" s="54" t="n">
        <x:f>IF(M681=0,0,(E681+F681)/2)</x:f>
        <x:v>78</x:v>
      </x:c>
      <x:c r="M681" t="n">
        <x:v>4</x:v>
      </x:c>
      <x:c r="N681" t="n">
        <x:v>10</x:v>
      </x:c>
      <x:c r="O681" t="n">
        <x:v>56</x:v>
      </x:c>
      <x:c r="P681" s="63" t="str">
        <x:f>IF(M681=0,"—",M681&amp;"d"&amp;N681&amp;IF(O681=0,""," + "&amp;O681))</x:f>
        <x:v>4d10 + 56</x:v>
      </x:c>
      <x:c r="Q681" t="n">
        <x:f>ROUND(INDEX(Catalogue!E$4:E$85,MATCH(A681,Catalogue!A$4:A$85,0))*(1+'Paramètres'!$B$4*(C681-1)+'Paramètres'!$B$5*(C681-1)^2),0)</x:f>
        <x:v>60</x:v>
      </x:c>
      <x:c r="R681" t="n">
        <x:f>ROUND(INDEX(Catalogue!F$4:F$85,MATCH(A681,Catalogue!A$4:A$85,0))*(1+'Paramètres'!$B$4*(C681-1)+'Paramètres'!$B$5*(C681-1)^2),0)</x:f>
        <x:v>97</x:v>
      </x:c>
      <x:c r="S681" t="n">
        <x:f>L681-AVERAGE(Q681:R681)</x:f>
        <x:v>-0.5</x:v>
      </x:c>
      <x:c r="T681" t="str">
        <x:f>IF(M681=0,IF(AND(N681=0,O681=0,E681=0,F681=0),"OK","ERREUR"),IF(AND(M681&gt;=1,M681&lt;=32,OR(N681=4,N681=6,N681=8,N681=10,N681=12,N681=20),O681&gt;=0,E681=M681+O681,F681=M681*N681+O681),"OK","ERREUR"))</x:f>
        <x:v>OK</x:v>
      </x:c>
      <x:c r="U681" s="86" t="n">
        <x:f>IF(M681&gt;0,M681*(N681+1)/2+O681,0)</x:f>
        <x:v>78</x:v>
      </x:c>
      <x:c r="V681" t="str">
        <x:f>IF(ABS(L681-U681)&lt;0.001,"OK","ERREUR")</x:f>
        <x:v>OK</x:v>
      </x:c>
    </x:row>
    <x:row r="682" ht="18" customHeight="1">
      <x:c r="A682" t="str">
        <x:v>ARM034</x:v>
      </x:c>
      <x:c r="B682" t="str">
        <x:v>Marteau à deux mains</x:v>
      </x:c>
      <x:c r="C682" t="n">
        <x:v>19</x:v>
      </x:c>
      <x:c r="D682" t="str">
        <x:v>Deux mains</x:v>
      </x:c>
      <x:c r="E682" s="28" t="n">
        <x:f>IF(M682=0,0,M682+O682)</x:f>
        <x:v>64</x:v>
      </x:c>
      <x:c r="F682" s="28" t="n">
        <x:f>IF(M682=0,0,M682*N682+O682)</x:f>
        <x:v>106</x:v>
      </x:c>
      <x:c r="G682" s="28" t="n">
        <x:f>ROUND(Catalogue!G37*SQRT((1+'Paramètres'!$B$4*(C682-1)+'Paramètres'!$B$5*(C682-1)^2)),0)</x:f>
        <x:v>0</x:v>
      </x:c>
      <x:c r="H682" s="28" t="n">
        <x:f>ROUND(Catalogue!H37*SQRT((1+'Paramètres'!$B$4*(C682-1)+'Paramètres'!$B$5*(C682-1)^2)),0)</x:f>
        <x:v>0</x:v>
      </x:c>
      <x:c r="I682" s="28" t="n">
        <x:v>3</x:v>
      </x:c>
      <x:c r="J682" s="28" t="n">
        <x:v>1</x:v>
      </x:c>
      <x:c r="K682" s="30" t="n">
        <x:v>5.3</x:v>
      </x:c>
      <x:c r="L682" s="54" t="n">
        <x:f>IF(M682=0,0,(E682+F682)/2)</x:f>
        <x:v>85</x:v>
      </x:c>
      <x:c r="M682" t="n">
        <x:v>6</x:v>
      </x:c>
      <x:c r="N682" t="n">
        <x:v>8</x:v>
      </x:c>
      <x:c r="O682" t="n">
        <x:v>58</x:v>
      </x:c>
      <x:c r="P682" s="63" t="str">
        <x:f>IF(M682=0,"—",M682&amp;"d"&amp;N682&amp;IF(O682=0,""," + "&amp;O682))</x:f>
        <x:v>6d8 + 58</x:v>
      </x:c>
      <x:c r="Q682" t="n">
        <x:f>ROUND(INDEX(Catalogue!E$4:E$85,MATCH(A682,Catalogue!A$4:A$85,0))*(1+'Paramètres'!$B$4*(C682-1)+'Paramètres'!$B$5*(C682-1)^2),0)</x:f>
        <x:v>65</x:v>
      </x:c>
      <x:c r="R682" t="n">
        <x:f>ROUND(INDEX(Catalogue!F$4:F$85,MATCH(A682,Catalogue!A$4:A$85,0))*(1+'Paramètres'!$B$4*(C682-1)+'Paramètres'!$B$5*(C682-1)^2),0)</x:f>
        <x:v>106</x:v>
      </x:c>
      <x:c r="S682" t="n">
        <x:f>L682-AVERAGE(Q682:R682)</x:f>
        <x:v>-0.5</x:v>
      </x:c>
      <x:c r="T682" t="str">
        <x:f>IF(M682=0,IF(AND(N682=0,O682=0,E682=0,F682=0),"OK","ERREUR"),IF(AND(M682&gt;=1,M682&lt;=32,OR(N682=4,N682=6,N682=8,N682=10,N682=12,N682=20),O682&gt;=0,E682=M682+O682,F682=M682*N682+O682),"OK","ERREUR"))</x:f>
        <x:v>OK</x:v>
      </x:c>
      <x:c r="U682" s="86" t="n">
        <x:f>IF(M682&gt;0,M682*(N682+1)/2+O682,0)</x:f>
        <x:v>85</x:v>
      </x:c>
      <x:c r="V682" t="str">
        <x:f>IF(ABS(L682-U682)&lt;0.001,"OK","ERREUR")</x:f>
        <x:v>OK</x:v>
      </x:c>
    </x:row>
    <x:row r="683" ht="18" customHeight="1">
      <x:c r="A683" t="str">
        <x:v>ARM034</x:v>
      </x:c>
      <x:c r="B683" t="str">
        <x:v>Marteau à deux mains</x:v>
      </x:c>
      <x:c r="C683" t="n">
        <x:v>20</x:v>
      </x:c>
      <x:c r="D683" t="str">
        <x:v>Deux mains</x:v>
      </x:c>
      <x:c r="E683" s="28" t="n">
        <x:f>IF(M683=0,0,M683+O683)</x:f>
        <x:v>71</x:v>
      </x:c>
      <x:c r="F683" s="28" t="n">
        <x:f>IF(M683=0,0,M683*N683+O683)</x:f>
        <x:v>115</x:v>
      </x:c>
      <x:c r="G683" s="28" t="n">
        <x:f>ROUND(Catalogue!G37*SQRT((1+'Paramètres'!$B$4*(C683-1)+'Paramètres'!$B$5*(C683-1)^2)),0)</x:f>
        <x:v>0</x:v>
      </x:c>
      <x:c r="H683" s="28" t="n">
        <x:f>ROUND(Catalogue!H37*SQRT((1+'Paramètres'!$B$4*(C683-1)+'Paramètres'!$B$5*(C683-1)^2)),0)</x:f>
        <x:v>0</x:v>
      </x:c>
      <x:c r="I683" s="28" t="n">
        <x:v>3</x:v>
      </x:c>
      <x:c r="J683" s="28" t="n">
        <x:v>1</x:v>
      </x:c>
      <x:c r="K683" s="30" t="n">
        <x:v>5.3</x:v>
      </x:c>
      <x:c r="L683" s="54" t="n">
        <x:f>IF(M683=0,0,(E683+F683)/2)</x:f>
        <x:v>93</x:v>
      </x:c>
      <x:c r="M683" t="n">
        <x:v>4</x:v>
      </x:c>
      <x:c r="N683" t="n">
        <x:v>12</x:v>
      </x:c>
      <x:c r="O683" t="n">
        <x:v>67</x:v>
      </x:c>
      <x:c r="P683" s="63" t="str">
        <x:f>IF(M683=0,"—",M683&amp;"d"&amp;N683&amp;IF(O683=0,""," + "&amp;O683))</x:f>
        <x:v>4d12 + 67</x:v>
      </x:c>
      <x:c r="Q683" t="n">
        <x:f>ROUND(INDEX(Catalogue!E$4:E$85,MATCH(A683,Catalogue!A$4:A$85,0))*(1+'Paramètres'!$B$4*(C683-1)+'Paramètres'!$B$5*(C683-1)^2),0)</x:f>
        <x:v>71</x:v>
      </x:c>
      <x:c r="R683" t="n">
        <x:f>ROUND(INDEX(Catalogue!F$4:F$85,MATCH(A683,Catalogue!A$4:A$85,0))*(1+'Paramètres'!$B$4*(C683-1)+'Paramètres'!$B$5*(C683-1)^2),0)</x:f>
        <x:v>115</x:v>
      </x:c>
      <x:c r="S683" t="n">
        <x:f>L683-AVERAGE(Q683:R683)</x:f>
        <x:v>0</x:v>
      </x:c>
      <x:c r="T683" t="str">
        <x:f>IF(M683=0,IF(AND(N683=0,O683=0,E683=0,F683=0),"OK","ERREUR"),IF(AND(M683&gt;=1,M683&lt;=32,OR(N683=4,N683=6,N683=8,N683=10,N683=12,N683=20),O683&gt;=0,E683=M683+O683,F683=M683*N683+O683),"OK","ERREUR"))</x:f>
        <x:v>OK</x:v>
      </x:c>
      <x:c r="U683" s="86" t="n">
        <x:f>IF(M683&gt;0,M683*(N683+1)/2+O683,0)</x:f>
        <x:v>93</x:v>
      </x:c>
      <x:c r="V683" t="str">
        <x:f>IF(ABS(L683-U683)&lt;0.001,"OK","ERREUR")</x:f>
        <x:v>OK</x:v>
      </x:c>
    </x:row>
    <x:row r="684" ht="18" customHeight="1">
      <x:c r="A684" t="str">
        <x:v>ARM035</x:v>
      </x:c>
      <x:c r="B684" t="str">
        <x:v>Masse lourde</x:v>
      </x:c>
      <x:c r="C684" t="n">
        <x:v>1</x:v>
      </x:c>
      <x:c r="D684" t="str">
        <x:v>Deux mains</x:v>
      </x:c>
      <x:c r="E684" s="28" t="n">
        <x:f>IF(M684=0,0,M684+O684)</x:f>
        <x:v>7</x:v>
      </x:c>
      <x:c r="F684" s="28" t="n">
        <x:f>IF(M684=0,0,M684*N684+O684)</x:f>
        <x:v>12</x:v>
      </x:c>
      <x:c r="G684" s="28" t="n">
        <x:f>ROUND(Catalogue!G38*SQRT((1+'Paramètres'!$B$4*(C684-1)+'Paramètres'!$B$5*(C684-1)^2)),0)</x:f>
        <x:v>0</x:v>
      </x:c>
      <x:c r="H684" s="28" t="n">
        <x:f>ROUND(Catalogue!H38*SQRT((1+'Paramètres'!$B$4*(C684-1)+'Paramètres'!$B$5*(C684-1)^2)),0)</x:f>
        <x:v>0</x:v>
      </x:c>
      <x:c r="I684" s="28" t="n">
        <x:v>3</x:v>
      </x:c>
      <x:c r="J684" s="28" t="n">
        <x:v>1</x:v>
      </x:c>
      <x:c r="K684" s="30" t="n">
        <x:v>5.5</x:v>
      </x:c>
      <x:c r="L684" s="54" t="n">
        <x:f>IF(M684=0,0,(E684+F684)/2)</x:f>
        <x:v>9.5</x:v>
      </x:c>
      <x:c r="M684" t="n">
        <x:v>1</x:v>
      </x:c>
      <x:c r="N684" t="n">
        <x:v>6</x:v>
      </x:c>
      <x:c r="O684" t="n">
        <x:v>6</x:v>
      </x:c>
      <x:c r="P684" s="63" t="str">
        <x:f>IF(M684=0,"—",M684&amp;"d"&amp;N684&amp;IF(O684=0,""," + "&amp;O684))</x:f>
        <x:v>1d6 + 6</x:v>
      </x:c>
      <x:c r="Q684" t="n">
        <x:f>ROUND(INDEX(Catalogue!E$4:E$85,MATCH(A684,Catalogue!A$4:A$85,0))*(1+'Paramètres'!$B$4*(C684-1)+'Paramètres'!$B$5*(C684-1)^2),0)</x:f>
        <x:v>7</x:v>
      </x:c>
      <x:c r="R684" t="n">
        <x:f>ROUND(INDEX(Catalogue!F$4:F$85,MATCH(A684,Catalogue!A$4:A$85,0))*(1+'Paramètres'!$B$4*(C684-1)+'Paramètres'!$B$5*(C684-1)^2),0)</x:f>
        <x:v>13</x:v>
      </x:c>
      <x:c r="S684" t="n">
        <x:f>L684-AVERAGE(Q684:R684)</x:f>
        <x:v>-0.5</x:v>
      </x:c>
      <x:c r="T684" t="str">
        <x:f>IF(M684=0,IF(AND(N684=0,O684=0,E684=0,F684=0),"OK","ERREUR"),IF(AND(M684&gt;=1,M684&lt;=32,OR(N684=4,N684=6,N684=8,N684=10,N684=12,N684=20),O684&gt;=0,E684=M684+O684,F684=M684*N684+O684),"OK","ERREUR"))</x:f>
        <x:v>OK</x:v>
      </x:c>
      <x:c r="U684" s="86" t="n">
        <x:f>IF(M684&gt;0,M684*(N684+1)/2+O684,0)</x:f>
        <x:v>9.5</x:v>
      </x:c>
      <x:c r="V684" t="str">
        <x:f>IF(ABS(L684-U684)&lt;0.001,"OK","ERREUR")</x:f>
        <x:v>OK</x:v>
      </x:c>
    </x:row>
    <x:row r="685" ht="18" customHeight="1">
      <x:c r="A685" t="str">
        <x:v>ARM035</x:v>
      </x:c>
      <x:c r="B685" t="str">
        <x:v>Masse lourde</x:v>
      </x:c>
      <x:c r="C685" t="n">
        <x:v>2</x:v>
      </x:c>
      <x:c r="D685" t="str">
        <x:v>Deux mains</x:v>
      </x:c>
      <x:c r="E685" s="28" t="n">
        <x:f>IF(M685=0,0,M685+O685)</x:f>
        <x:v>8</x:v>
      </x:c>
      <x:c r="F685" s="28" t="n">
        <x:f>IF(M685=0,0,M685*N685+O685)</x:f>
        <x:v>15</x:v>
      </x:c>
      <x:c r="G685" s="28" t="n">
        <x:f>ROUND(Catalogue!G38*SQRT((1+'Paramètres'!$B$4*(C685-1)+'Paramètres'!$B$5*(C685-1)^2)),0)</x:f>
        <x:v>0</x:v>
      </x:c>
      <x:c r="H685" s="28" t="n">
        <x:f>ROUND(Catalogue!H38*SQRT((1+'Paramètres'!$B$4*(C685-1)+'Paramètres'!$B$5*(C685-1)^2)),0)</x:f>
        <x:v>0</x:v>
      </x:c>
      <x:c r="I685" s="28" t="n">
        <x:v>3</x:v>
      </x:c>
      <x:c r="J685" s="28" t="n">
        <x:v>1</x:v>
      </x:c>
      <x:c r="K685" s="30" t="n">
        <x:v>5.5</x:v>
      </x:c>
      <x:c r="L685" s="54" t="n">
        <x:f>IF(M685=0,0,(E685+F685)/2)</x:f>
        <x:v>11.5</x:v>
      </x:c>
      <x:c r="M685" t="n">
        <x:v>1</x:v>
      </x:c>
      <x:c r="N685" t="n">
        <x:v>8</x:v>
      </x:c>
      <x:c r="O685" t="n">
        <x:v>7</x:v>
      </x:c>
      <x:c r="P685" s="63" t="str">
        <x:f>IF(M685=0,"—",M685&amp;"d"&amp;N685&amp;IF(O685=0,""," + "&amp;O685))</x:f>
        <x:v>1d8 + 7</x:v>
      </x:c>
      <x:c r="Q685" t="n">
        <x:f>ROUND(INDEX(Catalogue!E$4:E$85,MATCH(A685,Catalogue!A$4:A$85,0))*(1+'Paramètres'!$B$4*(C685-1)+'Paramètres'!$B$5*(C685-1)^2),0)</x:f>
        <x:v>8</x:v>
      </x:c>
      <x:c r="R685" t="n">
        <x:f>ROUND(INDEX(Catalogue!F$4:F$85,MATCH(A685,Catalogue!A$4:A$85,0))*(1+'Paramètres'!$B$4*(C685-1)+'Paramètres'!$B$5*(C685-1)^2),0)</x:f>
        <x:v>15</x:v>
      </x:c>
      <x:c r="S685" t="n">
        <x:f>L685-AVERAGE(Q685:R685)</x:f>
        <x:v>0</x:v>
      </x:c>
      <x:c r="T685" t="str">
        <x:f>IF(M685=0,IF(AND(N685=0,O685=0,E685=0,F685=0),"OK","ERREUR"),IF(AND(M685&gt;=1,M685&lt;=32,OR(N685=4,N685=6,N685=8,N685=10,N685=12,N685=20),O685&gt;=0,E685=M685+O685,F685=M685*N685+O685),"OK","ERREUR"))</x:f>
        <x:v>OK</x:v>
      </x:c>
      <x:c r="U685" s="86" t="n">
        <x:f>IF(M685&gt;0,M685*(N685+1)/2+O685,0)</x:f>
        <x:v>11.5</x:v>
      </x:c>
      <x:c r="V685" t="str">
        <x:f>IF(ABS(L685-U685)&lt;0.001,"OK","ERREUR")</x:f>
        <x:v>OK</x:v>
      </x:c>
    </x:row>
    <x:row r="686" ht="18" customHeight="1">
      <x:c r="A686" t="str">
        <x:v>ARM035</x:v>
      </x:c>
      <x:c r="B686" t="str">
        <x:v>Masse lourde</x:v>
      </x:c>
      <x:c r="C686" t="n">
        <x:v>3</x:v>
      </x:c>
      <x:c r="D686" t="str">
        <x:v>Deux mains</x:v>
      </x:c>
      <x:c r="E686" s="28" t="n">
        <x:f>IF(M686=0,0,M686+O686)</x:f>
        <x:v>9</x:v>
      </x:c>
      <x:c r="F686" s="28" t="n">
        <x:f>IF(M686=0,0,M686*N686+O686)</x:f>
        <x:v>16</x:v>
      </x:c>
      <x:c r="G686" s="28" t="n">
        <x:f>ROUND(Catalogue!G38*SQRT((1+'Paramètres'!$B$4*(C686-1)+'Paramètres'!$B$5*(C686-1)^2)),0)</x:f>
        <x:v>0</x:v>
      </x:c>
      <x:c r="H686" s="28" t="n">
        <x:f>ROUND(Catalogue!H38*SQRT((1+'Paramètres'!$B$4*(C686-1)+'Paramètres'!$B$5*(C686-1)^2)),0)</x:f>
        <x:v>0</x:v>
      </x:c>
      <x:c r="I686" s="28" t="n">
        <x:v>3</x:v>
      </x:c>
      <x:c r="J686" s="28" t="n">
        <x:v>1</x:v>
      </x:c>
      <x:c r="K686" s="30" t="n">
        <x:v>5.5</x:v>
      </x:c>
      <x:c r="L686" s="54" t="n">
        <x:f>IF(M686=0,0,(E686+F686)/2)</x:f>
        <x:v>12.5</x:v>
      </x:c>
      <x:c r="M686" t="n">
        <x:v>1</x:v>
      </x:c>
      <x:c r="N686" t="n">
        <x:v>8</x:v>
      </x:c>
      <x:c r="O686" t="n">
        <x:v>8</x:v>
      </x:c>
      <x:c r="P686" s="63" t="str">
        <x:f>IF(M686=0,"—",M686&amp;"d"&amp;N686&amp;IF(O686=0,""," + "&amp;O686))</x:f>
        <x:v>1d8 + 8</x:v>
      </x:c>
      <x:c r="Q686" t="n">
        <x:f>ROUND(INDEX(Catalogue!E$4:E$85,MATCH(A686,Catalogue!A$4:A$85,0))*(1+'Paramètres'!$B$4*(C686-1)+'Paramètres'!$B$5*(C686-1)^2),0)</x:f>
        <x:v>9</x:v>
      </x:c>
      <x:c r="R686" t="n">
        <x:f>ROUND(INDEX(Catalogue!F$4:F$85,MATCH(A686,Catalogue!A$4:A$85,0))*(1+'Paramètres'!$B$4*(C686-1)+'Paramètres'!$B$5*(C686-1)^2),0)</x:f>
        <x:v>17</x:v>
      </x:c>
      <x:c r="S686" t="n">
        <x:f>L686-AVERAGE(Q686:R686)</x:f>
        <x:v>-0.5</x:v>
      </x:c>
      <x:c r="T686" t="str">
        <x:f>IF(M686=0,IF(AND(N686=0,O686=0,E686=0,F686=0),"OK","ERREUR"),IF(AND(M686&gt;=1,M686&lt;=32,OR(N686=4,N686=6,N686=8,N686=10,N686=12,N686=20),O686&gt;=0,E686=M686+O686,F686=M686*N686+O686),"OK","ERREUR"))</x:f>
        <x:v>OK</x:v>
      </x:c>
      <x:c r="U686" s="86" t="n">
        <x:f>IF(M686&gt;0,M686*(N686+1)/2+O686,0)</x:f>
        <x:v>12.5</x:v>
      </x:c>
      <x:c r="V686" t="str">
        <x:f>IF(ABS(L686-U686)&lt;0.001,"OK","ERREUR")</x:f>
        <x:v>OK</x:v>
      </x:c>
    </x:row>
    <x:row r="687" ht="18" customHeight="1">
      <x:c r="A687" t="str">
        <x:v>ARM035</x:v>
      </x:c>
      <x:c r="B687" t="str">
        <x:v>Masse lourde</x:v>
      </x:c>
      <x:c r="C687" t="n">
        <x:v>4</x:v>
      </x:c>
      <x:c r="D687" t="str">
        <x:v>Deux mains</x:v>
      </x:c>
      <x:c r="E687" s="28" t="n">
        <x:f>IF(M687=0,0,M687+O687)</x:f>
        <x:v>10</x:v>
      </x:c>
      <x:c r="F687" s="28" t="n">
        <x:f>IF(M687=0,0,M687*N687+O687)</x:f>
        <x:v>19</x:v>
      </x:c>
      <x:c r="G687" s="28" t="n">
        <x:f>ROUND(Catalogue!G38*SQRT((1+'Paramètres'!$B$4*(C687-1)+'Paramètres'!$B$5*(C687-1)^2)),0)</x:f>
        <x:v>0</x:v>
      </x:c>
      <x:c r="H687" s="28" t="n">
        <x:f>ROUND(Catalogue!H38*SQRT((1+'Paramètres'!$B$4*(C687-1)+'Paramètres'!$B$5*(C687-1)^2)),0)</x:f>
        <x:v>0</x:v>
      </x:c>
      <x:c r="I687" s="28" t="n">
        <x:v>3</x:v>
      </x:c>
      <x:c r="J687" s="28" t="n">
        <x:v>1</x:v>
      </x:c>
      <x:c r="K687" s="30" t="n">
        <x:v>5.5</x:v>
      </x:c>
      <x:c r="L687" s="54" t="n">
        <x:f>IF(M687=0,0,(E687+F687)/2)</x:f>
        <x:v>14.5</x:v>
      </x:c>
      <x:c r="M687" t="n">
        <x:v>1</x:v>
      </x:c>
      <x:c r="N687" t="n">
        <x:v>10</x:v>
      </x:c>
      <x:c r="O687" t="n">
        <x:v>9</x:v>
      </x:c>
      <x:c r="P687" s="63" t="str">
        <x:f>IF(M687=0,"—",M687&amp;"d"&amp;N687&amp;IF(O687=0,""," + "&amp;O687))</x:f>
        <x:v>1d10 + 9</x:v>
      </x:c>
      <x:c r="Q687" t="n">
        <x:f>ROUND(INDEX(Catalogue!E$4:E$85,MATCH(A687,Catalogue!A$4:A$85,0))*(1+'Paramètres'!$B$4*(C687-1)+'Paramètres'!$B$5*(C687-1)^2),0)</x:f>
        <x:v>10</x:v>
      </x:c>
      <x:c r="R687" t="n">
        <x:f>ROUND(INDEX(Catalogue!F$4:F$85,MATCH(A687,Catalogue!A$4:A$85,0))*(1+'Paramètres'!$B$4*(C687-1)+'Paramètres'!$B$5*(C687-1)^2),0)</x:f>
        <x:v>19</x:v>
      </x:c>
      <x:c r="S687" t="n">
        <x:f>L687-AVERAGE(Q687:R687)</x:f>
        <x:v>0</x:v>
      </x:c>
      <x:c r="T687" t="str">
        <x:f>IF(M687=0,IF(AND(N687=0,O687=0,E687=0,F687=0),"OK","ERREUR"),IF(AND(M687&gt;=1,M687&lt;=32,OR(N687=4,N687=6,N687=8,N687=10,N687=12,N687=20),O687&gt;=0,E687=M687+O687,F687=M687*N687+O687),"OK","ERREUR"))</x:f>
        <x:v>OK</x:v>
      </x:c>
      <x:c r="U687" s="86" t="n">
        <x:f>IF(M687&gt;0,M687*(N687+1)/2+O687,0)</x:f>
        <x:v>14.5</x:v>
      </x:c>
      <x:c r="V687" t="str">
        <x:f>IF(ABS(L687-U687)&lt;0.001,"OK","ERREUR")</x:f>
        <x:v>OK</x:v>
      </x:c>
    </x:row>
    <x:row r="688" ht="18" customHeight="1">
      <x:c r="A688" t="str">
        <x:v>ARM035</x:v>
      </x:c>
      <x:c r="B688" t="str">
        <x:v>Masse lourde</x:v>
      </x:c>
      <x:c r="C688" t="n">
        <x:v>5</x:v>
      </x:c>
      <x:c r="D688" t="str">
        <x:v>Deux mains</x:v>
      </x:c>
      <x:c r="E688" s="28" t="n">
        <x:f>IF(M688=0,0,M688+O688)</x:f>
        <x:v>12</x:v>
      </x:c>
      <x:c r="F688" s="28" t="n">
        <x:f>IF(M688=0,0,M688*N688+O688)</x:f>
        <x:v>22</x:v>
      </x:c>
      <x:c r="G688" s="28" t="n">
        <x:f>ROUND(Catalogue!G38*SQRT((1+'Paramètres'!$B$4*(C688-1)+'Paramètres'!$B$5*(C688-1)^2)),0)</x:f>
        <x:v>0</x:v>
      </x:c>
      <x:c r="H688" s="28" t="n">
        <x:f>ROUND(Catalogue!H38*SQRT((1+'Paramètres'!$B$4*(C688-1)+'Paramètres'!$B$5*(C688-1)^2)),0)</x:f>
        <x:v>0</x:v>
      </x:c>
      <x:c r="I688" s="28" t="n">
        <x:v>3</x:v>
      </x:c>
      <x:c r="J688" s="28" t="n">
        <x:v>1</x:v>
      </x:c>
      <x:c r="K688" s="30" t="n">
        <x:v>5.5</x:v>
      </x:c>
      <x:c r="L688" s="54" t="n">
        <x:f>IF(M688=0,0,(E688+F688)/2)</x:f>
        <x:v>17</x:v>
      </x:c>
      <x:c r="M688" t="n">
        <x:v>2</x:v>
      </x:c>
      <x:c r="N688" t="n">
        <x:v>6</x:v>
      </x:c>
      <x:c r="O688" t="n">
        <x:v>10</x:v>
      </x:c>
      <x:c r="P688" s="63" t="str">
        <x:f>IF(M688=0,"—",M688&amp;"d"&amp;N688&amp;IF(O688=0,""," + "&amp;O688))</x:f>
        <x:v>2d6 + 10</x:v>
      </x:c>
      <x:c r="Q688" t="n">
        <x:f>ROUND(INDEX(Catalogue!E$4:E$85,MATCH(A688,Catalogue!A$4:A$85,0))*(1+'Paramètres'!$B$4*(C688-1)+'Paramètres'!$B$5*(C688-1)^2),0)</x:f>
        <x:v>12</x:v>
      </x:c>
      <x:c r="R688" t="n">
        <x:f>ROUND(INDEX(Catalogue!F$4:F$85,MATCH(A688,Catalogue!A$4:A$85,0))*(1+'Paramètres'!$B$4*(C688-1)+'Paramètres'!$B$5*(C688-1)^2),0)</x:f>
        <x:v>22</x:v>
      </x:c>
      <x:c r="S688" t="n">
        <x:f>L688-AVERAGE(Q688:R688)</x:f>
        <x:v>0</x:v>
      </x:c>
      <x:c r="T688" t="str">
        <x:f>IF(M688=0,IF(AND(N688=0,O688=0,E688=0,F688=0),"OK","ERREUR"),IF(AND(M688&gt;=1,M688&lt;=32,OR(N688=4,N688=6,N688=8,N688=10,N688=12,N688=20),O688&gt;=0,E688=M688+O688,F688=M688*N688+O688),"OK","ERREUR"))</x:f>
        <x:v>OK</x:v>
      </x:c>
      <x:c r="U688" s="86" t="n">
        <x:f>IF(M688&gt;0,M688*(N688+1)/2+O688,0)</x:f>
        <x:v>17</x:v>
      </x:c>
      <x:c r="V688" t="str">
        <x:f>IF(ABS(L688-U688)&lt;0.001,"OK","ERREUR")</x:f>
        <x:v>OK</x:v>
      </x:c>
    </x:row>
    <x:row r="689" ht="18" customHeight="1">
      <x:c r="A689" t="str">
        <x:v>ARM035</x:v>
      </x:c>
      <x:c r="B689" t="str">
        <x:v>Masse lourde</x:v>
      </x:c>
      <x:c r="C689" t="n">
        <x:v>6</x:v>
      </x:c>
      <x:c r="D689" t="str">
        <x:v>Deux mains</x:v>
      </x:c>
      <x:c r="E689" s="28" t="n">
        <x:f>IF(M689=0,0,M689+O689)</x:f>
        <x:v>14</x:v>
      </x:c>
      <x:c r="F689" s="28" t="n">
        <x:f>IF(M689=0,0,M689*N689+O689)</x:f>
        <x:v>25</x:v>
      </x:c>
      <x:c r="G689" s="28" t="n">
        <x:f>ROUND(Catalogue!G38*SQRT((1+'Paramètres'!$B$4*(C689-1)+'Paramètres'!$B$5*(C689-1)^2)),0)</x:f>
        <x:v>0</x:v>
      </x:c>
      <x:c r="H689" s="28" t="n">
        <x:f>ROUND(Catalogue!H38*SQRT((1+'Paramètres'!$B$4*(C689-1)+'Paramètres'!$B$5*(C689-1)^2)),0)</x:f>
        <x:v>0</x:v>
      </x:c>
      <x:c r="I689" s="28" t="n">
        <x:v>3</x:v>
      </x:c>
      <x:c r="J689" s="28" t="n">
        <x:v>1</x:v>
      </x:c>
      <x:c r="K689" s="30" t="n">
        <x:v>5.5</x:v>
      </x:c>
      <x:c r="L689" s="54" t="n">
        <x:f>IF(M689=0,0,(E689+F689)/2)</x:f>
        <x:v>19.5</x:v>
      </x:c>
      <x:c r="M689" t="n">
        <x:v>1</x:v>
      </x:c>
      <x:c r="N689" t="n">
        <x:v>12</x:v>
      </x:c>
      <x:c r="O689" t="n">
        <x:v>13</x:v>
      </x:c>
      <x:c r="P689" s="63" t="str">
        <x:f>IF(M689=0,"—",M689&amp;"d"&amp;N689&amp;IF(O689=0,""," + "&amp;O689))</x:f>
        <x:v>1d12 + 13</x:v>
      </x:c>
      <x:c r="Q689" t="n">
        <x:f>ROUND(INDEX(Catalogue!E$4:E$85,MATCH(A689,Catalogue!A$4:A$85,0))*(1+'Paramètres'!$B$4*(C689-1)+'Paramètres'!$B$5*(C689-1)^2),0)</x:f>
        <x:v>14</x:v>
      </x:c>
      <x:c r="R689" t="n">
        <x:f>ROUND(INDEX(Catalogue!F$4:F$85,MATCH(A689,Catalogue!A$4:A$85,0))*(1+'Paramètres'!$B$4*(C689-1)+'Paramètres'!$B$5*(C689-1)^2),0)</x:f>
        <x:v>25</x:v>
      </x:c>
      <x:c r="S689" t="n">
        <x:f>L689-AVERAGE(Q689:R689)</x:f>
        <x:v>0</x:v>
      </x:c>
      <x:c r="T689" t="str">
        <x:f>IF(M689=0,IF(AND(N689=0,O689=0,E689=0,F689=0),"OK","ERREUR"),IF(AND(M689&gt;=1,M689&lt;=32,OR(N689=4,N689=6,N689=8,N689=10,N689=12,N689=20),O689&gt;=0,E689=M689+O689,F689=M689*N689+O689),"OK","ERREUR"))</x:f>
        <x:v>OK</x:v>
      </x:c>
      <x:c r="U689" s="86" t="n">
        <x:f>IF(M689&gt;0,M689*(N689+1)/2+O689,0)</x:f>
        <x:v>19.5</x:v>
      </x:c>
      <x:c r="V689" t="str">
        <x:f>IF(ABS(L689-U689)&lt;0.001,"OK","ERREUR")</x:f>
        <x:v>OK</x:v>
      </x:c>
    </x:row>
    <x:row r="690" ht="18" customHeight="1">
      <x:c r="A690" t="str">
        <x:v>ARM035</x:v>
      </x:c>
      <x:c r="B690" t="str">
        <x:v>Masse lourde</x:v>
      </x:c>
      <x:c r="C690" t="n">
        <x:v>7</x:v>
      </x:c>
      <x:c r="D690" t="str">
        <x:v>Deux mains</x:v>
      </x:c>
      <x:c r="E690" s="28" t="n">
        <x:f>IF(M690=0,0,M690+O690)</x:f>
        <x:v>15</x:v>
      </x:c>
      <x:c r="F690" s="28" t="n">
        <x:f>IF(M690=0,0,M690*N690+O690)</x:f>
        <x:v>29</x:v>
      </x:c>
      <x:c r="G690" s="28" t="n">
        <x:f>ROUND(Catalogue!G38*SQRT((1+'Paramètres'!$B$4*(C690-1)+'Paramètres'!$B$5*(C690-1)^2)),0)</x:f>
        <x:v>0</x:v>
      </x:c>
      <x:c r="H690" s="28" t="n">
        <x:f>ROUND(Catalogue!H38*SQRT((1+'Paramètres'!$B$4*(C690-1)+'Paramètres'!$B$5*(C690-1)^2)),0)</x:f>
        <x:v>0</x:v>
      </x:c>
      <x:c r="I690" s="28" t="n">
        <x:v>3</x:v>
      </x:c>
      <x:c r="J690" s="28" t="n">
        <x:v>1</x:v>
      </x:c>
      <x:c r="K690" s="30" t="n">
        <x:v>5.5</x:v>
      </x:c>
      <x:c r="L690" s="54" t="n">
        <x:f>IF(M690=0,0,(E690+F690)/2)</x:f>
        <x:v>22</x:v>
      </x:c>
      <x:c r="M690" t="n">
        <x:v>2</x:v>
      </x:c>
      <x:c r="N690" t="n">
        <x:v>8</x:v>
      </x:c>
      <x:c r="O690" t="n">
        <x:v>13</x:v>
      </x:c>
      <x:c r="P690" s="63" t="str">
        <x:f>IF(M690=0,"—",M690&amp;"d"&amp;N690&amp;IF(O690=0,""," + "&amp;O690))</x:f>
        <x:v>2d8 + 13</x:v>
      </x:c>
      <x:c r="Q690" t="n">
        <x:f>ROUND(INDEX(Catalogue!E$4:E$85,MATCH(A690,Catalogue!A$4:A$85,0))*(1+'Paramètres'!$B$4*(C690-1)+'Paramètres'!$B$5*(C690-1)^2),0)</x:f>
        <x:v>16</x:v>
      </x:c>
      <x:c r="R690" t="n">
        <x:f>ROUND(INDEX(Catalogue!F$4:F$85,MATCH(A690,Catalogue!A$4:A$85,0))*(1+'Paramètres'!$B$4*(C690-1)+'Paramètres'!$B$5*(C690-1)^2),0)</x:f>
        <x:v>29</x:v>
      </x:c>
      <x:c r="S690" t="n">
        <x:f>L690-AVERAGE(Q690:R690)</x:f>
        <x:v>-0.5</x:v>
      </x:c>
      <x:c r="T690" t="str">
        <x:f>IF(M690=0,IF(AND(N690=0,O690=0,E690=0,F690=0),"OK","ERREUR"),IF(AND(M690&gt;=1,M690&lt;=32,OR(N690=4,N690=6,N690=8,N690=10,N690=12,N690=20),O690&gt;=0,E690=M690+O690,F690=M690*N690+O690),"OK","ERREUR"))</x:f>
        <x:v>OK</x:v>
      </x:c>
      <x:c r="U690" s="86" t="n">
        <x:f>IF(M690&gt;0,M690*(N690+1)/2+O690,0)</x:f>
        <x:v>22</x:v>
      </x:c>
      <x:c r="V690" t="str">
        <x:f>IF(ABS(L690-U690)&lt;0.001,"OK","ERREUR")</x:f>
        <x:v>OK</x:v>
      </x:c>
    </x:row>
    <x:row r="691" ht="18" customHeight="1">
      <x:c r="A691" t="str">
        <x:v>ARM035</x:v>
      </x:c>
      <x:c r="B691" t="str">
        <x:v>Masse lourde</x:v>
      </x:c>
      <x:c r="C691" t="n">
        <x:v>8</x:v>
      </x:c>
      <x:c r="D691" t="str">
        <x:v>Deux mains</x:v>
      </x:c>
      <x:c r="E691" s="28" t="n">
        <x:f>IF(M691=0,0,M691+O691)</x:f>
        <x:v>18</x:v>
      </x:c>
      <x:c r="F691" s="28" t="n">
        <x:f>IF(M691=0,0,M691*N691+O691)</x:f>
        <x:v>33</x:v>
      </x:c>
      <x:c r="G691" s="28" t="n">
        <x:f>ROUND(Catalogue!G38*SQRT((1+'Paramètres'!$B$4*(C691-1)+'Paramètres'!$B$5*(C691-1)^2)),0)</x:f>
        <x:v>0</x:v>
      </x:c>
      <x:c r="H691" s="28" t="n">
        <x:f>ROUND(Catalogue!H38*SQRT((1+'Paramètres'!$B$4*(C691-1)+'Paramètres'!$B$5*(C691-1)^2)),0)</x:f>
        <x:v>0</x:v>
      </x:c>
      <x:c r="I691" s="28" t="n">
        <x:v>3</x:v>
      </x:c>
      <x:c r="J691" s="28" t="n">
        <x:v>1</x:v>
      </x:c>
      <x:c r="K691" s="30" t="n">
        <x:v>5.5</x:v>
      </x:c>
      <x:c r="L691" s="54" t="n">
        <x:f>IF(M691=0,0,(E691+F691)/2)</x:f>
        <x:v>25.5</x:v>
      </x:c>
      <x:c r="M691" t="n">
        <x:v>3</x:v>
      </x:c>
      <x:c r="N691" t="n">
        <x:v>6</x:v>
      </x:c>
      <x:c r="O691" t="n">
        <x:v>15</x:v>
      </x:c>
      <x:c r="P691" s="63" t="str">
        <x:f>IF(M691=0,"—",M691&amp;"d"&amp;N691&amp;IF(O691=0,""," + "&amp;O691))</x:f>
        <x:v>3d6 + 15</x:v>
      </x:c>
      <x:c r="Q691" t="n">
        <x:f>ROUND(INDEX(Catalogue!E$4:E$85,MATCH(A691,Catalogue!A$4:A$85,0))*(1+'Paramètres'!$B$4*(C691-1)+'Paramètres'!$B$5*(C691-1)^2),0)</x:f>
        <x:v>18</x:v>
      </x:c>
      <x:c r="R691" t="n">
        <x:f>ROUND(INDEX(Catalogue!F$4:F$85,MATCH(A691,Catalogue!A$4:A$85,0))*(1+'Paramètres'!$B$4*(C691-1)+'Paramètres'!$B$5*(C691-1)^2),0)</x:f>
        <x:v>33</x:v>
      </x:c>
      <x:c r="S691" t="n">
        <x:f>L691-AVERAGE(Q691:R691)</x:f>
        <x:v>0</x:v>
      </x:c>
      <x:c r="T691" t="str">
        <x:f>IF(M691=0,IF(AND(N691=0,O691=0,E691=0,F691=0),"OK","ERREUR"),IF(AND(M691&gt;=1,M691&lt;=32,OR(N691=4,N691=6,N691=8,N691=10,N691=12,N691=20),O691&gt;=0,E691=M691+O691,F691=M691*N691+O691),"OK","ERREUR"))</x:f>
        <x:v>OK</x:v>
      </x:c>
      <x:c r="U691" s="86" t="n">
        <x:f>IF(M691&gt;0,M691*(N691+1)/2+O691,0)</x:f>
        <x:v>25.5</x:v>
      </x:c>
      <x:c r="V691" t="str">
        <x:f>IF(ABS(L691-U691)&lt;0.001,"OK","ERREUR")</x:f>
        <x:v>OK</x:v>
      </x:c>
    </x:row>
    <x:row r="692" ht="18" customHeight="1">
      <x:c r="A692" t="str">
        <x:v>ARM035</x:v>
      </x:c>
      <x:c r="B692" t="str">
        <x:v>Masse lourde</x:v>
      </x:c>
      <x:c r="C692" t="n">
        <x:v>9</x:v>
      </x:c>
      <x:c r="D692" t="str">
        <x:v>Deux mains</x:v>
      </x:c>
      <x:c r="E692" s="28" t="n">
        <x:f>IF(M692=0,0,M692+O692)</x:f>
        <x:v>20</x:v>
      </x:c>
      <x:c r="F692" s="28" t="n">
        <x:f>IF(M692=0,0,M692*N692+O692)</x:f>
        <x:v>38</x:v>
      </x:c>
      <x:c r="G692" s="28" t="n">
        <x:f>ROUND(Catalogue!G38*SQRT((1+'Paramètres'!$B$4*(C692-1)+'Paramètres'!$B$5*(C692-1)^2)),0)</x:f>
        <x:v>0</x:v>
      </x:c>
      <x:c r="H692" s="28" t="n">
        <x:f>ROUND(Catalogue!H38*SQRT((1+'Paramètres'!$B$4*(C692-1)+'Paramètres'!$B$5*(C692-1)^2)),0)</x:f>
        <x:v>0</x:v>
      </x:c>
      <x:c r="I692" s="28" t="n">
        <x:v>3</x:v>
      </x:c>
      <x:c r="J692" s="28" t="n">
        <x:v>1</x:v>
      </x:c>
      <x:c r="K692" s="30" t="n">
        <x:v>5.5</x:v>
      </x:c>
      <x:c r="L692" s="54" t="n">
        <x:f>IF(M692=0,0,(E692+F692)/2)</x:f>
        <x:v>29</x:v>
      </x:c>
      <x:c r="M692" t="n">
        <x:v>2</x:v>
      </x:c>
      <x:c r="N692" t="n">
        <x:v>10</x:v>
      </x:c>
      <x:c r="O692" t="n">
        <x:v>18</x:v>
      </x:c>
      <x:c r="P692" s="63" t="str">
        <x:f>IF(M692=0,"—",M692&amp;"d"&amp;N692&amp;IF(O692=0,""," + "&amp;O692))</x:f>
        <x:v>2d10 + 18</x:v>
      </x:c>
      <x:c r="Q692" t="n">
        <x:f>ROUND(INDEX(Catalogue!E$4:E$85,MATCH(A692,Catalogue!A$4:A$85,0))*(1+'Paramètres'!$B$4*(C692-1)+'Paramètres'!$B$5*(C692-1)^2),0)</x:f>
        <x:v>20</x:v>
      </x:c>
      <x:c r="R692" t="n">
        <x:f>ROUND(INDEX(Catalogue!F$4:F$85,MATCH(A692,Catalogue!A$4:A$85,0))*(1+'Paramètres'!$B$4*(C692-1)+'Paramètres'!$B$5*(C692-1)^2),0)</x:f>
        <x:v>38</x:v>
      </x:c>
      <x:c r="S692" t="n">
        <x:f>L692-AVERAGE(Q692:R692)</x:f>
        <x:v>0</x:v>
      </x:c>
      <x:c r="T692" t="str">
        <x:f>IF(M692=0,IF(AND(N692=0,O692=0,E692=0,F692=0),"OK","ERREUR"),IF(AND(M692&gt;=1,M692&lt;=32,OR(N692=4,N692=6,N692=8,N692=10,N692=12,N692=20),O692&gt;=0,E692=M692+O692,F692=M692*N692+O692),"OK","ERREUR"))</x:f>
        <x:v>OK</x:v>
      </x:c>
      <x:c r="U692" s="86" t="n">
        <x:f>IF(M692&gt;0,M692*(N692+1)/2+O692,0)</x:f>
        <x:v>29</x:v>
      </x:c>
      <x:c r="V692" t="str">
        <x:f>IF(ABS(L692-U692)&lt;0.001,"OK","ERREUR")</x:f>
        <x:v>OK</x:v>
      </x:c>
    </x:row>
    <x:row r="693" ht="18" customHeight="1">
      <x:c r="A693" t="str">
        <x:v>ARM035</x:v>
      </x:c>
      <x:c r="B693" t="str">
        <x:v>Masse lourde</x:v>
      </x:c>
      <x:c r="C693" t="n">
        <x:v>10</x:v>
      </x:c>
      <x:c r="D693" t="str">
        <x:v>Deux mains</x:v>
      </x:c>
      <x:c r="E693" s="28" t="n">
        <x:f>IF(M693=0,0,M693+O693)</x:f>
        <x:v>23</x:v>
      </x:c>
      <x:c r="F693" s="28" t="n">
        <x:f>IF(M693=0,0,M693*N693+O693)</x:f>
        <x:v>43</x:v>
      </x:c>
      <x:c r="G693" s="28" t="n">
        <x:f>ROUND(Catalogue!G38*SQRT((1+'Paramètres'!$B$4*(C693-1)+'Paramètres'!$B$5*(C693-1)^2)),0)</x:f>
        <x:v>0</x:v>
      </x:c>
      <x:c r="H693" s="28" t="n">
        <x:f>ROUND(Catalogue!H38*SQRT((1+'Paramètres'!$B$4*(C693-1)+'Paramètres'!$B$5*(C693-1)^2)),0)</x:f>
        <x:v>0</x:v>
      </x:c>
      <x:c r="I693" s="28" t="n">
        <x:v>3</x:v>
      </x:c>
      <x:c r="J693" s="28" t="n">
        <x:v>1</x:v>
      </x:c>
      <x:c r="K693" s="30" t="n">
        <x:v>5.5</x:v>
      </x:c>
      <x:c r="L693" s="54" t="n">
        <x:f>IF(M693=0,0,(E693+F693)/2)</x:f>
        <x:v>33</x:v>
      </x:c>
      <x:c r="M693" t="n">
        <x:v>4</x:v>
      </x:c>
      <x:c r="N693" t="n">
        <x:v>6</x:v>
      </x:c>
      <x:c r="O693" t="n">
        <x:v>19</x:v>
      </x:c>
      <x:c r="P693" s="63" t="str">
        <x:f>IF(M693=0,"—",M693&amp;"d"&amp;N693&amp;IF(O693=0,""," + "&amp;O693))</x:f>
        <x:v>4d6 + 19</x:v>
      </x:c>
      <x:c r="Q693" t="n">
        <x:f>ROUND(INDEX(Catalogue!E$4:E$85,MATCH(A693,Catalogue!A$4:A$85,0))*(1+'Paramètres'!$B$4*(C693-1)+'Paramètres'!$B$5*(C693-1)^2),0)</x:f>
        <x:v>23</x:v>
      </x:c>
      <x:c r="R693" t="n">
        <x:f>ROUND(INDEX(Catalogue!F$4:F$85,MATCH(A693,Catalogue!A$4:A$85,0))*(1+'Paramètres'!$B$4*(C693-1)+'Paramètres'!$B$5*(C693-1)^2),0)</x:f>
        <x:v>43</x:v>
      </x:c>
      <x:c r="S693" t="n">
        <x:f>L693-AVERAGE(Q693:R693)</x:f>
        <x:v>0</x:v>
      </x:c>
      <x:c r="T693" t="str">
        <x:f>IF(M693=0,IF(AND(N693=0,O693=0,E693=0,F693=0),"OK","ERREUR"),IF(AND(M693&gt;=1,M693&lt;=32,OR(N693=4,N693=6,N693=8,N693=10,N693=12,N693=20),O693&gt;=0,E693=M693+O693,F693=M693*N693+O693),"OK","ERREUR"))</x:f>
        <x:v>OK</x:v>
      </x:c>
      <x:c r="U693" s="86" t="n">
        <x:f>IF(M693&gt;0,M693*(N693+1)/2+O693,0)</x:f>
        <x:v>33</x:v>
      </x:c>
      <x:c r="V693" t="str">
        <x:f>IF(ABS(L693-U693)&lt;0.001,"OK","ERREUR")</x:f>
        <x:v>OK</x:v>
      </x:c>
    </x:row>
    <x:row r="694" ht="18" customHeight="1">
      <x:c r="A694" t="str">
        <x:v>ARM035</x:v>
      </x:c>
      <x:c r="B694" t="str">
        <x:v>Masse lourde</x:v>
      </x:c>
      <x:c r="C694" t="n">
        <x:v>11</x:v>
      </x:c>
      <x:c r="D694" t="str">
        <x:v>Deux mains</x:v>
      </x:c>
      <x:c r="E694" s="28" t="n">
        <x:f>IF(M694=0,0,M694+O694)</x:f>
        <x:v>26</x:v>
      </x:c>
      <x:c r="F694" s="28" t="n">
        <x:f>IF(M694=0,0,M694*N694+O694)</x:f>
        <x:v>48</x:v>
      </x:c>
      <x:c r="G694" s="28" t="n">
        <x:f>ROUND(Catalogue!G38*SQRT((1+'Paramètres'!$B$4*(C694-1)+'Paramètres'!$B$5*(C694-1)^2)),0)</x:f>
        <x:v>0</x:v>
      </x:c>
      <x:c r="H694" s="28" t="n">
        <x:f>ROUND(Catalogue!H38*SQRT((1+'Paramètres'!$B$4*(C694-1)+'Paramètres'!$B$5*(C694-1)^2)),0)</x:f>
        <x:v>0</x:v>
      </x:c>
      <x:c r="I694" s="28" t="n">
        <x:v>3</x:v>
      </x:c>
      <x:c r="J694" s="28" t="n">
        <x:v>1</x:v>
      </x:c>
      <x:c r="K694" s="30" t="n">
        <x:v>5.5</x:v>
      </x:c>
      <x:c r="L694" s="54" t="n">
        <x:f>IF(M694=0,0,(E694+F694)/2)</x:f>
        <x:v>37</x:v>
      </x:c>
      <x:c r="M694" t="n">
        <x:v>2</x:v>
      </x:c>
      <x:c r="N694" t="n">
        <x:v>12</x:v>
      </x:c>
      <x:c r="O694" t="n">
        <x:v>24</x:v>
      </x:c>
      <x:c r="P694" s="63" t="str">
        <x:f>IF(M694=0,"—",M694&amp;"d"&amp;N694&amp;IF(O694=0,""," + "&amp;O694))</x:f>
        <x:v>2d12 + 24</x:v>
      </x:c>
      <x:c r="Q694" t="n">
        <x:f>ROUND(INDEX(Catalogue!E$4:E$85,MATCH(A694,Catalogue!A$4:A$85,0))*(1+'Paramètres'!$B$4*(C694-1)+'Paramètres'!$B$5*(C694-1)^2),0)</x:f>
        <x:v>26</x:v>
      </x:c>
      <x:c r="R694" t="n">
        <x:f>ROUND(INDEX(Catalogue!F$4:F$85,MATCH(A694,Catalogue!A$4:A$85,0))*(1+'Paramètres'!$B$4*(C694-1)+'Paramètres'!$B$5*(C694-1)^2),0)</x:f>
        <x:v>48</x:v>
      </x:c>
      <x:c r="S694" t="n">
        <x:f>L694-AVERAGE(Q694:R694)</x:f>
        <x:v>0</x:v>
      </x:c>
      <x:c r="T694" t="str">
        <x:f>IF(M694=0,IF(AND(N694=0,O694=0,E694=0,F694=0),"OK","ERREUR"),IF(AND(M694&gt;=1,M694&lt;=32,OR(N694=4,N694=6,N694=8,N694=10,N694=12,N694=20),O694&gt;=0,E694=M694+O694,F694=M694*N694+O694),"OK","ERREUR"))</x:f>
        <x:v>OK</x:v>
      </x:c>
      <x:c r="U694" s="86" t="n">
        <x:f>IF(M694&gt;0,M694*(N694+1)/2+O694,0)</x:f>
        <x:v>37</x:v>
      </x:c>
      <x:c r="V694" t="str">
        <x:f>IF(ABS(L694-U694)&lt;0.001,"OK","ERREUR")</x:f>
        <x:v>OK</x:v>
      </x:c>
    </x:row>
    <x:row r="695" ht="18" customHeight="1">
      <x:c r="A695" t="str">
        <x:v>ARM035</x:v>
      </x:c>
      <x:c r="B695" t="str">
        <x:v>Masse lourde</x:v>
      </x:c>
      <x:c r="C695" t="n">
        <x:v>12</x:v>
      </x:c>
      <x:c r="D695" t="str">
        <x:v>Deux mains</x:v>
      </x:c>
      <x:c r="E695" s="28" t="n">
        <x:f>IF(M695=0,0,M695+O695)</x:f>
        <x:v>28</x:v>
      </x:c>
      <x:c r="F695" s="28" t="n">
        <x:f>IF(M695=0,0,M695*N695+O695)</x:f>
        <x:v>55</x:v>
      </x:c>
      <x:c r="G695" s="28" t="n">
        <x:f>ROUND(Catalogue!G38*SQRT((1+'Paramètres'!$B$4*(C695-1)+'Paramètres'!$B$5*(C695-1)^2)),0)</x:f>
        <x:v>0</x:v>
      </x:c>
      <x:c r="H695" s="28" t="n">
        <x:f>ROUND(Catalogue!H38*SQRT((1+'Paramètres'!$B$4*(C695-1)+'Paramètres'!$B$5*(C695-1)^2)),0)</x:f>
        <x:v>0</x:v>
      </x:c>
      <x:c r="I695" s="28" t="n">
        <x:v>3</x:v>
      </x:c>
      <x:c r="J695" s="28" t="n">
        <x:v>1</x:v>
      </x:c>
      <x:c r="K695" s="30" t="n">
        <x:v>5.5</x:v>
      </x:c>
      <x:c r="L695" s="54" t="n">
        <x:f>IF(M695=0,0,(E695+F695)/2)</x:f>
        <x:v>41.5</x:v>
      </x:c>
      <x:c r="M695" t="n">
        <x:v>3</x:v>
      </x:c>
      <x:c r="N695" t="n">
        <x:v>10</x:v>
      </x:c>
      <x:c r="O695" t="n">
        <x:v>25</x:v>
      </x:c>
      <x:c r="P695" s="63" t="str">
        <x:f>IF(M695=0,"—",M695&amp;"d"&amp;N695&amp;IF(O695=0,""," + "&amp;O695))</x:f>
        <x:v>3d10 + 25</x:v>
      </x:c>
      <x:c r="Q695" t="n">
        <x:f>ROUND(INDEX(Catalogue!E$4:E$85,MATCH(A695,Catalogue!A$4:A$85,0))*(1+'Paramètres'!$B$4*(C695-1)+'Paramètres'!$B$5*(C695-1)^2),0)</x:f>
        <x:v>29</x:v>
      </x:c>
      <x:c r="R695" t="n">
        <x:f>ROUND(INDEX(Catalogue!F$4:F$85,MATCH(A695,Catalogue!A$4:A$85,0))*(1+'Paramètres'!$B$4*(C695-1)+'Paramètres'!$B$5*(C695-1)^2),0)</x:f>
        <x:v>54</x:v>
      </x:c>
      <x:c r="S695" t="n">
        <x:f>L695-AVERAGE(Q695:R695)</x:f>
        <x:v>0</x:v>
      </x:c>
      <x:c r="T695" t="str">
        <x:f>IF(M695=0,IF(AND(N695=0,O695=0,E695=0,F695=0),"OK","ERREUR"),IF(AND(M695&gt;=1,M695&lt;=32,OR(N695=4,N695=6,N695=8,N695=10,N695=12,N695=20),O695&gt;=0,E695=M695+O695,F695=M695*N695+O695),"OK","ERREUR"))</x:f>
        <x:v>OK</x:v>
      </x:c>
      <x:c r="U695" s="86" t="n">
        <x:f>IF(M695&gt;0,M695*(N695+1)/2+O695,0)</x:f>
        <x:v>41.5</x:v>
      </x:c>
      <x:c r="V695" t="str">
        <x:f>IF(ABS(L695-U695)&lt;0.001,"OK","ERREUR")</x:f>
        <x:v>OK</x:v>
      </x:c>
    </x:row>
    <x:row r="696" ht="18" customHeight="1">
      <x:c r="A696" t="str">
        <x:v>ARM035</x:v>
      </x:c>
      <x:c r="B696" t="str">
        <x:v>Masse lourde</x:v>
      </x:c>
      <x:c r="C696" t="n">
        <x:v>13</x:v>
      </x:c>
      <x:c r="D696" t="str">
        <x:v>Deux mains</x:v>
      </x:c>
      <x:c r="E696" s="28" t="n">
        <x:f>IF(M696=0,0,M696+O696)</x:f>
        <x:v>32</x:v>
      </x:c>
      <x:c r="F696" s="28" t="n">
        <x:f>IF(M696=0,0,M696*N696+O696)</x:f>
        <x:v>60</x:v>
      </x:c>
      <x:c r="G696" s="28" t="n">
        <x:f>ROUND(Catalogue!G38*SQRT((1+'Paramètres'!$B$4*(C696-1)+'Paramètres'!$B$5*(C696-1)^2)),0)</x:f>
        <x:v>0</x:v>
      </x:c>
      <x:c r="H696" s="28" t="n">
        <x:f>ROUND(Catalogue!H38*SQRT((1+'Paramètres'!$B$4*(C696-1)+'Paramètres'!$B$5*(C696-1)^2)),0)</x:f>
        <x:v>0</x:v>
      </x:c>
      <x:c r="I696" s="28" t="n">
        <x:v>3</x:v>
      </x:c>
      <x:c r="J696" s="28" t="n">
        <x:v>1</x:v>
      </x:c>
      <x:c r="K696" s="30" t="n">
        <x:v>5.5</x:v>
      </x:c>
      <x:c r="L696" s="54" t="n">
        <x:f>IF(M696=0,0,(E696+F696)/2)</x:f>
        <x:v>46</x:v>
      </x:c>
      <x:c r="M696" t="n">
        <x:v>4</x:v>
      </x:c>
      <x:c r="N696" t="n">
        <x:v>8</x:v>
      </x:c>
      <x:c r="O696" t="n">
        <x:v>28</x:v>
      </x:c>
      <x:c r="P696" s="63" t="str">
        <x:f>IF(M696=0,"—",M696&amp;"d"&amp;N696&amp;IF(O696=0,""," + "&amp;O696))</x:f>
        <x:v>4d8 + 28</x:v>
      </x:c>
      <x:c r="Q696" t="n">
        <x:f>ROUND(INDEX(Catalogue!E$4:E$85,MATCH(A696,Catalogue!A$4:A$85,0))*(1+'Paramètres'!$B$4*(C696-1)+'Paramètres'!$B$5*(C696-1)^2),0)</x:f>
        <x:v>32</x:v>
      </x:c>
      <x:c r="R696" t="n">
        <x:f>ROUND(INDEX(Catalogue!F$4:F$85,MATCH(A696,Catalogue!A$4:A$85,0))*(1+'Paramètres'!$B$4*(C696-1)+'Paramètres'!$B$5*(C696-1)^2),0)</x:f>
        <x:v>60</x:v>
      </x:c>
      <x:c r="S696" t="n">
        <x:f>L696-AVERAGE(Q696:R696)</x:f>
        <x:v>0</x:v>
      </x:c>
      <x:c r="T696" t="str">
        <x:f>IF(M696=0,IF(AND(N696=0,O696=0,E696=0,F696=0),"OK","ERREUR"),IF(AND(M696&gt;=1,M696&lt;=32,OR(N696=4,N696=6,N696=8,N696=10,N696=12,N696=20),O696&gt;=0,E696=M696+O696,F696=M696*N696+O696),"OK","ERREUR"))</x:f>
        <x:v>OK</x:v>
      </x:c>
      <x:c r="U696" s="86" t="n">
        <x:f>IF(M696&gt;0,M696*(N696+1)/2+O696,0)</x:f>
        <x:v>46</x:v>
      </x:c>
      <x:c r="V696" t="str">
        <x:f>IF(ABS(L696-U696)&lt;0.001,"OK","ERREUR")</x:f>
        <x:v>OK</x:v>
      </x:c>
    </x:row>
    <x:row r="697" ht="18" customHeight="1">
      <x:c r="A697" t="str">
        <x:v>ARM035</x:v>
      </x:c>
      <x:c r="B697" t="str">
        <x:v>Masse lourde</x:v>
      </x:c>
      <x:c r="C697" t="n">
        <x:v>14</x:v>
      </x:c>
      <x:c r="D697" t="str">
        <x:v>Deux mains</x:v>
      </x:c>
      <x:c r="E697" s="28" t="n">
        <x:f>IF(M697=0,0,M697+O697)</x:f>
        <x:v>35</x:v>
      </x:c>
      <x:c r="F697" s="28" t="n">
        <x:f>IF(M697=0,0,M697*N697+O697)</x:f>
        <x:v>68</x:v>
      </x:c>
      <x:c r="G697" s="28" t="n">
        <x:f>ROUND(Catalogue!G38*SQRT((1+'Paramètres'!$B$4*(C697-1)+'Paramètres'!$B$5*(C697-1)^2)),0)</x:f>
        <x:v>0</x:v>
      </x:c>
      <x:c r="H697" s="28" t="n">
        <x:f>ROUND(Catalogue!H38*SQRT((1+'Paramètres'!$B$4*(C697-1)+'Paramètres'!$B$5*(C697-1)^2)),0)</x:f>
        <x:v>0</x:v>
      </x:c>
      <x:c r="I697" s="28" t="n">
        <x:v>3</x:v>
      </x:c>
      <x:c r="J697" s="28" t="n">
        <x:v>1</x:v>
      </x:c>
      <x:c r="K697" s="30" t="n">
        <x:v>5.5</x:v>
      </x:c>
      <x:c r="L697" s="54" t="n">
        <x:f>IF(M697=0,0,(E697+F697)/2)</x:f>
        <x:v>51.5</x:v>
      </x:c>
      <x:c r="M697" t="n">
        <x:v>3</x:v>
      </x:c>
      <x:c r="N697" t="n">
        <x:v>12</x:v>
      </x:c>
      <x:c r="O697" t="n">
        <x:v>32</x:v>
      </x:c>
      <x:c r="P697" s="63" t="str">
        <x:f>IF(M697=0,"—",M697&amp;"d"&amp;N697&amp;IF(O697=0,""," + "&amp;O697))</x:f>
        <x:v>3d12 + 32</x:v>
      </x:c>
      <x:c r="Q697" t="n">
        <x:f>ROUND(INDEX(Catalogue!E$4:E$85,MATCH(A697,Catalogue!A$4:A$85,0))*(1+'Paramètres'!$B$4*(C697-1)+'Paramètres'!$B$5*(C697-1)^2),0)</x:f>
        <x:v>36</x:v>
      </x:c>
      <x:c r="R697" t="n">
        <x:f>ROUND(INDEX(Catalogue!F$4:F$85,MATCH(A697,Catalogue!A$4:A$85,0))*(1+'Paramètres'!$B$4*(C697-1)+'Paramètres'!$B$5*(C697-1)^2),0)</x:f>
        <x:v>67</x:v>
      </x:c>
      <x:c r="S697" t="n">
        <x:f>L697-AVERAGE(Q697:R697)</x:f>
        <x:v>0</x:v>
      </x:c>
      <x:c r="T697" t="str">
        <x:f>IF(M697=0,IF(AND(N697=0,O697=0,E697=0,F697=0),"OK","ERREUR"),IF(AND(M697&gt;=1,M697&lt;=32,OR(N697=4,N697=6,N697=8,N697=10,N697=12,N697=20),O697&gt;=0,E697=M697+O697,F697=M697*N697+O697),"OK","ERREUR"))</x:f>
        <x:v>OK</x:v>
      </x:c>
      <x:c r="U697" s="86" t="n">
        <x:f>IF(M697&gt;0,M697*(N697+1)/2+O697,0)</x:f>
        <x:v>51.5</x:v>
      </x:c>
      <x:c r="V697" t="str">
        <x:f>IF(ABS(L697-U697)&lt;0.001,"OK","ERREUR")</x:f>
        <x:v>OK</x:v>
      </x:c>
    </x:row>
    <x:row r="698" ht="18" customHeight="1">
      <x:c r="A698" t="str">
        <x:v>ARM035</x:v>
      </x:c>
      <x:c r="B698" t="str">
        <x:v>Masse lourde</x:v>
      </x:c>
      <x:c r="C698" t="n">
        <x:v>15</x:v>
      </x:c>
      <x:c r="D698" t="str">
        <x:v>Deux mains</x:v>
      </x:c>
      <x:c r="E698" s="28" t="n">
        <x:f>IF(M698=0,0,M698+O698)</x:f>
        <x:v>40</x:v>
      </x:c>
      <x:c r="F698" s="28" t="n">
        <x:f>IF(M698=0,0,M698*N698+O698)</x:f>
        <x:v>73</x:v>
      </x:c>
      <x:c r="G698" s="28" t="n">
        <x:f>ROUND(Catalogue!G38*SQRT((1+'Paramètres'!$B$4*(C698-1)+'Paramètres'!$B$5*(C698-1)^2)),0)</x:f>
        <x:v>0</x:v>
      </x:c>
      <x:c r="H698" s="28" t="n">
        <x:f>ROUND(Catalogue!H38*SQRT((1+'Paramètres'!$B$4*(C698-1)+'Paramètres'!$B$5*(C698-1)^2)),0)</x:f>
        <x:v>0</x:v>
      </x:c>
      <x:c r="I698" s="28" t="n">
        <x:v>3</x:v>
      </x:c>
      <x:c r="J698" s="28" t="n">
        <x:v>1</x:v>
      </x:c>
      <x:c r="K698" s="30" t="n">
        <x:v>5.5</x:v>
      </x:c>
      <x:c r="L698" s="54" t="n">
        <x:f>IF(M698=0,0,(E698+F698)/2)</x:f>
        <x:v>56.5</x:v>
      </x:c>
      <x:c r="M698" t="n">
        <x:v>3</x:v>
      </x:c>
      <x:c r="N698" t="n">
        <x:v>12</x:v>
      </x:c>
      <x:c r="O698" t="n">
        <x:v>37</x:v>
      </x:c>
      <x:c r="P698" s="63" t="str">
        <x:f>IF(M698=0,"—",M698&amp;"d"&amp;N698&amp;IF(O698=0,""," + "&amp;O698))</x:f>
        <x:v>3d12 + 37</x:v>
      </x:c>
      <x:c r="Q698" t="n">
        <x:f>ROUND(INDEX(Catalogue!E$4:E$85,MATCH(A698,Catalogue!A$4:A$85,0))*(1+'Paramètres'!$B$4*(C698-1)+'Paramètres'!$B$5*(C698-1)^2),0)</x:f>
        <x:v>40</x:v>
      </x:c>
      <x:c r="R698" t="n">
        <x:f>ROUND(INDEX(Catalogue!F$4:F$85,MATCH(A698,Catalogue!A$4:A$85,0))*(1+'Paramètres'!$B$4*(C698-1)+'Paramètres'!$B$5*(C698-1)^2),0)</x:f>
        <x:v>74</x:v>
      </x:c>
      <x:c r="S698" t="n">
        <x:f>L698-AVERAGE(Q698:R698)</x:f>
        <x:v>-0.5</x:v>
      </x:c>
      <x:c r="T698" t="str">
        <x:f>IF(M698=0,IF(AND(N698=0,O698=0,E698=0,F698=0),"OK","ERREUR"),IF(AND(M698&gt;=1,M698&lt;=32,OR(N698=4,N698=6,N698=8,N698=10,N698=12,N698=20),O698&gt;=0,E698=M698+O698,F698=M698*N698+O698),"OK","ERREUR"))</x:f>
        <x:v>OK</x:v>
      </x:c>
      <x:c r="U698" s="86" t="n">
        <x:f>IF(M698&gt;0,M698*(N698+1)/2+O698,0)</x:f>
        <x:v>56.5</x:v>
      </x:c>
      <x:c r="V698" t="str">
        <x:f>IF(ABS(L698-U698)&lt;0.001,"OK","ERREUR")</x:f>
        <x:v>OK</x:v>
      </x:c>
    </x:row>
    <x:row r="699" ht="18" customHeight="1">
      <x:c r="A699" t="str">
        <x:v>ARM035</x:v>
      </x:c>
      <x:c r="B699" t="str">
        <x:v>Masse lourde</x:v>
      </x:c>
      <x:c r="C699" t="n">
        <x:v>16</x:v>
      </x:c>
      <x:c r="D699" t="str">
        <x:v>Deux mains</x:v>
      </x:c>
      <x:c r="E699" s="28" t="n">
        <x:f>IF(M699=0,0,M699+O699)</x:f>
        <x:v>44</x:v>
      </x:c>
      <x:c r="F699" s="28" t="n">
        <x:f>IF(M699=0,0,M699*N699+O699)</x:f>
        <x:v>80</x:v>
      </x:c>
      <x:c r="G699" s="28" t="n">
        <x:f>ROUND(Catalogue!G38*SQRT((1+'Paramètres'!$B$4*(C699-1)+'Paramètres'!$B$5*(C699-1)^2)),0)</x:f>
        <x:v>0</x:v>
      </x:c>
      <x:c r="H699" s="28" t="n">
        <x:f>ROUND(Catalogue!H38*SQRT((1+'Paramètres'!$B$4*(C699-1)+'Paramètres'!$B$5*(C699-1)^2)),0)</x:f>
        <x:v>0</x:v>
      </x:c>
      <x:c r="I699" s="28" t="n">
        <x:v>3</x:v>
      </x:c>
      <x:c r="J699" s="28" t="n">
        <x:v>1</x:v>
      </x:c>
      <x:c r="K699" s="30" t="n">
        <x:v>5.5</x:v>
      </x:c>
      <x:c r="L699" s="54" t="n">
        <x:f>IF(M699=0,0,(E699+F699)/2)</x:f>
        <x:v>62</x:v>
      </x:c>
      <x:c r="M699" t="n">
        <x:v>4</x:v>
      </x:c>
      <x:c r="N699" t="n">
        <x:v>10</x:v>
      </x:c>
      <x:c r="O699" t="n">
        <x:v>40</x:v>
      </x:c>
      <x:c r="P699" s="63" t="str">
        <x:f>IF(M699=0,"—",M699&amp;"d"&amp;N699&amp;IF(O699=0,""," + "&amp;O699))</x:f>
        <x:v>4d10 + 40</x:v>
      </x:c>
      <x:c r="Q699" t="n">
        <x:f>ROUND(INDEX(Catalogue!E$4:E$85,MATCH(A699,Catalogue!A$4:A$85,0))*(1+'Paramètres'!$B$4*(C699-1)+'Paramètres'!$B$5*(C699-1)^2),0)</x:f>
        <x:v>44</x:v>
      </x:c>
      <x:c r="R699" t="n">
        <x:f>ROUND(INDEX(Catalogue!F$4:F$85,MATCH(A699,Catalogue!A$4:A$85,0))*(1+'Paramètres'!$B$4*(C699-1)+'Paramètres'!$B$5*(C699-1)^2),0)</x:f>
        <x:v>81</x:v>
      </x:c>
      <x:c r="S699" t="n">
        <x:f>L699-AVERAGE(Q699:R699)</x:f>
        <x:v>-0.5</x:v>
      </x:c>
      <x:c r="T699" t="str">
        <x:f>IF(M699=0,IF(AND(N699=0,O699=0,E699=0,F699=0),"OK","ERREUR"),IF(AND(M699&gt;=1,M699&lt;=32,OR(N699=4,N699=6,N699=8,N699=10,N699=12,N699=20),O699&gt;=0,E699=M699+O699,F699=M699*N699+O699),"OK","ERREUR"))</x:f>
        <x:v>OK</x:v>
      </x:c>
      <x:c r="U699" s="86" t="n">
        <x:f>IF(M699&gt;0,M699*(N699+1)/2+O699,0)</x:f>
        <x:v>62</x:v>
      </x:c>
      <x:c r="V699" t="str">
        <x:f>IF(ABS(L699-U699)&lt;0.001,"OK","ERREUR")</x:f>
        <x:v>OK</x:v>
      </x:c>
    </x:row>
    <x:row r="700" ht="18" customHeight="1">
      <x:c r="A700" t="str">
        <x:v>ARM035</x:v>
      </x:c>
      <x:c r="B700" t="str">
        <x:v>Masse lourde</x:v>
      </x:c>
      <x:c r="C700" t="n">
        <x:v>17</x:v>
      </x:c>
      <x:c r="D700" t="str">
        <x:v>Deux mains</x:v>
      </x:c>
      <x:c r="E700" s="28" t="n">
        <x:f>IF(M700=0,0,M700+O700)</x:f>
        <x:v>47</x:v>
      </x:c>
      <x:c r="F700" s="28" t="n">
        <x:f>IF(M700=0,0,M700*N700+O700)</x:f>
        <x:v>89</x:v>
      </x:c>
      <x:c r="G700" s="28" t="n">
        <x:f>ROUND(Catalogue!G38*SQRT((1+'Paramètres'!$B$4*(C700-1)+'Paramètres'!$B$5*(C700-1)^2)),0)</x:f>
        <x:v>0</x:v>
      </x:c>
      <x:c r="H700" s="28" t="n">
        <x:f>ROUND(Catalogue!H38*SQRT((1+'Paramètres'!$B$4*(C700-1)+'Paramètres'!$B$5*(C700-1)^2)),0)</x:f>
        <x:v>0</x:v>
      </x:c>
      <x:c r="I700" s="28" t="n">
        <x:v>3</x:v>
      </x:c>
      <x:c r="J700" s="28" t="n">
        <x:v>1</x:v>
      </x:c>
      <x:c r="K700" s="30" t="n">
        <x:v>5.5</x:v>
      </x:c>
      <x:c r="L700" s="54" t="n">
        <x:f>IF(M700=0,0,(E700+F700)/2)</x:f>
        <x:v>68</x:v>
      </x:c>
      <x:c r="M700" t="n">
        <x:v>6</x:v>
      </x:c>
      <x:c r="N700" t="n">
        <x:v>8</x:v>
      </x:c>
      <x:c r="O700" t="n">
        <x:v>41</x:v>
      </x:c>
      <x:c r="P700" s="63" t="str">
        <x:f>IF(M700=0,"—",M700&amp;"d"&amp;N700&amp;IF(O700=0,""," + "&amp;O700))</x:f>
        <x:v>6d8 + 41</x:v>
      </x:c>
      <x:c r="Q700" t="n">
        <x:f>ROUND(INDEX(Catalogue!E$4:E$85,MATCH(A700,Catalogue!A$4:A$85,0))*(1+'Paramètres'!$B$4*(C700-1)+'Paramètres'!$B$5*(C700-1)^2),0)</x:f>
        <x:v>48</x:v>
      </x:c>
      <x:c r="R700" t="n">
        <x:f>ROUND(INDEX(Catalogue!F$4:F$85,MATCH(A700,Catalogue!A$4:A$85,0))*(1+'Paramètres'!$B$4*(C700-1)+'Paramètres'!$B$5*(C700-1)^2),0)</x:f>
        <x:v>89</x:v>
      </x:c>
      <x:c r="S700" t="n">
        <x:f>L700-AVERAGE(Q700:R700)</x:f>
        <x:v>-0.5</x:v>
      </x:c>
      <x:c r="T700" t="str">
        <x:f>IF(M700=0,IF(AND(N700=0,O700=0,E700=0,F700=0),"OK","ERREUR"),IF(AND(M700&gt;=1,M700&lt;=32,OR(N700=4,N700=6,N700=8,N700=10,N700=12,N700=20),O700&gt;=0,E700=M700+O700,F700=M700*N700+O700),"OK","ERREUR"))</x:f>
        <x:v>OK</x:v>
      </x:c>
      <x:c r="U700" s="86" t="n">
        <x:f>IF(M700&gt;0,M700*(N700+1)/2+O700,0)</x:f>
        <x:v>68</x:v>
      </x:c>
      <x:c r="V700" t="str">
        <x:f>IF(ABS(L700-U700)&lt;0.001,"OK","ERREUR")</x:f>
        <x:v>OK</x:v>
      </x:c>
    </x:row>
    <x:row r="701" ht="18" customHeight="1">
      <x:c r="A701" t="str">
        <x:v>ARM035</x:v>
      </x:c>
      <x:c r="B701" t="str">
        <x:v>Masse lourde</x:v>
      </x:c>
      <x:c r="C701" t="n">
        <x:v>18</x:v>
      </x:c>
      <x:c r="D701" t="str">
        <x:v>Deux mains</x:v>
      </x:c>
      <x:c r="E701" s="28" t="n">
        <x:f>IF(M701=0,0,M701+O701)</x:f>
        <x:v>52</x:v>
      </x:c>
      <x:c r="F701" s="28" t="n">
        <x:f>IF(M701=0,0,M701*N701+O701)</x:f>
        <x:v>97</x:v>
      </x:c>
      <x:c r="G701" s="28" t="n">
        <x:f>ROUND(Catalogue!G38*SQRT((1+'Paramètres'!$B$4*(C701-1)+'Paramètres'!$B$5*(C701-1)^2)),0)</x:f>
        <x:v>0</x:v>
      </x:c>
      <x:c r="H701" s="28" t="n">
        <x:f>ROUND(Catalogue!H38*SQRT((1+'Paramètres'!$B$4*(C701-1)+'Paramètres'!$B$5*(C701-1)^2)),0)</x:f>
        <x:v>0</x:v>
      </x:c>
      <x:c r="I701" s="28" t="n">
        <x:v>3</x:v>
      </x:c>
      <x:c r="J701" s="28" t="n">
        <x:v>1</x:v>
      </x:c>
      <x:c r="K701" s="30" t="n">
        <x:v>5.5</x:v>
      </x:c>
      <x:c r="L701" s="54" t="n">
        <x:f>IF(M701=0,0,(E701+F701)/2)</x:f>
        <x:v>74.5</x:v>
      </x:c>
      <x:c r="M701" t="n">
        <x:v>5</x:v>
      </x:c>
      <x:c r="N701" t="n">
        <x:v>10</x:v>
      </x:c>
      <x:c r="O701" t="n">
        <x:v>47</x:v>
      </x:c>
      <x:c r="P701" s="63" t="str">
        <x:f>IF(M701=0,"—",M701&amp;"d"&amp;N701&amp;IF(O701=0,""," + "&amp;O701))</x:f>
        <x:v>5d10 + 47</x:v>
      </x:c>
      <x:c r="Q701" t="n">
        <x:f>ROUND(INDEX(Catalogue!E$4:E$85,MATCH(A701,Catalogue!A$4:A$85,0))*(1+'Paramètres'!$B$4*(C701-1)+'Paramètres'!$B$5*(C701-1)^2),0)</x:f>
        <x:v>52</x:v>
      </x:c>
      <x:c r="R701" t="n">
        <x:f>ROUND(INDEX(Catalogue!F$4:F$85,MATCH(A701,Catalogue!A$4:A$85,0))*(1+'Paramètres'!$B$4*(C701-1)+'Paramètres'!$B$5*(C701-1)^2),0)</x:f>
        <x:v>97</x:v>
      </x:c>
      <x:c r="S701" t="n">
        <x:f>L701-AVERAGE(Q701:R701)</x:f>
        <x:v>0</x:v>
      </x:c>
      <x:c r="T701" t="str">
        <x:f>IF(M701=0,IF(AND(N701=0,O701=0,E701=0,F701=0),"OK","ERREUR"),IF(AND(M701&gt;=1,M701&lt;=32,OR(N701=4,N701=6,N701=8,N701=10,N701=12,N701=20),O701&gt;=0,E701=M701+O701,F701=M701*N701+O701),"OK","ERREUR"))</x:f>
        <x:v>OK</x:v>
      </x:c>
      <x:c r="U701" s="86" t="n">
        <x:f>IF(M701&gt;0,M701*(N701+1)/2+O701,0)</x:f>
        <x:v>74.5</x:v>
      </x:c>
      <x:c r="V701" t="str">
        <x:f>IF(ABS(L701-U701)&lt;0.001,"OK","ERREUR")</x:f>
        <x:v>OK</x:v>
      </x:c>
    </x:row>
    <x:row r="702" ht="18" customHeight="1">
      <x:c r="A702" t="str">
        <x:v>ARM035</x:v>
      </x:c>
      <x:c r="B702" t="str">
        <x:v>Masse lourde</x:v>
      </x:c>
      <x:c r="C702" t="n">
        <x:v>19</x:v>
      </x:c>
      <x:c r="D702" t="str">
        <x:v>Deux mains</x:v>
      </x:c>
      <x:c r="E702" s="28" t="n">
        <x:f>IF(M702=0,0,M702+O702)</x:f>
        <x:v>59</x:v>
      </x:c>
      <x:c r="F702" s="28" t="n">
        <x:f>IF(M702=0,0,M702*N702+O702)</x:f>
        <x:v>104</x:v>
      </x:c>
      <x:c r="G702" s="28" t="n">
        <x:f>ROUND(Catalogue!G38*SQRT((1+'Paramètres'!$B$4*(C702-1)+'Paramètres'!$B$5*(C702-1)^2)),0)</x:f>
        <x:v>0</x:v>
      </x:c>
      <x:c r="H702" s="28" t="n">
        <x:f>ROUND(Catalogue!H38*SQRT((1+'Paramètres'!$B$4*(C702-1)+'Paramètres'!$B$5*(C702-1)^2)),0)</x:f>
        <x:v>0</x:v>
      </x:c>
      <x:c r="I702" s="28" t="n">
        <x:v>3</x:v>
      </x:c>
      <x:c r="J702" s="28" t="n">
        <x:v>1</x:v>
      </x:c>
      <x:c r="K702" s="30" t="n">
        <x:v>5.5</x:v>
      </x:c>
      <x:c r="L702" s="54" t="n">
        <x:f>IF(M702=0,0,(E702+F702)/2)</x:f>
        <x:v>81.5</x:v>
      </x:c>
      <x:c r="M702" t="n">
        <x:v>5</x:v>
      </x:c>
      <x:c r="N702" t="n">
        <x:v>10</x:v>
      </x:c>
      <x:c r="O702" t="n">
        <x:v>54</x:v>
      </x:c>
      <x:c r="P702" s="63" t="str">
        <x:f>IF(M702=0,"—",M702&amp;"d"&amp;N702&amp;IF(O702=0,""," + "&amp;O702))</x:f>
        <x:v>5d10 + 54</x:v>
      </x:c>
      <x:c r="Q702" t="n">
        <x:f>ROUND(INDEX(Catalogue!E$4:E$85,MATCH(A702,Catalogue!A$4:A$85,0))*(1+'Paramètres'!$B$4*(C702-1)+'Paramètres'!$B$5*(C702-1)^2),0)</x:f>
        <x:v>57</x:v>
      </x:c>
      <x:c r="R702" t="n">
        <x:f>ROUND(INDEX(Catalogue!F$4:F$85,MATCH(A702,Catalogue!A$4:A$85,0))*(1+'Paramètres'!$B$4*(C702-1)+'Paramètres'!$B$5*(C702-1)^2),0)</x:f>
        <x:v>106</x:v>
      </x:c>
      <x:c r="S702" t="n">
        <x:f>L702-AVERAGE(Q702:R702)</x:f>
        <x:v>0</x:v>
      </x:c>
      <x:c r="T702" t="str">
        <x:f>IF(M702=0,IF(AND(N702=0,O702=0,E702=0,F702=0),"OK","ERREUR"),IF(AND(M702&gt;=1,M702&lt;=32,OR(N702=4,N702=6,N702=8,N702=10,N702=12,N702=20),O702&gt;=0,E702=M702+O702,F702=M702*N702+O702),"OK","ERREUR"))</x:f>
        <x:v>OK</x:v>
      </x:c>
      <x:c r="U702" s="86" t="n">
        <x:f>IF(M702&gt;0,M702*(N702+1)/2+O702,0)</x:f>
        <x:v>81.5</x:v>
      </x:c>
      <x:c r="V702" t="str">
        <x:f>IF(ABS(L702-U702)&lt;0.001,"OK","ERREUR")</x:f>
        <x:v>OK</x:v>
      </x:c>
    </x:row>
    <x:row r="703" ht="18" customHeight="1">
      <x:c r="A703" t="str">
        <x:v>ARM035</x:v>
      </x:c>
      <x:c r="B703" t="str">
        <x:v>Masse lourde</x:v>
      </x:c>
      <x:c r="C703" t="n">
        <x:v>20</x:v>
      </x:c>
      <x:c r="D703" t="str">
        <x:v>Deux mains</x:v>
      </x:c>
      <x:c r="E703" s="28" t="n">
        <x:f>IF(M703=0,0,M703+O703)</x:f>
        <x:v>62</x:v>
      </x:c>
      <x:c r="F703" s="28" t="n">
        <x:f>IF(M703=0,0,M703*N703+O703)</x:f>
        <x:v>116</x:v>
      </x:c>
      <x:c r="G703" s="28" t="n">
        <x:f>ROUND(Catalogue!G38*SQRT((1+'Paramètres'!$B$4*(C703-1)+'Paramètres'!$B$5*(C703-1)^2)),0)</x:f>
        <x:v>0</x:v>
      </x:c>
      <x:c r="H703" s="28" t="n">
        <x:f>ROUND(Catalogue!H38*SQRT((1+'Paramètres'!$B$4*(C703-1)+'Paramètres'!$B$5*(C703-1)^2)),0)</x:f>
        <x:v>0</x:v>
      </x:c>
      <x:c r="I703" s="28" t="n">
        <x:v>3</x:v>
      </x:c>
      <x:c r="J703" s="28" t="n">
        <x:v>1</x:v>
      </x:c>
      <x:c r="K703" s="30" t="n">
        <x:v>5.5</x:v>
      </x:c>
      <x:c r="L703" s="54" t="n">
        <x:f>IF(M703=0,0,(E703+F703)/2)</x:f>
        <x:v>89</x:v>
      </x:c>
      <x:c r="M703" t="n">
        <x:v>6</x:v>
      </x:c>
      <x:c r="N703" t="n">
        <x:v>10</x:v>
      </x:c>
      <x:c r="O703" t="n">
        <x:v>56</x:v>
      </x:c>
      <x:c r="P703" s="63" t="str">
        <x:f>IF(M703=0,"—",M703&amp;"d"&amp;N703&amp;IF(O703=0,""," + "&amp;O703))</x:f>
        <x:v>6d10 + 56</x:v>
      </x:c>
      <x:c r="Q703" t="n">
        <x:f>ROUND(INDEX(Catalogue!E$4:E$85,MATCH(A703,Catalogue!A$4:A$85,0))*(1+'Paramètres'!$B$4*(C703-1)+'Paramètres'!$B$5*(C703-1)^2),0)</x:f>
        <x:v>62</x:v>
      </x:c>
      <x:c r="R703" t="n">
        <x:f>ROUND(INDEX(Catalogue!F$4:F$85,MATCH(A703,Catalogue!A$4:A$85,0))*(1+'Paramètres'!$B$4*(C703-1)+'Paramètres'!$B$5*(C703-1)^2),0)</x:f>
        <x:v>115</x:v>
      </x:c>
      <x:c r="S703" t="n">
        <x:f>L703-AVERAGE(Q703:R703)</x:f>
        <x:v>0.5</x:v>
      </x:c>
      <x:c r="T703" t="str">
        <x:f>IF(M703=0,IF(AND(N703=0,O703=0,E703=0,F703=0),"OK","ERREUR"),IF(AND(M703&gt;=1,M703&lt;=32,OR(N703=4,N703=6,N703=8,N703=10,N703=12,N703=20),O703&gt;=0,E703=M703+O703,F703=M703*N703+O703),"OK","ERREUR"))</x:f>
        <x:v>OK</x:v>
      </x:c>
      <x:c r="U703" s="86" t="n">
        <x:f>IF(M703&gt;0,M703*(N703+1)/2+O703,0)</x:f>
        <x:v>89</x:v>
      </x:c>
      <x:c r="V703" t="str">
        <x:f>IF(ABS(L703-U703)&lt;0.001,"OK","ERREUR")</x:f>
        <x:v>OK</x:v>
      </x:c>
    </x:row>
    <x:row r="704" ht="18" customHeight="1">
      <x:c r="A704" t="str">
        <x:v>ARM036</x:v>
      </x:c>
      <x:c r="B704" t="str">
        <x:v>Maillet de guerre</x:v>
      </x:c>
      <x:c r="C704" t="n">
        <x:v>1</x:v>
      </x:c>
      <x:c r="D704" t="str">
        <x:v>Deux mains</x:v>
      </x:c>
      <x:c r="E704" s="28" t="n">
        <x:f>IF(M704=0,0,M704+O704)</x:f>
        <x:v>9</x:v>
      </x:c>
      <x:c r="F704" s="28" t="n">
        <x:f>IF(M704=0,0,M704*N704+O704)</x:f>
        <x:v>14</x:v>
      </x:c>
      <x:c r="G704" s="28" t="n">
        <x:f>ROUND(Catalogue!G39*SQRT((1+'Paramètres'!$B$4*(C704-1)+'Paramètres'!$B$5*(C704-1)^2)),0)</x:f>
        <x:v>0</x:v>
      </x:c>
      <x:c r="H704" s="28" t="n">
        <x:f>ROUND(Catalogue!H39*SQRT((1+'Paramètres'!$B$4*(C704-1)+'Paramètres'!$B$5*(C704-1)^2)),0)</x:f>
        <x:v>0</x:v>
      </x:c>
      <x:c r="I704" s="28" t="n">
        <x:v>3</x:v>
      </x:c>
      <x:c r="J704" s="28" t="n">
        <x:v>1</x:v>
      </x:c>
      <x:c r="K704" s="30" t="n">
        <x:v>6</x:v>
      </x:c>
      <x:c r="L704" s="54" t="n">
        <x:f>IF(M704=0,0,(E704+F704)/2)</x:f>
        <x:v>11.5</x:v>
      </x:c>
      <x:c r="M704" t="n">
        <x:v>1</x:v>
      </x:c>
      <x:c r="N704" t="n">
        <x:v>6</x:v>
      </x:c>
      <x:c r="O704" t="n">
        <x:v>8</x:v>
      </x:c>
      <x:c r="P704" s="63" t="str">
        <x:f>IF(M704=0,"—",M704&amp;"d"&amp;N704&amp;IF(O704=0,""," + "&amp;O704))</x:f>
        <x:v>1d6 + 8</x:v>
      </x:c>
      <x:c r="Q704" t="n">
        <x:f>ROUND(INDEX(Catalogue!E$4:E$85,MATCH(A704,Catalogue!A$4:A$85,0))*(1+'Paramètres'!$B$4*(C704-1)+'Paramètres'!$B$5*(C704-1)^2),0)</x:f>
        <x:v>9</x:v>
      </x:c>
      <x:c r="R704" t="n">
        <x:f>ROUND(INDEX(Catalogue!F$4:F$85,MATCH(A704,Catalogue!A$4:A$85,0))*(1+'Paramètres'!$B$4*(C704-1)+'Paramètres'!$B$5*(C704-1)^2),0)</x:f>
        <x:v>14</x:v>
      </x:c>
      <x:c r="S704" t="n">
        <x:f>L704-AVERAGE(Q704:R704)</x:f>
        <x:v>0</x:v>
      </x:c>
      <x:c r="T704" t="str">
        <x:f>IF(M704=0,IF(AND(N704=0,O704=0,E704=0,F704=0),"OK","ERREUR"),IF(AND(M704&gt;=1,M704&lt;=32,OR(N704=4,N704=6,N704=8,N704=10,N704=12,N704=20),O704&gt;=0,E704=M704+O704,F704=M704*N704+O704),"OK","ERREUR"))</x:f>
        <x:v>OK</x:v>
      </x:c>
      <x:c r="U704" s="86" t="n">
        <x:f>IF(M704&gt;0,M704*(N704+1)/2+O704,0)</x:f>
        <x:v>11.5</x:v>
      </x:c>
      <x:c r="V704" t="str">
        <x:f>IF(ABS(L704-U704)&lt;0.001,"OK","ERREUR")</x:f>
        <x:v>OK</x:v>
      </x:c>
    </x:row>
    <x:row r="705" ht="18" customHeight="1">
      <x:c r="A705" t="str">
        <x:v>ARM036</x:v>
      </x:c>
      <x:c r="B705" t="str">
        <x:v>Maillet de guerre</x:v>
      </x:c>
      <x:c r="C705" t="n">
        <x:v>2</x:v>
      </x:c>
      <x:c r="D705" t="str">
        <x:v>Deux mains</x:v>
      </x:c>
      <x:c r="E705" s="28" t="n">
        <x:f>IF(M705=0,0,M705+O705)</x:f>
        <x:v>10</x:v>
      </x:c>
      <x:c r="F705" s="28" t="n">
        <x:f>IF(M705=0,0,M705*N705+O705)</x:f>
        <x:v>15</x:v>
      </x:c>
      <x:c r="G705" s="28" t="n">
        <x:f>ROUND(Catalogue!G39*SQRT((1+'Paramètres'!$B$4*(C705-1)+'Paramètres'!$B$5*(C705-1)^2)),0)</x:f>
        <x:v>0</x:v>
      </x:c>
      <x:c r="H705" s="28" t="n">
        <x:f>ROUND(Catalogue!H39*SQRT((1+'Paramètres'!$B$4*(C705-1)+'Paramètres'!$B$5*(C705-1)^2)),0)</x:f>
        <x:v>0</x:v>
      </x:c>
      <x:c r="I705" s="28" t="n">
        <x:v>3</x:v>
      </x:c>
      <x:c r="J705" s="28" t="n">
        <x:v>1</x:v>
      </x:c>
      <x:c r="K705" s="30" t="n">
        <x:v>6</x:v>
      </x:c>
      <x:c r="L705" s="54" t="n">
        <x:f>IF(M705=0,0,(E705+F705)/2)</x:f>
        <x:v>12.5</x:v>
      </x:c>
      <x:c r="M705" t="n">
        <x:v>1</x:v>
      </x:c>
      <x:c r="N705" t="n">
        <x:v>6</x:v>
      </x:c>
      <x:c r="O705" t="n">
        <x:v>9</x:v>
      </x:c>
      <x:c r="P705" s="63" t="str">
        <x:f>IF(M705=0,"—",M705&amp;"d"&amp;N705&amp;IF(O705=0,""," + "&amp;O705))</x:f>
        <x:v>1d6 + 9</x:v>
      </x:c>
      <x:c r="Q705" t="n">
        <x:f>ROUND(INDEX(Catalogue!E$4:E$85,MATCH(A705,Catalogue!A$4:A$85,0))*(1+'Paramètres'!$B$4*(C705-1)+'Paramètres'!$B$5*(C705-1)^2),0)</x:f>
        <x:v>10</x:v>
      </x:c>
      <x:c r="R705" t="n">
        <x:f>ROUND(INDEX(Catalogue!F$4:F$85,MATCH(A705,Catalogue!A$4:A$85,0))*(1+'Paramètres'!$B$4*(C705-1)+'Paramètres'!$B$5*(C705-1)^2),0)</x:f>
        <x:v>16</x:v>
      </x:c>
      <x:c r="S705" t="n">
        <x:f>L705-AVERAGE(Q705:R705)</x:f>
        <x:v>-0.5</x:v>
      </x:c>
      <x:c r="T705" t="str">
        <x:f>IF(M705=0,IF(AND(N705=0,O705=0,E705=0,F705=0),"OK","ERREUR"),IF(AND(M705&gt;=1,M705&lt;=32,OR(N705=4,N705=6,N705=8,N705=10,N705=12,N705=20),O705&gt;=0,E705=M705+O705,F705=M705*N705+O705),"OK","ERREUR"))</x:f>
        <x:v>OK</x:v>
      </x:c>
      <x:c r="U705" s="86" t="n">
        <x:f>IF(M705&gt;0,M705*(N705+1)/2+O705,0)</x:f>
        <x:v>12.5</x:v>
      </x:c>
      <x:c r="V705" t="str">
        <x:f>IF(ABS(L705-U705)&lt;0.001,"OK","ERREUR")</x:f>
        <x:v>OK</x:v>
      </x:c>
    </x:row>
    <x:row r="706" ht="18" customHeight="1">
      <x:c r="A706" t="str">
        <x:v>ARM036</x:v>
      </x:c>
      <x:c r="B706" t="str">
        <x:v>Maillet de guerre</x:v>
      </x:c>
      <x:c r="C706" t="n">
        <x:v>3</x:v>
      </x:c>
      <x:c r="D706" t="str">
        <x:v>Deux mains</x:v>
      </x:c>
      <x:c r="E706" s="28" t="n">
        <x:f>IF(M706=0,0,M706+O706)</x:f>
        <x:v>12</x:v>
      </x:c>
      <x:c r="F706" s="28" t="n">
        <x:f>IF(M706=0,0,M706*N706+O706)</x:f>
        <x:v>17</x:v>
      </x:c>
      <x:c r="G706" s="28" t="n">
        <x:f>ROUND(Catalogue!G39*SQRT((1+'Paramètres'!$B$4*(C706-1)+'Paramètres'!$B$5*(C706-1)^2)),0)</x:f>
        <x:v>0</x:v>
      </x:c>
      <x:c r="H706" s="28" t="n">
        <x:f>ROUND(Catalogue!H39*SQRT((1+'Paramètres'!$B$4*(C706-1)+'Paramètres'!$B$5*(C706-1)^2)),0)</x:f>
        <x:v>0</x:v>
      </x:c>
      <x:c r="I706" s="28" t="n">
        <x:v>3</x:v>
      </x:c>
      <x:c r="J706" s="28" t="n">
        <x:v>1</x:v>
      </x:c>
      <x:c r="K706" s="30" t="n">
        <x:v>6</x:v>
      </x:c>
      <x:c r="L706" s="54" t="n">
        <x:f>IF(M706=0,0,(E706+F706)/2)</x:f>
        <x:v>14.5</x:v>
      </x:c>
      <x:c r="M706" t="n">
        <x:v>1</x:v>
      </x:c>
      <x:c r="N706" t="n">
        <x:v>6</x:v>
      </x:c>
      <x:c r="O706" t="n">
        <x:v>11</x:v>
      </x:c>
      <x:c r="P706" s="63" t="str">
        <x:f>IF(M706=0,"—",M706&amp;"d"&amp;N706&amp;IF(O706=0,""," + "&amp;O706))</x:f>
        <x:v>1d6 + 11</x:v>
      </x:c>
      <x:c r="Q706" t="n">
        <x:f>ROUND(INDEX(Catalogue!E$4:E$85,MATCH(A706,Catalogue!A$4:A$85,0))*(1+'Paramètres'!$B$4*(C706-1)+'Paramètres'!$B$5*(C706-1)^2),0)</x:f>
        <x:v>12</x:v>
      </x:c>
      <x:c r="R706" t="n">
        <x:f>ROUND(INDEX(Catalogue!F$4:F$85,MATCH(A706,Catalogue!A$4:A$85,0))*(1+'Paramètres'!$B$4*(C706-1)+'Paramètres'!$B$5*(C706-1)^2),0)</x:f>
        <x:v>18</x:v>
      </x:c>
      <x:c r="S706" t="n">
        <x:f>L706-AVERAGE(Q706:R706)</x:f>
        <x:v>-0.5</x:v>
      </x:c>
      <x:c r="T706" t="str">
        <x:f>IF(M706=0,IF(AND(N706=0,O706=0,E706=0,F706=0),"OK","ERREUR"),IF(AND(M706&gt;=1,M706&lt;=32,OR(N706=4,N706=6,N706=8,N706=10,N706=12,N706=20),O706&gt;=0,E706=M706+O706,F706=M706*N706+O706),"OK","ERREUR"))</x:f>
        <x:v>OK</x:v>
      </x:c>
      <x:c r="U706" s="86" t="n">
        <x:f>IF(M706&gt;0,M706*(N706+1)/2+O706,0)</x:f>
        <x:v>14.5</x:v>
      </x:c>
      <x:c r="V706" t="str">
        <x:f>IF(ABS(L706-U706)&lt;0.001,"OK","ERREUR")</x:f>
        <x:v>OK</x:v>
      </x:c>
    </x:row>
    <x:row r="707" ht="18" customHeight="1">
      <x:c r="A707" t="str">
        <x:v>ARM036</x:v>
      </x:c>
      <x:c r="B707" t="str">
        <x:v>Maillet de guerre</x:v>
      </x:c>
      <x:c r="C707" t="n">
        <x:v>4</x:v>
      </x:c>
      <x:c r="D707" t="str">
        <x:v>Deux mains</x:v>
      </x:c>
      <x:c r="E707" s="28" t="n">
        <x:f>IF(M707=0,0,M707+O707)</x:f>
        <x:v>13</x:v>
      </x:c>
      <x:c r="F707" s="28" t="n">
        <x:f>IF(M707=0,0,M707*N707+O707)</x:f>
        <x:v>20</x:v>
      </x:c>
      <x:c r="G707" s="28" t="n">
        <x:f>ROUND(Catalogue!G39*SQRT((1+'Paramètres'!$B$4*(C707-1)+'Paramètres'!$B$5*(C707-1)^2)),0)</x:f>
        <x:v>0</x:v>
      </x:c>
      <x:c r="H707" s="28" t="n">
        <x:f>ROUND(Catalogue!H39*SQRT((1+'Paramètres'!$B$4*(C707-1)+'Paramètres'!$B$5*(C707-1)^2)),0)</x:f>
        <x:v>0</x:v>
      </x:c>
      <x:c r="I707" s="28" t="n">
        <x:v>3</x:v>
      </x:c>
      <x:c r="J707" s="28" t="n">
        <x:v>1</x:v>
      </x:c>
      <x:c r="K707" s="30" t="n">
        <x:v>6</x:v>
      </x:c>
      <x:c r="L707" s="54" t="n">
        <x:f>IF(M707=0,0,(E707+F707)/2)</x:f>
        <x:v>16.5</x:v>
      </x:c>
      <x:c r="M707" t="n">
        <x:v>1</x:v>
      </x:c>
      <x:c r="N707" t="n">
        <x:v>8</x:v>
      </x:c>
      <x:c r="O707" t="n">
        <x:v>12</x:v>
      </x:c>
      <x:c r="P707" s="63" t="str">
        <x:f>IF(M707=0,"—",M707&amp;"d"&amp;N707&amp;IF(O707=0,""," + "&amp;O707))</x:f>
        <x:v>1d8 + 12</x:v>
      </x:c>
      <x:c r="Q707" t="n">
        <x:f>ROUND(INDEX(Catalogue!E$4:E$85,MATCH(A707,Catalogue!A$4:A$85,0))*(1+'Paramètres'!$B$4*(C707-1)+'Paramètres'!$B$5*(C707-1)^2),0)</x:f>
        <x:v>13</x:v>
      </x:c>
      <x:c r="R707" t="n">
        <x:f>ROUND(INDEX(Catalogue!F$4:F$85,MATCH(A707,Catalogue!A$4:A$85,0))*(1+'Paramètres'!$B$4*(C707-1)+'Paramètres'!$B$5*(C707-1)^2),0)</x:f>
        <x:v>21</x:v>
      </x:c>
      <x:c r="S707" t="n">
        <x:f>L707-AVERAGE(Q707:R707)</x:f>
        <x:v>-0.5</x:v>
      </x:c>
      <x:c r="T707" t="str">
        <x:f>IF(M707=0,IF(AND(N707=0,O707=0,E707=0,F707=0),"OK","ERREUR"),IF(AND(M707&gt;=1,M707&lt;=32,OR(N707=4,N707=6,N707=8,N707=10,N707=12,N707=20),O707&gt;=0,E707=M707+O707,F707=M707*N707+O707),"OK","ERREUR"))</x:f>
        <x:v>OK</x:v>
      </x:c>
      <x:c r="U707" s="86" t="n">
        <x:f>IF(M707&gt;0,M707*(N707+1)/2+O707,0)</x:f>
        <x:v>16.5</x:v>
      </x:c>
      <x:c r="V707" t="str">
        <x:f>IF(ABS(L707-U707)&lt;0.001,"OK","ERREUR")</x:f>
        <x:v>OK</x:v>
      </x:c>
    </x:row>
    <x:row r="708" ht="18" customHeight="1">
      <x:c r="A708" t="str">
        <x:v>ARM036</x:v>
      </x:c>
      <x:c r="B708" t="str">
        <x:v>Maillet de guerre</x:v>
      </x:c>
      <x:c r="C708" t="n">
        <x:v>5</x:v>
      </x:c>
      <x:c r="D708" t="str">
        <x:v>Deux mains</x:v>
      </x:c>
      <x:c r="E708" s="28" t="n">
        <x:f>IF(M708=0,0,M708+O708)</x:f>
        <x:v>15</x:v>
      </x:c>
      <x:c r="F708" s="28" t="n">
        <x:f>IF(M708=0,0,M708*N708+O708)</x:f>
        <x:v>24</x:v>
      </x:c>
      <x:c r="G708" s="28" t="n">
        <x:f>ROUND(Catalogue!G39*SQRT((1+'Paramètres'!$B$4*(C708-1)+'Paramètres'!$B$5*(C708-1)^2)),0)</x:f>
        <x:v>0</x:v>
      </x:c>
      <x:c r="H708" s="28" t="n">
        <x:f>ROUND(Catalogue!H39*SQRT((1+'Paramètres'!$B$4*(C708-1)+'Paramètres'!$B$5*(C708-1)^2)),0)</x:f>
        <x:v>0</x:v>
      </x:c>
      <x:c r="I708" s="28" t="n">
        <x:v>3</x:v>
      </x:c>
      <x:c r="J708" s="28" t="n">
        <x:v>1</x:v>
      </x:c>
      <x:c r="K708" s="30" t="n">
        <x:v>6</x:v>
      </x:c>
      <x:c r="L708" s="54" t="n">
        <x:f>IF(M708=0,0,(E708+F708)/2)</x:f>
        <x:v>19.5</x:v>
      </x:c>
      <x:c r="M708" t="n">
        <x:v>1</x:v>
      </x:c>
      <x:c r="N708" t="n">
        <x:v>10</x:v>
      </x:c>
      <x:c r="O708" t="n">
        <x:v>14</x:v>
      </x:c>
      <x:c r="P708" s="63" t="str">
        <x:f>IF(M708=0,"—",M708&amp;"d"&amp;N708&amp;IF(O708=0,""," + "&amp;O708))</x:f>
        <x:v>1d10 + 14</x:v>
      </x:c>
      <x:c r="Q708" t="n">
        <x:f>ROUND(INDEX(Catalogue!E$4:E$85,MATCH(A708,Catalogue!A$4:A$85,0))*(1+'Paramètres'!$B$4*(C708-1)+'Paramètres'!$B$5*(C708-1)^2),0)</x:f>
        <x:v>15</x:v>
      </x:c>
      <x:c r="R708" t="n">
        <x:f>ROUND(INDEX(Catalogue!F$4:F$85,MATCH(A708,Catalogue!A$4:A$85,0))*(1+'Paramètres'!$B$4*(C708-1)+'Paramètres'!$B$5*(C708-1)^2),0)</x:f>
        <x:v>24</x:v>
      </x:c>
      <x:c r="S708" t="n">
        <x:f>L708-AVERAGE(Q708:R708)</x:f>
        <x:v>0</x:v>
      </x:c>
      <x:c r="T708" t="str">
        <x:f>IF(M708=0,IF(AND(N708=0,O708=0,E708=0,F708=0),"OK","ERREUR"),IF(AND(M708&gt;=1,M708&lt;=32,OR(N708=4,N708=6,N708=8,N708=10,N708=12,N708=20),O708&gt;=0,E708=M708+O708,F708=M708*N708+O708),"OK","ERREUR"))</x:f>
        <x:v>OK</x:v>
      </x:c>
      <x:c r="U708" s="86" t="n">
        <x:f>IF(M708&gt;0,M708*(N708+1)/2+O708,0)</x:f>
        <x:v>19.5</x:v>
      </x:c>
      <x:c r="V708" t="str">
        <x:f>IF(ABS(L708-U708)&lt;0.001,"OK","ERREUR")</x:f>
        <x:v>OK</x:v>
      </x:c>
    </x:row>
    <x:row r="709" ht="18" customHeight="1">
      <x:c r="A709" t="str">
        <x:v>ARM036</x:v>
      </x:c>
      <x:c r="B709" t="str">
        <x:v>Maillet de guerre</x:v>
      </x:c>
      <x:c r="C709" t="n">
        <x:v>6</x:v>
      </x:c>
      <x:c r="D709" t="str">
        <x:v>Deux mains</x:v>
      </x:c>
      <x:c r="E709" s="28" t="n">
        <x:f>IF(M709=0,0,M709+O709)</x:f>
        <x:v>18</x:v>
      </x:c>
      <x:c r="F709" s="28" t="n">
        <x:f>IF(M709=0,0,M709*N709+O709)</x:f>
        <x:v>27</x:v>
      </x:c>
      <x:c r="G709" s="28" t="n">
        <x:f>ROUND(Catalogue!G39*SQRT((1+'Paramètres'!$B$4*(C709-1)+'Paramètres'!$B$5*(C709-1)^2)),0)</x:f>
        <x:v>0</x:v>
      </x:c>
      <x:c r="H709" s="28" t="n">
        <x:f>ROUND(Catalogue!H39*SQRT((1+'Paramètres'!$B$4*(C709-1)+'Paramètres'!$B$5*(C709-1)^2)),0)</x:f>
        <x:v>0</x:v>
      </x:c>
      <x:c r="I709" s="28" t="n">
        <x:v>3</x:v>
      </x:c>
      <x:c r="J709" s="28" t="n">
        <x:v>1</x:v>
      </x:c>
      <x:c r="K709" s="30" t="n">
        <x:v>6</x:v>
      </x:c>
      <x:c r="L709" s="54" t="n">
        <x:f>IF(M709=0,0,(E709+F709)/2)</x:f>
        <x:v>22.5</x:v>
      </x:c>
      <x:c r="M709" t="n">
        <x:v>1</x:v>
      </x:c>
      <x:c r="N709" t="n">
        <x:v>10</x:v>
      </x:c>
      <x:c r="O709" t="n">
        <x:v>17</x:v>
      </x:c>
      <x:c r="P709" s="63" t="str">
        <x:f>IF(M709=0,"—",M709&amp;"d"&amp;N709&amp;IF(O709=0,""," + "&amp;O709))</x:f>
        <x:v>1d10 + 17</x:v>
      </x:c>
      <x:c r="Q709" t="n">
        <x:f>ROUND(INDEX(Catalogue!E$4:E$85,MATCH(A709,Catalogue!A$4:A$85,0))*(1+'Paramètres'!$B$4*(C709-1)+'Paramètres'!$B$5*(C709-1)^2),0)</x:f>
        <x:v>18</x:v>
      </x:c>
      <x:c r="R709" t="n">
        <x:f>ROUND(INDEX(Catalogue!F$4:F$85,MATCH(A709,Catalogue!A$4:A$85,0))*(1+'Paramètres'!$B$4*(C709-1)+'Paramètres'!$B$5*(C709-1)^2),0)</x:f>
        <x:v>27</x:v>
      </x:c>
      <x:c r="S709" t="n">
        <x:f>L709-AVERAGE(Q709:R709)</x:f>
        <x:v>0</x:v>
      </x:c>
      <x:c r="T709" t="str">
        <x:f>IF(M709=0,IF(AND(N709=0,O709=0,E709=0,F709=0),"OK","ERREUR"),IF(AND(M709&gt;=1,M709&lt;=32,OR(N709=4,N709=6,N709=8,N709=10,N709=12,N709=20),O709&gt;=0,E709=M709+O709,F709=M709*N709+O709),"OK","ERREUR"))</x:f>
        <x:v>OK</x:v>
      </x:c>
      <x:c r="U709" s="86" t="n">
        <x:f>IF(M709&gt;0,M709*(N709+1)/2+O709,0)</x:f>
        <x:v>22.5</x:v>
      </x:c>
      <x:c r="V709" t="str">
        <x:f>IF(ABS(L709-U709)&lt;0.001,"OK","ERREUR")</x:f>
        <x:v>OK</x:v>
      </x:c>
    </x:row>
    <x:row r="710" ht="18" customHeight="1">
      <x:c r="A710" t="str">
        <x:v>ARM036</x:v>
      </x:c>
      <x:c r="B710" t="str">
        <x:v>Maillet de guerre</x:v>
      </x:c>
      <x:c r="C710" t="n">
        <x:v>7</x:v>
      </x:c>
      <x:c r="D710" t="str">
        <x:v>Deux mains</x:v>
      </x:c>
      <x:c r="E710" s="28" t="n">
        <x:f>IF(M710=0,0,M710+O710)</x:f>
        <x:v>20</x:v>
      </x:c>
      <x:c r="F710" s="28" t="n">
        <x:f>IF(M710=0,0,M710*N710+O710)</x:f>
        <x:v>31</x:v>
      </x:c>
      <x:c r="G710" s="28" t="n">
        <x:f>ROUND(Catalogue!G39*SQRT((1+'Paramètres'!$B$4*(C710-1)+'Paramètres'!$B$5*(C710-1)^2)),0)</x:f>
        <x:v>0</x:v>
      </x:c>
      <x:c r="H710" s="28" t="n">
        <x:f>ROUND(Catalogue!H39*SQRT((1+'Paramètres'!$B$4*(C710-1)+'Paramètres'!$B$5*(C710-1)^2)),0)</x:f>
        <x:v>0</x:v>
      </x:c>
      <x:c r="I710" s="28" t="n">
        <x:v>3</x:v>
      </x:c>
      <x:c r="J710" s="28" t="n">
        <x:v>1</x:v>
      </x:c>
      <x:c r="K710" s="30" t="n">
        <x:v>6</x:v>
      </x:c>
      <x:c r="L710" s="54" t="n">
        <x:f>IF(M710=0,0,(E710+F710)/2)</x:f>
        <x:v>25.5</x:v>
      </x:c>
      <x:c r="M710" t="n">
        <x:v>1</x:v>
      </x:c>
      <x:c r="N710" t="n">
        <x:v>12</x:v>
      </x:c>
      <x:c r="O710" t="n">
        <x:v>19</x:v>
      </x:c>
      <x:c r="P710" s="63" t="str">
        <x:f>IF(M710=0,"—",M710&amp;"d"&amp;N710&amp;IF(O710=0,""," + "&amp;O710))</x:f>
        <x:v>1d12 + 19</x:v>
      </x:c>
      <x:c r="Q710" t="n">
        <x:f>ROUND(INDEX(Catalogue!E$4:E$85,MATCH(A710,Catalogue!A$4:A$85,0))*(1+'Paramètres'!$B$4*(C710-1)+'Paramètres'!$B$5*(C710-1)^2),0)</x:f>
        <x:v>20</x:v>
      </x:c>
      <x:c r="R710" t="n">
        <x:f>ROUND(INDEX(Catalogue!F$4:F$85,MATCH(A710,Catalogue!A$4:A$85,0))*(1+'Paramètres'!$B$4*(C710-1)+'Paramètres'!$B$5*(C710-1)^2),0)</x:f>
        <x:v>31</x:v>
      </x:c>
      <x:c r="S710" t="n">
        <x:f>L710-AVERAGE(Q710:R710)</x:f>
        <x:v>0</x:v>
      </x:c>
      <x:c r="T710" t="str">
        <x:f>IF(M710=0,IF(AND(N710=0,O710=0,E710=0,F710=0),"OK","ERREUR"),IF(AND(M710&gt;=1,M710&lt;=32,OR(N710=4,N710=6,N710=8,N710=10,N710=12,N710=20),O710&gt;=0,E710=M710+O710,F710=M710*N710+O710),"OK","ERREUR"))</x:f>
        <x:v>OK</x:v>
      </x:c>
      <x:c r="U710" s="86" t="n">
        <x:f>IF(M710&gt;0,M710*(N710+1)/2+O710,0)</x:f>
        <x:v>25.5</x:v>
      </x:c>
      <x:c r="V710" t="str">
        <x:f>IF(ABS(L710-U710)&lt;0.001,"OK","ERREUR")</x:f>
        <x:v>OK</x:v>
      </x:c>
    </x:row>
    <x:row r="711" ht="18" customHeight="1">
      <x:c r="A711" t="str">
        <x:v>ARM036</x:v>
      </x:c>
      <x:c r="B711" t="str">
        <x:v>Maillet de guerre</x:v>
      </x:c>
      <x:c r="C711" t="n">
        <x:v>8</x:v>
      </x:c>
      <x:c r="D711" t="str">
        <x:v>Deux mains</x:v>
      </x:c>
      <x:c r="E711" s="28" t="n">
        <x:f>IF(M711=0,0,M711+O711)</x:f>
        <x:v>22</x:v>
      </x:c>
      <x:c r="F711" s="28" t="n">
        <x:f>IF(M711=0,0,M711*N711+O711)</x:f>
        <x:v>36</x:v>
      </x:c>
      <x:c r="G711" s="28" t="n">
        <x:f>ROUND(Catalogue!G39*SQRT((1+'Paramètres'!$B$4*(C711-1)+'Paramètres'!$B$5*(C711-1)^2)),0)</x:f>
        <x:v>0</x:v>
      </x:c>
      <x:c r="H711" s="28" t="n">
        <x:f>ROUND(Catalogue!H39*SQRT((1+'Paramètres'!$B$4*(C711-1)+'Paramètres'!$B$5*(C711-1)^2)),0)</x:f>
        <x:v>0</x:v>
      </x:c>
      <x:c r="I711" s="28" t="n">
        <x:v>3</x:v>
      </x:c>
      <x:c r="J711" s="28" t="n">
        <x:v>1</x:v>
      </x:c>
      <x:c r="K711" s="30" t="n">
        <x:v>6</x:v>
      </x:c>
      <x:c r="L711" s="54" t="n">
        <x:f>IF(M711=0,0,(E711+F711)/2)</x:f>
        <x:v>29</x:v>
      </x:c>
      <x:c r="M711" t="n">
        <x:v>2</x:v>
      </x:c>
      <x:c r="N711" t="n">
        <x:v>8</x:v>
      </x:c>
      <x:c r="O711" t="n">
        <x:v>20</x:v>
      </x:c>
      <x:c r="P711" s="63" t="str">
        <x:f>IF(M711=0,"—",M711&amp;"d"&amp;N711&amp;IF(O711=0,""," + "&amp;O711))</x:f>
        <x:v>2d8 + 20</x:v>
      </x:c>
      <x:c r="Q711" t="n">
        <x:f>ROUND(INDEX(Catalogue!E$4:E$85,MATCH(A711,Catalogue!A$4:A$85,0))*(1+'Paramètres'!$B$4*(C711-1)+'Paramètres'!$B$5*(C711-1)^2),0)</x:f>
        <x:v>23</x:v>
      </x:c>
      <x:c r="R711" t="n">
        <x:f>ROUND(INDEX(Catalogue!F$4:F$85,MATCH(A711,Catalogue!A$4:A$85,0))*(1+'Paramètres'!$B$4*(C711-1)+'Paramètres'!$B$5*(C711-1)^2),0)</x:f>
        <x:v>36</x:v>
      </x:c>
      <x:c r="S711" t="n">
        <x:f>L711-AVERAGE(Q711:R711)</x:f>
        <x:v>-0.5</x:v>
      </x:c>
      <x:c r="T711" t="str">
        <x:f>IF(M711=0,IF(AND(N711=0,O711=0,E711=0,F711=0),"OK","ERREUR"),IF(AND(M711&gt;=1,M711&lt;=32,OR(N711=4,N711=6,N711=8,N711=10,N711=12,N711=20),O711&gt;=0,E711=M711+O711,F711=M711*N711+O711),"OK","ERREUR"))</x:f>
        <x:v>OK</x:v>
      </x:c>
      <x:c r="U711" s="86" t="n">
        <x:f>IF(M711&gt;0,M711*(N711+1)/2+O711,0)</x:f>
        <x:v>29</x:v>
      </x:c>
      <x:c r="V711" t="str">
        <x:f>IF(ABS(L711-U711)&lt;0.001,"OK","ERREUR")</x:f>
        <x:v>OK</x:v>
      </x:c>
    </x:row>
    <x:row r="712" ht="18" customHeight="1">
      <x:c r="A712" t="str">
        <x:v>ARM036</x:v>
      </x:c>
      <x:c r="B712" t="str">
        <x:v>Maillet de guerre</x:v>
      </x:c>
      <x:c r="C712" t="n">
        <x:v>9</x:v>
      </x:c>
      <x:c r="D712" t="str">
        <x:v>Deux mains</x:v>
      </x:c>
      <x:c r="E712" s="28" t="n">
        <x:f>IF(M712=0,0,M712+O712)</x:f>
        <x:v>26</x:v>
      </x:c>
      <x:c r="F712" s="28" t="n">
        <x:f>IF(M712=0,0,M712*N712+O712)</x:f>
        <x:v>41</x:v>
      </x:c>
      <x:c r="G712" s="28" t="n">
        <x:f>ROUND(Catalogue!G39*SQRT((1+'Paramètres'!$B$4*(C712-1)+'Paramètres'!$B$5*(C712-1)^2)),0)</x:f>
        <x:v>0</x:v>
      </x:c>
      <x:c r="H712" s="28" t="n">
        <x:f>ROUND(Catalogue!H39*SQRT((1+'Paramètres'!$B$4*(C712-1)+'Paramètres'!$B$5*(C712-1)^2)),0)</x:f>
        <x:v>0</x:v>
      </x:c>
      <x:c r="I712" s="28" t="n">
        <x:v>3</x:v>
      </x:c>
      <x:c r="J712" s="28" t="n">
        <x:v>1</x:v>
      </x:c>
      <x:c r="K712" s="30" t="n">
        <x:v>6</x:v>
      </x:c>
      <x:c r="L712" s="54" t="n">
        <x:f>IF(M712=0,0,(E712+F712)/2)</x:f>
        <x:v>33.5</x:v>
      </x:c>
      <x:c r="M712" t="n">
        <x:v>3</x:v>
      </x:c>
      <x:c r="N712" t="n">
        <x:v>6</x:v>
      </x:c>
      <x:c r="O712" t="n">
        <x:v>23</x:v>
      </x:c>
      <x:c r="P712" s="63" t="str">
        <x:f>IF(M712=0,"—",M712&amp;"d"&amp;N712&amp;IF(O712=0,""," + "&amp;O712))</x:f>
        <x:v>3d6 + 23</x:v>
      </x:c>
      <x:c r="Q712" t="n">
        <x:f>ROUND(INDEX(Catalogue!E$4:E$85,MATCH(A712,Catalogue!A$4:A$85,0))*(1+'Paramètres'!$B$4*(C712-1)+'Paramètres'!$B$5*(C712-1)^2),0)</x:f>
        <x:v>26</x:v>
      </x:c>
      <x:c r="R712" t="n">
        <x:f>ROUND(INDEX(Catalogue!F$4:F$85,MATCH(A712,Catalogue!A$4:A$85,0))*(1+'Paramètres'!$B$4*(C712-1)+'Paramètres'!$B$5*(C712-1)^2),0)</x:f>
        <x:v>41</x:v>
      </x:c>
      <x:c r="S712" t="n">
        <x:f>L712-AVERAGE(Q712:R712)</x:f>
        <x:v>0</x:v>
      </x:c>
      <x:c r="T712" t="str">
        <x:f>IF(M712=0,IF(AND(N712=0,O712=0,E712=0,F712=0),"OK","ERREUR"),IF(AND(M712&gt;=1,M712&lt;=32,OR(N712=4,N712=6,N712=8,N712=10,N712=12,N712=20),O712&gt;=0,E712=M712+O712,F712=M712*N712+O712),"OK","ERREUR"))</x:f>
        <x:v>OK</x:v>
      </x:c>
      <x:c r="U712" s="86" t="n">
        <x:f>IF(M712&gt;0,M712*(N712+1)/2+O712,0)</x:f>
        <x:v>33.5</x:v>
      </x:c>
      <x:c r="V712" t="str">
        <x:f>IF(ABS(L712-U712)&lt;0.001,"OK","ERREUR")</x:f>
        <x:v>OK</x:v>
      </x:c>
    </x:row>
    <x:row r="713" ht="18" customHeight="1">
      <x:c r="A713" t="str">
        <x:v>ARM036</x:v>
      </x:c>
      <x:c r="B713" t="str">
        <x:v>Maillet de guerre</x:v>
      </x:c>
      <x:c r="C713" t="n">
        <x:v>10</x:v>
      </x:c>
      <x:c r="D713" t="str">
        <x:v>Deux mains</x:v>
      </x:c>
      <x:c r="E713" s="28" t="n">
        <x:f>IF(M713=0,0,M713+O713)</x:f>
        <x:v>30</x:v>
      </x:c>
      <x:c r="F713" s="28" t="n">
        <x:f>IF(M713=0,0,M713*N713+O713)</x:f>
        <x:v>45</x:v>
      </x:c>
      <x:c r="G713" s="28" t="n">
        <x:f>ROUND(Catalogue!G39*SQRT((1+'Paramètres'!$B$4*(C713-1)+'Paramètres'!$B$5*(C713-1)^2)),0)</x:f>
        <x:v>0</x:v>
      </x:c>
      <x:c r="H713" s="28" t="n">
        <x:f>ROUND(Catalogue!H39*SQRT((1+'Paramètres'!$B$4*(C713-1)+'Paramètres'!$B$5*(C713-1)^2)),0)</x:f>
        <x:v>0</x:v>
      </x:c>
      <x:c r="I713" s="28" t="n">
        <x:v>3</x:v>
      </x:c>
      <x:c r="J713" s="28" t="n">
        <x:v>1</x:v>
      </x:c>
      <x:c r="K713" s="30" t="n">
        <x:v>6</x:v>
      </x:c>
      <x:c r="L713" s="54" t="n">
        <x:f>IF(M713=0,0,(E713+F713)/2)</x:f>
        <x:v>37.5</x:v>
      </x:c>
      <x:c r="M713" t="n">
        <x:v>3</x:v>
      </x:c>
      <x:c r="N713" t="n">
        <x:v>6</x:v>
      </x:c>
      <x:c r="O713" t="n">
        <x:v>27</x:v>
      </x:c>
      <x:c r="P713" s="63" t="str">
        <x:f>IF(M713=0,"—",M713&amp;"d"&amp;N713&amp;IF(O713=0,""," + "&amp;O713))</x:f>
        <x:v>3d6 + 27</x:v>
      </x:c>
      <x:c r="Q713" t="n">
        <x:f>ROUND(INDEX(Catalogue!E$4:E$85,MATCH(A713,Catalogue!A$4:A$85,0))*(1+'Paramètres'!$B$4*(C713-1)+'Paramètres'!$B$5*(C713-1)^2),0)</x:f>
        <x:v>30</x:v>
      </x:c>
      <x:c r="R713" t="n">
        <x:f>ROUND(INDEX(Catalogue!F$4:F$85,MATCH(A713,Catalogue!A$4:A$85,0))*(1+'Paramètres'!$B$4*(C713-1)+'Paramètres'!$B$5*(C713-1)^2),0)</x:f>
        <x:v>46</x:v>
      </x:c>
      <x:c r="S713" t="n">
        <x:f>L713-AVERAGE(Q713:R713)</x:f>
        <x:v>-0.5</x:v>
      </x:c>
      <x:c r="T713" t="str">
        <x:f>IF(M713=0,IF(AND(N713=0,O713=0,E713=0,F713=0),"OK","ERREUR"),IF(AND(M713&gt;=1,M713&lt;=32,OR(N713=4,N713=6,N713=8,N713=10,N713=12,N713=20),O713&gt;=0,E713=M713+O713,F713=M713*N713+O713),"OK","ERREUR"))</x:f>
        <x:v>OK</x:v>
      </x:c>
      <x:c r="U713" s="86" t="n">
        <x:f>IF(M713&gt;0,M713*(N713+1)/2+O713,0)</x:f>
        <x:v>37.5</x:v>
      </x:c>
      <x:c r="V713" t="str">
        <x:f>IF(ABS(L713-U713)&lt;0.001,"OK","ERREUR")</x:f>
        <x:v>OK</x:v>
      </x:c>
    </x:row>
    <x:row r="714" ht="18" customHeight="1">
      <x:c r="A714" t="str">
        <x:v>ARM036</x:v>
      </x:c>
      <x:c r="B714" t="str">
        <x:v>Maillet de guerre</x:v>
      </x:c>
      <x:c r="C714" t="n">
        <x:v>11</x:v>
      </x:c>
      <x:c r="D714" t="str">
        <x:v>Deux mains</x:v>
      </x:c>
      <x:c r="E714" s="28" t="n">
        <x:f>IF(M714=0,0,M714+O714)</x:f>
        <x:v>34</x:v>
      </x:c>
      <x:c r="F714" s="28" t="n">
        <x:f>IF(M714=0,0,M714*N714+O714)</x:f>
        <x:v>52</x:v>
      </x:c>
      <x:c r="G714" s="28" t="n">
        <x:f>ROUND(Catalogue!G39*SQRT((1+'Paramètres'!$B$4*(C714-1)+'Paramètres'!$B$5*(C714-1)^2)),0)</x:f>
        <x:v>0</x:v>
      </x:c>
      <x:c r="H714" s="28" t="n">
        <x:f>ROUND(Catalogue!H39*SQRT((1+'Paramètres'!$B$4*(C714-1)+'Paramètres'!$B$5*(C714-1)^2)),0)</x:f>
        <x:v>0</x:v>
      </x:c>
      <x:c r="I714" s="28" t="n">
        <x:v>3</x:v>
      </x:c>
      <x:c r="J714" s="28" t="n">
        <x:v>1</x:v>
      </x:c>
      <x:c r="K714" s="30" t="n">
        <x:v>6</x:v>
      </x:c>
      <x:c r="L714" s="54" t="n">
        <x:f>IF(M714=0,0,(E714+F714)/2)</x:f>
        <x:v>43</x:v>
      </x:c>
      <x:c r="M714" t="n">
        <x:v>2</x:v>
      </x:c>
      <x:c r="N714" t="n">
        <x:v>10</x:v>
      </x:c>
      <x:c r="O714" t="n">
        <x:v>32</x:v>
      </x:c>
      <x:c r="P714" s="63" t="str">
        <x:f>IF(M714=0,"—",M714&amp;"d"&amp;N714&amp;IF(O714=0,""," + "&amp;O714))</x:f>
        <x:v>2d10 + 32</x:v>
      </x:c>
      <x:c r="Q714" t="n">
        <x:f>ROUND(INDEX(Catalogue!E$4:E$85,MATCH(A714,Catalogue!A$4:A$85,0))*(1+'Paramètres'!$B$4*(C714-1)+'Paramètres'!$B$5*(C714-1)^2),0)</x:f>
        <x:v>33</x:v>
      </x:c>
      <x:c r="R714" t="n">
        <x:f>ROUND(INDEX(Catalogue!F$4:F$85,MATCH(A714,Catalogue!A$4:A$85,0))*(1+'Paramètres'!$B$4*(C714-1)+'Paramètres'!$B$5*(C714-1)^2),0)</x:f>
        <x:v>52</x:v>
      </x:c>
      <x:c r="S714" t="n">
        <x:f>L714-AVERAGE(Q714:R714)</x:f>
        <x:v>0.5</x:v>
      </x:c>
      <x:c r="T714" t="str">
        <x:f>IF(M714=0,IF(AND(N714=0,O714=0,E714=0,F714=0),"OK","ERREUR"),IF(AND(M714&gt;=1,M714&lt;=32,OR(N714=4,N714=6,N714=8,N714=10,N714=12,N714=20),O714&gt;=0,E714=M714+O714,F714=M714*N714+O714),"OK","ERREUR"))</x:f>
        <x:v>OK</x:v>
      </x:c>
      <x:c r="U714" s="86" t="n">
        <x:f>IF(M714&gt;0,M714*(N714+1)/2+O714,0)</x:f>
        <x:v>43</x:v>
      </x:c>
      <x:c r="V714" t="str">
        <x:f>IF(ABS(L714-U714)&lt;0.001,"OK","ERREUR")</x:f>
        <x:v>OK</x:v>
      </x:c>
    </x:row>
    <x:row r="715" ht="18" customHeight="1">
      <x:c r="A715" t="str">
        <x:v>ARM036</x:v>
      </x:c>
      <x:c r="B715" t="str">
        <x:v>Maillet de guerre</x:v>
      </x:c>
      <x:c r="C715" t="n">
        <x:v>12</x:v>
      </x:c>
      <x:c r="D715" t="str">
        <x:v>Deux mains</x:v>
      </x:c>
      <x:c r="E715" s="28" t="n">
        <x:f>IF(M715=0,0,M715+O715)</x:f>
        <x:v>37</x:v>
      </x:c>
      <x:c r="F715" s="28" t="n">
        <x:f>IF(M715=0,0,M715*N715+O715)</x:f>
        <x:v>58</x:v>
      </x:c>
      <x:c r="G715" s="28" t="n">
        <x:f>ROUND(Catalogue!G39*SQRT((1+'Paramètres'!$B$4*(C715-1)+'Paramètres'!$B$5*(C715-1)^2)),0)</x:f>
        <x:v>0</x:v>
      </x:c>
      <x:c r="H715" s="28" t="n">
        <x:f>ROUND(Catalogue!H39*SQRT((1+'Paramètres'!$B$4*(C715-1)+'Paramètres'!$B$5*(C715-1)^2)),0)</x:f>
        <x:v>0</x:v>
      </x:c>
      <x:c r="I715" s="28" t="n">
        <x:v>3</x:v>
      </x:c>
      <x:c r="J715" s="28" t="n">
        <x:v>1</x:v>
      </x:c>
      <x:c r="K715" s="30" t="n">
        <x:v>6</x:v>
      </x:c>
      <x:c r="L715" s="54" t="n">
        <x:f>IF(M715=0,0,(E715+F715)/2)</x:f>
        <x:v>47.5</x:v>
      </x:c>
      <x:c r="M715" t="n">
        <x:v>3</x:v>
      </x:c>
      <x:c r="N715" t="n">
        <x:v>8</x:v>
      </x:c>
      <x:c r="O715" t="n">
        <x:v>34</x:v>
      </x:c>
      <x:c r="P715" s="63" t="str">
        <x:f>IF(M715=0,"—",M715&amp;"d"&amp;N715&amp;IF(O715=0,""," + "&amp;O715))</x:f>
        <x:v>3d8 + 34</x:v>
      </x:c>
      <x:c r="Q715" t="n">
        <x:f>ROUND(INDEX(Catalogue!E$4:E$85,MATCH(A715,Catalogue!A$4:A$85,0))*(1+'Paramètres'!$B$4*(C715-1)+'Paramètres'!$B$5*(C715-1)^2),0)</x:f>
        <x:v>37</x:v>
      </x:c>
      <x:c r="R715" t="n">
        <x:f>ROUND(INDEX(Catalogue!F$4:F$85,MATCH(A715,Catalogue!A$4:A$85,0))*(1+'Paramètres'!$B$4*(C715-1)+'Paramètres'!$B$5*(C715-1)^2),0)</x:f>
        <x:v>58</x:v>
      </x:c>
      <x:c r="S715" t="n">
        <x:f>L715-AVERAGE(Q715:R715)</x:f>
        <x:v>0</x:v>
      </x:c>
      <x:c r="T715" t="str">
        <x:f>IF(M715=0,IF(AND(N715=0,O715=0,E715=0,F715=0),"OK","ERREUR"),IF(AND(M715&gt;=1,M715&lt;=32,OR(N715=4,N715=6,N715=8,N715=10,N715=12,N715=20),O715&gt;=0,E715=M715+O715,F715=M715*N715+O715),"OK","ERREUR"))</x:f>
        <x:v>OK</x:v>
      </x:c>
      <x:c r="U715" s="86" t="n">
        <x:f>IF(M715&gt;0,M715*(N715+1)/2+O715,0)</x:f>
        <x:v>47.5</x:v>
      </x:c>
      <x:c r="V715" t="str">
        <x:f>IF(ABS(L715-U715)&lt;0.001,"OK","ERREUR")</x:f>
        <x:v>OK</x:v>
      </x:c>
    </x:row>
    <x:row r="716" ht="18" customHeight="1">
      <x:c r="A716" t="str">
        <x:v>ARM036</x:v>
      </x:c>
      <x:c r="B716" t="str">
        <x:v>Maillet de guerre</x:v>
      </x:c>
      <x:c r="C716" t="n">
        <x:v>13</x:v>
      </x:c>
      <x:c r="D716" t="str">
        <x:v>Deux mains</x:v>
      </x:c>
      <x:c r="E716" s="28" t="n">
        <x:f>IF(M716=0,0,M716+O716)</x:f>
        <x:v>42</x:v>
      </x:c>
      <x:c r="F716" s="28" t="n">
        <x:f>IF(M716=0,0,M716*N716+O716)</x:f>
        <x:v>64</x:v>
      </x:c>
      <x:c r="G716" s="28" t="n">
        <x:f>ROUND(Catalogue!G39*SQRT((1+'Paramètres'!$B$4*(C716-1)+'Paramètres'!$B$5*(C716-1)^2)),0)</x:f>
        <x:v>0</x:v>
      </x:c>
      <x:c r="H716" s="28" t="n">
        <x:f>ROUND(Catalogue!H39*SQRT((1+'Paramètres'!$B$4*(C716-1)+'Paramètres'!$B$5*(C716-1)^2)),0)</x:f>
        <x:v>0</x:v>
      </x:c>
      <x:c r="I716" s="28" t="n">
        <x:v>3</x:v>
      </x:c>
      <x:c r="J716" s="28" t="n">
        <x:v>1</x:v>
      </x:c>
      <x:c r="K716" s="30" t="n">
        <x:v>6</x:v>
      </x:c>
      <x:c r="L716" s="54" t="n">
        <x:f>IF(M716=0,0,(E716+F716)/2)</x:f>
        <x:v>53</x:v>
      </x:c>
      <x:c r="M716" t="n">
        <x:v>2</x:v>
      </x:c>
      <x:c r="N716" t="n">
        <x:v>12</x:v>
      </x:c>
      <x:c r="O716" t="n">
        <x:v>40</x:v>
      </x:c>
      <x:c r="P716" s="63" t="str">
        <x:f>IF(M716=0,"—",M716&amp;"d"&amp;N716&amp;IF(O716=0,""," + "&amp;O716))</x:f>
        <x:v>2d12 + 40</x:v>
      </x:c>
      <x:c r="Q716" t="n">
        <x:f>ROUND(INDEX(Catalogue!E$4:E$85,MATCH(A716,Catalogue!A$4:A$85,0))*(1+'Paramètres'!$B$4*(C716-1)+'Paramètres'!$B$5*(C716-1)^2),0)</x:f>
        <x:v>42</x:v>
      </x:c>
      <x:c r="R716" t="n">
        <x:f>ROUND(INDEX(Catalogue!F$4:F$85,MATCH(A716,Catalogue!A$4:A$85,0))*(1+'Paramètres'!$B$4*(C716-1)+'Paramètres'!$B$5*(C716-1)^2),0)</x:f>
        <x:v>65</x:v>
      </x:c>
      <x:c r="S716" t="n">
        <x:f>L716-AVERAGE(Q716:R716)</x:f>
        <x:v>-0.5</x:v>
      </x:c>
      <x:c r="T716" t="str">
        <x:f>IF(M716=0,IF(AND(N716=0,O716=0,E716=0,F716=0),"OK","ERREUR"),IF(AND(M716&gt;=1,M716&lt;=32,OR(N716=4,N716=6,N716=8,N716=10,N716=12,N716=20),O716&gt;=0,E716=M716+O716,F716=M716*N716+O716),"OK","ERREUR"))</x:f>
        <x:v>OK</x:v>
      </x:c>
      <x:c r="U716" s="86" t="n">
        <x:f>IF(M716&gt;0,M716*(N716+1)/2+O716,0)</x:f>
        <x:v>53</x:v>
      </x:c>
      <x:c r="V716" t="str">
        <x:f>IF(ABS(L716-U716)&lt;0.001,"OK","ERREUR")</x:f>
        <x:v>OK</x:v>
      </x:c>
    </x:row>
    <x:row r="717" ht="18" customHeight="1">
      <x:c r="A717" t="str">
        <x:v>ARM036</x:v>
      </x:c>
      <x:c r="B717" t="str">
        <x:v>Maillet de guerre</x:v>
      </x:c>
      <x:c r="C717" t="n">
        <x:v>14</x:v>
      </x:c>
      <x:c r="D717" t="str">
        <x:v>Deux mains</x:v>
      </x:c>
      <x:c r="E717" s="28" t="n">
        <x:f>IF(M717=0,0,M717+O717)</x:f>
        <x:v>45</x:v>
      </x:c>
      <x:c r="F717" s="28" t="n">
        <x:f>IF(M717=0,0,M717*N717+O717)</x:f>
        <x:v>72</x:v>
      </x:c>
      <x:c r="G717" s="28" t="n">
        <x:f>ROUND(Catalogue!G39*SQRT((1+'Paramètres'!$B$4*(C717-1)+'Paramètres'!$B$5*(C717-1)^2)),0)</x:f>
        <x:v>0</x:v>
      </x:c>
      <x:c r="H717" s="28" t="n">
        <x:f>ROUND(Catalogue!H39*SQRT((1+'Paramètres'!$B$4*(C717-1)+'Paramètres'!$B$5*(C717-1)^2)),0)</x:f>
        <x:v>0</x:v>
      </x:c>
      <x:c r="I717" s="28" t="n">
        <x:v>3</x:v>
      </x:c>
      <x:c r="J717" s="28" t="n">
        <x:v>1</x:v>
      </x:c>
      <x:c r="K717" s="30" t="n">
        <x:v>6</x:v>
      </x:c>
      <x:c r="L717" s="54" t="n">
        <x:f>IF(M717=0,0,(E717+F717)/2)</x:f>
        <x:v>58.5</x:v>
      </x:c>
      <x:c r="M717" t="n">
        <x:v>3</x:v>
      </x:c>
      <x:c r="N717" t="n">
        <x:v>10</x:v>
      </x:c>
      <x:c r="O717" t="n">
        <x:v>42</x:v>
      </x:c>
      <x:c r="P717" s="63" t="str">
        <x:f>IF(M717=0,"—",M717&amp;"d"&amp;N717&amp;IF(O717=0,""," + "&amp;O717))</x:f>
        <x:v>3d10 + 42</x:v>
      </x:c>
      <x:c r="Q717" t="n">
        <x:f>ROUND(INDEX(Catalogue!E$4:E$85,MATCH(A717,Catalogue!A$4:A$85,0))*(1+'Paramètres'!$B$4*(C717-1)+'Paramètres'!$B$5*(C717-1)^2),0)</x:f>
        <x:v>46</x:v>
      </x:c>
      <x:c r="R717" t="n">
        <x:f>ROUND(INDEX(Catalogue!F$4:F$85,MATCH(A717,Catalogue!A$4:A$85,0))*(1+'Paramètres'!$B$4*(C717-1)+'Paramètres'!$B$5*(C717-1)^2),0)</x:f>
        <x:v>72</x:v>
      </x:c>
      <x:c r="S717" t="n">
        <x:f>L717-AVERAGE(Q717:R717)</x:f>
        <x:v>-0.5</x:v>
      </x:c>
      <x:c r="T717" t="str">
        <x:f>IF(M717=0,IF(AND(N717=0,O717=0,E717=0,F717=0),"OK","ERREUR"),IF(AND(M717&gt;=1,M717&lt;=32,OR(N717=4,N717=6,N717=8,N717=10,N717=12,N717=20),O717&gt;=0,E717=M717+O717,F717=M717*N717+O717),"OK","ERREUR"))</x:f>
        <x:v>OK</x:v>
      </x:c>
      <x:c r="U717" s="86" t="n">
        <x:f>IF(M717&gt;0,M717*(N717+1)/2+O717,0)</x:f>
        <x:v>58.5</x:v>
      </x:c>
      <x:c r="V717" t="str">
        <x:f>IF(ABS(L717-U717)&lt;0.001,"OK","ERREUR")</x:f>
        <x:v>OK</x:v>
      </x:c>
    </x:row>
    <x:row r="718" ht="18" customHeight="1">
      <x:c r="A718" t="str">
        <x:v>ARM036</x:v>
      </x:c>
      <x:c r="B718" t="str">
        <x:v>Maillet de guerre</x:v>
      </x:c>
      <x:c r="C718" t="n">
        <x:v>15</x:v>
      </x:c>
      <x:c r="D718" t="str">
        <x:v>Deux mains</x:v>
      </x:c>
      <x:c r="E718" s="28" t="n">
        <x:f>IF(M718=0,0,M718+O718)</x:f>
        <x:v>51</x:v>
      </x:c>
      <x:c r="F718" s="28" t="n">
        <x:f>IF(M718=0,0,M718*N718+O718)</x:f>
        <x:v>79</x:v>
      </x:c>
      <x:c r="G718" s="28" t="n">
        <x:f>ROUND(Catalogue!G39*SQRT((1+'Paramètres'!$B$4*(C718-1)+'Paramètres'!$B$5*(C718-1)^2)),0)</x:f>
        <x:v>0</x:v>
      </x:c>
      <x:c r="H718" s="28" t="n">
        <x:f>ROUND(Catalogue!H39*SQRT((1+'Paramètres'!$B$4*(C718-1)+'Paramètres'!$B$5*(C718-1)^2)),0)</x:f>
        <x:v>0</x:v>
      </x:c>
      <x:c r="I718" s="28" t="n">
        <x:v>3</x:v>
      </x:c>
      <x:c r="J718" s="28" t="n">
        <x:v>1</x:v>
      </x:c>
      <x:c r="K718" s="30" t="n">
        <x:v>6</x:v>
      </x:c>
      <x:c r="L718" s="54" t="n">
        <x:f>IF(M718=0,0,(E718+F718)/2)</x:f>
        <x:v>65</x:v>
      </x:c>
      <x:c r="M718" t="n">
        <x:v>4</x:v>
      </x:c>
      <x:c r="N718" t="n">
        <x:v>8</x:v>
      </x:c>
      <x:c r="O718" t="n">
        <x:v>47</x:v>
      </x:c>
      <x:c r="P718" s="63" t="str">
        <x:f>IF(M718=0,"—",M718&amp;"d"&amp;N718&amp;IF(O718=0,""," + "&amp;O718))</x:f>
        <x:v>4d8 + 47</x:v>
      </x:c>
      <x:c r="Q718" t="n">
        <x:f>ROUND(INDEX(Catalogue!E$4:E$85,MATCH(A718,Catalogue!A$4:A$85,0))*(1+'Paramètres'!$B$4*(C718-1)+'Paramètres'!$B$5*(C718-1)^2),0)</x:f>
        <x:v>51</x:v>
      </x:c>
      <x:c r="R718" t="n">
        <x:f>ROUND(INDEX(Catalogue!F$4:F$85,MATCH(A718,Catalogue!A$4:A$85,0))*(1+'Paramètres'!$B$4*(C718-1)+'Paramètres'!$B$5*(C718-1)^2),0)</x:f>
        <x:v>79</x:v>
      </x:c>
      <x:c r="S718" t="n">
        <x:f>L718-AVERAGE(Q718:R718)</x:f>
        <x:v>0</x:v>
      </x:c>
      <x:c r="T718" t="str">
        <x:f>IF(M718=0,IF(AND(N718=0,O718=0,E718=0,F718=0),"OK","ERREUR"),IF(AND(M718&gt;=1,M718&lt;=32,OR(N718=4,N718=6,N718=8,N718=10,N718=12,N718=20),O718&gt;=0,E718=M718+O718,F718=M718*N718+O718),"OK","ERREUR"))</x:f>
        <x:v>OK</x:v>
      </x:c>
      <x:c r="U718" s="86" t="n">
        <x:f>IF(M718&gt;0,M718*(N718+1)/2+O718,0)</x:f>
        <x:v>65</x:v>
      </x:c>
      <x:c r="V718" t="str">
        <x:f>IF(ABS(L718-U718)&lt;0.001,"OK","ERREUR")</x:f>
        <x:v>OK</x:v>
      </x:c>
    </x:row>
    <x:row r="719" ht="18" customHeight="1">
      <x:c r="A719" t="str">
        <x:v>ARM036</x:v>
      </x:c>
      <x:c r="B719" t="str">
        <x:v>Maillet de guerre</x:v>
      </x:c>
      <x:c r="C719" t="n">
        <x:v>16</x:v>
      </x:c>
      <x:c r="D719" t="str">
        <x:v>Deux mains</x:v>
      </x:c>
      <x:c r="E719" s="28" t="n">
        <x:f>IF(M719=0,0,M719+O719)</x:f>
        <x:v>55</x:v>
      </x:c>
      <x:c r="F719" s="28" t="n">
        <x:f>IF(M719=0,0,M719*N719+O719)</x:f>
        <x:v>88</x:v>
      </x:c>
      <x:c r="G719" s="28" t="n">
        <x:f>ROUND(Catalogue!G39*SQRT((1+'Paramètres'!$B$4*(C719-1)+'Paramètres'!$B$5*(C719-1)^2)),0)</x:f>
        <x:v>0</x:v>
      </x:c>
      <x:c r="H719" s="28" t="n">
        <x:f>ROUND(Catalogue!H39*SQRT((1+'Paramètres'!$B$4*(C719-1)+'Paramètres'!$B$5*(C719-1)^2)),0)</x:f>
        <x:v>0</x:v>
      </x:c>
      <x:c r="I719" s="28" t="n">
        <x:v>3</x:v>
      </x:c>
      <x:c r="J719" s="28" t="n">
        <x:v>1</x:v>
      </x:c>
      <x:c r="K719" s="30" t="n">
        <x:v>6</x:v>
      </x:c>
      <x:c r="L719" s="54" t="n">
        <x:f>IF(M719=0,0,(E719+F719)/2)</x:f>
        <x:v>71.5</x:v>
      </x:c>
      <x:c r="M719" t="n">
        <x:v>3</x:v>
      </x:c>
      <x:c r="N719" t="n">
        <x:v>12</x:v>
      </x:c>
      <x:c r="O719" t="n">
        <x:v>52</x:v>
      </x:c>
      <x:c r="P719" s="63" t="str">
        <x:f>IF(M719=0,"—",M719&amp;"d"&amp;N719&amp;IF(O719=0,""," + "&amp;O719))</x:f>
        <x:v>3d12 + 52</x:v>
      </x:c>
      <x:c r="Q719" t="n">
        <x:f>ROUND(INDEX(Catalogue!E$4:E$85,MATCH(A719,Catalogue!A$4:A$85,0))*(1+'Paramètres'!$B$4*(C719-1)+'Paramètres'!$B$5*(C719-1)^2),0)</x:f>
        <x:v>56</x:v>
      </x:c>
      <x:c r="R719" t="n">
        <x:f>ROUND(INDEX(Catalogue!F$4:F$85,MATCH(A719,Catalogue!A$4:A$85,0))*(1+'Paramètres'!$B$4*(C719-1)+'Paramètres'!$B$5*(C719-1)^2),0)</x:f>
        <x:v>88</x:v>
      </x:c>
      <x:c r="S719" t="n">
        <x:f>L719-AVERAGE(Q719:R719)</x:f>
        <x:v>-0.5</x:v>
      </x:c>
      <x:c r="T719" t="str">
        <x:f>IF(M719=0,IF(AND(N719=0,O719=0,E719=0,F719=0),"OK","ERREUR"),IF(AND(M719&gt;=1,M719&lt;=32,OR(N719=4,N719=6,N719=8,N719=10,N719=12,N719=20),O719&gt;=0,E719=M719+O719,F719=M719*N719+O719),"OK","ERREUR"))</x:f>
        <x:v>OK</x:v>
      </x:c>
      <x:c r="U719" s="86" t="n">
        <x:f>IF(M719&gt;0,M719*(N719+1)/2+O719,0)</x:f>
        <x:v>71.5</x:v>
      </x:c>
      <x:c r="V719" t="str">
        <x:f>IF(ABS(L719-U719)&lt;0.001,"OK","ERREUR")</x:f>
        <x:v>OK</x:v>
      </x:c>
    </x:row>
    <x:row r="720" ht="18" customHeight="1">
      <x:c r="A720" t="str">
        <x:v>ARM036</x:v>
      </x:c>
      <x:c r="B720" t="str">
        <x:v>Maillet de guerre</x:v>
      </x:c>
      <x:c r="C720" t="n">
        <x:v>17</x:v>
      </x:c>
      <x:c r="D720" t="str">
        <x:v>Deux mains</x:v>
      </x:c>
      <x:c r="E720" s="28" t="n">
        <x:f>IF(M720=0,0,M720+O720)</x:f>
        <x:v>62</x:v>
      </x:c>
      <x:c r="F720" s="28" t="n">
        <x:f>IF(M720=0,0,M720*N720+O720)</x:f>
        <x:v>95</x:v>
      </x:c>
      <x:c r="G720" s="28" t="n">
        <x:f>ROUND(Catalogue!G39*SQRT((1+'Paramètres'!$B$4*(C720-1)+'Paramètres'!$B$5*(C720-1)^2)),0)</x:f>
        <x:v>0</x:v>
      </x:c>
      <x:c r="H720" s="28" t="n">
        <x:f>ROUND(Catalogue!H39*SQRT((1+'Paramètres'!$B$4*(C720-1)+'Paramètres'!$B$5*(C720-1)^2)),0)</x:f>
        <x:v>0</x:v>
      </x:c>
      <x:c r="I720" s="28" t="n">
        <x:v>3</x:v>
      </x:c>
      <x:c r="J720" s="28" t="n">
        <x:v>1</x:v>
      </x:c>
      <x:c r="K720" s="30" t="n">
        <x:v>6</x:v>
      </x:c>
      <x:c r="L720" s="54" t="n">
        <x:f>IF(M720=0,0,(E720+F720)/2)</x:f>
        <x:v>78.5</x:v>
      </x:c>
      <x:c r="M720" t="n">
        <x:v>3</x:v>
      </x:c>
      <x:c r="N720" t="n">
        <x:v>12</x:v>
      </x:c>
      <x:c r="O720" t="n">
        <x:v>59</x:v>
      </x:c>
      <x:c r="P720" s="63" t="str">
        <x:f>IF(M720=0,"—",M720&amp;"d"&amp;N720&amp;IF(O720=0,""," + "&amp;O720))</x:f>
        <x:v>3d12 + 59</x:v>
      </x:c>
      <x:c r="Q720" t="n">
        <x:f>ROUND(INDEX(Catalogue!E$4:E$85,MATCH(A720,Catalogue!A$4:A$85,0))*(1+'Paramètres'!$B$4*(C720-1)+'Paramètres'!$B$5*(C720-1)^2),0)</x:f>
        <x:v>62</x:v>
      </x:c>
      <x:c r="R720" t="n">
        <x:f>ROUND(INDEX(Catalogue!F$4:F$85,MATCH(A720,Catalogue!A$4:A$85,0))*(1+'Paramètres'!$B$4*(C720-1)+'Paramètres'!$B$5*(C720-1)^2),0)</x:f>
        <x:v>96</x:v>
      </x:c>
      <x:c r="S720" t="n">
        <x:f>L720-AVERAGE(Q720:R720)</x:f>
        <x:v>-0.5</x:v>
      </x:c>
      <x:c r="T720" t="str">
        <x:f>IF(M720=0,IF(AND(N720=0,O720=0,E720=0,F720=0),"OK","ERREUR"),IF(AND(M720&gt;=1,M720&lt;=32,OR(N720=4,N720=6,N720=8,N720=10,N720=12,N720=20),O720&gt;=0,E720=M720+O720,F720=M720*N720+O720),"OK","ERREUR"))</x:f>
        <x:v>OK</x:v>
      </x:c>
      <x:c r="U720" s="86" t="n">
        <x:f>IF(M720&gt;0,M720*(N720+1)/2+O720,0)</x:f>
        <x:v>78.5</x:v>
      </x:c>
      <x:c r="V720" t="str">
        <x:f>IF(ABS(L720-U720)&lt;0.001,"OK","ERREUR")</x:f>
        <x:v>OK</x:v>
      </x:c>
    </x:row>
    <x:row r="721" ht="18" customHeight="1">
      <x:c r="A721" t="str">
        <x:v>ARM036</x:v>
      </x:c>
      <x:c r="B721" t="str">
        <x:v>Maillet de guerre</x:v>
      </x:c>
      <x:c r="C721" t="n">
        <x:v>18</x:v>
      </x:c>
      <x:c r="D721" t="str">
        <x:v>Deux mains</x:v>
      </x:c>
      <x:c r="E721" s="28" t="n">
        <x:f>IF(M721=0,0,M721+O721)</x:f>
        <x:v>67</x:v>
      </x:c>
      <x:c r="F721" s="28" t="n">
        <x:f>IF(M721=0,0,M721*N721+O721)</x:f>
        <x:v>105</x:v>
      </x:c>
      <x:c r="G721" s="28" t="n">
        <x:f>ROUND(Catalogue!G39*SQRT((1+'Paramètres'!$B$4*(C721-1)+'Paramètres'!$B$5*(C721-1)^2)),0)</x:f>
        <x:v>0</x:v>
      </x:c>
      <x:c r="H721" s="28" t="n">
        <x:f>ROUND(Catalogue!H39*SQRT((1+'Paramètres'!$B$4*(C721-1)+'Paramètres'!$B$5*(C721-1)^2)),0)</x:f>
        <x:v>0</x:v>
      </x:c>
      <x:c r="I721" s="28" t="n">
        <x:v>3</x:v>
      </x:c>
      <x:c r="J721" s="28" t="n">
        <x:v>1</x:v>
      </x:c>
      <x:c r="K721" s="30" t="n">
        <x:v>6</x:v>
      </x:c>
      <x:c r="L721" s="54" t="n">
        <x:f>IF(M721=0,0,(E721+F721)/2)</x:f>
        <x:v>86</x:v>
      </x:c>
      <x:c r="M721" t="n">
        <x:v>2</x:v>
      </x:c>
      <x:c r="N721" t="n">
        <x:v>20</x:v>
      </x:c>
      <x:c r="O721" t="n">
        <x:v>65</x:v>
      </x:c>
      <x:c r="P721" s="63" t="str">
        <x:f>IF(M721=0,"—",M721&amp;"d"&amp;N721&amp;IF(O721=0,""," + "&amp;O721))</x:f>
        <x:v>2d20 + 65</x:v>
      </x:c>
      <x:c r="Q721" t="n">
        <x:f>ROUND(INDEX(Catalogue!E$4:E$85,MATCH(A721,Catalogue!A$4:A$85,0))*(1+'Paramètres'!$B$4*(C721-1)+'Paramètres'!$B$5*(C721-1)^2),0)</x:f>
        <x:v>67</x:v>
      </x:c>
      <x:c r="R721" t="n">
        <x:f>ROUND(INDEX(Catalogue!F$4:F$85,MATCH(A721,Catalogue!A$4:A$85,0))*(1+'Paramètres'!$B$4*(C721-1)+'Paramètres'!$B$5*(C721-1)^2),0)</x:f>
        <x:v>105</x:v>
      </x:c>
      <x:c r="S721" t="n">
        <x:f>L721-AVERAGE(Q721:R721)</x:f>
        <x:v>0</x:v>
      </x:c>
      <x:c r="T721" t="str">
        <x:f>IF(M721=0,IF(AND(N721=0,O721=0,E721=0,F721=0),"OK","ERREUR"),IF(AND(M721&gt;=1,M721&lt;=32,OR(N721=4,N721=6,N721=8,N721=10,N721=12,N721=20),O721&gt;=0,E721=M721+O721,F721=M721*N721+O721),"OK","ERREUR"))</x:f>
        <x:v>OK</x:v>
      </x:c>
      <x:c r="U721" s="86" t="n">
        <x:f>IF(M721&gt;0,M721*(N721+1)/2+O721,0)</x:f>
        <x:v>86</x:v>
      </x:c>
      <x:c r="V721" t="str">
        <x:f>IF(ABS(L721-U721)&lt;0.001,"OK","ERREUR")</x:f>
        <x:v>OK</x:v>
      </x:c>
    </x:row>
    <x:row r="722" ht="18" customHeight="1">
      <x:c r="A722" t="str">
        <x:v>ARM036</x:v>
      </x:c>
      <x:c r="B722" t="str">
        <x:v>Maillet de guerre</x:v>
      </x:c>
      <x:c r="C722" t="n">
        <x:v>19</x:v>
      </x:c>
      <x:c r="D722" t="str">
        <x:v>Deux mains</x:v>
      </x:c>
      <x:c r="E722" s="28" t="n">
        <x:f>IF(M722=0,0,M722+O722)</x:f>
        <x:v>72</x:v>
      </x:c>
      <x:c r="F722" s="28" t="n">
        <x:f>IF(M722=0,0,M722*N722+O722)</x:f>
        <x:v>114</x:v>
      </x:c>
      <x:c r="G722" s="28" t="n">
        <x:f>ROUND(Catalogue!G39*SQRT((1+'Paramètres'!$B$4*(C722-1)+'Paramètres'!$B$5*(C722-1)^2)),0)</x:f>
        <x:v>0</x:v>
      </x:c>
      <x:c r="H722" s="28" t="n">
        <x:f>ROUND(Catalogue!H39*SQRT((1+'Paramètres'!$B$4*(C722-1)+'Paramètres'!$B$5*(C722-1)^2)),0)</x:f>
        <x:v>0</x:v>
      </x:c>
      <x:c r="I722" s="28" t="n">
        <x:v>3</x:v>
      </x:c>
      <x:c r="J722" s="28" t="n">
        <x:v>1</x:v>
      </x:c>
      <x:c r="K722" s="30" t="n">
        <x:v>6</x:v>
      </x:c>
      <x:c r="L722" s="54" t="n">
        <x:f>IF(M722=0,0,(E722+F722)/2)</x:f>
        <x:v>93</x:v>
      </x:c>
      <x:c r="M722" t="n">
        <x:v>6</x:v>
      </x:c>
      <x:c r="N722" t="n">
        <x:v>8</x:v>
      </x:c>
      <x:c r="O722" t="n">
        <x:v>66</x:v>
      </x:c>
      <x:c r="P722" s="63" t="str">
        <x:f>IF(M722=0,"—",M722&amp;"d"&amp;N722&amp;IF(O722=0,""," + "&amp;O722))</x:f>
        <x:v>6d8 + 66</x:v>
      </x:c>
      <x:c r="Q722" t="n">
        <x:f>ROUND(INDEX(Catalogue!E$4:E$85,MATCH(A722,Catalogue!A$4:A$85,0))*(1+'Paramètres'!$B$4*(C722-1)+'Paramètres'!$B$5*(C722-1)^2),0)</x:f>
        <x:v>73</x:v>
      </x:c>
      <x:c r="R722" t="n">
        <x:f>ROUND(INDEX(Catalogue!F$4:F$85,MATCH(A722,Catalogue!A$4:A$85,0))*(1+'Paramètres'!$B$4*(C722-1)+'Paramètres'!$B$5*(C722-1)^2),0)</x:f>
        <x:v>114</x:v>
      </x:c>
      <x:c r="S722" t="n">
        <x:f>L722-AVERAGE(Q722:R722)</x:f>
        <x:v>-0.5</x:v>
      </x:c>
      <x:c r="T722" t="str">
        <x:f>IF(M722=0,IF(AND(N722=0,O722=0,E722=0,F722=0),"OK","ERREUR"),IF(AND(M722&gt;=1,M722&lt;=32,OR(N722=4,N722=6,N722=8,N722=10,N722=12,N722=20),O722&gt;=0,E722=M722+O722,F722=M722*N722+O722),"OK","ERREUR"))</x:f>
        <x:v>OK</x:v>
      </x:c>
      <x:c r="U722" s="86" t="n">
        <x:f>IF(M722&gt;0,M722*(N722+1)/2+O722,0)</x:f>
        <x:v>93</x:v>
      </x:c>
      <x:c r="V722" t="str">
        <x:f>IF(ABS(L722-U722)&lt;0.001,"OK","ERREUR")</x:f>
        <x:v>OK</x:v>
      </x:c>
    </x:row>
    <x:row r="723" ht="18" customHeight="1">
      <x:c r="A723" t="str">
        <x:v>ARM036</x:v>
      </x:c>
      <x:c r="B723" t="str">
        <x:v>Maillet de guerre</x:v>
      </x:c>
      <x:c r="C723" t="n">
        <x:v>20</x:v>
      </x:c>
      <x:c r="D723" t="str">
        <x:v>Deux mains</x:v>
      </x:c>
      <x:c r="E723" s="28" t="n">
        <x:f>IF(M723=0,0,M723+O723)</x:f>
        <x:v>80</x:v>
      </x:c>
      <x:c r="F723" s="28" t="n">
        <x:f>IF(M723=0,0,M723*N723+O723)</x:f>
        <x:v>124</x:v>
      </x:c>
      <x:c r="G723" s="28" t="n">
        <x:f>ROUND(Catalogue!G39*SQRT((1+'Paramètres'!$B$4*(C723-1)+'Paramètres'!$B$5*(C723-1)^2)),0)</x:f>
        <x:v>0</x:v>
      </x:c>
      <x:c r="H723" s="28" t="n">
        <x:f>ROUND(Catalogue!H39*SQRT((1+'Paramètres'!$B$4*(C723-1)+'Paramètres'!$B$5*(C723-1)^2)),0)</x:f>
        <x:v>0</x:v>
      </x:c>
      <x:c r="I723" s="28" t="n">
        <x:v>3</x:v>
      </x:c>
      <x:c r="J723" s="28" t="n">
        <x:v>1</x:v>
      </x:c>
      <x:c r="K723" s="30" t="n">
        <x:v>6</x:v>
      </x:c>
      <x:c r="L723" s="54" t="n">
        <x:f>IF(M723=0,0,(E723+F723)/2)</x:f>
        <x:v>102</x:v>
      </x:c>
      <x:c r="M723" t="n">
        <x:v>4</x:v>
      </x:c>
      <x:c r="N723" t="n">
        <x:v>12</x:v>
      </x:c>
      <x:c r="O723" t="n">
        <x:v>76</x:v>
      </x:c>
      <x:c r="P723" s="63" t="str">
        <x:f>IF(M723=0,"—",M723&amp;"d"&amp;N723&amp;IF(O723=0,""," + "&amp;O723))</x:f>
        <x:v>4d12 + 76</x:v>
      </x:c>
      <x:c r="Q723" t="n">
        <x:f>ROUND(INDEX(Catalogue!E$4:E$85,MATCH(A723,Catalogue!A$4:A$85,0))*(1+'Paramètres'!$B$4*(C723-1)+'Paramètres'!$B$5*(C723-1)^2),0)</x:f>
        <x:v>80</x:v>
      </x:c>
      <x:c r="R723" t="n">
        <x:f>ROUND(INDEX(Catalogue!F$4:F$85,MATCH(A723,Catalogue!A$4:A$85,0))*(1+'Paramètres'!$B$4*(C723-1)+'Paramètres'!$B$5*(C723-1)^2),0)</x:f>
        <x:v>124</x:v>
      </x:c>
      <x:c r="S723" t="n">
        <x:f>L723-AVERAGE(Q723:R723)</x:f>
        <x:v>0</x:v>
      </x:c>
      <x:c r="T723" t="str">
        <x:f>IF(M723=0,IF(AND(N723=0,O723=0,E723=0,F723=0),"OK","ERREUR"),IF(AND(M723&gt;=1,M723&lt;=32,OR(N723=4,N723=6,N723=8,N723=10,N723=12,N723=20),O723&gt;=0,E723=M723+O723,F723=M723*N723+O723),"OK","ERREUR"))</x:f>
        <x:v>OK</x:v>
      </x:c>
      <x:c r="U723" s="86" t="n">
        <x:f>IF(M723&gt;0,M723*(N723+1)/2+O723,0)</x:f>
        <x:v>102</x:v>
      </x:c>
      <x:c r="V723" t="str">
        <x:f>IF(ABS(L723-U723)&lt;0.001,"OK","ERREUR")</x:f>
        <x:v>OK</x:v>
      </x:c>
    </x:row>
    <x:row r="724" ht="18" customHeight="1">
      <x:c r="A724" t="str">
        <x:v>ARM037</x:v>
      </x:c>
      <x:c r="B724" t="str">
        <x:v>Faux de guerre</x:v>
      </x:c>
      <x:c r="C724" t="n">
        <x:v>1</x:v>
      </x:c>
      <x:c r="D724" t="str">
        <x:v>Deux mains</x:v>
      </x:c>
      <x:c r="E724" s="28" t="n">
        <x:f>IF(M724=0,0,M724+O724)</x:f>
        <x:v>6</x:v>
      </x:c>
      <x:c r="F724" s="28" t="n">
        <x:f>IF(M724=0,0,M724*N724+O724)</x:f>
        <x:v>11</x:v>
      </x:c>
      <x:c r="G724" s="28" t="n">
        <x:f>ROUND(Catalogue!G40*SQRT((1+'Paramètres'!$B$4*(C724-1)+'Paramètres'!$B$5*(C724-1)^2)),0)</x:f>
        <x:v>0</x:v>
      </x:c>
      <x:c r="H724" s="28" t="n">
        <x:f>ROUND(Catalogue!H40*SQRT((1+'Paramètres'!$B$4*(C724-1)+'Paramètres'!$B$5*(C724-1)^2)),0)</x:f>
        <x:v>0</x:v>
      </x:c>
      <x:c r="I724" s="28" t="n">
        <x:v>3</x:v>
      </x:c>
      <x:c r="J724" s="28" t="n">
        <x:v>1</x:v>
      </x:c>
      <x:c r="K724" s="30" t="n">
        <x:v>3.7</x:v>
      </x:c>
      <x:c r="L724" s="54" t="n">
        <x:f>IF(M724=0,0,(E724+F724)/2)</x:f>
        <x:v>8.5</x:v>
      </x:c>
      <x:c r="M724" t="n">
        <x:v>1</x:v>
      </x:c>
      <x:c r="N724" t="n">
        <x:v>6</x:v>
      </x:c>
      <x:c r="O724" t="n">
        <x:v>5</x:v>
      </x:c>
      <x:c r="P724" s="63" t="str">
        <x:f>IF(M724=0,"—",M724&amp;"d"&amp;N724&amp;IF(O724=0,""," + "&amp;O724))</x:f>
        <x:v>1d6 + 5</x:v>
      </x:c>
      <x:c r="Q724" t="n">
        <x:f>ROUND(INDEX(Catalogue!E$4:E$85,MATCH(A724,Catalogue!A$4:A$85,0))*(1+'Paramètres'!$B$4*(C724-1)+'Paramètres'!$B$5*(C724-1)^2),0)</x:f>
        <x:v>6</x:v>
      </x:c>
      <x:c r="R724" t="n">
        <x:f>ROUND(INDEX(Catalogue!F$4:F$85,MATCH(A724,Catalogue!A$4:A$85,0))*(1+'Paramètres'!$B$4*(C724-1)+'Paramètres'!$B$5*(C724-1)^2),0)</x:f>
        <x:v>12</x:v>
      </x:c>
      <x:c r="S724" t="n">
        <x:f>L724-AVERAGE(Q724:R724)</x:f>
        <x:v>-0.5</x:v>
      </x:c>
      <x:c r="T724" t="str">
        <x:f>IF(M724=0,IF(AND(N724=0,O724=0,E724=0,F724=0),"OK","ERREUR"),IF(AND(M724&gt;=1,M724&lt;=32,OR(N724=4,N724=6,N724=8,N724=10,N724=12,N724=20),O724&gt;=0,E724=M724+O724,F724=M724*N724+O724),"OK","ERREUR"))</x:f>
        <x:v>OK</x:v>
      </x:c>
      <x:c r="U724" s="86" t="n">
        <x:f>IF(M724&gt;0,M724*(N724+1)/2+O724,0)</x:f>
        <x:v>8.5</x:v>
      </x:c>
      <x:c r="V724" t="str">
        <x:f>IF(ABS(L724-U724)&lt;0.001,"OK","ERREUR")</x:f>
        <x:v>OK</x:v>
      </x:c>
    </x:row>
    <x:row r="725" ht="18" customHeight="1">
      <x:c r="A725" t="str">
        <x:v>ARM037</x:v>
      </x:c>
      <x:c r="B725" t="str">
        <x:v>Faux de guerre</x:v>
      </x:c>
      <x:c r="C725" t="n">
        <x:v>2</x:v>
      </x:c>
      <x:c r="D725" t="str">
        <x:v>Deux mains</x:v>
      </x:c>
      <x:c r="E725" s="28" t="n">
        <x:f>IF(M725=0,0,M725+O725)</x:f>
        <x:v>7</x:v>
      </x:c>
      <x:c r="F725" s="28" t="n">
        <x:f>IF(M725=0,0,M725*N725+O725)</x:f>
        <x:v>14</x:v>
      </x:c>
      <x:c r="G725" s="28" t="n">
        <x:f>ROUND(Catalogue!G40*SQRT((1+'Paramètres'!$B$4*(C725-1)+'Paramètres'!$B$5*(C725-1)^2)),0)</x:f>
        <x:v>0</x:v>
      </x:c>
      <x:c r="H725" s="28" t="n">
        <x:f>ROUND(Catalogue!H40*SQRT((1+'Paramètres'!$B$4*(C725-1)+'Paramètres'!$B$5*(C725-1)^2)),0)</x:f>
        <x:v>0</x:v>
      </x:c>
      <x:c r="I725" s="28" t="n">
        <x:v>3</x:v>
      </x:c>
      <x:c r="J725" s="28" t="n">
        <x:v>1</x:v>
      </x:c>
      <x:c r="K725" s="30" t="n">
        <x:v>3.7</x:v>
      </x:c>
      <x:c r="L725" s="54" t="n">
        <x:f>IF(M725=0,0,(E725+F725)/2)</x:f>
        <x:v>10.5</x:v>
      </x:c>
      <x:c r="M725" t="n">
        <x:v>1</x:v>
      </x:c>
      <x:c r="N725" t="n">
        <x:v>8</x:v>
      </x:c>
      <x:c r="O725" t="n">
        <x:v>6</x:v>
      </x:c>
      <x:c r="P725" s="63" t="str">
        <x:f>IF(M725=0,"—",M725&amp;"d"&amp;N725&amp;IF(O725=0,""," + "&amp;O725))</x:f>
        <x:v>1d8 + 6</x:v>
      </x:c>
      <x:c r="Q725" t="n">
        <x:f>ROUND(INDEX(Catalogue!E$4:E$85,MATCH(A725,Catalogue!A$4:A$85,0))*(1+'Paramètres'!$B$4*(C725-1)+'Paramètres'!$B$5*(C725-1)^2),0)</x:f>
        <x:v>7</x:v>
      </x:c>
      <x:c r="R725" t="n">
        <x:f>ROUND(INDEX(Catalogue!F$4:F$85,MATCH(A725,Catalogue!A$4:A$85,0))*(1+'Paramètres'!$B$4*(C725-1)+'Paramètres'!$B$5*(C725-1)^2),0)</x:f>
        <x:v>14</x:v>
      </x:c>
      <x:c r="S725" t="n">
        <x:f>L725-AVERAGE(Q725:R725)</x:f>
        <x:v>0</x:v>
      </x:c>
      <x:c r="T725" t="str">
        <x:f>IF(M725=0,IF(AND(N725=0,O725=0,E725=0,F725=0),"OK","ERREUR"),IF(AND(M725&gt;=1,M725&lt;=32,OR(N725=4,N725=6,N725=8,N725=10,N725=12,N725=20),O725&gt;=0,E725=M725+O725,F725=M725*N725+O725),"OK","ERREUR"))</x:f>
        <x:v>OK</x:v>
      </x:c>
      <x:c r="U725" s="86" t="n">
        <x:f>IF(M725&gt;0,M725*(N725+1)/2+O725,0)</x:f>
        <x:v>10.5</x:v>
      </x:c>
      <x:c r="V725" t="str">
        <x:f>IF(ABS(L725-U725)&lt;0.001,"OK","ERREUR")</x:f>
        <x:v>OK</x:v>
      </x:c>
    </x:row>
    <x:row r="726" ht="18" customHeight="1">
      <x:c r="A726" t="str">
        <x:v>ARM037</x:v>
      </x:c>
      <x:c r="B726" t="str">
        <x:v>Faux de guerre</x:v>
      </x:c>
      <x:c r="C726" t="n">
        <x:v>3</x:v>
      </x:c>
      <x:c r="D726" t="str">
        <x:v>Deux mains</x:v>
      </x:c>
      <x:c r="E726" s="28" t="n">
        <x:f>IF(M726=0,0,M726+O726)</x:f>
        <x:v>8</x:v>
      </x:c>
      <x:c r="F726" s="28" t="n">
        <x:f>IF(M726=0,0,M726*N726+O726)</x:f>
        <x:v>15</x:v>
      </x:c>
      <x:c r="G726" s="28" t="n">
        <x:f>ROUND(Catalogue!G40*SQRT((1+'Paramètres'!$B$4*(C726-1)+'Paramètres'!$B$5*(C726-1)^2)),0)</x:f>
        <x:v>0</x:v>
      </x:c>
      <x:c r="H726" s="28" t="n">
        <x:f>ROUND(Catalogue!H40*SQRT((1+'Paramètres'!$B$4*(C726-1)+'Paramètres'!$B$5*(C726-1)^2)),0)</x:f>
        <x:v>0</x:v>
      </x:c>
      <x:c r="I726" s="28" t="n">
        <x:v>3</x:v>
      </x:c>
      <x:c r="J726" s="28" t="n">
        <x:v>1</x:v>
      </x:c>
      <x:c r="K726" s="30" t="n">
        <x:v>3.7</x:v>
      </x:c>
      <x:c r="L726" s="54" t="n">
        <x:f>IF(M726=0,0,(E726+F726)/2)</x:f>
        <x:v>11.5</x:v>
      </x:c>
      <x:c r="M726" t="n">
        <x:v>1</x:v>
      </x:c>
      <x:c r="N726" t="n">
        <x:v>8</x:v>
      </x:c>
      <x:c r="O726" t="n">
        <x:v>7</x:v>
      </x:c>
      <x:c r="P726" s="63" t="str">
        <x:f>IF(M726=0,"—",M726&amp;"d"&amp;N726&amp;IF(O726=0,""," + "&amp;O726))</x:f>
        <x:v>1d8 + 7</x:v>
      </x:c>
      <x:c r="Q726" t="n">
        <x:f>ROUND(INDEX(Catalogue!E$4:E$85,MATCH(A726,Catalogue!A$4:A$85,0))*(1+'Paramètres'!$B$4*(C726-1)+'Paramètres'!$B$5*(C726-1)^2),0)</x:f>
        <x:v>8</x:v>
      </x:c>
      <x:c r="R726" t="n">
        <x:f>ROUND(INDEX(Catalogue!F$4:F$85,MATCH(A726,Catalogue!A$4:A$85,0))*(1+'Paramètres'!$B$4*(C726-1)+'Paramètres'!$B$5*(C726-1)^2),0)</x:f>
        <x:v>15</x:v>
      </x:c>
      <x:c r="S726" t="n">
        <x:f>L726-AVERAGE(Q726:R726)</x:f>
        <x:v>0</x:v>
      </x:c>
      <x:c r="T726" t="str">
        <x:f>IF(M726=0,IF(AND(N726=0,O726=0,E726=0,F726=0),"OK","ERREUR"),IF(AND(M726&gt;=1,M726&lt;=32,OR(N726=4,N726=6,N726=8,N726=10,N726=12,N726=20),O726&gt;=0,E726=M726+O726,F726=M726*N726+O726),"OK","ERREUR"))</x:f>
        <x:v>OK</x:v>
      </x:c>
      <x:c r="U726" s="86" t="n">
        <x:f>IF(M726&gt;0,M726*(N726+1)/2+O726,0)</x:f>
        <x:v>11.5</x:v>
      </x:c>
      <x:c r="V726" t="str">
        <x:f>IF(ABS(L726-U726)&lt;0.001,"OK","ERREUR")</x:f>
        <x:v>OK</x:v>
      </x:c>
    </x:row>
    <x:row r="727" ht="18" customHeight="1">
      <x:c r="A727" t="str">
        <x:v>ARM037</x:v>
      </x:c>
      <x:c r="B727" t="str">
        <x:v>Faux de guerre</x:v>
      </x:c>
      <x:c r="C727" t="n">
        <x:v>4</x:v>
      </x:c>
      <x:c r="D727" t="str">
        <x:v>Deux mains</x:v>
      </x:c>
      <x:c r="E727" s="28" t="n">
        <x:f>IF(M727=0,0,M727+O727)</x:f>
        <x:v>9</x:v>
      </x:c>
      <x:c r="F727" s="28" t="n">
        <x:f>IF(M727=0,0,M727*N727+O727)</x:f>
        <x:v>18</x:v>
      </x:c>
      <x:c r="G727" s="28" t="n">
        <x:f>ROUND(Catalogue!G40*SQRT((1+'Paramètres'!$B$4*(C727-1)+'Paramètres'!$B$5*(C727-1)^2)),0)</x:f>
        <x:v>0</x:v>
      </x:c>
      <x:c r="H727" s="28" t="n">
        <x:f>ROUND(Catalogue!H40*SQRT((1+'Paramètres'!$B$4*(C727-1)+'Paramètres'!$B$5*(C727-1)^2)),0)</x:f>
        <x:v>0</x:v>
      </x:c>
      <x:c r="I727" s="28" t="n">
        <x:v>3</x:v>
      </x:c>
      <x:c r="J727" s="28" t="n">
        <x:v>1</x:v>
      </x:c>
      <x:c r="K727" s="30" t="n">
        <x:v>3.7</x:v>
      </x:c>
      <x:c r="L727" s="54" t="n">
        <x:f>IF(M727=0,0,(E727+F727)/2)</x:f>
        <x:v>13.5</x:v>
      </x:c>
      <x:c r="M727" t="n">
        <x:v>1</x:v>
      </x:c>
      <x:c r="N727" t="n">
        <x:v>10</x:v>
      </x:c>
      <x:c r="O727" t="n">
        <x:v>8</x:v>
      </x:c>
      <x:c r="P727" s="63" t="str">
        <x:f>IF(M727=0,"—",M727&amp;"d"&amp;N727&amp;IF(O727=0,""," + "&amp;O727))</x:f>
        <x:v>1d10 + 8</x:v>
      </x:c>
      <x:c r="Q727" t="n">
        <x:f>ROUND(INDEX(Catalogue!E$4:E$85,MATCH(A727,Catalogue!A$4:A$85,0))*(1+'Paramètres'!$B$4*(C727-1)+'Paramètres'!$B$5*(C727-1)^2),0)</x:f>
        <x:v>9</x:v>
      </x:c>
      <x:c r="R727" t="n">
        <x:f>ROUND(INDEX(Catalogue!F$4:F$85,MATCH(A727,Catalogue!A$4:A$85,0))*(1+'Paramètres'!$B$4*(C727-1)+'Paramètres'!$B$5*(C727-1)^2),0)</x:f>
        <x:v>18</x:v>
      </x:c>
      <x:c r="S727" t="n">
        <x:f>L727-AVERAGE(Q727:R727)</x:f>
        <x:v>0</x:v>
      </x:c>
      <x:c r="T727" t="str">
        <x:f>IF(M727=0,IF(AND(N727=0,O727=0,E727=0,F727=0),"OK","ERREUR"),IF(AND(M727&gt;=1,M727&lt;=32,OR(N727=4,N727=6,N727=8,N727=10,N727=12,N727=20),O727&gt;=0,E727=M727+O727,F727=M727*N727+O727),"OK","ERREUR"))</x:f>
        <x:v>OK</x:v>
      </x:c>
      <x:c r="U727" s="86" t="n">
        <x:f>IF(M727&gt;0,M727*(N727+1)/2+O727,0)</x:f>
        <x:v>13.5</x:v>
      </x:c>
      <x:c r="V727" t="str">
        <x:f>IF(ABS(L727-U727)&lt;0.001,"OK","ERREUR")</x:f>
        <x:v>OK</x:v>
      </x:c>
    </x:row>
    <x:row r="728" ht="18" customHeight="1">
      <x:c r="A728" t="str">
        <x:v>ARM037</x:v>
      </x:c>
      <x:c r="B728" t="str">
        <x:v>Faux de guerre</x:v>
      </x:c>
      <x:c r="C728" t="n">
        <x:v>5</x:v>
      </x:c>
      <x:c r="D728" t="str">
        <x:v>Deux mains</x:v>
      </x:c>
      <x:c r="E728" s="28" t="n">
        <x:f>IF(M728=0,0,M728+O728)</x:f>
        <x:v>10</x:v>
      </x:c>
      <x:c r="F728" s="28" t="n">
        <x:f>IF(M728=0,0,M728*N728+O728)</x:f>
        <x:v>20</x:v>
      </x:c>
      <x:c r="G728" s="28" t="n">
        <x:f>ROUND(Catalogue!G40*SQRT((1+'Paramètres'!$B$4*(C728-1)+'Paramètres'!$B$5*(C728-1)^2)),0)</x:f>
        <x:v>0</x:v>
      </x:c>
      <x:c r="H728" s="28" t="n">
        <x:f>ROUND(Catalogue!H40*SQRT((1+'Paramètres'!$B$4*(C728-1)+'Paramètres'!$B$5*(C728-1)^2)),0)</x:f>
        <x:v>0</x:v>
      </x:c>
      <x:c r="I728" s="28" t="n">
        <x:v>3</x:v>
      </x:c>
      <x:c r="J728" s="28" t="n">
        <x:v>1</x:v>
      </x:c>
      <x:c r="K728" s="30" t="n">
        <x:v>3.7</x:v>
      </x:c>
      <x:c r="L728" s="54" t="n">
        <x:f>IF(M728=0,0,(E728+F728)/2)</x:f>
        <x:v>15</x:v>
      </x:c>
      <x:c r="M728" t="n">
        <x:v>2</x:v>
      </x:c>
      <x:c r="N728" t="n">
        <x:v>6</x:v>
      </x:c>
      <x:c r="O728" t="n">
        <x:v>8</x:v>
      </x:c>
      <x:c r="P728" s="63" t="str">
        <x:f>IF(M728=0,"—",M728&amp;"d"&amp;N728&amp;IF(O728=0,""," + "&amp;O728))</x:f>
        <x:v>2d6 + 8</x:v>
      </x:c>
      <x:c r="Q728" t="n">
        <x:f>ROUND(INDEX(Catalogue!E$4:E$85,MATCH(A728,Catalogue!A$4:A$85,0))*(1+'Paramètres'!$B$4*(C728-1)+'Paramètres'!$B$5*(C728-1)^2),0)</x:f>
        <x:v>10</x:v>
      </x:c>
      <x:c r="R728" t="n">
        <x:f>ROUND(INDEX(Catalogue!F$4:F$85,MATCH(A728,Catalogue!A$4:A$85,0))*(1+'Paramètres'!$B$4*(C728-1)+'Paramètres'!$B$5*(C728-1)^2),0)</x:f>
        <x:v>20</x:v>
      </x:c>
      <x:c r="S728" t="n">
        <x:f>L728-AVERAGE(Q728:R728)</x:f>
        <x:v>0</x:v>
      </x:c>
      <x:c r="T728" t="str">
        <x:f>IF(M728=0,IF(AND(N728=0,O728=0,E728=0,F728=0),"OK","ERREUR"),IF(AND(M728&gt;=1,M728&lt;=32,OR(N728=4,N728=6,N728=8,N728=10,N728=12,N728=20),O728&gt;=0,E728=M728+O728,F728=M728*N728+O728),"OK","ERREUR"))</x:f>
        <x:v>OK</x:v>
      </x:c>
      <x:c r="U728" s="86" t="n">
        <x:f>IF(M728&gt;0,M728*(N728+1)/2+O728,0)</x:f>
        <x:v>15</x:v>
      </x:c>
      <x:c r="V728" t="str">
        <x:f>IF(ABS(L728-U728)&lt;0.001,"OK","ERREUR")</x:f>
        <x:v>OK</x:v>
      </x:c>
    </x:row>
    <x:row r="729" ht="18" customHeight="1">
      <x:c r="A729" t="str">
        <x:v>ARM037</x:v>
      </x:c>
      <x:c r="B729" t="str">
        <x:v>Faux de guerre</x:v>
      </x:c>
      <x:c r="C729" t="n">
        <x:v>6</x:v>
      </x:c>
      <x:c r="D729" t="str">
        <x:v>Deux mains</x:v>
      </x:c>
      <x:c r="E729" s="28" t="n">
        <x:f>IF(M729=0,0,M729+O729)</x:f>
        <x:v>12</x:v>
      </x:c>
      <x:c r="F729" s="28" t="n">
        <x:f>IF(M729=0,0,M729*N729+O729)</x:f>
        <x:v>23</x:v>
      </x:c>
      <x:c r="G729" s="28" t="n">
        <x:f>ROUND(Catalogue!G40*SQRT((1+'Paramètres'!$B$4*(C729-1)+'Paramètres'!$B$5*(C729-1)^2)),0)</x:f>
        <x:v>0</x:v>
      </x:c>
      <x:c r="H729" s="28" t="n">
        <x:f>ROUND(Catalogue!H40*SQRT((1+'Paramètres'!$B$4*(C729-1)+'Paramètres'!$B$5*(C729-1)^2)),0)</x:f>
        <x:v>0</x:v>
      </x:c>
      <x:c r="I729" s="28" t="n">
        <x:v>3</x:v>
      </x:c>
      <x:c r="J729" s="28" t="n">
        <x:v>1</x:v>
      </x:c>
      <x:c r="K729" s="30" t="n">
        <x:v>3.7</x:v>
      </x:c>
      <x:c r="L729" s="54" t="n">
        <x:f>IF(M729=0,0,(E729+F729)/2)</x:f>
        <x:v>17.5</x:v>
      </x:c>
      <x:c r="M729" t="n">
        <x:v>1</x:v>
      </x:c>
      <x:c r="N729" t="n">
        <x:v>12</x:v>
      </x:c>
      <x:c r="O729" t="n">
        <x:v>11</x:v>
      </x:c>
      <x:c r="P729" s="63" t="str">
        <x:f>IF(M729=0,"—",M729&amp;"d"&amp;N729&amp;IF(O729=0,""," + "&amp;O729))</x:f>
        <x:v>1d12 + 11</x:v>
      </x:c>
      <x:c r="Q729" t="n">
        <x:f>ROUND(INDEX(Catalogue!E$4:E$85,MATCH(A729,Catalogue!A$4:A$85,0))*(1+'Paramètres'!$B$4*(C729-1)+'Paramètres'!$B$5*(C729-1)^2),0)</x:f>
        <x:v>12</x:v>
      </x:c>
      <x:c r="R729" t="n">
        <x:f>ROUND(INDEX(Catalogue!F$4:F$85,MATCH(A729,Catalogue!A$4:A$85,0))*(1+'Paramètres'!$B$4*(C729-1)+'Paramètres'!$B$5*(C729-1)^2),0)</x:f>
        <x:v>23</x:v>
      </x:c>
      <x:c r="S729" t="n">
        <x:f>L729-AVERAGE(Q729:R729)</x:f>
        <x:v>0</x:v>
      </x:c>
      <x:c r="T729" t="str">
        <x:f>IF(M729=0,IF(AND(N729=0,O729=0,E729=0,F729=0),"OK","ERREUR"),IF(AND(M729&gt;=1,M729&lt;=32,OR(N729=4,N729=6,N729=8,N729=10,N729=12,N729=20),O729&gt;=0,E729=M729+O729,F729=M729*N729+O729),"OK","ERREUR"))</x:f>
        <x:v>OK</x:v>
      </x:c>
      <x:c r="U729" s="86" t="n">
        <x:f>IF(M729&gt;0,M729*(N729+1)/2+O729,0)</x:f>
        <x:v>17.5</x:v>
      </x:c>
      <x:c r="V729" t="str">
        <x:f>IF(ABS(L729-U729)&lt;0.001,"OK","ERREUR")</x:f>
        <x:v>OK</x:v>
      </x:c>
    </x:row>
    <x:row r="730" ht="18" customHeight="1">
      <x:c r="A730" t="str">
        <x:v>ARM037</x:v>
      </x:c>
      <x:c r="B730" t="str">
        <x:v>Faux de guerre</x:v>
      </x:c>
      <x:c r="C730" t="n">
        <x:v>7</x:v>
      </x:c>
      <x:c r="D730" t="str">
        <x:v>Deux mains</x:v>
      </x:c>
      <x:c r="E730" s="28" t="n">
        <x:f>IF(M730=0,0,M730+O730)</x:f>
        <x:v>13</x:v>
      </x:c>
      <x:c r="F730" s="28" t="n">
        <x:f>IF(M730=0,0,M730*N730+O730)</x:f>
        <x:v>27</x:v>
      </x:c>
      <x:c r="G730" s="28" t="n">
        <x:f>ROUND(Catalogue!G40*SQRT((1+'Paramètres'!$B$4*(C730-1)+'Paramètres'!$B$5*(C730-1)^2)),0)</x:f>
        <x:v>0</x:v>
      </x:c>
      <x:c r="H730" s="28" t="n">
        <x:f>ROUND(Catalogue!H40*SQRT((1+'Paramètres'!$B$4*(C730-1)+'Paramètres'!$B$5*(C730-1)^2)),0)</x:f>
        <x:v>0</x:v>
      </x:c>
      <x:c r="I730" s="28" t="n">
        <x:v>3</x:v>
      </x:c>
      <x:c r="J730" s="28" t="n">
        <x:v>1</x:v>
      </x:c>
      <x:c r="K730" s="30" t="n">
        <x:v>3.7</x:v>
      </x:c>
      <x:c r="L730" s="54" t="n">
        <x:f>IF(M730=0,0,(E730+F730)/2)</x:f>
        <x:v>20</x:v>
      </x:c>
      <x:c r="M730" t="n">
        <x:v>2</x:v>
      </x:c>
      <x:c r="N730" t="n">
        <x:v>8</x:v>
      </x:c>
      <x:c r="O730" t="n">
        <x:v>11</x:v>
      </x:c>
      <x:c r="P730" s="63" t="str">
        <x:f>IF(M730=0,"—",M730&amp;"d"&amp;N730&amp;IF(O730=0,""," + "&amp;O730))</x:f>
        <x:v>2d8 + 11</x:v>
      </x:c>
      <x:c r="Q730" t="n">
        <x:f>ROUND(INDEX(Catalogue!E$4:E$85,MATCH(A730,Catalogue!A$4:A$85,0))*(1+'Paramètres'!$B$4*(C730-1)+'Paramètres'!$B$5*(C730-1)^2),0)</x:f>
        <x:v>13</x:v>
      </x:c>
      <x:c r="R730" t="n">
        <x:f>ROUND(INDEX(Catalogue!F$4:F$85,MATCH(A730,Catalogue!A$4:A$85,0))*(1+'Paramètres'!$B$4*(C730-1)+'Paramètres'!$B$5*(C730-1)^2),0)</x:f>
        <x:v>27</x:v>
      </x:c>
      <x:c r="S730" t="n">
        <x:f>L730-AVERAGE(Q730:R730)</x:f>
        <x:v>0</x:v>
      </x:c>
      <x:c r="T730" t="str">
        <x:f>IF(M730=0,IF(AND(N730=0,O730=0,E730=0,F730=0),"OK","ERREUR"),IF(AND(M730&gt;=1,M730&lt;=32,OR(N730=4,N730=6,N730=8,N730=10,N730=12,N730=20),O730&gt;=0,E730=M730+O730,F730=M730*N730+O730),"OK","ERREUR"))</x:f>
        <x:v>OK</x:v>
      </x:c>
      <x:c r="U730" s="86" t="n">
        <x:f>IF(M730&gt;0,M730*(N730+1)/2+O730,0)</x:f>
        <x:v>20</x:v>
      </x:c>
      <x:c r="V730" t="str">
        <x:f>IF(ABS(L730-U730)&lt;0.001,"OK","ERREUR")</x:f>
        <x:v>OK</x:v>
      </x:c>
    </x:row>
    <x:row r="731" ht="18" customHeight="1">
      <x:c r="A731" t="str">
        <x:v>ARM037</x:v>
      </x:c>
      <x:c r="B731" t="str">
        <x:v>Faux de guerre</x:v>
      </x:c>
      <x:c r="C731" t="n">
        <x:v>8</x:v>
      </x:c>
      <x:c r="D731" t="str">
        <x:v>Deux mains</x:v>
      </x:c>
      <x:c r="E731" s="28" t="n">
        <x:f>IF(M731=0,0,M731+O731)</x:f>
        <x:v>15</x:v>
      </x:c>
      <x:c r="F731" s="28" t="n">
        <x:f>IF(M731=0,0,M731*N731+O731)</x:f>
        <x:v>30</x:v>
      </x:c>
      <x:c r="G731" s="28" t="n">
        <x:f>ROUND(Catalogue!G40*SQRT((1+'Paramètres'!$B$4*(C731-1)+'Paramètres'!$B$5*(C731-1)^2)),0)</x:f>
        <x:v>0</x:v>
      </x:c>
      <x:c r="H731" s="28" t="n">
        <x:f>ROUND(Catalogue!H40*SQRT((1+'Paramètres'!$B$4*(C731-1)+'Paramètres'!$B$5*(C731-1)^2)),0)</x:f>
        <x:v>0</x:v>
      </x:c>
      <x:c r="I731" s="28" t="n">
        <x:v>3</x:v>
      </x:c>
      <x:c r="J731" s="28" t="n">
        <x:v>1</x:v>
      </x:c>
      <x:c r="K731" s="30" t="n">
        <x:v>3.7</x:v>
      </x:c>
      <x:c r="L731" s="54" t="n">
        <x:f>IF(M731=0,0,(E731+F731)/2)</x:f>
        <x:v>22.5</x:v>
      </x:c>
      <x:c r="M731" t="n">
        <x:v>3</x:v>
      </x:c>
      <x:c r="N731" t="n">
        <x:v>6</x:v>
      </x:c>
      <x:c r="O731" t="n">
        <x:v>12</x:v>
      </x:c>
      <x:c r="P731" s="63" t="str">
        <x:f>IF(M731=0,"—",M731&amp;"d"&amp;N731&amp;IF(O731=0,""," + "&amp;O731))</x:f>
        <x:v>3d6 + 12</x:v>
      </x:c>
      <x:c r="Q731" t="n">
        <x:f>ROUND(INDEX(Catalogue!E$4:E$85,MATCH(A731,Catalogue!A$4:A$85,0))*(1+'Paramètres'!$B$4*(C731-1)+'Paramètres'!$B$5*(C731-1)^2),0)</x:f>
        <x:v>15</x:v>
      </x:c>
      <x:c r="R731" t="n">
        <x:f>ROUND(INDEX(Catalogue!F$4:F$85,MATCH(A731,Catalogue!A$4:A$85,0))*(1+'Paramètres'!$B$4*(C731-1)+'Paramètres'!$B$5*(C731-1)^2),0)</x:f>
        <x:v>31</x:v>
      </x:c>
      <x:c r="S731" t="n">
        <x:f>L731-AVERAGE(Q731:R731)</x:f>
        <x:v>-0.5</x:v>
      </x:c>
      <x:c r="T731" t="str">
        <x:f>IF(M731=0,IF(AND(N731=0,O731=0,E731=0,F731=0),"OK","ERREUR"),IF(AND(M731&gt;=1,M731&lt;=32,OR(N731=4,N731=6,N731=8,N731=10,N731=12,N731=20),O731&gt;=0,E731=M731+O731,F731=M731*N731+O731),"OK","ERREUR"))</x:f>
        <x:v>OK</x:v>
      </x:c>
      <x:c r="U731" s="86" t="n">
        <x:f>IF(M731&gt;0,M731*(N731+1)/2+O731,0)</x:f>
        <x:v>22.5</x:v>
      </x:c>
      <x:c r="V731" t="str">
        <x:f>IF(ABS(L731-U731)&lt;0.001,"OK","ERREUR")</x:f>
        <x:v>OK</x:v>
      </x:c>
    </x:row>
    <x:row r="732" ht="18" customHeight="1">
      <x:c r="A732" t="str">
        <x:v>ARM037</x:v>
      </x:c>
      <x:c r="B732" t="str">
        <x:v>Faux de guerre</x:v>
      </x:c>
      <x:c r="C732" t="n">
        <x:v>9</x:v>
      </x:c>
      <x:c r="D732" t="str">
        <x:v>Deux mains</x:v>
      </x:c>
      <x:c r="E732" s="28" t="n">
        <x:f>IF(M732=0,0,M732+O732)</x:f>
        <x:v>17</x:v>
      </x:c>
      <x:c r="F732" s="28" t="n">
        <x:f>IF(M732=0,0,M732*N732+O732)</x:f>
        <x:v>35</x:v>
      </x:c>
      <x:c r="G732" s="28" t="n">
        <x:f>ROUND(Catalogue!G40*SQRT((1+'Paramètres'!$B$4*(C732-1)+'Paramètres'!$B$5*(C732-1)^2)),0)</x:f>
        <x:v>0</x:v>
      </x:c>
      <x:c r="H732" s="28" t="n">
        <x:f>ROUND(Catalogue!H40*SQRT((1+'Paramètres'!$B$4*(C732-1)+'Paramètres'!$B$5*(C732-1)^2)),0)</x:f>
        <x:v>0</x:v>
      </x:c>
      <x:c r="I732" s="28" t="n">
        <x:v>3</x:v>
      </x:c>
      <x:c r="J732" s="28" t="n">
        <x:v>1</x:v>
      </x:c>
      <x:c r="K732" s="30" t="n">
        <x:v>3.7</x:v>
      </x:c>
      <x:c r="L732" s="54" t="n">
        <x:f>IF(M732=0,0,(E732+F732)/2)</x:f>
        <x:v>26</x:v>
      </x:c>
      <x:c r="M732" t="n">
        <x:v>2</x:v>
      </x:c>
      <x:c r="N732" t="n">
        <x:v>10</x:v>
      </x:c>
      <x:c r="O732" t="n">
        <x:v>15</x:v>
      </x:c>
      <x:c r="P732" s="63" t="str">
        <x:f>IF(M732=0,"—",M732&amp;"d"&amp;N732&amp;IF(O732=0,""," + "&amp;O732))</x:f>
        <x:v>2d10 + 15</x:v>
      </x:c>
      <x:c r="Q732" t="n">
        <x:f>ROUND(INDEX(Catalogue!E$4:E$85,MATCH(A732,Catalogue!A$4:A$85,0))*(1+'Paramètres'!$B$4*(C732-1)+'Paramètres'!$B$5*(C732-1)^2),0)</x:f>
        <x:v>17</x:v>
      </x:c>
      <x:c r="R732" t="n">
        <x:f>ROUND(INDEX(Catalogue!F$4:F$85,MATCH(A732,Catalogue!A$4:A$85,0))*(1+'Paramètres'!$B$4*(C732-1)+'Paramètres'!$B$5*(C732-1)^2),0)</x:f>
        <x:v>35</x:v>
      </x:c>
      <x:c r="S732" t="n">
        <x:f>L732-AVERAGE(Q732:R732)</x:f>
        <x:v>0</x:v>
      </x:c>
      <x:c r="T732" t="str">
        <x:f>IF(M732=0,IF(AND(N732=0,O732=0,E732=0,F732=0),"OK","ERREUR"),IF(AND(M732&gt;=1,M732&lt;=32,OR(N732=4,N732=6,N732=8,N732=10,N732=12,N732=20),O732&gt;=0,E732=M732+O732,F732=M732*N732+O732),"OK","ERREUR"))</x:f>
        <x:v>OK</x:v>
      </x:c>
      <x:c r="U732" s="86" t="n">
        <x:f>IF(M732&gt;0,M732*(N732+1)/2+O732,0)</x:f>
        <x:v>26</x:v>
      </x:c>
      <x:c r="V732" t="str">
        <x:f>IF(ABS(L732-U732)&lt;0.001,"OK","ERREUR")</x:f>
        <x:v>OK</x:v>
      </x:c>
    </x:row>
    <x:row r="733" ht="18" customHeight="1">
      <x:c r="A733" t="str">
        <x:v>ARM037</x:v>
      </x:c>
      <x:c r="B733" t="str">
        <x:v>Faux de guerre</x:v>
      </x:c>
      <x:c r="C733" t="n">
        <x:v>10</x:v>
      </x:c>
      <x:c r="D733" t="str">
        <x:v>Deux mains</x:v>
      </x:c>
      <x:c r="E733" s="28" t="n">
        <x:f>IF(M733=0,0,M733+O733)</x:f>
        <x:v>20</x:v>
      </x:c>
      <x:c r="F733" s="28" t="n">
        <x:f>IF(M733=0,0,M733*N733+O733)</x:f>
        <x:v>38</x:v>
      </x:c>
      <x:c r="G733" s="28" t="n">
        <x:f>ROUND(Catalogue!G40*SQRT((1+'Paramètres'!$B$4*(C733-1)+'Paramètres'!$B$5*(C733-1)^2)),0)</x:f>
        <x:v>0</x:v>
      </x:c>
      <x:c r="H733" s="28" t="n">
        <x:f>ROUND(Catalogue!H40*SQRT((1+'Paramètres'!$B$4*(C733-1)+'Paramètres'!$B$5*(C733-1)^2)),0)</x:f>
        <x:v>0</x:v>
      </x:c>
      <x:c r="I733" s="28" t="n">
        <x:v>3</x:v>
      </x:c>
      <x:c r="J733" s="28" t="n">
        <x:v>1</x:v>
      </x:c>
      <x:c r="K733" s="30" t="n">
        <x:v>3.7</x:v>
      </x:c>
      <x:c r="L733" s="54" t="n">
        <x:f>IF(M733=0,0,(E733+F733)/2)</x:f>
        <x:v>29</x:v>
      </x:c>
      <x:c r="M733" t="n">
        <x:v>2</x:v>
      </x:c>
      <x:c r="N733" t="n">
        <x:v>10</x:v>
      </x:c>
      <x:c r="O733" t="n">
        <x:v>18</x:v>
      </x:c>
      <x:c r="P733" s="63" t="str">
        <x:f>IF(M733=0,"—",M733&amp;"d"&amp;N733&amp;IF(O733=0,""," + "&amp;O733))</x:f>
        <x:v>2d10 + 18</x:v>
      </x:c>
      <x:c r="Q733" t="n">
        <x:f>ROUND(INDEX(Catalogue!E$4:E$85,MATCH(A733,Catalogue!A$4:A$85,0))*(1+'Paramètres'!$B$4*(C733-1)+'Paramètres'!$B$5*(C733-1)^2),0)</x:f>
        <x:v>20</x:v>
      </x:c>
      <x:c r="R733" t="n">
        <x:f>ROUND(INDEX(Catalogue!F$4:F$85,MATCH(A733,Catalogue!A$4:A$85,0))*(1+'Paramètres'!$B$4*(C733-1)+'Paramètres'!$B$5*(C733-1)^2),0)</x:f>
        <x:v>39</x:v>
      </x:c>
      <x:c r="S733" t="n">
        <x:f>L733-AVERAGE(Q733:R733)</x:f>
        <x:v>-0.5</x:v>
      </x:c>
      <x:c r="T733" t="str">
        <x:f>IF(M733=0,IF(AND(N733=0,O733=0,E733=0,F733=0),"OK","ERREUR"),IF(AND(M733&gt;=1,M733&lt;=32,OR(N733=4,N733=6,N733=8,N733=10,N733=12,N733=20),O733&gt;=0,E733=M733+O733,F733=M733*N733+O733),"OK","ERREUR"))</x:f>
        <x:v>OK</x:v>
      </x:c>
      <x:c r="U733" s="86" t="n">
        <x:f>IF(M733&gt;0,M733*(N733+1)/2+O733,0)</x:f>
        <x:v>29</x:v>
      </x:c>
      <x:c r="V733" t="str">
        <x:f>IF(ABS(L733-U733)&lt;0.001,"OK","ERREUR")</x:f>
        <x:v>OK</x:v>
      </x:c>
    </x:row>
    <x:row r="734" ht="18" customHeight="1">
      <x:c r="A734" t="str">
        <x:v>ARM037</x:v>
      </x:c>
      <x:c r="B734" t="str">
        <x:v>Faux de guerre</x:v>
      </x:c>
      <x:c r="C734" t="n">
        <x:v>11</x:v>
      </x:c>
      <x:c r="D734" t="str">
        <x:v>Deux mains</x:v>
      </x:c>
      <x:c r="E734" s="28" t="n">
        <x:f>IF(M734=0,0,M734+O734)</x:f>
        <x:v>22</x:v>
      </x:c>
      <x:c r="F734" s="28" t="n">
        <x:f>IF(M734=0,0,M734*N734+O734)</x:f>
        <x:v>44</x:v>
      </x:c>
      <x:c r="G734" s="28" t="n">
        <x:f>ROUND(Catalogue!G40*SQRT((1+'Paramètres'!$B$4*(C734-1)+'Paramètres'!$B$5*(C734-1)^2)),0)</x:f>
        <x:v>0</x:v>
      </x:c>
      <x:c r="H734" s="28" t="n">
        <x:f>ROUND(Catalogue!H40*SQRT((1+'Paramètres'!$B$4*(C734-1)+'Paramètres'!$B$5*(C734-1)^2)),0)</x:f>
        <x:v>0</x:v>
      </x:c>
      <x:c r="I734" s="28" t="n">
        <x:v>3</x:v>
      </x:c>
      <x:c r="J734" s="28" t="n">
        <x:v>1</x:v>
      </x:c>
      <x:c r="K734" s="30" t="n">
        <x:v>3.7</x:v>
      </x:c>
      <x:c r="L734" s="54" t="n">
        <x:f>IF(M734=0,0,(E734+F734)/2)</x:f>
        <x:v>33</x:v>
      </x:c>
      <x:c r="M734" t="n">
        <x:v>2</x:v>
      </x:c>
      <x:c r="N734" t="n">
        <x:v>12</x:v>
      </x:c>
      <x:c r="O734" t="n">
        <x:v>20</x:v>
      </x:c>
      <x:c r="P734" s="63" t="str">
        <x:f>IF(M734=0,"—",M734&amp;"d"&amp;N734&amp;IF(O734=0,""," + "&amp;O734))</x:f>
        <x:v>2d12 + 20</x:v>
      </x:c>
      <x:c r="Q734" t="n">
        <x:f>ROUND(INDEX(Catalogue!E$4:E$85,MATCH(A734,Catalogue!A$4:A$85,0))*(1+'Paramètres'!$B$4*(C734-1)+'Paramètres'!$B$5*(C734-1)^2),0)</x:f>
        <x:v>22</x:v>
      </x:c>
      <x:c r="R734" t="n">
        <x:f>ROUND(INDEX(Catalogue!F$4:F$85,MATCH(A734,Catalogue!A$4:A$85,0))*(1+'Paramètres'!$B$4*(C734-1)+'Paramètres'!$B$5*(C734-1)^2),0)</x:f>
        <x:v>44</x:v>
      </x:c>
      <x:c r="S734" t="n">
        <x:f>L734-AVERAGE(Q734:R734)</x:f>
        <x:v>0</x:v>
      </x:c>
      <x:c r="T734" t="str">
        <x:f>IF(M734=0,IF(AND(N734=0,O734=0,E734=0,F734=0),"OK","ERREUR"),IF(AND(M734&gt;=1,M734&lt;=32,OR(N734=4,N734=6,N734=8,N734=10,N734=12,N734=20),O734&gt;=0,E734=M734+O734,F734=M734*N734+O734),"OK","ERREUR"))</x:f>
        <x:v>OK</x:v>
      </x:c>
      <x:c r="U734" s="86" t="n">
        <x:f>IF(M734&gt;0,M734*(N734+1)/2+O734,0)</x:f>
        <x:v>33</x:v>
      </x:c>
      <x:c r="V734" t="str">
        <x:f>IF(ABS(L734-U734)&lt;0.001,"OK","ERREUR")</x:f>
        <x:v>OK</x:v>
      </x:c>
    </x:row>
    <x:row r="735" ht="18" customHeight="1">
      <x:c r="A735" t="str">
        <x:v>ARM037</x:v>
      </x:c>
      <x:c r="B735" t="str">
        <x:v>Faux de guerre</x:v>
      </x:c>
      <x:c r="C735" t="n">
        <x:v>12</x:v>
      </x:c>
      <x:c r="D735" t="str">
        <x:v>Deux mains</x:v>
      </x:c>
      <x:c r="E735" s="28" t="n">
        <x:f>IF(M735=0,0,M735+O735)</x:f>
        <x:v>24</x:v>
      </x:c>
      <x:c r="F735" s="28" t="n">
        <x:f>IF(M735=0,0,M735*N735+O735)</x:f>
        <x:v>51</x:v>
      </x:c>
      <x:c r="G735" s="28" t="n">
        <x:f>ROUND(Catalogue!G40*SQRT((1+'Paramètres'!$B$4*(C735-1)+'Paramètres'!$B$5*(C735-1)^2)),0)</x:f>
        <x:v>0</x:v>
      </x:c>
      <x:c r="H735" s="28" t="n">
        <x:f>ROUND(Catalogue!H40*SQRT((1+'Paramètres'!$B$4*(C735-1)+'Paramètres'!$B$5*(C735-1)^2)),0)</x:f>
        <x:v>0</x:v>
      </x:c>
      <x:c r="I735" s="28" t="n">
        <x:v>3</x:v>
      </x:c>
      <x:c r="J735" s="28" t="n">
        <x:v>1</x:v>
      </x:c>
      <x:c r="K735" s="30" t="n">
        <x:v>3.7</x:v>
      </x:c>
      <x:c r="L735" s="54" t="n">
        <x:f>IF(M735=0,0,(E735+F735)/2)</x:f>
        <x:v>37.5</x:v>
      </x:c>
      <x:c r="M735" t="n">
        <x:v>3</x:v>
      </x:c>
      <x:c r="N735" t="n">
        <x:v>10</x:v>
      </x:c>
      <x:c r="O735" t="n">
        <x:v>21</x:v>
      </x:c>
      <x:c r="P735" s="63" t="str">
        <x:f>IF(M735=0,"—",M735&amp;"d"&amp;N735&amp;IF(O735=0,""," + "&amp;O735))</x:f>
        <x:v>3d10 + 21</x:v>
      </x:c>
      <x:c r="Q735" t="n">
        <x:f>ROUND(INDEX(Catalogue!E$4:E$85,MATCH(A735,Catalogue!A$4:A$85,0))*(1+'Paramètres'!$B$4*(C735-1)+'Paramètres'!$B$5*(C735-1)^2),0)</x:f>
        <x:v>25</x:v>
      </x:c>
      <x:c r="R735" t="n">
        <x:f>ROUND(INDEX(Catalogue!F$4:F$85,MATCH(A735,Catalogue!A$4:A$85,0))*(1+'Paramètres'!$B$4*(C735-1)+'Paramètres'!$B$5*(C735-1)^2),0)</x:f>
        <x:v>50</x:v>
      </x:c>
      <x:c r="S735" t="n">
        <x:f>L735-AVERAGE(Q735:R735)</x:f>
        <x:v>0</x:v>
      </x:c>
      <x:c r="T735" t="str">
        <x:f>IF(M735=0,IF(AND(N735=0,O735=0,E735=0,F735=0),"OK","ERREUR"),IF(AND(M735&gt;=1,M735&lt;=32,OR(N735=4,N735=6,N735=8,N735=10,N735=12,N735=20),O735&gt;=0,E735=M735+O735,F735=M735*N735+O735),"OK","ERREUR"))</x:f>
        <x:v>OK</x:v>
      </x:c>
      <x:c r="U735" s="86" t="n">
        <x:f>IF(M735&gt;0,M735*(N735+1)/2+O735,0)</x:f>
        <x:v>37.5</x:v>
      </x:c>
      <x:c r="V735" t="str">
        <x:f>IF(ABS(L735-U735)&lt;0.001,"OK","ERREUR")</x:f>
        <x:v>OK</x:v>
      </x:c>
    </x:row>
    <x:row r="736" ht="18" customHeight="1">
      <x:c r="A736" t="str">
        <x:v>ARM037</x:v>
      </x:c>
      <x:c r="B736" t="str">
        <x:v>Faux de guerre</x:v>
      </x:c>
      <x:c r="C736" t="n">
        <x:v>13</x:v>
      </x:c>
      <x:c r="D736" t="str">
        <x:v>Deux mains</x:v>
      </x:c>
      <x:c r="E736" s="28" t="n">
        <x:f>IF(M736=0,0,M736+O736)</x:f>
        <x:v>28</x:v>
      </x:c>
      <x:c r="F736" s="28" t="n">
        <x:f>IF(M736=0,0,M736*N736+O736)</x:f>
        <x:v>55</x:v>
      </x:c>
      <x:c r="G736" s="28" t="n">
        <x:f>ROUND(Catalogue!G40*SQRT((1+'Paramètres'!$B$4*(C736-1)+'Paramètres'!$B$5*(C736-1)^2)),0)</x:f>
        <x:v>0</x:v>
      </x:c>
      <x:c r="H736" s="28" t="n">
        <x:f>ROUND(Catalogue!H40*SQRT((1+'Paramètres'!$B$4*(C736-1)+'Paramètres'!$B$5*(C736-1)^2)),0)</x:f>
        <x:v>0</x:v>
      </x:c>
      <x:c r="I736" s="28" t="n">
        <x:v>3</x:v>
      </x:c>
      <x:c r="J736" s="28" t="n">
        <x:v>1</x:v>
      </x:c>
      <x:c r="K736" s="30" t="n">
        <x:v>3.7</x:v>
      </x:c>
      <x:c r="L736" s="54" t="n">
        <x:f>IF(M736=0,0,(E736+F736)/2)</x:f>
        <x:v>41.5</x:v>
      </x:c>
      <x:c r="M736" t="n">
        <x:v>3</x:v>
      </x:c>
      <x:c r="N736" t="n">
        <x:v>10</x:v>
      </x:c>
      <x:c r="O736" t="n">
        <x:v>25</x:v>
      </x:c>
      <x:c r="P736" s="63" t="str">
        <x:f>IF(M736=0,"—",M736&amp;"d"&amp;N736&amp;IF(O736=0,""," + "&amp;O736))</x:f>
        <x:v>3d10 + 25</x:v>
      </x:c>
      <x:c r="Q736" t="n">
        <x:f>ROUND(INDEX(Catalogue!E$4:E$85,MATCH(A736,Catalogue!A$4:A$85,0))*(1+'Paramètres'!$B$4*(C736-1)+'Paramètres'!$B$5*(C736-1)^2),0)</x:f>
        <x:v>28</x:v>
      </x:c>
      <x:c r="R736" t="n">
        <x:f>ROUND(INDEX(Catalogue!F$4:F$85,MATCH(A736,Catalogue!A$4:A$85,0))*(1+'Paramètres'!$B$4*(C736-1)+'Paramètres'!$B$5*(C736-1)^2),0)</x:f>
        <x:v>55</x:v>
      </x:c>
      <x:c r="S736" t="n">
        <x:f>L736-AVERAGE(Q736:R736)</x:f>
        <x:v>0</x:v>
      </x:c>
      <x:c r="T736" t="str">
        <x:f>IF(M736=0,IF(AND(N736=0,O736=0,E736=0,F736=0),"OK","ERREUR"),IF(AND(M736&gt;=1,M736&lt;=32,OR(N736=4,N736=6,N736=8,N736=10,N736=12,N736=20),O736&gt;=0,E736=M736+O736,F736=M736*N736+O736),"OK","ERREUR"))</x:f>
        <x:v>OK</x:v>
      </x:c>
      <x:c r="U736" s="86" t="n">
        <x:f>IF(M736&gt;0,M736*(N736+1)/2+O736,0)</x:f>
        <x:v>41.5</x:v>
      </x:c>
      <x:c r="V736" t="str">
        <x:f>IF(ABS(L736-U736)&lt;0.001,"OK","ERREUR")</x:f>
        <x:v>OK</x:v>
      </x:c>
    </x:row>
    <x:row r="737" ht="18" customHeight="1">
      <x:c r="A737" t="str">
        <x:v>ARM037</x:v>
      </x:c>
      <x:c r="B737" t="str">
        <x:v>Faux de guerre</x:v>
      </x:c>
      <x:c r="C737" t="n">
        <x:v>14</x:v>
      </x:c>
      <x:c r="D737" t="str">
        <x:v>Deux mains</x:v>
      </x:c>
      <x:c r="E737" s="28" t="n">
        <x:f>IF(M737=0,0,M737+O737)</x:f>
        <x:v>30</x:v>
      </x:c>
      <x:c r="F737" s="28" t="n">
        <x:f>IF(M737=0,0,M737*N737+O737)</x:f>
        <x:v>63</x:v>
      </x:c>
      <x:c r="G737" s="28" t="n">
        <x:f>ROUND(Catalogue!G40*SQRT((1+'Paramètres'!$B$4*(C737-1)+'Paramètres'!$B$5*(C737-1)^2)),0)</x:f>
        <x:v>0</x:v>
      </x:c>
      <x:c r="H737" s="28" t="n">
        <x:f>ROUND(Catalogue!H40*SQRT((1+'Paramètres'!$B$4*(C737-1)+'Paramètres'!$B$5*(C737-1)^2)),0)</x:f>
        <x:v>0</x:v>
      </x:c>
      <x:c r="I737" s="28" t="n">
        <x:v>3</x:v>
      </x:c>
      <x:c r="J737" s="28" t="n">
        <x:v>1</x:v>
      </x:c>
      <x:c r="K737" s="30" t="n">
        <x:v>3.7</x:v>
      </x:c>
      <x:c r="L737" s="54" t="n">
        <x:f>IF(M737=0,0,(E737+F737)/2)</x:f>
        <x:v>46.5</x:v>
      </x:c>
      <x:c r="M737" t="n">
        <x:v>3</x:v>
      </x:c>
      <x:c r="N737" t="n">
        <x:v>12</x:v>
      </x:c>
      <x:c r="O737" t="n">
        <x:v>27</x:v>
      </x:c>
      <x:c r="P737" s="63" t="str">
        <x:f>IF(M737=0,"—",M737&amp;"d"&amp;N737&amp;IF(O737=0,""," + "&amp;O737))</x:f>
        <x:v>3d12 + 27</x:v>
      </x:c>
      <x:c r="Q737" t="n">
        <x:f>ROUND(INDEX(Catalogue!E$4:E$85,MATCH(A737,Catalogue!A$4:A$85,0))*(1+'Paramètres'!$B$4*(C737-1)+'Paramètres'!$B$5*(C737-1)^2),0)</x:f>
        <x:v>31</x:v>
      </x:c>
      <x:c r="R737" t="n">
        <x:f>ROUND(INDEX(Catalogue!F$4:F$85,MATCH(A737,Catalogue!A$4:A$85,0))*(1+'Paramètres'!$B$4*(C737-1)+'Paramètres'!$B$5*(C737-1)^2),0)</x:f>
        <x:v>62</x:v>
      </x:c>
      <x:c r="S737" t="n">
        <x:f>L737-AVERAGE(Q737:R737)</x:f>
        <x:v>0</x:v>
      </x:c>
      <x:c r="T737" t="str">
        <x:f>IF(M737=0,IF(AND(N737=0,O737=0,E737=0,F737=0),"OK","ERREUR"),IF(AND(M737&gt;=1,M737&lt;=32,OR(N737=4,N737=6,N737=8,N737=10,N737=12,N737=20),O737&gt;=0,E737=M737+O737,F737=M737*N737+O737),"OK","ERREUR"))</x:f>
        <x:v>OK</x:v>
      </x:c>
      <x:c r="U737" s="86" t="n">
        <x:f>IF(M737&gt;0,M737*(N737+1)/2+O737,0)</x:f>
        <x:v>46.5</x:v>
      </x:c>
      <x:c r="V737" t="str">
        <x:f>IF(ABS(L737-U737)&lt;0.001,"OK","ERREUR")</x:f>
        <x:v>OK</x:v>
      </x:c>
    </x:row>
    <x:row r="738" ht="18" customHeight="1">
      <x:c r="A738" t="str">
        <x:v>ARM037</x:v>
      </x:c>
      <x:c r="B738" t="str">
        <x:v>Faux de guerre</x:v>
      </x:c>
      <x:c r="C738" t="n">
        <x:v>15</x:v>
      </x:c>
      <x:c r="D738" t="str">
        <x:v>Deux mains</x:v>
      </x:c>
      <x:c r="E738" s="28" t="n">
        <x:f>IF(M738=0,0,M738+O738)</x:f>
        <x:v>35</x:v>
      </x:c>
      <x:c r="F738" s="28" t="n">
        <x:f>IF(M738=0,0,M738*N738+O738)</x:f>
        <x:v>68</x:v>
      </x:c>
      <x:c r="G738" s="28" t="n">
        <x:f>ROUND(Catalogue!G40*SQRT((1+'Paramètres'!$B$4*(C738-1)+'Paramètres'!$B$5*(C738-1)^2)),0)</x:f>
        <x:v>0</x:v>
      </x:c>
      <x:c r="H738" s="28" t="n">
        <x:f>ROUND(Catalogue!H40*SQRT((1+'Paramètres'!$B$4*(C738-1)+'Paramètres'!$B$5*(C738-1)^2)),0)</x:f>
        <x:v>0</x:v>
      </x:c>
      <x:c r="I738" s="28" t="n">
        <x:v>3</x:v>
      </x:c>
      <x:c r="J738" s="28" t="n">
        <x:v>1</x:v>
      </x:c>
      <x:c r="K738" s="30" t="n">
        <x:v>3.7</x:v>
      </x:c>
      <x:c r="L738" s="54" t="n">
        <x:f>IF(M738=0,0,(E738+F738)/2)</x:f>
        <x:v>51.5</x:v>
      </x:c>
      <x:c r="M738" t="n">
        <x:v>3</x:v>
      </x:c>
      <x:c r="N738" t="n">
        <x:v>12</x:v>
      </x:c>
      <x:c r="O738" t="n">
        <x:v>32</x:v>
      </x:c>
      <x:c r="P738" s="63" t="str">
        <x:f>IF(M738=0,"—",M738&amp;"d"&amp;N738&amp;IF(O738=0,""," + "&amp;O738))</x:f>
        <x:v>3d12 + 32</x:v>
      </x:c>
      <x:c r="Q738" t="n">
        <x:f>ROUND(INDEX(Catalogue!E$4:E$85,MATCH(A738,Catalogue!A$4:A$85,0))*(1+'Paramètres'!$B$4*(C738-1)+'Paramètres'!$B$5*(C738-1)^2),0)</x:f>
        <x:v>34</x:v>
      </x:c>
      <x:c r="R738" t="n">
        <x:f>ROUND(INDEX(Catalogue!F$4:F$85,MATCH(A738,Catalogue!A$4:A$85,0))*(1+'Paramètres'!$B$4*(C738-1)+'Paramètres'!$B$5*(C738-1)^2),0)</x:f>
        <x:v>68</x:v>
      </x:c>
      <x:c r="S738" t="n">
        <x:f>L738-AVERAGE(Q738:R738)</x:f>
        <x:v>0.5</x:v>
      </x:c>
      <x:c r="T738" t="str">
        <x:f>IF(M738=0,IF(AND(N738=0,O738=0,E738=0,F738=0),"OK","ERREUR"),IF(AND(M738&gt;=1,M738&lt;=32,OR(N738=4,N738=6,N738=8,N738=10,N738=12,N738=20),O738&gt;=0,E738=M738+O738,F738=M738*N738+O738),"OK","ERREUR"))</x:f>
        <x:v>OK</x:v>
      </x:c>
      <x:c r="U738" s="86" t="n">
        <x:f>IF(M738&gt;0,M738*(N738+1)/2+O738,0)</x:f>
        <x:v>51.5</x:v>
      </x:c>
      <x:c r="V738" t="str">
        <x:f>IF(ABS(L738-U738)&lt;0.001,"OK","ERREUR")</x:f>
        <x:v>OK</x:v>
      </x:c>
    </x:row>
    <x:row r="739" ht="18" customHeight="1">
      <x:c r="A739" t="str">
        <x:v>ARM037</x:v>
      </x:c>
      <x:c r="B739" t="str">
        <x:v>Faux de guerre</x:v>
      </x:c>
      <x:c r="C739" t="n">
        <x:v>16</x:v>
      </x:c>
      <x:c r="D739" t="str">
        <x:v>Deux mains</x:v>
      </x:c>
      <x:c r="E739" s="28" t="n">
        <x:f>IF(M739=0,0,M739+O739)</x:f>
        <x:v>38</x:v>
      </x:c>
      <x:c r="F739" s="28" t="n">
        <x:f>IF(M739=0,0,M739*N739+O739)</x:f>
        <x:v>74</x:v>
      </x:c>
      <x:c r="G739" s="28" t="n">
        <x:f>ROUND(Catalogue!G40*SQRT((1+'Paramètres'!$B$4*(C739-1)+'Paramètres'!$B$5*(C739-1)^2)),0)</x:f>
        <x:v>0</x:v>
      </x:c>
      <x:c r="H739" s="28" t="n">
        <x:f>ROUND(Catalogue!H40*SQRT((1+'Paramètres'!$B$4*(C739-1)+'Paramètres'!$B$5*(C739-1)^2)),0)</x:f>
        <x:v>0</x:v>
      </x:c>
      <x:c r="I739" s="28" t="n">
        <x:v>3</x:v>
      </x:c>
      <x:c r="J739" s="28" t="n">
        <x:v>1</x:v>
      </x:c>
      <x:c r="K739" s="30" t="n">
        <x:v>3.7</x:v>
      </x:c>
      <x:c r="L739" s="54" t="n">
        <x:f>IF(M739=0,0,(E739+F739)/2)</x:f>
        <x:v>56</x:v>
      </x:c>
      <x:c r="M739" t="n">
        <x:v>4</x:v>
      </x:c>
      <x:c r="N739" t="n">
        <x:v>10</x:v>
      </x:c>
      <x:c r="O739" t="n">
        <x:v>34</x:v>
      </x:c>
      <x:c r="P739" s="63" t="str">
        <x:f>IF(M739=0,"—",M739&amp;"d"&amp;N739&amp;IF(O739=0,""," + "&amp;O739))</x:f>
        <x:v>4d10 + 34</x:v>
      </x:c>
      <x:c r="Q739" t="n">
        <x:f>ROUND(INDEX(Catalogue!E$4:E$85,MATCH(A739,Catalogue!A$4:A$85,0))*(1+'Paramètres'!$B$4*(C739-1)+'Paramètres'!$B$5*(C739-1)^2),0)</x:f>
        <x:v>38</x:v>
      </x:c>
      <x:c r="R739" t="n">
        <x:f>ROUND(INDEX(Catalogue!F$4:F$85,MATCH(A739,Catalogue!A$4:A$85,0))*(1+'Paramètres'!$B$4*(C739-1)+'Paramètres'!$B$5*(C739-1)^2),0)</x:f>
        <x:v>75</x:v>
      </x:c>
      <x:c r="S739" t="n">
        <x:f>L739-AVERAGE(Q739:R739)</x:f>
        <x:v>-0.5</x:v>
      </x:c>
      <x:c r="T739" t="str">
        <x:f>IF(M739=0,IF(AND(N739=0,O739=0,E739=0,F739=0),"OK","ERREUR"),IF(AND(M739&gt;=1,M739&lt;=32,OR(N739=4,N739=6,N739=8,N739=10,N739=12,N739=20),O739&gt;=0,E739=M739+O739,F739=M739*N739+O739),"OK","ERREUR"))</x:f>
        <x:v>OK</x:v>
      </x:c>
      <x:c r="U739" s="86" t="n">
        <x:f>IF(M739&gt;0,M739*(N739+1)/2+O739,0)</x:f>
        <x:v>56</x:v>
      </x:c>
      <x:c r="V739" t="str">
        <x:f>IF(ABS(L739-U739)&lt;0.001,"OK","ERREUR")</x:f>
        <x:v>OK</x:v>
      </x:c>
    </x:row>
    <x:row r="740" ht="18" customHeight="1">
      <x:c r="A740" t="str">
        <x:v>ARM037</x:v>
      </x:c>
      <x:c r="B740" t="str">
        <x:v>Faux de guerre</x:v>
      </x:c>
      <x:c r="C740" t="n">
        <x:v>17</x:v>
      </x:c>
      <x:c r="D740" t="str">
        <x:v>Deux mains</x:v>
      </x:c>
      <x:c r="E740" s="28" t="n">
        <x:f>IF(M740=0,0,M740+O740)</x:f>
        <x:v>40</x:v>
      </x:c>
      <x:c r="F740" s="28" t="n">
        <x:f>IF(M740=0,0,M740*N740+O740)</x:f>
        <x:v>82</x:v>
      </x:c>
      <x:c r="G740" s="28" t="n">
        <x:f>ROUND(Catalogue!G40*SQRT((1+'Paramètres'!$B$4*(C740-1)+'Paramètres'!$B$5*(C740-1)^2)),0)</x:f>
        <x:v>0</x:v>
      </x:c>
      <x:c r="H740" s="28" t="n">
        <x:f>ROUND(Catalogue!H40*SQRT((1+'Paramètres'!$B$4*(C740-1)+'Paramètres'!$B$5*(C740-1)^2)),0)</x:f>
        <x:v>0</x:v>
      </x:c>
      <x:c r="I740" s="28" t="n">
        <x:v>3</x:v>
      </x:c>
      <x:c r="J740" s="28" t="n">
        <x:v>1</x:v>
      </x:c>
      <x:c r="K740" s="30" t="n">
        <x:v>3.7</x:v>
      </x:c>
      <x:c r="L740" s="54" t="n">
        <x:f>IF(M740=0,0,(E740+F740)/2)</x:f>
        <x:v>61</x:v>
      </x:c>
      <x:c r="M740" t="n">
        <x:v>6</x:v>
      </x:c>
      <x:c r="N740" t="n">
        <x:v>8</x:v>
      </x:c>
      <x:c r="O740" t="n">
        <x:v>34</x:v>
      </x:c>
      <x:c r="P740" s="63" t="str">
        <x:f>IF(M740=0,"—",M740&amp;"d"&amp;N740&amp;IF(O740=0,""," + "&amp;O740))</x:f>
        <x:v>6d8 + 34</x:v>
      </x:c>
      <x:c r="Q740" t="n">
        <x:f>ROUND(INDEX(Catalogue!E$4:E$85,MATCH(A740,Catalogue!A$4:A$85,0))*(1+'Paramètres'!$B$4*(C740-1)+'Paramètres'!$B$5*(C740-1)^2),0)</x:f>
        <x:v>41</x:v>
      </x:c>
      <x:c r="R740" t="n">
        <x:f>ROUND(INDEX(Catalogue!F$4:F$85,MATCH(A740,Catalogue!A$4:A$85,0))*(1+'Paramètres'!$B$4*(C740-1)+'Paramètres'!$B$5*(C740-1)^2),0)</x:f>
        <x:v>82</x:v>
      </x:c>
      <x:c r="S740" t="n">
        <x:f>L740-AVERAGE(Q740:R740)</x:f>
        <x:v>-0.5</x:v>
      </x:c>
      <x:c r="T740" t="str">
        <x:f>IF(M740=0,IF(AND(N740=0,O740=0,E740=0,F740=0),"OK","ERREUR"),IF(AND(M740&gt;=1,M740&lt;=32,OR(N740=4,N740=6,N740=8,N740=10,N740=12,N740=20),O740&gt;=0,E740=M740+O740,F740=M740*N740+O740),"OK","ERREUR"))</x:f>
        <x:v>OK</x:v>
      </x:c>
      <x:c r="U740" s="86" t="n">
        <x:f>IF(M740&gt;0,M740*(N740+1)/2+O740,0)</x:f>
        <x:v>61</x:v>
      </x:c>
      <x:c r="V740" t="str">
        <x:f>IF(ABS(L740-U740)&lt;0.001,"OK","ERREUR")</x:f>
        <x:v>OK</x:v>
      </x:c>
    </x:row>
    <x:row r="741" ht="18" customHeight="1">
      <x:c r="A741" t="str">
        <x:v>ARM037</x:v>
      </x:c>
      <x:c r="B741" t="str">
        <x:v>Faux de guerre</x:v>
      </x:c>
      <x:c r="C741" t="n">
        <x:v>18</x:v>
      </x:c>
      <x:c r="D741" t="str">
        <x:v>Deux mains</x:v>
      </x:c>
      <x:c r="E741" s="28" t="n">
        <x:f>IF(M741=0,0,M741+O741)</x:f>
        <x:v>45</x:v>
      </x:c>
      <x:c r="F741" s="28" t="n">
        <x:f>IF(M741=0,0,M741*N741+O741)</x:f>
        <x:v>90</x:v>
      </x:c>
      <x:c r="G741" s="28" t="n">
        <x:f>ROUND(Catalogue!G40*SQRT((1+'Paramètres'!$B$4*(C741-1)+'Paramètres'!$B$5*(C741-1)^2)),0)</x:f>
        <x:v>0</x:v>
      </x:c>
      <x:c r="H741" s="28" t="n">
        <x:f>ROUND(Catalogue!H40*SQRT((1+'Paramètres'!$B$4*(C741-1)+'Paramètres'!$B$5*(C741-1)^2)),0)</x:f>
        <x:v>0</x:v>
      </x:c>
      <x:c r="I741" s="28" t="n">
        <x:v>3</x:v>
      </x:c>
      <x:c r="J741" s="28" t="n">
        <x:v>1</x:v>
      </x:c>
      <x:c r="K741" s="30" t="n">
        <x:v>3.7</x:v>
      </x:c>
      <x:c r="L741" s="54" t="n">
        <x:f>IF(M741=0,0,(E741+F741)/2)</x:f>
        <x:v>67.5</x:v>
      </x:c>
      <x:c r="M741" t="n">
        <x:v>5</x:v>
      </x:c>
      <x:c r="N741" t="n">
        <x:v>10</x:v>
      </x:c>
      <x:c r="O741" t="n">
        <x:v>40</x:v>
      </x:c>
      <x:c r="P741" s="63" t="str">
        <x:f>IF(M741=0,"—",M741&amp;"d"&amp;N741&amp;IF(O741=0,""," + "&amp;O741))</x:f>
        <x:v>5d10 + 40</x:v>
      </x:c>
      <x:c r="Q741" t="n">
        <x:f>ROUND(INDEX(Catalogue!E$4:E$85,MATCH(A741,Catalogue!A$4:A$85,0))*(1+'Paramètres'!$B$4*(C741-1)+'Paramètres'!$B$5*(C741-1)^2),0)</x:f>
        <x:v>45</x:v>
      </x:c>
      <x:c r="R741" t="n">
        <x:f>ROUND(INDEX(Catalogue!F$4:F$85,MATCH(A741,Catalogue!A$4:A$85,0))*(1+'Paramètres'!$B$4*(C741-1)+'Paramètres'!$B$5*(C741-1)^2),0)</x:f>
        <x:v>90</x:v>
      </x:c>
      <x:c r="S741" t="n">
        <x:f>L741-AVERAGE(Q741:R741)</x:f>
        <x:v>0</x:v>
      </x:c>
      <x:c r="T741" t="str">
        <x:f>IF(M741=0,IF(AND(N741=0,O741=0,E741=0,F741=0),"OK","ERREUR"),IF(AND(M741&gt;=1,M741&lt;=32,OR(N741=4,N741=6,N741=8,N741=10,N741=12,N741=20),O741&gt;=0,E741=M741+O741,F741=M741*N741+O741),"OK","ERREUR"))</x:f>
        <x:v>OK</x:v>
      </x:c>
      <x:c r="U741" s="86" t="n">
        <x:f>IF(M741&gt;0,M741*(N741+1)/2+O741,0)</x:f>
        <x:v>67.5</x:v>
      </x:c>
      <x:c r="V741" t="str">
        <x:f>IF(ABS(L741-U741)&lt;0.001,"OK","ERREUR")</x:f>
        <x:v>OK</x:v>
      </x:c>
    </x:row>
    <x:row r="742" ht="18" customHeight="1">
      <x:c r="A742" t="str">
        <x:v>ARM037</x:v>
      </x:c>
      <x:c r="B742" t="str">
        <x:v>Faux de guerre</x:v>
      </x:c>
      <x:c r="C742" t="n">
        <x:v>19</x:v>
      </x:c>
      <x:c r="D742" t="str">
        <x:v>Deux mains</x:v>
      </x:c>
      <x:c r="E742" s="28" t="n">
        <x:f>IF(M742=0,0,M742+O742)</x:f>
        <x:v>51</x:v>
      </x:c>
      <x:c r="F742" s="28" t="n">
        <x:f>IF(M742=0,0,M742*N742+O742)</x:f>
        <x:v>96</x:v>
      </x:c>
      <x:c r="G742" s="28" t="n">
        <x:f>ROUND(Catalogue!G40*SQRT((1+'Paramètres'!$B$4*(C742-1)+'Paramètres'!$B$5*(C742-1)^2)),0)</x:f>
        <x:v>0</x:v>
      </x:c>
      <x:c r="H742" s="28" t="n">
        <x:f>ROUND(Catalogue!H40*SQRT((1+'Paramètres'!$B$4*(C742-1)+'Paramètres'!$B$5*(C742-1)^2)),0)</x:f>
        <x:v>0</x:v>
      </x:c>
      <x:c r="I742" s="28" t="n">
        <x:v>3</x:v>
      </x:c>
      <x:c r="J742" s="28" t="n">
        <x:v>1</x:v>
      </x:c>
      <x:c r="K742" s="30" t="n">
        <x:v>3.7</x:v>
      </x:c>
      <x:c r="L742" s="54" t="n">
        <x:f>IF(M742=0,0,(E742+F742)/2)</x:f>
        <x:v>73.5</x:v>
      </x:c>
      <x:c r="M742" t="n">
        <x:v>5</x:v>
      </x:c>
      <x:c r="N742" t="n">
        <x:v>10</x:v>
      </x:c>
      <x:c r="O742" t="n">
        <x:v>46</x:v>
      </x:c>
      <x:c r="P742" s="63" t="str">
        <x:f>IF(M742=0,"—",M742&amp;"d"&amp;N742&amp;IF(O742=0,""," + "&amp;O742))</x:f>
        <x:v>5d10 + 46</x:v>
      </x:c>
      <x:c r="Q742" t="n">
        <x:f>ROUND(INDEX(Catalogue!E$4:E$85,MATCH(A742,Catalogue!A$4:A$85,0))*(1+'Paramètres'!$B$4*(C742-1)+'Paramètres'!$B$5*(C742-1)^2),0)</x:f>
        <x:v>49</x:v>
      </x:c>
      <x:c r="R742" t="n">
        <x:f>ROUND(INDEX(Catalogue!F$4:F$85,MATCH(A742,Catalogue!A$4:A$85,0))*(1+'Paramètres'!$B$4*(C742-1)+'Paramètres'!$B$5*(C742-1)^2),0)</x:f>
        <x:v>98</x:v>
      </x:c>
      <x:c r="S742" t="n">
        <x:f>L742-AVERAGE(Q742:R742)</x:f>
        <x:v>0</x:v>
      </x:c>
      <x:c r="T742" t="str">
        <x:f>IF(M742=0,IF(AND(N742=0,O742=0,E742=0,F742=0),"OK","ERREUR"),IF(AND(M742&gt;=1,M742&lt;=32,OR(N742=4,N742=6,N742=8,N742=10,N742=12,N742=20),O742&gt;=0,E742=M742+O742,F742=M742*N742+O742),"OK","ERREUR"))</x:f>
        <x:v>OK</x:v>
      </x:c>
      <x:c r="U742" s="86" t="n">
        <x:f>IF(M742&gt;0,M742*(N742+1)/2+O742,0)</x:f>
        <x:v>73.5</x:v>
      </x:c>
      <x:c r="V742" t="str">
        <x:f>IF(ABS(L742-U742)&lt;0.001,"OK","ERREUR")</x:f>
        <x:v>OK</x:v>
      </x:c>
    </x:row>
    <x:row r="743" ht="18" customHeight="1">
      <x:c r="A743" t="str">
        <x:v>ARM037</x:v>
      </x:c>
      <x:c r="B743" t="str">
        <x:v>Faux de guerre</x:v>
      </x:c>
      <x:c r="C743" t="n">
        <x:v>20</x:v>
      </x:c>
      <x:c r="D743" t="str">
        <x:v>Deux mains</x:v>
      </x:c>
      <x:c r="E743" s="28" t="n">
        <x:f>IF(M743=0,0,M743+O743)</x:f>
        <x:v>52</x:v>
      </x:c>
      <x:c r="F743" s="28" t="n">
        <x:f>IF(M743=0,0,M743*N743+O743)</x:f>
        <x:v>106</x:v>
      </x:c>
      <x:c r="G743" s="28" t="n">
        <x:f>ROUND(Catalogue!G40*SQRT((1+'Paramètres'!$B$4*(C743-1)+'Paramètres'!$B$5*(C743-1)^2)),0)</x:f>
        <x:v>0</x:v>
      </x:c>
      <x:c r="H743" s="28" t="n">
        <x:f>ROUND(Catalogue!H40*SQRT((1+'Paramètres'!$B$4*(C743-1)+'Paramètres'!$B$5*(C743-1)^2)),0)</x:f>
        <x:v>0</x:v>
      </x:c>
      <x:c r="I743" s="28" t="n">
        <x:v>3</x:v>
      </x:c>
      <x:c r="J743" s="28" t="n">
        <x:v>1</x:v>
      </x:c>
      <x:c r="K743" s="30" t="n">
        <x:v>3.7</x:v>
      </x:c>
      <x:c r="L743" s="54" t="n">
        <x:f>IF(M743=0,0,(E743+F743)/2)</x:f>
        <x:v>79</x:v>
      </x:c>
      <x:c r="M743" t="n">
        <x:v>6</x:v>
      </x:c>
      <x:c r="N743" t="n">
        <x:v>10</x:v>
      </x:c>
      <x:c r="O743" t="n">
        <x:v>46</x:v>
      </x:c>
      <x:c r="P743" s="63" t="str">
        <x:f>IF(M743=0,"—",M743&amp;"d"&amp;N743&amp;IF(O743=0,""," + "&amp;O743))</x:f>
        <x:v>6d10 + 46</x:v>
      </x:c>
      <x:c r="Q743" t="n">
        <x:f>ROUND(INDEX(Catalogue!E$4:E$85,MATCH(A743,Catalogue!A$4:A$85,0))*(1+'Paramètres'!$B$4*(C743-1)+'Paramètres'!$B$5*(C743-1)^2),0)</x:f>
        <x:v>53</x:v>
      </x:c>
      <x:c r="R743" t="n">
        <x:f>ROUND(INDEX(Catalogue!F$4:F$85,MATCH(A743,Catalogue!A$4:A$85,0))*(1+'Paramètres'!$B$4*(C743-1)+'Paramètres'!$B$5*(C743-1)^2),0)</x:f>
        <x:v>106</x:v>
      </x:c>
      <x:c r="S743" t="n">
        <x:f>L743-AVERAGE(Q743:R743)</x:f>
        <x:v>-0.5</x:v>
      </x:c>
      <x:c r="T743" t="str">
        <x:f>IF(M743=0,IF(AND(N743=0,O743=0,E743=0,F743=0),"OK","ERREUR"),IF(AND(M743&gt;=1,M743&lt;=32,OR(N743=4,N743=6,N743=8,N743=10,N743=12,N743=20),O743&gt;=0,E743=M743+O743,F743=M743*N743+O743),"OK","ERREUR"))</x:f>
        <x:v>OK</x:v>
      </x:c>
      <x:c r="U743" s="86" t="n">
        <x:f>IF(M743&gt;0,M743*(N743+1)/2+O743,0)</x:f>
        <x:v>79</x:v>
      </x:c>
      <x:c r="V743" t="str">
        <x:f>IF(ABS(L743-U743)&lt;0.001,"OK","ERREUR")</x:f>
        <x:v>OK</x:v>
      </x:c>
    </x:row>
    <x:row r="744" ht="18" customHeight="1">
      <x:c r="A744" t="str">
        <x:v>ARM038</x:v>
      </x:c>
      <x:c r="B744" t="str">
        <x:v>Lance courte</x:v>
      </x:c>
      <x:c r="C744" t="n">
        <x:v>1</x:v>
      </x:c>
      <x:c r="D744" t="str">
        <x:v>Armes d'hast</x:v>
      </x:c>
      <x:c r="E744" s="28" t="n">
        <x:f>IF(M744=0,0,M744+O744)</x:f>
        <x:v>3</x:v>
      </x:c>
      <x:c r="F744" s="28" t="n">
        <x:f>IF(M744=0,0,M744*N744+O744)</x:f>
        <x:v>8</x:v>
      </x:c>
      <x:c r="G744" s="28" t="n">
        <x:f>ROUND(Catalogue!G41*SQRT((1+'Paramètres'!$B$4*(C744-1)+'Paramètres'!$B$5*(C744-1)^2)),0)</x:f>
        <x:v>0</x:v>
      </x:c>
      <x:c r="H744" s="28" t="n">
        <x:f>ROUND(Catalogue!H41*SQRT((1+'Paramètres'!$B$4*(C744-1)+'Paramètres'!$B$5*(C744-1)^2)),0)</x:f>
        <x:v>0</x:v>
      </x:c>
      <x:c r="I744" s="28" t="n">
        <x:v>3</x:v>
      </x:c>
      <x:c r="J744" s="28" t="n">
        <x:v>2</x:v>
      </x:c>
      <x:c r="K744" s="30" t="n">
        <x:v>1.8</x:v>
      </x:c>
      <x:c r="L744" s="54" t="n">
        <x:f>IF(M744=0,0,(E744+F744)/2)</x:f>
        <x:v>5.5</x:v>
      </x:c>
      <x:c r="M744" t="n">
        <x:v>1</x:v>
      </x:c>
      <x:c r="N744" t="n">
        <x:v>6</x:v>
      </x:c>
      <x:c r="O744" t="n">
        <x:v>2</x:v>
      </x:c>
      <x:c r="P744" s="63" t="str">
        <x:f>IF(M744=0,"—",M744&amp;"d"&amp;N744&amp;IF(O744=0,""," + "&amp;O744))</x:f>
        <x:v>1d6 + 2</x:v>
      </x:c>
      <x:c r="Q744" t="n">
        <x:f>ROUND(INDEX(Catalogue!E$4:E$85,MATCH(A744,Catalogue!A$4:A$85,0))*(1+'Paramètres'!$B$4*(C744-1)+'Paramètres'!$B$5*(C744-1)^2),0)</x:f>
        <x:v>4</x:v>
      </x:c>
      <x:c r="R744" t="n">
        <x:f>ROUND(INDEX(Catalogue!F$4:F$85,MATCH(A744,Catalogue!A$4:A$85,0))*(1+'Paramètres'!$B$4*(C744-1)+'Paramètres'!$B$5*(C744-1)^2),0)</x:f>
        <x:v>7</x:v>
      </x:c>
      <x:c r="S744" t="n">
        <x:f>L744-AVERAGE(Q744:R744)</x:f>
        <x:v>0</x:v>
      </x:c>
      <x:c r="T744" t="str">
        <x:f>IF(M744=0,IF(AND(N744=0,O744=0,E744=0,F744=0),"OK","ERREUR"),IF(AND(M744&gt;=1,M744&lt;=32,OR(N744=4,N744=6,N744=8,N744=10,N744=12,N744=20),O744&gt;=0,E744=M744+O744,F744=M744*N744+O744),"OK","ERREUR"))</x:f>
        <x:v>OK</x:v>
      </x:c>
      <x:c r="U744" s="86" t="n">
        <x:f>IF(M744&gt;0,M744*(N744+1)/2+O744,0)</x:f>
        <x:v>5.5</x:v>
      </x:c>
      <x:c r="V744" t="str">
        <x:f>IF(ABS(L744-U744)&lt;0.001,"OK","ERREUR")</x:f>
        <x:v>OK</x:v>
      </x:c>
    </x:row>
    <x:row r="745" ht="18" customHeight="1">
      <x:c r="A745" t="str">
        <x:v>ARM038</x:v>
      </x:c>
      <x:c r="B745" t="str">
        <x:v>Lance courte</x:v>
      </x:c>
      <x:c r="C745" t="n">
        <x:v>2</x:v>
      </x:c>
      <x:c r="D745" t="str">
        <x:v>Armes d'hast</x:v>
      </x:c>
      <x:c r="E745" s="28" t="n">
        <x:f>IF(M745=0,0,M745+O745)</x:f>
        <x:v>4</x:v>
      </x:c>
      <x:c r="F745" s="28" t="n">
        <x:f>IF(M745=0,0,M745*N745+O745)</x:f>
        <x:v>9</x:v>
      </x:c>
      <x:c r="G745" s="28" t="n">
        <x:f>ROUND(Catalogue!G41*SQRT((1+'Paramètres'!$B$4*(C745-1)+'Paramètres'!$B$5*(C745-1)^2)),0)</x:f>
        <x:v>0</x:v>
      </x:c>
      <x:c r="H745" s="28" t="n">
        <x:f>ROUND(Catalogue!H41*SQRT((1+'Paramètres'!$B$4*(C745-1)+'Paramètres'!$B$5*(C745-1)^2)),0)</x:f>
        <x:v>0</x:v>
      </x:c>
      <x:c r="I745" s="28" t="n">
        <x:v>3</x:v>
      </x:c>
      <x:c r="J745" s="28" t="n">
        <x:v>2</x:v>
      </x:c>
      <x:c r="K745" s="30" t="n">
        <x:v>1.8</x:v>
      </x:c>
      <x:c r="L745" s="54" t="n">
        <x:f>IF(M745=0,0,(E745+F745)/2)</x:f>
        <x:v>6.5</x:v>
      </x:c>
      <x:c r="M745" t="n">
        <x:v>1</x:v>
      </x:c>
      <x:c r="N745" t="n">
        <x:v>6</x:v>
      </x:c>
      <x:c r="O745" t="n">
        <x:v>3</x:v>
      </x:c>
      <x:c r="P745" s="63" t="str">
        <x:f>IF(M745=0,"—",M745&amp;"d"&amp;N745&amp;IF(O745=0,""," + "&amp;O745))</x:f>
        <x:v>1d6 + 3</x:v>
      </x:c>
      <x:c r="Q745" t="n">
        <x:f>ROUND(INDEX(Catalogue!E$4:E$85,MATCH(A745,Catalogue!A$4:A$85,0))*(1+'Paramètres'!$B$4*(C745-1)+'Paramètres'!$B$5*(C745-1)^2),0)</x:f>
        <x:v>5</x:v>
      </x:c>
      <x:c r="R745" t="n">
        <x:f>ROUND(INDEX(Catalogue!F$4:F$85,MATCH(A745,Catalogue!A$4:A$85,0))*(1+'Paramètres'!$B$4*(C745-1)+'Paramètres'!$B$5*(C745-1)^2),0)</x:f>
        <x:v>8</x:v>
      </x:c>
      <x:c r="S745" t="n">
        <x:f>L745-AVERAGE(Q745:R745)</x:f>
        <x:v>0</x:v>
      </x:c>
      <x:c r="T745" t="str">
        <x:f>IF(M745=0,IF(AND(N745=0,O745=0,E745=0,F745=0),"OK","ERREUR"),IF(AND(M745&gt;=1,M745&lt;=32,OR(N745=4,N745=6,N745=8,N745=10,N745=12,N745=20),O745&gt;=0,E745=M745+O745,F745=M745*N745+O745),"OK","ERREUR"))</x:f>
        <x:v>OK</x:v>
      </x:c>
      <x:c r="U745" s="86" t="n">
        <x:f>IF(M745&gt;0,M745*(N745+1)/2+O745,0)</x:f>
        <x:v>6.5</x:v>
      </x:c>
      <x:c r="V745" t="str">
        <x:f>IF(ABS(L745-U745)&lt;0.001,"OK","ERREUR")</x:f>
        <x:v>OK</x:v>
      </x:c>
    </x:row>
    <x:row r="746" ht="18" customHeight="1">
      <x:c r="A746" t="str">
        <x:v>ARM038</x:v>
      </x:c>
      <x:c r="B746" t="str">
        <x:v>Lance courte</x:v>
      </x:c>
      <x:c r="C746" t="n">
        <x:v>3</x:v>
      </x:c>
      <x:c r="D746" t="str">
        <x:v>Armes d'hast</x:v>
      </x:c>
      <x:c r="E746" s="28" t="n">
        <x:f>IF(M746=0,0,M746+O746)</x:f>
        <x:v>4</x:v>
      </x:c>
      <x:c r="F746" s="28" t="n">
        <x:f>IF(M746=0,0,M746*N746+O746)</x:f>
        <x:v>9</x:v>
      </x:c>
      <x:c r="G746" s="28" t="n">
        <x:f>ROUND(Catalogue!G41*SQRT((1+'Paramètres'!$B$4*(C746-1)+'Paramètres'!$B$5*(C746-1)^2)),0)</x:f>
        <x:v>0</x:v>
      </x:c>
      <x:c r="H746" s="28" t="n">
        <x:f>ROUND(Catalogue!H41*SQRT((1+'Paramètres'!$B$4*(C746-1)+'Paramètres'!$B$5*(C746-1)^2)),0)</x:f>
        <x:v>0</x:v>
      </x:c>
      <x:c r="I746" s="28" t="n">
        <x:v>3</x:v>
      </x:c>
      <x:c r="J746" s="28" t="n">
        <x:v>2</x:v>
      </x:c>
      <x:c r="K746" s="30" t="n">
        <x:v>1.8</x:v>
      </x:c>
      <x:c r="L746" s="54" t="n">
        <x:f>IF(M746=0,0,(E746+F746)/2)</x:f>
        <x:v>6.5</x:v>
      </x:c>
      <x:c r="M746" t="n">
        <x:v>1</x:v>
      </x:c>
      <x:c r="N746" t="n">
        <x:v>6</x:v>
      </x:c>
      <x:c r="O746" t="n">
        <x:v>3</x:v>
      </x:c>
      <x:c r="P746" s="63" t="str">
        <x:f>IF(M746=0,"—",M746&amp;"d"&amp;N746&amp;IF(O746=0,""," + "&amp;O746))</x:f>
        <x:v>1d6 + 3</x:v>
      </x:c>
      <x:c r="Q746" t="n">
        <x:f>ROUND(INDEX(Catalogue!E$4:E$85,MATCH(A746,Catalogue!A$4:A$85,0))*(1+'Paramètres'!$B$4*(C746-1)+'Paramètres'!$B$5*(C746-1)^2),0)</x:f>
        <x:v>5</x:v>
      </x:c>
      <x:c r="R746" t="n">
        <x:f>ROUND(INDEX(Catalogue!F$4:F$85,MATCH(A746,Catalogue!A$4:A$85,0))*(1+'Paramètres'!$B$4*(C746-1)+'Paramètres'!$B$5*(C746-1)^2),0)</x:f>
        <x:v>9</x:v>
      </x:c>
      <x:c r="S746" t="n">
        <x:f>L746-AVERAGE(Q746:R746)</x:f>
        <x:v>-0.5</x:v>
      </x:c>
      <x:c r="T746" t="str">
        <x:f>IF(M746=0,IF(AND(N746=0,O746=0,E746=0,F746=0),"OK","ERREUR"),IF(AND(M746&gt;=1,M746&lt;=32,OR(N746=4,N746=6,N746=8,N746=10,N746=12,N746=20),O746&gt;=0,E746=M746+O746,F746=M746*N746+O746),"OK","ERREUR"))</x:f>
        <x:v>OK</x:v>
      </x:c>
      <x:c r="U746" s="86" t="n">
        <x:f>IF(M746&gt;0,M746*(N746+1)/2+O746,0)</x:f>
        <x:v>6.5</x:v>
      </x:c>
      <x:c r="V746" t="str">
        <x:f>IF(ABS(L746-U746)&lt;0.001,"OK","ERREUR")</x:f>
        <x:v>OK</x:v>
      </x:c>
    </x:row>
    <x:row r="747" ht="18" customHeight="1">
      <x:c r="A747" t="str">
        <x:v>ARM038</x:v>
      </x:c>
      <x:c r="B747" t="str">
        <x:v>Lance courte</x:v>
      </x:c>
      <x:c r="C747" t="n">
        <x:v>4</x:v>
      </x:c>
      <x:c r="D747" t="str">
        <x:v>Armes d'hast</x:v>
      </x:c>
      <x:c r="E747" s="28" t="n">
        <x:f>IF(M747=0,0,M747+O747)</x:f>
        <x:v>5</x:v>
      </x:c>
      <x:c r="F747" s="28" t="n">
        <x:f>IF(M747=0,0,M747*N747+O747)</x:f>
        <x:v>10</x:v>
      </x:c>
      <x:c r="G747" s="28" t="n">
        <x:f>ROUND(Catalogue!G41*SQRT((1+'Paramètres'!$B$4*(C747-1)+'Paramètres'!$B$5*(C747-1)^2)),0)</x:f>
        <x:v>0</x:v>
      </x:c>
      <x:c r="H747" s="28" t="n">
        <x:f>ROUND(Catalogue!H41*SQRT((1+'Paramètres'!$B$4*(C747-1)+'Paramètres'!$B$5*(C747-1)^2)),0)</x:f>
        <x:v>0</x:v>
      </x:c>
      <x:c r="I747" s="28" t="n">
        <x:v>3</x:v>
      </x:c>
      <x:c r="J747" s="28" t="n">
        <x:v>2</x:v>
      </x:c>
      <x:c r="K747" s="30" t="n">
        <x:v>1.8</x:v>
      </x:c>
      <x:c r="L747" s="54" t="n">
        <x:f>IF(M747=0,0,(E747+F747)/2)</x:f>
        <x:v>7.5</x:v>
      </x:c>
      <x:c r="M747" t="n">
        <x:v>1</x:v>
      </x:c>
      <x:c r="N747" t="n">
        <x:v>6</x:v>
      </x:c>
      <x:c r="O747" t="n">
        <x:v>4</x:v>
      </x:c>
      <x:c r="P747" s="63" t="str">
        <x:f>IF(M747=0,"—",M747&amp;"d"&amp;N747&amp;IF(O747=0,""," + "&amp;O747))</x:f>
        <x:v>1d6 + 4</x:v>
      </x:c>
      <x:c r="Q747" t="n">
        <x:f>ROUND(INDEX(Catalogue!E$4:E$85,MATCH(A747,Catalogue!A$4:A$85,0))*(1+'Paramètres'!$B$4*(C747-1)+'Paramètres'!$B$5*(C747-1)^2),0)</x:f>
        <x:v>6</x:v>
      </x:c>
      <x:c r="R747" t="n">
        <x:f>ROUND(INDEX(Catalogue!F$4:F$85,MATCH(A747,Catalogue!A$4:A$85,0))*(1+'Paramètres'!$B$4*(C747-1)+'Paramètres'!$B$5*(C747-1)^2),0)</x:f>
        <x:v>10</x:v>
      </x:c>
      <x:c r="S747" t="n">
        <x:f>L747-AVERAGE(Q747:R747)</x:f>
        <x:v>-0.5</x:v>
      </x:c>
      <x:c r="T747" t="str">
        <x:f>IF(M747=0,IF(AND(N747=0,O747=0,E747=0,F747=0),"OK","ERREUR"),IF(AND(M747&gt;=1,M747&lt;=32,OR(N747=4,N747=6,N747=8,N747=10,N747=12,N747=20),O747&gt;=0,E747=M747+O747,F747=M747*N747+O747),"OK","ERREUR"))</x:f>
        <x:v>OK</x:v>
      </x:c>
      <x:c r="U747" s="86" t="n">
        <x:f>IF(M747&gt;0,M747*(N747+1)/2+O747,0)</x:f>
        <x:v>7.5</x:v>
      </x:c>
      <x:c r="V747" t="str">
        <x:f>IF(ABS(L747-U747)&lt;0.001,"OK","ERREUR")</x:f>
        <x:v>OK</x:v>
      </x:c>
    </x:row>
    <x:row r="748" ht="18" customHeight="1">
      <x:c r="A748" t="str">
        <x:v>ARM038</x:v>
      </x:c>
      <x:c r="B748" t="str">
        <x:v>Lance courte</x:v>
      </x:c>
      <x:c r="C748" t="n">
        <x:v>5</x:v>
      </x:c>
      <x:c r="D748" t="str">
        <x:v>Armes d'hast</x:v>
      </x:c>
      <x:c r="E748" s="28" t="n">
        <x:f>IF(M748=0,0,M748+O748)</x:f>
        <x:v>7</x:v>
      </x:c>
      <x:c r="F748" s="28" t="n">
        <x:f>IF(M748=0,0,M748*N748+O748)</x:f>
        <x:v>12</x:v>
      </x:c>
      <x:c r="G748" s="28" t="n">
        <x:f>ROUND(Catalogue!G41*SQRT((1+'Paramètres'!$B$4*(C748-1)+'Paramètres'!$B$5*(C748-1)^2)),0)</x:f>
        <x:v>0</x:v>
      </x:c>
      <x:c r="H748" s="28" t="n">
        <x:f>ROUND(Catalogue!H41*SQRT((1+'Paramètres'!$B$4*(C748-1)+'Paramètres'!$B$5*(C748-1)^2)),0)</x:f>
        <x:v>0</x:v>
      </x:c>
      <x:c r="I748" s="28" t="n">
        <x:v>3</x:v>
      </x:c>
      <x:c r="J748" s="28" t="n">
        <x:v>2</x:v>
      </x:c>
      <x:c r="K748" s="30" t="n">
        <x:v>1.8</x:v>
      </x:c>
      <x:c r="L748" s="54" t="n">
        <x:f>IF(M748=0,0,(E748+F748)/2)</x:f>
        <x:v>9.5</x:v>
      </x:c>
      <x:c r="M748" t="n">
        <x:v>1</x:v>
      </x:c>
      <x:c r="N748" t="n">
        <x:v>6</x:v>
      </x:c>
      <x:c r="O748" t="n">
        <x:v>6</x:v>
      </x:c>
      <x:c r="P748" s="63" t="str">
        <x:f>IF(M748=0,"—",M748&amp;"d"&amp;N748&amp;IF(O748=0,""," + "&amp;O748))</x:f>
        <x:v>1d6 + 6</x:v>
      </x:c>
      <x:c r="Q748" t="n">
        <x:f>ROUND(INDEX(Catalogue!E$4:E$85,MATCH(A748,Catalogue!A$4:A$85,0))*(1+'Paramètres'!$B$4*(C748-1)+'Paramètres'!$B$5*(C748-1)^2),0)</x:f>
        <x:v>7</x:v>
      </x:c>
      <x:c r="R748" t="n">
        <x:f>ROUND(INDEX(Catalogue!F$4:F$85,MATCH(A748,Catalogue!A$4:A$85,0))*(1+'Paramètres'!$B$4*(C748-1)+'Paramètres'!$B$5*(C748-1)^2),0)</x:f>
        <x:v>12</x:v>
      </x:c>
      <x:c r="S748" t="n">
        <x:f>L748-AVERAGE(Q748:R748)</x:f>
        <x:v>0</x:v>
      </x:c>
      <x:c r="T748" t="str">
        <x:f>IF(M748=0,IF(AND(N748=0,O748=0,E748=0,F748=0),"OK","ERREUR"),IF(AND(M748&gt;=1,M748&lt;=32,OR(N748=4,N748=6,N748=8,N748=10,N748=12,N748=20),O748&gt;=0,E748=M748+O748,F748=M748*N748+O748),"OK","ERREUR"))</x:f>
        <x:v>OK</x:v>
      </x:c>
      <x:c r="U748" s="86" t="n">
        <x:f>IF(M748&gt;0,M748*(N748+1)/2+O748,0)</x:f>
        <x:v>9.5</x:v>
      </x:c>
      <x:c r="V748" t="str">
        <x:f>IF(ABS(L748-U748)&lt;0.001,"OK","ERREUR")</x:f>
        <x:v>OK</x:v>
      </x:c>
    </x:row>
    <x:row r="749" ht="18" customHeight="1">
      <x:c r="A749" t="str">
        <x:v>ARM038</x:v>
      </x:c>
      <x:c r="B749" t="str">
        <x:v>Lance courte</x:v>
      </x:c>
      <x:c r="C749" t="n">
        <x:v>6</x:v>
      </x:c>
      <x:c r="D749" t="str">
        <x:v>Armes d'hast</x:v>
      </x:c>
      <x:c r="E749" s="28" t="n">
        <x:f>IF(M749=0,0,M749+O749)</x:f>
        <x:v>9</x:v>
      </x:c>
      <x:c r="F749" s="28" t="n">
        <x:f>IF(M749=0,0,M749*N749+O749)</x:f>
        <x:v>14</x:v>
      </x:c>
      <x:c r="G749" s="28" t="n">
        <x:f>ROUND(Catalogue!G41*SQRT((1+'Paramètres'!$B$4*(C749-1)+'Paramètres'!$B$5*(C749-1)^2)),0)</x:f>
        <x:v>0</x:v>
      </x:c>
      <x:c r="H749" s="28" t="n">
        <x:f>ROUND(Catalogue!H41*SQRT((1+'Paramètres'!$B$4*(C749-1)+'Paramètres'!$B$5*(C749-1)^2)),0)</x:f>
        <x:v>0</x:v>
      </x:c>
      <x:c r="I749" s="28" t="n">
        <x:v>3</x:v>
      </x:c>
      <x:c r="J749" s="28" t="n">
        <x:v>2</x:v>
      </x:c>
      <x:c r="K749" s="30" t="n">
        <x:v>1.8</x:v>
      </x:c>
      <x:c r="L749" s="54" t="n">
        <x:f>IF(M749=0,0,(E749+F749)/2)</x:f>
        <x:v>11.5</x:v>
      </x:c>
      <x:c r="M749" t="n">
        <x:v>1</x:v>
      </x:c>
      <x:c r="N749" t="n">
        <x:v>6</x:v>
      </x:c>
      <x:c r="O749" t="n">
        <x:v>8</x:v>
      </x:c>
      <x:c r="P749" s="63" t="str">
        <x:f>IF(M749=0,"—",M749&amp;"d"&amp;N749&amp;IF(O749=0,""," + "&amp;O749))</x:f>
        <x:v>1d6 + 8</x:v>
      </x:c>
      <x:c r="Q749" t="n">
        <x:f>ROUND(INDEX(Catalogue!E$4:E$85,MATCH(A749,Catalogue!A$4:A$85,0))*(1+'Paramètres'!$B$4*(C749-1)+'Paramètres'!$B$5*(C749-1)^2),0)</x:f>
        <x:v>8</x:v>
      </x:c>
      <x:c r="R749" t="n">
        <x:f>ROUND(INDEX(Catalogue!F$4:F$85,MATCH(A749,Catalogue!A$4:A$85,0))*(1+'Paramètres'!$B$4*(C749-1)+'Paramètres'!$B$5*(C749-1)^2),0)</x:f>
        <x:v>14</x:v>
      </x:c>
      <x:c r="S749" t="n">
        <x:f>L749-AVERAGE(Q749:R749)</x:f>
        <x:v>0.5</x:v>
      </x:c>
      <x:c r="T749" t="str">
        <x:f>IF(M749=0,IF(AND(N749=0,O749=0,E749=0,F749=0),"OK","ERREUR"),IF(AND(M749&gt;=1,M749&lt;=32,OR(N749=4,N749=6,N749=8,N749=10,N749=12,N749=20),O749&gt;=0,E749=M749+O749,F749=M749*N749+O749),"OK","ERREUR"))</x:f>
        <x:v>OK</x:v>
      </x:c>
      <x:c r="U749" s="86" t="n">
        <x:f>IF(M749&gt;0,M749*(N749+1)/2+O749,0)</x:f>
        <x:v>11.5</x:v>
      </x:c>
      <x:c r="V749" t="str">
        <x:f>IF(ABS(L749-U749)&lt;0.001,"OK","ERREUR")</x:f>
        <x:v>OK</x:v>
      </x:c>
    </x:row>
    <x:row r="750" ht="18" customHeight="1">
      <x:c r="A750" t="str">
        <x:v>ARM038</x:v>
      </x:c>
      <x:c r="B750" t="str">
        <x:v>Lance courte</x:v>
      </x:c>
      <x:c r="C750" t="n">
        <x:v>7</x:v>
      </x:c>
      <x:c r="D750" t="str">
        <x:v>Armes d'hast</x:v>
      </x:c>
      <x:c r="E750" s="28" t="n">
        <x:f>IF(M750=0,0,M750+O750)</x:f>
        <x:v>9</x:v>
      </x:c>
      <x:c r="F750" s="28" t="n">
        <x:f>IF(M750=0,0,M750*N750+O750)</x:f>
        <x:v>16</x:v>
      </x:c>
      <x:c r="G750" s="28" t="n">
        <x:f>ROUND(Catalogue!G41*SQRT((1+'Paramètres'!$B$4*(C750-1)+'Paramètres'!$B$5*(C750-1)^2)),0)</x:f>
        <x:v>0</x:v>
      </x:c>
      <x:c r="H750" s="28" t="n">
        <x:f>ROUND(Catalogue!H41*SQRT((1+'Paramètres'!$B$4*(C750-1)+'Paramètres'!$B$5*(C750-1)^2)),0)</x:f>
        <x:v>0</x:v>
      </x:c>
      <x:c r="I750" s="28" t="n">
        <x:v>3</x:v>
      </x:c>
      <x:c r="J750" s="28" t="n">
        <x:v>2</x:v>
      </x:c>
      <x:c r="K750" s="30" t="n">
        <x:v>1.8</x:v>
      </x:c>
      <x:c r="L750" s="54" t="n">
        <x:f>IF(M750=0,0,(E750+F750)/2)</x:f>
        <x:v>12.5</x:v>
      </x:c>
      <x:c r="M750" t="n">
        <x:v>1</x:v>
      </x:c>
      <x:c r="N750" t="n">
        <x:v>8</x:v>
      </x:c>
      <x:c r="O750" t="n">
        <x:v>8</x:v>
      </x:c>
      <x:c r="P750" s="63" t="str">
        <x:f>IF(M750=0,"—",M750&amp;"d"&amp;N750&amp;IF(O750=0,""," + "&amp;O750))</x:f>
        <x:v>1d8 + 8</x:v>
      </x:c>
      <x:c r="Q750" t="n">
        <x:f>ROUND(INDEX(Catalogue!E$4:E$85,MATCH(A750,Catalogue!A$4:A$85,0))*(1+'Paramètres'!$B$4*(C750-1)+'Paramètres'!$B$5*(C750-1)^2),0)</x:f>
        <x:v>9</x:v>
      </x:c>
      <x:c r="R750" t="n">
        <x:f>ROUND(INDEX(Catalogue!F$4:F$85,MATCH(A750,Catalogue!A$4:A$85,0))*(1+'Paramètres'!$B$4*(C750-1)+'Paramètres'!$B$5*(C750-1)^2),0)</x:f>
        <x:v>16</x:v>
      </x:c>
      <x:c r="S750" t="n">
        <x:f>L750-AVERAGE(Q750:R750)</x:f>
        <x:v>0</x:v>
      </x:c>
      <x:c r="T750" t="str">
        <x:f>IF(M750=0,IF(AND(N750=0,O750=0,E750=0,F750=0),"OK","ERREUR"),IF(AND(M750&gt;=1,M750&lt;=32,OR(N750=4,N750=6,N750=8,N750=10,N750=12,N750=20),O750&gt;=0,E750=M750+O750,F750=M750*N750+O750),"OK","ERREUR"))</x:f>
        <x:v>OK</x:v>
      </x:c>
      <x:c r="U750" s="86" t="n">
        <x:f>IF(M750&gt;0,M750*(N750+1)/2+O750,0)</x:f>
        <x:v>12.5</x:v>
      </x:c>
      <x:c r="V750" t="str">
        <x:f>IF(ABS(L750-U750)&lt;0.001,"OK","ERREUR")</x:f>
        <x:v>OK</x:v>
      </x:c>
    </x:row>
    <x:row r="751" ht="18" customHeight="1">
      <x:c r="A751" t="str">
        <x:v>ARM038</x:v>
      </x:c>
      <x:c r="B751" t="str">
        <x:v>Lance courte</x:v>
      </x:c>
      <x:c r="C751" t="n">
        <x:v>8</x:v>
      </x:c>
      <x:c r="D751" t="str">
        <x:v>Armes d'hast</x:v>
      </x:c>
      <x:c r="E751" s="28" t="n">
        <x:f>IF(M751=0,0,M751+O751)</x:f>
        <x:v>10</x:v>
      </x:c>
      <x:c r="F751" s="28" t="n">
        <x:f>IF(M751=0,0,M751*N751+O751)</x:f>
        <x:v>17</x:v>
      </x:c>
      <x:c r="G751" s="28" t="n">
        <x:f>ROUND(Catalogue!G41*SQRT((1+'Paramètres'!$B$4*(C751-1)+'Paramètres'!$B$5*(C751-1)^2)),0)</x:f>
        <x:v>0</x:v>
      </x:c>
      <x:c r="H751" s="28" t="n">
        <x:f>ROUND(Catalogue!H41*SQRT((1+'Paramètres'!$B$4*(C751-1)+'Paramètres'!$B$5*(C751-1)^2)),0)</x:f>
        <x:v>0</x:v>
      </x:c>
      <x:c r="I751" s="28" t="n">
        <x:v>3</x:v>
      </x:c>
      <x:c r="J751" s="28" t="n">
        <x:v>2</x:v>
      </x:c>
      <x:c r="K751" s="30" t="n">
        <x:v>1.8</x:v>
      </x:c>
      <x:c r="L751" s="54" t="n">
        <x:f>IF(M751=0,0,(E751+F751)/2)</x:f>
        <x:v>13.5</x:v>
      </x:c>
      <x:c r="M751" t="n">
        <x:v>1</x:v>
      </x:c>
      <x:c r="N751" t="n">
        <x:v>8</x:v>
      </x:c>
      <x:c r="O751" t="n">
        <x:v>9</x:v>
      </x:c>
      <x:c r="P751" s="63" t="str">
        <x:f>IF(M751=0,"—",M751&amp;"d"&amp;N751&amp;IF(O751=0,""," + "&amp;O751))</x:f>
        <x:v>1d8 + 9</x:v>
      </x:c>
      <x:c r="Q751" t="n">
        <x:f>ROUND(INDEX(Catalogue!E$4:E$85,MATCH(A751,Catalogue!A$4:A$85,0))*(1+'Paramètres'!$B$4*(C751-1)+'Paramètres'!$B$5*(C751-1)^2),0)</x:f>
        <x:v>10</x:v>
      </x:c>
      <x:c r="R751" t="n">
        <x:f>ROUND(INDEX(Catalogue!F$4:F$85,MATCH(A751,Catalogue!A$4:A$85,0))*(1+'Paramètres'!$B$4*(C751-1)+'Paramètres'!$B$5*(C751-1)^2),0)</x:f>
        <x:v>18</x:v>
      </x:c>
      <x:c r="S751" t="n">
        <x:f>L751-AVERAGE(Q751:R751)</x:f>
        <x:v>-0.5</x:v>
      </x:c>
      <x:c r="T751" t="str">
        <x:f>IF(M751=0,IF(AND(N751=0,O751=0,E751=0,F751=0),"OK","ERREUR"),IF(AND(M751&gt;=1,M751&lt;=32,OR(N751=4,N751=6,N751=8,N751=10,N751=12,N751=20),O751&gt;=0,E751=M751+O751,F751=M751*N751+O751),"OK","ERREUR"))</x:f>
        <x:v>OK</x:v>
      </x:c>
      <x:c r="U751" s="86" t="n">
        <x:f>IF(M751&gt;0,M751*(N751+1)/2+O751,0)</x:f>
        <x:v>13.5</x:v>
      </x:c>
      <x:c r="V751" t="str">
        <x:f>IF(ABS(L751-U751)&lt;0.001,"OK","ERREUR")</x:f>
        <x:v>OK</x:v>
      </x:c>
    </x:row>
    <x:row r="752" ht="18" customHeight="1">
      <x:c r="A752" t="str">
        <x:v>ARM038</x:v>
      </x:c>
      <x:c r="B752" t="str">
        <x:v>Lance courte</x:v>
      </x:c>
      <x:c r="C752" t="n">
        <x:v>9</x:v>
      </x:c>
      <x:c r="D752" t="str">
        <x:v>Armes d'hast</x:v>
      </x:c>
      <x:c r="E752" s="28" t="n">
        <x:f>IF(M752=0,0,M752+O752)</x:f>
        <x:v>12</x:v>
      </x:c>
      <x:c r="F752" s="28" t="n">
        <x:f>IF(M752=0,0,M752*N752+O752)</x:f>
        <x:v>19</x:v>
      </x:c>
      <x:c r="G752" s="28" t="n">
        <x:f>ROUND(Catalogue!G41*SQRT((1+'Paramètres'!$B$4*(C752-1)+'Paramètres'!$B$5*(C752-1)^2)),0)</x:f>
        <x:v>0</x:v>
      </x:c>
      <x:c r="H752" s="28" t="n">
        <x:f>ROUND(Catalogue!H41*SQRT((1+'Paramètres'!$B$4*(C752-1)+'Paramètres'!$B$5*(C752-1)^2)),0)</x:f>
        <x:v>0</x:v>
      </x:c>
      <x:c r="I752" s="28" t="n">
        <x:v>3</x:v>
      </x:c>
      <x:c r="J752" s="28" t="n">
        <x:v>2</x:v>
      </x:c>
      <x:c r="K752" s="30" t="n">
        <x:v>1.8</x:v>
      </x:c>
      <x:c r="L752" s="54" t="n">
        <x:f>IF(M752=0,0,(E752+F752)/2)</x:f>
        <x:v>15.5</x:v>
      </x:c>
      <x:c r="M752" t="n">
        <x:v>1</x:v>
      </x:c>
      <x:c r="N752" t="n">
        <x:v>8</x:v>
      </x:c>
      <x:c r="O752" t="n">
        <x:v>11</x:v>
      </x:c>
      <x:c r="P752" s="63" t="str">
        <x:f>IF(M752=0,"—",M752&amp;"d"&amp;N752&amp;IF(O752=0,""," + "&amp;O752))</x:f>
        <x:v>1d8 + 11</x:v>
      </x:c>
      <x:c r="Q752" t="n">
        <x:f>ROUND(INDEX(Catalogue!E$4:E$85,MATCH(A752,Catalogue!A$4:A$85,0))*(1+'Paramètres'!$B$4*(C752-1)+'Paramètres'!$B$5*(C752-1)^2),0)</x:f>
        <x:v>12</x:v>
      </x:c>
      <x:c r="R752" t="n">
        <x:f>ROUND(INDEX(Catalogue!F$4:F$85,MATCH(A752,Catalogue!A$4:A$85,0))*(1+'Paramètres'!$B$4*(C752-1)+'Paramètres'!$B$5*(C752-1)^2),0)</x:f>
        <x:v>20</x:v>
      </x:c>
      <x:c r="S752" t="n">
        <x:f>L752-AVERAGE(Q752:R752)</x:f>
        <x:v>-0.5</x:v>
      </x:c>
      <x:c r="T752" t="str">
        <x:f>IF(M752=0,IF(AND(N752=0,O752=0,E752=0,F752=0),"OK","ERREUR"),IF(AND(M752&gt;=1,M752&lt;=32,OR(N752=4,N752=6,N752=8,N752=10,N752=12,N752=20),O752&gt;=0,E752=M752+O752,F752=M752*N752+O752),"OK","ERREUR"))</x:f>
        <x:v>OK</x:v>
      </x:c>
      <x:c r="U752" s="86" t="n">
        <x:f>IF(M752&gt;0,M752*(N752+1)/2+O752,0)</x:f>
        <x:v>15.5</x:v>
      </x:c>
      <x:c r="V752" t="str">
        <x:f>IF(ABS(L752-U752)&lt;0.001,"OK","ERREUR")</x:f>
        <x:v>OK</x:v>
      </x:c>
    </x:row>
    <x:row r="753" ht="18" customHeight="1">
      <x:c r="A753" t="str">
        <x:v>ARM038</x:v>
      </x:c>
      <x:c r="B753" t="str">
        <x:v>Lance courte</x:v>
      </x:c>
      <x:c r="C753" t="n">
        <x:v>10</x:v>
      </x:c>
      <x:c r="D753" t="str">
        <x:v>Armes d'hast</x:v>
      </x:c>
      <x:c r="E753" s="28" t="n">
        <x:f>IF(M753=0,0,M753+O753)</x:f>
        <x:v>13</x:v>
      </x:c>
      <x:c r="F753" s="28" t="n">
        <x:f>IF(M753=0,0,M753*N753+O753)</x:f>
        <x:v>23</x:v>
      </x:c>
      <x:c r="G753" s="28" t="n">
        <x:f>ROUND(Catalogue!G41*SQRT((1+'Paramètres'!$B$4*(C753-1)+'Paramètres'!$B$5*(C753-1)^2)),0)</x:f>
        <x:v>0</x:v>
      </x:c>
      <x:c r="H753" s="28" t="n">
        <x:f>ROUND(Catalogue!H41*SQRT((1+'Paramètres'!$B$4*(C753-1)+'Paramètres'!$B$5*(C753-1)^2)),0)</x:f>
        <x:v>0</x:v>
      </x:c>
      <x:c r="I753" s="28" t="n">
        <x:v>3</x:v>
      </x:c>
      <x:c r="J753" s="28" t="n">
        <x:v>2</x:v>
      </x:c>
      <x:c r="K753" s="30" t="n">
        <x:v>1.8</x:v>
      </x:c>
      <x:c r="L753" s="54" t="n">
        <x:f>IF(M753=0,0,(E753+F753)/2)</x:f>
        <x:v>18</x:v>
      </x:c>
      <x:c r="M753" t="n">
        <x:v>2</x:v>
      </x:c>
      <x:c r="N753" t="n">
        <x:v>6</x:v>
      </x:c>
      <x:c r="O753" t="n">
        <x:v>11</x:v>
      </x:c>
      <x:c r="P753" s="63" t="str">
        <x:f>IF(M753=0,"—",M753&amp;"d"&amp;N753&amp;IF(O753=0,""," + "&amp;O753))</x:f>
        <x:v>2d6 + 11</x:v>
      </x:c>
      <x:c r="Q753" t="n">
        <x:f>ROUND(INDEX(Catalogue!E$4:E$85,MATCH(A753,Catalogue!A$4:A$85,0))*(1+'Paramètres'!$B$4*(C753-1)+'Paramètres'!$B$5*(C753-1)^2),0)</x:f>
        <x:v>13</x:v>
      </x:c>
      <x:c r="R753" t="n">
        <x:f>ROUND(INDEX(Catalogue!F$4:F$85,MATCH(A753,Catalogue!A$4:A$85,0))*(1+'Paramètres'!$B$4*(C753-1)+'Paramètres'!$B$5*(C753-1)^2),0)</x:f>
        <x:v>23</x:v>
      </x:c>
      <x:c r="S753" t="n">
        <x:f>L753-AVERAGE(Q753:R753)</x:f>
        <x:v>0</x:v>
      </x:c>
      <x:c r="T753" t="str">
        <x:f>IF(M753=0,IF(AND(N753=0,O753=0,E753=0,F753=0),"OK","ERREUR"),IF(AND(M753&gt;=1,M753&lt;=32,OR(N753=4,N753=6,N753=8,N753=10,N753=12,N753=20),O753&gt;=0,E753=M753+O753,F753=M753*N753+O753),"OK","ERREUR"))</x:f>
        <x:v>OK</x:v>
      </x:c>
      <x:c r="U753" s="86" t="n">
        <x:f>IF(M753&gt;0,M753*(N753+1)/2+O753,0)</x:f>
        <x:v>18</x:v>
      </x:c>
      <x:c r="V753" t="str">
        <x:f>IF(ABS(L753-U753)&lt;0.001,"OK","ERREUR")</x:f>
        <x:v>OK</x:v>
      </x:c>
    </x:row>
    <x:row r="754" ht="18" customHeight="1">
      <x:c r="A754" t="str">
        <x:v>ARM038</x:v>
      </x:c>
      <x:c r="B754" t="str">
        <x:v>Lance courte</x:v>
      </x:c>
      <x:c r="C754" t="n">
        <x:v>11</x:v>
      </x:c>
      <x:c r="D754" t="str">
        <x:v>Armes d'hast</x:v>
      </x:c>
      <x:c r="E754" s="28" t="n">
        <x:f>IF(M754=0,0,M754+O754)</x:f>
        <x:v>15</x:v>
      </x:c>
      <x:c r="F754" s="28" t="n">
        <x:f>IF(M754=0,0,M754*N754+O754)</x:f>
        <x:v>26</x:v>
      </x:c>
      <x:c r="G754" s="28" t="n">
        <x:f>ROUND(Catalogue!G41*SQRT((1+'Paramètres'!$B$4*(C754-1)+'Paramètres'!$B$5*(C754-1)^2)),0)</x:f>
        <x:v>0</x:v>
      </x:c>
      <x:c r="H754" s="28" t="n">
        <x:f>ROUND(Catalogue!H41*SQRT((1+'Paramètres'!$B$4*(C754-1)+'Paramètres'!$B$5*(C754-1)^2)),0)</x:f>
        <x:v>0</x:v>
      </x:c>
      <x:c r="I754" s="28" t="n">
        <x:v>3</x:v>
      </x:c>
      <x:c r="J754" s="28" t="n">
        <x:v>2</x:v>
      </x:c>
      <x:c r="K754" s="30" t="n">
        <x:v>1.8</x:v>
      </x:c>
      <x:c r="L754" s="54" t="n">
        <x:f>IF(M754=0,0,(E754+F754)/2)</x:f>
        <x:v>20.5</x:v>
      </x:c>
      <x:c r="M754" t="n">
        <x:v>1</x:v>
      </x:c>
      <x:c r="N754" t="n">
        <x:v>12</x:v>
      </x:c>
      <x:c r="O754" t="n">
        <x:v>14</x:v>
      </x:c>
      <x:c r="P754" s="63" t="str">
        <x:f>IF(M754=0,"—",M754&amp;"d"&amp;N754&amp;IF(O754=0,""," + "&amp;O754))</x:f>
        <x:v>1d12 + 14</x:v>
      </x:c>
      <x:c r="Q754" t="n">
        <x:f>ROUND(INDEX(Catalogue!E$4:E$85,MATCH(A754,Catalogue!A$4:A$85,0))*(1+'Paramètres'!$B$4*(C754-1)+'Paramètres'!$B$5*(C754-1)^2),0)</x:f>
        <x:v>15</x:v>
      </x:c>
      <x:c r="R754" t="n">
        <x:f>ROUND(INDEX(Catalogue!F$4:F$85,MATCH(A754,Catalogue!A$4:A$85,0))*(1+'Paramètres'!$B$4*(C754-1)+'Paramètres'!$B$5*(C754-1)^2),0)</x:f>
        <x:v>26</x:v>
      </x:c>
      <x:c r="S754" t="n">
        <x:f>L754-AVERAGE(Q754:R754)</x:f>
        <x:v>0</x:v>
      </x:c>
      <x:c r="T754" t="str">
        <x:f>IF(M754=0,IF(AND(N754=0,O754=0,E754=0,F754=0),"OK","ERREUR"),IF(AND(M754&gt;=1,M754&lt;=32,OR(N754=4,N754=6,N754=8,N754=10,N754=12,N754=20),O754&gt;=0,E754=M754+O754,F754=M754*N754+O754),"OK","ERREUR"))</x:f>
        <x:v>OK</x:v>
      </x:c>
      <x:c r="U754" s="86" t="n">
        <x:f>IF(M754&gt;0,M754*(N754+1)/2+O754,0)</x:f>
        <x:v>20.5</x:v>
      </x:c>
      <x:c r="V754" t="str">
        <x:f>IF(ABS(L754-U754)&lt;0.001,"OK","ERREUR")</x:f>
        <x:v>OK</x:v>
      </x:c>
    </x:row>
    <x:row r="755" ht="18" customHeight="1">
      <x:c r="A755" t="str">
        <x:v>ARM038</x:v>
      </x:c>
      <x:c r="B755" t="str">
        <x:v>Lance courte</x:v>
      </x:c>
      <x:c r="C755" t="n">
        <x:v>12</x:v>
      </x:c>
      <x:c r="D755" t="str">
        <x:v>Armes d'hast</x:v>
      </x:c>
      <x:c r="E755" s="28" t="n">
        <x:f>IF(M755=0,0,M755+O755)</x:f>
        <x:v>17</x:v>
      </x:c>
      <x:c r="F755" s="28" t="n">
        <x:f>IF(M755=0,0,M755*N755+O755)</x:f>
        <x:v>28</x:v>
      </x:c>
      <x:c r="G755" s="28" t="n">
        <x:f>ROUND(Catalogue!G41*SQRT((1+'Paramètres'!$B$4*(C755-1)+'Paramètres'!$B$5*(C755-1)^2)),0)</x:f>
        <x:v>0</x:v>
      </x:c>
      <x:c r="H755" s="28" t="n">
        <x:f>ROUND(Catalogue!H41*SQRT((1+'Paramètres'!$B$4*(C755-1)+'Paramètres'!$B$5*(C755-1)^2)),0)</x:f>
        <x:v>0</x:v>
      </x:c>
      <x:c r="I755" s="28" t="n">
        <x:v>3</x:v>
      </x:c>
      <x:c r="J755" s="28" t="n">
        <x:v>2</x:v>
      </x:c>
      <x:c r="K755" s="30" t="n">
        <x:v>1.8</x:v>
      </x:c>
      <x:c r="L755" s="54" t="n">
        <x:f>IF(M755=0,0,(E755+F755)/2)</x:f>
        <x:v>22.5</x:v>
      </x:c>
      <x:c r="M755" t="n">
        <x:v>1</x:v>
      </x:c>
      <x:c r="N755" t="n">
        <x:v>12</x:v>
      </x:c>
      <x:c r="O755" t="n">
        <x:v>16</x:v>
      </x:c>
      <x:c r="P755" s="63" t="str">
        <x:f>IF(M755=0,"—",M755&amp;"d"&amp;N755&amp;IF(O755=0,""," + "&amp;O755))</x:f>
        <x:v>1d12 + 16</x:v>
      </x:c>
      <x:c r="Q755" t="n">
        <x:f>ROUND(INDEX(Catalogue!E$4:E$85,MATCH(A755,Catalogue!A$4:A$85,0))*(1+'Paramètres'!$B$4*(C755-1)+'Paramètres'!$B$5*(C755-1)^2),0)</x:f>
        <x:v>17</x:v>
      </x:c>
      <x:c r="R755" t="n">
        <x:f>ROUND(INDEX(Catalogue!F$4:F$85,MATCH(A755,Catalogue!A$4:A$85,0))*(1+'Paramètres'!$B$4*(C755-1)+'Paramètres'!$B$5*(C755-1)^2),0)</x:f>
        <x:v>29</x:v>
      </x:c>
      <x:c r="S755" t="n">
        <x:f>L755-AVERAGE(Q755:R755)</x:f>
        <x:v>-0.5</x:v>
      </x:c>
      <x:c r="T755" t="str">
        <x:f>IF(M755=0,IF(AND(N755=0,O755=0,E755=0,F755=0),"OK","ERREUR"),IF(AND(M755&gt;=1,M755&lt;=32,OR(N755=4,N755=6,N755=8,N755=10,N755=12,N755=20),O755&gt;=0,E755=M755+O755,F755=M755*N755+O755),"OK","ERREUR"))</x:f>
        <x:v>OK</x:v>
      </x:c>
      <x:c r="U755" s="86" t="n">
        <x:f>IF(M755&gt;0,M755*(N755+1)/2+O755,0)</x:f>
        <x:v>22.5</x:v>
      </x:c>
      <x:c r="V755" t="str">
        <x:f>IF(ABS(L755-U755)&lt;0.001,"OK","ERREUR")</x:f>
        <x:v>OK</x:v>
      </x:c>
    </x:row>
    <x:row r="756" ht="18" customHeight="1">
      <x:c r="A756" t="str">
        <x:v>ARM038</x:v>
      </x:c>
      <x:c r="B756" t="str">
        <x:v>Lance courte</x:v>
      </x:c>
      <x:c r="C756" t="n">
        <x:v>13</x:v>
      </x:c>
      <x:c r="D756" t="str">
        <x:v>Armes d'hast</x:v>
      </x:c>
      <x:c r="E756" s="28" t="n">
        <x:f>IF(M756=0,0,M756+O756)</x:f>
        <x:v>18</x:v>
      </x:c>
      <x:c r="F756" s="28" t="n">
        <x:f>IF(M756=0,0,M756*N756+O756)</x:f>
        <x:v>32</x:v>
      </x:c>
      <x:c r="G756" s="28" t="n">
        <x:f>ROUND(Catalogue!G41*SQRT((1+'Paramètres'!$B$4*(C756-1)+'Paramètres'!$B$5*(C756-1)^2)),0)</x:f>
        <x:v>0</x:v>
      </x:c>
      <x:c r="H756" s="28" t="n">
        <x:f>ROUND(Catalogue!H41*SQRT((1+'Paramètres'!$B$4*(C756-1)+'Paramètres'!$B$5*(C756-1)^2)),0)</x:f>
        <x:v>0</x:v>
      </x:c>
      <x:c r="I756" s="28" t="n">
        <x:v>3</x:v>
      </x:c>
      <x:c r="J756" s="28" t="n">
        <x:v>2</x:v>
      </x:c>
      <x:c r="K756" s="30" t="n">
        <x:v>1.8</x:v>
      </x:c>
      <x:c r="L756" s="54" t="n">
        <x:f>IF(M756=0,0,(E756+F756)/2)</x:f>
        <x:v>25</x:v>
      </x:c>
      <x:c r="M756" t="n">
        <x:v>2</x:v>
      </x:c>
      <x:c r="N756" t="n">
        <x:v>8</x:v>
      </x:c>
      <x:c r="O756" t="n">
        <x:v>16</x:v>
      </x:c>
      <x:c r="P756" s="63" t="str">
        <x:f>IF(M756=0,"—",M756&amp;"d"&amp;N756&amp;IF(O756=0,""," + "&amp;O756))</x:f>
        <x:v>2d8 + 16</x:v>
      </x:c>
      <x:c r="Q756" t="n">
        <x:f>ROUND(INDEX(Catalogue!E$4:E$85,MATCH(A756,Catalogue!A$4:A$85,0))*(1+'Paramètres'!$B$4*(C756-1)+'Paramètres'!$B$5*(C756-1)^2),0)</x:f>
        <x:v>18</x:v>
      </x:c>
      <x:c r="R756" t="n">
        <x:f>ROUND(INDEX(Catalogue!F$4:F$85,MATCH(A756,Catalogue!A$4:A$85,0))*(1+'Paramètres'!$B$4*(C756-1)+'Paramètres'!$B$5*(C756-1)^2),0)</x:f>
        <x:v>32</x:v>
      </x:c>
      <x:c r="S756" t="n">
        <x:f>L756-AVERAGE(Q756:R756)</x:f>
        <x:v>0</x:v>
      </x:c>
      <x:c r="T756" t="str">
        <x:f>IF(M756=0,IF(AND(N756=0,O756=0,E756=0,F756=0),"OK","ERREUR"),IF(AND(M756&gt;=1,M756&lt;=32,OR(N756=4,N756=6,N756=8,N756=10,N756=12,N756=20),O756&gt;=0,E756=M756+O756,F756=M756*N756+O756),"OK","ERREUR"))</x:f>
        <x:v>OK</x:v>
      </x:c>
      <x:c r="U756" s="86" t="n">
        <x:f>IF(M756&gt;0,M756*(N756+1)/2+O756,0)</x:f>
        <x:v>25</x:v>
      </x:c>
      <x:c r="V756" t="str">
        <x:f>IF(ABS(L756-U756)&lt;0.001,"OK","ERREUR")</x:f>
        <x:v>OK</x:v>
      </x:c>
    </x:row>
    <x:row r="757" ht="18" customHeight="1">
      <x:c r="A757" t="str">
        <x:v>ARM038</x:v>
      </x:c>
      <x:c r="B757" t="str">
        <x:v>Lance courte</x:v>
      </x:c>
      <x:c r="C757" t="n">
        <x:v>14</x:v>
      </x:c>
      <x:c r="D757" t="str">
        <x:v>Armes d'hast</x:v>
      </x:c>
      <x:c r="E757" s="28" t="n">
        <x:f>IF(M757=0,0,M757+O757)</x:f>
        <x:v>21</x:v>
      </x:c>
      <x:c r="F757" s="28" t="n">
        <x:f>IF(M757=0,0,M757*N757+O757)</x:f>
        <x:v>36</x:v>
      </x:c>
      <x:c r="G757" s="28" t="n">
        <x:f>ROUND(Catalogue!G41*SQRT((1+'Paramètres'!$B$4*(C757-1)+'Paramètres'!$B$5*(C757-1)^2)),0)</x:f>
        <x:v>0</x:v>
      </x:c>
      <x:c r="H757" s="28" t="n">
        <x:f>ROUND(Catalogue!H41*SQRT((1+'Paramètres'!$B$4*(C757-1)+'Paramètres'!$B$5*(C757-1)^2)),0)</x:f>
        <x:v>0</x:v>
      </x:c>
      <x:c r="I757" s="28" t="n">
        <x:v>3</x:v>
      </x:c>
      <x:c r="J757" s="28" t="n">
        <x:v>2</x:v>
      </x:c>
      <x:c r="K757" s="30" t="n">
        <x:v>1.8</x:v>
      </x:c>
      <x:c r="L757" s="54" t="n">
        <x:f>IF(M757=0,0,(E757+F757)/2)</x:f>
        <x:v>28.5</x:v>
      </x:c>
      <x:c r="M757" t="n">
        <x:v>3</x:v>
      </x:c>
      <x:c r="N757" t="n">
        <x:v>6</x:v>
      </x:c>
      <x:c r="O757" t="n">
        <x:v>18</x:v>
      </x:c>
      <x:c r="P757" s="63" t="str">
        <x:f>IF(M757=0,"—",M757&amp;"d"&amp;N757&amp;IF(O757=0,""," + "&amp;O757))</x:f>
        <x:v>3d6 + 18</x:v>
      </x:c>
      <x:c r="Q757" t="n">
        <x:f>ROUND(INDEX(Catalogue!E$4:E$85,MATCH(A757,Catalogue!A$4:A$85,0))*(1+'Paramètres'!$B$4*(C757-1)+'Paramètres'!$B$5*(C757-1)^2),0)</x:f>
        <x:v>21</x:v>
      </x:c>
      <x:c r="R757" t="n">
        <x:f>ROUND(INDEX(Catalogue!F$4:F$85,MATCH(A757,Catalogue!A$4:A$85,0))*(1+'Paramètres'!$B$4*(C757-1)+'Paramètres'!$B$5*(C757-1)^2),0)</x:f>
        <x:v>36</x:v>
      </x:c>
      <x:c r="S757" t="n">
        <x:f>L757-AVERAGE(Q757:R757)</x:f>
        <x:v>0</x:v>
      </x:c>
      <x:c r="T757" t="str">
        <x:f>IF(M757=0,IF(AND(N757=0,O757=0,E757=0,F757=0),"OK","ERREUR"),IF(AND(M757&gt;=1,M757&lt;=32,OR(N757=4,N757=6,N757=8,N757=10,N757=12,N757=20),O757&gt;=0,E757=M757+O757,F757=M757*N757+O757),"OK","ERREUR"))</x:f>
        <x:v>OK</x:v>
      </x:c>
      <x:c r="U757" s="86" t="n">
        <x:f>IF(M757&gt;0,M757*(N757+1)/2+O757,0)</x:f>
        <x:v>28.5</x:v>
      </x:c>
      <x:c r="V757" t="str">
        <x:f>IF(ABS(L757-U757)&lt;0.001,"OK","ERREUR")</x:f>
        <x:v>OK</x:v>
      </x:c>
    </x:row>
    <x:row r="758" ht="18" customHeight="1">
      <x:c r="A758" t="str">
        <x:v>ARM038</x:v>
      </x:c>
      <x:c r="B758" t="str">
        <x:v>Lance courte</x:v>
      </x:c>
      <x:c r="C758" t="n">
        <x:v>15</x:v>
      </x:c>
      <x:c r="D758" t="str">
        <x:v>Armes d'hast</x:v>
      </x:c>
      <x:c r="E758" s="28" t="n">
        <x:f>IF(M758=0,0,M758+O758)</x:f>
        <x:v>22</x:v>
      </x:c>
      <x:c r="F758" s="28" t="n">
        <x:f>IF(M758=0,0,M758*N758+O758)</x:f>
        <x:v>40</x:v>
      </x:c>
      <x:c r="G758" s="28" t="n">
        <x:f>ROUND(Catalogue!G41*SQRT((1+'Paramètres'!$B$4*(C758-1)+'Paramètres'!$B$5*(C758-1)^2)),0)</x:f>
        <x:v>0</x:v>
      </x:c>
      <x:c r="H758" s="28" t="n">
        <x:f>ROUND(Catalogue!H41*SQRT((1+'Paramètres'!$B$4*(C758-1)+'Paramètres'!$B$5*(C758-1)^2)),0)</x:f>
        <x:v>0</x:v>
      </x:c>
      <x:c r="I758" s="28" t="n">
        <x:v>3</x:v>
      </x:c>
      <x:c r="J758" s="28" t="n">
        <x:v>2</x:v>
      </x:c>
      <x:c r="K758" s="30" t="n">
        <x:v>1.8</x:v>
      </x:c>
      <x:c r="L758" s="54" t="n">
        <x:f>IF(M758=0,0,(E758+F758)/2)</x:f>
        <x:v>31</x:v>
      </x:c>
      <x:c r="M758" t="n">
        <x:v>2</x:v>
      </x:c>
      <x:c r="N758" t="n">
        <x:v>10</x:v>
      </x:c>
      <x:c r="O758" t="n">
        <x:v>20</x:v>
      </x:c>
      <x:c r="P758" s="63" t="str">
        <x:f>IF(M758=0,"—",M758&amp;"d"&amp;N758&amp;IF(O758=0,""," + "&amp;O758))</x:f>
        <x:v>2d10 + 20</x:v>
      </x:c>
      <x:c r="Q758" t="n">
        <x:f>ROUND(INDEX(Catalogue!E$4:E$85,MATCH(A758,Catalogue!A$4:A$85,0))*(1+'Paramètres'!$B$4*(C758-1)+'Paramètres'!$B$5*(C758-1)^2),0)</x:f>
        <x:v>23</x:v>
      </x:c>
      <x:c r="R758" t="n">
        <x:f>ROUND(INDEX(Catalogue!F$4:F$85,MATCH(A758,Catalogue!A$4:A$85,0))*(1+'Paramètres'!$B$4*(C758-1)+'Paramètres'!$B$5*(C758-1)^2),0)</x:f>
        <x:v>40</x:v>
      </x:c>
      <x:c r="S758" t="n">
        <x:f>L758-AVERAGE(Q758:R758)</x:f>
        <x:v>-0.5</x:v>
      </x:c>
      <x:c r="T758" t="str">
        <x:f>IF(M758=0,IF(AND(N758=0,O758=0,E758=0,F758=0),"OK","ERREUR"),IF(AND(M758&gt;=1,M758&lt;=32,OR(N758=4,N758=6,N758=8,N758=10,N758=12,N758=20),O758&gt;=0,E758=M758+O758,F758=M758*N758+O758),"OK","ERREUR"))</x:f>
        <x:v>OK</x:v>
      </x:c>
      <x:c r="U758" s="86" t="n">
        <x:f>IF(M758&gt;0,M758*(N758+1)/2+O758,0)</x:f>
        <x:v>31</x:v>
      </x:c>
      <x:c r="V758" t="str">
        <x:f>IF(ABS(L758-U758)&lt;0.001,"OK","ERREUR")</x:f>
        <x:v>OK</x:v>
      </x:c>
    </x:row>
    <x:row r="759" ht="18" customHeight="1">
      <x:c r="A759" t="str">
        <x:v>ARM038</x:v>
      </x:c>
      <x:c r="B759" t="str">
        <x:v>Lance courte</x:v>
      </x:c>
      <x:c r="C759" t="n">
        <x:v>16</x:v>
      </x:c>
      <x:c r="D759" t="str">
        <x:v>Armes d'hast</x:v>
      </x:c>
      <x:c r="E759" s="28" t="n">
        <x:f>IF(M759=0,0,M759+O759)</x:f>
        <x:v>26</x:v>
      </x:c>
      <x:c r="F759" s="28" t="n">
        <x:f>IF(M759=0,0,M759*N759+O759)</x:f>
        <x:v>44</x:v>
      </x:c>
      <x:c r="G759" s="28" t="n">
        <x:f>ROUND(Catalogue!G41*SQRT((1+'Paramètres'!$B$4*(C759-1)+'Paramètres'!$B$5*(C759-1)^2)),0)</x:f>
        <x:v>0</x:v>
      </x:c>
      <x:c r="H759" s="28" t="n">
        <x:f>ROUND(Catalogue!H41*SQRT((1+'Paramètres'!$B$4*(C759-1)+'Paramètres'!$B$5*(C759-1)^2)),0)</x:f>
        <x:v>0</x:v>
      </x:c>
      <x:c r="I759" s="28" t="n">
        <x:v>3</x:v>
      </x:c>
      <x:c r="J759" s="28" t="n">
        <x:v>2</x:v>
      </x:c>
      <x:c r="K759" s="30" t="n">
        <x:v>1.8</x:v>
      </x:c>
      <x:c r="L759" s="54" t="n">
        <x:f>IF(M759=0,0,(E759+F759)/2)</x:f>
        <x:v>35</x:v>
      </x:c>
      <x:c r="M759" t="n">
        <x:v>2</x:v>
      </x:c>
      <x:c r="N759" t="n">
        <x:v>10</x:v>
      </x:c>
      <x:c r="O759" t="n">
        <x:v>24</x:v>
      </x:c>
      <x:c r="P759" s="63" t="str">
        <x:f>IF(M759=0,"—",M759&amp;"d"&amp;N759&amp;IF(O759=0,""," + "&amp;O759))</x:f>
        <x:v>2d10 + 24</x:v>
      </x:c>
      <x:c r="Q759" t="n">
        <x:f>ROUND(INDEX(Catalogue!E$4:E$85,MATCH(A759,Catalogue!A$4:A$85,0))*(1+'Paramètres'!$B$4*(C759-1)+'Paramètres'!$B$5*(C759-1)^2),0)</x:f>
        <x:v>25</x:v>
      </x:c>
      <x:c r="R759" t="n">
        <x:f>ROUND(INDEX(Catalogue!F$4:F$85,MATCH(A759,Catalogue!A$4:A$85,0))*(1+'Paramètres'!$B$4*(C759-1)+'Paramètres'!$B$5*(C759-1)^2),0)</x:f>
        <x:v>44</x:v>
      </x:c>
      <x:c r="S759" t="n">
        <x:f>L759-AVERAGE(Q759:R759)</x:f>
        <x:v>0.5</x:v>
      </x:c>
      <x:c r="T759" t="str">
        <x:f>IF(M759=0,IF(AND(N759=0,O759=0,E759=0,F759=0),"OK","ERREUR"),IF(AND(M759&gt;=1,M759&lt;=32,OR(N759=4,N759=6,N759=8,N759=10,N759=12,N759=20),O759&gt;=0,E759=M759+O759,F759=M759*N759+O759),"OK","ERREUR"))</x:f>
        <x:v>OK</x:v>
      </x:c>
      <x:c r="U759" s="86" t="n">
        <x:f>IF(M759&gt;0,M759*(N759+1)/2+O759,0)</x:f>
        <x:v>35</x:v>
      </x:c>
      <x:c r="V759" t="str">
        <x:f>IF(ABS(L759-U759)&lt;0.001,"OK","ERREUR")</x:f>
        <x:v>OK</x:v>
      </x:c>
    </x:row>
    <x:row r="760" ht="18" customHeight="1">
      <x:c r="A760" t="str">
        <x:v>ARM038</x:v>
      </x:c>
      <x:c r="B760" t="str">
        <x:v>Lance courte</x:v>
      </x:c>
      <x:c r="C760" t="n">
        <x:v>17</x:v>
      </x:c>
      <x:c r="D760" t="str">
        <x:v>Armes d'hast</x:v>
      </x:c>
      <x:c r="E760" s="28" t="n">
        <x:f>IF(M760=0,0,M760+O760)</x:f>
        <x:v>27</x:v>
      </x:c>
      <x:c r="F760" s="28" t="n">
        <x:f>IF(M760=0,0,M760*N760+O760)</x:f>
        <x:v>48</x:v>
      </x:c>
      <x:c r="G760" s="28" t="n">
        <x:f>ROUND(Catalogue!G41*SQRT((1+'Paramètres'!$B$4*(C760-1)+'Paramètres'!$B$5*(C760-1)^2)),0)</x:f>
        <x:v>0</x:v>
      </x:c>
      <x:c r="H760" s="28" t="n">
        <x:f>ROUND(Catalogue!H41*SQRT((1+'Paramètres'!$B$4*(C760-1)+'Paramètres'!$B$5*(C760-1)^2)),0)</x:f>
        <x:v>0</x:v>
      </x:c>
      <x:c r="I760" s="28" t="n">
        <x:v>3</x:v>
      </x:c>
      <x:c r="J760" s="28" t="n">
        <x:v>2</x:v>
      </x:c>
      <x:c r="K760" s="30" t="n">
        <x:v>1.8</x:v>
      </x:c>
      <x:c r="L760" s="54" t="n">
        <x:f>IF(M760=0,0,(E760+F760)/2)</x:f>
        <x:v>37.5</x:v>
      </x:c>
      <x:c r="M760" t="n">
        <x:v>3</x:v>
      </x:c>
      <x:c r="N760" t="n">
        <x:v>8</x:v>
      </x:c>
      <x:c r="O760" t="n">
        <x:v>24</x:v>
      </x:c>
      <x:c r="P760" s="63" t="str">
        <x:f>IF(M760=0,"—",M760&amp;"d"&amp;N760&amp;IF(O760=0,""," + "&amp;O760))</x:f>
        <x:v>3d8 + 24</x:v>
      </x:c>
      <x:c r="Q760" t="n">
        <x:f>ROUND(INDEX(Catalogue!E$4:E$85,MATCH(A760,Catalogue!A$4:A$85,0))*(1+'Paramètres'!$B$4*(C760-1)+'Paramètres'!$B$5*(C760-1)^2),0)</x:f>
        <x:v>27</x:v>
      </x:c>
      <x:c r="R760" t="n">
        <x:f>ROUND(INDEX(Catalogue!F$4:F$85,MATCH(A760,Catalogue!A$4:A$85,0))*(1+'Paramètres'!$B$4*(C760-1)+'Paramètres'!$B$5*(C760-1)^2),0)</x:f>
        <x:v>48</x:v>
      </x:c>
      <x:c r="S760" t="n">
        <x:f>L760-AVERAGE(Q760:R760)</x:f>
        <x:v>0</x:v>
      </x:c>
      <x:c r="T760" t="str">
        <x:f>IF(M760=0,IF(AND(N760=0,O760=0,E760=0,F760=0),"OK","ERREUR"),IF(AND(M760&gt;=1,M760&lt;=32,OR(N760=4,N760=6,N760=8,N760=10,N760=12,N760=20),O760&gt;=0,E760=M760+O760,F760=M760*N760+O760),"OK","ERREUR"))</x:f>
        <x:v>OK</x:v>
      </x:c>
      <x:c r="U760" s="86" t="n">
        <x:f>IF(M760&gt;0,M760*(N760+1)/2+O760,0)</x:f>
        <x:v>37.5</x:v>
      </x:c>
      <x:c r="V760" t="str">
        <x:f>IF(ABS(L760-U760)&lt;0.001,"OK","ERREUR")</x:f>
        <x:v>OK</x:v>
      </x:c>
    </x:row>
    <x:row r="761" ht="18" customHeight="1">
      <x:c r="A761" t="str">
        <x:v>ARM038</x:v>
      </x:c>
      <x:c r="B761" t="str">
        <x:v>Lance courte</x:v>
      </x:c>
      <x:c r="C761" t="n">
        <x:v>18</x:v>
      </x:c>
      <x:c r="D761" t="str">
        <x:v>Armes d'hast</x:v>
      </x:c>
      <x:c r="E761" s="28" t="n">
        <x:f>IF(M761=0,0,M761+O761)</x:f>
        <x:v>30</x:v>
      </x:c>
      <x:c r="F761" s="28" t="n">
        <x:f>IF(M761=0,0,M761*N761+O761)</x:f>
        <x:v>52</x:v>
      </x:c>
      <x:c r="G761" s="28" t="n">
        <x:f>ROUND(Catalogue!G41*SQRT((1+'Paramètres'!$B$4*(C761-1)+'Paramètres'!$B$5*(C761-1)^2)),0)</x:f>
        <x:v>0</x:v>
      </x:c>
      <x:c r="H761" s="28" t="n">
        <x:f>ROUND(Catalogue!H41*SQRT((1+'Paramètres'!$B$4*(C761-1)+'Paramètres'!$B$5*(C761-1)^2)),0)</x:f>
        <x:v>0</x:v>
      </x:c>
      <x:c r="I761" s="28" t="n">
        <x:v>3</x:v>
      </x:c>
      <x:c r="J761" s="28" t="n">
        <x:v>2</x:v>
      </x:c>
      <x:c r="K761" s="30" t="n">
        <x:v>1.8</x:v>
      </x:c>
      <x:c r="L761" s="54" t="n">
        <x:f>IF(M761=0,0,(E761+F761)/2)</x:f>
        <x:v>41</x:v>
      </x:c>
      <x:c r="M761" t="n">
        <x:v>2</x:v>
      </x:c>
      <x:c r="N761" t="n">
        <x:v>12</x:v>
      </x:c>
      <x:c r="O761" t="n">
        <x:v>28</x:v>
      </x:c>
      <x:c r="P761" s="63" t="str">
        <x:f>IF(M761=0,"—",M761&amp;"d"&amp;N761&amp;IF(O761=0,""," + "&amp;O761))</x:f>
        <x:v>2d12 + 28</x:v>
      </x:c>
      <x:c r="Q761" t="n">
        <x:f>ROUND(INDEX(Catalogue!E$4:E$85,MATCH(A761,Catalogue!A$4:A$85,0))*(1+'Paramètres'!$B$4*(C761-1)+'Paramètres'!$B$5*(C761-1)^2),0)</x:f>
        <x:v>30</x:v>
      </x:c>
      <x:c r="R761" t="n">
        <x:f>ROUND(INDEX(Catalogue!F$4:F$85,MATCH(A761,Catalogue!A$4:A$85,0))*(1+'Paramètres'!$B$4*(C761-1)+'Paramètres'!$B$5*(C761-1)^2),0)</x:f>
        <x:v>52</x:v>
      </x:c>
      <x:c r="S761" t="n">
        <x:f>L761-AVERAGE(Q761:R761)</x:f>
        <x:v>0</x:v>
      </x:c>
      <x:c r="T761" t="str">
        <x:f>IF(M761=0,IF(AND(N761=0,O761=0,E761=0,F761=0),"OK","ERREUR"),IF(AND(M761&gt;=1,M761&lt;=32,OR(N761=4,N761=6,N761=8,N761=10,N761=12,N761=20),O761&gt;=0,E761=M761+O761,F761=M761*N761+O761),"OK","ERREUR"))</x:f>
        <x:v>OK</x:v>
      </x:c>
      <x:c r="U761" s="86" t="n">
        <x:f>IF(M761&gt;0,M761*(N761+1)/2+O761,0)</x:f>
        <x:v>41</x:v>
      </x:c>
      <x:c r="V761" t="str">
        <x:f>IF(ABS(L761-U761)&lt;0.001,"OK","ERREUR")</x:f>
        <x:v>OK</x:v>
      </x:c>
    </x:row>
    <x:row r="762" ht="18" customHeight="1">
      <x:c r="A762" t="str">
        <x:v>ARM038</x:v>
      </x:c>
      <x:c r="B762" t="str">
        <x:v>Lance courte</x:v>
      </x:c>
      <x:c r="C762" t="n">
        <x:v>19</x:v>
      </x:c>
      <x:c r="D762" t="str">
        <x:v>Armes d'hast</x:v>
      </x:c>
      <x:c r="E762" s="28" t="n">
        <x:f>IF(M762=0,0,M762+O762)</x:f>
        <x:v>32</x:v>
      </x:c>
      <x:c r="F762" s="28" t="n">
        <x:f>IF(M762=0,0,M762*N762+O762)</x:f>
        <x:v>57</x:v>
      </x:c>
      <x:c r="G762" s="28" t="n">
        <x:f>ROUND(Catalogue!G41*SQRT((1+'Paramètres'!$B$4*(C762-1)+'Paramètres'!$B$5*(C762-1)^2)),0)</x:f>
        <x:v>0</x:v>
      </x:c>
      <x:c r="H762" s="28" t="n">
        <x:f>ROUND(Catalogue!H41*SQRT((1+'Paramètres'!$B$4*(C762-1)+'Paramètres'!$B$5*(C762-1)^2)),0)</x:f>
        <x:v>0</x:v>
      </x:c>
      <x:c r="I762" s="28" t="n">
        <x:v>3</x:v>
      </x:c>
      <x:c r="J762" s="28" t="n">
        <x:v>2</x:v>
      </x:c>
      <x:c r="K762" s="30" t="n">
        <x:v>1.8</x:v>
      </x:c>
      <x:c r="L762" s="54" t="n">
        <x:f>IF(M762=0,0,(E762+F762)/2)</x:f>
        <x:v>44.5</x:v>
      </x:c>
      <x:c r="M762" t="n">
        <x:v>5</x:v>
      </x:c>
      <x:c r="N762" t="n">
        <x:v>6</x:v>
      </x:c>
      <x:c r="O762" t="n">
        <x:v>27</x:v>
      </x:c>
      <x:c r="P762" s="63" t="str">
        <x:f>IF(M762=0,"—",M762&amp;"d"&amp;N762&amp;IF(O762=0,""," + "&amp;O762))</x:f>
        <x:v>5d6 + 27</x:v>
      </x:c>
      <x:c r="Q762" t="n">
        <x:f>ROUND(INDEX(Catalogue!E$4:E$85,MATCH(A762,Catalogue!A$4:A$85,0))*(1+'Paramètres'!$B$4*(C762-1)+'Paramètres'!$B$5*(C762-1)^2),0)</x:f>
        <x:v>33</x:v>
      </x:c>
      <x:c r="R762" t="n">
        <x:f>ROUND(INDEX(Catalogue!F$4:F$85,MATCH(A762,Catalogue!A$4:A$85,0))*(1+'Paramètres'!$B$4*(C762-1)+'Paramètres'!$B$5*(C762-1)^2),0)</x:f>
        <x:v>57</x:v>
      </x:c>
      <x:c r="S762" t="n">
        <x:f>L762-AVERAGE(Q762:R762)</x:f>
        <x:v>-0.5</x:v>
      </x:c>
      <x:c r="T762" t="str">
        <x:f>IF(M762=0,IF(AND(N762=0,O762=0,E762=0,F762=0),"OK","ERREUR"),IF(AND(M762&gt;=1,M762&lt;=32,OR(N762=4,N762=6,N762=8,N762=10,N762=12,N762=20),O762&gt;=0,E762=M762+O762,F762=M762*N762+O762),"OK","ERREUR"))</x:f>
        <x:v>OK</x:v>
      </x:c>
      <x:c r="U762" s="86" t="n">
        <x:f>IF(M762&gt;0,M762*(N762+1)/2+O762,0)</x:f>
        <x:v>44.5</x:v>
      </x:c>
      <x:c r="V762" t="str">
        <x:f>IF(ABS(L762-U762)&lt;0.001,"OK","ERREUR")</x:f>
        <x:v>OK</x:v>
      </x:c>
    </x:row>
    <x:row r="763" ht="18" customHeight="1">
      <x:c r="A763" t="str">
        <x:v>ARM038</x:v>
      </x:c>
      <x:c r="B763" t="str">
        <x:v>Lance courte</x:v>
      </x:c>
      <x:c r="C763" t="n">
        <x:v>20</x:v>
      </x:c>
      <x:c r="D763" t="str">
        <x:v>Armes d'hast</x:v>
      </x:c>
      <x:c r="E763" s="28" t="n">
        <x:f>IF(M763=0,0,M763+O763)</x:f>
        <x:v>35</x:v>
      </x:c>
      <x:c r="F763" s="28" t="n">
        <x:f>IF(M763=0,0,M763*N763+O763)</x:f>
        <x:v>62</x:v>
      </x:c>
      <x:c r="G763" s="28" t="n">
        <x:f>ROUND(Catalogue!G41*SQRT((1+'Paramètres'!$B$4*(C763-1)+'Paramètres'!$B$5*(C763-1)^2)),0)</x:f>
        <x:v>0</x:v>
      </x:c>
      <x:c r="H763" s="28" t="n">
        <x:f>ROUND(Catalogue!H41*SQRT((1+'Paramètres'!$B$4*(C763-1)+'Paramètres'!$B$5*(C763-1)^2)),0)</x:f>
        <x:v>0</x:v>
      </x:c>
      <x:c r="I763" s="28" t="n">
        <x:v>3</x:v>
      </x:c>
      <x:c r="J763" s="28" t="n">
        <x:v>2</x:v>
      </x:c>
      <x:c r="K763" s="30" t="n">
        <x:v>1.8</x:v>
      </x:c>
      <x:c r="L763" s="54" t="n">
        <x:f>IF(M763=0,0,(E763+F763)/2)</x:f>
        <x:v>48.5</x:v>
      </x:c>
      <x:c r="M763" t="n">
        <x:v>3</x:v>
      </x:c>
      <x:c r="N763" t="n">
        <x:v>10</x:v>
      </x:c>
      <x:c r="O763" t="n">
        <x:v>32</x:v>
      </x:c>
      <x:c r="P763" s="63" t="str">
        <x:f>IF(M763=0,"—",M763&amp;"d"&amp;N763&amp;IF(O763=0,""," + "&amp;O763))</x:f>
        <x:v>3d10 + 32</x:v>
      </x:c>
      <x:c r="Q763" t="n">
        <x:f>ROUND(INDEX(Catalogue!E$4:E$85,MATCH(A763,Catalogue!A$4:A$85,0))*(1+'Paramètres'!$B$4*(C763-1)+'Paramètres'!$B$5*(C763-1)^2),0)</x:f>
        <x:v>35</x:v>
      </x:c>
      <x:c r="R763" t="n">
        <x:f>ROUND(INDEX(Catalogue!F$4:F$85,MATCH(A763,Catalogue!A$4:A$85,0))*(1+'Paramètres'!$B$4*(C763-1)+'Paramètres'!$B$5*(C763-1)^2),0)</x:f>
        <x:v>62</x:v>
      </x:c>
      <x:c r="S763" t="n">
        <x:f>L763-AVERAGE(Q763:R763)</x:f>
        <x:v>0</x:v>
      </x:c>
      <x:c r="T763" t="str">
        <x:f>IF(M763=0,IF(AND(N763=0,O763=0,E763=0,F763=0),"OK","ERREUR"),IF(AND(M763&gt;=1,M763&lt;=32,OR(N763=4,N763=6,N763=8,N763=10,N763=12,N763=20),O763&gt;=0,E763=M763+O763,F763=M763*N763+O763),"OK","ERREUR"))</x:f>
        <x:v>OK</x:v>
      </x:c>
      <x:c r="U763" s="86" t="n">
        <x:f>IF(M763&gt;0,M763*(N763+1)/2+O763,0)</x:f>
        <x:v>48.5</x:v>
      </x:c>
      <x:c r="V763" t="str">
        <x:f>IF(ABS(L763-U763)&lt;0.001,"OK","ERREUR")</x:f>
        <x:v>OK</x:v>
      </x:c>
    </x:row>
    <x:row r="764" ht="18" customHeight="1">
      <x:c r="A764" t="str">
        <x:v>ARM039</x:v>
      </x:c>
      <x:c r="B764" t="str">
        <x:v>Lance longue</x:v>
      </x:c>
      <x:c r="C764" t="n">
        <x:v>1</x:v>
      </x:c>
      <x:c r="D764" t="str">
        <x:v>Armes d'hast</x:v>
      </x:c>
      <x:c r="E764" s="28" t="n">
        <x:f>IF(M764=0,0,M764+O764)</x:f>
        <x:v>4</x:v>
      </x:c>
      <x:c r="F764" s="28" t="n">
        <x:f>IF(M764=0,0,M764*N764+O764)</x:f>
        <x:v>9</x:v>
      </x:c>
      <x:c r="G764" s="28" t="n">
        <x:f>ROUND(Catalogue!G42*SQRT((1+'Paramètres'!$B$4*(C764-1)+'Paramètres'!$B$5*(C764-1)^2)),0)</x:f>
        <x:v>0</x:v>
      </x:c>
      <x:c r="H764" s="28" t="n">
        <x:f>ROUND(Catalogue!H42*SQRT((1+'Paramètres'!$B$4*(C764-1)+'Paramètres'!$B$5*(C764-1)^2)),0)</x:f>
        <x:v>0</x:v>
      </x:c>
      <x:c r="I764" s="28" t="n">
        <x:v>3</x:v>
      </x:c>
      <x:c r="J764" s="28" t="n">
        <x:v>2</x:v>
      </x:c>
      <x:c r="K764" s="30" t="n">
        <x:v>2.6</x:v>
      </x:c>
      <x:c r="L764" s="54" t="n">
        <x:f>IF(M764=0,0,(E764+F764)/2)</x:f>
        <x:v>6.5</x:v>
      </x:c>
      <x:c r="M764" t="n">
        <x:v>1</x:v>
      </x:c>
      <x:c r="N764" t="n">
        <x:v>6</x:v>
      </x:c>
      <x:c r="O764" t="n">
        <x:v>3</x:v>
      </x:c>
      <x:c r="P764" s="63" t="str">
        <x:f>IF(M764=0,"—",M764&amp;"d"&amp;N764&amp;IF(O764=0,""," + "&amp;O764))</x:f>
        <x:v>1d6 + 3</x:v>
      </x:c>
      <x:c r="Q764" t="n">
        <x:f>ROUND(INDEX(Catalogue!E$4:E$85,MATCH(A764,Catalogue!A$4:A$85,0))*(1+'Paramètres'!$B$4*(C764-1)+'Paramètres'!$B$5*(C764-1)^2),0)</x:f>
        <x:v>5</x:v>
      </x:c>
      <x:c r="R764" t="n">
        <x:f>ROUND(INDEX(Catalogue!F$4:F$85,MATCH(A764,Catalogue!A$4:A$85,0))*(1+'Paramètres'!$B$4*(C764-1)+'Paramètres'!$B$5*(C764-1)^2),0)</x:f>
        <x:v>9</x:v>
      </x:c>
      <x:c r="S764" t="n">
        <x:f>L764-AVERAGE(Q764:R764)</x:f>
        <x:v>-0.5</x:v>
      </x:c>
      <x:c r="T764" t="str">
        <x:f>IF(M764=0,IF(AND(N764=0,O764=0,E764=0,F764=0),"OK","ERREUR"),IF(AND(M764&gt;=1,M764&lt;=32,OR(N764=4,N764=6,N764=8,N764=10,N764=12,N764=20),O764&gt;=0,E764=M764+O764,F764=M764*N764+O764),"OK","ERREUR"))</x:f>
        <x:v>OK</x:v>
      </x:c>
      <x:c r="U764" s="86" t="n">
        <x:f>IF(M764&gt;0,M764*(N764+1)/2+O764,0)</x:f>
        <x:v>6.5</x:v>
      </x:c>
      <x:c r="V764" t="str">
        <x:f>IF(ABS(L764-U764)&lt;0.001,"OK","ERREUR")</x:f>
        <x:v>OK</x:v>
      </x:c>
    </x:row>
    <x:row r="765" ht="18" customHeight="1">
      <x:c r="A765" t="str">
        <x:v>ARM039</x:v>
      </x:c>
      <x:c r="B765" t="str">
        <x:v>Lance longue</x:v>
      </x:c>
      <x:c r="C765" t="n">
        <x:v>2</x:v>
      </x:c>
      <x:c r="D765" t="str">
        <x:v>Armes d'hast</x:v>
      </x:c>
      <x:c r="E765" s="28" t="n">
        <x:f>IF(M765=0,0,M765+O765)</x:f>
        <x:v>5</x:v>
      </x:c>
      <x:c r="F765" s="28" t="n">
        <x:f>IF(M765=0,0,M765*N765+O765)</x:f>
        <x:v>10</x:v>
      </x:c>
      <x:c r="G765" s="28" t="n">
        <x:f>ROUND(Catalogue!G42*SQRT((1+'Paramètres'!$B$4*(C765-1)+'Paramètres'!$B$5*(C765-1)^2)),0)</x:f>
        <x:v>0</x:v>
      </x:c>
      <x:c r="H765" s="28" t="n">
        <x:f>ROUND(Catalogue!H42*SQRT((1+'Paramètres'!$B$4*(C765-1)+'Paramètres'!$B$5*(C765-1)^2)),0)</x:f>
        <x:v>0</x:v>
      </x:c>
      <x:c r="I765" s="28" t="n">
        <x:v>3</x:v>
      </x:c>
      <x:c r="J765" s="28" t="n">
        <x:v>2</x:v>
      </x:c>
      <x:c r="K765" s="30" t="n">
        <x:v>2.6</x:v>
      </x:c>
      <x:c r="L765" s="54" t="n">
        <x:f>IF(M765=0,0,(E765+F765)/2)</x:f>
        <x:v>7.5</x:v>
      </x:c>
      <x:c r="M765" t="n">
        <x:v>1</x:v>
      </x:c>
      <x:c r="N765" t="n">
        <x:v>6</x:v>
      </x:c>
      <x:c r="O765" t="n">
        <x:v>4</x:v>
      </x:c>
      <x:c r="P765" s="63" t="str">
        <x:f>IF(M765=0,"—",M765&amp;"d"&amp;N765&amp;IF(O765=0,""," + "&amp;O765))</x:f>
        <x:v>1d6 + 4</x:v>
      </x:c>
      <x:c r="Q765" t="n">
        <x:f>ROUND(INDEX(Catalogue!E$4:E$85,MATCH(A765,Catalogue!A$4:A$85,0))*(1+'Paramètres'!$B$4*(C765-1)+'Paramètres'!$B$5*(C765-1)^2),0)</x:f>
        <x:v>6</x:v>
      </x:c>
      <x:c r="R765" t="n">
        <x:f>ROUND(INDEX(Catalogue!F$4:F$85,MATCH(A765,Catalogue!A$4:A$85,0))*(1+'Paramètres'!$B$4*(C765-1)+'Paramètres'!$B$5*(C765-1)^2),0)</x:f>
        <x:v>10</x:v>
      </x:c>
      <x:c r="S765" t="n">
        <x:f>L765-AVERAGE(Q765:R765)</x:f>
        <x:v>-0.5</x:v>
      </x:c>
      <x:c r="T765" t="str">
        <x:f>IF(M765=0,IF(AND(N765=0,O765=0,E765=0,F765=0),"OK","ERREUR"),IF(AND(M765&gt;=1,M765&lt;=32,OR(N765=4,N765=6,N765=8,N765=10,N765=12,N765=20),O765&gt;=0,E765=M765+O765,F765=M765*N765+O765),"OK","ERREUR"))</x:f>
        <x:v>OK</x:v>
      </x:c>
      <x:c r="U765" s="86" t="n">
        <x:f>IF(M765&gt;0,M765*(N765+1)/2+O765,0)</x:f>
        <x:v>7.5</x:v>
      </x:c>
      <x:c r="V765" t="str">
        <x:f>IF(ABS(L765-U765)&lt;0.001,"OK","ERREUR")</x:f>
        <x:v>OK</x:v>
      </x:c>
    </x:row>
    <x:row r="766" ht="18" customHeight="1">
      <x:c r="A766" t="str">
        <x:v>ARM039</x:v>
      </x:c>
      <x:c r="B766" t="str">
        <x:v>Lance longue</x:v>
      </x:c>
      <x:c r="C766" t="n">
        <x:v>3</x:v>
      </x:c>
      <x:c r="D766" t="str">
        <x:v>Armes d'hast</x:v>
      </x:c>
      <x:c r="E766" s="28" t="n">
        <x:f>IF(M766=0,0,M766+O766)</x:f>
        <x:v>6</x:v>
      </x:c>
      <x:c r="F766" s="28" t="n">
        <x:f>IF(M766=0,0,M766*N766+O766)</x:f>
        <x:v>11</x:v>
      </x:c>
      <x:c r="G766" s="28" t="n">
        <x:f>ROUND(Catalogue!G42*SQRT((1+'Paramètres'!$B$4*(C766-1)+'Paramètres'!$B$5*(C766-1)^2)),0)</x:f>
        <x:v>0</x:v>
      </x:c>
      <x:c r="H766" s="28" t="n">
        <x:f>ROUND(Catalogue!H42*SQRT((1+'Paramètres'!$B$4*(C766-1)+'Paramètres'!$B$5*(C766-1)^2)),0)</x:f>
        <x:v>0</x:v>
      </x:c>
      <x:c r="I766" s="28" t="n">
        <x:v>3</x:v>
      </x:c>
      <x:c r="J766" s="28" t="n">
        <x:v>2</x:v>
      </x:c>
      <x:c r="K766" s="30" t="n">
        <x:v>2.6</x:v>
      </x:c>
      <x:c r="L766" s="54" t="n">
        <x:f>IF(M766=0,0,(E766+F766)/2)</x:f>
        <x:v>8.5</x:v>
      </x:c>
      <x:c r="M766" t="n">
        <x:v>1</x:v>
      </x:c>
      <x:c r="N766" t="n">
        <x:v>6</x:v>
      </x:c>
      <x:c r="O766" t="n">
        <x:v>5</x:v>
      </x:c>
      <x:c r="P766" s="63" t="str">
        <x:f>IF(M766=0,"—",M766&amp;"d"&amp;N766&amp;IF(O766=0,""," + "&amp;O766))</x:f>
        <x:v>1d6 + 5</x:v>
      </x:c>
      <x:c r="Q766" t="n">
        <x:f>ROUND(INDEX(Catalogue!E$4:E$85,MATCH(A766,Catalogue!A$4:A$85,0))*(1+'Paramètres'!$B$4*(C766-1)+'Paramètres'!$B$5*(C766-1)^2),0)</x:f>
        <x:v>6</x:v>
      </x:c>
      <x:c r="R766" t="n">
        <x:f>ROUND(INDEX(Catalogue!F$4:F$85,MATCH(A766,Catalogue!A$4:A$85,0))*(1+'Paramètres'!$B$4*(C766-1)+'Paramètres'!$B$5*(C766-1)^2),0)</x:f>
        <x:v>12</x:v>
      </x:c>
      <x:c r="S766" t="n">
        <x:f>L766-AVERAGE(Q766:R766)</x:f>
        <x:v>-0.5</x:v>
      </x:c>
      <x:c r="T766" t="str">
        <x:f>IF(M766=0,IF(AND(N766=0,O766=0,E766=0,F766=0),"OK","ERREUR"),IF(AND(M766&gt;=1,M766&lt;=32,OR(N766=4,N766=6,N766=8,N766=10,N766=12,N766=20),O766&gt;=0,E766=M766+O766,F766=M766*N766+O766),"OK","ERREUR"))</x:f>
        <x:v>OK</x:v>
      </x:c>
      <x:c r="U766" s="86" t="n">
        <x:f>IF(M766&gt;0,M766*(N766+1)/2+O766,0)</x:f>
        <x:v>8.5</x:v>
      </x:c>
      <x:c r="V766" t="str">
        <x:f>IF(ABS(L766-U766)&lt;0.001,"OK","ERREUR")</x:f>
        <x:v>OK</x:v>
      </x:c>
    </x:row>
    <x:row r="767" ht="18" customHeight="1">
      <x:c r="A767" t="str">
        <x:v>ARM039</x:v>
      </x:c>
      <x:c r="B767" t="str">
        <x:v>Lance longue</x:v>
      </x:c>
      <x:c r="C767" t="n">
        <x:v>4</x:v>
      </x:c>
      <x:c r="D767" t="str">
        <x:v>Armes d'hast</x:v>
      </x:c>
      <x:c r="E767" s="28" t="n">
        <x:f>IF(M767=0,0,M767+O767)</x:f>
        <x:v>7</x:v>
      </x:c>
      <x:c r="F767" s="28" t="n">
        <x:f>IF(M767=0,0,M767*N767+O767)</x:f>
        <x:v>12</x:v>
      </x:c>
      <x:c r="G767" s="28" t="n">
        <x:f>ROUND(Catalogue!G42*SQRT((1+'Paramètres'!$B$4*(C767-1)+'Paramètres'!$B$5*(C767-1)^2)),0)</x:f>
        <x:v>0</x:v>
      </x:c>
      <x:c r="H767" s="28" t="n">
        <x:f>ROUND(Catalogue!H42*SQRT((1+'Paramètres'!$B$4*(C767-1)+'Paramètres'!$B$5*(C767-1)^2)),0)</x:f>
        <x:v>0</x:v>
      </x:c>
      <x:c r="I767" s="28" t="n">
        <x:v>3</x:v>
      </x:c>
      <x:c r="J767" s="28" t="n">
        <x:v>2</x:v>
      </x:c>
      <x:c r="K767" s="30" t="n">
        <x:v>2.6</x:v>
      </x:c>
      <x:c r="L767" s="54" t="n">
        <x:f>IF(M767=0,0,(E767+F767)/2)</x:f>
        <x:v>9.5</x:v>
      </x:c>
      <x:c r="M767" t="n">
        <x:v>1</x:v>
      </x:c>
      <x:c r="N767" t="n">
        <x:v>6</x:v>
      </x:c>
      <x:c r="O767" t="n">
        <x:v>6</x:v>
      </x:c>
      <x:c r="P767" s="63" t="str">
        <x:f>IF(M767=0,"—",M767&amp;"d"&amp;N767&amp;IF(O767=0,""," + "&amp;O767))</x:f>
        <x:v>1d6 + 6</x:v>
      </x:c>
      <x:c r="Q767" t="n">
        <x:f>ROUND(INDEX(Catalogue!E$4:E$85,MATCH(A767,Catalogue!A$4:A$85,0))*(1+'Paramètres'!$B$4*(C767-1)+'Paramètres'!$B$5*(C767-1)^2),0)</x:f>
        <x:v>7</x:v>
      </x:c>
      <x:c r="R767" t="n">
        <x:f>ROUND(INDEX(Catalogue!F$4:F$85,MATCH(A767,Catalogue!A$4:A$85,0))*(1+'Paramètres'!$B$4*(C767-1)+'Paramètres'!$B$5*(C767-1)^2),0)</x:f>
        <x:v>13</x:v>
      </x:c>
      <x:c r="S767" t="n">
        <x:f>L767-AVERAGE(Q767:R767)</x:f>
        <x:v>-0.5</x:v>
      </x:c>
      <x:c r="T767" t="str">
        <x:f>IF(M767=0,IF(AND(N767=0,O767=0,E767=0,F767=0),"OK","ERREUR"),IF(AND(M767&gt;=1,M767&lt;=32,OR(N767=4,N767=6,N767=8,N767=10,N767=12,N767=20),O767&gt;=0,E767=M767+O767,F767=M767*N767+O767),"OK","ERREUR"))</x:f>
        <x:v>OK</x:v>
      </x:c>
      <x:c r="U767" s="86" t="n">
        <x:f>IF(M767&gt;0,M767*(N767+1)/2+O767,0)</x:f>
        <x:v>9.5</x:v>
      </x:c>
      <x:c r="V767" t="str">
        <x:f>IF(ABS(L767-U767)&lt;0.001,"OK","ERREUR")</x:f>
        <x:v>OK</x:v>
      </x:c>
    </x:row>
    <x:row r="768" ht="18" customHeight="1">
      <x:c r="A768" t="str">
        <x:v>ARM039</x:v>
      </x:c>
      <x:c r="B768" t="str">
        <x:v>Lance longue</x:v>
      </x:c>
      <x:c r="C768" t="n">
        <x:v>5</x:v>
      </x:c>
      <x:c r="D768" t="str">
        <x:v>Armes d'hast</x:v>
      </x:c>
      <x:c r="E768" s="28" t="n">
        <x:f>IF(M768=0,0,M768+O768)</x:f>
        <x:v>8</x:v>
      </x:c>
      <x:c r="F768" s="28" t="n">
        <x:f>IF(M768=0,0,M768*N768+O768)</x:f>
        <x:v>15</x:v>
      </x:c>
      <x:c r="G768" s="28" t="n">
        <x:f>ROUND(Catalogue!G42*SQRT((1+'Paramètres'!$B$4*(C768-1)+'Paramètres'!$B$5*(C768-1)^2)),0)</x:f>
        <x:v>0</x:v>
      </x:c>
      <x:c r="H768" s="28" t="n">
        <x:f>ROUND(Catalogue!H42*SQRT((1+'Paramètres'!$B$4*(C768-1)+'Paramètres'!$B$5*(C768-1)^2)),0)</x:f>
        <x:v>0</x:v>
      </x:c>
      <x:c r="I768" s="28" t="n">
        <x:v>3</x:v>
      </x:c>
      <x:c r="J768" s="28" t="n">
        <x:v>2</x:v>
      </x:c>
      <x:c r="K768" s="30" t="n">
        <x:v>2.6</x:v>
      </x:c>
      <x:c r="L768" s="54" t="n">
        <x:f>IF(M768=0,0,(E768+F768)/2)</x:f>
        <x:v>11.5</x:v>
      </x:c>
      <x:c r="M768" t="n">
        <x:v>1</x:v>
      </x:c>
      <x:c r="N768" t="n">
        <x:v>8</x:v>
      </x:c>
      <x:c r="O768" t="n">
        <x:v>7</x:v>
      </x:c>
      <x:c r="P768" s="63" t="str">
        <x:f>IF(M768=0,"—",M768&amp;"d"&amp;N768&amp;IF(O768=0,""," + "&amp;O768))</x:f>
        <x:v>1d8 + 7</x:v>
      </x:c>
      <x:c r="Q768" t="n">
        <x:f>ROUND(INDEX(Catalogue!E$4:E$85,MATCH(A768,Catalogue!A$4:A$85,0))*(1+'Paramètres'!$B$4*(C768-1)+'Paramètres'!$B$5*(C768-1)^2),0)</x:f>
        <x:v>8</x:v>
      </x:c>
      <x:c r="R768" t="n">
        <x:f>ROUND(INDEX(Catalogue!F$4:F$85,MATCH(A768,Catalogue!A$4:A$85,0))*(1+'Paramètres'!$B$4*(C768-1)+'Paramètres'!$B$5*(C768-1)^2),0)</x:f>
        <x:v>15</x:v>
      </x:c>
      <x:c r="S768" t="n">
        <x:f>L768-AVERAGE(Q768:R768)</x:f>
        <x:v>0</x:v>
      </x:c>
      <x:c r="T768" t="str">
        <x:f>IF(M768=0,IF(AND(N768=0,O768=0,E768=0,F768=0),"OK","ERREUR"),IF(AND(M768&gt;=1,M768&lt;=32,OR(N768=4,N768=6,N768=8,N768=10,N768=12,N768=20),O768&gt;=0,E768=M768+O768,F768=M768*N768+O768),"OK","ERREUR"))</x:f>
        <x:v>OK</x:v>
      </x:c>
      <x:c r="U768" s="86" t="n">
        <x:f>IF(M768&gt;0,M768*(N768+1)/2+O768,0)</x:f>
        <x:v>11.5</x:v>
      </x:c>
      <x:c r="V768" t="str">
        <x:f>IF(ABS(L768-U768)&lt;0.001,"OK","ERREUR")</x:f>
        <x:v>OK</x:v>
      </x:c>
    </x:row>
    <x:row r="769" ht="18" customHeight="1">
      <x:c r="A769" t="str">
        <x:v>ARM039</x:v>
      </x:c>
      <x:c r="B769" t="str">
        <x:v>Lance longue</x:v>
      </x:c>
      <x:c r="C769" t="n">
        <x:v>6</x:v>
      </x:c>
      <x:c r="D769" t="str">
        <x:v>Armes d'hast</x:v>
      </x:c>
      <x:c r="E769" s="28" t="n">
        <x:f>IF(M769=0,0,M769+O769)</x:f>
        <x:v>10</x:v>
      </x:c>
      <x:c r="F769" s="28" t="n">
        <x:f>IF(M769=0,0,M769*N769+O769)</x:f>
        <x:v>17</x:v>
      </x:c>
      <x:c r="G769" s="28" t="n">
        <x:f>ROUND(Catalogue!G42*SQRT((1+'Paramètres'!$B$4*(C769-1)+'Paramètres'!$B$5*(C769-1)^2)),0)</x:f>
        <x:v>0</x:v>
      </x:c>
      <x:c r="H769" s="28" t="n">
        <x:f>ROUND(Catalogue!H42*SQRT((1+'Paramètres'!$B$4*(C769-1)+'Paramètres'!$B$5*(C769-1)^2)),0)</x:f>
        <x:v>0</x:v>
      </x:c>
      <x:c r="I769" s="28" t="n">
        <x:v>3</x:v>
      </x:c>
      <x:c r="J769" s="28" t="n">
        <x:v>2</x:v>
      </x:c>
      <x:c r="K769" s="30" t="n">
        <x:v>2.6</x:v>
      </x:c>
      <x:c r="L769" s="54" t="n">
        <x:f>IF(M769=0,0,(E769+F769)/2)</x:f>
        <x:v>13.5</x:v>
      </x:c>
      <x:c r="M769" t="n">
        <x:v>1</x:v>
      </x:c>
      <x:c r="N769" t="n">
        <x:v>8</x:v>
      </x:c>
      <x:c r="O769" t="n">
        <x:v>9</x:v>
      </x:c>
      <x:c r="P769" s="63" t="str">
        <x:f>IF(M769=0,"—",M769&amp;"d"&amp;N769&amp;IF(O769=0,""," + "&amp;O769))</x:f>
        <x:v>1d8 + 9</x:v>
      </x:c>
      <x:c r="Q769" t="n">
        <x:f>ROUND(INDEX(Catalogue!E$4:E$85,MATCH(A769,Catalogue!A$4:A$85,0))*(1+'Paramètres'!$B$4*(C769-1)+'Paramètres'!$B$5*(C769-1)^2),0)</x:f>
        <x:v>10</x:v>
      </x:c>
      <x:c r="R769" t="n">
        <x:f>ROUND(INDEX(Catalogue!F$4:F$85,MATCH(A769,Catalogue!A$4:A$85,0))*(1+'Paramètres'!$B$4*(C769-1)+'Paramètres'!$B$5*(C769-1)^2),0)</x:f>
        <x:v>18</x:v>
      </x:c>
      <x:c r="S769" t="n">
        <x:f>L769-AVERAGE(Q769:R769)</x:f>
        <x:v>-0.5</x:v>
      </x:c>
      <x:c r="T769" t="str">
        <x:f>IF(M769=0,IF(AND(N769=0,O769=0,E769=0,F769=0),"OK","ERREUR"),IF(AND(M769&gt;=1,M769&lt;=32,OR(N769=4,N769=6,N769=8,N769=10,N769=12,N769=20),O769&gt;=0,E769=M769+O769,F769=M769*N769+O769),"OK","ERREUR"))</x:f>
        <x:v>OK</x:v>
      </x:c>
      <x:c r="U769" s="86" t="n">
        <x:f>IF(M769&gt;0,M769*(N769+1)/2+O769,0)</x:f>
        <x:v>13.5</x:v>
      </x:c>
      <x:c r="V769" t="str">
        <x:f>IF(ABS(L769-U769)&lt;0.001,"OK","ERREUR")</x:f>
        <x:v>OK</x:v>
      </x:c>
    </x:row>
    <x:row r="770" ht="18" customHeight="1">
      <x:c r="A770" t="str">
        <x:v>ARM039</x:v>
      </x:c>
      <x:c r="B770" t="str">
        <x:v>Lance longue</x:v>
      </x:c>
      <x:c r="C770" t="n">
        <x:v>7</x:v>
      </x:c>
      <x:c r="D770" t="str">
        <x:v>Armes d'hast</x:v>
      </x:c>
      <x:c r="E770" s="28" t="n">
        <x:f>IF(M770=0,0,M770+O770)</x:f>
        <x:v>11</x:v>
      </x:c>
      <x:c r="F770" s="28" t="n">
        <x:f>IF(M770=0,0,M770*N770+O770)</x:f>
        <x:v>20</x:v>
      </x:c>
      <x:c r="G770" s="28" t="n">
        <x:f>ROUND(Catalogue!G42*SQRT((1+'Paramètres'!$B$4*(C770-1)+'Paramètres'!$B$5*(C770-1)^2)),0)</x:f>
        <x:v>0</x:v>
      </x:c>
      <x:c r="H770" s="28" t="n">
        <x:f>ROUND(Catalogue!H42*SQRT((1+'Paramètres'!$B$4*(C770-1)+'Paramètres'!$B$5*(C770-1)^2)),0)</x:f>
        <x:v>0</x:v>
      </x:c>
      <x:c r="I770" s="28" t="n">
        <x:v>3</x:v>
      </x:c>
      <x:c r="J770" s="28" t="n">
        <x:v>2</x:v>
      </x:c>
      <x:c r="K770" s="30" t="n">
        <x:v>2.6</x:v>
      </x:c>
      <x:c r="L770" s="54" t="n">
        <x:f>IF(M770=0,0,(E770+F770)/2)</x:f>
        <x:v>15.5</x:v>
      </x:c>
      <x:c r="M770" t="n">
        <x:v>1</x:v>
      </x:c>
      <x:c r="N770" t="n">
        <x:v>10</x:v>
      </x:c>
      <x:c r="O770" t="n">
        <x:v>10</x:v>
      </x:c>
      <x:c r="P770" s="63" t="str">
        <x:f>IF(M770=0,"—",M770&amp;"d"&amp;N770&amp;IF(O770=0,""," + "&amp;O770))</x:f>
        <x:v>1d10 + 10</x:v>
      </x:c>
      <x:c r="Q770" t="n">
        <x:f>ROUND(INDEX(Catalogue!E$4:E$85,MATCH(A770,Catalogue!A$4:A$85,0))*(1+'Paramètres'!$B$4*(C770-1)+'Paramètres'!$B$5*(C770-1)^2),0)</x:f>
        <x:v>11</x:v>
      </x:c>
      <x:c r="R770" t="n">
        <x:f>ROUND(INDEX(Catalogue!F$4:F$85,MATCH(A770,Catalogue!A$4:A$85,0))*(1+'Paramètres'!$B$4*(C770-1)+'Paramètres'!$B$5*(C770-1)^2),0)</x:f>
        <x:v>20</x:v>
      </x:c>
      <x:c r="S770" t="n">
        <x:f>L770-AVERAGE(Q770:R770)</x:f>
        <x:v>0</x:v>
      </x:c>
      <x:c r="T770" t="str">
        <x:f>IF(M770=0,IF(AND(N770=0,O770=0,E770=0,F770=0),"OK","ERREUR"),IF(AND(M770&gt;=1,M770&lt;=32,OR(N770=4,N770=6,N770=8,N770=10,N770=12,N770=20),O770&gt;=0,E770=M770+O770,F770=M770*N770+O770),"OK","ERREUR"))</x:f>
        <x:v>OK</x:v>
      </x:c>
      <x:c r="U770" s="86" t="n">
        <x:f>IF(M770&gt;0,M770*(N770+1)/2+O770,0)</x:f>
        <x:v>15.5</x:v>
      </x:c>
      <x:c r="V770" t="str">
        <x:f>IF(ABS(L770-U770)&lt;0.001,"OK","ERREUR")</x:f>
        <x:v>OK</x:v>
      </x:c>
    </x:row>
    <x:row r="771" ht="18" customHeight="1">
      <x:c r="A771" t="str">
        <x:v>ARM039</x:v>
      </x:c>
      <x:c r="B771" t="str">
        <x:v>Lance longue</x:v>
      </x:c>
      <x:c r="C771" t="n">
        <x:v>8</x:v>
      </x:c>
      <x:c r="D771" t="str">
        <x:v>Armes d'hast</x:v>
      </x:c>
      <x:c r="E771" s="28" t="n">
        <x:f>IF(M771=0,0,M771+O771)</x:f>
        <x:v>13</x:v>
      </x:c>
      <x:c r="F771" s="28" t="n">
        <x:f>IF(M771=0,0,M771*N771+O771)</x:f>
        <x:v>23</x:v>
      </x:c>
      <x:c r="G771" s="28" t="n">
        <x:f>ROUND(Catalogue!G42*SQRT((1+'Paramètres'!$B$4*(C771-1)+'Paramètres'!$B$5*(C771-1)^2)),0)</x:f>
        <x:v>0</x:v>
      </x:c>
      <x:c r="H771" s="28" t="n">
        <x:f>ROUND(Catalogue!H42*SQRT((1+'Paramètres'!$B$4*(C771-1)+'Paramètres'!$B$5*(C771-1)^2)),0)</x:f>
        <x:v>0</x:v>
      </x:c>
      <x:c r="I771" s="28" t="n">
        <x:v>3</x:v>
      </x:c>
      <x:c r="J771" s="28" t="n">
        <x:v>2</x:v>
      </x:c>
      <x:c r="K771" s="30" t="n">
        <x:v>2.6</x:v>
      </x:c>
      <x:c r="L771" s="54" t="n">
        <x:f>IF(M771=0,0,(E771+F771)/2)</x:f>
        <x:v>18</x:v>
      </x:c>
      <x:c r="M771" t="n">
        <x:v>2</x:v>
      </x:c>
      <x:c r="N771" t="n">
        <x:v>6</x:v>
      </x:c>
      <x:c r="O771" t="n">
        <x:v>11</x:v>
      </x:c>
      <x:c r="P771" s="63" t="str">
        <x:f>IF(M771=0,"—",M771&amp;"d"&amp;N771&amp;IF(O771=0,""," + "&amp;O771))</x:f>
        <x:v>2d6 + 11</x:v>
      </x:c>
      <x:c r="Q771" t="n">
        <x:f>ROUND(INDEX(Catalogue!E$4:E$85,MATCH(A771,Catalogue!A$4:A$85,0))*(1+'Paramètres'!$B$4*(C771-1)+'Paramètres'!$B$5*(C771-1)^2),0)</x:f>
        <x:v>13</x:v>
      </x:c>
      <x:c r="R771" t="n">
        <x:f>ROUND(INDEX(Catalogue!F$4:F$85,MATCH(A771,Catalogue!A$4:A$85,0))*(1+'Paramètres'!$B$4*(C771-1)+'Paramètres'!$B$5*(C771-1)^2),0)</x:f>
        <x:v>23</x:v>
      </x:c>
      <x:c r="S771" t="n">
        <x:f>L771-AVERAGE(Q771:R771)</x:f>
        <x:v>0</x:v>
      </x:c>
      <x:c r="T771" t="str">
        <x:f>IF(M771=0,IF(AND(N771=0,O771=0,E771=0,F771=0),"OK","ERREUR"),IF(AND(M771&gt;=1,M771&lt;=32,OR(N771=4,N771=6,N771=8,N771=10,N771=12,N771=20),O771&gt;=0,E771=M771+O771,F771=M771*N771+O771),"OK","ERREUR"))</x:f>
        <x:v>OK</x:v>
      </x:c>
      <x:c r="U771" s="86" t="n">
        <x:f>IF(M771&gt;0,M771*(N771+1)/2+O771,0)</x:f>
        <x:v>18</x:v>
      </x:c>
      <x:c r="V771" t="str">
        <x:f>IF(ABS(L771-U771)&lt;0.001,"OK","ERREUR")</x:f>
        <x:v>OK</x:v>
      </x:c>
    </x:row>
    <x:row r="772" ht="18" customHeight="1">
      <x:c r="A772" t="str">
        <x:v>ARM039</x:v>
      </x:c>
      <x:c r="B772" t="str">
        <x:v>Lance longue</x:v>
      </x:c>
      <x:c r="C772" t="n">
        <x:v>9</x:v>
      </x:c>
      <x:c r="D772" t="str">
        <x:v>Armes d'hast</x:v>
      </x:c>
      <x:c r="E772" s="28" t="n">
        <x:f>IF(M772=0,0,M772+O772)</x:f>
        <x:v>15</x:v>
      </x:c>
      <x:c r="F772" s="28" t="n">
        <x:f>IF(M772=0,0,M772*N772+O772)</x:f>
        <x:v>26</x:v>
      </x:c>
      <x:c r="G772" s="28" t="n">
        <x:f>ROUND(Catalogue!G42*SQRT((1+'Paramètres'!$B$4*(C772-1)+'Paramètres'!$B$5*(C772-1)^2)),0)</x:f>
        <x:v>0</x:v>
      </x:c>
      <x:c r="H772" s="28" t="n">
        <x:f>ROUND(Catalogue!H42*SQRT((1+'Paramètres'!$B$4*(C772-1)+'Paramètres'!$B$5*(C772-1)^2)),0)</x:f>
        <x:v>0</x:v>
      </x:c>
      <x:c r="I772" s="28" t="n">
        <x:v>3</x:v>
      </x:c>
      <x:c r="J772" s="28" t="n">
        <x:v>2</x:v>
      </x:c>
      <x:c r="K772" s="30" t="n">
        <x:v>2.6</x:v>
      </x:c>
      <x:c r="L772" s="54" t="n">
        <x:f>IF(M772=0,0,(E772+F772)/2)</x:f>
        <x:v>20.5</x:v>
      </x:c>
      <x:c r="M772" t="n">
        <x:v>1</x:v>
      </x:c>
      <x:c r="N772" t="n">
        <x:v>12</x:v>
      </x:c>
      <x:c r="O772" t="n">
        <x:v>14</x:v>
      </x:c>
      <x:c r="P772" s="63" t="str">
        <x:f>IF(M772=0,"—",M772&amp;"d"&amp;N772&amp;IF(O772=0,""," + "&amp;O772))</x:f>
        <x:v>1d12 + 14</x:v>
      </x:c>
      <x:c r="Q772" t="n">
        <x:f>ROUND(INDEX(Catalogue!E$4:E$85,MATCH(A772,Catalogue!A$4:A$85,0))*(1+'Paramètres'!$B$4*(C772-1)+'Paramètres'!$B$5*(C772-1)^2),0)</x:f>
        <x:v>15</x:v>
      </x:c>
      <x:c r="R772" t="n">
        <x:f>ROUND(INDEX(Catalogue!F$4:F$85,MATCH(A772,Catalogue!A$4:A$85,0))*(1+'Paramètres'!$B$4*(C772-1)+'Paramètres'!$B$5*(C772-1)^2),0)</x:f>
        <x:v>26</x:v>
      </x:c>
      <x:c r="S772" t="n">
        <x:f>L772-AVERAGE(Q772:R772)</x:f>
        <x:v>0</x:v>
      </x:c>
      <x:c r="T772" t="str">
        <x:f>IF(M772=0,IF(AND(N772=0,O772=0,E772=0,F772=0),"OK","ERREUR"),IF(AND(M772&gt;=1,M772&lt;=32,OR(N772=4,N772=6,N772=8,N772=10,N772=12,N772=20),O772&gt;=0,E772=M772+O772,F772=M772*N772+O772),"OK","ERREUR"))</x:f>
        <x:v>OK</x:v>
      </x:c>
      <x:c r="U772" s="86" t="n">
        <x:f>IF(M772&gt;0,M772*(N772+1)/2+O772,0)</x:f>
        <x:v>20.5</x:v>
      </x:c>
      <x:c r="V772" t="str">
        <x:f>IF(ABS(L772-U772)&lt;0.001,"OK","ERREUR")</x:f>
        <x:v>OK</x:v>
      </x:c>
    </x:row>
    <x:row r="773" ht="18" customHeight="1">
      <x:c r="A773" t="str">
        <x:v>ARM039</x:v>
      </x:c>
      <x:c r="B773" t="str">
        <x:v>Lance longue</x:v>
      </x:c>
      <x:c r="C773" t="n">
        <x:v>10</x:v>
      </x:c>
      <x:c r="D773" t="str">
        <x:v>Armes d'hast</x:v>
      </x:c>
      <x:c r="E773" s="28" t="n">
        <x:f>IF(M773=0,0,M773+O773)</x:f>
        <x:v>16</x:v>
      </x:c>
      <x:c r="F773" s="28" t="n">
        <x:f>IF(M773=0,0,M773*N773+O773)</x:f>
        <x:v>30</x:v>
      </x:c>
      <x:c r="G773" s="28" t="n">
        <x:f>ROUND(Catalogue!G42*SQRT((1+'Paramètres'!$B$4*(C773-1)+'Paramètres'!$B$5*(C773-1)^2)),0)</x:f>
        <x:v>0</x:v>
      </x:c>
      <x:c r="H773" s="28" t="n">
        <x:f>ROUND(Catalogue!H42*SQRT((1+'Paramètres'!$B$4*(C773-1)+'Paramètres'!$B$5*(C773-1)^2)),0)</x:f>
        <x:v>0</x:v>
      </x:c>
      <x:c r="I773" s="28" t="n">
        <x:v>3</x:v>
      </x:c>
      <x:c r="J773" s="28" t="n">
        <x:v>2</x:v>
      </x:c>
      <x:c r="K773" s="30" t="n">
        <x:v>2.6</x:v>
      </x:c>
      <x:c r="L773" s="54" t="n">
        <x:f>IF(M773=0,0,(E773+F773)/2)</x:f>
        <x:v>23</x:v>
      </x:c>
      <x:c r="M773" t="n">
        <x:v>2</x:v>
      </x:c>
      <x:c r="N773" t="n">
        <x:v>8</x:v>
      </x:c>
      <x:c r="O773" t="n">
        <x:v>14</x:v>
      </x:c>
      <x:c r="P773" s="63" t="str">
        <x:f>IF(M773=0,"—",M773&amp;"d"&amp;N773&amp;IF(O773=0,""," + "&amp;O773))</x:f>
        <x:v>2d8 + 14</x:v>
      </x:c>
      <x:c r="Q773" t="n">
        <x:f>ROUND(INDEX(Catalogue!E$4:E$85,MATCH(A773,Catalogue!A$4:A$85,0))*(1+'Paramètres'!$B$4*(C773-1)+'Paramètres'!$B$5*(C773-1)^2),0)</x:f>
        <x:v>16</x:v>
      </x:c>
      <x:c r="R773" t="n">
        <x:f>ROUND(INDEX(Catalogue!F$4:F$85,MATCH(A773,Catalogue!A$4:A$85,0))*(1+'Paramètres'!$B$4*(C773-1)+'Paramètres'!$B$5*(C773-1)^2),0)</x:f>
        <x:v>30</x:v>
      </x:c>
      <x:c r="S773" t="n">
        <x:f>L773-AVERAGE(Q773:R773)</x:f>
        <x:v>0</x:v>
      </x:c>
      <x:c r="T773" t="str">
        <x:f>IF(M773=0,IF(AND(N773=0,O773=0,E773=0,F773=0),"OK","ERREUR"),IF(AND(M773&gt;=1,M773&lt;=32,OR(N773=4,N773=6,N773=8,N773=10,N773=12,N773=20),O773&gt;=0,E773=M773+O773,F773=M773*N773+O773),"OK","ERREUR"))</x:f>
        <x:v>OK</x:v>
      </x:c>
      <x:c r="U773" s="86" t="n">
        <x:f>IF(M773&gt;0,M773*(N773+1)/2+O773,0)</x:f>
        <x:v>23</x:v>
      </x:c>
      <x:c r="V773" t="str">
        <x:f>IF(ABS(L773-U773)&lt;0.001,"OK","ERREUR")</x:f>
        <x:v>OK</x:v>
      </x:c>
    </x:row>
    <x:row r="774" ht="18" customHeight="1">
      <x:c r="A774" t="str">
        <x:v>ARM039</x:v>
      </x:c>
      <x:c r="B774" t="str">
        <x:v>Lance longue</x:v>
      </x:c>
      <x:c r="C774" t="n">
        <x:v>11</x:v>
      </x:c>
      <x:c r="D774" t="str">
        <x:v>Armes d'hast</x:v>
      </x:c>
      <x:c r="E774" s="28" t="n">
        <x:f>IF(M774=0,0,M774+O774)</x:f>
        <x:v>19</x:v>
      </x:c>
      <x:c r="F774" s="28" t="n">
        <x:f>IF(M774=0,0,M774*N774+O774)</x:f>
        <x:v>33</x:v>
      </x:c>
      <x:c r="G774" s="28" t="n">
        <x:f>ROUND(Catalogue!G42*SQRT((1+'Paramètres'!$B$4*(C774-1)+'Paramètres'!$B$5*(C774-1)^2)),0)</x:f>
        <x:v>0</x:v>
      </x:c>
      <x:c r="H774" s="28" t="n">
        <x:f>ROUND(Catalogue!H42*SQRT((1+'Paramètres'!$B$4*(C774-1)+'Paramètres'!$B$5*(C774-1)^2)),0)</x:f>
        <x:v>0</x:v>
      </x:c>
      <x:c r="I774" s="28" t="n">
        <x:v>3</x:v>
      </x:c>
      <x:c r="J774" s="28" t="n">
        <x:v>2</x:v>
      </x:c>
      <x:c r="K774" s="30" t="n">
        <x:v>2.6</x:v>
      </x:c>
      <x:c r="L774" s="54" t="n">
        <x:f>IF(M774=0,0,(E774+F774)/2)</x:f>
        <x:v>26</x:v>
      </x:c>
      <x:c r="M774" t="n">
        <x:v>2</x:v>
      </x:c>
      <x:c r="N774" t="n">
        <x:v>8</x:v>
      </x:c>
      <x:c r="O774" t="n">
        <x:v>17</x:v>
      </x:c>
      <x:c r="P774" s="63" t="str">
        <x:f>IF(M774=0,"—",M774&amp;"d"&amp;N774&amp;IF(O774=0,""," + "&amp;O774))</x:f>
        <x:v>2d8 + 17</x:v>
      </x:c>
      <x:c r="Q774" t="n">
        <x:f>ROUND(INDEX(Catalogue!E$4:E$85,MATCH(A774,Catalogue!A$4:A$85,0))*(1+'Paramètres'!$B$4*(C774-1)+'Paramètres'!$B$5*(C774-1)^2),0)</x:f>
        <x:v>19</x:v>
      </x:c>
      <x:c r="R774" t="n">
        <x:f>ROUND(INDEX(Catalogue!F$4:F$85,MATCH(A774,Catalogue!A$4:A$85,0))*(1+'Paramètres'!$B$4*(C774-1)+'Paramètres'!$B$5*(C774-1)^2),0)</x:f>
        <x:v>33</x:v>
      </x:c>
      <x:c r="S774" t="n">
        <x:f>L774-AVERAGE(Q774:R774)</x:f>
        <x:v>0</x:v>
      </x:c>
      <x:c r="T774" t="str">
        <x:f>IF(M774=0,IF(AND(N774=0,O774=0,E774=0,F774=0),"OK","ERREUR"),IF(AND(M774&gt;=1,M774&lt;=32,OR(N774=4,N774=6,N774=8,N774=10,N774=12,N774=20),O774&gt;=0,E774=M774+O774,F774=M774*N774+O774),"OK","ERREUR"))</x:f>
        <x:v>OK</x:v>
      </x:c>
      <x:c r="U774" s="86" t="n">
        <x:f>IF(M774&gt;0,M774*(N774+1)/2+O774,0)</x:f>
        <x:v>26</x:v>
      </x:c>
      <x:c r="V774" t="str">
        <x:f>IF(ABS(L774-U774)&lt;0.001,"OK","ERREUR")</x:f>
        <x:v>OK</x:v>
      </x:c>
    </x:row>
    <x:row r="775" ht="18" customHeight="1">
      <x:c r="A775" t="str">
        <x:v>ARM039</x:v>
      </x:c>
      <x:c r="B775" t="str">
        <x:v>Lance longue</x:v>
      </x:c>
      <x:c r="C775" t="n">
        <x:v>12</x:v>
      </x:c>
      <x:c r="D775" t="str">
        <x:v>Armes d'hast</x:v>
      </x:c>
      <x:c r="E775" s="28" t="n">
        <x:f>IF(M775=0,0,M775+O775)</x:f>
        <x:v>21</x:v>
      </x:c>
      <x:c r="F775" s="28" t="n">
        <x:f>IF(M775=0,0,M775*N775+O775)</x:f>
        <x:v>36</x:v>
      </x:c>
      <x:c r="G775" s="28" t="n">
        <x:f>ROUND(Catalogue!G42*SQRT((1+'Paramètres'!$B$4*(C775-1)+'Paramètres'!$B$5*(C775-1)^2)),0)</x:f>
        <x:v>0</x:v>
      </x:c>
      <x:c r="H775" s="28" t="n">
        <x:f>ROUND(Catalogue!H42*SQRT((1+'Paramètres'!$B$4*(C775-1)+'Paramètres'!$B$5*(C775-1)^2)),0)</x:f>
        <x:v>0</x:v>
      </x:c>
      <x:c r="I775" s="28" t="n">
        <x:v>3</x:v>
      </x:c>
      <x:c r="J775" s="28" t="n">
        <x:v>2</x:v>
      </x:c>
      <x:c r="K775" s="30" t="n">
        <x:v>2.6</x:v>
      </x:c>
      <x:c r="L775" s="54" t="n">
        <x:f>IF(M775=0,0,(E775+F775)/2)</x:f>
        <x:v>28.5</x:v>
      </x:c>
      <x:c r="M775" t="n">
        <x:v>3</x:v>
      </x:c>
      <x:c r="N775" t="n">
        <x:v>6</x:v>
      </x:c>
      <x:c r="O775" t="n">
        <x:v>18</x:v>
      </x:c>
      <x:c r="P775" s="63" t="str">
        <x:f>IF(M775=0,"—",M775&amp;"d"&amp;N775&amp;IF(O775=0,""," + "&amp;O775))</x:f>
        <x:v>3d6 + 18</x:v>
      </x:c>
      <x:c r="Q775" t="n">
        <x:f>ROUND(INDEX(Catalogue!E$4:E$85,MATCH(A775,Catalogue!A$4:A$85,0))*(1+'Paramètres'!$B$4*(C775-1)+'Paramètres'!$B$5*(C775-1)^2),0)</x:f>
        <x:v>21</x:v>
      </x:c>
      <x:c r="R775" t="n">
        <x:f>ROUND(INDEX(Catalogue!F$4:F$85,MATCH(A775,Catalogue!A$4:A$85,0))*(1+'Paramètres'!$B$4*(C775-1)+'Paramètres'!$B$5*(C775-1)^2),0)</x:f>
        <x:v>37</x:v>
      </x:c>
      <x:c r="S775" t="n">
        <x:f>L775-AVERAGE(Q775:R775)</x:f>
        <x:v>-0.5</x:v>
      </x:c>
      <x:c r="T775" t="str">
        <x:f>IF(M775=0,IF(AND(N775=0,O775=0,E775=0,F775=0),"OK","ERREUR"),IF(AND(M775&gt;=1,M775&lt;=32,OR(N775=4,N775=6,N775=8,N775=10,N775=12,N775=20),O775&gt;=0,E775=M775+O775,F775=M775*N775+O775),"OK","ERREUR"))</x:f>
        <x:v>OK</x:v>
      </x:c>
      <x:c r="U775" s="86" t="n">
        <x:f>IF(M775&gt;0,M775*(N775+1)/2+O775,0)</x:f>
        <x:v>28.5</x:v>
      </x:c>
      <x:c r="V775" t="str">
        <x:f>IF(ABS(L775-U775)&lt;0.001,"OK","ERREUR")</x:f>
        <x:v>OK</x:v>
      </x:c>
    </x:row>
    <x:row r="776" ht="18" customHeight="1">
      <x:c r="A776" t="str">
        <x:v>ARM039</x:v>
      </x:c>
      <x:c r="B776" t="str">
        <x:v>Lance longue</x:v>
      </x:c>
      <x:c r="C776" t="n">
        <x:v>13</x:v>
      </x:c>
      <x:c r="D776" t="str">
        <x:v>Armes d'hast</x:v>
      </x:c>
      <x:c r="E776" s="28" t="n">
        <x:f>IF(M776=0,0,M776+O776)</x:f>
        <x:v>23</x:v>
      </x:c>
      <x:c r="F776" s="28" t="n">
        <x:f>IF(M776=0,0,M776*N776+O776)</x:f>
        <x:v>41</x:v>
      </x:c>
      <x:c r="G776" s="28" t="n">
        <x:f>ROUND(Catalogue!G42*SQRT((1+'Paramètres'!$B$4*(C776-1)+'Paramètres'!$B$5*(C776-1)^2)),0)</x:f>
        <x:v>0</x:v>
      </x:c>
      <x:c r="H776" s="28" t="n">
        <x:f>ROUND(Catalogue!H42*SQRT((1+'Paramètres'!$B$4*(C776-1)+'Paramètres'!$B$5*(C776-1)^2)),0)</x:f>
        <x:v>0</x:v>
      </x:c>
      <x:c r="I776" s="28" t="n">
        <x:v>3</x:v>
      </x:c>
      <x:c r="J776" s="28" t="n">
        <x:v>2</x:v>
      </x:c>
      <x:c r="K776" s="30" t="n">
        <x:v>2.6</x:v>
      </x:c>
      <x:c r="L776" s="54" t="n">
        <x:f>IF(M776=0,0,(E776+F776)/2)</x:f>
        <x:v>32</x:v>
      </x:c>
      <x:c r="M776" t="n">
        <x:v>2</x:v>
      </x:c>
      <x:c r="N776" t="n">
        <x:v>10</x:v>
      </x:c>
      <x:c r="O776" t="n">
        <x:v>21</x:v>
      </x:c>
      <x:c r="P776" s="63" t="str">
        <x:f>IF(M776=0,"—",M776&amp;"d"&amp;N776&amp;IF(O776=0,""," + "&amp;O776))</x:f>
        <x:v>2d10 + 21</x:v>
      </x:c>
      <x:c r="Q776" t="n">
        <x:f>ROUND(INDEX(Catalogue!E$4:E$85,MATCH(A776,Catalogue!A$4:A$85,0))*(1+'Paramètres'!$B$4*(C776-1)+'Paramètres'!$B$5*(C776-1)^2),0)</x:f>
        <x:v>23</x:v>
      </x:c>
      <x:c r="R776" t="n">
        <x:f>ROUND(INDEX(Catalogue!F$4:F$85,MATCH(A776,Catalogue!A$4:A$85,0))*(1+'Paramètres'!$B$4*(C776-1)+'Paramètres'!$B$5*(C776-1)^2),0)</x:f>
        <x:v>42</x:v>
      </x:c>
      <x:c r="S776" t="n">
        <x:f>L776-AVERAGE(Q776:R776)</x:f>
        <x:v>-0.5</x:v>
      </x:c>
      <x:c r="T776" t="str">
        <x:f>IF(M776=0,IF(AND(N776=0,O776=0,E776=0,F776=0),"OK","ERREUR"),IF(AND(M776&gt;=1,M776&lt;=32,OR(N776=4,N776=6,N776=8,N776=10,N776=12,N776=20),O776&gt;=0,E776=M776+O776,F776=M776*N776+O776),"OK","ERREUR"))</x:f>
        <x:v>OK</x:v>
      </x:c>
      <x:c r="U776" s="86" t="n">
        <x:f>IF(M776&gt;0,M776*(N776+1)/2+O776,0)</x:f>
        <x:v>32</x:v>
      </x:c>
      <x:c r="V776" t="str">
        <x:f>IF(ABS(L776-U776)&lt;0.001,"OK","ERREUR")</x:f>
        <x:v>OK</x:v>
      </x:c>
    </x:row>
    <x:row r="777" ht="18" customHeight="1">
      <x:c r="A777" t="str">
        <x:v>ARM039</x:v>
      </x:c>
      <x:c r="B777" t="str">
        <x:v>Lance longue</x:v>
      </x:c>
      <x:c r="C777" t="n">
        <x:v>14</x:v>
      </x:c>
      <x:c r="D777" t="str">
        <x:v>Armes d'hast</x:v>
      </x:c>
      <x:c r="E777" s="28" t="n">
        <x:f>IF(M777=0,0,M777+O777)</x:f>
        <x:v>26</x:v>
      </x:c>
      <x:c r="F777" s="28" t="n">
        <x:f>IF(M777=0,0,M777*N777+O777)</x:f>
        <x:v>46</x:v>
      </x:c>
      <x:c r="G777" s="28" t="n">
        <x:f>ROUND(Catalogue!G42*SQRT((1+'Paramètres'!$B$4*(C777-1)+'Paramètres'!$B$5*(C777-1)^2)),0)</x:f>
        <x:v>0</x:v>
      </x:c>
      <x:c r="H777" s="28" t="n">
        <x:f>ROUND(Catalogue!H42*SQRT((1+'Paramètres'!$B$4*(C777-1)+'Paramètres'!$B$5*(C777-1)^2)),0)</x:f>
        <x:v>0</x:v>
      </x:c>
      <x:c r="I777" s="28" t="n">
        <x:v>3</x:v>
      </x:c>
      <x:c r="J777" s="28" t="n">
        <x:v>2</x:v>
      </x:c>
      <x:c r="K777" s="30" t="n">
        <x:v>2.6</x:v>
      </x:c>
      <x:c r="L777" s="54" t="n">
        <x:f>IF(M777=0,0,(E777+F777)/2)</x:f>
        <x:v>36</x:v>
      </x:c>
      <x:c r="M777" t="n">
        <x:v>4</x:v>
      </x:c>
      <x:c r="N777" t="n">
        <x:v>6</x:v>
      </x:c>
      <x:c r="O777" t="n">
        <x:v>22</x:v>
      </x:c>
      <x:c r="P777" s="63" t="str">
        <x:f>IF(M777=0,"—",M777&amp;"d"&amp;N777&amp;IF(O777=0,""," + "&amp;O777))</x:f>
        <x:v>4d6 + 22</x:v>
      </x:c>
      <x:c r="Q777" t="n">
        <x:f>ROUND(INDEX(Catalogue!E$4:E$85,MATCH(A777,Catalogue!A$4:A$85,0))*(1+'Paramètres'!$B$4*(C777-1)+'Paramètres'!$B$5*(C777-1)^2),0)</x:f>
        <x:v>26</x:v>
      </x:c>
      <x:c r="R777" t="n">
        <x:f>ROUND(INDEX(Catalogue!F$4:F$85,MATCH(A777,Catalogue!A$4:A$85,0))*(1+'Paramètres'!$B$4*(C777-1)+'Paramètres'!$B$5*(C777-1)^2),0)</x:f>
        <x:v>46</x:v>
      </x:c>
      <x:c r="S777" t="n">
        <x:f>L777-AVERAGE(Q777:R777)</x:f>
        <x:v>0</x:v>
      </x:c>
      <x:c r="T777" t="str">
        <x:f>IF(M777=0,IF(AND(N777=0,O777=0,E777=0,F777=0),"OK","ERREUR"),IF(AND(M777&gt;=1,M777&lt;=32,OR(N777=4,N777=6,N777=8,N777=10,N777=12,N777=20),O777&gt;=0,E777=M777+O777,F777=M777*N777+O777),"OK","ERREUR"))</x:f>
        <x:v>OK</x:v>
      </x:c>
      <x:c r="U777" s="86" t="n">
        <x:f>IF(M777&gt;0,M777*(N777+1)/2+O777,0)</x:f>
        <x:v>36</x:v>
      </x:c>
      <x:c r="V777" t="str">
        <x:f>IF(ABS(L777-U777)&lt;0.001,"OK","ERREUR")</x:f>
        <x:v>OK</x:v>
      </x:c>
    </x:row>
    <x:row r="778" ht="18" customHeight="1">
      <x:c r="A778" t="str">
        <x:v>ARM039</x:v>
      </x:c>
      <x:c r="B778" t="str">
        <x:v>Lance longue</x:v>
      </x:c>
      <x:c r="C778" t="n">
        <x:v>15</x:v>
      </x:c>
      <x:c r="D778" t="str">
        <x:v>Armes d'hast</x:v>
      </x:c>
      <x:c r="E778" s="28" t="n">
        <x:f>IF(M778=0,0,M778+O778)</x:f>
        <x:v>28</x:v>
      </x:c>
      <x:c r="F778" s="28" t="n">
        <x:f>IF(M778=0,0,M778*N778+O778)</x:f>
        <x:v>50</x:v>
      </x:c>
      <x:c r="G778" s="28" t="n">
        <x:f>ROUND(Catalogue!G42*SQRT((1+'Paramètres'!$B$4*(C778-1)+'Paramètres'!$B$5*(C778-1)^2)),0)</x:f>
        <x:v>0</x:v>
      </x:c>
      <x:c r="H778" s="28" t="n">
        <x:f>ROUND(Catalogue!H42*SQRT((1+'Paramètres'!$B$4*(C778-1)+'Paramètres'!$B$5*(C778-1)^2)),0)</x:f>
        <x:v>0</x:v>
      </x:c>
      <x:c r="I778" s="28" t="n">
        <x:v>3</x:v>
      </x:c>
      <x:c r="J778" s="28" t="n">
        <x:v>2</x:v>
      </x:c>
      <x:c r="K778" s="30" t="n">
        <x:v>2.6</x:v>
      </x:c>
      <x:c r="L778" s="54" t="n">
        <x:f>IF(M778=0,0,(E778+F778)/2)</x:f>
        <x:v>39</x:v>
      </x:c>
      <x:c r="M778" t="n">
        <x:v>2</x:v>
      </x:c>
      <x:c r="N778" t="n">
        <x:v>12</x:v>
      </x:c>
      <x:c r="O778" t="n">
        <x:v>26</x:v>
      </x:c>
      <x:c r="P778" s="63" t="str">
        <x:f>IF(M778=0,"—",M778&amp;"d"&amp;N778&amp;IF(O778=0,""," + "&amp;O778))</x:f>
        <x:v>2d12 + 26</x:v>
      </x:c>
      <x:c r="Q778" t="n">
        <x:f>ROUND(INDEX(Catalogue!E$4:E$85,MATCH(A778,Catalogue!A$4:A$85,0))*(1+'Paramètres'!$B$4*(C778-1)+'Paramètres'!$B$5*(C778-1)^2),0)</x:f>
        <x:v>28</x:v>
      </x:c>
      <x:c r="R778" t="n">
        <x:f>ROUND(INDEX(Catalogue!F$4:F$85,MATCH(A778,Catalogue!A$4:A$85,0))*(1+'Paramètres'!$B$4*(C778-1)+'Paramètres'!$B$5*(C778-1)^2),0)</x:f>
        <x:v>51</x:v>
      </x:c>
      <x:c r="S778" t="n">
        <x:f>L778-AVERAGE(Q778:R778)</x:f>
        <x:v>-0.5</x:v>
      </x:c>
      <x:c r="T778" t="str">
        <x:f>IF(M778=0,IF(AND(N778=0,O778=0,E778=0,F778=0),"OK","ERREUR"),IF(AND(M778&gt;=1,M778&lt;=32,OR(N778=4,N778=6,N778=8,N778=10,N778=12,N778=20),O778&gt;=0,E778=M778+O778,F778=M778*N778+O778),"OK","ERREUR"))</x:f>
        <x:v>OK</x:v>
      </x:c>
      <x:c r="U778" s="86" t="n">
        <x:f>IF(M778&gt;0,M778*(N778+1)/2+O778,0)</x:f>
        <x:v>39</x:v>
      </x:c>
      <x:c r="V778" t="str">
        <x:f>IF(ABS(L778-U778)&lt;0.001,"OK","ERREUR")</x:f>
        <x:v>OK</x:v>
      </x:c>
    </x:row>
    <x:row r="779" ht="18" customHeight="1">
      <x:c r="A779" t="str">
        <x:v>ARM039</x:v>
      </x:c>
      <x:c r="B779" t="str">
        <x:v>Lance longue</x:v>
      </x:c>
      <x:c r="C779" t="n">
        <x:v>16</x:v>
      </x:c>
      <x:c r="D779" t="str">
        <x:v>Armes d'hast</x:v>
      </x:c>
      <x:c r="E779" s="28" t="n">
        <x:f>IF(M779=0,0,M779+O779)</x:f>
        <x:v>31</x:v>
      </x:c>
      <x:c r="F779" s="28" t="n">
        <x:f>IF(M779=0,0,M779*N779+O779)</x:f>
        <x:v>56</x:v>
      </x:c>
      <x:c r="G779" s="28" t="n">
        <x:f>ROUND(Catalogue!G42*SQRT((1+'Paramètres'!$B$4*(C779-1)+'Paramètres'!$B$5*(C779-1)^2)),0)</x:f>
        <x:v>0</x:v>
      </x:c>
      <x:c r="H779" s="28" t="n">
        <x:f>ROUND(Catalogue!H42*SQRT((1+'Paramètres'!$B$4*(C779-1)+'Paramètres'!$B$5*(C779-1)^2)),0)</x:f>
        <x:v>0</x:v>
      </x:c>
      <x:c r="I779" s="28" t="n">
        <x:v>3</x:v>
      </x:c>
      <x:c r="J779" s="28" t="n">
        <x:v>2</x:v>
      </x:c>
      <x:c r="K779" s="30" t="n">
        <x:v>2.6</x:v>
      </x:c>
      <x:c r="L779" s="54" t="n">
        <x:f>IF(M779=0,0,(E779+F779)/2)</x:f>
        <x:v>43.5</x:v>
      </x:c>
      <x:c r="M779" t="n">
        <x:v>5</x:v>
      </x:c>
      <x:c r="N779" t="n">
        <x:v>6</x:v>
      </x:c>
      <x:c r="O779" t="n">
        <x:v>26</x:v>
      </x:c>
      <x:c r="P779" s="63" t="str">
        <x:f>IF(M779=0,"—",M779&amp;"d"&amp;N779&amp;IF(O779=0,""," + "&amp;O779))</x:f>
        <x:v>5d6 + 26</x:v>
      </x:c>
      <x:c r="Q779" t="n">
        <x:f>ROUND(INDEX(Catalogue!E$4:E$85,MATCH(A779,Catalogue!A$4:A$85,0))*(1+'Paramètres'!$B$4*(C779-1)+'Paramètres'!$B$5*(C779-1)^2),0)</x:f>
        <x:v>31</x:v>
      </x:c>
      <x:c r="R779" t="n">
        <x:f>ROUND(INDEX(Catalogue!F$4:F$85,MATCH(A779,Catalogue!A$4:A$85,0))*(1+'Paramètres'!$B$4*(C779-1)+'Paramètres'!$B$5*(C779-1)^2),0)</x:f>
        <x:v>56</x:v>
      </x:c>
      <x:c r="S779" t="n">
        <x:f>L779-AVERAGE(Q779:R779)</x:f>
        <x:v>0</x:v>
      </x:c>
      <x:c r="T779" t="str">
        <x:f>IF(M779=0,IF(AND(N779=0,O779=0,E779=0,F779=0),"OK","ERREUR"),IF(AND(M779&gt;=1,M779&lt;=32,OR(N779=4,N779=6,N779=8,N779=10,N779=12,N779=20),O779&gt;=0,E779=M779+O779,F779=M779*N779+O779),"OK","ERREUR"))</x:f>
        <x:v>OK</x:v>
      </x:c>
      <x:c r="U779" s="86" t="n">
        <x:f>IF(M779&gt;0,M779*(N779+1)/2+O779,0)</x:f>
        <x:v>43.5</x:v>
      </x:c>
      <x:c r="V779" t="str">
        <x:f>IF(ABS(L779-U779)&lt;0.001,"OK","ERREUR")</x:f>
        <x:v>OK</x:v>
      </x:c>
    </x:row>
    <x:row r="780" ht="18" customHeight="1">
      <x:c r="A780" t="str">
        <x:v>ARM039</x:v>
      </x:c>
      <x:c r="B780" t="str">
        <x:v>Lance longue</x:v>
      </x:c>
      <x:c r="C780" t="n">
        <x:v>17</x:v>
      </x:c>
      <x:c r="D780" t="str">
        <x:v>Armes d'hast</x:v>
      </x:c>
      <x:c r="E780" s="28" t="n">
        <x:f>IF(M780=0,0,M780+O780)</x:f>
        <x:v>34</x:v>
      </x:c>
      <x:c r="F780" s="28" t="n">
        <x:f>IF(M780=0,0,M780*N780+O780)</x:f>
        <x:v>62</x:v>
      </x:c>
      <x:c r="G780" s="28" t="n">
        <x:f>ROUND(Catalogue!G42*SQRT((1+'Paramètres'!$B$4*(C780-1)+'Paramètres'!$B$5*(C780-1)^2)),0)</x:f>
        <x:v>0</x:v>
      </x:c>
      <x:c r="H780" s="28" t="n">
        <x:f>ROUND(Catalogue!H42*SQRT((1+'Paramètres'!$B$4*(C780-1)+'Paramètres'!$B$5*(C780-1)^2)),0)</x:f>
        <x:v>0</x:v>
      </x:c>
      <x:c r="I780" s="28" t="n">
        <x:v>3</x:v>
      </x:c>
      <x:c r="J780" s="28" t="n">
        <x:v>2</x:v>
      </x:c>
      <x:c r="K780" s="30" t="n">
        <x:v>2.6</x:v>
      </x:c>
      <x:c r="L780" s="54" t="n">
        <x:f>IF(M780=0,0,(E780+F780)/2)</x:f>
        <x:v>48</x:v>
      </x:c>
      <x:c r="M780" t="n">
        <x:v>4</x:v>
      </x:c>
      <x:c r="N780" t="n">
        <x:v>8</x:v>
      </x:c>
      <x:c r="O780" t="n">
        <x:v>30</x:v>
      </x:c>
      <x:c r="P780" s="63" t="str">
        <x:f>IF(M780=0,"—",M780&amp;"d"&amp;N780&amp;IF(O780=0,""," + "&amp;O780))</x:f>
        <x:v>4d8 + 30</x:v>
      </x:c>
      <x:c r="Q780" t="n">
        <x:f>ROUND(INDEX(Catalogue!E$4:E$85,MATCH(A780,Catalogue!A$4:A$85,0))*(1+'Paramètres'!$B$4*(C780-1)+'Paramètres'!$B$5*(C780-1)^2),0)</x:f>
        <x:v>34</x:v>
      </x:c>
      <x:c r="R780" t="n">
        <x:f>ROUND(INDEX(Catalogue!F$4:F$85,MATCH(A780,Catalogue!A$4:A$85,0))*(1+'Paramètres'!$B$4*(C780-1)+'Paramètres'!$B$5*(C780-1)^2),0)</x:f>
        <x:v>62</x:v>
      </x:c>
      <x:c r="S780" t="n">
        <x:f>L780-AVERAGE(Q780:R780)</x:f>
        <x:v>0</x:v>
      </x:c>
      <x:c r="T780" t="str">
        <x:f>IF(M780=0,IF(AND(N780=0,O780=0,E780=0,F780=0),"OK","ERREUR"),IF(AND(M780&gt;=1,M780&lt;=32,OR(N780=4,N780=6,N780=8,N780=10,N780=12,N780=20),O780&gt;=0,E780=M780+O780,F780=M780*N780+O780),"OK","ERREUR"))</x:f>
        <x:v>OK</x:v>
      </x:c>
      <x:c r="U780" s="86" t="n">
        <x:f>IF(M780&gt;0,M780*(N780+1)/2+O780,0)</x:f>
        <x:v>48</x:v>
      </x:c>
      <x:c r="V780" t="str">
        <x:f>IF(ABS(L780-U780)&lt;0.001,"OK","ERREUR")</x:f>
        <x:v>OK</x:v>
      </x:c>
    </x:row>
    <x:row r="781" ht="18" customHeight="1">
      <x:c r="A781" t="str">
        <x:v>ARM039</x:v>
      </x:c>
      <x:c r="B781" t="str">
        <x:v>Lance longue</x:v>
      </x:c>
      <x:c r="C781" t="n">
        <x:v>18</x:v>
      </x:c>
      <x:c r="D781" t="str">
        <x:v>Armes d'hast</x:v>
      </x:c>
      <x:c r="E781" s="28" t="n">
        <x:f>IF(M781=0,0,M781+O781)</x:f>
        <x:v>37</x:v>
      </x:c>
      <x:c r="F781" s="28" t="n">
        <x:f>IF(M781=0,0,M781*N781+O781)</x:f>
        <x:v>67</x:v>
      </x:c>
      <x:c r="G781" s="28" t="n">
        <x:f>ROUND(Catalogue!G42*SQRT((1+'Paramètres'!$B$4*(C781-1)+'Paramètres'!$B$5*(C781-1)^2)),0)</x:f>
        <x:v>0</x:v>
      </x:c>
      <x:c r="H781" s="28" t="n">
        <x:f>ROUND(Catalogue!H42*SQRT((1+'Paramètres'!$B$4*(C781-1)+'Paramètres'!$B$5*(C781-1)^2)),0)</x:f>
        <x:v>0</x:v>
      </x:c>
      <x:c r="I781" s="28" t="n">
        <x:v>3</x:v>
      </x:c>
      <x:c r="J781" s="28" t="n">
        <x:v>2</x:v>
      </x:c>
      <x:c r="K781" s="30" t="n">
        <x:v>2.6</x:v>
      </x:c>
      <x:c r="L781" s="54" t="n">
        <x:f>IF(M781=0,0,(E781+F781)/2)</x:f>
        <x:v>52</x:v>
      </x:c>
      <x:c r="M781" t="n">
        <x:v>6</x:v>
      </x:c>
      <x:c r="N781" t="n">
        <x:v>6</x:v>
      </x:c>
      <x:c r="O781" t="n">
        <x:v>31</x:v>
      </x:c>
      <x:c r="P781" s="63" t="str">
        <x:f>IF(M781=0,"—",M781&amp;"d"&amp;N781&amp;IF(O781=0,""," + "&amp;O781))</x:f>
        <x:v>6d6 + 31</x:v>
      </x:c>
      <x:c r="Q781" t="n">
        <x:f>ROUND(INDEX(Catalogue!E$4:E$85,MATCH(A781,Catalogue!A$4:A$85,0))*(1+'Paramètres'!$B$4*(C781-1)+'Paramètres'!$B$5*(C781-1)^2),0)</x:f>
        <x:v>37</x:v>
      </x:c>
      <x:c r="R781" t="n">
        <x:f>ROUND(INDEX(Catalogue!F$4:F$85,MATCH(A781,Catalogue!A$4:A$85,0))*(1+'Paramètres'!$B$4*(C781-1)+'Paramètres'!$B$5*(C781-1)^2),0)</x:f>
        <x:v>67</x:v>
      </x:c>
      <x:c r="S781" t="n">
        <x:f>L781-AVERAGE(Q781:R781)</x:f>
        <x:v>0</x:v>
      </x:c>
      <x:c r="T781" t="str">
        <x:f>IF(M781=0,IF(AND(N781=0,O781=0,E781=0,F781=0),"OK","ERREUR"),IF(AND(M781&gt;=1,M781&lt;=32,OR(N781=4,N781=6,N781=8,N781=10,N781=12,N781=20),O781&gt;=0,E781=M781+O781,F781=M781*N781+O781),"OK","ERREUR"))</x:f>
        <x:v>OK</x:v>
      </x:c>
      <x:c r="U781" s="86" t="n">
        <x:f>IF(M781&gt;0,M781*(N781+1)/2+O781,0)</x:f>
        <x:v>52</x:v>
      </x:c>
      <x:c r="V781" t="str">
        <x:f>IF(ABS(L781-U781)&lt;0.001,"OK","ERREUR")</x:f>
        <x:v>OK</x:v>
      </x:c>
    </x:row>
    <x:row r="782" ht="18" customHeight="1">
      <x:c r="A782" t="str">
        <x:v>ARM039</x:v>
      </x:c>
      <x:c r="B782" t="str">
        <x:v>Lance longue</x:v>
      </x:c>
      <x:c r="C782" t="n">
        <x:v>19</x:v>
      </x:c>
      <x:c r="D782" t="str">
        <x:v>Armes d'hast</x:v>
      </x:c>
      <x:c r="E782" s="28" t="n">
        <x:f>IF(M782=0,0,M782+O782)</x:f>
        <x:v>40</x:v>
      </x:c>
      <x:c r="F782" s="28" t="n">
        <x:f>IF(M782=0,0,M782*N782+O782)</x:f>
        <x:v>73</x:v>
      </x:c>
      <x:c r="G782" s="28" t="n">
        <x:f>ROUND(Catalogue!G42*SQRT((1+'Paramètres'!$B$4*(C782-1)+'Paramètres'!$B$5*(C782-1)^2)),0)</x:f>
        <x:v>0</x:v>
      </x:c>
      <x:c r="H782" s="28" t="n">
        <x:f>ROUND(Catalogue!H42*SQRT((1+'Paramètres'!$B$4*(C782-1)+'Paramètres'!$B$5*(C782-1)^2)),0)</x:f>
        <x:v>0</x:v>
      </x:c>
      <x:c r="I782" s="28" t="n">
        <x:v>3</x:v>
      </x:c>
      <x:c r="J782" s="28" t="n">
        <x:v>2</x:v>
      </x:c>
      <x:c r="K782" s="30" t="n">
        <x:v>2.6</x:v>
      </x:c>
      <x:c r="L782" s="54" t="n">
        <x:f>IF(M782=0,0,(E782+F782)/2)</x:f>
        <x:v>56.5</x:v>
      </x:c>
      <x:c r="M782" t="n">
        <x:v>3</x:v>
      </x:c>
      <x:c r="N782" t="n">
        <x:v>12</x:v>
      </x:c>
      <x:c r="O782" t="n">
        <x:v>37</x:v>
      </x:c>
      <x:c r="P782" s="63" t="str">
        <x:f>IF(M782=0,"—",M782&amp;"d"&amp;N782&amp;IF(O782=0,""," + "&amp;O782))</x:f>
        <x:v>3d12 + 37</x:v>
      </x:c>
      <x:c r="Q782" t="n">
        <x:f>ROUND(INDEX(Catalogue!E$4:E$85,MATCH(A782,Catalogue!A$4:A$85,0))*(1+'Paramètres'!$B$4*(C782-1)+'Paramètres'!$B$5*(C782-1)^2),0)</x:f>
        <x:v>41</x:v>
      </x:c>
      <x:c r="R782" t="n">
        <x:f>ROUND(INDEX(Catalogue!F$4:F$85,MATCH(A782,Catalogue!A$4:A$85,0))*(1+'Paramètres'!$B$4*(C782-1)+'Paramètres'!$B$5*(C782-1)^2),0)</x:f>
        <x:v>73</x:v>
      </x:c>
      <x:c r="S782" t="n">
        <x:f>L782-AVERAGE(Q782:R782)</x:f>
        <x:v>-0.5</x:v>
      </x:c>
      <x:c r="T782" t="str">
        <x:f>IF(M782=0,IF(AND(N782=0,O782=0,E782=0,F782=0),"OK","ERREUR"),IF(AND(M782&gt;=1,M782&lt;=32,OR(N782=4,N782=6,N782=8,N782=10,N782=12,N782=20),O782&gt;=0,E782=M782+O782,F782=M782*N782+O782),"OK","ERREUR"))</x:f>
        <x:v>OK</x:v>
      </x:c>
      <x:c r="U782" s="86" t="n">
        <x:f>IF(M782&gt;0,M782*(N782+1)/2+O782,0)</x:f>
        <x:v>56.5</x:v>
      </x:c>
      <x:c r="V782" t="str">
        <x:f>IF(ABS(L782-U782)&lt;0.001,"OK","ERREUR")</x:f>
        <x:v>OK</x:v>
      </x:c>
    </x:row>
    <x:row r="783" ht="18" customHeight="1">
      <x:c r="A783" t="str">
        <x:v>ARM039</x:v>
      </x:c>
      <x:c r="B783" t="str">
        <x:v>Lance longue</x:v>
      </x:c>
      <x:c r="C783" t="n">
        <x:v>20</x:v>
      </x:c>
      <x:c r="D783" t="str">
        <x:v>Armes d'hast</x:v>
      </x:c>
      <x:c r="E783" s="28" t="n">
        <x:f>IF(M783=0,0,M783+O783)</x:f>
        <x:v>44</x:v>
      </x:c>
      <x:c r="F783" s="28" t="n">
        <x:f>IF(M783=0,0,M783*N783+O783)</x:f>
        <x:v>80</x:v>
      </x:c>
      <x:c r="G783" s="28" t="n">
        <x:f>ROUND(Catalogue!G42*SQRT((1+'Paramètres'!$B$4*(C783-1)+'Paramètres'!$B$5*(C783-1)^2)),0)</x:f>
        <x:v>0</x:v>
      </x:c>
      <x:c r="H783" s="28" t="n">
        <x:f>ROUND(Catalogue!H42*SQRT((1+'Paramètres'!$B$4*(C783-1)+'Paramètres'!$B$5*(C783-1)^2)),0)</x:f>
        <x:v>0</x:v>
      </x:c>
      <x:c r="I783" s="28" t="n">
        <x:v>3</x:v>
      </x:c>
      <x:c r="J783" s="28" t="n">
        <x:v>2</x:v>
      </x:c>
      <x:c r="K783" s="30" t="n">
        <x:v>2.6</x:v>
      </x:c>
      <x:c r="L783" s="54" t="n">
        <x:f>IF(M783=0,0,(E783+F783)/2)</x:f>
        <x:v>62</x:v>
      </x:c>
      <x:c r="M783" t="n">
        <x:v>4</x:v>
      </x:c>
      <x:c r="N783" t="n">
        <x:v>10</x:v>
      </x:c>
      <x:c r="O783" t="n">
        <x:v>40</x:v>
      </x:c>
      <x:c r="P783" s="63" t="str">
        <x:f>IF(M783=0,"—",M783&amp;"d"&amp;N783&amp;IF(O783=0,""," + "&amp;O783))</x:f>
        <x:v>4d10 + 40</x:v>
      </x:c>
      <x:c r="Q783" t="n">
        <x:f>ROUND(INDEX(Catalogue!E$4:E$85,MATCH(A783,Catalogue!A$4:A$85,0))*(1+'Paramètres'!$B$4*(C783-1)+'Paramètres'!$B$5*(C783-1)^2),0)</x:f>
        <x:v>44</x:v>
      </x:c>
      <x:c r="R783" t="n">
        <x:f>ROUND(INDEX(Catalogue!F$4:F$85,MATCH(A783,Catalogue!A$4:A$85,0))*(1+'Paramètres'!$B$4*(C783-1)+'Paramètres'!$B$5*(C783-1)^2),0)</x:f>
        <x:v>80</x:v>
      </x:c>
      <x:c r="S783" t="n">
        <x:f>L783-AVERAGE(Q783:R783)</x:f>
        <x:v>0</x:v>
      </x:c>
      <x:c r="T783" t="str">
        <x:f>IF(M783=0,IF(AND(N783=0,O783=0,E783=0,F783=0),"OK","ERREUR"),IF(AND(M783&gt;=1,M783&lt;=32,OR(N783=4,N783=6,N783=8,N783=10,N783=12,N783=20),O783&gt;=0,E783=M783+O783,F783=M783*N783+O783),"OK","ERREUR"))</x:f>
        <x:v>OK</x:v>
      </x:c>
      <x:c r="U783" s="86" t="n">
        <x:f>IF(M783&gt;0,M783*(N783+1)/2+O783,0)</x:f>
        <x:v>62</x:v>
      </x:c>
      <x:c r="V783" t="str">
        <x:f>IF(ABS(L783-U783)&lt;0.001,"OK","ERREUR")</x:f>
        <x:v>OK</x:v>
      </x:c>
    </x:row>
    <x:row r="784" ht="18" customHeight="1">
      <x:c r="A784" t="str">
        <x:v>ARM040</x:v>
      </x:c>
      <x:c r="B784" t="str">
        <x:v>Pique</x:v>
      </x:c>
      <x:c r="C784" t="n">
        <x:v>1</x:v>
      </x:c>
      <x:c r="D784" t="str">
        <x:v>Armes d'hast</x:v>
      </x:c>
      <x:c r="E784" s="28" t="n">
        <x:f>IF(M784=0,0,M784+O784)</x:f>
        <x:v>5</x:v>
      </x:c>
      <x:c r="F784" s="28" t="n">
        <x:f>IF(M784=0,0,M784*N784+O784)</x:f>
        <x:v>10</x:v>
      </x:c>
      <x:c r="G784" s="28" t="n">
        <x:f>ROUND(Catalogue!G43*SQRT((1+'Paramètres'!$B$4*(C784-1)+'Paramètres'!$B$5*(C784-1)^2)),0)</x:f>
        <x:v>0</x:v>
      </x:c>
      <x:c r="H784" s="28" t="n">
        <x:f>ROUND(Catalogue!H43*SQRT((1+'Paramètres'!$B$4*(C784-1)+'Paramètres'!$B$5*(C784-1)^2)),0)</x:f>
        <x:v>0</x:v>
      </x:c>
      <x:c r="I784" s="28" t="n">
        <x:v>3</x:v>
      </x:c>
      <x:c r="J784" s="28" t="n">
        <x:v>2</x:v>
      </x:c>
      <x:c r="K784" s="30" t="n">
        <x:v>3.4</x:v>
      </x:c>
      <x:c r="L784" s="54" t="n">
        <x:f>IF(M784=0,0,(E784+F784)/2)</x:f>
        <x:v>7.5</x:v>
      </x:c>
      <x:c r="M784" t="n">
        <x:v>1</x:v>
      </x:c>
      <x:c r="N784" t="n">
        <x:v>6</x:v>
      </x:c>
      <x:c r="O784" t="n">
        <x:v>4</x:v>
      </x:c>
      <x:c r="P784" s="63" t="str">
        <x:f>IF(M784=0,"—",M784&amp;"d"&amp;N784&amp;IF(O784=0,""," + "&amp;O784))</x:f>
        <x:v>1d6 + 4</x:v>
      </x:c>
      <x:c r="Q784" t="n">
        <x:f>ROUND(INDEX(Catalogue!E$4:E$85,MATCH(A784,Catalogue!A$4:A$85,0))*(1+'Paramètres'!$B$4*(C784-1)+'Paramètres'!$B$5*(C784-1)^2),0)</x:f>
        <x:v>5</x:v>
      </x:c>
      <x:c r="R784" t="n">
        <x:f>ROUND(INDEX(Catalogue!F$4:F$85,MATCH(A784,Catalogue!A$4:A$85,0))*(1+'Paramètres'!$B$4*(C784-1)+'Paramètres'!$B$5*(C784-1)^2),0)</x:f>
        <x:v>10</x:v>
      </x:c>
      <x:c r="S784" t="n">
        <x:f>L784-AVERAGE(Q784:R784)</x:f>
        <x:v>0</x:v>
      </x:c>
      <x:c r="T784" t="str">
        <x:f>IF(M784=0,IF(AND(N784=0,O784=0,E784=0,F784=0),"OK","ERREUR"),IF(AND(M784&gt;=1,M784&lt;=32,OR(N784=4,N784=6,N784=8,N784=10,N784=12,N784=20),O784&gt;=0,E784=M784+O784,F784=M784*N784+O784),"OK","ERREUR"))</x:f>
        <x:v>OK</x:v>
      </x:c>
      <x:c r="U784" s="86" t="n">
        <x:f>IF(M784&gt;0,M784*(N784+1)/2+O784,0)</x:f>
        <x:v>7.5</x:v>
      </x:c>
      <x:c r="V784" t="str">
        <x:f>IF(ABS(L784-U784)&lt;0.001,"OK","ERREUR")</x:f>
        <x:v>OK</x:v>
      </x:c>
    </x:row>
    <x:row r="785" ht="18" customHeight="1">
      <x:c r="A785" t="str">
        <x:v>ARM040</x:v>
      </x:c>
      <x:c r="B785" t="str">
        <x:v>Pique</x:v>
      </x:c>
      <x:c r="C785" t="n">
        <x:v>2</x:v>
      </x:c>
      <x:c r="D785" t="str">
        <x:v>Armes d'hast</x:v>
      </x:c>
      <x:c r="E785" s="28" t="n">
        <x:f>IF(M785=0,0,M785+O785)</x:f>
        <x:v>6</x:v>
      </x:c>
      <x:c r="F785" s="28" t="n">
        <x:f>IF(M785=0,0,M785*N785+O785)</x:f>
        <x:v>11</x:v>
      </x:c>
      <x:c r="G785" s="28" t="n">
        <x:f>ROUND(Catalogue!G43*SQRT((1+'Paramètres'!$B$4*(C785-1)+'Paramètres'!$B$5*(C785-1)^2)),0)</x:f>
        <x:v>0</x:v>
      </x:c>
      <x:c r="H785" s="28" t="n">
        <x:f>ROUND(Catalogue!H43*SQRT((1+'Paramètres'!$B$4*(C785-1)+'Paramètres'!$B$5*(C785-1)^2)),0)</x:f>
        <x:v>0</x:v>
      </x:c>
      <x:c r="I785" s="28" t="n">
        <x:v>3</x:v>
      </x:c>
      <x:c r="J785" s="28" t="n">
        <x:v>2</x:v>
      </x:c>
      <x:c r="K785" s="30" t="n">
        <x:v>3.4</x:v>
      </x:c>
      <x:c r="L785" s="54" t="n">
        <x:f>IF(M785=0,0,(E785+F785)/2)</x:f>
        <x:v>8.5</x:v>
      </x:c>
      <x:c r="M785" t="n">
        <x:v>1</x:v>
      </x:c>
      <x:c r="N785" t="n">
        <x:v>6</x:v>
      </x:c>
      <x:c r="O785" t="n">
        <x:v>5</x:v>
      </x:c>
      <x:c r="P785" s="63" t="str">
        <x:f>IF(M785=0,"—",M785&amp;"d"&amp;N785&amp;IF(O785=0,""," + "&amp;O785))</x:f>
        <x:v>1d6 + 5</x:v>
      </x:c>
      <x:c r="Q785" t="n">
        <x:f>ROUND(INDEX(Catalogue!E$4:E$85,MATCH(A785,Catalogue!A$4:A$85,0))*(1+'Paramètres'!$B$4*(C785-1)+'Paramètres'!$B$5*(C785-1)^2),0)</x:f>
        <x:v>6</x:v>
      </x:c>
      <x:c r="R785" t="n">
        <x:f>ROUND(INDEX(Catalogue!F$4:F$85,MATCH(A785,Catalogue!A$4:A$85,0))*(1+'Paramètres'!$B$4*(C785-1)+'Paramètres'!$B$5*(C785-1)^2),0)</x:f>
        <x:v>11</x:v>
      </x:c>
      <x:c r="S785" t="n">
        <x:f>L785-AVERAGE(Q785:R785)</x:f>
        <x:v>0</x:v>
      </x:c>
      <x:c r="T785" t="str">
        <x:f>IF(M785=0,IF(AND(N785=0,O785=0,E785=0,F785=0),"OK","ERREUR"),IF(AND(M785&gt;=1,M785&lt;=32,OR(N785=4,N785=6,N785=8,N785=10,N785=12,N785=20),O785&gt;=0,E785=M785+O785,F785=M785*N785+O785),"OK","ERREUR"))</x:f>
        <x:v>OK</x:v>
      </x:c>
      <x:c r="U785" s="86" t="n">
        <x:f>IF(M785&gt;0,M785*(N785+1)/2+O785,0)</x:f>
        <x:v>8.5</x:v>
      </x:c>
      <x:c r="V785" t="str">
        <x:f>IF(ABS(L785-U785)&lt;0.001,"OK","ERREUR")</x:f>
        <x:v>OK</x:v>
      </x:c>
    </x:row>
    <x:row r="786" ht="18" customHeight="1">
      <x:c r="A786" t="str">
        <x:v>ARM040</x:v>
      </x:c>
      <x:c r="B786" t="str">
        <x:v>Pique</x:v>
      </x:c>
      <x:c r="C786" t="n">
        <x:v>3</x:v>
      </x:c>
      <x:c r="D786" t="str">
        <x:v>Armes d'hast</x:v>
      </x:c>
      <x:c r="E786" s="28" t="n">
        <x:f>IF(M786=0,0,M786+O786)</x:f>
        <x:v>6</x:v>
      </x:c>
      <x:c r="F786" s="28" t="n">
        <x:f>IF(M786=0,0,M786*N786+O786)</x:f>
        <x:v>13</x:v>
      </x:c>
      <x:c r="G786" s="28" t="n">
        <x:f>ROUND(Catalogue!G43*SQRT((1+'Paramètres'!$B$4*(C786-1)+'Paramètres'!$B$5*(C786-1)^2)),0)</x:f>
        <x:v>0</x:v>
      </x:c>
      <x:c r="H786" s="28" t="n">
        <x:f>ROUND(Catalogue!H43*SQRT((1+'Paramètres'!$B$4*(C786-1)+'Paramètres'!$B$5*(C786-1)^2)),0)</x:f>
        <x:v>0</x:v>
      </x:c>
      <x:c r="I786" s="28" t="n">
        <x:v>3</x:v>
      </x:c>
      <x:c r="J786" s="28" t="n">
        <x:v>2</x:v>
      </x:c>
      <x:c r="K786" s="30" t="n">
        <x:v>3.4</x:v>
      </x:c>
      <x:c r="L786" s="54" t="n">
        <x:f>IF(M786=0,0,(E786+F786)/2)</x:f>
        <x:v>9.5</x:v>
      </x:c>
      <x:c r="M786" t="n">
        <x:v>1</x:v>
      </x:c>
      <x:c r="N786" t="n">
        <x:v>8</x:v>
      </x:c>
      <x:c r="O786" t="n">
        <x:v>5</x:v>
      </x:c>
      <x:c r="P786" s="63" t="str">
        <x:f>IF(M786=0,"—",M786&amp;"d"&amp;N786&amp;IF(O786=0,""," + "&amp;O786))</x:f>
        <x:v>1d8 + 5</x:v>
      </x:c>
      <x:c r="Q786" t="n">
        <x:f>ROUND(INDEX(Catalogue!E$4:E$85,MATCH(A786,Catalogue!A$4:A$85,0))*(1+'Paramètres'!$B$4*(C786-1)+'Paramètres'!$B$5*(C786-1)^2),0)</x:f>
        <x:v>6</x:v>
      </x:c>
      <x:c r="R786" t="n">
        <x:f>ROUND(INDEX(Catalogue!F$4:F$85,MATCH(A786,Catalogue!A$4:A$85,0))*(1+'Paramètres'!$B$4*(C786-1)+'Paramètres'!$B$5*(C786-1)^2),0)</x:f>
        <x:v>13</x:v>
      </x:c>
      <x:c r="S786" t="n">
        <x:f>L786-AVERAGE(Q786:R786)</x:f>
        <x:v>0</x:v>
      </x:c>
      <x:c r="T786" t="str">
        <x:f>IF(M786=0,IF(AND(N786=0,O786=0,E786=0,F786=0),"OK","ERREUR"),IF(AND(M786&gt;=1,M786&lt;=32,OR(N786=4,N786=6,N786=8,N786=10,N786=12,N786=20),O786&gt;=0,E786=M786+O786,F786=M786*N786+O786),"OK","ERREUR"))</x:f>
        <x:v>OK</x:v>
      </x:c>
      <x:c r="U786" s="86" t="n">
        <x:f>IF(M786&gt;0,M786*(N786+1)/2+O786,0)</x:f>
        <x:v>9.5</x:v>
      </x:c>
      <x:c r="V786" t="str">
        <x:f>IF(ABS(L786-U786)&lt;0.001,"OK","ERREUR")</x:f>
        <x:v>OK</x:v>
      </x:c>
    </x:row>
    <x:row r="787" ht="18" customHeight="1">
      <x:c r="A787" t="str">
        <x:v>ARM040</x:v>
      </x:c>
      <x:c r="B787" t="str">
        <x:v>Pique</x:v>
      </x:c>
      <x:c r="C787" t="n">
        <x:v>4</x:v>
      </x:c>
      <x:c r="D787" t="str">
        <x:v>Armes d'hast</x:v>
      </x:c>
      <x:c r="E787" s="28" t="n">
        <x:f>IF(M787=0,0,M787+O787)</x:f>
        <x:v>7</x:v>
      </x:c>
      <x:c r="F787" s="28" t="n">
        <x:f>IF(M787=0,0,M787*N787+O787)</x:f>
        <x:v>14</x:v>
      </x:c>
      <x:c r="G787" s="28" t="n">
        <x:f>ROUND(Catalogue!G43*SQRT((1+'Paramètres'!$B$4*(C787-1)+'Paramètres'!$B$5*(C787-1)^2)),0)</x:f>
        <x:v>0</x:v>
      </x:c>
      <x:c r="H787" s="28" t="n">
        <x:f>ROUND(Catalogue!H43*SQRT((1+'Paramètres'!$B$4*(C787-1)+'Paramètres'!$B$5*(C787-1)^2)),0)</x:f>
        <x:v>0</x:v>
      </x:c>
      <x:c r="I787" s="28" t="n">
        <x:v>3</x:v>
      </x:c>
      <x:c r="J787" s="28" t="n">
        <x:v>2</x:v>
      </x:c>
      <x:c r="K787" s="30" t="n">
        <x:v>3.4</x:v>
      </x:c>
      <x:c r="L787" s="54" t="n">
        <x:f>IF(M787=0,0,(E787+F787)/2)</x:f>
        <x:v>10.5</x:v>
      </x:c>
      <x:c r="M787" t="n">
        <x:v>1</x:v>
      </x:c>
      <x:c r="N787" t="n">
        <x:v>8</x:v>
      </x:c>
      <x:c r="O787" t="n">
        <x:v>6</x:v>
      </x:c>
      <x:c r="P787" s="63" t="str">
        <x:f>IF(M787=0,"—",M787&amp;"d"&amp;N787&amp;IF(O787=0,""," + "&amp;O787))</x:f>
        <x:v>1d8 + 6</x:v>
      </x:c>
      <x:c r="Q787" t="n">
        <x:f>ROUND(INDEX(Catalogue!E$4:E$85,MATCH(A787,Catalogue!A$4:A$85,0))*(1+'Paramètres'!$B$4*(C787-1)+'Paramètres'!$B$5*(C787-1)^2),0)</x:f>
        <x:v>7</x:v>
      </x:c>
      <x:c r="R787" t="n">
        <x:f>ROUND(INDEX(Catalogue!F$4:F$85,MATCH(A787,Catalogue!A$4:A$85,0))*(1+'Paramètres'!$B$4*(C787-1)+'Paramètres'!$B$5*(C787-1)^2),0)</x:f>
        <x:v>15</x:v>
      </x:c>
      <x:c r="S787" t="n">
        <x:f>L787-AVERAGE(Q787:R787)</x:f>
        <x:v>-0.5</x:v>
      </x:c>
      <x:c r="T787" t="str">
        <x:f>IF(M787=0,IF(AND(N787=0,O787=0,E787=0,F787=0),"OK","ERREUR"),IF(AND(M787&gt;=1,M787&lt;=32,OR(N787=4,N787=6,N787=8,N787=10,N787=12,N787=20),O787&gt;=0,E787=M787+O787,F787=M787*N787+O787),"OK","ERREUR"))</x:f>
        <x:v>OK</x:v>
      </x:c>
      <x:c r="U787" s="86" t="n">
        <x:f>IF(M787&gt;0,M787*(N787+1)/2+O787,0)</x:f>
        <x:v>10.5</x:v>
      </x:c>
      <x:c r="V787" t="str">
        <x:f>IF(ABS(L787-U787)&lt;0.001,"OK","ERREUR")</x:f>
        <x:v>OK</x:v>
      </x:c>
    </x:row>
    <x:row r="788" ht="18" customHeight="1">
      <x:c r="A788" t="str">
        <x:v>ARM040</x:v>
      </x:c>
      <x:c r="B788" t="str">
        <x:v>Pique</x:v>
      </x:c>
      <x:c r="C788" t="n">
        <x:v>5</x:v>
      </x:c>
      <x:c r="D788" t="str">
        <x:v>Armes d'hast</x:v>
      </x:c>
      <x:c r="E788" s="28" t="n">
        <x:f>IF(M788=0,0,M788+O788)</x:f>
        <x:v>8</x:v>
      </x:c>
      <x:c r="F788" s="28" t="n">
        <x:f>IF(M788=0,0,M788*N788+O788)</x:f>
        <x:v>17</x:v>
      </x:c>
      <x:c r="G788" s="28" t="n">
        <x:f>ROUND(Catalogue!G43*SQRT((1+'Paramètres'!$B$4*(C788-1)+'Paramètres'!$B$5*(C788-1)^2)),0)</x:f>
        <x:v>0</x:v>
      </x:c>
      <x:c r="H788" s="28" t="n">
        <x:f>ROUND(Catalogue!H43*SQRT((1+'Paramètres'!$B$4*(C788-1)+'Paramètres'!$B$5*(C788-1)^2)),0)</x:f>
        <x:v>0</x:v>
      </x:c>
      <x:c r="I788" s="28" t="n">
        <x:v>3</x:v>
      </x:c>
      <x:c r="J788" s="28" t="n">
        <x:v>2</x:v>
      </x:c>
      <x:c r="K788" s="30" t="n">
        <x:v>3.4</x:v>
      </x:c>
      <x:c r="L788" s="54" t="n">
        <x:f>IF(M788=0,0,(E788+F788)/2)</x:f>
        <x:v>12.5</x:v>
      </x:c>
      <x:c r="M788" t="n">
        <x:v>1</x:v>
      </x:c>
      <x:c r="N788" t="n">
        <x:v>10</x:v>
      </x:c>
      <x:c r="O788" t="n">
        <x:v>7</x:v>
      </x:c>
      <x:c r="P788" s="63" t="str">
        <x:f>IF(M788=0,"—",M788&amp;"d"&amp;N788&amp;IF(O788=0,""," + "&amp;O788))</x:f>
        <x:v>1d10 + 7</x:v>
      </x:c>
      <x:c r="Q788" t="n">
        <x:f>ROUND(INDEX(Catalogue!E$4:E$85,MATCH(A788,Catalogue!A$4:A$85,0))*(1+'Paramètres'!$B$4*(C788-1)+'Paramètres'!$B$5*(C788-1)^2),0)</x:f>
        <x:v>8</x:v>
      </x:c>
      <x:c r="R788" t="n">
        <x:f>ROUND(INDEX(Catalogue!F$4:F$85,MATCH(A788,Catalogue!A$4:A$85,0))*(1+'Paramètres'!$B$4*(C788-1)+'Paramètres'!$B$5*(C788-1)^2),0)</x:f>
        <x:v>17</x:v>
      </x:c>
      <x:c r="S788" t="n">
        <x:f>L788-AVERAGE(Q788:R788)</x:f>
        <x:v>0</x:v>
      </x:c>
      <x:c r="T788" t="str">
        <x:f>IF(M788=0,IF(AND(N788=0,O788=0,E788=0,F788=0),"OK","ERREUR"),IF(AND(M788&gt;=1,M788&lt;=32,OR(N788=4,N788=6,N788=8,N788=10,N788=12,N788=20),O788&gt;=0,E788=M788+O788,F788=M788*N788+O788),"OK","ERREUR"))</x:f>
        <x:v>OK</x:v>
      </x:c>
      <x:c r="U788" s="86" t="n">
        <x:f>IF(M788&gt;0,M788*(N788+1)/2+O788,0)</x:f>
        <x:v>12.5</x:v>
      </x:c>
      <x:c r="V788" t="str">
        <x:f>IF(ABS(L788-U788)&lt;0.001,"OK","ERREUR")</x:f>
        <x:v>OK</x:v>
      </x:c>
    </x:row>
    <x:row r="789" ht="18" customHeight="1">
      <x:c r="A789" t="str">
        <x:v>ARM040</x:v>
      </x:c>
      <x:c r="B789" t="str">
        <x:v>Pique</x:v>
      </x:c>
      <x:c r="C789" t="n">
        <x:v>6</x:v>
      </x:c>
      <x:c r="D789" t="str">
        <x:v>Armes d'hast</x:v>
      </x:c>
      <x:c r="E789" s="28" t="n">
        <x:f>IF(M789=0,0,M789+O789)</x:f>
        <x:v>10</x:v>
      </x:c>
      <x:c r="F789" s="28" t="n">
        <x:f>IF(M789=0,0,M789*N789+O789)</x:f>
        <x:v>20</x:v>
      </x:c>
      <x:c r="G789" s="28" t="n">
        <x:f>ROUND(Catalogue!G43*SQRT((1+'Paramètres'!$B$4*(C789-1)+'Paramètres'!$B$5*(C789-1)^2)),0)</x:f>
        <x:v>0</x:v>
      </x:c>
      <x:c r="H789" s="28" t="n">
        <x:f>ROUND(Catalogue!H43*SQRT((1+'Paramètres'!$B$4*(C789-1)+'Paramètres'!$B$5*(C789-1)^2)),0)</x:f>
        <x:v>0</x:v>
      </x:c>
      <x:c r="I789" s="28" t="n">
        <x:v>3</x:v>
      </x:c>
      <x:c r="J789" s="28" t="n">
        <x:v>2</x:v>
      </x:c>
      <x:c r="K789" s="30" t="n">
        <x:v>3.4</x:v>
      </x:c>
      <x:c r="L789" s="54" t="n">
        <x:f>IF(M789=0,0,(E789+F789)/2)</x:f>
        <x:v>15</x:v>
      </x:c>
      <x:c r="M789" t="n">
        <x:v>2</x:v>
      </x:c>
      <x:c r="N789" t="n">
        <x:v>6</x:v>
      </x:c>
      <x:c r="O789" t="n">
        <x:v>8</x:v>
      </x:c>
      <x:c r="P789" s="63" t="str">
        <x:f>IF(M789=0,"—",M789&amp;"d"&amp;N789&amp;IF(O789=0,""," + "&amp;O789))</x:f>
        <x:v>2d6 + 8</x:v>
      </x:c>
      <x:c r="Q789" t="n">
        <x:f>ROUND(INDEX(Catalogue!E$4:E$85,MATCH(A789,Catalogue!A$4:A$85,0))*(1+'Paramètres'!$B$4*(C789-1)+'Paramètres'!$B$5*(C789-1)^2),0)</x:f>
        <x:v>10</x:v>
      </x:c>
      <x:c r="R789" t="n">
        <x:f>ROUND(INDEX(Catalogue!F$4:F$85,MATCH(A789,Catalogue!A$4:A$85,0))*(1+'Paramètres'!$B$4*(C789-1)+'Paramètres'!$B$5*(C789-1)^2),0)</x:f>
        <x:v>20</x:v>
      </x:c>
      <x:c r="S789" t="n">
        <x:f>L789-AVERAGE(Q789:R789)</x:f>
        <x:v>0</x:v>
      </x:c>
      <x:c r="T789" t="str">
        <x:f>IF(M789=0,IF(AND(N789=0,O789=0,E789=0,F789=0),"OK","ERREUR"),IF(AND(M789&gt;=1,M789&lt;=32,OR(N789=4,N789=6,N789=8,N789=10,N789=12,N789=20),O789&gt;=0,E789=M789+O789,F789=M789*N789+O789),"OK","ERREUR"))</x:f>
        <x:v>OK</x:v>
      </x:c>
      <x:c r="U789" s="86" t="n">
        <x:f>IF(M789&gt;0,M789*(N789+1)/2+O789,0)</x:f>
        <x:v>15</x:v>
      </x:c>
      <x:c r="V789" t="str">
        <x:f>IF(ABS(L789-U789)&lt;0.001,"OK","ERREUR")</x:f>
        <x:v>OK</x:v>
      </x:c>
    </x:row>
    <x:row r="790" ht="18" customHeight="1">
      <x:c r="A790" t="str">
        <x:v>ARM040</x:v>
      </x:c>
      <x:c r="B790" t="str">
        <x:v>Pique</x:v>
      </x:c>
      <x:c r="C790" t="n">
        <x:v>7</x:v>
      </x:c>
      <x:c r="D790" t="str">
        <x:v>Armes d'hast</x:v>
      </x:c>
      <x:c r="E790" s="28" t="n">
        <x:f>IF(M790=0,0,M790+O790)</x:f>
        <x:v>11</x:v>
      </x:c>
      <x:c r="F790" s="28" t="n">
        <x:f>IF(M790=0,0,M790*N790+O790)</x:f>
        <x:v>22</x:v>
      </x:c>
      <x:c r="G790" s="28" t="n">
        <x:f>ROUND(Catalogue!G43*SQRT((1+'Paramètres'!$B$4*(C790-1)+'Paramètres'!$B$5*(C790-1)^2)),0)</x:f>
        <x:v>0</x:v>
      </x:c>
      <x:c r="H790" s="28" t="n">
        <x:f>ROUND(Catalogue!H43*SQRT((1+'Paramètres'!$B$4*(C790-1)+'Paramètres'!$B$5*(C790-1)^2)),0)</x:f>
        <x:v>0</x:v>
      </x:c>
      <x:c r="I790" s="28" t="n">
        <x:v>3</x:v>
      </x:c>
      <x:c r="J790" s="28" t="n">
        <x:v>2</x:v>
      </x:c>
      <x:c r="K790" s="30" t="n">
        <x:v>3.4</x:v>
      </x:c>
      <x:c r="L790" s="54" t="n">
        <x:f>IF(M790=0,0,(E790+F790)/2)</x:f>
        <x:v>16.5</x:v>
      </x:c>
      <x:c r="M790" t="n">
        <x:v>1</x:v>
      </x:c>
      <x:c r="N790" t="n">
        <x:v>12</x:v>
      </x:c>
      <x:c r="O790" t="n">
        <x:v>10</x:v>
      </x:c>
      <x:c r="P790" s="63" t="str">
        <x:f>IF(M790=0,"—",M790&amp;"d"&amp;N790&amp;IF(O790=0,""," + "&amp;O790))</x:f>
        <x:v>1d12 + 10</x:v>
      </x:c>
      <x:c r="Q790" t="n">
        <x:f>ROUND(INDEX(Catalogue!E$4:E$85,MATCH(A790,Catalogue!A$4:A$85,0))*(1+'Paramètres'!$B$4*(C790-1)+'Paramètres'!$B$5*(C790-1)^2),0)</x:f>
        <x:v>11</x:v>
      </x:c>
      <x:c r="R790" t="n">
        <x:f>ROUND(INDEX(Catalogue!F$4:F$85,MATCH(A790,Catalogue!A$4:A$85,0))*(1+'Paramètres'!$B$4*(C790-1)+'Paramètres'!$B$5*(C790-1)^2),0)</x:f>
        <x:v>22</x:v>
      </x:c>
      <x:c r="S790" t="n">
        <x:f>L790-AVERAGE(Q790:R790)</x:f>
        <x:v>0</x:v>
      </x:c>
      <x:c r="T790" t="str">
        <x:f>IF(M790=0,IF(AND(N790=0,O790=0,E790=0,F790=0),"OK","ERREUR"),IF(AND(M790&gt;=1,M790&lt;=32,OR(N790=4,N790=6,N790=8,N790=10,N790=12,N790=20),O790&gt;=0,E790=M790+O790,F790=M790*N790+O790),"OK","ERREUR"))</x:f>
        <x:v>OK</x:v>
      </x:c>
      <x:c r="U790" s="86" t="n">
        <x:f>IF(M790&gt;0,M790*(N790+1)/2+O790,0)</x:f>
        <x:v>16.5</x:v>
      </x:c>
      <x:c r="V790" t="str">
        <x:f>IF(ABS(L790-U790)&lt;0.001,"OK","ERREUR")</x:f>
        <x:v>OK</x:v>
      </x:c>
    </x:row>
    <x:row r="791" ht="18" customHeight="1">
      <x:c r="A791" t="str">
        <x:v>ARM040</x:v>
      </x:c>
      <x:c r="B791" t="str">
        <x:v>Pique</x:v>
      </x:c>
      <x:c r="C791" t="n">
        <x:v>8</x:v>
      </x:c>
      <x:c r="D791" t="str">
        <x:v>Armes d'hast</x:v>
      </x:c>
      <x:c r="E791" s="28" t="n">
        <x:f>IF(M791=0,0,M791+O791)</x:f>
        <x:v>12</x:v>
      </x:c>
      <x:c r="F791" s="28" t="n">
        <x:f>IF(M791=0,0,M791*N791+O791)</x:f>
        <x:v>26</x:v>
      </x:c>
      <x:c r="G791" s="28" t="n">
        <x:f>ROUND(Catalogue!G43*SQRT((1+'Paramètres'!$B$4*(C791-1)+'Paramètres'!$B$5*(C791-1)^2)),0)</x:f>
        <x:v>0</x:v>
      </x:c>
      <x:c r="H791" s="28" t="n">
        <x:f>ROUND(Catalogue!H43*SQRT((1+'Paramètres'!$B$4*(C791-1)+'Paramètres'!$B$5*(C791-1)^2)),0)</x:f>
        <x:v>0</x:v>
      </x:c>
      <x:c r="I791" s="28" t="n">
        <x:v>3</x:v>
      </x:c>
      <x:c r="J791" s="28" t="n">
        <x:v>2</x:v>
      </x:c>
      <x:c r="K791" s="30" t="n">
        <x:v>3.4</x:v>
      </x:c>
      <x:c r="L791" s="54" t="n">
        <x:f>IF(M791=0,0,(E791+F791)/2)</x:f>
        <x:v>19</x:v>
      </x:c>
      <x:c r="M791" t="n">
        <x:v>2</x:v>
      </x:c>
      <x:c r="N791" t="n">
        <x:v>8</x:v>
      </x:c>
      <x:c r="O791" t="n">
        <x:v>10</x:v>
      </x:c>
      <x:c r="P791" s="63" t="str">
        <x:f>IF(M791=0,"—",M791&amp;"d"&amp;N791&amp;IF(O791=0,""," + "&amp;O791))</x:f>
        <x:v>2d8 + 10</x:v>
      </x:c>
      <x:c r="Q791" t="n">
        <x:f>ROUND(INDEX(Catalogue!E$4:E$85,MATCH(A791,Catalogue!A$4:A$85,0))*(1+'Paramètres'!$B$4*(C791-1)+'Paramètres'!$B$5*(C791-1)^2),0)</x:f>
        <x:v>13</x:v>
      </x:c>
      <x:c r="R791" t="n">
        <x:f>ROUND(INDEX(Catalogue!F$4:F$85,MATCH(A791,Catalogue!A$4:A$85,0))*(1+'Paramètres'!$B$4*(C791-1)+'Paramètres'!$B$5*(C791-1)^2),0)</x:f>
        <x:v>26</x:v>
      </x:c>
      <x:c r="S791" t="n">
        <x:f>L791-AVERAGE(Q791:R791)</x:f>
        <x:v>-0.5</x:v>
      </x:c>
      <x:c r="T791" t="str">
        <x:f>IF(M791=0,IF(AND(N791=0,O791=0,E791=0,F791=0),"OK","ERREUR"),IF(AND(M791&gt;=1,M791&lt;=32,OR(N791=4,N791=6,N791=8,N791=10,N791=12,N791=20),O791&gt;=0,E791=M791+O791,F791=M791*N791+O791),"OK","ERREUR"))</x:f>
        <x:v>OK</x:v>
      </x:c>
      <x:c r="U791" s="86" t="n">
        <x:f>IF(M791&gt;0,M791*(N791+1)/2+O791,0)</x:f>
        <x:v>19</x:v>
      </x:c>
      <x:c r="V791" t="str">
        <x:f>IF(ABS(L791-U791)&lt;0.001,"OK","ERREUR")</x:f>
        <x:v>OK</x:v>
      </x:c>
    </x:row>
    <x:row r="792" ht="18" customHeight="1">
      <x:c r="A792" t="str">
        <x:v>ARM040</x:v>
      </x:c>
      <x:c r="B792" t="str">
        <x:v>Pique</x:v>
      </x:c>
      <x:c r="C792" t="n">
        <x:v>9</x:v>
      </x:c>
      <x:c r="D792" t="str">
        <x:v>Armes d'hast</x:v>
      </x:c>
      <x:c r="E792" s="28" t="n">
        <x:f>IF(M792=0,0,M792+O792)</x:f>
        <x:v>15</x:v>
      </x:c>
      <x:c r="F792" s="28" t="n">
        <x:f>IF(M792=0,0,M792*N792+O792)</x:f>
        <x:v>29</x:v>
      </x:c>
      <x:c r="G792" s="28" t="n">
        <x:f>ROUND(Catalogue!G43*SQRT((1+'Paramètres'!$B$4*(C792-1)+'Paramètres'!$B$5*(C792-1)^2)),0)</x:f>
        <x:v>0</x:v>
      </x:c>
      <x:c r="H792" s="28" t="n">
        <x:f>ROUND(Catalogue!H43*SQRT((1+'Paramètres'!$B$4*(C792-1)+'Paramètres'!$B$5*(C792-1)^2)),0)</x:f>
        <x:v>0</x:v>
      </x:c>
      <x:c r="I792" s="28" t="n">
        <x:v>3</x:v>
      </x:c>
      <x:c r="J792" s="28" t="n">
        <x:v>2</x:v>
      </x:c>
      <x:c r="K792" s="30" t="n">
        <x:v>3.4</x:v>
      </x:c>
      <x:c r="L792" s="54" t="n">
        <x:f>IF(M792=0,0,(E792+F792)/2)</x:f>
        <x:v>22</x:v>
      </x:c>
      <x:c r="M792" t="n">
        <x:v>2</x:v>
      </x:c>
      <x:c r="N792" t="n">
        <x:v>8</x:v>
      </x:c>
      <x:c r="O792" t="n">
        <x:v>13</x:v>
      </x:c>
      <x:c r="P792" s="63" t="str">
        <x:f>IF(M792=0,"—",M792&amp;"d"&amp;N792&amp;IF(O792=0,""," + "&amp;O792))</x:f>
        <x:v>2d8 + 13</x:v>
      </x:c>
      <x:c r="Q792" t="n">
        <x:f>ROUND(INDEX(Catalogue!E$4:E$85,MATCH(A792,Catalogue!A$4:A$85,0))*(1+'Paramètres'!$B$4*(C792-1)+'Paramètres'!$B$5*(C792-1)^2),0)</x:f>
        <x:v>15</x:v>
      </x:c>
      <x:c r="R792" t="n">
        <x:f>ROUND(INDEX(Catalogue!F$4:F$85,MATCH(A792,Catalogue!A$4:A$85,0))*(1+'Paramètres'!$B$4*(C792-1)+'Paramètres'!$B$5*(C792-1)^2),0)</x:f>
        <x:v>29</x:v>
      </x:c>
      <x:c r="S792" t="n">
        <x:f>L792-AVERAGE(Q792:R792)</x:f>
        <x:v>0</x:v>
      </x:c>
      <x:c r="T792" t="str">
        <x:f>IF(M792=0,IF(AND(N792=0,O792=0,E792=0,F792=0),"OK","ERREUR"),IF(AND(M792&gt;=1,M792&lt;=32,OR(N792=4,N792=6,N792=8,N792=10,N792=12,N792=20),O792&gt;=0,E792=M792+O792,F792=M792*N792+O792),"OK","ERREUR"))</x:f>
        <x:v>OK</x:v>
      </x:c>
      <x:c r="U792" s="86" t="n">
        <x:f>IF(M792&gt;0,M792*(N792+1)/2+O792,0)</x:f>
        <x:v>22</x:v>
      </x:c>
      <x:c r="V792" t="str">
        <x:f>IF(ABS(L792-U792)&lt;0.001,"OK","ERREUR")</x:f>
        <x:v>OK</x:v>
      </x:c>
    </x:row>
    <x:row r="793" ht="18" customHeight="1">
      <x:c r="A793" t="str">
        <x:v>ARM040</x:v>
      </x:c>
      <x:c r="B793" t="str">
        <x:v>Pique</x:v>
      </x:c>
      <x:c r="C793" t="n">
        <x:v>10</x:v>
      </x:c>
      <x:c r="D793" t="str">
        <x:v>Armes d'hast</x:v>
      </x:c>
      <x:c r="E793" s="28" t="n">
        <x:f>IF(M793=0,0,M793+O793)</x:f>
        <x:v>15</x:v>
      </x:c>
      <x:c r="F793" s="28" t="n">
        <x:f>IF(M793=0,0,M793*N793+O793)</x:f>
        <x:v>33</x:v>
      </x:c>
      <x:c r="G793" s="28" t="n">
        <x:f>ROUND(Catalogue!G43*SQRT((1+'Paramètres'!$B$4*(C793-1)+'Paramètres'!$B$5*(C793-1)^2)),0)</x:f>
        <x:v>0</x:v>
      </x:c>
      <x:c r="H793" s="28" t="n">
        <x:f>ROUND(Catalogue!H43*SQRT((1+'Paramètres'!$B$4*(C793-1)+'Paramètres'!$B$5*(C793-1)^2)),0)</x:f>
        <x:v>0</x:v>
      </x:c>
      <x:c r="I793" s="28" t="n">
        <x:v>3</x:v>
      </x:c>
      <x:c r="J793" s="28" t="n">
        <x:v>2</x:v>
      </x:c>
      <x:c r="K793" s="30" t="n">
        <x:v>3.4</x:v>
      </x:c>
      <x:c r="L793" s="54" t="n">
        <x:f>IF(M793=0,0,(E793+F793)/2)</x:f>
        <x:v>24</x:v>
      </x:c>
      <x:c r="M793" t="n">
        <x:v>2</x:v>
      </x:c>
      <x:c r="N793" t="n">
        <x:v>10</x:v>
      </x:c>
      <x:c r="O793" t="n">
        <x:v>13</x:v>
      </x:c>
      <x:c r="P793" s="63" t="str">
        <x:f>IF(M793=0,"—",M793&amp;"d"&amp;N793&amp;IF(O793=0,""," + "&amp;O793))</x:f>
        <x:v>2d10 + 13</x:v>
      </x:c>
      <x:c r="Q793" t="n">
        <x:f>ROUND(INDEX(Catalogue!E$4:E$85,MATCH(A793,Catalogue!A$4:A$85,0))*(1+'Paramètres'!$B$4*(C793-1)+'Paramètres'!$B$5*(C793-1)^2),0)</x:f>
        <x:v>16</x:v>
      </x:c>
      <x:c r="R793" t="n">
        <x:f>ROUND(INDEX(Catalogue!F$4:F$85,MATCH(A793,Catalogue!A$4:A$85,0))*(1+'Paramètres'!$B$4*(C793-1)+'Paramètres'!$B$5*(C793-1)^2),0)</x:f>
        <x:v>33</x:v>
      </x:c>
      <x:c r="S793" t="n">
        <x:f>L793-AVERAGE(Q793:R793)</x:f>
        <x:v>-0.5</x:v>
      </x:c>
      <x:c r="T793" t="str">
        <x:f>IF(M793=0,IF(AND(N793=0,O793=0,E793=0,F793=0),"OK","ERREUR"),IF(AND(M793&gt;=1,M793&lt;=32,OR(N793=4,N793=6,N793=8,N793=10,N793=12,N793=20),O793&gt;=0,E793=M793+O793,F793=M793*N793+O793),"OK","ERREUR"))</x:f>
        <x:v>OK</x:v>
      </x:c>
      <x:c r="U793" s="86" t="n">
        <x:f>IF(M793&gt;0,M793*(N793+1)/2+O793,0)</x:f>
        <x:v>24</x:v>
      </x:c>
      <x:c r="V793" t="str">
        <x:f>IF(ABS(L793-U793)&lt;0.001,"OK","ERREUR")</x:f>
        <x:v>OK</x:v>
      </x:c>
    </x:row>
    <x:row r="794" ht="18" customHeight="1">
      <x:c r="A794" t="str">
        <x:v>ARM040</x:v>
      </x:c>
      <x:c r="B794" t="str">
        <x:v>Pique</x:v>
      </x:c>
      <x:c r="C794" t="n">
        <x:v>11</x:v>
      </x:c>
      <x:c r="D794" t="str">
        <x:v>Armes d'hast</x:v>
      </x:c>
      <x:c r="E794" s="28" t="n">
        <x:f>IF(M794=0,0,M794+O794)</x:f>
        <x:v>19</x:v>
      </x:c>
      <x:c r="F794" s="28" t="n">
        <x:f>IF(M794=0,0,M794*N794+O794)</x:f>
        <x:v>37</x:v>
      </x:c>
      <x:c r="G794" s="28" t="n">
        <x:f>ROUND(Catalogue!G43*SQRT((1+'Paramètres'!$B$4*(C794-1)+'Paramètres'!$B$5*(C794-1)^2)),0)</x:f>
        <x:v>0</x:v>
      </x:c>
      <x:c r="H794" s="28" t="n">
        <x:f>ROUND(Catalogue!H43*SQRT((1+'Paramètres'!$B$4*(C794-1)+'Paramètres'!$B$5*(C794-1)^2)),0)</x:f>
        <x:v>0</x:v>
      </x:c>
      <x:c r="I794" s="28" t="n">
        <x:v>3</x:v>
      </x:c>
      <x:c r="J794" s="28" t="n">
        <x:v>2</x:v>
      </x:c>
      <x:c r="K794" s="30" t="n">
        <x:v>3.4</x:v>
      </x:c>
      <x:c r="L794" s="54" t="n">
        <x:f>IF(M794=0,0,(E794+F794)/2)</x:f>
        <x:v>28</x:v>
      </x:c>
      <x:c r="M794" t="n">
        <x:v>2</x:v>
      </x:c>
      <x:c r="N794" t="n">
        <x:v>10</x:v>
      </x:c>
      <x:c r="O794" t="n">
        <x:v>17</x:v>
      </x:c>
      <x:c r="P794" s="63" t="str">
        <x:f>IF(M794=0,"—",M794&amp;"d"&amp;N794&amp;IF(O794=0,""," + "&amp;O794))</x:f>
        <x:v>2d10 + 17</x:v>
      </x:c>
      <x:c r="Q794" t="n">
        <x:f>ROUND(INDEX(Catalogue!E$4:E$85,MATCH(A794,Catalogue!A$4:A$85,0))*(1+'Paramètres'!$B$4*(C794-1)+'Paramètres'!$B$5*(C794-1)^2),0)</x:f>
        <x:v>19</x:v>
      </x:c>
      <x:c r="R794" t="n">
        <x:f>ROUND(INDEX(Catalogue!F$4:F$85,MATCH(A794,Catalogue!A$4:A$85,0))*(1+'Paramètres'!$B$4*(C794-1)+'Paramètres'!$B$5*(C794-1)^2),0)</x:f>
        <x:v>37</x:v>
      </x:c>
      <x:c r="S794" t="n">
        <x:f>L794-AVERAGE(Q794:R794)</x:f>
        <x:v>0</x:v>
      </x:c>
      <x:c r="T794" t="str">
        <x:f>IF(M794=0,IF(AND(N794=0,O794=0,E794=0,F794=0),"OK","ERREUR"),IF(AND(M794&gt;=1,M794&lt;=32,OR(N794=4,N794=6,N794=8,N794=10,N794=12,N794=20),O794&gt;=0,E794=M794+O794,F794=M794*N794+O794),"OK","ERREUR"))</x:f>
        <x:v>OK</x:v>
      </x:c>
      <x:c r="U794" s="86" t="n">
        <x:f>IF(M794&gt;0,M794*(N794+1)/2+O794,0)</x:f>
        <x:v>28</x:v>
      </x:c>
      <x:c r="V794" t="str">
        <x:f>IF(ABS(L794-U794)&lt;0.001,"OK","ERREUR")</x:f>
        <x:v>OK</x:v>
      </x:c>
    </x:row>
    <x:row r="795" ht="18" customHeight="1">
      <x:c r="A795" t="str">
        <x:v>ARM040</x:v>
      </x:c>
      <x:c r="B795" t="str">
        <x:v>Pique</x:v>
      </x:c>
      <x:c r="C795" t="n">
        <x:v>12</x:v>
      </x:c>
      <x:c r="D795" t="str">
        <x:v>Armes d'hast</x:v>
      </x:c>
      <x:c r="E795" s="28" t="n">
        <x:f>IF(M795=0,0,M795+O795)</x:f>
        <x:v>21</x:v>
      </x:c>
      <x:c r="F795" s="28" t="n">
        <x:f>IF(M795=0,0,M795*N795+O795)</x:f>
        <x:v>41</x:v>
      </x:c>
      <x:c r="G795" s="28" t="n">
        <x:f>ROUND(Catalogue!G43*SQRT((1+'Paramètres'!$B$4*(C795-1)+'Paramètres'!$B$5*(C795-1)^2)),0)</x:f>
        <x:v>0</x:v>
      </x:c>
      <x:c r="H795" s="28" t="n">
        <x:f>ROUND(Catalogue!H43*SQRT((1+'Paramètres'!$B$4*(C795-1)+'Paramètres'!$B$5*(C795-1)^2)),0)</x:f>
        <x:v>0</x:v>
      </x:c>
      <x:c r="I795" s="28" t="n">
        <x:v>3</x:v>
      </x:c>
      <x:c r="J795" s="28" t="n">
        <x:v>2</x:v>
      </x:c>
      <x:c r="K795" s="30" t="n">
        <x:v>3.4</x:v>
      </x:c>
      <x:c r="L795" s="54" t="n">
        <x:f>IF(M795=0,0,(E795+F795)/2)</x:f>
        <x:v>31</x:v>
      </x:c>
      <x:c r="M795" t="n">
        <x:v>4</x:v>
      </x:c>
      <x:c r="N795" t="n">
        <x:v>6</x:v>
      </x:c>
      <x:c r="O795" t="n">
        <x:v>17</x:v>
      </x:c>
      <x:c r="P795" s="63" t="str">
        <x:f>IF(M795=0,"—",M795&amp;"d"&amp;N795&amp;IF(O795=0,""," + "&amp;O795))</x:f>
        <x:v>4d6 + 17</x:v>
      </x:c>
      <x:c r="Q795" t="n">
        <x:f>ROUND(INDEX(Catalogue!E$4:E$85,MATCH(A795,Catalogue!A$4:A$85,0))*(1+'Paramètres'!$B$4*(C795-1)+'Paramètres'!$B$5*(C795-1)^2),0)</x:f>
        <x:v>21</x:v>
      </x:c>
      <x:c r="R795" t="n">
        <x:f>ROUND(INDEX(Catalogue!F$4:F$85,MATCH(A795,Catalogue!A$4:A$85,0))*(1+'Paramètres'!$B$4*(C795-1)+'Paramètres'!$B$5*(C795-1)^2),0)</x:f>
        <x:v>41</x:v>
      </x:c>
      <x:c r="S795" t="n">
        <x:f>L795-AVERAGE(Q795:R795)</x:f>
        <x:v>0</x:v>
      </x:c>
      <x:c r="T795" t="str">
        <x:f>IF(M795=0,IF(AND(N795=0,O795=0,E795=0,F795=0),"OK","ERREUR"),IF(AND(M795&gt;=1,M795&lt;=32,OR(N795=4,N795=6,N795=8,N795=10,N795=12,N795=20),O795&gt;=0,E795=M795+O795,F795=M795*N795+O795),"OK","ERREUR"))</x:f>
        <x:v>OK</x:v>
      </x:c>
      <x:c r="U795" s="86" t="n">
        <x:f>IF(M795&gt;0,M795*(N795+1)/2+O795,0)</x:f>
        <x:v>31</x:v>
      </x:c>
      <x:c r="V795" t="str">
        <x:f>IF(ABS(L795-U795)&lt;0.001,"OK","ERREUR")</x:f>
        <x:v>OK</x:v>
      </x:c>
    </x:row>
    <x:row r="796" ht="18" customHeight="1">
      <x:c r="A796" t="str">
        <x:v>ARM040</x:v>
      </x:c>
      <x:c r="B796" t="str">
        <x:v>Pique</x:v>
      </x:c>
      <x:c r="C796" t="n">
        <x:v>13</x:v>
      </x:c>
      <x:c r="D796" t="str">
        <x:v>Armes d'hast</x:v>
      </x:c>
      <x:c r="E796" s="28" t="n">
        <x:f>IF(M796=0,0,M796+O796)</x:f>
        <x:v>23</x:v>
      </x:c>
      <x:c r="F796" s="28" t="n">
        <x:f>IF(M796=0,0,M796*N796+O796)</x:f>
        <x:v>45</x:v>
      </x:c>
      <x:c r="G796" s="28" t="n">
        <x:f>ROUND(Catalogue!G43*SQRT((1+'Paramètres'!$B$4*(C796-1)+'Paramètres'!$B$5*(C796-1)^2)),0)</x:f>
        <x:v>0</x:v>
      </x:c>
      <x:c r="H796" s="28" t="n">
        <x:f>ROUND(Catalogue!H43*SQRT((1+'Paramètres'!$B$4*(C796-1)+'Paramètres'!$B$5*(C796-1)^2)),0)</x:f>
        <x:v>0</x:v>
      </x:c>
      <x:c r="I796" s="28" t="n">
        <x:v>3</x:v>
      </x:c>
      <x:c r="J796" s="28" t="n">
        <x:v>2</x:v>
      </x:c>
      <x:c r="K796" s="30" t="n">
        <x:v>3.4</x:v>
      </x:c>
      <x:c r="L796" s="54" t="n">
        <x:f>IF(M796=0,0,(E796+F796)/2)</x:f>
        <x:v>34</x:v>
      </x:c>
      <x:c r="M796" t="n">
        <x:v>2</x:v>
      </x:c>
      <x:c r="N796" t="n">
        <x:v>12</x:v>
      </x:c>
      <x:c r="O796" t="n">
        <x:v>21</x:v>
      </x:c>
      <x:c r="P796" s="63" t="str">
        <x:f>IF(M796=0,"—",M796&amp;"d"&amp;N796&amp;IF(O796=0,""," + "&amp;O796))</x:f>
        <x:v>2d12 + 21</x:v>
      </x:c>
      <x:c r="Q796" t="n">
        <x:f>ROUND(INDEX(Catalogue!E$4:E$85,MATCH(A796,Catalogue!A$4:A$85,0))*(1+'Paramètres'!$B$4*(C796-1)+'Paramètres'!$B$5*(C796-1)^2),0)</x:f>
        <x:v>23</x:v>
      </x:c>
      <x:c r="R796" t="n">
        <x:f>ROUND(INDEX(Catalogue!F$4:F$85,MATCH(A796,Catalogue!A$4:A$85,0))*(1+'Paramètres'!$B$4*(C796-1)+'Paramètres'!$B$5*(C796-1)^2),0)</x:f>
        <x:v>46</x:v>
      </x:c>
      <x:c r="S796" t="n">
        <x:f>L796-AVERAGE(Q796:R796)</x:f>
        <x:v>-0.5</x:v>
      </x:c>
      <x:c r="T796" t="str">
        <x:f>IF(M796=0,IF(AND(N796=0,O796=0,E796=0,F796=0),"OK","ERREUR"),IF(AND(M796&gt;=1,M796&lt;=32,OR(N796=4,N796=6,N796=8,N796=10,N796=12,N796=20),O796&gt;=0,E796=M796+O796,F796=M796*N796+O796),"OK","ERREUR"))</x:f>
        <x:v>OK</x:v>
      </x:c>
      <x:c r="U796" s="86" t="n">
        <x:f>IF(M796&gt;0,M796*(N796+1)/2+O796,0)</x:f>
        <x:v>34</x:v>
      </x:c>
      <x:c r="V796" t="str">
        <x:f>IF(ABS(L796-U796)&lt;0.001,"OK","ERREUR")</x:f>
        <x:v>OK</x:v>
      </x:c>
    </x:row>
    <x:row r="797" ht="18" customHeight="1">
      <x:c r="A797" t="str">
        <x:v>ARM040</x:v>
      </x:c>
      <x:c r="B797" t="str">
        <x:v>Pique</x:v>
      </x:c>
      <x:c r="C797" t="n">
        <x:v>14</x:v>
      </x:c>
      <x:c r="D797" t="str">
        <x:v>Armes d'hast</x:v>
      </x:c>
      <x:c r="E797" s="28" t="n">
        <x:f>IF(M797=0,0,M797+O797)</x:f>
        <x:v>26</x:v>
      </x:c>
      <x:c r="F797" s="28" t="n">
        <x:f>IF(M797=0,0,M797*N797+O797)</x:f>
        <x:v>51</x:v>
      </x:c>
      <x:c r="G797" s="28" t="n">
        <x:f>ROUND(Catalogue!G43*SQRT((1+'Paramètres'!$B$4*(C797-1)+'Paramètres'!$B$5*(C797-1)^2)),0)</x:f>
        <x:v>0</x:v>
      </x:c>
      <x:c r="H797" s="28" t="n">
        <x:f>ROUND(Catalogue!H43*SQRT((1+'Paramètres'!$B$4*(C797-1)+'Paramètres'!$B$5*(C797-1)^2)),0)</x:f>
        <x:v>0</x:v>
      </x:c>
      <x:c r="I797" s="28" t="n">
        <x:v>3</x:v>
      </x:c>
      <x:c r="J797" s="28" t="n">
        <x:v>2</x:v>
      </x:c>
      <x:c r="K797" s="30" t="n">
        <x:v>3.4</x:v>
      </x:c>
      <x:c r="L797" s="54" t="n">
        <x:f>IF(M797=0,0,(E797+F797)/2)</x:f>
        <x:v>38.5</x:v>
      </x:c>
      <x:c r="M797" t="n">
        <x:v>5</x:v>
      </x:c>
      <x:c r="N797" t="n">
        <x:v>6</x:v>
      </x:c>
      <x:c r="O797" t="n">
        <x:v>21</x:v>
      </x:c>
      <x:c r="P797" s="63" t="str">
        <x:f>IF(M797=0,"—",M797&amp;"d"&amp;N797&amp;IF(O797=0,""," + "&amp;O797))</x:f>
        <x:v>5d6 + 21</x:v>
      </x:c>
      <x:c r="Q797" t="n">
        <x:f>ROUND(INDEX(Catalogue!E$4:E$85,MATCH(A797,Catalogue!A$4:A$85,0))*(1+'Paramètres'!$B$4*(C797-1)+'Paramètres'!$B$5*(C797-1)^2),0)</x:f>
        <x:v>26</x:v>
      </x:c>
      <x:c r="R797" t="n">
        <x:f>ROUND(INDEX(Catalogue!F$4:F$85,MATCH(A797,Catalogue!A$4:A$85,0))*(1+'Paramètres'!$B$4*(C797-1)+'Paramètres'!$B$5*(C797-1)^2),0)</x:f>
        <x:v>51</x:v>
      </x:c>
      <x:c r="S797" t="n">
        <x:f>L797-AVERAGE(Q797:R797)</x:f>
        <x:v>0</x:v>
      </x:c>
      <x:c r="T797" t="str">
        <x:f>IF(M797=0,IF(AND(N797=0,O797=0,E797=0,F797=0),"OK","ERREUR"),IF(AND(M797&gt;=1,M797&lt;=32,OR(N797=4,N797=6,N797=8,N797=10,N797=12,N797=20),O797&gt;=0,E797=M797+O797,F797=M797*N797+O797),"OK","ERREUR"))</x:f>
        <x:v>OK</x:v>
      </x:c>
      <x:c r="U797" s="86" t="n">
        <x:f>IF(M797&gt;0,M797*(N797+1)/2+O797,0)</x:f>
        <x:v>38.5</x:v>
      </x:c>
      <x:c r="V797" t="str">
        <x:f>IF(ABS(L797-U797)&lt;0.001,"OK","ERREUR")</x:f>
        <x:v>OK</x:v>
      </x:c>
    </x:row>
    <x:row r="798" ht="18" customHeight="1">
      <x:c r="A798" t="str">
        <x:v>ARM040</x:v>
      </x:c>
      <x:c r="B798" t="str">
        <x:v>Pique</x:v>
      </x:c>
      <x:c r="C798" t="n">
        <x:v>15</x:v>
      </x:c>
      <x:c r="D798" t="str">
        <x:v>Armes d'hast</x:v>
      </x:c>
      <x:c r="E798" s="28" t="n">
        <x:f>IF(M798=0,0,M798+O798)</x:f>
        <x:v>28</x:v>
      </x:c>
      <x:c r="F798" s="28" t="n">
        <x:f>IF(M798=0,0,M798*N798+O798)</x:f>
        <x:v>56</x:v>
      </x:c>
      <x:c r="G798" s="28" t="n">
        <x:f>ROUND(Catalogue!G43*SQRT((1+'Paramètres'!$B$4*(C798-1)+'Paramètres'!$B$5*(C798-1)^2)),0)</x:f>
        <x:v>0</x:v>
      </x:c>
      <x:c r="H798" s="28" t="n">
        <x:f>ROUND(Catalogue!H43*SQRT((1+'Paramètres'!$B$4*(C798-1)+'Paramètres'!$B$5*(C798-1)^2)),0)</x:f>
        <x:v>0</x:v>
      </x:c>
      <x:c r="I798" s="28" t="n">
        <x:v>3</x:v>
      </x:c>
      <x:c r="J798" s="28" t="n">
        <x:v>2</x:v>
      </x:c>
      <x:c r="K798" s="30" t="n">
        <x:v>3.4</x:v>
      </x:c>
      <x:c r="L798" s="54" t="n">
        <x:f>IF(M798=0,0,(E798+F798)/2)</x:f>
        <x:v>42</x:v>
      </x:c>
      <x:c r="M798" t="n">
        <x:v>4</x:v>
      </x:c>
      <x:c r="N798" t="n">
        <x:v>8</x:v>
      </x:c>
      <x:c r="O798" t="n">
        <x:v>24</x:v>
      </x:c>
      <x:c r="P798" s="63" t="str">
        <x:f>IF(M798=0,"—",M798&amp;"d"&amp;N798&amp;IF(O798=0,""," + "&amp;O798))</x:f>
        <x:v>4d8 + 24</x:v>
      </x:c>
      <x:c r="Q798" t="n">
        <x:f>ROUND(INDEX(Catalogue!E$4:E$85,MATCH(A798,Catalogue!A$4:A$85,0))*(1+'Paramètres'!$B$4*(C798-1)+'Paramètres'!$B$5*(C798-1)^2),0)</x:f>
        <x:v>28</x:v>
      </x:c>
      <x:c r="R798" t="n">
        <x:f>ROUND(INDEX(Catalogue!F$4:F$85,MATCH(A798,Catalogue!A$4:A$85,0))*(1+'Paramètres'!$B$4*(C798-1)+'Paramètres'!$B$5*(C798-1)^2),0)</x:f>
        <x:v>57</x:v>
      </x:c>
      <x:c r="S798" t="n">
        <x:f>L798-AVERAGE(Q798:R798)</x:f>
        <x:v>-0.5</x:v>
      </x:c>
      <x:c r="T798" t="str">
        <x:f>IF(M798=0,IF(AND(N798=0,O798=0,E798=0,F798=0),"OK","ERREUR"),IF(AND(M798&gt;=1,M798&lt;=32,OR(N798=4,N798=6,N798=8,N798=10,N798=12,N798=20),O798&gt;=0,E798=M798+O798,F798=M798*N798+O798),"OK","ERREUR"))</x:f>
        <x:v>OK</x:v>
      </x:c>
      <x:c r="U798" s="86" t="n">
        <x:f>IF(M798&gt;0,M798*(N798+1)/2+O798,0)</x:f>
        <x:v>42</x:v>
      </x:c>
      <x:c r="V798" t="str">
        <x:f>IF(ABS(L798-U798)&lt;0.001,"OK","ERREUR")</x:f>
        <x:v>OK</x:v>
      </x:c>
    </x:row>
    <x:row r="799" ht="18" customHeight="1">
      <x:c r="A799" t="str">
        <x:v>ARM040</x:v>
      </x:c>
      <x:c r="B799" t="str">
        <x:v>Pique</x:v>
      </x:c>
      <x:c r="C799" t="n">
        <x:v>16</x:v>
      </x:c>
      <x:c r="D799" t="str">
        <x:v>Armes d'hast</x:v>
      </x:c>
      <x:c r="E799" s="28" t="n">
        <x:f>IF(M799=0,0,M799+O799)</x:f>
        <x:v>30</x:v>
      </x:c>
      <x:c r="F799" s="28" t="n">
        <x:f>IF(M799=0,0,M799*N799+O799)</x:f>
        <x:v>63</x:v>
      </x:c>
      <x:c r="G799" s="28" t="n">
        <x:f>ROUND(Catalogue!G43*SQRT((1+'Paramètres'!$B$4*(C799-1)+'Paramètres'!$B$5*(C799-1)^2)),0)</x:f>
        <x:v>0</x:v>
      </x:c>
      <x:c r="H799" s="28" t="n">
        <x:f>ROUND(Catalogue!H43*SQRT((1+'Paramètres'!$B$4*(C799-1)+'Paramètres'!$B$5*(C799-1)^2)),0)</x:f>
        <x:v>0</x:v>
      </x:c>
      <x:c r="I799" s="28" t="n">
        <x:v>3</x:v>
      </x:c>
      <x:c r="J799" s="28" t="n">
        <x:v>2</x:v>
      </x:c>
      <x:c r="K799" s="30" t="n">
        <x:v>3.4</x:v>
      </x:c>
      <x:c r="L799" s="54" t="n">
        <x:f>IF(M799=0,0,(E799+F799)/2)</x:f>
        <x:v>46.5</x:v>
      </x:c>
      <x:c r="M799" t="n">
        <x:v>3</x:v>
      </x:c>
      <x:c r="N799" t="n">
        <x:v>12</x:v>
      </x:c>
      <x:c r="O799" t="n">
        <x:v>27</x:v>
      </x:c>
      <x:c r="P799" s="63" t="str">
        <x:f>IF(M799=0,"—",M799&amp;"d"&amp;N799&amp;IF(O799=0,""," + "&amp;O799))</x:f>
        <x:v>3d12 + 27</x:v>
      </x:c>
      <x:c r="Q799" t="n">
        <x:f>ROUND(INDEX(Catalogue!E$4:E$85,MATCH(A799,Catalogue!A$4:A$85,0))*(1+'Paramètres'!$B$4*(C799-1)+'Paramètres'!$B$5*(C799-1)^2),0)</x:f>
        <x:v>31</x:v>
      </x:c>
      <x:c r="R799" t="n">
        <x:f>ROUND(INDEX(Catalogue!F$4:F$85,MATCH(A799,Catalogue!A$4:A$85,0))*(1+'Paramètres'!$B$4*(C799-1)+'Paramètres'!$B$5*(C799-1)^2),0)</x:f>
        <x:v>63</x:v>
      </x:c>
      <x:c r="S799" t="n">
        <x:f>L799-AVERAGE(Q799:R799)</x:f>
        <x:v>-0.5</x:v>
      </x:c>
      <x:c r="T799" t="str">
        <x:f>IF(M799=0,IF(AND(N799=0,O799=0,E799=0,F799=0),"OK","ERREUR"),IF(AND(M799&gt;=1,M799&lt;=32,OR(N799=4,N799=6,N799=8,N799=10,N799=12,N799=20),O799&gt;=0,E799=M799+O799,F799=M799*N799+O799),"OK","ERREUR"))</x:f>
        <x:v>OK</x:v>
      </x:c>
      <x:c r="U799" s="86" t="n">
        <x:f>IF(M799&gt;0,M799*(N799+1)/2+O799,0)</x:f>
        <x:v>46.5</x:v>
      </x:c>
      <x:c r="V799" t="str">
        <x:f>IF(ABS(L799-U799)&lt;0.001,"OK","ERREUR")</x:f>
        <x:v>OK</x:v>
      </x:c>
    </x:row>
    <x:row r="800" ht="18" customHeight="1">
      <x:c r="A800" t="str">
        <x:v>ARM040</x:v>
      </x:c>
      <x:c r="B800" t="str">
        <x:v>Pique</x:v>
      </x:c>
      <x:c r="C800" t="n">
        <x:v>17</x:v>
      </x:c>
      <x:c r="D800" t="str">
        <x:v>Armes d'hast</x:v>
      </x:c>
      <x:c r="E800" s="28" t="n">
        <x:f>IF(M800=0,0,M800+O800)</x:f>
        <x:v>34</x:v>
      </x:c>
      <x:c r="F800" s="28" t="n">
        <x:f>IF(M800=0,0,M800*N800+O800)</x:f>
        <x:v>69</x:v>
      </x:c>
      <x:c r="G800" s="28" t="n">
        <x:f>ROUND(Catalogue!G43*SQRT((1+'Paramètres'!$B$4*(C800-1)+'Paramètres'!$B$5*(C800-1)^2)),0)</x:f>
        <x:v>0</x:v>
      </x:c>
      <x:c r="H800" s="28" t="n">
        <x:f>ROUND(Catalogue!H43*SQRT((1+'Paramètres'!$B$4*(C800-1)+'Paramètres'!$B$5*(C800-1)^2)),0)</x:f>
        <x:v>0</x:v>
      </x:c>
      <x:c r="I800" s="28" t="n">
        <x:v>3</x:v>
      </x:c>
      <x:c r="J800" s="28" t="n">
        <x:v>2</x:v>
      </x:c>
      <x:c r="K800" s="30" t="n">
        <x:v>3.4</x:v>
      </x:c>
      <x:c r="L800" s="54" t="n">
        <x:f>IF(M800=0,0,(E800+F800)/2)</x:f>
        <x:v>51.5</x:v>
      </x:c>
      <x:c r="M800" t="n">
        <x:v>5</x:v>
      </x:c>
      <x:c r="N800" t="n">
        <x:v>8</x:v>
      </x:c>
      <x:c r="O800" t="n">
        <x:v>29</x:v>
      </x:c>
      <x:c r="P800" s="63" t="str">
        <x:f>IF(M800=0,"—",M800&amp;"d"&amp;N800&amp;IF(O800=0,""," + "&amp;O800))</x:f>
        <x:v>5d8 + 29</x:v>
      </x:c>
      <x:c r="Q800" t="n">
        <x:f>ROUND(INDEX(Catalogue!E$4:E$85,MATCH(A800,Catalogue!A$4:A$85,0))*(1+'Paramètres'!$B$4*(C800-1)+'Paramètres'!$B$5*(C800-1)^2),0)</x:f>
        <x:v>34</x:v>
      </x:c>
      <x:c r="R800" t="n">
        <x:f>ROUND(INDEX(Catalogue!F$4:F$85,MATCH(A800,Catalogue!A$4:A$85,0))*(1+'Paramètres'!$B$4*(C800-1)+'Paramètres'!$B$5*(C800-1)^2),0)</x:f>
        <x:v>69</x:v>
      </x:c>
      <x:c r="S800" t="n">
        <x:f>L800-AVERAGE(Q800:R800)</x:f>
        <x:v>0</x:v>
      </x:c>
      <x:c r="T800" t="str">
        <x:f>IF(M800=0,IF(AND(N800=0,O800=0,E800=0,F800=0),"OK","ERREUR"),IF(AND(M800&gt;=1,M800&lt;=32,OR(N800=4,N800=6,N800=8,N800=10,N800=12,N800=20),O800&gt;=0,E800=M800+O800,F800=M800*N800+O800),"OK","ERREUR"))</x:f>
        <x:v>OK</x:v>
      </x:c>
      <x:c r="U800" s="86" t="n">
        <x:f>IF(M800&gt;0,M800*(N800+1)/2+O800,0)</x:f>
        <x:v>51.5</x:v>
      </x:c>
      <x:c r="V800" t="str">
        <x:f>IF(ABS(L800-U800)&lt;0.001,"OK","ERREUR")</x:f>
        <x:v>OK</x:v>
      </x:c>
    </x:row>
    <x:row r="801" ht="18" customHeight="1">
      <x:c r="A801" t="str">
        <x:v>ARM040</x:v>
      </x:c>
      <x:c r="B801" t="str">
        <x:v>Pique</x:v>
      </x:c>
      <x:c r="C801" t="n">
        <x:v>18</x:v>
      </x:c>
      <x:c r="D801" t="str">
        <x:v>Armes d'hast</x:v>
      </x:c>
      <x:c r="E801" s="28" t="n">
        <x:f>IF(M801=0,0,M801+O801)</x:f>
        <x:v>38</x:v>
      </x:c>
      <x:c r="F801" s="28" t="n">
        <x:f>IF(M801=0,0,M801*N801+O801)</x:f>
        <x:v>74</x:v>
      </x:c>
      <x:c r="G801" s="28" t="n">
        <x:f>ROUND(Catalogue!G43*SQRT((1+'Paramètres'!$B$4*(C801-1)+'Paramètres'!$B$5*(C801-1)^2)),0)</x:f>
        <x:v>0</x:v>
      </x:c>
      <x:c r="H801" s="28" t="n">
        <x:f>ROUND(Catalogue!H43*SQRT((1+'Paramètres'!$B$4*(C801-1)+'Paramètres'!$B$5*(C801-1)^2)),0)</x:f>
        <x:v>0</x:v>
      </x:c>
      <x:c r="I801" s="28" t="n">
        <x:v>3</x:v>
      </x:c>
      <x:c r="J801" s="28" t="n">
        <x:v>2</x:v>
      </x:c>
      <x:c r="K801" s="30" t="n">
        <x:v>3.4</x:v>
      </x:c>
      <x:c r="L801" s="54" t="n">
        <x:f>IF(M801=0,0,(E801+F801)/2)</x:f>
        <x:v>56</x:v>
      </x:c>
      <x:c r="M801" t="n">
        <x:v>4</x:v>
      </x:c>
      <x:c r="N801" t="n">
        <x:v>10</x:v>
      </x:c>
      <x:c r="O801" t="n">
        <x:v>34</x:v>
      </x:c>
      <x:c r="P801" s="63" t="str">
        <x:f>IF(M801=0,"—",M801&amp;"d"&amp;N801&amp;IF(O801=0,""," + "&amp;O801))</x:f>
        <x:v>4d10 + 34</x:v>
      </x:c>
      <x:c r="Q801" t="n">
        <x:f>ROUND(INDEX(Catalogue!E$4:E$85,MATCH(A801,Catalogue!A$4:A$85,0))*(1+'Paramètres'!$B$4*(C801-1)+'Paramètres'!$B$5*(C801-1)^2),0)</x:f>
        <x:v>37</x:v>
      </x:c>
      <x:c r="R801" t="n">
        <x:f>ROUND(INDEX(Catalogue!F$4:F$85,MATCH(A801,Catalogue!A$4:A$85,0))*(1+'Paramètres'!$B$4*(C801-1)+'Paramètres'!$B$5*(C801-1)^2),0)</x:f>
        <x:v>75</x:v>
      </x:c>
      <x:c r="S801" t="n">
        <x:f>L801-AVERAGE(Q801:R801)</x:f>
        <x:v>0</x:v>
      </x:c>
      <x:c r="T801" t="str">
        <x:f>IF(M801=0,IF(AND(N801=0,O801=0,E801=0,F801=0),"OK","ERREUR"),IF(AND(M801&gt;=1,M801&lt;=32,OR(N801=4,N801=6,N801=8,N801=10,N801=12,N801=20),O801&gt;=0,E801=M801+O801,F801=M801*N801+O801),"OK","ERREUR"))</x:f>
        <x:v>OK</x:v>
      </x:c>
      <x:c r="U801" s="86" t="n">
        <x:f>IF(M801&gt;0,M801*(N801+1)/2+O801,0)</x:f>
        <x:v>56</x:v>
      </x:c>
      <x:c r="V801" t="str">
        <x:f>IF(ABS(L801-U801)&lt;0.001,"OK","ERREUR")</x:f>
        <x:v>OK</x:v>
      </x:c>
    </x:row>
    <x:row r="802" ht="18" customHeight="1">
      <x:c r="A802" t="str">
        <x:v>ARM040</x:v>
      </x:c>
      <x:c r="B802" t="str">
        <x:v>Pique</x:v>
      </x:c>
      <x:c r="C802" t="n">
        <x:v>19</x:v>
      </x:c>
      <x:c r="D802" t="str">
        <x:v>Armes d'hast</x:v>
      </x:c>
      <x:c r="E802" s="28" t="n">
        <x:f>IF(M802=0,0,M802+O802)</x:f>
        <x:v>40</x:v>
      </x:c>
      <x:c r="F802" s="28" t="n">
        <x:f>IF(M802=0,0,M802*N802+O802)</x:f>
        <x:v>82</x:v>
      </x:c>
      <x:c r="G802" s="28" t="n">
        <x:f>ROUND(Catalogue!G43*SQRT((1+'Paramètres'!$B$4*(C802-1)+'Paramètres'!$B$5*(C802-1)^2)),0)</x:f>
        <x:v>0</x:v>
      </x:c>
      <x:c r="H802" s="28" t="n">
        <x:f>ROUND(Catalogue!H43*SQRT((1+'Paramètres'!$B$4*(C802-1)+'Paramètres'!$B$5*(C802-1)^2)),0)</x:f>
        <x:v>0</x:v>
      </x:c>
      <x:c r="I802" s="28" t="n">
        <x:v>3</x:v>
      </x:c>
      <x:c r="J802" s="28" t="n">
        <x:v>2</x:v>
      </x:c>
      <x:c r="K802" s="30" t="n">
        <x:v>3.4</x:v>
      </x:c>
      <x:c r="L802" s="54" t="n">
        <x:f>IF(M802=0,0,(E802+F802)/2)</x:f>
        <x:v>61</x:v>
      </x:c>
      <x:c r="M802" t="n">
        <x:v>6</x:v>
      </x:c>
      <x:c r="N802" t="n">
        <x:v>8</x:v>
      </x:c>
      <x:c r="O802" t="n">
        <x:v>34</x:v>
      </x:c>
      <x:c r="P802" s="63" t="str">
        <x:f>IF(M802=0,"—",M802&amp;"d"&amp;N802&amp;IF(O802=0,""," + "&amp;O802))</x:f>
        <x:v>6d8 + 34</x:v>
      </x:c>
      <x:c r="Q802" t="n">
        <x:f>ROUND(INDEX(Catalogue!E$4:E$85,MATCH(A802,Catalogue!A$4:A$85,0))*(1+'Paramètres'!$B$4*(C802-1)+'Paramètres'!$B$5*(C802-1)^2),0)</x:f>
        <x:v>41</x:v>
      </x:c>
      <x:c r="R802" t="n">
        <x:f>ROUND(INDEX(Catalogue!F$4:F$85,MATCH(A802,Catalogue!A$4:A$85,0))*(1+'Paramètres'!$B$4*(C802-1)+'Paramètres'!$B$5*(C802-1)^2),0)</x:f>
        <x:v>82</x:v>
      </x:c>
      <x:c r="S802" t="n">
        <x:f>L802-AVERAGE(Q802:R802)</x:f>
        <x:v>-0.5</x:v>
      </x:c>
      <x:c r="T802" t="str">
        <x:f>IF(M802=0,IF(AND(N802=0,O802=0,E802=0,F802=0),"OK","ERREUR"),IF(AND(M802&gt;=1,M802&lt;=32,OR(N802=4,N802=6,N802=8,N802=10,N802=12,N802=20),O802&gt;=0,E802=M802+O802,F802=M802*N802+O802),"OK","ERREUR"))</x:f>
        <x:v>OK</x:v>
      </x:c>
      <x:c r="U802" s="86" t="n">
        <x:f>IF(M802&gt;0,M802*(N802+1)/2+O802,0)</x:f>
        <x:v>61</x:v>
      </x:c>
      <x:c r="V802" t="str">
        <x:f>IF(ABS(L802-U802)&lt;0.001,"OK","ERREUR")</x:f>
        <x:v>OK</x:v>
      </x:c>
    </x:row>
    <x:row r="803" ht="18" customHeight="1">
      <x:c r="A803" t="str">
        <x:v>ARM040</x:v>
      </x:c>
      <x:c r="B803" t="str">
        <x:v>Pique</x:v>
      </x:c>
      <x:c r="C803" t="n">
        <x:v>20</x:v>
      </x:c>
      <x:c r="D803" t="str">
        <x:v>Armes d'hast</x:v>
      </x:c>
      <x:c r="E803" s="28" t="n">
        <x:f>IF(M803=0,0,M803+O803)</x:f>
        <x:v>44</x:v>
      </x:c>
      <x:c r="F803" s="28" t="n">
        <x:f>IF(M803=0,0,M803*N803+O803)</x:f>
        <x:v>89</x:v>
      </x:c>
      <x:c r="G803" s="28" t="n">
        <x:f>ROUND(Catalogue!G43*SQRT((1+'Paramètres'!$B$4*(C803-1)+'Paramètres'!$B$5*(C803-1)^2)),0)</x:f>
        <x:v>0</x:v>
      </x:c>
      <x:c r="H803" s="28" t="n">
        <x:f>ROUND(Catalogue!H43*SQRT((1+'Paramètres'!$B$4*(C803-1)+'Paramètres'!$B$5*(C803-1)^2)),0)</x:f>
        <x:v>0</x:v>
      </x:c>
      <x:c r="I803" s="28" t="n">
        <x:v>3</x:v>
      </x:c>
      <x:c r="J803" s="28" t="n">
        <x:v>2</x:v>
      </x:c>
      <x:c r="K803" s="30" t="n">
        <x:v>3.4</x:v>
      </x:c>
      <x:c r="L803" s="54" t="n">
        <x:f>IF(M803=0,0,(E803+F803)/2)</x:f>
        <x:v>66.5</x:v>
      </x:c>
      <x:c r="M803" t="n">
        <x:v>5</x:v>
      </x:c>
      <x:c r="N803" t="n">
        <x:v>10</x:v>
      </x:c>
      <x:c r="O803" t="n">
        <x:v>39</x:v>
      </x:c>
      <x:c r="P803" s="63" t="str">
        <x:f>IF(M803=0,"—",M803&amp;"d"&amp;N803&amp;IF(O803=0,""," + "&amp;O803))</x:f>
        <x:v>5d10 + 39</x:v>
      </x:c>
      <x:c r="Q803" t="n">
        <x:f>ROUND(INDEX(Catalogue!E$4:E$85,MATCH(A803,Catalogue!A$4:A$85,0))*(1+'Paramètres'!$B$4*(C803-1)+'Paramètres'!$B$5*(C803-1)^2),0)</x:f>
        <x:v>44</x:v>
      </x:c>
      <x:c r="R803" t="n">
        <x:f>ROUND(INDEX(Catalogue!F$4:F$85,MATCH(A803,Catalogue!A$4:A$85,0))*(1+'Paramètres'!$B$4*(C803-1)+'Paramètres'!$B$5*(C803-1)^2),0)</x:f>
        <x:v>89</x:v>
      </x:c>
      <x:c r="S803" t="n">
        <x:f>L803-AVERAGE(Q803:R803)</x:f>
        <x:v>0</x:v>
      </x:c>
      <x:c r="T803" t="str">
        <x:f>IF(M803=0,IF(AND(N803=0,O803=0,E803=0,F803=0),"OK","ERREUR"),IF(AND(M803&gt;=1,M803&lt;=32,OR(N803=4,N803=6,N803=8,N803=10,N803=12,N803=20),O803&gt;=0,E803=M803+O803,F803=M803*N803+O803),"OK","ERREUR"))</x:f>
        <x:v>OK</x:v>
      </x:c>
      <x:c r="U803" s="86" t="n">
        <x:f>IF(M803&gt;0,M803*(N803+1)/2+O803,0)</x:f>
        <x:v>66.5</x:v>
      </x:c>
      <x:c r="V803" t="str">
        <x:f>IF(ABS(L803-U803)&lt;0.001,"OK","ERREUR")</x:f>
        <x:v>OK</x:v>
      </x:c>
    </x:row>
    <x:row r="804" ht="18" customHeight="1">
      <x:c r="A804" t="str">
        <x:v>ARM041</x:v>
      </x:c>
      <x:c r="B804" t="str">
        <x:v>Hallebarde</x:v>
      </x:c>
      <x:c r="C804" t="n">
        <x:v>1</x:v>
      </x:c>
      <x:c r="D804" t="str">
        <x:v>Armes d'hast</x:v>
      </x:c>
      <x:c r="E804" s="28" t="n">
        <x:f>IF(M804=0,0,M804+O804)</x:f>
        <x:v>7</x:v>
      </x:c>
      <x:c r="F804" s="28" t="n">
        <x:f>IF(M804=0,0,M804*N804+O804)</x:f>
        <x:v>12</x:v>
      </x:c>
      <x:c r="G804" s="28" t="n">
        <x:f>ROUND(Catalogue!G44*SQRT((1+'Paramètres'!$B$4*(C804-1)+'Paramètres'!$B$5*(C804-1)^2)),0)</x:f>
        <x:v>0</x:v>
      </x:c>
      <x:c r="H804" s="28" t="n">
        <x:f>ROUND(Catalogue!H44*SQRT((1+'Paramètres'!$B$4*(C804-1)+'Paramètres'!$B$5*(C804-1)^2)),0)</x:f>
        <x:v>0</x:v>
      </x:c>
      <x:c r="I804" s="28" t="n">
        <x:v>3</x:v>
      </x:c>
      <x:c r="J804" s="28" t="n">
        <x:v>2</x:v>
      </x:c>
      <x:c r="K804" s="30" t="n">
        <x:v>4.7</x:v>
      </x:c>
      <x:c r="L804" s="54" t="n">
        <x:f>IF(M804=0,0,(E804+F804)/2)</x:f>
        <x:v>9.5</x:v>
      </x:c>
      <x:c r="M804" t="n">
        <x:v>1</x:v>
      </x:c>
      <x:c r="N804" t="n">
        <x:v>6</x:v>
      </x:c>
      <x:c r="O804" t="n">
        <x:v>6</x:v>
      </x:c>
      <x:c r="P804" s="63" t="str">
        <x:f>IF(M804=0,"—",M804&amp;"d"&amp;N804&amp;IF(O804=0,""," + "&amp;O804))</x:f>
        <x:v>1d6 + 6</x:v>
      </x:c>
      <x:c r="Q804" t="n">
        <x:f>ROUND(INDEX(Catalogue!E$4:E$85,MATCH(A804,Catalogue!A$4:A$85,0))*(1+'Paramètres'!$B$4*(C804-1)+'Paramètres'!$B$5*(C804-1)^2),0)</x:f>
        <x:v>7</x:v>
      </x:c>
      <x:c r="R804" t="n">
        <x:f>ROUND(INDEX(Catalogue!F$4:F$85,MATCH(A804,Catalogue!A$4:A$85,0))*(1+'Paramètres'!$B$4*(C804-1)+'Paramètres'!$B$5*(C804-1)^2),0)</x:f>
        <x:v>12</x:v>
      </x:c>
      <x:c r="S804" t="n">
        <x:f>L804-AVERAGE(Q804:R804)</x:f>
        <x:v>0</x:v>
      </x:c>
      <x:c r="T804" t="str">
        <x:f>IF(M804=0,IF(AND(N804=0,O804=0,E804=0,F804=0),"OK","ERREUR"),IF(AND(M804&gt;=1,M804&lt;=32,OR(N804=4,N804=6,N804=8,N804=10,N804=12,N804=20),O804&gt;=0,E804=M804+O804,F804=M804*N804+O804),"OK","ERREUR"))</x:f>
        <x:v>OK</x:v>
      </x:c>
      <x:c r="U804" s="86" t="n">
        <x:f>IF(M804&gt;0,M804*(N804+1)/2+O804,0)</x:f>
        <x:v>9.5</x:v>
      </x:c>
      <x:c r="V804" t="str">
        <x:f>IF(ABS(L804-U804)&lt;0.001,"OK","ERREUR")</x:f>
        <x:v>OK</x:v>
      </x:c>
    </x:row>
    <x:row r="805" ht="18" customHeight="1">
      <x:c r="A805" t="str">
        <x:v>ARM041</x:v>
      </x:c>
      <x:c r="B805" t="str">
        <x:v>Hallebarde</x:v>
      </x:c>
      <x:c r="C805" t="n">
        <x:v>2</x:v>
      </x:c>
      <x:c r="D805" t="str">
        <x:v>Armes d'hast</x:v>
      </x:c>
      <x:c r="E805" s="28" t="n">
        <x:f>IF(M805=0,0,M805+O805)</x:f>
        <x:v>9</x:v>
      </x:c>
      <x:c r="F805" s="28" t="n">
        <x:f>IF(M805=0,0,M805*N805+O805)</x:f>
        <x:v>14</x:v>
      </x:c>
      <x:c r="G805" s="28" t="n">
        <x:f>ROUND(Catalogue!G44*SQRT((1+'Paramètres'!$B$4*(C805-1)+'Paramètres'!$B$5*(C805-1)^2)),0)</x:f>
        <x:v>0</x:v>
      </x:c>
      <x:c r="H805" s="28" t="n">
        <x:f>ROUND(Catalogue!H44*SQRT((1+'Paramètres'!$B$4*(C805-1)+'Paramètres'!$B$5*(C805-1)^2)),0)</x:f>
        <x:v>0</x:v>
      </x:c>
      <x:c r="I805" s="28" t="n">
        <x:v>3</x:v>
      </x:c>
      <x:c r="J805" s="28" t="n">
        <x:v>2</x:v>
      </x:c>
      <x:c r="K805" s="30" t="n">
        <x:v>4.7</x:v>
      </x:c>
      <x:c r="L805" s="54" t="n">
        <x:f>IF(M805=0,0,(E805+F805)/2)</x:f>
        <x:v>11.5</x:v>
      </x:c>
      <x:c r="M805" t="n">
        <x:v>1</x:v>
      </x:c>
      <x:c r="N805" t="n">
        <x:v>6</x:v>
      </x:c>
      <x:c r="O805" t="n">
        <x:v>8</x:v>
      </x:c>
      <x:c r="P805" s="63" t="str">
        <x:f>IF(M805=0,"—",M805&amp;"d"&amp;N805&amp;IF(O805=0,""," + "&amp;O805))</x:f>
        <x:v>1d6 + 8</x:v>
      </x:c>
      <x:c r="Q805" t="n">
        <x:f>ROUND(INDEX(Catalogue!E$4:E$85,MATCH(A805,Catalogue!A$4:A$85,0))*(1+'Paramètres'!$B$4*(C805-1)+'Paramètres'!$B$5*(C805-1)^2),0)</x:f>
        <x:v>8</x:v>
      </x:c>
      <x:c r="R805" t="n">
        <x:f>ROUND(INDEX(Catalogue!F$4:F$85,MATCH(A805,Catalogue!A$4:A$85,0))*(1+'Paramètres'!$B$4*(C805-1)+'Paramètres'!$B$5*(C805-1)^2),0)</x:f>
        <x:v>14</x:v>
      </x:c>
      <x:c r="S805" t="n">
        <x:f>L805-AVERAGE(Q805:R805)</x:f>
        <x:v>0.5</x:v>
      </x:c>
      <x:c r="T805" t="str">
        <x:f>IF(M805=0,IF(AND(N805=0,O805=0,E805=0,F805=0),"OK","ERREUR"),IF(AND(M805&gt;=1,M805&lt;=32,OR(N805=4,N805=6,N805=8,N805=10,N805=12,N805=20),O805&gt;=0,E805=M805+O805,F805=M805*N805+O805),"OK","ERREUR"))</x:f>
        <x:v>OK</x:v>
      </x:c>
      <x:c r="U805" s="86" t="n">
        <x:f>IF(M805&gt;0,M805*(N805+1)/2+O805,0)</x:f>
        <x:v>11.5</x:v>
      </x:c>
      <x:c r="V805" t="str">
        <x:f>IF(ABS(L805-U805)&lt;0.001,"OK","ERREUR")</x:f>
        <x:v>OK</x:v>
      </x:c>
    </x:row>
    <x:row r="806" ht="18" customHeight="1">
      <x:c r="A806" t="str">
        <x:v>ARM041</x:v>
      </x:c>
      <x:c r="B806" t="str">
        <x:v>Hallebarde</x:v>
      </x:c>
      <x:c r="C806" t="n">
        <x:v>3</x:v>
      </x:c>
      <x:c r="D806" t="str">
        <x:v>Armes d'hast</x:v>
      </x:c>
      <x:c r="E806" s="28" t="n">
        <x:f>IF(M806=0,0,M806+O806)</x:f>
        <x:v>9</x:v>
      </x:c>
      <x:c r="F806" s="28" t="n">
        <x:f>IF(M806=0,0,M806*N806+O806)</x:f>
        <x:v>14</x:v>
      </x:c>
      <x:c r="G806" s="28" t="n">
        <x:f>ROUND(Catalogue!G44*SQRT((1+'Paramètres'!$B$4*(C806-1)+'Paramètres'!$B$5*(C806-1)^2)),0)</x:f>
        <x:v>0</x:v>
      </x:c>
      <x:c r="H806" s="28" t="n">
        <x:f>ROUND(Catalogue!H44*SQRT((1+'Paramètres'!$B$4*(C806-1)+'Paramètres'!$B$5*(C806-1)^2)),0)</x:f>
        <x:v>0</x:v>
      </x:c>
      <x:c r="I806" s="28" t="n">
        <x:v>3</x:v>
      </x:c>
      <x:c r="J806" s="28" t="n">
        <x:v>2</x:v>
      </x:c>
      <x:c r="K806" s="30" t="n">
        <x:v>4.7</x:v>
      </x:c>
      <x:c r="L806" s="54" t="n">
        <x:f>IF(M806=0,0,(E806+F806)/2)</x:f>
        <x:v>11.5</x:v>
      </x:c>
      <x:c r="M806" t="n">
        <x:v>1</x:v>
      </x:c>
      <x:c r="N806" t="n">
        <x:v>6</x:v>
      </x:c>
      <x:c r="O806" t="n">
        <x:v>8</x:v>
      </x:c>
      <x:c r="P806" s="63" t="str">
        <x:f>IF(M806=0,"—",M806&amp;"d"&amp;N806&amp;IF(O806=0,""," + "&amp;O806))</x:f>
        <x:v>1d6 + 8</x:v>
      </x:c>
      <x:c r="Q806" t="n">
        <x:f>ROUND(INDEX(Catalogue!E$4:E$85,MATCH(A806,Catalogue!A$4:A$85,0))*(1+'Paramètres'!$B$4*(C806-1)+'Paramètres'!$B$5*(C806-1)^2),0)</x:f>
        <x:v>9</x:v>
      </x:c>
      <x:c r="R806" t="n">
        <x:f>ROUND(INDEX(Catalogue!F$4:F$85,MATCH(A806,Catalogue!A$4:A$85,0))*(1+'Paramètres'!$B$4*(C806-1)+'Paramètres'!$B$5*(C806-1)^2),0)</x:f>
        <x:v>15</x:v>
      </x:c>
      <x:c r="S806" t="n">
        <x:f>L806-AVERAGE(Q806:R806)</x:f>
        <x:v>-0.5</x:v>
      </x:c>
      <x:c r="T806" t="str">
        <x:f>IF(M806=0,IF(AND(N806=0,O806=0,E806=0,F806=0),"OK","ERREUR"),IF(AND(M806&gt;=1,M806&lt;=32,OR(N806=4,N806=6,N806=8,N806=10,N806=12,N806=20),O806&gt;=0,E806=M806+O806,F806=M806*N806+O806),"OK","ERREUR"))</x:f>
        <x:v>OK</x:v>
      </x:c>
      <x:c r="U806" s="86" t="n">
        <x:f>IF(M806&gt;0,M806*(N806+1)/2+O806,0)</x:f>
        <x:v>11.5</x:v>
      </x:c>
      <x:c r="V806" t="str">
        <x:f>IF(ABS(L806-U806)&lt;0.001,"OK","ERREUR")</x:f>
        <x:v>OK</x:v>
      </x:c>
    </x:row>
    <x:row r="807" ht="18" customHeight="1">
      <x:c r="A807" t="str">
        <x:v>ARM041</x:v>
      </x:c>
      <x:c r="B807" t="str">
        <x:v>Hallebarde</x:v>
      </x:c>
      <x:c r="C807" t="n">
        <x:v>4</x:v>
      </x:c>
      <x:c r="D807" t="str">
        <x:v>Armes d'hast</x:v>
      </x:c>
      <x:c r="E807" s="28" t="n">
        <x:f>IF(M807=0,0,M807+O807)</x:f>
        <x:v>10</x:v>
      </x:c>
      <x:c r="F807" s="28" t="n">
        <x:f>IF(M807=0,0,M807*N807+O807)</x:f>
        <x:v>17</x:v>
      </x:c>
      <x:c r="G807" s="28" t="n">
        <x:f>ROUND(Catalogue!G44*SQRT((1+'Paramètres'!$B$4*(C807-1)+'Paramètres'!$B$5*(C807-1)^2)),0)</x:f>
        <x:v>0</x:v>
      </x:c>
      <x:c r="H807" s="28" t="n">
        <x:f>ROUND(Catalogue!H44*SQRT((1+'Paramètres'!$B$4*(C807-1)+'Paramètres'!$B$5*(C807-1)^2)),0)</x:f>
        <x:v>0</x:v>
      </x:c>
      <x:c r="I807" s="28" t="n">
        <x:v>3</x:v>
      </x:c>
      <x:c r="J807" s="28" t="n">
        <x:v>2</x:v>
      </x:c>
      <x:c r="K807" s="30" t="n">
        <x:v>4.7</x:v>
      </x:c>
      <x:c r="L807" s="54" t="n">
        <x:f>IF(M807=0,0,(E807+F807)/2)</x:f>
        <x:v>13.5</x:v>
      </x:c>
      <x:c r="M807" t="n">
        <x:v>1</x:v>
      </x:c>
      <x:c r="N807" t="n">
        <x:v>8</x:v>
      </x:c>
      <x:c r="O807" t="n">
        <x:v>9</x:v>
      </x:c>
      <x:c r="P807" s="63" t="str">
        <x:f>IF(M807=0,"—",M807&amp;"d"&amp;N807&amp;IF(O807=0,""," + "&amp;O807))</x:f>
        <x:v>1d8 + 9</x:v>
      </x:c>
      <x:c r="Q807" t="n">
        <x:f>ROUND(INDEX(Catalogue!E$4:E$85,MATCH(A807,Catalogue!A$4:A$85,0))*(1+'Paramètres'!$B$4*(C807-1)+'Paramètres'!$B$5*(C807-1)^2),0)</x:f>
        <x:v>10</x:v>
      </x:c>
      <x:c r="R807" t="n">
        <x:f>ROUND(INDEX(Catalogue!F$4:F$85,MATCH(A807,Catalogue!A$4:A$85,0))*(1+'Paramètres'!$B$4*(C807-1)+'Paramètres'!$B$5*(C807-1)^2),0)</x:f>
        <x:v>18</x:v>
      </x:c>
      <x:c r="S807" t="n">
        <x:f>L807-AVERAGE(Q807:R807)</x:f>
        <x:v>-0.5</x:v>
      </x:c>
      <x:c r="T807" t="str">
        <x:f>IF(M807=0,IF(AND(N807=0,O807=0,E807=0,F807=0),"OK","ERREUR"),IF(AND(M807&gt;=1,M807&lt;=32,OR(N807=4,N807=6,N807=8,N807=10,N807=12,N807=20),O807&gt;=0,E807=M807+O807,F807=M807*N807+O807),"OK","ERREUR"))</x:f>
        <x:v>OK</x:v>
      </x:c>
      <x:c r="U807" s="86" t="n">
        <x:f>IF(M807&gt;0,M807*(N807+1)/2+O807,0)</x:f>
        <x:v>13.5</x:v>
      </x:c>
      <x:c r="V807" t="str">
        <x:f>IF(ABS(L807-U807)&lt;0.001,"OK","ERREUR")</x:f>
        <x:v>OK</x:v>
      </x:c>
    </x:row>
    <x:row r="808" ht="18" customHeight="1">
      <x:c r="A808" t="str">
        <x:v>ARM041</x:v>
      </x:c>
      <x:c r="B808" t="str">
        <x:v>Hallebarde</x:v>
      </x:c>
      <x:c r="C808" t="n">
        <x:v>5</x:v>
      </x:c>
      <x:c r="D808" t="str">
        <x:v>Armes d'hast</x:v>
      </x:c>
      <x:c r="E808" s="28" t="n">
        <x:f>IF(M808=0,0,M808+O808)</x:f>
        <x:v>12</x:v>
      </x:c>
      <x:c r="F808" s="28" t="n">
        <x:f>IF(M808=0,0,M808*N808+O808)</x:f>
        <x:v>19</x:v>
      </x:c>
      <x:c r="G808" s="28" t="n">
        <x:f>ROUND(Catalogue!G44*SQRT((1+'Paramètres'!$B$4*(C808-1)+'Paramètres'!$B$5*(C808-1)^2)),0)</x:f>
        <x:v>0</x:v>
      </x:c>
      <x:c r="H808" s="28" t="n">
        <x:f>ROUND(Catalogue!H44*SQRT((1+'Paramètres'!$B$4*(C808-1)+'Paramètres'!$B$5*(C808-1)^2)),0)</x:f>
        <x:v>0</x:v>
      </x:c>
      <x:c r="I808" s="28" t="n">
        <x:v>3</x:v>
      </x:c>
      <x:c r="J808" s="28" t="n">
        <x:v>2</x:v>
      </x:c>
      <x:c r="K808" s="30" t="n">
        <x:v>4.7</x:v>
      </x:c>
      <x:c r="L808" s="54" t="n">
        <x:f>IF(M808=0,0,(E808+F808)/2)</x:f>
        <x:v>15.5</x:v>
      </x:c>
      <x:c r="M808" t="n">
        <x:v>1</x:v>
      </x:c>
      <x:c r="N808" t="n">
        <x:v>8</x:v>
      </x:c>
      <x:c r="O808" t="n">
        <x:v>11</x:v>
      </x:c>
      <x:c r="P808" s="63" t="str">
        <x:f>IF(M808=0,"—",M808&amp;"d"&amp;N808&amp;IF(O808=0,""," + "&amp;O808))</x:f>
        <x:v>1d8 + 11</x:v>
      </x:c>
      <x:c r="Q808" t="n">
        <x:f>ROUND(INDEX(Catalogue!E$4:E$85,MATCH(A808,Catalogue!A$4:A$85,0))*(1+'Paramètres'!$B$4*(C808-1)+'Paramètres'!$B$5*(C808-1)^2),0)</x:f>
        <x:v>12</x:v>
      </x:c>
      <x:c r="R808" t="n">
        <x:f>ROUND(INDEX(Catalogue!F$4:F$85,MATCH(A808,Catalogue!A$4:A$85,0))*(1+'Paramètres'!$B$4*(C808-1)+'Paramètres'!$B$5*(C808-1)^2),0)</x:f>
        <x:v>20</x:v>
      </x:c>
      <x:c r="S808" t="n">
        <x:f>L808-AVERAGE(Q808:R808)</x:f>
        <x:v>-0.5</x:v>
      </x:c>
      <x:c r="T808" t="str">
        <x:f>IF(M808=0,IF(AND(N808=0,O808=0,E808=0,F808=0),"OK","ERREUR"),IF(AND(M808&gt;=1,M808&lt;=32,OR(N808=4,N808=6,N808=8,N808=10,N808=12,N808=20),O808&gt;=0,E808=M808+O808,F808=M808*N808+O808),"OK","ERREUR"))</x:f>
        <x:v>OK</x:v>
      </x:c>
      <x:c r="U808" s="86" t="n">
        <x:f>IF(M808&gt;0,M808*(N808+1)/2+O808,0)</x:f>
        <x:v>15.5</x:v>
      </x:c>
      <x:c r="V808" t="str">
        <x:f>IF(ABS(L808-U808)&lt;0.001,"OK","ERREUR")</x:f>
        <x:v>OK</x:v>
      </x:c>
    </x:row>
    <x:row r="809" ht="18" customHeight="1">
      <x:c r="A809" t="str">
        <x:v>ARM041</x:v>
      </x:c>
      <x:c r="B809" t="str">
        <x:v>Hallebarde</x:v>
      </x:c>
      <x:c r="C809" t="n">
        <x:v>6</x:v>
      </x:c>
      <x:c r="D809" t="str">
        <x:v>Armes d'hast</x:v>
      </x:c>
      <x:c r="E809" s="28" t="n">
        <x:f>IF(M809=0,0,M809+O809)</x:f>
        <x:v>14</x:v>
      </x:c>
      <x:c r="F809" s="28" t="n">
        <x:f>IF(M809=0,0,M809*N809+O809)</x:f>
        <x:v>23</x:v>
      </x:c>
      <x:c r="G809" s="28" t="n">
        <x:f>ROUND(Catalogue!G44*SQRT((1+'Paramètres'!$B$4*(C809-1)+'Paramètres'!$B$5*(C809-1)^2)),0)</x:f>
        <x:v>0</x:v>
      </x:c>
      <x:c r="H809" s="28" t="n">
        <x:f>ROUND(Catalogue!H44*SQRT((1+'Paramètres'!$B$4*(C809-1)+'Paramètres'!$B$5*(C809-1)^2)),0)</x:f>
        <x:v>0</x:v>
      </x:c>
      <x:c r="I809" s="28" t="n">
        <x:v>3</x:v>
      </x:c>
      <x:c r="J809" s="28" t="n">
        <x:v>2</x:v>
      </x:c>
      <x:c r="K809" s="30" t="n">
        <x:v>4.7</x:v>
      </x:c>
      <x:c r="L809" s="54" t="n">
        <x:f>IF(M809=0,0,(E809+F809)/2)</x:f>
        <x:v>18.5</x:v>
      </x:c>
      <x:c r="M809" t="n">
        <x:v>1</x:v>
      </x:c>
      <x:c r="N809" t="n">
        <x:v>10</x:v>
      </x:c>
      <x:c r="O809" t="n">
        <x:v>13</x:v>
      </x:c>
      <x:c r="P809" s="63" t="str">
        <x:f>IF(M809=0,"—",M809&amp;"d"&amp;N809&amp;IF(O809=0,""," + "&amp;O809))</x:f>
        <x:v>1d10 + 13</x:v>
      </x:c>
      <x:c r="Q809" t="n">
        <x:f>ROUND(INDEX(Catalogue!E$4:E$85,MATCH(A809,Catalogue!A$4:A$85,0))*(1+'Paramètres'!$B$4*(C809-1)+'Paramètres'!$B$5*(C809-1)^2),0)</x:f>
        <x:v>14</x:v>
      </x:c>
      <x:c r="R809" t="n">
        <x:f>ROUND(INDEX(Catalogue!F$4:F$85,MATCH(A809,Catalogue!A$4:A$85,0))*(1+'Paramètres'!$B$4*(C809-1)+'Paramètres'!$B$5*(C809-1)^2),0)</x:f>
        <x:v>23</x:v>
      </x:c>
      <x:c r="S809" t="n">
        <x:f>L809-AVERAGE(Q809:R809)</x:f>
        <x:v>0</x:v>
      </x:c>
      <x:c r="T809" t="str">
        <x:f>IF(M809=0,IF(AND(N809=0,O809=0,E809=0,F809=0),"OK","ERREUR"),IF(AND(M809&gt;=1,M809&lt;=32,OR(N809=4,N809=6,N809=8,N809=10,N809=12,N809=20),O809&gt;=0,E809=M809+O809,F809=M809*N809+O809),"OK","ERREUR"))</x:f>
        <x:v>OK</x:v>
      </x:c>
      <x:c r="U809" s="86" t="n">
        <x:f>IF(M809&gt;0,M809*(N809+1)/2+O809,0)</x:f>
        <x:v>18.5</x:v>
      </x:c>
      <x:c r="V809" t="str">
        <x:f>IF(ABS(L809-U809)&lt;0.001,"OK","ERREUR")</x:f>
        <x:v>OK</x:v>
      </x:c>
    </x:row>
    <x:row r="810" ht="18" customHeight="1">
      <x:c r="A810" t="str">
        <x:v>ARM041</x:v>
      </x:c>
      <x:c r="B810" t="str">
        <x:v>Hallebarde</x:v>
      </x:c>
      <x:c r="C810" t="n">
        <x:v>7</x:v>
      </x:c>
      <x:c r="D810" t="str">
        <x:v>Armes d'hast</x:v>
      </x:c>
      <x:c r="E810" s="28" t="n">
        <x:f>IF(M810=0,0,M810+O810)</x:f>
        <x:v>16</x:v>
      </x:c>
      <x:c r="F810" s="28" t="n">
        <x:f>IF(M810=0,0,M810*N810+O810)</x:f>
        <x:v>27</x:v>
      </x:c>
      <x:c r="G810" s="28" t="n">
        <x:f>ROUND(Catalogue!G44*SQRT((1+'Paramètres'!$B$4*(C810-1)+'Paramètres'!$B$5*(C810-1)^2)),0)</x:f>
        <x:v>0</x:v>
      </x:c>
      <x:c r="H810" s="28" t="n">
        <x:f>ROUND(Catalogue!H44*SQRT((1+'Paramètres'!$B$4*(C810-1)+'Paramètres'!$B$5*(C810-1)^2)),0)</x:f>
        <x:v>0</x:v>
      </x:c>
      <x:c r="I810" s="28" t="n">
        <x:v>3</x:v>
      </x:c>
      <x:c r="J810" s="28" t="n">
        <x:v>2</x:v>
      </x:c>
      <x:c r="K810" s="30" t="n">
        <x:v>4.7</x:v>
      </x:c>
      <x:c r="L810" s="54" t="n">
        <x:f>IF(M810=0,0,(E810+F810)/2)</x:f>
        <x:v>21.5</x:v>
      </x:c>
      <x:c r="M810" t="n">
        <x:v>1</x:v>
      </x:c>
      <x:c r="N810" t="n">
        <x:v>12</x:v>
      </x:c>
      <x:c r="O810" t="n">
        <x:v>15</x:v>
      </x:c>
      <x:c r="P810" s="63" t="str">
        <x:f>IF(M810=0,"—",M810&amp;"d"&amp;N810&amp;IF(O810=0,""," + "&amp;O810))</x:f>
        <x:v>1d12 + 15</x:v>
      </x:c>
      <x:c r="Q810" t="n">
        <x:f>ROUND(INDEX(Catalogue!E$4:E$85,MATCH(A810,Catalogue!A$4:A$85,0))*(1+'Paramètres'!$B$4*(C810-1)+'Paramètres'!$B$5*(C810-1)^2),0)</x:f>
        <x:v>16</x:v>
      </x:c>
      <x:c r="R810" t="n">
        <x:f>ROUND(INDEX(Catalogue!F$4:F$85,MATCH(A810,Catalogue!A$4:A$85,0))*(1+'Paramètres'!$B$4*(C810-1)+'Paramètres'!$B$5*(C810-1)^2),0)</x:f>
        <x:v>27</x:v>
      </x:c>
      <x:c r="S810" t="n">
        <x:f>L810-AVERAGE(Q810:R810)</x:f>
        <x:v>0</x:v>
      </x:c>
      <x:c r="T810" t="str">
        <x:f>IF(M810=0,IF(AND(N810=0,O810=0,E810=0,F810=0),"OK","ERREUR"),IF(AND(M810&gt;=1,M810&lt;=32,OR(N810=4,N810=6,N810=8,N810=10,N810=12,N810=20),O810&gt;=0,E810=M810+O810,F810=M810*N810+O810),"OK","ERREUR"))</x:f>
        <x:v>OK</x:v>
      </x:c>
      <x:c r="U810" s="86" t="n">
        <x:f>IF(M810&gt;0,M810*(N810+1)/2+O810,0)</x:f>
        <x:v>21.5</x:v>
      </x:c>
      <x:c r="V810" t="str">
        <x:f>IF(ABS(L810-U810)&lt;0.001,"OK","ERREUR")</x:f>
        <x:v>OK</x:v>
      </x:c>
    </x:row>
    <x:row r="811" ht="18" customHeight="1">
      <x:c r="A811" t="str">
        <x:v>ARM041</x:v>
      </x:c>
      <x:c r="B811" t="str">
        <x:v>Hallebarde</x:v>
      </x:c>
      <x:c r="C811" t="n">
        <x:v>8</x:v>
      </x:c>
      <x:c r="D811" t="str">
        <x:v>Armes d'hast</x:v>
      </x:c>
      <x:c r="E811" s="28" t="n">
        <x:f>IF(M811=0,0,M811+O811)</x:f>
        <x:v>18</x:v>
      </x:c>
      <x:c r="F811" s="28" t="n">
        <x:f>IF(M811=0,0,M811*N811+O811)</x:f>
        <x:v>32</x:v>
      </x:c>
      <x:c r="G811" s="28" t="n">
        <x:f>ROUND(Catalogue!G44*SQRT((1+'Paramètres'!$B$4*(C811-1)+'Paramètres'!$B$5*(C811-1)^2)),0)</x:f>
        <x:v>0</x:v>
      </x:c>
      <x:c r="H811" s="28" t="n">
        <x:f>ROUND(Catalogue!H44*SQRT((1+'Paramètres'!$B$4*(C811-1)+'Paramètres'!$B$5*(C811-1)^2)),0)</x:f>
        <x:v>0</x:v>
      </x:c>
      <x:c r="I811" s="28" t="n">
        <x:v>3</x:v>
      </x:c>
      <x:c r="J811" s="28" t="n">
        <x:v>2</x:v>
      </x:c>
      <x:c r="K811" s="30" t="n">
        <x:v>4.7</x:v>
      </x:c>
      <x:c r="L811" s="54" t="n">
        <x:f>IF(M811=0,0,(E811+F811)/2)</x:f>
        <x:v>25</x:v>
      </x:c>
      <x:c r="M811" t="n">
        <x:v>2</x:v>
      </x:c>
      <x:c r="N811" t="n">
        <x:v>8</x:v>
      </x:c>
      <x:c r="O811" t="n">
        <x:v>16</x:v>
      </x:c>
      <x:c r="P811" s="63" t="str">
        <x:f>IF(M811=0,"—",M811&amp;"d"&amp;N811&amp;IF(O811=0,""," + "&amp;O811))</x:f>
        <x:v>2d8 + 16</x:v>
      </x:c>
      <x:c r="Q811" t="n">
        <x:f>ROUND(INDEX(Catalogue!E$4:E$85,MATCH(A811,Catalogue!A$4:A$85,0))*(1+'Paramètres'!$B$4*(C811-1)+'Paramètres'!$B$5*(C811-1)^2),0)</x:f>
        <x:v>18</x:v>
      </x:c>
      <x:c r="R811" t="n">
        <x:f>ROUND(INDEX(Catalogue!F$4:F$85,MATCH(A811,Catalogue!A$4:A$85,0))*(1+'Paramètres'!$B$4*(C811-1)+'Paramètres'!$B$5*(C811-1)^2),0)</x:f>
        <x:v>31</x:v>
      </x:c>
      <x:c r="S811" t="n">
        <x:f>L811-AVERAGE(Q811:R811)</x:f>
        <x:v>0.5</x:v>
      </x:c>
      <x:c r="T811" t="str">
        <x:f>IF(M811=0,IF(AND(N811=0,O811=0,E811=0,F811=0),"OK","ERREUR"),IF(AND(M811&gt;=1,M811&lt;=32,OR(N811=4,N811=6,N811=8,N811=10,N811=12,N811=20),O811&gt;=0,E811=M811+O811,F811=M811*N811+O811),"OK","ERREUR"))</x:f>
        <x:v>OK</x:v>
      </x:c>
      <x:c r="U811" s="86" t="n">
        <x:f>IF(M811&gt;0,M811*(N811+1)/2+O811,0)</x:f>
        <x:v>25</x:v>
      </x:c>
      <x:c r="V811" t="str">
        <x:f>IF(ABS(L811-U811)&lt;0.001,"OK","ERREUR")</x:f>
        <x:v>OK</x:v>
      </x:c>
    </x:row>
    <x:row r="812" ht="18" customHeight="1">
      <x:c r="A812" t="str">
        <x:v>ARM041</x:v>
      </x:c>
      <x:c r="B812" t="str">
        <x:v>Hallebarde</x:v>
      </x:c>
      <x:c r="C812" t="n">
        <x:v>9</x:v>
      </x:c>
      <x:c r="D812" t="str">
        <x:v>Armes d'hast</x:v>
      </x:c>
      <x:c r="E812" s="28" t="n">
        <x:f>IF(M812=0,0,M812+O812)</x:f>
        <x:v>20</x:v>
      </x:c>
      <x:c r="F812" s="28" t="n">
        <x:f>IF(M812=0,0,M812*N812+O812)</x:f>
        <x:v>35</x:v>
      </x:c>
      <x:c r="G812" s="28" t="n">
        <x:f>ROUND(Catalogue!G44*SQRT((1+'Paramètres'!$B$4*(C812-1)+'Paramètres'!$B$5*(C812-1)^2)),0)</x:f>
        <x:v>0</x:v>
      </x:c>
      <x:c r="H812" s="28" t="n">
        <x:f>ROUND(Catalogue!H44*SQRT((1+'Paramètres'!$B$4*(C812-1)+'Paramètres'!$B$5*(C812-1)^2)),0)</x:f>
        <x:v>0</x:v>
      </x:c>
      <x:c r="I812" s="28" t="n">
        <x:v>3</x:v>
      </x:c>
      <x:c r="J812" s="28" t="n">
        <x:v>2</x:v>
      </x:c>
      <x:c r="K812" s="30" t="n">
        <x:v>4.7</x:v>
      </x:c>
      <x:c r="L812" s="54" t="n">
        <x:f>IF(M812=0,0,(E812+F812)/2)</x:f>
        <x:v>27.5</x:v>
      </x:c>
      <x:c r="M812" t="n">
        <x:v>3</x:v>
      </x:c>
      <x:c r="N812" t="n">
        <x:v>6</x:v>
      </x:c>
      <x:c r="O812" t="n">
        <x:v>17</x:v>
      </x:c>
      <x:c r="P812" s="63" t="str">
        <x:f>IF(M812=0,"—",M812&amp;"d"&amp;N812&amp;IF(O812=0,""," + "&amp;O812))</x:f>
        <x:v>3d6 + 17</x:v>
      </x:c>
      <x:c r="Q812" t="n">
        <x:f>ROUND(INDEX(Catalogue!E$4:E$85,MATCH(A812,Catalogue!A$4:A$85,0))*(1+'Paramètres'!$B$4*(C812-1)+'Paramètres'!$B$5*(C812-1)^2),0)</x:f>
        <x:v>20</x:v>
      </x:c>
      <x:c r="R812" t="n">
        <x:f>ROUND(INDEX(Catalogue!F$4:F$85,MATCH(A812,Catalogue!A$4:A$85,0))*(1+'Paramètres'!$B$4*(C812-1)+'Paramètres'!$B$5*(C812-1)^2),0)</x:f>
        <x:v>35</x:v>
      </x:c>
      <x:c r="S812" t="n">
        <x:f>L812-AVERAGE(Q812:R812)</x:f>
        <x:v>0</x:v>
      </x:c>
      <x:c r="T812" t="str">
        <x:f>IF(M812=0,IF(AND(N812=0,O812=0,E812=0,F812=0),"OK","ERREUR"),IF(AND(M812&gt;=1,M812&lt;=32,OR(N812=4,N812=6,N812=8,N812=10,N812=12,N812=20),O812&gt;=0,E812=M812+O812,F812=M812*N812+O812),"OK","ERREUR"))</x:f>
        <x:v>OK</x:v>
      </x:c>
      <x:c r="U812" s="86" t="n">
        <x:f>IF(M812&gt;0,M812*(N812+1)/2+O812,0)</x:f>
        <x:v>27.5</x:v>
      </x:c>
      <x:c r="V812" t="str">
        <x:f>IF(ABS(L812-U812)&lt;0.001,"OK","ERREUR")</x:f>
        <x:v>OK</x:v>
      </x:c>
    </x:row>
    <x:row r="813" ht="18" customHeight="1">
      <x:c r="A813" t="str">
        <x:v>ARM041</x:v>
      </x:c>
      <x:c r="B813" t="str">
        <x:v>Hallebarde</x:v>
      </x:c>
      <x:c r="C813" t="n">
        <x:v>10</x:v>
      </x:c>
      <x:c r="D813" t="str">
        <x:v>Armes d'hast</x:v>
      </x:c>
      <x:c r="E813" s="28" t="n">
        <x:f>IF(M813=0,0,M813+O813)</x:f>
        <x:v>23</x:v>
      </x:c>
      <x:c r="F813" s="28" t="n">
        <x:f>IF(M813=0,0,M813*N813+O813)</x:f>
        <x:v>38</x:v>
      </x:c>
      <x:c r="G813" s="28" t="n">
        <x:f>ROUND(Catalogue!G44*SQRT((1+'Paramètres'!$B$4*(C813-1)+'Paramètres'!$B$5*(C813-1)^2)),0)</x:f>
        <x:v>0</x:v>
      </x:c>
      <x:c r="H813" s="28" t="n">
        <x:f>ROUND(Catalogue!H44*SQRT((1+'Paramètres'!$B$4*(C813-1)+'Paramètres'!$B$5*(C813-1)^2)),0)</x:f>
        <x:v>0</x:v>
      </x:c>
      <x:c r="I813" s="28" t="n">
        <x:v>3</x:v>
      </x:c>
      <x:c r="J813" s="28" t="n">
        <x:v>2</x:v>
      </x:c>
      <x:c r="K813" s="30" t="n">
        <x:v>4.7</x:v>
      </x:c>
      <x:c r="L813" s="54" t="n">
        <x:f>IF(M813=0,0,(E813+F813)/2)</x:f>
        <x:v>30.5</x:v>
      </x:c>
      <x:c r="M813" t="n">
        <x:v>3</x:v>
      </x:c>
      <x:c r="N813" t="n">
        <x:v>6</x:v>
      </x:c>
      <x:c r="O813" t="n">
        <x:v>20</x:v>
      </x:c>
      <x:c r="P813" s="63" t="str">
        <x:f>IF(M813=0,"—",M813&amp;"d"&amp;N813&amp;IF(O813=0,""," + "&amp;O813))</x:f>
        <x:v>3d6 + 20</x:v>
      </x:c>
      <x:c r="Q813" t="n">
        <x:f>ROUND(INDEX(Catalogue!E$4:E$85,MATCH(A813,Catalogue!A$4:A$85,0))*(1+'Paramètres'!$B$4*(C813-1)+'Paramètres'!$B$5*(C813-1)^2),0)</x:f>
        <x:v>23</x:v>
      </x:c>
      <x:c r="R813" t="n">
        <x:f>ROUND(INDEX(Catalogue!F$4:F$85,MATCH(A813,Catalogue!A$4:A$85,0))*(1+'Paramètres'!$B$4*(C813-1)+'Paramètres'!$B$5*(C813-1)^2),0)</x:f>
        <x:v>39</x:v>
      </x:c>
      <x:c r="S813" t="n">
        <x:f>L813-AVERAGE(Q813:R813)</x:f>
        <x:v>-0.5</x:v>
      </x:c>
      <x:c r="T813" t="str">
        <x:f>IF(M813=0,IF(AND(N813=0,O813=0,E813=0,F813=0),"OK","ERREUR"),IF(AND(M813&gt;=1,M813&lt;=32,OR(N813=4,N813=6,N813=8,N813=10,N813=12,N813=20),O813&gt;=0,E813=M813+O813,F813=M813*N813+O813),"OK","ERREUR"))</x:f>
        <x:v>OK</x:v>
      </x:c>
      <x:c r="U813" s="86" t="n">
        <x:f>IF(M813&gt;0,M813*(N813+1)/2+O813,0)</x:f>
        <x:v>30.5</x:v>
      </x:c>
      <x:c r="V813" t="str">
        <x:f>IF(ABS(L813-U813)&lt;0.001,"OK","ERREUR")</x:f>
        <x:v>OK</x:v>
      </x:c>
    </x:row>
    <x:row r="814" ht="18" customHeight="1">
      <x:c r="A814" t="str">
        <x:v>ARM041</x:v>
      </x:c>
      <x:c r="B814" t="str">
        <x:v>Hallebarde</x:v>
      </x:c>
      <x:c r="C814" t="n">
        <x:v>11</x:v>
      </x:c>
      <x:c r="D814" t="str">
        <x:v>Armes d'hast</x:v>
      </x:c>
      <x:c r="E814" s="28" t="n">
        <x:f>IF(M814=0,0,M814+O814)</x:f>
        <x:v>26</x:v>
      </x:c>
      <x:c r="F814" s="28" t="n">
        <x:f>IF(M814=0,0,M814*N814+O814)</x:f>
        <x:v>44</x:v>
      </x:c>
      <x:c r="G814" s="28" t="n">
        <x:f>ROUND(Catalogue!G44*SQRT((1+'Paramètres'!$B$4*(C814-1)+'Paramètres'!$B$5*(C814-1)^2)),0)</x:f>
        <x:v>0</x:v>
      </x:c>
      <x:c r="H814" s="28" t="n">
        <x:f>ROUND(Catalogue!H44*SQRT((1+'Paramètres'!$B$4*(C814-1)+'Paramètres'!$B$5*(C814-1)^2)),0)</x:f>
        <x:v>0</x:v>
      </x:c>
      <x:c r="I814" s="28" t="n">
        <x:v>3</x:v>
      </x:c>
      <x:c r="J814" s="28" t="n">
        <x:v>2</x:v>
      </x:c>
      <x:c r="K814" s="30" t="n">
        <x:v>4.7</x:v>
      </x:c>
      <x:c r="L814" s="54" t="n">
        <x:f>IF(M814=0,0,(E814+F814)/2)</x:f>
        <x:v>35</x:v>
      </x:c>
      <x:c r="M814" t="n">
        <x:v>2</x:v>
      </x:c>
      <x:c r="N814" t="n">
        <x:v>10</x:v>
      </x:c>
      <x:c r="O814" t="n">
        <x:v>24</x:v>
      </x:c>
      <x:c r="P814" s="63" t="str">
        <x:f>IF(M814=0,"—",M814&amp;"d"&amp;N814&amp;IF(O814=0,""," + "&amp;O814))</x:f>
        <x:v>2d10 + 24</x:v>
      </x:c>
      <x:c r="Q814" t="n">
        <x:f>ROUND(INDEX(Catalogue!E$4:E$85,MATCH(A814,Catalogue!A$4:A$85,0))*(1+'Paramètres'!$B$4*(C814-1)+'Paramètres'!$B$5*(C814-1)^2),0)</x:f>
        <x:v>26</x:v>
      </x:c>
      <x:c r="R814" t="n">
        <x:f>ROUND(INDEX(Catalogue!F$4:F$85,MATCH(A814,Catalogue!A$4:A$85,0))*(1+'Paramètres'!$B$4*(C814-1)+'Paramètres'!$B$5*(C814-1)^2),0)</x:f>
        <x:v>44</x:v>
      </x:c>
      <x:c r="S814" t="n">
        <x:f>L814-AVERAGE(Q814:R814)</x:f>
        <x:v>0</x:v>
      </x:c>
      <x:c r="T814" t="str">
        <x:f>IF(M814=0,IF(AND(N814=0,O814=0,E814=0,F814=0),"OK","ERREUR"),IF(AND(M814&gt;=1,M814&lt;=32,OR(N814=4,N814=6,N814=8,N814=10,N814=12,N814=20),O814&gt;=0,E814=M814+O814,F814=M814*N814+O814),"OK","ERREUR"))</x:f>
        <x:v>OK</x:v>
      </x:c>
      <x:c r="U814" s="86" t="n">
        <x:f>IF(M814&gt;0,M814*(N814+1)/2+O814,0)</x:f>
        <x:v>35</x:v>
      </x:c>
      <x:c r="V814" t="str">
        <x:f>IF(ABS(L814-U814)&lt;0.001,"OK","ERREUR")</x:f>
        <x:v>OK</x:v>
      </x:c>
    </x:row>
    <x:row r="815" ht="18" customHeight="1">
      <x:c r="A815" t="str">
        <x:v>ARM041</x:v>
      </x:c>
      <x:c r="B815" t="str">
        <x:v>Hallebarde</x:v>
      </x:c>
      <x:c r="C815" t="n">
        <x:v>12</x:v>
      </x:c>
      <x:c r="D815" t="str">
        <x:v>Armes d'hast</x:v>
      </x:c>
      <x:c r="E815" s="28" t="n">
        <x:f>IF(M815=0,0,M815+O815)</x:f>
        <x:v>29</x:v>
      </x:c>
      <x:c r="F815" s="28" t="n">
        <x:f>IF(M815=0,0,M815*N815+O815)</x:f>
        <x:v>50</x:v>
      </x:c>
      <x:c r="G815" s="28" t="n">
        <x:f>ROUND(Catalogue!G44*SQRT((1+'Paramètres'!$B$4*(C815-1)+'Paramètres'!$B$5*(C815-1)^2)),0)</x:f>
        <x:v>0</x:v>
      </x:c>
      <x:c r="H815" s="28" t="n">
        <x:f>ROUND(Catalogue!H44*SQRT((1+'Paramètres'!$B$4*(C815-1)+'Paramètres'!$B$5*(C815-1)^2)),0)</x:f>
        <x:v>0</x:v>
      </x:c>
      <x:c r="I815" s="28" t="n">
        <x:v>3</x:v>
      </x:c>
      <x:c r="J815" s="28" t="n">
        <x:v>2</x:v>
      </x:c>
      <x:c r="K815" s="30" t="n">
        <x:v>4.7</x:v>
      </x:c>
      <x:c r="L815" s="54" t="n">
        <x:f>IF(M815=0,0,(E815+F815)/2)</x:f>
        <x:v>39.5</x:v>
      </x:c>
      <x:c r="M815" t="n">
        <x:v>3</x:v>
      </x:c>
      <x:c r="N815" t="n">
        <x:v>8</x:v>
      </x:c>
      <x:c r="O815" t="n">
        <x:v>26</x:v>
      </x:c>
      <x:c r="P815" s="63" t="str">
        <x:f>IF(M815=0,"—",M815&amp;"d"&amp;N815&amp;IF(O815=0,""," + "&amp;O815))</x:f>
        <x:v>3d8 + 26</x:v>
      </x:c>
      <x:c r="Q815" t="n">
        <x:f>ROUND(INDEX(Catalogue!E$4:E$85,MATCH(A815,Catalogue!A$4:A$85,0))*(1+'Paramètres'!$B$4*(C815-1)+'Paramètres'!$B$5*(C815-1)^2),0)</x:f>
        <x:v>29</x:v>
      </x:c>
      <x:c r="R815" t="n">
        <x:f>ROUND(INDEX(Catalogue!F$4:F$85,MATCH(A815,Catalogue!A$4:A$85,0))*(1+'Paramètres'!$B$4*(C815-1)+'Paramètres'!$B$5*(C815-1)^2),0)</x:f>
        <x:v>50</x:v>
      </x:c>
      <x:c r="S815" t="n">
        <x:f>L815-AVERAGE(Q815:R815)</x:f>
        <x:v>0</x:v>
      </x:c>
      <x:c r="T815" t="str">
        <x:f>IF(M815=0,IF(AND(N815=0,O815=0,E815=0,F815=0),"OK","ERREUR"),IF(AND(M815&gt;=1,M815&lt;=32,OR(N815=4,N815=6,N815=8,N815=10,N815=12,N815=20),O815&gt;=0,E815=M815+O815,F815=M815*N815+O815),"OK","ERREUR"))</x:f>
        <x:v>OK</x:v>
      </x:c>
      <x:c r="U815" s="86" t="n">
        <x:f>IF(M815&gt;0,M815*(N815+1)/2+O815,0)</x:f>
        <x:v>39.5</x:v>
      </x:c>
      <x:c r="V815" t="str">
        <x:f>IF(ABS(L815-U815)&lt;0.001,"OK","ERREUR")</x:f>
        <x:v>OK</x:v>
      </x:c>
    </x:row>
    <x:row r="816" ht="18" customHeight="1">
      <x:c r="A816" t="str">
        <x:v>ARM041</x:v>
      </x:c>
      <x:c r="B816" t="str">
        <x:v>Hallebarde</x:v>
      </x:c>
      <x:c r="C816" t="n">
        <x:v>13</x:v>
      </x:c>
      <x:c r="D816" t="str">
        <x:v>Armes d'hast</x:v>
      </x:c>
      <x:c r="E816" s="28" t="n">
        <x:f>IF(M816=0,0,M816+O816)</x:f>
        <x:v>32</x:v>
      </x:c>
      <x:c r="F816" s="28" t="n">
        <x:f>IF(M816=0,0,M816*N816+O816)</x:f>
        <x:v>54</x:v>
      </x:c>
      <x:c r="G816" s="28" t="n">
        <x:f>ROUND(Catalogue!G44*SQRT((1+'Paramètres'!$B$4*(C816-1)+'Paramètres'!$B$5*(C816-1)^2)),0)</x:f>
        <x:v>0</x:v>
      </x:c>
      <x:c r="H816" s="28" t="n">
        <x:f>ROUND(Catalogue!H44*SQRT((1+'Paramètres'!$B$4*(C816-1)+'Paramètres'!$B$5*(C816-1)^2)),0)</x:f>
        <x:v>0</x:v>
      </x:c>
      <x:c r="I816" s="28" t="n">
        <x:v>3</x:v>
      </x:c>
      <x:c r="J816" s="28" t="n">
        <x:v>2</x:v>
      </x:c>
      <x:c r="K816" s="30" t="n">
        <x:v>4.7</x:v>
      </x:c>
      <x:c r="L816" s="54" t="n">
        <x:f>IF(M816=0,0,(E816+F816)/2)</x:f>
        <x:v>43</x:v>
      </x:c>
      <x:c r="M816" t="n">
        <x:v>2</x:v>
      </x:c>
      <x:c r="N816" t="n">
        <x:v>12</x:v>
      </x:c>
      <x:c r="O816" t="n">
        <x:v>30</x:v>
      </x:c>
      <x:c r="P816" s="63" t="str">
        <x:f>IF(M816=0,"—",M816&amp;"d"&amp;N816&amp;IF(O816=0,""," + "&amp;O816))</x:f>
        <x:v>2d12 + 30</x:v>
      </x:c>
      <x:c r="Q816" t="n">
        <x:f>ROUND(INDEX(Catalogue!E$4:E$85,MATCH(A816,Catalogue!A$4:A$85,0))*(1+'Paramètres'!$B$4*(C816-1)+'Paramètres'!$B$5*(C816-1)^2),0)</x:f>
        <x:v>32</x:v>
      </x:c>
      <x:c r="R816" t="n">
        <x:f>ROUND(INDEX(Catalogue!F$4:F$85,MATCH(A816,Catalogue!A$4:A$85,0))*(1+'Paramètres'!$B$4*(C816-1)+'Paramètres'!$B$5*(C816-1)^2),0)</x:f>
        <x:v>55</x:v>
      </x:c>
      <x:c r="S816" t="n">
        <x:f>L816-AVERAGE(Q816:R816)</x:f>
        <x:v>-0.5</x:v>
      </x:c>
      <x:c r="T816" t="str">
        <x:f>IF(M816=0,IF(AND(N816=0,O816=0,E816=0,F816=0),"OK","ERREUR"),IF(AND(M816&gt;=1,M816&lt;=32,OR(N816=4,N816=6,N816=8,N816=10,N816=12,N816=20),O816&gt;=0,E816=M816+O816,F816=M816*N816+O816),"OK","ERREUR"))</x:f>
        <x:v>OK</x:v>
      </x:c>
      <x:c r="U816" s="86" t="n">
        <x:f>IF(M816&gt;0,M816*(N816+1)/2+O816,0)</x:f>
        <x:v>43</x:v>
      </x:c>
      <x:c r="V816" t="str">
        <x:f>IF(ABS(L816-U816)&lt;0.001,"OK","ERREUR")</x:f>
        <x:v>OK</x:v>
      </x:c>
    </x:row>
    <x:row r="817" ht="18" customHeight="1">
      <x:c r="A817" t="str">
        <x:v>ARM041</x:v>
      </x:c>
      <x:c r="B817" t="str">
        <x:v>Hallebarde</x:v>
      </x:c>
      <x:c r="C817" t="n">
        <x:v>14</x:v>
      </x:c>
      <x:c r="D817" t="str">
        <x:v>Armes d'hast</x:v>
      </x:c>
      <x:c r="E817" s="28" t="n">
        <x:f>IF(M817=0,0,M817+O817)</x:f>
        <x:v>35</x:v>
      </x:c>
      <x:c r="F817" s="28" t="n">
        <x:f>IF(M817=0,0,M817*N817+O817)</x:f>
        <x:v>62</x:v>
      </x:c>
      <x:c r="G817" s="28" t="n">
        <x:f>ROUND(Catalogue!G44*SQRT((1+'Paramètres'!$B$4*(C817-1)+'Paramètres'!$B$5*(C817-1)^2)),0)</x:f>
        <x:v>0</x:v>
      </x:c>
      <x:c r="H817" s="28" t="n">
        <x:f>ROUND(Catalogue!H44*SQRT((1+'Paramètres'!$B$4*(C817-1)+'Paramètres'!$B$5*(C817-1)^2)),0)</x:f>
        <x:v>0</x:v>
      </x:c>
      <x:c r="I817" s="28" t="n">
        <x:v>3</x:v>
      </x:c>
      <x:c r="J817" s="28" t="n">
        <x:v>2</x:v>
      </x:c>
      <x:c r="K817" s="30" t="n">
        <x:v>4.7</x:v>
      </x:c>
      <x:c r="L817" s="54" t="n">
        <x:f>IF(M817=0,0,(E817+F817)/2)</x:f>
        <x:v>48.5</x:v>
      </x:c>
      <x:c r="M817" t="n">
        <x:v>3</x:v>
      </x:c>
      <x:c r="N817" t="n">
        <x:v>10</x:v>
      </x:c>
      <x:c r="O817" t="n">
        <x:v>32</x:v>
      </x:c>
      <x:c r="P817" s="63" t="str">
        <x:f>IF(M817=0,"—",M817&amp;"d"&amp;N817&amp;IF(O817=0,""," + "&amp;O817))</x:f>
        <x:v>3d10 + 32</x:v>
      </x:c>
      <x:c r="Q817" t="n">
        <x:f>ROUND(INDEX(Catalogue!E$4:E$85,MATCH(A817,Catalogue!A$4:A$85,0))*(1+'Paramètres'!$B$4*(C817-1)+'Paramètres'!$B$5*(C817-1)^2),0)</x:f>
        <x:v>36</x:v>
      </x:c>
      <x:c r="R817" t="n">
        <x:f>ROUND(INDEX(Catalogue!F$4:F$85,MATCH(A817,Catalogue!A$4:A$85,0))*(1+'Paramètres'!$B$4*(C817-1)+'Paramètres'!$B$5*(C817-1)^2),0)</x:f>
        <x:v>62</x:v>
      </x:c>
      <x:c r="S817" t="n">
        <x:f>L817-AVERAGE(Q817:R817)</x:f>
        <x:v>-0.5</x:v>
      </x:c>
      <x:c r="T817" t="str">
        <x:f>IF(M817=0,IF(AND(N817=0,O817=0,E817=0,F817=0),"OK","ERREUR"),IF(AND(M817&gt;=1,M817&lt;=32,OR(N817=4,N817=6,N817=8,N817=10,N817=12,N817=20),O817&gt;=0,E817=M817+O817,F817=M817*N817+O817),"OK","ERREUR"))</x:f>
        <x:v>OK</x:v>
      </x:c>
      <x:c r="U817" s="86" t="n">
        <x:f>IF(M817&gt;0,M817*(N817+1)/2+O817,0)</x:f>
        <x:v>48.5</x:v>
      </x:c>
      <x:c r="V817" t="str">
        <x:f>IF(ABS(L817-U817)&lt;0.001,"OK","ERREUR")</x:f>
        <x:v>OK</x:v>
      </x:c>
    </x:row>
    <x:row r="818" ht="18" customHeight="1">
      <x:c r="A818" t="str">
        <x:v>ARM041</x:v>
      </x:c>
      <x:c r="B818" t="str">
        <x:v>Hallebarde</x:v>
      </x:c>
      <x:c r="C818" t="n">
        <x:v>15</x:v>
      </x:c>
      <x:c r="D818" t="str">
        <x:v>Armes d'hast</x:v>
      </x:c>
      <x:c r="E818" s="28" t="n">
        <x:f>IF(M818=0,0,M818+O818)</x:f>
        <x:v>40</x:v>
      </x:c>
      <x:c r="F818" s="28" t="n">
        <x:f>IF(M818=0,0,M818*N818+O818)</x:f>
        <x:v>68</x:v>
      </x:c>
      <x:c r="G818" s="28" t="n">
        <x:f>ROUND(Catalogue!G44*SQRT((1+'Paramètres'!$B$4*(C818-1)+'Paramètres'!$B$5*(C818-1)^2)),0)</x:f>
        <x:v>0</x:v>
      </x:c>
      <x:c r="H818" s="28" t="n">
        <x:f>ROUND(Catalogue!H44*SQRT((1+'Paramètres'!$B$4*(C818-1)+'Paramètres'!$B$5*(C818-1)^2)),0)</x:f>
        <x:v>0</x:v>
      </x:c>
      <x:c r="I818" s="28" t="n">
        <x:v>3</x:v>
      </x:c>
      <x:c r="J818" s="28" t="n">
        <x:v>2</x:v>
      </x:c>
      <x:c r="K818" s="30" t="n">
        <x:v>4.7</x:v>
      </x:c>
      <x:c r="L818" s="54" t="n">
        <x:f>IF(M818=0,0,(E818+F818)/2)</x:f>
        <x:v>54</x:v>
      </x:c>
      <x:c r="M818" t="n">
        <x:v>4</x:v>
      </x:c>
      <x:c r="N818" t="n">
        <x:v>8</x:v>
      </x:c>
      <x:c r="O818" t="n">
        <x:v>36</x:v>
      </x:c>
      <x:c r="P818" s="63" t="str">
        <x:f>IF(M818=0,"—",M818&amp;"d"&amp;N818&amp;IF(O818=0,""," + "&amp;O818))</x:f>
        <x:v>4d8 + 36</x:v>
      </x:c>
      <x:c r="Q818" t="n">
        <x:f>ROUND(INDEX(Catalogue!E$4:E$85,MATCH(A818,Catalogue!A$4:A$85,0))*(1+'Paramètres'!$B$4*(C818-1)+'Paramètres'!$B$5*(C818-1)^2),0)</x:f>
        <x:v>40</x:v>
      </x:c>
      <x:c r="R818" t="n">
        <x:f>ROUND(INDEX(Catalogue!F$4:F$85,MATCH(A818,Catalogue!A$4:A$85,0))*(1+'Paramètres'!$B$4*(C818-1)+'Paramètres'!$B$5*(C818-1)^2),0)</x:f>
        <x:v>68</x:v>
      </x:c>
      <x:c r="S818" t="n">
        <x:f>L818-AVERAGE(Q818:R818)</x:f>
        <x:v>0</x:v>
      </x:c>
      <x:c r="T818" t="str">
        <x:f>IF(M818=0,IF(AND(N818=0,O818=0,E818=0,F818=0),"OK","ERREUR"),IF(AND(M818&gt;=1,M818&lt;=32,OR(N818=4,N818=6,N818=8,N818=10,N818=12,N818=20),O818&gt;=0,E818=M818+O818,F818=M818*N818+O818),"OK","ERREUR"))</x:f>
        <x:v>OK</x:v>
      </x:c>
      <x:c r="U818" s="86" t="n">
        <x:f>IF(M818&gt;0,M818*(N818+1)/2+O818,0)</x:f>
        <x:v>54</x:v>
      </x:c>
      <x:c r="V818" t="str">
        <x:f>IF(ABS(L818-U818)&lt;0.001,"OK","ERREUR")</x:f>
        <x:v>OK</x:v>
      </x:c>
    </x:row>
    <x:row r="819" ht="18" customHeight="1">
      <x:c r="A819" t="str">
        <x:v>ARM041</x:v>
      </x:c>
      <x:c r="B819" t="str">
        <x:v>Hallebarde</x:v>
      </x:c>
      <x:c r="C819" t="n">
        <x:v>16</x:v>
      </x:c>
      <x:c r="D819" t="str">
        <x:v>Armes d'hast</x:v>
      </x:c>
      <x:c r="E819" s="28" t="n">
        <x:f>IF(M819=0,0,M819+O819)</x:f>
        <x:v>44</x:v>
      </x:c>
      <x:c r="F819" s="28" t="n">
        <x:f>IF(M819=0,0,M819*N819+O819)</x:f>
        <x:v>74</x:v>
      </x:c>
      <x:c r="G819" s="28" t="n">
        <x:f>ROUND(Catalogue!G44*SQRT((1+'Paramètres'!$B$4*(C819-1)+'Paramètres'!$B$5*(C819-1)^2)),0)</x:f>
        <x:v>0</x:v>
      </x:c>
      <x:c r="H819" s="28" t="n">
        <x:f>ROUND(Catalogue!H44*SQRT((1+'Paramètres'!$B$4*(C819-1)+'Paramètres'!$B$5*(C819-1)^2)),0)</x:f>
        <x:v>0</x:v>
      </x:c>
      <x:c r="I819" s="28" t="n">
        <x:v>3</x:v>
      </x:c>
      <x:c r="J819" s="28" t="n">
        <x:v>2</x:v>
      </x:c>
      <x:c r="K819" s="30" t="n">
        <x:v>4.7</x:v>
      </x:c>
      <x:c r="L819" s="54" t="n">
        <x:f>IF(M819=0,0,(E819+F819)/2)</x:f>
        <x:v>59</x:v>
      </x:c>
      <x:c r="M819" t="n">
        <x:v>6</x:v>
      </x:c>
      <x:c r="N819" t="n">
        <x:v>6</x:v>
      </x:c>
      <x:c r="O819" t="n">
        <x:v>38</x:v>
      </x:c>
      <x:c r="P819" s="63" t="str">
        <x:f>IF(M819=0,"—",M819&amp;"d"&amp;N819&amp;IF(O819=0,""," + "&amp;O819))</x:f>
        <x:v>6d6 + 38</x:v>
      </x:c>
      <x:c r="Q819" t="n">
        <x:f>ROUND(INDEX(Catalogue!E$4:E$85,MATCH(A819,Catalogue!A$4:A$85,0))*(1+'Paramètres'!$B$4*(C819-1)+'Paramètres'!$B$5*(C819-1)^2),0)</x:f>
        <x:v>44</x:v>
      </x:c>
      <x:c r="R819" t="n">
        <x:f>ROUND(INDEX(Catalogue!F$4:F$85,MATCH(A819,Catalogue!A$4:A$85,0))*(1+'Paramètres'!$B$4*(C819-1)+'Paramètres'!$B$5*(C819-1)^2),0)</x:f>
        <x:v>75</x:v>
      </x:c>
      <x:c r="S819" t="n">
        <x:f>L819-AVERAGE(Q819:R819)</x:f>
        <x:v>-0.5</x:v>
      </x:c>
      <x:c r="T819" t="str">
        <x:f>IF(M819=0,IF(AND(N819=0,O819=0,E819=0,F819=0),"OK","ERREUR"),IF(AND(M819&gt;=1,M819&lt;=32,OR(N819=4,N819=6,N819=8,N819=10,N819=12,N819=20),O819&gt;=0,E819=M819+O819,F819=M819*N819+O819),"OK","ERREUR"))</x:f>
        <x:v>OK</x:v>
      </x:c>
      <x:c r="U819" s="86" t="n">
        <x:f>IF(M819&gt;0,M819*(N819+1)/2+O819,0)</x:f>
        <x:v>59</x:v>
      </x:c>
      <x:c r="V819" t="str">
        <x:f>IF(ABS(L819-U819)&lt;0.001,"OK","ERREUR")</x:f>
        <x:v>OK</x:v>
      </x:c>
    </x:row>
    <x:row r="820" ht="18" customHeight="1">
      <x:c r="A820" t="str">
        <x:v>ARM041</x:v>
      </x:c>
      <x:c r="B820" t="str">
        <x:v>Hallebarde</x:v>
      </x:c>
      <x:c r="C820" t="n">
        <x:v>17</x:v>
      </x:c>
      <x:c r="D820" t="str">
        <x:v>Armes d'hast</x:v>
      </x:c>
      <x:c r="E820" s="28" t="n">
        <x:f>IF(M820=0,0,M820+O820)</x:f>
        <x:v>48</x:v>
      </x:c>
      <x:c r="F820" s="28" t="n">
        <x:f>IF(M820=0,0,M820*N820+O820)</x:f>
        <x:v>81</x:v>
      </x:c>
      <x:c r="G820" s="28" t="n">
        <x:f>ROUND(Catalogue!G44*SQRT((1+'Paramètres'!$B$4*(C820-1)+'Paramètres'!$B$5*(C820-1)^2)),0)</x:f>
        <x:v>0</x:v>
      </x:c>
      <x:c r="H820" s="28" t="n">
        <x:f>ROUND(Catalogue!H44*SQRT((1+'Paramètres'!$B$4*(C820-1)+'Paramètres'!$B$5*(C820-1)^2)),0)</x:f>
        <x:v>0</x:v>
      </x:c>
      <x:c r="I820" s="28" t="n">
        <x:v>3</x:v>
      </x:c>
      <x:c r="J820" s="28" t="n">
        <x:v>2</x:v>
      </x:c>
      <x:c r="K820" s="30" t="n">
        <x:v>4.7</x:v>
      </x:c>
      <x:c r="L820" s="54" t="n">
        <x:f>IF(M820=0,0,(E820+F820)/2)</x:f>
        <x:v>64.5</x:v>
      </x:c>
      <x:c r="M820" t="n">
        <x:v>3</x:v>
      </x:c>
      <x:c r="N820" t="n">
        <x:v>12</x:v>
      </x:c>
      <x:c r="O820" t="n">
        <x:v>45</x:v>
      </x:c>
      <x:c r="P820" s="63" t="str">
        <x:f>IF(M820=0,"—",M820&amp;"d"&amp;N820&amp;IF(O820=0,""," + "&amp;O820))</x:f>
        <x:v>3d12 + 45</x:v>
      </x:c>
      <x:c r="Q820" t="n">
        <x:f>ROUND(INDEX(Catalogue!E$4:E$85,MATCH(A820,Catalogue!A$4:A$85,0))*(1+'Paramètres'!$B$4*(C820-1)+'Paramètres'!$B$5*(C820-1)^2),0)</x:f>
        <x:v>48</x:v>
      </x:c>
      <x:c r="R820" t="n">
        <x:f>ROUND(INDEX(Catalogue!F$4:F$85,MATCH(A820,Catalogue!A$4:A$85,0))*(1+'Paramètres'!$B$4*(C820-1)+'Paramètres'!$B$5*(C820-1)^2),0)</x:f>
        <x:v>82</x:v>
      </x:c>
      <x:c r="S820" t="n">
        <x:f>L820-AVERAGE(Q820:R820)</x:f>
        <x:v>-0.5</x:v>
      </x:c>
      <x:c r="T820" t="str">
        <x:f>IF(M820=0,IF(AND(N820=0,O820=0,E820=0,F820=0),"OK","ERREUR"),IF(AND(M820&gt;=1,M820&lt;=32,OR(N820=4,N820=6,N820=8,N820=10,N820=12,N820=20),O820&gt;=0,E820=M820+O820,F820=M820*N820+O820),"OK","ERREUR"))</x:f>
        <x:v>OK</x:v>
      </x:c>
      <x:c r="U820" s="86" t="n">
        <x:f>IF(M820&gt;0,M820*(N820+1)/2+O820,0)</x:f>
        <x:v>64.5</x:v>
      </x:c>
      <x:c r="V820" t="str">
        <x:f>IF(ABS(L820-U820)&lt;0.001,"OK","ERREUR")</x:f>
        <x:v>OK</x:v>
      </x:c>
    </x:row>
    <x:row r="821" ht="18" customHeight="1">
      <x:c r="A821" t="str">
        <x:v>ARM041</x:v>
      </x:c>
      <x:c r="B821" t="str">
        <x:v>Hallebarde</x:v>
      </x:c>
      <x:c r="C821" t="n">
        <x:v>18</x:v>
      </x:c>
      <x:c r="D821" t="str">
        <x:v>Armes d'hast</x:v>
      </x:c>
      <x:c r="E821" s="28" t="n">
        <x:f>IF(M821=0,0,M821+O821)</x:f>
        <x:v>53</x:v>
      </x:c>
      <x:c r="F821" s="28" t="n">
        <x:f>IF(M821=0,0,M821*N821+O821)</x:f>
        <x:v>89</x:v>
      </x:c>
      <x:c r="G821" s="28" t="n">
        <x:f>ROUND(Catalogue!G44*SQRT((1+'Paramètres'!$B$4*(C821-1)+'Paramètres'!$B$5*(C821-1)^2)),0)</x:f>
        <x:v>0</x:v>
      </x:c>
      <x:c r="H821" s="28" t="n">
        <x:f>ROUND(Catalogue!H44*SQRT((1+'Paramètres'!$B$4*(C821-1)+'Paramètres'!$B$5*(C821-1)^2)),0)</x:f>
        <x:v>0</x:v>
      </x:c>
      <x:c r="I821" s="28" t="n">
        <x:v>3</x:v>
      </x:c>
      <x:c r="J821" s="28" t="n">
        <x:v>2</x:v>
      </x:c>
      <x:c r="K821" s="30" t="n">
        <x:v>4.7</x:v>
      </x:c>
      <x:c r="L821" s="54" t="n">
        <x:f>IF(M821=0,0,(E821+F821)/2)</x:f>
        <x:v>71</x:v>
      </x:c>
      <x:c r="M821" t="n">
        <x:v>4</x:v>
      </x:c>
      <x:c r="N821" t="n">
        <x:v>10</x:v>
      </x:c>
      <x:c r="O821" t="n">
        <x:v>49</x:v>
      </x:c>
      <x:c r="P821" s="63" t="str">
        <x:f>IF(M821=0,"—",M821&amp;"d"&amp;N821&amp;IF(O821=0,""," + "&amp;O821))</x:f>
        <x:v>4d10 + 49</x:v>
      </x:c>
      <x:c r="Q821" t="n">
        <x:f>ROUND(INDEX(Catalogue!E$4:E$85,MATCH(A821,Catalogue!A$4:A$85,0))*(1+'Paramètres'!$B$4*(C821-1)+'Paramètres'!$B$5*(C821-1)^2),0)</x:f>
        <x:v>52</x:v>
      </x:c>
      <x:c r="R821" t="n">
        <x:f>ROUND(INDEX(Catalogue!F$4:F$85,MATCH(A821,Catalogue!A$4:A$85,0))*(1+'Paramètres'!$B$4*(C821-1)+'Paramètres'!$B$5*(C821-1)^2),0)</x:f>
        <x:v>90</x:v>
      </x:c>
      <x:c r="S821" t="n">
        <x:f>L821-AVERAGE(Q821:R821)</x:f>
        <x:v>0</x:v>
      </x:c>
      <x:c r="T821" t="str">
        <x:f>IF(M821=0,IF(AND(N821=0,O821=0,E821=0,F821=0),"OK","ERREUR"),IF(AND(M821&gt;=1,M821&lt;=32,OR(N821=4,N821=6,N821=8,N821=10,N821=12,N821=20),O821&gt;=0,E821=M821+O821,F821=M821*N821+O821),"OK","ERREUR"))</x:f>
        <x:v>OK</x:v>
      </x:c>
      <x:c r="U821" s="86" t="n">
        <x:f>IF(M821&gt;0,M821*(N821+1)/2+O821,0)</x:f>
        <x:v>71</x:v>
      </x:c>
      <x:c r="V821" t="str">
        <x:f>IF(ABS(L821-U821)&lt;0.001,"OK","ERREUR")</x:f>
        <x:v>OK</x:v>
      </x:c>
    </x:row>
    <x:row r="822" ht="18" customHeight="1">
      <x:c r="A822" t="str">
        <x:v>ARM041</x:v>
      </x:c>
      <x:c r="B822" t="str">
        <x:v>Hallebarde</x:v>
      </x:c>
      <x:c r="C822" t="n">
        <x:v>19</x:v>
      </x:c>
      <x:c r="D822" t="str">
        <x:v>Armes d'hast</x:v>
      </x:c>
      <x:c r="E822" s="28" t="n">
        <x:f>IF(M822=0,0,M822+O822)</x:f>
        <x:v>56</x:v>
      </x:c>
      <x:c r="F822" s="28" t="n">
        <x:f>IF(M822=0,0,M822*N822+O822)</x:f>
        <x:v>98</x:v>
      </x:c>
      <x:c r="G822" s="28" t="n">
        <x:f>ROUND(Catalogue!G44*SQRT((1+'Paramètres'!$B$4*(C822-1)+'Paramètres'!$B$5*(C822-1)^2)),0)</x:f>
        <x:v>0</x:v>
      </x:c>
      <x:c r="H822" s="28" t="n">
        <x:f>ROUND(Catalogue!H44*SQRT((1+'Paramètres'!$B$4*(C822-1)+'Paramètres'!$B$5*(C822-1)^2)),0)</x:f>
        <x:v>0</x:v>
      </x:c>
      <x:c r="I822" s="28" t="n">
        <x:v>3</x:v>
      </x:c>
      <x:c r="J822" s="28" t="n">
        <x:v>2</x:v>
      </x:c>
      <x:c r="K822" s="30" t="n">
        <x:v>4.7</x:v>
      </x:c>
      <x:c r="L822" s="54" t="n">
        <x:f>IF(M822=0,0,(E822+F822)/2)</x:f>
        <x:v>77</x:v>
      </x:c>
      <x:c r="M822" t="n">
        <x:v>6</x:v>
      </x:c>
      <x:c r="N822" t="n">
        <x:v>8</x:v>
      </x:c>
      <x:c r="O822" t="n">
        <x:v>50</x:v>
      </x:c>
      <x:c r="P822" s="63" t="str">
        <x:f>IF(M822=0,"—",M822&amp;"d"&amp;N822&amp;IF(O822=0,""," + "&amp;O822))</x:f>
        <x:v>6d8 + 50</x:v>
      </x:c>
      <x:c r="Q822" t="n">
        <x:f>ROUND(INDEX(Catalogue!E$4:E$85,MATCH(A822,Catalogue!A$4:A$85,0))*(1+'Paramètres'!$B$4*(C822-1)+'Paramètres'!$B$5*(C822-1)^2),0)</x:f>
        <x:v>57</x:v>
      </x:c>
      <x:c r="R822" t="n">
        <x:f>ROUND(INDEX(Catalogue!F$4:F$85,MATCH(A822,Catalogue!A$4:A$85,0))*(1+'Paramètres'!$B$4*(C822-1)+'Paramètres'!$B$5*(C822-1)^2),0)</x:f>
        <x:v>98</x:v>
      </x:c>
      <x:c r="S822" t="n">
        <x:f>L822-AVERAGE(Q822:R822)</x:f>
        <x:v>-0.5</x:v>
      </x:c>
      <x:c r="T822" t="str">
        <x:f>IF(M822=0,IF(AND(N822=0,O822=0,E822=0,F822=0),"OK","ERREUR"),IF(AND(M822&gt;=1,M822&lt;=32,OR(N822=4,N822=6,N822=8,N822=10,N822=12,N822=20),O822&gt;=0,E822=M822+O822,F822=M822*N822+O822),"OK","ERREUR"))</x:f>
        <x:v>OK</x:v>
      </x:c>
      <x:c r="U822" s="86" t="n">
        <x:f>IF(M822&gt;0,M822*(N822+1)/2+O822,0)</x:f>
        <x:v>77</x:v>
      </x:c>
      <x:c r="V822" t="str">
        <x:f>IF(ABS(L822-U822)&lt;0.001,"OK","ERREUR")</x:f>
        <x:v>OK</x:v>
      </x:c>
    </x:row>
    <x:row r="823" ht="18" customHeight="1">
      <x:c r="A823" t="str">
        <x:v>ARM041</x:v>
      </x:c>
      <x:c r="B823" t="str">
        <x:v>Hallebarde</x:v>
      </x:c>
      <x:c r="C823" t="n">
        <x:v>20</x:v>
      </x:c>
      <x:c r="D823" t="str">
        <x:v>Armes d'hast</x:v>
      </x:c>
      <x:c r="E823" s="28" t="n">
        <x:f>IF(M823=0,0,M823+O823)</x:f>
        <x:v>62</x:v>
      </x:c>
      <x:c r="F823" s="28" t="n">
        <x:f>IF(M823=0,0,M823*N823+O823)</x:f>
        <x:v>106</x:v>
      </x:c>
      <x:c r="G823" s="28" t="n">
        <x:f>ROUND(Catalogue!G44*SQRT((1+'Paramètres'!$B$4*(C823-1)+'Paramètres'!$B$5*(C823-1)^2)),0)</x:f>
        <x:v>0</x:v>
      </x:c>
      <x:c r="H823" s="28" t="n">
        <x:f>ROUND(Catalogue!H44*SQRT((1+'Paramètres'!$B$4*(C823-1)+'Paramètres'!$B$5*(C823-1)^2)),0)</x:f>
        <x:v>0</x:v>
      </x:c>
      <x:c r="I823" s="28" t="n">
        <x:v>3</x:v>
      </x:c>
      <x:c r="J823" s="28" t="n">
        <x:v>2</x:v>
      </x:c>
      <x:c r="K823" s="30" t="n">
        <x:v>4.7</x:v>
      </x:c>
      <x:c r="L823" s="54" t="n">
        <x:f>IF(M823=0,0,(E823+F823)/2)</x:f>
        <x:v>84</x:v>
      </x:c>
      <x:c r="M823" t="n">
        <x:v>4</x:v>
      </x:c>
      <x:c r="N823" t="n">
        <x:v>12</x:v>
      </x:c>
      <x:c r="O823" t="n">
        <x:v>58</x:v>
      </x:c>
      <x:c r="P823" s="63" t="str">
        <x:f>IF(M823=0,"—",M823&amp;"d"&amp;N823&amp;IF(O823=0,""," + "&amp;O823))</x:f>
        <x:v>4d12 + 58</x:v>
      </x:c>
      <x:c r="Q823" t="n">
        <x:f>ROUND(INDEX(Catalogue!E$4:E$85,MATCH(A823,Catalogue!A$4:A$85,0))*(1+'Paramètres'!$B$4*(C823-1)+'Paramètres'!$B$5*(C823-1)^2),0)</x:f>
        <x:v>62</x:v>
      </x:c>
      <x:c r="R823" t="n">
        <x:f>ROUND(INDEX(Catalogue!F$4:F$85,MATCH(A823,Catalogue!A$4:A$85,0))*(1+'Paramètres'!$B$4*(C823-1)+'Paramètres'!$B$5*(C823-1)^2),0)</x:f>
        <x:v>106</x:v>
      </x:c>
      <x:c r="S823" t="n">
        <x:f>L823-AVERAGE(Q823:R823)</x:f>
        <x:v>0</x:v>
      </x:c>
      <x:c r="T823" t="str">
        <x:f>IF(M823=0,IF(AND(N823=0,O823=0,E823=0,F823=0),"OK","ERREUR"),IF(AND(M823&gt;=1,M823&lt;=32,OR(N823=4,N823=6,N823=8,N823=10,N823=12,N823=20),O823&gt;=0,E823=M823+O823,F823=M823*N823+O823),"OK","ERREUR"))</x:f>
        <x:v>OK</x:v>
      </x:c>
      <x:c r="U823" s="86" t="n">
        <x:f>IF(M823&gt;0,M823*(N823+1)/2+O823,0)</x:f>
        <x:v>84</x:v>
      </x:c>
      <x:c r="V823" t="str">
        <x:f>IF(ABS(L823-U823)&lt;0.001,"OK","ERREUR")</x:f>
        <x:v>OK</x:v>
      </x:c>
    </x:row>
    <x:row r="824" ht="18" customHeight="1">
      <x:c r="A824" t="str">
        <x:v>ARM042</x:v>
      </x:c>
      <x:c r="B824" t="str">
        <x:v>Vouge</x:v>
      </x:c>
      <x:c r="C824" t="n">
        <x:v>1</x:v>
      </x:c>
      <x:c r="D824" t="str">
        <x:v>Armes d'hast</x:v>
      </x:c>
      <x:c r="E824" s="28" t="n">
        <x:f>IF(M824=0,0,M824+O824)</x:f>
        <x:v>6</x:v>
      </x:c>
      <x:c r="F824" s="28" t="n">
        <x:f>IF(M824=0,0,M824*N824+O824)</x:f>
        <x:v>11</x:v>
      </x:c>
      <x:c r="G824" s="28" t="n">
        <x:f>ROUND(Catalogue!G45*SQRT((1+'Paramètres'!$B$4*(C824-1)+'Paramètres'!$B$5*(C824-1)^2)),0)</x:f>
        <x:v>0</x:v>
      </x:c>
      <x:c r="H824" s="28" t="n">
        <x:f>ROUND(Catalogue!H45*SQRT((1+'Paramètres'!$B$4*(C824-1)+'Paramètres'!$B$5*(C824-1)^2)),0)</x:f>
        <x:v>0</x:v>
      </x:c>
      <x:c r="I824" s="28" t="n">
        <x:v>3</x:v>
      </x:c>
      <x:c r="J824" s="28" t="n">
        <x:v>2</x:v>
      </x:c>
      <x:c r="K824" s="30" t="n">
        <x:v>3.7</x:v>
      </x:c>
      <x:c r="L824" s="54" t="n">
        <x:f>IF(M824=0,0,(E824+F824)/2)</x:f>
        <x:v>8.5</x:v>
      </x:c>
      <x:c r="M824" t="n">
        <x:v>1</x:v>
      </x:c>
      <x:c r="N824" t="n">
        <x:v>6</x:v>
      </x:c>
      <x:c r="O824" t="n">
        <x:v>5</x:v>
      </x:c>
      <x:c r="P824" s="63" t="str">
        <x:f>IF(M824=0,"—",M824&amp;"d"&amp;N824&amp;IF(O824=0,""," + "&amp;O824))</x:f>
        <x:v>1d6 + 5</x:v>
      </x:c>
      <x:c r="Q824" t="n">
        <x:f>ROUND(INDEX(Catalogue!E$4:E$85,MATCH(A824,Catalogue!A$4:A$85,0))*(1+'Paramètres'!$B$4*(C824-1)+'Paramètres'!$B$5*(C824-1)^2),0)</x:f>
        <x:v>6</x:v>
      </x:c>
      <x:c r="R824" t="n">
        <x:f>ROUND(INDEX(Catalogue!F$4:F$85,MATCH(A824,Catalogue!A$4:A$85,0))*(1+'Paramètres'!$B$4*(C824-1)+'Paramètres'!$B$5*(C824-1)^2),0)</x:f>
        <x:v>11</x:v>
      </x:c>
      <x:c r="S824" t="n">
        <x:f>L824-AVERAGE(Q824:R824)</x:f>
        <x:v>0</x:v>
      </x:c>
      <x:c r="T824" t="str">
        <x:f>IF(M824=0,IF(AND(N824=0,O824=0,E824=0,F824=0),"OK","ERREUR"),IF(AND(M824&gt;=1,M824&lt;=32,OR(N824=4,N824=6,N824=8,N824=10,N824=12,N824=20),O824&gt;=0,E824=M824+O824,F824=M824*N824+O824),"OK","ERREUR"))</x:f>
        <x:v>OK</x:v>
      </x:c>
      <x:c r="U824" s="86" t="n">
        <x:f>IF(M824&gt;0,M824*(N824+1)/2+O824,0)</x:f>
        <x:v>8.5</x:v>
      </x:c>
      <x:c r="V824" t="str">
        <x:f>IF(ABS(L824-U824)&lt;0.001,"OK","ERREUR")</x:f>
        <x:v>OK</x:v>
      </x:c>
    </x:row>
    <x:row r="825" ht="18" customHeight="1">
      <x:c r="A825" t="str">
        <x:v>ARM042</x:v>
      </x:c>
      <x:c r="B825" t="str">
        <x:v>Vouge</x:v>
      </x:c>
      <x:c r="C825" t="n">
        <x:v>2</x:v>
      </x:c>
      <x:c r="D825" t="str">
        <x:v>Armes d'hast</x:v>
      </x:c>
      <x:c r="E825" s="28" t="n">
        <x:f>IF(M825=0,0,M825+O825)</x:f>
        <x:v>7</x:v>
      </x:c>
      <x:c r="F825" s="28" t="n">
        <x:f>IF(M825=0,0,M825*N825+O825)</x:f>
        <x:v>12</x:v>
      </x:c>
      <x:c r="G825" s="28" t="n">
        <x:f>ROUND(Catalogue!G45*SQRT((1+'Paramètres'!$B$4*(C825-1)+'Paramètres'!$B$5*(C825-1)^2)),0)</x:f>
        <x:v>0</x:v>
      </x:c>
      <x:c r="H825" s="28" t="n">
        <x:f>ROUND(Catalogue!H45*SQRT((1+'Paramètres'!$B$4*(C825-1)+'Paramètres'!$B$5*(C825-1)^2)),0)</x:f>
        <x:v>0</x:v>
      </x:c>
      <x:c r="I825" s="28" t="n">
        <x:v>3</x:v>
      </x:c>
      <x:c r="J825" s="28" t="n">
        <x:v>2</x:v>
      </x:c>
      <x:c r="K825" s="30" t="n">
        <x:v>3.7</x:v>
      </x:c>
      <x:c r="L825" s="54" t="n">
        <x:f>IF(M825=0,0,(E825+F825)/2)</x:f>
        <x:v>9.5</x:v>
      </x:c>
      <x:c r="M825" t="n">
        <x:v>1</x:v>
      </x:c>
      <x:c r="N825" t="n">
        <x:v>6</x:v>
      </x:c>
      <x:c r="O825" t="n">
        <x:v>6</x:v>
      </x:c>
      <x:c r="P825" s="63" t="str">
        <x:f>IF(M825=0,"—",M825&amp;"d"&amp;N825&amp;IF(O825=0,""," + "&amp;O825))</x:f>
        <x:v>1d6 + 6</x:v>
      </x:c>
      <x:c r="Q825" t="n">
        <x:f>ROUND(INDEX(Catalogue!E$4:E$85,MATCH(A825,Catalogue!A$4:A$85,0))*(1+'Paramètres'!$B$4*(C825-1)+'Paramètres'!$B$5*(C825-1)^2),0)</x:f>
        <x:v>7</x:v>
      </x:c>
      <x:c r="R825" t="n">
        <x:f>ROUND(INDEX(Catalogue!F$4:F$85,MATCH(A825,Catalogue!A$4:A$85,0))*(1+'Paramètres'!$B$4*(C825-1)+'Paramètres'!$B$5*(C825-1)^2),0)</x:f>
        <x:v>12</x:v>
      </x:c>
      <x:c r="S825" t="n">
        <x:f>L825-AVERAGE(Q825:R825)</x:f>
        <x:v>0</x:v>
      </x:c>
      <x:c r="T825" t="str">
        <x:f>IF(M825=0,IF(AND(N825=0,O825=0,E825=0,F825=0),"OK","ERREUR"),IF(AND(M825&gt;=1,M825&lt;=32,OR(N825=4,N825=6,N825=8,N825=10,N825=12,N825=20),O825&gt;=0,E825=M825+O825,F825=M825*N825+O825),"OK","ERREUR"))</x:f>
        <x:v>OK</x:v>
      </x:c>
      <x:c r="U825" s="86" t="n">
        <x:f>IF(M825&gt;0,M825*(N825+1)/2+O825,0)</x:f>
        <x:v>9.5</x:v>
      </x:c>
      <x:c r="V825" t="str">
        <x:f>IF(ABS(L825-U825)&lt;0.001,"OK","ERREUR")</x:f>
        <x:v>OK</x:v>
      </x:c>
    </x:row>
    <x:row r="826" ht="18" customHeight="1">
      <x:c r="A826" t="str">
        <x:v>ARM042</x:v>
      </x:c>
      <x:c r="B826" t="str">
        <x:v>Vouge</x:v>
      </x:c>
      <x:c r="C826" t="n">
        <x:v>3</x:v>
      </x:c>
      <x:c r="D826" t="str">
        <x:v>Armes d'hast</x:v>
      </x:c>
      <x:c r="E826" s="28" t="n">
        <x:f>IF(M826=0,0,M826+O826)</x:f>
        <x:v>9</x:v>
      </x:c>
      <x:c r="F826" s="28" t="n">
        <x:f>IF(M826=0,0,M826*N826+O826)</x:f>
        <x:v>14</x:v>
      </x:c>
      <x:c r="G826" s="28" t="n">
        <x:f>ROUND(Catalogue!G45*SQRT((1+'Paramètres'!$B$4*(C826-1)+'Paramètres'!$B$5*(C826-1)^2)),0)</x:f>
        <x:v>0</x:v>
      </x:c>
      <x:c r="H826" s="28" t="n">
        <x:f>ROUND(Catalogue!H45*SQRT((1+'Paramètres'!$B$4*(C826-1)+'Paramètres'!$B$5*(C826-1)^2)),0)</x:f>
        <x:v>0</x:v>
      </x:c>
      <x:c r="I826" s="28" t="n">
        <x:v>3</x:v>
      </x:c>
      <x:c r="J826" s="28" t="n">
        <x:v>2</x:v>
      </x:c>
      <x:c r="K826" s="30" t="n">
        <x:v>3.7</x:v>
      </x:c>
      <x:c r="L826" s="54" t="n">
        <x:f>IF(M826=0,0,(E826+F826)/2)</x:f>
        <x:v>11.5</x:v>
      </x:c>
      <x:c r="M826" t="n">
        <x:v>1</x:v>
      </x:c>
      <x:c r="N826" t="n">
        <x:v>6</x:v>
      </x:c>
      <x:c r="O826" t="n">
        <x:v>8</x:v>
      </x:c>
      <x:c r="P826" s="63" t="str">
        <x:f>IF(M826=0,"—",M826&amp;"d"&amp;N826&amp;IF(O826=0,""," + "&amp;O826))</x:f>
        <x:v>1d6 + 8</x:v>
      </x:c>
      <x:c r="Q826" t="n">
        <x:f>ROUND(INDEX(Catalogue!E$4:E$85,MATCH(A826,Catalogue!A$4:A$85,0))*(1+'Paramètres'!$B$4*(C826-1)+'Paramètres'!$B$5*(C826-1)^2),0)</x:f>
        <x:v>8</x:v>
      </x:c>
      <x:c r="R826" t="n">
        <x:f>ROUND(INDEX(Catalogue!F$4:F$85,MATCH(A826,Catalogue!A$4:A$85,0))*(1+'Paramètres'!$B$4*(C826-1)+'Paramètres'!$B$5*(C826-1)^2),0)</x:f>
        <x:v>14</x:v>
      </x:c>
      <x:c r="S826" t="n">
        <x:f>L826-AVERAGE(Q826:R826)</x:f>
        <x:v>0.5</x:v>
      </x:c>
      <x:c r="T826" t="str">
        <x:f>IF(M826=0,IF(AND(N826=0,O826=0,E826=0,F826=0),"OK","ERREUR"),IF(AND(M826&gt;=1,M826&lt;=32,OR(N826=4,N826=6,N826=8,N826=10,N826=12,N826=20),O826&gt;=0,E826=M826+O826,F826=M826*N826+O826),"OK","ERREUR"))</x:f>
        <x:v>OK</x:v>
      </x:c>
      <x:c r="U826" s="86" t="n">
        <x:f>IF(M826&gt;0,M826*(N826+1)/2+O826,0)</x:f>
        <x:v>11.5</x:v>
      </x:c>
      <x:c r="V826" t="str">
        <x:f>IF(ABS(L826-U826)&lt;0.001,"OK","ERREUR")</x:f>
        <x:v>OK</x:v>
      </x:c>
    </x:row>
    <x:row r="827" ht="18" customHeight="1">
      <x:c r="A827" t="str">
        <x:v>ARM042</x:v>
      </x:c>
      <x:c r="B827" t="str">
        <x:v>Vouge</x:v>
      </x:c>
      <x:c r="C827" t="n">
        <x:v>4</x:v>
      </x:c>
      <x:c r="D827" t="str">
        <x:v>Armes d'hast</x:v>
      </x:c>
      <x:c r="E827" s="28" t="n">
        <x:f>IF(M827=0,0,M827+O827)</x:f>
        <x:v>9</x:v>
      </x:c>
      <x:c r="F827" s="28" t="n">
        <x:f>IF(M827=0,0,M827*N827+O827)</x:f>
        <x:v>16</x:v>
      </x:c>
      <x:c r="G827" s="28" t="n">
        <x:f>ROUND(Catalogue!G45*SQRT((1+'Paramètres'!$B$4*(C827-1)+'Paramètres'!$B$5*(C827-1)^2)),0)</x:f>
        <x:v>0</x:v>
      </x:c>
      <x:c r="H827" s="28" t="n">
        <x:f>ROUND(Catalogue!H45*SQRT((1+'Paramètres'!$B$4*(C827-1)+'Paramètres'!$B$5*(C827-1)^2)),0)</x:f>
        <x:v>0</x:v>
      </x:c>
      <x:c r="I827" s="28" t="n">
        <x:v>3</x:v>
      </x:c>
      <x:c r="J827" s="28" t="n">
        <x:v>2</x:v>
      </x:c>
      <x:c r="K827" s="30" t="n">
        <x:v>3.7</x:v>
      </x:c>
      <x:c r="L827" s="54" t="n">
        <x:f>IF(M827=0,0,(E827+F827)/2)</x:f>
        <x:v>12.5</x:v>
      </x:c>
      <x:c r="M827" t="n">
        <x:v>1</x:v>
      </x:c>
      <x:c r="N827" t="n">
        <x:v>8</x:v>
      </x:c>
      <x:c r="O827" t="n">
        <x:v>8</x:v>
      </x:c>
      <x:c r="P827" s="63" t="str">
        <x:f>IF(M827=0,"—",M827&amp;"d"&amp;N827&amp;IF(O827=0,""," + "&amp;O827))</x:f>
        <x:v>1d8 + 8</x:v>
      </x:c>
      <x:c r="Q827" t="n">
        <x:f>ROUND(INDEX(Catalogue!E$4:E$85,MATCH(A827,Catalogue!A$4:A$85,0))*(1+'Paramètres'!$B$4*(C827-1)+'Paramètres'!$B$5*(C827-1)^2),0)</x:f>
        <x:v>9</x:v>
      </x:c>
      <x:c r="R827" t="n">
        <x:f>ROUND(INDEX(Catalogue!F$4:F$85,MATCH(A827,Catalogue!A$4:A$85,0))*(1+'Paramètres'!$B$4*(C827-1)+'Paramètres'!$B$5*(C827-1)^2),0)</x:f>
        <x:v>16</x:v>
      </x:c>
      <x:c r="S827" t="n">
        <x:f>L827-AVERAGE(Q827:R827)</x:f>
        <x:v>0</x:v>
      </x:c>
      <x:c r="T827" t="str">
        <x:f>IF(M827=0,IF(AND(N827=0,O827=0,E827=0,F827=0),"OK","ERREUR"),IF(AND(M827&gt;=1,M827&lt;=32,OR(N827=4,N827=6,N827=8,N827=10,N827=12,N827=20),O827&gt;=0,E827=M827+O827,F827=M827*N827+O827),"OK","ERREUR"))</x:f>
        <x:v>OK</x:v>
      </x:c>
      <x:c r="U827" s="86" t="n">
        <x:f>IF(M827&gt;0,M827*(N827+1)/2+O827,0)</x:f>
        <x:v>12.5</x:v>
      </x:c>
      <x:c r="V827" t="str">
        <x:f>IF(ABS(L827-U827)&lt;0.001,"OK","ERREUR")</x:f>
        <x:v>OK</x:v>
      </x:c>
    </x:row>
    <x:row r="828" ht="18" customHeight="1">
      <x:c r="A828" t="str">
        <x:v>ARM042</x:v>
      </x:c>
      <x:c r="B828" t="str">
        <x:v>Vouge</x:v>
      </x:c>
      <x:c r="C828" t="n">
        <x:v>5</x:v>
      </x:c>
      <x:c r="D828" t="str">
        <x:v>Armes d'hast</x:v>
      </x:c>
      <x:c r="E828" s="28" t="n">
        <x:f>IF(M828=0,0,M828+O828)</x:f>
        <x:v>10</x:v>
      </x:c>
      <x:c r="F828" s="28" t="n">
        <x:f>IF(M828=0,0,M828*N828+O828)</x:f>
        <x:v>19</x:v>
      </x:c>
      <x:c r="G828" s="28" t="n">
        <x:f>ROUND(Catalogue!G45*SQRT((1+'Paramètres'!$B$4*(C828-1)+'Paramètres'!$B$5*(C828-1)^2)),0)</x:f>
        <x:v>0</x:v>
      </x:c>
      <x:c r="H828" s="28" t="n">
        <x:f>ROUND(Catalogue!H45*SQRT((1+'Paramètres'!$B$4*(C828-1)+'Paramètres'!$B$5*(C828-1)^2)),0)</x:f>
        <x:v>0</x:v>
      </x:c>
      <x:c r="I828" s="28" t="n">
        <x:v>3</x:v>
      </x:c>
      <x:c r="J828" s="28" t="n">
        <x:v>2</x:v>
      </x:c>
      <x:c r="K828" s="30" t="n">
        <x:v>3.7</x:v>
      </x:c>
      <x:c r="L828" s="54" t="n">
        <x:f>IF(M828=0,0,(E828+F828)/2)</x:f>
        <x:v>14.5</x:v>
      </x:c>
      <x:c r="M828" t="n">
        <x:v>1</x:v>
      </x:c>
      <x:c r="N828" t="n">
        <x:v>10</x:v>
      </x:c>
      <x:c r="O828" t="n">
        <x:v>9</x:v>
      </x:c>
      <x:c r="P828" s="63" t="str">
        <x:f>IF(M828=0,"—",M828&amp;"d"&amp;N828&amp;IF(O828=0,""," + "&amp;O828))</x:f>
        <x:v>1d10 + 9</x:v>
      </x:c>
      <x:c r="Q828" t="n">
        <x:f>ROUND(INDEX(Catalogue!E$4:E$85,MATCH(A828,Catalogue!A$4:A$85,0))*(1+'Paramètres'!$B$4*(C828-1)+'Paramètres'!$B$5*(C828-1)^2),0)</x:f>
        <x:v>10</x:v>
      </x:c>
      <x:c r="R828" t="n">
        <x:f>ROUND(INDEX(Catalogue!F$4:F$85,MATCH(A828,Catalogue!A$4:A$85,0))*(1+'Paramètres'!$B$4*(C828-1)+'Paramètres'!$B$5*(C828-1)^2),0)</x:f>
        <x:v>19</x:v>
      </x:c>
      <x:c r="S828" t="n">
        <x:f>L828-AVERAGE(Q828:R828)</x:f>
        <x:v>0</x:v>
      </x:c>
      <x:c r="T828" t="str">
        <x:f>IF(M828=0,IF(AND(N828=0,O828=0,E828=0,F828=0),"OK","ERREUR"),IF(AND(M828&gt;=1,M828&lt;=32,OR(N828=4,N828=6,N828=8,N828=10,N828=12,N828=20),O828&gt;=0,E828=M828+O828,F828=M828*N828+O828),"OK","ERREUR"))</x:f>
        <x:v>OK</x:v>
      </x:c>
      <x:c r="U828" s="86" t="n">
        <x:f>IF(M828&gt;0,M828*(N828+1)/2+O828,0)</x:f>
        <x:v>14.5</x:v>
      </x:c>
      <x:c r="V828" t="str">
        <x:f>IF(ABS(L828-U828)&lt;0.001,"OK","ERREUR")</x:f>
        <x:v>OK</x:v>
      </x:c>
    </x:row>
    <x:row r="829" ht="18" customHeight="1">
      <x:c r="A829" t="str">
        <x:v>ARM042</x:v>
      </x:c>
      <x:c r="B829" t="str">
        <x:v>Vouge</x:v>
      </x:c>
      <x:c r="C829" t="n">
        <x:v>6</x:v>
      </x:c>
      <x:c r="D829" t="str">
        <x:v>Armes d'hast</x:v>
      </x:c>
      <x:c r="E829" s="28" t="n">
        <x:f>IF(M829=0,0,M829+O829)</x:f>
        <x:v>12</x:v>
      </x:c>
      <x:c r="F829" s="28" t="n">
        <x:f>IF(M829=0,0,M829*N829+O829)</x:f>
        <x:v>21</x:v>
      </x:c>
      <x:c r="G829" s="28" t="n">
        <x:f>ROUND(Catalogue!G45*SQRT((1+'Paramètres'!$B$4*(C829-1)+'Paramètres'!$B$5*(C829-1)^2)),0)</x:f>
        <x:v>0</x:v>
      </x:c>
      <x:c r="H829" s="28" t="n">
        <x:f>ROUND(Catalogue!H45*SQRT((1+'Paramètres'!$B$4*(C829-1)+'Paramètres'!$B$5*(C829-1)^2)),0)</x:f>
        <x:v>0</x:v>
      </x:c>
      <x:c r="I829" s="28" t="n">
        <x:v>3</x:v>
      </x:c>
      <x:c r="J829" s="28" t="n">
        <x:v>2</x:v>
      </x:c>
      <x:c r="K829" s="30" t="n">
        <x:v>3.7</x:v>
      </x:c>
      <x:c r="L829" s="54" t="n">
        <x:f>IF(M829=0,0,(E829+F829)/2)</x:f>
        <x:v>16.5</x:v>
      </x:c>
      <x:c r="M829" t="n">
        <x:v>1</x:v>
      </x:c>
      <x:c r="N829" t="n">
        <x:v>10</x:v>
      </x:c>
      <x:c r="O829" t="n">
        <x:v>11</x:v>
      </x:c>
      <x:c r="P829" s="63" t="str">
        <x:f>IF(M829=0,"—",M829&amp;"d"&amp;N829&amp;IF(O829=0,""," + "&amp;O829))</x:f>
        <x:v>1d10 + 11</x:v>
      </x:c>
      <x:c r="Q829" t="n">
        <x:f>ROUND(INDEX(Catalogue!E$4:E$85,MATCH(A829,Catalogue!A$4:A$85,0))*(1+'Paramètres'!$B$4*(C829-1)+'Paramètres'!$B$5*(C829-1)^2),0)</x:f>
        <x:v>12</x:v>
      </x:c>
      <x:c r="R829" t="n">
        <x:f>ROUND(INDEX(Catalogue!F$4:F$85,MATCH(A829,Catalogue!A$4:A$85,0))*(1+'Paramètres'!$B$4*(C829-1)+'Paramètres'!$B$5*(C829-1)^2),0)</x:f>
        <x:v>21</x:v>
      </x:c>
      <x:c r="S829" t="n">
        <x:f>L829-AVERAGE(Q829:R829)</x:f>
        <x:v>0</x:v>
      </x:c>
      <x:c r="T829" t="str">
        <x:f>IF(M829=0,IF(AND(N829=0,O829=0,E829=0,F829=0),"OK","ERREUR"),IF(AND(M829&gt;=1,M829&lt;=32,OR(N829=4,N829=6,N829=8,N829=10,N829=12,N829=20),O829&gt;=0,E829=M829+O829,F829=M829*N829+O829),"OK","ERREUR"))</x:f>
        <x:v>OK</x:v>
      </x:c>
      <x:c r="U829" s="86" t="n">
        <x:f>IF(M829&gt;0,M829*(N829+1)/2+O829,0)</x:f>
        <x:v>16.5</x:v>
      </x:c>
      <x:c r="V829" t="str">
        <x:f>IF(ABS(L829-U829)&lt;0.001,"OK","ERREUR")</x:f>
        <x:v>OK</x:v>
      </x:c>
    </x:row>
    <x:row r="830" ht="18" customHeight="1">
      <x:c r="A830" t="str">
        <x:v>ARM042</x:v>
      </x:c>
      <x:c r="B830" t="str">
        <x:v>Vouge</x:v>
      </x:c>
      <x:c r="C830" t="n">
        <x:v>7</x:v>
      </x:c>
      <x:c r="D830" t="str">
        <x:v>Armes d'hast</x:v>
      </x:c>
      <x:c r="E830" s="28" t="n">
        <x:f>IF(M830=0,0,M830+O830)</x:f>
        <x:v>13</x:v>
      </x:c>
      <x:c r="F830" s="28" t="n">
        <x:f>IF(M830=0,0,M830*N830+O830)</x:f>
        <x:v>24</x:v>
      </x:c>
      <x:c r="G830" s="28" t="n">
        <x:f>ROUND(Catalogue!G45*SQRT((1+'Paramètres'!$B$4*(C830-1)+'Paramètres'!$B$5*(C830-1)^2)),0)</x:f>
        <x:v>0</x:v>
      </x:c>
      <x:c r="H830" s="28" t="n">
        <x:f>ROUND(Catalogue!H45*SQRT((1+'Paramètres'!$B$4*(C830-1)+'Paramètres'!$B$5*(C830-1)^2)),0)</x:f>
        <x:v>0</x:v>
      </x:c>
      <x:c r="I830" s="28" t="n">
        <x:v>3</x:v>
      </x:c>
      <x:c r="J830" s="28" t="n">
        <x:v>2</x:v>
      </x:c>
      <x:c r="K830" s="30" t="n">
        <x:v>3.7</x:v>
      </x:c>
      <x:c r="L830" s="54" t="n">
        <x:f>IF(M830=0,0,(E830+F830)/2)</x:f>
        <x:v>18.5</x:v>
      </x:c>
      <x:c r="M830" t="n">
        <x:v>1</x:v>
      </x:c>
      <x:c r="N830" t="n">
        <x:v>12</x:v>
      </x:c>
      <x:c r="O830" t="n">
        <x:v>12</x:v>
      </x:c>
      <x:c r="P830" s="63" t="str">
        <x:f>IF(M830=0,"—",M830&amp;"d"&amp;N830&amp;IF(O830=0,""," + "&amp;O830))</x:f>
        <x:v>1d12 + 12</x:v>
      </x:c>
      <x:c r="Q830" t="n">
        <x:f>ROUND(INDEX(Catalogue!E$4:E$85,MATCH(A830,Catalogue!A$4:A$85,0))*(1+'Paramètres'!$B$4*(C830-1)+'Paramètres'!$B$5*(C830-1)^2),0)</x:f>
        <x:v>13</x:v>
      </x:c>
      <x:c r="R830" t="n">
        <x:f>ROUND(INDEX(Catalogue!F$4:F$85,MATCH(A830,Catalogue!A$4:A$85,0))*(1+'Paramètres'!$B$4*(C830-1)+'Paramètres'!$B$5*(C830-1)^2),0)</x:f>
        <x:v>25</x:v>
      </x:c>
      <x:c r="S830" t="n">
        <x:f>L830-AVERAGE(Q830:R830)</x:f>
        <x:v>-0.5</x:v>
      </x:c>
      <x:c r="T830" t="str">
        <x:f>IF(M830=0,IF(AND(N830=0,O830=0,E830=0,F830=0),"OK","ERREUR"),IF(AND(M830&gt;=1,M830&lt;=32,OR(N830=4,N830=6,N830=8,N830=10,N830=12,N830=20),O830&gt;=0,E830=M830+O830,F830=M830*N830+O830),"OK","ERREUR"))</x:f>
        <x:v>OK</x:v>
      </x:c>
      <x:c r="U830" s="86" t="n">
        <x:f>IF(M830&gt;0,M830*(N830+1)/2+O830,0)</x:f>
        <x:v>18.5</x:v>
      </x:c>
      <x:c r="V830" t="str">
        <x:f>IF(ABS(L830-U830)&lt;0.001,"OK","ERREUR")</x:f>
        <x:v>OK</x:v>
      </x:c>
    </x:row>
    <x:row r="831" ht="18" customHeight="1">
      <x:c r="A831" t="str">
        <x:v>ARM042</x:v>
      </x:c>
      <x:c r="B831" t="str">
        <x:v>Vouge</x:v>
      </x:c>
      <x:c r="C831" t="n">
        <x:v>8</x:v>
      </x:c>
      <x:c r="D831" t="str">
        <x:v>Armes d'hast</x:v>
      </x:c>
      <x:c r="E831" s="28" t="n">
        <x:f>IF(M831=0,0,M831+O831)</x:f>
        <x:v>14</x:v>
      </x:c>
      <x:c r="F831" s="28" t="n">
        <x:f>IF(M831=0,0,M831*N831+O831)</x:f>
        <x:v>28</x:v>
      </x:c>
      <x:c r="G831" s="28" t="n">
        <x:f>ROUND(Catalogue!G45*SQRT((1+'Paramètres'!$B$4*(C831-1)+'Paramètres'!$B$5*(C831-1)^2)),0)</x:f>
        <x:v>0</x:v>
      </x:c>
      <x:c r="H831" s="28" t="n">
        <x:f>ROUND(Catalogue!H45*SQRT((1+'Paramètres'!$B$4*(C831-1)+'Paramètres'!$B$5*(C831-1)^2)),0)</x:f>
        <x:v>0</x:v>
      </x:c>
      <x:c r="I831" s="28" t="n">
        <x:v>3</x:v>
      </x:c>
      <x:c r="J831" s="28" t="n">
        <x:v>2</x:v>
      </x:c>
      <x:c r="K831" s="30" t="n">
        <x:v>3.7</x:v>
      </x:c>
      <x:c r="L831" s="54" t="n">
        <x:f>IF(M831=0,0,(E831+F831)/2)</x:f>
        <x:v>21</x:v>
      </x:c>
      <x:c r="M831" t="n">
        <x:v>2</x:v>
      </x:c>
      <x:c r="N831" t="n">
        <x:v>8</x:v>
      </x:c>
      <x:c r="O831" t="n">
        <x:v>12</x:v>
      </x:c>
      <x:c r="P831" s="63" t="str">
        <x:f>IF(M831=0,"—",M831&amp;"d"&amp;N831&amp;IF(O831=0,""," + "&amp;O831))</x:f>
        <x:v>2d8 + 12</x:v>
      </x:c>
      <x:c r="Q831" t="n">
        <x:f>ROUND(INDEX(Catalogue!E$4:E$85,MATCH(A831,Catalogue!A$4:A$85,0))*(1+'Paramètres'!$B$4*(C831-1)+'Paramètres'!$B$5*(C831-1)^2),0)</x:f>
        <x:v>15</x:v>
      </x:c>
      <x:c r="R831" t="n">
        <x:f>ROUND(INDEX(Catalogue!F$4:F$85,MATCH(A831,Catalogue!A$4:A$85,0))*(1+'Paramètres'!$B$4*(C831-1)+'Paramètres'!$B$5*(C831-1)^2),0)</x:f>
        <x:v>28</x:v>
      </x:c>
      <x:c r="S831" t="n">
        <x:f>L831-AVERAGE(Q831:R831)</x:f>
        <x:v>-0.5</x:v>
      </x:c>
      <x:c r="T831" t="str">
        <x:f>IF(M831=0,IF(AND(N831=0,O831=0,E831=0,F831=0),"OK","ERREUR"),IF(AND(M831&gt;=1,M831&lt;=32,OR(N831=4,N831=6,N831=8,N831=10,N831=12,N831=20),O831&gt;=0,E831=M831+O831,F831=M831*N831+O831),"OK","ERREUR"))</x:f>
        <x:v>OK</x:v>
      </x:c>
      <x:c r="U831" s="86" t="n">
        <x:f>IF(M831&gt;0,M831*(N831+1)/2+O831,0)</x:f>
        <x:v>21</x:v>
      </x:c>
      <x:c r="V831" t="str">
        <x:f>IF(ABS(L831-U831)&lt;0.001,"OK","ERREUR")</x:f>
        <x:v>OK</x:v>
      </x:c>
    </x:row>
    <x:row r="832" ht="18" customHeight="1">
      <x:c r="A832" t="str">
        <x:v>ARM042</x:v>
      </x:c>
      <x:c r="B832" t="str">
        <x:v>Vouge</x:v>
      </x:c>
      <x:c r="C832" t="n">
        <x:v>9</x:v>
      </x:c>
      <x:c r="D832" t="str">
        <x:v>Armes d'hast</x:v>
      </x:c>
      <x:c r="E832" s="28" t="n">
        <x:f>IF(M832=0,0,M832+O832)</x:f>
        <x:v>17</x:v>
      </x:c>
      <x:c r="F832" s="28" t="n">
        <x:f>IF(M832=0,0,M832*N832+O832)</x:f>
        <x:v>32</x:v>
      </x:c>
      <x:c r="G832" s="28" t="n">
        <x:f>ROUND(Catalogue!G45*SQRT((1+'Paramètres'!$B$4*(C832-1)+'Paramètres'!$B$5*(C832-1)^2)),0)</x:f>
        <x:v>0</x:v>
      </x:c>
      <x:c r="H832" s="28" t="n">
        <x:f>ROUND(Catalogue!H45*SQRT((1+'Paramètres'!$B$4*(C832-1)+'Paramètres'!$B$5*(C832-1)^2)),0)</x:f>
        <x:v>0</x:v>
      </x:c>
      <x:c r="I832" s="28" t="n">
        <x:v>3</x:v>
      </x:c>
      <x:c r="J832" s="28" t="n">
        <x:v>2</x:v>
      </x:c>
      <x:c r="K832" s="30" t="n">
        <x:v>3.7</x:v>
      </x:c>
      <x:c r="L832" s="54" t="n">
        <x:f>IF(M832=0,0,(E832+F832)/2)</x:f>
        <x:v>24.5</x:v>
      </x:c>
      <x:c r="M832" t="n">
        <x:v>3</x:v>
      </x:c>
      <x:c r="N832" t="n">
        <x:v>6</x:v>
      </x:c>
      <x:c r="O832" t="n">
        <x:v>14</x:v>
      </x:c>
      <x:c r="P832" s="63" t="str">
        <x:f>IF(M832=0,"—",M832&amp;"d"&amp;N832&amp;IF(O832=0,""," + "&amp;O832))</x:f>
        <x:v>3d6 + 14</x:v>
      </x:c>
      <x:c r="Q832" t="n">
        <x:f>ROUND(INDEX(Catalogue!E$4:E$85,MATCH(A832,Catalogue!A$4:A$85,0))*(1+'Paramètres'!$B$4*(C832-1)+'Paramètres'!$B$5*(C832-1)^2),0)</x:f>
        <x:v>17</x:v>
      </x:c>
      <x:c r="R832" t="n">
        <x:f>ROUND(INDEX(Catalogue!F$4:F$85,MATCH(A832,Catalogue!A$4:A$85,0))*(1+'Paramètres'!$B$4*(C832-1)+'Paramètres'!$B$5*(C832-1)^2),0)</x:f>
        <x:v>32</x:v>
      </x:c>
      <x:c r="S832" t="n">
        <x:f>L832-AVERAGE(Q832:R832)</x:f>
        <x:v>0</x:v>
      </x:c>
      <x:c r="T832" t="str">
        <x:f>IF(M832=0,IF(AND(N832=0,O832=0,E832=0,F832=0),"OK","ERREUR"),IF(AND(M832&gt;=1,M832&lt;=32,OR(N832=4,N832=6,N832=8,N832=10,N832=12,N832=20),O832&gt;=0,E832=M832+O832,F832=M832*N832+O832),"OK","ERREUR"))</x:f>
        <x:v>OK</x:v>
      </x:c>
      <x:c r="U832" s="86" t="n">
        <x:f>IF(M832&gt;0,M832*(N832+1)/2+O832,0)</x:f>
        <x:v>24.5</x:v>
      </x:c>
      <x:c r="V832" t="str">
        <x:f>IF(ABS(L832-U832)&lt;0.001,"OK","ERREUR")</x:f>
        <x:v>OK</x:v>
      </x:c>
    </x:row>
    <x:row r="833" ht="18" customHeight="1">
      <x:c r="A833" t="str">
        <x:v>ARM042</x:v>
      </x:c>
      <x:c r="B833" t="str">
        <x:v>Vouge</x:v>
      </x:c>
      <x:c r="C833" t="n">
        <x:v>10</x:v>
      </x:c>
      <x:c r="D833" t="str">
        <x:v>Armes d'hast</x:v>
      </x:c>
      <x:c r="E833" s="28" t="n">
        <x:f>IF(M833=0,0,M833+O833)</x:f>
        <x:v>20</x:v>
      </x:c>
      <x:c r="F833" s="28" t="n">
        <x:f>IF(M833=0,0,M833*N833+O833)</x:f>
        <x:v>35</x:v>
      </x:c>
      <x:c r="G833" s="28" t="n">
        <x:f>ROUND(Catalogue!G45*SQRT((1+'Paramètres'!$B$4*(C833-1)+'Paramètres'!$B$5*(C833-1)^2)),0)</x:f>
        <x:v>0</x:v>
      </x:c>
      <x:c r="H833" s="28" t="n">
        <x:f>ROUND(Catalogue!H45*SQRT((1+'Paramètres'!$B$4*(C833-1)+'Paramètres'!$B$5*(C833-1)^2)),0)</x:f>
        <x:v>0</x:v>
      </x:c>
      <x:c r="I833" s="28" t="n">
        <x:v>3</x:v>
      </x:c>
      <x:c r="J833" s="28" t="n">
        <x:v>2</x:v>
      </x:c>
      <x:c r="K833" s="30" t="n">
        <x:v>3.7</x:v>
      </x:c>
      <x:c r="L833" s="54" t="n">
        <x:f>IF(M833=0,0,(E833+F833)/2)</x:f>
        <x:v>27.5</x:v>
      </x:c>
      <x:c r="M833" t="n">
        <x:v>3</x:v>
      </x:c>
      <x:c r="N833" t="n">
        <x:v>6</x:v>
      </x:c>
      <x:c r="O833" t="n">
        <x:v>17</x:v>
      </x:c>
      <x:c r="P833" s="63" t="str">
        <x:f>IF(M833=0,"—",M833&amp;"d"&amp;N833&amp;IF(O833=0,""," + "&amp;O833))</x:f>
        <x:v>3d6 + 17</x:v>
      </x:c>
      <x:c r="Q833" t="n">
        <x:f>ROUND(INDEX(Catalogue!E$4:E$85,MATCH(A833,Catalogue!A$4:A$85,0))*(1+'Paramètres'!$B$4*(C833-1)+'Paramètres'!$B$5*(C833-1)^2),0)</x:f>
        <x:v>20</x:v>
      </x:c>
      <x:c r="R833" t="n">
        <x:f>ROUND(INDEX(Catalogue!F$4:F$85,MATCH(A833,Catalogue!A$4:A$85,0))*(1+'Paramètres'!$B$4*(C833-1)+'Paramètres'!$B$5*(C833-1)^2),0)</x:f>
        <x:v>36</x:v>
      </x:c>
      <x:c r="S833" t="n">
        <x:f>L833-AVERAGE(Q833:R833)</x:f>
        <x:v>-0.5</x:v>
      </x:c>
      <x:c r="T833" t="str">
        <x:f>IF(M833=0,IF(AND(N833=0,O833=0,E833=0,F833=0),"OK","ERREUR"),IF(AND(M833&gt;=1,M833&lt;=32,OR(N833=4,N833=6,N833=8,N833=10,N833=12,N833=20),O833&gt;=0,E833=M833+O833,F833=M833*N833+O833),"OK","ERREUR"))</x:f>
        <x:v>OK</x:v>
      </x:c>
      <x:c r="U833" s="86" t="n">
        <x:f>IF(M833&gt;0,M833*(N833+1)/2+O833,0)</x:f>
        <x:v>27.5</x:v>
      </x:c>
      <x:c r="V833" t="str">
        <x:f>IF(ABS(L833-U833)&lt;0.001,"OK","ERREUR")</x:f>
        <x:v>OK</x:v>
      </x:c>
    </x:row>
    <x:row r="834" ht="18" customHeight="1">
      <x:c r="A834" t="str">
        <x:v>ARM042</x:v>
      </x:c>
      <x:c r="B834" t="str">
        <x:v>Vouge</x:v>
      </x:c>
      <x:c r="C834" t="n">
        <x:v>11</x:v>
      </x:c>
      <x:c r="D834" t="str">
        <x:v>Armes d'hast</x:v>
      </x:c>
      <x:c r="E834" s="28" t="n">
        <x:f>IF(M834=0,0,M834+O834)</x:f>
        <x:v>22</x:v>
      </x:c>
      <x:c r="F834" s="28" t="n">
        <x:f>IF(M834=0,0,M834*N834+O834)</x:f>
        <x:v>40</x:v>
      </x:c>
      <x:c r="G834" s="28" t="n">
        <x:f>ROUND(Catalogue!G45*SQRT((1+'Paramètres'!$B$4*(C834-1)+'Paramètres'!$B$5*(C834-1)^2)),0)</x:f>
        <x:v>0</x:v>
      </x:c>
      <x:c r="H834" s="28" t="n">
        <x:f>ROUND(Catalogue!H45*SQRT((1+'Paramètres'!$B$4*(C834-1)+'Paramètres'!$B$5*(C834-1)^2)),0)</x:f>
        <x:v>0</x:v>
      </x:c>
      <x:c r="I834" s="28" t="n">
        <x:v>3</x:v>
      </x:c>
      <x:c r="J834" s="28" t="n">
        <x:v>2</x:v>
      </x:c>
      <x:c r="K834" s="30" t="n">
        <x:v>3.7</x:v>
      </x:c>
      <x:c r="L834" s="54" t="n">
        <x:f>IF(M834=0,0,(E834+F834)/2)</x:f>
        <x:v>31</x:v>
      </x:c>
      <x:c r="M834" t="n">
        <x:v>2</x:v>
      </x:c>
      <x:c r="N834" t="n">
        <x:v>10</x:v>
      </x:c>
      <x:c r="O834" t="n">
        <x:v>20</x:v>
      </x:c>
      <x:c r="P834" s="63" t="str">
        <x:f>IF(M834=0,"—",M834&amp;"d"&amp;N834&amp;IF(O834=0,""," + "&amp;O834))</x:f>
        <x:v>2d10 + 20</x:v>
      </x:c>
      <x:c r="Q834" t="n">
        <x:f>ROUND(INDEX(Catalogue!E$4:E$85,MATCH(A834,Catalogue!A$4:A$85,0))*(1+'Paramètres'!$B$4*(C834-1)+'Paramètres'!$B$5*(C834-1)^2),0)</x:f>
        <x:v>22</x:v>
      </x:c>
      <x:c r="R834" t="n">
        <x:f>ROUND(INDEX(Catalogue!F$4:F$85,MATCH(A834,Catalogue!A$4:A$85,0))*(1+'Paramètres'!$B$4*(C834-1)+'Paramètres'!$B$5*(C834-1)^2),0)</x:f>
        <x:v>41</x:v>
      </x:c>
      <x:c r="S834" t="n">
        <x:f>L834-AVERAGE(Q834:R834)</x:f>
        <x:v>-0.5</x:v>
      </x:c>
      <x:c r="T834" t="str">
        <x:f>IF(M834=0,IF(AND(N834=0,O834=0,E834=0,F834=0),"OK","ERREUR"),IF(AND(M834&gt;=1,M834&lt;=32,OR(N834=4,N834=6,N834=8,N834=10,N834=12,N834=20),O834&gt;=0,E834=M834+O834,F834=M834*N834+O834),"OK","ERREUR"))</x:f>
        <x:v>OK</x:v>
      </x:c>
      <x:c r="U834" s="86" t="n">
        <x:f>IF(M834&gt;0,M834*(N834+1)/2+O834,0)</x:f>
        <x:v>31</x:v>
      </x:c>
      <x:c r="V834" t="str">
        <x:f>IF(ABS(L834-U834)&lt;0.001,"OK","ERREUR")</x:f>
        <x:v>OK</x:v>
      </x:c>
    </x:row>
    <x:row r="835" ht="18" customHeight="1">
      <x:c r="A835" t="str">
        <x:v>ARM042</x:v>
      </x:c>
      <x:c r="B835" t="str">
        <x:v>Vouge</x:v>
      </x:c>
      <x:c r="C835" t="n">
        <x:v>12</x:v>
      </x:c>
      <x:c r="D835" t="str">
        <x:v>Armes d'hast</x:v>
      </x:c>
      <x:c r="E835" s="28" t="n">
        <x:f>IF(M835=0,0,M835+O835)</x:f>
        <x:v>25</x:v>
      </x:c>
      <x:c r="F835" s="28" t="n">
        <x:f>IF(M835=0,0,M835*N835+O835)</x:f>
        <x:v>46</x:v>
      </x:c>
      <x:c r="G835" s="28" t="n">
        <x:f>ROUND(Catalogue!G45*SQRT((1+'Paramètres'!$B$4*(C835-1)+'Paramètres'!$B$5*(C835-1)^2)),0)</x:f>
        <x:v>0</x:v>
      </x:c>
      <x:c r="H835" s="28" t="n">
        <x:f>ROUND(Catalogue!H45*SQRT((1+'Paramètres'!$B$4*(C835-1)+'Paramètres'!$B$5*(C835-1)^2)),0)</x:f>
        <x:v>0</x:v>
      </x:c>
      <x:c r="I835" s="28" t="n">
        <x:v>3</x:v>
      </x:c>
      <x:c r="J835" s="28" t="n">
        <x:v>2</x:v>
      </x:c>
      <x:c r="K835" s="30" t="n">
        <x:v>3.7</x:v>
      </x:c>
      <x:c r="L835" s="54" t="n">
        <x:f>IF(M835=0,0,(E835+F835)/2)</x:f>
        <x:v>35.5</x:v>
      </x:c>
      <x:c r="M835" t="n">
        <x:v>3</x:v>
      </x:c>
      <x:c r="N835" t="n">
        <x:v>8</x:v>
      </x:c>
      <x:c r="O835" t="n">
        <x:v>22</x:v>
      </x:c>
      <x:c r="P835" s="63" t="str">
        <x:f>IF(M835=0,"—",M835&amp;"d"&amp;N835&amp;IF(O835=0,""," + "&amp;O835))</x:f>
        <x:v>3d8 + 22</x:v>
      </x:c>
      <x:c r="Q835" t="n">
        <x:f>ROUND(INDEX(Catalogue!E$4:E$85,MATCH(A835,Catalogue!A$4:A$85,0))*(1+'Paramètres'!$B$4*(C835-1)+'Paramètres'!$B$5*(C835-1)^2),0)</x:f>
        <x:v>25</x:v>
      </x:c>
      <x:c r="R835" t="n">
        <x:f>ROUND(INDEX(Catalogue!F$4:F$85,MATCH(A835,Catalogue!A$4:A$85,0))*(1+'Paramètres'!$B$4*(C835-1)+'Paramètres'!$B$5*(C835-1)^2),0)</x:f>
        <x:v>46</x:v>
      </x:c>
      <x:c r="S835" t="n">
        <x:f>L835-AVERAGE(Q835:R835)</x:f>
        <x:v>0</x:v>
      </x:c>
      <x:c r="T835" t="str">
        <x:f>IF(M835=0,IF(AND(N835=0,O835=0,E835=0,F835=0),"OK","ERREUR"),IF(AND(M835&gt;=1,M835&lt;=32,OR(N835=4,N835=6,N835=8,N835=10,N835=12,N835=20),O835&gt;=0,E835=M835+O835,F835=M835*N835+O835),"OK","ERREUR"))</x:f>
        <x:v>OK</x:v>
      </x:c>
      <x:c r="U835" s="86" t="n">
        <x:f>IF(M835&gt;0,M835*(N835+1)/2+O835,0)</x:f>
        <x:v>35.5</x:v>
      </x:c>
      <x:c r="V835" t="str">
        <x:f>IF(ABS(L835-U835)&lt;0.001,"OK","ERREUR")</x:f>
        <x:v>OK</x:v>
      </x:c>
    </x:row>
    <x:row r="836" ht="18" customHeight="1">
      <x:c r="A836" t="str">
        <x:v>ARM042</x:v>
      </x:c>
      <x:c r="B836" t="str">
        <x:v>Vouge</x:v>
      </x:c>
      <x:c r="C836" t="n">
        <x:v>13</x:v>
      </x:c>
      <x:c r="D836" t="str">
        <x:v>Armes d'hast</x:v>
      </x:c>
      <x:c r="E836" s="28" t="n">
        <x:f>IF(M836=0,0,M836+O836)</x:f>
        <x:v>28</x:v>
      </x:c>
      <x:c r="F836" s="28" t="n">
        <x:f>IF(M836=0,0,M836*N836+O836)</x:f>
        <x:v>50</x:v>
      </x:c>
      <x:c r="G836" s="28" t="n">
        <x:f>ROUND(Catalogue!G45*SQRT((1+'Paramètres'!$B$4*(C836-1)+'Paramètres'!$B$5*(C836-1)^2)),0)</x:f>
        <x:v>0</x:v>
      </x:c>
      <x:c r="H836" s="28" t="n">
        <x:f>ROUND(Catalogue!H45*SQRT((1+'Paramètres'!$B$4*(C836-1)+'Paramètres'!$B$5*(C836-1)^2)),0)</x:f>
        <x:v>0</x:v>
      </x:c>
      <x:c r="I836" s="28" t="n">
        <x:v>3</x:v>
      </x:c>
      <x:c r="J836" s="28" t="n">
        <x:v>2</x:v>
      </x:c>
      <x:c r="K836" s="30" t="n">
        <x:v>3.7</x:v>
      </x:c>
      <x:c r="L836" s="54" t="n">
        <x:f>IF(M836=0,0,(E836+F836)/2)</x:f>
        <x:v>39</x:v>
      </x:c>
      <x:c r="M836" t="n">
        <x:v>2</x:v>
      </x:c>
      <x:c r="N836" t="n">
        <x:v>12</x:v>
      </x:c>
      <x:c r="O836" t="n">
        <x:v>26</x:v>
      </x:c>
      <x:c r="P836" s="63" t="str">
        <x:f>IF(M836=0,"—",M836&amp;"d"&amp;N836&amp;IF(O836=0,""," + "&amp;O836))</x:f>
        <x:v>2d12 + 26</x:v>
      </x:c>
      <x:c r="Q836" t="n">
        <x:f>ROUND(INDEX(Catalogue!E$4:E$85,MATCH(A836,Catalogue!A$4:A$85,0))*(1+'Paramètres'!$B$4*(C836-1)+'Paramètres'!$B$5*(C836-1)^2),0)</x:f>
        <x:v>28</x:v>
      </x:c>
      <x:c r="R836" t="n">
        <x:f>ROUND(INDEX(Catalogue!F$4:F$85,MATCH(A836,Catalogue!A$4:A$85,0))*(1+'Paramètres'!$B$4*(C836-1)+'Paramètres'!$B$5*(C836-1)^2),0)</x:f>
        <x:v>51</x:v>
      </x:c>
      <x:c r="S836" t="n">
        <x:f>L836-AVERAGE(Q836:R836)</x:f>
        <x:v>-0.5</x:v>
      </x:c>
      <x:c r="T836" t="str">
        <x:f>IF(M836=0,IF(AND(N836=0,O836=0,E836=0,F836=0),"OK","ERREUR"),IF(AND(M836&gt;=1,M836&lt;=32,OR(N836=4,N836=6,N836=8,N836=10,N836=12,N836=20),O836&gt;=0,E836=M836+O836,F836=M836*N836+O836),"OK","ERREUR"))</x:f>
        <x:v>OK</x:v>
      </x:c>
      <x:c r="U836" s="86" t="n">
        <x:f>IF(M836&gt;0,M836*(N836+1)/2+O836,0)</x:f>
        <x:v>39</x:v>
      </x:c>
      <x:c r="V836" t="str">
        <x:f>IF(ABS(L836-U836)&lt;0.001,"OK","ERREUR")</x:f>
        <x:v>OK</x:v>
      </x:c>
    </x:row>
    <x:row r="837" ht="18" customHeight="1">
      <x:c r="A837" t="str">
        <x:v>ARM042</x:v>
      </x:c>
      <x:c r="B837" t="str">
        <x:v>Vouge</x:v>
      </x:c>
      <x:c r="C837" t="n">
        <x:v>14</x:v>
      </x:c>
      <x:c r="D837" t="str">
        <x:v>Armes d'hast</x:v>
      </x:c>
      <x:c r="E837" s="28" t="n">
        <x:f>IF(M837=0,0,M837+O837)</x:f>
        <x:v>31</x:v>
      </x:c>
      <x:c r="F837" s="28" t="n">
        <x:f>IF(M837=0,0,M837*N837+O837)</x:f>
        <x:v>56</x:v>
      </x:c>
      <x:c r="G837" s="28" t="n">
        <x:f>ROUND(Catalogue!G45*SQRT((1+'Paramètres'!$B$4*(C837-1)+'Paramètres'!$B$5*(C837-1)^2)),0)</x:f>
        <x:v>0</x:v>
      </x:c>
      <x:c r="H837" s="28" t="n">
        <x:f>ROUND(Catalogue!H45*SQRT((1+'Paramètres'!$B$4*(C837-1)+'Paramètres'!$B$5*(C837-1)^2)),0)</x:f>
        <x:v>0</x:v>
      </x:c>
      <x:c r="I837" s="28" t="n">
        <x:v>3</x:v>
      </x:c>
      <x:c r="J837" s="28" t="n">
        <x:v>2</x:v>
      </x:c>
      <x:c r="K837" s="30" t="n">
        <x:v>3.7</x:v>
      </x:c>
      <x:c r="L837" s="54" t="n">
        <x:f>IF(M837=0,0,(E837+F837)/2)</x:f>
        <x:v>43.5</x:v>
      </x:c>
      <x:c r="M837" t="n">
        <x:v>5</x:v>
      </x:c>
      <x:c r="N837" t="n">
        <x:v>6</x:v>
      </x:c>
      <x:c r="O837" t="n">
        <x:v>26</x:v>
      </x:c>
      <x:c r="P837" s="63" t="str">
        <x:f>IF(M837=0,"—",M837&amp;"d"&amp;N837&amp;IF(O837=0,""," + "&amp;O837))</x:f>
        <x:v>5d6 + 26</x:v>
      </x:c>
      <x:c r="Q837" t="n">
        <x:f>ROUND(INDEX(Catalogue!E$4:E$85,MATCH(A837,Catalogue!A$4:A$85,0))*(1+'Paramètres'!$B$4*(C837-1)+'Paramètres'!$B$5*(C837-1)^2),0)</x:f>
        <x:v>31</x:v>
      </x:c>
      <x:c r="R837" t="n">
        <x:f>ROUND(INDEX(Catalogue!F$4:F$85,MATCH(A837,Catalogue!A$4:A$85,0))*(1+'Paramètres'!$B$4*(C837-1)+'Paramètres'!$B$5*(C837-1)^2),0)</x:f>
        <x:v>56</x:v>
      </x:c>
      <x:c r="S837" t="n">
        <x:f>L837-AVERAGE(Q837:R837)</x:f>
        <x:v>0</x:v>
      </x:c>
      <x:c r="T837" t="str">
        <x:f>IF(M837=0,IF(AND(N837=0,O837=0,E837=0,F837=0),"OK","ERREUR"),IF(AND(M837&gt;=1,M837&lt;=32,OR(N837=4,N837=6,N837=8,N837=10,N837=12,N837=20),O837&gt;=0,E837=M837+O837,F837=M837*N837+O837),"OK","ERREUR"))</x:f>
        <x:v>OK</x:v>
      </x:c>
      <x:c r="U837" s="86" t="n">
        <x:f>IF(M837&gt;0,M837*(N837+1)/2+O837,0)</x:f>
        <x:v>43.5</x:v>
      </x:c>
      <x:c r="V837" t="str">
        <x:f>IF(ABS(L837-U837)&lt;0.001,"OK","ERREUR")</x:f>
        <x:v>OK</x:v>
      </x:c>
    </x:row>
    <x:row r="838" ht="18" customHeight="1">
      <x:c r="A838" t="str">
        <x:v>ARM042</x:v>
      </x:c>
      <x:c r="B838" t="str">
        <x:v>Vouge</x:v>
      </x:c>
      <x:c r="C838" t="n">
        <x:v>15</x:v>
      </x:c>
      <x:c r="D838" t="str">
        <x:v>Armes d'hast</x:v>
      </x:c>
      <x:c r="E838" s="28" t="n">
        <x:f>IF(M838=0,0,M838+O838)</x:f>
        <x:v>34</x:v>
      </x:c>
      <x:c r="F838" s="28" t="n">
        <x:f>IF(M838=0,0,M838*N838+O838)</x:f>
        <x:v>62</x:v>
      </x:c>
      <x:c r="G838" s="28" t="n">
        <x:f>ROUND(Catalogue!G45*SQRT((1+'Paramètres'!$B$4*(C838-1)+'Paramètres'!$B$5*(C838-1)^2)),0)</x:f>
        <x:v>0</x:v>
      </x:c>
      <x:c r="H838" s="28" t="n">
        <x:f>ROUND(Catalogue!H45*SQRT((1+'Paramètres'!$B$4*(C838-1)+'Paramètres'!$B$5*(C838-1)^2)),0)</x:f>
        <x:v>0</x:v>
      </x:c>
      <x:c r="I838" s="28" t="n">
        <x:v>3</x:v>
      </x:c>
      <x:c r="J838" s="28" t="n">
        <x:v>2</x:v>
      </x:c>
      <x:c r="K838" s="30" t="n">
        <x:v>3.7</x:v>
      </x:c>
      <x:c r="L838" s="54" t="n">
        <x:f>IF(M838=0,0,(E838+F838)/2)</x:f>
        <x:v>48</x:v>
      </x:c>
      <x:c r="M838" t="n">
        <x:v>4</x:v>
      </x:c>
      <x:c r="N838" t="n">
        <x:v>8</x:v>
      </x:c>
      <x:c r="O838" t="n">
        <x:v>30</x:v>
      </x:c>
      <x:c r="P838" s="63" t="str">
        <x:f>IF(M838=0,"—",M838&amp;"d"&amp;N838&amp;IF(O838=0,""," + "&amp;O838))</x:f>
        <x:v>4d8 + 30</x:v>
      </x:c>
      <x:c r="Q838" t="n">
        <x:f>ROUND(INDEX(Catalogue!E$4:E$85,MATCH(A838,Catalogue!A$4:A$85,0))*(1+'Paramètres'!$B$4*(C838-1)+'Paramètres'!$B$5*(C838-1)^2),0)</x:f>
        <x:v>34</x:v>
      </x:c>
      <x:c r="R838" t="n">
        <x:f>ROUND(INDEX(Catalogue!F$4:F$85,MATCH(A838,Catalogue!A$4:A$85,0))*(1+'Paramètres'!$B$4*(C838-1)+'Paramètres'!$B$5*(C838-1)^2),0)</x:f>
        <x:v>62</x:v>
      </x:c>
      <x:c r="S838" t="n">
        <x:f>L838-AVERAGE(Q838:R838)</x:f>
        <x:v>0</x:v>
      </x:c>
      <x:c r="T838" t="str">
        <x:f>IF(M838=0,IF(AND(N838=0,O838=0,E838=0,F838=0),"OK","ERREUR"),IF(AND(M838&gt;=1,M838&lt;=32,OR(N838=4,N838=6,N838=8,N838=10,N838=12,N838=20),O838&gt;=0,E838=M838+O838,F838=M838*N838+O838),"OK","ERREUR"))</x:f>
        <x:v>OK</x:v>
      </x:c>
      <x:c r="U838" s="86" t="n">
        <x:f>IF(M838&gt;0,M838*(N838+1)/2+O838,0)</x:f>
        <x:v>48</x:v>
      </x:c>
      <x:c r="V838" t="str">
        <x:f>IF(ABS(L838-U838)&lt;0.001,"OK","ERREUR")</x:f>
        <x:v>OK</x:v>
      </x:c>
    </x:row>
    <x:row r="839" ht="18" customHeight="1">
      <x:c r="A839" t="str">
        <x:v>ARM042</x:v>
      </x:c>
      <x:c r="B839" t="str">
        <x:v>Vouge</x:v>
      </x:c>
      <x:c r="C839" t="n">
        <x:v>16</x:v>
      </x:c>
      <x:c r="D839" t="str">
        <x:v>Armes d'hast</x:v>
      </x:c>
      <x:c r="E839" s="28" t="n">
        <x:f>IF(M839=0,0,M839+O839)</x:f>
        <x:v>38</x:v>
      </x:c>
      <x:c r="F839" s="28" t="n">
        <x:f>IF(M839=0,0,M839*N839+O839)</x:f>
        <x:v>68</x:v>
      </x:c>
      <x:c r="G839" s="28" t="n">
        <x:f>ROUND(Catalogue!G45*SQRT((1+'Paramètres'!$B$4*(C839-1)+'Paramètres'!$B$5*(C839-1)^2)),0)</x:f>
        <x:v>0</x:v>
      </x:c>
      <x:c r="H839" s="28" t="n">
        <x:f>ROUND(Catalogue!H45*SQRT((1+'Paramètres'!$B$4*(C839-1)+'Paramètres'!$B$5*(C839-1)^2)),0)</x:f>
        <x:v>0</x:v>
      </x:c>
      <x:c r="I839" s="28" t="n">
        <x:v>3</x:v>
      </x:c>
      <x:c r="J839" s="28" t="n">
        <x:v>2</x:v>
      </x:c>
      <x:c r="K839" s="30" t="n">
        <x:v>3.7</x:v>
      </x:c>
      <x:c r="L839" s="54" t="n">
        <x:f>IF(M839=0,0,(E839+F839)/2)</x:f>
        <x:v>53</x:v>
      </x:c>
      <x:c r="M839" t="n">
        <x:v>6</x:v>
      </x:c>
      <x:c r="N839" t="n">
        <x:v>6</x:v>
      </x:c>
      <x:c r="O839" t="n">
        <x:v>32</x:v>
      </x:c>
      <x:c r="P839" s="63" t="str">
        <x:f>IF(M839=0,"—",M839&amp;"d"&amp;N839&amp;IF(O839=0,""," + "&amp;O839))</x:f>
        <x:v>6d6 + 32</x:v>
      </x:c>
      <x:c r="Q839" t="n">
        <x:f>ROUND(INDEX(Catalogue!E$4:E$85,MATCH(A839,Catalogue!A$4:A$85,0))*(1+'Paramètres'!$B$4*(C839-1)+'Paramètres'!$B$5*(C839-1)^2),0)</x:f>
        <x:v>38</x:v>
      </x:c>
      <x:c r="R839" t="n">
        <x:f>ROUND(INDEX(Catalogue!F$4:F$85,MATCH(A839,Catalogue!A$4:A$85,0))*(1+'Paramètres'!$B$4*(C839-1)+'Paramètres'!$B$5*(C839-1)^2),0)</x:f>
        <x:v>69</x:v>
      </x:c>
      <x:c r="S839" t="n">
        <x:f>L839-AVERAGE(Q839:R839)</x:f>
        <x:v>-0.5</x:v>
      </x:c>
      <x:c r="T839" t="str">
        <x:f>IF(M839=0,IF(AND(N839=0,O839=0,E839=0,F839=0),"OK","ERREUR"),IF(AND(M839&gt;=1,M839&lt;=32,OR(N839=4,N839=6,N839=8,N839=10,N839=12,N839=20),O839&gt;=0,E839=M839+O839,F839=M839*N839+O839),"OK","ERREUR"))</x:f>
        <x:v>OK</x:v>
      </x:c>
      <x:c r="U839" s="86" t="n">
        <x:f>IF(M839&gt;0,M839*(N839+1)/2+O839,0)</x:f>
        <x:v>53</x:v>
      </x:c>
      <x:c r="V839" t="str">
        <x:f>IF(ABS(L839-U839)&lt;0.001,"OK","ERREUR")</x:f>
        <x:v>OK</x:v>
      </x:c>
    </x:row>
    <x:row r="840" ht="18" customHeight="1">
      <x:c r="A840" t="str">
        <x:v>ARM042</x:v>
      </x:c>
      <x:c r="B840" t="str">
        <x:v>Vouge</x:v>
      </x:c>
      <x:c r="C840" t="n">
        <x:v>17</x:v>
      </x:c>
      <x:c r="D840" t="str">
        <x:v>Armes d'hast</x:v>
      </x:c>
      <x:c r="E840" s="28" t="n">
        <x:f>IF(M840=0,0,M840+O840)</x:f>
        <x:v>41</x:v>
      </x:c>
      <x:c r="F840" s="28" t="n">
        <x:f>IF(M840=0,0,M840*N840+O840)</x:f>
        <x:v>74</x:v>
      </x:c>
      <x:c r="G840" s="28" t="n">
        <x:f>ROUND(Catalogue!G45*SQRT((1+'Paramètres'!$B$4*(C840-1)+'Paramètres'!$B$5*(C840-1)^2)),0)</x:f>
        <x:v>0</x:v>
      </x:c>
      <x:c r="H840" s="28" t="n">
        <x:f>ROUND(Catalogue!H45*SQRT((1+'Paramètres'!$B$4*(C840-1)+'Paramètres'!$B$5*(C840-1)^2)),0)</x:f>
        <x:v>0</x:v>
      </x:c>
      <x:c r="I840" s="28" t="n">
        <x:v>3</x:v>
      </x:c>
      <x:c r="J840" s="28" t="n">
        <x:v>2</x:v>
      </x:c>
      <x:c r="K840" s="30" t="n">
        <x:v>3.7</x:v>
      </x:c>
      <x:c r="L840" s="54" t="n">
        <x:f>IF(M840=0,0,(E840+F840)/2)</x:f>
        <x:v>57.5</x:v>
      </x:c>
      <x:c r="M840" t="n">
        <x:v>3</x:v>
      </x:c>
      <x:c r="N840" t="n">
        <x:v>12</x:v>
      </x:c>
      <x:c r="O840" t="n">
        <x:v>38</x:v>
      </x:c>
      <x:c r="P840" s="63" t="str">
        <x:f>IF(M840=0,"—",M840&amp;"d"&amp;N840&amp;IF(O840=0,""," + "&amp;O840))</x:f>
        <x:v>3d12 + 38</x:v>
      </x:c>
      <x:c r="Q840" t="n">
        <x:f>ROUND(INDEX(Catalogue!E$4:E$85,MATCH(A840,Catalogue!A$4:A$85,0))*(1+'Paramètres'!$B$4*(C840-1)+'Paramètres'!$B$5*(C840-1)^2),0)</x:f>
        <x:v>41</x:v>
      </x:c>
      <x:c r="R840" t="n">
        <x:f>ROUND(INDEX(Catalogue!F$4:F$85,MATCH(A840,Catalogue!A$4:A$85,0))*(1+'Paramètres'!$B$4*(C840-1)+'Paramètres'!$B$5*(C840-1)^2),0)</x:f>
        <x:v>75</x:v>
      </x:c>
      <x:c r="S840" t="n">
        <x:f>L840-AVERAGE(Q840:R840)</x:f>
        <x:v>-0.5</x:v>
      </x:c>
      <x:c r="T840" t="str">
        <x:f>IF(M840=0,IF(AND(N840=0,O840=0,E840=0,F840=0),"OK","ERREUR"),IF(AND(M840&gt;=1,M840&lt;=32,OR(N840=4,N840=6,N840=8,N840=10,N840=12,N840=20),O840&gt;=0,E840=M840+O840,F840=M840*N840+O840),"OK","ERREUR"))</x:f>
        <x:v>OK</x:v>
      </x:c>
      <x:c r="U840" s="86" t="n">
        <x:f>IF(M840&gt;0,M840*(N840+1)/2+O840,0)</x:f>
        <x:v>57.5</x:v>
      </x:c>
      <x:c r="V840" t="str">
        <x:f>IF(ABS(L840-U840)&lt;0.001,"OK","ERREUR")</x:f>
        <x:v>OK</x:v>
      </x:c>
    </x:row>
    <x:row r="841" ht="18" customHeight="1">
      <x:c r="A841" t="str">
        <x:v>ARM042</x:v>
      </x:c>
      <x:c r="B841" t="str">
        <x:v>Vouge</x:v>
      </x:c>
      <x:c r="C841" t="n">
        <x:v>18</x:v>
      </x:c>
      <x:c r="D841" t="str">
        <x:v>Armes d'hast</x:v>
      </x:c>
      <x:c r="E841" s="28" t="n">
        <x:f>IF(M841=0,0,M841+O841)</x:f>
        <x:v>45</x:v>
      </x:c>
      <x:c r="F841" s="28" t="n">
        <x:f>IF(M841=0,0,M841*N841+O841)</x:f>
        <x:v>81</x:v>
      </x:c>
      <x:c r="G841" s="28" t="n">
        <x:f>ROUND(Catalogue!G45*SQRT((1+'Paramètres'!$B$4*(C841-1)+'Paramètres'!$B$5*(C841-1)^2)),0)</x:f>
        <x:v>0</x:v>
      </x:c>
      <x:c r="H841" s="28" t="n">
        <x:f>ROUND(Catalogue!H45*SQRT((1+'Paramètres'!$B$4*(C841-1)+'Paramètres'!$B$5*(C841-1)^2)),0)</x:f>
        <x:v>0</x:v>
      </x:c>
      <x:c r="I841" s="28" t="n">
        <x:v>3</x:v>
      </x:c>
      <x:c r="J841" s="28" t="n">
        <x:v>2</x:v>
      </x:c>
      <x:c r="K841" s="30" t="n">
        <x:v>3.7</x:v>
      </x:c>
      <x:c r="L841" s="54" t="n">
        <x:f>IF(M841=0,0,(E841+F841)/2)</x:f>
        <x:v>63</x:v>
      </x:c>
      <x:c r="M841" t="n">
        <x:v>4</x:v>
      </x:c>
      <x:c r="N841" t="n">
        <x:v>10</x:v>
      </x:c>
      <x:c r="O841" t="n">
        <x:v>41</x:v>
      </x:c>
      <x:c r="P841" s="63" t="str">
        <x:f>IF(M841=0,"—",M841&amp;"d"&amp;N841&amp;IF(O841=0,""," + "&amp;O841))</x:f>
        <x:v>4d10 + 41</x:v>
      </x:c>
      <x:c r="Q841" t="n">
        <x:f>ROUND(INDEX(Catalogue!E$4:E$85,MATCH(A841,Catalogue!A$4:A$85,0))*(1+'Paramètres'!$B$4*(C841-1)+'Paramètres'!$B$5*(C841-1)^2),0)</x:f>
        <x:v>45</x:v>
      </x:c>
      <x:c r="R841" t="n">
        <x:f>ROUND(INDEX(Catalogue!F$4:F$85,MATCH(A841,Catalogue!A$4:A$85,0))*(1+'Paramètres'!$B$4*(C841-1)+'Paramètres'!$B$5*(C841-1)^2),0)</x:f>
        <x:v>82</x:v>
      </x:c>
      <x:c r="S841" t="n">
        <x:f>L841-AVERAGE(Q841:R841)</x:f>
        <x:v>-0.5</x:v>
      </x:c>
      <x:c r="T841" t="str">
        <x:f>IF(M841=0,IF(AND(N841=0,O841=0,E841=0,F841=0),"OK","ERREUR"),IF(AND(M841&gt;=1,M841&lt;=32,OR(N841=4,N841=6,N841=8,N841=10,N841=12,N841=20),O841&gt;=0,E841=M841+O841,F841=M841*N841+O841),"OK","ERREUR"))</x:f>
        <x:v>OK</x:v>
      </x:c>
      <x:c r="U841" s="86" t="n">
        <x:f>IF(M841&gt;0,M841*(N841+1)/2+O841,0)</x:f>
        <x:v>63</x:v>
      </x:c>
      <x:c r="V841" t="str">
        <x:f>IF(ABS(L841-U841)&lt;0.001,"OK","ERREUR")</x:f>
        <x:v>OK</x:v>
      </x:c>
    </x:row>
    <x:row r="842" ht="18" customHeight="1">
      <x:c r="A842" t="str">
        <x:v>ARM042</x:v>
      </x:c>
      <x:c r="B842" t="str">
        <x:v>Vouge</x:v>
      </x:c>
      <x:c r="C842" t="n">
        <x:v>19</x:v>
      </x:c>
      <x:c r="D842" t="str">
        <x:v>Armes d'hast</x:v>
      </x:c>
      <x:c r="E842" s="28" t="n">
        <x:f>IF(M842=0,0,M842+O842)</x:f>
        <x:v>48</x:v>
      </x:c>
      <x:c r="F842" s="28" t="n">
        <x:f>IF(M842=0,0,M842*N842+O842)</x:f>
        <x:v>90</x:v>
      </x:c>
      <x:c r="G842" s="28" t="n">
        <x:f>ROUND(Catalogue!G45*SQRT((1+'Paramètres'!$B$4*(C842-1)+'Paramètres'!$B$5*(C842-1)^2)),0)</x:f>
        <x:v>0</x:v>
      </x:c>
      <x:c r="H842" s="28" t="n">
        <x:f>ROUND(Catalogue!H45*SQRT((1+'Paramètres'!$B$4*(C842-1)+'Paramètres'!$B$5*(C842-1)^2)),0)</x:f>
        <x:v>0</x:v>
      </x:c>
      <x:c r="I842" s="28" t="n">
        <x:v>3</x:v>
      </x:c>
      <x:c r="J842" s="28" t="n">
        <x:v>2</x:v>
      </x:c>
      <x:c r="K842" s="30" t="n">
        <x:v>3.7</x:v>
      </x:c>
      <x:c r="L842" s="54" t="n">
        <x:f>IF(M842=0,0,(E842+F842)/2)</x:f>
        <x:v>69</x:v>
      </x:c>
      <x:c r="M842" t="n">
        <x:v>6</x:v>
      </x:c>
      <x:c r="N842" t="n">
        <x:v>8</x:v>
      </x:c>
      <x:c r="O842" t="n">
        <x:v>42</x:v>
      </x:c>
      <x:c r="P842" s="63" t="str">
        <x:f>IF(M842=0,"—",M842&amp;"d"&amp;N842&amp;IF(O842=0,""," + "&amp;O842))</x:f>
        <x:v>6d8 + 42</x:v>
      </x:c>
      <x:c r="Q842" t="n">
        <x:f>ROUND(INDEX(Catalogue!E$4:E$85,MATCH(A842,Catalogue!A$4:A$85,0))*(1+'Paramètres'!$B$4*(C842-1)+'Paramètres'!$B$5*(C842-1)^2),0)</x:f>
        <x:v>49</x:v>
      </x:c>
      <x:c r="R842" t="n">
        <x:f>ROUND(INDEX(Catalogue!F$4:F$85,MATCH(A842,Catalogue!A$4:A$85,0))*(1+'Paramètres'!$B$4*(C842-1)+'Paramètres'!$B$5*(C842-1)^2),0)</x:f>
        <x:v>90</x:v>
      </x:c>
      <x:c r="S842" t="n">
        <x:f>L842-AVERAGE(Q842:R842)</x:f>
        <x:v>-0.5</x:v>
      </x:c>
      <x:c r="T842" t="str">
        <x:f>IF(M842=0,IF(AND(N842=0,O842=0,E842=0,F842=0),"OK","ERREUR"),IF(AND(M842&gt;=1,M842&lt;=32,OR(N842=4,N842=6,N842=8,N842=10,N842=12,N842=20),O842&gt;=0,E842=M842+O842,F842=M842*N842+O842),"OK","ERREUR"))</x:f>
        <x:v>OK</x:v>
      </x:c>
      <x:c r="U842" s="86" t="n">
        <x:f>IF(M842&gt;0,M842*(N842+1)/2+O842,0)</x:f>
        <x:v>69</x:v>
      </x:c>
      <x:c r="V842" t="str">
        <x:f>IF(ABS(L842-U842)&lt;0.001,"OK","ERREUR")</x:f>
        <x:v>OK</x:v>
      </x:c>
    </x:row>
    <x:row r="843" ht="18" customHeight="1">
      <x:c r="A843" t="str">
        <x:v>ARM042</x:v>
      </x:c>
      <x:c r="B843" t="str">
        <x:v>Vouge</x:v>
      </x:c>
      <x:c r="C843" t="n">
        <x:v>20</x:v>
      </x:c>
      <x:c r="D843" t="str">
        <x:v>Armes d'hast</x:v>
      </x:c>
      <x:c r="E843" s="28" t="n">
        <x:f>IF(M843=0,0,M843+O843)</x:f>
        <x:v>53</x:v>
      </x:c>
      <x:c r="F843" s="28" t="n">
        <x:f>IF(M843=0,0,M843*N843+O843)</x:f>
        <x:v>98</x:v>
      </x:c>
      <x:c r="G843" s="28" t="n">
        <x:f>ROUND(Catalogue!G45*SQRT((1+'Paramètres'!$B$4*(C843-1)+'Paramètres'!$B$5*(C843-1)^2)),0)</x:f>
        <x:v>0</x:v>
      </x:c>
      <x:c r="H843" s="28" t="n">
        <x:f>ROUND(Catalogue!H45*SQRT((1+'Paramètres'!$B$4*(C843-1)+'Paramètres'!$B$5*(C843-1)^2)),0)</x:f>
        <x:v>0</x:v>
      </x:c>
      <x:c r="I843" s="28" t="n">
        <x:v>3</x:v>
      </x:c>
      <x:c r="J843" s="28" t="n">
        <x:v>2</x:v>
      </x:c>
      <x:c r="K843" s="30" t="n">
        <x:v>3.7</x:v>
      </x:c>
      <x:c r="L843" s="54" t="n">
        <x:f>IF(M843=0,0,(E843+F843)/2)</x:f>
        <x:v>75.5</x:v>
      </x:c>
      <x:c r="M843" t="n">
        <x:v>5</x:v>
      </x:c>
      <x:c r="N843" t="n">
        <x:v>10</x:v>
      </x:c>
      <x:c r="O843" t="n">
        <x:v>48</x:v>
      </x:c>
      <x:c r="P843" s="63" t="str">
        <x:f>IF(M843=0,"—",M843&amp;"d"&amp;N843&amp;IF(O843=0,""," + "&amp;O843))</x:f>
        <x:v>5d10 + 48</x:v>
      </x:c>
      <x:c r="Q843" t="n">
        <x:f>ROUND(INDEX(Catalogue!E$4:E$85,MATCH(A843,Catalogue!A$4:A$85,0))*(1+'Paramètres'!$B$4*(C843-1)+'Paramètres'!$B$5*(C843-1)^2),0)</x:f>
        <x:v>53</x:v>
      </x:c>
      <x:c r="R843" t="n">
        <x:f>ROUND(INDEX(Catalogue!F$4:F$85,MATCH(A843,Catalogue!A$4:A$85,0))*(1+'Paramètres'!$B$4*(C843-1)+'Paramètres'!$B$5*(C843-1)^2),0)</x:f>
        <x:v>98</x:v>
      </x:c>
      <x:c r="S843" t="n">
        <x:f>L843-AVERAGE(Q843:R843)</x:f>
        <x:v>0</x:v>
      </x:c>
      <x:c r="T843" t="str">
        <x:f>IF(M843=0,IF(AND(N843=0,O843=0,E843=0,F843=0),"OK","ERREUR"),IF(AND(M843&gt;=1,M843&lt;=32,OR(N843=4,N843=6,N843=8,N843=10,N843=12,N843=20),O843&gt;=0,E843=M843+O843,F843=M843*N843+O843),"OK","ERREUR"))</x:f>
        <x:v>OK</x:v>
      </x:c>
      <x:c r="U843" s="86" t="n">
        <x:f>IF(M843&gt;0,M843*(N843+1)/2+O843,0)</x:f>
        <x:v>75.5</x:v>
      </x:c>
      <x:c r="V843" t="str">
        <x:f>IF(ABS(L843-U843)&lt;0.001,"OK","ERREUR")</x:f>
        <x:v>OK</x:v>
      </x:c>
    </x:row>
    <x:row r="844" ht="18" customHeight="1">
      <x:c r="A844" t="str">
        <x:v>ARM043</x:v>
      </x:c>
      <x:c r="B844" t="str">
        <x:v>Glaive d'hast</x:v>
      </x:c>
      <x:c r="C844" t="n">
        <x:v>1</x:v>
      </x:c>
      <x:c r="D844" t="str">
        <x:v>Armes d'hast</x:v>
      </x:c>
      <x:c r="E844" s="28" t="n">
        <x:f>IF(M844=0,0,M844+O844)</x:f>
        <x:v>6</x:v>
      </x:c>
      <x:c r="F844" s="28" t="n">
        <x:f>IF(M844=0,0,M844*N844+O844)</x:f>
        <x:v>11</x:v>
      </x:c>
      <x:c r="G844" s="28" t="n">
        <x:f>ROUND(Catalogue!G46*SQRT((1+'Paramètres'!$B$4*(C844-1)+'Paramètres'!$B$5*(C844-1)^2)),0)</x:f>
        <x:v>0</x:v>
      </x:c>
      <x:c r="H844" s="28" t="n">
        <x:f>ROUND(Catalogue!H46*SQRT((1+'Paramètres'!$B$4*(C844-1)+'Paramètres'!$B$5*(C844-1)^2)),0)</x:f>
        <x:v>0</x:v>
      </x:c>
      <x:c r="I844" s="28" t="n">
        <x:v>3</x:v>
      </x:c>
      <x:c r="J844" s="28" t="n">
        <x:v>2</x:v>
      </x:c>
      <x:c r="K844" s="30" t="n">
        <x:v>3.8</x:v>
      </x:c>
      <x:c r="L844" s="54" t="n">
        <x:f>IF(M844=0,0,(E844+F844)/2)</x:f>
        <x:v>8.5</x:v>
      </x:c>
      <x:c r="M844" t="n">
        <x:v>1</x:v>
      </x:c>
      <x:c r="N844" t="n">
        <x:v>6</x:v>
      </x:c>
      <x:c r="O844" t="n">
        <x:v>5</x:v>
      </x:c>
      <x:c r="P844" s="63" t="str">
        <x:f>IF(M844=0,"—",M844&amp;"d"&amp;N844&amp;IF(O844=0,""," + "&amp;O844))</x:f>
        <x:v>1d6 + 5</x:v>
      </x:c>
      <x:c r="Q844" t="n">
        <x:f>ROUND(INDEX(Catalogue!E$4:E$85,MATCH(A844,Catalogue!A$4:A$85,0))*(1+'Paramètres'!$B$4*(C844-1)+'Paramètres'!$B$5*(C844-1)^2),0)</x:f>
        <x:v>6</x:v>
      </x:c>
      <x:c r="R844" t="n">
        <x:f>ROUND(INDEX(Catalogue!F$4:F$85,MATCH(A844,Catalogue!A$4:A$85,0))*(1+'Paramètres'!$B$4*(C844-1)+'Paramètres'!$B$5*(C844-1)^2),0)</x:f>
        <x:v>11</x:v>
      </x:c>
      <x:c r="S844" t="n">
        <x:f>L844-AVERAGE(Q844:R844)</x:f>
        <x:v>0</x:v>
      </x:c>
      <x:c r="T844" t="str">
        <x:f>IF(M844=0,IF(AND(N844=0,O844=0,E844=0,F844=0),"OK","ERREUR"),IF(AND(M844&gt;=1,M844&lt;=32,OR(N844=4,N844=6,N844=8,N844=10,N844=12,N844=20),O844&gt;=0,E844=M844+O844,F844=M844*N844+O844),"OK","ERREUR"))</x:f>
        <x:v>OK</x:v>
      </x:c>
      <x:c r="U844" s="86" t="n">
        <x:f>IF(M844&gt;0,M844*(N844+1)/2+O844,0)</x:f>
        <x:v>8.5</x:v>
      </x:c>
      <x:c r="V844" t="str">
        <x:f>IF(ABS(L844-U844)&lt;0.001,"OK","ERREUR")</x:f>
        <x:v>OK</x:v>
      </x:c>
    </x:row>
    <x:row r="845" ht="18" customHeight="1">
      <x:c r="A845" t="str">
        <x:v>ARM043</x:v>
      </x:c>
      <x:c r="B845" t="str">
        <x:v>Glaive d'hast</x:v>
      </x:c>
      <x:c r="C845" t="n">
        <x:v>2</x:v>
      </x:c>
      <x:c r="D845" t="str">
        <x:v>Armes d'hast</x:v>
      </x:c>
      <x:c r="E845" s="28" t="n">
        <x:f>IF(M845=0,0,M845+O845)</x:f>
        <x:v>7</x:v>
      </x:c>
      <x:c r="F845" s="28" t="n">
        <x:f>IF(M845=0,0,M845*N845+O845)</x:f>
        <x:v>12</x:v>
      </x:c>
      <x:c r="G845" s="28" t="n">
        <x:f>ROUND(Catalogue!G46*SQRT((1+'Paramètres'!$B$4*(C845-1)+'Paramètres'!$B$5*(C845-1)^2)),0)</x:f>
        <x:v>0</x:v>
      </x:c>
      <x:c r="H845" s="28" t="n">
        <x:f>ROUND(Catalogue!H46*SQRT((1+'Paramètres'!$B$4*(C845-1)+'Paramètres'!$B$5*(C845-1)^2)),0)</x:f>
        <x:v>0</x:v>
      </x:c>
      <x:c r="I845" s="28" t="n">
        <x:v>3</x:v>
      </x:c>
      <x:c r="J845" s="28" t="n">
        <x:v>2</x:v>
      </x:c>
      <x:c r="K845" s="30" t="n">
        <x:v>3.8</x:v>
      </x:c>
      <x:c r="L845" s="54" t="n">
        <x:f>IF(M845=0,0,(E845+F845)/2)</x:f>
        <x:v>9.5</x:v>
      </x:c>
      <x:c r="M845" t="n">
        <x:v>1</x:v>
      </x:c>
      <x:c r="N845" t="n">
        <x:v>6</x:v>
      </x:c>
      <x:c r="O845" t="n">
        <x:v>6</x:v>
      </x:c>
      <x:c r="P845" s="63" t="str">
        <x:f>IF(M845=0,"—",M845&amp;"d"&amp;N845&amp;IF(O845=0,""," + "&amp;O845))</x:f>
        <x:v>1d6 + 6</x:v>
      </x:c>
      <x:c r="Q845" t="n">
        <x:f>ROUND(INDEX(Catalogue!E$4:E$85,MATCH(A845,Catalogue!A$4:A$85,0))*(1+'Paramètres'!$B$4*(C845-1)+'Paramètres'!$B$5*(C845-1)^2),0)</x:f>
        <x:v>7</x:v>
      </x:c>
      <x:c r="R845" t="n">
        <x:f>ROUND(INDEX(Catalogue!F$4:F$85,MATCH(A845,Catalogue!A$4:A$85,0))*(1+'Paramètres'!$B$4*(C845-1)+'Paramètres'!$B$5*(C845-1)^2),0)</x:f>
        <x:v>12</x:v>
      </x:c>
      <x:c r="S845" t="n">
        <x:f>L845-AVERAGE(Q845:R845)</x:f>
        <x:v>0</x:v>
      </x:c>
      <x:c r="T845" t="str">
        <x:f>IF(M845=0,IF(AND(N845=0,O845=0,E845=0,F845=0),"OK","ERREUR"),IF(AND(M845&gt;=1,M845&lt;=32,OR(N845=4,N845=6,N845=8,N845=10,N845=12,N845=20),O845&gt;=0,E845=M845+O845,F845=M845*N845+O845),"OK","ERREUR"))</x:f>
        <x:v>OK</x:v>
      </x:c>
      <x:c r="U845" s="86" t="n">
        <x:f>IF(M845&gt;0,M845*(N845+1)/2+O845,0)</x:f>
        <x:v>9.5</x:v>
      </x:c>
      <x:c r="V845" t="str">
        <x:f>IF(ABS(L845-U845)&lt;0.001,"OK","ERREUR")</x:f>
        <x:v>OK</x:v>
      </x:c>
    </x:row>
    <x:row r="846" ht="18" customHeight="1">
      <x:c r="A846" t="str">
        <x:v>ARM043</x:v>
      </x:c>
      <x:c r="B846" t="str">
        <x:v>Glaive d'hast</x:v>
      </x:c>
      <x:c r="C846" t="n">
        <x:v>3</x:v>
      </x:c>
      <x:c r="D846" t="str">
        <x:v>Armes d'hast</x:v>
      </x:c>
      <x:c r="E846" s="28" t="n">
        <x:f>IF(M846=0,0,M846+O846)</x:f>
        <x:v>9</x:v>
      </x:c>
      <x:c r="F846" s="28" t="n">
        <x:f>IF(M846=0,0,M846*N846+O846)</x:f>
        <x:v>14</x:v>
      </x:c>
      <x:c r="G846" s="28" t="n">
        <x:f>ROUND(Catalogue!G46*SQRT((1+'Paramètres'!$B$4*(C846-1)+'Paramètres'!$B$5*(C846-1)^2)),0)</x:f>
        <x:v>0</x:v>
      </x:c>
      <x:c r="H846" s="28" t="n">
        <x:f>ROUND(Catalogue!H46*SQRT((1+'Paramètres'!$B$4*(C846-1)+'Paramètres'!$B$5*(C846-1)^2)),0)</x:f>
        <x:v>0</x:v>
      </x:c>
      <x:c r="I846" s="28" t="n">
        <x:v>3</x:v>
      </x:c>
      <x:c r="J846" s="28" t="n">
        <x:v>2</x:v>
      </x:c>
      <x:c r="K846" s="30" t="n">
        <x:v>3.8</x:v>
      </x:c>
      <x:c r="L846" s="54" t="n">
        <x:f>IF(M846=0,0,(E846+F846)/2)</x:f>
        <x:v>11.5</x:v>
      </x:c>
      <x:c r="M846" t="n">
        <x:v>1</x:v>
      </x:c>
      <x:c r="N846" t="n">
        <x:v>6</x:v>
      </x:c>
      <x:c r="O846" t="n">
        <x:v>8</x:v>
      </x:c>
      <x:c r="P846" s="63" t="str">
        <x:f>IF(M846=0,"—",M846&amp;"d"&amp;N846&amp;IF(O846=0,""," + "&amp;O846))</x:f>
        <x:v>1d6 + 8</x:v>
      </x:c>
      <x:c r="Q846" t="n">
        <x:f>ROUND(INDEX(Catalogue!E$4:E$85,MATCH(A846,Catalogue!A$4:A$85,0))*(1+'Paramètres'!$B$4*(C846-1)+'Paramètres'!$B$5*(C846-1)^2),0)</x:f>
        <x:v>8</x:v>
      </x:c>
      <x:c r="R846" t="n">
        <x:f>ROUND(INDEX(Catalogue!F$4:F$85,MATCH(A846,Catalogue!A$4:A$85,0))*(1+'Paramètres'!$B$4*(C846-1)+'Paramètres'!$B$5*(C846-1)^2),0)</x:f>
        <x:v>14</x:v>
      </x:c>
      <x:c r="S846" t="n">
        <x:f>L846-AVERAGE(Q846:R846)</x:f>
        <x:v>0.5</x:v>
      </x:c>
      <x:c r="T846" t="str">
        <x:f>IF(M846=0,IF(AND(N846=0,O846=0,E846=0,F846=0),"OK","ERREUR"),IF(AND(M846&gt;=1,M846&lt;=32,OR(N846=4,N846=6,N846=8,N846=10,N846=12,N846=20),O846&gt;=0,E846=M846+O846,F846=M846*N846+O846),"OK","ERREUR"))</x:f>
        <x:v>OK</x:v>
      </x:c>
      <x:c r="U846" s="86" t="n">
        <x:f>IF(M846&gt;0,M846*(N846+1)/2+O846,0)</x:f>
        <x:v>11.5</x:v>
      </x:c>
      <x:c r="V846" t="str">
        <x:f>IF(ABS(L846-U846)&lt;0.001,"OK","ERREUR")</x:f>
        <x:v>OK</x:v>
      </x:c>
    </x:row>
    <x:row r="847" ht="18" customHeight="1">
      <x:c r="A847" t="str">
        <x:v>ARM043</x:v>
      </x:c>
      <x:c r="B847" t="str">
        <x:v>Glaive d'hast</x:v>
      </x:c>
      <x:c r="C847" t="n">
        <x:v>4</x:v>
      </x:c>
      <x:c r="D847" t="str">
        <x:v>Armes d'hast</x:v>
      </x:c>
      <x:c r="E847" s="28" t="n">
        <x:f>IF(M847=0,0,M847+O847)</x:f>
        <x:v>9</x:v>
      </x:c>
      <x:c r="F847" s="28" t="n">
        <x:f>IF(M847=0,0,M847*N847+O847)</x:f>
        <x:v>16</x:v>
      </x:c>
      <x:c r="G847" s="28" t="n">
        <x:f>ROUND(Catalogue!G46*SQRT((1+'Paramètres'!$B$4*(C847-1)+'Paramètres'!$B$5*(C847-1)^2)),0)</x:f>
        <x:v>0</x:v>
      </x:c>
      <x:c r="H847" s="28" t="n">
        <x:f>ROUND(Catalogue!H46*SQRT((1+'Paramètres'!$B$4*(C847-1)+'Paramètres'!$B$5*(C847-1)^2)),0)</x:f>
        <x:v>0</x:v>
      </x:c>
      <x:c r="I847" s="28" t="n">
        <x:v>3</x:v>
      </x:c>
      <x:c r="J847" s="28" t="n">
        <x:v>2</x:v>
      </x:c>
      <x:c r="K847" s="30" t="n">
        <x:v>3.8</x:v>
      </x:c>
      <x:c r="L847" s="54" t="n">
        <x:f>IF(M847=0,0,(E847+F847)/2)</x:f>
        <x:v>12.5</x:v>
      </x:c>
      <x:c r="M847" t="n">
        <x:v>1</x:v>
      </x:c>
      <x:c r="N847" t="n">
        <x:v>8</x:v>
      </x:c>
      <x:c r="O847" t="n">
        <x:v>8</x:v>
      </x:c>
      <x:c r="P847" s="63" t="str">
        <x:f>IF(M847=0,"—",M847&amp;"d"&amp;N847&amp;IF(O847=0,""," + "&amp;O847))</x:f>
        <x:v>1d8 + 8</x:v>
      </x:c>
      <x:c r="Q847" t="n">
        <x:f>ROUND(INDEX(Catalogue!E$4:E$85,MATCH(A847,Catalogue!A$4:A$85,0))*(1+'Paramètres'!$B$4*(C847-1)+'Paramètres'!$B$5*(C847-1)^2),0)</x:f>
        <x:v>9</x:v>
      </x:c>
      <x:c r="R847" t="n">
        <x:f>ROUND(INDEX(Catalogue!F$4:F$85,MATCH(A847,Catalogue!A$4:A$85,0))*(1+'Paramètres'!$B$4*(C847-1)+'Paramètres'!$B$5*(C847-1)^2),0)</x:f>
        <x:v>16</x:v>
      </x:c>
      <x:c r="S847" t="n">
        <x:f>L847-AVERAGE(Q847:R847)</x:f>
        <x:v>0</x:v>
      </x:c>
      <x:c r="T847" t="str">
        <x:f>IF(M847=0,IF(AND(N847=0,O847=0,E847=0,F847=0),"OK","ERREUR"),IF(AND(M847&gt;=1,M847&lt;=32,OR(N847=4,N847=6,N847=8,N847=10,N847=12,N847=20),O847&gt;=0,E847=M847+O847,F847=M847*N847+O847),"OK","ERREUR"))</x:f>
        <x:v>OK</x:v>
      </x:c>
      <x:c r="U847" s="86" t="n">
        <x:f>IF(M847&gt;0,M847*(N847+1)/2+O847,0)</x:f>
        <x:v>12.5</x:v>
      </x:c>
      <x:c r="V847" t="str">
        <x:f>IF(ABS(L847-U847)&lt;0.001,"OK","ERREUR")</x:f>
        <x:v>OK</x:v>
      </x:c>
    </x:row>
    <x:row r="848" ht="18" customHeight="1">
      <x:c r="A848" t="str">
        <x:v>ARM043</x:v>
      </x:c>
      <x:c r="B848" t="str">
        <x:v>Glaive d'hast</x:v>
      </x:c>
      <x:c r="C848" t="n">
        <x:v>5</x:v>
      </x:c>
      <x:c r="D848" t="str">
        <x:v>Armes d'hast</x:v>
      </x:c>
      <x:c r="E848" s="28" t="n">
        <x:f>IF(M848=0,0,M848+O848)</x:f>
        <x:v>10</x:v>
      </x:c>
      <x:c r="F848" s="28" t="n">
        <x:f>IF(M848=0,0,M848*N848+O848)</x:f>
        <x:v>19</x:v>
      </x:c>
      <x:c r="G848" s="28" t="n">
        <x:f>ROUND(Catalogue!G46*SQRT((1+'Paramètres'!$B$4*(C848-1)+'Paramètres'!$B$5*(C848-1)^2)),0)</x:f>
        <x:v>0</x:v>
      </x:c>
      <x:c r="H848" s="28" t="n">
        <x:f>ROUND(Catalogue!H46*SQRT((1+'Paramètres'!$B$4*(C848-1)+'Paramètres'!$B$5*(C848-1)^2)),0)</x:f>
        <x:v>0</x:v>
      </x:c>
      <x:c r="I848" s="28" t="n">
        <x:v>3</x:v>
      </x:c>
      <x:c r="J848" s="28" t="n">
        <x:v>2</x:v>
      </x:c>
      <x:c r="K848" s="30" t="n">
        <x:v>3.8</x:v>
      </x:c>
      <x:c r="L848" s="54" t="n">
        <x:f>IF(M848=0,0,(E848+F848)/2)</x:f>
        <x:v>14.5</x:v>
      </x:c>
      <x:c r="M848" t="n">
        <x:v>1</x:v>
      </x:c>
      <x:c r="N848" t="n">
        <x:v>10</x:v>
      </x:c>
      <x:c r="O848" t="n">
        <x:v>9</x:v>
      </x:c>
      <x:c r="P848" s="63" t="str">
        <x:f>IF(M848=0,"—",M848&amp;"d"&amp;N848&amp;IF(O848=0,""," + "&amp;O848))</x:f>
        <x:v>1d10 + 9</x:v>
      </x:c>
      <x:c r="Q848" t="n">
        <x:f>ROUND(INDEX(Catalogue!E$4:E$85,MATCH(A848,Catalogue!A$4:A$85,0))*(1+'Paramètres'!$B$4*(C848-1)+'Paramètres'!$B$5*(C848-1)^2),0)</x:f>
        <x:v>10</x:v>
      </x:c>
      <x:c r="R848" t="n">
        <x:f>ROUND(INDEX(Catalogue!F$4:F$85,MATCH(A848,Catalogue!A$4:A$85,0))*(1+'Paramètres'!$B$4*(C848-1)+'Paramètres'!$B$5*(C848-1)^2),0)</x:f>
        <x:v>19</x:v>
      </x:c>
      <x:c r="S848" t="n">
        <x:f>L848-AVERAGE(Q848:R848)</x:f>
        <x:v>0</x:v>
      </x:c>
      <x:c r="T848" t="str">
        <x:f>IF(M848=0,IF(AND(N848=0,O848=0,E848=0,F848=0),"OK","ERREUR"),IF(AND(M848&gt;=1,M848&lt;=32,OR(N848=4,N848=6,N848=8,N848=10,N848=12,N848=20),O848&gt;=0,E848=M848+O848,F848=M848*N848+O848),"OK","ERREUR"))</x:f>
        <x:v>OK</x:v>
      </x:c>
      <x:c r="U848" s="86" t="n">
        <x:f>IF(M848&gt;0,M848*(N848+1)/2+O848,0)</x:f>
        <x:v>14.5</x:v>
      </x:c>
      <x:c r="V848" t="str">
        <x:f>IF(ABS(L848-U848)&lt;0.001,"OK","ERREUR")</x:f>
        <x:v>OK</x:v>
      </x:c>
    </x:row>
    <x:row r="849" ht="18" customHeight="1">
      <x:c r="A849" t="str">
        <x:v>ARM043</x:v>
      </x:c>
      <x:c r="B849" t="str">
        <x:v>Glaive d'hast</x:v>
      </x:c>
      <x:c r="C849" t="n">
        <x:v>6</x:v>
      </x:c>
      <x:c r="D849" t="str">
        <x:v>Armes d'hast</x:v>
      </x:c>
      <x:c r="E849" s="28" t="n">
        <x:f>IF(M849=0,0,M849+O849)</x:f>
        <x:v>12</x:v>
      </x:c>
      <x:c r="F849" s="28" t="n">
        <x:f>IF(M849=0,0,M849*N849+O849)</x:f>
        <x:v>21</x:v>
      </x:c>
      <x:c r="G849" s="28" t="n">
        <x:f>ROUND(Catalogue!G46*SQRT((1+'Paramètres'!$B$4*(C849-1)+'Paramètres'!$B$5*(C849-1)^2)),0)</x:f>
        <x:v>0</x:v>
      </x:c>
      <x:c r="H849" s="28" t="n">
        <x:f>ROUND(Catalogue!H46*SQRT((1+'Paramètres'!$B$4*(C849-1)+'Paramètres'!$B$5*(C849-1)^2)),0)</x:f>
        <x:v>0</x:v>
      </x:c>
      <x:c r="I849" s="28" t="n">
        <x:v>3</x:v>
      </x:c>
      <x:c r="J849" s="28" t="n">
        <x:v>2</x:v>
      </x:c>
      <x:c r="K849" s="30" t="n">
        <x:v>3.8</x:v>
      </x:c>
      <x:c r="L849" s="54" t="n">
        <x:f>IF(M849=0,0,(E849+F849)/2)</x:f>
        <x:v>16.5</x:v>
      </x:c>
      <x:c r="M849" t="n">
        <x:v>1</x:v>
      </x:c>
      <x:c r="N849" t="n">
        <x:v>10</x:v>
      </x:c>
      <x:c r="O849" t="n">
        <x:v>11</x:v>
      </x:c>
      <x:c r="P849" s="63" t="str">
        <x:f>IF(M849=0,"—",M849&amp;"d"&amp;N849&amp;IF(O849=0,""," + "&amp;O849))</x:f>
        <x:v>1d10 + 11</x:v>
      </x:c>
      <x:c r="Q849" t="n">
        <x:f>ROUND(INDEX(Catalogue!E$4:E$85,MATCH(A849,Catalogue!A$4:A$85,0))*(1+'Paramètres'!$B$4*(C849-1)+'Paramètres'!$B$5*(C849-1)^2),0)</x:f>
        <x:v>12</x:v>
      </x:c>
      <x:c r="R849" t="n">
        <x:f>ROUND(INDEX(Catalogue!F$4:F$85,MATCH(A849,Catalogue!A$4:A$85,0))*(1+'Paramètres'!$B$4*(C849-1)+'Paramètres'!$B$5*(C849-1)^2),0)</x:f>
        <x:v>21</x:v>
      </x:c>
      <x:c r="S849" t="n">
        <x:f>L849-AVERAGE(Q849:R849)</x:f>
        <x:v>0</x:v>
      </x:c>
      <x:c r="T849" t="str">
        <x:f>IF(M849=0,IF(AND(N849=0,O849=0,E849=0,F849=0),"OK","ERREUR"),IF(AND(M849&gt;=1,M849&lt;=32,OR(N849=4,N849=6,N849=8,N849=10,N849=12,N849=20),O849&gt;=0,E849=M849+O849,F849=M849*N849+O849),"OK","ERREUR"))</x:f>
        <x:v>OK</x:v>
      </x:c>
      <x:c r="U849" s="86" t="n">
        <x:f>IF(M849&gt;0,M849*(N849+1)/2+O849,0)</x:f>
        <x:v>16.5</x:v>
      </x:c>
      <x:c r="V849" t="str">
        <x:f>IF(ABS(L849-U849)&lt;0.001,"OK","ERREUR")</x:f>
        <x:v>OK</x:v>
      </x:c>
    </x:row>
    <x:row r="850" ht="18" customHeight="1">
      <x:c r="A850" t="str">
        <x:v>ARM043</x:v>
      </x:c>
      <x:c r="B850" t="str">
        <x:v>Glaive d'hast</x:v>
      </x:c>
      <x:c r="C850" t="n">
        <x:v>7</x:v>
      </x:c>
      <x:c r="D850" t="str">
        <x:v>Armes d'hast</x:v>
      </x:c>
      <x:c r="E850" s="28" t="n">
        <x:f>IF(M850=0,0,M850+O850)</x:f>
        <x:v>13</x:v>
      </x:c>
      <x:c r="F850" s="28" t="n">
        <x:f>IF(M850=0,0,M850*N850+O850)</x:f>
        <x:v>24</x:v>
      </x:c>
      <x:c r="G850" s="28" t="n">
        <x:f>ROUND(Catalogue!G46*SQRT((1+'Paramètres'!$B$4*(C850-1)+'Paramètres'!$B$5*(C850-1)^2)),0)</x:f>
        <x:v>0</x:v>
      </x:c>
      <x:c r="H850" s="28" t="n">
        <x:f>ROUND(Catalogue!H46*SQRT((1+'Paramètres'!$B$4*(C850-1)+'Paramètres'!$B$5*(C850-1)^2)),0)</x:f>
        <x:v>0</x:v>
      </x:c>
      <x:c r="I850" s="28" t="n">
        <x:v>3</x:v>
      </x:c>
      <x:c r="J850" s="28" t="n">
        <x:v>2</x:v>
      </x:c>
      <x:c r="K850" s="30" t="n">
        <x:v>3.8</x:v>
      </x:c>
      <x:c r="L850" s="54" t="n">
        <x:f>IF(M850=0,0,(E850+F850)/2)</x:f>
        <x:v>18.5</x:v>
      </x:c>
      <x:c r="M850" t="n">
        <x:v>1</x:v>
      </x:c>
      <x:c r="N850" t="n">
        <x:v>12</x:v>
      </x:c>
      <x:c r="O850" t="n">
        <x:v>12</x:v>
      </x:c>
      <x:c r="P850" s="63" t="str">
        <x:f>IF(M850=0,"—",M850&amp;"d"&amp;N850&amp;IF(O850=0,""," + "&amp;O850))</x:f>
        <x:v>1d12 + 12</x:v>
      </x:c>
      <x:c r="Q850" t="n">
        <x:f>ROUND(INDEX(Catalogue!E$4:E$85,MATCH(A850,Catalogue!A$4:A$85,0))*(1+'Paramètres'!$B$4*(C850-1)+'Paramètres'!$B$5*(C850-1)^2),0)</x:f>
        <x:v>13</x:v>
      </x:c>
      <x:c r="R850" t="n">
        <x:f>ROUND(INDEX(Catalogue!F$4:F$85,MATCH(A850,Catalogue!A$4:A$85,0))*(1+'Paramètres'!$B$4*(C850-1)+'Paramètres'!$B$5*(C850-1)^2),0)</x:f>
        <x:v>25</x:v>
      </x:c>
      <x:c r="S850" t="n">
        <x:f>L850-AVERAGE(Q850:R850)</x:f>
        <x:v>-0.5</x:v>
      </x:c>
      <x:c r="T850" t="str">
        <x:f>IF(M850=0,IF(AND(N850=0,O850=0,E850=0,F850=0),"OK","ERREUR"),IF(AND(M850&gt;=1,M850&lt;=32,OR(N850=4,N850=6,N850=8,N850=10,N850=12,N850=20),O850&gt;=0,E850=M850+O850,F850=M850*N850+O850),"OK","ERREUR"))</x:f>
        <x:v>OK</x:v>
      </x:c>
      <x:c r="U850" s="86" t="n">
        <x:f>IF(M850&gt;0,M850*(N850+1)/2+O850,0)</x:f>
        <x:v>18.5</x:v>
      </x:c>
      <x:c r="V850" t="str">
        <x:f>IF(ABS(L850-U850)&lt;0.001,"OK","ERREUR")</x:f>
        <x:v>OK</x:v>
      </x:c>
    </x:row>
    <x:row r="851" ht="18" customHeight="1">
      <x:c r="A851" t="str">
        <x:v>ARM043</x:v>
      </x:c>
      <x:c r="B851" t="str">
        <x:v>Glaive d'hast</x:v>
      </x:c>
      <x:c r="C851" t="n">
        <x:v>8</x:v>
      </x:c>
      <x:c r="D851" t="str">
        <x:v>Armes d'hast</x:v>
      </x:c>
      <x:c r="E851" s="28" t="n">
        <x:f>IF(M851=0,0,M851+O851)</x:f>
        <x:v>14</x:v>
      </x:c>
      <x:c r="F851" s="28" t="n">
        <x:f>IF(M851=0,0,M851*N851+O851)</x:f>
        <x:v>28</x:v>
      </x:c>
      <x:c r="G851" s="28" t="n">
        <x:f>ROUND(Catalogue!G46*SQRT((1+'Paramètres'!$B$4*(C851-1)+'Paramètres'!$B$5*(C851-1)^2)),0)</x:f>
        <x:v>0</x:v>
      </x:c>
      <x:c r="H851" s="28" t="n">
        <x:f>ROUND(Catalogue!H46*SQRT((1+'Paramètres'!$B$4*(C851-1)+'Paramètres'!$B$5*(C851-1)^2)),0)</x:f>
        <x:v>0</x:v>
      </x:c>
      <x:c r="I851" s="28" t="n">
        <x:v>3</x:v>
      </x:c>
      <x:c r="J851" s="28" t="n">
        <x:v>2</x:v>
      </x:c>
      <x:c r="K851" s="30" t="n">
        <x:v>3.8</x:v>
      </x:c>
      <x:c r="L851" s="54" t="n">
        <x:f>IF(M851=0,0,(E851+F851)/2)</x:f>
        <x:v>21</x:v>
      </x:c>
      <x:c r="M851" t="n">
        <x:v>2</x:v>
      </x:c>
      <x:c r="N851" t="n">
        <x:v>8</x:v>
      </x:c>
      <x:c r="O851" t="n">
        <x:v>12</x:v>
      </x:c>
      <x:c r="P851" s="63" t="str">
        <x:f>IF(M851=0,"—",M851&amp;"d"&amp;N851&amp;IF(O851=0,""," + "&amp;O851))</x:f>
        <x:v>2d8 + 12</x:v>
      </x:c>
      <x:c r="Q851" t="n">
        <x:f>ROUND(INDEX(Catalogue!E$4:E$85,MATCH(A851,Catalogue!A$4:A$85,0))*(1+'Paramètres'!$B$4*(C851-1)+'Paramètres'!$B$5*(C851-1)^2),0)</x:f>
        <x:v>15</x:v>
      </x:c>
      <x:c r="R851" t="n">
        <x:f>ROUND(INDEX(Catalogue!F$4:F$85,MATCH(A851,Catalogue!A$4:A$85,0))*(1+'Paramètres'!$B$4*(C851-1)+'Paramètres'!$B$5*(C851-1)^2),0)</x:f>
        <x:v>28</x:v>
      </x:c>
      <x:c r="S851" t="n">
        <x:f>L851-AVERAGE(Q851:R851)</x:f>
        <x:v>-0.5</x:v>
      </x:c>
      <x:c r="T851" t="str">
        <x:f>IF(M851=0,IF(AND(N851=0,O851=0,E851=0,F851=0),"OK","ERREUR"),IF(AND(M851&gt;=1,M851&lt;=32,OR(N851=4,N851=6,N851=8,N851=10,N851=12,N851=20),O851&gt;=0,E851=M851+O851,F851=M851*N851+O851),"OK","ERREUR"))</x:f>
        <x:v>OK</x:v>
      </x:c>
      <x:c r="U851" s="86" t="n">
        <x:f>IF(M851&gt;0,M851*(N851+1)/2+O851,0)</x:f>
        <x:v>21</x:v>
      </x:c>
      <x:c r="V851" t="str">
        <x:f>IF(ABS(L851-U851)&lt;0.001,"OK","ERREUR")</x:f>
        <x:v>OK</x:v>
      </x:c>
    </x:row>
    <x:row r="852" ht="18" customHeight="1">
      <x:c r="A852" t="str">
        <x:v>ARM043</x:v>
      </x:c>
      <x:c r="B852" t="str">
        <x:v>Glaive d'hast</x:v>
      </x:c>
      <x:c r="C852" t="n">
        <x:v>9</x:v>
      </x:c>
      <x:c r="D852" t="str">
        <x:v>Armes d'hast</x:v>
      </x:c>
      <x:c r="E852" s="28" t="n">
        <x:f>IF(M852=0,0,M852+O852)</x:f>
        <x:v>17</x:v>
      </x:c>
      <x:c r="F852" s="28" t="n">
        <x:f>IF(M852=0,0,M852*N852+O852)</x:f>
        <x:v>32</x:v>
      </x:c>
      <x:c r="G852" s="28" t="n">
        <x:f>ROUND(Catalogue!G46*SQRT((1+'Paramètres'!$B$4*(C852-1)+'Paramètres'!$B$5*(C852-1)^2)),0)</x:f>
        <x:v>0</x:v>
      </x:c>
      <x:c r="H852" s="28" t="n">
        <x:f>ROUND(Catalogue!H46*SQRT((1+'Paramètres'!$B$4*(C852-1)+'Paramètres'!$B$5*(C852-1)^2)),0)</x:f>
        <x:v>0</x:v>
      </x:c>
      <x:c r="I852" s="28" t="n">
        <x:v>3</x:v>
      </x:c>
      <x:c r="J852" s="28" t="n">
        <x:v>2</x:v>
      </x:c>
      <x:c r="K852" s="30" t="n">
        <x:v>3.8</x:v>
      </x:c>
      <x:c r="L852" s="54" t="n">
        <x:f>IF(M852=0,0,(E852+F852)/2)</x:f>
        <x:v>24.5</x:v>
      </x:c>
      <x:c r="M852" t="n">
        <x:v>3</x:v>
      </x:c>
      <x:c r="N852" t="n">
        <x:v>6</x:v>
      </x:c>
      <x:c r="O852" t="n">
        <x:v>14</x:v>
      </x:c>
      <x:c r="P852" s="63" t="str">
        <x:f>IF(M852=0,"—",M852&amp;"d"&amp;N852&amp;IF(O852=0,""," + "&amp;O852))</x:f>
        <x:v>3d6 + 14</x:v>
      </x:c>
      <x:c r="Q852" t="n">
        <x:f>ROUND(INDEX(Catalogue!E$4:E$85,MATCH(A852,Catalogue!A$4:A$85,0))*(1+'Paramètres'!$B$4*(C852-1)+'Paramètres'!$B$5*(C852-1)^2),0)</x:f>
        <x:v>17</x:v>
      </x:c>
      <x:c r="R852" t="n">
        <x:f>ROUND(INDEX(Catalogue!F$4:F$85,MATCH(A852,Catalogue!A$4:A$85,0))*(1+'Paramètres'!$B$4*(C852-1)+'Paramètres'!$B$5*(C852-1)^2),0)</x:f>
        <x:v>32</x:v>
      </x:c>
      <x:c r="S852" t="n">
        <x:f>L852-AVERAGE(Q852:R852)</x:f>
        <x:v>0</x:v>
      </x:c>
      <x:c r="T852" t="str">
        <x:f>IF(M852=0,IF(AND(N852=0,O852=0,E852=0,F852=0),"OK","ERREUR"),IF(AND(M852&gt;=1,M852&lt;=32,OR(N852=4,N852=6,N852=8,N852=10,N852=12,N852=20),O852&gt;=0,E852=M852+O852,F852=M852*N852+O852),"OK","ERREUR"))</x:f>
        <x:v>OK</x:v>
      </x:c>
      <x:c r="U852" s="86" t="n">
        <x:f>IF(M852&gt;0,M852*(N852+1)/2+O852,0)</x:f>
        <x:v>24.5</x:v>
      </x:c>
      <x:c r="V852" t="str">
        <x:f>IF(ABS(L852-U852)&lt;0.001,"OK","ERREUR")</x:f>
        <x:v>OK</x:v>
      </x:c>
    </x:row>
    <x:row r="853" ht="18" customHeight="1">
      <x:c r="A853" t="str">
        <x:v>ARM043</x:v>
      </x:c>
      <x:c r="B853" t="str">
        <x:v>Glaive d'hast</x:v>
      </x:c>
      <x:c r="C853" t="n">
        <x:v>10</x:v>
      </x:c>
      <x:c r="D853" t="str">
        <x:v>Armes d'hast</x:v>
      </x:c>
      <x:c r="E853" s="28" t="n">
        <x:f>IF(M853=0,0,M853+O853)</x:f>
        <x:v>20</x:v>
      </x:c>
      <x:c r="F853" s="28" t="n">
        <x:f>IF(M853=0,0,M853*N853+O853)</x:f>
        <x:v>35</x:v>
      </x:c>
      <x:c r="G853" s="28" t="n">
        <x:f>ROUND(Catalogue!G46*SQRT((1+'Paramètres'!$B$4*(C853-1)+'Paramètres'!$B$5*(C853-1)^2)),0)</x:f>
        <x:v>0</x:v>
      </x:c>
      <x:c r="H853" s="28" t="n">
        <x:f>ROUND(Catalogue!H46*SQRT((1+'Paramètres'!$B$4*(C853-1)+'Paramètres'!$B$5*(C853-1)^2)),0)</x:f>
        <x:v>0</x:v>
      </x:c>
      <x:c r="I853" s="28" t="n">
        <x:v>3</x:v>
      </x:c>
      <x:c r="J853" s="28" t="n">
        <x:v>2</x:v>
      </x:c>
      <x:c r="K853" s="30" t="n">
        <x:v>3.8</x:v>
      </x:c>
      <x:c r="L853" s="54" t="n">
        <x:f>IF(M853=0,0,(E853+F853)/2)</x:f>
        <x:v>27.5</x:v>
      </x:c>
      <x:c r="M853" t="n">
        <x:v>3</x:v>
      </x:c>
      <x:c r="N853" t="n">
        <x:v>6</x:v>
      </x:c>
      <x:c r="O853" t="n">
        <x:v>17</x:v>
      </x:c>
      <x:c r="P853" s="63" t="str">
        <x:f>IF(M853=0,"—",M853&amp;"d"&amp;N853&amp;IF(O853=0,""," + "&amp;O853))</x:f>
        <x:v>3d6 + 17</x:v>
      </x:c>
      <x:c r="Q853" t="n">
        <x:f>ROUND(INDEX(Catalogue!E$4:E$85,MATCH(A853,Catalogue!A$4:A$85,0))*(1+'Paramètres'!$B$4*(C853-1)+'Paramètres'!$B$5*(C853-1)^2),0)</x:f>
        <x:v>20</x:v>
      </x:c>
      <x:c r="R853" t="n">
        <x:f>ROUND(INDEX(Catalogue!F$4:F$85,MATCH(A853,Catalogue!A$4:A$85,0))*(1+'Paramètres'!$B$4*(C853-1)+'Paramètres'!$B$5*(C853-1)^2),0)</x:f>
        <x:v>36</x:v>
      </x:c>
      <x:c r="S853" t="n">
        <x:f>L853-AVERAGE(Q853:R853)</x:f>
        <x:v>-0.5</x:v>
      </x:c>
      <x:c r="T853" t="str">
        <x:f>IF(M853=0,IF(AND(N853=0,O853=0,E853=0,F853=0),"OK","ERREUR"),IF(AND(M853&gt;=1,M853&lt;=32,OR(N853=4,N853=6,N853=8,N853=10,N853=12,N853=20),O853&gt;=0,E853=M853+O853,F853=M853*N853+O853),"OK","ERREUR"))</x:f>
        <x:v>OK</x:v>
      </x:c>
      <x:c r="U853" s="86" t="n">
        <x:f>IF(M853&gt;0,M853*(N853+1)/2+O853,0)</x:f>
        <x:v>27.5</x:v>
      </x:c>
      <x:c r="V853" t="str">
        <x:f>IF(ABS(L853-U853)&lt;0.001,"OK","ERREUR")</x:f>
        <x:v>OK</x:v>
      </x:c>
    </x:row>
    <x:row r="854" ht="18" customHeight="1">
      <x:c r="A854" t="str">
        <x:v>ARM043</x:v>
      </x:c>
      <x:c r="B854" t="str">
        <x:v>Glaive d'hast</x:v>
      </x:c>
      <x:c r="C854" t="n">
        <x:v>11</x:v>
      </x:c>
      <x:c r="D854" t="str">
        <x:v>Armes d'hast</x:v>
      </x:c>
      <x:c r="E854" s="28" t="n">
        <x:f>IF(M854=0,0,M854+O854)</x:f>
        <x:v>22</x:v>
      </x:c>
      <x:c r="F854" s="28" t="n">
        <x:f>IF(M854=0,0,M854*N854+O854)</x:f>
        <x:v>40</x:v>
      </x:c>
      <x:c r="G854" s="28" t="n">
        <x:f>ROUND(Catalogue!G46*SQRT((1+'Paramètres'!$B$4*(C854-1)+'Paramètres'!$B$5*(C854-1)^2)),0)</x:f>
        <x:v>0</x:v>
      </x:c>
      <x:c r="H854" s="28" t="n">
        <x:f>ROUND(Catalogue!H46*SQRT((1+'Paramètres'!$B$4*(C854-1)+'Paramètres'!$B$5*(C854-1)^2)),0)</x:f>
        <x:v>0</x:v>
      </x:c>
      <x:c r="I854" s="28" t="n">
        <x:v>3</x:v>
      </x:c>
      <x:c r="J854" s="28" t="n">
        <x:v>2</x:v>
      </x:c>
      <x:c r="K854" s="30" t="n">
        <x:v>3.8</x:v>
      </x:c>
      <x:c r="L854" s="54" t="n">
        <x:f>IF(M854=0,0,(E854+F854)/2)</x:f>
        <x:v>31</x:v>
      </x:c>
      <x:c r="M854" t="n">
        <x:v>2</x:v>
      </x:c>
      <x:c r="N854" t="n">
        <x:v>10</x:v>
      </x:c>
      <x:c r="O854" t="n">
        <x:v>20</x:v>
      </x:c>
      <x:c r="P854" s="63" t="str">
        <x:f>IF(M854=0,"—",M854&amp;"d"&amp;N854&amp;IF(O854=0,""," + "&amp;O854))</x:f>
        <x:v>2d10 + 20</x:v>
      </x:c>
      <x:c r="Q854" t="n">
        <x:f>ROUND(INDEX(Catalogue!E$4:E$85,MATCH(A854,Catalogue!A$4:A$85,0))*(1+'Paramètres'!$B$4*(C854-1)+'Paramètres'!$B$5*(C854-1)^2),0)</x:f>
        <x:v>22</x:v>
      </x:c>
      <x:c r="R854" t="n">
        <x:f>ROUND(INDEX(Catalogue!F$4:F$85,MATCH(A854,Catalogue!A$4:A$85,0))*(1+'Paramètres'!$B$4*(C854-1)+'Paramètres'!$B$5*(C854-1)^2),0)</x:f>
        <x:v>41</x:v>
      </x:c>
      <x:c r="S854" t="n">
        <x:f>L854-AVERAGE(Q854:R854)</x:f>
        <x:v>-0.5</x:v>
      </x:c>
      <x:c r="T854" t="str">
        <x:f>IF(M854=0,IF(AND(N854=0,O854=0,E854=0,F854=0),"OK","ERREUR"),IF(AND(M854&gt;=1,M854&lt;=32,OR(N854=4,N854=6,N854=8,N854=10,N854=12,N854=20),O854&gt;=0,E854=M854+O854,F854=M854*N854+O854),"OK","ERREUR"))</x:f>
        <x:v>OK</x:v>
      </x:c>
      <x:c r="U854" s="86" t="n">
        <x:f>IF(M854&gt;0,M854*(N854+1)/2+O854,0)</x:f>
        <x:v>31</x:v>
      </x:c>
      <x:c r="V854" t="str">
        <x:f>IF(ABS(L854-U854)&lt;0.001,"OK","ERREUR")</x:f>
        <x:v>OK</x:v>
      </x:c>
    </x:row>
    <x:row r="855" ht="18" customHeight="1">
      <x:c r="A855" t="str">
        <x:v>ARM043</x:v>
      </x:c>
      <x:c r="B855" t="str">
        <x:v>Glaive d'hast</x:v>
      </x:c>
      <x:c r="C855" t="n">
        <x:v>12</x:v>
      </x:c>
      <x:c r="D855" t="str">
        <x:v>Armes d'hast</x:v>
      </x:c>
      <x:c r="E855" s="28" t="n">
        <x:f>IF(M855=0,0,M855+O855)</x:f>
        <x:v>25</x:v>
      </x:c>
      <x:c r="F855" s="28" t="n">
        <x:f>IF(M855=0,0,M855*N855+O855)</x:f>
        <x:v>46</x:v>
      </x:c>
      <x:c r="G855" s="28" t="n">
        <x:f>ROUND(Catalogue!G46*SQRT((1+'Paramètres'!$B$4*(C855-1)+'Paramètres'!$B$5*(C855-1)^2)),0)</x:f>
        <x:v>0</x:v>
      </x:c>
      <x:c r="H855" s="28" t="n">
        <x:f>ROUND(Catalogue!H46*SQRT((1+'Paramètres'!$B$4*(C855-1)+'Paramètres'!$B$5*(C855-1)^2)),0)</x:f>
        <x:v>0</x:v>
      </x:c>
      <x:c r="I855" s="28" t="n">
        <x:v>3</x:v>
      </x:c>
      <x:c r="J855" s="28" t="n">
        <x:v>2</x:v>
      </x:c>
      <x:c r="K855" s="30" t="n">
        <x:v>3.8</x:v>
      </x:c>
      <x:c r="L855" s="54" t="n">
        <x:f>IF(M855=0,0,(E855+F855)/2)</x:f>
        <x:v>35.5</x:v>
      </x:c>
      <x:c r="M855" t="n">
        <x:v>3</x:v>
      </x:c>
      <x:c r="N855" t="n">
        <x:v>8</x:v>
      </x:c>
      <x:c r="O855" t="n">
        <x:v>22</x:v>
      </x:c>
      <x:c r="P855" s="63" t="str">
        <x:f>IF(M855=0,"—",M855&amp;"d"&amp;N855&amp;IF(O855=0,""," + "&amp;O855))</x:f>
        <x:v>3d8 + 22</x:v>
      </x:c>
      <x:c r="Q855" t="n">
        <x:f>ROUND(INDEX(Catalogue!E$4:E$85,MATCH(A855,Catalogue!A$4:A$85,0))*(1+'Paramètres'!$B$4*(C855-1)+'Paramètres'!$B$5*(C855-1)^2),0)</x:f>
        <x:v>25</x:v>
      </x:c>
      <x:c r="R855" t="n">
        <x:f>ROUND(INDEX(Catalogue!F$4:F$85,MATCH(A855,Catalogue!A$4:A$85,0))*(1+'Paramètres'!$B$4*(C855-1)+'Paramètres'!$B$5*(C855-1)^2),0)</x:f>
        <x:v>46</x:v>
      </x:c>
      <x:c r="S855" t="n">
        <x:f>L855-AVERAGE(Q855:R855)</x:f>
        <x:v>0</x:v>
      </x:c>
      <x:c r="T855" t="str">
        <x:f>IF(M855=0,IF(AND(N855=0,O855=0,E855=0,F855=0),"OK","ERREUR"),IF(AND(M855&gt;=1,M855&lt;=32,OR(N855=4,N855=6,N855=8,N855=10,N855=12,N855=20),O855&gt;=0,E855=M855+O855,F855=M855*N855+O855),"OK","ERREUR"))</x:f>
        <x:v>OK</x:v>
      </x:c>
      <x:c r="U855" s="86" t="n">
        <x:f>IF(M855&gt;0,M855*(N855+1)/2+O855,0)</x:f>
        <x:v>35.5</x:v>
      </x:c>
      <x:c r="V855" t="str">
        <x:f>IF(ABS(L855-U855)&lt;0.001,"OK","ERREUR")</x:f>
        <x:v>OK</x:v>
      </x:c>
    </x:row>
    <x:row r="856" ht="18" customHeight="1">
      <x:c r="A856" t="str">
        <x:v>ARM043</x:v>
      </x:c>
      <x:c r="B856" t="str">
        <x:v>Glaive d'hast</x:v>
      </x:c>
      <x:c r="C856" t="n">
        <x:v>13</x:v>
      </x:c>
      <x:c r="D856" t="str">
        <x:v>Armes d'hast</x:v>
      </x:c>
      <x:c r="E856" s="28" t="n">
        <x:f>IF(M856=0,0,M856+O856)</x:f>
        <x:v>28</x:v>
      </x:c>
      <x:c r="F856" s="28" t="n">
        <x:f>IF(M856=0,0,M856*N856+O856)</x:f>
        <x:v>50</x:v>
      </x:c>
      <x:c r="G856" s="28" t="n">
        <x:f>ROUND(Catalogue!G46*SQRT((1+'Paramètres'!$B$4*(C856-1)+'Paramètres'!$B$5*(C856-1)^2)),0)</x:f>
        <x:v>0</x:v>
      </x:c>
      <x:c r="H856" s="28" t="n">
        <x:f>ROUND(Catalogue!H46*SQRT((1+'Paramètres'!$B$4*(C856-1)+'Paramètres'!$B$5*(C856-1)^2)),0)</x:f>
        <x:v>0</x:v>
      </x:c>
      <x:c r="I856" s="28" t="n">
        <x:v>3</x:v>
      </x:c>
      <x:c r="J856" s="28" t="n">
        <x:v>2</x:v>
      </x:c>
      <x:c r="K856" s="30" t="n">
        <x:v>3.8</x:v>
      </x:c>
      <x:c r="L856" s="54" t="n">
        <x:f>IF(M856=0,0,(E856+F856)/2)</x:f>
        <x:v>39</x:v>
      </x:c>
      <x:c r="M856" t="n">
        <x:v>2</x:v>
      </x:c>
      <x:c r="N856" t="n">
        <x:v>12</x:v>
      </x:c>
      <x:c r="O856" t="n">
        <x:v>26</x:v>
      </x:c>
      <x:c r="P856" s="63" t="str">
        <x:f>IF(M856=0,"—",M856&amp;"d"&amp;N856&amp;IF(O856=0,""," + "&amp;O856))</x:f>
        <x:v>2d12 + 26</x:v>
      </x:c>
      <x:c r="Q856" t="n">
        <x:f>ROUND(INDEX(Catalogue!E$4:E$85,MATCH(A856,Catalogue!A$4:A$85,0))*(1+'Paramètres'!$B$4*(C856-1)+'Paramètres'!$B$5*(C856-1)^2),0)</x:f>
        <x:v>28</x:v>
      </x:c>
      <x:c r="R856" t="n">
        <x:f>ROUND(INDEX(Catalogue!F$4:F$85,MATCH(A856,Catalogue!A$4:A$85,0))*(1+'Paramètres'!$B$4*(C856-1)+'Paramètres'!$B$5*(C856-1)^2),0)</x:f>
        <x:v>51</x:v>
      </x:c>
      <x:c r="S856" t="n">
        <x:f>L856-AVERAGE(Q856:R856)</x:f>
        <x:v>-0.5</x:v>
      </x:c>
      <x:c r="T856" t="str">
        <x:f>IF(M856=0,IF(AND(N856=0,O856=0,E856=0,F856=0),"OK","ERREUR"),IF(AND(M856&gt;=1,M856&lt;=32,OR(N856=4,N856=6,N856=8,N856=10,N856=12,N856=20),O856&gt;=0,E856=M856+O856,F856=M856*N856+O856),"OK","ERREUR"))</x:f>
        <x:v>OK</x:v>
      </x:c>
      <x:c r="U856" s="86" t="n">
        <x:f>IF(M856&gt;0,M856*(N856+1)/2+O856,0)</x:f>
        <x:v>39</x:v>
      </x:c>
      <x:c r="V856" t="str">
        <x:f>IF(ABS(L856-U856)&lt;0.001,"OK","ERREUR")</x:f>
        <x:v>OK</x:v>
      </x:c>
    </x:row>
    <x:row r="857" ht="18" customHeight="1">
      <x:c r="A857" t="str">
        <x:v>ARM043</x:v>
      </x:c>
      <x:c r="B857" t="str">
        <x:v>Glaive d'hast</x:v>
      </x:c>
      <x:c r="C857" t="n">
        <x:v>14</x:v>
      </x:c>
      <x:c r="D857" t="str">
        <x:v>Armes d'hast</x:v>
      </x:c>
      <x:c r="E857" s="28" t="n">
        <x:f>IF(M857=0,0,M857+O857)</x:f>
        <x:v>31</x:v>
      </x:c>
      <x:c r="F857" s="28" t="n">
        <x:f>IF(M857=0,0,M857*N857+O857)</x:f>
        <x:v>56</x:v>
      </x:c>
      <x:c r="G857" s="28" t="n">
        <x:f>ROUND(Catalogue!G46*SQRT((1+'Paramètres'!$B$4*(C857-1)+'Paramètres'!$B$5*(C857-1)^2)),0)</x:f>
        <x:v>0</x:v>
      </x:c>
      <x:c r="H857" s="28" t="n">
        <x:f>ROUND(Catalogue!H46*SQRT((1+'Paramètres'!$B$4*(C857-1)+'Paramètres'!$B$5*(C857-1)^2)),0)</x:f>
        <x:v>0</x:v>
      </x:c>
      <x:c r="I857" s="28" t="n">
        <x:v>3</x:v>
      </x:c>
      <x:c r="J857" s="28" t="n">
        <x:v>2</x:v>
      </x:c>
      <x:c r="K857" s="30" t="n">
        <x:v>3.8</x:v>
      </x:c>
      <x:c r="L857" s="54" t="n">
        <x:f>IF(M857=0,0,(E857+F857)/2)</x:f>
        <x:v>43.5</x:v>
      </x:c>
      <x:c r="M857" t="n">
        <x:v>5</x:v>
      </x:c>
      <x:c r="N857" t="n">
        <x:v>6</x:v>
      </x:c>
      <x:c r="O857" t="n">
        <x:v>26</x:v>
      </x:c>
      <x:c r="P857" s="63" t="str">
        <x:f>IF(M857=0,"—",M857&amp;"d"&amp;N857&amp;IF(O857=0,""," + "&amp;O857))</x:f>
        <x:v>5d6 + 26</x:v>
      </x:c>
      <x:c r="Q857" t="n">
        <x:f>ROUND(INDEX(Catalogue!E$4:E$85,MATCH(A857,Catalogue!A$4:A$85,0))*(1+'Paramètres'!$B$4*(C857-1)+'Paramètres'!$B$5*(C857-1)^2),0)</x:f>
        <x:v>31</x:v>
      </x:c>
      <x:c r="R857" t="n">
        <x:f>ROUND(INDEX(Catalogue!F$4:F$85,MATCH(A857,Catalogue!A$4:A$85,0))*(1+'Paramètres'!$B$4*(C857-1)+'Paramètres'!$B$5*(C857-1)^2),0)</x:f>
        <x:v>56</x:v>
      </x:c>
      <x:c r="S857" t="n">
        <x:f>L857-AVERAGE(Q857:R857)</x:f>
        <x:v>0</x:v>
      </x:c>
      <x:c r="T857" t="str">
        <x:f>IF(M857=0,IF(AND(N857=0,O857=0,E857=0,F857=0),"OK","ERREUR"),IF(AND(M857&gt;=1,M857&lt;=32,OR(N857=4,N857=6,N857=8,N857=10,N857=12,N857=20),O857&gt;=0,E857=M857+O857,F857=M857*N857+O857),"OK","ERREUR"))</x:f>
        <x:v>OK</x:v>
      </x:c>
      <x:c r="U857" s="86" t="n">
        <x:f>IF(M857&gt;0,M857*(N857+1)/2+O857,0)</x:f>
        <x:v>43.5</x:v>
      </x:c>
      <x:c r="V857" t="str">
        <x:f>IF(ABS(L857-U857)&lt;0.001,"OK","ERREUR")</x:f>
        <x:v>OK</x:v>
      </x:c>
    </x:row>
    <x:row r="858" ht="18" customHeight="1">
      <x:c r="A858" t="str">
        <x:v>ARM043</x:v>
      </x:c>
      <x:c r="B858" t="str">
        <x:v>Glaive d'hast</x:v>
      </x:c>
      <x:c r="C858" t="n">
        <x:v>15</x:v>
      </x:c>
      <x:c r="D858" t="str">
        <x:v>Armes d'hast</x:v>
      </x:c>
      <x:c r="E858" s="28" t="n">
        <x:f>IF(M858=0,0,M858+O858)</x:f>
        <x:v>34</x:v>
      </x:c>
      <x:c r="F858" s="28" t="n">
        <x:f>IF(M858=0,0,M858*N858+O858)</x:f>
        <x:v>62</x:v>
      </x:c>
      <x:c r="G858" s="28" t="n">
        <x:f>ROUND(Catalogue!G46*SQRT((1+'Paramètres'!$B$4*(C858-1)+'Paramètres'!$B$5*(C858-1)^2)),0)</x:f>
        <x:v>0</x:v>
      </x:c>
      <x:c r="H858" s="28" t="n">
        <x:f>ROUND(Catalogue!H46*SQRT((1+'Paramètres'!$B$4*(C858-1)+'Paramètres'!$B$5*(C858-1)^2)),0)</x:f>
        <x:v>0</x:v>
      </x:c>
      <x:c r="I858" s="28" t="n">
        <x:v>3</x:v>
      </x:c>
      <x:c r="J858" s="28" t="n">
        <x:v>2</x:v>
      </x:c>
      <x:c r="K858" s="30" t="n">
        <x:v>3.8</x:v>
      </x:c>
      <x:c r="L858" s="54" t="n">
        <x:f>IF(M858=0,0,(E858+F858)/2)</x:f>
        <x:v>48</x:v>
      </x:c>
      <x:c r="M858" t="n">
        <x:v>4</x:v>
      </x:c>
      <x:c r="N858" t="n">
        <x:v>8</x:v>
      </x:c>
      <x:c r="O858" t="n">
        <x:v>30</x:v>
      </x:c>
      <x:c r="P858" s="63" t="str">
        <x:f>IF(M858=0,"—",M858&amp;"d"&amp;N858&amp;IF(O858=0,""," + "&amp;O858))</x:f>
        <x:v>4d8 + 30</x:v>
      </x:c>
      <x:c r="Q858" t="n">
        <x:f>ROUND(INDEX(Catalogue!E$4:E$85,MATCH(A858,Catalogue!A$4:A$85,0))*(1+'Paramètres'!$B$4*(C858-1)+'Paramètres'!$B$5*(C858-1)^2),0)</x:f>
        <x:v>34</x:v>
      </x:c>
      <x:c r="R858" t="n">
        <x:f>ROUND(INDEX(Catalogue!F$4:F$85,MATCH(A858,Catalogue!A$4:A$85,0))*(1+'Paramètres'!$B$4*(C858-1)+'Paramètres'!$B$5*(C858-1)^2),0)</x:f>
        <x:v>62</x:v>
      </x:c>
      <x:c r="S858" t="n">
        <x:f>L858-AVERAGE(Q858:R858)</x:f>
        <x:v>0</x:v>
      </x:c>
      <x:c r="T858" t="str">
        <x:f>IF(M858=0,IF(AND(N858=0,O858=0,E858=0,F858=0),"OK","ERREUR"),IF(AND(M858&gt;=1,M858&lt;=32,OR(N858=4,N858=6,N858=8,N858=10,N858=12,N858=20),O858&gt;=0,E858=M858+O858,F858=M858*N858+O858),"OK","ERREUR"))</x:f>
        <x:v>OK</x:v>
      </x:c>
      <x:c r="U858" s="86" t="n">
        <x:f>IF(M858&gt;0,M858*(N858+1)/2+O858,0)</x:f>
        <x:v>48</x:v>
      </x:c>
      <x:c r="V858" t="str">
        <x:f>IF(ABS(L858-U858)&lt;0.001,"OK","ERREUR")</x:f>
        <x:v>OK</x:v>
      </x:c>
    </x:row>
    <x:row r="859" ht="18" customHeight="1">
      <x:c r="A859" t="str">
        <x:v>ARM043</x:v>
      </x:c>
      <x:c r="B859" t="str">
        <x:v>Glaive d'hast</x:v>
      </x:c>
      <x:c r="C859" t="n">
        <x:v>16</x:v>
      </x:c>
      <x:c r="D859" t="str">
        <x:v>Armes d'hast</x:v>
      </x:c>
      <x:c r="E859" s="28" t="n">
        <x:f>IF(M859=0,0,M859+O859)</x:f>
        <x:v>38</x:v>
      </x:c>
      <x:c r="F859" s="28" t="n">
        <x:f>IF(M859=0,0,M859*N859+O859)</x:f>
        <x:v>68</x:v>
      </x:c>
      <x:c r="G859" s="28" t="n">
        <x:f>ROUND(Catalogue!G46*SQRT((1+'Paramètres'!$B$4*(C859-1)+'Paramètres'!$B$5*(C859-1)^2)),0)</x:f>
        <x:v>0</x:v>
      </x:c>
      <x:c r="H859" s="28" t="n">
        <x:f>ROUND(Catalogue!H46*SQRT((1+'Paramètres'!$B$4*(C859-1)+'Paramètres'!$B$5*(C859-1)^2)),0)</x:f>
        <x:v>0</x:v>
      </x:c>
      <x:c r="I859" s="28" t="n">
        <x:v>3</x:v>
      </x:c>
      <x:c r="J859" s="28" t="n">
        <x:v>2</x:v>
      </x:c>
      <x:c r="K859" s="30" t="n">
        <x:v>3.8</x:v>
      </x:c>
      <x:c r="L859" s="54" t="n">
        <x:f>IF(M859=0,0,(E859+F859)/2)</x:f>
        <x:v>53</x:v>
      </x:c>
      <x:c r="M859" t="n">
        <x:v>6</x:v>
      </x:c>
      <x:c r="N859" t="n">
        <x:v>6</x:v>
      </x:c>
      <x:c r="O859" t="n">
        <x:v>32</x:v>
      </x:c>
      <x:c r="P859" s="63" t="str">
        <x:f>IF(M859=0,"—",M859&amp;"d"&amp;N859&amp;IF(O859=0,""," + "&amp;O859))</x:f>
        <x:v>6d6 + 32</x:v>
      </x:c>
      <x:c r="Q859" t="n">
        <x:f>ROUND(INDEX(Catalogue!E$4:E$85,MATCH(A859,Catalogue!A$4:A$85,0))*(1+'Paramètres'!$B$4*(C859-1)+'Paramètres'!$B$5*(C859-1)^2),0)</x:f>
        <x:v>38</x:v>
      </x:c>
      <x:c r="R859" t="n">
        <x:f>ROUND(INDEX(Catalogue!F$4:F$85,MATCH(A859,Catalogue!A$4:A$85,0))*(1+'Paramètres'!$B$4*(C859-1)+'Paramètres'!$B$5*(C859-1)^2),0)</x:f>
        <x:v>69</x:v>
      </x:c>
      <x:c r="S859" t="n">
        <x:f>L859-AVERAGE(Q859:R859)</x:f>
        <x:v>-0.5</x:v>
      </x:c>
      <x:c r="T859" t="str">
        <x:f>IF(M859=0,IF(AND(N859=0,O859=0,E859=0,F859=0),"OK","ERREUR"),IF(AND(M859&gt;=1,M859&lt;=32,OR(N859=4,N859=6,N859=8,N859=10,N859=12,N859=20),O859&gt;=0,E859=M859+O859,F859=M859*N859+O859),"OK","ERREUR"))</x:f>
        <x:v>OK</x:v>
      </x:c>
      <x:c r="U859" s="86" t="n">
        <x:f>IF(M859&gt;0,M859*(N859+1)/2+O859,0)</x:f>
        <x:v>53</x:v>
      </x:c>
      <x:c r="V859" t="str">
        <x:f>IF(ABS(L859-U859)&lt;0.001,"OK","ERREUR")</x:f>
        <x:v>OK</x:v>
      </x:c>
    </x:row>
    <x:row r="860" ht="18" customHeight="1">
      <x:c r="A860" t="str">
        <x:v>ARM043</x:v>
      </x:c>
      <x:c r="B860" t="str">
        <x:v>Glaive d'hast</x:v>
      </x:c>
      <x:c r="C860" t="n">
        <x:v>17</x:v>
      </x:c>
      <x:c r="D860" t="str">
        <x:v>Armes d'hast</x:v>
      </x:c>
      <x:c r="E860" s="28" t="n">
        <x:f>IF(M860=0,0,M860+O860)</x:f>
        <x:v>41</x:v>
      </x:c>
      <x:c r="F860" s="28" t="n">
        <x:f>IF(M860=0,0,M860*N860+O860)</x:f>
        <x:v>74</x:v>
      </x:c>
      <x:c r="G860" s="28" t="n">
        <x:f>ROUND(Catalogue!G46*SQRT((1+'Paramètres'!$B$4*(C860-1)+'Paramètres'!$B$5*(C860-1)^2)),0)</x:f>
        <x:v>0</x:v>
      </x:c>
      <x:c r="H860" s="28" t="n">
        <x:f>ROUND(Catalogue!H46*SQRT((1+'Paramètres'!$B$4*(C860-1)+'Paramètres'!$B$5*(C860-1)^2)),0)</x:f>
        <x:v>0</x:v>
      </x:c>
      <x:c r="I860" s="28" t="n">
        <x:v>3</x:v>
      </x:c>
      <x:c r="J860" s="28" t="n">
        <x:v>2</x:v>
      </x:c>
      <x:c r="K860" s="30" t="n">
        <x:v>3.8</x:v>
      </x:c>
      <x:c r="L860" s="54" t="n">
        <x:f>IF(M860=0,0,(E860+F860)/2)</x:f>
        <x:v>57.5</x:v>
      </x:c>
      <x:c r="M860" t="n">
        <x:v>3</x:v>
      </x:c>
      <x:c r="N860" t="n">
        <x:v>12</x:v>
      </x:c>
      <x:c r="O860" t="n">
        <x:v>38</x:v>
      </x:c>
      <x:c r="P860" s="63" t="str">
        <x:f>IF(M860=0,"—",M860&amp;"d"&amp;N860&amp;IF(O860=0,""," + "&amp;O860))</x:f>
        <x:v>3d12 + 38</x:v>
      </x:c>
      <x:c r="Q860" t="n">
        <x:f>ROUND(INDEX(Catalogue!E$4:E$85,MATCH(A860,Catalogue!A$4:A$85,0))*(1+'Paramètres'!$B$4*(C860-1)+'Paramètres'!$B$5*(C860-1)^2),0)</x:f>
        <x:v>41</x:v>
      </x:c>
      <x:c r="R860" t="n">
        <x:f>ROUND(INDEX(Catalogue!F$4:F$85,MATCH(A860,Catalogue!A$4:A$85,0))*(1+'Paramètres'!$B$4*(C860-1)+'Paramètres'!$B$5*(C860-1)^2),0)</x:f>
        <x:v>75</x:v>
      </x:c>
      <x:c r="S860" t="n">
        <x:f>L860-AVERAGE(Q860:R860)</x:f>
        <x:v>-0.5</x:v>
      </x:c>
      <x:c r="T860" t="str">
        <x:f>IF(M860=0,IF(AND(N860=0,O860=0,E860=0,F860=0),"OK","ERREUR"),IF(AND(M860&gt;=1,M860&lt;=32,OR(N860=4,N860=6,N860=8,N860=10,N860=12,N860=20),O860&gt;=0,E860=M860+O860,F860=M860*N860+O860),"OK","ERREUR"))</x:f>
        <x:v>OK</x:v>
      </x:c>
      <x:c r="U860" s="86" t="n">
        <x:f>IF(M860&gt;0,M860*(N860+1)/2+O860,0)</x:f>
        <x:v>57.5</x:v>
      </x:c>
      <x:c r="V860" t="str">
        <x:f>IF(ABS(L860-U860)&lt;0.001,"OK","ERREUR")</x:f>
        <x:v>OK</x:v>
      </x:c>
    </x:row>
    <x:row r="861" ht="18" customHeight="1">
      <x:c r="A861" t="str">
        <x:v>ARM043</x:v>
      </x:c>
      <x:c r="B861" t="str">
        <x:v>Glaive d'hast</x:v>
      </x:c>
      <x:c r="C861" t="n">
        <x:v>18</x:v>
      </x:c>
      <x:c r="D861" t="str">
        <x:v>Armes d'hast</x:v>
      </x:c>
      <x:c r="E861" s="28" t="n">
        <x:f>IF(M861=0,0,M861+O861)</x:f>
        <x:v>45</x:v>
      </x:c>
      <x:c r="F861" s="28" t="n">
        <x:f>IF(M861=0,0,M861*N861+O861)</x:f>
        <x:v>81</x:v>
      </x:c>
      <x:c r="G861" s="28" t="n">
        <x:f>ROUND(Catalogue!G46*SQRT((1+'Paramètres'!$B$4*(C861-1)+'Paramètres'!$B$5*(C861-1)^2)),0)</x:f>
        <x:v>0</x:v>
      </x:c>
      <x:c r="H861" s="28" t="n">
        <x:f>ROUND(Catalogue!H46*SQRT((1+'Paramètres'!$B$4*(C861-1)+'Paramètres'!$B$5*(C861-1)^2)),0)</x:f>
        <x:v>0</x:v>
      </x:c>
      <x:c r="I861" s="28" t="n">
        <x:v>3</x:v>
      </x:c>
      <x:c r="J861" s="28" t="n">
        <x:v>2</x:v>
      </x:c>
      <x:c r="K861" s="30" t="n">
        <x:v>3.8</x:v>
      </x:c>
      <x:c r="L861" s="54" t="n">
        <x:f>IF(M861=0,0,(E861+F861)/2)</x:f>
        <x:v>63</x:v>
      </x:c>
      <x:c r="M861" t="n">
        <x:v>4</x:v>
      </x:c>
      <x:c r="N861" t="n">
        <x:v>10</x:v>
      </x:c>
      <x:c r="O861" t="n">
        <x:v>41</x:v>
      </x:c>
      <x:c r="P861" s="63" t="str">
        <x:f>IF(M861=0,"—",M861&amp;"d"&amp;N861&amp;IF(O861=0,""," + "&amp;O861))</x:f>
        <x:v>4d10 + 41</x:v>
      </x:c>
      <x:c r="Q861" t="n">
        <x:f>ROUND(INDEX(Catalogue!E$4:E$85,MATCH(A861,Catalogue!A$4:A$85,0))*(1+'Paramètres'!$B$4*(C861-1)+'Paramètres'!$B$5*(C861-1)^2),0)</x:f>
        <x:v>45</x:v>
      </x:c>
      <x:c r="R861" t="n">
        <x:f>ROUND(INDEX(Catalogue!F$4:F$85,MATCH(A861,Catalogue!A$4:A$85,0))*(1+'Paramètres'!$B$4*(C861-1)+'Paramètres'!$B$5*(C861-1)^2),0)</x:f>
        <x:v>82</x:v>
      </x:c>
      <x:c r="S861" t="n">
        <x:f>L861-AVERAGE(Q861:R861)</x:f>
        <x:v>-0.5</x:v>
      </x:c>
      <x:c r="T861" t="str">
        <x:f>IF(M861=0,IF(AND(N861=0,O861=0,E861=0,F861=0),"OK","ERREUR"),IF(AND(M861&gt;=1,M861&lt;=32,OR(N861=4,N861=6,N861=8,N861=10,N861=12,N861=20),O861&gt;=0,E861=M861+O861,F861=M861*N861+O861),"OK","ERREUR"))</x:f>
        <x:v>OK</x:v>
      </x:c>
      <x:c r="U861" s="86" t="n">
        <x:f>IF(M861&gt;0,M861*(N861+1)/2+O861,0)</x:f>
        <x:v>63</x:v>
      </x:c>
      <x:c r="V861" t="str">
        <x:f>IF(ABS(L861-U861)&lt;0.001,"OK","ERREUR")</x:f>
        <x:v>OK</x:v>
      </x:c>
    </x:row>
    <x:row r="862" ht="18" customHeight="1">
      <x:c r="A862" t="str">
        <x:v>ARM043</x:v>
      </x:c>
      <x:c r="B862" t="str">
        <x:v>Glaive d'hast</x:v>
      </x:c>
      <x:c r="C862" t="n">
        <x:v>19</x:v>
      </x:c>
      <x:c r="D862" t="str">
        <x:v>Armes d'hast</x:v>
      </x:c>
      <x:c r="E862" s="28" t="n">
        <x:f>IF(M862=0,0,M862+O862)</x:f>
        <x:v>48</x:v>
      </x:c>
      <x:c r="F862" s="28" t="n">
        <x:f>IF(M862=0,0,M862*N862+O862)</x:f>
        <x:v>90</x:v>
      </x:c>
      <x:c r="G862" s="28" t="n">
        <x:f>ROUND(Catalogue!G46*SQRT((1+'Paramètres'!$B$4*(C862-1)+'Paramètres'!$B$5*(C862-1)^2)),0)</x:f>
        <x:v>0</x:v>
      </x:c>
      <x:c r="H862" s="28" t="n">
        <x:f>ROUND(Catalogue!H46*SQRT((1+'Paramètres'!$B$4*(C862-1)+'Paramètres'!$B$5*(C862-1)^2)),0)</x:f>
        <x:v>0</x:v>
      </x:c>
      <x:c r="I862" s="28" t="n">
        <x:v>3</x:v>
      </x:c>
      <x:c r="J862" s="28" t="n">
        <x:v>2</x:v>
      </x:c>
      <x:c r="K862" s="30" t="n">
        <x:v>3.8</x:v>
      </x:c>
      <x:c r="L862" s="54" t="n">
        <x:f>IF(M862=0,0,(E862+F862)/2)</x:f>
        <x:v>69</x:v>
      </x:c>
      <x:c r="M862" t="n">
        <x:v>6</x:v>
      </x:c>
      <x:c r="N862" t="n">
        <x:v>8</x:v>
      </x:c>
      <x:c r="O862" t="n">
        <x:v>42</x:v>
      </x:c>
      <x:c r="P862" s="63" t="str">
        <x:f>IF(M862=0,"—",M862&amp;"d"&amp;N862&amp;IF(O862=0,""," + "&amp;O862))</x:f>
        <x:v>6d8 + 42</x:v>
      </x:c>
      <x:c r="Q862" t="n">
        <x:f>ROUND(INDEX(Catalogue!E$4:E$85,MATCH(A862,Catalogue!A$4:A$85,0))*(1+'Paramètres'!$B$4*(C862-1)+'Paramètres'!$B$5*(C862-1)^2),0)</x:f>
        <x:v>49</x:v>
      </x:c>
      <x:c r="R862" t="n">
        <x:f>ROUND(INDEX(Catalogue!F$4:F$85,MATCH(A862,Catalogue!A$4:A$85,0))*(1+'Paramètres'!$B$4*(C862-1)+'Paramètres'!$B$5*(C862-1)^2),0)</x:f>
        <x:v>90</x:v>
      </x:c>
      <x:c r="S862" t="n">
        <x:f>L862-AVERAGE(Q862:R862)</x:f>
        <x:v>-0.5</x:v>
      </x:c>
      <x:c r="T862" t="str">
        <x:f>IF(M862=0,IF(AND(N862=0,O862=0,E862=0,F862=0),"OK","ERREUR"),IF(AND(M862&gt;=1,M862&lt;=32,OR(N862=4,N862=6,N862=8,N862=10,N862=12,N862=20),O862&gt;=0,E862=M862+O862,F862=M862*N862+O862),"OK","ERREUR"))</x:f>
        <x:v>OK</x:v>
      </x:c>
      <x:c r="U862" s="86" t="n">
        <x:f>IF(M862&gt;0,M862*(N862+1)/2+O862,0)</x:f>
        <x:v>69</x:v>
      </x:c>
      <x:c r="V862" t="str">
        <x:f>IF(ABS(L862-U862)&lt;0.001,"OK","ERREUR")</x:f>
        <x:v>OK</x:v>
      </x:c>
    </x:row>
    <x:row r="863" ht="18" customHeight="1">
      <x:c r="A863" t="str">
        <x:v>ARM043</x:v>
      </x:c>
      <x:c r="B863" t="str">
        <x:v>Glaive d'hast</x:v>
      </x:c>
      <x:c r="C863" t="n">
        <x:v>20</x:v>
      </x:c>
      <x:c r="D863" t="str">
        <x:v>Armes d'hast</x:v>
      </x:c>
      <x:c r="E863" s="28" t="n">
        <x:f>IF(M863=0,0,M863+O863)</x:f>
        <x:v>53</x:v>
      </x:c>
      <x:c r="F863" s="28" t="n">
        <x:f>IF(M863=0,0,M863*N863+O863)</x:f>
        <x:v>98</x:v>
      </x:c>
      <x:c r="G863" s="28" t="n">
        <x:f>ROUND(Catalogue!G46*SQRT((1+'Paramètres'!$B$4*(C863-1)+'Paramètres'!$B$5*(C863-1)^2)),0)</x:f>
        <x:v>0</x:v>
      </x:c>
      <x:c r="H863" s="28" t="n">
        <x:f>ROUND(Catalogue!H46*SQRT((1+'Paramètres'!$B$4*(C863-1)+'Paramètres'!$B$5*(C863-1)^2)),0)</x:f>
        <x:v>0</x:v>
      </x:c>
      <x:c r="I863" s="28" t="n">
        <x:v>3</x:v>
      </x:c>
      <x:c r="J863" s="28" t="n">
        <x:v>2</x:v>
      </x:c>
      <x:c r="K863" s="30" t="n">
        <x:v>3.8</x:v>
      </x:c>
      <x:c r="L863" s="54" t="n">
        <x:f>IF(M863=0,0,(E863+F863)/2)</x:f>
        <x:v>75.5</x:v>
      </x:c>
      <x:c r="M863" t="n">
        <x:v>5</x:v>
      </x:c>
      <x:c r="N863" t="n">
        <x:v>10</x:v>
      </x:c>
      <x:c r="O863" t="n">
        <x:v>48</x:v>
      </x:c>
      <x:c r="P863" s="63" t="str">
        <x:f>IF(M863=0,"—",M863&amp;"d"&amp;N863&amp;IF(O863=0,""," + "&amp;O863))</x:f>
        <x:v>5d10 + 48</x:v>
      </x:c>
      <x:c r="Q863" t="n">
        <x:f>ROUND(INDEX(Catalogue!E$4:E$85,MATCH(A863,Catalogue!A$4:A$85,0))*(1+'Paramètres'!$B$4*(C863-1)+'Paramètres'!$B$5*(C863-1)^2),0)</x:f>
        <x:v>53</x:v>
      </x:c>
      <x:c r="R863" t="n">
        <x:f>ROUND(INDEX(Catalogue!F$4:F$85,MATCH(A863,Catalogue!A$4:A$85,0))*(1+'Paramètres'!$B$4*(C863-1)+'Paramètres'!$B$5*(C863-1)^2),0)</x:f>
        <x:v>98</x:v>
      </x:c>
      <x:c r="S863" t="n">
        <x:f>L863-AVERAGE(Q863:R863)</x:f>
        <x:v>0</x:v>
      </x:c>
      <x:c r="T863" t="str">
        <x:f>IF(M863=0,IF(AND(N863=0,O863=0,E863=0,F863=0),"OK","ERREUR"),IF(AND(M863&gt;=1,M863&lt;=32,OR(N863=4,N863=6,N863=8,N863=10,N863=12,N863=20),O863&gt;=0,E863=M863+O863,F863=M863*N863+O863),"OK","ERREUR"))</x:f>
        <x:v>OK</x:v>
      </x:c>
      <x:c r="U863" s="86" t="n">
        <x:f>IF(M863&gt;0,M863*(N863+1)/2+O863,0)</x:f>
        <x:v>75.5</x:v>
      </x:c>
      <x:c r="V863" t="str">
        <x:f>IF(ABS(L863-U863)&lt;0.001,"OK","ERREUR")</x:f>
        <x:v>OK</x:v>
      </x:c>
    </x:row>
    <x:row r="864" ht="18" customHeight="1">
      <x:c r="A864" t="str">
        <x:v>ARM044</x:v>
      </x:c>
      <x:c r="B864" t="str">
        <x:v>Trident</x:v>
      </x:c>
      <x:c r="C864" t="n">
        <x:v>1</x:v>
      </x:c>
      <x:c r="D864" t="str">
        <x:v>Armes d'hast</x:v>
      </x:c>
      <x:c r="E864" s="28" t="n">
        <x:f>IF(M864=0,0,M864+O864)</x:f>
        <x:v>4</x:v>
      </x:c>
      <x:c r="F864" s="28" t="n">
        <x:f>IF(M864=0,0,M864*N864+O864)</x:f>
        <x:v>9</x:v>
      </x:c>
      <x:c r="G864" s="28" t="n">
        <x:f>ROUND(Catalogue!G47*SQRT((1+'Paramètres'!$B$4*(C864-1)+'Paramètres'!$B$5*(C864-1)^2)),0)</x:f>
        <x:v>0</x:v>
      </x:c>
      <x:c r="H864" s="28" t="n">
        <x:f>ROUND(Catalogue!H47*SQRT((1+'Paramètres'!$B$4*(C864-1)+'Paramètres'!$B$5*(C864-1)^2)),0)</x:f>
        <x:v>0</x:v>
      </x:c>
      <x:c r="I864" s="28" t="n">
        <x:v>3</x:v>
      </x:c>
      <x:c r="J864" s="28" t="n">
        <x:v>2</x:v>
      </x:c>
      <x:c r="K864" s="30" t="n">
        <x:v>2.9</x:v>
      </x:c>
      <x:c r="L864" s="54" t="n">
        <x:f>IF(M864=0,0,(E864+F864)/2)</x:f>
        <x:v>6.5</x:v>
      </x:c>
      <x:c r="M864" t="n">
        <x:v>1</x:v>
      </x:c>
      <x:c r="N864" t="n">
        <x:v>6</x:v>
      </x:c>
      <x:c r="O864" t="n">
        <x:v>3</x:v>
      </x:c>
      <x:c r="P864" s="63" t="str">
        <x:f>IF(M864=0,"—",M864&amp;"d"&amp;N864&amp;IF(O864=0,""," + "&amp;O864))</x:f>
        <x:v>1d6 + 3</x:v>
      </x:c>
      <x:c r="Q864" t="n">
        <x:f>ROUND(INDEX(Catalogue!E$4:E$85,MATCH(A864,Catalogue!A$4:A$85,0))*(1+'Paramètres'!$B$4*(C864-1)+'Paramètres'!$B$5*(C864-1)^2),0)</x:f>
        <x:v>5</x:v>
      </x:c>
      <x:c r="R864" t="n">
        <x:f>ROUND(INDEX(Catalogue!F$4:F$85,MATCH(A864,Catalogue!A$4:A$85,0))*(1+'Paramètres'!$B$4*(C864-1)+'Paramètres'!$B$5*(C864-1)^2),0)</x:f>
        <x:v>9</x:v>
      </x:c>
      <x:c r="S864" t="n">
        <x:f>L864-AVERAGE(Q864:R864)</x:f>
        <x:v>-0.5</x:v>
      </x:c>
      <x:c r="T864" t="str">
        <x:f>IF(M864=0,IF(AND(N864=0,O864=0,E864=0,F864=0),"OK","ERREUR"),IF(AND(M864&gt;=1,M864&lt;=32,OR(N864=4,N864=6,N864=8,N864=10,N864=12,N864=20),O864&gt;=0,E864=M864+O864,F864=M864*N864+O864),"OK","ERREUR"))</x:f>
        <x:v>OK</x:v>
      </x:c>
      <x:c r="U864" s="86" t="n">
        <x:f>IF(M864&gt;0,M864*(N864+1)/2+O864,0)</x:f>
        <x:v>6.5</x:v>
      </x:c>
      <x:c r="V864" t="str">
        <x:f>IF(ABS(L864-U864)&lt;0.001,"OK","ERREUR")</x:f>
        <x:v>OK</x:v>
      </x:c>
    </x:row>
    <x:row r="865" ht="18" customHeight="1">
      <x:c r="A865" t="str">
        <x:v>ARM044</x:v>
      </x:c>
      <x:c r="B865" t="str">
        <x:v>Trident</x:v>
      </x:c>
      <x:c r="C865" t="n">
        <x:v>2</x:v>
      </x:c>
      <x:c r="D865" t="str">
        <x:v>Armes d'hast</x:v>
      </x:c>
      <x:c r="E865" s="28" t="n">
        <x:f>IF(M865=0,0,M865+O865)</x:f>
        <x:v>5</x:v>
      </x:c>
      <x:c r="F865" s="28" t="n">
        <x:f>IF(M865=0,0,M865*N865+O865)</x:f>
        <x:v>10</x:v>
      </x:c>
      <x:c r="G865" s="28" t="n">
        <x:f>ROUND(Catalogue!G47*SQRT((1+'Paramètres'!$B$4*(C865-1)+'Paramètres'!$B$5*(C865-1)^2)),0)</x:f>
        <x:v>0</x:v>
      </x:c>
      <x:c r="H865" s="28" t="n">
        <x:f>ROUND(Catalogue!H47*SQRT((1+'Paramètres'!$B$4*(C865-1)+'Paramètres'!$B$5*(C865-1)^2)),0)</x:f>
        <x:v>0</x:v>
      </x:c>
      <x:c r="I865" s="28" t="n">
        <x:v>3</x:v>
      </x:c>
      <x:c r="J865" s="28" t="n">
        <x:v>2</x:v>
      </x:c>
      <x:c r="K865" s="30" t="n">
        <x:v>2.9</x:v>
      </x:c>
      <x:c r="L865" s="54" t="n">
        <x:f>IF(M865=0,0,(E865+F865)/2)</x:f>
        <x:v>7.5</x:v>
      </x:c>
      <x:c r="M865" t="n">
        <x:v>1</x:v>
      </x:c>
      <x:c r="N865" t="n">
        <x:v>6</x:v>
      </x:c>
      <x:c r="O865" t="n">
        <x:v>4</x:v>
      </x:c>
      <x:c r="P865" s="63" t="str">
        <x:f>IF(M865=0,"—",M865&amp;"d"&amp;N865&amp;IF(O865=0,""," + "&amp;O865))</x:f>
        <x:v>1d6 + 4</x:v>
      </x:c>
      <x:c r="Q865" t="n">
        <x:f>ROUND(INDEX(Catalogue!E$4:E$85,MATCH(A865,Catalogue!A$4:A$85,0))*(1+'Paramètres'!$B$4*(C865-1)+'Paramètres'!$B$5*(C865-1)^2),0)</x:f>
        <x:v>6</x:v>
      </x:c>
      <x:c r="R865" t="n">
        <x:f>ROUND(INDEX(Catalogue!F$4:F$85,MATCH(A865,Catalogue!A$4:A$85,0))*(1+'Paramètres'!$B$4*(C865-1)+'Paramètres'!$B$5*(C865-1)^2),0)</x:f>
        <x:v>10</x:v>
      </x:c>
      <x:c r="S865" t="n">
        <x:f>L865-AVERAGE(Q865:R865)</x:f>
        <x:v>-0.5</x:v>
      </x:c>
      <x:c r="T865" t="str">
        <x:f>IF(M865=0,IF(AND(N865=0,O865=0,E865=0,F865=0),"OK","ERREUR"),IF(AND(M865&gt;=1,M865&lt;=32,OR(N865=4,N865=6,N865=8,N865=10,N865=12,N865=20),O865&gt;=0,E865=M865+O865,F865=M865*N865+O865),"OK","ERREUR"))</x:f>
        <x:v>OK</x:v>
      </x:c>
      <x:c r="U865" s="86" t="n">
        <x:f>IF(M865&gt;0,M865*(N865+1)/2+O865,0)</x:f>
        <x:v>7.5</x:v>
      </x:c>
      <x:c r="V865" t="str">
        <x:f>IF(ABS(L865-U865)&lt;0.001,"OK","ERREUR")</x:f>
        <x:v>OK</x:v>
      </x:c>
    </x:row>
    <x:row r="866" ht="18" customHeight="1">
      <x:c r="A866" t="str">
        <x:v>ARM044</x:v>
      </x:c>
      <x:c r="B866" t="str">
        <x:v>Trident</x:v>
      </x:c>
      <x:c r="C866" t="n">
        <x:v>3</x:v>
      </x:c>
      <x:c r="D866" t="str">
        <x:v>Armes d'hast</x:v>
      </x:c>
      <x:c r="E866" s="28" t="n">
        <x:f>IF(M866=0,0,M866+O866)</x:f>
        <x:v>6</x:v>
      </x:c>
      <x:c r="F866" s="28" t="n">
        <x:f>IF(M866=0,0,M866*N866+O866)</x:f>
        <x:v>11</x:v>
      </x:c>
      <x:c r="G866" s="28" t="n">
        <x:f>ROUND(Catalogue!G47*SQRT((1+'Paramètres'!$B$4*(C866-1)+'Paramètres'!$B$5*(C866-1)^2)),0)</x:f>
        <x:v>0</x:v>
      </x:c>
      <x:c r="H866" s="28" t="n">
        <x:f>ROUND(Catalogue!H47*SQRT((1+'Paramètres'!$B$4*(C866-1)+'Paramètres'!$B$5*(C866-1)^2)),0)</x:f>
        <x:v>0</x:v>
      </x:c>
      <x:c r="I866" s="28" t="n">
        <x:v>3</x:v>
      </x:c>
      <x:c r="J866" s="28" t="n">
        <x:v>2</x:v>
      </x:c>
      <x:c r="K866" s="30" t="n">
        <x:v>2.9</x:v>
      </x:c>
      <x:c r="L866" s="54" t="n">
        <x:f>IF(M866=0,0,(E866+F866)/2)</x:f>
        <x:v>8.5</x:v>
      </x:c>
      <x:c r="M866" t="n">
        <x:v>1</x:v>
      </x:c>
      <x:c r="N866" t="n">
        <x:v>6</x:v>
      </x:c>
      <x:c r="O866" t="n">
        <x:v>5</x:v>
      </x:c>
      <x:c r="P866" s="63" t="str">
        <x:f>IF(M866=0,"—",M866&amp;"d"&amp;N866&amp;IF(O866=0,""," + "&amp;O866))</x:f>
        <x:v>1d6 + 5</x:v>
      </x:c>
      <x:c r="Q866" t="n">
        <x:f>ROUND(INDEX(Catalogue!E$4:E$85,MATCH(A866,Catalogue!A$4:A$85,0))*(1+'Paramètres'!$B$4*(C866-1)+'Paramètres'!$B$5*(C866-1)^2),0)</x:f>
        <x:v>6</x:v>
      </x:c>
      <x:c r="R866" t="n">
        <x:f>ROUND(INDEX(Catalogue!F$4:F$85,MATCH(A866,Catalogue!A$4:A$85,0))*(1+'Paramètres'!$B$4*(C866-1)+'Paramètres'!$B$5*(C866-1)^2),0)</x:f>
        <x:v>12</x:v>
      </x:c>
      <x:c r="S866" t="n">
        <x:f>L866-AVERAGE(Q866:R866)</x:f>
        <x:v>-0.5</x:v>
      </x:c>
      <x:c r="T866" t="str">
        <x:f>IF(M866=0,IF(AND(N866=0,O866=0,E866=0,F866=0),"OK","ERREUR"),IF(AND(M866&gt;=1,M866&lt;=32,OR(N866=4,N866=6,N866=8,N866=10,N866=12,N866=20),O866&gt;=0,E866=M866+O866,F866=M866*N866+O866),"OK","ERREUR"))</x:f>
        <x:v>OK</x:v>
      </x:c>
      <x:c r="U866" s="86" t="n">
        <x:f>IF(M866&gt;0,M866*(N866+1)/2+O866,0)</x:f>
        <x:v>8.5</x:v>
      </x:c>
      <x:c r="V866" t="str">
        <x:f>IF(ABS(L866-U866)&lt;0.001,"OK","ERREUR")</x:f>
        <x:v>OK</x:v>
      </x:c>
    </x:row>
    <x:row r="867" ht="18" customHeight="1">
      <x:c r="A867" t="str">
        <x:v>ARM044</x:v>
      </x:c>
      <x:c r="B867" t="str">
        <x:v>Trident</x:v>
      </x:c>
      <x:c r="C867" t="n">
        <x:v>4</x:v>
      </x:c>
      <x:c r="D867" t="str">
        <x:v>Armes d'hast</x:v>
      </x:c>
      <x:c r="E867" s="28" t="n">
        <x:f>IF(M867=0,0,M867+O867)</x:f>
        <x:v>7</x:v>
      </x:c>
      <x:c r="F867" s="28" t="n">
        <x:f>IF(M867=0,0,M867*N867+O867)</x:f>
        <x:v>12</x:v>
      </x:c>
      <x:c r="G867" s="28" t="n">
        <x:f>ROUND(Catalogue!G47*SQRT((1+'Paramètres'!$B$4*(C867-1)+'Paramètres'!$B$5*(C867-1)^2)),0)</x:f>
        <x:v>0</x:v>
      </x:c>
      <x:c r="H867" s="28" t="n">
        <x:f>ROUND(Catalogue!H47*SQRT((1+'Paramètres'!$B$4*(C867-1)+'Paramètres'!$B$5*(C867-1)^2)),0)</x:f>
        <x:v>0</x:v>
      </x:c>
      <x:c r="I867" s="28" t="n">
        <x:v>3</x:v>
      </x:c>
      <x:c r="J867" s="28" t="n">
        <x:v>2</x:v>
      </x:c>
      <x:c r="K867" s="30" t="n">
        <x:v>2.9</x:v>
      </x:c>
      <x:c r="L867" s="54" t="n">
        <x:f>IF(M867=0,0,(E867+F867)/2)</x:f>
        <x:v>9.5</x:v>
      </x:c>
      <x:c r="M867" t="n">
        <x:v>1</x:v>
      </x:c>
      <x:c r="N867" t="n">
        <x:v>6</x:v>
      </x:c>
      <x:c r="O867" t="n">
        <x:v>6</x:v>
      </x:c>
      <x:c r="P867" s="63" t="str">
        <x:f>IF(M867=0,"—",M867&amp;"d"&amp;N867&amp;IF(O867=0,""," + "&amp;O867))</x:f>
        <x:v>1d6 + 6</x:v>
      </x:c>
      <x:c r="Q867" t="n">
        <x:f>ROUND(INDEX(Catalogue!E$4:E$85,MATCH(A867,Catalogue!A$4:A$85,0))*(1+'Paramètres'!$B$4*(C867-1)+'Paramètres'!$B$5*(C867-1)^2),0)</x:f>
        <x:v>7</x:v>
      </x:c>
      <x:c r="R867" t="n">
        <x:f>ROUND(INDEX(Catalogue!F$4:F$85,MATCH(A867,Catalogue!A$4:A$85,0))*(1+'Paramètres'!$B$4*(C867-1)+'Paramètres'!$B$5*(C867-1)^2),0)</x:f>
        <x:v>13</x:v>
      </x:c>
      <x:c r="S867" t="n">
        <x:f>L867-AVERAGE(Q867:R867)</x:f>
        <x:v>-0.5</x:v>
      </x:c>
      <x:c r="T867" t="str">
        <x:f>IF(M867=0,IF(AND(N867=0,O867=0,E867=0,F867=0),"OK","ERREUR"),IF(AND(M867&gt;=1,M867&lt;=32,OR(N867=4,N867=6,N867=8,N867=10,N867=12,N867=20),O867&gt;=0,E867=M867+O867,F867=M867*N867+O867),"OK","ERREUR"))</x:f>
        <x:v>OK</x:v>
      </x:c>
      <x:c r="U867" s="86" t="n">
        <x:f>IF(M867&gt;0,M867*(N867+1)/2+O867,0)</x:f>
        <x:v>9.5</x:v>
      </x:c>
      <x:c r="V867" t="str">
        <x:f>IF(ABS(L867-U867)&lt;0.001,"OK","ERREUR")</x:f>
        <x:v>OK</x:v>
      </x:c>
    </x:row>
    <x:row r="868" ht="18" customHeight="1">
      <x:c r="A868" t="str">
        <x:v>ARM044</x:v>
      </x:c>
      <x:c r="B868" t="str">
        <x:v>Trident</x:v>
      </x:c>
      <x:c r="C868" t="n">
        <x:v>5</x:v>
      </x:c>
      <x:c r="D868" t="str">
        <x:v>Armes d'hast</x:v>
      </x:c>
      <x:c r="E868" s="28" t="n">
        <x:f>IF(M868=0,0,M868+O868)</x:f>
        <x:v>8</x:v>
      </x:c>
      <x:c r="F868" s="28" t="n">
        <x:f>IF(M868=0,0,M868*N868+O868)</x:f>
        <x:v>15</x:v>
      </x:c>
      <x:c r="G868" s="28" t="n">
        <x:f>ROUND(Catalogue!G47*SQRT((1+'Paramètres'!$B$4*(C868-1)+'Paramètres'!$B$5*(C868-1)^2)),0)</x:f>
        <x:v>0</x:v>
      </x:c>
      <x:c r="H868" s="28" t="n">
        <x:f>ROUND(Catalogue!H47*SQRT((1+'Paramètres'!$B$4*(C868-1)+'Paramètres'!$B$5*(C868-1)^2)),0)</x:f>
        <x:v>0</x:v>
      </x:c>
      <x:c r="I868" s="28" t="n">
        <x:v>3</x:v>
      </x:c>
      <x:c r="J868" s="28" t="n">
        <x:v>2</x:v>
      </x:c>
      <x:c r="K868" s="30" t="n">
        <x:v>2.9</x:v>
      </x:c>
      <x:c r="L868" s="54" t="n">
        <x:f>IF(M868=0,0,(E868+F868)/2)</x:f>
        <x:v>11.5</x:v>
      </x:c>
      <x:c r="M868" t="n">
        <x:v>1</x:v>
      </x:c>
      <x:c r="N868" t="n">
        <x:v>8</x:v>
      </x:c>
      <x:c r="O868" t="n">
        <x:v>7</x:v>
      </x:c>
      <x:c r="P868" s="63" t="str">
        <x:f>IF(M868=0,"—",M868&amp;"d"&amp;N868&amp;IF(O868=0,""," + "&amp;O868))</x:f>
        <x:v>1d8 + 7</x:v>
      </x:c>
      <x:c r="Q868" t="n">
        <x:f>ROUND(INDEX(Catalogue!E$4:E$85,MATCH(A868,Catalogue!A$4:A$85,0))*(1+'Paramètres'!$B$4*(C868-1)+'Paramètres'!$B$5*(C868-1)^2),0)</x:f>
        <x:v>8</x:v>
      </x:c>
      <x:c r="R868" t="n">
        <x:f>ROUND(INDEX(Catalogue!F$4:F$85,MATCH(A868,Catalogue!A$4:A$85,0))*(1+'Paramètres'!$B$4*(C868-1)+'Paramètres'!$B$5*(C868-1)^2),0)</x:f>
        <x:v>15</x:v>
      </x:c>
      <x:c r="S868" t="n">
        <x:f>L868-AVERAGE(Q868:R868)</x:f>
        <x:v>0</x:v>
      </x:c>
      <x:c r="T868" t="str">
        <x:f>IF(M868=0,IF(AND(N868=0,O868=0,E868=0,F868=0),"OK","ERREUR"),IF(AND(M868&gt;=1,M868&lt;=32,OR(N868=4,N868=6,N868=8,N868=10,N868=12,N868=20),O868&gt;=0,E868=M868+O868,F868=M868*N868+O868),"OK","ERREUR"))</x:f>
        <x:v>OK</x:v>
      </x:c>
      <x:c r="U868" s="86" t="n">
        <x:f>IF(M868&gt;0,M868*(N868+1)/2+O868,0)</x:f>
        <x:v>11.5</x:v>
      </x:c>
      <x:c r="V868" t="str">
        <x:f>IF(ABS(L868-U868)&lt;0.001,"OK","ERREUR")</x:f>
        <x:v>OK</x:v>
      </x:c>
    </x:row>
    <x:row r="869" ht="18" customHeight="1">
      <x:c r="A869" t="str">
        <x:v>ARM044</x:v>
      </x:c>
      <x:c r="B869" t="str">
        <x:v>Trident</x:v>
      </x:c>
      <x:c r="C869" t="n">
        <x:v>6</x:v>
      </x:c>
      <x:c r="D869" t="str">
        <x:v>Armes d'hast</x:v>
      </x:c>
      <x:c r="E869" s="28" t="n">
        <x:f>IF(M869=0,0,M869+O869)</x:f>
        <x:v>10</x:v>
      </x:c>
      <x:c r="F869" s="28" t="n">
        <x:f>IF(M869=0,0,M869*N869+O869)</x:f>
        <x:v>17</x:v>
      </x:c>
      <x:c r="G869" s="28" t="n">
        <x:f>ROUND(Catalogue!G47*SQRT((1+'Paramètres'!$B$4*(C869-1)+'Paramètres'!$B$5*(C869-1)^2)),0)</x:f>
        <x:v>0</x:v>
      </x:c>
      <x:c r="H869" s="28" t="n">
        <x:f>ROUND(Catalogue!H47*SQRT((1+'Paramètres'!$B$4*(C869-1)+'Paramètres'!$B$5*(C869-1)^2)),0)</x:f>
        <x:v>0</x:v>
      </x:c>
      <x:c r="I869" s="28" t="n">
        <x:v>3</x:v>
      </x:c>
      <x:c r="J869" s="28" t="n">
        <x:v>2</x:v>
      </x:c>
      <x:c r="K869" s="30" t="n">
        <x:v>2.9</x:v>
      </x:c>
      <x:c r="L869" s="54" t="n">
        <x:f>IF(M869=0,0,(E869+F869)/2)</x:f>
        <x:v>13.5</x:v>
      </x:c>
      <x:c r="M869" t="n">
        <x:v>1</x:v>
      </x:c>
      <x:c r="N869" t="n">
        <x:v>8</x:v>
      </x:c>
      <x:c r="O869" t="n">
        <x:v>9</x:v>
      </x:c>
      <x:c r="P869" s="63" t="str">
        <x:f>IF(M869=0,"—",M869&amp;"d"&amp;N869&amp;IF(O869=0,""," + "&amp;O869))</x:f>
        <x:v>1d8 + 9</x:v>
      </x:c>
      <x:c r="Q869" t="n">
        <x:f>ROUND(INDEX(Catalogue!E$4:E$85,MATCH(A869,Catalogue!A$4:A$85,0))*(1+'Paramètres'!$B$4*(C869-1)+'Paramètres'!$B$5*(C869-1)^2),0)</x:f>
        <x:v>10</x:v>
      </x:c>
      <x:c r="R869" t="n">
        <x:f>ROUND(INDEX(Catalogue!F$4:F$85,MATCH(A869,Catalogue!A$4:A$85,0))*(1+'Paramètres'!$B$4*(C869-1)+'Paramètres'!$B$5*(C869-1)^2),0)</x:f>
        <x:v>18</x:v>
      </x:c>
      <x:c r="S869" t="n">
        <x:f>L869-AVERAGE(Q869:R869)</x:f>
        <x:v>-0.5</x:v>
      </x:c>
      <x:c r="T869" t="str">
        <x:f>IF(M869=0,IF(AND(N869=0,O869=0,E869=0,F869=0),"OK","ERREUR"),IF(AND(M869&gt;=1,M869&lt;=32,OR(N869=4,N869=6,N869=8,N869=10,N869=12,N869=20),O869&gt;=0,E869=M869+O869,F869=M869*N869+O869),"OK","ERREUR"))</x:f>
        <x:v>OK</x:v>
      </x:c>
      <x:c r="U869" s="86" t="n">
        <x:f>IF(M869&gt;0,M869*(N869+1)/2+O869,0)</x:f>
        <x:v>13.5</x:v>
      </x:c>
      <x:c r="V869" t="str">
        <x:f>IF(ABS(L869-U869)&lt;0.001,"OK","ERREUR")</x:f>
        <x:v>OK</x:v>
      </x:c>
    </x:row>
    <x:row r="870" ht="18" customHeight="1">
      <x:c r="A870" t="str">
        <x:v>ARM044</x:v>
      </x:c>
      <x:c r="B870" t="str">
        <x:v>Trident</x:v>
      </x:c>
      <x:c r="C870" t="n">
        <x:v>7</x:v>
      </x:c>
      <x:c r="D870" t="str">
        <x:v>Armes d'hast</x:v>
      </x:c>
      <x:c r="E870" s="28" t="n">
        <x:f>IF(M870=0,0,M870+O870)</x:f>
        <x:v>11</x:v>
      </x:c>
      <x:c r="F870" s="28" t="n">
        <x:f>IF(M870=0,0,M870*N870+O870)</x:f>
        <x:v>20</x:v>
      </x:c>
      <x:c r="G870" s="28" t="n">
        <x:f>ROUND(Catalogue!G47*SQRT((1+'Paramètres'!$B$4*(C870-1)+'Paramètres'!$B$5*(C870-1)^2)),0)</x:f>
        <x:v>0</x:v>
      </x:c>
      <x:c r="H870" s="28" t="n">
        <x:f>ROUND(Catalogue!H47*SQRT((1+'Paramètres'!$B$4*(C870-1)+'Paramètres'!$B$5*(C870-1)^2)),0)</x:f>
        <x:v>0</x:v>
      </x:c>
      <x:c r="I870" s="28" t="n">
        <x:v>3</x:v>
      </x:c>
      <x:c r="J870" s="28" t="n">
        <x:v>2</x:v>
      </x:c>
      <x:c r="K870" s="30" t="n">
        <x:v>2.9</x:v>
      </x:c>
      <x:c r="L870" s="54" t="n">
        <x:f>IF(M870=0,0,(E870+F870)/2)</x:f>
        <x:v>15.5</x:v>
      </x:c>
      <x:c r="M870" t="n">
        <x:v>1</x:v>
      </x:c>
      <x:c r="N870" t="n">
        <x:v>10</x:v>
      </x:c>
      <x:c r="O870" t="n">
        <x:v>10</x:v>
      </x:c>
      <x:c r="P870" s="63" t="str">
        <x:f>IF(M870=0,"—",M870&amp;"d"&amp;N870&amp;IF(O870=0,""," + "&amp;O870))</x:f>
        <x:v>1d10 + 10</x:v>
      </x:c>
      <x:c r="Q870" t="n">
        <x:f>ROUND(INDEX(Catalogue!E$4:E$85,MATCH(A870,Catalogue!A$4:A$85,0))*(1+'Paramètres'!$B$4*(C870-1)+'Paramètres'!$B$5*(C870-1)^2),0)</x:f>
        <x:v>11</x:v>
      </x:c>
      <x:c r="R870" t="n">
        <x:f>ROUND(INDEX(Catalogue!F$4:F$85,MATCH(A870,Catalogue!A$4:A$85,0))*(1+'Paramètres'!$B$4*(C870-1)+'Paramètres'!$B$5*(C870-1)^2),0)</x:f>
        <x:v>20</x:v>
      </x:c>
      <x:c r="S870" t="n">
        <x:f>L870-AVERAGE(Q870:R870)</x:f>
        <x:v>0</x:v>
      </x:c>
      <x:c r="T870" t="str">
        <x:f>IF(M870=0,IF(AND(N870=0,O870=0,E870=0,F870=0),"OK","ERREUR"),IF(AND(M870&gt;=1,M870&lt;=32,OR(N870=4,N870=6,N870=8,N870=10,N870=12,N870=20),O870&gt;=0,E870=M870+O870,F870=M870*N870+O870),"OK","ERREUR"))</x:f>
        <x:v>OK</x:v>
      </x:c>
      <x:c r="U870" s="86" t="n">
        <x:f>IF(M870&gt;0,M870*(N870+1)/2+O870,0)</x:f>
        <x:v>15.5</x:v>
      </x:c>
      <x:c r="V870" t="str">
        <x:f>IF(ABS(L870-U870)&lt;0.001,"OK","ERREUR")</x:f>
        <x:v>OK</x:v>
      </x:c>
    </x:row>
    <x:row r="871" ht="18" customHeight="1">
      <x:c r="A871" t="str">
        <x:v>ARM044</x:v>
      </x:c>
      <x:c r="B871" t="str">
        <x:v>Trident</x:v>
      </x:c>
      <x:c r="C871" t="n">
        <x:v>8</x:v>
      </x:c>
      <x:c r="D871" t="str">
        <x:v>Armes d'hast</x:v>
      </x:c>
      <x:c r="E871" s="28" t="n">
        <x:f>IF(M871=0,0,M871+O871)</x:f>
        <x:v>13</x:v>
      </x:c>
      <x:c r="F871" s="28" t="n">
        <x:f>IF(M871=0,0,M871*N871+O871)</x:f>
        <x:v>23</x:v>
      </x:c>
      <x:c r="G871" s="28" t="n">
        <x:f>ROUND(Catalogue!G47*SQRT((1+'Paramètres'!$B$4*(C871-1)+'Paramètres'!$B$5*(C871-1)^2)),0)</x:f>
        <x:v>0</x:v>
      </x:c>
      <x:c r="H871" s="28" t="n">
        <x:f>ROUND(Catalogue!H47*SQRT((1+'Paramètres'!$B$4*(C871-1)+'Paramètres'!$B$5*(C871-1)^2)),0)</x:f>
        <x:v>0</x:v>
      </x:c>
      <x:c r="I871" s="28" t="n">
        <x:v>3</x:v>
      </x:c>
      <x:c r="J871" s="28" t="n">
        <x:v>2</x:v>
      </x:c>
      <x:c r="K871" s="30" t="n">
        <x:v>2.9</x:v>
      </x:c>
      <x:c r="L871" s="54" t="n">
        <x:f>IF(M871=0,0,(E871+F871)/2)</x:f>
        <x:v>18</x:v>
      </x:c>
      <x:c r="M871" t="n">
        <x:v>2</x:v>
      </x:c>
      <x:c r="N871" t="n">
        <x:v>6</x:v>
      </x:c>
      <x:c r="O871" t="n">
        <x:v>11</x:v>
      </x:c>
      <x:c r="P871" s="63" t="str">
        <x:f>IF(M871=0,"—",M871&amp;"d"&amp;N871&amp;IF(O871=0,""," + "&amp;O871))</x:f>
        <x:v>2d6 + 11</x:v>
      </x:c>
      <x:c r="Q871" t="n">
        <x:f>ROUND(INDEX(Catalogue!E$4:E$85,MATCH(A871,Catalogue!A$4:A$85,0))*(1+'Paramètres'!$B$4*(C871-1)+'Paramètres'!$B$5*(C871-1)^2),0)</x:f>
        <x:v>13</x:v>
      </x:c>
      <x:c r="R871" t="n">
        <x:f>ROUND(INDEX(Catalogue!F$4:F$85,MATCH(A871,Catalogue!A$4:A$85,0))*(1+'Paramètres'!$B$4*(C871-1)+'Paramètres'!$B$5*(C871-1)^2),0)</x:f>
        <x:v>23</x:v>
      </x:c>
      <x:c r="S871" t="n">
        <x:f>L871-AVERAGE(Q871:R871)</x:f>
        <x:v>0</x:v>
      </x:c>
      <x:c r="T871" t="str">
        <x:f>IF(M871=0,IF(AND(N871=0,O871=0,E871=0,F871=0),"OK","ERREUR"),IF(AND(M871&gt;=1,M871&lt;=32,OR(N871=4,N871=6,N871=8,N871=10,N871=12,N871=20),O871&gt;=0,E871=M871+O871,F871=M871*N871+O871),"OK","ERREUR"))</x:f>
        <x:v>OK</x:v>
      </x:c>
      <x:c r="U871" s="86" t="n">
        <x:f>IF(M871&gt;0,M871*(N871+1)/2+O871,0)</x:f>
        <x:v>18</x:v>
      </x:c>
      <x:c r="V871" t="str">
        <x:f>IF(ABS(L871-U871)&lt;0.001,"OK","ERREUR")</x:f>
        <x:v>OK</x:v>
      </x:c>
    </x:row>
    <x:row r="872" ht="18" customHeight="1">
      <x:c r="A872" t="str">
        <x:v>ARM044</x:v>
      </x:c>
      <x:c r="B872" t="str">
        <x:v>Trident</x:v>
      </x:c>
      <x:c r="C872" t="n">
        <x:v>9</x:v>
      </x:c>
      <x:c r="D872" t="str">
        <x:v>Armes d'hast</x:v>
      </x:c>
      <x:c r="E872" s="28" t="n">
        <x:f>IF(M872=0,0,M872+O872)</x:f>
        <x:v>15</x:v>
      </x:c>
      <x:c r="F872" s="28" t="n">
        <x:f>IF(M872=0,0,M872*N872+O872)</x:f>
        <x:v>26</x:v>
      </x:c>
      <x:c r="G872" s="28" t="n">
        <x:f>ROUND(Catalogue!G47*SQRT((1+'Paramètres'!$B$4*(C872-1)+'Paramètres'!$B$5*(C872-1)^2)),0)</x:f>
        <x:v>0</x:v>
      </x:c>
      <x:c r="H872" s="28" t="n">
        <x:f>ROUND(Catalogue!H47*SQRT((1+'Paramètres'!$B$4*(C872-1)+'Paramètres'!$B$5*(C872-1)^2)),0)</x:f>
        <x:v>0</x:v>
      </x:c>
      <x:c r="I872" s="28" t="n">
        <x:v>3</x:v>
      </x:c>
      <x:c r="J872" s="28" t="n">
        <x:v>2</x:v>
      </x:c>
      <x:c r="K872" s="30" t="n">
        <x:v>2.9</x:v>
      </x:c>
      <x:c r="L872" s="54" t="n">
        <x:f>IF(M872=0,0,(E872+F872)/2)</x:f>
        <x:v>20.5</x:v>
      </x:c>
      <x:c r="M872" t="n">
        <x:v>1</x:v>
      </x:c>
      <x:c r="N872" t="n">
        <x:v>12</x:v>
      </x:c>
      <x:c r="O872" t="n">
        <x:v>14</x:v>
      </x:c>
      <x:c r="P872" s="63" t="str">
        <x:f>IF(M872=0,"—",M872&amp;"d"&amp;N872&amp;IF(O872=0,""," + "&amp;O872))</x:f>
        <x:v>1d12 + 14</x:v>
      </x:c>
      <x:c r="Q872" t="n">
        <x:f>ROUND(INDEX(Catalogue!E$4:E$85,MATCH(A872,Catalogue!A$4:A$85,0))*(1+'Paramètres'!$B$4*(C872-1)+'Paramètres'!$B$5*(C872-1)^2),0)</x:f>
        <x:v>15</x:v>
      </x:c>
      <x:c r="R872" t="n">
        <x:f>ROUND(INDEX(Catalogue!F$4:F$85,MATCH(A872,Catalogue!A$4:A$85,0))*(1+'Paramètres'!$B$4*(C872-1)+'Paramètres'!$B$5*(C872-1)^2),0)</x:f>
        <x:v>26</x:v>
      </x:c>
      <x:c r="S872" t="n">
        <x:f>L872-AVERAGE(Q872:R872)</x:f>
        <x:v>0</x:v>
      </x:c>
      <x:c r="T872" t="str">
        <x:f>IF(M872=0,IF(AND(N872=0,O872=0,E872=0,F872=0),"OK","ERREUR"),IF(AND(M872&gt;=1,M872&lt;=32,OR(N872=4,N872=6,N872=8,N872=10,N872=12,N872=20),O872&gt;=0,E872=M872+O872,F872=M872*N872+O872),"OK","ERREUR"))</x:f>
        <x:v>OK</x:v>
      </x:c>
      <x:c r="U872" s="86" t="n">
        <x:f>IF(M872&gt;0,M872*(N872+1)/2+O872,0)</x:f>
        <x:v>20.5</x:v>
      </x:c>
      <x:c r="V872" t="str">
        <x:f>IF(ABS(L872-U872)&lt;0.001,"OK","ERREUR")</x:f>
        <x:v>OK</x:v>
      </x:c>
    </x:row>
    <x:row r="873" ht="18" customHeight="1">
      <x:c r="A873" t="str">
        <x:v>ARM044</x:v>
      </x:c>
      <x:c r="B873" t="str">
        <x:v>Trident</x:v>
      </x:c>
      <x:c r="C873" t="n">
        <x:v>10</x:v>
      </x:c>
      <x:c r="D873" t="str">
        <x:v>Armes d'hast</x:v>
      </x:c>
      <x:c r="E873" s="28" t="n">
        <x:f>IF(M873=0,0,M873+O873)</x:f>
        <x:v>16</x:v>
      </x:c>
      <x:c r="F873" s="28" t="n">
        <x:f>IF(M873=0,0,M873*N873+O873)</x:f>
        <x:v>30</x:v>
      </x:c>
      <x:c r="G873" s="28" t="n">
        <x:f>ROUND(Catalogue!G47*SQRT((1+'Paramètres'!$B$4*(C873-1)+'Paramètres'!$B$5*(C873-1)^2)),0)</x:f>
        <x:v>0</x:v>
      </x:c>
      <x:c r="H873" s="28" t="n">
        <x:f>ROUND(Catalogue!H47*SQRT((1+'Paramètres'!$B$4*(C873-1)+'Paramètres'!$B$5*(C873-1)^2)),0)</x:f>
        <x:v>0</x:v>
      </x:c>
      <x:c r="I873" s="28" t="n">
        <x:v>3</x:v>
      </x:c>
      <x:c r="J873" s="28" t="n">
        <x:v>2</x:v>
      </x:c>
      <x:c r="K873" s="30" t="n">
        <x:v>2.9</x:v>
      </x:c>
      <x:c r="L873" s="54" t="n">
        <x:f>IF(M873=0,0,(E873+F873)/2)</x:f>
        <x:v>23</x:v>
      </x:c>
      <x:c r="M873" t="n">
        <x:v>2</x:v>
      </x:c>
      <x:c r="N873" t="n">
        <x:v>8</x:v>
      </x:c>
      <x:c r="O873" t="n">
        <x:v>14</x:v>
      </x:c>
      <x:c r="P873" s="63" t="str">
        <x:f>IF(M873=0,"—",M873&amp;"d"&amp;N873&amp;IF(O873=0,""," + "&amp;O873))</x:f>
        <x:v>2d8 + 14</x:v>
      </x:c>
      <x:c r="Q873" t="n">
        <x:f>ROUND(INDEX(Catalogue!E$4:E$85,MATCH(A873,Catalogue!A$4:A$85,0))*(1+'Paramètres'!$B$4*(C873-1)+'Paramètres'!$B$5*(C873-1)^2),0)</x:f>
        <x:v>16</x:v>
      </x:c>
      <x:c r="R873" t="n">
        <x:f>ROUND(INDEX(Catalogue!F$4:F$85,MATCH(A873,Catalogue!A$4:A$85,0))*(1+'Paramètres'!$B$4*(C873-1)+'Paramètres'!$B$5*(C873-1)^2),0)</x:f>
        <x:v>30</x:v>
      </x:c>
      <x:c r="S873" t="n">
        <x:f>L873-AVERAGE(Q873:R873)</x:f>
        <x:v>0</x:v>
      </x:c>
      <x:c r="T873" t="str">
        <x:f>IF(M873=0,IF(AND(N873=0,O873=0,E873=0,F873=0),"OK","ERREUR"),IF(AND(M873&gt;=1,M873&lt;=32,OR(N873=4,N873=6,N873=8,N873=10,N873=12,N873=20),O873&gt;=0,E873=M873+O873,F873=M873*N873+O873),"OK","ERREUR"))</x:f>
        <x:v>OK</x:v>
      </x:c>
      <x:c r="U873" s="86" t="n">
        <x:f>IF(M873&gt;0,M873*(N873+1)/2+O873,0)</x:f>
        <x:v>23</x:v>
      </x:c>
      <x:c r="V873" t="str">
        <x:f>IF(ABS(L873-U873)&lt;0.001,"OK","ERREUR")</x:f>
        <x:v>OK</x:v>
      </x:c>
    </x:row>
    <x:row r="874" ht="18" customHeight="1">
      <x:c r="A874" t="str">
        <x:v>ARM044</x:v>
      </x:c>
      <x:c r="B874" t="str">
        <x:v>Trident</x:v>
      </x:c>
      <x:c r="C874" t="n">
        <x:v>11</x:v>
      </x:c>
      <x:c r="D874" t="str">
        <x:v>Armes d'hast</x:v>
      </x:c>
      <x:c r="E874" s="28" t="n">
        <x:f>IF(M874=0,0,M874+O874)</x:f>
        <x:v>19</x:v>
      </x:c>
      <x:c r="F874" s="28" t="n">
        <x:f>IF(M874=0,0,M874*N874+O874)</x:f>
        <x:v>33</x:v>
      </x:c>
      <x:c r="G874" s="28" t="n">
        <x:f>ROUND(Catalogue!G47*SQRT((1+'Paramètres'!$B$4*(C874-1)+'Paramètres'!$B$5*(C874-1)^2)),0)</x:f>
        <x:v>0</x:v>
      </x:c>
      <x:c r="H874" s="28" t="n">
        <x:f>ROUND(Catalogue!H47*SQRT((1+'Paramètres'!$B$4*(C874-1)+'Paramètres'!$B$5*(C874-1)^2)),0)</x:f>
        <x:v>0</x:v>
      </x:c>
      <x:c r="I874" s="28" t="n">
        <x:v>3</x:v>
      </x:c>
      <x:c r="J874" s="28" t="n">
        <x:v>2</x:v>
      </x:c>
      <x:c r="K874" s="30" t="n">
        <x:v>2.9</x:v>
      </x:c>
      <x:c r="L874" s="54" t="n">
        <x:f>IF(M874=0,0,(E874+F874)/2)</x:f>
        <x:v>26</x:v>
      </x:c>
      <x:c r="M874" t="n">
        <x:v>2</x:v>
      </x:c>
      <x:c r="N874" t="n">
        <x:v>8</x:v>
      </x:c>
      <x:c r="O874" t="n">
        <x:v>17</x:v>
      </x:c>
      <x:c r="P874" s="63" t="str">
        <x:f>IF(M874=0,"—",M874&amp;"d"&amp;N874&amp;IF(O874=0,""," + "&amp;O874))</x:f>
        <x:v>2d8 + 17</x:v>
      </x:c>
      <x:c r="Q874" t="n">
        <x:f>ROUND(INDEX(Catalogue!E$4:E$85,MATCH(A874,Catalogue!A$4:A$85,0))*(1+'Paramètres'!$B$4*(C874-1)+'Paramètres'!$B$5*(C874-1)^2),0)</x:f>
        <x:v>19</x:v>
      </x:c>
      <x:c r="R874" t="n">
        <x:f>ROUND(INDEX(Catalogue!F$4:F$85,MATCH(A874,Catalogue!A$4:A$85,0))*(1+'Paramètres'!$B$4*(C874-1)+'Paramètres'!$B$5*(C874-1)^2),0)</x:f>
        <x:v>33</x:v>
      </x:c>
      <x:c r="S874" t="n">
        <x:f>L874-AVERAGE(Q874:R874)</x:f>
        <x:v>0</x:v>
      </x:c>
      <x:c r="T874" t="str">
        <x:f>IF(M874=0,IF(AND(N874=0,O874=0,E874=0,F874=0),"OK","ERREUR"),IF(AND(M874&gt;=1,M874&lt;=32,OR(N874=4,N874=6,N874=8,N874=10,N874=12,N874=20),O874&gt;=0,E874=M874+O874,F874=M874*N874+O874),"OK","ERREUR"))</x:f>
        <x:v>OK</x:v>
      </x:c>
      <x:c r="U874" s="86" t="n">
        <x:f>IF(M874&gt;0,M874*(N874+1)/2+O874,0)</x:f>
        <x:v>26</x:v>
      </x:c>
      <x:c r="V874" t="str">
        <x:f>IF(ABS(L874-U874)&lt;0.001,"OK","ERREUR")</x:f>
        <x:v>OK</x:v>
      </x:c>
    </x:row>
    <x:row r="875" ht="18" customHeight="1">
      <x:c r="A875" t="str">
        <x:v>ARM044</x:v>
      </x:c>
      <x:c r="B875" t="str">
        <x:v>Trident</x:v>
      </x:c>
      <x:c r="C875" t="n">
        <x:v>12</x:v>
      </x:c>
      <x:c r="D875" t="str">
        <x:v>Armes d'hast</x:v>
      </x:c>
      <x:c r="E875" s="28" t="n">
        <x:f>IF(M875=0,0,M875+O875)</x:f>
        <x:v>21</x:v>
      </x:c>
      <x:c r="F875" s="28" t="n">
        <x:f>IF(M875=0,0,M875*N875+O875)</x:f>
        <x:v>36</x:v>
      </x:c>
      <x:c r="G875" s="28" t="n">
        <x:f>ROUND(Catalogue!G47*SQRT((1+'Paramètres'!$B$4*(C875-1)+'Paramètres'!$B$5*(C875-1)^2)),0)</x:f>
        <x:v>0</x:v>
      </x:c>
      <x:c r="H875" s="28" t="n">
        <x:f>ROUND(Catalogue!H47*SQRT((1+'Paramètres'!$B$4*(C875-1)+'Paramètres'!$B$5*(C875-1)^2)),0)</x:f>
        <x:v>0</x:v>
      </x:c>
      <x:c r="I875" s="28" t="n">
        <x:v>3</x:v>
      </x:c>
      <x:c r="J875" s="28" t="n">
        <x:v>2</x:v>
      </x:c>
      <x:c r="K875" s="30" t="n">
        <x:v>2.9</x:v>
      </x:c>
      <x:c r="L875" s="54" t="n">
        <x:f>IF(M875=0,0,(E875+F875)/2)</x:f>
        <x:v>28.5</x:v>
      </x:c>
      <x:c r="M875" t="n">
        <x:v>3</x:v>
      </x:c>
      <x:c r="N875" t="n">
        <x:v>6</x:v>
      </x:c>
      <x:c r="O875" t="n">
        <x:v>18</x:v>
      </x:c>
      <x:c r="P875" s="63" t="str">
        <x:f>IF(M875=0,"—",M875&amp;"d"&amp;N875&amp;IF(O875=0,""," + "&amp;O875))</x:f>
        <x:v>3d6 + 18</x:v>
      </x:c>
      <x:c r="Q875" t="n">
        <x:f>ROUND(INDEX(Catalogue!E$4:E$85,MATCH(A875,Catalogue!A$4:A$85,0))*(1+'Paramètres'!$B$4*(C875-1)+'Paramètres'!$B$5*(C875-1)^2),0)</x:f>
        <x:v>21</x:v>
      </x:c>
      <x:c r="R875" t="n">
        <x:f>ROUND(INDEX(Catalogue!F$4:F$85,MATCH(A875,Catalogue!A$4:A$85,0))*(1+'Paramètres'!$B$4*(C875-1)+'Paramètres'!$B$5*(C875-1)^2),0)</x:f>
        <x:v>37</x:v>
      </x:c>
      <x:c r="S875" t="n">
        <x:f>L875-AVERAGE(Q875:R875)</x:f>
        <x:v>-0.5</x:v>
      </x:c>
      <x:c r="T875" t="str">
        <x:f>IF(M875=0,IF(AND(N875=0,O875=0,E875=0,F875=0),"OK","ERREUR"),IF(AND(M875&gt;=1,M875&lt;=32,OR(N875=4,N875=6,N875=8,N875=10,N875=12,N875=20),O875&gt;=0,E875=M875+O875,F875=M875*N875+O875),"OK","ERREUR"))</x:f>
        <x:v>OK</x:v>
      </x:c>
      <x:c r="U875" s="86" t="n">
        <x:f>IF(M875&gt;0,M875*(N875+1)/2+O875,0)</x:f>
        <x:v>28.5</x:v>
      </x:c>
      <x:c r="V875" t="str">
        <x:f>IF(ABS(L875-U875)&lt;0.001,"OK","ERREUR")</x:f>
        <x:v>OK</x:v>
      </x:c>
    </x:row>
    <x:row r="876" ht="18" customHeight="1">
      <x:c r="A876" t="str">
        <x:v>ARM044</x:v>
      </x:c>
      <x:c r="B876" t="str">
        <x:v>Trident</x:v>
      </x:c>
      <x:c r="C876" t="n">
        <x:v>13</x:v>
      </x:c>
      <x:c r="D876" t="str">
        <x:v>Armes d'hast</x:v>
      </x:c>
      <x:c r="E876" s="28" t="n">
        <x:f>IF(M876=0,0,M876+O876)</x:f>
        <x:v>23</x:v>
      </x:c>
      <x:c r="F876" s="28" t="n">
        <x:f>IF(M876=0,0,M876*N876+O876)</x:f>
        <x:v>41</x:v>
      </x:c>
      <x:c r="G876" s="28" t="n">
        <x:f>ROUND(Catalogue!G47*SQRT((1+'Paramètres'!$B$4*(C876-1)+'Paramètres'!$B$5*(C876-1)^2)),0)</x:f>
        <x:v>0</x:v>
      </x:c>
      <x:c r="H876" s="28" t="n">
        <x:f>ROUND(Catalogue!H47*SQRT((1+'Paramètres'!$B$4*(C876-1)+'Paramètres'!$B$5*(C876-1)^2)),0)</x:f>
        <x:v>0</x:v>
      </x:c>
      <x:c r="I876" s="28" t="n">
        <x:v>3</x:v>
      </x:c>
      <x:c r="J876" s="28" t="n">
        <x:v>2</x:v>
      </x:c>
      <x:c r="K876" s="30" t="n">
        <x:v>2.9</x:v>
      </x:c>
      <x:c r="L876" s="54" t="n">
        <x:f>IF(M876=0,0,(E876+F876)/2)</x:f>
        <x:v>32</x:v>
      </x:c>
      <x:c r="M876" t="n">
        <x:v>2</x:v>
      </x:c>
      <x:c r="N876" t="n">
        <x:v>10</x:v>
      </x:c>
      <x:c r="O876" t="n">
        <x:v>21</x:v>
      </x:c>
      <x:c r="P876" s="63" t="str">
        <x:f>IF(M876=0,"—",M876&amp;"d"&amp;N876&amp;IF(O876=0,""," + "&amp;O876))</x:f>
        <x:v>2d10 + 21</x:v>
      </x:c>
      <x:c r="Q876" t="n">
        <x:f>ROUND(INDEX(Catalogue!E$4:E$85,MATCH(A876,Catalogue!A$4:A$85,0))*(1+'Paramètres'!$B$4*(C876-1)+'Paramètres'!$B$5*(C876-1)^2),0)</x:f>
        <x:v>23</x:v>
      </x:c>
      <x:c r="R876" t="n">
        <x:f>ROUND(INDEX(Catalogue!F$4:F$85,MATCH(A876,Catalogue!A$4:A$85,0))*(1+'Paramètres'!$B$4*(C876-1)+'Paramètres'!$B$5*(C876-1)^2),0)</x:f>
        <x:v>42</x:v>
      </x:c>
      <x:c r="S876" t="n">
        <x:f>L876-AVERAGE(Q876:R876)</x:f>
        <x:v>-0.5</x:v>
      </x:c>
      <x:c r="T876" t="str">
        <x:f>IF(M876=0,IF(AND(N876=0,O876=0,E876=0,F876=0),"OK","ERREUR"),IF(AND(M876&gt;=1,M876&lt;=32,OR(N876=4,N876=6,N876=8,N876=10,N876=12,N876=20),O876&gt;=0,E876=M876+O876,F876=M876*N876+O876),"OK","ERREUR"))</x:f>
        <x:v>OK</x:v>
      </x:c>
      <x:c r="U876" s="86" t="n">
        <x:f>IF(M876&gt;0,M876*(N876+1)/2+O876,0)</x:f>
        <x:v>32</x:v>
      </x:c>
      <x:c r="V876" t="str">
        <x:f>IF(ABS(L876-U876)&lt;0.001,"OK","ERREUR")</x:f>
        <x:v>OK</x:v>
      </x:c>
    </x:row>
    <x:row r="877" ht="18" customHeight="1">
      <x:c r="A877" t="str">
        <x:v>ARM044</x:v>
      </x:c>
      <x:c r="B877" t="str">
        <x:v>Trident</x:v>
      </x:c>
      <x:c r="C877" t="n">
        <x:v>14</x:v>
      </x:c>
      <x:c r="D877" t="str">
        <x:v>Armes d'hast</x:v>
      </x:c>
      <x:c r="E877" s="28" t="n">
        <x:f>IF(M877=0,0,M877+O877)</x:f>
        <x:v>26</x:v>
      </x:c>
      <x:c r="F877" s="28" t="n">
        <x:f>IF(M877=0,0,M877*N877+O877)</x:f>
        <x:v>46</x:v>
      </x:c>
      <x:c r="G877" s="28" t="n">
        <x:f>ROUND(Catalogue!G47*SQRT((1+'Paramètres'!$B$4*(C877-1)+'Paramètres'!$B$5*(C877-1)^2)),0)</x:f>
        <x:v>0</x:v>
      </x:c>
      <x:c r="H877" s="28" t="n">
        <x:f>ROUND(Catalogue!H47*SQRT((1+'Paramètres'!$B$4*(C877-1)+'Paramètres'!$B$5*(C877-1)^2)),0)</x:f>
        <x:v>0</x:v>
      </x:c>
      <x:c r="I877" s="28" t="n">
        <x:v>3</x:v>
      </x:c>
      <x:c r="J877" s="28" t="n">
        <x:v>2</x:v>
      </x:c>
      <x:c r="K877" s="30" t="n">
        <x:v>2.9</x:v>
      </x:c>
      <x:c r="L877" s="54" t="n">
        <x:f>IF(M877=0,0,(E877+F877)/2)</x:f>
        <x:v>36</x:v>
      </x:c>
      <x:c r="M877" t="n">
        <x:v>4</x:v>
      </x:c>
      <x:c r="N877" t="n">
        <x:v>6</x:v>
      </x:c>
      <x:c r="O877" t="n">
        <x:v>22</x:v>
      </x:c>
      <x:c r="P877" s="63" t="str">
        <x:f>IF(M877=0,"—",M877&amp;"d"&amp;N877&amp;IF(O877=0,""," + "&amp;O877))</x:f>
        <x:v>4d6 + 22</x:v>
      </x:c>
      <x:c r="Q877" t="n">
        <x:f>ROUND(INDEX(Catalogue!E$4:E$85,MATCH(A877,Catalogue!A$4:A$85,0))*(1+'Paramètres'!$B$4*(C877-1)+'Paramètres'!$B$5*(C877-1)^2),0)</x:f>
        <x:v>26</x:v>
      </x:c>
      <x:c r="R877" t="n">
        <x:f>ROUND(INDEX(Catalogue!F$4:F$85,MATCH(A877,Catalogue!A$4:A$85,0))*(1+'Paramètres'!$B$4*(C877-1)+'Paramètres'!$B$5*(C877-1)^2),0)</x:f>
        <x:v>46</x:v>
      </x:c>
      <x:c r="S877" t="n">
        <x:f>L877-AVERAGE(Q877:R877)</x:f>
        <x:v>0</x:v>
      </x:c>
      <x:c r="T877" t="str">
        <x:f>IF(M877=0,IF(AND(N877=0,O877=0,E877=0,F877=0),"OK","ERREUR"),IF(AND(M877&gt;=1,M877&lt;=32,OR(N877=4,N877=6,N877=8,N877=10,N877=12,N877=20),O877&gt;=0,E877=M877+O877,F877=M877*N877+O877),"OK","ERREUR"))</x:f>
        <x:v>OK</x:v>
      </x:c>
      <x:c r="U877" s="86" t="n">
        <x:f>IF(M877&gt;0,M877*(N877+1)/2+O877,0)</x:f>
        <x:v>36</x:v>
      </x:c>
      <x:c r="V877" t="str">
        <x:f>IF(ABS(L877-U877)&lt;0.001,"OK","ERREUR")</x:f>
        <x:v>OK</x:v>
      </x:c>
    </x:row>
    <x:row r="878" ht="18" customHeight="1">
      <x:c r="A878" t="str">
        <x:v>ARM044</x:v>
      </x:c>
      <x:c r="B878" t="str">
        <x:v>Trident</x:v>
      </x:c>
      <x:c r="C878" t="n">
        <x:v>15</x:v>
      </x:c>
      <x:c r="D878" t="str">
        <x:v>Armes d'hast</x:v>
      </x:c>
      <x:c r="E878" s="28" t="n">
        <x:f>IF(M878=0,0,M878+O878)</x:f>
        <x:v>28</x:v>
      </x:c>
      <x:c r="F878" s="28" t="n">
        <x:f>IF(M878=0,0,M878*N878+O878)</x:f>
        <x:v>50</x:v>
      </x:c>
      <x:c r="G878" s="28" t="n">
        <x:f>ROUND(Catalogue!G47*SQRT((1+'Paramètres'!$B$4*(C878-1)+'Paramètres'!$B$5*(C878-1)^2)),0)</x:f>
        <x:v>0</x:v>
      </x:c>
      <x:c r="H878" s="28" t="n">
        <x:f>ROUND(Catalogue!H47*SQRT((1+'Paramètres'!$B$4*(C878-1)+'Paramètres'!$B$5*(C878-1)^2)),0)</x:f>
        <x:v>0</x:v>
      </x:c>
      <x:c r="I878" s="28" t="n">
        <x:v>3</x:v>
      </x:c>
      <x:c r="J878" s="28" t="n">
        <x:v>2</x:v>
      </x:c>
      <x:c r="K878" s="30" t="n">
        <x:v>2.9</x:v>
      </x:c>
      <x:c r="L878" s="54" t="n">
        <x:f>IF(M878=0,0,(E878+F878)/2)</x:f>
        <x:v>39</x:v>
      </x:c>
      <x:c r="M878" t="n">
        <x:v>2</x:v>
      </x:c>
      <x:c r="N878" t="n">
        <x:v>12</x:v>
      </x:c>
      <x:c r="O878" t="n">
        <x:v>26</x:v>
      </x:c>
      <x:c r="P878" s="63" t="str">
        <x:f>IF(M878=0,"—",M878&amp;"d"&amp;N878&amp;IF(O878=0,""," + "&amp;O878))</x:f>
        <x:v>2d12 + 26</x:v>
      </x:c>
      <x:c r="Q878" t="n">
        <x:f>ROUND(INDEX(Catalogue!E$4:E$85,MATCH(A878,Catalogue!A$4:A$85,0))*(1+'Paramètres'!$B$4*(C878-1)+'Paramètres'!$B$5*(C878-1)^2),0)</x:f>
        <x:v>28</x:v>
      </x:c>
      <x:c r="R878" t="n">
        <x:f>ROUND(INDEX(Catalogue!F$4:F$85,MATCH(A878,Catalogue!A$4:A$85,0))*(1+'Paramètres'!$B$4*(C878-1)+'Paramètres'!$B$5*(C878-1)^2),0)</x:f>
        <x:v>51</x:v>
      </x:c>
      <x:c r="S878" t="n">
        <x:f>L878-AVERAGE(Q878:R878)</x:f>
        <x:v>-0.5</x:v>
      </x:c>
      <x:c r="T878" t="str">
        <x:f>IF(M878=0,IF(AND(N878=0,O878=0,E878=0,F878=0),"OK","ERREUR"),IF(AND(M878&gt;=1,M878&lt;=32,OR(N878=4,N878=6,N878=8,N878=10,N878=12,N878=20),O878&gt;=0,E878=M878+O878,F878=M878*N878+O878),"OK","ERREUR"))</x:f>
        <x:v>OK</x:v>
      </x:c>
      <x:c r="U878" s="86" t="n">
        <x:f>IF(M878&gt;0,M878*(N878+1)/2+O878,0)</x:f>
        <x:v>39</x:v>
      </x:c>
      <x:c r="V878" t="str">
        <x:f>IF(ABS(L878-U878)&lt;0.001,"OK","ERREUR")</x:f>
        <x:v>OK</x:v>
      </x:c>
    </x:row>
    <x:row r="879" ht="18" customHeight="1">
      <x:c r="A879" t="str">
        <x:v>ARM044</x:v>
      </x:c>
      <x:c r="B879" t="str">
        <x:v>Trident</x:v>
      </x:c>
      <x:c r="C879" t="n">
        <x:v>16</x:v>
      </x:c>
      <x:c r="D879" t="str">
        <x:v>Armes d'hast</x:v>
      </x:c>
      <x:c r="E879" s="28" t="n">
        <x:f>IF(M879=0,0,M879+O879)</x:f>
        <x:v>31</x:v>
      </x:c>
      <x:c r="F879" s="28" t="n">
        <x:f>IF(M879=0,0,M879*N879+O879)</x:f>
        <x:v>56</x:v>
      </x:c>
      <x:c r="G879" s="28" t="n">
        <x:f>ROUND(Catalogue!G47*SQRT((1+'Paramètres'!$B$4*(C879-1)+'Paramètres'!$B$5*(C879-1)^2)),0)</x:f>
        <x:v>0</x:v>
      </x:c>
      <x:c r="H879" s="28" t="n">
        <x:f>ROUND(Catalogue!H47*SQRT((1+'Paramètres'!$B$4*(C879-1)+'Paramètres'!$B$5*(C879-1)^2)),0)</x:f>
        <x:v>0</x:v>
      </x:c>
      <x:c r="I879" s="28" t="n">
        <x:v>3</x:v>
      </x:c>
      <x:c r="J879" s="28" t="n">
        <x:v>2</x:v>
      </x:c>
      <x:c r="K879" s="30" t="n">
        <x:v>2.9</x:v>
      </x:c>
      <x:c r="L879" s="54" t="n">
        <x:f>IF(M879=0,0,(E879+F879)/2)</x:f>
        <x:v>43.5</x:v>
      </x:c>
      <x:c r="M879" t="n">
        <x:v>5</x:v>
      </x:c>
      <x:c r="N879" t="n">
        <x:v>6</x:v>
      </x:c>
      <x:c r="O879" t="n">
        <x:v>26</x:v>
      </x:c>
      <x:c r="P879" s="63" t="str">
        <x:f>IF(M879=0,"—",M879&amp;"d"&amp;N879&amp;IF(O879=0,""," + "&amp;O879))</x:f>
        <x:v>5d6 + 26</x:v>
      </x:c>
      <x:c r="Q879" t="n">
        <x:f>ROUND(INDEX(Catalogue!E$4:E$85,MATCH(A879,Catalogue!A$4:A$85,0))*(1+'Paramètres'!$B$4*(C879-1)+'Paramètres'!$B$5*(C879-1)^2),0)</x:f>
        <x:v>31</x:v>
      </x:c>
      <x:c r="R879" t="n">
        <x:f>ROUND(INDEX(Catalogue!F$4:F$85,MATCH(A879,Catalogue!A$4:A$85,0))*(1+'Paramètres'!$B$4*(C879-1)+'Paramètres'!$B$5*(C879-1)^2),0)</x:f>
        <x:v>56</x:v>
      </x:c>
      <x:c r="S879" t="n">
        <x:f>L879-AVERAGE(Q879:R879)</x:f>
        <x:v>0</x:v>
      </x:c>
      <x:c r="T879" t="str">
        <x:f>IF(M879=0,IF(AND(N879=0,O879=0,E879=0,F879=0),"OK","ERREUR"),IF(AND(M879&gt;=1,M879&lt;=32,OR(N879=4,N879=6,N879=8,N879=10,N879=12,N879=20),O879&gt;=0,E879=M879+O879,F879=M879*N879+O879),"OK","ERREUR"))</x:f>
        <x:v>OK</x:v>
      </x:c>
      <x:c r="U879" s="86" t="n">
        <x:f>IF(M879&gt;0,M879*(N879+1)/2+O879,0)</x:f>
        <x:v>43.5</x:v>
      </x:c>
      <x:c r="V879" t="str">
        <x:f>IF(ABS(L879-U879)&lt;0.001,"OK","ERREUR")</x:f>
        <x:v>OK</x:v>
      </x:c>
    </x:row>
    <x:row r="880" ht="18" customHeight="1">
      <x:c r="A880" t="str">
        <x:v>ARM044</x:v>
      </x:c>
      <x:c r="B880" t="str">
        <x:v>Trident</x:v>
      </x:c>
      <x:c r="C880" t="n">
        <x:v>17</x:v>
      </x:c>
      <x:c r="D880" t="str">
        <x:v>Armes d'hast</x:v>
      </x:c>
      <x:c r="E880" s="28" t="n">
        <x:f>IF(M880=0,0,M880+O880)</x:f>
        <x:v>34</x:v>
      </x:c>
      <x:c r="F880" s="28" t="n">
        <x:f>IF(M880=0,0,M880*N880+O880)</x:f>
        <x:v>62</x:v>
      </x:c>
      <x:c r="G880" s="28" t="n">
        <x:f>ROUND(Catalogue!G47*SQRT((1+'Paramètres'!$B$4*(C880-1)+'Paramètres'!$B$5*(C880-1)^2)),0)</x:f>
        <x:v>0</x:v>
      </x:c>
      <x:c r="H880" s="28" t="n">
        <x:f>ROUND(Catalogue!H47*SQRT((1+'Paramètres'!$B$4*(C880-1)+'Paramètres'!$B$5*(C880-1)^2)),0)</x:f>
        <x:v>0</x:v>
      </x:c>
      <x:c r="I880" s="28" t="n">
        <x:v>3</x:v>
      </x:c>
      <x:c r="J880" s="28" t="n">
        <x:v>2</x:v>
      </x:c>
      <x:c r="K880" s="30" t="n">
        <x:v>2.9</x:v>
      </x:c>
      <x:c r="L880" s="54" t="n">
        <x:f>IF(M880=0,0,(E880+F880)/2)</x:f>
        <x:v>48</x:v>
      </x:c>
      <x:c r="M880" t="n">
        <x:v>4</x:v>
      </x:c>
      <x:c r="N880" t="n">
        <x:v>8</x:v>
      </x:c>
      <x:c r="O880" t="n">
        <x:v>30</x:v>
      </x:c>
      <x:c r="P880" s="63" t="str">
        <x:f>IF(M880=0,"—",M880&amp;"d"&amp;N880&amp;IF(O880=0,""," + "&amp;O880))</x:f>
        <x:v>4d8 + 30</x:v>
      </x:c>
      <x:c r="Q880" t="n">
        <x:f>ROUND(INDEX(Catalogue!E$4:E$85,MATCH(A880,Catalogue!A$4:A$85,0))*(1+'Paramètres'!$B$4*(C880-1)+'Paramètres'!$B$5*(C880-1)^2),0)</x:f>
        <x:v>34</x:v>
      </x:c>
      <x:c r="R880" t="n">
        <x:f>ROUND(INDEX(Catalogue!F$4:F$85,MATCH(A880,Catalogue!A$4:A$85,0))*(1+'Paramètres'!$B$4*(C880-1)+'Paramètres'!$B$5*(C880-1)^2),0)</x:f>
        <x:v>62</x:v>
      </x:c>
      <x:c r="S880" t="n">
        <x:f>L880-AVERAGE(Q880:R880)</x:f>
        <x:v>0</x:v>
      </x:c>
      <x:c r="T880" t="str">
        <x:f>IF(M880=0,IF(AND(N880=0,O880=0,E880=0,F880=0),"OK","ERREUR"),IF(AND(M880&gt;=1,M880&lt;=32,OR(N880=4,N880=6,N880=8,N880=10,N880=12,N880=20),O880&gt;=0,E880=M880+O880,F880=M880*N880+O880),"OK","ERREUR"))</x:f>
        <x:v>OK</x:v>
      </x:c>
      <x:c r="U880" s="86" t="n">
        <x:f>IF(M880&gt;0,M880*(N880+1)/2+O880,0)</x:f>
        <x:v>48</x:v>
      </x:c>
      <x:c r="V880" t="str">
        <x:f>IF(ABS(L880-U880)&lt;0.001,"OK","ERREUR")</x:f>
        <x:v>OK</x:v>
      </x:c>
    </x:row>
    <x:row r="881" ht="18" customHeight="1">
      <x:c r="A881" t="str">
        <x:v>ARM044</x:v>
      </x:c>
      <x:c r="B881" t="str">
        <x:v>Trident</x:v>
      </x:c>
      <x:c r="C881" t="n">
        <x:v>18</x:v>
      </x:c>
      <x:c r="D881" t="str">
        <x:v>Armes d'hast</x:v>
      </x:c>
      <x:c r="E881" s="28" t="n">
        <x:f>IF(M881=0,0,M881+O881)</x:f>
        <x:v>37</x:v>
      </x:c>
      <x:c r="F881" s="28" t="n">
        <x:f>IF(M881=0,0,M881*N881+O881)</x:f>
        <x:v>67</x:v>
      </x:c>
      <x:c r="G881" s="28" t="n">
        <x:f>ROUND(Catalogue!G47*SQRT((1+'Paramètres'!$B$4*(C881-1)+'Paramètres'!$B$5*(C881-1)^2)),0)</x:f>
        <x:v>0</x:v>
      </x:c>
      <x:c r="H881" s="28" t="n">
        <x:f>ROUND(Catalogue!H47*SQRT((1+'Paramètres'!$B$4*(C881-1)+'Paramètres'!$B$5*(C881-1)^2)),0)</x:f>
        <x:v>0</x:v>
      </x:c>
      <x:c r="I881" s="28" t="n">
        <x:v>3</x:v>
      </x:c>
      <x:c r="J881" s="28" t="n">
        <x:v>2</x:v>
      </x:c>
      <x:c r="K881" s="30" t="n">
        <x:v>2.9</x:v>
      </x:c>
      <x:c r="L881" s="54" t="n">
        <x:f>IF(M881=0,0,(E881+F881)/2)</x:f>
        <x:v>52</x:v>
      </x:c>
      <x:c r="M881" t="n">
        <x:v>6</x:v>
      </x:c>
      <x:c r="N881" t="n">
        <x:v>6</x:v>
      </x:c>
      <x:c r="O881" t="n">
        <x:v>31</x:v>
      </x:c>
      <x:c r="P881" s="63" t="str">
        <x:f>IF(M881=0,"—",M881&amp;"d"&amp;N881&amp;IF(O881=0,""," + "&amp;O881))</x:f>
        <x:v>6d6 + 31</x:v>
      </x:c>
      <x:c r="Q881" t="n">
        <x:f>ROUND(INDEX(Catalogue!E$4:E$85,MATCH(A881,Catalogue!A$4:A$85,0))*(1+'Paramètres'!$B$4*(C881-1)+'Paramètres'!$B$5*(C881-1)^2),0)</x:f>
        <x:v>37</x:v>
      </x:c>
      <x:c r="R881" t="n">
        <x:f>ROUND(INDEX(Catalogue!F$4:F$85,MATCH(A881,Catalogue!A$4:A$85,0))*(1+'Paramètres'!$B$4*(C881-1)+'Paramètres'!$B$5*(C881-1)^2),0)</x:f>
        <x:v>67</x:v>
      </x:c>
      <x:c r="S881" t="n">
        <x:f>L881-AVERAGE(Q881:R881)</x:f>
        <x:v>0</x:v>
      </x:c>
      <x:c r="T881" t="str">
        <x:f>IF(M881=0,IF(AND(N881=0,O881=0,E881=0,F881=0),"OK","ERREUR"),IF(AND(M881&gt;=1,M881&lt;=32,OR(N881=4,N881=6,N881=8,N881=10,N881=12,N881=20),O881&gt;=0,E881=M881+O881,F881=M881*N881+O881),"OK","ERREUR"))</x:f>
        <x:v>OK</x:v>
      </x:c>
      <x:c r="U881" s="86" t="n">
        <x:f>IF(M881&gt;0,M881*(N881+1)/2+O881,0)</x:f>
        <x:v>52</x:v>
      </x:c>
      <x:c r="V881" t="str">
        <x:f>IF(ABS(L881-U881)&lt;0.001,"OK","ERREUR")</x:f>
        <x:v>OK</x:v>
      </x:c>
    </x:row>
    <x:row r="882" ht="18" customHeight="1">
      <x:c r="A882" t="str">
        <x:v>ARM044</x:v>
      </x:c>
      <x:c r="B882" t="str">
        <x:v>Trident</x:v>
      </x:c>
      <x:c r="C882" t="n">
        <x:v>19</x:v>
      </x:c>
      <x:c r="D882" t="str">
        <x:v>Armes d'hast</x:v>
      </x:c>
      <x:c r="E882" s="28" t="n">
        <x:f>IF(M882=0,0,M882+O882)</x:f>
        <x:v>40</x:v>
      </x:c>
      <x:c r="F882" s="28" t="n">
        <x:f>IF(M882=0,0,M882*N882+O882)</x:f>
        <x:v>73</x:v>
      </x:c>
      <x:c r="G882" s="28" t="n">
        <x:f>ROUND(Catalogue!G47*SQRT((1+'Paramètres'!$B$4*(C882-1)+'Paramètres'!$B$5*(C882-1)^2)),0)</x:f>
        <x:v>0</x:v>
      </x:c>
      <x:c r="H882" s="28" t="n">
        <x:f>ROUND(Catalogue!H47*SQRT((1+'Paramètres'!$B$4*(C882-1)+'Paramètres'!$B$5*(C882-1)^2)),0)</x:f>
        <x:v>0</x:v>
      </x:c>
      <x:c r="I882" s="28" t="n">
        <x:v>3</x:v>
      </x:c>
      <x:c r="J882" s="28" t="n">
        <x:v>2</x:v>
      </x:c>
      <x:c r="K882" s="30" t="n">
        <x:v>2.9</x:v>
      </x:c>
      <x:c r="L882" s="54" t="n">
        <x:f>IF(M882=0,0,(E882+F882)/2)</x:f>
        <x:v>56.5</x:v>
      </x:c>
      <x:c r="M882" t="n">
        <x:v>3</x:v>
      </x:c>
      <x:c r="N882" t="n">
        <x:v>12</x:v>
      </x:c>
      <x:c r="O882" t="n">
        <x:v>37</x:v>
      </x:c>
      <x:c r="P882" s="63" t="str">
        <x:f>IF(M882=0,"—",M882&amp;"d"&amp;N882&amp;IF(O882=0,""," + "&amp;O882))</x:f>
        <x:v>3d12 + 37</x:v>
      </x:c>
      <x:c r="Q882" t="n">
        <x:f>ROUND(INDEX(Catalogue!E$4:E$85,MATCH(A882,Catalogue!A$4:A$85,0))*(1+'Paramètres'!$B$4*(C882-1)+'Paramètres'!$B$5*(C882-1)^2),0)</x:f>
        <x:v>41</x:v>
      </x:c>
      <x:c r="R882" t="n">
        <x:f>ROUND(INDEX(Catalogue!F$4:F$85,MATCH(A882,Catalogue!A$4:A$85,0))*(1+'Paramètres'!$B$4*(C882-1)+'Paramètres'!$B$5*(C882-1)^2),0)</x:f>
        <x:v>73</x:v>
      </x:c>
      <x:c r="S882" t="n">
        <x:f>L882-AVERAGE(Q882:R882)</x:f>
        <x:v>-0.5</x:v>
      </x:c>
      <x:c r="T882" t="str">
        <x:f>IF(M882=0,IF(AND(N882=0,O882=0,E882=0,F882=0),"OK","ERREUR"),IF(AND(M882&gt;=1,M882&lt;=32,OR(N882=4,N882=6,N882=8,N882=10,N882=12,N882=20),O882&gt;=0,E882=M882+O882,F882=M882*N882+O882),"OK","ERREUR"))</x:f>
        <x:v>OK</x:v>
      </x:c>
      <x:c r="U882" s="86" t="n">
        <x:f>IF(M882&gt;0,M882*(N882+1)/2+O882,0)</x:f>
        <x:v>56.5</x:v>
      </x:c>
      <x:c r="V882" t="str">
        <x:f>IF(ABS(L882-U882)&lt;0.001,"OK","ERREUR")</x:f>
        <x:v>OK</x:v>
      </x:c>
    </x:row>
    <x:row r="883" ht="18" customHeight="1">
      <x:c r="A883" t="str">
        <x:v>ARM044</x:v>
      </x:c>
      <x:c r="B883" t="str">
        <x:v>Trident</x:v>
      </x:c>
      <x:c r="C883" t="n">
        <x:v>20</x:v>
      </x:c>
      <x:c r="D883" t="str">
        <x:v>Armes d'hast</x:v>
      </x:c>
      <x:c r="E883" s="28" t="n">
        <x:f>IF(M883=0,0,M883+O883)</x:f>
        <x:v>44</x:v>
      </x:c>
      <x:c r="F883" s="28" t="n">
        <x:f>IF(M883=0,0,M883*N883+O883)</x:f>
        <x:v>80</x:v>
      </x:c>
      <x:c r="G883" s="28" t="n">
        <x:f>ROUND(Catalogue!G47*SQRT((1+'Paramètres'!$B$4*(C883-1)+'Paramètres'!$B$5*(C883-1)^2)),0)</x:f>
        <x:v>0</x:v>
      </x:c>
      <x:c r="H883" s="28" t="n">
        <x:f>ROUND(Catalogue!H47*SQRT((1+'Paramètres'!$B$4*(C883-1)+'Paramètres'!$B$5*(C883-1)^2)),0)</x:f>
        <x:v>0</x:v>
      </x:c>
      <x:c r="I883" s="28" t="n">
        <x:v>3</x:v>
      </x:c>
      <x:c r="J883" s="28" t="n">
        <x:v>2</x:v>
      </x:c>
      <x:c r="K883" s="30" t="n">
        <x:v>2.9</x:v>
      </x:c>
      <x:c r="L883" s="54" t="n">
        <x:f>IF(M883=0,0,(E883+F883)/2)</x:f>
        <x:v>62</x:v>
      </x:c>
      <x:c r="M883" t="n">
        <x:v>4</x:v>
      </x:c>
      <x:c r="N883" t="n">
        <x:v>10</x:v>
      </x:c>
      <x:c r="O883" t="n">
        <x:v>40</x:v>
      </x:c>
      <x:c r="P883" s="63" t="str">
        <x:f>IF(M883=0,"—",M883&amp;"d"&amp;N883&amp;IF(O883=0,""," + "&amp;O883))</x:f>
        <x:v>4d10 + 40</x:v>
      </x:c>
      <x:c r="Q883" t="n">
        <x:f>ROUND(INDEX(Catalogue!E$4:E$85,MATCH(A883,Catalogue!A$4:A$85,0))*(1+'Paramètres'!$B$4*(C883-1)+'Paramètres'!$B$5*(C883-1)^2),0)</x:f>
        <x:v>44</x:v>
      </x:c>
      <x:c r="R883" t="n">
        <x:f>ROUND(INDEX(Catalogue!F$4:F$85,MATCH(A883,Catalogue!A$4:A$85,0))*(1+'Paramètres'!$B$4*(C883-1)+'Paramètres'!$B$5*(C883-1)^2),0)</x:f>
        <x:v>80</x:v>
      </x:c>
      <x:c r="S883" t="n">
        <x:f>L883-AVERAGE(Q883:R883)</x:f>
        <x:v>0</x:v>
      </x:c>
      <x:c r="T883" t="str">
        <x:f>IF(M883=0,IF(AND(N883=0,O883=0,E883=0,F883=0),"OK","ERREUR"),IF(AND(M883&gt;=1,M883&lt;=32,OR(N883=4,N883=6,N883=8,N883=10,N883=12,N883=20),O883&gt;=0,E883=M883+O883,F883=M883*N883+O883),"OK","ERREUR"))</x:f>
        <x:v>OK</x:v>
      </x:c>
      <x:c r="U883" s="86" t="n">
        <x:f>IF(M883&gt;0,M883*(N883+1)/2+O883,0)</x:f>
        <x:v>62</x:v>
      </x:c>
      <x:c r="V883" t="str">
        <x:f>IF(ABS(L883-U883)&lt;0.001,"OK","ERREUR")</x:f>
        <x:v>OK</x:v>
      </x:c>
    </x:row>
    <x:row r="884" ht="18" customHeight="1">
      <x:c r="A884" t="str">
        <x:v>ARM045</x:v>
      </x:c>
      <x:c r="B884" t="str">
        <x:v>Arc court</x:v>
      </x:c>
      <x:c r="C884" t="n">
        <x:v>1</x:v>
      </x:c>
      <x:c r="D884" t="str">
        <x:v>Distance</x:v>
      </x:c>
      <x:c r="E884" s="28" t="n">
        <x:f>IF(M884=0,0,M884+O884)</x:f>
        <x:v>3</x:v>
      </x:c>
      <x:c r="F884" s="28" t="n">
        <x:f>IF(M884=0,0,M884*N884+O884)</x:f>
        <x:v>6</x:v>
      </x:c>
      <x:c r="G884" s="28" t="n">
        <x:f>ROUND(Catalogue!G48*SQRT((1+'Paramètres'!$B$4*(C884-1)+'Paramètres'!$B$5*(C884-1)^2)),0)</x:f>
        <x:v>0</x:v>
      </x:c>
      <x:c r="H884" s="28" t="n">
        <x:f>ROUND(Catalogue!H48*SQRT((1+'Paramètres'!$B$4*(C884-1)+'Paramètres'!$B$5*(C884-1)^2)),0)</x:f>
        <x:v>0</x:v>
      </x:c>
      <x:c r="I884" s="28" t="n">
        <x:v>2</x:v>
      </x:c>
      <x:c r="J884" s="28" t="n">
        <x:v>5</x:v>
      </x:c>
      <x:c r="K884" s="30" t="n">
        <x:v>1</x:v>
      </x:c>
      <x:c r="L884" s="54" t="n">
        <x:f>IF(M884=0,0,(E884+F884)/2)</x:f>
        <x:v>4.5</x:v>
      </x:c>
      <x:c r="M884" t="n">
        <x:v>1</x:v>
      </x:c>
      <x:c r="N884" t="n">
        <x:v>4</x:v>
      </x:c>
      <x:c r="O884" t="n">
        <x:v>2</x:v>
      </x:c>
      <x:c r="P884" s="63" t="str">
        <x:f>IF(M884=0,"—",M884&amp;"d"&amp;N884&amp;IF(O884=0,""," + "&amp;O884))</x:f>
        <x:v>1d4 + 2</x:v>
      </x:c>
      <x:c r="Q884" t="n">
        <x:f>ROUND(INDEX(Catalogue!E$4:E$85,MATCH(A884,Catalogue!A$4:A$85,0))*(1+'Paramètres'!$B$4*(C884-1)+'Paramètres'!$B$5*(C884-1)^2),0)</x:f>
        <x:v>4</x:v>
      </x:c>
      <x:c r="R884" t="n">
        <x:f>ROUND(INDEX(Catalogue!F$4:F$85,MATCH(A884,Catalogue!A$4:A$85,0))*(1+'Paramètres'!$B$4*(C884-1)+'Paramètres'!$B$5*(C884-1)^2),0)</x:f>
        <x:v>6</x:v>
      </x:c>
      <x:c r="S884" t="n">
        <x:f>L884-AVERAGE(Q884:R884)</x:f>
        <x:v>-0.5</x:v>
      </x:c>
      <x:c r="T884" t="str">
        <x:f>IF(M884=0,IF(AND(N884=0,O884=0,E884=0,F884=0),"OK","ERREUR"),IF(AND(M884&gt;=1,M884&lt;=32,OR(N884=4,N884=6,N884=8,N884=10,N884=12,N884=20),O884&gt;=0,E884=M884+O884,F884=M884*N884+O884),"OK","ERREUR"))</x:f>
        <x:v>OK</x:v>
      </x:c>
      <x:c r="U884" s="86" t="n">
        <x:f>IF(M884&gt;0,M884*(N884+1)/2+O884,0)</x:f>
        <x:v>4.5</x:v>
      </x:c>
      <x:c r="V884" t="str">
        <x:f>IF(ABS(L884-U884)&lt;0.001,"OK","ERREUR")</x:f>
        <x:v>OK</x:v>
      </x:c>
    </x:row>
    <x:row r="885" ht="18" customHeight="1">
      <x:c r="A885" t="str">
        <x:v>ARM045</x:v>
      </x:c>
      <x:c r="B885" t="str">
        <x:v>Arc court</x:v>
      </x:c>
      <x:c r="C885" t="n">
        <x:v>2</x:v>
      </x:c>
      <x:c r="D885" t="str">
        <x:v>Distance</x:v>
      </x:c>
      <x:c r="E885" s="28" t="n">
        <x:f>IF(M885=0,0,M885+O885)</x:f>
        <x:v>4</x:v>
      </x:c>
      <x:c r="F885" s="28" t="n">
        <x:f>IF(M885=0,0,M885*N885+O885)</x:f>
        <x:v>7</x:v>
      </x:c>
      <x:c r="G885" s="28" t="n">
        <x:f>ROUND(Catalogue!G48*SQRT((1+'Paramètres'!$B$4*(C885-1)+'Paramètres'!$B$5*(C885-1)^2)),0)</x:f>
        <x:v>0</x:v>
      </x:c>
      <x:c r="H885" s="28" t="n">
        <x:f>ROUND(Catalogue!H48*SQRT((1+'Paramètres'!$B$4*(C885-1)+'Paramètres'!$B$5*(C885-1)^2)),0)</x:f>
        <x:v>0</x:v>
      </x:c>
      <x:c r="I885" s="28" t="n">
        <x:v>2</x:v>
      </x:c>
      <x:c r="J885" s="28" t="n">
        <x:v>5</x:v>
      </x:c>
      <x:c r="K885" s="30" t="n">
        <x:v>1</x:v>
      </x:c>
      <x:c r="L885" s="54" t="n">
        <x:f>IF(M885=0,0,(E885+F885)/2)</x:f>
        <x:v>5.5</x:v>
      </x:c>
      <x:c r="M885" t="n">
        <x:v>1</x:v>
      </x:c>
      <x:c r="N885" t="n">
        <x:v>4</x:v>
      </x:c>
      <x:c r="O885" t="n">
        <x:v>3</x:v>
      </x:c>
      <x:c r="P885" s="63" t="str">
        <x:f>IF(M885=0,"—",M885&amp;"d"&amp;N885&amp;IF(O885=0,""," + "&amp;O885))</x:f>
        <x:v>1d4 + 3</x:v>
      </x:c>
      <x:c r="Q885" t="n">
        <x:f>ROUND(INDEX(Catalogue!E$4:E$85,MATCH(A885,Catalogue!A$4:A$85,0))*(1+'Paramètres'!$B$4*(C885-1)+'Paramètres'!$B$5*(C885-1)^2),0)</x:f>
        <x:v>5</x:v>
      </x:c>
      <x:c r="R885" t="n">
        <x:f>ROUND(INDEX(Catalogue!F$4:F$85,MATCH(A885,Catalogue!A$4:A$85,0))*(1+'Paramètres'!$B$4*(C885-1)+'Paramètres'!$B$5*(C885-1)^2),0)</x:f>
        <x:v>7</x:v>
      </x:c>
      <x:c r="S885" t="n">
        <x:f>L885-AVERAGE(Q885:R885)</x:f>
        <x:v>-0.5</x:v>
      </x:c>
      <x:c r="T885" t="str">
        <x:f>IF(M885=0,IF(AND(N885=0,O885=0,E885=0,F885=0),"OK","ERREUR"),IF(AND(M885&gt;=1,M885&lt;=32,OR(N885=4,N885=6,N885=8,N885=10,N885=12,N885=20),O885&gt;=0,E885=M885+O885,F885=M885*N885+O885),"OK","ERREUR"))</x:f>
        <x:v>OK</x:v>
      </x:c>
      <x:c r="U885" s="86" t="n">
        <x:f>IF(M885&gt;0,M885*(N885+1)/2+O885,0)</x:f>
        <x:v>5.5</x:v>
      </x:c>
      <x:c r="V885" t="str">
        <x:f>IF(ABS(L885-U885)&lt;0.001,"OK","ERREUR")</x:f>
        <x:v>OK</x:v>
      </x:c>
    </x:row>
    <x:row r="886" ht="18" customHeight="1">
      <x:c r="A886" t="str">
        <x:v>ARM045</x:v>
      </x:c>
      <x:c r="B886" t="str">
        <x:v>Arc court</x:v>
      </x:c>
      <x:c r="C886" t="n">
        <x:v>3</x:v>
      </x:c>
      <x:c r="D886" t="str">
        <x:v>Distance</x:v>
      </x:c>
      <x:c r="E886" s="28" t="n">
        <x:f>IF(M886=0,0,M886+O886)</x:f>
        <x:v>5</x:v>
      </x:c>
      <x:c r="F886" s="28" t="n">
        <x:f>IF(M886=0,0,M886*N886+O886)</x:f>
        <x:v>8</x:v>
      </x:c>
      <x:c r="G886" s="28" t="n">
        <x:f>ROUND(Catalogue!G48*SQRT((1+'Paramètres'!$B$4*(C886-1)+'Paramètres'!$B$5*(C886-1)^2)),0)</x:f>
        <x:v>0</x:v>
      </x:c>
      <x:c r="H886" s="28" t="n">
        <x:f>ROUND(Catalogue!H48*SQRT((1+'Paramètres'!$B$4*(C886-1)+'Paramètres'!$B$5*(C886-1)^2)),0)</x:f>
        <x:v>0</x:v>
      </x:c>
      <x:c r="I886" s="28" t="n">
        <x:v>2</x:v>
      </x:c>
      <x:c r="J886" s="28" t="n">
        <x:v>5</x:v>
      </x:c>
      <x:c r="K886" s="30" t="n">
        <x:v>1</x:v>
      </x:c>
      <x:c r="L886" s="54" t="n">
        <x:f>IF(M886=0,0,(E886+F886)/2)</x:f>
        <x:v>6.5</x:v>
      </x:c>
      <x:c r="M886" t="n">
        <x:v>1</x:v>
      </x:c>
      <x:c r="N886" t="n">
        <x:v>4</x:v>
      </x:c>
      <x:c r="O886" t="n">
        <x:v>4</x:v>
      </x:c>
      <x:c r="P886" s="63" t="str">
        <x:f>IF(M886=0,"—",M886&amp;"d"&amp;N886&amp;IF(O886=0,""," + "&amp;O886))</x:f>
        <x:v>1d4 + 4</x:v>
      </x:c>
      <x:c r="Q886" t="n">
        <x:f>ROUND(INDEX(Catalogue!E$4:E$85,MATCH(A886,Catalogue!A$4:A$85,0))*(1+'Paramètres'!$B$4*(C886-1)+'Paramètres'!$B$5*(C886-1)^2),0)</x:f>
        <x:v>5</x:v>
      </x:c>
      <x:c r="R886" t="n">
        <x:f>ROUND(INDEX(Catalogue!F$4:F$85,MATCH(A886,Catalogue!A$4:A$85,0))*(1+'Paramètres'!$B$4*(C886-1)+'Paramètres'!$B$5*(C886-1)^2),0)</x:f>
        <x:v>8</x:v>
      </x:c>
      <x:c r="S886" t="n">
        <x:f>L886-AVERAGE(Q886:R886)</x:f>
        <x:v>0</x:v>
      </x:c>
      <x:c r="T886" t="str">
        <x:f>IF(M886=0,IF(AND(N886=0,O886=0,E886=0,F886=0),"OK","ERREUR"),IF(AND(M886&gt;=1,M886&lt;=32,OR(N886=4,N886=6,N886=8,N886=10,N886=12,N886=20),O886&gt;=0,E886=M886+O886,F886=M886*N886+O886),"OK","ERREUR"))</x:f>
        <x:v>OK</x:v>
      </x:c>
      <x:c r="U886" s="86" t="n">
        <x:f>IF(M886&gt;0,M886*(N886+1)/2+O886,0)</x:f>
        <x:v>6.5</x:v>
      </x:c>
      <x:c r="V886" t="str">
        <x:f>IF(ABS(L886-U886)&lt;0.001,"OK","ERREUR")</x:f>
        <x:v>OK</x:v>
      </x:c>
    </x:row>
    <x:row r="887" ht="18" customHeight="1">
      <x:c r="A887" t="str">
        <x:v>ARM045</x:v>
      </x:c>
      <x:c r="B887" t="str">
        <x:v>Arc court</x:v>
      </x:c>
      <x:c r="C887" t="n">
        <x:v>4</x:v>
      </x:c>
      <x:c r="D887" t="str">
        <x:v>Distance</x:v>
      </x:c>
      <x:c r="E887" s="28" t="n">
        <x:f>IF(M887=0,0,M887+O887)</x:f>
        <x:v>6</x:v>
      </x:c>
      <x:c r="F887" s="28" t="n">
        <x:f>IF(M887=0,0,M887*N887+O887)</x:f>
        <x:v>9</x:v>
      </x:c>
      <x:c r="G887" s="28" t="n">
        <x:f>ROUND(Catalogue!G48*SQRT((1+'Paramètres'!$B$4*(C887-1)+'Paramètres'!$B$5*(C887-1)^2)),0)</x:f>
        <x:v>0</x:v>
      </x:c>
      <x:c r="H887" s="28" t="n">
        <x:f>ROUND(Catalogue!H48*SQRT((1+'Paramètres'!$B$4*(C887-1)+'Paramètres'!$B$5*(C887-1)^2)),0)</x:f>
        <x:v>0</x:v>
      </x:c>
      <x:c r="I887" s="28" t="n">
        <x:v>2</x:v>
      </x:c>
      <x:c r="J887" s="28" t="n">
        <x:v>5</x:v>
      </x:c>
      <x:c r="K887" s="30" t="n">
        <x:v>1</x:v>
      </x:c>
      <x:c r="L887" s="54" t="n">
        <x:f>IF(M887=0,0,(E887+F887)/2)</x:f>
        <x:v>7.5</x:v>
      </x:c>
      <x:c r="M887" t="n">
        <x:v>1</x:v>
      </x:c>
      <x:c r="N887" t="n">
        <x:v>4</x:v>
      </x:c>
      <x:c r="O887" t="n">
        <x:v>5</x:v>
      </x:c>
      <x:c r="P887" s="63" t="str">
        <x:f>IF(M887=0,"—",M887&amp;"d"&amp;N887&amp;IF(O887=0,""," + "&amp;O887))</x:f>
        <x:v>1d4 + 5</x:v>
      </x:c>
      <x:c r="Q887" t="n">
        <x:f>ROUND(INDEX(Catalogue!E$4:E$85,MATCH(A887,Catalogue!A$4:A$85,0))*(1+'Paramètres'!$B$4*(C887-1)+'Paramètres'!$B$5*(C887-1)^2),0)</x:f>
        <x:v>6</x:v>
      </x:c>
      <x:c r="R887" t="n">
        <x:f>ROUND(INDEX(Catalogue!F$4:F$85,MATCH(A887,Catalogue!A$4:A$85,0))*(1+'Paramètres'!$B$4*(C887-1)+'Paramètres'!$B$5*(C887-1)^2),0)</x:f>
        <x:v>9</x:v>
      </x:c>
      <x:c r="S887" t="n">
        <x:f>L887-AVERAGE(Q887:R887)</x:f>
        <x:v>0</x:v>
      </x:c>
      <x:c r="T887" t="str">
        <x:f>IF(M887=0,IF(AND(N887=0,O887=0,E887=0,F887=0),"OK","ERREUR"),IF(AND(M887&gt;=1,M887&lt;=32,OR(N887=4,N887=6,N887=8,N887=10,N887=12,N887=20),O887&gt;=0,E887=M887+O887,F887=M887*N887+O887),"OK","ERREUR"))</x:f>
        <x:v>OK</x:v>
      </x:c>
      <x:c r="U887" s="86" t="n">
        <x:f>IF(M887&gt;0,M887*(N887+1)/2+O887,0)</x:f>
        <x:v>7.5</x:v>
      </x:c>
      <x:c r="V887" t="str">
        <x:f>IF(ABS(L887-U887)&lt;0.001,"OK","ERREUR")</x:f>
        <x:v>OK</x:v>
      </x:c>
    </x:row>
    <x:row r="888" ht="18" customHeight="1">
      <x:c r="A888" t="str">
        <x:v>ARM045</x:v>
      </x:c>
      <x:c r="B888" t="str">
        <x:v>Arc court</x:v>
      </x:c>
      <x:c r="C888" t="n">
        <x:v>5</x:v>
      </x:c>
      <x:c r="D888" t="str">
        <x:v>Distance</x:v>
      </x:c>
      <x:c r="E888" s="28" t="n">
        <x:f>IF(M888=0,0,M888+O888)</x:f>
        <x:v>7</x:v>
      </x:c>
      <x:c r="F888" s="28" t="n">
        <x:f>IF(M888=0,0,M888*N888+O888)</x:f>
        <x:v>10</x:v>
      </x:c>
      <x:c r="G888" s="28" t="n">
        <x:f>ROUND(Catalogue!G48*SQRT((1+'Paramètres'!$B$4*(C888-1)+'Paramètres'!$B$5*(C888-1)^2)),0)</x:f>
        <x:v>0</x:v>
      </x:c>
      <x:c r="H888" s="28" t="n">
        <x:f>ROUND(Catalogue!H48*SQRT((1+'Paramètres'!$B$4*(C888-1)+'Paramètres'!$B$5*(C888-1)^2)),0)</x:f>
        <x:v>0</x:v>
      </x:c>
      <x:c r="I888" s="28" t="n">
        <x:v>2</x:v>
      </x:c>
      <x:c r="J888" s="28" t="n">
        <x:v>5</x:v>
      </x:c>
      <x:c r="K888" s="30" t="n">
        <x:v>1</x:v>
      </x:c>
      <x:c r="L888" s="54" t="n">
        <x:f>IF(M888=0,0,(E888+F888)/2)</x:f>
        <x:v>8.5</x:v>
      </x:c>
      <x:c r="M888" t="n">
        <x:v>1</x:v>
      </x:c>
      <x:c r="N888" t="n">
        <x:v>4</x:v>
      </x:c>
      <x:c r="O888" t="n">
        <x:v>6</x:v>
      </x:c>
      <x:c r="P888" s="63" t="str">
        <x:f>IF(M888=0,"—",M888&amp;"d"&amp;N888&amp;IF(O888=0,""," + "&amp;O888))</x:f>
        <x:v>1d4 + 6</x:v>
      </x:c>
      <x:c r="Q888" t="n">
        <x:f>ROUND(INDEX(Catalogue!E$4:E$85,MATCH(A888,Catalogue!A$4:A$85,0))*(1+'Paramètres'!$B$4*(C888-1)+'Paramètres'!$B$5*(C888-1)^2),0)</x:f>
        <x:v>7</x:v>
      </x:c>
      <x:c r="R888" t="n">
        <x:f>ROUND(INDEX(Catalogue!F$4:F$85,MATCH(A888,Catalogue!A$4:A$85,0))*(1+'Paramètres'!$B$4*(C888-1)+'Paramètres'!$B$5*(C888-1)^2),0)</x:f>
        <x:v>10</x:v>
      </x:c>
      <x:c r="S888" t="n">
        <x:f>L888-AVERAGE(Q888:R888)</x:f>
        <x:v>0</x:v>
      </x:c>
      <x:c r="T888" t="str">
        <x:f>IF(M888=0,IF(AND(N888=0,O888=0,E888=0,F888=0),"OK","ERREUR"),IF(AND(M888&gt;=1,M888&lt;=32,OR(N888=4,N888=6,N888=8,N888=10,N888=12,N888=20),O888&gt;=0,E888=M888+O888,F888=M888*N888+O888),"OK","ERREUR"))</x:f>
        <x:v>OK</x:v>
      </x:c>
      <x:c r="U888" s="86" t="n">
        <x:f>IF(M888&gt;0,M888*(N888+1)/2+O888,0)</x:f>
        <x:v>8.5</x:v>
      </x:c>
      <x:c r="V888" t="str">
        <x:f>IF(ABS(L888-U888)&lt;0.001,"OK","ERREUR")</x:f>
        <x:v>OK</x:v>
      </x:c>
    </x:row>
    <x:row r="889" ht="18" customHeight="1">
      <x:c r="A889" t="str">
        <x:v>ARM045</x:v>
      </x:c>
      <x:c r="B889" t="str">
        <x:v>Arc court</x:v>
      </x:c>
      <x:c r="C889" t="n">
        <x:v>6</x:v>
      </x:c>
      <x:c r="D889" t="str">
        <x:v>Distance</x:v>
      </x:c>
      <x:c r="E889" s="28" t="n">
        <x:f>IF(M889=0,0,M889+O889)</x:f>
        <x:v>9</x:v>
      </x:c>
      <x:c r="F889" s="28" t="n">
        <x:f>IF(M889=0,0,M889*N889+O889)</x:f>
        <x:v>12</x:v>
      </x:c>
      <x:c r="G889" s="28" t="n">
        <x:f>ROUND(Catalogue!G48*SQRT((1+'Paramètres'!$B$4*(C889-1)+'Paramètres'!$B$5*(C889-1)^2)),0)</x:f>
        <x:v>0</x:v>
      </x:c>
      <x:c r="H889" s="28" t="n">
        <x:f>ROUND(Catalogue!H48*SQRT((1+'Paramètres'!$B$4*(C889-1)+'Paramètres'!$B$5*(C889-1)^2)),0)</x:f>
        <x:v>0</x:v>
      </x:c>
      <x:c r="I889" s="28" t="n">
        <x:v>2</x:v>
      </x:c>
      <x:c r="J889" s="28" t="n">
        <x:v>5</x:v>
      </x:c>
      <x:c r="K889" s="30" t="n">
        <x:v>1</x:v>
      </x:c>
      <x:c r="L889" s="54" t="n">
        <x:f>IF(M889=0,0,(E889+F889)/2)</x:f>
        <x:v>10.5</x:v>
      </x:c>
      <x:c r="M889" t="n">
        <x:v>1</x:v>
      </x:c>
      <x:c r="N889" t="n">
        <x:v>4</x:v>
      </x:c>
      <x:c r="O889" t="n">
        <x:v>8</x:v>
      </x:c>
      <x:c r="P889" s="63" t="str">
        <x:f>IF(M889=0,"—",M889&amp;"d"&amp;N889&amp;IF(O889=0,""," + "&amp;O889))</x:f>
        <x:v>1d4 + 8</x:v>
      </x:c>
      <x:c r="Q889" t="n">
        <x:f>ROUND(INDEX(Catalogue!E$4:E$85,MATCH(A889,Catalogue!A$4:A$85,0))*(1+'Paramètres'!$B$4*(C889-1)+'Paramètres'!$B$5*(C889-1)^2),0)</x:f>
        <x:v>8</x:v>
      </x:c>
      <x:c r="R889" t="n">
        <x:f>ROUND(INDEX(Catalogue!F$4:F$85,MATCH(A889,Catalogue!A$4:A$85,0))*(1+'Paramètres'!$B$4*(C889-1)+'Paramètres'!$B$5*(C889-1)^2),0)</x:f>
        <x:v>12</x:v>
      </x:c>
      <x:c r="S889" t="n">
        <x:f>L889-AVERAGE(Q889:R889)</x:f>
        <x:v>0.5</x:v>
      </x:c>
      <x:c r="T889" t="str">
        <x:f>IF(M889=0,IF(AND(N889=0,O889=0,E889=0,F889=0),"OK","ERREUR"),IF(AND(M889&gt;=1,M889&lt;=32,OR(N889=4,N889=6,N889=8,N889=10,N889=12,N889=20),O889&gt;=0,E889=M889+O889,F889=M889*N889+O889),"OK","ERREUR"))</x:f>
        <x:v>OK</x:v>
      </x:c>
      <x:c r="U889" s="86" t="n">
        <x:f>IF(M889&gt;0,M889*(N889+1)/2+O889,0)</x:f>
        <x:v>10.5</x:v>
      </x:c>
      <x:c r="V889" t="str">
        <x:f>IF(ABS(L889-U889)&lt;0.001,"OK","ERREUR")</x:f>
        <x:v>OK</x:v>
      </x:c>
    </x:row>
    <x:row r="890" ht="18" customHeight="1">
      <x:c r="A890" t="str">
        <x:v>ARM045</x:v>
      </x:c>
      <x:c r="B890" t="str">
        <x:v>Arc court</x:v>
      </x:c>
      <x:c r="C890" t="n">
        <x:v>7</x:v>
      </x:c>
      <x:c r="D890" t="str">
        <x:v>Distance</x:v>
      </x:c>
      <x:c r="E890" s="28" t="n">
        <x:f>IF(M890=0,0,M890+O890)</x:f>
        <x:v>9</x:v>
      </x:c>
      <x:c r="F890" s="28" t="n">
        <x:f>IF(M890=0,0,M890*N890+O890)</x:f>
        <x:v>12</x:v>
      </x:c>
      <x:c r="G890" s="28" t="n">
        <x:f>ROUND(Catalogue!G48*SQRT((1+'Paramètres'!$B$4*(C890-1)+'Paramètres'!$B$5*(C890-1)^2)),0)</x:f>
        <x:v>0</x:v>
      </x:c>
      <x:c r="H890" s="28" t="n">
        <x:f>ROUND(Catalogue!H48*SQRT((1+'Paramètres'!$B$4*(C890-1)+'Paramètres'!$B$5*(C890-1)^2)),0)</x:f>
        <x:v>0</x:v>
      </x:c>
      <x:c r="I890" s="28" t="n">
        <x:v>2</x:v>
      </x:c>
      <x:c r="J890" s="28" t="n">
        <x:v>5</x:v>
      </x:c>
      <x:c r="K890" s="30" t="n">
        <x:v>1</x:v>
      </x:c>
      <x:c r="L890" s="54" t="n">
        <x:f>IF(M890=0,0,(E890+F890)/2)</x:f>
        <x:v>10.5</x:v>
      </x:c>
      <x:c r="M890" t="n">
        <x:v>1</x:v>
      </x:c>
      <x:c r="N890" t="n">
        <x:v>4</x:v>
      </x:c>
      <x:c r="O890" t="n">
        <x:v>8</x:v>
      </x:c>
      <x:c r="P890" s="63" t="str">
        <x:f>IF(M890=0,"—",M890&amp;"d"&amp;N890&amp;IF(O890=0,""," + "&amp;O890))</x:f>
        <x:v>1d4 + 8</x:v>
      </x:c>
      <x:c r="Q890" t="n">
        <x:f>ROUND(INDEX(Catalogue!E$4:E$85,MATCH(A890,Catalogue!A$4:A$85,0))*(1+'Paramètres'!$B$4*(C890-1)+'Paramètres'!$B$5*(C890-1)^2),0)</x:f>
        <x:v>9</x:v>
      </x:c>
      <x:c r="R890" t="n">
        <x:f>ROUND(INDEX(Catalogue!F$4:F$85,MATCH(A890,Catalogue!A$4:A$85,0))*(1+'Paramètres'!$B$4*(C890-1)+'Paramètres'!$B$5*(C890-1)^2),0)</x:f>
        <x:v>13</x:v>
      </x:c>
      <x:c r="S890" t="n">
        <x:f>L890-AVERAGE(Q890:R890)</x:f>
        <x:v>-0.5</x:v>
      </x:c>
      <x:c r="T890" t="str">
        <x:f>IF(M890=0,IF(AND(N890=0,O890=0,E890=0,F890=0),"OK","ERREUR"),IF(AND(M890&gt;=1,M890&lt;=32,OR(N890=4,N890=6,N890=8,N890=10,N890=12,N890=20),O890&gt;=0,E890=M890+O890,F890=M890*N890+O890),"OK","ERREUR"))</x:f>
        <x:v>OK</x:v>
      </x:c>
      <x:c r="U890" s="86" t="n">
        <x:f>IF(M890&gt;0,M890*(N890+1)/2+O890,0)</x:f>
        <x:v>10.5</x:v>
      </x:c>
      <x:c r="V890" t="str">
        <x:f>IF(ABS(L890-U890)&lt;0.001,"OK","ERREUR")</x:f>
        <x:v>OK</x:v>
      </x:c>
    </x:row>
    <x:row r="891" ht="18" customHeight="1">
      <x:c r="A891" t="str">
        <x:v>ARM045</x:v>
      </x:c>
      <x:c r="B891" t="str">
        <x:v>Arc court</x:v>
      </x:c>
      <x:c r="C891" t="n">
        <x:v>8</x:v>
      </x:c>
      <x:c r="D891" t="str">
        <x:v>Distance</x:v>
      </x:c>
      <x:c r="E891" s="28" t="n">
        <x:f>IF(M891=0,0,M891+O891)</x:f>
        <x:v>10</x:v>
      </x:c>
      <x:c r="F891" s="28" t="n">
        <x:f>IF(M891=0,0,M891*N891+O891)</x:f>
        <x:v>15</x:v>
      </x:c>
      <x:c r="G891" s="28" t="n">
        <x:f>ROUND(Catalogue!G48*SQRT((1+'Paramètres'!$B$4*(C891-1)+'Paramètres'!$B$5*(C891-1)^2)),0)</x:f>
        <x:v>0</x:v>
      </x:c>
      <x:c r="H891" s="28" t="n">
        <x:f>ROUND(Catalogue!H48*SQRT((1+'Paramètres'!$B$4*(C891-1)+'Paramètres'!$B$5*(C891-1)^2)),0)</x:f>
        <x:v>0</x:v>
      </x:c>
      <x:c r="I891" s="28" t="n">
        <x:v>2</x:v>
      </x:c>
      <x:c r="J891" s="28" t="n">
        <x:v>5</x:v>
      </x:c>
      <x:c r="K891" s="30" t="n">
        <x:v>1</x:v>
      </x:c>
      <x:c r="L891" s="54" t="n">
        <x:f>IF(M891=0,0,(E891+F891)/2)</x:f>
        <x:v>12.5</x:v>
      </x:c>
      <x:c r="M891" t="n">
        <x:v>1</x:v>
      </x:c>
      <x:c r="N891" t="n">
        <x:v>6</x:v>
      </x:c>
      <x:c r="O891" t="n">
        <x:v>9</x:v>
      </x:c>
      <x:c r="P891" s="63" t="str">
        <x:f>IF(M891=0,"—",M891&amp;"d"&amp;N891&amp;IF(O891=0,""," + "&amp;O891))</x:f>
        <x:v>1d6 + 9</x:v>
      </x:c>
      <x:c r="Q891" t="n">
        <x:f>ROUND(INDEX(Catalogue!E$4:E$85,MATCH(A891,Catalogue!A$4:A$85,0))*(1+'Paramètres'!$B$4*(C891-1)+'Paramètres'!$B$5*(C891-1)^2),0)</x:f>
        <x:v>10</x:v>
      </x:c>
      <x:c r="R891" t="n">
        <x:f>ROUND(INDEX(Catalogue!F$4:F$85,MATCH(A891,Catalogue!A$4:A$85,0))*(1+'Paramètres'!$B$4*(C891-1)+'Paramètres'!$B$5*(C891-1)^2),0)</x:f>
        <x:v>15</x:v>
      </x:c>
      <x:c r="S891" t="n">
        <x:f>L891-AVERAGE(Q891:R891)</x:f>
        <x:v>0</x:v>
      </x:c>
      <x:c r="T891" t="str">
        <x:f>IF(M891=0,IF(AND(N891=0,O891=0,E891=0,F891=0),"OK","ERREUR"),IF(AND(M891&gt;=1,M891&lt;=32,OR(N891=4,N891=6,N891=8,N891=10,N891=12,N891=20),O891&gt;=0,E891=M891+O891,F891=M891*N891+O891),"OK","ERREUR"))</x:f>
        <x:v>OK</x:v>
      </x:c>
      <x:c r="U891" s="86" t="n">
        <x:f>IF(M891&gt;0,M891*(N891+1)/2+O891,0)</x:f>
        <x:v>12.5</x:v>
      </x:c>
      <x:c r="V891" t="str">
        <x:f>IF(ABS(L891-U891)&lt;0.001,"OK","ERREUR")</x:f>
        <x:v>OK</x:v>
      </x:c>
    </x:row>
    <x:row r="892" ht="18" customHeight="1">
      <x:c r="A892" t="str">
        <x:v>ARM045</x:v>
      </x:c>
      <x:c r="B892" t="str">
        <x:v>Arc court</x:v>
      </x:c>
      <x:c r="C892" t="n">
        <x:v>9</x:v>
      </x:c>
      <x:c r="D892" t="str">
        <x:v>Distance</x:v>
      </x:c>
      <x:c r="E892" s="28" t="n">
        <x:f>IF(M892=0,0,M892+O892)</x:f>
        <x:v>12</x:v>
      </x:c>
      <x:c r="F892" s="28" t="n">
        <x:f>IF(M892=0,0,M892*N892+O892)</x:f>
        <x:v>17</x:v>
      </x:c>
      <x:c r="G892" s="28" t="n">
        <x:f>ROUND(Catalogue!G48*SQRT((1+'Paramètres'!$B$4*(C892-1)+'Paramètres'!$B$5*(C892-1)^2)),0)</x:f>
        <x:v>0</x:v>
      </x:c>
      <x:c r="H892" s="28" t="n">
        <x:f>ROUND(Catalogue!H48*SQRT((1+'Paramètres'!$B$4*(C892-1)+'Paramètres'!$B$5*(C892-1)^2)),0)</x:f>
        <x:v>0</x:v>
      </x:c>
      <x:c r="I892" s="28" t="n">
        <x:v>2</x:v>
      </x:c>
      <x:c r="J892" s="28" t="n">
        <x:v>5</x:v>
      </x:c>
      <x:c r="K892" s="30" t="n">
        <x:v>1</x:v>
      </x:c>
      <x:c r="L892" s="54" t="n">
        <x:f>IF(M892=0,0,(E892+F892)/2)</x:f>
        <x:v>14.5</x:v>
      </x:c>
      <x:c r="M892" t="n">
        <x:v>1</x:v>
      </x:c>
      <x:c r="N892" t="n">
        <x:v>6</x:v>
      </x:c>
      <x:c r="O892" t="n">
        <x:v>11</x:v>
      </x:c>
      <x:c r="P892" s="63" t="str">
        <x:f>IF(M892=0,"—",M892&amp;"d"&amp;N892&amp;IF(O892=0,""," + "&amp;O892))</x:f>
        <x:v>1d6 + 11</x:v>
      </x:c>
      <x:c r="Q892" t="n">
        <x:f>ROUND(INDEX(Catalogue!E$4:E$85,MATCH(A892,Catalogue!A$4:A$85,0))*(1+'Paramètres'!$B$4*(C892-1)+'Paramètres'!$B$5*(C892-1)^2),0)</x:f>
        <x:v>12</x:v>
      </x:c>
      <x:c r="R892" t="n">
        <x:f>ROUND(INDEX(Catalogue!F$4:F$85,MATCH(A892,Catalogue!A$4:A$85,0))*(1+'Paramètres'!$B$4*(C892-1)+'Paramètres'!$B$5*(C892-1)^2),0)</x:f>
        <x:v>17</x:v>
      </x:c>
      <x:c r="S892" t="n">
        <x:f>L892-AVERAGE(Q892:R892)</x:f>
        <x:v>0</x:v>
      </x:c>
      <x:c r="T892" t="str">
        <x:f>IF(M892=0,IF(AND(N892=0,O892=0,E892=0,F892=0),"OK","ERREUR"),IF(AND(M892&gt;=1,M892&lt;=32,OR(N892=4,N892=6,N892=8,N892=10,N892=12,N892=20),O892&gt;=0,E892=M892+O892,F892=M892*N892+O892),"OK","ERREUR"))</x:f>
        <x:v>OK</x:v>
      </x:c>
      <x:c r="U892" s="86" t="n">
        <x:f>IF(M892&gt;0,M892*(N892+1)/2+O892,0)</x:f>
        <x:v>14.5</x:v>
      </x:c>
      <x:c r="V892" t="str">
        <x:f>IF(ABS(L892-U892)&lt;0.001,"OK","ERREUR")</x:f>
        <x:v>OK</x:v>
      </x:c>
    </x:row>
    <x:row r="893" ht="18" customHeight="1">
      <x:c r="A893" t="str">
        <x:v>ARM045</x:v>
      </x:c>
      <x:c r="B893" t="str">
        <x:v>Arc court</x:v>
      </x:c>
      <x:c r="C893" t="n">
        <x:v>10</x:v>
      </x:c>
      <x:c r="D893" t="str">
        <x:v>Distance</x:v>
      </x:c>
      <x:c r="E893" s="28" t="n">
        <x:f>IF(M893=0,0,M893+O893)</x:f>
        <x:v>13</x:v>
      </x:c>
      <x:c r="F893" s="28" t="n">
        <x:f>IF(M893=0,0,M893*N893+O893)</x:f>
        <x:v>20</x:v>
      </x:c>
      <x:c r="G893" s="28" t="n">
        <x:f>ROUND(Catalogue!G48*SQRT((1+'Paramètres'!$B$4*(C893-1)+'Paramètres'!$B$5*(C893-1)^2)),0)</x:f>
        <x:v>0</x:v>
      </x:c>
      <x:c r="H893" s="28" t="n">
        <x:f>ROUND(Catalogue!H48*SQRT((1+'Paramètres'!$B$4*(C893-1)+'Paramètres'!$B$5*(C893-1)^2)),0)</x:f>
        <x:v>0</x:v>
      </x:c>
      <x:c r="I893" s="28" t="n">
        <x:v>2</x:v>
      </x:c>
      <x:c r="J893" s="28" t="n">
        <x:v>5</x:v>
      </x:c>
      <x:c r="K893" s="30" t="n">
        <x:v>1</x:v>
      </x:c>
      <x:c r="L893" s="54" t="n">
        <x:f>IF(M893=0,0,(E893+F893)/2)</x:f>
        <x:v>16.5</x:v>
      </x:c>
      <x:c r="M893" t="n">
        <x:v>1</x:v>
      </x:c>
      <x:c r="N893" t="n">
        <x:v>8</x:v>
      </x:c>
      <x:c r="O893" t="n">
        <x:v>12</x:v>
      </x:c>
      <x:c r="P893" s="63" t="str">
        <x:f>IF(M893=0,"—",M893&amp;"d"&amp;N893&amp;IF(O893=0,""," + "&amp;O893))</x:f>
        <x:v>1d8 + 12</x:v>
      </x:c>
      <x:c r="Q893" t="n">
        <x:f>ROUND(INDEX(Catalogue!E$4:E$85,MATCH(A893,Catalogue!A$4:A$85,0))*(1+'Paramètres'!$B$4*(C893-1)+'Paramètres'!$B$5*(C893-1)^2),0)</x:f>
        <x:v>13</x:v>
      </x:c>
      <x:c r="R893" t="n">
        <x:f>ROUND(INDEX(Catalogue!F$4:F$85,MATCH(A893,Catalogue!A$4:A$85,0))*(1+'Paramètres'!$B$4*(C893-1)+'Paramètres'!$B$5*(C893-1)^2),0)</x:f>
        <x:v>20</x:v>
      </x:c>
      <x:c r="S893" t="n">
        <x:f>L893-AVERAGE(Q893:R893)</x:f>
        <x:v>0</x:v>
      </x:c>
      <x:c r="T893" t="str">
        <x:f>IF(M893=0,IF(AND(N893=0,O893=0,E893=0,F893=0),"OK","ERREUR"),IF(AND(M893&gt;=1,M893&lt;=32,OR(N893=4,N893=6,N893=8,N893=10,N893=12,N893=20),O893&gt;=0,E893=M893+O893,F893=M893*N893+O893),"OK","ERREUR"))</x:f>
        <x:v>OK</x:v>
      </x:c>
      <x:c r="U893" s="86" t="n">
        <x:f>IF(M893&gt;0,M893*(N893+1)/2+O893,0)</x:f>
        <x:v>16.5</x:v>
      </x:c>
      <x:c r="V893" t="str">
        <x:f>IF(ABS(L893-U893)&lt;0.001,"OK","ERREUR")</x:f>
        <x:v>OK</x:v>
      </x:c>
    </x:row>
    <x:row r="894" ht="18" customHeight="1">
      <x:c r="A894" t="str">
        <x:v>ARM045</x:v>
      </x:c>
      <x:c r="B894" t="str">
        <x:v>Arc court</x:v>
      </x:c>
      <x:c r="C894" t="n">
        <x:v>11</x:v>
      </x:c>
      <x:c r="D894" t="str">
        <x:v>Distance</x:v>
      </x:c>
      <x:c r="E894" s="28" t="n">
        <x:f>IF(M894=0,0,M894+O894)</x:f>
        <x:v>15</x:v>
      </x:c>
      <x:c r="F894" s="28" t="n">
        <x:f>IF(M894=0,0,M894*N894+O894)</x:f>
        <x:v>22</x:v>
      </x:c>
      <x:c r="G894" s="28" t="n">
        <x:f>ROUND(Catalogue!G48*SQRT((1+'Paramètres'!$B$4*(C894-1)+'Paramètres'!$B$5*(C894-1)^2)),0)</x:f>
        <x:v>0</x:v>
      </x:c>
      <x:c r="H894" s="28" t="n">
        <x:f>ROUND(Catalogue!H48*SQRT((1+'Paramètres'!$B$4*(C894-1)+'Paramètres'!$B$5*(C894-1)^2)),0)</x:f>
        <x:v>0</x:v>
      </x:c>
      <x:c r="I894" s="28" t="n">
        <x:v>2</x:v>
      </x:c>
      <x:c r="J894" s="28" t="n">
        <x:v>5</x:v>
      </x:c>
      <x:c r="K894" s="30" t="n">
        <x:v>1</x:v>
      </x:c>
      <x:c r="L894" s="54" t="n">
        <x:f>IF(M894=0,0,(E894+F894)/2)</x:f>
        <x:v>18.5</x:v>
      </x:c>
      <x:c r="M894" t="n">
        <x:v>1</x:v>
      </x:c>
      <x:c r="N894" t="n">
        <x:v>8</x:v>
      </x:c>
      <x:c r="O894" t="n">
        <x:v>14</x:v>
      </x:c>
      <x:c r="P894" s="63" t="str">
        <x:f>IF(M894=0,"—",M894&amp;"d"&amp;N894&amp;IF(O894=0,""," + "&amp;O894))</x:f>
        <x:v>1d8 + 14</x:v>
      </x:c>
      <x:c r="Q894" t="n">
        <x:f>ROUND(INDEX(Catalogue!E$4:E$85,MATCH(A894,Catalogue!A$4:A$85,0))*(1+'Paramètres'!$B$4*(C894-1)+'Paramètres'!$B$5*(C894-1)^2),0)</x:f>
        <x:v>15</x:v>
      </x:c>
      <x:c r="R894" t="n">
        <x:f>ROUND(INDEX(Catalogue!F$4:F$85,MATCH(A894,Catalogue!A$4:A$85,0))*(1+'Paramètres'!$B$4*(C894-1)+'Paramètres'!$B$5*(C894-1)^2),0)</x:f>
        <x:v>22</x:v>
      </x:c>
      <x:c r="S894" t="n">
        <x:f>L894-AVERAGE(Q894:R894)</x:f>
        <x:v>0</x:v>
      </x:c>
      <x:c r="T894" t="str">
        <x:f>IF(M894=0,IF(AND(N894=0,O894=0,E894=0,F894=0),"OK","ERREUR"),IF(AND(M894&gt;=1,M894&lt;=32,OR(N894=4,N894=6,N894=8,N894=10,N894=12,N894=20),O894&gt;=0,E894=M894+O894,F894=M894*N894+O894),"OK","ERREUR"))</x:f>
        <x:v>OK</x:v>
      </x:c>
      <x:c r="U894" s="86" t="n">
        <x:f>IF(M894&gt;0,M894*(N894+1)/2+O894,0)</x:f>
        <x:v>18.5</x:v>
      </x:c>
      <x:c r="V894" t="str">
        <x:f>IF(ABS(L894-U894)&lt;0.001,"OK","ERREUR")</x:f>
        <x:v>OK</x:v>
      </x:c>
    </x:row>
    <x:row r="895" ht="18" customHeight="1">
      <x:c r="A895" t="str">
        <x:v>ARM045</x:v>
      </x:c>
      <x:c r="B895" t="str">
        <x:v>Arc court</x:v>
      </x:c>
      <x:c r="C895" t="n">
        <x:v>12</x:v>
      </x:c>
      <x:c r="D895" t="str">
        <x:v>Distance</x:v>
      </x:c>
      <x:c r="E895" s="28" t="n">
        <x:f>IF(M895=0,0,M895+O895)</x:f>
        <x:v>16</x:v>
      </x:c>
      <x:c r="F895" s="28" t="n">
        <x:f>IF(M895=0,0,M895*N895+O895)</x:f>
        <x:v>25</x:v>
      </x:c>
      <x:c r="G895" s="28" t="n">
        <x:f>ROUND(Catalogue!G48*SQRT((1+'Paramètres'!$B$4*(C895-1)+'Paramètres'!$B$5*(C895-1)^2)),0)</x:f>
        <x:v>0</x:v>
      </x:c>
      <x:c r="H895" s="28" t="n">
        <x:f>ROUND(Catalogue!H48*SQRT((1+'Paramètres'!$B$4*(C895-1)+'Paramètres'!$B$5*(C895-1)^2)),0)</x:f>
        <x:v>0</x:v>
      </x:c>
      <x:c r="I895" s="28" t="n">
        <x:v>2</x:v>
      </x:c>
      <x:c r="J895" s="28" t="n">
        <x:v>5</x:v>
      </x:c>
      <x:c r="K895" s="30" t="n">
        <x:v>1</x:v>
      </x:c>
      <x:c r="L895" s="54" t="n">
        <x:f>IF(M895=0,0,(E895+F895)/2)</x:f>
        <x:v>20.5</x:v>
      </x:c>
      <x:c r="M895" t="n">
        <x:v>3</x:v>
      </x:c>
      <x:c r="N895" t="n">
        <x:v>4</x:v>
      </x:c>
      <x:c r="O895" t="n">
        <x:v>13</x:v>
      </x:c>
      <x:c r="P895" s="63" t="str">
        <x:f>IF(M895=0,"—",M895&amp;"d"&amp;N895&amp;IF(O895=0,""," + "&amp;O895))</x:f>
        <x:v>3d4 + 13</x:v>
      </x:c>
      <x:c r="Q895" t="n">
        <x:f>ROUND(INDEX(Catalogue!E$4:E$85,MATCH(A895,Catalogue!A$4:A$85,0))*(1+'Paramètres'!$B$4*(C895-1)+'Paramètres'!$B$5*(C895-1)^2),0)</x:f>
        <x:v>17</x:v>
      </x:c>
      <x:c r="R895" t="n">
        <x:f>ROUND(INDEX(Catalogue!F$4:F$85,MATCH(A895,Catalogue!A$4:A$85,0))*(1+'Paramètres'!$B$4*(C895-1)+'Paramètres'!$B$5*(C895-1)^2),0)</x:f>
        <x:v>25</x:v>
      </x:c>
      <x:c r="S895" t="n">
        <x:f>L895-AVERAGE(Q895:R895)</x:f>
        <x:v>-0.5</x:v>
      </x:c>
      <x:c r="T895" t="str">
        <x:f>IF(M895=0,IF(AND(N895=0,O895=0,E895=0,F895=0),"OK","ERREUR"),IF(AND(M895&gt;=1,M895&lt;=32,OR(N895=4,N895=6,N895=8,N895=10,N895=12,N895=20),O895&gt;=0,E895=M895+O895,F895=M895*N895+O895),"OK","ERREUR"))</x:f>
        <x:v>OK</x:v>
      </x:c>
      <x:c r="U895" s="86" t="n">
        <x:f>IF(M895&gt;0,M895*(N895+1)/2+O895,0)</x:f>
        <x:v>20.5</x:v>
      </x:c>
      <x:c r="V895" t="str">
        <x:f>IF(ABS(L895-U895)&lt;0.001,"OK","ERREUR")</x:f>
        <x:v>OK</x:v>
      </x:c>
    </x:row>
    <x:row r="896" ht="18" customHeight="1">
      <x:c r="A896" t="str">
        <x:v>ARM045</x:v>
      </x:c>
      <x:c r="B896" t="str">
        <x:v>Arc court</x:v>
      </x:c>
      <x:c r="C896" t="n">
        <x:v>13</x:v>
      </x:c>
      <x:c r="D896" t="str">
        <x:v>Distance</x:v>
      </x:c>
      <x:c r="E896" s="28" t="n">
        <x:f>IF(M896=0,0,M896+O896)</x:f>
        <x:v>18</x:v>
      </x:c>
      <x:c r="F896" s="28" t="n">
        <x:f>IF(M896=0,0,M896*N896+O896)</x:f>
        <x:v>28</x:v>
      </x:c>
      <x:c r="G896" s="28" t="n">
        <x:f>ROUND(Catalogue!G48*SQRT((1+'Paramètres'!$B$4*(C896-1)+'Paramètres'!$B$5*(C896-1)^2)),0)</x:f>
        <x:v>0</x:v>
      </x:c>
      <x:c r="H896" s="28" t="n">
        <x:f>ROUND(Catalogue!H48*SQRT((1+'Paramètres'!$B$4*(C896-1)+'Paramètres'!$B$5*(C896-1)^2)),0)</x:f>
        <x:v>0</x:v>
      </x:c>
      <x:c r="I896" s="28" t="n">
        <x:v>2</x:v>
      </x:c>
      <x:c r="J896" s="28" t="n">
        <x:v>5</x:v>
      </x:c>
      <x:c r="K896" s="30" t="n">
        <x:v>1</x:v>
      </x:c>
      <x:c r="L896" s="54" t="n">
        <x:f>IF(M896=0,0,(E896+F896)/2)</x:f>
        <x:v>23</x:v>
      </x:c>
      <x:c r="M896" t="n">
        <x:v>2</x:v>
      </x:c>
      <x:c r="N896" t="n">
        <x:v>6</x:v>
      </x:c>
      <x:c r="O896" t="n">
        <x:v>16</x:v>
      </x:c>
      <x:c r="P896" s="63" t="str">
        <x:f>IF(M896=0,"—",M896&amp;"d"&amp;N896&amp;IF(O896=0,""," + "&amp;O896))</x:f>
        <x:v>2d6 + 16</x:v>
      </x:c>
      <x:c r="Q896" t="n">
        <x:f>ROUND(INDEX(Catalogue!E$4:E$85,MATCH(A896,Catalogue!A$4:A$85,0))*(1+'Paramètres'!$B$4*(C896-1)+'Paramètres'!$B$5*(C896-1)^2),0)</x:f>
        <x:v>18</x:v>
      </x:c>
      <x:c r="R896" t="n">
        <x:f>ROUND(INDEX(Catalogue!F$4:F$85,MATCH(A896,Catalogue!A$4:A$85,0))*(1+'Paramètres'!$B$4*(C896-1)+'Paramètres'!$B$5*(C896-1)^2),0)</x:f>
        <x:v>28</x:v>
      </x:c>
      <x:c r="S896" t="n">
        <x:f>L896-AVERAGE(Q896:R896)</x:f>
        <x:v>0</x:v>
      </x:c>
      <x:c r="T896" t="str">
        <x:f>IF(M896=0,IF(AND(N896=0,O896=0,E896=0,F896=0),"OK","ERREUR"),IF(AND(M896&gt;=1,M896&lt;=32,OR(N896=4,N896=6,N896=8,N896=10,N896=12,N896=20),O896&gt;=0,E896=M896+O896,F896=M896*N896+O896),"OK","ERREUR"))</x:f>
        <x:v>OK</x:v>
      </x:c>
      <x:c r="U896" s="86" t="n">
        <x:f>IF(M896&gt;0,M896*(N896+1)/2+O896,0)</x:f>
        <x:v>23</x:v>
      </x:c>
      <x:c r="V896" t="str">
        <x:f>IF(ABS(L896-U896)&lt;0.001,"OK","ERREUR")</x:f>
        <x:v>OK</x:v>
      </x:c>
    </x:row>
    <x:row r="897" ht="18" customHeight="1">
      <x:c r="A897" t="str">
        <x:v>ARM045</x:v>
      </x:c>
      <x:c r="B897" t="str">
        <x:v>Arc court</x:v>
      </x:c>
      <x:c r="C897" t="n">
        <x:v>14</x:v>
      </x:c>
      <x:c r="D897" t="str">
        <x:v>Distance</x:v>
      </x:c>
      <x:c r="E897" s="28" t="n">
        <x:f>IF(M897=0,0,M897+O897)</x:f>
        <x:v>21</x:v>
      </x:c>
      <x:c r="F897" s="28" t="n">
        <x:f>IF(M897=0,0,M897*N897+O897)</x:f>
        <x:v>31</x:v>
      </x:c>
      <x:c r="G897" s="28" t="n">
        <x:f>ROUND(Catalogue!G48*SQRT((1+'Paramètres'!$B$4*(C897-1)+'Paramètres'!$B$5*(C897-1)^2)),0)</x:f>
        <x:v>0</x:v>
      </x:c>
      <x:c r="H897" s="28" t="n">
        <x:f>ROUND(Catalogue!H48*SQRT((1+'Paramètres'!$B$4*(C897-1)+'Paramètres'!$B$5*(C897-1)^2)),0)</x:f>
        <x:v>0</x:v>
      </x:c>
      <x:c r="I897" s="28" t="n">
        <x:v>2</x:v>
      </x:c>
      <x:c r="J897" s="28" t="n">
        <x:v>5</x:v>
      </x:c>
      <x:c r="K897" s="30" t="n">
        <x:v>1</x:v>
      </x:c>
      <x:c r="L897" s="54" t="n">
        <x:f>IF(M897=0,0,(E897+F897)/2)</x:f>
        <x:v>26</x:v>
      </x:c>
      <x:c r="M897" t="n">
        <x:v>2</x:v>
      </x:c>
      <x:c r="N897" t="n">
        <x:v>6</x:v>
      </x:c>
      <x:c r="O897" t="n">
        <x:v>19</x:v>
      </x:c>
      <x:c r="P897" s="63" t="str">
        <x:f>IF(M897=0,"—",M897&amp;"d"&amp;N897&amp;IF(O897=0,""," + "&amp;O897))</x:f>
        <x:v>2d6 + 19</x:v>
      </x:c>
      <x:c r="Q897" t="n">
        <x:f>ROUND(INDEX(Catalogue!E$4:E$85,MATCH(A897,Catalogue!A$4:A$85,0))*(1+'Paramètres'!$B$4*(C897-1)+'Paramètres'!$B$5*(C897-1)^2),0)</x:f>
        <x:v>21</x:v>
      </x:c>
      <x:c r="R897" t="n">
        <x:f>ROUND(INDEX(Catalogue!F$4:F$85,MATCH(A897,Catalogue!A$4:A$85,0))*(1+'Paramètres'!$B$4*(C897-1)+'Paramètres'!$B$5*(C897-1)^2),0)</x:f>
        <x:v>31</x:v>
      </x:c>
      <x:c r="S897" t="n">
        <x:f>L897-AVERAGE(Q897:R897)</x:f>
        <x:v>0</x:v>
      </x:c>
      <x:c r="T897" t="str">
        <x:f>IF(M897=0,IF(AND(N897=0,O897=0,E897=0,F897=0),"OK","ERREUR"),IF(AND(M897&gt;=1,M897&lt;=32,OR(N897=4,N897=6,N897=8,N897=10,N897=12,N897=20),O897&gt;=0,E897=M897+O897,F897=M897*N897+O897),"OK","ERREUR"))</x:f>
        <x:v>OK</x:v>
      </x:c>
      <x:c r="U897" s="86" t="n">
        <x:f>IF(M897&gt;0,M897*(N897+1)/2+O897,0)</x:f>
        <x:v>26</x:v>
      </x:c>
      <x:c r="V897" t="str">
        <x:f>IF(ABS(L897-U897)&lt;0.001,"OK","ERREUR")</x:f>
        <x:v>OK</x:v>
      </x:c>
    </x:row>
    <x:row r="898" ht="18" customHeight="1">
      <x:c r="A898" t="str">
        <x:v>ARM045</x:v>
      </x:c>
      <x:c r="B898" t="str">
        <x:v>Arc court</x:v>
      </x:c>
      <x:c r="C898" t="n">
        <x:v>15</x:v>
      </x:c>
      <x:c r="D898" t="str">
        <x:v>Distance</x:v>
      </x:c>
      <x:c r="E898" s="28" t="n">
        <x:f>IF(M898=0,0,M898+O898)</x:f>
        <x:v>23</x:v>
      </x:c>
      <x:c r="F898" s="28" t="n">
        <x:f>IF(M898=0,0,M898*N898+O898)</x:f>
        <x:v>34</x:v>
      </x:c>
      <x:c r="G898" s="28" t="n">
        <x:f>ROUND(Catalogue!G48*SQRT((1+'Paramètres'!$B$4*(C898-1)+'Paramètres'!$B$5*(C898-1)^2)),0)</x:f>
        <x:v>0</x:v>
      </x:c>
      <x:c r="H898" s="28" t="n">
        <x:f>ROUND(Catalogue!H48*SQRT((1+'Paramètres'!$B$4*(C898-1)+'Paramètres'!$B$5*(C898-1)^2)),0)</x:f>
        <x:v>0</x:v>
      </x:c>
      <x:c r="I898" s="28" t="n">
        <x:v>2</x:v>
      </x:c>
      <x:c r="J898" s="28" t="n">
        <x:v>5</x:v>
      </x:c>
      <x:c r="K898" s="30" t="n">
        <x:v>1</x:v>
      </x:c>
      <x:c r="L898" s="54" t="n">
        <x:f>IF(M898=0,0,(E898+F898)/2)</x:f>
        <x:v>28.5</x:v>
      </x:c>
      <x:c r="M898" t="n">
        <x:v>1</x:v>
      </x:c>
      <x:c r="N898" t="n">
        <x:v>12</x:v>
      </x:c>
      <x:c r="O898" t="n">
        <x:v>22</x:v>
      </x:c>
      <x:c r="P898" s="63" t="str">
        <x:f>IF(M898=0,"—",M898&amp;"d"&amp;N898&amp;IF(O898=0,""," + "&amp;O898))</x:f>
        <x:v>1d12 + 22</x:v>
      </x:c>
      <x:c r="Q898" t="n">
        <x:f>ROUND(INDEX(Catalogue!E$4:E$85,MATCH(A898,Catalogue!A$4:A$85,0))*(1+'Paramètres'!$B$4*(C898-1)+'Paramètres'!$B$5*(C898-1)^2),0)</x:f>
        <x:v>23</x:v>
      </x:c>
      <x:c r="R898" t="n">
        <x:f>ROUND(INDEX(Catalogue!F$4:F$85,MATCH(A898,Catalogue!A$4:A$85,0))*(1+'Paramètres'!$B$4*(C898-1)+'Paramètres'!$B$5*(C898-1)^2),0)</x:f>
        <x:v>34</x:v>
      </x:c>
      <x:c r="S898" t="n">
        <x:f>L898-AVERAGE(Q898:R898)</x:f>
        <x:v>0</x:v>
      </x:c>
      <x:c r="T898" t="str">
        <x:f>IF(M898=0,IF(AND(N898=0,O898=0,E898=0,F898=0),"OK","ERREUR"),IF(AND(M898&gt;=1,M898&lt;=32,OR(N898=4,N898=6,N898=8,N898=10,N898=12,N898=20),O898&gt;=0,E898=M898+O898,F898=M898*N898+O898),"OK","ERREUR"))</x:f>
        <x:v>OK</x:v>
      </x:c>
      <x:c r="U898" s="86" t="n">
        <x:f>IF(M898&gt;0,M898*(N898+1)/2+O898,0)</x:f>
        <x:v>28.5</x:v>
      </x:c>
      <x:c r="V898" t="str">
        <x:f>IF(ABS(L898-U898)&lt;0.001,"OK","ERREUR")</x:f>
        <x:v>OK</x:v>
      </x:c>
    </x:row>
    <x:row r="899" ht="18" customHeight="1">
      <x:c r="A899" t="str">
        <x:v>ARM045</x:v>
      </x:c>
      <x:c r="B899" t="str">
        <x:v>Arc court</x:v>
      </x:c>
      <x:c r="C899" t="n">
        <x:v>16</x:v>
      </x:c>
      <x:c r="D899" t="str">
        <x:v>Distance</x:v>
      </x:c>
      <x:c r="E899" s="28" t="n">
        <x:f>IF(M899=0,0,M899+O899)</x:f>
        <x:v>24</x:v>
      </x:c>
      <x:c r="F899" s="28" t="n">
        <x:f>IF(M899=0,0,M899*N899+O899)</x:f>
        <x:v>38</x:v>
      </x:c>
      <x:c r="G899" s="28" t="n">
        <x:f>ROUND(Catalogue!G48*SQRT((1+'Paramètres'!$B$4*(C899-1)+'Paramètres'!$B$5*(C899-1)^2)),0)</x:f>
        <x:v>0</x:v>
      </x:c>
      <x:c r="H899" s="28" t="n">
        <x:f>ROUND(Catalogue!H48*SQRT((1+'Paramètres'!$B$4*(C899-1)+'Paramètres'!$B$5*(C899-1)^2)),0)</x:f>
        <x:v>0</x:v>
      </x:c>
      <x:c r="I899" s="28" t="n">
        <x:v>2</x:v>
      </x:c>
      <x:c r="J899" s="28" t="n">
        <x:v>5</x:v>
      </x:c>
      <x:c r="K899" s="30" t="n">
        <x:v>1</x:v>
      </x:c>
      <x:c r="L899" s="54" t="n">
        <x:f>IF(M899=0,0,(E899+F899)/2)</x:f>
        <x:v>31</x:v>
      </x:c>
      <x:c r="M899" t="n">
        <x:v>2</x:v>
      </x:c>
      <x:c r="N899" t="n">
        <x:v>8</x:v>
      </x:c>
      <x:c r="O899" t="n">
        <x:v>22</x:v>
      </x:c>
      <x:c r="P899" s="63" t="str">
        <x:f>IF(M899=0,"—",M899&amp;"d"&amp;N899&amp;IF(O899=0,""," + "&amp;O899))</x:f>
        <x:v>2d8 + 22</x:v>
      </x:c>
      <x:c r="Q899" t="n">
        <x:f>ROUND(INDEX(Catalogue!E$4:E$85,MATCH(A899,Catalogue!A$4:A$85,0))*(1+'Paramètres'!$B$4*(C899-1)+'Paramètres'!$B$5*(C899-1)^2),0)</x:f>
        <x:v>25</x:v>
      </x:c>
      <x:c r="R899" t="n">
        <x:f>ROUND(INDEX(Catalogue!F$4:F$85,MATCH(A899,Catalogue!A$4:A$85,0))*(1+'Paramètres'!$B$4*(C899-1)+'Paramètres'!$B$5*(C899-1)^2),0)</x:f>
        <x:v>38</x:v>
      </x:c>
      <x:c r="S899" t="n">
        <x:f>L899-AVERAGE(Q899:R899)</x:f>
        <x:v>-0.5</x:v>
      </x:c>
      <x:c r="T899" t="str">
        <x:f>IF(M899=0,IF(AND(N899=0,O899=0,E899=0,F899=0),"OK","ERREUR"),IF(AND(M899&gt;=1,M899&lt;=32,OR(N899=4,N899=6,N899=8,N899=10,N899=12,N899=20),O899&gt;=0,E899=M899+O899,F899=M899*N899+O899),"OK","ERREUR"))</x:f>
        <x:v>OK</x:v>
      </x:c>
      <x:c r="U899" s="86" t="n">
        <x:f>IF(M899&gt;0,M899*(N899+1)/2+O899,0)</x:f>
        <x:v>31</x:v>
      </x:c>
      <x:c r="V899" t="str">
        <x:f>IF(ABS(L899-U899)&lt;0.001,"OK","ERREUR")</x:f>
        <x:v>OK</x:v>
      </x:c>
    </x:row>
    <x:row r="900" ht="18" customHeight="1">
      <x:c r="A900" t="str">
        <x:v>ARM045</x:v>
      </x:c>
      <x:c r="B900" t="str">
        <x:v>Arc court</x:v>
      </x:c>
      <x:c r="C900" t="n">
        <x:v>17</x:v>
      </x:c>
      <x:c r="D900" t="str">
        <x:v>Distance</x:v>
      </x:c>
      <x:c r="E900" s="28" t="n">
        <x:f>IF(M900=0,0,M900+O900)</x:f>
        <x:v>27</x:v>
      </x:c>
      <x:c r="F900" s="28" t="n">
        <x:f>IF(M900=0,0,M900*N900+O900)</x:f>
        <x:v>41</x:v>
      </x:c>
      <x:c r="G900" s="28" t="n">
        <x:f>ROUND(Catalogue!G48*SQRT((1+'Paramètres'!$B$4*(C900-1)+'Paramètres'!$B$5*(C900-1)^2)),0)</x:f>
        <x:v>0</x:v>
      </x:c>
      <x:c r="H900" s="28" t="n">
        <x:f>ROUND(Catalogue!H48*SQRT((1+'Paramètres'!$B$4*(C900-1)+'Paramètres'!$B$5*(C900-1)^2)),0)</x:f>
        <x:v>0</x:v>
      </x:c>
      <x:c r="I900" s="28" t="n">
        <x:v>2</x:v>
      </x:c>
      <x:c r="J900" s="28" t="n">
        <x:v>5</x:v>
      </x:c>
      <x:c r="K900" s="30" t="n">
        <x:v>1</x:v>
      </x:c>
      <x:c r="L900" s="54" t="n">
        <x:f>IF(M900=0,0,(E900+F900)/2)</x:f>
        <x:v>34</x:v>
      </x:c>
      <x:c r="M900" t="n">
        <x:v>2</x:v>
      </x:c>
      <x:c r="N900" t="n">
        <x:v>8</x:v>
      </x:c>
      <x:c r="O900" t="n">
        <x:v>25</x:v>
      </x:c>
      <x:c r="P900" s="63" t="str">
        <x:f>IF(M900=0,"—",M900&amp;"d"&amp;N900&amp;IF(O900=0,""," + "&amp;O900))</x:f>
        <x:v>2d8 + 25</x:v>
      </x:c>
      <x:c r="Q900" t="n">
        <x:f>ROUND(INDEX(Catalogue!E$4:E$85,MATCH(A900,Catalogue!A$4:A$85,0))*(1+'Paramètres'!$B$4*(C900-1)+'Paramètres'!$B$5*(C900-1)^2),0)</x:f>
        <x:v>27</x:v>
      </x:c>
      <x:c r="R900" t="n">
        <x:f>ROUND(INDEX(Catalogue!F$4:F$85,MATCH(A900,Catalogue!A$4:A$85,0))*(1+'Paramètres'!$B$4*(C900-1)+'Paramètres'!$B$5*(C900-1)^2),0)</x:f>
        <x:v>41</x:v>
      </x:c>
      <x:c r="S900" t="n">
        <x:f>L900-AVERAGE(Q900:R900)</x:f>
        <x:v>0</x:v>
      </x:c>
      <x:c r="T900" t="str">
        <x:f>IF(M900=0,IF(AND(N900=0,O900=0,E900=0,F900=0),"OK","ERREUR"),IF(AND(M900&gt;=1,M900&lt;=32,OR(N900=4,N900=6,N900=8,N900=10,N900=12,N900=20),O900&gt;=0,E900=M900+O900,F900=M900*N900+O900),"OK","ERREUR"))</x:f>
        <x:v>OK</x:v>
      </x:c>
      <x:c r="U900" s="86" t="n">
        <x:f>IF(M900&gt;0,M900*(N900+1)/2+O900,0)</x:f>
        <x:v>34</x:v>
      </x:c>
      <x:c r="V900" t="str">
        <x:f>IF(ABS(L900-U900)&lt;0.001,"OK","ERREUR")</x:f>
        <x:v>OK</x:v>
      </x:c>
    </x:row>
    <x:row r="901" ht="18" customHeight="1">
      <x:c r="A901" t="str">
        <x:v>ARM045</x:v>
      </x:c>
      <x:c r="B901" t="str">
        <x:v>Arc court</x:v>
      </x:c>
      <x:c r="C901" t="n">
        <x:v>18</x:v>
      </x:c>
      <x:c r="D901" t="str">
        <x:v>Distance</x:v>
      </x:c>
      <x:c r="E901" s="28" t="n">
        <x:f>IF(M901=0,0,M901+O901)</x:f>
        <x:v>30</x:v>
      </x:c>
      <x:c r="F901" s="28" t="n">
        <x:f>IF(M901=0,0,M901*N901+O901)</x:f>
        <x:v>45</x:v>
      </x:c>
      <x:c r="G901" s="28" t="n">
        <x:f>ROUND(Catalogue!G48*SQRT((1+'Paramètres'!$B$4*(C901-1)+'Paramètres'!$B$5*(C901-1)^2)),0)</x:f>
        <x:v>0</x:v>
      </x:c>
      <x:c r="H901" s="28" t="n">
        <x:f>ROUND(Catalogue!H48*SQRT((1+'Paramètres'!$B$4*(C901-1)+'Paramètres'!$B$5*(C901-1)^2)),0)</x:f>
        <x:v>0</x:v>
      </x:c>
      <x:c r="I901" s="28" t="n">
        <x:v>2</x:v>
      </x:c>
      <x:c r="J901" s="28" t="n">
        <x:v>5</x:v>
      </x:c>
      <x:c r="K901" s="30" t="n">
        <x:v>1</x:v>
      </x:c>
      <x:c r="L901" s="54" t="n">
        <x:f>IF(M901=0,0,(E901+F901)/2)</x:f>
        <x:v>37.5</x:v>
      </x:c>
      <x:c r="M901" t="n">
        <x:v>3</x:v>
      </x:c>
      <x:c r="N901" t="n">
        <x:v>6</x:v>
      </x:c>
      <x:c r="O901" t="n">
        <x:v>27</x:v>
      </x:c>
      <x:c r="P901" s="63" t="str">
        <x:f>IF(M901=0,"—",M901&amp;"d"&amp;N901&amp;IF(O901=0,""," + "&amp;O901))</x:f>
        <x:v>3d6 + 27</x:v>
      </x:c>
      <x:c r="Q901" t="n">
        <x:f>ROUND(INDEX(Catalogue!E$4:E$85,MATCH(A901,Catalogue!A$4:A$85,0))*(1+'Paramètres'!$B$4*(C901-1)+'Paramètres'!$B$5*(C901-1)^2),0)</x:f>
        <x:v>30</x:v>
      </x:c>
      <x:c r="R901" t="n">
        <x:f>ROUND(INDEX(Catalogue!F$4:F$85,MATCH(A901,Catalogue!A$4:A$85,0))*(1+'Paramètres'!$B$4*(C901-1)+'Paramètres'!$B$5*(C901-1)^2),0)</x:f>
        <x:v>45</x:v>
      </x:c>
      <x:c r="S901" t="n">
        <x:f>L901-AVERAGE(Q901:R901)</x:f>
        <x:v>0</x:v>
      </x:c>
      <x:c r="T901" t="str">
        <x:f>IF(M901=0,IF(AND(N901=0,O901=0,E901=0,F901=0),"OK","ERREUR"),IF(AND(M901&gt;=1,M901&lt;=32,OR(N901=4,N901=6,N901=8,N901=10,N901=12,N901=20),O901&gt;=0,E901=M901+O901,F901=M901*N901+O901),"OK","ERREUR"))</x:f>
        <x:v>OK</x:v>
      </x:c>
      <x:c r="U901" s="86" t="n">
        <x:f>IF(M901&gt;0,M901*(N901+1)/2+O901,0)</x:f>
        <x:v>37.5</x:v>
      </x:c>
      <x:c r="V901" t="str">
        <x:f>IF(ABS(L901-U901)&lt;0.001,"OK","ERREUR")</x:f>
        <x:v>OK</x:v>
      </x:c>
    </x:row>
    <x:row r="902" ht="18" customHeight="1">
      <x:c r="A902" t="str">
        <x:v>ARM045</x:v>
      </x:c>
      <x:c r="B902" t="str">
        <x:v>Arc court</x:v>
      </x:c>
      <x:c r="C902" t="n">
        <x:v>19</x:v>
      </x:c>
      <x:c r="D902" t="str">
        <x:v>Distance</x:v>
      </x:c>
      <x:c r="E902" s="28" t="n">
        <x:f>IF(M902=0,0,M902+O902)</x:f>
        <x:v>33</x:v>
      </x:c>
      <x:c r="F902" s="28" t="n">
        <x:f>IF(M902=0,0,M902*N902+O902)</x:f>
        <x:v>48</x:v>
      </x:c>
      <x:c r="G902" s="28" t="n">
        <x:f>ROUND(Catalogue!G48*SQRT((1+'Paramètres'!$B$4*(C902-1)+'Paramètres'!$B$5*(C902-1)^2)),0)</x:f>
        <x:v>0</x:v>
      </x:c>
      <x:c r="H902" s="28" t="n">
        <x:f>ROUND(Catalogue!H48*SQRT((1+'Paramètres'!$B$4*(C902-1)+'Paramètres'!$B$5*(C902-1)^2)),0)</x:f>
        <x:v>0</x:v>
      </x:c>
      <x:c r="I902" s="28" t="n">
        <x:v>2</x:v>
      </x:c>
      <x:c r="J902" s="28" t="n">
        <x:v>5</x:v>
      </x:c>
      <x:c r="K902" s="30" t="n">
        <x:v>1</x:v>
      </x:c>
      <x:c r="L902" s="54" t="n">
        <x:f>IF(M902=0,0,(E902+F902)/2)</x:f>
        <x:v>40.5</x:v>
      </x:c>
      <x:c r="M902" t="n">
        <x:v>3</x:v>
      </x:c>
      <x:c r="N902" t="n">
        <x:v>6</x:v>
      </x:c>
      <x:c r="O902" t="n">
        <x:v>30</x:v>
      </x:c>
      <x:c r="P902" s="63" t="str">
        <x:f>IF(M902=0,"—",M902&amp;"d"&amp;N902&amp;IF(O902=0,""," + "&amp;O902))</x:f>
        <x:v>3d6 + 30</x:v>
      </x:c>
      <x:c r="Q902" t="n">
        <x:f>ROUND(INDEX(Catalogue!E$4:E$85,MATCH(A902,Catalogue!A$4:A$85,0))*(1+'Paramètres'!$B$4*(C902-1)+'Paramètres'!$B$5*(C902-1)^2),0)</x:f>
        <x:v>33</x:v>
      </x:c>
      <x:c r="R902" t="n">
        <x:f>ROUND(INDEX(Catalogue!F$4:F$85,MATCH(A902,Catalogue!A$4:A$85,0))*(1+'Paramètres'!$B$4*(C902-1)+'Paramètres'!$B$5*(C902-1)^2),0)</x:f>
        <x:v>49</x:v>
      </x:c>
      <x:c r="S902" t="n">
        <x:f>L902-AVERAGE(Q902:R902)</x:f>
        <x:v>-0.5</x:v>
      </x:c>
      <x:c r="T902" t="str">
        <x:f>IF(M902=0,IF(AND(N902=0,O902=0,E902=0,F902=0),"OK","ERREUR"),IF(AND(M902&gt;=1,M902&lt;=32,OR(N902=4,N902=6,N902=8,N902=10,N902=12,N902=20),O902&gt;=0,E902=M902+O902,F902=M902*N902+O902),"OK","ERREUR"))</x:f>
        <x:v>OK</x:v>
      </x:c>
      <x:c r="U902" s="86" t="n">
        <x:f>IF(M902&gt;0,M902*(N902+1)/2+O902,0)</x:f>
        <x:v>40.5</x:v>
      </x:c>
      <x:c r="V902" t="str">
        <x:f>IF(ABS(L902-U902)&lt;0.001,"OK","ERREUR")</x:f>
        <x:v>OK</x:v>
      </x:c>
    </x:row>
    <x:row r="903" ht="18" customHeight="1">
      <x:c r="A903" t="str">
        <x:v>ARM045</x:v>
      </x:c>
      <x:c r="B903" t="str">
        <x:v>Arc court</x:v>
      </x:c>
      <x:c r="C903" t="n">
        <x:v>20</x:v>
      </x:c>
      <x:c r="D903" t="str">
        <x:v>Distance</x:v>
      </x:c>
      <x:c r="E903" s="28" t="n">
        <x:f>IF(M903=0,0,M903+O903)</x:f>
        <x:v>35</x:v>
      </x:c>
      <x:c r="F903" s="28" t="n">
        <x:f>IF(M903=0,0,M903*N903+O903)</x:f>
        <x:v>53</x:v>
      </x:c>
      <x:c r="G903" s="28" t="n">
        <x:f>ROUND(Catalogue!G48*SQRT((1+'Paramètres'!$B$4*(C903-1)+'Paramètres'!$B$5*(C903-1)^2)),0)</x:f>
        <x:v>0</x:v>
      </x:c>
      <x:c r="H903" s="28" t="n">
        <x:f>ROUND(Catalogue!H48*SQRT((1+'Paramètres'!$B$4*(C903-1)+'Paramètres'!$B$5*(C903-1)^2)),0)</x:f>
        <x:v>0</x:v>
      </x:c>
      <x:c r="I903" s="28" t="n">
        <x:v>2</x:v>
      </x:c>
      <x:c r="J903" s="28" t="n">
        <x:v>5</x:v>
      </x:c>
      <x:c r="K903" s="30" t="n">
        <x:v>1</x:v>
      </x:c>
      <x:c r="L903" s="54" t="n">
        <x:f>IF(M903=0,0,(E903+F903)/2)</x:f>
        <x:v>44</x:v>
      </x:c>
      <x:c r="M903" t="n">
        <x:v>2</x:v>
      </x:c>
      <x:c r="N903" t="n">
        <x:v>10</x:v>
      </x:c>
      <x:c r="O903" t="n">
        <x:v>33</x:v>
      </x:c>
      <x:c r="P903" s="63" t="str">
        <x:f>IF(M903=0,"—",M903&amp;"d"&amp;N903&amp;IF(O903=0,""," + "&amp;O903))</x:f>
        <x:v>2d10 + 33</x:v>
      </x:c>
      <x:c r="Q903" t="n">
        <x:f>ROUND(INDEX(Catalogue!E$4:E$85,MATCH(A903,Catalogue!A$4:A$85,0))*(1+'Paramètres'!$B$4*(C903-1)+'Paramètres'!$B$5*(C903-1)^2),0)</x:f>
        <x:v>35</x:v>
      </x:c>
      <x:c r="R903" t="n">
        <x:f>ROUND(INDEX(Catalogue!F$4:F$85,MATCH(A903,Catalogue!A$4:A$85,0))*(1+'Paramètres'!$B$4*(C903-1)+'Paramètres'!$B$5*(C903-1)^2),0)</x:f>
        <x:v>53</x:v>
      </x:c>
      <x:c r="S903" t="n">
        <x:f>L903-AVERAGE(Q903:R903)</x:f>
        <x:v>0</x:v>
      </x:c>
      <x:c r="T903" t="str">
        <x:f>IF(M903=0,IF(AND(N903=0,O903=0,E903=0,F903=0),"OK","ERREUR"),IF(AND(M903&gt;=1,M903&lt;=32,OR(N903=4,N903=6,N903=8,N903=10,N903=12,N903=20),O903&gt;=0,E903=M903+O903,F903=M903*N903+O903),"OK","ERREUR"))</x:f>
        <x:v>OK</x:v>
      </x:c>
      <x:c r="U903" s="86" t="n">
        <x:f>IF(M903&gt;0,M903*(N903+1)/2+O903,0)</x:f>
        <x:v>44</x:v>
      </x:c>
      <x:c r="V903" t="str">
        <x:f>IF(ABS(L903-U903)&lt;0.001,"OK","ERREUR")</x:f>
        <x:v>OK</x:v>
      </x:c>
    </x:row>
    <x:row r="904" ht="18" customHeight="1">
      <x:c r="A904" t="str">
        <x:v>ARM046</x:v>
      </x:c>
      <x:c r="B904" t="str">
        <x:v>Arc long</x:v>
      </x:c>
      <x:c r="C904" t="n">
        <x:v>1</x:v>
      </x:c>
      <x:c r="D904" t="str">
        <x:v>Distance</x:v>
      </x:c>
      <x:c r="E904" s="28" t="n">
        <x:f>IF(M904=0,0,M904+O904)</x:f>
        <x:v>5</x:v>
      </x:c>
      <x:c r="F904" s="28" t="n">
        <x:f>IF(M904=0,0,M904*N904+O904)</x:f>
        <x:v>8</x:v>
      </x:c>
      <x:c r="G904" s="28" t="n">
        <x:f>ROUND(Catalogue!G49*SQRT((1+'Paramètres'!$B$4*(C904-1)+'Paramètres'!$B$5*(C904-1)^2)),0)</x:f>
        <x:v>0</x:v>
      </x:c>
      <x:c r="H904" s="28" t="n">
        <x:f>ROUND(Catalogue!H49*SQRT((1+'Paramètres'!$B$4*(C904-1)+'Paramètres'!$B$5*(C904-1)^2)),0)</x:f>
        <x:v>0</x:v>
      </x:c>
      <x:c r="I904" s="28" t="n">
        <x:v>2</x:v>
      </x:c>
      <x:c r="J904" s="28" t="n">
        <x:v>7</x:v>
      </x:c>
      <x:c r="K904" s="30" t="n">
        <x:v>1.5</x:v>
      </x:c>
      <x:c r="L904" s="54" t="n">
        <x:f>IF(M904=0,0,(E904+F904)/2)</x:f>
        <x:v>6.5</x:v>
      </x:c>
      <x:c r="M904" t="n">
        <x:v>1</x:v>
      </x:c>
      <x:c r="N904" t="n">
        <x:v>4</x:v>
      </x:c>
      <x:c r="O904" t="n">
        <x:v>4</x:v>
      </x:c>
      <x:c r="P904" s="63" t="str">
        <x:f>IF(M904=0,"—",M904&amp;"d"&amp;N904&amp;IF(O904=0,""," + "&amp;O904))</x:f>
        <x:v>1d4 + 4</x:v>
      </x:c>
      <x:c r="Q904" t="n">
        <x:f>ROUND(INDEX(Catalogue!E$4:E$85,MATCH(A904,Catalogue!A$4:A$85,0))*(1+'Paramètres'!$B$4*(C904-1)+'Paramètres'!$B$5*(C904-1)^2),0)</x:f>
        <x:v>5</x:v>
      </x:c>
      <x:c r="R904" t="n">
        <x:f>ROUND(INDEX(Catalogue!F$4:F$85,MATCH(A904,Catalogue!A$4:A$85,0))*(1+'Paramètres'!$B$4*(C904-1)+'Paramètres'!$B$5*(C904-1)^2),0)</x:f>
        <x:v>8</x:v>
      </x:c>
      <x:c r="S904" t="n">
        <x:f>L904-AVERAGE(Q904:R904)</x:f>
        <x:v>0</x:v>
      </x:c>
      <x:c r="T904" t="str">
        <x:f>IF(M904=0,IF(AND(N904=0,O904=0,E904=0,F904=0),"OK","ERREUR"),IF(AND(M904&gt;=1,M904&lt;=32,OR(N904=4,N904=6,N904=8,N904=10,N904=12,N904=20),O904&gt;=0,E904=M904+O904,F904=M904*N904+O904),"OK","ERREUR"))</x:f>
        <x:v>OK</x:v>
      </x:c>
      <x:c r="U904" s="86" t="n">
        <x:f>IF(M904&gt;0,M904*(N904+1)/2+O904,0)</x:f>
        <x:v>6.5</x:v>
      </x:c>
      <x:c r="V904" t="str">
        <x:f>IF(ABS(L904-U904)&lt;0.001,"OK","ERREUR")</x:f>
        <x:v>OK</x:v>
      </x:c>
    </x:row>
    <x:row r="905" ht="18" customHeight="1">
      <x:c r="A905" t="str">
        <x:v>ARM046</x:v>
      </x:c>
      <x:c r="B905" t="str">
        <x:v>Arc long</x:v>
      </x:c>
      <x:c r="C905" t="n">
        <x:v>2</x:v>
      </x:c>
      <x:c r="D905" t="str">
        <x:v>Distance</x:v>
      </x:c>
      <x:c r="E905" s="28" t="n">
        <x:f>IF(M905=0,0,M905+O905)</x:f>
        <x:v>6</x:v>
      </x:c>
      <x:c r="F905" s="28" t="n">
        <x:f>IF(M905=0,0,M905*N905+O905)</x:f>
        <x:v>9</x:v>
      </x:c>
      <x:c r="G905" s="28" t="n">
        <x:f>ROUND(Catalogue!G49*SQRT((1+'Paramètres'!$B$4*(C905-1)+'Paramètres'!$B$5*(C905-1)^2)),0)</x:f>
        <x:v>0</x:v>
      </x:c>
      <x:c r="H905" s="28" t="n">
        <x:f>ROUND(Catalogue!H49*SQRT((1+'Paramètres'!$B$4*(C905-1)+'Paramètres'!$B$5*(C905-1)^2)),0)</x:f>
        <x:v>0</x:v>
      </x:c>
      <x:c r="I905" s="28" t="n">
        <x:v>2</x:v>
      </x:c>
      <x:c r="J905" s="28" t="n">
        <x:v>7</x:v>
      </x:c>
      <x:c r="K905" s="30" t="n">
        <x:v>1.5</x:v>
      </x:c>
      <x:c r="L905" s="54" t="n">
        <x:f>IF(M905=0,0,(E905+F905)/2)</x:f>
        <x:v>7.5</x:v>
      </x:c>
      <x:c r="M905" t="n">
        <x:v>1</x:v>
      </x:c>
      <x:c r="N905" t="n">
        <x:v>4</x:v>
      </x:c>
      <x:c r="O905" t="n">
        <x:v>5</x:v>
      </x:c>
      <x:c r="P905" s="63" t="str">
        <x:f>IF(M905=0,"—",M905&amp;"d"&amp;N905&amp;IF(O905=0,""," + "&amp;O905))</x:f>
        <x:v>1d4 + 5</x:v>
      </x:c>
      <x:c r="Q905" t="n">
        <x:f>ROUND(INDEX(Catalogue!E$4:E$85,MATCH(A905,Catalogue!A$4:A$85,0))*(1+'Paramètres'!$B$4*(C905-1)+'Paramètres'!$B$5*(C905-1)^2),0)</x:f>
        <x:v>6</x:v>
      </x:c>
      <x:c r="R905" t="n">
        <x:f>ROUND(INDEX(Catalogue!F$4:F$85,MATCH(A905,Catalogue!A$4:A$85,0))*(1+'Paramètres'!$B$4*(C905-1)+'Paramètres'!$B$5*(C905-1)^2),0)</x:f>
        <x:v>9</x:v>
      </x:c>
      <x:c r="S905" t="n">
        <x:f>L905-AVERAGE(Q905:R905)</x:f>
        <x:v>0</x:v>
      </x:c>
      <x:c r="T905" t="str">
        <x:f>IF(M905=0,IF(AND(N905=0,O905=0,E905=0,F905=0),"OK","ERREUR"),IF(AND(M905&gt;=1,M905&lt;=32,OR(N905=4,N905=6,N905=8,N905=10,N905=12,N905=20),O905&gt;=0,E905=M905+O905,F905=M905*N905+O905),"OK","ERREUR"))</x:f>
        <x:v>OK</x:v>
      </x:c>
      <x:c r="U905" s="86" t="n">
        <x:f>IF(M905&gt;0,M905*(N905+1)/2+O905,0)</x:f>
        <x:v>7.5</x:v>
      </x:c>
      <x:c r="V905" t="str">
        <x:f>IF(ABS(L905-U905)&lt;0.001,"OK","ERREUR")</x:f>
        <x:v>OK</x:v>
      </x:c>
    </x:row>
    <x:row r="906" ht="18" customHeight="1">
      <x:c r="A906" t="str">
        <x:v>ARM046</x:v>
      </x:c>
      <x:c r="B906" t="str">
        <x:v>Arc long</x:v>
      </x:c>
      <x:c r="C906" t="n">
        <x:v>3</x:v>
      </x:c>
      <x:c r="D906" t="str">
        <x:v>Distance</x:v>
      </x:c>
      <x:c r="E906" s="28" t="n">
        <x:f>IF(M906=0,0,M906+O906)</x:f>
        <x:v>6</x:v>
      </x:c>
      <x:c r="F906" s="28" t="n">
        <x:f>IF(M906=0,0,M906*N906+O906)</x:f>
        <x:v>9</x:v>
      </x:c>
      <x:c r="G906" s="28" t="n">
        <x:f>ROUND(Catalogue!G49*SQRT((1+'Paramètres'!$B$4*(C906-1)+'Paramètres'!$B$5*(C906-1)^2)),0)</x:f>
        <x:v>0</x:v>
      </x:c>
      <x:c r="H906" s="28" t="n">
        <x:f>ROUND(Catalogue!H49*SQRT((1+'Paramètres'!$B$4*(C906-1)+'Paramètres'!$B$5*(C906-1)^2)),0)</x:f>
        <x:v>0</x:v>
      </x:c>
      <x:c r="I906" s="28" t="n">
        <x:v>2</x:v>
      </x:c>
      <x:c r="J906" s="28" t="n">
        <x:v>7</x:v>
      </x:c>
      <x:c r="K906" s="30" t="n">
        <x:v>1.5</x:v>
      </x:c>
      <x:c r="L906" s="54" t="n">
        <x:f>IF(M906=0,0,(E906+F906)/2)</x:f>
        <x:v>7.5</x:v>
      </x:c>
      <x:c r="M906" t="n">
        <x:v>1</x:v>
      </x:c>
      <x:c r="N906" t="n">
        <x:v>4</x:v>
      </x:c>
      <x:c r="O906" t="n">
        <x:v>5</x:v>
      </x:c>
      <x:c r="P906" s="63" t="str">
        <x:f>IF(M906=0,"—",M906&amp;"d"&amp;N906&amp;IF(O906=0,""," + "&amp;O906))</x:f>
        <x:v>1d4 + 5</x:v>
      </x:c>
      <x:c r="Q906" t="n">
        <x:f>ROUND(INDEX(Catalogue!E$4:E$85,MATCH(A906,Catalogue!A$4:A$85,0))*(1+'Paramètres'!$B$4*(C906-1)+'Paramètres'!$B$5*(C906-1)^2),0)</x:f>
        <x:v>6</x:v>
      </x:c>
      <x:c r="R906" t="n">
        <x:f>ROUND(INDEX(Catalogue!F$4:F$85,MATCH(A906,Catalogue!A$4:A$85,0))*(1+'Paramètres'!$B$4*(C906-1)+'Paramètres'!$B$5*(C906-1)^2),0)</x:f>
        <x:v>10</x:v>
      </x:c>
      <x:c r="S906" t="n">
        <x:f>L906-AVERAGE(Q906:R906)</x:f>
        <x:v>-0.5</x:v>
      </x:c>
      <x:c r="T906" t="str">
        <x:f>IF(M906=0,IF(AND(N906=0,O906=0,E906=0,F906=0),"OK","ERREUR"),IF(AND(M906&gt;=1,M906&lt;=32,OR(N906=4,N906=6,N906=8,N906=10,N906=12,N906=20),O906&gt;=0,E906=M906+O906,F906=M906*N906+O906),"OK","ERREUR"))</x:f>
        <x:v>OK</x:v>
      </x:c>
      <x:c r="U906" s="86" t="n">
        <x:f>IF(M906&gt;0,M906*(N906+1)/2+O906,0)</x:f>
        <x:v>7.5</x:v>
      </x:c>
      <x:c r="V906" t="str">
        <x:f>IF(ABS(L906-U906)&lt;0.001,"OK","ERREUR")</x:f>
        <x:v>OK</x:v>
      </x:c>
    </x:row>
    <x:row r="907" ht="18" customHeight="1">
      <x:c r="A907" t="str">
        <x:v>ARM046</x:v>
      </x:c>
      <x:c r="B907" t="str">
        <x:v>Arc long</x:v>
      </x:c>
      <x:c r="C907" t="n">
        <x:v>4</x:v>
      </x:c>
      <x:c r="D907" t="str">
        <x:v>Distance</x:v>
      </x:c>
      <x:c r="E907" s="28" t="n">
        <x:f>IF(M907=0,0,M907+O907)</x:f>
        <x:v>7</x:v>
      </x:c>
      <x:c r="F907" s="28" t="n">
        <x:f>IF(M907=0,0,M907*N907+O907)</x:f>
        <x:v>12</x:v>
      </x:c>
      <x:c r="G907" s="28" t="n">
        <x:f>ROUND(Catalogue!G49*SQRT((1+'Paramètres'!$B$4*(C907-1)+'Paramètres'!$B$5*(C907-1)^2)),0)</x:f>
        <x:v>0</x:v>
      </x:c>
      <x:c r="H907" s="28" t="n">
        <x:f>ROUND(Catalogue!H49*SQRT((1+'Paramètres'!$B$4*(C907-1)+'Paramètres'!$B$5*(C907-1)^2)),0)</x:f>
        <x:v>0</x:v>
      </x:c>
      <x:c r="I907" s="28" t="n">
        <x:v>2</x:v>
      </x:c>
      <x:c r="J907" s="28" t="n">
        <x:v>7</x:v>
      </x:c>
      <x:c r="K907" s="30" t="n">
        <x:v>1.5</x:v>
      </x:c>
      <x:c r="L907" s="54" t="n">
        <x:f>IF(M907=0,0,(E907+F907)/2)</x:f>
        <x:v>9.5</x:v>
      </x:c>
      <x:c r="M907" t="n">
        <x:v>1</x:v>
      </x:c>
      <x:c r="N907" t="n">
        <x:v>6</x:v>
      </x:c>
      <x:c r="O907" t="n">
        <x:v>6</x:v>
      </x:c>
      <x:c r="P907" s="63" t="str">
        <x:f>IF(M907=0,"—",M907&amp;"d"&amp;N907&amp;IF(O907=0,""," + "&amp;O907))</x:f>
        <x:v>1d6 + 6</x:v>
      </x:c>
      <x:c r="Q907" t="n">
        <x:f>ROUND(INDEX(Catalogue!E$4:E$85,MATCH(A907,Catalogue!A$4:A$85,0))*(1+'Paramètres'!$B$4*(C907-1)+'Paramètres'!$B$5*(C907-1)^2),0)</x:f>
        <x:v>7</x:v>
      </x:c>
      <x:c r="R907" t="n">
        <x:f>ROUND(INDEX(Catalogue!F$4:F$85,MATCH(A907,Catalogue!A$4:A$85,0))*(1+'Paramètres'!$B$4*(C907-1)+'Paramètres'!$B$5*(C907-1)^2),0)</x:f>
        <x:v>12</x:v>
      </x:c>
      <x:c r="S907" t="n">
        <x:f>L907-AVERAGE(Q907:R907)</x:f>
        <x:v>0</x:v>
      </x:c>
      <x:c r="T907" t="str">
        <x:f>IF(M907=0,IF(AND(N907=0,O907=0,E907=0,F907=0),"OK","ERREUR"),IF(AND(M907&gt;=1,M907&lt;=32,OR(N907=4,N907=6,N907=8,N907=10,N907=12,N907=20),O907&gt;=0,E907=M907+O907,F907=M907*N907+O907),"OK","ERREUR"))</x:f>
        <x:v>OK</x:v>
      </x:c>
      <x:c r="U907" s="86" t="n">
        <x:f>IF(M907&gt;0,M907*(N907+1)/2+O907,0)</x:f>
        <x:v>9.5</x:v>
      </x:c>
      <x:c r="V907" t="str">
        <x:f>IF(ABS(L907-U907)&lt;0.001,"OK","ERREUR")</x:f>
        <x:v>OK</x:v>
      </x:c>
    </x:row>
    <x:row r="908" ht="18" customHeight="1">
      <x:c r="A908" t="str">
        <x:v>ARM046</x:v>
      </x:c>
      <x:c r="B908" t="str">
        <x:v>Arc long</x:v>
      </x:c>
      <x:c r="C908" t="n">
        <x:v>5</x:v>
      </x:c>
      <x:c r="D908" t="str">
        <x:v>Distance</x:v>
      </x:c>
      <x:c r="E908" s="28" t="n">
        <x:f>IF(M908=0,0,M908+O908)</x:f>
        <x:v>8</x:v>
      </x:c>
      <x:c r="F908" s="28" t="n">
        <x:f>IF(M908=0,0,M908*N908+O908)</x:f>
        <x:v>14</x:v>
      </x:c>
      <x:c r="G908" s="28" t="n">
        <x:f>ROUND(Catalogue!G49*SQRT((1+'Paramètres'!$B$4*(C908-1)+'Paramètres'!$B$5*(C908-1)^2)),0)</x:f>
        <x:v>0</x:v>
      </x:c>
      <x:c r="H908" s="28" t="n">
        <x:f>ROUND(Catalogue!H49*SQRT((1+'Paramètres'!$B$4*(C908-1)+'Paramètres'!$B$5*(C908-1)^2)),0)</x:f>
        <x:v>0</x:v>
      </x:c>
      <x:c r="I908" s="28" t="n">
        <x:v>2</x:v>
      </x:c>
      <x:c r="J908" s="28" t="n">
        <x:v>7</x:v>
      </x:c>
      <x:c r="K908" s="30" t="n">
        <x:v>1.5</x:v>
      </x:c>
      <x:c r="L908" s="54" t="n">
        <x:f>IF(M908=0,0,(E908+F908)/2)</x:f>
        <x:v>11</x:v>
      </x:c>
      <x:c r="M908" t="n">
        <x:v>2</x:v>
      </x:c>
      <x:c r="N908" t="n">
        <x:v>4</x:v>
      </x:c>
      <x:c r="O908" t="n">
        <x:v>6</x:v>
      </x:c>
      <x:c r="P908" s="63" t="str">
        <x:f>IF(M908=0,"—",M908&amp;"d"&amp;N908&amp;IF(O908=0,""," + "&amp;O908))</x:f>
        <x:v>2d4 + 6</x:v>
      </x:c>
      <x:c r="Q908" t="n">
        <x:f>ROUND(INDEX(Catalogue!E$4:E$85,MATCH(A908,Catalogue!A$4:A$85,0))*(1+'Paramètres'!$B$4*(C908-1)+'Paramètres'!$B$5*(C908-1)^2),0)</x:f>
        <x:v>8</x:v>
      </x:c>
      <x:c r="R908" t="n">
        <x:f>ROUND(INDEX(Catalogue!F$4:F$85,MATCH(A908,Catalogue!A$4:A$85,0))*(1+'Paramètres'!$B$4*(C908-1)+'Paramètres'!$B$5*(C908-1)^2),0)</x:f>
        <x:v>14</x:v>
      </x:c>
      <x:c r="S908" t="n">
        <x:f>L908-AVERAGE(Q908:R908)</x:f>
        <x:v>0</x:v>
      </x:c>
      <x:c r="T908" t="str">
        <x:f>IF(M908=0,IF(AND(N908=0,O908=0,E908=0,F908=0),"OK","ERREUR"),IF(AND(M908&gt;=1,M908&lt;=32,OR(N908=4,N908=6,N908=8,N908=10,N908=12,N908=20),O908&gt;=0,E908=M908+O908,F908=M908*N908+O908),"OK","ERREUR"))</x:f>
        <x:v>OK</x:v>
      </x:c>
      <x:c r="U908" s="86" t="n">
        <x:f>IF(M908&gt;0,M908*(N908+1)/2+O908,0)</x:f>
        <x:v>11</x:v>
      </x:c>
      <x:c r="V908" t="str">
        <x:f>IF(ABS(L908-U908)&lt;0.001,"OK","ERREUR")</x:f>
        <x:v>OK</x:v>
      </x:c>
    </x:row>
    <x:row r="909" ht="18" customHeight="1">
      <x:c r="A909" t="str">
        <x:v>ARM046</x:v>
      </x:c>
      <x:c r="B909" t="str">
        <x:v>Arc long</x:v>
      </x:c>
      <x:c r="C909" t="n">
        <x:v>6</x:v>
      </x:c>
      <x:c r="D909" t="str">
        <x:v>Distance</x:v>
      </x:c>
      <x:c r="E909" s="28" t="n">
        <x:f>IF(M909=0,0,M909+O909)</x:f>
        <x:v>10</x:v>
      </x:c>
      <x:c r="F909" s="28" t="n">
        <x:f>IF(M909=0,0,M909*N909+O909)</x:f>
        <x:v>16</x:v>
      </x:c>
      <x:c r="G909" s="28" t="n">
        <x:f>ROUND(Catalogue!G49*SQRT((1+'Paramètres'!$B$4*(C909-1)+'Paramètres'!$B$5*(C909-1)^2)),0)</x:f>
        <x:v>0</x:v>
      </x:c>
      <x:c r="H909" s="28" t="n">
        <x:f>ROUND(Catalogue!H49*SQRT((1+'Paramètres'!$B$4*(C909-1)+'Paramètres'!$B$5*(C909-1)^2)),0)</x:f>
        <x:v>0</x:v>
      </x:c>
      <x:c r="I909" s="28" t="n">
        <x:v>2</x:v>
      </x:c>
      <x:c r="J909" s="28" t="n">
        <x:v>7</x:v>
      </x:c>
      <x:c r="K909" s="30" t="n">
        <x:v>1.5</x:v>
      </x:c>
      <x:c r="L909" s="54" t="n">
        <x:f>IF(M909=0,0,(E909+F909)/2)</x:f>
        <x:v>13</x:v>
      </x:c>
      <x:c r="M909" t="n">
        <x:v>2</x:v>
      </x:c>
      <x:c r="N909" t="n">
        <x:v>4</x:v>
      </x:c>
      <x:c r="O909" t="n">
        <x:v>8</x:v>
      </x:c>
      <x:c r="P909" s="63" t="str">
        <x:f>IF(M909=0,"—",M909&amp;"d"&amp;N909&amp;IF(O909=0,""," + "&amp;O909))</x:f>
        <x:v>2d4 + 8</x:v>
      </x:c>
      <x:c r="Q909" t="n">
        <x:f>ROUND(INDEX(Catalogue!E$4:E$85,MATCH(A909,Catalogue!A$4:A$85,0))*(1+'Paramètres'!$B$4*(C909-1)+'Paramètres'!$B$5*(C909-1)^2),0)</x:f>
        <x:v>10</x:v>
      </x:c>
      <x:c r="R909" t="n">
        <x:f>ROUND(INDEX(Catalogue!F$4:F$85,MATCH(A909,Catalogue!A$4:A$85,0))*(1+'Paramètres'!$B$4*(C909-1)+'Paramètres'!$B$5*(C909-1)^2),0)</x:f>
        <x:v>16</x:v>
      </x:c>
      <x:c r="S909" t="n">
        <x:f>L909-AVERAGE(Q909:R909)</x:f>
        <x:v>0</x:v>
      </x:c>
      <x:c r="T909" t="str">
        <x:f>IF(M909=0,IF(AND(N909=0,O909=0,E909=0,F909=0),"OK","ERREUR"),IF(AND(M909&gt;=1,M909&lt;=32,OR(N909=4,N909=6,N909=8,N909=10,N909=12,N909=20),O909&gt;=0,E909=M909+O909,F909=M909*N909+O909),"OK","ERREUR"))</x:f>
        <x:v>OK</x:v>
      </x:c>
      <x:c r="U909" s="86" t="n">
        <x:f>IF(M909&gt;0,M909*(N909+1)/2+O909,0)</x:f>
        <x:v>13</x:v>
      </x:c>
      <x:c r="V909" t="str">
        <x:f>IF(ABS(L909-U909)&lt;0.001,"OK","ERREUR")</x:f>
        <x:v>OK</x:v>
      </x:c>
    </x:row>
    <x:row r="910" ht="18" customHeight="1">
      <x:c r="A910" t="str">
        <x:v>ARM046</x:v>
      </x:c>
      <x:c r="B910" t="str">
        <x:v>Arc long</x:v>
      </x:c>
      <x:c r="C910" t="n">
        <x:v>7</x:v>
      </x:c>
      <x:c r="D910" t="str">
        <x:v>Distance</x:v>
      </x:c>
      <x:c r="E910" s="28" t="n">
        <x:f>IF(M910=0,0,M910+O910)</x:f>
        <x:v>11</x:v>
      </x:c>
      <x:c r="F910" s="28" t="n">
        <x:f>IF(M910=0,0,M910*N910+O910)</x:f>
        <x:v>18</x:v>
      </x:c>
      <x:c r="G910" s="28" t="n">
        <x:f>ROUND(Catalogue!G49*SQRT((1+'Paramètres'!$B$4*(C910-1)+'Paramètres'!$B$5*(C910-1)^2)),0)</x:f>
        <x:v>0</x:v>
      </x:c>
      <x:c r="H910" s="28" t="n">
        <x:f>ROUND(Catalogue!H49*SQRT((1+'Paramètres'!$B$4*(C910-1)+'Paramètres'!$B$5*(C910-1)^2)),0)</x:f>
        <x:v>0</x:v>
      </x:c>
      <x:c r="I910" s="28" t="n">
        <x:v>2</x:v>
      </x:c>
      <x:c r="J910" s="28" t="n">
        <x:v>7</x:v>
      </x:c>
      <x:c r="K910" s="30" t="n">
        <x:v>1.5</x:v>
      </x:c>
      <x:c r="L910" s="54" t="n">
        <x:f>IF(M910=0,0,(E910+F910)/2)</x:f>
        <x:v>14.5</x:v>
      </x:c>
      <x:c r="M910" t="n">
        <x:v>1</x:v>
      </x:c>
      <x:c r="N910" t="n">
        <x:v>8</x:v>
      </x:c>
      <x:c r="O910" t="n">
        <x:v>10</x:v>
      </x:c>
      <x:c r="P910" s="63" t="str">
        <x:f>IF(M910=0,"—",M910&amp;"d"&amp;N910&amp;IF(O910=0,""," + "&amp;O910))</x:f>
        <x:v>1d8 + 10</x:v>
      </x:c>
      <x:c r="Q910" t="n">
        <x:f>ROUND(INDEX(Catalogue!E$4:E$85,MATCH(A910,Catalogue!A$4:A$85,0))*(1+'Paramètres'!$B$4*(C910-1)+'Paramètres'!$B$5*(C910-1)^2),0)</x:f>
        <x:v>11</x:v>
      </x:c>
      <x:c r="R910" t="n">
        <x:f>ROUND(INDEX(Catalogue!F$4:F$85,MATCH(A910,Catalogue!A$4:A$85,0))*(1+'Paramètres'!$B$4*(C910-1)+'Paramètres'!$B$5*(C910-1)^2),0)</x:f>
        <x:v>18</x:v>
      </x:c>
      <x:c r="S910" t="n">
        <x:f>L910-AVERAGE(Q910:R910)</x:f>
        <x:v>0</x:v>
      </x:c>
      <x:c r="T910" t="str">
        <x:f>IF(M910=0,IF(AND(N910=0,O910=0,E910=0,F910=0),"OK","ERREUR"),IF(AND(M910&gt;=1,M910&lt;=32,OR(N910=4,N910=6,N910=8,N910=10,N910=12,N910=20),O910&gt;=0,E910=M910+O910,F910=M910*N910+O910),"OK","ERREUR"))</x:f>
        <x:v>OK</x:v>
      </x:c>
      <x:c r="U910" s="86" t="n">
        <x:f>IF(M910&gt;0,M910*(N910+1)/2+O910,0)</x:f>
        <x:v>14.5</x:v>
      </x:c>
      <x:c r="V910" t="str">
        <x:f>IF(ABS(L910-U910)&lt;0.001,"OK","ERREUR")</x:f>
        <x:v>OK</x:v>
      </x:c>
    </x:row>
    <x:row r="911" ht="18" customHeight="1">
      <x:c r="A911" t="str">
        <x:v>ARM046</x:v>
      </x:c>
      <x:c r="B911" t="str">
        <x:v>Arc long</x:v>
      </x:c>
      <x:c r="C911" t="n">
        <x:v>8</x:v>
      </x:c>
      <x:c r="D911" t="str">
        <x:v>Distance</x:v>
      </x:c>
      <x:c r="E911" s="28" t="n">
        <x:f>IF(M911=0,0,M911+O911)</x:f>
        <x:v>13</x:v>
      </x:c>
      <x:c r="F911" s="28" t="n">
        <x:f>IF(M911=0,0,M911*N911+O911)</x:f>
        <x:v>20</x:v>
      </x:c>
      <x:c r="G911" s="28" t="n">
        <x:f>ROUND(Catalogue!G49*SQRT((1+'Paramètres'!$B$4*(C911-1)+'Paramètres'!$B$5*(C911-1)^2)),0)</x:f>
        <x:v>0</x:v>
      </x:c>
      <x:c r="H911" s="28" t="n">
        <x:f>ROUND(Catalogue!H49*SQRT((1+'Paramètres'!$B$4*(C911-1)+'Paramètres'!$B$5*(C911-1)^2)),0)</x:f>
        <x:v>0</x:v>
      </x:c>
      <x:c r="I911" s="28" t="n">
        <x:v>2</x:v>
      </x:c>
      <x:c r="J911" s="28" t="n">
        <x:v>7</x:v>
      </x:c>
      <x:c r="K911" s="30" t="n">
        <x:v>1.5</x:v>
      </x:c>
      <x:c r="L911" s="54" t="n">
        <x:f>IF(M911=0,0,(E911+F911)/2)</x:f>
        <x:v>16.5</x:v>
      </x:c>
      <x:c r="M911" t="n">
        <x:v>1</x:v>
      </x:c>
      <x:c r="N911" t="n">
        <x:v>8</x:v>
      </x:c>
      <x:c r="O911" t="n">
        <x:v>12</x:v>
      </x:c>
      <x:c r="P911" s="63" t="str">
        <x:f>IF(M911=0,"—",M911&amp;"d"&amp;N911&amp;IF(O911=0,""," + "&amp;O911))</x:f>
        <x:v>1d8 + 12</x:v>
      </x:c>
      <x:c r="Q911" t="n">
        <x:f>ROUND(INDEX(Catalogue!E$4:E$85,MATCH(A911,Catalogue!A$4:A$85,0))*(1+'Paramètres'!$B$4*(C911-1)+'Paramètres'!$B$5*(C911-1)^2),0)</x:f>
        <x:v>13</x:v>
      </x:c>
      <x:c r="R911" t="n">
        <x:f>ROUND(INDEX(Catalogue!F$4:F$85,MATCH(A911,Catalogue!A$4:A$85,0))*(1+'Paramètres'!$B$4*(C911-1)+'Paramètres'!$B$5*(C911-1)^2),0)</x:f>
        <x:v>20</x:v>
      </x:c>
      <x:c r="S911" t="n">
        <x:f>L911-AVERAGE(Q911:R911)</x:f>
        <x:v>0</x:v>
      </x:c>
      <x:c r="T911" t="str">
        <x:f>IF(M911=0,IF(AND(N911=0,O911=0,E911=0,F911=0),"OK","ERREUR"),IF(AND(M911&gt;=1,M911&lt;=32,OR(N911=4,N911=6,N911=8,N911=10,N911=12,N911=20),O911&gt;=0,E911=M911+O911,F911=M911*N911+O911),"OK","ERREUR"))</x:f>
        <x:v>OK</x:v>
      </x:c>
      <x:c r="U911" s="86" t="n">
        <x:f>IF(M911&gt;0,M911*(N911+1)/2+O911,0)</x:f>
        <x:v>16.5</x:v>
      </x:c>
      <x:c r="V911" t="str">
        <x:f>IF(ABS(L911-U911)&lt;0.001,"OK","ERREUR")</x:f>
        <x:v>OK</x:v>
      </x:c>
    </x:row>
    <x:row r="912" ht="18" customHeight="1">
      <x:c r="A912" t="str">
        <x:v>ARM046</x:v>
      </x:c>
      <x:c r="B912" t="str">
        <x:v>Arc long</x:v>
      </x:c>
      <x:c r="C912" t="n">
        <x:v>9</x:v>
      </x:c>
      <x:c r="D912" t="str">
        <x:v>Distance</x:v>
      </x:c>
      <x:c r="E912" s="28" t="n">
        <x:f>IF(M912=0,0,M912+O912)</x:f>
        <x:v>14</x:v>
      </x:c>
      <x:c r="F912" s="28" t="n">
        <x:f>IF(M912=0,0,M912*N912+O912)</x:f>
        <x:v>23</x:v>
      </x:c>
      <x:c r="G912" s="28" t="n">
        <x:f>ROUND(Catalogue!G49*SQRT((1+'Paramètres'!$B$4*(C912-1)+'Paramètres'!$B$5*(C912-1)^2)),0)</x:f>
        <x:v>0</x:v>
      </x:c>
      <x:c r="H912" s="28" t="n">
        <x:f>ROUND(Catalogue!H49*SQRT((1+'Paramètres'!$B$4*(C912-1)+'Paramètres'!$B$5*(C912-1)^2)),0)</x:f>
        <x:v>0</x:v>
      </x:c>
      <x:c r="I912" s="28" t="n">
        <x:v>2</x:v>
      </x:c>
      <x:c r="J912" s="28" t="n">
        <x:v>7</x:v>
      </x:c>
      <x:c r="K912" s="30" t="n">
        <x:v>1.5</x:v>
      </x:c>
      <x:c r="L912" s="54" t="n">
        <x:f>IF(M912=0,0,(E912+F912)/2)</x:f>
        <x:v>18.5</x:v>
      </x:c>
      <x:c r="M912" t="n">
        <x:v>3</x:v>
      </x:c>
      <x:c r="N912" t="n">
        <x:v>4</x:v>
      </x:c>
      <x:c r="O912" t="n">
        <x:v>11</x:v>
      </x:c>
      <x:c r="P912" s="63" t="str">
        <x:f>IF(M912=0,"—",M912&amp;"d"&amp;N912&amp;IF(O912=0,""," + "&amp;O912))</x:f>
        <x:v>3d4 + 11</x:v>
      </x:c>
      <x:c r="Q912" t="n">
        <x:f>ROUND(INDEX(Catalogue!E$4:E$85,MATCH(A912,Catalogue!A$4:A$85,0))*(1+'Paramètres'!$B$4*(C912-1)+'Paramètres'!$B$5*(C912-1)^2),0)</x:f>
        <x:v>15</x:v>
      </x:c>
      <x:c r="R912" t="n">
        <x:f>ROUND(INDEX(Catalogue!F$4:F$85,MATCH(A912,Catalogue!A$4:A$85,0))*(1+'Paramètres'!$B$4*(C912-1)+'Paramètres'!$B$5*(C912-1)^2),0)</x:f>
        <x:v>23</x:v>
      </x:c>
      <x:c r="S912" t="n">
        <x:f>L912-AVERAGE(Q912:R912)</x:f>
        <x:v>-0.5</x:v>
      </x:c>
      <x:c r="T912" t="str">
        <x:f>IF(M912=0,IF(AND(N912=0,O912=0,E912=0,F912=0),"OK","ERREUR"),IF(AND(M912&gt;=1,M912&lt;=32,OR(N912=4,N912=6,N912=8,N912=10,N912=12,N912=20),O912&gt;=0,E912=M912+O912,F912=M912*N912+O912),"OK","ERREUR"))</x:f>
        <x:v>OK</x:v>
      </x:c>
      <x:c r="U912" s="86" t="n">
        <x:f>IF(M912&gt;0,M912*(N912+1)/2+O912,0)</x:f>
        <x:v>18.5</x:v>
      </x:c>
      <x:c r="V912" t="str">
        <x:f>IF(ABS(L912-U912)&lt;0.001,"OK","ERREUR")</x:f>
        <x:v>OK</x:v>
      </x:c>
    </x:row>
    <x:row r="913" ht="18" customHeight="1">
      <x:c r="A913" t="str">
        <x:v>ARM046</x:v>
      </x:c>
      <x:c r="B913" t="str">
        <x:v>Arc long</x:v>
      </x:c>
      <x:c r="C913" t="n">
        <x:v>10</x:v>
      </x:c>
      <x:c r="D913" t="str">
        <x:v>Distance</x:v>
      </x:c>
      <x:c r="E913" s="28" t="n">
        <x:f>IF(M913=0,0,M913+O913)</x:f>
        <x:v>16</x:v>
      </x:c>
      <x:c r="F913" s="28" t="n">
        <x:f>IF(M913=0,0,M913*N913+O913)</x:f>
        <x:v>26</x:v>
      </x:c>
      <x:c r="G913" s="28" t="n">
        <x:f>ROUND(Catalogue!G49*SQRT((1+'Paramètres'!$B$4*(C913-1)+'Paramètres'!$B$5*(C913-1)^2)),0)</x:f>
        <x:v>0</x:v>
      </x:c>
      <x:c r="H913" s="28" t="n">
        <x:f>ROUND(Catalogue!H49*SQRT((1+'Paramètres'!$B$4*(C913-1)+'Paramètres'!$B$5*(C913-1)^2)),0)</x:f>
        <x:v>0</x:v>
      </x:c>
      <x:c r="I913" s="28" t="n">
        <x:v>2</x:v>
      </x:c>
      <x:c r="J913" s="28" t="n">
        <x:v>7</x:v>
      </x:c>
      <x:c r="K913" s="30" t="n">
        <x:v>1.5</x:v>
      </x:c>
      <x:c r="L913" s="54" t="n">
        <x:f>IF(M913=0,0,(E913+F913)/2)</x:f>
        <x:v>21</x:v>
      </x:c>
      <x:c r="M913" t="n">
        <x:v>2</x:v>
      </x:c>
      <x:c r="N913" t="n">
        <x:v>6</x:v>
      </x:c>
      <x:c r="O913" t="n">
        <x:v>14</x:v>
      </x:c>
      <x:c r="P913" s="63" t="str">
        <x:f>IF(M913=0,"—",M913&amp;"d"&amp;N913&amp;IF(O913=0,""," + "&amp;O913))</x:f>
        <x:v>2d6 + 14</x:v>
      </x:c>
      <x:c r="Q913" t="n">
        <x:f>ROUND(INDEX(Catalogue!E$4:E$85,MATCH(A913,Catalogue!A$4:A$85,0))*(1+'Paramètres'!$B$4*(C913-1)+'Paramètres'!$B$5*(C913-1)^2),0)</x:f>
        <x:v>16</x:v>
      </x:c>
      <x:c r="R913" t="n">
        <x:f>ROUND(INDEX(Catalogue!F$4:F$85,MATCH(A913,Catalogue!A$4:A$85,0))*(1+'Paramètres'!$B$4*(C913-1)+'Paramètres'!$B$5*(C913-1)^2),0)</x:f>
        <x:v>26</x:v>
      </x:c>
      <x:c r="S913" t="n">
        <x:f>L913-AVERAGE(Q913:R913)</x:f>
        <x:v>0</x:v>
      </x:c>
      <x:c r="T913" t="str">
        <x:f>IF(M913=0,IF(AND(N913=0,O913=0,E913=0,F913=0),"OK","ERREUR"),IF(AND(M913&gt;=1,M913&lt;=32,OR(N913=4,N913=6,N913=8,N913=10,N913=12,N913=20),O913&gt;=0,E913=M913+O913,F913=M913*N913+O913),"OK","ERREUR"))</x:f>
        <x:v>OK</x:v>
      </x:c>
      <x:c r="U913" s="86" t="n">
        <x:f>IF(M913&gt;0,M913*(N913+1)/2+O913,0)</x:f>
        <x:v>21</x:v>
      </x:c>
      <x:c r="V913" t="str">
        <x:f>IF(ABS(L913-U913)&lt;0.001,"OK","ERREUR")</x:f>
        <x:v>OK</x:v>
      </x:c>
    </x:row>
    <x:row r="914" ht="18" customHeight="1">
      <x:c r="A914" t="str">
        <x:v>ARM046</x:v>
      </x:c>
      <x:c r="B914" t="str">
        <x:v>Arc long</x:v>
      </x:c>
      <x:c r="C914" t="n">
        <x:v>11</x:v>
      </x:c>
      <x:c r="D914" t="str">
        <x:v>Distance</x:v>
      </x:c>
      <x:c r="E914" s="28" t="n">
        <x:f>IF(M914=0,0,M914+O914)</x:f>
        <x:v>19</x:v>
      </x:c>
      <x:c r="F914" s="28" t="n">
        <x:f>IF(M914=0,0,M914*N914+O914)</x:f>
        <x:v>30</x:v>
      </x:c>
      <x:c r="G914" s="28" t="n">
        <x:f>ROUND(Catalogue!G49*SQRT((1+'Paramètres'!$B$4*(C914-1)+'Paramètres'!$B$5*(C914-1)^2)),0)</x:f>
        <x:v>0</x:v>
      </x:c>
      <x:c r="H914" s="28" t="n">
        <x:f>ROUND(Catalogue!H49*SQRT((1+'Paramètres'!$B$4*(C914-1)+'Paramètres'!$B$5*(C914-1)^2)),0)</x:f>
        <x:v>0</x:v>
      </x:c>
      <x:c r="I914" s="28" t="n">
        <x:v>2</x:v>
      </x:c>
      <x:c r="J914" s="28" t="n">
        <x:v>7</x:v>
      </x:c>
      <x:c r="K914" s="30" t="n">
        <x:v>1.5</x:v>
      </x:c>
      <x:c r="L914" s="54" t="n">
        <x:f>IF(M914=0,0,(E914+F914)/2)</x:f>
        <x:v>24.5</x:v>
      </x:c>
      <x:c r="M914" t="n">
        <x:v>1</x:v>
      </x:c>
      <x:c r="N914" t="n">
        <x:v>12</x:v>
      </x:c>
      <x:c r="O914" t="n">
        <x:v>18</x:v>
      </x:c>
      <x:c r="P914" s="63" t="str">
        <x:f>IF(M914=0,"—",M914&amp;"d"&amp;N914&amp;IF(O914=0,""," + "&amp;O914))</x:f>
        <x:v>1d12 + 18</x:v>
      </x:c>
      <x:c r="Q914" t="n">
        <x:f>ROUND(INDEX(Catalogue!E$4:E$85,MATCH(A914,Catalogue!A$4:A$85,0))*(1+'Paramètres'!$B$4*(C914-1)+'Paramètres'!$B$5*(C914-1)^2),0)</x:f>
        <x:v>19</x:v>
      </x:c>
      <x:c r="R914" t="n">
        <x:f>ROUND(INDEX(Catalogue!F$4:F$85,MATCH(A914,Catalogue!A$4:A$85,0))*(1+'Paramètres'!$B$4*(C914-1)+'Paramètres'!$B$5*(C914-1)^2),0)</x:f>
        <x:v>30</x:v>
      </x:c>
      <x:c r="S914" t="n">
        <x:f>L914-AVERAGE(Q914:R914)</x:f>
        <x:v>0</x:v>
      </x:c>
      <x:c r="T914" t="str">
        <x:f>IF(M914=0,IF(AND(N914=0,O914=0,E914=0,F914=0),"OK","ERREUR"),IF(AND(M914&gt;=1,M914&lt;=32,OR(N914=4,N914=6,N914=8,N914=10,N914=12,N914=20),O914&gt;=0,E914=M914+O914,F914=M914*N914+O914),"OK","ERREUR"))</x:f>
        <x:v>OK</x:v>
      </x:c>
      <x:c r="U914" s="86" t="n">
        <x:f>IF(M914&gt;0,M914*(N914+1)/2+O914,0)</x:f>
        <x:v>24.5</x:v>
      </x:c>
      <x:c r="V914" t="str">
        <x:f>IF(ABS(L914-U914)&lt;0.001,"OK","ERREUR")</x:f>
        <x:v>OK</x:v>
      </x:c>
    </x:row>
    <x:row r="915" ht="18" customHeight="1">
      <x:c r="A915" t="str">
        <x:v>ARM046</x:v>
      </x:c>
      <x:c r="B915" t="str">
        <x:v>Arc long</x:v>
      </x:c>
      <x:c r="C915" t="n">
        <x:v>12</x:v>
      </x:c>
      <x:c r="D915" t="str">
        <x:v>Distance</x:v>
      </x:c>
      <x:c r="E915" s="28" t="n">
        <x:f>IF(M915=0,0,M915+O915)</x:f>
        <x:v>21</x:v>
      </x:c>
      <x:c r="F915" s="28" t="n">
        <x:f>IF(M915=0,0,M915*N915+O915)</x:f>
        <x:v>33</x:v>
      </x:c>
      <x:c r="G915" s="28" t="n">
        <x:f>ROUND(Catalogue!G49*SQRT((1+'Paramètres'!$B$4*(C915-1)+'Paramètres'!$B$5*(C915-1)^2)),0)</x:f>
        <x:v>0</x:v>
      </x:c>
      <x:c r="H915" s="28" t="n">
        <x:f>ROUND(Catalogue!H49*SQRT((1+'Paramètres'!$B$4*(C915-1)+'Paramètres'!$B$5*(C915-1)^2)),0)</x:f>
        <x:v>0</x:v>
      </x:c>
      <x:c r="I915" s="28" t="n">
        <x:v>2</x:v>
      </x:c>
      <x:c r="J915" s="28" t="n">
        <x:v>7</x:v>
      </x:c>
      <x:c r="K915" s="30" t="n">
        <x:v>1.5</x:v>
      </x:c>
      <x:c r="L915" s="54" t="n">
        <x:f>IF(M915=0,0,(E915+F915)/2)</x:f>
        <x:v>27</x:v>
      </x:c>
      <x:c r="M915" t="n">
        <x:v>4</x:v>
      </x:c>
      <x:c r="N915" t="n">
        <x:v>4</x:v>
      </x:c>
      <x:c r="O915" t="n">
        <x:v>17</x:v>
      </x:c>
      <x:c r="P915" s="63" t="str">
        <x:f>IF(M915=0,"—",M915&amp;"d"&amp;N915&amp;IF(O915=0,""," + "&amp;O915))</x:f>
        <x:v>4d4 + 17</x:v>
      </x:c>
      <x:c r="Q915" t="n">
        <x:f>ROUND(INDEX(Catalogue!E$4:E$85,MATCH(A915,Catalogue!A$4:A$85,0))*(1+'Paramètres'!$B$4*(C915-1)+'Paramètres'!$B$5*(C915-1)^2),0)</x:f>
        <x:v>21</x:v>
      </x:c>
      <x:c r="R915" t="n">
        <x:f>ROUND(INDEX(Catalogue!F$4:F$85,MATCH(A915,Catalogue!A$4:A$85,0))*(1+'Paramètres'!$B$4*(C915-1)+'Paramètres'!$B$5*(C915-1)^2),0)</x:f>
        <x:v>33</x:v>
      </x:c>
      <x:c r="S915" t="n">
        <x:f>L915-AVERAGE(Q915:R915)</x:f>
        <x:v>0</x:v>
      </x:c>
      <x:c r="T915" t="str">
        <x:f>IF(M915=0,IF(AND(N915=0,O915=0,E915=0,F915=0),"OK","ERREUR"),IF(AND(M915&gt;=1,M915&lt;=32,OR(N915=4,N915=6,N915=8,N915=10,N915=12,N915=20),O915&gt;=0,E915=M915+O915,F915=M915*N915+O915),"OK","ERREUR"))</x:f>
        <x:v>OK</x:v>
      </x:c>
      <x:c r="U915" s="86" t="n">
        <x:f>IF(M915&gt;0,M915*(N915+1)/2+O915,0)</x:f>
        <x:v>27</x:v>
      </x:c>
      <x:c r="V915" t="str">
        <x:f>IF(ABS(L915-U915)&lt;0.001,"OK","ERREUR")</x:f>
        <x:v>OK</x:v>
      </x:c>
    </x:row>
    <x:row r="916" ht="18" customHeight="1">
      <x:c r="A916" t="str">
        <x:v>ARM046</x:v>
      </x:c>
      <x:c r="B916" t="str">
        <x:v>Arc long</x:v>
      </x:c>
      <x:c r="C916" t="n">
        <x:v>13</x:v>
      </x:c>
      <x:c r="D916" t="str">
        <x:v>Distance</x:v>
      </x:c>
      <x:c r="E916" s="28" t="n">
        <x:f>IF(M916=0,0,M916+O916)</x:f>
        <x:v>23</x:v>
      </x:c>
      <x:c r="F916" s="28" t="n">
        <x:f>IF(M916=0,0,M916*N916+O916)</x:f>
        <x:v>37</x:v>
      </x:c>
      <x:c r="G916" s="28" t="n">
        <x:f>ROUND(Catalogue!G49*SQRT((1+'Paramètres'!$B$4*(C916-1)+'Paramètres'!$B$5*(C916-1)^2)),0)</x:f>
        <x:v>0</x:v>
      </x:c>
      <x:c r="H916" s="28" t="n">
        <x:f>ROUND(Catalogue!H49*SQRT((1+'Paramètres'!$B$4*(C916-1)+'Paramètres'!$B$5*(C916-1)^2)),0)</x:f>
        <x:v>0</x:v>
      </x:c>
      <x:c r="I916" s="28" t="n">
        <x:v>2</x:v>
      </x:c>
      <x:c r="J916" s="28" t="n">
        <x:v>7</x:v>
      </x:c>
      <x:c r="K916" s="30" t="n">
        <x:v>1.5</x:v>
      </x:c>
      <x:c r="L916" s="54" t="n">
        <x:f>IF(M916=0,0,(E916+F916)/2)</x:f>
        <x:v>30</x:v>
      </x:c>
      <x:c r="M916" t="n">
        <x:v>2</x:v>
      </x:c>
      <x:c r="N916" t="n">
        <x:v>8</x:v>
      </x:c>
      <x:c r="O916" t="n">
        <x:v>21</x:v>
      </x:c>
      <x:c r="P916" s="63" t="str">
        <x:f>IF(M916=0,"—",M916&amp;"d"&amp;N916&amp;IF(O916=0,""," + "&amp;O916))</x:f>
        <x:v>2d8 + 21</x:v>
      </x:c>
      <x:c r="Q916" t="n">
        <x:f>ROUND(INDEX(Catalogue!E$4:E$85,MATCH(A916,Catalogue!A$4:A$85,0))*(1+'Paramètres'!$B$4*(C916-1)+'Paramètres'!$B$5*(C916-1)^2),0)</x:f>
        <x:v>23</x:v>
      </x:c>
      <x:c r="R916" t="n">
        <x:f>ROUND(INDEX(Catalogue!F$4:F$85,MATCH(A916,Catalogue!A$4:A$85,0))*(1+'Paramètres'!$B$4*(C916-1)+'Paramètres'!$B$5*(C916-1)^2),0)</x:f>
        <x:v>37</x:v>
      </x:c>
      <x:c r="S916" t="n">
        <x:f>L916-AVERAGE(Q916:R916)</x:f>
        <x:v>0</x:v>
      </x:c>
      <x:c r="T916" t="str">
        <x:f>IF(M916=0,IF(AND(N916=0,O916=0,E916=0,F916=0),"OK","ERREUR"),IF(AND(M916&gt;=1,M916&lt;=32,OR(N916=4,N916=6,N916=8,N916=10,N916=12,N916=20),O916&gt;=0,E916=M916+O916,F916=M916*N916+O916),"OK","ERREUR"))</x:f>
        <x:v>OK</x:v>
      </x:c>
      <x:c r="U916" s="86" t="n">
        <x:f>IF(M916&gt;0,M916*(N916+1)/2+O916,0)</x:f>
        <x:v>30</x:v>
      </x:c>
      <x:c r="V916" t="str">
        <x:f>IF(ABS(L916-U916)&lt;0.001,"OK","ERREUR")</x:f>
        <x:v>OK</x:v>
      </x:c>
    </x:row>
    <x:row r="917" ht="18" customHeight="1">
      <x:c r="A917" t="str">
        <x:v>ARM046</x:v>
      </x:c>
      <x:c r="B917" t="str">
        <x:v>Arc long</x:v>
      </x:c>
      <x:c r="C917" t="n">
        <x:v>14</x:v>
      </x:c>
      <x:c r="D917" t="str">
        <x:v>Distance</x:v>
      </x:c>
      <x:c r="E917" s="28" t="n">
        <x:f>IF(M917=0,0,M917+O917)</x:f>
        <x:v>26</x:v>
      </x:c>
      <x:c r="F917" s="28" t="n">
        <x:f>IF(M917=0,0,M917*N917+O917)</x:f>
        <x:v>41</x:v>
      </x:c>
      <x:c r="G917" s="28" t="n">
        <x:f>ROUND(Catalogue!G49*SQRT((1+'Paramètres'!$B$4*(C917-1)+'Paramètres'!$B$5*(C917-1)^2)),0)</x:f>
        <x:v>0</x:v>
      </x:c>
      <x:c r="H917" s="28" t="n">
        <x:f>ROUND(Catalogue!H49*SQRT((1+'Paramètres'!$B$4*(C917-1)+'Paramètres'!$B$5*(C917-1)^2)),0)</x:f>
        <x:v>0</x:v>
      </x:c>
      <x:c r="I917" s="28" t="n">
        <x:v>2</x:v>
      </x:c>
      <x:c r="J917" s="28" t="n">
        <x:v>7</x:v>
      </x:c>
      <x:c r="K917" s="30" t="n">
        <x:v>1.5</x:v>
      </x:c>
      <x:c r="L917" s="54" t="n">
        <x:f>IF(M917=0,0,(E917+F917)/2)</x:f>
        <x:v>33.5</x:v>
      </x:c>
      <x:c r="M917" t="n">
        <x:v>3</x:v>
      </x:c>
      <x:c r="N917" t="n">
        <x:v>6</x:v>
      </x:c>
      <x:c r="O917" t="n">
        <x:v>23</x:v>
      </x:c>
      <x:c r="P917" s="63" t="str">
        <x:f>IF(M917=0,"—",M917&amp;"d"&amp;N917&amp;IF(O917=0,""," + "&amp;O917))</x:f>
        <x:v>3d6 + 23</x:v>
      </x:c>
      <x:c r="Q917" t="n">
        <x:f>ROUND(INDEX(Catalogue!E$4:E$85,MATCH(A917,Catalogue!A$4:A$85,0))*(1+'Paramètres'!$B$4*(C917-1)+'Paramètres'!$B$5*(C917-1)^2),0)</x:f>
        <x:v>26</x:v>
      </x:c>
      <x:c r="R917" t="n">
        <x:f>ROUND(INDEX(Catalogue!F$4:F$85,MATCH(A917,Catalogue!A$4:A$85,0))*(1+'Paramètres'!$B$4*(C917-1)+'Paramètres'!$B$5*(C917-1)^2),0)</x:f>
        <x:v>41</x:v>
      </x:c>
      <x:c r="S917" t="n">
        <x:f>L917-AVERAGE(Q917:R917)</x:f>
        <x:v>0</x:v>
      </x:c>
      <x:c r="T917" t="str">
        <x:f>IF(M917=0,IF(AND(N917=0,O917=0,E917=0,F917=0),"OK","ERREUR"),IF(AND(M917&gt;=1,M917&lt;=32,OR(N917=4,N917=6,N917=8,N917=10,N917=12,N917=20),O917&gt;=0,E917=M917+O917,F917=M917*N917+O917),"OK","ERREUR"))</x:f>
        <x:v>OK</x:v>
      </x:c>
      <x:c r="U917" s="86" t="n">
        <x:f>IF(M917&gt;0,M917*(N917+1)/2+O917,0)</x:f>
        <x:v>33.5</x:v>
      </x:c>
      <x:c r="V917" t="str">
        <x:f>IF(ABS(L917-U917)&lt;0.001,"OK","ERREUR")</x:f>
        <x:v>OK</x:v>
      </x:c>
    </x:row>
    <x:row r="918" ht="18" customHeight="1">
      <x:c r="A918" t="str">
        <x:v>ARM046</x:v>
      </x:c>
      <x:c r="B918" t="str">
        <x:v>Arc long</x:v>
      </x:c>
      <x:c r="C918" t="n">
        <x:v>15</x:v>
      </x:c>
      <x:c r="D918" t="str">
        <x:v>Distance</x:v>
      </x:c>
      <x:c r="E918" s="28" t="n">
        <x:f>IF(M918=0,0,M918+O918)</x:f>
        <x:v>27</x:v>
      </x:c>
      <x:c r="F918" s="28" t="n">
        <x:f>IF(M918=0,0,M918*N918+O918)</x:f>
        <x:v>45</x:v>
      </x:c>
      <x:c r="G918" s="28" t="n">
        <x:f>ROUND(Catalogue!G49*SQRT((1+'Paramètres'!$B$4*(C918-1)+'Paramètres'!$B$5*(C918-1)^2)),0)</x:f>
        <x:v>0</x:v>
      </x:c>
      <x:c r="H918" s="28" t="n">
        <x:f>ROUND(Catalogue!H49*SQRT((1+'Paramètres'!$B$4*(C918-1)+'Paramètres'!$B$5*(C918-1)^2)),0)</x:f>
        <x:v>0</x:v>
      </x:c>
      <x:c r="I918" s="28" t="n">
        <x:v>2</x:v>
      </x:c>
      <x:c r="J918" s="28" t="n">
        <x:v>7</x:v>
      </x:c>
      <x:c r="K918" s="30" t="n">
        <x:v>1.5</x:v>
      </x:c>
      <x:c r="L918" s="54" t="n">
        <x:f>IF(M918=0,0,(E918+F918)/2)</x:f>
        <x:v>36</x:v>
      </x:c>
      <x:c r="M918" t="n">
        <x:v>2</x:v>
      </x:c>
      <x:c r="N918" t="n">
        <x:v>10</x:v>
      </x:c>
      <x:c r="O918" t="n">
        <x:v>25</x:v>
      </x:c>
      <x:c r="P918" s="63" t="str">
        <x:f>IF(M918=0,"—",M918&amp;"d"&amp;N918&amp;IF(O918=0,""," + "&amp;O918))</x:f>
        <x:v>2d10 + 25</x:v>
      </x:c>
      <x:c r="Q918" t="n">
        <x:f>ROUND(INDEX(Catalogue!E$4:E$85,MATCH(A918,Catalogue!A$4:A$85,0))*(1+'Paramètres'!$B$4*(C918-1)+'Paramètres'!$B$5*(C918-1)^2),0)</x:f>
        <x:v>28</x:v>
      </x:c>
      <x:c r="R918" t="n">
        <x:f>ROUND(INDEX(Catalogue!F$4:F$85,MATCH(A918,Catalogue!A$4:A$85,0))*(1+'Paramètres'!$B$4*(C918-1)+'Paramètres'!$B$5*(C918-1)^2),0)</x:f>
        <x:v>45</x:v>
      </x:c>
      <x:c r="S918" t="n">
        <x:f>L918-AVERAGE(Q918:R918)</x:f>
        <x:v>-0.5</x:v>
      </x:c>
      <x:c r="T918" t="str">
        <x:f>IF(M918=0,IF(AND(N918=0,O918=0,E918=0,F918=0),"OK","ERREUR"),IF(AND(M918&gt;=1,M918&lt;=32,OR(N918=4,N918=6,N918=8,N918=10,N918=12,N918=20),O918&gt;=0,E918=M918+O918,F918=M918*N918+O918),"OK","ERREUR"))</x:f>
        <x:v>OK</x:v>
      </x:c>
      <x:c r="U918" s="86" t="n">
        <x:f>IF(M918&gt;0,M918*(N918+1)/2+O918,0)</x:f>
        <x:v>36</x:v>
      </x:c>
      <x:c r="V918" t="str">
        <x:f>IF(ABS(L918-U918)&lt;0.001,"OK","ERREUR")</x:f>
        <x:v>OK</x:v>
      </x:c>
    </x:row>
    <x:row r="919" ht="18" customHeight="1">
      <x:c r="A919" t="str">
        <x:v>ARM046</x:v>
      </x:c>
      <x:c r="B919" t="str">
        <x:v>Arc long</x:v>
      </x:c>
      <x:c r="C919" t="n">
        <x:v>16</x:v>
      </x:c>
      <x:c r="D919" t="str">
        <x:v>Distance</x:v>
      </x:c>
      <x:c r="E919" s="28" t="n">
        <x:f>IF(M919=0,0,M919+O919)</x:f>
        <x:v>31</x:v>
      </x:c>
      <x:c r="F919" s="28" t="n">
        <x:f>IF(M919=0,0,M919*N919+O919)</x:f>
        <x:v>49</x:v>
      </x:c>
      <x:c r="G919" s="28" t="n">
        <x:f>ROUND(Catalogue!G49*SQRT((1+'Paramètres'!$B$4*(C919-1)+'Paramètres'!$B$5*(C919-1)^2)),0)</x:f>
        <x:v>0</x:v>
      </x:c>
      <x:c r="H919" s="28" t="n">
        <x:f>ROUND(Catalogue!H49*SQRT((1+'Paramètres'!$B$4*(C919-1)+'Paramètres'!$B$5*(C919-1)^2)),0)</x:f>
        <x:v>0</x:v>
      </x:c>
      <x:c r="I919" s="28" t="n">
        <x:v>2</x:v>
      </x:c>
      <x:c r="J919" s="28" t="n">
        <x:v>7</x:v>
      </x:c>
      <x:c r="K919" s="30" t="n">
        <x:v>1.5</x:v>
      </x:c>
      <x:c r="L919" s="54" t="n">
        <x:f>IF(M919=0,0,(E919+F919)/2)</x:f>
        <x:v>40</x:v>
      </x:c>
      <x:c r="M919" t="n">
        <x:v>2</x:v>
      </x:c>
      <x:c r="N919" t="n">
        <x:v>10</x:v>
      </x:c>
      <x:c r="O919" t="n">
        <x:v>29</x:v>
      </x:c>
      <x:c r="P919" s="63" t="str">
        <x:f>IF(M919=0,"—",M919&amp;"d"&amp;N919&amp;IF(O919=0,""," + "&amp;O919))</x:f>
        <x:v>2d10 + 29</x:v>
      </x:c>
      <x:c r="Q919" t="n">
        <x:f>ROUND(INDEX(Catalogue!E$4:E$85,MATCH(A919,Catalogue!A$4:A$85,0))*(1+'Paramètres'!$B$4*(C919-1)+'Paramètres'!$B$5*(C919-1)^2),0)</x:f>
        <x:v>31</x:v>
      </x:c>
      <x:c r="R919" t="n">
        <x:f>ROUND(INDEX(Catalogue!F$4:F$85,MATCH(A919,Catalogue!A$4:A$85,0))*(1+'Paramètres'!$B$4*(C919-1)+'Paramètres'!$B$5*(C919-1)^2),0)</x:f>
        <x:v>50</x:v>
      </x:c>
      <x:c r="S919" t="n">
        <x:f>L919-AVERAGE(Q919:R919)</x:f>
        <x:v>-0.5</x:v>
      </x:c>
      <x:c r="T919" t="str">
        <x:f>IF(M919=0,IF(AND(N919=0,O919=0,E919=0,F919=0),"OK","ERREUR"),IF(AND(M919&gt;=1,M919&lt;=32,OR(N919=4,N919=6,N919=8,N919=10,N919=12,N919=20),O919&gt;=0,E919=M919+O919,F919=M919*N919+O919),"OK","ERREUR"))</x:f>
        <x:v>OK</x:v>
      </x:c>
      <x:c r="U919" s="86" t="n">
        <x:f>IF(M919&gt;0,M919*(N919+1)/2+O919,0)</x:f>
        <x:v>40</x:v>
      </x:c>
      <x:c r="V919" t="str">
        <x:f>IF(ABS(L919-U919)&lt;0.001,"OK","ERREUR")</x:f>
        <x:v>OK</x:v>
      </x:c>
    </x:row>
    <x:row r="920" ht="18" customHeight="1">
      <x:c r="A920" t="str">
        <x:v>ARM046</x:v>
      </x:c>
      <x:c r="B920" t="str">
        <x:v>Arc long</x:v>
      </x:c>
      <x:c r="C920" t="n">
        <x:v>17</x:v>
      </x:c>
      <x:c r="D920" t="str">
        <x:v>Distance</x:v>
      </x:c>
      <x:c r="E920" s="28" t="n">
        <x:f>IF(M920=0,0,M920+O920)</x:f>
        <x:v>34</x:v>
      </x:c>
      <x:c r="F920" s="28" t="n">
        <x:f>IF(M920=0,0,M920*N920+O920)</x:f>
        <x:v>55</x:v>
      </x:c>
      <x:c r="G920" s="28" t="n">
        <x:f>ROUND(Catalogue!G49*SQRT((1+'Paramètres'!$B$4*(C920-1)+'Paramètres'!$B$5*(C920-1)^2)),0)</x:f>
        <x:v>0</x:v>
      </x:c>
      <x:c r="H920" s="28" t="n">
        <x:f>ROUND(Catalogue!H49*SQRT((1+'Paramètres'!$B$4*(C920-1)+'Paramètres'!$B$5*(C920-1)^2)),0)</x:f>
        <x:v>0</x:v>
      </x:c>
      <x:c r="I920" s="28" t="n">
        <x:v>2</x:v>
      </x:c>
      <x:c r="J920" s="28" t="n">
        <x:v>7</x:v>
      </x:c>
      <x:c r="K920" s="30" t="n">
        <x:v>1.5</x:v>
      </x:c>
      <x:c r="L920" s="54" t="n">
        <x:f>IF(M920=0,0,(E920+F920)/2)</x:f>
        <x:v>44.5</x:v>
      </x:c>
      <x:c r="M920" t="n">
        <x:v>3</x:v>
      </x:c>
      <x:c r="N920" t="n">
        <x:v>8</x:v>
      </x:c>
      <x:c r="O920" t="n">
        <x:v>31</x:v>
      </x:c>
      <x:c r="P920" s="63" t="str">
        <x:f>IF(M920=0,"—",M920&amp;"d"&amp;N920&amp;IF(O920=0,""," + "&amp;O920))</x:f>
        <x:v>3d8 + 31</x:v>
      </x:c>
      <x:c r="Q920" t="n">
        <x:f>ROUND(INDEX(Catalogue!E$4:E$85,MATCH(A920,Catalogue!A$4:A$85,0))*(1+'Paramètres'!$B$4*(C920-1)+'Paramètres'!$B$5*(C920-1)^2),0)</x:f>
        <x:v>34</x:v>
      </x:c>
      <x:c r="R920" t="n">
        <x:f>ROUND(INDEX(Catalogue!F$4:F$85,MATCH(A920,Catalogue!A$4:A$85,0))*(1+'Paramètres'!$B$4*(C920-1)+'Paramètres'!$B$5*(C920-1)^2),0)</x:f>
        <x:v>55</x:v>
      </x:c>
      <x:c r="S920" t="n">
        <x:f>L920-AVERAGE(Q920:R920)</x:f>
        <x:v>0</x:v>
      </x:c>
      <x:c r="T920" t="str">
        <x:f>IF(M920=0,IF(AND(N920=0,O920=0,E920=0,F920=0),"OK","ERREUR"),IF(AND(M920&gt;=1,M920&lt;=32,OR(N920=4,N920=6,N920=8,N920=10,N920=12,N920=20),O920&gt;=0,E920=M920+O920,F920=M920*N920+O920),"OK","ERREUR"))</x:f>
        <x:v>OK</x:v>
      </x:c>
      <x:c r="U920" s="86" t="n">
        <x:f>IF(M920&gt;0,M920*(N920+1)/2+O920,0)</x:f>
        <x:v>44.5</x:v>
      </x:c>
      <x:c r="V920" t="str">
        <x:f>IF(ABS(L920-U920)&lt;0.001,"OK","ERREUR")</x:f>
        <x:v>OK</x:v>
      </x:c>
    </x:row>
    <x:row r="921" ht="18" customHeight="1">
      <x:c r="A921" t="str">
        <x:v>ARM046</x:v>
      </x:c>
      <x:c r="B921" t="str">
        <x:v>Arc long</x:v>
      </x:c>
      <x:c r="C921" t="n">
        <x:v>18</x:v>
      </x:c>
      <x:c r="D921" t="str">
        <x:v>Distance</x:v>
      </x:c>
      <x:c r="E921" s="28" t="n">
        <x:f>IF(M921=0,0,M921+O921)</x:f>
        <x:v>37</x:v>
      </x:c>
      <x:c r="F921" s="28" t="n">
        <x:f>IF(M921=0,0,M921*N921+O921)</x:f>
        <x:v>59</x:v>
      </x:c>
      <x:c r="G921" s="28" t="n">
        <x:f>ROUND(Catalogue!G49*SQRT((1+'Paramètres'!$B$4*(C921-1)+'Paramètres'!$B$5*(C921-1)^2)),0)</x:f>
        <x:v>0</x:v>
      </x:c>
      <x:c r="H921" s="28" t="n">
        <x:f>ROUND(Catalogue!H49*SQRT((1+'Paramètres'!$B$4*(C921-1)+'Paramètres'!$B$5*(C921-1)^2)),0)</x:f>
        <x:v>0</x:v>
      </x:c>
      <x:c r="I921" s="28" t="n">
        <x:v>2</x:v>
      </x:c>
      <x:c r="J921" s="28" t="n">
        <x:v>7</x:v>
      </x:c>
      <x:c r="K921" s="30" t="n">
        <x:v>1.5</x:v>
      </x:c>
      <x:c r="L921" s="54" t="n">
        <x:f>IF(M921=0,0,(E921+F921)/2)</x:f>
        <x:v>48</x:v>
      </x:c>
      <x:c r="M921" t="n">
        <x:v>2</x:v>
      </x:c>
      <x:c r="N921" t="n">
        <x:v>12</x:v>
      </x:c>
      <x:c r="O921" t="n">
        <x:v>35</x:v>
      </x:c>
      <x:c r="P921" s="63" t="str">
        <x:f>IF(M921=0,"—",M921&amp;"d"&amp;N921&amp;IF(O921=0,""," + "&amp;O921))</x:f>
        <x:v>2d12 + 35</x:v>
      </x:c>
      <x:c r="Q921" t="n">
        <x:f>ROUND(INDEX(Catalogue!E$4:E$85,MATCH(A921,Catalogue!A$4:A$85,0))*(1+'Paramètres'!$B$4*(C921-1)+'Paramètres'!$B$5*(C921-1)^2),0)</x:f>
        <x:v>37</x:v>
      </x:c>
      <x:c r="R921" t="n">
        <x:f>ROUND(INDEX(Catalogue!F$4:F$85,MATCH(A921,Catalogue!A$4:A$85,0))*(1+'Paramètres'!$B$4*(C921-1)+'Paramètres'!$B$5*(C921-1)^2),0)</x:f>
        <x:v>60</x:v>
      </x:c>
      <x:c r="S921" t="n">
        <x:f>L921-AVERAGE(Q921:R921)</x:f>
        <x:v>-0.5</x:v>
      </x:c>
      <x:c r="T921" t="str">
        <x:f>IF(M921=0,IF(AND(N921=0,O921=0,E921=0,F921=0),"OK","ERREUR"),IF(AND(M921&gt;=1,M921&lt;=32,OR(N921=4,N921=6,N921=8,N921=10,N921=12,N921=20),O921&gt;=0,E921=M921+O921,F921=M921*N921+O921),"OK","ERREUR"))</x:f>
        <x:v>OK</x:v>
      </x:c>
      <x:c r="U921" s="86" t="n">
        <x:f>IF(M921&gt;0,M921*(N921+1)/2+O921,0)</x:f>
        <x:v>48</x:v>
      </x:c>
      <x:c r="V921" t="str">
        <x:f>IF(ABS(L921-U921)&lt;0.001,"OK","ERREUR")</x:f>
        <x:v>OK</x:v>
      </x:c>
    </x:row>
    <x:row r="922" ht="18" customHeight="1">
      <x:c r="A922" t="str">
        <x:v>ARM046</x:v>
      </x:c>
      <x:c r="B922" t="str">
        <x:v>Arc long</x:v>
      </x:c>
      <x:c r="C922" t="n">
        <x:v>19</x:v>
      </x:c>
      <x:c r="D922" t="str">
        <x:v>Distance</x:v>
      </x:c>
      <x:c r="E922" s="28" t="n">
        <x:f>IF(M922=0,0,M922+O922)</x:f>
        <x:v>40</x:v>
      </x:c>
      <x:c r="F922" s="28" t="n">
        <x:f>IF(M922=0,0,M922*N922+O922)</x:f>
        <x:v>65</x:v>
      </x:c>
      <x:c r="G922" s="28" t="n">
        <x:f>ROUND(Catalogue!G49*SQRT((1+'Paramètres'!$B$4*(C922-1)+'Paramètres'!$B$5*(C922-1)^2)),0)</x:f>
        <x:v>0</x:v>
      </x:c>
      <x:c r="H922" s="28" t="n">
        <x:f>ROUND(Catalogue!H49*SQRT((1+'Paramètres'!$B$4*(C922-1)+'Paramètres'!$B$5*(C922-1)^2)),0)</x:f>
        <x:v>0</x:v>
      </x:c>
      <x:c r="I922" s="28" t="n">
        <x:v>2</x:v>
      </x:c>
      <x:c r="J922" s="28" t="n">
        <x:v>7</x:v>
      </x:c>
      <x:c r="K922" s="30" t="n">
        <x:v>1.5</x:v>
      </x:c>
      <x:c r="L922" s="54" t="n">
        <x:f>IF(M922=0,0,(E922+F922)/2)</x:f>
        <x:v>52.5</x:v>
      </x:c>
      <x:c r="M922" t="n">
        <x:v>5</x:v>
      </x:c>
      <x:c r="N922" t="n">
        <x:v>6</x:v>
      </x:c>
      <x:c r="O922" t="n">
        <x:v>35</x:v>
      </x:c>
      <x:c r="P922" s="63" t="str">
        <x:f>IF(M922=0,"—",M922&amp;"d"&amp;N922&amp;IF(O922=0,""," + "&amp;O922))</x:f>
        <x:v>5d6 + 35</x:v>
      </x:c>
      <x:c r="Q922" t="n">
        <x:f>ROUND(INDEX(Catalogue!E$4:E$85,MATCH(A922,Catalogue!A$4:A$85,0))*(1+'Paramètres'!$B$4*(C922-1)+'Paramètres'!$B$5*(C922-1)^2),0)</x:f>
        <x:v>41</x:v>
      </x:c>
      <x:c r="R922" t="n">
        <x:f>ROUND(INDEX(Catalogue!F$4:F$85,MATCH(A922,Catalogue!A$4:A$85,0))*(1+'Paramètres'!$B$4*(C922-1)+'Paramètres'!$B$5*(C922-1)^2),0)</x:f>
        <x:v>65</x:v>
      </x:c>
      <x:c r="S922" t="n">
        <x:f>L922-AVERAGE(Q922:R922)</x:f>
        <x:v>-0.5</x:v>
      </x:c>
      <x:c r="T922" t="str">
        <x:f>IF(M922=0,IF(AND(N922=0,O922=0,E922=0,F922=0),"OK","ERREUR"),IF(AND(M922&gt;=1,M922&lt;=32,OR(N922=4,N922=6,N922=8,N922=10,N922=12,N922=20),O922&gt;=0,E922=M922+O922,F922=M922*N922+O922),"OK","ERREUR"))</x:f>
        <x:v>OK</x:v>
      </x:c>
      <x:c r="U922" s="86" t="n">
        <x:f>IF(M922&gt;0,M922*(N922+1)/2+O922,0)</x:f>
        <x:v>52.5</x:v>
      </x:c>
      <x:c r="V922" t="str">
        <x:f>IF(ABS(L922-U922)&lt;0.001,"OK","ERREUR")</x:f>
        <x:v>OK</x:v>
      </x:c>
    </x:row>
    <x:row r="923" ht="18" customHeight="1">
      <x:c r="A923" t="str">
        <x:v>ARM046</x:v>
      </x:c>
      <x:c r="B923" t="str">
        <x:v>Arc long</x:v>
      </x:c>
      <x:c r="C923" t="n">
        <x:v>20</x:v>
      </x:c>
      <x:c r="D923" t="str">
        <x:v>Distance</x:v>
      </x:c>
      <x:c r="E923" s="28" t="n">
        <x:f>IF(M923=0,0,M923+O923)</x:f>
        <x:v>44</x:v>
      </x:c>
      <x:c r="F923" s="28" t="n">
        <x:f>IF(M923=0,0,M923*N923+O923)</x:f>
        <x:v>71</x:v>
      </x:c>
      <x:c r="G923" s="28" t="n">
        <x:f>ROUND(Catalogue!G49*SQRT((1+'Paramètres'!$B$4*(C923-1)+'Paramètres'!$B$5*(C923-1)^2)),0)</x:f>
        <x:v>0</x:v>
      </x:c>
      <x:c r="H923" s="28" t="n">
        <x:f>ROUND(Catalogue!H49*SQRT((1+'Paramètres'!$B$4*(C923-1)+'Paramètres'!$B$5*(C923-1)^2)),0)</x:f>
        <x:v>0</x:v>
      </x:c>
      <x:c r="I923" s="28" t="n">
        <x:v>2</x:v>
      </x:c>
      <x:c r="J923" s="28" t="n">
        <x:v>7</x:v>
      </x:c>
      <x:c r="K923" s="30" t="n">
        <x:v>1.5</x:v>
      </x:c>
      <x:c r="L923" s="54" t="n">
        <x:f>IF(M923=0,0,(E923+F923)/2)</x:f>
        <x:v>57.5</x:v>
      </x:c>
      <x:c r="M923" t="n">
        <x:v>3</x:v>
      </x:c>
      <x:c r="N923" t="n">
        <x:v>10</x:v>
      </x:c>
      <x:c r="O923" t="n">
        <x:v>41</x:v>
      </x:c>
      <x:c r="P923" s="63" t="str">
        <x:f>IF(M923=0,"—",M923&amp;"d"&amp;N923&amp;IF(O923=0,""," + "&amp;O923))</x:f>
        <x:v>3d10 + 41</x:v>
      </x:c>
      <x:c r="Q923" t="n">
        <x:f>ROUND(INDEX(Catalogue!E$4:E$85,MATCH(A923,Catalogue!A$4:A$85,0))*(1+'Paramètres'!$B$4*(C923-1)+'Paramètres'!$B$5*(C923-1)^2),0)</x:f>
        <x:v>44</x:v>
      </x:c>
      <x:c r="R923" t="n">
        <x:f>ROUND(INDEX(Catalogue!F$4:F$85,MATCH(A923,Catalogue!A$4:A$85,0))*(1+'Paramètres'!$B$4*(C923-1)+'Paramètres'!$B$5*(C923-1)^2),0)</x:f>
        <x:v>71</x:v>
      </x:c>
      <x:c r="S923" t="n">
        <x:f>L923-AVERAGE(Q923:R923)</x:f>
        <x:v>0</x:v>
      </x:c>
      <x:c r="T923" t="str">
        <x:f>IF(M923=0,IF(AND(N923=0,O923=0,E923=0,F923=0),"OK","ERREUR"),IF(AND(M923&gt;=1,M923&lt;=32,OR(N923=4,N923=6,N923=8,N923=10,N923=12,N923=20),O923&gt;=0,E923=M923+O923,F923=M923*N923+O923),"OK","ERREUR"))</x:f>
        <x:v>OK</x:v>
      </x:c>
      <x:c r="U923" s="86" t="n">
        <x:f>IF(M923&gt;0,M923*(N923+1)/2+O923,0)</x:f>
        <x:v>57.5</x:v>
      </x:c>
      <x:c r="V923" t="str">
        <x:f>IF(ABS(L923-U923)&lt;0.001,"OK","ERREUR")</x:f>
        <x:v>OK</x:v>
      </x:c>
    </x:row>
    <x:row r="924" ht="18" customHeight="1">
      <x:c r="A924" t="str">
        <x:v>ARM047</x:v>
      </x:c>
      <x:c r="B924" t="str">
        <x:v>Arc composite</x:v>
      </x:c>
      <x:c r="C924" t="n">
        <x:v>1</x:v>
      </x:c>
      <x:c r="D924" t="str">
        <x:v>Distance</x:v>
      </x:c>
      <x:c r="E924" s="28" t="n">
        <x:f>IF(M924=0,0,M924+O924)</x:f>
        <x:v>5</x:v>
      </x:c>
      <x:c r="F924" s="28" t="n">
        <x:f>IF(M924=0,0,M924*N924+O924)</x:f>
        <x:v>8</x:v>
      </x:c>
      <x:c r="G924" s="28" t="n">
        <x:f>ROUND(Catalogue!G50*SQRT((1+'Paramètres'!$B$4*(C924-1)+'Paramètres'!$B$5*(C924-1)^2)),0)</x:f>
        <x:v>0</x:v>
      </x:c>
      <x:c r="H924" s="28" t="n">
        <x:f>ROUND(Catalogue!H50*SQRT((1+'Paramètres'!$B$4*(C924-1)+'Paramètres'!$B$5*(C924-1)^2)),0)</x:f>
        <x:v>0</x:v>
      </x:c>
      <x:c r="I924" s="28" t="n">
        <x:v>2</x:v>
      </x:c>
      <x:c r="J924" s="28" t="n">
        <x:v>6</x:v>
      </x:c>
      <x:c r="K924" s="30" t="n">
        <x:v>1.8</x:v>
      </x:c>
      <x:c r="L924" s="54" t="n">
        <x:f>IF(M924=0,0,(E924+F924)/2)</x:f>
        <x:v>6.5</x:v>
      </x:c>
      <x:c r="M924" t="n">
        <x:v>1</x:v>
      </x:c>
      <x:c r="N924" t="n">
        <x:v>4</x:v>
      </x:c>
      <x:c r="O924" t="n">
        <x:v>4</x:v>
      </x:c>
      <x:c r="P924" s="63" t="str">
        <x:f>IF(M924=0,"—",M924&amp;"d"&amp;N924&amp;IF(O924=0,""," + "&amp;O924))</x:f>
        <x:v>1d4 + 4</x:v>
      </x:c>
      <x:c r="Q924" t="n">
        <x:f>ROUND(INDEX(Catalogue!E$4:E$85,MATCH(A924,Catalogue!A$4:A$85,0))*(1+'Paramètres'!$B$4*(C924-1)+'Paramètres'!$B$5*(C924-1)^2),0)</x:f>
        <x:v>5</x:v>
      </x:c>
      <x:c r="R924" t="n">
        <x:f>ROUND(INDEX(Catalogue!F$4:F$85,MATCH(A924,Catalogue!A$4:A$85,0))*(1+'Paramètres'!$B$4*(C924-1)+'Paramètres'!$B$5*(C924-1)^2),0)</x:f>
        <x:v>9</x:v>
      </x:c>
      <x:c r="S924" t="n">
        <x:f>L924-AVERAGE(Q924:R924)</x:f>
        <x:v>-0.5</x:v>
      </x:c>
      <x:c r="T924" t="str">
        <x:f>IF(M924=0,IF(AND(N924=0,O924=0,E924=0,F924=0),"OK","ERREUR"),IF(AND(M924&gt;=1,M924&lt;=32,OR(N924=4,N924=6,N924=8,N924=10,N924=12,N924=20),O924&gt;=0,E924=M924+O924,F924=M924*N924+O924),"OK","ERREUR"))</x:f>
        <x:v>OK</x:v>
      </x:c>
      <x:c r="U924" s="86" t="n">
        <x:f>IF(M924&gt;0,M924*(N924+1)/2+O924,0)</x:f>
        <x:v>6.5</x:v>
      </x:c>
      <x:c r="V924" t="str">
        <x:f>IF(ABS(L924-U924)&lt;0.001,"OK","ERREUR")</x:f>
        <x:v>OK</x:v>
      </x:c>
    </x:row>
    <x:row r="925" ht="18" customHeight="1">
      <x:c r="A925" t="str">
        <x:v>ARM047</x:v>
      </x:c>
      <x:c r="B925" t="str">
        <x:v>Arc composite</x:v>
      </x:c>
      <x:c r="C925" t="n">
        <x:v>2</x:v>
      </x:c>
      <x:c r="D925" t="str">
        <x:v>Distance</x:v>
      </x:c>
      <x:c r="E925" s="28" t="n">
        <x:f>IF(M925=0,0,M925+O925)</x:f>
        <x:v>6</x:v>
      </x:c>
      <x:c r="F925" s="28" t="n">
        <x:f>IF(M925=0,0,M925*N925+O925)</x:f>
        <x:v>9</x:v>
      </x:c>
      <x:c r="G925" s="28" t="n">
        <x:f>ROUND(Catalogue!G50*SQRT((1+'Paramètres'!$B$4*(C925-1)+'Paramètres'!$B$5*(C925-1)^2)),0)</x:f>
        <x:v>0</x:v>
      </x:c>
      <x:c r="H925" s="28" t="n">
        <x:f>ROUND(Catalogue!H50*SQRT((1+'Paramètres'!$B$4*(C925-1)+'Paramètres'!$B$5*(C925-1)^2)),0)</x:f>
        <x:v>0</x:v>
      </x:c>
      <x:c r="I925" s="28" t="n">
        <x:v>2</x:v>
      </x:c>
      <x:c r="J925" s="28" t="n">
        <x:v>6</x:v>
      </x:c>
      <x:c r="K925" s="30" t="n">
        <x:v>1.8</x:v>
      </x:c>
      <x:c r="L925" s="54" t="n">
        <x:f>IF(M925=0,0,(E925+F925)/2)</x:f>
        <x:v>7.5</x:v>
      </x:c>
      <x:c r="M925" t="n">
        <x:v>1</x:v>
      </x:c>
      <x:c r="N925" t="n">
        <x:v>4</x:v>
      </x:c>
      <x:c r="O925" t="n">
        <x:v>5</x:v>
      </x:c>
      <x:c r="P925" s="63" t="str">
        <x:f>IF(M925=0,"—",M925&amp;"d"&amp;N925&amp;IF(O925=0,""," + "&amp;O925))</x:f>
        <x:v>1d4 + 5</x:v>
      </x:c>
      <x:c r="Q925" t="n">
        <x:f>ROUND(INDEX(Catalogue!E$4:E$85,MATCH(A925,Catalogue!A$4:A$85,0))*(1+'Paramètres'!$B$4*(C925-1)+'Paramètres'!$B$5*(C925-1)^2),0)</x:f>
        <x:v>6</x:v>
      </x:c>
      <x:c r="R925" t="n">
        <x:f>ROUND(INDEX(Catalogue!F$4:F$85,MATCH(A925,Catalogue!A$4:A$85,0))*(1+'Paramètres'!$B$4*(C925-1)+'Paramètres'!$B$5*(C925-1)^2),0)</x:f>
        <x:v>10</x:v>
      </x:c>
      <x:c r="S925" t="n">
        <x:f>L925-AVERAGE(Q925:R925)</x:f>
        <x:v>-0.5</x:v>
      </x:c>
      <x:c r="T925" t="str">
        <x:f>IF(M925=0,IF(AND(N925=0,O925=0,E925=0,F925=0),"OK","ERREUR"),IF(AND(M925&gt;=1,M925&lt;=32,OR(N925=4,N925=6,N925=8,N925=10,N925=12,N925=20),O925&gt;=0,E925=M925+O925,F925=M925*N925+O925),"OK","ERREUR"))</x:f>
        <x:v>OK</x:v>
      </x:c>
      <x:c r="U925" s="86" t="n">
        <x:f>IF(M925&gt;0,M925*(N925+1)/2+O925,0)</x:f>
        <x:v>7.5</x:v>
      </x:c>
      <x:c r="V925" t="str">
        <x:f>IF(ABS(L925-U925)&lt;0.001,"OK","ERREUR")</x:f>
        <x:v>OK</x:v>
      </x:c>
    </x:row>
    <x:row r="926" ht="18" customHeight="1">
      <x:c r="A926" t="str">
        <x:v>ARM047</x:v>
      </x:c>
      <x:c r="B926" t="str">
        <x:v>Arc composite</x:v>
      </x:c>
      <x:c r="C926" t="n">
        <x:v>3</x:v>
      </x:c>
      <x:c r="D926" t="str">
        <x:v>Distance</x:v>
      </x:c>
      <x:c r="E926" s="28" t="n">
        <x:f>IF(M926=0,0,M926+O926)</x:f>
        <x:v>6</x:v>
      </x:c>
      <x:c r="F926" s="28" t="n">
        <x:f>IF(M926=0,0,M926*N926+O926)</x:f>
        <x:v>11</x:v>
      </x:c>
      <x:c r="G926" s="28" t="n">
        <x:f>ROUND(Catalogue!G50*SQRT((1+'Paramètres'!$B$4*(C926-1)+'Paramètres'!$B$5*(C926-1)^2)),0)</x:f>
        <x:v>0</x:v>
      </x:c>
      <x:c r="H926" s="28" t="n">
        <x:f>ROUND(Catalogue!H50*SQRT((1+'Paramètres'!$B$4*(C926-1)+'Paramètres'!$B$5*(C926-1)^2)),0)</x:f>
        <x:v>0</x:v>
      </x:c>
      <x:c r="I926" s="28" t="n">
        <x:v>2</x:v>
      </x:c>
      <x:c r="J926" s="28" t="n">
        <x:v>6</x:v>
      </x:c>
      <x:c r="K926" s="30" t="n">
        <x:v>1.8</x:v>
      </x:c>
      <x:c r="L926" s="54" t="n">
        <x:f>IF(M926=0,0,(E926+F926)/2)</x:f>
        <x:v>8.5</x:v>
      </x:c>
      <x:c r="M926" t="n">
        <x:v>1</x:v>
      </x:c>
      <x:c r="N926" t="n">
        <x:v>6</x:v>
      </x:c>
      <x:c r="O926" t="n">
        <x:v>5</x:v>
      </x:c>
      <x:c r="P926" s="63" t="str">
        <x:f>IF(M926=0,"—",M926&amp;"d"&amp;N926&amp;IF(O926=0,""," + "&amp;O926))</x:f>
        <x:v>1d6 + 5</x:v>
      </x:c>
      <x:c r="Q926" t="n">
        <x:f>ROUND(INDEX(Catalogue!E$4:E$85,MATCH(A926,Catalogue!A$4:A$85,0))*(1+'Paramètres'!$B$4*(C926-1)+'Paramètres'!$B$5*(C926-1)^2),0)</x:f>
        <x:v>6</x:v>
      </x:c>
      <x:c r="R926" t="n">
        <x:f>ROUND(INDEX(Catalogue!F$4:F$85,MATCH(A926,Catalogue!A$4:A$85,0))*(1+'Paramètres'!$B$4*(C926-1)+'Paramètres'!$B$5*(C926-1)^2),0)</x:f>
        <x:v>12</x:v>
      </x:c>
      <x:c r="S926" t="n">
        <x:f>L926-AVERAGE(Q926:R926)</x:f>
        <x:v>-0.5</x:v>
      </x:c>
      <x:c r="T926" t="str">
        <x:f>IF(M926=0,IF(AND(N926=0,O926=0,E926=0,F926=0),"OK","ERREUR"),IF(AND(M926&gt;=1,M926&lt;=32,OR(N926=4,N926=6,N926=8,N926=10,N926=12,N926=20),O926&gt;=0,E926=M926+O926,F926=M926*N926+O926),"OK","ERREUR"))</x:f>
        <x:v>OK</x:v>
      </x:c>
      <x:c r="U926" s="86" t="n">
        <x:f>IF(M926&gt;0,M926*(N926+1)/2+O926,0)</x:f>
        <x:v>8.5</x:v>
      </x:c>
      <x:c r="V926" t="str">
        <x:f>IF(ABS(L926-U926)&lt;0.001,"OK","ERREUR")</x:f>
        <x:v>OK</x:v>
      </x:c>
    </x:row>
    <x:row r="927" ht="18" customHeight="1">
      <x:c r="A927" t="str">
        <x:v>ARM047</x:v>
      </x:c>
      <x:c r="B927" t="str">
        <x:v>Arc composite</x:v>
      </x:c>
      <x:c r="C927" t="n">
        <x:v>4</x:v>
      </x:c>
      <x:c r="D927" t="str">
        <x:v>Distance</x:v>
      </x:c>
      <x:c r="E927" s="28" t="n">
        <x:f>IF(M927=0,0,M927+O927)</x:f>
        <x:v>7</x:v>
      </x:c>
      <x:c r="F927" s="28" t="n">
        <x:f>IF(M927=0,0,M927*N927+O927)</x:f>
        <x:v>13</x:v>
      </x:c>
      <x:c r="G927" s="28" t="n">
        <x:f>ROUND(Catalogue!G50*SQRT((1+'Paramètres'!$B$4*(C927-1)+'Paramètres'!$B$5*(C927-1)^2)),0)</x:f>
        <x:v>0</x:v>
      </x:c>
      <x:c r="H927" s="28" t="n">
        <x:f>ROUND(Catalogue!H50*SQRT((1+'Paramètres'!$B$4*(C927-1)+'Paramètres'!$B$5*(C927-1)^2)),0)</x:f>
        <x:v>0</x:v>
      </x:c>
      <x:c r="I927" s="28" t="n">
        <x:v>2</x:v>
      </x:c>
      <x:c r="J927" s="28" t="n">
        <x:v>6</x:v>
      </x:c>
      <x:c r="K927" s="30" t="n">
        <x:v>1.8</x:v>
      </x:c>
      <x:c r="L927" s="54" t="n">
        <x:f>IF(M927=0,0,(E927+F927)/2)</x:f>
        <x:v>10</x:v>
      </x:c>
      <x:c r="M927" t="n">
        <x:v>2</x:v>
      </x:c>
      <x:c r="N927" t="n">
        <x:v>4</x:v>
      </x:c>
      <x:c r="O927" t="n">
        <x:v>5</x:v>
      </x:c>
      <x:c r="P927" s="63" t="str">
        <x:f>IF(M927=0,"—",M927&amp;"d"&amp;N927&amp;IF(O927=0,""," + "&amp;O927))</x:f>
        <x:v>2d4 + 5</x:v>
      </x:c>
      <x:c r="Q927" t="n">
        <x:f>ROUND(INDEX(Catalogue!E$4:E$85,MATCH(A927,Catalogue!A$4:A$85,0))*(1+'Paramètres'!$B$4*(C927-1)+'Paramètres'!$B$5*(C927-1)^2),0)</x:f>
        <x:v>7</x:v>
      </x:c>
      <x:c r="R927" t="n">
        <x:f>ROUND(INDEX(Catalogue!F$4:F$85,MATCH(A927,Catalogue!A$4:A$85,0))*(1+'Paramètres'!$B$4*(C927-1)+'Paramètres'!$B$5*(C927-1)^2),0)</x:f>
        <x:v>13</x:v>
      </x:c>
      <x:c r="S927" t="n">
        <x:f>L927-AVERAGE(Q927:R927)</x:f>
        <x:v>0</x:v>
      </x:c>
      <x:c r="T927" t="str">
        <x:f>IF(M927=0,IF(AND(N927=0,O927=0,E927=0,F927=0),"OK","ERREUR"),IF(AND(M927&gt;=1,M927&lt;=32,OR(N927=4,N927=6,N927=8,N927=10,N927=12,N927=20),O927&gt;=0,E927=M927+O927,F927=M927*N927+O927),"OK","ERREUR"))</x:f>
        <x:v>OK</x:v>
      </x:c>
      <x:c r="U927" s="86" t="n">
        <x:f>IF(M927&gt;0,M927*(N927+1)/2+O927,0)</x:f>
        <x:v>10</x:v>
      </x:c>
      <x:c r="V927" t="str">
        <x:f>IF(ABS(L927-U927)&lt;0.001,"OK","ERREUR")</x:f>
        <x:v>OK</x:v>
      </x:c>
    </x:row>
    <x:row r="928" ht="18" customHeight="1">
      <x:c r="A928" t="str">
        <x:v>ARM047</x:v>
      </x:c>
      <x:c r="B928" t="str">
        <x:v>Arc composite</x:v>
      </x:c>
      <x:c r="C928" t="n">
        <x:v>5</x:v>
      </x:c>
      <x:c r="D928" t="str">
        <x:v>Distance</x:v>
      </x:c>
      <x:c r="E928" s="28" t="n">
        <x:f>IF(M928=0,0,M928+O928)</x:f>
        <x:v>8</x:v>
      </x:c>
      <x:c r="F928" s="28" t="n">
        <x:f>IF(M928=0,0,M928*N928+O928)</x:f>
        <x:v>15</x:v>
      </x:c>
      <x:c r="G928" s="28" t="n">
        <x:f>ROUND(Catalogue!G50*SQRT((1+'Paramètres'!$B$4*(C928-1)+'Paramètres'!$B$5*(C928-1)^2)),0)</x:f>
        <x:v>0</x:v>
      </x:c>
      <x:c r="H928" s="28" t="n">
        <x:f>ROUND(Catalogue!H50*SQRT((1+'Paramètres'!$B$4*(C928-1)+'Paramètres'!$B$5*(C928-1)^2)),0)</x:f>
        <x:v>0</x:v>
      </x:c>
      <x:c r="I928" s="28" t="n">
        <x:v>2</x:v>
      </x:c>
      <x:c r="J928" s="28" t="n">
        <x:v>6</x:v>
      </x:c>
      <x:c r="K928" s="30" t="n">
        <x:v>1.8</x:v>
      </x:c>
      <x:c r="L928" s="54" t="n">
        <x:f>IF(M928=0,0,(E928+F928)/2)</x:f>
        <x:v>11.5</x:v>
      </x:c>
      <x:c r="M928" t="n">
        <x:v>1</x:v>
      </x:c>
      <x:c r="N928" t="n">
        <x:v>8</x:v>
      </x:c>
      <x:c r="O928" t="n">
        <x:v>7</x:v>
      </x:c>
      <x:c r="P928" s="63" t="str">
        <x:f>IF(M928=0,"—",M928&amp;"d"&amp;N928&amp;IF(O928=0,""," + "&amp;O928))</x:f>
        <x:v>1d8 + 7</x:v>
      </x:c>
      <x:c r="Q928" t="n">
        <x:f>ROUND(INDEX(Catalogue!E$4:E$85,MATCH(A928,Catalogue!A$4:A$85,0))*(1+'Paramètres'!$B$4*(C928-1)+'Paramètres'!$B$5*(C928-1)^2),0)</x:f>
        <x:v>8</x:v>
      </x:c>
      <x:c r="R928" t="n">
        <x:f>ROUND(INDEX(Catalogue!F$4:F$85,MATCH(A928,Catalogue!A$4:A$85,0))*(1+'Paramètres'!$B$4*(C928-1)+'Paramètres'!$B$5*(C928-1)^2),0)</x:f>
        <x:v>15</x:v>
      </x:c>
      <x:c r="S928" t="n">
        <x:f>L928-AVERAGE(Q928:R928)</x:f>
        <x:v>0</x:v>
      </x:c>
      <x:c r="T928" t="str">
        <x:f>IF(M928=0,IF(AND(N928=0,O928=0,E928=0,F928=0),"OK","ERREUR"),IF(AND(M928&gt;=1,M928&lt;=32,OR(N928=4,N928=6,N928=8,N928=10,N928=12,N928=20),O928&gt;=0,E928=M928+O928,F928=M928*N928+O928),"OK","ERREUR"))</x:f>
        <x:v>OK</x:v>
      </x:c>
      <x:c r="U928" s="86" t="n">
        <x:f>IF(M928&gt;0,M928*(N928+1)/2+O928,0)</x:f>
        <x:v>11.5</x:v>
      </x:c>
      <x:c r="V928" t="str">
        <x:f>IF(ABS(L928-U928)&lt;0.001,"OK","ERREUR")</x:f>
        <x:v>OK</x:v>
      </x:c>
    </x:row>
    <x:row r="929" ht="18" customHeight="1">
      <x:c r="A929" t="str">
        <x:v>ARM047</x:v>
      </x:c>
      <x:c r="B929" t="str">
        <x:v>Arc composite</x:v>
      </x:c>
      <x:c r="C929" t="n">
        <x:v>6</x:v>
      </x:c>
      <x:c r="D929" t="str">
        <x:v>Distance</x:v>
      </x:c>
      <x:c r="E929" s="28" t="n">
        <x:f>IF(M929=0,0,M929+O929)</x:f>
        <x:v>10</x:v>
      </x:c>
      <x:c r="F929" s="28" t="n">
        <x:f>IF(M929=0,0,M929*N929+O929)</x:f>
        <x:v>17</x:v>
      </x:c>
      <x:c r="G929" s="28" t="n">
        <x:f>ROUND(Catalogue!G50*SQRT((1+'Paramètres'!$B$4*(C929-1)+'Paramètres'!$B$5*(C929-1)^2)),0)</x:f>
        <x:v>0</x:v>
      </x:c>
      <x:c r="H929" s="28" t="n">
        <x:f>ROUND(Catalogue!H50*SQRT((1+'Paramètres'!$B$4*(C929-1)+'Paramètres'!$B$5*(C929-1)^2)),0)</x:f>
        <x:v>0</x:v>
      </x:c>
      <x:c r="I929" s="28" t="n">
        <x:v>2</x:v>
      </x:c>
      <x:c r="J929" s="28" t="n">
        <x:v>6</x:v>
      </x:c>
      <x:c r="K929" s="30" t="n">
        <x:v>1.8</x:v>
      </x:c>
      <x:c r="L929" s="54" t="n">
        <x:f>IF(M929=0,0,(E929+F929)/2)</x:f>
        <x:v>13.5</x:v>
      </x:c>
      <x:c r="M929" t="n">
        <x:v>1</x:v>
      </x:c>
      <x:c r="N929" t="n">
        <x:v>8</x:v>
      </x:c>
      <x:c r="O929" t="n">
        <x:v>9</x:v>
      </x:c>
      <x:c r="P929" s="63" t="str">
        <x:f>IF(M929=0,"—",M929&amp;"d"&amp;N929&amp;IF(O929=0,""," + "&amp;O929))</x:f>
        <x:v>1d8 + 9</x:v>
      </x:c>
      <x:c r="Q929" t="n">
        <x:f>ROUND(INDEX(Catalogue!E$4:E$85,MATCH(A929,Catalogue!A$4:A$85,0))*(1+'Paramètres'!$B$4*(C929-1)+'Paramètres'!$B$5*(C929-1)^2),0)</x:f>
        <x:v>10</x:v>
      </x:c>
      <x:c r="R929" t="n">
        <x:f>ROUND(INDEX(Catalogue!F$4:F$85,MATCH(A929,Catalogue!A$4:A$85,0))*(1+'Paramètres'!$B$4*(C929-1)+'Paramètres'!$B$5*(C929-1)^2),0)</x:f>
        <x:v>18</x:v>
      </x:c>
      <x:c r="S929" t="n">
        <x:f>L929-AVERAGE(Q929:R929)</x:f>
        <x:v>-0.5</x:v>
      </x:c>
      <x:c r="T929" t="str">
        <x:f>IF(M929=0,IF(AND(N929=0,O929=0,E929=0,F929=0),"OK","ERREUR"),IF(AND(M929&gt;=1,M929&lt;=32,OR(N929=4,N929=6,N929=8,N929=10,N929=12,N929=20),O929&gt;=0,E929=M929+O929,F929=M929*N929+O929),"OK","ERREUR"))</x:f>
        <x:v>OK</x:v>
      </x:c>
      <x:c r="U929" s="86" t="n">
        <x:f>IF(M929&gt;0,M929*(N929+1)/2+O929,0)</x:f>
        <x:v>13.5</x:v>
      </x:c>
      <x:c r="V929" t="str">
        <x:f>IF(ABS(L929-U929)&lt;0.001,"OK","ERREUR")</x:f>
        <x:v>OK</x:v>
      </x:c>
    </x:row>
    <x:row r="930" ht="18" customHeight="1">
      <x:c r="A930" t="str">
        <x:v>ARM047</x:v>
      </x:c>
      <x:c r="B930" t="str">
        <x:v>Arc composite</x:v>
      </x:c>
      <x:c r="C930" t="n">
        <x:v>7</x:v>
      </x:c>
      <x:c r="D930" t="str">
        <x:v>Distance</x:v>
      </x:c>
      <x:c r="E930" s="28" t="n">
        <x:f>IF(M930=0,0,M930+O930)</x:f>
        <x:v>11</x:v>
      </x:c>
      <x:c r="F930" s="28" t="n">
        <x:f>IF(M930=0,0,M930*N930+O930)</x:f>
        <x:v>20</x:v>
      </x:c>
      <x:c r="G930" s="28" t="n">
        <x:f>ROUND(Catalogue!G50*SQRT((1+'Paramètres'!$B$4*(C930-1)+'Paramètres'!$B$5*(C930-1)^2)),0)</x:f>
        <x:v>0</x:v>
      </x:c>
      <x:c r="H930" s="28" t="n">
        <x:f>ROUND(Catalogue!H50*SQRT((1+'Paramètres'!$B$4*(C930-1)+'Paramètres'!$B$5*(C930-1)^2)),0)</x:f>
        <x:v>0</x:v>
      </x:c>
      <x:c r="I930" s="28" t="n">
        <x:v>2</x:v>
      </x:c>
      <x:c r="J930" s="28" t="n">
        <x:v>6</x:v>
      </x:c>
      <x:c r="K930" s="30" t="n">
        <x:v>1.8</x:v>
      </x:c>
      <x:c r="L930" s="54" t="n">
        <x:f>IF(M930=0,0,(E930+F930)/2)</x:f>
        <x:v>15.5</x:v>
      </x:c>
      <x:c r="M930" t="n">
        <x:v>1</x:v>
      </x:c>
      <x:c r="N930" t="n">
        <x:v>10</x:v>
      </x:c>
      <x:c r="O930" t="n">
        <x:v>10</x:v>
      </x:c>
      <x:c r="P930" s="63" t="str">
        <x:f>IF(M930=0,"—",M930&amp;"d"&amp;N930&amp;IF(O930=0,""," + "&amp;O930))</x:f>
        <x:v>1d10 + 10</x:v>
      </x:c>
      <x:c r="Q930" t="n">
        <x:f>ROUND(INDEX(Catalogue!E$4:E$85,MATCH(A930,Catalogue!A$4:A$85,0))*(1+'Paramètres'!$B$4*(C930-1)+'Paramètres'!$B$5*(C930-1)^2),0)</x:f>
        <x:v>11</x:v>
      </x:c>
      <x:c r="R930" t="n">
        <x:f>ROUND(INDEX(Catalogue!F$4:F$85,MATCH(A930,Catalogue!A$4:A$85,0))*(1+'Paramètres'!$B$4*(C930-1)+'Paramètres'!$B$5*(C930-1)^2),0)</x:f>
        <x:v>20</x:v>
      </x:c>
      <x:c r="S930" t="n">
        <x:f>L930-AVERAGE(Q930:R930)</x:f>
        <x:v>0</x:v>
      </x:c>
      <x:c r="T930" t="str">
        <x:f>IF(M930=0,IF(AND(N930=0,O930=0,E930=0,F930=0),"OK","ERREUR"),IF(AND(M930&gt;=1,M930&lt;=32,OR(N930=4,N930=6,N930=8,N930=10,N930=12,N930=20),O930&gt;=0,E930=M930+O930,F930=M930*N930+O930),"OK","ERREUR"))</x:f>
        <x:v>OK</x:v>
      </x:c>
      <x:c r="U930" s="86" t="n">
        <x:f>IF(M930&gt;0,M930*(N930+1)/2+O930,0)</x:f>
        <x:v>15.5</x:v>
      </x:c>
      <x:c r="V930" t="str">
        <x:f>IF(ABS(L930-U930)&lt;0.001,"OK","ERREUR")</x:f>
        <x:v>OK</x:v>
      </x:c>
    </x:row>
    <x:row r="931" ht="18" customHeight="1">
      <x:c r="A931" t="str">
        <x:v>ARM047</x:v>
      </x:c>
      <x:c r="B931" t="str">
        <x:v>Arc composite</x:v>
      </x:c>
      <x:c r="C931" t="n">
        <x:v>8</x:v>
      </x:c>
      <x:c r="D931" t="str">
        <x:v>Distance</x:v>
      </x:c>
      <x:c r="E931" s="28" t="n">
        <x:f>IF(M931=0,0,M931+O931)</x:f>
        <x:v>13</x:v>
      </x:c>
      <x:c r="F931" s="28" t="n">
        <x:f>IF(M931=0,0,M931*N931+O931)</x:f>
        <x:v>23</x:v>
      </x:c>
      <x:c r="G931" s="28" t="n">
        <x:f>ROUND(Catalogue!G50*SQRT((1+'Paramètres'!$B$4*(C931-1)+'Paramètres'!$B$5*(C931-1)^2)),0)</x:f>
        <x:v>0</x:v>
      </x:c>
      <x:c r="H931" s="28" t="n">
        <x:f>ROUND(Catalogue!H50*SQRT((1+'Paramètres'!$B$4*(C931-1)+'Paramètres'!$B$5*(C931-1)^2)),0)</x:f>
        <x:v>0</x:v>
      </x:c>
      <x:c r="I931" s="28" t="n">
        <x:v>2</x:v>
      </x:c>
      <x:c r="J931" s="28" t="n">
        <x:v>6</x:v>
      </x:c>
      <x:c r="K931" s="30" t="n">
        <x:v>1.8</x:v>
      </x:c>
      <x:c r="L931" s="54" t="n">
        <x:f>IF(M931=0,0,(E931+F931)/2)</x:f>
        <x:v>18</x:v>
      </x:c>
      <x:c r="M931" t="n">
        <x:v>2</x:v>
      </x:c>
      <x:c r="N931" t="n">
        <x:v>6</x:v>
      </x:c>
      <x:c r="O931" t="n">
        <x:v>11</x:v>
      </x:c>
      <x:c r="P931" s="63" t="str">
        <x:f>IF(M931=0,"—",M931&amp;"d"&amp;N931&amp;IF(O931=0,""," + "&amp;O931))</x:f>
        <x:v>2d6 + 11</x:v>
      </x:c>
      <x:c r="Q931" t="n">
        <x:f>ROUND(INDEX(Catalogue!E$4:E$85,MATCH(A931,Catalogue!A$4:A$85,0))*(1+'Paramètres'!$B$4*(C931-1)+'Paramètres'!$B$5*(C931-1)^2),0)</x:f>
        <x:v>13</x:v>
      </x:c>
      <x:c r="R931" t="n">
        <x:f>ROUND(INDEX(Catalogue!F$4:F$85,MATCH(A931,Catalogue!A$4:A$85,0))*(1+'Paramètres'!$B$4*(C931-1)+'Paramètres'!$B$5*(C931-1)^2),0)</x:f>
        <x:v>23</x:v>
      </x:c>
      <x:c r="S931" t="n">
        <x:f>L931-AVERAGE(Q931:R931)</x:f>
        <x:v>0</x:v>
      </x:c>
      <x:c r="T931" t="str">
        <x:f>IF(M931=0,IF(AND(N931=0,O931=0,E931=0,F931=0),"OK","ERREUR"),IF(AND(M931&gt;=1,M931&lt;=32,OR(N931=4,N931=6,N931=8,N931=10,N931=12,N931=20),O931&gt;=0,E931=M931+O931,F931=M931*N931+O931),"OK","ERREUR"))</x:f>
        <x:v>OK</x:v>
      </x:c>
      <x:c r="U931" s="86" t="n">
        <x:f>IF(M931&gt;0,M931*(N931+1)/2+O931,0)</x:f>
        <x:v>18</x:v>
      </x:c>
      <x:c r="V931" t="str">
        <x:f>IF(ABS(L931-U931)&lt;0.001,"OK","ERREUR")</x:f>
        <x:v>OK</x:v>
      </x:c>
    </x:row>
    <x:row r="932" ht="18" customHeight="1">
      <x:c r="A932" t="str">
        <x:v>ARM047</x:v>
      </x:c>
      <x:c r="B932" t="str">
        <x:v>Arc composite</x:v>
      </x:c>
      <x:c r="C932" t="n">
        <x:v>9</x:v>
      </x:c>
      <x:c r="D932" t="str">
        <x:v>Distance</x:v>
      </x:c>
      <x:c r="E932" s="28" t="n">
        <x:f>IF(M932=0,0,M932+O932)</x:f>
        <x:v>15</x:v>
      </x:c>
      <x:c r="F932" s="28" t="n">
        <x:f>IF(M932=0,0,M932*N932+O932)</x:f>
        <x:v>26</x:v>
      </x:c>
      <x:c r="G932" s="28" t="n">
        <x:f>ROUND(Catalogue!G50*SQRT((1+'Paramètres'!$B$4*(C932-1)+'Paramètres'!$B$5*(C932-1)^2)),0)</x:f>
        <x:v>0</x:v>
      </x:c>
      <x:c r="H932" s="28" t="n">
        <x:f>ROUND(Catalogue!H50*SQRT((1+'Paramètres'!$B$4*(C932-1)+'Paramètres'!$B$5*(C932-1)^2)),0)</x:f>
        <x:v>0</x:v>
      </x:c>
      <x:c r="I932" s="28" t="n">
        <x:v>2</x:v>
      </x:c>
      <x:c r="J932" s="28" t="n">
        <x:v>6</x:v>
      </x:c>
      <x:c r="K932" s="30" t="n">
        <x:v>1.8</x:v>
      </x:c>
      <x:c r="L932" s="54" t="n">
        <x:f>IF(M932=0,0,(E932+F932)/2)</x:f>
        <x:v>20.5</x:v>
      </x:c>
      <x:c r="M932" t="n">
        <x:v>1</x:v>
      </x:c>
      <x:c r="N932" t="n">
        <x:v>12</x:v>
      </x:c>
      <x:c r="O932" t="n">
        <x:v>14</x:v>
      </x:c>
      <x:c r="P932" s="63" t="str">
        <x:f>IF(M932=0,"—",M932&amp;"d"&amp;N932&amp;IF(O932=0,""," + "&amp;O932))</x:f>
        <x:v>1d12 + 14</x:v>
      </x:c>
      <x:c r="Q932" t="n">
        <x:f>ROUND(INDEX(Catalogue!E$4:E$85,MATCH(A932,Catalogue!A$4:A$85,0))*(1+'Paramètres'!$B$4*(C932-1)+'Paramètres'!$B$5*(C932-1)^2),0)</x:f>
        <x:v>15</x:v>
      </x:c>
      <x:c r="R932" t="n">
        <x:f>ROUND(INDEX(Catalogue!F$4:F$85,MATCH(A932,Catalogue!A$4:A$85,0))*(1+'Paramètres'!$B$4*(C932-1)+'Paramètres'!$B$5*(C932-1)^2),0)</x:f>
        <x:v>26</x:v>
      </x:c>
      <x:c r="S932" t="n">
        <x:f>L932-AVERAGE(Q932:R932)</x:f>
        <x:v>0</x:v>
      </x:c>
      <x:c r="T932" t="str">
        <x:f>IF(M932=0,IF(AND(N932=0,O932=0,E932=0,F932=0),"OK","ERREUR"),IF(AND(M932&gt;=1,M932&lt;=32,OR(N932=4,N932=6,N932=8,N932=10,N932=12,N932=20),O932&gt;=0,E932=M932+O932,F932=M932*N932+O932),"OK","ERREUR"))</x:f>
        <x:v>OK</x:v>
      </x:c>
      <x:c r="U932" s="86" t="n">
        <x:f>IF(M932&gt;0,M932*(N932+1)/2+O932,0)</x:f>
        <x:v>20.5</x:v>
      </x:c>
      <x:c r="V932" t="str">
        <x:f>IF(ABS(L932-U932)&lt;0.001,"OK","ERREUR")</x:f>
        <x:v>OK</x:v>
      </x:c>
    </x:row>
    <x:row r="933" ht="18" customHeight="1">
      <x:c r="A933" t="str">
        <x:v>ARM047</x:v>
      </x:c>
      <x:c r="B933" t="str">
        <x:v>Arc composite</x:v>
      </x:c>
      <x:c r="C933" t="n">
        <x:v>10</x:v>
      </x:c>
      <x:c r="D933" t="str">
        <x:v>Distance</x:v>
      </x:c>
      <x:c r="E933" s="28" t="n">
        <x:f>IF(M933=0,0,M933+O933)</x:f>
        <x:v>16</x:v>
      </x:c>
      <x:c r="F933" s="28" t="n">
        <x:f>IF(M933=0,0,M933*N933+O933)</x:f>
        <x:v>30</x:v>
      </x:c>
      <x:c r="G933" s="28" t="n">
        <x:f>ROUND(Catalogue!G50*SQRT((1+'Paramètres'!$B$4*(C933-1)+'Paramètres'!$B$5*(C933-1)^2)),0)</x:f>
        <x:v>0</x:v>
      </x:c>
      <x:c r="H933" s="28" t="n">
        <x:f>ROUND(Catalogue!H50*SQRT((1+'Paramètres'!$B$4*(C933-1)+'Paramètres'!$B$5*(C933-1)^2)),0)</x:f>
        <x:v>0</x:v>
      </x:c>
      <x:c r="I933" s="28" t="n">
        <x:v>2</x:v>
      </x:c>
      <x:c r="J933" s="28" t="n">
        <x:v>6</x:v>
      </x:c>
      <x:c r="K933" s="30" t="n">
        <x:v>1.8</x:v>
      </x:c>
      <x:c r="L933" s="54" t="n">
        <x:f>IF(M933=0,0,(E933+F933)/2)</x:f>
        <x:v>23</x:v>
      </x:c>
      <x:c r="M933" t="n">
        <x:v>2</x:v>
      </x:c>
      <x:c r="N933" t="n">
        <x:v>8</x:v>
      </x:c>
      <x:c r="O933" t="n">
        <x:v>14</x:v>
      </x:c>
      <x:c r="P933" s="63" t="str">
        <x:f>IF(M933=0,"—",M933&amp;"d"&amp;N933&amp;IF(O933=0,""," + "&amp;O933))</x:f>
        <x:v>2d8 + 14</x:v>
      </x:c>
      <x:c r="Q933" t="n">
        <x:f>ROUND(INDEX(Catalogue!E$4:E$85,MATCH(A933,Catalogue!A$4:A$85,0))*(1+'Paramètres'!$B$4*(C933-1)+'Paramètres'!$B$5*(C933-1)^2),0)</x:f>
        <x:v>16</x:v>
      </x:c>
      <x:c r="R933" t="n">
        <x:f>ROUND(INDEX(Catalogue!F$4:F$85,MATCH(A933,Catalogue!A$4:A$85,0))*(1+'Paramètres'!$B$4*(C933-1)+'Paramètres'!$B$5*(C933-1)^2),0)</x:f>
        <x:v>30</x:v>
      </x:c>
      <x:c r="S933" t="n">
        <x:f>L933-AVERAGE(Q933:R933)</x:f>
        <x:v>0</x:v>
      </x:c>
      <x:c r="T933" t="str">
        <x:f>IF(M933=0,IF(AND(N933=0,O933=0,E933=0,F933=0),"OK","ERREUR"),IF(AND(M933&gt;=1,M933&lt;=32,OR(N933=4,N933=6,N933=8,N933=10,N933=12,N933=20),O933&gt;=0,E933=M933+O933,F933=M933*N933+O933),"OK","ERREUR"))</x:f>
        <x:v>OK</x:v>
      </x:c>
      <x:c r="U933" s="86" t="n">
        <x:f>IF(M933&gt;0,M933*(N933+1)/2+O933,0)</x:f>
        <x:v>23</x:v>
      </x:c>
      <x:c r="V933" t="str">
        <x:f>IF(ABS(L933-U933)&lt;0.001,"OK","ERREUR")</x:f>
        <x:v>OK</x:v>
      </x:c>
    </x:row>
    <x:row r="934" ht="18" customHeight="1">
      <x:c r="A934" t="str">
        <x:v>ARM047</x:v>
      </x:c>
      <x:c r="B934" t="str">
        <x:v>Arc composite</x:v>
      </x:c>
      <x:c r="C934" t="n">
        <x:v>11</x:v>
      </x:c>
      <x:c r="D934" t="str">
        <x:v>Distance</x:v>
      </x:c>
      <x:c r="E934" s="28" t="n">
        <x:f>IF(M934=0,0,M934+O934)</x:f>
        <x:v>19</x:v>
      </x:c>
      <x:c r="F934" s="28" t="n">
        <x:f>IF(M934=0,0,M934*N934+O934)</x:f>
        <x:v>33</x:v>
      </x:c>
      <x:c r="G934" s="28" t="n">
        <x:f>ROUND(Catalogue!G50*SQRT((1+'Paramètres'!$B$4*(C934-1)+'Paramètres'!$B$5*(C934-1)^2)),0)</x:f>
        <x:v>0</x:v>
      </x:c>
      <x:c r="H934" s="28" t="n">
        <x:f>ROUND(Catalogue!H50*SQRT((1+'Paramètres'!$B$4*(C934-1)+'Paramètres'!$B$5*(C934-1)^2)),0)</x:f>
        <x:v>0</x:v>
      </x:c>
      <x:c r="I934" s="28" t="n">
        <x:v>2</x:v>
      </x:c>
      <x:c r="J934" s="28" t="n">
        <x:v>6</x:v>
      </x:c>
      <x:c r="K934" s="30" t="n">
        <x:v>1.8</x:v>
      </x:c>
      <x:c r="L934" s="54" t="n">
        <x:f>IF(M934=0,0,(E934+F934)/2)</x:f>
        <x:v>26</x:v>
      </x:c>
      <x:c r="M934" t="n">
        <x:v>2</x:v>
      </x:c>
      <x:c r="N934" t="n">
        <x:v>8</x:v>
      </x:c>
      <x:c r="O934" t="n">
        <x:v>17</x:v>
      </x:c>
      <x:c r="P934" s="63" t="str">
        <x:f>IF(M934=0,"—",M934&amp;"d"&amp;N934&amp;IF(O934=0,""," + "&amp;O934))</x:f>
        <x:v>2d8 + 17</x:v>
      </x:c>
      <x:c r="Q934" t="n">
        <x:f>ROUND(INDEX(Catalogue!E$4:E$85,MATCH(A934,Catalogue!A$4:A$85,0))*(1+'Paramètres'!$B$4*(C934-1)+'Paramètres'!$B$5*(C934-1)^2),0)</x:f>
        <x:v>19</x:v>
      </x:c>
      <x:c r="R934" t="n">
        <x:f>ROUND(INDEX(Catalogue!F$4:F$85,MATCH(A934,Catalogue!A$4:A$85,0))*(1+'Paramètres'!$B$4*(C934-1)+'Paramètres'!$B$5*(C934-1)^2),0)</x:f>
        <x:v>33</x:v>
      </x:c>
      <x:c r="S934" t="n">
        <x:f>L934-AVERAGE(Q934:R934)</x:f>
        <x:v>0</x:v>
      </x:c>
      <x:c r="T934" t="str">
        <x:f>IF(M934=0,IF(AND(N934=0,O934=0,E934=0,F934=0),"OK","ERREUR"),IF(AND(M934&gt;=1,M934&lt;=32,OR(N934=4,N934=6,N934=8,N934=10,N934=12,N934=20),O934&gt;=0,E934=M934+O934,F934=M934*N934+O934),"OK","ERREUR"))</x:f>
        <x:v>OK</x:v>
      </x:c>
      <x:c r="U934" s="86" t="n">
        <x:f>IF(M934&gt;0,M934*(N934+1)/2+O934,0)</x:f>
        <x:v>26</x:v>
      </x:c>
      <x:c r="V934" t="str">
        <x:f>IF(ABS(L934-U934)&lt;0.001,"OK","ERREUR")</x:f>
        <x:v>OK</x:v>
      </x:c>
    </x:row>
    <x:row r="935" ht="18" customHeight="1">
      <x:c r="A935" t="str">
        <x:v>ARM047</x:v>
      </x:c>
      <x:c r="B935" t="str">
        <x:v>Arc composite</x:v>
      </x:c>
      <x:c r="C935" t="n">
        <x:v>12</x:v>
      </x:c>
      <x:c r="D935" t="str">
        <x:v>Distance</x:v>
      </x:c>
      <x:c r="E935" s="28" t="n">
        <x:f>IF(M935=0,0,M935+O935)</x:f>
        <x:v>21</x:v>
      </x:c>
      <x:c r="F935" s="28" t="n">
        <x:f>IF(M935=0,0,M935*N935+O935)</x:f>
        <x:v>36</x:v>
      </x:c>
      <x:c r="G935" s="28" t="n">
        <x:f>ROUND(Catalogue!G50*SQRT((1+'Paramètres'!$B$4*(C935-1)+'Paramètres'!$B$5*(C935-1)^2)),0)</x:f>
        <x:v>0</x:v>
      </x:c>
      <x:c r="H935" s="28" t="n">
        <x:f>ROUND(Catalogue!H50*SQRT((1+'Paramètres'!$B$4*(C935-1)+'Paramètres'!$B$5*(C935-1)^2)),0)</x:f>
        <x:v>0</x:v>
      </x:c>
      <x:c r="I935" s="28" t="n">
        <x:v>2</x:v>
      </x:c>
      <x:c r="J935" s="28" t="n">
        <x:v>6</x:v>
      </x:c>
      <x:c r="K935" s="30" t="n">
        <x:v>1.8</x:v>
      </x:c>
      <x:c r="L935" s="54" t="n">
        <x:f>IF(M935=0,0,(E935+F935)/2)</x:f>
        <x:v>28.5</x:v>
      </x:c>
      <x:c r="M935" t="n">
        <x:v>3</x:v>
      </x:c>
      <x:c r="N935" t="n">
        <x:v>6</x:v>
      </x:c>
      <x:c r="O935" t="n">
        <x:v>18</x:v>
      </x:c>
      <x:c r="P935" s="63" t="str">
        <x:f>IF(M935=0,"—",M935&amp;"d"&amp;N935&amp;IF(O935=0,""," + "&amp;O935))</x:f>
        <x:v>3d6 + 18</x:v>
      </x:c>
      <x:c r="Q935" t="n">
        <x:f>ROUND(INDEX(Catalogue!E$4:E$85,MATCH(A935,Catalogue!A$4:A$85,0))*(1+'Paramètres'!$B$4*(C935-1)+'Paramètres'!$B$5*(C935-1)^2),0)</x:f>
        <x:v>21</x:v>
      </x:c>
      <x:c r="R935" t="n">
        <x:f>ROUND(INDEX(Catalogue!F$4:F$85,MATCH(A935,Catalogue!A$4:A$85,0))*(1+'Paramètres'!$B$4*(C935-1)+'Paramètres'!$B$5*(C935-1)^2),0)</x:f>
        <x:v>37</x:v>
      </x:c>
      <x:c r="S935" t="n">
        <x:f>L935-AVERAGE(Q935:R935)</x:f>
        <x:v>-0.5</x:v>
      </x:c>
      <x:c r="T935" t="str">
        <x:f>IF(M935=0,IF(AND(N935=0,O935=0,E935=0,F935=0),"OK","ERREUR"),IF(AND(M935&gt;=1,M935&lt;=32,OR(N935=4,N935=6,N935=8,N935=10,N935=12,N935=20),O935&gt;=0,E935=M935+O935,F935=M935*N935+O935),"OK","ERREUR"))</x:f>
        <x:v>OK</x:v>
      </x:c>
      <x:c r="U935" s="86" t="n">
        <x:f>IF(M935&gt;0,M935*(N935+1)/2+O935,0)</x:f>
        <x:v>28.5</x:v>
      </x:c>
      <x:c r="V935" t="str">
        <x:f>IF(ABS(L935-U935)&lt;0.001,"OK","ERREUR")</x:f>
        <x:v>OK</x:v>
      </x:c>
    </x:row>
    <x:row r="936" ht="18" customHeight="1">
      <x:c r="A936" t="str">
        <x:v>ARM047</x:v>
      </x:c>
      <x:c r="B936" t="str">
        <x:v>Arc composite</x:v>
      </x:c>
      <x:c r="C936" t="n">
        <x:v>13</x:v>
      </x:c>
      <x:c r="D936" t="str">
        <x:v>Distance</x:v>
      </x:c>
      <x:c r="E936" s="28" t="n">
        <x:f>IF(M936=0,0,M936+O936)</x:f>
        <x:v>23</x:v>
      </x:c>
      <x:c r="F936" s="28" t="n">
        <x:f>IF(M936=0,0,M936*N936+O936)</x:f>
        <x:v>41</x:v>
      </x:c>
      <x:c r="G936" s="28" t="n">
        <x:f>ROUND(Catalogue!G50*SQRT((1+'Paramètres'!$B$4*(C936-1)+'Paramètres'!$B$5*(C936-1)^2)),0)</x:f>
        <x:v>0</x:v>
      </x:c>
      <x:c r="H936" s="28" t="n">
        <x:f>ROUND(Catalogue!H50*SQRT((1+'Paramètres'!$B$4*(C936-1)+'Paramètres'!$B$5*(C936-1)^2)),0)</x:f>
        <x:v>0</x:v>
      </x:c>
      <x:c r="I936" s="28" t="n">
        <x:v>2</x:v>
      </x:c>
      <x:c r="J936" s="28" t="n">
        <x:v>6</x:v>
      </x:c>
      <x:c r="K936" s="30" t="n">
        <x:v>1.8</x:v>
      </x:c>
      <x:c r="L936" s="54" t="n">
        <x:f>IF(M936=0,0,(E936+F936)/2)</x:f>
        <x:v>32</x:v>
      </x:c>
      <x:c r="M936" t="n">
        <x:v>2</x:v>
      </x:c>
      <x:c r="N936" t="n">
        <x:v>10</x:v>
      </x:c>
      <x:c r="O936" t="n">
        <x:v>21</x:v>
      </x:c>
      <x:c r="P936" s="63" t="str">
        <x:f>IF(M936=0,"—",M936&amp;"d"&amp;N936&amp;IF(O936=0,""," + "&amp;O936))</x:f>
        <x:v>2d10 + 21</x:v>
      </x:c>
      <x:c r="Q936" t="n">
        <x:f>ROUND(INDEX(Catalogue!E$4:E$85,MATCH(A936,Catalogue!A$4:A$85,0))*(1+'Paramètres'!$B$4*(C936-1)+'Paramètres'!$B$5*(C936-1)^2),0)</x:f>
        <x:v>23</x:v>
      </x:c>
      <x:c r="R936" t="n">
        <x:f>ROUND(INDEX(Catalogue!F$4:F$85,MATCH(A936,Catalogue!A$4:A$85,0))*(1+'Paramètres'!$B$4*(C936-1)+'Paramètres'!$B$5*(C936-1)^2),0)</x:f>
        <x:v>42</x:v>
      </x:c>
      <x:c r="S936" t="n">
        <x:f>L936-AVERAGE(Q936:R936)</x:f>
        <x:v>-0.5</x:v>
      </x:c>
      <x:c r="T936" t="str">
        <x:f>IF(M936=0,IF(AND(N936=0,O936=0,E936=0,F936=0),"OK","ERREUR"),IF(AND(M936&gt;=1,M936&lt;=32,OR(N936=4,N936=6,N936=8,N936=10,N936=12,N936=20),O936&gt;=0,E936=M936+O936,F936=M936*N936+O936),"OK","ERREUR"))</x:f>
        <x:v>OK</x:v>
      </x:c>
      <x:c r="U936" s="86" t="n">
        <x:f>IF(M936&gt;0,M936*(N936+1)/2+O936,0)</x:f>
        <x:v>32</x:v>
      </x:c>
      <x:c r="V936" t="str">
        <x:f>IF(ABS(L936-U936)&lt;0.001,"OK","ERREUR")</x:f>
        <x:v>OK</x:v>
      </x:c>
    </x:row>
    <x:row r="937" ht="18" customHeight="1">
      <x:c r="A937" t="str">
        <x:v>ARM047</x:v>
      </x:c>
      <x:c r="B937" t="str">
        <x:v>Arc composite</x:v>
      </x:c>
      <x:c r="C937" t="n">
        <x:v>14</x:v>
      </x:c>
      <x:c r="D937" t="str">
        <x:v>Distance</x:v>
      </x:c>
      <x:c r="E937" s="28" t="n">
        <x:f>IF(M937=0,0,M937+O937)</x:f>
        <x:v>26</x:v>
      </x:c>
      <x:c r="F937" s="28" t="n">
        <x:f>IF(M937=0,0,M937*N937+O937)</x:f>
        <x:v>46</x:v>
      </x:c>
      <x:c r="G937" s="28" t="n">
        <x:f>ROUND(Catalogue!G50*SQRT((1+'Paramètres'!$B$4*(C937-1)+'Paramètres'!$B$5*(C937-1)^2)),0)</x:f>
        <x:v>0</x:v>
      </x:c>
      <x:c r="H937" s="28" t="n">
        <x:f>ROUND(Catalogue!H50*SQRT((1+'Paramètres'!$B$4*(C937-1)+'Paramètres'!$B$5*(C937-1)^2)),0)</x:f>
        <x:v>0</x:v>
      </x:c>
      <x:c r="I937" s="28" t="n">
        <x:v>2</x:v>
      </x:c>
      <x:c r="J937" s="28" t="n">
        <x:v>6</x:v>
      </x:c>
      <x:c r="K937" s="30" t="n">
        <x:v>1.8</x:v>
      </x:c>
      <x:c r="L937" s="54" t="n">
        <x:f>IF(M937=0,0,(E937+F937)/2)</x:f>
        <x:v>36</x:v>
      </x:c>
      <x:c r="M937" t="n">
        <x:v>4</x:v>
      </x:c>
      <x:c r="N937" t="n">
        <x:v>6</x:v>
      </x:c>
      <x:c r="O937" t="n">
        <x:v>22</x:v>
      </x:c>
      <x:c r="P937" s="63" t="str">
        <x:f>IF(M937=0,"—",M937&amp;"d"&amp;N937&amp;IF(O937=0,""," + "&amp;O937))</x:f>
        <x:v>4d6 + 22</x:v>
      </x:c>
      <x:c r="Q937" t="n">
        <x:f>ROUND(INDEX(Catalogue!E$4:E$85,MATCH(A937,Catalogue!A$4:A$85,0))*(1+'Paramètres'!$B$4*(C937-1)+'Paramètres'!$B$5*(C937-1)^2),0)</x:f>
        <x:v>26</x:v>
      </x:c>
      <x:c r="R937" t="n">
        <x:f>ROUND(INDEX(Catalogue!F$4:F$85,MATCH(A937,Catalogue!A$4:A$85,0))*(1+'Paramètres'!$B$4*(C937-1)+'Paramètres'!$B$5*(C937-1)^2),0)</x:f>
        <x:v>46</x:v>
      </x:c>
      <x:c r="S937" t="n">
        <x:f>L937-AVERAGE(Q937:R937)</x:f>
        <x:v>0</x:v>
      </x:c>
      <x:c r="T937" t="str">
        <x:f>IF(M937=0,IF(AND(N937=0,O937=0,E937=0,F937=0),"OK","ERREUR"),IF(AND(M937&gt;=1,M937&lt;=32,OR(N937=4,N937=6,N937=8,N937=10,N937=12,N937=20),O937&gt;=0,E937=M937+O937,F937=M937*N937+O937),"OK","ERREUR"))</x:f>
        <x:v>OK</x:v>
      </x:c>
      <x:c r="U937" s="86" t="n">
        <x:f>IF(M937&gt;0,M937*(N937+1)/2+O937,0)</x:f>
        <x:v>36</x:v>
      </x:c>
      <x:c r="V937" t="str">
        <x:f>IF(ABS(L937-U937)&lt;0.001,"OK","ERREUR")</x:f>
        <x:v>OK</x:v>
      </x:c>
    </x:row>
    <x:row r="938" ht="18" customHeight="1">
      <x:c r="A938" t="str">
        <x:v>ARM047</x:v>
      </x:c>
      <x:c r="B938" t="str">
        <x:v>Arc composite</x:v>
      </x:c>
      <x:c r="C938" t="n">
        <x:v>15</x:v>
      </x:c>
      <x:c r="D938" t="str">
        <x:v>Distance</x:v>
      </x:c>
      <x:c r="E938" s="28" t="n">
        <x:f>IF(M938=0,0,M938+O938)</x:f>
        <x:v>28</x:v>
      </x:c>
      <x:c r="F938" s="28" t="n">
        <x:f>IF(M938=0,0,M938*N938+O938)</x:f>
        <x:v>50</x:v>
      </x:c>
      <x:c r="G938" s="28" t="n">
        <x:f>ROUND(Catalogue!G50*SQRT((1+'Paramètres'!$B$4*(C938-1)+'Paramètres'!$B$5*(C938-1)^2)),0)</x:f>
        <x:v>0</x:v>
      </x:c>
      <x:c r="H938" s="28" t="n">
        <x:f>ROUND(Catalogue!H50*SQRT((1+'Paramètres'!$B$4*(C938-1)+'Paramètres'!$B$5*(C938-1)^2)),0)</x:f>
        <x:v>0</x:v>
      </x:c>
      <x:c r="I938" s="28" t="n">
        <x:v>2</x:v>
      </x:c>
      <x:c r="J938" s="28" t="n">
        <x:v>6</x:v>
      </x:c>
      <x:c r="K938" s="30" t="n">
        <x:v>1.8</x:v>
      </x:c>
      <x:c r="L938" s="54" t="n">
        <x:f>IF(M938=0,0,(E938+F938)/2)</x:f>
        <x:v>39</x:v>
      </x:c>
      <x:c r="M938" t="n">
        <x:v>2</x:v>
      </x:c>
      <x:c r="N938" t="n">
        <x:v>12</x:v>
      </x:c>
      <x:c r="O938" t="n">
        <x:v>26</x:v>
      </x:c>
      <x:c r="P938" s="63" t="str">
        <x:f>IF(M938=0,"—",M938&amp;"d"&amp;N938&amp;IF(O938=0,""," + "&amp;O938))</x:f>
        <x:v>2d12 + 26</x:v>
      </x:c>
      <x:c r="Q938" t="n">
        <x:f>ROUND(INDEX(Catalogue!E$4:E$85,MATCH(A938,Catalogue!A$4:A$85,0))*(1+'Paramètres'!$B$4*(C938-1)+'Paramètres'!$B$5*(C938-1)^2),0)</x:f>
        <x:v>28</x:v>
      </x:c>
      <x:c r="R938" t="n">
        <x:f>ROUND(INDEX(Catalogue!F$4:F$85,MATCH(A938,Catalogue!A$4:A$85,0))*(1+'Paramètres'!$B$4*(C938-1)+'Paramètres'!$B$5*(C938-1)^2),0)</x:f>
        <x:v>51</x:v>
      </x:c>
      <x:c r="S938" t="n">
        <x:f>L938-AVERAGE(Q938:R938)</x:f>
        <x:v>-0.5</x:v>
      </x:c>
      <x:c r="T938" t="str">
        <x:f>IF(M938=0,IF(AND(N938=0,O938=0,E938=0,F938=0),"OK","ERREUR"),IF(AND(M938&gt;=1,M938&lt;=32,OR(N938=4,N938=6,N938=8,N938=10,N938=12,N938=20),O938&gt;=0,E938=M938+O938,F938=M938*N938+O938),"OK","ERREUR"))</x:f>
        <x:v>OK</x:v>
      </x:c>
      <x:c r="U938" s="86" t="n">
        <x:f>IF(M938&gt;0,M938*(N938+1)/2+O938,0)</x:f>
        <x:v>39</x:v>
      </x:c>
      <x:c r="V938" t="str">
        <x:f>IF(ABS(L938-U938)&lt;0.001,"OK","ERREUR")</x:f>
        <x:v>OK</x:v>
      </x:c>
    </x:row>
    <x:row r="939" ht="18" customHeight="1">
      <x:c r="A939" t="str">
        <x:v>ARM047</x:v>
      </x:c>
      <x:c r="B939" t="str">
        <x:v>Arc composite</x:v>
      </x:c>
      <x:c r="C939" t="n">
        <x:v>16</x:v>
      </x:c>
      <x:c r="D939" t="str">
        <x:v>Distance</x:v>
      </x:c>
      <x:c r="E939" s="28" t="n">
        <x:f>IF(M939=0,0,M939+O939)</x:f>
        <x:v>31</x:v>
      </x:c>
      <x:c r="F939" s="28" t="n">
        <x:f>IF(M939=0,0,M939*N939+O939)</x:f>
        <x:v>56</x:v>
      </x:c>
      <x:c r="G939" s="28" t="n">
        <x:f>ROUND(Catalogue!G50*SQRT((1+'Paramètres'!$B$4*(C939-1)+'Paramètres'!$B$5*(C939-1)^2)),0)</x:f>
        <x:v>0</x:v>
      </x:c>
      <x:c r="H939" s="28" t="n">
        <x:f>ROUND(Catalogue!H50*SQRT((1+'Paramètres'!$B$4*(C939-1)+'Paramètres'!$B$5*(C939-1)^2)),0)</x:f>
        <x:v>0</x:v>
      </x:c>
      <x:c r="I939" s="28" t="n">
        <x:v>2</x:v>
      </x:c>
      <x:c r="J939" s="28" t="n">
        <x:v>6</x:v>
      </x:c>
      <x:c r="K939" s="30" t="n">
        <x:v>1.8</x:v>
      </x:c>
      <x:c r="L939" s="54" t="n">
        <x:f>IF(M939=0,0,(E939+F939)/2)</x:f>
        <x:v>43.5</x:v>
      </x:c>
      <x:c r="M939" t="n">
        <x:v>5</x:v>
      </x:c>
      <x:c r="N939" t="n">
        <x:v>6</x:v>
      </x:c>
      <x:c r="O939" t="n">
        <x:v>26</x:v>
      </x:c>
      <x:c r="P939" s="63" t="str">
        <x:f>IF(M939=0,"—",M939&amp;"d"&amp;N939&amp;IF(O939=0,""," + "&amp;O939))</x:f>
        <x:v>5d6 + 26</x:v>
      </x:c>
      <x:c r="Q939" t="n">
        <x:f>ROUND(INDEX(Catalogue!E$4:E$85,MATCH(A939,Catalogue!A$4:A$85,0))*(1+'Paramètres'!$B$4*(C939-1)+'Paramètres'!$B$5*(C939-1)^2),0)</x:f>
        <x:v>31</x:v>
      </x:c>
      <x:c r="R939" t="n">
        <x:f>ROUND(INDEX(Catalogue!F$4:F$85,MATCH(A939,Catalogue!A$4:A$85,0))*(1+'Paramètres'!$B$4*(C939-1)+'Paramètres'!$B$5*(C939-1)^2),0)</x:f>
        <x:v>56</x:v>
      </x:c>
      <x:c r="S939" t="n">
        <x:f>L939-AVERAGE(Q939:R939)</x:f>
        <x:v>0</x:v>
      </x:c>
      <x:c r="T939" t="str">
        <x:f>IF(M939=0,IF(AND(N939=0,O939=0,E939=0,F939=0),"OK","ERREUR"),IF(AND(M939&gt;=1,M939&lt;=32,OR(N939=4,N939=6,N939=8,N939=10,N939=12,N939=20),O939&gt;=0,E939=M939+O939,F939=M939*N939+O939),"OK","ERREUR"))</x:f>
        <x:v>OK</x:v>
      </x:c>
      <x:c r="U939" s="86" t="n">
        <x:f>IF(M939&gt;0,M939*(N939+1)/2+O939,0)</x:f>
        <x:v>43.5</x:v>
      </x:c>
      <x:c r="V939" t="str">
        <x:f>IF(ABS(L939-U939)&lt;0.001,"OK","ERREUR")</x:f>
        <x:v>OK</x:v>
      </x:c>
    </x:row>
    <x:row r="940" ht="18" customHeight="1">
      <x:c r="A940" t="str">
        <x:v>ARM047</x:v>
      </x:c>
      <x:c r="B940" t="str">
        <x:v>Arc composite</x:v>
      </x:c>
      <x:c r="C940" t="n">
        <x:v>17</x:v>
      </x:c>
      <x:c r="D940" t="str">
        <x:v>Distance</x:v>
      </x:c>
      <x:c r="E940" s="28" t="n">
        <x:f>IF(M940=0,0,M940+O940)</x:f>
        <x:v>34</x:v>
      </x:c>
      <x:c r="F940" s="28" t="n">
        <x:f>IF(M940=0,0,M940*N940+O940)</x:f>
        <x:v>62</x:v>
      </x:c>
      <x:c r="G940" s="28" t="n">
        <x:f>ROUND(Catalogue!G50*SQRT((1+'Paramètres'!$B$4*(C940-1)+'Paramètres'!$B$5*(C940-1)^2)),0)</x:f>
        <x:v>0</x:v>
      </x:c>
      <x:c r="H940" s="28" t="n">
        <x:f>ROUND(Catalogue!H50*SQRT((1+'Paramètres'!$B$4*(C940-1)+'Paramètres'!$B$5*(C940-1)^2)),0)</x:f>
        <x:v>0</x:v>
      </x:c>
      <x:c r="I940" s="28" t="n">
        <x:v>2</x:v>
      </x:c>
      <x:c r="J940" s="28" t="n">
        <x:v>6</x:v>
      </x:c>
      <x:c r="K940" s="30" t="n">
        <x:v>1.8</x:v>
      </x:c>
      <x:c r="L940" s="54" t="n">
        <x:f>IF(M940=0,0,(E940+F940)/2)</x:f>
        <x:v>48</x:v>
      </x:c>
      <x:c r="M940" t="n">
        <x:v>4</x:v>
      </x:c>
      <x:c r="N940" t="n">
        <x:v>8</x:v>
      </x:c>
      <x:c r="O940" t="n">
        <x:v>30</x:v>
      </x:c>
      <x:c r="P940" s="63" t="str">
        <x:f>IF(M940=0,"—",M940&amp;"d"&amp;N940&amp;IF(O940=0,""," + "&amp;O940))</x:f>
        <x:v>4d8 + 30</x:v>
      </x:c>
      <x:c r="Q940" t="n">
        <x:f>ROUND(INDEX(Catalogue!E$4:E$85,MATCH(A940,Catalogue!A$4:A$85,0))*(1+'Paramètres'!$B$4*(C940-1)+'Paramètres'!$B$5*(C940-1)^2),0)</x:f>
        <x:v>34</x:v>
      </x:c>
      <x:c r="R940" t="n">
        <x:f>ROUND(INDEX(Catalogue!F$4:F$85,MATCH(A940,Catalogue!A$4:A$85,0))*(1+'Paramètres'!$B$4*(C940-1)+'Paramètres'!$B$5*(C940-1)^2),0)</x:f>
        <x:v>62</x:v>
      </x:c>
      <x:c r="S940" t="n">
        <x:f>L940-AVERAGE(Q940:R940)</x:f>
        <x:v>0</x:v>
      </x:c>
      <x:c r="T940" t="str">
        <x:f>IF(M940=0,IF(AND(N940=0,O940=0,E940=0,F940=0),"OK","ERREUR"),IF(AND(M940&gt;=1,M940&lt;=32,OR(N940=4,N940=6,N940=8,N940=10,N940=12,N940=20),O940&gt;=0,E940=M940+O940,F940=M940*N940+O940),"OK","ERREUR"))</x:f>
        <x:v>OK</x:v>
      </x:c>
      <x:c r="U940" s="86" t="n">
        <x:f>IF(M940&gt;0,M940*(N940+1)/2+O940,0)</x:f>
        <x:v>48</x:v>
      </x:c>
      <x:c r="V940" t="str">
        <x:f>IF(ABS(L940-U940)&lt;0.001,"OK","ERREUR")</x:f>
        <x:v>OK</x:v>
      </x:c>
    </x:row>
    <x:row r="941" ht="18" customHeight="1">
      <x:c r="A941" t="str">
        <x:v>ARM047</x:v>
      </x:c>
      <x:c r="B941" t="str">
        <x:v>Arc composite</x:v>
      </x:c>
      <x:c r="C941" t="n">
        <x:v>18</x:v>
      </x:c>
      <x:c r="D941" t="str">
        <x:v>Distance</x:v>
      </x:c>
      <x:c r="E941" s="28" t="n">
        <x:f>IF(M941=0,0,M941+O941)</x:f>
        <x:v>37</x:v>
      </x:c>
      <x:c r="F941" s="28" t="n">
        <x:f>IF(M941=0,0,M941*N941+O941)</x:f>
        <x:v>67</x:v>
      </x:c>
      <x:c r="G941" s="28" t="n">
        <x:f>ROUND(Catalogue!G50*SQRT((1+'Paramètres'!$B$4*(C941-1)+'Paramètres'!$B$5*(C941-1)^2)),0)</x:f>
        <x:v>0</x:v>
      </x:c>
      <x:c r="H941" s="28" t="n">
        <x:f>ROUND(Catalogue!H50*SQRT((1+'Paramètres'!$B$4*(C941-1)+'Paramètres'!$B$5*(C941-1)^2)),0)</x:f>
        <x:v>0</x:v>
      </x:c>
      <x:c r="I941" s="28" t="n">
        <x:v>2</x:v>
      </x:c>
      <x:c r="J941" s="28" t="n">
        <x:v>6</x:v>
      </x:c>
      <x:c r="K941" s="30" t="n">
        <x:v>1.8</x:v>
      </x:c>
      <x:c r="L941" s="54" t="n">
        <x:f>IF(M941=0,0,(E941+F941)/2)</x:f>
        <x:v>52</x:v>
      </x:c>
      <x:c r="M941" t="n">
        <x:v>6</x:v>
      </x:c>
      <x:c r="N941" t="n">
        <x:v>6</x:v>
      </x:c>
      <x:c r="O941" t="n">
        <x:v>31</x:v>
      </x:c>
      <x:c r="P941" s="63" t="str">
        <x:f>IF(M941=0,"—",M941&amp;"d"&amp;N941&amp;IF(O941=0,""," + "&amp;O941))</x:f>
        <x:v>6d6 + 31</x:v>
      </x:c>
      <x:c r="Q941" t="n">
        <x:f>ROUND(INDEX(Catalogue!E$4:E$85,MATCH(A941,Catalogue!A$4:A$85,0))*(1+'Paramètres'!$B$4*(C941-1)+'Paramètres'!$B$5*(C941-1)^2),0)</x:f>
        <x:v>37</x:v>
      </x:c>
      <x:c r="R941" t="n">
        <x:f>ROUND(INDEX(Catalogue!F$4:F$85,MATCH(A941,Catalogue!A$4:A$85,0))*(1+'Paramètres'!$B$4*(C941-1)+'Paramètres'!$B$5*(C941-1)^2),0)</x:f>
        <x:v>67</x:v>
      </x:c>
      <x:c r="S941" t="n">
        <x:f>L941-AVERAGE(Q941:R941)</x:f>
        <x:v>0</x:v>
      </x:c>
      <x:c r="T941" t="str">
        <x:f>IF(M941=0,IF(AND(N941=0,O941=0,E941=0,F941=0),"OK","ERREUR"),IF(AND(M941&gt;=1,M941&lt;=32,OR(N941=4,N941=6,N941=8,N941=10,N941=12,N941=20),O941&gt;=0,E941=M941+O941,F941=M941*N941+O941),"OK","ERREUR"))</x:f>
        <x:v>OK</x:v>
      </x:c>
      <x:c r="U941" s="86" t="n">
        <x:f>IF(M941&gt;0,M941*(N941+1)/2+O941,0)</x:f>
        <x:v>52</x:v>
      </x:c>
      <x:c r="V941" t="str">
        <x:f>IF(ABS(L941-U941)&lt;0.001,"OK","ERREUR")</x:f>
        <x:v>OK</x:v>
      </x:c>
    </x:row>
    <x:row r="942" ht="18" customHeight="1">
      <x:c r="A942" t="str">
        <x:v>ARM047</x:v>
      </x:c>
      <x:c r="B942" t="str">
        <x:v>Arc composite</x:v>
      </x:c>
      <x:c r="C942" t="n">
        <x:v>19</x:v>
      </x:c>
      <x:c r="D942" t="str">
        <x:v>Distance</x:v>
      </x:c>
      <x:c r="E942" s="28" t="n">
        <x:f>IF(M942=0,0,M942+O942)</x:f>
        <x:v>40</x:v>
      </x:c>
      <x:c r="F942" s="28" t="n">
        <x:f>IF(M942=0,0,M942*N942+O942)</x:f>
        <x:v>73</x:v>
      </x:c>
      <x:c r="G942" s="28" t="n">
        <x:f>ROUND(Catalogue!G50*SQRT((1+'Paramètres'!$B$4*(C942-1)+'Paramètres'!$B$5*(C942-1)^2)),0)</x:f>
        <x:v>0</x:v>
      </x:c>
      <x:c r="H942" s="28" t="n">
        <x:f>ROUND(Catalogue!H50*SQRT((1+'Paramètres'!$B$4*(C942-1)+'Paramètres'!$B$5*(C942-1)^2)),0)</x:f>
        <x:v>0</x:v>
      </x:c>
      <x:c r="I942" s="28" t="n">
        <x:v>2</x:v>
      </x:c>
      <x:c r="J942" s="28" t="n">
        <x:v>6</x:v>
      </x:c>
      <x:c r="K942" s="30" t="n">
        <x:v>1.8</x:v>
      </x:c>
      <x:c r="L942" s="54" t="n">
        <x:f>IF(M942=0,0,(E942+F942)/2)</x:f>
        <x:v>56.5</x:v>
      </x:c>
      <x:c r="M942" t="n">
        <x:v>3</x:v>
      </x:c>
      <x:c r="N942" t="n">
        <x:v>12</x:v>
      </x:c>
      <x:c r="O942" t="n">
        <x:v>37</x:v>
      </x:c>
      <x:c r="P942" s="63" t="str">
        <x:f>IF(M942=0,"—",M942&amp;"d"&amp;N942&amp;IF(O942=0,""," + "&amp;O942))</x:f>
        <x:v>3d12 + 37</x:v>
      </x:c>
      <x:c r="Q942" t="n">
        <x:f>ROUND(INDEX(Catalogue!E$4:E$85,MATCH(A942,Catalogue!A$4:A$85,0))*(1+'Paramètres'!$B$4*(C942-1)+'Paramètres'!$B$5*(C942-1)^2),0)</x:f>
        <x:v>41</x:v>
      </x:c>
      <x:c r="R942" t="n">
        <x:f>ROUND(INDEX(Catalogue!F$4:F$85,MATCH(A942,Catalogue!A$4:A$85,0))*(1+'Paramètres'!$B$4*(C942-1)+'Paramètres'!$B$5*(C942-1)^2),0)</x:f>
        <x:v>73</x:v>
      </x:c>
      <x:c r="S942" t="n">
        <x:f>L942-AVERAGE(Q942:R942)</x:f>
        <x:v>-0.5</x:v>
      </x:c>
      <x:c r="T942" t="str">
        <x:f>IF(M942=0,IF(AND(N942=0,O942=0,E942=0,F942=0),"OK","ERREUR"),IF(AND(M942&gt;=1,M942&lt;=32,OR(N942=4,N942=6,N942=8,N942=10,N942=12,N942=20),O942&gt;=0,E942=M942+O942,F942=M942*N942+O942),"OK","ERREUR"))</x:f>
        <x:v>OK</x:v>
      </x:c>
      <x:c r="U942" s="86" t="n">
        <x:f>IF(M942&gt;0,M942*(N942+1)/2+O942,0)</x:f>
        <x:v>56.5</x:v>
      </x:c>
      <x:c r="V942" t="str">
        <x:f>IF(ABS(L942-U942)&lt;0.001,"OK","ERREUR")</x:f>
        <x:v>OK</x:v>
      </x:c>
    </x:row>
    <x:row r="943" ht="18" customHeight="1">
      <x:c r="A943" t="str">
        <x:v>ARM047</x:v>
      </x:c>
      <x:c r="B943" t="str">
        <x:v>Arc composite</x:v>
      </x:c>
      <x:c r="C943" t="n">
        <x:v>20</x:v>
      </x:c>
      <x:c r="D943" t="str">
        <x:v>Distance</x:v>
      </x:c>
      <x:c r="E943" s="28" t="n">
        <x:f>IF(M943=0,0,M943+O943)</x:f>
        <x:v>44</x:v>
      </x:c>
      <x:c r="F943" s="28" t="n">
        <x:f>IF(M943=0,0,M943*N943+O943)</x:f>
        <x:v>80</x:v>
      </x:c>
      <x:c r="G943" s="28" t="n">
        <x:f>ROUND(Catalogue!G50*SQRT((1+'Paramètres'!$B$4*(C943-1)+'Paramètres'!$B$5*(C943-1)^2)),0)</x:f>
        <x:v>0</x:v>
      </x:c>
      <x:c r="H943" s="28" t="n">
        <x:f>ROUND(Catalogue!H50*SQRT((1+'Paramètres'!$B$4*(C943-1)+'Paramètres'!$B$5*(C943-1)^2)),0)</x:f>
        <x:v>0</x:v>
      </x:c>
      <x:c r="I943" s="28" t="n">
        <x:v>2</x:v>
      </x:c>
      <x:c r="J943" s="28" t="n">
        <x:v>6</x:v>
      </x:c>
      <x:c r="K943" s="30" t="n">
        <x:v>1.8</x:v>
      </x:c>
      <x:c r="L943" s="54" t="n">
        <x:f>IF(M943=0,0,(E943+F943)/2)</x:f>
        <x:v>62</x:v>
      </x:c>
      <x:c r="M943" t="n">
        <x:v>4</x:v>
      </x:c>
      <x:c r="N943" t="n">
        <x:v>10</x:v>
      </x:c>
      <x:c r="O943" t="n">
        <x:v>40</x:v>
      </x:c>
      <x:c r="P943" s="63" t="str">
        <x:f>IF(M943=0,"—",M943&amp;"d"&amp;N943&amp;IF(O943=0,""," + "&amp;O943))</x:f>
        <x:v>4d10 + 40</x:v>
      </x:c>
      <x:c r="Q943" t="n">
        <x:f>ROUND(INDEX(Catalogue!E$4:E$85,MATCH(A943,Catalogue!A$4:A$85,0))*(1+'Paramètres'!$B$4*(C943-1)+'Paramètres'!$B$5*(C943-1)^2),0)</x:f>
        <x:v>44</x:v>
      </x:c>
      <x:c r="R943" t="n">
        <x:f>ROUND(INDEX(Catalogue!F$4:F$85,MATCH(A943,Catalogue!A$4:A$85,0))*(1+'Paramètres'!$B$4*(C943-1)+'Paramètres'!$B$5*(C943-1)^2),0)</x:f>
        <x:v>80</x:v>
      </x:c>
      <x:c r="S943" t="n">
        <x:f>L943-AVERAGE(Q943:R943)</x:f>
        <x:v>0</x:v>
      </x:c>
      <x:c r="T943" t="str">
        <x:f>IF(M943=0,IF(AND(N943=0,O943=0,E943=0,F943=0),"OK","ERREUR"),IF(AND(M943&gt;=1,M943&lt;=32,OR(N943=4,N943=6,N943=8,N943=10,N943=12,N943=20),O943&gt;=0,E943=M943+O943,F943=M943*N943+O943),"OK","ERREUR"))</x:f>
        <x:v>OK</x:v>
      </x:c>
      <x:c r="U943" s="86" t="n">
        <x:f>IF(M943&gt;0,M943*(N943+1)/2+O943,0)</x:f>
        <x:v>62</x:v>
      </x:c>
      <x:c r="V943" t="str">
        <x:f>IF(ABS(L943-U943)&lt;0.001,"OK","ERREUR")</x:f>
        <x:v>OK</x:v>
      </x:c>
    </x:row>
    <x:row r="944" ht="18" customHeight="1">
      <x:c r="A944" t="str">
        <x:v>ARM048</x:v>
      </x:c>
      <x:c r="B944" t="str">
        <x:v>Arc recourbé</x:v>
      </x:c>
      <x:c r="C944" t="n">
        <x:v>1</x:v>
      </x:c>
      <x:c r="D944" t="str">
        <x:v>Distance</x:v>
      </x:c>
      <x:c r="E944" s="28" t="n">
        <x:f>IF(M944=0,0,M944+O944)</x:f>
        <x:v>4</x:v>
      </x:c>
      <x:c r="F944" s="28" t="n">
        <x:f>IF(M944=0,0,M944*N944+O944)</x:f>
        <x:v>7</x:v>
      </x:c>
      <x:c r="G944" s="28" t="n">
        <x:f>ROUND(Catalogue!G51*SQRT((1+'Paramètres'!$B$4*(C944-1)+'Paramètres'!$B$5*(C944-1)^2)),0)</x:f>
        <x:v>0</x:v>
      </x:c>
      <x:c r="H944" s="28" t="n">
        <x:f>ROUND(Catalogue!H51*SQRT((1+'Paramètres'!$B$4*(C944-1)+'Paramètres'!$B$5*(C944-1)^2)),0)</x:f>
        <x:v>0</x:v>
      </x:c>
      <x:c r="I944" s="28" t="n">
        <x:v>2</x:v>
      </x:c>
      <x:c r="J944" s="28" t="n">
        <x:v>5</x:v>
      </x:c>
      <x:c r="K944" s="30" t="n">
        <x:v>1.4</x:v>
      </x:c>
      <x:c r="L944" s="54" t="n">
        <x:f>IF(M944=0,0,(E944+F944)/2)</x:f>
        <x:v>5.5</x:v>
      </x:c>
      <x:c r="M944" t="n">
        <x:v>1</x:v>
      </x:c>
      <x:c r="N944" t="n">
        <x:v>4</x:v>
      </x:c>
      <x:c r="O944" t="n">
        <x:v>3</x:v>
      </x:c>
      <x:c r="P944" s="63" t="str">
        <x:f>IF(M944=0,"—",M944&amp;"d"&amp;N944&amp;IF(O944=0,""," + "&amp;O944))</x:f>
        <x:v>1d4 + 3</x:v>
      </x:c>
      <x:c r="Q944" t="n">
        <x:f>ROUND(INDEX(Catalogue!E$4:E$85,MATCH(A944,Catalogue!A$4:A$85,0))*(1+'Paramètres'!$B$4*(C944-1)+'Paramètres'!$B$5*(C944-1)^2),0)</x:f>
        <x:v>4</x:v>
      </x:c>
      <x:c r="R944" t="n">
        <x:f>ROUND(INDEX(Catalogue!F$4:F$85,MATCH(A944,Catalogue!A$4:A$85,0))*(1+'Paramètres'!$B$4*(C944-1)+'Paramètres'!$B$5*(C944-1)^2),0)</x:f>
        <x:v>8</x:v>
      </x:c>
      <x:c r="S944" t="n">
        <x:f>L944-AVERAGE(Q944:R944)</x:f>
        <x:v>-0.5</x:v>
      </x:c>
      <x:c r="T944" t="str">
        <x:f>IF(M944=0,IF(AND(N944=0,O944=0,E944=0,F944=0),"OK","ERREUR"),IF(AND(M944&gt;=1,M944&lt;=32,OR(N944=4,N944=6,N944=8,N944=10,N944=12,N944=20),O944&gt;=0,E944=M944+O944,F944=M944*N944+O944),"OK","ERREUR"))</x:f>
        <x:v>OK</x:v>
      </x:c>
      <x:c r="U944" s="86" t="n">
        <x:f>IF(M944&gt;0,M944*(N944+1)/2+O944,0)</x:f>
        <x:v>5.5</x:v>
      </x:c>
      <x:c r="V944" t="str">
        <x:f>IF(ABS(L944-U944)&lt;0.001,"OK","ERREUR")</x:f>
        <x:v>OK</x:v>
      </x:c>
    </x:row>
    <x:row r="945" ht="18" customHeight="1">
      <x:c r="A945" t="str">
        <x:v>ARM048</x:v>
      </x:c>
      <x:c r="B945" t="str">
        <x:v>Arc recourbé</x:v>
      </x:c>
      <x:c r="C945" t="n">
        <x:v>2</x:v>
      </x:c>
      <x:c r="D945" t="str">
        <x:v>Distance</x:v>
      </x:c>
      <x:c r="E945" s="28" t="n">
        <x:f>IF(M945=0,0,M945+O945)</x:f>
        <x:v>5</x:v>
      </x:c>
      <x:c r="F945" s="28" t="n">
        <x:f>IF(M945=0,0,M945*N945+O945)</x:f>
        <x:v>8</x:v>
      </x:c>
      <x:c r="G945" s="28" t="n">
        <x:f>ROUND(Catalogue!G51*SQRT((1+'Paramètres'!$B$4*(C945-1)+'Paramètres'!$B$5*(C945-1)^2)),0)</x:f>
        <x:v>0</x:v>
      </x:c>
      <x:c r="H945" s="28" t="n">
        <x:f>ROUND(Catalogue!H51*SQRT((1+'Paramètres'!$B$4*(C945-1)+'Paramètres'!$B$5*(C945-1)^2)),0)</x:f>
        <x:v>0</x:v>
      </x:c>
      <x:c r="I945" s="28" t="n">
        <x:v>2</x:v>
      </x:c>
      <x:c r="J945" s="28" t="n">
        <x:v>5</x:v>
      </x:c>
      <x:c r="K945" s="30" t="n">
        <x:v>1.4</x:v>
      </x:c>
      <x:c r="L945" s="54" t="n">
        <x:f>IF(M945=0,0,(E945+F945)/2)</x:f>
        <x:v>6.5</x:v>
      </x:c>
      <x:c r="M945" t="n">
        <x:v>1</x:v>
      </x:c>
      <x:c r="N945" t="n">
        <x:v>4</x:v>
      </x:c>
      <x:c r="O945" t="n">
        <x:v>4</x:v>
      </x:c>
      <x:c r="P945" s="63" t="str">
        <x:f>IF(M945=0,"—",M945&amp;"d"&amp;N945&amp;IF(O945=0,""," + "&amp;O945))</x:f>
        <x:v>1d4 + 4</x:v>
      </x:c>
      <x:c r="Q945" t="n">
        <x:f>ROUND(INDEX(Catalogue!E$4:E$85,MATCH(A945,Catalogue!A$4:A$85,0))*(1+'Paramètres'!$B$4*(C945-1)+'Paramètres'!$B$5*(C945-1)^2),0)</x:f>
        <x:v>5</x:v>
      </x:c>
      <x:c r="R945" t="n">
        <x:f>ROUND(INDEX(Catalogue!F$4:F$85,MATCH(A945,Catalogue!A$4:A$85,0))*(1+'Paramètres'!$B$4*(C945-1)+'Paramètres'!$B$5*(C945-1)^2),0)</x:f>
        <x:v>9</x:v>
      </x:c>
      <x:c r="S945" t="n">
        <x:f>L945-AVERAGE(Q945:R945)</x:f>
        <x:v>-0.5</x:v>
      </x:c>
      <x:c r="T945" t="str">
        <x:f>IF(M945=0,IF(AND(N945=0,O945=0,E945=0,F945=0),"OK","ERREUR"),IF(AND(M945&gt;=1,M945&lt;=32,OR(N945=4,N945=6,N945=8,N945=10,N945=12,N945=20),O945&gt;=0,E945=M945+O945,F945=M945*N945+O945),"OK","ERREUR"))</x:f>
        <x:v>OK</x:v>
      </x:c>
      <x:c r="U945" s="86" t="n">
        <x:f>IF(M945&gt;0,M945*(N945+1)/2+O945,0)</x:f>
        <x:v>6.5</x:v>
      </x:c>
      <x:c r="V945" t="str">
        <x:f>IF(ABS(L945-U945)&lt;0.001,"OK","ERREUR")</x:f>
        <x:v>OK</x:v>
      </x:c>
    </x:row>
    <x:row r="946" ht="18" customHeight="1">
      <x:c r="A946" t="str">
        <x:v>ARM048</x:v>
      </x:c>
      <x:c r="B946" t="str">
        <x:v>Arc recourbé</x:v>
      </x:c>
      <x:c r="C946" t="n">
        <x:v>3</x:v>
      </x:c>
      <x:c r="D946" t="str">
        <x:v>Distance</x:v>
      </x:c>
      <x:c r="E946" s="28" t="n">
        <x:f>IF(M946=0,0,M946+O946)</x:f>
        <x:v>5</x:v>
      </x:c>
      <x:c r="F946" s="28" t="n">
        <x:f>IF(M946=0,0,M946*N946+O946)</x:f>
        <x:v>10</x:v>
      </x:c>
      <x:c r="G946" s="28" t="n">
        <x:f>ROUND(Catalogue!G51*SQRT((1+'Paramètres'!$B$4*(C946-1)+'Paramètres'!$B$5*(C946-1)^2)),0)</x:f>
        <x:v>0</x:v>
      </x:c>
      <x:c r="H946" s="28" t="n">
        <x:f>ROUND(Catalogue!H51*SQRT((1+'Paramètres'!$B$4*(C946-1)+'Paramètres'!$B$5*(C946-1)^2)),0)</x:f>
        <x:v>0</x:v>
      </x:c>
      <x:c r="I946" s="28" t="n">
        <x:v>2</x:v>
      </x:c>
      <x:c r="J946" s="28" t="n">
        <x:v>5</x:v>
      </x:c>
      <x:c r="K946" s="30" t="n">
        <x:v>1.4</x:v>
      </x:c>
      <x:c r="L946" s="54" t="n">
        <x:f>IF(M946=0,0,(E946+F946)/2)</x:f>
        <x:v>7.5</x:v>
      </x:c>
      <x:c r="M946" t="n">
        <x:v>1</x:v>
      </x:c>
      <x:c r="N946" t="n">
        <x:v>6</x:v>
      </x:c>
      <x:c r="O946" t="n">
        <x:v>4</x:v>
      </x:c>
      <x:c r="P946" s="63" t="str">
        <x:f>IF(M946=0,"—",M946&amp;"d"&amp;N946&amp;IF(O946=0,""," + "&amp;O946))</x:f>
        <x:v>1d6 + 4</x:v>
      </x:c>
      <x:c r="Q946" t="n">
        <x:f>ROUND(INDEX(Catalogue!E$4:E$85,MATCH(A946,Catalogue!A$4:A$85,0))*(1+'Paramètres'!$B$4*(C946-1)+'Paramètres'!$B$5*(C946-1)^2),0)</x:f>
        <x:v>5</x:v>
      </x:c>
      <x:c r="R946" t="n">
        <x:f>ROUND(INDEX(Catalogue!F$4:F$85,MATCH(A946,Catalogue!A$4:A$85,0))*(1+'Paramètres'!$B$4*(C946-1)+'Paramètres'!$B$5*(C946-1)^2),0)</x:f>
        <x:v>10</x:v>
      </x:c>
      <x:c r="S946" t="n">
        <x:f>L946-AVERAGE(Q946:R946)</x:f>
        <x:v>0</x:v>
      </x:c>
      <x:c r="T946" t="str">
        <x:f>IF(M946=0,IF(AND(N946=0,O946=0,E946=0,F946=0),"OK","ERREUR"),IF(AND(M946&gt;=1,M946&lt;=32,OR(N946=4,N946=6,N946=8,N946=10,N946=12,N946=20),O946&gt;=0,E946=M946+O946,F946=M946*N946+O946),"OK","ERREUR"))</x:f>
        <x:v>OK</x:v>
      </x:c>
      <x:c r="U946" s="86" t="n">
        <x:f>IF(M946&gt;0,M946*(N946+1)/2+O946,0)</x:f>
        <x:v>7.5</x:v>
      </x:c>
      <x:c r="V946" t="str">
        <x:f>IF(ABS(L946-U946)&lt;0.001,"OK","ERREUR")</x:f>
        <x:v>OK</x:v>
      </x:c>
    </x:row>
    <x:row r="947" ht="18" customHeight="1">
      <x:c r="A947" t="str">
        <x:v>ARM048</x:v>
      </x:c>
      <x:c r="B947" t="str">
        <x:v>Arc recourbé</x:v>
      </x:c>
      <x:c r="C947" t="n">
        <x:v>4</x:v>
      </x:c>
      <x:c r="D947" t="str">
        <x:v>Distance</x:v>
      </x:c>
      <x:c r="E947" s="28" t="n">
        <x:f>IF(M947=0,0,M947+O947)</x:f>
        <x:v>6</x:v>
      </x:c>
      <x:c r="F947" s="28" t="n">
        <x:f>IF(M947=0,0,M947*N947+O947)</x:f>
        <x:v>12</x:v>
      </x:c>
      <x:c r="G947" s="28" t="n">
        <x:f>ROUND(Catalogue!G51*SQRT((1+'Paramètres'!$B$4*(C947-1)+'Paramètres'!$B$5*(C947-1)^2)),0)</x:f>
        <x:v>0</x:v>
      </x:c>
      <x:c r="H947" s="28" t="n">
        <x:f>ROUND(Catalogue!H51*SQRT((1+'Paramètres'!$B$4*(C947-1)+'Paramètres'!$B$5*(C947-1)^2)),0)</x:f>
        <x:v>0</x:v>
      </x:c>
      <x:c r="I947" s="28" t="n">
        <x:v>2</x:v>
      </x:c>
      <x:c r="J947" s="28" t="n">
        <x:v>5</x:v>
      </x:c>
      <x:c r="K947" s="30" t="n">
        <x:v>1.4</x:v>
      </x:c>
      <x:c r="L947" s="54" t="n">
        <x:f>IF(M947=0,0,(E947+F947)/2)</x:f>
        <x:v>9</x:v>
      </x:c>
      <x:c r="M947" t="n">
        <x:v>2</x:v>
      </x:c>
      <x:c r="N947" t="n">
        <x:v>4</x:v>
      </x:c>
      <x:c r="O947" t="n">
        <x:v>4</x:v>
      </x:c>
      <x:c r="P947" s="63" t="str">
        <x:f>IF(M947=0,"—",M947&amp;"d"&amp;N947&amp;IF(O947=0,""," + "&amp;O947))</x:f>
        <x:v>2d4 + 4</x:v>
      </x:c>
      <x:c r="Q947" t="n">
        <x:f>ROUND(INDEX(Catalogue!E$4:E$85,MATCH(A947,Catalogue!A$4:A$85,0))*(1+'Paramètres'!$B$4*(C947-1)+'Paramètres'!$B$5*(C947-1)^2),0)</x:f>
        <x:v>6</x:v>
      </x:c>
      <x:c r="R947" t="n">
        <x:f>ROUND(INDEX(Catalogue!F$4:F$85,MATCH(A947,Catalogue!A$4:A$85,0))*(1+'Paramètres'!$B$4*(C947-1)+'Paramètres'!$B$5*(C947-1)^2),0)</x:f>
        <x:v>12</x:v>
      </x:c>
      <x:c r="S947" t="n">
        <x:f>L947-AVERAGE(Q947:R947)</x:f>
        <x:v>0</x:v>
      </x:c>
      <x:c r="T947" t="str">
        <x:f>IF(M947=0,IF(AND(N947=0,O947=0,E947=0,F947=0),"OK","ERREUR"),IF(AND(M947&gt;=1,M947&lt;=32,OR(N947=4,N947=6,N947=8,N947=10,N947=12,N947=20),O947&gt;=0,E947=M947+O947,F947=M947*N947+O947),"OK","ERREUR"))</x:f>
        <x:v>OK</x:v>
      </x:c>
      <x:c r="U947" s="86" t="n">
        <x:f>IF(M947&gt;0,M947*(N947+1)/2+O947,0)</x:f>
        <x:v>9</x:v>
      </x:c>
      <x:c r="V947" t="str">
        <x:f>IF(ABS(L947-U947)&lt;0.001,"OK","ERREUR")</x:f>
        <x:v>OK</x:v>
      </x:c>
    </x:row>
    <x:row r="948" ht="18" customHeight="1">
      <x:c r="A948" t="str">
        <x:v>ARM048</x:v>
      </x:c>
      <x:c r="B948" t="str">
        <x:v>Arc recourbé</x:v>
      </x:c>
      <x:c r="C948" t="n">
        <x:v>5</x:v>
      </x:c>
      <x:c r="D948" t="str">
        <x:v>Distance</x:v>
      </x:c>
      <x:c r="E948" s="28" t="n">
        <x:f>IF(M948=0,0,M948+O948)</x:f>
        <x:v>7</x:v>
      </x:c>
      <x:c r="F948" s="28" t="n">
        <x:f>IF(M948=0,0,M948*N948+O948)</x:f>
        <x:v>14</x:v>
      </x:c>
      <x:c r="G948" s="28" t="n">
        <x:f>ROUND(Catalogue!G51*SQRT((1+'Paramètres'!$B$4*(C948-1)+'Paramètres'!$B$5*(C948-1)^2)),0)</x:f>
        <x:v>0</x:v>
      </x:c>
      <x:c r="H948" s="28" t="n">
        <x:f>ROUND(Catalogue!H51*SQRT((1+'Paramètres'!$B$4*(C948-1)+'Paramètres'!$B$5*(C948-1)^2)),0)</x:f>
        <x:v>0</x:v>
      </x:c>
      <x:c r="I948" s="28" t="n">
        <x:v>2</x:v>
      </x:c>
      <x:c r="J948" s="28" t="n">
        <x:v>5</x:v>
      </x:c>
      <x:c r="K948" s="30" t="n">
        <x:v>1.4</x:v>
      </x:c>
      <x:c r="L948" s="54" t="n">
        <x:f>IF(M948=0,0,(E948+F948)/2)</x:f>
        <x:v>10.5</x:v>
      </x:c>
      <x:c r="M948" t="n">
        <x:v>1</x:v>
      </x:c>
      <x:c r="N948" t="n">
        <x:v>8</x:v>
      </x:c>
      <x:c r="O948" t="n">
        <x:v>6</x:v>
      </x:c>
      <x:c r="P948" s="63" t="str">
        <x:f>IF(M948=0,"—",M948&amp;"d"&amp;N948&amp;IF(O948=0,""," + "&amp;O948))</x:f>
        <x:v>1d8 + 6</x:v>
      </x:c>
      <x:c r="Q948" t="n">
        <x:f>ROUND(INDEX(Catalogue!E$4:E$85,MATCH(A948,Catalogue!A$4:A$85,0))*(1+'Paramètres'!$B$4*(C948-1)+'Paramètres'!$B$5*(C948-1)^2),0)</x:f>
        <x:v>7</x:v>
      </x:c>
      <x:c r="R948" t="n">
        <x:f>ROUND(INDEX(Catalogue!F$4:F$85,MATCH(A948,Catalogue!A$4:A$85,0))*(1+'Paramètres'!$B$4*(C948-1)+'Paramètres'!$B$5*(C948-1)^2),0)</x:f>
        <x:v>14</x:v>
      </x:c>
      <x:c r="S948" t="n">
        <x:f>L948-AVERAGE(Q948:R948)</x:f>
        <x:v>0</x:v>
      </x:c>
      <x:c r="T948" t="str">
        <x:f>IF(M948=0,IF(AND(N948=0,O948=0,E948=0,F948=0),"OK","ERREUR"),IF(AND(M948&gt;=1,M948&lt;=32,OR(N948=4,N948=6,N948=8,N948=10,N948=12,N948=20),O948&gt;=0,E948=M948+O948,F948=M948*N948+O948),"OK","ERREUR"))</x:f>
        <x:v>OK</x:v>
      </x:c>
      <x:c r="U948" s="86" t="n">
        <x:f>IF(M948&gt;0,M948*(N948+1)/2+O948,0)</x:f>
        <x:v>10.5</x:v>
      </x:c>
      <x:c r="V948" t="str">
        <x:f>IF(ABS(L948-U948)&lt;0.001,"OK","ERREUR")</x:f>
        <x:v>OK</x:v>
      </x:c>
    </x:row>
    <x:row r="949" ht="18" customHeight="1">
      <x:c r="A949" t="str">
        <x:v>ARM048</x:v>
      </x:c>
      <x:c r="B949" t="str">
        <x:v>Arc recourbé</x:v>
      </x:c>
      <x:c r="C949" t="n">
        <x:v>6</x:v>
      </x:c>
      <x:c r="D949" t="str">
        <x:v>Distance</x:v>
      </x:c>
      <x:c r="E949" s="28" t="n">
        <x:f>IF(M949=0,0,M949+O949)</x:f>
        <x:v>9</x:v>
      </x:c>
      <x:c r="F949" s="28" t="n">
        <x:f>IF(M949=0,0,M949*N949+O949)</x:f>
        <x:v>16</x:v>
      </x:c>
      <x:c r="G949" s="28" t="n">
        <x:f>ROUND(Catalogue!G51*SQRT((1+'Paramètres'!$B$4*(C949-1)+'Paramètres'!$B$5*(C949-1)^2)),0)</x:f>
        <x:v>0</x:v>
      </x:c>
      <x:c r="H949" s="28" t="n">
        <x:f>ROUND(Catalogue!H51*SQRT((1+'Paramètres'!$B$4*(C949-1)+'Paramètres'!$B$5*(C949-1)^2)),0)</x:f>
        <x:v>0</x:v>
      </x:c>
      <x:c r="I949" s="28" t="n">
        <x:v>2</x:v>
      </x:c>
      <x:c r="J949" s="28" t="n">
        <x:v>5</x:v>
      </x:c>
      <x:c r="K949" s="30" t="n">
        <x:v>1.4</x:v>
      </x:c>
      <x:c r="L949" s="54" t="n">
        <x:f>IF(M949=0,0,(E949+F949)/2)</x:f>
        <x:v>12.5</x:v>
      </x:c>
      <x:c r="M949" t="n">
        <x:v>1</x:v>
      </x:c>
      <x:c r="N949" t="n">
        <x:v>8</x:v>
      </x:c>
      <x:c r="O949" t="n">
        <x:v>8</x:v>
      </x:c>
      <x:c r="P949" s="63" t="str">
        <x:f>IF(M949=0,"—",M949&amp;"d"&amp;N949&amp;IF(O949=0,""," + "&amp;O949))</x:f>
        <x:v>1d8 + 8</x:v>
      </x:c>
      <x:c r="Q949" t="n">
        <x:f>ROUND(INDEX(Catalogue!E$4:E$85,MATCH(A949,Catalogue!A$4:A$85,0))*(1+'Paramètres'!$B$4*(C949-1)+'Paramètres'!$B$5*(C949-1)^2),0)</x:f>
        <x:v>8</x:v>
      </x:c>
      <x:c r="R949" t="n">
        <x:f>ROUND(INDEX(Catalogue!F$4:F$85,MATCH(A949,Catalogue!A$4:A$85,0))*(1+'Paramètres'!$B$4*(C949-1)+'Paramètres'!$B$5*(C949-1)^2),0)</x:f>
        <x:v>16</x:v>
      </x:c>
      <x:c r="S949" t="n">
        <x:f>L949-AVERAGE(Q949:R949)</x:f>
        <x:v>0.5</x:v>
      </x:c>
      <x:c r="T949" t="str">
        <x:f>IF(M949=0,IF(AND(N949=0,O949=0,E949=0,F949=0),"OK","ERREUR"),IF(AND(M949&gt;=1,M949&lt;=32,OR(N949=4,N949=6,N949=8,N949=10,N949=12,N949=20),O949&gt;=0,E949=M949+O949,F949=M949*N949+O949),"OK","ERREUR"))</x:f>
        <x:v>OK</x:v>
      </x:c>
      <x:c r="U949" s="86" t="n">
        <x:f>IF(M949&gt;0,M949*(N949+1)/2+O949,0)</x:f>
        <x:v>12.5</x:v>
      </x:c>
      <x:c r="V949" t="str">
        <x:f>IF(ABS(L949-U949)&lt;0.001,"OK","ERREUR")</x:f>
        <x:v>OK</x:v>
      </x:c>
    </x:row>
    <x:row r="950" ht="18" customHeight="1">
      <x:c r="A950" t="str">
        <x:v>ARM048</x:v>
      </x:c>
      <x:c r="B950" t="str">
        <x:v>Arc recourbé</x:v>
      </x:c>
      <x:c r="C950" t="n">
        <x:v>7</x:v>
      </x:c>
      <x:c r="D950" t="str">
        <x:v>Distance</x:v>
      </x:c>
      <x:c r="E950" s="28" t="n">
        <x:f>IF(M950=0,0,M950+O950)</x:f>
        <x:v>9</x:v>
      </x:c>
      <x:c r="F950" s="28" t="n">
        <x:f>IF(M950=0,0,M950*N950+O950)</x:f>
        <x:v>18</x:v>
      </x:c>
      <x:c r="G950" s="28" t="n">
        <x:f>ROUND(Catalogue!G51*SQRT((1+'Paramètres'!$B$4*(C950-1)+'Paramètres'!$B$5*(C950-1)^2)),0)</x:f>
        <x:v>0</x:v>
      </x:c>
      <x:c r="H950" s="28" t="n">
        <x:f>ROUND(Catalogue!H51*SQRT((1+'Paramètres'!$B$4*(C950-1)+'Paramètres'!$B$5*(C950-1)^2)),0)</x:f>
        <x:v>0</x:v>
      </x:c>
      <x:c r="I950" s="28" t="n">
        <x:v>2</x:v>
      </x:c>
      <x:c r="J950" s="28" t="n">
        <x:v>5</x:v>
      </x:c>
      <x:c r="K950" s="30" t="n">
        <x:v>1.4</x:v>
      </x:c>
      <x:c r="L950" s="54" t="n">
        <x:f>IF(M950=0,0,(E950+F950)/2)</x:f>
        <x:v>13.5</x:v>
      </x:c>
      <x:c r="M950" t="n">
        <x:v>1</x:v>
      </x:c>
      <x:c r="N950" t="n">
        <x:v>10</x:v>
      </x:c>
      <x:c r="O950" t="n">
        <x:v>8</x:v>
      </x:c>
      <x:c r="P950" s="63" t="str">
        <x:f>IF(M950=0,"—",M950&amp;"d"&amp;N950&amp;IF(O950=0,""," + "&amp;O950))</x:f>
        <x:v>1d10 + 8</x:v>
      </x:c>
      <x:c r="Q950" t="n">
        <x:f>ROUND(INDEX(Catalogue!E$4:E$85,MATCH(A950,Catalogue!A$4:A$85,0))*(1+'Paramètres'!$B$4*(C950-1)+'Paramètres'!$B$5*(C950-1)^2),0)</x:f>
        <x:v>9</x:v>
      </x:c>
      <x:c r="R950" t="n">
        <x:f>ROUND(INDEX(Catalogue!F$4:F$85,MATCH(A950,Catalogue!A$4:A$85,0))*(1+'Paramètres'!$B$4*(C950-1)+'Paramètres'!$B$5*(C950-1)^2),0)</x:f>
        <x:v>18</x:v>
      </x:c>
      <x:c r="S950" t="n">
        <x:f>L950-AVERAGE(Q950:R950)</x:f>
        <x:v>0</x:v>
      </x:c>
      <x:c r="T950" t="str">
        <x:f>IF(M950=0,IF(AND(N950=0,O950=0,E950=0,F950=0),"OK","ERREUR"),IF(AND(M950&gt;=1,M950&lt;=32,OR(N950=4,N950=6,N950=8,N950=10,N950=12,N950=20),O950&gt;=0,E950=M950+O950,F950=M950*N950+O950),"OK","ERREUR"))</x:f>
        <x:v>OK</x:v>
      </x:c>
      <x:c r="U950" s="86" t="n">
        <x:f>IF(M950&gt;0,M950*(N950+1)/2+O950,0)</x:f>
        <x:v>13.5</x:v>
      </x:c>
      <x:c r="V950" t="str">
        <x:f>IF(ABS(L950-U950)&lt;0.001,"OK","ERREUR")</x:f>
        <x:v>OK</x:v>
      </x:c>
    </x:row>
    <x:row r="951" ht="18" customHeight="1">
      <x:c r="A951" t="str">
        <x:v>ARM048</x:v>
      </x:c>
      <x:c r="B951" t="str">
        <x:v>Arc recourbé</x:v>
      </x:c>
      <x:c r="C951" t="n">
        <x:v>8</x:v>
      </x:c>
      <x:c r="D951" t="str">
        <x:v>Distance</x:v>
      </x:c>
      <x:c r="E951" s="28" t="n">
        <x:f>IF(M951=0,0,M951+O951)</x:f>
        <x:v>10</x:v>
      </x:c>
      <x:c r="F951" s="28" t="n">
        <x:f>IF(M951=0,0,M951*N951+O951)</x:f>
        <x:v>20</x:v>
      </x:c>
      <x:c r="G951" s="28" t="n">
        <x:f>ROUND(Catalogue!G51*SQRT((1+'Paramètres'!$B$4*(C951-1)+'Paramètres'!$B$5*(C951-1)^2)),0)</x:f>
        <x:v>0</x:v>
      </x:c>
      <x:c r="H951" s="28" t="n">
        <x:f>ROUND(Catalogue!H51*SQRT((1+'Paramètres'!$B$4*(C951-1)+'Paramètres'!$B$5*(C951-1)^2)),0)</x:f>
        <x:v>0</x:v>
      </x:c>
      <x:c r="I951" s="28" t="n">
        <x:v>2</x:v>
      </x:c>
      <x:c r="J951" s="28" t="n">
        <x:v>5</x:v>
      </x:c>
      <x:c r="K951" s="30" t="n">
        <x:v>1.4</x:v>
      </x:c>
      <x:c r="L951" s="54" t="n">
        <x:f>IF(M951=0,0,(E951+F951)/2)</x:f>
        <x:v>15</x:v>
      </x:c>
      <x:c r="M951" t="n">
        <x:v>2</x:v>
      </x:c>
      <x:c r="N951" t="n">
        <x:v>6</x:v>
      </x:c>
      <x:c r="O951" t="n">
        <x:v>8</x:v>
      </x:c>
      <x:c r="P951" s="63" t="str">
        <x:f>IF(M951=0,"—",M951&amp;"d"&amp;N951&amp;IF(O951=0,""," + "&amp;O951))</x:f>
        <x:v>2d6 + 8</x:v>
      </x:c>
      <x:c r="Q951" t="n">
        <x:f>ROUND(INDEX(Catalogue!E$4:E$85,MATCH(A951,Catalogue!A$4:A$85,0))*(1+'Paramètres'!$B$4*(C951-1)+'Paramètres'!$B$5*(C951-1)^2),0)</x:f>
        <x:v>10</x:v>
      </x:c>
      <x:c r="R951" t="n">
        <x:f>ROUND(INDEX(Catalogue!F$4:F$85,MATCH(A951,Catalogue!A$4:A$85,0))*(1+'Paramètres'!$B$4*(C951-1)+'Paramètres'!$B$5*(C951-1)^2),0)</x:f>
        <x:v>20</x:v>
      </x:c>
      <x:c r="S951" t="n">
        <x:f>L951-AVERAGE(Q951:R951)</x:f>
        <x:v>0</x:v>
      </x:c>
      <x:c r="T951" t="str">
        <x:f>IF(M951=0,IF(AND(N951=0,O951=0,E951=0,F951=0),"OK","ERREUR"),IF(AND(M951&gt;=1,M951&lt;=32,OR(N951=4,N951=6,N951=8,N951=10,N951=12,N951=20),O951&gt;=0,E951=M951+O951,F951=M951*N951+O951),"OK","ERREUR"))</x:f>
        <x:v>OK</x:v>
      </x:c>
      <x:c r="U951" s="86" t="n">
        <x:f>IF(M951&gt;0,M951*(N951+1)/2+O951,0)</x:f>
        <x:v>15</x:v>
      </x:c>
      <x:c r="V951" t="str">
        <x:f>IF(ABS(L951-U951)&lt;0.001,"OK","ERREUR")</x:f>
        <x:v>OK</x:v>
      </x:c>
    </x:row>
    <x:row r="952" ht="18" customHeight="1">
      <x:c r="A952" t="str">
        <x:v>ARM048</x:v>
      </x:c>
      <x:c r="B952" t="str">
        <x:v>Arc recourbé</x:v>
      </x:c>
      <x:c r="C952" t="n">
        <x:v>9</x:v>
      </x:c>
      <x:c r="D952" t="str">
        <x:v>Distance</x:v>
      </x:c>
      <x:c r="E952" s="28" t="n">
        <x:f>IF(M952=0,0,M952+O952)</x:f>
        <x:v>12</x:v>
      </x:c>
      <x:c r="F952" s="28" t="n">
        <x:f>IF(M952=0,0,M952*N952+O952)</x:f>
        <x:v>23</x:v>
      </x:c>
      <x:c r="G952" s="28" t="n">
        <x:f>ROUND(Catalogue!G51*SQRT((1+'Paramètres'!$B$4*(C952-1)+'Paramètres'!$B$5*(C952-1)^2)),0)</x:f>
        <x:v>0</x:v>
      </x:c>
      <x:c r="H952" s="28" t="n">
        <x:f>ROUND(Catalogue!H51*SQRT((1+'Paramètres'!$B$4*(C952-1)+'Paramètres'!$B$5*(C952-1)^2)),0)</x:f>
        <x:v>0</x:v>
      </x:c>
      <x:c r="I952" s="28" t="n">
        <x:v>2</x:v>
      </x:c>
      <x:c r="J952" s="28" t="n">
        <x:v>5</x:v>
      </x:c>
      <x:c r="K952" s="30" t="n">
        <x:v>1.4</x:v>
      </x:c>
      <x:c r="L952" s="54" t="n">
        <x:f>IF(M952=0,0,(E952+F952)/2)</x:f>
        <x:v>17.5</x:v>
      </x:c>
      <x:c r="M952" t="n">
        <x:v>1</x:v>
      </x:c>
      <x:c r="N952" t="n">
        <x:v>12</x:v>
      </x:c>
      <x:c r="O952" t="n">
        <x:v>11</x:v>
      </x:c>
      <x:c r="P952" s="63" t="str">
        <x:f>IF(M952=0,"—",M952&amp;"d"&amp;N952&amp;IF(O952=0,""," + "&amp;O952))</x:f>
        <x:v>1d12 + 11</x:v>
      </x:c>
      <x:c r="Q952" t="n">
        <x:f>ROUND(INDEX(Catalogue!E$4:E$85,MATCH(A952,Catalogue!A$4:A$85,0))*(1+'Paramètres'!$B$4*(C952-1)+'Paramètres'!$B$5*(C952-1)^2),0)</x:f>
        <x:v>12</x:v>
      </x:c>
      <x:c r="R952" t="n">
        <x:f>ROUND(INDEX(Catalogue!F$4:F$85,MATCH(A952,Catalogue!A$4:A$85,0))*(1+'Paramètres'!$B$4*(C952-1)+'Paramètres'!$B$5*(C952-1)^2),0)</x:f>
        <x:v>23</x:v>
      </x:c>
      <x:c r="S952" t="n">
        <x:f>L952-AVERAGE(Q952:R952)</x:f>
        <x:v>0</x:v>
      </x:c>
      <x:c r="T952" t="str">
        <x:f>IF(M952=0,IF(AND(N952=0,O952=0,E952=0,F952=0),"OK","ERREUR"),IF(AND(M952&gt;=1,M952&lt;=32,OR(N952=4,N952=6,N952=8,N952=10,N952=12,N952=20),O952&gt;=0,E952=M952+O952,F952=M952*N952+O952),"OK","ERREUR"))</x:f>
        <x:v>OK</x:v>
      </x:c>
      <x:c r="U952" s="86" t="n">
        <x:f>IF(M952&gt;0,M952*(N952+1)/2+O952,0)</x:f>
        <x:v>17.5</x:v>
      </x:c>
      <x:c r="V952" t="str">
        <x:f>IF(ABS(L952-U952)&lt;0.001,"OK","ERREUR")</x:f>
        <x:v>OK</x:v>
      </x:c>
    </x:row>
    <x:row r="953" ht="18" customHeight="1">
      <x:c r="A953" t="str">
        <x:v>ARM048</x:v>
      </x:c>
      <x:c r="B953" t="str">
        <x:v>Arc recourbé</x:v>
      </x:c>
      <x:c r="C953" t="n">
        <x:v>10</x:v>
      </x:c>
      <x:c r="D953" t="str">
        <x:v>Distance</x:v>
      </x:c>
      <x:c r="E953" s="28" t="n">
        <x:f>IF(M953=0,0,M953+O953)</x:f>
        <x:v>12</x:v>
      </x:c>
      <x:c r="F953" s="28" t="n">
        <x:f>IF(M953=0,0,M953*N953+O953)</x:f>
        <x:v>26</x:v>
      </x:c>
      <x:c r="G953" s="28" t="n">
        <x:f>ROUND(Catalogue!G51*SQRT((1+'Paramètres'!$B$4*(C953-1)+'Paramètres'!$B$5*(C953-1)^2)),0)</x:f>
        <x:v>0</x:v>
      </x:c>
      <x:c r="H953" s="28" t="n">
        <x:f>ROUND(Catalogue!H51*SQRT((1+'Paramètres'!$B$4*(C953-1)+'Paramètres'!$B$5*(C953-1)^2)),0)</x:f>
        <x:v>0</x:v>
      </x:c>
      <x:c r="I953" s="28" t="n">
        <x:v>2</x:v>
      </x:c>
      <x:c r="J953" s="28" t="n">
        <x:v>5</x:v>
      </x:c>
      <x:c r="K953" s="30" t="n">
        <x:v>1.4</x:v>
      </x:c>
      <x:c r="L953" s="54" t="n">
        <x:f>IF(M953=0,0,(E953+F953)/2)</x:f>
        <x:v>19</x:v>
      </x:c>
      <x:c r="M953" t="n">
        <x:v>2</x:v>
      </x:c>
      <x:c r="N953" t="n">
        <x:v>8</x:v>
      </x:c>
      <x:c r="O953" t="n">
        <x:v>10</x:v>
      </x:c>
      <x:c r="P953" s="63" t="str">
        <x:f>IF(M953=0,"—",M953&amp;"d"&amp;N953&amp;IF(O953=0,""," + "&amp;O953))</x:f>
        <x:v>2d8 + 10</x:v>
      </x:c>
      <x:c r="Q953" t="n">
        <x:f>ROUND(INDEX(Catalogue!E$4:E$85,MATCH(A953,Catalogue!A$4:A$85,0))*(1+'Paramètres'!$B$4*(C953-1)+'Paramètres'!$B$5*(C953-1)^2),0)</x:f>
        <x:v>13</x:v>
      </x:c>
      <x:c r="R953" t="n">
        <x:f>ROUND(INDEX(Catalogue!F$4:F$85,MATCH(A953,Catalogue!A$4:A$85,0))*(1+'Paramètres'!$B$4*(C953-1)+'Paramètres'!$B$5*(C953-1)^2),0)</x:f>
        <x:v>26</x:v>
      </x:c>
      <x:c r="S953" t="n">
        <x:f>L953-AVERAGE(Q953:R953)</x:f>
        <x:v>-0.5</x:v>
      </x:c>
      <x:c r="T953" t="str">
        <x:f>IF(M953=0,IF(AND(N953=0,O953=0,E953=0,F953=0),"OK","ERREUR"),IF(AND(M953&gt;=1,M953&lt;=32,OR(N953=4,N953=6,N953=8,N953=10,N953=12,N953=20),O953&gt;=0,E953=M953+O953,F953=M953*N953+O953),"OK","ERREUR"))</x:f>
        <x:v>OK</x:v>
      </x:c>
      <x:c r="U953" s="86" t="n">
        <x:f>IF(M953&gt;0,M953*(N953+1)/2+O953,0)</x:f>
        <x:v>19</x:v>
      </x:c>
      <x:c r="V953" t="str">
        <x:f>IF(ABS(L953-U953)&lt;0.001,"OK","ERREUR")</x:f>
        <x:v>OK</x:v>
      </x:c>
    </x:row>
    <x:row r="954" ht="18" customHeight="1">
      <x:c r="A954" t="str">
        <x:v>ARM048</x:v>
      </x:c>
      <x:c r="B954" t="str">
        <x:v>Arc recourbé</x:v>
      </x:c>
      <x:c r="C954" t="n">
        <x:v>11</x:v>
      </x:c>
      <x:c r="D954" t="str">
        <x:v>Distance</x:v>
      </x:c>
      <x:c r="E954" s="28" t="n">
        <x:f>IF(M954=0,0,M954+O954)</x:f>
        <x:v>15</x:v>
      </x:c>
      <x:c r="F954" s="28" t="n">
        <x:f>IF(M954=0,0,M954*N954+O954)</x:f>
        <x:v>30</x:v>
      </x:c>
      <x:c r="G954" s="28" t="n">
        <x:f>ROUND(Catalogue!G51*SQRT((1+'Paramètres'!$B$4*(C954-1)+'Paramètres'!$B$5*(C954-1)^2)),0)</x:f>
        <x:v>0</x:v>
      </x:c>
      <x:c r="H954" s="28" t="n">
        <x:f>ROUND(Catalogue!H51*SQRT((1+'Paramètres'!$B$4*(C954-1)+'Paramètres'!$B$5*(C954-1)^2)),0)</x:f>
        <x:v>0</x:v>
      </x:c>
      <x:c r="I954" s="28" t="n">
        <x:v>2</x:v>
      </x:c>
      <x:c r="J954" s="28" t="n">
        <x:v>5</x:v>
      </x:c>
      <x:c r="K954" s="30" t="n">
        <x:v>1.4</x:v>
      </x:c>
      <x:c r="L954" s="54" t="n">
        <x:f>IF(M954=0,0,(E954+F954)/2)</x:f>
        <x:v>22.5</x:v>
      </x:c>
      <x:c r="M954" t="n">
        <x:v>3</x:v>
      </x:c>
      <x:c r="N954" t="n">
        <x:v>6</x:v>
      </x:c>
      <x:c r="O954" t="n">
        <x:v>12</x:v>
      </x:c>
      <x:c r="P954" s="63" t="str">
        <x:f>IF(M954=0,"—",M954&amp;"d"&amp;N954&amp;IF(O954=0,""," + "&amp;O954))</x:f>
        <x:v>3d6 + 12</x:v>
      </x:c>
      <x:c r="Q954" t="n">
        <x:f>ROUND(INDEX(Catalogue!E$4:E$85,MATCH(A954,Catalogue!A$4:A$85,0))*(1+'Paramètres'!$B$4*(C954-1)+'Paramètres'!$B$5*(C954-1)^2),0)</x:f>
        <x:v>15</x:v>
      </x:c>
      <x:c r="R954" t="n">
        <x:f>ROUND(INDEX(Catalogue!F$4:F$85,MATCH(A954,Catalogue!A$4:A$85,0))*(1+'Paramètres'!$B$4*(C954-1)+'Paramètres'!$B$5*(C954-1)^2),0)</x:f>
        <x:v>30</x:v>
      </x:c>
      <x:c r="S954" t="n">
        <x:f>L954-AVERAGE(Q954:R954)</x:f>
        <x:v>0</x:v>
      </x:c>
      <x:c r="T954" t="str">
        <x:f>IF(M954=0,IF(AND(N954=0,O954=0,E954=0,F954=0),"OK","ERREUR"),IF(AND(M954&gt;=1,M954&lt;=32,OR(N954=4,N954=6,N954=8,N954=10,N954=12,N954=20),O954&gt;=0,E954=M954+O954,F954=M954*N954+O954),"OK","ERREUR"))</x:f>
        <x:v>OK</x:v>
      </x:c>
      <x:c r="U954" s="86" t="n">
        <x:f>IF(M954&gt;0,M954*(N954+1)/2+O954,0)</x:f>
        <x:v>22.5</x:v>
      </x:c>
      <x:c r="V954" t="str">
        <x:f>IF(ABS(L954-U954)&lt;0.001,"OK","ERREUR")</x:f>
        <x:v>OK</x:v>
      </x:c>
    </x:row>
    <x:row r="955" ht="18" customHeight="1">
      <x:c r="A955" t="str">
        <x:v>ARM048</x:v>
      </x:c>
      <x:c r="B955" t="str">
        <x:v>Arc recourbé</x:v>
      </x:c>
      <x:c r="C955" t="n">
        <x:v>12</x:v>
      </x:c>
      <x:c r="D955" t="str">
        <x:v>Distance</x:v>
      </x:c>
      <x:c r="E955" s="28" t="n">
        <x:f>IF(M955=0,0,M955+O955)</x:f>
        <x:v>17</x:v>
      </x:c>
      <x:c r="F955" s="28" t="n">
        <x:f>IF(M955=0,0,M955*N955+O955)</x:f>
        <x:v>32</x:v>
      </x:c>
      <x:c r="G955" s="28" t="n">
        <x:f>ROUND(Catalogue!G51*SQRT((1+'Paramètres'!$B$4*(C955-1)+'Paramètres'!$B$5*(C955-1)^2)),0)</x:f>
        <x:v>0</x:v>
      </x:c>
      <x:c r="H955" s="28" t="n">
        <x:f>ROUND(Catalogue!H51*SQRT((1+'Paramètres'!$B$4*(C955-1)+'Paramètres'!$B$5*(C955-1)^2)),0)</x:f>
        <x:v>0</x:v>
      </x:c>
      <x:c r="I955" s="28" t="n">
        <x:v>2</x:v>
      </x:c>
      <x:c r="J955" s="28" t="n">
        <x:v>5</x:v>
      </x:c>
      <x:c r="K955" s="30" t="n">
        <x:v>1.4</x:v>
      </x:c>
      <x:c r="L955" s="54" t="n">
        <x:f>IF(M955=0,0,(E955+F955)/2)</x:f>
        <x:v>24.5</x:v>
      </x:c>
      <x:c r="M955" t="n">
        <x:v>3</x:v>
      </x:c>
      <x:c r="N955" t="n">
        <x:v>6</x:v>
      </x:c>
      <x:c r="O955" t="n">
        <x:v>14</x:v>
      </x:c>
      <x:c r="P955" s="63" t="str">
        <x:f>IF(M955=0,"—",M955&amp;"d"&amp;N955&amp;IF(O955=0,""," + "&amp;O955))</x:f>
        <x:v>3d6 + 14</x:v>
      </x:c>
      <x:c r="Q955" t="n">
        <x:f>ROUND(INDEX(Catalogue!E$4:E$85,MATCH(A955,Catalogue!A$4:A$85,0))*(1+'Paramètres'!$B$4*(C955-1)+'Paramètres'!$B$5*(C955-1)^2),0)</x:f>
        <x:v>17</x:v>
      </x:c>
      <x:c r="R955" t="n">
        <x:f>ROUND(INDEX(Catalogue!F$4:F$85,MATCH(A955,Catalogue!A$4:A$85,0))*(1+'Paramètres'!$B$4*(C955-1)+'Paramètres'!$B$5*(C955-1)^2),0)</x:f>
        <x:v>33</x:v>
      </x:c>
      <x:c r="S955" t="n">
        <x:f>L955-AVERAGE(Q955:R955)</x:f>
        <x:v>-0.5</x:v>
      </x:c>
      <x:c r="T955" t="str">
        <x:f>IF(M955=0,IF(AND(N955=0,O955=0,E955=0,F955=0),"OK","ERREUR"),IF(AND(M955&gt;=1,M955&lt;=32,OR(N955=4,N955=6,N955=8,N955=10,N955=12,N955=20),O955&gt;=0,E955=M955+O955,F955=M955*N955+O955),"OK","ERREUR"))</x:f>
        <x:v>OK</x:v>
      </x:c>
      <x:c r="U955" s="86" t="n">
        <x:f>IF(M955&gt;0,M955*(N955+1)/2+O955,0)</x:f>
        <x:v>24.5</x:v>
      </x:c>
      <x:c r="V955" t="str">
        <x:f>IF(ABS(L955-U955)&lt;0.001,"OK","ERREUR")</x:f>
        <x:v>OK</x:v>
      </x:c>
    </x:row>
    <x:row r="956" ht="18" customHeight="1">
      <x:c r="A956" t="str">
        <x:v>ARM048</x:v>
      </x:c>
      <x:c r="B956" t="str">
        <x:v>Arc recourbé</x:v>
      </x:c>
      <x:c r="C956" t="n">
        <x:v>13</x:v>
      </x:c>
      <x:c r="D956" t="str">
        <x:v>Distance</x:v>
      </x:c>
      <x:c r="E956" s="28" t="n">
        <x:f>IF(M956=0,0,M956+O956)</x:f>
        <x:v>18</x:v>
      </x:c>
      <x:c r="F956" s="28" t="n">
        <x:f>IF(M956=0,0,M956*N956+O956)</x:f>
        <x:v>36</x:v>
      </x:c>
      <x:c r="G956" s="28" t="n">
        <x:f>ROUND(Catalogue!G51*SQRT((1+'Paramètres'!$B$4*(C956-1)+'Paramètres'!$B$5*(C956-1)^2)),0)</x:f>
        <x:v>0</x:v>
      </x:c>
      <x:c r="H956" s="28" t="n">
        <x:f>ROUND(Catalogue!H51*SQRT((1+'Paramètres'!$B$4*(C956-1)+'Paramètres'!$B$5*(C956-1)^2)),0)</x:f>
        <x:v>0</x:v>
      </x:c>
      <x:c r="I956" s="28" t="n">
        <x:v>2</x:v>
      </x:c>
      <x:c r="J956" s="28" t="n">
        <x:v>5</x:v>
      </x:c>
      <x:c r="K956" s="30" t="n">
        <x:v>1.4</x:v>
      </x:c>
      <x:c r="L956" s="54" t="n">
        <x:f>IF(M956=0,0,(E956+F956)/2)</x:f>
        <x:v>27</x:v>
      </x:c>
      <x:c r="M956" t="n">
        <x:v>2</x:v>
      </x:c>
      <x:c r="N956" t="n">
        <x:v>10</x:v>
      </x:c>
      <x:c r="O956" t="n">
        <x:v>16</x:v>
      </x:c>
      <x:c r="P956" s="63" t="str">
        <x:f>IF(M956=0,"—",M956&amp;"d"&amp;N956&amp;IF(O956=0,""," + "&amp;O956))</x:f>
        <x:v>2d10 + 16</x:v>
      </x:c>
      <x:c r="Q956" t="n">
        <x:f>ROUND(INDEX(Catalogue!E$4:E$85,MATCH(A956,Catalogue!A$4:A$85,0))*(1+'Paramètres'!$B$4*(C956-1)+'Paramètres'!$B$5*(C956-1)^2),0)</x:f>
        <x:v>18</x:v>
      </x:c>
      <x:c r="R956" t="n">
        <x:f>ROUND(INDEX(Catalogue!F$4:F$85,MATCH(A956,Catalogue!A$4:A$85,0))*(1+'Paramètres'!$B$4*(C956-1)+'Paramètres'!$B$5*(C956-1)^2),0)</x:f>
        <x:v>37</x:v>
      </x:c>
      <x:c r="S956" t="n">
        <x:f>L956-AVERAGE(Q956:R956)</x:f>
        <x:v>-0.5</x:v>
      </x:c>
      <x:c r="T956" t="str">
        <x:f>IF(M956=0,IF(AND(N956=0,O956=0,E956=0,F956=0),"OK","ERREUR"),IF(AND(M956&gt;=1,M956&lt;=32,OR(N956=4,N956=6,N956=8,N956=10,N956=12,N956=20),O956&gt;=0,E956=M956+O956,F956=M956*N956+O956),"OK","ERREUR"))</x:f>
        <x:v>OK</x:v>
      </x:c>
      <x:c r="U956" s="86" t="n">
        <x:f>IF(M956&gt;0,M956*(N956+1)/2+O956,0)</x:f>
        <x:v>27</x:v>
      </x:c>
      <x:c r="V956" t="str">
        <x:f>IF(ABS(L956-U956)&lt;0.001,"OK","ERREUR")</x:f>
        <x:v>OK</x:v>
      </x:c>
    </x:row>
    <x:row r="957" ht="18" customHeight="1">
      <x:c r="A957" t="str">
        <x:v>ARM048</x:v>
      </x:c>
      <x:c r="B957" t="str">
        <x:v>Arc recourbé</x:v>
      </x:c>
      <x:c r="C957" t="n">
        <x:v>14</x:v>
      </x:c>
      <x:c r="D957" t="str">
        <x:v>Distance</x:v>
      </x:c>
      <x:c r="E957" s="28" t="n">
        <x:f>IF(M957=0,0,M957+O957)</x:f>
        <x:v>21</x:v>
      </x:c>
      <x:c r="F957" s="28" t="n">
        <x:f>IF(M957=0,0,M957*N957+O957)</x:f>
        <x:v>41</x:v>
      </x:c>
      <x:c r="G957" s="28" t="n">
        <x:f>ROUND(Catalogue!G51*SQRT((1+'Paramètres'!$B$4*(C957-1)+'Paramètres'!$B$5*(C957-1)^2)),0)</x:f>
        <x:v>0</x:v>
      </x:c>
      <x:c r="H957" s="28" t="n">
        <x:f>ROUND(Catalogue!H51*SQRT((1+'Paramètres'!$B$4*(C957-1)+'Paramètres'!$B$5*(C957-1)^2)),0)</x:f>
        <x:v>0</x:v>
      </x:c>
      <x:c r="I957" s="28" t="n">
        <x:v>2</x:v>
      </x:c>
      <x:c r="J957" s="28" t="n">
        <x:v>5</x:v>
      </x:c>
      <x:c r="K957" s="30" t="n">
        <x:v>1.4</x:v>
      </x:c>
      <x:c r="L957" s="54" t="n">
        <x:f>IF(M957=0,0,(E957+F957)/2)</x:f>
        <x:v>31</x:v>
      </x:c>
      <x:c r="M957" t="n">
        <x:v>4</x:v>
      </x:c>
      <x:c r="N957" t="n">
        <x:v>6</x:v>
      </x:c>
      <x:c r="O957" t="n">
        <x:v>17</x:v>
      </x:c>
      <x:c r="P957" s="63" t="str">
        <x:f>IF(M957=0,"—",M957&amp;"d"&amp;N957&amp;IF(O957=0,""," + "&amp;O957))</x:f>
        <x:v>4d6 + 17</x:v>
      </x:c>
      <x:c r="Q957" t="n">
        <x:f>ROUND(INDEX(Catalogue!E$4:E$85,MATCH(A957,Catalogue!A$4:A$85,0))*(1+'Paramètres'!$B$4*(C957-1)+'Paramètres'!$B$5*(C957-1)^2),0)</x:f>
        <x:v>21</x:v>
      </x:c>
      <x:c r="R957" t="n">
        <x:f>ROUND(INDEX(Catalogue!F$4:F$85,MATCH(A957,Catalogue!A$4:A$85,0))*(1+'Paramètres'!$B$4*(C957-1)+'Paramètres'!$B$5*(C957-1)^2),0)</x:f>
        <x:v>41</x:v>
      </x:c>
      <x:c r="S957" t="n">
        <x:f>L957-AVERAGE(Q957:R957)</x:f>
        <x:v>0</x:v>
      </x:c>
      <x:c r="T957" t="str">
        <x:f>IF(M957=0,IF(AND(N957=0,O957=0,E957=0,F957=0),"OK","ERREUR"),IF(AND(M957&gt;=1,M957&lt;=32,OR(N957=4,N957=6,N957=8,N957=10,N957=12,N957=20),O957&gt;=0,E957=M957+O957,F957=M957*N957+O957),"OK","ERREUR"))</x:f>
        <x:v>OK</x:v>
      </x:c>
      <x:c r="U957" s="86" t="n">
        <x:f>IF(M957&gt;0,M957*(N957+1)/2+O957,0)</x:f>
        <x:v>31</x:v>
      </x:c>
      <x:c r="V957" t="str">
        <x:f>IF(ABS(L957-U957)&lt;0.001,"OK","ERREUR")</x:f>
        <x:v>OK</x:v>
      </x:c>
    </x:row>
    <x:row r="958" ht="18" customHeight="1">
      <x:c r="A958" t="str">
        <x:v>ARM048</x:v>
      </x:c>
      <x:c r="B958" t="str">
        <x:v>Arc recourbé</x:v>
      </x:c>
      <x:c r="C958" t="n">
        <x:v>15</x:v>
      </x:c>
      <x:c r="D958" t="str">
        <x:v>Distance</x:v>
      </x:c>
      <x:c r="E958" s="28" t="n">
        <x:f>IF(M958=0,0,M958+O958)</x:f>
        <x:v>23</x:v>
      </x:c>
      <x:c r="F958" s="28" t="n">
        <x:f>IF(M958=0,0,M958*N958+O958)</x:f>
        <x:v>45</x:v>
      </x:c>
      <x:c r="G958" s="28" t="n">
        <x:f>ROUND(Catalogue!G51*SQRT((1+'Paramètres'!$B$4*(C958-1)+'Paramètres'!$B$5*(C958-1)^2)),0)</x:f>
        <x:v>0</x:v>
      </x:c>
      <x:c r="H958" s="28" t="n">
        <x:f>ROUND(Catalogue!H51*SQRT((1+'Paramètres'!$B$4*(C958-1)+'Paramètres'!$B$5*(C958-1)^2)),0)</x:f>
        <x:v>0</x:v>
      </x:c>
      <x:c r="I958" s="28" t="n">
        <x:v>2</x:v>
      </x:c>
      <x:c r="J958" s="28" t="n">
        <x:v>5</x:v>
      </x:c>
      <x:c r="K958" s="30" t="n">
        <x:v>1.4</x:v>
      </x:c>
      <x:c r="L958" s="54" t="n">
        <x:f>IF(M958=0,0,(E958+F958)/2)</x:f>
        <x:v>34</x:v>
      </x:c>
      <x:c r="M958" t="n">
        <x:v>2</x:v>
      </x:c>
      <x:c r="N958" t="n">
        <x:v>12</x:v>
      </x:c>
      <x:c r="O958" t="n">
        <x:v>21</x:v>
      </x:c>
      <x:c r="P958" s="63" t="str">
        <x:f>IF(M958=0,"—",M958&amp;"d"&amp;N958&amp;IF(O958=0,""," + "&amp;O958))</x:f>
        <x:v>2d12 + 21</x:v>
      </x:c>
      <x:c r="Q958" t="n">
        <x:f>ROUND(INDEX(Catalogue!E$4:E$85,MATCH(A958,Catalogue!A$4:A$85,0))*(1+'Paramètres'!$B$4*(C958-1)+'Paramètres'!$B$5*(C958-1)^2),0)</x:f>
        <x:v>23</x:v>
      </x:c>
      <x:c r="R958" t="n">
        <x:f>ROUND(INDEX(Catalogue!F$4:F$85,MATCH(A958,Catalogue!A$4:A$85,0))*(1+'Paramètres'!$B$4*(C958-1)+'Paramètres'!$B$5*(C958-1)^2),0)</x:f>
        <x:v>45</x:v>
      </x:c>
      <x:c r="S958" t="n">
        <x:f>L958-AVERAGE(Q958:R958)</x:f>
        <x:v>0</x:v>
      </x:c>
      <x:c r="T958" t="str">
        <x:f>IF(M958=0,IF(AND(N958=0,O958=0,E958=0,F958=0),"OK","ERREUR"),IF(AND(M958&gt;=1,M958&lt;=32,OR(N958=4,N958=6,N958=8,N958=10,N958=12,N958=20),O958&gt;=0,E958=M958+O958,F958=M958*N958+O958),"OK","ERREUR"))</x:f>
        <x:v>OK</x:v>
      </x:c>
      <x:c r="U958" s="86" t="n">
        <x:f>IF(M958&gt;0,M958*(N958+1)/2+O958,0)</x:f>
        <x:v>34</x:v>
      </x:c>
      <x:c r="V958" t="str">
        <x:f>IF(ABS(L958-U958)&lt;0.001,"OK","ERREUR")</x:f>
        <x:v>OK</x:v>
      </x:c>
    </x:row>
    <x:row r="959" ht="18" customHeight="1">
      <x:c r="A959" t="str">
        <x:v>ARM048</x:v>
      </x:c>
      <x:c r="B959" t="str">
        <x:v>Arc recourbé</x:v>
      </x:c>
      <x:c r="C959" t="n">
        <x:v>16</x:v>
      </x:c>
      <x:c r="D959" t="str">
        <x:v>Distance</x:v>
      </x:c>
      <x:c r="E959" s="28" t="n">
        <x:f>IF(M959=0,0,M959+O959)</x:f>
        <x:v>25</x:v>
      </x:c>
      <x:c r="F959" s="28" t="n">
        <x:f>IF(M959=0,0,M959*N959+O959)</x:f>
        <x:v>50</x:v>
      </x:c>
      <x:c r="G959" s="28" t="n">
        <x:f>ROUND(Catalogue!G51*SQRT((1+'Paramètres'!$B$4*(C959-1)+'Paramètres'!$B$5*(C959-1)^2)),0)</x:f>
        <x:v>0</x:v>
      </x:c>
      <x:c r="H959" s="28" t="n">
        <x:f>ROUND(Catalogue!H51*SQRT((1+'Paramètres'!$B$4*(C959-1)+'Paramètres'!$B$5*(C959-1)^2)),0)</x:f>
        <x:v>0</x:v>
      </x:c>
      <x:c r="I959" s="28" t="n">
        <x:v>2</x:v>
      </x:c>
      <x:c r="J959" s="28" t="n">
        <x:v>5</x:v>
      </x:c>
      <x:c r="K959" s="30" t="n">
        <x:v>1.4</x:v>
      </x:c>
      <x:c r="L959" s="54" t="n">
        <x:f>IF(M959=0,0,(E959+F959)/2)</x:f>
        <x:v>37.5</x:v>
      </x:c>
      <x:c r="M959" t="n">
        <x:v>5</x:v>
      </x:c>
      <x:c r="N959" t="n">
        <x:v>6</x:v>
      </x:c>
      <x:c r="O959" t="n">
        <x:v>20</x:v>
      </x:c>
      <x:c r="P959" s="63" t="str">
        <x:f>IF(M959=0,"—",M959&amp;"d"&amp;N959&amp;IF(O959=0,""," + "&amp;O959))</x:f>
        <x:v>5d6 + 20</x:v>
      </x:c>
      <x:c r="Q959" t="n">
        <x:f>ROUND(INDEX(Catalogue!E$4:E$85,MATCH(A959,Catalogue!A$4:A$85,0))*(1+'Paramètres'!$B$4*(C959-1)+'Paramètres'!$B$5*(C959-1)^2),0)</x:f>
        <x:v>25</x:v>
      </x:c>
      <x:c r="R959" t="n">
        <x:f>ROUND(INDEX(Catalogue!F$4:F$85,MATCH(A959,Catalogue!A$4:A$85,0))*(1+'Paramètres'!$B$4*(C959-1)+'Paramètres'!$B$5*(C959-1)^2),0)</x:f>
        <x:v>50</x:v>
      </x:c>
      <x:c r="S959" t="n">
        <x:f>L959-AVERAGE(Q959:R959)</x:f>
        <x:v>0</x:v>
      </x:c>
      <x:c r="T959" t="str">
        <x:f>IF(M959=0,IF(AND(N959=0,O959=0,E959=0,F959=0),"OK","ERREUR"),IF(AND(M959&gt;=1,M959&lt;=32,OR(N959=4,N959=6,N959=8,N959=10,N959=12,N959=20),O959&gt;=0,E959=M959+O959,F959=M959*N959+O959),"OK","ERREUR"))</x:f>
        <x:v>OK</x:v>
      </x:c>
      <x:c r="U959" s="86" t="n">
        <x:f>IF(M959&gt;0,M959*(N959+1)/2+O959,0)</x:f>
        <x:v>37.5</x:v>
      </x:c>
      <x:c r="V959" t="str">
        <x:f>IF(ABS(L959-U959)&lt;0.001,"OK","ERREUR")</x:f>
        <x:v>OK</x:v>
      </x:c>
    </x:row>
    <x:row r="960" ht="18" customHeight="1">
      <x:c r="A960" t="str">
        <x:v>ARM048</x:v>
      </x:c>
      <x:c r="B960" t="str">
        <x:v>Arc recourbé</x:v>
      </x:c>
      <x:c r="C960" t="n">
        <x:v>17</x:v>
      </x:c>
      <x:c r="D960" t="str">
        <x:v>Distance</x:v>
      </x:c>
      <x:c r="E960" s="28" t="n">
        <x:f>IF(M960=0,0,M960+O960)</x:f>
        <x:v>27</x:v>
      </x:c>
      <x:c r="F960" s="28" t="n">
        <x:f>IF(M960=0,0,M960*N960+O960)</x:f>
        <x:v>55</x:v>
      </x:c>
      <x:c r="G960" s="28" t="n">
        <x:f>ROUND(Catalogue!G51*SQRT((1+'Paramètres'!$B$4*(C960-1)+'Paramètres'!$B$5*(C960-1)^2)),0)</x:f>
        <x:v>0</x:v>
      </x:c>
      <x:c r="H960" s="28" t="n">
        <x:f>ROUND(Catalogue!H51*SQRT((1+'Paramètres'!$B$4*(C960-1)+'Paramètres'!$B$5*(C960-1)^2)),0)</x:f>
        <x:v>0</x:v>
      </x:c>
      <x:c r="I960" s="28" t="n">
        <x:v>2</x:v>
      </x:c>
      <x:c r="J960" s="28" t="n">
        <x:v>5</x:v>
      </x:c>
      <x:c r="K960" s="30" t="n">
        <x:v>1.4</x:v>
      </x:c>
      <x:c r="L960" s="54" t="n">
        <x:f>IF(M960=0,0,(E960+F960)/2)</x:f>
        <x:v>41</x:v>
      </x:c>
      <x:c r="M960" t="n">
        <x:v>4</x:v>
      </x:c>
      <x:c r="N960" t="n">
        <x:v>8</x:v>
      </x:c>
      <x:c r="O960" t="n">
        <x:v>23</x:v>
      </x:c>
      <x:c r="P960" s="63" t="str">
        <x:f>IF(M960=0,"—",M960&amp;"d"&amp;N960&amp;IF(O960=0,""," + "&amp;O960))</x:f>
        <x:v>4d8 + 23</x:v>
      </x:c>
      <x:c r="Q960" t="n">
        <x:f>ROUND(INDEX(Catalogue!E$4:E$85,MATCH(A960,Catalogue!A$4:A$85,0))*(1+'Paramètres'!$B$4*(C960-1)+'Paramètres'!$B$5*(C960-1)^2),0)</x:f>
        <x:v>27</x:v>
      </x:c>
      <x:c r="R960" t="n">
        <x:f>ROUND(INDEX(Catalogue!F$4:F$85,MATCH(A960,Catalogue!A$4:A$85,0))*(1+'Paramètres'!$B$4*(C960-1)+'Paramètres'!$B$5*(C960-1)^2),0)</x:f>
        <x:v>55</x:v>
      </x:c>
      <x:c r="S960" t="n">
        <x:f>L960-AVERAGE(Q960:R960)</x:f>
        <x:v>0</x:v>
      </x:c>
      <x:c r="T960" t="str">
        <x:f>IF(M960=0,IF(AND(N960=0,O960=0,E960=0,F960=0),"OK","ERREUR"),IF(AND(M960&gt;=1,M960&lt;=32,OR(N960=4,N960=6,N960=8,N960=10,N960=12,N960=20),O960&gt;=0,E960=M960+O960,F960=M960*N960+O960),"OK","ERREUR"))</x:f>
        <x:v>OK</x:v>
      </x:c>
      <x:c r="U960" s="86" t="n">
        <x:f>IF(M960&gt;0,M960*(N960+1)/2+O960,0)</x:f>
        <x:v>41</x:v>
      </x:c>
      <x:c r="V960" t="str">
        <x:f>IF(ABS(L960-U960)&lt;0.001,"OK","ERREUR")</x:f>
        <x:v>OK</x:v>
      </x:c>
    </x:row>
    <x:row r="961" ht="18" customHeight="1">
      <x:c r="A961" t="str">
        <x:v>ARM048</x:v>
      </x:c>
      <x:c r="B961" t="str">
        <x:v>Arc recourbé</x:v>
      </x:c>
      <x:c r="C961" t="n">
        <x:v>18</x:v>
      </x:c>
      <x:c r="D961" t="str">
        <x:v>Distance</x:v>
      </x:c>
      <x:c r="E961" s="28" t="n">
        <x:f>IF(M961=0,0,M961+O961)</x:f>
        <x:v>30</x:v>
      </x:c>
      <x:c r="F961" s="28" t="n">
        <x:f>IF(M961=0,0,M961*N961+O961)</x:f>
        <x:v>60</x:v>
      </x:c>
      <x:c r="G961" s="28" t="n">
        <x:f>ROUND(Catalogue!G51*SQRT((1+'Paramètres'!$B$4*(C961-1)+'Paramètres'!$B$5*(C961-1)^2)),0)</x:f>
        <x:v>0</x:v>
      </x:c>
      <x:c r="H961" s="28" t="n">
        <x:f>ROUND(Catalogue!H51*SQRT((1+'Paramètres'!$B$4*(C961-1)+'Paramètres'!$B$5*(C961-1)^2)),0)</x:f>
        <x:v>0</x:v>
      </x:c>
      <x:c r="I961" s="28" t="n">
        <x:v>2</x:v>
      </x:c>
      <x:c r="J961" s="28" t="n">
        <x:v>5</x:v>
      </x:c>
      <x:c r="K961" s="30" t="n">
        <x:v>1.4</x:v>
      </x:c>
      <x:c r="L961" s="54" t="n">
        <x:f>IF(M961=0,0,(E961+F961)/2)</x:f>
        <x:v>45</x:v>
      </x:c>
      <x:c r="M961" t="n">
        <x:v>6</x:v>
      </x:c>
      <x:c r="N961" t="n">
        <x:v>6</x:v>
      </x:c>
      <x:c r="O961" t="n">
        <x:v>24</x:v>
      </x:c>
      <x:c r="P961" s="63" t="str">
        <x:f>IF(M961=0,"—",M961&amp;"d"&amp;N961&amp;IF(O961=0,""," + "&amp;O961))</x:f>
        <x:v>6d6 + 24</x:v>
      </x:c>
      <x:c r="Q961" t="n">
        <x:f>ROUND(INDEX(Catalogue!E$4:E$85,MATCH(A961,Catalogue!A$4:A$85,0))*(1+'Paramètres'!$B$4*(C961-1)+'Paramètres'!$B$5*(C961-1)^2),0)</x:f>
        <x:v>30</x:v>
      </x:c>
      <x:c r="R961" t="n">
        <x:f>ROUND(INDEX(Catalogue!F$4:F$85,MATCH(A961,Catalogue!A$4:A$85,0))*(1+'Paramètres'!$B$4*(C961-1)+'Paramètres'!$B$5*(C961-1)^2),0)</x:f>
        <x:v>60</x:v>
      </x:c>
      <x:c r="S961" t="n">
        <x:f>L961-AVERAGE(Q961:R961)</x:f>
        <x:v>0</x:v>
      </x:c>
      <x:c r="T961" t="str">
        <x:f>IF(M961=0,IF(AND(N961=0,O961=0,E961=0,F961=0),"OK","ERREUR"),IF(AND(M961&gt;=1,M961&lt;=32,OR(N961=4,N961=6,N961=8,N961=10,N961=12,N961=20),O961&gt;=0,E961=M961+O961,F961=M961*N961+O961),"OK","ERREUR"))</x:f>
        <x:v>OK</x:v>
      </x:c>
      <x:c r="U961" s="86" t="n">
        <x:f>IF(M961&gt;0,M961*(N961+1)/2+O961,0)</x:f>
        <x:v>45</x:v>
      </x:c>
      <x:c r="V961" t="str">
        <x:f>IF(ABS(L961-U961)&lt;0.001,"OK","ERREUR")</x:f>
        <x:v>OK</x:v>
      </x:c>
    </x:row>
    <x:row r="962" ht="18" customHeight="1">
      <x:c r="A962" t="str">
        <x:v>ARM048</x:v>
      </x:c>
      <x:c r="B962" t="str">
        <x:v>Arc recourbé</x:v>
      </x:c>
      <x:c r="C962" t="n">
        <x:v>19</x:v>
      </x:c>
      <x:c r="D962" t="str">
        <x:v>Distance</x:v>
      </x:c>
      <x:c r="E962" s="28" t="n">
        <x:f>IF(M962=0,0,M962+O962)</x:f>
        <x:v>32</x:v>
      </x:c>
      <x:c r="F962" s="28" t="n">
        <x:f>IF(M962=0,0,M962*N962+O962)</x:f>
        <x:v>65</x:v>
      </x:c>
      <x:c r="G962" s="28" t="n">
        <x:f>ROUND(Catalogue!G51*SQRT((1+'Paramètres'!$B$4*(C962-1)+'Paramètres'!$B$5*(C962-1)^2)),0)</x:f>
        <x:v>0</x:v>
      </x:c>
      <x:c r="H962" s="28" t="n">
        <x:f>ROUND(Catalogue!H51*SQRT((1+'Paramètres'!$B$4*(C962-1)+'Paramètres'!$B$5*(C962-1)^2)),0)</x:f>
        <x:v>0</x:v>
      </x:c>
      <x:c r="I962" s="28" t="n">
        <x:v>2</x:v>
      </x:c>
      <x:c r="J962" s="28" t="n">
        <x:v>5</x:v>
      </x:c>
      <x:c r="K962" s="30" t="n">
        <x:v>1.4</x:v>
      </x:c>
      <x:c r="L962" s="54" t="n">
        <x:f>IF(M962=0,0,(E962+F962)/2)</x:f>
        <x:v>48.5</x:v>
      </x:c>
      <x:c r="M962" t="n">
        <x:v>3</x:v>
      </x:c>
      <x:c r="N962" t="n">
        <x:v>12</x:v>
      </x:c>
      <x:c r="O962" t="n">
        <x:v>29</x:v>
      </x:c>
      <x:c r="P962" s="63" t="str">
        <x:f>IF(M962=0,"—",M962&amp;"d"&amp;N962&amp;IF(O962=0,""," + "&amp;O962))</x:f>
        <x:v>3d12 + 29</x:v>
      </x:c>
      <x:c r="Q962" t="n">
        <x:f>ROUND(INDEX(Catalogue!E$4:E$85,MATCH(A962,Catalogue!A$4:A$85,0))*(1+'Paramètres'!$B$4*(C962-1)+'Paramètres'!$B$5*(C962-1)^2),0)</x:f>
        <x:v>33</x:v>
      </x:c>
      <x:c r="R962" t="n">
        <x:f>ROUND(INDEX(Catalogue!F$4:F$85,MATCH(A962,Catalogue!A$4:A$85,0))*(1+'Paramètres'!$B$4*(C962-1)+'Paramètres'!$B$5*(C962-1)^2),0)</x:f>
        <x:v>65</x:v>
      </x:c>
      <x:c r="S962" t="n">
        <x:f>L962-AVERAGE(Q962:R962)</x:f>
        <x:v>-0.5</x:v>
      </x:c>
      <x:c r="T962" t="str">
        <x:f>IF(M962=0,IF(AND(N962=0,O962=0,E962=0,F962=0),"OK","ERREUR"),IF(AND(M962&gt;=1,M962&lt;=32,OR(N962=4,N962=6,N962=8,N962=10,N962=12,N962=20),O962&gt;=0,E962=M962+O962,F962=M962*N962+O962),"OK","ERREUR"))</x:f>
        <x:v>OK</x:v>
      </x:c>
      <x:c r="U962" s="86" t="n">
        <x:f>IF(M962&gt;0,M962*(N962+1)/2+O962,0)</x:f>
        <x:v>48.5</x:v>
      </x:c>
      <x:c r="V962" t="str">
        <x:f>IF(ABS(L962-U962)&lt;0.001,"OK","ERREUR")</x:f>
        <x:v>OK</x:v>
      </x:c>
    </x:row>
    <x:row r="963" ht="18" customHeight="1">
      <x:c r="A963" t="str">
        <x:v>ARM048</x:v>
      </x:c>
      <x:c r="B963" t="str">
        <x:v>Arc recourbé</x:v>
      </x:c>
      <x:c r="C963" t="n">
        <x:v>20</x:v>
      </x:c>
      <x:c r="D963" t="str">
        <x:v>Distance</x:v>
      </x:c>
      <x:c r="E963" s="28" t="n">
        <x:f>IF(M963=0,0,M963+O963)</x:f>
        <x:v>35</x:v>
      </x:c>
      <x:c r="F963" s="28" t="n">
        <x:f>IF(M963=0,0,M963*N963+O963)</x:f>
        <x:v>71</x:v>
      </x:c>
      <x:c r="G963" s="28" t="n">
        <x:f>ROUND(Catalogue!G51*SQRT((1+'Paramètres'!$B$4*(C963-1)+'Paramètres'!$B$5*(C963-1)^2)),0)</x:f>
        <x:v>0</x:v>
      </x:c>
      <x:c r="H963" s="28" t="n">
        <x:f>ROUND(Catalogue!H51*SQRT((1+'Paramètres'!$B$4*(C963-1)+'Paramètres'!$B$5*(C963-1)^2)),0)</x:f>
        <x:v>0</x:v>
      </x:c>
      <x:c r="I963" s="28" t="n">
        <x:v>2</x:v>
      </x:c>
      <x:c r="J963" s="28" t="n">
        <x:v>5</x:v>
      </x:c>
      <x:c r="K963" s="30" t="n">
        <x:v>1.4</x:v>
      </x:c>
      <x:c r="L963" s="54" t="n">
        <x:f>IF(M963=0,0,(E963+F963)/2)</x:f>
        <x:v>53</x:v>
      </x:c>
      <x:c r="M963" t="n">
        <x:v>4</x:v>
      </x:c>
      <x:c r="N963" t="n">
        <x:v>10</x:v>
      </x:c>
      <x:c r="O963" t="n">
        <x:v>31</x:v>
      </x:c>
      <x:c r="P963" s="63" t="str">
        <x:f>IF(M963=0,"—",M963&amp;"d"&amp;N963&amp;IF(O963=0,""," + "&amp;O963))</x:f>
        <x:v>4d10 + 31</x:v>
      </x:c>
      <x:c r="Q963" t="n">
        <x:f>ROUND(INDEX(Catalogue!E$4:E$85,MATCH(A963,Catalogue!A$4:A$85,0))*(1+'Paramètres'!$B$4*(C963-1)+'Paramètres'!$B$5*(C963-1)^2),0)</x:f>
        <x:v>35</x:v>
      </x:c>
      <x:c r="R963" t="n">
        <x:f>ROUND(INDEX(Catalogue!F$4:F$85,MATCH(A963,Catalogue!A$4:A$85,0))*(1+'Paramètres'!$B$4*(C963-1)+'Paramètres'!$B$5*(C963-1)^2),0)</x:f>
        <x:v>71</x:v>
      </x:c>
      <x:c r="S963" t="n">
        <x:f>L963-AVERAGE(Q963:R963)</x:f>
        <x:v>0</x:v>
      </x:c>
      <x:c r="T963" t="str">
        <x:f>IF(M963=0,IF(AND(N963=0,O963=0,E963=0,F963=0),"OK","ERREUR"),IF(AND(M963&gt;=1,M963&lt;=32,OR(N963=4,N963=6,N963=8,N963=10,N963=12,N963=20),O963&gt;=0,E963=M963+O963,F963=M963*N963+O963),"OK","ERREUR"))</x:f>
        <x:v>OK</x:v>
      </x:c>
      <x:c r="U963" s="86" t="n">
        <x:f>IF(M963&gt;0,M963*(N963+1)/2+O963,0)</x:f>
        <x:v>53</x:v>
      </x:c>
      <x:c r="V963" t="str">
        <x:f>IF(ABS(L963-U963)&lt;0.001,"OK","ERREUR")</x:f>
        <x:v>OK</x:v>
      </x:c>
    </x:row>
    <x:row r="964" ht="18" customHeight="1">
      <x:c r="A964" t="str">
        <x:v>ARM049</x:v>
      </x:c>
      <x:c r="B964" t="str">
        <x:v>Arbalète légère</x:v>
      </x:c>
      <x:c r="C964" t="n">
        <x:v>1</x:v>
      </x:c>
      <x:c r="D964" t="str">
        <x:v>Distance</x:v>
      </x:c>
      <x:c r="E964" s="28" t="n">
        <x:f>IF(M964=0,0,M964+O964)</x:f>
        <x:v>5</x:v>
      </x:c>
      <x:c r="F964" s="28" t="n">
        <x:f>IF(M964=0,0,M964*N964+O964)</x:f>
        <x:v>8</x:v>
      </x:c>
      <x:c r="G964" s="28" t="n">
        <x:f>ROUND(Catalogue!G52*SQRT((1+'Paramètres'!$B$4*(C964-1)+'Paramètres'!$B$5*(C964-1)^2)),0)</x:f>
        <x:v>0</x:v>
      </x:c>
      <x:c r="H964" s="28" t="n">
        <x:f>ROUND(Catalogue!H52*SQRT((1+'Paramètres'!$B$4*(C964-1)+'Paramètres'!$B$5*(C964-1)^2)),0)</x:f>
        <x:v>0</x:v>
      </x:c>
      <x:c r="I964" s="28" t="n">
        <x:v>2</x:v>
      </x:c>
      <x:c r="J964" s="28" t="n">
        <x:v>5</x:v>
      </x:c>
      <x:c r="K964" s="30" t="n">
        <x:v>2.3</x:v>
      </x:c>
      <x:c r="L964" s="54" t="n">
        <x:f>IF(M964=0,0,(E964+F964)/2)</x:f>
        <x:v>6.5</x:v>
      </x:c>
      <x:c r="M964" t="n">
        <x:v>1</x:v>
      </x:c>
      <x:c r="N964" t="n">
        <x:v>4</x:v>
      </x:c>
      <x:c r="O964" t="n">
        <x:v>4</x:v>
      </x:c>
      <x:c r="P964" s="63" t="str">
        <x:f>IF(M964=0,"—",M964&amp;"d"&amp;N964&amp;IF(O964=0,""," + "&amp;O964))</x:f>
        <x:v>1d4 + 4</x:v>
      </x:c>
      <x:c r="Q964" t="n">
        <x:f>ROUND(INDEX(Catalogue!E$4:E$85,MATCH(A964,Catalogue!A$4:A$85,0))*(1+'Paramètres'!$B$4*(C964-1)+'Paramètres'!$B$5*(C964-1)^2),0)</x:f>
        <x:v>5</x:v>
      </x:c>
      <x:c r="R964" t="n">
        <x:f>ROUND(INDEX(Catalogue!F$4:F$85,MATCH(A964,Catalogue!A$4:A$85,0))*(1+'Paramètres'!$B$4*(C964-1)+'Paramètres'!$B$5*(C964-1)^2),0)</x:f>
        <x:v>8</x:v>
      </x:c>
      <x:c r="S964" t="n">
        <x:f>L964-AVERAGE(Q964:R964)</x:f>
        <x:v>0</x:v>
      </x:c>
      <x:c r="T964" t="str">
        <x:f>IF(M964=0,IF(AND(N964=0,O964=0,E964=0,F964=0),"OK","ERREUR"),IF(AND(M964&gt;=1,M964&lt;=32,OR(N964=4,N964=6,N964=8,N964=10,N964=12,N964=20),O964&gt;=0,E964=M964+O964,F964=M964*N964+O964),"OK","ERREUR"))</x:f>
        <x:v>OK</x:v>
      </x:c>
      <x:c r="U964" s="86" t="n">
        <x:f>IF(M964&gt;0,M964*(N964+1)/2+O964,0)</x:f>
        <x:v>6.5</x:v>
      </x:c>
      <x:c r="V964" t="str">
        <x:f>IF(ABS(L964-U964)&lt;0.001,"OK","ERREUR")</x:f>
        <x:v>OK</x:v>
      </x:c>
    </x:row>
    <x:row r="965" ht="18" customHeight="1">
      <x:c r="A965" t="str">
        <x:v>ARM049</x:v>
      </x:c>
      <x:c r="B965" t="str">
        <x:v>Arbalète légère</x:v>
      </x:c>
      <x:c r="C965" t="n">
        <x:v>2</x:v>
      </x:c>
      <x:c r="D965" t="str">
        <x:v>Distance</x:v>
      </x:c>
      <x:c r="E965" s="28" t="n">
        <x:f>IF(M965=0,0,M965+O965)</x:f>
        <x:v>6</x:v>
      </x:c>
      <x:c r="F965" s="28" t="n">
        <x:f>IF(M965=0,0,M965*N965+O965)</x:f>
        <x:v>9</x:v>
      </x:c>
      <x:c r="G965" s="28" t="n">
        <x:f>ROUND(Catalogue!G52*SQRT((1+'Paramètres'!$B$4*(C965-1)+'Paramètres'!$B$5*(C965-1)^2)),0)</x:f>
        <x:v>0</x:v>
      </x:c>
      <x:c r="H965" s="28" t="n">
        <x:f>ROUND(Catalogue!H52*SQRT((1+'Paramètres'!$B$4*(C965-1)+'Paramètres'!$B$5*(C965-1)^2)),0)</x:f>
        <x:v>0</x:v>
      </x:c>
      <x:c r="I965" s="28" t="n">
        <x:v>2</x:v>
      </x:c>
      <x:c r="J965" s="28" t="n">
        <x:v>5</x:v>
      </x:c>
      <x:c r="K965" s="30" t="n">
        <x:v>2.3</x:v>
      </x:c>
      <x:c r="L965" s="54" t="n">
        <x:f>IF(M965=0,0,(E965+F965)/2)</x:f>
        <x:v>7.5</x:v>
      </x:c>
      <x:c r="M965" t="n">
        <x:v>1</x:v>
      </x:c>
      <x:c r="N965" t="n">
        <x:v>4</x:v>
      </x:c>
      <x:c r="O965" t="n">
        <x:v>5</x:v>
      </x:c>
      <x:c r="P965" s="63" t="str">
        <x:f>IF(M965=0,"—",M965&amp;"d"&amp;N965&amp;IF(O965=0,""," + "&amp;O965))</x:f>
        <x:v>1d4 + 5</x:v>
      </x:c>
      <x:c r="Q965" t="n">
        <x:f>ROUND(INDEX(Catalogue!E$4:E$85,MATCH(A965,Catalogue!A$4:A$85,0))*(1+'Paramètres'!$B$4*(C965-1)+'Paramètres'!$B$5*(C965-1)^2),0)</x:f>
        <x:v>6</x:v>
      </x:c>
      <x:c r="R965" t="n">
        <x:f>ROUND(INDEX(Catalogue!F$4:F$85,MATCH(A965,Catalogue!A$4:A$85,0))*(1+'Paramètres'!$B$4*(C965-1)+'Paramètres'!$B$5*(C965-1)^2),0)</x:f>
        <x:v>9</x:v>
      </x:c>
      <x:c r="S965" t="n">
        <x:f>L965-AVERAGE(Q965:R965)</x:f>
        <x:v>0</x:v>
      </x:c>
      <x:c r="T965" t="str">
        <x:f>IF(M965=0,IF(AND(N965=0,O965=0,E965=0,F965=0),"OK","ERREUR"),IF(AND(M965&gt;=1,M965&lt;=32,OR(N965=4,N965=6,N965=8,N965=10,N965=12,N965=20),O965&gt;=0,E965=M965+O965,F965=M965*N965+O965),"OK","ERREUR"))</x:f>
        <x:v>OK</x:v>
      </x:c>
      <x:c r="U965" s="86" t="n">
        <x:f>IF(M965&gt;0,M965*(N965+1)/2+O965,0)</x:f>
        <x:v>7.5</x:v>
      </x:c>
      <x:c r="V965" t="str">
        <x:f>IF(ABS(L965-U965)&lt;0.001,"OK","ERREUR")</x:f>
        <x:v>OK</x:v>
      </x:c>
    </x:row>
    <x:row r="966" ht="18" customHeight="1">
      <x:c r="A966" t="str">
        <x:v>ARM049</x:v>
      </x:c>
      <x:c r="B966" t="str">
        <x:v>Arbalète légère</x:v>
      </x:c>
      <x:c r="C966" t="n">
        <x:v>3</x:v>
      </x:c>
      <x:c r="D966" t="str">
        <x:v>Distance</x:v>
      </x:c>
      <x:c r="E966" s="28" t="n">
        <x:f>IF(M966=0,0,M966+O966)</x:f>
        <x:v>6</x:v>
      </x:c>
      <x:c r="F966" s="28" t="n">
        <x:f>IF(M966=0,0,M966*N966+O966)</x:f>
        <x:v>9</x:v>
      </x:c>
      <x:c r="G966" s="28" t="n">
        <x:f>ROUND(Catalogue!G52*SQRT((1+'Paramètres'!$B$4*(C966-1)+'Paramètres'!$B$5*(C966-1)^2)),0)</x:f>
        <x:v>0</x:v>
      </x:c>
      <x:c r="H966" s="28" t="n">
        <x:f>ROUND(Catalogue!H52*SQRT((1+'Paramètres'!$B$4*(C966-1)+'Paramètres'!$B$5*(C966-1)^2)),0)</x:f>
        <x:v>0</x:v>
      </x:c>
      <x:c r="I966" s="28" t="n">
        <x:v>2</x:v>
      </x:c>
      <x:c r="J966" s="28" t="n">
        <x:v>5</x:v>
      </x:c>
      <x:c r="K966" s="30" t="n">
        <x:v>2.3</x:v>
      </x:c>
      <x:c r="L966" s="54" t="n">
        <x:f>IF(M966=0,0,(E966+F966)/2)</x:f>
        <x:v>7.5</x:v>
      </x:c>
      <x:c r="M966" t="n">
        <x:v>1</x:v>
      </x:c>
      <x:c r="N966" t="n">
        <x:v>4</x:v>
      </x:c>
      <x:c r="O966" t="n">
        <x:v>5</x:v>
      </x:c>
      <x:c r="P966" s="63" t="str">
        <x:f>IF(M966=0,"—",M966&amp;"d"&amp;N966&amp;IF(O966=0,""," + "&amp;O966))</x:f>
        <x:v>1d4 + 5</x:v>
      </x:c>
      <x:c r="Q966" t="n">
        <x:f>ROUND(INDEX(Catalogue!E$4:E$85,MATCH(A966,Catalogue!A$4:A$85,0))*(1+'Paramètres'!$B$4*(C966-1)+'Paramètres'!$B$5*(C966-1)^2),0)</x:f>
        <x:v>6</x:v>
      </x:c>
      <x:c r="R966" t="n">
        <x:f>ROUND(INDEX(Catalogue!F$4:F$85,MATCH(A966,Catalogue!A$4:A$85,0))*(1+'Paramètres'!$B$4*(C966-1)+'Paramètres'!$B$5*(C966-1)^2),0)</x:f>
        <x:v>10</x:v>
      </x:c>
      <x:c r="S966" t="n">
        <x:f>L966-AVERAGE(Q966:R966)</x:f>
        <x:v>-0.5</x:v>
      </x:c>
      <x:c r="T966" t="str">
        <x:f>IF(M966=0,IF(AND(N966=0,O966=0,E966=0,F966=0),"OK","ERREUR"),IF(AND(M966&gt;=1,M966&lt;=32,OR(N966=4,N966=6,N966=8,N966=10,N966=12,N966=20),O966&gt;=0,E966=M966+O966,F966=M966*N966+O966),"OK","ERREUR"))</x:f>
        <x:v>OK</x:v>
      </x:c>
      <x:c r="U966" s="86" t="n">
        <x:f>IF(M966&gt;0,M966*(N966+1)/2+O966,0)</x:f>
        <x:v>7.5</x:v>
      </x:c>
      <x:c r="V966" t="str">
        <x:f>IF(ABS(L966-U966)&lt;0.001,"OK","ERREUR")</x:f>
        <x:v>OK</x:v>
      </x:c>
    </x:row>
    <x:row r="967" ht="18" customHeight="1">
      <x:c r="A967" t="str">
        <x:v>ARM049</x:v>
      </x:c>
      <x:c r="B967" t="str">
        <x:v>Arbalète légère</x:v>
      </x:c>
      <x:c r="C967" t="n">
        <x:v>4</x:v>
      </x:c>
      <x:c r="D967" t="str">
        <x:v>Distance</x:v>
      </x:c>
      <x:c r="E967" s="28" t="n">
        <x:f>IF(M967=0,0,M967+O967)</x:f>
        <x:v>7</x:v>
      </x:c>
      <x:c r="F967" s="28" t="n">
        <x:f>IF(M967=0,0,M967*N967+O967)</x:f>
        <x:v>12</x:v>
      </x:c>
      <x:c r="G967" s="28" t="n">
        <x:f>ROUND(Catalogue!G52*SQRT((1+'Paramètres'!$B$4*(C967-1)+'Paramètres'!$B$5*(C967-1)^2)),0)</x:f>
        <x:v>0</x:v>
      </x:c>
      <x:c r="H967" s="28" t="n">
        <x:f>ROUND(Catalogue!H52*SQRT((1+'Paramètres'!$B$4*(C967-1)+'Paramètres'!$B$5*(C967-1)^2)),0)</x:f>
        <x:v>0</x:v>
      </x:c>
      <x:c r="I967" s="28" t="n">
        <x:v>2</x:v>
      </x:c>
      <x:c r="J967" s="28" t="n">
        <x:v>5</x:v>
      </x:c>
      <x:c r="K967" s="30" t="n">
        <x:v>2.3</x:v>
      </x:c>
      <x:c r="L967" s="54" t="n">
        <x:f>IF(M967=0,0,(E967+F967)/2)</x:f>
        <x:v>9.5</x:v>
      </x:c>
      <x:c r="M967" t="n">
        <x:v>1</x:v>
      </x:c>
      <x:c r="N967" t="n">
        <x:v>6</x:v>
      </x:c>
      <x:c r="O967" t="n">
        <x:v>6</x:v>
      </x:c>
      <x:c r="P967" s="63" t="str">
        <x:f>IF(M967=0,"—",M967&amp;"d"&amp;N967&amp;IF(O967=0,""," + "&amp;O967))</x:f>
        <x:v>1d6 + 6</x:v>
      </x:c>
      <x:c r="Q967" t="n">
        <x:f>ROUND(INDEX(Catalogue!E$4:E$85,MATCH(A967,Catalogue!A$4:A$85,0))*(1+'Paramètres'!$B$4*(C967-1)+'Paramètres'!$B$5*(C967-1)^2),0)</x:f>
        <x:v>7</x:v>
      </x:c>
      <x:c r="R967" t="n">
        <x:f>ROUND(INDEX(Catalogue!F$4:F$85,MATCH(A967,Catalogue!A$4:A$85,0))*(1+'Paramètres'!$B$4*(C967-1)+'Paramètres'!$B$5*(C967-1)^2),0)</x:f>
        <x:v>12</x:v>
      </x:c>
      <x:c r="S967" t="n">
        <x:f>L967-AVERAGE(Q967:R967)</x:f>
        <x:v>0</x:v>
      </x:c>
      <x:c r="T967" t="str">
        <x:f>IF(M967=0,IF(AND(N967=0,O967=0,E967=0,F967=0),"OK","ERREUR"),IF(AND(M967&gt;=1,M967&lt;=32,OR(N967=4,N967=6,N967=8,N967=10,N967=12,N967=20),O967&gt;=0,E967=M967+O967,F967=M967*N967+O967),"OK","ERREUR"))</x:f>
        <x:v>OK</x:v>
      </x:c>
      <x:c r="U967" s="86" t="n">
        <x:f>IF(M967&gt;0,M967*(N967+1)/2+O967,0)</x:f>
        <x:v>9.5</x:v>
      </x:c>
      <x:c r="V967" t="str">
        <x:f>IF(ABS(L967-U967)&lt;0.001,"OK","ERREUR")</x:f>
        <x:v>OK</x:v>
      </x:c>
    </x:row>
    <x:row r="968" ht="18" customHeight="1">
      <x:c r="A968" t="str">
        <x:v>ARM049</x:v>
      </x:c>
      <x:c r="B968" t="str">
        <x:v>Arbalète légère</x:v>
      </x:c>
      <x:c r="C968" t="n">
        <x:v>5</x:v>
      </x:c>
      <x:c r="D968" t="str">
        <x:v>Distance</x:v>
      </x:c>
      <x:c r="E968" s="28" t="n">
        <x:f>IF(M968=0,0,M968+O968)</x:f>
        <x:v>8</x:v>
      </x:c>
      <x:c r="F968" s="28" t="n">
        <x:f>IF(M968=0,0,M968*N968+O968)</x:f>
        <x:v>14</x:v>
      </x:c>
      <x:c r="G968" s="28" t="n">
        <x:f>ROUND(Catalogue!G52*SQRT((1+'Paramètres'!$B$4*(C968-1)+'Paramètres'!$B$5*(C968-1)^2)),0)</x:f>
        <x:v>0</x:v>
      </x:c>
      <x:c r="H968" s="28" t="n">
        <x:f>ROUND(Catalogue!H52*SQRT((1+'Paramètres'!$B$4*(C968-1)+'Paramètres'!$B$5*(C968-1)^2)),0)</x:f>
        <x:v>0</x:v>
      </x:c>
      <x:c r="I968" s="28" t="n">
        <x:v>2</x:v>
      </x:c>
      <x:c r="J968" s="28" t="n">
        <x:v>5</x:v>
      </x:c>
      <x:c r="K968" s="30" t="n">
        <x:v>2.3</x:v>
      </x:c>
      <x:c r="L968" s="54" t="n">
        <x:f>IF(M968=0,0,(E968+F968)/2)</x:f>
        <x:v>11</x:v>
      </x:c>
      <x:c r="M968" t="n">
        <x:v>2</x:v>
      </x:c>
      <x:c r="N968" t="n">
        <x:v>4</x:v>
      </x:c>
      <x:c r="O968" t="n">
        <x:v>6</x:v>
      </x:c>
      <x:c r="P968" s="63" t="str">
        <x:f>IF(M968=0,"—",M968&amp;"d"&amp;N968&amp;IF(O968=0,""," + "&amp;O968))</x:f>
        <x:v>2d4 + 6</x:v>
      </x:c>
      <x:c r="Q968" t="n">
        <x:f>ROUND(INDEX(Catalogue!E$4:E$85,MATCH(A968,Catalogue!A$4:A$85,0))*(1+'Paramètres'!$B$4*(C968-1)+'Paramètres'!$B$5*(C968-1)^2),0)</x:f>
        <x:v>8</x:v>
      </x:c>
      <x:c r="R968" t="n">
        <x:f>ROUND(INDEX(Catalogue!F$4:F$85,MATCH(A968,Catalogue!A$4:A$85,0))*(1+'Paramètres'!$B$4*(C968-1)+'Paramètres'!$B$5*(C968-1)^2),0)</x:f>
        <x:v>14</x:v>
      </x:c>
      <x:c r="S968" t="n">
        <x:f>L968-AVERAGE(Q968:R968)</x:f>
        <x:v>0</x:v>
      </x:c>
      <x:c r="T968" t="str">
        <x:f>IF(M968=0,IF(AND(N968=0,O968=0,E968=0,F968=0),"OK","ERREUR"),IF(AND(M968&gt;=1,M968&lt;=32,OR(N968=4,N968=6,N968=8,N968=10,N968=12,N968=20),O968&gt;=0,E968=M968+O968,F968=M968*N968+O968),"OK","ERREUR"))</x:f>
        <x:v>OK</x:v>
      </x:c>
      <x:c r="U968" s="86" t="n">
        <x:f>IF(M968&gt;0,M968*(N968+1)/2+O968,0)</x:f>
        <x:v>11</x:v>
      </x:c>
      <x:c r="V968" t="str">
        <x:f>IF(ABS(L968-U968)&lt;0.001,"OK","ERREUR")</x:f>
        <x:v>OK</x:v>
      </x:c>
    </x:row>
    <x:row r="969" ht="18" customHeight="1">
      <x:c r="A969" t="str">
        <x:v>ARM049</x:v>
      </x:c>
      <x:c r="B969" t="str">
        <x:v>Arbalète légère</x:v>
      </x:c>
      <x:c r="C969" t="n">
        <x:v>6</x:v>
      </x:c>
      <x:c r="D969" t="str">
        <x:v>Distance</x:v>
      </x:c>
      <x:c r="E969" s="28" t="n">
        <x:f>IF(M969=0,0,M969+O969)</x:f>
        <x:v>10</x:v>
      </x:c>
      <x:c r="F969" s="28" t="n">
        <x:f>IF(M969=0,0,M969*N969+O969)</x:f>
        <x:v>16</x:v>
      </x:c>
      <x:c r="G969" s="28" t="n">
        <x:f>ROUND(Catalogue!G52*SQRT((1+'Paramètres'!$B$4*(C969-1)+'Paramètres'!$B$5*(C969-1)^2)),0)</x:f>
        <x:v>0</x:v>
      </x:c>
      <x:c r="H969" s="28" t="n">
        <x:f>ROUND(Catalogue!H52*SQRT((1+'Paramètres'!$B$4*(C969-1)+'Paramètres'!$B$5*(C969-1)^2)),0)</x:f>
        <x:v>0</x:v>
      </x:c>
      <x:c r="I969" s="28" t="n">
        <x:v>2</x:v>
      </x:c>
      <x:c r="J969" s="28" t="n">
        <x:v>5</x:v>
      </x:c>
      <x:c r="K969" s="30" t="n">
        <x:v>2.3</x:v>
      </x:c>
      <x:c r="L969" s="54" t="n">
        <x:f>IF(M969=0,0,(E969+F969)/2)</x:f>
        <x:v>13</x:v>
      </x:c>
      <x:c r="M969" t="n">
        <x:v>2</x:v>
      </x:c>
      <x:c r="N969" t="n">
        <x:v>4</x:v>
      </x:c>
      <x:c r="O969" t="n">
        <x:v>8</x:v>
      </x:c>
      <x:c r="P969" s="63" t="str">
        <x:f>IF(M969=0,"—",M969&amp;"d"&amp;N969&amp;IF(O969=0,""," + "&amp;O969))</x:f>
        <x:v>2d4 + 8</x:v>
      </x:c>
      <x:c r="Q969" t="n">
        <x:f>ROUND(INDEX(Catalogue!E$4:E$85,MATCH(A969,Catalogue!A$4:A$85,0))*(1+'Paramètres'!$B$4*(C969-1)+'Paramètres'!$B$5*(C969-1)^2),0)</x:f>
        <x:v>10</x:v>
      </x:c>
      <x:c r="R969" t="n">
        <x:f>ROUND(INDEX(Catalogue!F$4:F$85,MATCH(A969,Catalogue!A$4:A$85,0))*(1+'Paramètres'!$B$4*(C969-1)+'Paramètres'!$B$5*(C969-1)^2),0)</x:f>
        <x:v>16</x:v>
      </x:c>
      <x:c r="S969" t="n">
        <x:f>L969-AVERAGE(Q969:R969)</x:f>
        <x:v>0</x:v>
      </x:c>
      <x:c r="T969" t="str">
        <x:f>IF(M969=0,IF(AND(N969=0,O969=0,E969=0,F969=0),"OK","ERREUR"),IF(AND(M969&gt;=1,M969&lt;=32,OR(N969=4,N969=6,N969=8,N969=10,N969=12,N969=20),O969&gt;=0,E969=M969+O969,F969=M969*N969+O969),"OK","ERREUR"))</x:f>
        <x:v>OK</x:v>
      </x:c>
      <x:c r="U969" s="86" t="n">
        <x:f>IF(M969&gt;0,M969*(N969+1)/2+O969,0)</x:f>
        <x:v>13</x:v>
      </x:c>
      <x:c r="V969" t="str">
        <x:f>IF(ABS(L969-U969)&lt;0.001,"OK","ERREUR")</x:f>
        <x:v>OK</x:v>
      </x:c>
    </x:row>
    <x:row r="970" ht="18" customHeight="1">
      <x:c r="A970" t="str">
        <x:v>ARM049</x:v>
      </x:c>
      <x:c r="B970" t="str">
        <x:v>Arbalète légère</x:v>
      </x:c>
      <x:c r="C970" t="n">
        <x:v>7</x:v>
      </x:c>
      <x:c r="D970" t="str">
        <x:v>Distance</x:v>
      </x:c>
      <x:c r="E970" s="28" t="n">
        <x:f>IF(M970=0,0,M970+O970)</x:f>
        <x:v>11</x:v>
      </x:c>
      <x:c r="F970" s="28" t="n">
        <x:f>IF(M970=0,0,M970*N970+O970)</x:f>
        <x:v>18</x:v>
      </x:c>
      <x:c r="G970" s="28" t="n">
        <x:f>ROUND(Catalogue!G52*SQRT((1+'Paramètres'!$B$4*(C970-1)+'Paramètres'!$B$5*(C970-1)^2)),0)</x:f>
        <x:v>0</x:v>
      </x:c>
      <x:c r="H970" s="28" t="n">
        <x:f>ROUND(Catalogue!H52*SQRT((1+'Paramètres'!$B$4*(C970-1)+'Paramètres'!$B$5*(C970-1)^2)),0)</x:f>
        <x:v>0</x:v>
      </x:c>
      <x:c r="I970" s="28" t="n">
        <x:v>2</x:v>
      </x:c>
      <x:c r="J970" s="28" t="n">
        <x:v>5</x:v>
      </x:c>
      <x:c r="K970" s="30" t="n">
        <x:v>2.3</x:v>
      </x:c>
      <x:c r="L970" s="54" t="n">
        <x:f>IF(M970=0,0,(E970+F970)/2)</x:f>
        <x:v>14.5</x:v>
      </x:c>
      <x:c r="M970" t="n">
        <x:v>1</x:v>
      </x:c>
      <x:c r="N970" t="n">
        <x:v>8</x:v>
      </x:c>
      <x:c r="O970" t="n">
        <x:v>10</x:v>
      </x:c>
      <x:c r="P970" s="63" t="str">
        <x:f>IF(M970=0,"—",M970&amp;"d"&amp;N970&amp;IF(O970=0,""," + "&amp;O970))</x:f>
        <x:v>1d8 + 10</x:v>
      </x:c>
      <x:c r="Q970" t="n">
        <x:f>ROUND(INDEX(Catalogue!E$4:E$85,MATCH(A970,Catalogue!A$4:A$85,0))*(1+'Paramètres'!$B$4*(C970-1)+'Paramètres'!$B$5*(C970-1)^2),0)</x:f>
        <x:v>11</x:v>
      </x:c>
      <x:c r="R970" t="n">
        <x:f>ROUND(INDEX(Catalogue!F$4:F$85,MATCH(A970,Catalogue!A$4:A$85,0))*(1+'Paramètres'!$B$4*(C970-1)+'Paramètres'!$B$5*(C970-1)^2),0)</x:f>
        <x:v>18</x:v>
      </x:c>
      <x:c r="S970" t="n">
        <x:f>L970-AVERAGE(Q970:R970)</x:f>
        <x:v>0</x:v>
      </x:c>
      <x:c r="T970" t="str">
        <x:f>IF(M970=0,IF(AND(N970=0,O970=0,E970=0,F970=0),"OK","ERREUR"),IF(AND(M970&gt;=1,M970&lt;=32,OR(N970=4,N970=6,N970=8,N970=10,N970=12,N970=20),O970&gt;=0,E970=M970+O970,F970=M970*N970+O970),"OK","ERREUR"))</x:f>
        <x:v>OK</x:v>
      </x:c>
      <x:c r="U970" s="86" t="n">
        <x:f>IF(M970&gt;0,M970*(N970+1)/2+O970,0)</x:f>
        <x:v>14.5</x:v>
      </x:c>
      <x:c r="V970" t="str">
        <x:f>IF(ABS(L970-U970)&lt;0.001,"OK","ERREUR")</x:f>
        <x:v>OK</x:v>
      </x:c>
    </x:row>
    <x:row r="971" ht="18" customHeight="1">
      <x:c r="A971" t="str">
        <x:v>ARM049</x:v>
      </x:c>
      <x:c r="B971" t="str">
        <x:v>Arbalète légère</x:v>
      </x:c>
      <x:c r="C971" t="n">
        <x:v>8</x:v>
      </x:c>
      <x:c r="D971" t="str">
        <x:v>Distance</x:v>
      </x:c>
      <x:c r="E971" s="28" t="n">
        <x:f>IF(M971=0,0,M971+O971)</x:f>
        <x:v>13</x:v>
      </x:c>
      <x:c r="F971" s="28" t="n">
        <x:f>IF(M971=0,0,M971*N971+O971)</x:f>
        <x:v>20</x:v>
      </x:c>
      <x:c r="G971" s="28" t="n">
        <x:f>ROUND(Catalogue!G52*SQRT((1+'Paramètres'!$B$4*(C971-1)+'Paramètres'!$B$5*(C971-1)^2)),0)</x:f>
        <x:v>0</x:v>
      </x:c>
      <x:c r="H971" s="28" t="n">
        <x:f>ROUND(Catalogue!H52*SQRT((1+'Paramètres'!$B$4*(C971-1)+'Paramètres'!$B$5*(C971-1)^2)),0)</x:f>
        <x:v>0</x:v>
      </x:c>
      <x:c r="I971" s="28" t="n">
        <x:v>2</x:v>
      </x:c>
      <x:c r="J971" s="28" t="n">
        <x:v>5</x:v>
      </x:c>
      <x:c r="K971" s="30" t="n">
        <x:v>2.3</x:v>
      </x:c>
      <x:c r="L971" s="54" t="n">
        <x:f>IF(M971=0,0,(E971+F971)/2)</x:f>
        <x:v>16.5</x:v>
      </x:c>
      <x:c r="M971" t="n">
        <x:v>1</x:v>
      </x:c>
      <x:c r="N971" t="n">
        <x:v>8</x:v>
      </x:c>
      <x:c r="O971" t="n">
        <x:v>12</x:v>
      </x:c>
      <x:c r="P971" s="63" t="str">
        <x:f>IF(M971=0,"—",M971&amp;"d"&amp;N971&amp;IF(O971=0,""," + "&amp;O971))</x:f>
        <x:v>1d8 + 12</x:v>
      </x:c>
      <x:c r="Q971" t="n">
        <x:f>ROUND(INDEX(Catalogue!E$4:E$85,MATCH(A971,Catalogue!A$4:A$85,0))*(1+'Paramètres'!$B$4*(C971-1)+'Paramètres'!$B$5*(C971-1)^2),0)</x:f>
        <x:v>13</x:v>
      </x:c>
      <x:c r="R971" t="n">
        <x:f>ROUND(INDEX(Catalogue!F$4:F$85,MATCH(A971,Catalogue!A$4:A$85,0))*(1+'Paramètres'!$B$4*(C971-1)+'Paramètres'!$B$5*(C971-1)^2),0)</x:f>
        <x:v>20</x:v>
      </x:c>
      <x:c r="S971" t="n">
        <x:f>L971-AVERAGE(Q971:R971)</x:f>
        <x:v>0</x:v>
      </x:c>
      <x:c r="T971" t="str">
        <x:f>IF(M971=0,IF(AND(N971=0,O971=0,E971=0,F971=0),"OK","ERREUR"),IF(AND(M971&gt;=1,M971&lt;=32,OR(N971=4,N971=6,N971=8,N971=10,N971=12,N971=20),O971&gt;=0,E971=M971+O971,F971=M971*N971+O971),"OK","ERREUR"))</x:f>
        <x:v>OK</x:v>
      </x:c>
      <x:c r="U971" s="86" t="n">
        <x:f>IF(M971&gt;0,M971*(N971+1)/2+O971,0)</x:f>
        <x:v>16.5</x:v>
      </x:c>
      <x:c r="V971" t="str">
        <x:f>IF(ABS(L971-U971)&lt;0.001,"OK","ERREUR")</x:f>
        <x:v>OK</x:v>
      </x:c>
    </x:row>
    <x:row r="972" ht="18" customHeight="1">
      <x:c r="A972" t="str">
        <x:v>ARM049</x:v>
      </x:c>
      <x:c r="B972" t="str">
        <x:v>Arbalète légère</x:v>
      </x:c>
      <x:c r="C972" t="n">
        <x:v>9</x:v>
      </x:c>
      <x:c r="D972" t="str">
        <x:v>Distance</x:v>
      </x:c>
      <x:c r="E972" s="28" t="n">
        <x:f>IF(M972=0,0,M972+O972)</x:f>
        <x:v>14</x:v>
      </x:c>
      <x:c r="F972" s="28" t="n">
        <x:f>IF(M972=0,0,M972*N972+O972)</x:f>
        <x:v>23</x:v>
      </x:c>
      <x:c r="G972" s="28" t="n">
        <x:f>ROUND(Catalogue!G52*SQRT((1+'Paramètres'!$B$4*(C972-1)+'Paramètres'!$B$5*(C972-1)^2)),0)</x:f>
        <x:v>0</x:v>
      </x:c>
      <x:c r="H972" s="28" t="n">
        <x:f>ROUND(Catalogue!H52*SQRT((1+'Paramètres'!$B$4*(C972-1)+'Paramètres'!$B$5*(C972-1)^2)),0)</x:f>
        <x:v>0</x:v>
      </x:c>
      <x:c r="I972" s="28" t="n">
        <x:v>2</x:v>
      </x:c>
      <x:c r="J972" s="28" t="n">
        <x:v>5</x:v>
      </x:c>
      <x:c r="K972" s="30" t="n">
        <x:v>2.3</x:v>
      </x:c>
      <x:c r="L972" s="54" t="n">
        <x:f>IF(M972=0,0,(E972+F972)/2)</x:f>
        <x:v>18.5</x:v>
      </x:c>
      <x:c r="M972" t="n">
        <x:v>3</x:v>
      </x:c>
      <x:c r="N972" t="n">
        <x:v>4</x:v>
      </x:c>
      <x:c r="O972" t="n">
        <x:v>11</x:v>
      </x:c>
      <x:c r="P972" s="63" t="str">
        <x:f>IF(M972=0,"—",M972&amp;"d"&amp;N972&amp;IF(O972=0,""," + "&amp;O972))</x:f>
        <x:v>3d4 + 11</x:v>
      </x:c>
      <x:c r="Q972" t="n">
        <x:f>ROUND(INDEX(Catalogue!E$4:E$85,MATCH(A972,Catalogue!A$4:A$85,0))*(1+'Paramètres'!$B$4*(C972-1)+'Paramètres'!$B$5*(C972-1)^2),0)</x:f>
        <x:v>15</x:v>
      </x:c>
      <x:c r="R972" t="n">
        <x:f>ROUND(INDEX(Catalogue!F$4:F$85,MATCH(A972,Catalogue!A$4:A$85,0))*(1+'Paramètres'!$B$4*(C972-1)+'Paramètres'!$B$5*(C972-1)^2),0)</x:f>
        <x:v>23</x:v>
      </x:c>
      <x:c r="S972" t="n">
        <x:f>L972-AVERAGE(Q972:R972)</x:f>
        <x:v>-0.5</x:v>
      </x:c>
      <x:c r="T972" t="str">
        <x:f>IF(M972=0,IF(AND(N972=0,O972=0,E972=0,F972=0),"OK","ERREUR"),IF(AND(M972&gt;=1,M972&lt;=32,OR(N972=4,N972=6,N972=8,N972=10,N972=12,N972=20),O972&gt;=0,E972=M972+O972,F972=M972*N972+O972),"OK","ERREUR"))</x:f>
        <x:v>OK</x:v>
      </x:c>
      <x:c r="U972" s="86" t="n">
        <x:f>IF(M972&gt;0,M972*(N972+1)/2+O972,0)</x:f>
        <x:v>18.5</x:v>
      </x:c>
      <x:c r="V972" t="str">
        <x:f>IF(ABS(L972-U972)&lt;0.001,"OK","ERREUR")</x:f>
        <x:v>OK</x:v>
      </x:c>
    </x:row>
    <x:row r="973" ht="18" customHeight="1">
      <x:c r="A973" t="str">
        <x:v>ARM049</x:v>
      </x:c>
      <x:c r="B973" t="str">
        <x:v>Arbalète légère</x:v>
      </x:c>
      <x:c r="C973" t="n">
        <x:v>10</x:v>
      </x:c>
      <x:c r="D973" t="str">
        <x:v>Distance</x:v>
      </x:c>
      <x:c r="E973" s="28" t="n">
        <x:f>IF(M973=0,0,M973+O973)</x:f>
        <x:v>16</x:v>
      </x:c>
      <x:c r="F973" s="28" t="n">
        <x:f>IF(M973=0,0,M973*N973+O973)</x:f>
        <x:v>26</x:v>
      </x:c>
      <x:c r="G973" s="28" t="n">
        <x:f>ROUND(Catalogue!G52*SQRT((1+'Paramètres'!$B$4*(C973-1)+'Paramètres'!$B$5*(C973-1)^2)),0)</x:f>
        <x:v>0</x:v>
      </x:c>
      <x:c r="H973" s="28" t="n">
        <x:f>ROUND(Catalogue!H52*SQRT((1+'Paramètres'!$B$4*(C973-1)+'Paramètres'!$B$5*(C973-1)^2)),0)</x:f>
        <x:v>0</x:v>
      </x:c>
      <x:c r="I973" s="28" t="n">
        <x:v>2</x:v>
      </x:c>
      <x:c r="J973" s="28" t="n">
        <x:v>5</x:v>
      </x:c>
      <x:c r="K973" s="30" t="n">
        <x:v>2.3</x:v>
      </x:c>
      <x:c r="L973" s="54" t="n">
        <x:f>IF(M973=0,0,(E973+F973)/2)</x:f>
        <x:v>21</x:v>
      </x:c>
      <x:c r="M973" t="n">
        <x:v>2</x:v>
      </x:c>
      <x:c r="N973" t="n">
        <x:v>6</x:v>
      </x:c>
      <x:c r="O973" t="n">
        <x:v>14</x:v>
      </x:c>
      <x:c r="P973" s="63" t="str">
        <x:f>IF(M973=0,"—",M973&amp;"d"&amp;N973&amp;IF(O973=0,""," + "&amp;O973))</x:f>
        <x:v>2d6 + 14</x:v>
      </x:c>
      <x:c r="Q973" t="n">
        <x:f>ROUND(INDEX(Catalogue!E$4:E$85,MATCH(A973,Catalogue!A$4:A$85,0))*(1+'Paramètres'!$B$4*(C973-1)+'Paramètres'!$B$5*(C973-1)^2),0)</x:f>
        <x:v>16</x:v>
      </x:c>
      <x:c r="R973" t="n">
        <x:f>ROUND(INDEX(Catalogue!F$4:F$85,MATCH(A973,Catalogue!A$4:A$85,0))*(1+'Paramètres'!$B$4*(C973-1)+'Paramètres'!$B$5*(C973-1)^2),0)</x:f>
        <x:v>26</x:v>
      </x:c>
      <x:c r="S973" t="n">
        <x:f>L973-AVERAGE(Q973:R973)</x:f>
        <x:v>0</x:v>
      </x:c>
      <x:c r="T973" t="str">
        <x:f>IF(M973=0,IF(AND(N973=0,O973=0,E973=0,F973=0),"OK","ERREUR"),IF(AND(M973&gt;=1,M973&lt;=32,OR(N973=4,N973=6,N973=8,N973=10,N973=12,N973=20),O973&gt;=0,E973=M973+O973,F973=M973*N973+O973),"OK","ERREUR"))</x:f>
        <x:v>OK</x:v>
      </x:c>
      <x:c r="U973" s="86" t="n">
        <x:f>IF(M973&gt;0,M973*(N973+1)/2+O973,0)</x:f>
        <x:v>21</x:v>
      </x:c>
      <x:c r="V973" t="str">
        <x:f>IF(ABS(L973-U973)&lt;0.001,"OK","ERREUR")</x:f>
        <x:v>OK</x:v>
      </x:c>
    </x:row>
    <x:row r="974" ht="18" customHeight="1">
      <x:c r="A974" t="str">
        <x:v>ARM049</x:v>
      </x:c>
      <x:c r="B974" t="str">
        <x:v>Arbalète légère</x:v>
      </x:c>
      <x:c r="C974" t="n">
        <x:v>11</x:v>
      </x:c>
      <x:c r="D974" t="str">
        <x:v>Distance</x:v>
      </x:c>
      <x:c r="E974" s="28" t="n">
        <x:f>IF(M974=0,0,M974+O974)</x:f>
        <x:v>19</x:v>
      </x:c>
      <x:c r="F974" s="28" t="n">
        <x:f>IF(M974=0,0,M974*N974+O974)</x:f>
        <x:v>30</x:v>
      </x:c>
      <x:c r="G974" s="28" t="n">
        <x:f>ROUND(Catalogue!G52*SQRT((1+'Paramètres'!$B$4*(C974-1)+'Paramètres'!$B$5*(C974-1)^2)),0)</x:f>
        <x:v>0</x:v>
      </x:c>
      <x:c r="H974" s="28" t="n">
        <x:f>ROUND(Catalogue!H52*SQRT((1+'Paramètres'!$B$4*(C974-1)+'Paramètres'!$B$5*(C974-1)^2)),0)</x:f>
        <x:v>0</x:v>
      </x:c>
      <x:c r="I974" s="28" t="n">
        <x:v>2</x:v>
      </x:c>
      <x:c r="J974" s="28" t="n">
        <x:v>5</x:v>
      </x:c>
      <x:c r="K974" s="30" t="n">
        <x:v>2.3</x:v>
      </x:c>
      <x:c r="L974" s="54" t="n">
        <x:f>IF(M974=0,0,(E974+F974)/2)</x:f>
        <x:v>24.5</x:v>
      </x:c>
      <x:c r="M974" t="n">
        <x:v>1</x:v>
      </x:c>
      <x:c r="N974" t="n">
        <x:v>12</x:v>
      </x:c>
      <x:c r="O974" t="n">
        <x:v>18</x:v>
      </x:c>
      <x:c r="P974" s="63" t="str">
        <x:f>IF(M974=0,"—",M974&amp;"d"&amp;N974&amp;IF(O974=0,""," + "&amp;O974))</x:f>
        <x:v>1d12 + 18</x:v>
      </x:c>
      <x:c r="Q974" t="n">
        <x:f>ROUND(INDEX(Catalogue!E$4:E$85,MATCH(A974,Catalogue!A$4:A$85,0))*(1+'Paramètres'!$B$4*(C974-1)+'Paramètres'!$B$5*(C974-1)^2),0)</x:f>
        <x:v>19</x:v>
      </x:c>
      <x:c r="R974" t="n">
        <x:f>ROUND(INDEX(Catalogue!F$4:F$85,MATCH(A974,Catalogue!A$4:A$85,0))*(1+'Paramètres'!$B$4*(C974-1)+'Paramètres'!$B$5*(C974-1)^2),0)</x:f>
        <x:v>30</x:v>
      </x:c>
      <x:c r="S974" t="n">
        <x:f>L974-AVERAGE(Q974:R974)</x:f>
        <x:v>0</x:v>
      </x:c>
      <x:c r="T974" t="str">
        <x:f>IF(M974=0,IF(AND(N974=0,O974=0,E974=0,F974=0),"OK","ERREUR"),IF(AND(M974&gt;=1,M974&lt;=32,OR(N974=4,N974=6,N974=8,N974=10,N974=12,N974=20),O974&gt;=0,E974=M974+O974,F974=M974*N974+O974),"OK","ERREUR"))</x:f>
        <x:v>OK</x:v>
      </x:c>
      <x:c r="U974" s="86" t="n">
        <x:f>IF(M974&gt;0,M974*(N974+1)/2+O974,0)</x:f>
        <x:v>24.5</x:v>
      </x:c>
      <x:c r="V974" t="str">
        <x:f>IF(ABS(L974-U974)&lt;0.001,"OK","ERREUR")</x:f>
        <x:v>OK</x:v>
      </x:c>
    </x:row>
    <x:row r="975" ht="18" customHeight="1">
      <x:c r="A975" t="str">
        <x:v>ARM049</x:v>
      </x:c>
      <x:c r="B975" t="str">
        <x:v>Arbalète légère</x:v>
      </x:c>
      <x:c r="C975" t="n">
        <x:v>12</x:v>
      </x:c>
      <x:c r="D975" t="str">
        <x:v>Distance</x:v>
      </x:c>
      <x:c r="E975" s="28" t="n">
        <x:f>IF(M975=0,0,M975+O975)</x:f>
        <x:v>21</x:v>
      </x:c>
      <x:c r="F975" s="28" t="n">
        <x:f>IF(M975=0,0,M975*N975+O975)</x:f>
        <x:v>33</x:v>
      </x:c>
      <x:c r="G975" s="28" t="n">
        <x:f>ROUND(Catalogue!G52*SQRT((1+'Paramètres'!$B$4*(C975-1)+'Paramètres'!$B$5*(C975-1)^2)),0)</x:f>
        <x:v>0</x:v>
      </x:c>
      <x:c r="H975" s="28" t="n">
        <x:f>ROUND(Catalogue!H52*SQRT((1+'Paramètres'!$B$4*(C975-1)+'Paramètres'!$B$5*(C975-1)^2)),0)</x:f>
        <x:v>0</x:v>
      </x:c>
      <x:c r="I975" s="28" t="n">
        <x:v>2</x:v>
      </x:c>
      <x:c r="J975" s="28" t="n">
        <x:v>5</x:v>
      </x:c>
      <x:c r="K975" s="30" t="n">
        <x:v>2.3</x:v>
      </x:c>
      <x:c r="L975" s="54" t="n">
        <x:f>IF(M975=0,0,(E975+F975)/2)</x:f>
        <x:v>27</x:v>
      </x:c>
      <x:c r="M975" t="n">
        <x:v>4</x:v>
      </x:c>
      <x:c r="N975" t="n">
        <x:v>4</x:v>
      </x:c>
      <x:c r="O975" t="n">
        <x:v>17</x:v>
      </x:c>
      <x:c r="P975" s="63" t="str">
        <x:f>IF(M975=0,"—",M975&amp;"d"&amp;N975&amp;IF(O975=0,""," + "&amp;O975))</x:f>
        <x:v>4d4 + 17</x:v>
      </x:c>
      <x:c r="Q975" t="n">
        <x:f>ROUND(INDEX(Catalogue!E$4:E$85,MATCH(A975,Catalogue!A$4:A$85,0))*(1+'Paramètres'!$B$4*(C975-1)+'Paramètres'!$B$5*(C975-1)^2),0)</x:f>
        <x:v>21</x:v>
      </x:c>
      <x:c r="R975" t="n">
        <x:f>ROUND(INDEX(Catalogue!F$4:F$85,MATCH(A975,Catalogue!A$4:A$85,0))*(1+'Paramètres'!$B$4*(C975-1)+'Paramètres'!$B$5*(C975-1)^2),0)</x:f>
        <x:v>33</x:v>
      </x:c>
      <x:c r="S975" t="n">
        <x:f>L975-AVERAGE(Q975:R975)</x:f>
        <x:v>0</x:v>
      </x:c>
      <x:c r="T975" t="str">
        <x:f>IF(M975=0,IF(AND(N975=0,O975=0,E975=0,F975=0),"OK","ERREUR"),IF(AND(M975&gt;=1,M975&lt;=32,OR(N975=4,N975=6,N975=8,N975=10,N975=12,N975=20),O975&gt;=0,E975=M975+O975,F975=M975*N975+O975),"OK","ERREUR"))</x:f>
        <x:v>OK</x:v>
      </x:c>
      <x:c r="U975" s="86" t="n">
        <x:f>IF(M975&gt;0,M975*(N975+1)/2+O975,0)</x:f>
        <x:v>27</x:v>
      </x:c>
      <x:c r="V975" t="str">
        <x:f>IF(ABS(L975-U975)&lt;0.001,"OK","ERREUR")</x:f>
        <x:v>OK</x:v>
      </x:c>
    </x:row>
    <x:row r="976" ht="18" customHeight="1">
      <x:c r="A976" t="str">
        <x:v>ARM049</x:v>
      </x:c>
      <x:c r="B976" t="str">
        <x:v>Arbalète légère</x:v>
      </x:c>
      <x:c r="C976" t="n">
        <x:v>13</x:v>
      </x:c>
      <x:c r="D976" t="str">
        <x:v>Distance</x:v>
      </x:c>
      <x:c r="E976" s="28" t="n">
        <x:f>IF(M976=0,0,M976+O976)</x:f>
        <x:v>23</x:v>
      </x:c>
      <x:c r="F976" s="28" t="n">
        <x:f>IF(M976=0,0,M976*N976+O976)</x:f>
        <x:v>37</x:v>
      </x:c>
      <x:c r="G976" s="28" t="n">
        <x:f>ROUND(Catalogue!G52*SQRT((1+'Paramètres'!$B$4*(C976-1)+'Paramètres'!$B$5*(C976-1)^2)),0)</x:f>
        <x:v>0</x:v>
      </x:c>
      <x:c r="H976" s="28" t="n">
        <x:f>ROUND(Catalogue!H52*SQRT((1+'Paramètres'!$B$4*(C976-1)+'Paramètres'!$B$5*(C976-1)^2)),0)</x:f>
        <x:v>0</x:v>
      </x:c>
      <x:c r="I976" s="28" t="n">
        <x:v>2</x:v>
      </x:c>
      <x:c r="J976" s="28" t="n">
        <x:v>5</x:v>
      </x:c>
      <x:c r="K976" s="30" t="n">
        <x:v>2.3</x:v>
      </x:c>
      <x:c r="L976" s="54" t="n">
        <x:f>IF(M976=0,0,(E976+F976)/2)</x:f>
        <x:v>30</x:v>
      </x:c>
      <x:c r="M976" t="n">
        <x:v>2</x:v>
      </x:c>
      <x:c r="N976" t="n">
        <x:v>8</x:v>
      </x:c>
      <x:c r="O976" t="n">
        <x:v>21</x:v>
      </x:c>
      <x:c r="P976" s="63" t="str">
        <x:f>IF(M976=0,"—",M976&amp;"d"&amp;N976&amp;IF(O976=0,""," + "&amp;O976))</x:f>
        <x:v>2d8 + 21</x:v>
      </x:c>
      <x:c r="Q976" t="n">
        <x:f>ROUND(INDEX(Catalogue!E$4:E$85,MATCH(A976,Catalogue!A$4:A$85,0))*(1+'Paramètres'!$B$4*(C976-1)+'Paramètres'!$B$5*(C976-1)^2),0)</x:f>
        <x:v>23</x:v>
      </x:c>
      <x:c r="R976" t="n">
        <x:f>ROUND(INDEX(Catalogue!F$4:F$85,MATCH(A976,Catalogue!A$4:A$85,0))*(1+'Paramètres'!$B$4*(C976-1)+'Paramètres'!$B$5*(C976-1)^2),0)</x:f>
        <x:v>37</x:v>
      </x:c>
      <x:c r="S976" t="n">
        <x:f>L976-AVERAGE(Q976:R976)</x:f>
        <x:v>0</x:v>
      </x:c>
      <x:c r="T976" t="str">
        <x:f>IF(M976=0,IF(AND(N976=0,O976=0,E976=0,F976=0),"OK","ERREUR"),IF(AND(M976&gt;=1,M976&lt;=32,OR(N976=4,N976=6,N976=8,N976=10,N976=12,N976=20),O976&gt;=0,E976=M976+O976,F976=M976*N976+O976),"OK","ERREUR"))</x:f>
        <x:v>OK</x:v>
      </x:c>
      <x:c r="U976" s="86" t="n">
        <x:f>IF(M976&gt;0,M976*(N976+1)/2+O976,0)</x:f>
        <x:v>30</x:v>
      </x:c>
      <x:c r="V976" t="str">
        <x:f>IF(ABS(L976-U976)&lt;0.001,"OK","ERREUR")</x:f>
        <x:v>OK</x:v>
      </x:c>
    </x:row>
    <x:row r="977" ht="18" customHeight="1">
      <x:c r="A977" t="str">
        <x:v>ARM049</x:v>
      </x:c>
      <x:c r="B977" t="str">
        <x:v>Arbalète légère</x:v>
      </x:c>
      <x:c r="C977" t="n">
        <x:v>14</x:v>
      </x:c>
      <x:c r="D977" t="str">
        <x:v>Distance</x:v>
      </x:c>
      <x:c r="E977" s="28" t="n">
        <x:f>IF(M977=0,0,M977+O977)</x:f>
        <x:v>26</x:v>
      </x:c>
      <x:c r="F977" s="28" t="n">
        <x:f>IF(M977=0,0,M977*N977+O977)</x:f>
        <x:v>41</x:v>
      </x:c>
      <x:c r="G977" s="28" t="n">
        <x:f>ROUND(Catalogue!G52*SQRT((1+'Paramètres'!$B$4*(C977-1)+'Paramètres'!$B$5*(C977-1)^2)),0)</x:f>
        <x:v>0</x:v>
      </x:c>
      <x:c r="H977" s="28" t="n">
        <x:f>ROUND(Catalogue!H52*SQRT((1+'Paramètres'!$B$4*(C977-1)+'Paramètres'!$B$5*(C977-1)^2)),0)</x:f>
        <x:v>0</x:v>
      </x:c>
      <x:c r="I977" s="28" t="n">
        <x:v>2</x:v>
      </x:c>
      <x:c r="J977" s="28" t="n">
        <x:v>5</x:v>
      </x:c>
      <x:c r="K977" s="30" t="n">
        <x:v>2.3</x:v>
      </x:c>
      <x:c r="L977" s="54" t="n">
        <x:f>IF(M977=0,0,(E977+F977)/2)</x:f>
        <x:v>33.5</x:v>
      </x:c>
      <x:c r="M977" t="n">
        <x:v>3</x:v>
      </x:c>
      <x:c r="N977" t="n">
        <x:v>6</x:v>
      </x:c>
      <x:c r="O977" t="n">
        <x:v>23</x:v>
      </x:c>
      <x:c r="P977" s="63" t="str">
        <x:f>IF(M977=0,"—",M977&amp;"d"&amp;N977&amp;IF(O977=0,""," + "&amp;O977))</x:f>
        <x:v>3d6 + 23</x:v>
      </x:c>
      <x:c r="Q977" t="n">
        <x:f>ROUND(INDEX(Catalogue!E$4:E$85,MATCH(A977,Catalogue!A$4:A$85,0))*(1+'Paramètres'!$B$4*(C977-1)+'Paramètres'!$B$5*(C977-1)^2),0)</x:f>
        <x:v>26</x:v>
      </x:c>
      <x:c r="R977" t="n">
        <x:f>ROUND(INDEX(Catalogue!F$4:F$85,MATCH(A977,Catalogue!A$4:A$85,0))*(1+'Paramètres'!$B$4*(C977-1)+'Paramètres'!$B$5*(C977-1)^2),0)</x:f>
        <x:v>41</x:v>
      </x:c>
      <x:c r="S977" t="n">
        <x:f>L977-AVERAGE(Q977:R977)</x:f>
        <x:v>0</x:v>
      </x:c>
      <x:c r="T977" t="str">
        <x:f>IF(M977=0,IF(AND(N977=0,O977=0,E977=0,F977=0),"OK","ERREUR"),IF(AND(M977&gt;=1,M977&lt;=32,OR(N977=4,N977=6,N977=8,N977=10,N977=12,N977=20),O977&gt;=0,E977=M977+O977,F977=M977*N977+O977),"OK","ERREUR"))</x:f>
        <x:v>OK</x:v>
      </x:c>
      <x:c r="U977" s="86" t="n">
        <x:f>IF(M977&gt;0,M977*(N977+1)/2+O977,0)</x:f>
        <x:v>33.5</x:v>
      </x:c>
      <x:c r="V977" t="str">
        <x:f>IF(ABS(L977-U977)&lt;0.001,"OK","ERREUR")</x:f>
        <x:v>OK</x:v>
      </x:c>
    </x:row>
    <x:row r="978" ht="18" customHeight="1">
      <x:c r="A978" t="str">
        <x:v>ARM049</x:v>
      </x:c>
      <x:c r="B978" t="str">
        <x:v>Arbalète légère</x:v>
      </x:c>
      <x:c r="C978" t="n">
        <x:v>15</x:v>
      </x:c>
      <x:c r="D978" t="str">
        <x:v>Distance</x:v>
      </x:c>
      <x:c r="E978" s="28" t="n">
        <x:f>IF(M978=0,0,M978+O978)</x:f>
        <x:v>27</x:v>
      </x:c>
      <x:c r="F978" s="28" t="n">
        <x:f>IF(M978=0,0,M978*N978+O978)</x:f>
        <x:v>45</x:v>
      </x:c>
      <x:c r="G978" s="28" t="n">
        <x:f>ROUND(Catalogue!G52*SQRT((1+'Paramètres'!$B$4*(C978-1)+'Paramètres'!$B$5*(C978-1)^2)),0)</x:f>
        <x:v>0</x:v>
      </x:c>
      <x:c r="H978" s="28" t="n">
        <x:f>ROUND(Catalogue!H52*SQRT((1+'Paramètres'!$B$4*(C978-1)+'Paramètres'!$B$5*(C978-1)^2)),0)</x:f>
        <x:v>0</x:v>
      </x:c>
      <x:c r="I978" s="28" t="n">
        <x:v>2</x:v>
      </x:c>
      <x:c r="J978" s="28" t="n">
        <x:v>5</x:v>
      </x:c>
      <x:c r="K978" s="30" t="n">
        <x:v>2.3</x:v>
      </x:c>
      <x:c r="L978" s="54" t="n">
        <x:f>IF(M978=0,0,(E978+F978)/2)</x:f>
        <x:v>36</x:v>
      </x:c>
      <x:c r="M978" t="n">
        <x:v>2</x:v>
      </x:c>
      <x:c r="N978" t="n">
        <x:v>10</x:v>
      </x:c>
      <x:c r="O978" t="n">
        <x:v>25</x:v>
      </x:c>
      <x:c r="P978" s="63" t="str">
        <x:f>IF(M978=0,"—",M978&amp;"d"&amp;N978&amp;IF(O978=0,""," + "&amp;O978))</x:f>
        <x:v>2d10 + 25</x:v>
      </x:c>
      <x:c r="Q978" t="n">
        <x:f>ROUND(INDEX(Catalogue!E$4:E$85,MATCH(A978,Catalogue!A$4:A$85,0))*(1+'Paramètres'!$B$4*(C978-1)+'Paramètres'!$B$5*(C978-1)^2),0)</x:f>
        <x:v>28</x:v>
      </x:c>
      <x:c r="R978" t="n">
        <x:f>ROUND(INDEX(Catalogue!F$4:F$85,MATCH(A978,Catalogue!A$4:A$85,0))*(1+'Paramètres'!$B$4*(C978-1)+'Paramètres'!$B$5*(C978-1)^2),0)</x:f>
        <x:v>45</x:v>
      </x:c>
      <x:c r="S978" t="n">
        <x:f>L978-AVERAGE(Q978:R978)</x:f>
        <x:v>-0.5</x:v>
      </x:c>
      <x:c r="T978" t="str">
        <x:f>IF(M978=0,IF(AND(N978=0,O978=0,E978=0,F978=0),"OK","ERREUR"),IF(AND(M978&gt;=1,M978&lt;=32,OR(N978=4,N978=6,N978=8,N978=10,N978=12,N978=20),O978&gt;=0,E978=M978+O978,F978=M978*N978+O978),"OK","ERREUR"))</x:f>
        <x:v>OK</x:v>
      </x:c>
      <x:c r="U978" s="86" t="n">
        <x:f>IF(M978&gt;0,M978*(N978+1)/2+O978,0)</x:f>
        <x:v>36</x:v>
      </x:c>
      <x:c r="V978" t="str">
        <x:f>IF(ABS(L978-U978)&lt;0.001,"OK","ERREUR")</x:f>
        <x:v>OK</x:v>
      </x:c>
    </x:row>
    <x:row r="979" ht="18" customHeight="1">
      <x:c r="A979" t="str">
        <x:v>ARM049</x:v>
      </x:c>
      <x:c r="B979" t="str">
        <x:v>Arbalète légère</x:v>
      </x:c>
      <x:c r="C979" t="n">
        <x:v>16</x:v>
      </x:c>
      <x:c r="D979" t="str">
        <x:v>Distance</x:v>
      </x:c>
      <x:c r="E979" s="28" t="n">
        <x:f>IF(M979=0,0,M979+O979)</x:f>
        <x:v>31</x:v>
      </x:c>
      <x:c r="F979" s="28" t="n">
        <x:f>IF(M979=0,0,M979*N979+O979)</x:f>
        <x:v>49</x:v>
      </x:c>
      <x:c r="G979" s="28" t="n">
        <x:f>ROUND(Catalogue!G52*SQRT((1+'Paramètres'!$B$4*(C979-1)+'Paramètres'!$B$5*(C979-1)^2)),0)</x:f>
        <x:v>0</x:v>
      </x:c>
      <x:c r="H979" s="28" t="n">
        <x:f>ROUND(Catalogue!H52*SQRT((1+'Paramètres'!$B$4*(C979-1)+'Paramètres'!$B$5*(C979-1)^2)),0)</x:f>
        <x:v>0</x:v>
      </x:c>
      <x:c r="I979" s="28" t="n">
        <x:v>2</x:v>
      </x:c>
      <x:c r="J979" s="28" t="n">
        <x:v>5</x:v>
      </x:c>
      <x:c r="K979" s="30" t="n">
        <x:v>2.3</x:v>
      </x:c>
      <x:c r="L979" s="54" t="n">
        <x:f>IF(M979=0,0,(E979+F979)/2)</x:f>
        <x:v>40</x:v>
      </x:c>
      <x:c r="M979" t="n">
        <x:v>2</x:v>
      </x:c>
      <x:c r="N979" t="n">
        <x:v>10</x:v>
      </x:c>
      <x:c r="O979" t="n">
        <x:v>29</x:v>
      </x:c>
      <x:c r="P979" s="63" t="str">
        <x:f>IF(M979=0,"—",M979&amp;"d"&amp;N979&amp;IF(O979=0,""," + "&amp;O979))</x:f>
        <x:v>2d10 + 29</x:v>
      </x:c>
      <x:c r="Q979" t="n">
        <x:f>ROUND(INDEX(Catalogue!E$4:E$85,MATCH(A979,Catalogue!A$4:A$85,0))*(1+'Paramètres'!$B$4*(C979-1)+'Paramètres'!$B$5*(C979-1)^2),0)</x:f>
        <x:v>31</x:v>
      </x:c>
      <x:c r="R979" t="n">
        <x:f>ROUND(INDEX(Catalogue!F$4:F$85,MATCH(A979,Catalogue!A$4:A$85,0))*(1+'Paramètres'!$B$4*(C979-1)+'Paramètres'!$B$5*(C979-1)^2),0)</x:f>
        <x:v>50</x:v>
      </x:c>
      <x:c r="S979" t="n">
        <x:f>L979-AVERAGE(Q979:R979)</x:f>
        <x:v>-0.5</x:v>
      </x:c>
      <x:c r="T979" t="str">
        <x:f>IF(M979=0,IF(AND(N979=0,O979=0,E979=0,F979=0),"OK","ERREUR"),IF(AND(M979&gt;=1,M979&lt;=32,OR(N979=4,N979=6,N979=8,N979=10,N979=12,N979=20),O979&gt;=0,E979=M979+O979,F979=M979*N979+O979),"OK","ERREUR"))</x:f>
        <x:v>OK</x:v>
      </x:c>
      <x:c r="U979" s="86" t="n">
        <x:f>IF(M979&gt;0,M979*(N979+1)/2+O979,0)</x:f>
        <x:v>40</x:v>
      </x:c>
      <x:c r="V979" t="str">
        <x:f>IF(ABS(L979-U979)&lt;0.001,"OK","ERREUR")</x:f>
        <x:v>OK</x:v>
      </x:c>
    </x:row>
    <x:row r="980" ht="18" customHeight="1">
      <x:c r="A980" t="str">
        <x:v>ARM049</x:v>
      </x:c>
      <x:c r="B980" t="str">
        <x:v>Arbalète légère</x:v>
      </x:c>
      <x:c r="C980" t="n">
        <x:v>17</x:v>
      </x:c>
      <x:c r="D980" t="str">
        <x:v>Distance</x:v>
      </x:c>
      <x:c r="E980" s="28" t="n">
        <x:f>IF(M980=0,0,M980+O980)</x:f>
        <x:v>34</x:v>
      </x:c>
      <x:c r="F980" s="28" t="n">
        <x:f>IF(M980=0,0,M980*N980+O980)</x:f>
        <x:v>55</x:v>
      </x:c>
      <x:c r="G980" s="28" t="n">
        <x:f>ROUND(Catalogue!G52*SQRT((1+'Paramètres'!$B$4*(C980-1)+'Paramètres'!$B$5*(C980-1)^2)),0)</x:f>
        <x:v>0</x:v>
      </x:c>
      <x:c r="H980" s="28" t="n">
        <x:f>ROUND(Catalogue!H52*SQRT((1+'Paramètres'!$B$4*(C980-1)+'Paramètres'!$B$5*(C980-1)^2)),0)</x:f>
        <x:v>0</x:v>
      </x:c>
      <x:c r="I980" s="28" t="n">
        <x:v>2</x:v>
      </x:c>
      <x:c r="J980" s="28" t="n">
        <x:v>5</x:v>
      </x:c>
      <x:c r="K980" s="30" t="n">
        <x:v>2.3</x:v>
      </x:c>
      <x:c r="L980" s="54" t="n">
        <x:f>IF(M980=0,0,(E980+F980)/2)</x:f>
        <x:v>44.5</x:v>
      </x:c>
      <x:c r="M980" t="n">
        <x:v>3</x:v>
      </x:c>
      <x:c r="N980" t="n">
        <x:v>8</x:v>
      </x:c>
      <x:c r="O980" t="n">
        <x:v>31</x:v>
      </x:c>
      <x:c r="P980" s="63" t="str">
        <x:f>IF(M980=0,"—",M980&amp;"d"&amp;N980&amp;IF(O980=0,""," + "&amp;O980))</x:f>
        <x:v>3d8 + 31</x:v>
      </x:c>
      <x:c r="Q980" t="n">
        <x:f>ROUND(INDEX(Catalogue!E$4:E$85,MATCH(A980,Catalogue!A$4:A$85,0))*(1+'Paramètres'!$B$4*(C980-1)+'Paramètres'!$B$5*(C980-1)^2),0)</x:f>
        <x:v>34</x:v>
      </x:c>
      <x:c r="R980" t="n">
        <x:f>ROUND(INDEX(Catalogue!F$4:F$85,MATCH(A980,Catalogue!A$4:A$85,0))*(1+'Paramètres'!$B$4*(C980-1)+'Paramètres'!$B$5*(C980-1)^2),0)</x:f>
        <x:v>55</x:v>
      </x:c>
      <x:c r="S980" t="n">
        <x:f>L980-AVERAGE(Q980:R980)</x:f>
        <x:v>0</x:v>
      </x:c>
      <x:c r="T980" t="str">
        <x:f>IF(M980=0,IF(AND(N980=0,O980=0,E980=0,F980=0),"OK","ERREUR"),IF(AND(M980&gt;=1,M980&lt;=32,OR(N980=4,N980=6,N980=8,N980=10,N980=12,N980=20),O980&gt;=0,E980=M980+O980,F980=M980*N980+O980),"OK","ERREUR"))</x:f>
        <x:v>OK</x:v>
      </x:c>
      <x:c r="U980" s="86" t="n">
        <x:f>IF(M980&gt;0,M980*(N980+1)/2+O980,0)</x:f>
        <x:v>44.5</x:v>
      </x:c>
      <x:c r="V980" t="str">
        <x:f>IF(ABS(L980-U980)&lt;0.001,"OK","ERREUR")</x:f>
        <x:v>OK</x:v>
      </x:c>
    </x:row>
    <x:row r="981" ht="18" customHeight="1">
      <x:c r="A981" t="str">
        <x:v>ARM049</x:v>
      </x:c>
      <x:c r="B981" t="str">
        <x:v>Arbalète légère</x:v>
      </x:c>
      <x:c r="C981" t="n">
        <x:v>18</x:v>
      </x:c>
      <x:c r="D981" t="str">
        <x:v>Distance</x:v>
      </x:c>
      <x:c r="E981" s="28" t="n">
        <x:f>IF(M981=0,0,M981+O981)</x:f>
        <x:v>37</x:v>
      </x:c>
      <x:c r="F981" s="28" t="n">
        <x:f>IF(M981=0,0,M981*N981+O981)</x:f>
        <x:v>59</x:v>
      </x:c>
      <x:c r="G981" s="28" t="n">
        <x:f>ROUND(Catalogue!G52*SQRT((1+'Paramètres'!$B$4*(C981-1)+'Paramètres'!$B$5*(C981-1)^2)),0)</x:f>
        <x:v>0</x:v>
      </x:c>
      <x:c r="H981" s="28" t="n">
        <x:f>ROUND(Catalogue!H52*SQRT((1+'Paramètres'!$B$4*(C981-1)+'Paramètres'!$B$5*(C981-1)^2)),0)</x:f>
        <x:v>0</x:v>
      </x:c>
      <x:c r="I981" s="28" t="n">
        <x:v>2</x:v>
      </x:c>
      <x:c r="J981" s="28" t="n">
        <x:v>5</x:v>
      </x:c>
      <x:c r="K981" s="30" t="n">
        <x:v>2.3</x:v>
      </x:c>
      <x:c r="L981" s="54" t="n">
        <x:f>IF(M981=0,0,(E981+F981)/2)</x:f>
        <x:v>48</x:v>
      </x:c>
      <x:c r="M981" t="n">
        <x:v>2</x:v>
      </x:c>
      <x:c r="N981" t="n">
        <x:v>12</x:v>
      </x:c>
      <x:c r="O981" t="n">
        <x:v>35</x:v>
      </x:c>
      <x:c r="P981" s="63" t="str">
        <x:f>IF(M981=0,"—",M981&amp;"d"&amp;N981&amp;IF(O981=0,""," + "&amp;O981))</x:f>
        <x:v>2d12 + 35</x:v>
      </x:c>
      <x:c r="Q981" t="n">
        <x:f>ROUND(INDEX(Catalogue!E$4:E$85,MATCH(A981,Catalogue!A$4:A$85,0))*(1+'Paramètres'!$B$4*(C981-1)+'Paramètres'!$B$5*(C981-1)^2),0)</x:f>
        <x:v>37</x:v>
      </x:c>
      <x:c r="R981" t="n">
        <x:f>ROUND(INDEX(Catalogue!F$4:F$85,MATCH(A981,Catalogue!A$4:A$85,0))*(1+'Paramètres'!$B$4*(C981-1)+'Paramètres'!$B$5*(C981-1)^2),0)</x:f>
        <x:v>60</x:v>
      </x:c>
      <x:c r="S981" t="n">
        <x:f>L981-AVERAGE(Q981:R981)</x:f>
        <x:v>-0.5</x:v>
      </x:c>
      <x:c r="T981" t="str">
        <x:f>IF(M981=0,IF(AND(N981=0,O981=0,E981=0,F981=0),"OK","ERREUR"),IF(AND(M981&gt;=1,M981&lt;=32,OR(N981=4,N981=6,N981=8,N981=10,N981=12,N981=20),O981&gt;=0,E981=M981+O981,F981=M981*N981+O981),"OK","ERREUR"))</x:f>
        <x:v>OK</x:v>
      </x:c>
      <x:c r="U981" s="86" t="n">
        <x:f>IF(M981&gt;0,M981*(N981+1)/2+O981,0)</x:f>
        <x:v>48</x:v>
      </x:c>
      <x:c r="V981" t="str">
        <x:f>IF(ABS(L981-U981)&lt;0.001,"OK","ERREUR")</x:f>
        <x:v>OK</x:v>
      </x:c>
    </x:row>
    <x:row r="982" ht="18" customHeight="1">
      <x:c r="A982" t="str">
        <x:v>ARM049</x:v>
      </x:c>
      <x:c r="B982" t="str">
        <x:v>Arbalète légère</x:v>
      </x:c>
      <x:c r="C982" t="n">
        <x:v>19</x:v>
      </x:c>
      <x:c r="D982" t="str">
        <x:v>Distance</x:v>
      </x:c>
      <x:c r="E982" s="28" t="n">
        <x:f>IF(M982=0,0,M982+O982)</x:f>
        <x:v>40</x:v>
      </x:c>
      <x:c r="F982" s="28" t="n">
        <x:f>IF(M982=0,0,M982*N982+O982)</x:f>
        <x:v>65</x:v>
      </x:c>
      <x:c r="G982" s="28" t="n">
        <x:f>ROUND(Catalogue!G52*SQRT((1+'Paramètres'!$B$4*(C982-1)+'Paramètres'!$B$5*(C982-1)^2)),0)</x:f>
        <x:v>0</x:v>
      </x:c>
      <x:c r="H982" s="28" t="n">
        <x:f>ROUND(Catalogue!H52*SQRT((1+'Paramètres'!$B$4*(C982-1)+'Paramètres'!$B$5*(C982-1)^2)),0)</x:f>
        <x:v>0</x:v>
      </x:c>
      <x:c r="I982" s="28" t="n">
        <x:v>2</x:v>
      </x:c>
      <x:c r="J982" s="28" t="n">
        <x:v>5</x:v>
      </x:c>
      <x:c r="K982" s="30" t="n">
        <x:v>2.3</x:v>
      </x:c>
      <x:c r="L982" s="54" t="n">
        <x:f>IF(M982=0,0,(E982+F982)/2)</x:f>
        <x:v>52.5</x:v>
      </x:c>
      <x:c r="M982" t="n">
        <x:v>5</x:v>
      </x:c>
      <x:c r="N982" t="n">
        <x:v>6</x:v>
      </x:c>
      <x:c r="O982" t="n">
        <x:v>35</x:v>
      </x:c>
      <x:c r="P982" s="63" t="str">
        <x:f>IF(M982=0,"—",M982&amp;"d"&amp;N982&amp;IF(O982=0,""," + "&amp;O982))</x:f>
        <x:v>5d6 + 35</x:v>
      </x:c>
      <x:c r="Q982" t="n">
        <x:f>ROUND(INDEX(Catalogue!E$4:E$85,MATCH(A982,Catalogue!A$4:A$85,0))*(1+'Paramètres'!$B$4*(C982-1)+'Paramètres'!$B$5*(C982-1)^2),0)</x:f>
        <x:v>41</x:v>
      </x:c>
      <x:c r="R982" t="n">
        <x:f>ROUND(INDEX(Catalogue!F$4:F$85,MATCH(A982,Catalogue!A$4:A$85,0))*(1+'Paramètres'!$B$4*(C982-1)+'Paramètres'!$B$5*(C982-1)^2),0)</x:f>
        <x:v>65</x:v>
      </x:c>
      <x:c r="S982" t="n">
        <x:f>L982-AVERAGE(Q982:R982)</x:f>
        <x:v>-0.5</x:v>
      </x:c>
      <x:c r="T982" t="str">
        <x:f>IF(M982=0,IF(AND(N982=0,O982=0,E982=0,F982=0),"OK","ERREUR"),IF(AND(M982&gt;=1,M982&lt;=32,OR(N982=4,N982=6,N982=8,N982=10,N982=12,N982=20),O982&gt;=0,E982=M982+O982,F982=M982*N982+O982),"OK","ERREUR"))</x:f>
        <x:v>OK</x:v>
      </x:c>
      <x:c r="U982" s="86" t="n">
        <x:f>IF(M982&gt;0,M982*(N982+1)/2+O982,0)</x:f>
        <x:v>52.5</x:v>
      </x:c>
      <x:c r="V982" t="str">
        <x:f>IF(ABS(L982-U982)&lt;0.001,"OK","ERREUR")</x:f>
        <x:v>OK</x:v>
      </x:c>
    </x:row>
    <x:row r="983" ht="18" customHeight="1">
      <x:c r="A983" t="str">
        <x:v>ARM049</x:v>
      </x:c>
      <x:c r="B983" t="str">
        <x:v>Arbalète légère</x:v>
      </x:c>
      <x:c r="C983" t="n">
        <x:v>20</x:v>
      </x:c>
      <x:c r="D983" t="str">
        <x:v>Distance</x:v>
      </x:c>
      <x:c r="E983" s="28" t="n">
        <x:f>IF(M983=0,0,M983+O983)</x:f>
        <x:v>44</x:v>
      </x:c>
      <x:c r="F983" s="28" t="n">
        <x:f>IF(M983=0,0,M983*N983+O983)</x:f>
        <x:v>71</x:v>
      </x:c>
      <x:c r="G983" s="28" t="n">
        <x:f>ROUND(Catalogue!G52*SQRT((1+'Paramètres'!$B$4*(C983-1)+'Paramètres'!$B$5*(C983-1)^2)),0)</x:f>
        <x:v>0</x:v>
      </x:c>
      <x:c r="H983" s="28" t="n">
        <x:f>ROUND(Catalogue!H52*SQRT((1+'Paramètres'!$B$4*(C983-1)+'Paramètres'!$B$5*(C983-1)^2)),0)</x:f>
        <x:v>0</x:v>
      </x:c>
      <x:c r="I983" s="28" t="n">
        <x:v>2</x:v>
      </x:c>
      <x:c r="J983" s="28" t="n">
        <x:v>5</x:v>
      </x:c>
      <x:c r="K983" s="30" t="n">
        <x:v>2.3</x:v>
      </x:c>
      <x:c r="L983" s="54" t="n">
        <x:f>IF(M983=0,0,(E983+F983)/2)</x:f>
        <x:v>57.5</x:v>
      </x:c>
      <x:c r="M983" t="n">
        <x:v>3</x:v>
      </x:c>
      <x:c r="N983" t="n">
        <x:v>10</x:v>
      </x:c>
      <x:c r="O983" t="n">
        <x:v>41</x:v>
      </x:c>
      <x:c r="P983" s="63" t="str">
        <x:f>IF(M983=0,"—",M983&amp;"d"&amp;N983&amp;IF(O983=0,""," + "&amp;O983))</x:f>
        <x:v>3d10 + 41</x:v>
      </x:c>
      <x:c r="Q983" t="n">
        <x:f>ROUND(INDEX(Catalogue!E$4:E$85,MATCH(A983,Catalogue!A$4:A$85,0))*(1+'Paramètres'!$B$4*(C983-1)+'Paramètres'!$B$5*(C983-1)^2),0)</x:f>
        <x:v>44</x:v>
      </x:c>
      <x:c r="R983" t="n">
        <x:f>ROUND(INDEX(Catalogue!F$4:F$85,MATCH(A983,Catalogue!A$4:A$85,0))*(1+'Paramètres'!$B$4*(C983-1)+'Paramètres'!$B$5*(C983-1)^2),0)</x:f>
        <x:v>71</x:v>
      </x:c>
      <x:c r="S983" t="n">
        <x:f>L983-AVERAGE(Q983:R983)</x:f>
        <x:v>0</x:v>
      </x:c>
      <x:c r="T983" t="str">
        <x:f>IF(M983=0,IF(AND(N983=0,O983=0,E983=0,F983=0),"OK","ERREUR"),IF(AND(M983&gt;=1,M983&lt;=32,OR(N983=4,N983=6,N983=8,N983=10,N983=12,N983=20),O983&gt;=0,E983=M983+O983,F983=M983*N983+O983),"OK","ERREUR"))</x:f>
        <x:v>OK</x:v>
      </x:c>
      <x:c r="U983" s="86" t="n">
        <x:f>IF(M983&gt;0,M983*(N983+1)/2+O983,0)</x:f>
        <x:v>57.5</x:v>
      </x:c>
      <x:c r="V983" t="str">
        <x:f>IF(ABS(L983-U983)&lt;0.001,"OK","ERREUR")</x:f>
        <x:v>OK</x:v>
      </x:c>
    </x:row>
    <x:row r="984" ht="18" customHeight="1">
      <x:c r="A984" t="str">
        <x:v>ARM050</x:v>
      </x:c>
      <x:c r="B984" t="str">
        <x:v>Arbalète lourde</x:v>
      </x:c>
      <x:c r="C984" t="n">
        <x:v>1</x:v>
      </x:c>
      <x:c r="D984" t="str">
        <x:v>Distance</x:v>
      </x:c>
      <x:c r="E984" s="28" t="n">
        <x:f>IF(M984=0,0,M984+O984)</x:f>
        <x:v>7</x:v>
      </x:c>
      <x:c r="F984" s="28" t="n">
        <x:f>IF(M984=0,0,M984*N984+O984)</x:f>
        <x:v>10</x:v>
      </x:c>
      <x:c r="G984" s="28" t="n">
        <x:f>ROUND(Catalogue!G53*SQRT((1+'Paramètres'!$B$4*(C984-1)+'Paramètres'!$B$5*(C984-1)^2)),0)</x:f>
        <x:v>0</x:v>
      </x:c>
      <x:c r="H984" s="28" t="n">
        <x:f>ROUND(Catalogue!H53*SQRT((1+'Paramètres'!$B$4*(C984-1)+'Paramètres'!$B$5*(C984-1)^2)),0)</x:f>
        <x:v>0</x:v>
      </x:c>
      <x:c r="I984" s="28" t="n">
        <x:v>3</x:v>
      </x:c>
      <x:c r="J984" s="28" t="n">
        <x:v>6</x:v>
      </x:c>
      <x:c r="K984" s="30" t="n">
        <x:v>4</x:v>
      </x:c>
      <x:c r="L984" s="54" t="n">
        <x:f>IF(M984=0,0,(E984+F984)/2)</x:f>
        <x:v>8.5</x:v>
      </x:c>
      <x:c r="M984" t="n">
        <x:v>1</x:v>
      </x:c>
      <x:c r="N984" t="n">
        <x:v>4</x:v>
      </x:c>
      <x:c r="O984" t="n">
        <x:v>6</x:v>
      </x:c>
      <x:c r="P984" s="63" t="str">
        <x:f>IF(M984=0,"—",M984&amp;"d"&amp;N984&amp;IF(O984=0,""," + "&amp;O984))</x:f>
        <x:v>1d4 + 6</x:v>
      </x:c>
      <x:c r="Q984" t="n">
        <x:f>ROUND(INDEX(Catalogue!E$4:E$85,MATCH(A984,Catalogue!A$4:A$85,0))*(1+'Paramètres'!$B$4*(C984-1)+'Paramètres'!$B$5*(C984-1)^2),0)</x:f>
        <x:v>7</x:v>
      </x:c>
      <x:c r="R984" t="n">
        <x:f>ROUND(INDEX(Catalogue!F$4:F$85,MATCH(A984,Catalogue!A$4:A$85,0))*(1+'Paramètres'!$B$4*(C984-1)+'Paramètres'!$B$5*(C984-1)^2),0)</x:f>
        <x:v>11</x:v>
      </x:c>
      <x:c r="S984" t="n">
        <x:f>L984-AVERAGE(Q984:R984)</x:f>
        <x:v>-0.5</x:v>
      </x:c>
      <x:c r="T984" t="str">
        <x:f>IF(M984=0,IF(AND(N984=0,O984=0,E984=0,F984=0),"OK","ERREUR"),IF(AND(M984&gt;=1,M984&lt;=32,OR(N984=4,N984=6,N984=8,N984=10,N984=12,N984=20),O984&gt;=0,E984=M984+O984,F984=M984*N984+O984),"OK","ERREUR"))</x:f>
        <x:v>OK</x:v>
      </x:c>
      <x:c r="U984" s="86" t="n">
        <x:f>IF(M984&gt;0,M984*(N984+1)/2+O984,0)</x:f>
        <x:v>8.5</x:v>
      </x:c>
      <x:c r="V984" t="str">
        <x:f>IF(ABS(L984-U984)&lt;0.001,"OK","ERREUR")</x:f>
        <x:v>OK</x:v>
      </x:c>
    </x:row>
    <x:row r="985" ht="18" customHeight="1">
      <x:c r="A985" t="str">
        <x:v>ARM050</x:v>
      </x:c>
      <x:c r="B985" t="str">
        <x:v>Arbalète lourde</x:v>
      </x:c>
      <x:c r="C985" t="n">
        <x:v>2</x:v>
      </x:c>
      <x:c r="D985" t="str">
        <x:v>Distance</x:v>
      </x:c>
      <x:c r="E985" s="28" t="n">
        <x:f>IF(M985=0,0,M985+O985)</x:f>
        <x:v>9</x:v>
      </x:c>
      <x:c r="F985" s="28" t="n">
        <x:f>IF(M985=0,0,M985*N985+O985)</x:f>
        <x:v>12</x:v>
      </x:c>
      <x:c r="G985" s="28" t="n">
        <x:f>ROUND(Catalogue!G53*SQRT((1+'Paramètres'!$B$4*(C985-1)+'Paramètres'!$B$5*(C985-1)^2)),0)</x:f>
        <x:v>0</x:v>
      </x:c>
      <x:c r="H985" s="28" t="n">
        <x:f>ROUND(Catalogue!H53*SQRT((1+'Paramètres'!$B$4*(C985-1)+'Paramètres'!$B$5*(C985-1)^2)),0)</x:f>
        <x:v>0</x:v>
      </x:c>
      <x:c r="I985" s="28" t="n">
        <x:v>3</x:v>
      </x:c>
      <x:c r="J985" s="28" t="n">
        <x:v>6</x:v>
      </x:c>
      <x:c r="K985" s="30" t="n">
        <x:v>4</x:v>
      </x:c>
      <x:c r="L985" s="54" t="n">
        <x:f>IF(M985=0,0,(E985+F985)/2)</x:f>
        <x:v>10.5</x:v>
      </x:c>
      <x:c r="M985" t="n">
        <x:v>1</x:v>
      </x:c>
      <x:c r="N985" t="n">
        <x:v>4</x:v>
      </x:c>
      <x:c r="O985" t="n">
        <x:v>8</x:v>
      </x:c>
      <x:c r="P985" s="63" t="str">
        <x:f>IF(M985=0,"—",M985&amp;"d"&amp;N985&amp;IF(O985=0,""," + "&amp;O985))</x:f>
        <x:v>1d4 + 8</x:v>
      </x:c>
      <x:c r="Q985" t="n">
        <x:f>ROUND(INDEX(Catalogue!E$4:E$85,MATCH(A985,Catalogue!A$4:A$85,0))*(1+'Paramètres'!$B$4*(C985-1)+'Paramètres'!$B$5*(C985-1)^2),0)</x:f>
        <x:v>8</x:v>
      </x:c>
      <x:c r="R985" t="n">
        <x:f>ROUND(INDEX(Catalogue!F$4:F$85,MATCH(A985,Catalogue!A$4:A$85,0))*(1+'Paramètres'!$B$4*(C985-1)+'Paramètres'!$B$5*(C985-1)^2),0)</x:f>
        <x:v>12</x:v>
      </x:c>
      <x:c r="S985" t="n">
        <x:f>L985-AVERAGE(Q985:R985)</x:f>
        <x:v>0.5</x:v>
      </x:c>
      <x:c r="T985" t="str">
        <x:f>IF(M985=0,IF(AND(N985=0,O985=0,E985=0,F985=0),"OK","ERREUR"),IF(AND(M985&gt;=1,M985&lt;=32,OR(N985=4,N985=6,N985=8,N985=10,N985=12,N985=20),O985&gt;=0,E985=M985+O985,F985=M985*N985+O985),"OK","ERREUR"))</x:f>
        <x:v>OK</x:v>
      </x:c>
      <x:c r="U985" s="86" t="n">
        <x:f>IF(M985&gt;0,M985*(N985+1)/2+O985,0)</x:f>
        <x:v>10.5</x:v>
      </x:c>
      <x:c r="V985" t="str">
        <x:f>IF(ABS(L985-U985)&lt;0.001,"OK","ERREUR")</x:f>
        <x:v>OK</x:v>
      </x:c>
    </x:row>
    <x:row r="986" ht="18" customHeight="1">
      <x:c r="A986" t="str">
        <x:v>ARM050</x:v>
      </x:c>
      <x:c r="B986" t="str">
        <x:v>Arbalète lourde</x:v>
      </x:c>
      <x:c r="C986" t="n">
        <x:v>3</x:v>
      </x:c>
      <x:c r="D986" t="str">
        <x:v>Distance</x:v>
      </x:c>
      <x:c r="E986" s="28" t="n">
        <x:f>IF(M986=0,0,M986+O986)</x:f>
        <x:v>9</x:v>
      </x:c>
      <x:c r="F986" s="28" t="n">
        <x:f>IF(M986=0,0,M986*N986+O986)</x:f>
        <x:v>14</x:v>
      </x:c>
      <x:c r="G986" s="28" t="n">
        <x:f>ROUND(Catalogue!G53*SQRT((1+'Paramètres'!$B$4*(C986-1)+'Paramètres'!$B$5*(C986-1)^2)),0)</x:f>
        <x:v>0</x:v>
      </x:c>
      <x:c r="H986" s="28" t="n">
        <x:f>ROUND(Catalogue!H53*SQRT((1+'Paramètres'!$B$4*(C986-1)+'Paramètres'!$B$5*(C986-1)^2)),0)</x:f>
        <x:v>0</x:v>
      </x:c>
      <x:c r="I986" s="28" t="n">
        <x:v>3</x:v>
      </x:c>
      <x:c r="J986" s="28" t="n">
        <x:v>6</x:v>
      </x:c>
      <x:c r="K986" s="30" t="n">
        <x:v>4</x:v>
      </x:c>
      <x:c r="L986" s="54" t="n">
        <x:f>IF(M986=0,0,(E986+F986)/2)</x:f>
        <x:v>11.5</x:v>
      </x:c>
      <x:c r="M986" t="n">
        <x:v>1</x:v>
      </x:c>
      <x:c r="N986" t="n">
        <x:v>6</x:v>
      </x:c>
      <x:c r="O986" t="n">
        <x:v>8</x:v>
      </x:c>
      <x:c r="P986" s="63" t="str">
        <x:f>IF(M986=0,"—",M986&amp;"d"&amp;N986&amp;IF(O986=0,""," + "&amp;O986))</x:f>
        <x:v>1d6 + 8</x:v>
      </x:c>
      <x:c r="Q986" t="n">
        <x:f>ROUND(INDEX(Catalogue!E$4:E$85,MATCH(A986,Catalogue!A$4:A$85,0))*(1+'Paramètres'!$B$4*(C986-1)+'Paramètres'!$B$5*(C986-1)^2),0)</x:f>
        <x:v>9</x:v>
      </x:c>
      <x:c r="R986" t="n">
        <x:f>ROUND(INDEX(Catalogue!F$4:F$85,MATCH(A986,Catalogue!A$4:A$85,0))*(1+'Paramètres'!$B$4*(C986-1)+'Paramètres'!$B$5*(C986-1)^2),0)</x:f>
        <x:v>14</x:v>
      </x:c>
      <x:c r="S986" t="n">
        <x:f>L986-AVERAGE(Q986:R986)</x:f>
        <x:v>0</x:v>
      </x:c>
      <x:c r="T986" t="str">
        <x:f>IF(M986=0,IF(AND(N986=0,O986=0,E986=0,F986=0),"OK","ERREUR"),IF(AND(M986&gt;=1,M986&lt;=32,OR(N986=4,N986=6,N986=8,N986=10,N986=12,N986=20),O986&gt;=0,E986=M986+O986,F986=M986*N986+O986),"OK","ERREUR"))</x:f>
        <x:v>OK</x:v>
      </x:c>
      <x:c r="U986" s="86" t="n">
        <x:f>IF(M986&gt;0,M986*(N986+1)/2+O986,0)</x:f>
        <x:v>11.5</x:v>
      </x:c>
      <x:c r="V986" t="str">
        <x:f>IF(ABS(L986-U986)&lt;0.001,"OK","ERREUR")</x:f>
        <x:v>OK</x:v>
      </x:c>
    </x:row>
    <x:row r="987" ht="18" customHeight="1">
      <x:c r="A987" t="str">
        <x:v>ARM050</x:v>
      </x:c>
      <x:c r="B987" t="str">
        <x:v>Arbalète lourde</x:v>
      </x:c>
      <x:c r="C987" t="n">
        <x:v>4</x:v>
      </x:c>
      <x:c r="D987" t="str">
        <x:v>Distance</x:v>
      </x:c>
      <x:c r="E987" s="28" t="n">
        <x:f>IF(M987=0,0,M987+O987)</x:f>
        <x:v>10</x:v>
      </x:c>
      <x:c r="F987" s="28" t="n">
        <x:f>IF(M987=0,0,M987*N987+O987)</x:f>
        <x:v>16</x:v>
      </x:c>
      <x:c r="G987" s="28" t="n">
        <x:f>ROUND(Catalogue!G53*SQRT((1+'Paramètres'!$B$4*(C987-1)+'Paramètres'!$B$5*(C987-1)^2)),0)</x:f>
        <x:v>0</x:v>
      </x:c>
      <x:c r="H987" s="28" t="n">
        <x:f>ROUND(Catalogue!H53*SQRT((1+'Paramètres'!$B$4*(C987-1)+'Paramètres'!$B$5*(C987-1)^2)),0)</x:f>
        <x:v>0</x:v>
      </x:c>
      <x:c r="I987" s="28" t="n">
        <x:v>3</x:v>
      </x:c>
      <x:c r="J987" s="28" t="n">
        <x:v>6</x:v>
      </x:c>
      <x:c r="K987" s="30" t="n">
        <x:v>4</x:v>
      </x:c>
      <x:c r="L987" s="54" t="n">
        <x:f>IF(M987=0,0,(E987+F987)/2)</x:f>
        <x:v>13</x:v>
      </x:c>
      <x:c r="M987" t="n">
        <x:v>2</x:v>
      </x:c>
      <x:c r="N987" t="n">
        <x:v>4</x:v>
      </x:c>
      <x:c r="O987" t="n">
        <x:v>8</x:v>
      </x:c>
      <x:c r="P987" s="63" t="str">
        <x:f>IF(M987=0,"—",M987&amp;"d"&amp;N987&amp;IF(O987=0,""," + "&amp;O987))</x:f>
        <x:v>2d4 + 8</x:v>
      </x:c>
      <x:c r="Q987" t="n">
        <x:f>ROUND(INDEX(Catalogue!E$4:E$85,MATCH(A987,Catalogue!A$4:A$85,0))*(1+'Paramètres'!$B$4*(C987-1)+'Paramètres'!$B$5*(C987-1)^2),0)</x:f>
        <x:v>10</x:v>
      </x:c>
      <x:c r="R987" t="n">
        <x:f>ROUND(INDEX(Catalogue!F$4:F$85,MATCH(A987,Catalogue!A$4:A$85,0))*(1+'Paramètres'!$B$4*(C987-1)+'Paramètres'!$B$5*(C987-1)^2),0)</x:f>
        <x:v>16</x:v>
      </x:c>
      <x:c r="S987" t="n">
        <x:f>L987-AVERAGE(Q987:R987)</x:f>
        <x:v>0</x:v>
      </x:c>
      <x:c r="T987" t="str">
        <x:f>IF(M987=0,IF(AND(N987=0,O987=0,E987=0,F987=0),"OK","ERREUR"),IF(AND(M987&gt;=1,M987&lt;=32,OR(N987=4,N987=6,N987=8,N987=10,N987=12,N987=20),O987&gt;=0,E987=M987+O987,F987=M987*N987+O987),"OK","ERREUR"))</x:f>
        <x:v>OK</x:v>
      </x:c>
      <x:c r="U987" s="86" t="n">
        <x:f>IF(M987&gt;0,M987*(N987+1)/2+O987,0)</x:f>
        <x:v>13</x:v>
      </x:c>
      <x:c r="V987" t="str">
        <x:f>IF(ABS(L987-U987)&lt;0.001,"OK","ERREUR")</x:f>
        <x:v>OK</x:v>
      </x:c>
    </x:row>
    <x:row r="988" ht="18" customHeight="1">
      <x:c r="A988" t="str">
        <x:v>ARM050</x:v>
      </x:c>
      <x:c r="B988" t="str">
        <x:v>Arbalète lourde</x:v>
      </x:c>
      <x:c r="C988" t="n">
        <x:v>5</x:v>
      </x:c>
      <x:c r="D988" t="str">
        <x:v>Distance</x:v>
      </x:c>
      <x:c r="E988" s="28" t="n">
        <x:f>IF(M988=0,0,M988+O988)</x:f>
        <x:v>12</x:v>
      </x:c>
      <x:c r="F988" s="28" t="n">
        <x:f>IF(M988=0,0,M988*N988+O988)</x:f>
        <x:v>19</x:v>
      </x:c>
      <x:c r="G988" s="28" t="n">
        <x:f>ROUND(Catalogue!G53*SQRT((1+'Paramètres'!$B$4*(C988-1)+'Paramètres'!$B$5*(C988-1)^2)),0)</x:f>
        <x:v>0</x:v>
      </x:c>
      <x:c r="H988" s="28" t="n">
        <x:f>ROUND(Catalogue!H53*SQRT((1+'Paramètres'!$B$4*(C988-1)+'Paramètres'!$B$5*(C988-1)^2)),0)</x:f>
        <x:v>0</x:v>
      </x:c>
      <x:c r="I988" s="28" t="n">
        <x:v>3</x:v>
      </x:c>
      <x:c r="J988" s="28" t="n">
        <x:v>6</x:v>
      </x:c>
      <x:c r="K988" s="30" t="n">
        <x:v>4</x:v>
      </x:c>
      <x:c r="L988" s="54" t="n">
        <x:f>IF(M988=0,0,(E988+F988)/2)</x:f>
        <x:v>15.5</x:v>
      </x:c>
      <x:c r="M988" t="n">
        <x:v>1</x:v>
      </x:c>
      <x:c r="N988" t="n">
        <x:v>8</x:v>
      </x:c>
      <x:c r="O988" t="n">
        <x:v>11</x:v>
      </x:c>
      <x:c r="P988" s="63" t="str">
        <x:f>IF(M988=0,"—",M988&amp;"d"&amp;N988&amp;IF(O988=0,""," + "&amp;O988))</x:f>
        <x:v>1d8 + 11</x:v>
      </x:c>
      <x:c r="Q988" t="n">
        <x:f>ROUND(INDEX(Catalogue!E$4:E$85,MATCH(A988,Catalogue!A$4:A$85,0))*(1+'Paramètres'!$B$4*(C988-1)+'Paramètres'!$B$5*(C988-1)^2),0)</x:f>
        <x:v>12</x:v>
      </x:c>
      <x:c r="R988" t="n">
        <x:f>ROUND(INDEX(Catalogue!F$4:F$85,MATCH(A988,Catalogue!A$4:A$85,0))*(1+'Paramètres'!$B$4*(C988-1)+'Paramètres'!$B$5*(C988-1)^2),0)</x:f>
        <x:v>19</x:v>
      </x:c>
      <x:c r="S988" t="n">
        <x:f>L988-AVERAGE(Q988:R988)</x:f>
        <x:v>0</x:v>
      </x:c>
      <x:c r="T988" t="str">
        <x:f>IF(M988=0,IF(AND(N988=0,O988=0,E988=0,F988=0),"OK","ERREUR"),IF(AND(M988&gt;=1,M988&lt;=32,OR(N988=4,N988=6,N988=8,N988=10,N988=12,N988=20),O988&gt;=0,E988=M988+O988,F988=M988*N988+O988),"OK","ERREUR"))</x:f>
        <x:v>OK</x:v>
      </x:c>
      <x:c r="U988" s="86" t="n">
        <x:f>IF(M988&gt;0,M988*(N988+1)/2+O988,0)</x:f>
        <x:v>15.5</x:v>
      </x:c>
      <x:c r="V988" t="str">
        <x:f>IF(ABS(L988-U988)&lt;0.001,"OK","ERREUR")</x:f>
        <x:v>OK</x:v>
      </x:c>
    </x:row>
    <x:row r="989" ht="18" customHeight="1">
      <x:c r="A989" t="str">
        <x:v>ARM050</x:v>
      </x:c>
      <x:c r="B989" t="str">
        <x:v>Arbalète lourde</x:v>
      </x:c>
      <x:c r="C989" t="n">
        <x:v>6</x:v>
      </x:c>
      <x:c r="D989" t="str">
        <x:v>Distance</x:v>
      </x:c>
      <x:c r="E989" s="28" t="n">
        <x:f>IF(M989=0,0,M989+O989)</x:f>
        <x:v>14</x:v>
      </x:c>
      <x:c r="F989" s="28" t="n">
        <x:f>IF(M989=0,0,M989*N989+O989)</x:f>
        <x:v>21</x:v>
      </x:c>
      <x:c r="G989" s="28" t="n">
        <x:f>ROUND(Catalogue!G53*SQRT((1+'Paramètres'!$B$4*(C989-1)+'Paramètres'!$B$5*(C989-1)^2)),0)</x:f>
        <x:v>0</x:v>
      </x:c>
      <x:c r="H989" s="28" t="n">
        <x:f>ROUND(Catalogue!H53*SQRT((1+'Paramètres'!$B$4*(C989-1)+'Paramètres'!$B$5*(C989-1)^2)),0)</x:f>
        <x:v>0</x:v>
      </x:c>
      <x:c r="I989" s="28" t="n">
        <x:v>3</x:v>
      </x:c>
      <x:c r="J989" s="28" t="n">
        <x:v>6</x:v>
      </x:c>
      <x:c r="K989" s="30" t="n">
        <x:v>4</x:v>
      </x:c>
      <x:c r="L989" s="54" t="n">
        <x:f>IF(M989=0,0,(E989+F989)/2)</x:f>
        <x:v>17.5</x:v>
      </x:c>
      <x:c r="M989" t="n">
        <x:v>1</x:v>
      </x:c>
      <x:c r="N989" t="n">
        <x:v>8</x:v>
      </x:c>
      <x:c r="O989" t="n">
        <x:v>13</x:v>
      </x:c>
      <x:c r="P989" s="63" t="str">
        <x:f>IF(M989=0,"—",M989&amp;"d"&amp;N989&amp;IF(O989=0,""," + "&amp;O989))</x:f>
        <x:v>1d8 + 13</x:v>
      </x:c>
      <x:c r="Q989" t="n">
        <x:f>ROUND(INDEX(Catalogue!E$4:E$85,MATCH(A989,Catalogue!A$4:A$85,0))*(1+'Paramètres'!$B$4*(C989-1)+'Paramètres'!$B$5*(C989-1)^2),0)</x:f>
        <x:v>14</x:v>
      </x:c>
      <x:c r="R989" t="n">
        <x:f>ROUND(INDEX(Catalogue!F$4:F$85,MATCH(A989,Catalogue!A$4:A$85,0))*(1+'Paramètres'!$B$4*(C989-1)+'Paramètres'!$B$5*(C989-1)^2),0)</x:f>
        <x:v>21</x:v>
      </x:c>
      <x:c r="S989" t="n">
        <x:f>L989-AVERAGE(Q989:R989)</x:f>
        <x:v>0</x:v>
      </x:c>
      <x:c r="T989" t="str">
        <x:f>IF(M989=0,IF(AND(N989=0,O989=0,E989=0,F989=0),"OK","ERREUR"),IF(AND(M989&gt;=1,M989&lt;=32,OR(N989=4,N989=6,N989=8,N989=10,N989=12,N989=20),O989&gt;=0,E989=M989+O989,F989=M989*N989+O989),"OK","ERREUR"))</x:f>
        <x:v>OK</x:v>
      </x:c>
      <x:c r="U989" s="86" t="n">
        <x:f>IF(M989&gt;0,M989*(N989+1)/2+O989,0)</x:f>
        <x:v>17.5</x:v>
      </x:c>
      <x:c r="V989" t="str">
        <x:f>IF(ABS(L989-U989)&lt;0.001,"OK","ERREUR")</x:f>
        <x:v>OK</x:v>
      </x:c>
    </x:row>
    <x:row r="990" ht="18" customHeight="1">
      <x:c r="A990" t="str">
        <x:v>ARM050</x:v>
      </x:c>
      <x:c r="B990" t="str">
        <x:v>Arbalète lourde</x:v>
      </x:c>
      <x:c r="C990" t="n">
        <x:v>7</x:v>
      </x:c>
      <x:c r="D990" t="str">
        <x:v>Distance</x:v>
      </x:c>
      <x:c r="E990" s="28" t="n">
        <x:f>IF(M990=0,0,M990+O990)</x:f>
        <x:v>16</x:v>
      </x:c>
      <x:c r="F990" s="28" t="n">
        <x:f>IF(M990=0,0,M990*N990+O990)</x:f>
        <x:v>25</x:v>
      </x:c>
      <x:c r="G990" s="28" t="n">
        <x:f>ROUND(Catalogue!G53*SQRT((1+'Paramètres'!$B$4*(C990-1)+'Paramètres'!$B$5*(C990-1)^2)),0)</x:f>
        <x:v>0</x:v>
      </x:c>
      <x:c r="H990" s="28" t="n">
        <x:f>ROUND(Catalogue!H53*SQRT((1+'Paramètres'!$B$4*(C990-1)+'Paramètres'!$B$5*(C990-1)^2)),0)</x:f>
        <x:v>0</x:v>
      </x:c>
      <x:c r="I990" s="28" t="n">
        <x:v>3</x:v>
      </x:c>
      <x:c r="J990" s="28" t="n">
        <x:v>6</x:v>
      </x:c>
      <x:c r="K990" s="30" t="n">
        <x:v>4</x:v>
      </x:c>
      <x:c r="L990" s="54" t="n">
        <x:f>IF(M990=0,0,(E990+F990)/2)</x:f>
        <x:v>20.5</x:v>
      </x:c>
      <x:c r="M990" t="n">
        <x:v>1</x:v>
      </x:c>
      <x:c r="N990" t="n">
        <x:v>10</x:v>
      </x:c>
      <x:c r="O990" t="n">
        <x:v>15</x:v>
      </x:c>
      <x:c r="P990" s="63" t="str">
        <x:f>IF(M990=0,"—",M990&amp;"d"&amp;N990&amp;IF(O990=0,""," + "&amp;O990))</x:f>
        <x:v>1d10 + 15</x:v>
      </x:c>
      <x:c r="Q990" t="n">
        <x:f>ROUND(INDEX(Catalogue!E$4:E$85,MATCH(A990,Catalogue!A$4:A$85,0))*(1+'Paramètres'!$B$4*(C990-1)+'Paramètres'!$B$5*(C990-1)^2),0)</x:f>
        <x:v>16</x:v>
      </x:c>
      <x:c r="R990" t="n">
        <x:f>ROUND(INDEX(Catalogue!F$4:F$85,MATCH(A990,Catalogue!A$4:A$85,0))*(1+'Paramètres'!$B$4*(C990-1)+'Paramètres'!$B$5*(C990-1)^2),0)</x:f>
        <x:v>25</x:v>
      </x:c>
      <x:c r="S990" t="n">
        <x:f>L990-AVERAGE(Q990:R990)</x:f>
        <x:v>0</x:v>
      </x:c>
      <x:c r="T990" t="str">
        <x:f>IF(M990=0,IF(AND(N990=0,O990=0,E990=0,F990=0),"OK","ERREUR"),IF(AND(M990&gt;=1,M990&lt;=32,OR(N990=4,N990=6,N990=8,N990=10,N990=12,N990=20),O990&gt;=0,E990=M990+O990,F990=M990*N990+O990),"OK","ERREUR"))</x:f>
        <x:v>OK</x:v>
      </x:c>
      <x:c r="U990" s="86" t="n">
        <x:f>IF(M990&gt;0,M990*(N990+1)/2+O990,0)</x:f>
        <x:v>20.5</x:v>
      </x:c>
      <x:c r="V990" t="str">
        <x:f>IF(ABS(L990-U990)&lt;0.001,"OK","ERREUR")</x:f>
        <x:v>OK</x:v>
      </x:c>
    </x:row>
    <x:row r="991" ht="18" customHeight="1">
      <x:c r="A991" t="str">
        <x:v>ARM050</x:v>
      </x:c>
      <x:c r="B991" t="str">
        <x:v>Arbalète lourde</x:v>
      </x:c>
      <x:c r="C991" t="n">
        <x:v>8</x:v>
      </x:c>
      <x:c r="D991" t="str">
        <x:v>Distance</x:v>
      </x:c>
      <x:c r="E991" s="28" t="n">
        <x:f>IF(M991=0,0,M991+O991)</x:f>
        <x:v>18</x:v>
      </x:c>
      <x:c r="F991" s="28" t="n">
        <x:f>IF(M991=0,0,M991*N991+O991)</x:f>
        <x:v>28</x:v>
      </x:c>
      <x:c r="G991" s="28" t="n">
        <x:f>ROUND(Catalogue!G53*SQRT((1+'Paramètres'!$B$4*(C991-1)+'Paramètres'!$B$5*(C991-1)^2)),0)</x:f>
        <x:v>0</x:v>
      </x:c>
      <x:c r="H991" s="28" t="n">
        <x:f>ROUND(Catalogue!H53*SQRT((1+'Paramètres'!$B$4*(C991-1)+'Paramètres'!$B$5*(C991-1)^2)),0)</x:f>
        <x:v>0</x:v>
      </x:c>
      <x:c r="I991" s="28" t="n">
        <x:v>3</x:v>
      </x:c>
      <x:c r="J991" s="28" t="n">
        <x:v>6</x:v>
      </x:c>
      <x:c r="K991" s="30" t="n">
        <x:v>4</x:v>
      </x:c>
      <x:c r="L991" s="54" t="n">
        <x:f>IF(M991=0,0,(E991+F991)/2)</x:f>
        <x:v>23</x:v>
      </x:c>
      <x:c r="M991" t="n">
        <x:v>2</x:v>
      </x:c>
      <x:c r="N991" t="n">
        <x:v>6</x:v>
      </x:c>
      <x:c r="O991" t="n">
        <x:v>16</x:v>
      </x:c>
      <x:c r="P991" s="63" t="str">
        <x:f>IF(M991=0,"—",M991&amp;"d"&amp;N991&amp;IF(O991=0,""," + "&amp;O991))</x:f>
        <x:v>2d6 + 16</x:v>
      </x:c>
      <x:c r="Q991" t="n">
        <x:f>ROUND(INDEX(Catalogue!E$4:E$85,MATCH(A991,Catalogue!A$4:A$85,0))*(1+'Paramètres'!$B$4*(C991-1)+'Paramètres'!$B$5*(C991-1)^2),0)</x:f>
        <x:v>18</x:v>
      </x:c>
      <x:c r="R991" t="n">
        <x:f>ROUND(INDEX(Catalogue!F$4:F$85,MATCH(A991,Catalogue!A$4:A$85,0))*(1+'Paramètres'!$B$4*(C991-1)+'Paramètres'!$B$5*(C991-1)^2),0)</x:f>
        <x:v>28</x:v>
      </x:c>
      <x:c r="S991" t="n">
        <x:f>L991-AVERAGE(Q991:R991)</x:f>
        <x:v>0</x:v>
      </x:c>
      <x:c r="T991" t="str">
        <x:f>IF(M991=0,IF(AND(N991=0,O991=0,E991=0,F991=0),"OK","ERREUR"),IF(AND(M991&gt;=1,M991&lt;=32,OR(N991=4,N991=6,N991=8,N991=10,N991=12,N991=20),O991&gt;=0,E991=M991+O991,F991=M991*N991+O991),"OK","ERREUR"))</x:f>
        <x:v>OK</x:v>
      </x:c>
      <x:c r="U991" s="86" t="n">
        <x:f>IF(M991&gt;0,M991*(N991+1)/2+O991,0)</x:f>
        <x:v>23</x:v>
      </x:c>
      <x:c r="V991" t="str">
        <x:f>IF(ABS(L991-U991)&lt;0.001,"OK","ERREUR")</x:f>
        <x:v>OK</x:v>
      </x:c>
    </x:row>
    <x:row r="992" ht="18" customHeight="1">
      <x:c r="A992" t="str">
        <x:v>ARM050</x:v>
      </x:c>
      <x:c r="B992" t="str">
        <x:v>Arbalète lourde</x:v>
      </x:c>
      <x:c r="C992" t="n">
        <x:v>9</x:v>
      </x:c>
      <x:c r="D992" t="str">
        <x:v>Distance</x:v>
      </x:c>
      <x:c r="E992" s="28" t="n">
        <x:f>IF(M992=0,0,M992+O992)</x:f>
        <x:v>20</x:v>
      </x:c>
      <x:c r="F992" s="28" t="n">
        <x:f>IF(M992=0,0,M992*N992+O992)</x:f>
        <x:v>31</x:v>
      </x:c>
      <x:c r="G992" s="28" t="n">
        <x:f>ROUND(Catalogue!G53*SQRT((1+'Paramètres'!$B$4*(C992-1)+'Paramètres'!$B$5*(C992-1)^2)),0)</x:f>
        <x:v>0</x:v>
      </x:c>
      <x:c r="H992" s="28" t="n">
        <x:f>ROUND(Catalogue!H53*SQRT((1+'Paramètres'!$B$4*(C992-1)+'Paramètres'!$B$5*(C992-1)^2)),0)</x:f>
        <x:v>0</x:v>
      </x:c>
      <x:c r="I992" s="28" t="n">
        <x:v>3</x:v>
      </x:c>
      <x:c r="J992" s="28" t="n">
        <x:v>6</x:v>
      </x:c>
      <x:c r="K992" s="30" t="n">
        <x:v>4</x:v>
      </x:c>
      <x:c r="L992" s="54" t="n">
        <x:f>IF(M992=0,0,(E992+F992)/2)</x:f>
        <x:v>25.5</x:v>
      </x:c>
      <x:c r="M992" t="n">
        <x:v>1</x:v>
      </x:c>
      <x:c r="N992" t="n">
        <x:v>12</x:v>
      </x:c>
      <x:c r="O992" t="n">
        <x:v>19</x:v>
      </x:c>
      <x:c r="P992" s="63" t="str">
        <x:f>IF(M992=0,"—",M992&amp;"d"&amp;N992&amp;IF(O992=0,""," + "&amp;O992))</x:f>
        <x:v>1d12 + 19</x:v>
      </x:c>
      <x:c r="Q992" t="n">
        <x:f>ROUND(INDEX(Catalogue!E$4:E$85,MATCH(A992,Catalogue!A$4:A$85,0))*(1+'Paramètres'!$B$4*(C992-1)+'Paramètres'!$B$5*(C992-1)^2),0)</x:f>
        <x:v>20</x:v>
      </x:c>
      <x:c r="R992" t="n">
        <x:f>ROUND(INDEX(Catalogue!F$4:F$85,MATCH(A992,Catalogue!A$4:A$85,0))*(1+'Paramètres'!$B$4*(C992-1)+'Paramètres'!$B$5*(C992-1)^2),0)</x:f>
        <x:v>32</x:v>
      </x:c>
      <x:c r="S992" t="n">
        <x:f>L992-AVERAGE(Q992:R992)</x:f>
        <x:v>-0.5</x:v>
      </x:c>
      <x:c r="T992" t="str">
        <x:f>IF(M992=0,IF(AND(N992=0,O992=0,E992=0,F992=0),"OK","ERREUR"),IF(AND(M992&gt;=1,M992&lt;=32,OR(N992=4,N992=6,N992=8,N992=10,N992=12,N992=20),O992&gt;=0,E992=M992+O992,F992=M992*N992+O992),"OK","ERREUR"))</x:f>
        <x:v>OK</x:v>
      </x:c>
      <x:c r="U992" s="86" t="n">
        <x:f>IF(M992&gt;0,M992*(N992+1)/2+O992,0)</x:f>
        <x:v>25.5</x:v>
      </x:c>
      <x:c r="V992" t="str">
        <x:f>IF(ABS(L992-U992)&lt;0.001,"OK","ERREUR")</x:f>
        <x:v>OK</x:v>
      </x:c>
    </x:row>
    <x:row r="993" ht="18" customHeight="1">
      <x:c r="A993" t="str">
        <x:v>ARM050</x:v>
      </x:c>
      <x:c r="B993" t="str">
        <x:v>Arbalète lourde</x:v>
      </x:c>
      <x:c r="C993" t="n">
        <x:v>10</x:v>
      </x:c>
      <x:c r="D993" t="str">
        <x:v>Distance</x:v>
      </x:c>
      <x:c r="E993" s="28" t="n">
        <x:f>IF(M993=0,0,M993+O993)</x:f>
        <x:v>22</x:v>
      </x:c>
      <x:c r="F993" s="28" t="n">
        <x:f>IF(M993=0,0,M993*N993+O993)</x:f>
        <x:v>36</x:v>
      </x:c>
      <x:c r="G993" s="28" t="n">
        <x:f>ROUND(Catalogue!G53*SQRT((1+'Paramètres'!$B$4*(C993-1)+'Paramètres'!$B$5*(C993-1)^2)),0)</x:f>
        <x:v>0</x:v>
      </x:c>
      <x:c r="H993" s="28" t="n">
        <x:f>ROUND(Catalogue!H53*SQRT((1+'Paramètres'!$B$4*(C993-1)+'Paramètres'!$B$5*(C993-1)^2)),0)</x:f>
        <x:v>0</x:v>
      </x:c>
      <x:c r="I993" s="28" t="n">
        <x:v>3</x:v>
      </x:c>
      <x:c r="J993" s="28" t="n">
        <x:v>6</x:v>
      </x:c>
      <x:c r="K993" s="30" t="n">
        <x:v>4</x:v>
      </x:c>
      <x:c r="L993" s="54" t="n">
        <x:f>IF(M993=0,0,(E993+F993)/2)</x:f>
        <x:v>29</x:v>
      </x:c>
      <x:c r="M993" t="n">
        <x:v>2</x:v>
      </x:c>
      <x:c r="N993" t="n">
        <x:v>8</x:v>
      </x:c>
      <x:c r="O993" t="n">
        <x:v>20</x:v>
      </x:c>
      <x:c r="P993" s="63" t="str">
        <x:f>IF(M993=0,"—",M993&amp;"d"&amp;N993&amp;IF(O993=0,""," + "&amp;O993))</x:f>
        <x:v>2d8 + 20</x:v>
      </x:c>
      <x:c r="Q993" t="n">
        <x:f>ROUND(INDEX(Catalogue!E$4:E$85,MATCH(A993,Catalogue!A$4:A$85,0))*(1+'Paramètres'!$B$4*(C993-1)+'Paramètres'!$B$5*(C993-1)^2),0)</x:f>
        <x:v>23</x:v>
      </x:c>
      <x:c r="R993" t="n">
        <x:f>ROUND(INDEX(Catalogue!F$4:F$85,MATCH(A993,Catalogue!A$4:A$85,0))*(1+'Paramètres'!$B$4*(C993-1)+'Paramètres'!$B$5*(C993-1)^2),0)</x:f>
        <x:v>36</x:v>
      </x:c>
      <x:c r="S993" t="n">
        <x:f>L993-AVERAGE(Q993:R993)</x:f>
        <x:v>-0.5</x:v>
      </x:c>
      <x:c r="T993" t="str">
        <x:f>IF(M993=0,IF(AND(N993=0,O993=0,E993=0,F993=0),"OK","ERREUR"),IF(AND(M993&gt;=1,M993&lt;=32,OR(N993=4,N993=6,N993=8,N993=10,N993=12,N993=20),O993&gt;=0,E993=M993+O993,F993=M993*N993+O993),"OK","ERREUR"))</x:f>
        <x:v>OK</x:v>
      </x:c>
      <x:c r="U993" s="86" t="n">
        <x:f>IF(M993&gt;0,M993*(N993+1)/2+O993,0)</x:f>
        <x:v>29</x:v>
      </x:c>
      <x:c r="V993" t="str">
        <x:f>IF(ABS(L993-U993)&lt;0.001,"OK","ERREUR")</x:f>
        <x:v>OK</x:v>
      </x:c>
    </x:row>
    <x:row r="994" ht="18" customHeight="1">
      <x:c r="A994" t="str">
        <x:v>ARM050</x:v>
      </x:c>
      <x:c r="B994" t="str">
        <x:v>Arbalète lourde</x:v>
      </x:c>
      <x:c r="C994" t="n">
        <x:v>11</x:v>
      </x:c>
      <x:c r="D994" t="str">
        <x:v>Distance</x:v>
      </x:c>
      <x:c r="E994" s="28" t="n">
        <x:f>IF(M994=0,0,M994+O994)</x:f>
        <x:v>26</x:v>
      </x:c>
      <x:c r="F994" s="28" t="n">
        <x:f>IF(M994=0,0,M994*N994+O994)</x:f>
        <x:v>41</x:v>
      </x:c>
      <x:c r="G994" s="28" t="n">
        <x:f>ROUND(Catalogue!G53*SQRT((1+'Paramètres'!$B$4*(C994-1)+'Paramètres'!$B$5*(C994-1)^2)),0)</x:f>
        <x:v>0</x:v>
      </x:c>
      <x:c r="H994" s="28" t="n">
        <x:f>ROUND(Catalogue!H53*SQRT((1+'Paramètres'!$B$4*(C994-1)+'Paramètres'!$B$5*(C994-1)^2)),0)</x:f>
        <x:v>0</x:v>
      </x:c>
      <x:c r="I994" s="28" t="n">
        <x:v>3</x:v>
      </x:c>
      <x:c r="J994" s="28" t="n">
        <x:v>6</x:v>
      </x:c>
      <x:c r="K994" s="30" t="n">
        <x:v>4</x:v>
      </x:c>
      <x:c r="L994" s="54" t="n">
        <x:f>IF(M994=0,0,(E994+F994)/2)</x:f>
        <x:v>33.5</x:v>
      </x:c>
      <x:c r="M994" t="n">
        <x:v>3</x:v>
      </x:c>
      <x:c r="N994" t="n">
        <x:v>6</x:v>
      </x:c>
      <x:c r="O994" t="n">
        <x:v>23</x:v>
      </x:c>
      <x:c r="P994" s="63" t="str">
        <x:f>IF(M994=0,"—",M994&amp;"d"&amp;N994&amp;IF(O994=0,""," + "&amp;O994))</x:f>
        <x:v>3d6 + 23</x:v>
      </x:c>
      <x:c r="Q994" t="n">
        <x:f>ROUND(INDEX(Catalogue!E$4:E$85,MATCH(A994,Catalogue!A$4:A$85,0))*(1+'Paramètres'!$B$4*(C994-1)+'Paramètres'!$B$5*(C994-1)^2),0)</x:f>
        <x:v>26</x:v>
      </x:c>
      <x:c r="R994" t="n">
        <x:f>ROUND(INDEX(Catalogue!F$4:F$85,MATCH(A994,Catalogue!A$4:A$85,0))*(1+'Paramètres'!$B$4*(C994-1)+'Paramètres'!$B$5*(C994-1)^2),0)</x:f>
        <x:v>41</x:v>
      </x:c>
      <x:c r="S994" t="n">
        <x:f>L994-AVERAGE(Q994:R994)</x:f>
        <x:v>0</x:v>
      </x:c>
      <x:c r="T994" t="str">
        <x:f>IF(M994=0,IF(AND(N994=0,O994=0,E994=0,F994=0),"OK","ERREUR"),IF(AND(M994&gt;=1,M994&lt;=32,OR(N994=4,N994=6,N994=8,N994=10,N994=12,N994=20),O994&gt;=0,E994=M994+O994,F994=M994*N994+O994),"OK","ERREUR"))</x:f>
        <x:v>OK</x:v>
      </x:c>
      <x:c r="U994" s="86" t="n">
        <x:f>IF(M994&gt;0,M994*(N994+1)/2+O994,0)</x:f>
        <x:v>33.5</x:v>
      </x:c>
      <x:c r="V994" t="str">
        <x:f>IF(ABS(L994-U994)&lt;0.001,"OK","ERREUR")</x:f>
        <x:v>OK</x:v>
      </x:c>
    </x:row>
    <x:row r="995" ht="18" customHeight="1">
      <x:c r="A995" t="str">
        <x:v>ARM050</x:v>
      </x:c>
      <x:c r="B995" t="str">
        <x:v>Arbalète lourde</x:v>
      </x:c>
      <x:c r="C995" t="n">
        <x:v>12</x:v>
      </x:c>
      <x:c r="D995" t="str">
        <x:v>Distance</x:v>
      </x:c>
      <x:c r="E995" s="28" t="n">
        <x:f>IF(M995=0,0,M995+O995)</x:f>
        <x:v>28</x:v>
      </x:c>
      <x:c r="F995" s="28" t="n">
        <x:f>IF(M995=0,0,M995*N995+O995)</x:f>
        <x:v>46</x:v>
      </x:c>
      <x:c r="G995" s="28" t="n">
        <x:f>ROUND(Catalogue!G53*SQRT((1+'Paramètres'!$B$4*(C995-1)+'Paramètres'!$B$5*(C995-1)^2)),0)</x:f>
        <x:v>0</x:v>
      </x:c>
      <x:c r="H995" s="28" t="n">
        <x:f>ROUND(Catalogue!H53*SQRT((1+'Paramètres'!$B$4*(C995-1)+'Paramètres'!$B$5*(C995-1)^2)),0)</x:f>
        <x:v>0</x:v>
      </x:c>
      <x:c r="I995" s="28" t="n">
        <x:v>3</x:v>
      </x:c>
      <x:c r="J995" s="28" t="n">
        <x:v>6</x:v>
      </x:c>
      <x:c r="K995" s="30" t="n">
        <x:v>4</x:v>
      </x:c>
      <x:c r="L995" s="54" t="n">
        <x:f>IF(M995=0,0,(E995+F995)/2)</x:f>
        <x:v>37</x:v>
      </x:c>
      <x:c r="M995" t="n">
        <x:v>2</x:v>
      </x:c>
      <x:c r="N995" t="n">
        <x:v>10</x:v>
      </x:c>
      <x:c r="O995" t="n">
        <x:v>26</x:v>
      </x:c>
      <x:c r="P995" s="63" t="str">
        <x:f>IF(M995=0,"—",M995&amp;"d"&amp;N995&amp;IF(O995=0,""," + "&amp;O995))</x:f>
        <x:v>2d10 + 26</x:v>
      </x:c>
      <x:c r="Q995" t="n">
        <x:f>ROUND(INDEX(Catalogue!E$4:E$85,MATCH(A995,Catalogue!A$4:A$85,0))*(1+'Paramètres'!$B$4*(C995-1)+'Paramètres'!$B$5*(C995-1)^2),0)</x:f>
        <x:v>29</x:v>
      </x:c>
      <x:c r="R995" t="n">
        <x:f>ROUND(INDEX(Catalogue!F$4:F$85,MATCH(A995,Catalogue!A$4:A$85,0))*(1+'Paramètres'!$B$4*(C995-1)+'Paramètres'!$B$5*(C995-1)^2),0)</x:f>
        <x:v>46</x:v>
      </x:c>
      <x:c r="S995" t="n">
        <x:f>L995-AVERAGE(Q995:R995)</x:f>
        <x:v>-0.5</x:v>
      </x:c>
      <x:c r="T995" t="str">
        <x:f>IF(M995=0,IF(AND(N995=0,O995=0,E995=0,F995=0),"OK","ERREUR"),IF(AND(M995&gt;=1,M995&lt;=32,OR(N995=4,N995=6,N995=8,N995=10,N995=12,N995=20),O995&gt;=0,E995=M995+O995,F995=M995*N995+O995),"OK","ERREUR"))</x:f>
        <x:v>OK</x:v>
      </x:c>
      <x:c r="U995" s="86" t="n">
        <x:f>IF(M995&gt;0,M995*(N995+1)/2+O995,0)</x:f>
        <x:v>37</x:v>
      </x:c>
      <x:c r="V995" t="str">
        <x:f>IF(ABS(L995-U995)&lt;0.001,"OK","ERREUR")</x:f>
        <x:v>OK</x:v>
      </x:c>
    </x:row>
    <x:row r="996" ht="18" customHeight="1">
      <x:c r="A996" t="str">
        <x:v>ARM050</x:v>
      </x:c>
      <x:c r="B996" t="str">
        <x:v>Arbalète lourde</x:v>
      </x:c>
      <x:c r="C996" t="n">
        <x:v>13</x:v>
      </x:c>
      <x:c r="D996" t="str">
        <x:v>Distance</x:v>
      </x:c>
      <x:c r="E996" s="28" t="n">
        <x:f>IF(M996=0,0,M996+O996)</x:f>
        <x:v>32</x:v>
      </x:c>
      <x:c r="F996" s="28" t="n">
        <x:f>IF(M996=0,0,M996*N996+O996)</x:f>
        <x:v>50</x:v>
      </x:c>
      <x:c r="G996" s="28" t="n">
        <x:f>ROUND(Catalogue!G53*SQRT((1+'Paramètres'!$B$4*(C996-1)+'Paramètres'!$B$5*(C996-1)^2)),0)</x:f>
        <x:v>0</x:v>
      </x:c>
      <x:c r="H996" s="28" t="n">
        <x:f>ROUND(Catalogue!H53*SQRT((1+'Paramètres'!$B$4*(C996-1)+'Paramètres'!$B$5*(C996-1)^2)),0)</x:f>
        <x:v>0</x:v>
      </x:c>
      <x:c r="I996" s="28" t="n">
        <x:v>3</x:v>
      </x:c>
      <x:c r="J996" s="28" t="n">
        <x:v>6</x:v>
      </x:c>
      <x:c r="K996" s="30" t="n">
        <x:v>4</x:v>
      </x:c>
      <x:c r="L996" s="54" t="n">
        <x:f>IF(M996=0,0,(E996+F996)/2)</x:f>
        <x:v>41</x:v>
      </x:c>
      <x:c r="M996" t="n">
        <x:v>2</x:v>
      </x:c>
      <x:c r="N996" t="n">
        <x:v>10</x:v>
      </x:c>
      <x:c r="O996" t="n">
        <x:v>30</x:v>
      </x:c>
      <x:c r="P996" s="63" t="str">
        <x:f>IF(M996=0,"—",M996&amp;"d"&amp;N996&amp;IF(O996=0,""," + "&amp;O996))</x:f>
        <x:v>2d10 + 30</x:v>
      </x:c>
      <x:c r="Q996" t="n">
        <x:f>ROUND(INDEX(Catalogue!E$4:E$85,MATCH(A996,Catalogue!A$4:A$85,0))*(1+'Paramètres'!$B$4*(C996-1)+'Paramètres'!$B$5*(C996-1)^2),0)</x:f>
        <x:v>32</x:v>
      </x:c>
      <x:c r="R996" t="n">
        <x:f>ROUND(INDEX(Catalogue!F$4:F$85,MATCH(A996,Catalogue!A$4:A$85,0))*(1+'Paramètres'!$B$4*(C996-1)+'Paramètres'!$B$5*(C996-1)^2),0)</x:f>
        <x:v>51</x:v>
      </x:c>
      <x:c r="S996" t="n">
        <x:f>L996-AVERAGE(Q996:R996)</x:f>
        <x:v>-0.5</x:v>
      </x:c>
      <x:c r="T996" t="str">
        <x:f>IF(M996=0,IF(AND(N996=0,O996=0,E996=0,F996=0),"OK","ERREUR"),IF(AND(M996&gt;=1,M996&lt;=32,OR(N996=4,N996=6,N996=8,N996=10,N996=12,N996=20),O996&gt;=0,E996=M996+O996,F996=M996*N996+O996),"OK","ERREUR"))</x:f>
        <x:v>OK</x:v>
      </x:c>
      <x:c r="U996" s="86" t="n">
        <x:f>IF(M996&gt;0,M996*(N996+1)/2+O996,0)</x:f>
        <x:v>41</x:v>
      </x:c>
      <x:c r="V996" t="str">
        <x:f>IF(ABS(L996-U996)&lt;0.001,"OK","ERREUR")</x:f>
        <x:v>OK</x:v>
      </x:c>
    </x:row>
    <x:row r="997" ht="18" customHeight="1">
      <x:c r="A997" t="str">
        <x:v>ARM050</x:v>
      </x:c>
      <x:c r="B997" t="str">
        <x:v>Arbalète lourde</x:v>
      </x:c>
      <x:c r="C997" t="n">
        <x:v>14</x:v>
      </x:c>
      <x:c r="D997" t="str">
        <x:v>Distance</x:v>
      </x:c>
      <x:c r="E997" s="28" t="n">
        <x:f>IF(M997=0,0,M997+O997)</x:f>
        <x:v>36</x:v>
      </x:c>
      <x:c r="F997" s="28" t="n">
        <x:f>IF(M997=0,0,M997*N997+O997)</x:f>
        <x:v>56</x:v>
      </x:c>
      <x:c r="G997" s="28" t="n">
        <x:f>ROUND(Catalogue!G53*SQRT((1+'Paramètres'!$B$4*(C997-1)+'Paramètres'!$B$5*(C997-1)^2)),0)</x:f>
        <x:v>0</x:v>
      </x:c>
      <x:c r="H997" s="28" t="n">
        <x:f>ROUND(Catalogue!H53*SQRT((1+'Paramètres'!$B$4*(C997-1)+'Paramètres'!$B$5*(C997-1)^2)),0)</x:f>
        <x:v>0</x:v>
      </x:c>
      <x:c r="I997" s="28" t="n">
        <x:v>3</x:v>
      </x:c>
      <x:c r="J997" s="28" t="n">
        <x:v>6</x:v>
      </x:c>
      <x:c r="K997" s="30" t="n">
        <x:v>4</x:v>
      </x:c>
      <x:c r="L997" s="54" t="n">
        <x:f>IF(M997=0,0,(E997+F997)/2)</x:f>
        <x:v>46</x:v>
      </x:c>
      <x:c r="M997" t="n">
        <x:v>4</x:v>
      </x:c>
      <x:c r="N997" t="n">
        <x:v>6</x:v>
      </x:c>
      <x:c r="O997" t="n">
        <x:v>32</x:v>
      </x:c>
      <x:c r="P997" s="63" t="str">
        <x:f>IF(M997=0,"—",M997&amp;"d"&amp;N997&amp;IF(O997=0,""," + "&amp;O997))</x:f>
        <x:v>4d6 + 32</x:v>
      </x:c>
      <x:c r="Q997" t="n">
        <x:f>ROUND(INDEX(Catalogue!E$4:E$85,MATCH(A997,Catalogue!A$4:A$85,0))*(1+'Paramètres'!$B$4*(C997-1)+'Paramètres'!$B$5*(C997-1)^2),0)</x:f>
        <x:v>36</x:v>
      </x:c>
      <x:c r="R997" t="n">
        <x:f>ROUND(INDEX(Catalogue!F$4:F$85,MATCH(A997,Catalogue!A$4:A$85,0))*(1+'Paramètres'!$B$4*(C997-1)+'Paramètres'!$B$5*(C997-1)^2),0)</x:f>
        <x:v>56</x:v>
      </x:c>
      <x:c r="S997" t="n">
        <x:f>L997-AVERAGE(Q997:R997)</x:f>
        <x:v>0</x:v>
      </x:c>
      <x:c r="T997" t="str">
        <x:f>IF(M997=0,IF(AND(N997=0,O997=0,E997=0,F997=0),"OK","ERREUR"),IF(AND(M997&gt;=1,M997&lt;=32,OR(N997=4,N997=6,N997=8,N997=10,N997=12,N997=20),O997&gt;=0,E997=M997+O997,F997=M997*N997+O997),"OK","ERREUR"))</x:f>
        <x:v>OK</x:v>
      </x:c>
      <x:c r="U997" s="86" t="n">
        <x:f>IF(M997&gt;0,M997*(N997+1)/2+O997,0)</x:f>
        <x:v>46</x:v>
      </x:c>
      <x:c r="V997" t="str">
        <x:f>IF(ABS(L997-U997)&lt;0.001,"OK","ERREUR")</x:f>
        <x:v>OK</x:v>
      </x:c>
    </x:row>
    <x:row r="998" ht="18" customHeight="1">
      <x:c r="A998" t="str">
        <x:v>ARM050</x:v>
      </x:c>
      <x:c r="B998" t="str">
        <x:v>Arbalète lourde</x:v>
      </x:c>
      <x:c r="C998" t="n">
        <x:v>15</x:v>
      </x:c>
      <x:c r="D998" t="str">
        <x:v>Distance</x:v>
      </x:c>
      <x:c r="E998" s="28" t="n">
        <x:f>IF(M998=0,0,M998+O998)</x:f>
        <x:v>40</x:v>
      </x:c>
      <x:c r="F998" s="28" t="n">
        <x:f>IF(M998=0,0,M998*N998+O998)</x:f>
        <x:v>62</x:v>
      </x:c>
      <x:c r="G998" s="28" t="n">
        <x:f>ROUND(Catalogue!G53*SQRT((1+'Paramètres'!$B$4*(C998-1)+'Paramètres'!$B$5*(C998-1)^2)),0)</x:f>
        <x:v>0</x:v>
      </x:c>
      <x:c r="H998" s="28" t="n">
        <x:f>ROUND(Catalogue!H53*SQRT((1+'Paramètres'!$B$4*(C998-1)+'Paramètres'!$B$5*(C998-1)^2)),0)</x:f>
        <x:v>0</x:v>
      </x:c>
      <x:c r="I998" s="28" t="n">
        <x:v>3</x:v>
      </x:c>
      <x:c r="J998" s="28" t="n">
        <x:v>6</x:v>
      </x:c>
      <x:c r="K998" s="30" t="n">
        <x:v>4</x:v>
      </x:c>
      <x:c r="L998" s="54" t="n">
        <x:f>IF(M998=0,0,(E998+F998)/2)</x:f>
        <x:v>51</x:v>
      </x:c>
      <x:c r="M998" t="n">
        <x:v>2</x:v>
      </x:c>
      <x:c r="N998" t="n">
        <x:v>12</x:v>
      </x:c>
      <x:c r="O998" t="n">
        <x:v>38</x:v>
      </x:c>
      <x:c r="P998" s="63" t="str">
        <x:f>IF(M998=0,"—",M998&amp;"d"&amp;N998&amp;IF(O998=0,""," + "&amp;O998))</x:f>
        <x:v>2d12 + 38</x:v>
      </x:c>
      <x:c r="Q998" t="n">
        <x:f>ROUND(INDEX(Catalogue!E$4:E$85,MATCH(A998,Catalogue!A$4:A$85,0))*(1+'Paramètres'!$B$4*(C998-1)+'Paramètres'!$B$5*(C998-1)^2),0)</x:f>
        <x:v>40</x:v>
      </x:c>
      <x:c r="R998" t="n">
        <x:f>ROUND(INDEX(Catalogue!F$4:F$85,MATCH(A998,Catalogue!A$4:A$85,0))*(1+'Paramètres'!$B$4*(C998-1)+'Paramètres'!$B$5*(C998-1)^2),0)</x:f>
        <x:v>62</x:v>
      </x:c>
      <x:c r="S998" t="n">
        <x:f>L998-AVERAGE(Q998:R998)</x:f>
        <x:v>0</x:v>
      </x:c>
      <x:c r="T998" t="str">
        <x:f>IF(M998=0,IF(AND(N998=0,O998=0,E998=0,F998=0),"OK","ERREUR"),IF(AND(M998&gt;=1,M998&lt;=32,OR(N998=4,N998=6,N998=8,N998=10,N998=12,N998=20),O998&gt;=0,E998=M998+O998,F998=M998*N998+O998),"OK","ERREUR"))</x:f>
        <x:v>OK</x:v>
      </x:c>
      <x:c r="U998" s="86" t="n">
        <x:f>IF(M998&gt;0,M998*(N998+1)/2+O998,0)</x:f>
        <x:v>51</x:v>
      </x:c>
      <x:c r="V998" t="str">
        <x:f>IF(ABS(L998-U998)&lt;0.001,"OK","ERREUR")</x:f>
        <x:v>OK</x:v>
      </x:c>
    </x:row>
    <x:row r="999" ht="18" customHeight="1">
      <x:c r="A999" t="str">
        <x:v>ARM050</x:v>
      </x:c>
      <x:c r="B999" t="str">
        <x:v>Arbalète lourde</x:v>
      </x:c>
      <x:c r="C999" t="n">
        <x:v>16</x:v>
      </x:c>
      <x:c r="D999" t="str">
        <x:v>Distance</x:v>
      </x:c>
      <x:c r="E999" s="28" t="n">
        <x:f>IF(M999=0,0,M999+O999)</x:f>
        <x:v>44</x:v>
      </x:c>
      <x:c r="F999" s="28" t="n">
        <x:f>IF(M999=0,0,M999*N999+O999)</x:f>
        <x:v>69</x:v>
      </x:c>
      <x:c r="G999" s="28" t="n">
        <x:f>ROUND(Catalogue!G53*SQRT((1+'Paramètres'!$B$4*(C999-1)+'Paramètres'!$B$5*(C999-1)^2)),0)</x:f>
        <x:v>0</x:v>
      </x:c>
      <x:c r="H999" s="28" t="n">
        <x:f>ROUND(Catalogue!H53*SQRT((1+'Paramètres'!$B$4*(C999-1)+'Paramètres'!$B$5*(C999-1)^2)),0)</x:f>
        <x:v>0</x:v>
      </x:c>
      <x:c r="I999" s="28" t="n">
        <x:v>3</x:v>
      </x:c>
      <x:c r="J999" s="28" t="n">
        <x:v>6</x:v>
      </x:c>
      <x:c r="K999" s="30" t="n">
        <x:v>4</x:v>
      </x:c>
      <x:c r="L999" s="54" t="n">
        <x:f>IF(M999=0,0,(E999+F999)/2)</x:f>
        <x:v>56.5</x:v>
      </x:c>
      <x:c r="M999" t="n">
        <x:v>5</x:v>
      </x:c>
      <x:c r="N999" t="n">
        <x:v>6</x:v>
      </x:c>
      <x:c r="O999" t="n">
        <x:v>39</x:v>
      </x:c>
      <x:c r="P999" s="63" t="str">
        <x:f>IF(M999=0,"—",M999&amp;"d"&amp;N999&amp;IF(O999=0,""," + "&amp;O999))</x:f>
        <x:v>5d6 + 39</x:v>
      </x:c>
      <x:c r="Q999" t="n">
        <x:f>ROUND(INDEX(Catalogue!E$4:E$85,MATCH(A999,Catalogue!A$4:A$85,0))*(1+'Paramètres'!$B$4*(C999-1)+'Paramètres'!$B$5*(C999-1)^2),0)</x:f>
        <x:v>44</x:v>
      </x:c>
      <x:c r="R999" t="n">
        <x:f>ROUND(INDEX(Catalogue!F$4:F$85,MATCH(A999,Catalogue!A$4:A$85,0))*(1+'Paramètres'!$B$4*(C999-1)+'Paramètres'!$B$5*(C999-1)^2),0)</x:f>
        <x:v>69</x:v>
      </x:c>
      <x:c r="S999" t="n">
        <x:f>L999-AVERAGE(Q999:R999)</x:f>
        <x:v>0</x:v>
      </x:c>
      <x:c r="T999" t="str">
        <x:f>IF(M999=0,IF(AND(N999=0,O999=0,E999=0,F999=0),"OK","ERREUR"),IF(AND(M999&gt;=1,M999&lt;=32,OR(N999=4,N999=6,N999=8,N999=10,N999=12,N999=20),O999&gt;=0,E999=M999+O999,F999=M999*N999+O999),"OK","ERREUR"))</x:f>
        <x:v>OK</x:v>
      </x:c>
      <x:c r="U999" s="86" t="n">
        <x:f>IF(M999&gt;0,M999*(N999+1)/2+O999,0)</x:f>
        <x:v>56.5</x:v>
      </x:c>
      <x:c r="V999" t="str">
        <x:f>IF(ABS(L999-U999)&lt;0.001,"OK","ERREUR")</x:f>
        <x:v>OK</x:v>
      </x:c>
    </x:row>
    <x:row r="1000" ht="18" customHeight="1">
      <x:c r="A1000" t="str">
        <x:v>ARM050</x:v>
      </x:c>
      <x:c r="B1000" t="str">
        <x:v>Arbalète lourde</x:v>
      </x:c>
      <x:c r="C1000" t="n">
        <x:v>17</x:v>
      </x:c>
      <x:c r="D1000" t="str">
        <x:v>Distance</x:v>
      </x:c>
      <x:c r="E1000" s="28" t="n">
        <x:f>IF(M1000=0,0,M1000+O1000)</x:f>
        <x:v>48</x:v>
      </x:c>
      <x:c r="F1000" s="28" t="n">
        <x:f>IF(M1000=0,0,M1000*N1000+O1000)</x:f>
        <x:v>75</x:v>
      </x:c>
      <x:c r="G1000" s="28" t="n">
        <x:f>ROUND(Catalogue!G53*SQRT((1+'Paramètres'!$B$4*(C1000-1)+'Paramètres'!$B$5*(C1000-1)^2)),0)</x:f>
        <x:v>0</x:v>
      </x:c>
      <x:c r="H1000" s="28" t="n">
        <x:f>ROUND(Catalogue!H53*SQRT((1+'Paramètres'!$B$4*(C1000-1)+'Paramètres'!$B$5*(C1000-1)^2)),0)</x:f>
        <x:v>0</x:v>
      </x:c>
      <x:c r="I1000" s="28" t="n">
        <x:v>3</x:v>
      </x:c>
      <x:c r="J1000" s="28" t="n">
        <x:v>6</x:v>
      </x:c>
      <x:c r="K1000" s="30" t="n">
        <x:v>4</x:v>
      </x:c>
      <x:c r="L1000" s="54" t="n">
        <x:f>IF(M1000=0,0,(E1000+F1000)/2)</x:f>
        <x:v>61.5</x:v>
      </x:c>
      <x:c r="M1000" t="n">
        <x:v>3</x:v>
      </x:c>
      <x:c r="N1000" t="n">
        <x:v>10</x:v>
      </x:c>
      <x:c r="O1000" t="n">
        <x:v>45</x:v>
      </x:c>
      <x:c r="P1000" s="63" t="str">
        <x:f>IF(M1000=0,"—",M1000&amp;"d"&amp;N1000&amp;IF(O1000=0,""," + "&amp;O1000))</x:f>
        <x:v>3d10 + 45</x:v>
      </x:c>
      <x:c r="Q1000" t="n">
        <x:f>ROUND(INDEX(Catalogue!E$4:E$85,MATCH(A1000,Catalogue!A$4:A$85,0))*(1+'Paramètres'!$B$4*(C1000-1)+'Paramètres'!$B$5*(C1000-1)^2),0)</x:f>
        <x:v>48</x:v>
      </x:c>
      <x:c r="R1000" t="n">
        <x:f>ROUND(INDEX(Catalogue!F$4:F$85,MATCH(A1000,Catalogue!A$4:A$85,0))*(1+'Paramètres'!$B$4*(C1000-1)+'Paramètres'!$B$5*(C1000-1)^2),0)</x:f>
        <x:v>75</x:v>
      </x:c>
      <x:c r="S1000" t="n">
        <x:f>L1000-AVERAGE(Q1000:R1000)</x:f>
        <x:v>0</x:v>
      </x:c>
      <x:c r="T1000" t="str">
        <x:f>IF(M1000=0,IF(AND(N1000=0,O1000=0,E1000=0,F1000=0),"OK","ERREUR"),IF(AND(M1000&gt;=1,M1000&lt;=32,OR(N1000=4,N1000=6,N1000=8,N1000=10,N1000=12,N1000=20),O1000&gt;=0,E1000=M1000+O1000,F1000=M1000*N1000+O1000),"OK","ERREUR"))</x:f>
        <x:v>OK</x:v>
      </x:c>
      <x:c r="U1000" s="86" t="n">
        <x:f>IF(M1000&gt;0,M1000*(N1000+1)/2+O1000,0)</x:f>
        <x:v>61.5</x:v>
      </x:c>
      <x:c r="V1000" t="str">
        <x:f>IF(ABS(L1000-U1000)&lt;0.001,"OK","ERREUR")</x:f>
        <x:v>OK</x:v>
      </x:c>
    </x:row>
    <x:row r="1001" ht="18" customHeight="1">
      <x:c r="A1001" t="str">
        <x:v>ARM050</x:v>
      </x:c>
      <x:c r="B1001" t="str">
        <x:v>Arbalète lourde</x:v>
      </x:c>
      <x:c r="C1001" t="n">
        <x:v>18</x:v>
      </x:c>
      <x:c r="D1001" t="str">
        <x:v>Distance</x:v>
      </x:c>
      <x:c r="E1001" s="28" t="n">
        <x:f>IF(M1001=0,0,M1001+O1001)</x:f>
        <x:v>52</x:v>
      </x:c>
      <x:c r="F1001" s="28" t="n">
        <x:f>IF(M1001=0,0,M1001*N1001+O1001)</x:f>
        <x:v>82</x:v>
      </x:c>
      <x:c r="G1001" s="28" t="n">
        <x:f>ROUND(Catalogue!G53*SQRT((1+'Paramètres'!$B$4*(C1001-1)+'Paramètres'!$B$5*(C1001-1)^2)),0)</x:f>
        <x:v>0</x:v>
      </x:c>
      <x:c r="H1001" s="28" t="n">
        <x:f>ROUND(Catalogue!H53*SQRT((1+'Paramètres'!$B$4*(C1001-1)+'Paramètres'!$B$5*(C1001-1)^2)),0)</x:f>
        <x:v>0</x:v>
      </x:c>
      <x:c r="I1001" s="28" t="n">
        <x:v>3</x:v>
      </x:c>
      <x:c r="J1001" s="28" t="n">
        <x:v>6</x:v>
      </x:c>
      <x:c r="K1001" s="30" t="n">
        <x:v>4</x:v>
      </x:c>
      <x:c r="L1001" s="54" t="n">
        <x:f>IF(M1001=0,0,(E1001+F1001)/2)</x:f>
        <x:v>67</x:v>
      </x:c>
      <x:c r="M1001" t="n">
        <x:v>6</x:v>
      </x:c>
      <x:c r="N1001" t="n">
        <x:v>6</x:v>
      </x:c>
      <x:c r="O1001" t="n">
        <x:v>46</x:v>
      </x:c>
      <x:c r="P1001" s="63" t="str">
        <x:f>IF(M1001=0,"—",M1001&amp;"d"&amp;N1001&amp;IF(O1001=0,""," + "&amp;O1001))</x:f>
        <x:v>6d6 + 46</x:v>
      </x:c>
      <x:c r="Q1001" t="n">
        <x:f>ROUND(INDEX(Catalogue!E$4:E$85,MATCH(A1001,Catalogue!A$4:A$85,0))*(1+'Paramètres'!$B$4*(C1001-1)+'Paramètres'!$B$5*(C1001-1)^2),0)</x:f>
        <x:v>52</x:v>
      </x:c>
      <x:c r="R1001" t="n">
        <x:f>ROUND(INDEX(Catalogue!F$4:F$85,MATCH(A1001,Catalogue!A$4:A$85,0))*(1+'Paramètres'!$B$4*(C1001-1)+'Paramètres'!$B$5*(C1001-1)^2),0)</x:f>
        <x:v>82</x:v>
      </x:c>
      <x:c r="S1001" t="n">
        <x:f>L1001-AVERAGE(Q1001:R1001)</x:f>
        <x:v>0</x:v>
      </x:c>
      <x:c r="T1001" t="str">
        <x:f>IF(M1001=0,IF(AND(N1001=0,O1001=0,E1001=0,F1001=0),"OK","ERREUR"),IF(AND(M1001&gt;=1,M1001&lt;=32,OR(N1001=4,N1001=6,N1001=8,N1001=10,N1001=12,N1001=20),O1001&gt;=0,E1001=M1001+O1001,F1001=M1001*N1001+O1001),"OK","ERREUR"))</x:f>
        <x:v>OK</x:v>
      </x:c>
      <x:c r="U1001" s="86" t="n">
        <x:f>IF(M1001&gt;0,M1001*(N1001+1)/2+O1001,0)</x:f>
        <x:v>67</x:v>
      </x:c>
      <x:c r="V1001" t="str">
        <x:f>IF(ABS(L1001-U1001)&lt;0.001,"OK","ERREUR")</x:f>
        <x:v>OK</x:v>
      </x:c>
    </x:row>
    <x:row r="1002" ht="18" customHeight="1">
      <x:c r="A1002" t="str">
        <x:v>ARM050</x:v>
      </x:c>
      <x:c r="B1002" t="str">
        <x:v>Arbalète lourde</x:v>
      </x:c>
      <x:c r="C1002" t="n">
        <x:v>19</x:v>
      </x:c>
      <x:c r="D1002" t="str">
        <x:v>Distance</x:v>
      </x:c>
      <x:c r="E1002" s="28" t="n">
        <x:f>IF(M1002=0,0,M1002+O1002)</x:f>
        <x:v>57</x:v>
      </x:c>
      <x:c r="F1002" s="28" t="n">
        <x:f>IF(M1002=0,0,M1002*N1002+O1002)</x:f>
        <x:v>90</x:v>
      </x:c>
      <x:c r="G1002" s="28" t="n">
        <x:f>ROUND(Catalogue!G53*SQRT((1+'Paramètres'!$B$4*(C1002-1)+'Paramètres'!$B$5*(C1002-1)^2)),0)</x:f>
        <x:v>0</x:v>
      </x:c>
      <x:c r="H1002" s="28" t="n">
        <x:f>ROUND(Catalogue!H53*SQRT((1+'Paramètres'!$B$4*(C1002-1)+'Paramètres'!$B$5*(C1002-1)^2)),0)</x:f>
        <x:v>0</x:v>
      </x:c>
      <x:c r="I1002" s="28" t="n">
        <x:v>3</x:v>
      </x:c>
      <x:c r="J1002" s="28" t="n">
        <x:v>6</x:v>
      </x:c>
      <x:c r="K1002" s="30" t="n">
        <x:v>4</x:v>
      </x:c>
      <x:c r="L1002" s="54" t="n">
        <x:f>IF(M1002=0,0,(E1002+F1002)/2)</x:f>
        <x:v>73.5</x:v>
      </x:c>
      <x:c r="M1002" t="n">
        <x:v>3</x:v>
      </x:c>
      <x:c r="N1002" t="n">
        <x:v>12</x:v>
      </x:c>
      <x:c r="O1002" t="n">
        <x:v>54</x:v>
      </x:c>
      <x:c r="P1002" s="63" t="str">
        <x:f>IF(M1002=0,"—",M1002&amp;"d"&amp;N1002&amp;IF(O1002=0,""," + "&amp;O1002))</x:f>
        <x:v>3d12 + 54</x:v>
      </x:c>
      <x:c r="Q1002" t="n">
        <x:f>ROUND(INDEX(Catalogue!E$4:E$85,MATCH(A1002,Catalogue!A$4:A$85,0))*(1+'Paramètres'!$B$4*(C1002-1)+'Paramètres'!$B$5*(C1002-1)^2),0)</x:f>
        <x:v>57</x:v>
      </x:c>
      <x:c r="R1002" t="n">
        <x:f>ROUND(INDEX(Catalogue!F$4:F$85,MATCH(A1002,Catalogue!A$4:A$85,0))*(1+'Paramètres'!$B$4*(C1002-1)+'Paramètres'!$B$5*(C1002-1)^2),0)</x:f>
        <x:v>90</x:v>
      </x:c>
      <x:c r="S1002" t="n">
        <x:f>L1002-AVERAGE(Q1002:R1002)</x:f>
        <x:v>0</x:v>
      </x:c>
      <x:c r="T1002" t="str">
        <x:f>IF(M1002=0,IF(AND(N1002=0,O1002=0,E1002=0,F1002=0),"OK","ERREUR"),IF(AND(M1002&gt;=1,M1002&lt;=32,OR(N1002=4,N1002=6,N1002=8,N1002=10,N1002=12,N1002=20),O1002&gt;=0,E1002=M1002+O1002,F1002=M1002*N1002+O1002),"OK","ERREUR"))</x:f>
        <x:v>OK</x:v>
      </x:c>
      <x:c r="U1002" s="86" t="n">
        <x:f>IF(M1002&gt;0,M1002*(N1002+1)/2+O1002,0)</x:f>
        <x:v>73.5</x:v>
      </x:c>
      <x:c r="V1002" t="str">
        <x:f>IF(ABS(L1002-U1002)&lt;0.001,"OK","ERREUR")</x:f>
        <x:v>OK</x:v>
      </x:c>
    </x:row>
    <x:row r="1003" ht="18" customHeight="1">
      <x:c r="A1003" t="str">
        <x:v>ARM050</x:v>
      </x:c>
      <x:c r="B1003" t="str">
        <x:v>Arbalète lourde</x:v>
      </x:c>
      <x:c r="C1003" t="n">
        <x:v>20</x:v>
      </x:c>
      <x:c r="D1003" t="str">
        <x:v>Distance</x:v>
      </x:c>
      <x:c r="E1003" s="28" t="n">
        <x:f>IF(M1003=0,0,M1003+O1003)</x:f>
        <x:v>62</x:v>
      </x:c>
      <x:c r="F1003" s="28" t="n">
        <x:f>IF(M1003=0,0,M1003*N1003+O1003)</x:f>
        <x:v>98</x:v>
      </x:c>
      <x:c r="G1003" s="28" t="n">
        <x:f>ROUND(Catalogue!G53*SQRT((1+'Paramètres'!$B$4*(C1003-1)+'Paramètres'!$B$5*(C1003-1)^2)),0)</x:f>
        <x:v>0</x:v>
      </x:c>
      <x:c r="H1003" s="28" t="n">
        <x:f>ROUND(Catalogue!H53*SQRT((1+'Paramètres'!$B$4*(C1003-1)+'Paramètres'!$B$5*(C1003-1)^2)),0)</x:f>
        <x:v>0</x:v>
      </x:c>
      <x:c r="I1003" s="28" t="n">
        <x:v>3</x:v>
      </x:c>
      <x:c r="J1003" s="28" t="n">
        <x:v>6</x:v>
      </x:c>
      <x:c r="K1003" s="30" t="n">
        <x:v>4</x:v>
      </x:c>
      <x:c r="L1003" s="54" t="n">
        <x:f>IF(M1003=0,0,(E1003+F1003)/2)</x:f>
        <x:v>80</x:v>
      </x:c>
      <x:c r="M1003" t="n">
        <x:v>4</x:v>
      </x:c>
      <x:c r="N1003" t="n">
        <x:v>10</x:v>
      </x:c>
      <x:c r="O1003" t="n">
        <x:v>58</x:v>
      </x:c>
      <x:c r="P1003" s="63" t="str">
        <x:f>IF(M1003=0,"—",M1003&amp;"d"&amp;N1003&amp;IF(O1003=0,""," + "&amp;O1003))</x:f>
        <x:v>4d10 + 58</x:v>
      </x:c>
      <x:c r="Q1003" t="n">
        <x:f>ROUND(INDEX(Catalogue!E$4:E$85,MATCH(A1003,Catalogue!A$4:A$85,0))*(1+'Paramètres'!$B$4*(C1003-1)+'Paramètres'!$B$5*(C1003-1)^2),0)</x:f>
        <x:v>62</x:v>
      </x:c>
      <x:c r="R1003" t="n">
        <x:f>ROUND(INDEX(Catalogue!F$4:F$85,MATCH(A1003,Catalogue!A$4:A$85,0))*(1+'Paramètres'!$B$4*(C1003-1)+'Paramètres'!$B$5*(C1003-1)^2),0)</x:f>
        <x:v>98</x:v>
      </x:c>
      <x:c r="S1003" t="n">
        <x:f>L1003-AVERAGE(Q1003:R1003)</x:f>
        <x:v>0</x:v>
      </x:c>
      <x:c r="T1003" t="str">
        <x:f>IF(M1003=0,IF(AND(N1003=0,O1003=0,E1003=0,F1003=0),"OK","ERREUR"),IF(AND(M1003&gt;=1,M1003&lt;=32,OR(N1003=4,N1003=6,N1003=8,N1003=10,N1003=12,N1003=20),O1003&gt;=0,E1003=M1003+O1003,F1003=M1003*N1003+O1003),"OK","ERREUR"))</x:f>
        <x:v>OK</x:v>
      </x:c>
      <x:c r="U1003" s="86" t="n">
        <x:f>IF(M1003&gt;0,M1003*(N1003+1)/2+O1003,0)</x:f>
        <x:v>80</x:v>
      </x:c>
      <x:c r="V1003" t="str">
        <x:f>IF(ABS(L1003-U1003)&lt;0.001,"OK","ERREUR")</x:f>
        <x:v>OK</x:v>
      </x:c>
    </x:row>
    <x:row r="1004" ht="18" customHeight="1">
      <x:c r="A1004" t="str">
        <x:v>ARM051</x:v>
      </x:c>
      <x:c r="B1004" t="str">
        <x:v>Arbalète à répétition</x:v>
      </x:c>
      <x:c r="C1004" t="n">
        <x:v>1</x:v>
      </x:c>
      <x:c r="D1004" t="str">
        <x:v>Distance</x:v>
      </x:c>
      <x:c r="E1004" s="28" t="n">
        <x:f>IF(M1004=0,0,M1004+O1004)</x:f>
        <x:v>2</x:v>
      </x:c>
      <x:c r="F1004" s="28" t="n">
        <x:f>IF(M1004=0,0,M1004*N1004+O1004)</x:f>
        <x:v>5</x:v>
      </x:c>
      <x:c r="G1004" s="28" t="n">
        <x:f>ROUND(Catalogue!G54*SQRT((1+'Paramètres'!$B$4*(C1004-1)+'Paramètres'!$B$5*(C1004-1)^2)),0)</x:f>
        <x:v>0</x:v>
      </x:c>
      <x:c r="H1004" s="28" t="n">
        <x:f>ROUND(Catalogue!H54*SQRT((1+'Paramètres'!$B$4*(C1004-1)+'Paramètres'!$B$5*(C1004-1)^2)),0)</x:f>
        <x:v>0</x:v>
      </x:c>
      <x:c r="I1004" s="28" t="n">
        <x:v>2</x:v>
      </x:c>
      <x:c r="J1004" s="28" t="n">
        <x:v>5</x:v>
      </x:c>
      <x:c r="K1004" s="30" t="n">
        <x:v>3.8</x:v>
      </x:c>
      <x:c r="L1004" s="54" t="n">
        <x:f>IF(M1004=0,0,(E1004+F1004)/2)</x:f>
        <x:v>3.5</x:v>
      </x:c>
      <x:c r="M1004" t="n">
        <x:v>1</x:v>
      </x:c>
      <x:c r="N1004" t="n">
        <x:v>4</x:v>
      </x:c>
      <x:c r="O1004" t="n">
        <x:v>1</x:v>
      </x:c>
      <x:c r="P1004" s="63" t="str">
        <x:f>IF(M1004=0,"—",M1004&amp;"d"&amp;N1004&amp;IF(O1004=0,""," + "&amp;O1004))</x:f>
        <x:v>1d4 + 1</x:v>
      </x:c>
      <x:c r="Q1004" t="n">
        <x:f>ROUND(INDEX(Catalogue!E$4:E$85,MATCH(A1004,Catalogue!A$4:A$85,0))*(1+'Paramètres'!$B$4*(C1004-1)+'Paramètres'!$B$5*(C1004-1)^2),0)</x:f>
        <x:v>3</x:v>
      </x:c>
      <x:c r="R1004" t="n">
        <x:f>ROUND(INDEX(Catalogue!F$4:F$85,MATCH(A1004,Catalogue!A$4:A$85,0))*(1+'Paramètres'!$B$4*(C1004-1)+'Paramètres'!$B$5*(C1004-1)^2),0)</x:f>
        <x:v>5</x:v>
      </x:c>
      <x:c r="S1004" t="n">
        <x:f>L1004-AVERAGE(Q1004:R1004)</x:f>
        <x:v>-0.5</x:v>
      </x:c>
      <x:c r="T1004" t="str">
        <x:f>IF(M1004=0,IF(AND(N1004=0,O1004=0,E1004=0,F1004=0),"OK","ERREUR"),IF(AND(M1004&gt;=1,M1004&lt;=32,OR(N1004=4,N1004=6,N1004=8,N1004=10,N1004=12,N1004=20),O1004&gt;=0,E1004=M1004+O1004,F1004=M1004*N1004+O1004),"OK","ERREUR"))</x:f>
        <x:v>OK</x:v>
      </x:c>
      <x:c r="U1004" s="86" t="n">
        <x:f>IF(M1004&gt;0,M1004*(N1004+1)/2+O1004,0)</x:f>
        <x:v>3.5</x:v>
      </x:c>
      <x:c r="V1004" t="str">
        <x:f>IF(ABS(L1004-U1004)&lt;0.001,"OK","ERREUR")</x:f>
        <x:v>OK</x:v>
      </x:c>
    </x:row>
    <x:row r="1005" ht="18" customHeight="1">
      <x:c r="A1005" t="str">
        <x:v>ARM051</x:v>
      </x:c>
      <x:c r="B1005" t="str">
        <x:v>Arbalète à répétition</x:v>
      </x:c>
      <x:c r="C1005" t="n">
        <x:v>2</x:v>
      </x:c>
      <x:c r="D1005" t="str">
        <x:v>Distance</x:v>
      </x:c>
      <x:c r="E1005" s="28" t="n">
        <x:f>IF(M1005=0,0,M1005+O1005)</x:f>
        <x:v>3</x:v>
      </x:c>
      <x:c r="F1005" s="28" t="n">
        <x:f>IF(M1005=0,0,M1005*N1005+O1005)</x:f>
        <x:v>6</x:v>
      </x:c>
      <x:c r="G1005" s="28" t="n">
        <x:f>ROUND(Catalogue!G54*SQRT((1+'Paramètres'!$B$4*(C1005-1)+'Paramètres'!$B$5*(C1005-1)^2)),0)</x:f>
        <x:v>0</x:v>
      </x:c>
      <x:c r="H1005" s="28" t="n">
        <x:f>ROUND(Catalogue!H54*SQRT((1+'Paramètres'!$B$4*(C1005-1)+'Paramètres'!$B$5*(C1005-1)^2)),0)</x:f>
        <x:v>0</x:v>
      </x:c>
      <x:c r="I1005" s="28" t="n">
        <x:v>2</x:v>
      </x:c>
      <x:c r="J1005" s="28" t="n">
        <x:v>5</x:v>
      </x:c>
      <x:c r="K1005" s="30" t="n">
        <x:v>3.8</x:v>
      </x:c>
      <x:c r="L1005" s="54" t="n">
        <x:f>IF(M1005=0,0,(E1005+F1005)/2)</x:f>
        <x:v>4.5</x:v>
      </x:c>
      <x:c r="M1005" t="n">
        <x:v>1</x:v>
      </x:c>
      <x:c r="N1005" t="n">
        <x:v>4</x:v>
      </x:c>
      <x:c r="O1005" t="n">
        <x:v>2</x:v>
      </x:c>
      <x:c r="P1005" s="63" t="str">
        <x:f>IF(M1005=0,"—",M1005&amp;"d"&amp;N1005&amp;IF(O1005=0,""," + "&amp;O1005))</x:f>
        <x:v>1d4 + 2</x:v>
      </x:c>
      <x:c r="Q1005" t="n">
        <x:f>ROUND(INDEX(Catalogue!E$4:E$85,MATCH(A1005,Catalogue!A$4:A$85,0))*(1+'Paramètres'!$B$4*(C1005-1)+'Paramètres'!$B$5*(C1005-1)^2),0)</x:f>
        <x:v>3</x:v>
      </x:c>
      <x:c r="R1005" t="n">
        <x:f>ROUND(INDEX(Catalogue!F$4:F$85,MATCH(A1005,Catalogue!A$4:A$85,0))*(1+'Paramètres'!$B$4*(C1005-1)+'Paramètres'!$B$5*(C1005-1)^2),0)</x:f>
        <x:v>6</x:v>
      </x:c>
      <x:c r="S1005" t="n">
        <x:f>L1005-AVERAGE(Q1005:R1005)</x:f>
        <x:v>0</x:v>
      </x:c>
      <x:c r="T1005" t="str">
        <x:f>IF(M1005=0,IF(AND(N1005=0,O1005=0,E1005=0,F1005=0),"OK","ERREUR"),IF(AND(M1005&gt;=1,M1005&lt;=32,OR(N1005=4,N1005=6,N1005=8,N1005=10,N1005=12,N1005=20),O1005&gt;=0,E1005=M1005+O1005,F1005=M1005*N1005+O1005),"OK","ERREUR"))</x:f>
        <x:v>OK</x:v>
      </x:c>
      <x:c r="U1005" s="86" t="n">
        <x:f>IF(M1005&gt;0,M1005*(N1005+1)/2+O1005,0)</x:f>
        <x:v>4.5</x:v>
      </x:c>
      <x:c r="V1005" t="str">
        <x:f>IF(ABS(L1005-U1005)&lt;0.001,"OK","ERREUR")</x:f>
        <x:v>OK</x:v>
      </x:c>
    </x:row>
    <x:row r="1006" ht="18" customHeight="1">
      <x:c r="A1006" t="str">
        <x:v>ARM051</x:v>
      </x:c>
      <x:c r="B1006" t="str">
        <x:v>Arbalète à répétition</x:v>
      </x:c>
      <x:c r="C1006" t="n">
        <x:v>3</x:v>
      </x:c>
      <x:c r="D1006" t="str">
        <x:v>Distance</x:v>
      </x:c>
      <x:c r="E1006" s="28" t="n">
        <x:f>IF(M1006=0,0,M1006+O1006)</x:f>
        <x:v>3</x:v>
      </x:c>
      <x:c r="F1006" s="28" t="n">
        <x:f>IF(M1006=0,0,M1006*N1006+O1006)</x:f>
        <x:v>6</x:v>
      </x:c>
      <x:c r="G1006" s="28" t="n">
        <x:f>ROUND(Catalogue!G54*SQRT((1+'Paramètres'!$B$4*(C1006-1)+'Paramètres'!$B$5*(C1006-1)^2)),0)</x:f>
        <x:v>0</x:v>
      </x:c>
      <x:c r="H1006" s="28" t="n">
        <x:f>ROUND(Catalogue!H54*SQRT((1+'Paramètres'!$B$4*(C1006-1)+'Paramètres'!$B$5*(C1006-1)^2)),0)</x:f>
        <x:v>0</x:v>
      </x:c>
      <x:c r="I1006" s="28" t="n">
        <x:v>2</x:v>
      </x:c>
      <x:c r="J1006" s="28" t="n">
        <x:v>5</x:v>
      </x:c>
      <x:c r="K1006" s="30" t="n">
        <x:v>3.8</x:v>
      </x:c>
      <x:c r="L1006" s="54" t="n">
        <x:f>IF(M1006=0,0,(E1006+F1006)/2)</x:f>
        <x:v>4.5</x:v>
      </x:c>
      <x:c r="M1006" t="n">
        <x:v>1</x:v>
      </x:c>
      <x:c r="N1006" t="n">
        <x:v>4</x:v>
      </x:c>
      <x:c r="O1006" t="n">
        <x:v>2</x:v>
      </x:c>
      <x:c r="P1006" s="63" t="str">
        <x:f>IF(M1006=0,"—",M1006&amp;"d"&amp;N1006&amp;IF(O1006=0,""," + "&amp;O1006))</x:f>
        <x:v>1d4 + 2</x:v>
      </x:c>
      <x:c r="Q1006" t="n">
        <x:f>ROUND(INDEX(Catalogue!E$4:E$85,MATCH(A1006,Catalogue!A$4:A$85,0))*(1+'Paramètres'!$B$4*(C1006-1)+'Paramètres'!$B$5*(C1006-1)^2),0)</x:f>
        <x:v>4</x:v>
      </x:c>
      <x:c r="R1006" t="n">
        <x:f>ROUND(INDEX(Catalogue!F$4:F$85,MATCH(A1006,Catalogue!A$4:A$85,0))*(1+'Paramètres'!$B$4*(C1006-1)+'Paramètres'!$B$5*(C1006-1)^2),0)</x:f>
        <x:v>6</x:v>
      </x:c>
      <x:c r="S1006" t="n">
        <x:f>L1006-AVERAGE(Q1006:R1006)</x:f>
        <x:v>-0.5</x:v>
      </x:c>
      <x:c r="T1006" t="str">
        <x:f>IF(M1006=0,IF(AND(N1006=0,O1006=0,E1006=0,F1006=0),"OK","ERREUR"),IF(AND(M1006&gt;=1,M1006&lt;=32,OR(N1006=4,N1006=6,N1006=8,N1006=10,N1006=12,N1006=20),O1006&gt;=0,E1006=M1006+O1006,F1006=M1006*N1006+O1006),"OK","ERREUR"))</x:f>
        <x:v>OK</x:v>
      </x:c>
      <x:c r="U1006" s="86" t="n">
        <x:f>IF(M1006&gt;0,M1006*(N1006+1)/2+O1006,0)</x:f>
        <x:v>4.5</x:v>
      </x:c>
      <x:c r="V1006" t="str">
        <x:f>IF(ABS(L1006-U1006)&lt;0.001,"OK","ERREUR")</x:f>
        <x:v>OK</x:v>
      </x:c>
    </x:row>
    <x:row r="1007" ht="18" customHeight="1">
      <x:c r="A1007" t="str">
        <x:v>ARM051</x:v>
      </x:c>
      <x:c r="B1007" t="str">
        <x:v>Arbalète à répétition</x:v>
      </x:c>
      <x:c r="C1007" t="n">
        <x:v>4</x:v>
      </x:c>
      <x:c r="D1007" t="str">
        <x:v>Distance</x:v>
      </x:c>
      <x:c r="E1007" s="28" t="n">
        <x:f>IF(M1007=0,0,M1007+O1007)</x:f>
        <x:v>4</x:v>
      </x:c>
      <x:c r="F1007" s="28" t="n">
        <x:f>IF(M1007=0,0,M1007*N1007+O1007)</x:f>
        <x:v>7</x:v>
      </x:c>
      <x:c r="G1007" s="28" t="n">
        <x:f>ROUND(Catalogue!G54*SQRT((1+'Paramètres'!$B$4*(C1007-1)+'Paramètres'!$B$5*(C1007-1)^2)),0)</x:f>
        <x:v>0</x:v>
      </x:c>
      <x:c r="H1007" s="28" t="n">
        <x:f>ROUND(Catalogue!H54*SQRT((1+'Paramètres'!$B$4*(C1007-1)+'Paramètres'!$B$5*(C1007-1)^2)),0)</x:f>
        <x:v>0</x:v>
      </x:c>
      <x:c r="I1007" s="28" t="n">
        <x:v>2</x:v>
      </x:c>
      <x:c r="J1007" s="28" t="n">
        <x:v>5</x:v>
      </x:c>
      <x:c r="K1007" s="30" t="n">
        <x:v>3.8</x:v>
      </x:c>
      <x:c r="L1007" s="54" t="n">
        <x:f>IF(M1007=0,0,(E1007+F1007)/2)</x:f>
        <x:v>5.5</x:v>
      </x:c>
      <x:c r="M1007" t="n">
        <x:v>1</x:v>
      </x:c>
      <x:c r="N1007" t="n">
        <x:v>4</x:v>
      </x:c>
      <x:c r="O1007" t="n">
        <x:v>3</x:v>
      </x:c>
      <x:c r="P1007" s="63" t="str">
        <x:f>IF(M1007=0,"—",M1007&amp;"d"&amp;N1007&amp;IF(O1007=0,""," + "&amp;O1007))</x:f>
        <x:v>1d4 + 3</x:v>
      </x:c>
      <x:c r="Q1007" t="n">
        <x:f>ROUND(INDEX(Catalogue!E$4:E$85,MATCH(A1007,Catalogue!A$4:A$85,0))*(1+'Paramètres'!$B$4*(C1007-1)+'Paramètres'!$B$5*(C1007-1)^2),0)</x:f>
        <x:v>4</x:v>
      </x:c>
      <x:c r="R1007" t="n">
        <x:f>ROUND(INDEX(Catalogue!F$4:F$85,MATCH(A1007,Catalogue!A$4:A$85,0))*(1+'Paramètres'!$B$4*(C1007-1)+'Paramètres'!$B$5*(C1007-1)^2),0)</x:f>
        <x:v>7</x:v>
      </x:c>
      <x:c r="S1007" t="n">
        <x:f>L1007-AVERAGE(Q1007:R1007)</x:f>
        <x:v>0</x:v>
      </x:c>
      <x:c r="T1007" t="str">
        <x:f>IF(M1007=0,IF(AND(N1007=0,O1007=0,E1007=0,F1007=0),"OK","ERREUR"),IF(AND(M1007&gt;=1,M1007&lt;=32,OR(N1007=4,N1007=6,N1007=8,N1007=10,N1007=12,N1007=20),O1007&gt;=0,E1007=M1007+O1007,F1007=M1007*N1007+O1007),"OK","ERREUR"))</x:f>
        <x:v>OK</x:v>
      </x:c>
      <x:c r="U1007" s="86" t="n">
        <x:f>IF(M1007&gt;0,M1007*(N1007+1)/2+O1007,0)</x:f>
        <x:v>5.5</x:v>
      </x:c>
      <x:c r="V1007" t="str">
        <x:f>IF(ABS(L1007-U1007)&lt;0.001,"OK","ERREUR")</x:f>
        <x:v>OK</x:v>
      </x:c>
    </x:row>
    <x:row r="1008" ht="18" customHeight="1">
      <x:c r="A1008" t="str">
        <x:v>ARM051</x:v>
      </x:c>
      <x:c r="B1008" t="str">
        <x:v>Arbalète à répétition</x:v>
      </x:c>
      <x:c r="C1008" t="n">
        <x:v>5</x:v>
      </x:c>
      <x:c r="D1008" t="str">
        <x:v>Distance</x:v>
      </x:c>
      <x:c r="E1008" s="28" t="n">
        <x:f>IF(M1008=0,0,M1008+O1008)</x:f>
        <x:v>5</x:v>
      </x:c>
      <x:c r="F1008" s="28" t="n">
        <x:f>IF(M1008=0,0,M1008*N1008+O1008)</x:f>
        <x:v>8</x:v>
      </x:c>
      <x:c r="G1008" s="28" t="n">
        <x:f>ROUND(Catalogue!G54*SQRT((1+'Paramètres'!$B$4*(C1008-1)+'Paramètres'!$B$5*(C1008-1)^2)),0)</x:f>
        <x:v>0</x:v>
      </x:c>
      <x:c r="H1008" s="28" t="n">
        <x:f>ROUND(Catalogue!H54*SQRT((1+'Paramètres'!$B$4*(C1008-1)+'Paramètres'!$B$5*(C1008-1)^2)),0)</x:f>
        <x:v>0</x:v>
      </x:c>
      <x:c r="I1008" s="28" t="n">
        <x:v>2</x:v>
      </x:c>
      <x:c r="J1008" s="28" t="n">
        <x:v>5</x:v>
      </x:c>
      <x:c r="K1008" s="30" t="n">
        <x:v>3.8</x:v>
      </x:c>
      <x:c r="L1008" s="54" t="n">
        <x:f>IF(M1008=0,0,(E1008+F1008)/2)</x:f>
        <x:v>6.5</x:v>
      </x:c>
      <x:c r="M1008" t="n">
        <x:v>1</x:v>
      </x:c>
      <x:c r="N1008" t="n">
        <x:v>4</x:v>
      </x:c>
      <x:c r="O1008" t="n">
        <x:v>4</x:v>
      </x:c>
      <x:c r="P1008" s="63" t="str">
        <x:f>IF(M1008=0,"—",M1008&amp;"d"&amp;N1008&amp;IF(O1008=0,""," + "&amp;O1008))</x:f>
        <x:v>1d4 + 4</x:v>
      </x:c>
      <x:c r="Q1008" t="n">
        <x:f>ROUND(INDEX(Catalogue!E$4:E$85,MATCH(A1008,Catalogue!A$4:A$85,0))*(1+'Paramètres'!$B$4*(C1008-1)+'Paramètres'!$B$5*(C1008-1)^2),0)</x:f>
        <x:v>5</x:v>
      </x:c>
      <x:c r="R1008" t="n">
        <x:f>ROUND(INDEX(Catalogue!F$4:F$85,MATCH(A1008,Catalogue!A$4:A$85,0))*(1+'Paramètres'!$B$4*(C1008-1)+'Paramètres'!$B$5*(C1008-1)^2),0)</x:f>
        <x:v>8</x:v>
      </x:c>
      <x:c r="S1008" t="n">
        <x:f>L1008-AVERAGE(Q1008:R1008)</x:f>
        <x:v>0</x:v>
      </x:c>
      <x:c r="T1008" t="str">
        <x:f>IF(M1008=0,IF(AND(N1008=0,O1008=0,E1008=0,F1008=0),"OK","ERREUR"),IF(AND(M1008&gt;=1,M1008&lt;=32,OR(N1008=4,N1008=6,N1008=8,N1008=10,N1008=12,N1008=20),O1008&gt;=0,E1008=M1008+O1008,F1008=M1008*N1008+O1008),"OK","ERREUR"))</x:f>
        <x:v>OK</x:v>
      </x:c>
      <x:c r="U1008" s="86" t="n">
        <x:f>IF(M1008&gt;0,M1008*(N1008+1)/2+O1008,0)</x:f>
        <x:v>6.5</x:v>
      </x:c>
      <x:c r="V1008" t="str">
        <x:f>IF(ABS(L1008-U1008)&lt;0.001,"OK","ERREUR")</x:f>
        <x:v>OK</x:v>
      </x:c>
    </x:row>
    <x:row r="1009" ht="18" customHeight="1">
      <x:c r="A1009" t="str">
        <x:v>ARM051</x:v>
      </x:c>
      <x:c r="B1009" t="str">
        <x:v>Arbalète à répétition</x:v>
      </x:c>
      <x:c r="C1009" t="n">
        <x:v>6</x:v>
      </x:c>
      <x:c r="D1009" t="str">
        <x:v>Distance</x:v>
      </x:c>
      <x:c r="E1009" s="28" t="n">
        <x:f>IF(M1009=0,0,M1009+O1009)</x:f>
        <x:v>6</x:v>
      </x:c>
      <x:c r="F1009" s="28" t="n">
        <x:f>IF(M1009=0,0,M1009*N1009+O1009)</x:f>
        <x:v>9</x:v>
      </x:c>
      <x:c r="G1009" s="28" t="n">
        <x:f>ROUND(Catalogue!G54*SQRT((1+'Paramètres'!$B$4*(C1009-1)+'Paramètres'!$B$5*(C1009-1)^2)),0)</x:f>
        <x:v>0</x:v>
      </x:c>
      <x:c r="H1009" s="28" t="n">
        <x:f>ROUND(Catalogue!H54*SQRT((1+'Paramètres'!$B$4*(C1009-1)+'Paramètres'!$B$5*(C1009-1)^2)),0)</x:f>
        <x:v>0</x:v>
      </x:c>
      <x:c r="I1009" s="28" t="n">
        <x:v>2</x:v>
      </x:c>
      <x:c r="J1009" s="28" t="n">
        <x:v>5</x:v>
      </x:c>
      <x:c r="K1009" s="30" t="n">
        <x:v>3.8</x:v>
      </x:c>
      <x:c r="L1009" s="54" t="n">
        <x:f>IF(M1009=0,0,(E1009+F1009)/2)</x:f>
        <x:v>7.5</x:v>
      </x:c>
      <x:c r="M1009" t="n">
        <x:v>1</x:v>
      </x:c>
      <x:c r="N1009" t="n">
        <x:v>4</x:v>
      </x:c>
      <x:c r="O1009" t="n">
        <x:v>5</x:v>
      </x:c>
      <x:c r="P1009" s="63" t="str">
        <x:f>IF(M1009=0,"—",M1009&amp;"d"&amp;N1009&amp;IF(O1009=0,""," + "&amp;O1009))</x:f>
        <x:v>1d4 + 5</x:v>
      </x:c>
      <x:c r="Q1009" t="n">
        <x:f>ROUND(INDEX(Catalogue!E$4:E$85,MATCH(A1009,Catalogue!A$4:A$85,0))*(1+'Paramètres'!$B$4*(C1009-1)+'Paramètres'!$B$5*(C1009-1)^2),0)</x:f>
        <x:v>6</x:v>
      </x:c>
      <x:c r="R1009" t="n">
        <x:f>ROUND(INDEX(Catalogue!F$4:F$85,MATCH(A1009,Catalogue!A$4:A$85,0))*(1+'Paramètres'!$B$4*(C1009-1)+'Paramètres'!$B$5*(C1009-1)^2),0)</x:f>
        <x:v>10</x:v>
      </x:c>
      <x:c r="S1009" t="n">
        <x:f>L1009-AVERAGE(Q1009:R1009)</x:f>
        <x:v>-0.5</x:v>
      </x:c>
      <x:c r="T1009" t="str">
        <x:f>IF(M1009=0,IF(AND(N1009=0,O1009=0,E1009=0,F1009=0),"OK","ERREUR"),IF(AND(M1009&gt;=1,M1009&lt;=32,OR(N1009=4,N1009=6,N1009=8,N1009=10,N1009=12,N1009=20),O1009&gt;=0,E1009=M1009+O1009,F1009=M1009*N1009+O1009),"OK","ERREUR"))</x:f>
        <x:v>OK</x:v>
      </x:c>
      <x:c r="U1009" s="86" t="n">
        <x:f>IF(M1009&gt;0,M1009*(N1009+1)/2+O1009,0)</x:f>
        <x:v>7.5</x:v>
      </x:c>
      <x:c r="V1009" t="str">
        <x:f>IF(ABS(L1009-U1009)&lt;0.001,"OK","ERREUR")</x:f>
        <x:v>OK</x:v>
      </x:c>
    </x:row>
    <x:row r="1010" ht="18" customHeight="1">
      <x:c r="A1010" t="str">
        <x:v>ARM051</x:v>
      </x:c>
      <x:c r="B1010" t="str">
        <x:v>Arbalète à répétition</x:v>
      </x:c>
      <x:c r="C1010" t="n">
        <x:v>7</x:v>
      </x:c>
      <x:c r="D1010" t="str">
        <x:v>Distance</x:v>
      </x:c>
      <x:c r="E1010" s="28" t="n">
        <x:f>IF(M1010=0,0,M1010+O1010)</x:f>
        <x:v>7</x:v>
      </x:c>
      <x:c r="F1010" s="28" t="n">
        <x:f>IF(M1010=0,0,M1010*N1010+O1010)</x:f>
        <x:v>10</x:v>
      </x:c>
      <x:c r="G1010" s="28" t="n">
        <x:f>ROUND(Catalogue!G54*SQRT((1+'Paramètres'!$B$4*(C1010-1)+'Paramètres'!$B$5*(C1010-1)^2)),0)</x:f>
        <x:v>0</x:v>
      </x:c>
      <x:c r="H1010" s="28" t="n">
        <x:f>ROUND(Catalogue!H54*SQRT((1+'Paramètres'!$B$4*(C1010-1)+'Paramètres'!$B$5*(C1010-1)^2)),0)</x:f>
        <x:v>0</x:v>
      </x:c>
      <x:c r="I1010" s="28" t="n">
        <x:v>2</x:v>
      </x:c>
      <x:c r="J1010" s="28" t="n">
        <x:v>5</x:v>
      </x:c>
      <x:c r="K1010" s="30" t="n">
        <x:v>3.8</x:v>
      </x:c>
      <x:c r="L1010" s="54" t="n">
        <x:f>IF(M1010=0,0,(E1010+F1010)/2)</x:f>
        <x:v>8.5</x:v>
      </x:c>
      <x:c r="M1010" t="n">
        <x:v>1</x:v>
      </x:c>
      <x:c r="N1010" t="n">
        <x:v>4</x:v>
      </x:c>
      <x:c r="O1010" t="n">
        <x:v>6</x:v>
      </x:c>
      <x:c r="P1010" s="63" t="str">
        <x:f>IF(M1010=0,"—",M1010&amp;"d"&amp;N1010&amp;IF(O1010=0,""," + "&amp;O1010))</x:f>
        <x:v>1d4 + 6</x:v>
      </x:c>
      <x:c r="Q1010" t="n">
        <x:f>ROUND(INDEX(Catalogue!E$4:E$85,MATCH(A1010,Catalogue!A$4:A$85,0))*(1+'Paramètres'!$B$4*(C1010-1)+'Paramètres'!$B$5*(C1010-1)^2),0)</x:f>
        <x:v>7</x:v>
      </x:c>
      <x:c r="R1010" t="n">
        <x:f>ROUND(INDEX(Catalogue!F$4:F$85,MATCH(A1010,Catalogue!A$4:A$85,0))*(1+'Paramètres'!$B$4*(C1010-1)+'Paramètres'!$B$5*(C1010-1)^2),0)</x:f>
        <x:v>11</x:v>
      </x:c>
      <x:c r="S1010" t="n">
        <x:f>L1010-AVERAGE(Q1010:R1010)</x:f>
        <x:v>-0.5</x:v>
      </x:c>
      <x:c r="T1010" t="str">
        <x:f>IF(M1010=0,IF(AND(N1010=0,O1010=0,E1010=0,F1010=0),"OK","ERREUR"),IF(AND(M1010&gt;=1,M1010&lt;=32,OR(N1010=4,N1010=6,N1010=8,N1010=10,N1010=12,N1010=20),O1010&gt;=0,E1010=M1010+O1010,F1010=M1010*N1010+O1010),"OK","ERREUR"))</x:f>
        <x:v>OK</x:v>
      </x:c>
      <x:c r="U1010" s="86" t="n">
        <x:f>IF(M1010&gt;0,M1010*(N1010+1)/2+O1010,0)</x:f>
        <x:v>8.5</x:v>
      </x:c>
      <x:c r="V1010" t="str">
        <x:f>IF(ABS(L1010-U1010)&lt;0.001,"OK","ERREUR")</x:f>
        <x:v>OK</x:v>
      </x:c>
    </x:row>
    <x:row r="1011" ht="18" customHeight="1">
      <x:c r="A1011" t="str">
        <x:v>ARM051</x:v>
      </x:c>
      <x:c r="B1011" t="str">
        <x:v>Arbalète à répétition</x:v>
      </x:c>
      <x:c r="C1011" t="n">
        <x:v>8</x:v>
      </x:c>
      <x:c r="D1011" t="str">
        <x:v>Distance</x:v>
      </x:c>
      <x:c r="E1011" s="28" t="n">
        <x:f>IF(M1011=0,0,M1011+O1011)</x:f>
        <x:v>8</x:v>
      </x:c>
      <x:c r="F1011" s="28" t="n">
        <x:f>IF(M1011=0,0,M1011*N1011+O1011)</x:f>
        <x:v>13</x:v>
      </x:c>
      <x:c r="G1011" s="28" t="n">
        <x:f>ROUND(Catalogue!G54*SQRT((1+'Paramètres'!$B$4*(C1011-1)+'Paramètres'!$B$5*(C1011-1)^2)),0)</x:f>
        <x:v>0</x:v>
      </x:c>
      <x:c r="H1011" s="28" t="n">
        <x:f>ROUND(Catalogue!H54*SQRT((1+'Paramètres'!$B$4*(C1011-1)+'Paramètres'!$B$5*(C1011-1)^2)),0)</x:f>
        <x:v>0</x:v>
      </x:c>
      <x:c r="I1011" s="28" t="n">
        <x:v>2</x:v>
      </x:c>
      <x:c r="J1011" s="28" t="n">
        <x:v>5</x:v>
      </x:c>
      <x:c r="K1011" s="30" t="n">
        <x:v>3.8</x:v>
      </x:c>
      <x:c r="L1011" s="54" t="n">
        <x:f>IF(M1011=0,0,(E1011+F1011)/2)</x:f>
        <x:v>10.5</x:v>
      </x:c>
      <x:c r="M1011" t="n">
        <x:v>1</x:v>
      </x:c>
      <x:c r="N1011" t="n">
        <x:v>6</x:v>
      </x:c>
      <x:c r="O1011" t="n">
        <x:v>7</x:v>
      </x:c>
      <x:c r="P1011" s="63" t="str">
        <x:f>IF(M1011=0,"—",M1011&amp;"d"&amp;N1011&amp;IF(O1011=0,""," + "&amp;O1011))</x:f>
        <x:v>1d6 + 7</x:v>
      </x:c>
      <x:c r="Q1011" t="n">
        <x:f>ROUND(INDEX(Catalogue!E$4:E$85,MATCH(A1011,Catalogue!A$4:A$85,0))*(1+'Paramètres'!$B$4*(C1011-1)+'Paramètres'!$B$5*(C1011-1)^2),0)</x:f>
        <x:v>8</x:v>
      </x:c>
      <x:c r="R1011" t="n">
        <x:f>ROUND(INDEX(Catalogue!F$4:F$85,MATCH(A1011,Catalogue!A$4:A$85,0))*(1+'Paramètres'!$B$4*(C1011-1)+'Paramètres'!$B$5*(C1011-1)^2),0)</x:f>
        <x:v>13</x:v>
      </x:c>
      <x:c r="S1011" t="n">
        <x:f>L1011-AVERAGE(Q1011:R1011)</x:f>
        <x:v>0</x:v>
      </x:c>
      <x:c r="T1011" t="str">
        <x:f>IF(M1011=0,IF(AND(N1011=0,O1011=0,E1011=0,F1011=0),"OK","ERREUR"),IF(AND(M1011&gt;=1,M1011&lt;=32,OR(N1011=4,N1011=6,N1011=8,N1011=10,N1011=12,N1011=20),O1011&gt;=0,E1011=M1011+O1011,F1011=M1011*N1011+O1011),"OK","ERREUR"))</x:f>
        <x:v>OK</x:v>
      </x:c>
      <x:c r="U1011" s="86" t="n">
        <x:f>IF(M1011&gt;0,M1011*(N1011+1)/2+O1011,0)</x:f>
        <x:v>10.5</x:v>
      </x:c>
      <x:c r="V1011" t="str">
        <x:f>IF(ABS(L1011-U1011)&lt;0.001,"OK","ERREUR")</x:f>
        <x:v>OK</x:v>
      </x:c>
    </x:row>
    <x:row r="1012" ht="18" customHeight="1">
      <x:c r="A1012" t="str">
        <x:v>ARM051</x:v>
      </x:c>
      <x:c r="B1012" t="str">
        <x:v>Arbalète à répétition</x:v>
      </x:c>
      <x:c r="C1012" t="n">
        <x:v>9</x:v>
      </x:c>
      <x:c r="D1012" t="str">
        <x:v>Distance</x:v>
      </x:c>
      <x:c r="E1012" s="28" t="n">
        <x:f>IF(M1012=0,0,M1012+O1012)</x:f>
        <x:v>9</x:v>
      </x:c>
      <x:c r="F1012" s="28" t="n">
        <x:f>IF(M1012=0,0,M1012*N1012+O1012)</x:f>
        <x:v>15</x:v>
      </x:c>
      <x:c r="G1012" s="28" t="n">
        <x:f>ROUND(Catalogue!G54*SQRT((1+'Paramètres'!$B$4*(C1012-1)+'Paramètres'!$B$5*(C1012-1)^2)),0)</x:f>
        <x:v>0</x:v>
      </x:c>
      <x:c r="H1012" s="28" t="n">
        <x:f>ROUND(Catalogue!H54*SQRT((1+'Paramètres'!$B$4*(C1012-1)+'Paramètres'!$B$5*(C1012-1)^2)),0)</x:f>
        <x:v>0</x:v>
      </x:c>
      <x:c r="I1012" s="28" t="n">
        <x:v>2</x:v>
      </x:c>
      <x:c r="J1012" s="28" t="n">
        <x:v>5</x:v>
      </x:c>
      <x:c r="K1012" s="30" t="n">
        <x:v>3.8</x:v>
      </x:c>
      <x:c r="L1012" s="54" t="n">
        <x:f>IF(M1012=0,0,(E1012+F1012)/2)</x:f>
        <x:v>12</x:v>
      </x:c>
      <x:c r="M1012" t="n">
        <x:v>2</x:v>
      </x:c>
      <x:c r="N1012" t="n">
        <x:v>4</x:v>
      </x:c>
      <x:c r="O1012" t="n">
        <x:v>7</x:v>
      </x:c>
      <x:c r="P1012" s="63" t="str">
        <x:f>IF(M1012=0,"—",M1012&amp;"d"&amp;N1012&amp;IF(O1012=0,""," + "&amp;O1012))</x:f>
        <x:v>2d4 + 7</x:v>
      </x:c>
      <x:c r="Q1012" t="n">
        <x:f>ROUND(INDEX(Catalogue!E$4:E$85,MATCH(A1012,Catalogue!A$4:A$85,0))*(1+'Paramètres'!$B$4*(C1012-1)+'Paramètres'!$B$5*(C1012-1)^2),0)</x:f>
        <x:v>9</x:v>
      </x:c>
      <x:c r="R1012" t="n">
        <x:f>ROUND(INDEX(Catalogue!F$4:F$85,MATCH(A1012,Catalogue!A$4:A$85,0))*(1+'Paramètres'!$B$4*(C1012-1)+'Paramètres'!$B$5*(C1012-1)^2),0)</x:f>
        <x:v>15</x:v>
      </x:c>
      <x:c r="S1012" t="n">
        <x:f>L1012-AVERAGE(Q1012:R1012)</x:f>
        <x:v>0</x:v>
      </x:c>
      <x:c r="T1012" t="str">
        <x:f>IF(M1012=0,IF(AND(N1012=0,O1012=0,E1012=0,F1012=0),"OK","ERREUR"),IF(AND(M1012&gt;=1,M1012&lt;=32,OR(N1012=4,N1012=6,N1012=8,N1012=10,N1012=12,N1012=20),O1012&gt;=0,E1012=M1012+O1012,F1012=M1012*N1012+O1012),"OK","ERREUR"))</x:f>
        <x:v>OK</x:v>
      </x:c>
      <x:c r="U1012" s="86" t="n">
        <x:f>IF(M1012&gt;0,M1012*(N1012+1)/2+O1012,0)</x:f>
        <x:v>12</x:v>
      </x:c>
      <x:c r="V1012" t="str">
        <x:f>IF(ABS(L1012-U1012)&lt;0.001,"OK","ERREUR")</x:f>
        <x:v>OK</x:v>
      </x:c>
    </x:row>
    <x:row r="1013" ht="18" customHeight="1">
      <x:c r="A1013" t="str">
        <x:v>ARM051</x:v>
      </x:c>
      <x:c r="B1013" t="str">
        <x:v>Arbalète à répétition</x:v>
      </x:c>
      <x:c r="C1013" t="n">
        <x:v>10</x:v>
      </x:c>
      <x:c r="D1013" t="str">
        <x:v>Distance</x:v>
      </x:c>
      <x:c r="E1013" s="28" t="n">
        <x:f>IF(M1013=0,0,M1013+O1013)</x:f>
        <x:v>10</x:v>
      </x:c>
      <x:c r="F1013" s="28" t="n">
        <x:f>IF(M1013=0,0,M1013*N1013+O1013)</x:f>
        <x:v>16</x:v>
      </x:c>
      <x:c r="G1013" s="28" t="n">
        <x:f>ROUND(Catalogue!G54*SQRT((1+'Paramètres'!$B$4*(C1013-1)+'Paramètres'!$B$5*(C1013-1)^2)),0)</x:f>
        <x:v>0</x:v>
      </x:c>
      <x:c r="H1013" s="28" t="n">
        <x:f>ROUND(Catalogue!H54*SQRT((1+'Paramètres'!$B$4*(C1013-1)+'Paramètres'!$B$5*(C1013-1)^2)),0)</x:f>
        <x:v>0</x:v>
      </x:c>
      <x:c r="I1013" s="28" t="n">
        <x:v>2</x:v>
      </x:c>
      <x:c r="J1013" s="28" t="n">
        <x:v>5</x:v>
      </x:c>
      <x:c r="K1013" s="30" t="n">
        <x:v>3.8</x:v>
      </x:c>
      <x:c r="L1013" s="54" t="n">
        <x:f>IF(M1013=0,0,(E1013+F1013)/2)</x:f>
        <x:v>13</x:v>
      </x:c>
      <x:c r="M1013" t="n">
        <x:v>2</x:v>
      </x:c>
      <x:c r="N1013" t="n">
        <x:v>4</x:v>
      </x:c>
      <x:c r="O1013" t="n">
        <x:v>8</x:v>
      </x:c>
      <x:c r="P1013" s="63" t="str">
        <x:f>IF(M1013=0,"—",M1013&amp;"d"&amp;N1013&amp;IF(O1013=0,""," + "&amp;O1013))</x:f>
        <x:v>2d4 + 8</x:v>
      </x:c>
      <x:c r="Q1013" t="n">
        <x:f>ROUND(INDEX(Catalogue!E$4:E$85,MATCH(A1013,Catalogue!A$4:A$85,0))*(1+'Paramètres'!$B$4*(C1013-1)+'Paramètres'!$B$5*(C1013-1)^2),0)</x:f>
        <x:v>10</x:v>
      </x:c>
      <x:c r="R1013" t="n">
        <x:f>ROUND(INDEX(Catalogue!F$4:F$85,MATCH(A1013,Catalogue!A$4:A$85,0))*(1+'Paramètres'!$B$4*(C1013-1)+'Paramètres'!$B$5*(C1013-1)^2),0)</x:f>
        <x:v>16</x:v>
      </x:c>
      <x:c r="S1013" t="n">
        <x:f>L1013-AVERAGE(Q1013:R1013)</x:f>
        <x:v>0</x:v>
      </x:c>
      <x:c r="T1013" t="str">
        <x:f>IF(M1013=0,IF(AND(N1013=0,O1013=0,E1013=0,F1013=0),"OK","ERREUR"),IF(AND(M1013&gt;=1,M1013&lt;=32,OR(N1013=4,N1013=6,N1013=8,N1013=10,N1013=12,N1013=20),O1013&gt;=0,E1013=M1013+O1013,F1013=M1013*N1013+O1013),"OK","ERREUR"))</x:f>
        <x:v>OK</x:v>
      </x:c>
      <x:c r="U1013" s="86" t="n">
        <x:f>IF(M1013&gt;0,M1013*(N1013+1)/2+O1013,0)</x:f>
        <x:v>13</x:v>
      </x:c>
      <x:c r="V1013" t="str">
        <x:f>IF(ABS(L1013-U1013)&lt;0.001,"OK","ERREUR")</x:f>
        <x:v>OK</x:v>
      </x:c>
    </x:row>
    <x:row r="1014" ht="18" customHeight="1">
      <x:c r="A1014" t="str">
        <x:v>ARM051</x:v>
      </x:c>
      <x:c r="B1014" t="str">
        <x:v>Arbalète à répétition</x:v>
      </x:c>
      <x:c r="C1014" t="n">
        <x:v>11</x:v>
      </x:c>
      <x:c r="D1014" t="str">
        <x:v>Distance</x:v>
      </x:c>
      <x:c r="E1014" s="28" t="n">
        <x:f>IF(M1014=0,0,M1014+O1014)</x:f>
        <x:v>11</x:v>
      </x:c>
      <x:c r="F1014" s="28" t="n">
        <x:f>IF(M1014=0,0,M1014*N1014+O1014)</x:f>
        <x:v>20</x:v>
      </x:c>
      <x:c r="G1014" s="28" t="n">
        <x:f>ROUND(Catalogue!G54*SQRT((1+'Paramètres'!$B$4*(C1014-1)+'Paramètres'!$B$5*(C1014-1)^2)),0)</x:f>
        <x:v>0</x:v>
      </x:c>
      <x:c r="H1014" s="28" t="n">
        <x:f>ROUND(Catalogue!H54*SQRT((1+'Paramètres'!$B$4*(C1014-1)+'Paramètres'!$B$5*(C1014-1)^2)),0)</x:f>
        <x:v>0</x:v>
      </x:c>
      <x:c r="I1014" s="28" t="n">
        <x:v>2</x:v>
      </x:c>
      <x:c r="J1014" s="28" t="n">
        <x:v>5</x:v>
      </x:c>
      <x:c r="K1014" s="30" t="n">
        <x:v>3.8</x:v>
      </x:c>
      <x:c r="L1014" s="54" t="n">
        <x:f>IF(M1014=0,0,(E1014+F1014)/2)</x:f>
        <x:v>15.5</x:v>
      </x:c>
      <x:c r="M1014" t="n">
        <x:v>3</x:v>
      </x:c>
      <x:c r="N1014" t="n">
        <x:v>4</x:v>
      </x:c>
      <x:c r="O1014" t="n">
        <x:v>8</x:v>
      </x:c>
      <x:c r="P1014" s="63" t="str">
        <x:f>IF(M1014=0,"—",M1014&amp;"d"&amp;N1014&amp;IF(O1014=0,""," + "&amp;O1014))</x:f>
        <x:v>3d4 + 8</x:v>
      </x:c>
      <x:c r="Q1014" t="n">
        <x:f>ROUND(INDEX(Catalogue!E$4:E$85,MATCH(A1014,Catalogue!A$4:A$85,0))*(1+'Paramètres'!$B$4*(C1014-1)+'Paramètres'!$B$5*(C1014-1)^2),0)</x:f>
        <x:v>11</x:v>
      </x:c>
      <x:c r="R1014" t="n">
        <x:f>ROUND(INDEX(Catalogue!F$4:F$85,MATCH(A1014,Catalogue!A$4:A$85,0))*(1+'Paramètres'!$B$4*(C1014-1)+'Paramètres'!$B$5*(C1014-1)^2),0)</x:f>
        <x:v>19</x:v>
      </x:c>
      <x:c r="S1014" t="n">
        <x:f>L1014-AVERAGE(Q1014:R1014)</x:f>
        <x:v>0.5</x:v>
      </x:c>
      <x:c r="T1014" t="str">
        <x:f>IF(M1014=0,IF(AND(N1014=0,O1014=0,E1014=0,F1014=0),"OK","ERREUR"),IF(AND(M1014&gt;=1,M1014&lt;=32,OR(N1014=4,N1014=6,N1014=8,N1014=10,N1014=12,N1014=20),O1014&gt;=0,E1014=M1014+O1014,F1014=M1014*N1014+O1014),"OK","ERREUR"))</x:f>
        <x:v>OK</x:v>
      </x:c>
      <x:c r="U1014" s="86" t="n">
        <x:f>IF(M1014&gt;0,M1014*(N1014+1)/2+O1014,0)</x:f>
        <x:v>15.5</x:v>
      </x:c>
      <x:c r="V1014" t="str">
        <x:f>IF(ABS(L1014-U1014)&lt;0.001,"OK","ERREUR")</x:f>
        <x:v>OK</x:v>
      </x:c>
    </x:row>
    <x:row r="1015" ht="18" customHeight="1">
      <x:c r="A1015" t="str">
        <x:v>ARM051</x:v>
      </x:c>
      <x:c r="B1015" t="str">
        <x:v>Arbalète à répétition</x:v>
      </x:c>
      <x:c r="C1015" t="n">
        <x:v>12</x:v>
      </x:c>
      <x:c r="D1015" t="str">
        <x:v>Distance</x:v>
      </x:c>
      <x:c r="E1015" s="28" t="n">
        <x:f>IF(M1015=0,0,M1015+O1015)</x:f>
        <x:v>12</x:v>
      </x:c>
      <x:c r="F1015" s="28" t="n">
        <x:f>IF(M1015=0,0,M1015*N1015+O1015)</x:f>
        <x:v>21</x:v>
      </x:c>
      <x:c r="G1015" s="28" t="n">
        <x:f>ROUND(Catalogue!G54*SQRT((1+'Paramètres'!$B$4*(C1015-1)+'Paramètres'!$B$5*(C1015-1)^2)),0)</x:f>
        <x:v>0</x:v>
      </x:c>
      <x:c r="H1015" s="28" t="n">
        <x:f>ROUND(Catalogue!H54*SQRT((1+'Paramètres'!$B$4*(C1015-1)+'Paramètres'!$B$5*(C1015-1)^2)),0)</x:f>
        <x:v>0</x:v>
      </x:c>
      <x:c r="I1015" s="28" t="n">
        <x:v>2</x:v>
      </x:c>
      <x:c r="J1015" s="28" t="n">
        <x:v>5</x:v>
      </x:c>
      <x:c r="K1015" s="30" t="n">
        <x:v>3.8</x:v>
      </x:c>
      <x:c r="L1015" s="54" t="n">
        <x:f>IF(M1015=0,0,(E1015+F1015)/2)</x:f>
        <x:v>16.5</x:v>
      </x:c>
      <x:c r="M1015" t="n">
        <x:v>3</x:v>
      </x:c>
      <x:c r="N1015" t="n">
        <x:v>4</x:v>
      </x:c>
      <x:c r="O1015" t="n">
        <x:v>9</x:v>
      </x:c>
      <x:c r="P1015" s="63" t="str">
        <x:f>IF(M1015=0,"—",M1015&amp;"d"&amp;N1015&amp;IF(O1015=0,""," + "&amp;O1015))</x:f>
        <x:v>3d4 + 9</x:v>
      </x:c>
      <x:c r="Q1015" t="n">
        <x:f>ROUND(INDEX(Catalogue!E$4:E$85,MATCH(A1015,Catalogue!A$4:A$85,0))*(1+'Paramètres'!$B$4*(C1015-1)+'Paramètres'!$B$5*(C1015-1)^2),0)</x:f>
        <x:v>12</x:v>
      </x:c>
      <x:c r="R1015" t="n">
        <x:f>ROUND(INDEX(Catalogue!F$4:F$85,MATCH(A1015,Catalogue!A$4:A$85,0))*(1+'Paramètres'!$B$4*(C1015-1)+'Paramètres'!$B$5*(C1015-1)^2),0)</x:f>
        <x:v>21</x:v>
      </x:c>
      <x:c r="S1015" t="n">
        <x:f>L1015-AVERAGE(Q1015:R1015)</x:f>
        <x:v>0</x:v>
      </x:c>
      <x:c r="T1015" t="str">
        <x:f>IF(M1015=0,IF(AND(N1015=0,O1015=0,E1015=0,F1015=0),"OK","ERREUR"),IF(AND(M1015&gt;=1,M1015&lt;=32,OR(N1015=4,N1015=6,N1015=8,N1015=10,N1015=12,N1015=20),O1015&gt;=0,E1015=M1015+O1015,F1015=M1015*N1015+O1015),"OK","ERREUR"))</x:f>
        <x:v>OK</x:v>
      </x:c>
      <x:c r="U1015" s="86" t="n">
        <x:f>IF(M1015&gt;0,M1015*(N1015+1)/2+O1015,0)</x:f>
        <x:v>16.5</x:v>
      </x:c>
      <x:c r="V1015" t="str">
        <x:f>IF(ABS(L1015-U1015)&lt;0.001,"OK","ERREUR")</x:f>
        <x:v>OK</x:v>
      </x:c>
    </x:row>
    <x:row r="1016" ht="18" customHeight="1">
      <x:c r="A1016" t="str">
        <x:v>ARM051</x:v>
      </x:c>
      <x:c r="B1016" t="str">
        <x:v>Arbalète à répétition</x:v>
      </x:c>
      <x:c r="C1016" t="n">
        <x:v>13</x:v>
      </x:c>
      <x:c r="D1016" t="str">
        <x:v>Distance</x:v>
      </x:c>
      <x:c r="E1016" s="28" t="n">
        <x:f>IF(M1016=0,0,M1016+O1016)</x:f>
        <x:v>14</x:v>
      </x:c>
      <x:c r="F1016" s="28" t="n">
        <x:f>IF(M1016=0,0,M1016*N1016+O1016)</x:f>
        <x:v>23</x:v>
      </x:c>
      <x:c r="G1016" s="28" t="n">
        <x:f>ROUND(Catalogue!G54*SQRT((1+'Paramètres'!$B$4*(C1016-1)+'Paramètres'!$B$5*(C1016-1)^2)),0)</x:f>
        <x:v>0</x:v>
      </x:c>
      <x:c r="H1016" s="28" t="n">
        <x:f>ROUND(Catalogue!H54*SQRT((1+'Paramètres'!$B$4*(C1016-1)+'Paramètres'!$B$5*(C1016-1)^2)),0)</x:f>
        <x:v>0</x:v>
      </x:c>
      <x:c r="I1016" s="28" t="n">
        <x:v>2</x:v>
      </x:c>
      <x:c r="J1016" s="28" t="n">
        <x:v>5</x:v>
      </x:c>
      <x:c r="K1016" s="30" t="n">
        <x:v>3.8</x:v>
      </x:c>
      <x:c r="L1016" s="54" t="n">
        <x:f>IF(M1016=0,0,(E1016+F1016)/2)</x:f>
        <x:v>18.5</x:v>
      </x:c>
      <x:c r="M1016" t="n">
        <x:v>3</x:v>
      </x:c>
      <x:c r="N1016" t="n">
        <x:v>4</x:v>
      </x:c>
      <x:c r="O1016" t="n">
        <x:v>11</x:v>
      </x:c>
      <x:c r="P1016" s="63" t="str">
        <x:f>IF(M1016=0,"—",M1016&amp;"d"&amp;N1016&amp;IF(O1016=0,""," + "&amp;O1016))</x:f>
        <x:v>3d4 + 11</x:v>
      </x:c>
      <x:c r="Q1016" t="n">
        <x:f>ROUND(INDEX(Catalogue!E$4:E$85,MATCH(A1016,Catalogue!A$4:A$85,0))*(1+'Paramètres'!$B$4*(C1016-1)+'Paramètres'!$B$5*(C1016-1)^2),0)</x:f>
        <x:v>14</x:v>
      </x:c>
      <x:c r="R1016" t="n">
        <x:f>ROUND(INDEX(Catalogue!F$4:F$85,MATCH(A1016,Catalogue!A$4:A$85,0))*(1+'Paramètres'!$B$4*(C1016-1)+'Paramètres'!$B$5*(C1016-1)^2),0)</x:f>
        <x:v>23</x:v>
      </x:c>
      <x:c r="S1016" t="n">
        <x:f>L1016-AVERAGE(Q1016:R1016)</x:f>
        <x:v>0</x:v>
      </x:c>
      <x:c r="T1016" t="str">
        <x:f>IF(M1016=0,IF(AND(N1016=0,O1016=0,E1016=0,F1016=0),"OK","ERREUR"),IF(AND(M1016&gt;=1,M1016&lt;=32,OR(N1016=4,N1016=6,N1016=8,N1016=10,N1016=12,N1016=20),O1016&gt;=0,E1016=M1016+O1016,F1016=M1016*N1016+O1016),"OK","ERREUR"))</x:f>
        <x:v>OK</x:v>
      </x:c>
      <x:c r="U1016" s="86" t="n">
        <x:f>IF(M1016&gt;0,M1016*(N1016+1)/2+O1016,0)</x:f>
        <x:v>18.5</x:v>
      </x:c>
      <x:c r="V1016" t="str">
        <x:f>IF(ABS(L1016-U1016)&lt;0.001,"OK","ERREUR")</x:f>
        <x:v>OK</x:v>
      </x:c>
    </x:row>
    <x:row r="1017" ht="18" customHeight="1">
      <x:c r="A1017" t="str">
        <x:v>ARM051</x:v>
      </x:c>
      <x:c r="B1017" t="str">
        <x:v>Arbalète à répétition</x:v>
      </x:c>
      <x:c r="C1017" t="n">
        <x:v>14</x:v>
      </x:c>
      <x:c r="D1017" t="str">
        <x:v>Distance</x:v>
      </x:c>
      <x:c r="E1017" s="28" t="n">
        <x:f>IF(M1017=0,0,M1017+O1017)</x:f>
        <x:v>15</x:v>
      </x:c>
      <x:c r="F1017" s="28" t="n">
        <x:f>IF(M1017=0,0,M1017*N1017+O1017)</x:f>
        <x:v>26</x:v>
      </x:c>
      <x:c r="G1017" s="28" t="n">
        <x:f>ROUND(Catalogue!G54*SQRT((1+'Paramètres'!$B$4*(C1017-1)+'Paramètres'!$B$5*(C1017-1)^2)),0)</x:f>
        <x:v>0</x:v>
      </x:c>
      <x:c r="H1017" s="28" t="n">
        <x:f>ROUND(Catalogue!H54*SQRT((1+'Paramètres'!$B$4*(C1017-1)+'Paramètres'!$B$5*(C1017-1)^2)),0)</x:f>
        <x:v>0</x:v>
      </x:c>
      <x:c r="I1017" s="28" t="n">
        <x:v>2</x:v>
      </x:c>
      <x:c r="J1017" s="28" t="n">
        <x:v>5</x:v>
      </x:c>
      <x:c r="K1017" s="30" t="n">
        <x:v>3.8</x:v>
      </x:c>
      <x:c r="L1017" s="54" t="n">
        <x:f>IF(M1017=0,0,(E1017+F1017)/2)</x:f>
        <x:v>20.5</x:v>
      </x:c>
      <x:c r="M1017" t="n">
        <x:v>1</x:v>
      </x:c>
      <x:c r="N1017" t="n">
        <x:v>12</x:v>
      </x:c>
      <x:c r="O1017" t="n">
        <x:v>14</x:v>
      </x:c>
      <x:c r="P1017" s="63" t="str">
        <x:f>IF(M1017=0,"—",M1017&amp;"d"&amp;N1017&amp;IF(O1017=0,""," + "&amp;O1017))</x:f>
        <x:v>1d12 + 14</x:v>
      </x:c>
      <x:c r="Q1017" t="n">
        <x:f>ROUND(INDEX(Catalogue!E$4:E$85,MATCH(A1017,Catalogue!A$4:A$85,0))*(1+'Paramètres'!$B$4*(C1017-1)+'Paramètres'!$B$5*(C1017-1)^2),0)</x:f>
        <x:v>15</x:v>
      </x:c>
      <x:c r="R1017" t="n">
        <x:f>ROUND(INDEX(Catalogue!F$4:F$85,MATCH(A1017,Catalogue!A$4:A$85,0))*(1+'Paramètres'!$B$4*(C1017-1)+'Paramètres'!$B$5*(C1017-1)^2),0)</x:f>
        <x:v>26</x:v>
      </x:c>
      <x:c r="S1017" t="n">
        <x:f>L1017-AVERAGE(Q1017:R1017)</x:f>
        <x:v>0</x:v>
      </x:c>
      <x:c r="T1017" t="str">
        <x:f>IF(M1017=0,IF(AND(N1017=0,O1017=0,E1017=0,F1017=0),"OK","ERREUR"),IF(AND(M1017&gt;=1,M1017&lt;=32,OR(N1017=4,N1017=6,N1017=8,N1017=10,N1017=12,N1017=20),O1017&gt;=0,E1017=M1017+O1017,F1017=M1017*N1017+O1017),"OK","ERREUR"))</x:f>
        <x:v>OK</x:v>
      </x:c>
      <x:c r="U1017" s="86" t="n">
        <x:f>IF(M1017&gt;0,M1017*(N1017+1)/2+O1017,0)</x:f>
        <x:v>20.5</x:v>
      </x:c>
      <x:c r="V1017" t="str">
        <x:f>IF(ABS(L1017-U1017)&lt;0.001,"OK","ERREUR")</x:f>
        <x:v>OK</x:v>
      </x:c>
    </x:row>
    <x:row r="1018" ht="18" customHeight="1">
      <x:c r="A1018" t="str">
        <x:v>ARM051</x:v>
      </x:c>
      <x:c r="B1018" t="str">
        <x:v>Arbalète à répétition</x:v>
      </x:c>
      <x:c r="C1018" t="n">
        <x:v>15</x:v>
      </x:c>
      <x:c r="D1018" t="str">
        <x:v>Distance</x:v>
      </x:c>
      <x:c r="E1018" s="28" t="n">
        <x:f>IF(M1018=0,0,M1018+O1018)</x:f>
        <x:v>17</x:v>
      </x:c>
      <x:c r="F1018" s="28" t="n">
        <x:f>IF(M1018=0,0,M1018*N1018+O1018)</x:f>
        <x:v>28</x:v>
      </x:c>
      <x:c r="G1018" s="28" t="n">
        <x:f>ROUND(Catalogue!G54*SQRT((1+'Paramètres'!$B$4*(C1018-1)+'Paramètres'!$B$5*(C1018-1)^2)),0)</x:f>
        <x:v>0</x:v>
      </x:c>
      <x:c r="H1018" s="28" t="n">
        <x:f>ROUND(Catalogue!H54*SQRT((1+'Paramètres'!$B$4*(C1018-1)+'Paramètres'!$B$5*(C1018-1)^2)),0)</x:f>
        <x:v>0</x:v>
      </x:c>
      <x:c r="I1018" s="28" t="n">
        <x:v>2</x:v>
      </x:c>
      <x:c r="J1018" s="28" t="n">
        <x:v>5</x:v>
      </x:c>
      <x:c r="K1018" s="30" t="n">
        <x:v>3.8</x:v>
      </x:c>
      <x:c r="L1018" s="54" t="n">
        <x:f>IF(M1018=0,0,(E1018+F1018)/2)</x:f>
        <x:v>22.5</x:v>
      </x:c>
      <x:c r="M1018" t="n">
        <x:v>1</x:v>
      </x:c>
      <x:c r="N1018" t="n">
        <x:v>12</x:v>
      </x:c>
      <x:c r="O1018" t="n">
        <x:v>16</x:v>
      </x:c>
      <x:c r="P1018" s="63" t="str">
        <x:f>IF(M1018=0,"—",M1018&amp;"d"&amp;N1018&amp;IF(O1018=0,""," + "&amp;O1018))</x:f>
        <x:v>1d12 + 16</x:v>
      </x:c>
      <x:c r="Q1018" t="n">
        <x:f>ROUND(INDEX(Catalogue!E$4:E$85,MATCH(A1018,Catalogue!A$4:A$85,0))*(1+'Paramètres'!$B$4*(C1018-1)+'Paramètres'!$B$5*(C1018-1)^2),0)</x:f>
        <x:v>17</x:v>
      </x:c>
      <x:c r="R1018" t="n">
        <x:f>ROUND(INDEX(Catalogue!F$4:F$85,MATCH(A1018,Catalogue!A$4:A$85,0))*(1+'Paramètres'!$B$4*(C1018-1)+'Paramètres'!$B$5*(C1018-1)^2),0)</x:f>
        <x:v>28</x:v>
      </x:c>
      <x:c r="S1018" t="n">
        <x:f>L1018-AVERAGE(Q1018:R1018)</x:f>
        <x:v>0</x:v>
      </x:c>
      <x:c r="T1018" t="str">
        <x:f>IF(M1018=0,IF(AND(N1018=0,O1018=0,E1018=0,F1018=0),"OK","ERREUR"),IF(AND(M1018&gt;=1,M1018&lt;=32,OR(N1018=4,N1018=6,N1018=8,N1018=10,N1018=12,N1018=20),O1018&gt;=0,E1018=M1018+O1018,F1018=M1018*N1018+O1018),"OK","ERREUR"))</x:f>
        <x:v>OK</x:v>
      </x:c>
      <x:c r="U1018" s="86" t="n">
        <x:f>IF(M1018&gt;0,M1018*(N1018+1)/2+O1018,0)</x:f>
        <x:v>22.5</x:v>
      </x:c>
      <x:c r="V1018" t="str">
        <x:f>IF(ABS(L1018-U1018)&lt;0.001,"OK","ERREUR")</x:f>
        <x:v>OK</x:v>
      </x:c>
    </x:row>
    <x:row r="1019" ht="18" customHeight="1">
      <x:c r="A1019" t="str">
        <x:v>ARM051</x:v>
      </x:c>
      <x:c r="B1019" t="str">
        <x:v>Arbalète à répétition</x:v>
      </x:c>
      <x:c r="C1019" t="n">
        <x:v>16</x:v>
      </x:c>
      <x:c r="D1019" t="str">
        <x:v>Distance</x:v>
      </x:c>
      <x:c r="E1019" s="28" t="n">
        <x:f>IF(M1019=0,0,M1019+O1019)</x:f>
        <x:v>19</x:v>
      </x:c>
      <x:c r="F1019" s="28" t="n">
        <x:f>IF(M1019=0,0,M1019*N1019+O1019)</x:f>
        <x:v>31</x:v>
      </x:c>
      <x:c r="G1019" s="28" t="n">
        <x:f>ROUND(Catalogue!G54*SQRT((1+'Paramètres'!$B$4*(C1019-1)+'Paramètres'!$B$5*(C1019-1)^2)),0)</x:f>
        <x:v>0</x:v>
      </x:c>
      <x:c r="H1019" s="28" t="n">
        <x:f>ROUND(Catalogue!H54*SQRT((1+'Paramètres'!$B$4*(C1019-1)+'Paramètres'!$B$5*(C1019-1)^2)),0)</x:f>
        <x:v>0</x:v>
      </x:c>
      <x:c r="I1019" s="28" t="n">
        <x:v>2</x:v>
      </x:c>
      <x:c r="J1019" s="28" t="n">
        <x:v>5</x:v>
      </x:c>
      <x:c r="K1019" s="30" t="n">
        <x:v>3.8</x:v>
      </x:c>
      <x:c r="L1019" s="54" t="n">
        <x:f>IF(M1019=0,0,(E1019+F1019)/2)</x:f>
        <x:v>25</x:v>
      </x:c>
      <x:c r="M1019" t="n">
        <x:v>4</x:v>
      </x:c>
      <x:c r="N1019" t="n">
        <x:v>4</x:v>
      </x:c>
      <x:c r="O1019" t="n">
        <x:v>15</x:v>
      </x:c>
      <x:c r="P1019" s="63" t="str">
        <x:f>IF(M1019=0,"—",M1019&amp;"d"&amp;N1019&amp;IF(O1019=0,""," + "&amp;O1019))</x:f>
        <x:v>4d4 + 15</x:v>
      </x:c>
      <x:c r="Q1019" t="n">
        <x:f>ROUND(INDEX(Catalogue!E$4:E$85,MATCH(A1019,Catalogue!A$4:A$85,0))*(1+'Paramètres'!$B$4*(C1019-1)+'Paramètres'!$B$5*(C1019-1)^2),0)</x:f>
        <x:v>19</x:v>
      </x:c>
      <x:c r="R1019" t="n">
        <x:f>ROUND(INDEX(Catalogue!F$4:F$85,MATCH(A1019,Catalogue!A$4:A$85,0))*(1+'Paramètres'!$B$4*(C1019-1)+'Paramètres'!$B$5*(C1019-1)^2),0)</x:f>
        <x:v>31</x:v>
      </x:c>
      <x:c r="S1019" t="n">
        <x:f>L1019-AVERAGE(Q1019:R1019)</x:f>
        <x:v>0</x:v>
      </x:c>
      <x:c r="T1019" t="str">
        <x:f>IF(M1019=0,IF(AND(N1019=0,O1019=0,E1019=0,F1019=0),"OK","ERREUR"),IF(AND(M1019&gt;=1,M1019&lt;=32,OR(N1019=4,N1019=6,N1019=8,N1019=10,N1019=12,N1019=20),O1019&gt;=0,E1019=M1019+O1019,F1019=M1019*N1019+O1019),"OK","ERREUR"))</x:f>
        <x:v>OK</x:v>
      </x:c>
      <x:c r="U1019" s="86" t="n">
        <x:f>IF(M1019&gt;0,M1019*(N1019+1)/2+O1019,0)</x:f>
        <x:v>25</x:v>
      </x:c>
      <x:c r="V1019" t="str">
        <x:f>IF(ABS(L1019-U1019)&lt;0.001,"OK","ERREUR")</x:f>
        <x:v>OK</x:v>
      </x:c>
    </x:row>
    <x:row r="1020" ht="18" customHeight="1">
      <x:c r="A1020" t="str">
        <x:v>ARM051</x:v>
      </x:c>
      <x:c r="B1020" t="str">
        <x:v>Arbalète à répétition</x:v>
      </x:c>
      <x:c r="C1020" t="n">
        <x:v>17</x:v>
      </x:c>
      <x:c r="D1020" t="str">
        <x:v>Distance</x:v>
      </x:c>
      <x:c r="E1020" s="28" t="n">
        <x:f>IF(M1020=0,0,M1020+O1020)</x:f>
        <x:v>20</x:v>
      </x:c>
      <x:c r="F1020" s="28" t="n">
        <x:f>IF(M1020=0,0,M1020*N1020+O1020)</x:f>
        <x:v>34</x:v>
      </x:c>
      <x:c r="G1020" s="28" t="n">
        <x:f>ROUND(Catalogue!G54*SQRT((1+'Paramètres'!$B$4*(C1020-1)+'Paramètres'!$B$5*(C1020-1)^2)),0)</x:f>
        <x:v>0</x:v>
      </x:c>
      <x:c r="H1020" s="28" t="n">
        <x:f>ROUND(Catalogue!H54*SQRT((1+'Paramètres'!$B$4*(C1020-1)+'Paramètres'!$B$5*(C1020-1)^2)),0)</x:f>
        <x:v>0</x:v>
      </x:c>
      <x:c r="I1020" s="28" t="n">
        <x:v>2</x:v>
      </x:c>
      <x:c r="J1020" s="28" t="n">
        <x:v>5</x:v>
      </x:c>
      <x:c r="K1020" s="30" t="n">
        <x:v>3.8</x:v>
      </x:c>
      <x:c r="L1020" s="54" t="n">
        <x:f>IF(M1020=0,0,(E1020+F1020)/2)</x:f>
        <x:v>27</x:v>
      </x:c>
      <x:c r="M1020" t="n">
        <x:v>2</x:v>
      </x:c>
      <x:c r="N1020" t="n">
        <x:v>8</x:v>
      </x:c>
      <x:c r="O1020" t="n">
        <x:v>18</x:v>
      </x:c>
      <x:c r="P1020" s="63" t="str">
        <x:f>IF(M1020=0,"—",M1020&amp;"d"&amp;N1020&amp;IF(O1020=0,""," + "&amp;O1020))</x:f>
        <x:v>2d8 + 18</x:v>
      </x:c>
      <x:c r="Q1020" t="n">
        <x:f>ROUND(INDEX(Catalogue!E$4:E$85,MATCH(A1020,Catalogue!A$4:A$85,0))*(1+'Paramètres'!$B$4*(C1020-1)+'Paramètres'!$B$5*(C1020-1)^2),0)</x:f>
        <x:v>21</x:v>
      </x:c>
      <x:c r="R1020" t="n">
        <x:f>ROUND(INDEX(Catalogue!F$4:F$85,MATCH(A1020,Catalogue!A$4:A$85,0))*(1+'Paramètres'!$B$4*(C1020-1)+'Paramètres'!$B$5*(C1020-1)^2),0)</x:f>
        <x:v>34</x:v>
      </x:c>
      <x:c r="S1020" t="n">
        <x:f>L1020-AVERAGE(Q1020:R1020)</x:f>
        <x:v>-0.5</x:v>
      </x:c>
      <x:c r="T1020" t="str">
        <x:f>IF(M1020=0,IF(AND(N1020=0,O1020=0,E1020=0,F1020=0),"OK","ERREUR"),IF(AND(M1020&gt;=1,M1020&lt;=32,OR(N1020=4,N1020=6,N1020=8,N1020=10,N1020=12,N1020=20),O1020&gt;=0,E1020=M1020+O1020,F1020=M1020*N1020+O1020),"OK","ERREUR"))</x:f>
        <x:v>OK</x:v>
      </x:c>
      <x:c r="U1020" s="86" t="n">
        <x:f>IF(M1020&gt;0,M1020*(N1020+1)/2+O1020,0)</x:f>
        <x:v>27</x:v>
      </x:c>
      <x:c r="V1020" t="str">
        <x:f>IF(ABS(L1020-U1020)&lt;0.001,"OK","ERREUR")</x:f>
        <x:v>OK</x:v>
      </x:c>
    </x:row>
    <x:row r="1021" ht="18" customHeight="1">
      <x:c r="A1021" t="str">
        <x:v>ARM051</x:v>
      </x:c>
      <x:c r="B1021" t="str">
        <x:v>Arbalète à répétition</x:v>
      </x:c>
      <x:c r="C1021" t="n">
        <x:v>18</x:v>
      </x:c>
      <x:c r="D1021" t="str">
        <x:v>Distance</x:v>
      </x:c>
      <x:c r="E1021" s="28" t="n">
        <x:f>IF(M1021=0,0,M1021+O1021)</x:f>
        <x:v>22</x:v>
      </x:c>
      <x:c r="F1021" s="28" t="n">
        <x:f>IF(M1021=0,0,M1021*N1021+O1021)</x:f>
        <x:v>37</x:v>
      </x:c>
      <x:c r="G1021" s="28" t="n">
        <x:f>ROUND(Catalogue!G54*SQRT((1+'Paramètres'!$B$4*(C1021-1)+'Paramètres'!$B$5*(C1021-1)^2)),0)</x:f>
        <x:v>0</x:v>
      </x:c>
      <x:c r="H1021" s="28" t="n">
        <x:f>ROUND(Catalogue!H54*SQRT((1+'Paramètres'!$B$4*(C1021-1)+'Paramètres'!$B$5*(C1021-1)^2)),0)</x:f>
        <x:v>0</x:v>
      </x:c>
      <x:c r="I1021" s="28" t="n">
        <x:v>2</x:v>
      </x:c>
      <x:c r="J1021" s="28" t="n">
        <x:v>5</x:v>
      </x:c>
      <x:c r="K1021" s="30" t="n">
        <x:v>3.8</x:v>
      </x:c>
      <x:c r="L1021" s="54" t="n">
        <x:f>IF(M1021=0,0,(E1021+F1021)/2)</x:f>
        <x:v>29.5</x:v>
      </x:c>
      <x:c r="M1021" t="n">
        <x:v>3</x:v>
      </x:c>
      <x:c r="N1021" t="n">
        <x:v>6</x:v>
      </x:c>
      <x:c r="O1021" t="n">
        <x:v>19</x:v>
      </x:c>
      <x:c r="P1021" s="63" t="str">
        <x:f>IF(M1021=0,"—",M1021&amp;"d"&amp;N1021&amp;IF(O1021=0,""," + "&amp;O1021))</x:f>
        <x:v>3d6 + 19</x:v>
      </x:c>
      <x:c r="Q1021" t="n">
        <x:f>ROUND(INDEX(Catalogue!E$4:E$85,MATCH(A1021,Catalogue!A$4:A$85,0))*(1+'Paramètres'!$B$4*(C1021-1)+'Paramètres'!$B$5*(C1021-1)^2),0)</x:f>
        <x:v>22</x:v>
      </x:c>
      <x:c r="R1021" t="n">
        <x:f>ROUND(INDEX(Catalogue!F$4:F$85,MATCH(A1021,Catalogue!A$4:A$85,0))*(1+'Paramètres'!$B$4*(C1021-1)+'Paramètres'!$B$5*(C1021-1)^2),0)</x:f>
        <x:v>37</x:v>
      </x:c>
      <x:c r="S1021" t="n">
        <x:f>L1021-AVERAGE(Q1021:R1021)</x:f>
        <x:v>0</x:v>
      </x:c>
      <x:c r="T1021" t="str">
        <x:f>IF(M1021=0,IF(AND(N1021=0,O1021=0,E1021=0,F1021=0),"OK","ERREUR"),IF(AND(M1021&gt;=1,M1021&lt;=32,OR(N1021=4,N1021=6,N1021=8,N1021=10,N1021=12,N1021=20),O1021&gt;=0,E1021=M1021+O1021,F1021=M1021*N1021+O1021),"OK","ERREUR"))</x:f>
        <x:v>OK</x:v>
      </x:c>
      <x:c r="U1021" s="86" t="n">
        <x:f>IF(M1021&gt;0,M1021*(N1021+1)/2+O1021,0)</x:f>
        <x:v>29.5</x:v>
      </x:c>
      <x:c r="V1021" t="str">
        <x:f>IF(ABS(L1021-U1021)&lt;0.001,"OK","ERREUR")</x:f>
        <x:v>OK</x:v>
      </x:c>
    </x:row>
    <x:row r="1022" ht="18" customHeight="1">
      <x:c r="A1022" t="str">
        <x:v>ARM051</x:v>
      </x:c>
      <x:c r="B1022" t="str">
        <x:v>Arbalète à répétition</x:v>
      </x:c>
      <x:c r="C1022" t="n">
        <x:v>19</x:v>
      </x:c>
      <x:c r="D1022" t="str">
        <x:v>Distance</x:v>
      </x:c>
      <x:c r="E1022" s="28" t="n">
        <x:f>IF(M1022=0,0,M1022+O1022)</x:f>
        <x:v>23</x:v>
      </x:c>
      <x:c r="F1022" s="28" t="n">
        <x:f>IF(M1022=0,0,M1022*N1022+O1022)</x:f>
        <x:v>41</x:v>
      </x:c>
      <x:c r="G1022" s="28" t="n">
        <x:f>ROUND(Catalogue!G54*SQRT((1+'Paramètres'!$B$4*(C1022-1)+'Paramètres'!$B$5*(C1022-1)^2)),0)</x:f>
        <x:v>0</x:v>
      </x:c>
      <x:c r="H1022" s="28" t="n">
        <x:f>ROUND(Catalogue!H54*SQRT((1+'Paramètres'!$B$4*(C1022-1)+'Paramètres'!$B$5*(C1022-1)^2)),0)</x:f>
        <x:v>0</x:v>
      </x:c>
      <x:c r="I1022" s="28" t="n">
        <x:v>2</x:v>
      </x:c>
      <x:c r="J1022" s="28" t="n">
        <x:v>5</x:v>
      </x:c>
      <x:c r="K1022" s="30" t="n">
        <x:v>3.8</x:v>
      </x:c>
      <x:c r="L1022" s="54" t="n">
        <x:f>IF(M1022=0,0,(E1022+F1022)/2)</x:f>
        <x:v>32</x:v>
      </x:c>
      <x:c r="M1022" t="n">
        <x:v>2</x:v>
      </x:c>
      <x:c r="N1022" t="n">
        <x:v>10</x:v>
      </x:c>
      <x:c r="O1022" t="n">
        <x:v>21</x:v>
      </x:c>
      <x:c r="P1022" s="63" t="str">
        <x:f>IF(M1022=0,"—",M1022&amp;"d"&amp;N1022&amp;IF(O1022=0,""," + "&amp;O1022))</x:f>
        <x:v>2d10 + 21</x:v>
      </x:c>
      <x:c r="Q1022" t="n">
        <x:f>ROUND(INDEX(Catalogue!E$4:E$85,MATCH(A1022,Catalogue!A$4:A$85,0))*(1+'Paramètres'!$B$4*(C1022-1)+'Paramètres'!$B$5*(C1022-1)^2),0)</x:f>
        <x:v>24</x:v>
      </x:c>
      <x:c r="R1022" t="n">
        <x:f>ROUND(INDEX(Catalogue!F$4:F$85,MATCH(A1022,Catalogue!A$4:A$85,0))*(1+'Paramètres'!$B$4*(C1022-1)+'Paramètres'!$B$5*(C1022-1)^2),0)</x:f>
        <x:v>41</x:v>
      </x:c>
      <x:c r="S1022" t="n">
        <x:f>L1022-AVERAGE(Q1022:R1022)</x:f>
        <x:v>-0.5</x:v>
      </x:c>
      <x:c r="T1022" t="str">
        <x:f>IF(M1022=0,IF(AND(N1022=0,O1022=0,E1022=0,F1022=0),"OK","ERREUR"),IF(AND(M1022&gt;=1,M1022&lt;=32,OR(N1022=4,N1022=6,N1022=8,N1022=10,N1022=12,N1022=20),O1022&gt;=0,E1022=M1022+O1022,F1022=M1022*N1022+O1022),"OK","ERREUR"))</x:f>
        <x:v>OK</x:v>
      </x:c>
      <x:c r="U1022" s="86" t="n">
        <x:f>IF(M1022&gt;0,M1022*(N1022+1)/2+O1022,0)</x:f>
        <x:v>32</x:v>
      </x:c>
      <x:c r="V1022" t="str">
        <x:f>IF(ABS(L1022-U1022)&lt;0.001,"OK","ERREUR")</x:f>
        <x:v>OK</x:v>
      </x:c>
    </x:row>
    <x:row r="1023" ht="18" customHeight="1">
      <x:c r="A1023" t="str">
        <x:v>ARM051</x:v>
      </x:c>
      <x:c r="B1023" t="str">
        <x:v>Arbalète à répétition</x:v>
      </x:c>
      <x:c r="C1023" t="n">
        <x:v>20</x:v>
      </x:c>
      <x:c r="D1023" t="str">
        <x:v>Distance</x:v>
      </x:c>
      <x:c r="E1023" s="28" t="n">
        <x:f>IF(M1023=0,0,M1023+O1023)</x:f>
        <x:v>26</x:v>
      </x:c>
      <x:c r="F1023" s="28" t="n">
        <x:f>IF(M1023=0,0,M1023*N1023+O1023)</x:f>
        <x:v>44</x:v>
      </x:c>
      <x:c r="G1023" s="28" t="n">
        <x:f>ROUND(Catalogue!G54*SQRT((1+'Paramètres'!$B$4*(C1023-1)+'Paramètres'!$B$5*(C1023-1)^2)),0)</x:f>
        <x:v>0</x:v>
      </x:c>
      <x:c r="H1023" s="28" t="n">
        <x:f>ROUND(Catalogue!H54*SQRT((1+'Paramètres'!$B$4*(C1023-1)+'Paramètres'!$B$5*(C1023-1)^2)),0)</x:f>
        <x:v>0</x:v>
      </x:c>
      <x:c r="I1023" s="28" t="n">
        <x:v>2</x:v>
      </x:c>
      <x:c r="J1023" s="28" t="n">
        <x:v>5</x:v>
      </x:c>
      <x:c r="K1023" s="30" t="n">
        <x:v>3.8</x:v>
      </x:c>
      <x:c r="L1023" s="54" t="n">
        <x:f>IF(M1023=0,0,(E1023+F1023)/2)</x:f>
        <x:v>35</x:v>
      </x:c>
      <x:c r="M1023" t="n">
        <x:v>2</x:v>
      </x:c>
      <x:c r="N1023" t="n">
        <x:v>10</x:v>
      </x:c>
      <x:c r="O1023" t="n">
        <x:v>24</x:v>
      </x:c>
      <x:c r="P1023" s="63" t="str">
        <x:f>IF(M1023=0,"—",M1023&amp;"d"&amp;N1023&amp;IF(O1023=0,""," + "&amp;O1023))</x:f>
        <x:v>2d10 + 24</x:v>
      </x:c>
      <x:c r="Q1023" t="n">
        <x:f>ROUND(INDEX(Catalogue!E$4:E$85,MATCH(A1023,Catalogue!A$4:A$85,0))*(1+'Paramètres'!$B$4*(C1023-1)+'Paramètres'!$B$5*(C1023-1)^2),0)</x:f>
        <x:v>27</x:v>
      </x:c>
      <x:c r="R1023" t="n">
        <x:f>ROUND(INDEX(Catalogue!F$4:F$85,MATCH(A1023,Catalogue!A$4:A$85,0))*(1+'Paramètres'!$B$4*(C1023-1)+'Paramètres'!$B$5*(C1023-1)^2),0)</x:f>
        <x:v>44</x:v>
      </x:c>
      <x:c r="S1023" t="n">
        <x:f>L1023-AVERAGE(Q1023:R1023)</x:f>
        <x:v>-0.5</x:v>
      </x:c>
      <x:c r="T1023" t="str">
        <x:f>IF(M1023=0,IF(AND(N1023=0,O1023=0,E1023=0,F1023=0),"OK","ERREUR"),IF(AND(M1023&gt;=1,M1023&lt;=32,OR(N1023=4,N1023=6,N1023=8,N1023=10,N1023=12,N1023=20),O1023&gt;=0,E1023=M1023+O1023,F1023=M1023*N1023+O1023),"OK","ERREUR"))</x:f>
        <x:v>OK</x:v>
      </x:c>
      <x:c r="U1023" s="86" t="n">
        <x:f>IF(M1023&gt;0,M1023*(N1023+1)/2+O1023,0)</x:f>
        <x:v>35</x:v>
      </x:c>
      <x:c r="V1023" t="str">
        <x:f>IF(ABS(L1023-U1023)&lt;0.001,"OK","ERREUR")</x:f>
        <x:v>OK</x:v>
      </x:c>
    </x:row>
    <x:row r="1024" ht="18" customHeight="1">
      <x:c r="A1024" t="str">
        <x:v>ARM052</x:v>
      </x:c>
      <x:c r="B1024" t="str">
        <x:v>Fronde</x:v>
      </x:c>
      <x:c r="C1024" t="n">
        <x:v>1</x:v>
      </x:c>
      <x:c r="D1024" t="str">
        <x:v>Distance</x:v>
      </x:c>
      <x:c r="E1024" s="28" t="n">
        <x:f>IF(M1024=0,0,M1024+O1024)</x:f>
        <x:v>2</x:v>
      </x:c>
      <x:c r="F1024" s="28" t="n">
        <x:f>IF(M1024=0,0,M1024*N1024+O1024)</x:f>
        <x:v>5</x:v>
      </x:c>
      <x:c r="G1024" s="28" t="n">
        <x:f>ROUND(Catalogue!G55*SQRT((1+'Paramètres'!$B$4*(C1024-1)+'Paramètres'!$B$5*(C1024-1)^2)),0)</x:f>
        <x:v>0</x:v>
      </x:c>
      <x:c r="H1024" s="28" t="n">
        <x:f>ROUND(Catalogue!H55*SQRT((1+'Paramètres'!$B$4*(C1024-1)+'Paramètres'!$B$5*(C1024-1)^2)),0)</x:f>
        <x:v>0</x:v>
      </x:c>
      <x:c r="I1024" s="28" t="n">
        <x:v>2</x:v>
      </x:c>
      <x:c r="J1024" s="28" t="n">
        <x:v>4</x:v>
      </x:c>
      <x:c r="K1024" s="30" t="n">
        <x:v>0.4</x:v>
      </x:c>
      <x:c r="L1024" s="54" t="n">
        <x:f>IF(M1024=0,0,(E1024+F1024)/2)</x:f>
        <x:v>3.5</x:v>
      </x:c>
      <x:c r="M1024" t="n">
        <x:v>1</x:v>
      </x:c>
      <x:c r="N1024" t="n">
        <x:v>4</x:v>
      </x:c>
      <x:c r="O1024" t="n">
        <x:v>1</x:v>
      </x:c>
      <x:c r="P1024" s="63" t="str">
        <x:f>IF(M1024=0,"—",M1024&amp;"d"&amp;N1024&amp;IF(O1024=0,""," + "&amp;O1024))</x:f>
        <x:v>1d4 + 1</x:v>
      </x:c>
      <x:c r="Q1024" t="n">
        <x:f>ROUND(INDEX(Catalogue!E$4:E$85,MATCH(A1024,Catalogue!A$4:A$85,0))*(1+'Paramètres'!$B$4*(C1024-1)+'Paramètres'!$B$5*(C1024-1)^2),0)</x:f>
        <x:v>2</x:v>
      </x:c>
      <x:c r="R1024" t="n">
        <x:f>ROUND(INDEX(Catalogue!F$4:F$85,MATCH(A1024,Catalogue!A$4:A$85,0))*(1+'Paramètres'!$B$4*(C1024-1)+'Paramètres'!$B$5*(C1024-1)^2),0)</x:f>
        <x:v>5</x:v>
      </x:c>
      <x:c r="S1024" t="n">
        <x:f>L1024-AVERAGE(Q1024:R1024)</x:f>
        <x:v>0</x:v>
      </x:c>
      <x:c r="T1024" t="str">
        <x:f>IF(M1024=0,IF(AND(N1024=0,O1024=0,E1024=0,F1024=0),"OK","ERREUR"),IF(AND(M1024&gt;=1,M1024&lt;=32,OR(N1024=4,N1024=6,N1024=8,N1024=10,N1024=12,N1024=20),O1024&gt;=0,E1024=M1024+O1024,F1024=M1024*N1024+O1024),"OK","ERREUR"))</x:f>
        <x:v>OK</x:v>
      </x:c>
      <x:c r="U1024" s="86" t="n">
        <x:f>IF(M1024&gt;0,M1024*(N1024+1)/2+O1024,0)</x:f>
        <x:v>3.5</x:v>
      </x:c>
      <x:c r="V1024" t="str">
        <x:f>IF(ABS(L1024-U1024)&lt;0.001,"OK","ERREUR")</x:f>
        <x:v>OK</x:v>
      </x:c>
    </x:row>
    <x:row r="1025" ht="18" customHeight="1">
      <x:c r="A1025" t="str">
        <x:v>ARM052</x:v>
      </x:c>
      <x:c r="B1025" t="str">
        <x:v>Fronde</x:v>
      </x:c>
      <x:c r="C1025" t="n">
        <x:v>2</x:v>
      </x:c>
      <x:c r="D1025" t="str">
        <x:v>Distance</x:v>
      </x:c>
      <x:c r="E1025" s="28" t="n">
        <x:f>IF(M1025=0,0,M1025+O1025)</x:f>
        <x:v>2</x:v>
      </x:c>
      <x:c r="F1025" s="28" t="n">
        <x:f>IF(M1025=0,0,M1025*N1025+O1025)</x:f>
        <x:v>5</x:v>
      </x:c>
      <x:c r="G1025" s="28" t="n">
        <x:f>ROUND(Catalogue!G55*SQRT((1+'Paramètres'!$B$4*(C1025-1)+'Paramètres'!$B$5*(C1025-1)^2)),0)</x:f>
        <x:v>0</x:v>
      </x:c>
      <x:c r="H1025" s="28" t="n">
        <x:f>ROUND(Catalogue!H55*SQRT((1+'Paramètres'!$B$4*(C1025-1)+'Paramètres'!$B$5*(C1025-1)^2)),0)</x:f>
        <x:v>0</x:v>
      </x:c>
      <x:c r="I1025" s="28" t="n">
        <x:v>2</x:v>
      </x:c>
      <x:c r="J1025" s="28" t="n">
        <x:v>4</x:v>
      </x:c>
      <x:c r="K1025" s="30" t="n">
        <x:v>0.4</x:v>
      </x:c>
      <x:c r="L1025" s="54" t="n">
        <x:f>IF(M1025=0,0,(E1025+F1025)/2)</x:f>
        <x:v>3.5</x:v>
      </x:c>
      <x:c r="M1025" t="n">
        <x:v>1</x:v>
      </x:c>
      <x:c r="N1025" t="n">
        <x:v>4</x:v>
      </x:c>
      <x:c r="O1025" t="n">
        <x:v>1</x:v>
      </x:c>
      <x:c r="P1025" s="63" t="str">
        <x:f>IF(M1025=0,"—",M1025&amp;"d"&amp;N1025&amp;IF(O1025=0,""," + "&amp;O1025))</x:f>
        <x:v>1d4 + 1</x:v>
      </x:c>
      <x:c r="Q1025" t="n">
        <x:f>ROUND(INDEX(Catalogue!E$4:E$85,MATCH(A1025,Catalogue!A$4:A$85,0))*(1+'Paramètres'!$B$4*(C1025-1)+'Paramètres'!$B$5*(C1025-1)^2),0)</x:f>
        <x:v>2</x:v>
      </x:c>
      <x:c r="R1025" t="n">
        <x:f>ROUND(INDEX(Catalogue!F$4:F$85,MATCH(A1025,Catalogue!A$4:A$85,0))*(1+'Paramètres'!$B$4*(C1025-1)+'Paramètres'!$B$5*(C1025-1)^2),0)</x:f>
        <x:v>6</x:v>
      </x:c>
      <x:c r="S1025" t="n">
        <x:f>L1025-AVERAGE(Q1025:R1025)</x:f>
        <x:v>-0.5</x:v>
      </x:c>
      <x:c r="T1025" t="str">
        <x:f>IF(M1025=0,IF(AND(N1025=0,O1025=0,E1025=0,F1025=0),"OK","ERREUR"),IF(AND(M1025&gt;=1,M1025&lt;=32,OR(N1025=4,N1025=6,N1025=8,N1025=10,N1025=12,N1025=20),O1025&gt;=0,E1025=M1025+O1025,F1025=M1025*N1025+O1025),"OK","ERREUR"))</x:f>
        <x:v>OK</x:v>
      </x:c>
      <x:c r="U1025" s="86" t="n">
        <x:f>IF(M1025&gt;0,M1025*(N1025+1)/2+O1025,0)</x:f>
        <x:v>3.5</x:v>
      </x:c>
      <x:c r="V1025" t="str">
        <x:f>IF(ABS(L1025-U1025)&lt;0.001,"OK","ERREUR")</x:f>
        <x:v>OK</x:v>
      </x:c>
    </x:row>
    <x:row r="1026" ht="18" customHeight="1">
      <x:c r="A1026" t="str">
        <x:v>ARM052</x:v>
      </x:c>
      <x:c r="B1026" t="str">
        <x:v>Fronde</x:v>
      </x:c>
      <x:c r="C1026" t="n">
        <x:v>3</x:v>
      </x:c>
      <x:c r="D1026" t="str">
        <x:v>Distance</x:v>
      </x:c>
      <x:c r="E1026" s="28" t="n">
        <x:f>IF(M1026=0,0,M1026+O1026)</x:f>
        <x:v>3</x:v>
      </x:c>
      <x:c r="F1026" s="28" t="n">
        <x:f>IF(M1026=0,0,M1026*N1026+O1026)</x:f>
        <x:v>6</x:v>
      </x:c>
      <x:c r="G1026" s="28" t="n">
        <x:f>ROUND(Catalogue!G55*SQRT((1+'Paramètres'!$B$4*(C1026-1)+'Paramètres'!$B$5*(C1026-1)^2)),0)</x:f>
        <x:v>0</x:v>
      </x:c>
      <x:c r="H1026" s="28" t="n">
        <x:f>ROUND(Catalogue!H55*SQRT((1+'Paramètres'!$B$4*(C1026-1)+'Paramètres'!$B$5*(C1026-1)^2)),0)</x:f>
        <x:v>0</x:v>
      </x:c>
      <x:c r="I1026" s="28" t="n">
        <x:v>2</x:v>
      </x:c>
      <x:c r="J1026" s="28" t="n">
        <x:v>4</x:v>
      </x:c>
      <x:c r="K1026" s="30" t="n">
        <x:v>0.4</x:v>
      </x:c>
      <x:c r="L1026" s="54" t="n">
        <x:f>IF(M1026=0,0,(E1026+F1026)/2)</x:f>
        <x:v>4.5</x:v>
      </x:c>
      <x:c r="M1026" t="n">
        <x:v>1</x:v>
      </x:c>
      <x:c r="N1026" t="n">
        <x:v>4</x:v>
      </x:c>
      <x:c r="O1026" t="n">
        <x:v>2</x:v>
      </x:c>
      <x:c r="P1026" s="63" t="str">
        <x:f>IF(M1026=0,"—",M1026&amp;"d"&amp;N1026&amp;IF(O1026=0,""," + "&amp;O1026))</x:f>
        <x:v>1d4 + 2</x:v>
      </x:c>
      <x:c r="Q1026" t="n">
        <x:f>ROUND(INDEX(Catalogue!E$4:E$85,MATCH(A1026,Catalogue!A$4:A$85,0))*(1+'Paramètres'!$B$4*(C1026-1)+'Paramètres'!$B$5*(C1026-1)^2),0)</x:f>
        <x:v>3</x:v>
      </x:c>
      <x:c r="R1026" t="n">
        <x:f>ROUND(INDEX(Catalogue!F$4:F$85,MATCH(A1026,Catalogue!A$4:A$85,0))*(1+'Paramètres'!$B$4*(C1026-1)+'Paramètres'!$B$5*(C1026-1)^2),0)</x:f>
        <x:v>6</x:v>
      </x:c>
      <x:c r="S1026" t="n">
        <x:f>L1026-AVERAGE(Q1026:R1026)</x:f>
        <x:v>0</x:v>
      </x:c>
      <x:c r="T1026" t="str">
        <x:f>IF(M1026=0,IF(AND(N1026=0,O1026=0,E1026=0,F1026=0),"OK","ERREUR"),IF(AND(M1026&gt;=1,M1026&lt;=32,OR(N1026=4,N1026=6,N1026=8,N1026=10,N1026=12,N1026=20),O1026&gt;=0,E1026=M1026+O1026,F1026=M1026*N1026+O1026),"OK","ERREUR"))</x:f>
        <x:v>OK</x:v>
      </x:c>
      <x:c r="U1026" s="86" t="n">
        <x:f>IF(M1026&gt;0,M1026*(N1026+1)/2+O1026,0)</x:f>
        <x:v>4.5</x:v>
      </x:c>
      <x:c r="V1026" t="str">
        <x:f>IF(ABS(L1026-U1026)&lt;0.001,"OK","ERREUR")</x:f>
        <x:v>OK</x:v>
      </x:c>
    </x:row>
    <x:row r="1027" ht="18" customHeight="1">
      <x:c r="A1027" t="str">
        <x:v>ARM052</x:v>
      </x:c>
      <x:c r="B1027" t="str">
        <x:v>Fronde</x:v>
      </x:c>
      <x:c r="C1027" t="n">
        <x:v>4</x:v>
      </x:c>
      <x:c r="D1027" t="str">
        <x:v>Distance</x:v>
      </x:c>
      <x:c r="E1027" s="28" t="n">
        <x:f>IF(M1027=0,0,M1027+O1027)</x:f>
        <x:v>3</x:v>
      </x:c>
      <x:c r="F1027" s="28" t="n">
        <x:f>IF(M1027=0,0,M1027*N1027+O1027)</x:f>
        <x:v>6</x:v>
      </x:c>
      <x:c r="G1027" s="28" t="n">
        <x:f>ROUND(Catalogue!G55*SQRT((1+'Paramètres'!$B$4*(C1027-1)+'Paramètres'!$B$5*(C1027-1)^2)),0)</x:f>
        <x:v>0</x:v>
      </x:c>
      <x:c r="H1027" s="28" t="n">
        <x:f>ROUND(Catalogue!H55*SQRT((1+'Paramètres'!$B$4*(C1027-1)+'Paramètres'!$B$5*(C1027-1)^2)),0)</x:f>
        <x:v>0</x:v>
      </x:c>
      <x:c r="I1027" s="28" t="n">
        <x:v>2</x:v>
      </x:c>
      <x:c r="J1027" s="28" t="n">
        <x:v>4</x:v>
      </x:c>
      <x:c r="K1027" s="30" t="n">
        <x:v>0.4</x:v>
      </x:c>
      <x:c r="L1027" s="54" t="n">
        <x:f>IF(M1027=0,0,(E1027+F1027)/2)</x:f>
        <x:v>4.5</x:v>
      </x:c>
      <x:c r="M1027" t="n">
        <x:v>1</x:v>
      </x:c>
      <x:c r="N1027" t="n">
        <x:v>4</x:v>
      </x:c>
      <x:c r="O1027" t="n">
        <x:v>2</x:v>
      </x:c>
      <x:c r="P1027" s="63" t="str">
        <x:f>IF(M1027=0,"—",M1027&amp;"d"&amp;N1027&amp;IF(O1027=0,""," + "&amp;O1027))</x:f>
        <x:v>1d4 + 2</x:v>
      </x:c>
      <x:c r="Q1027" t="n">
        <x:f>ROUND(INDEX(Catalogue!E$4:E$85,MATCH(A1027,Catalogue!A$4:A$85,0))*(1+'Paramètres'!$B$4*(C1027-1)+'Paramètres'!$B$5*(C1027-1)^2),0)</x:f>
        <x:v>3</x:v>
      </x:c>
      <x:c r="R1027" t="n">
        <x:f>ROUND(INDEX(Catalogue!F$4:F$85,MATCH(A1027,Catalogue!A$4:A$85,0))*(1+'Paramètres'!$B$4*(C1027-1)+'Paramètres'!$B$5*(C1027-1)^2),0)</x:f>
        <x:v>7</x:v>
      </x:c>
      <x:c r="S1027" t="n">
        <x:f>L1027-AVERAGE(Q1027:R1027)</x:f>
        <x:v>-0.5</x:v>
      </x:c>
      <x:c r="T1027" t="str">
        <x:f>IF(M1027=0,IF(AND(N1027=0,O1027=0,E1027=0,F1027=0),"OK","ERREUR"),IF(AND(M1027&gt;=1,M1027&lt;=32,OR(N1027=4,N1027=6,N1027=8,N1027=10,N1027=12,N1027=20),O1027&gt;=0,E1027=M1027+O1027,F1027=M1027*N1027+O1027),"OK","ERREUR"))</x:f>
        <x:v>OK</x:v>
      </x:c>
      <x:c r="U1027" s="86" t="n">
        <x:f>IF(M1027&gt;0,M1027*(N1027+1)/2+O1027,0)</x:f>
        <x:v>4.5</x:v>
      </x:c>
      <x:c r="V1027" t="str">
        <x:f>IF(ABS(L1027-U1027)&lt;0.001,"OK","ERREUR")</x:f>
        <x:v>OK</x:v>
      </x:c>
    </x:row>
    <x:row r="1028" ht="18" customHeight="1">
      <x:c r="A1028" t="str">
        <x:v>ARM052</x:v>
      </x:c>
      <x:c r="B1028" t="str">
        <x:v>Fronde</x:v>
      </x:c>
      <x:c r="C1028" t="n">
        <x:v>5</x:v>
      </x:c>
      <x:c r="D1028" t="str">
        <x:v>Distance</x:v>
      </x:c>
      <x:c r="E1028" s="28" t="n">
        <x:f>IF(M1028=0,0,M1028+O1028)</x:f>
        <x:v>3</x:v>
      </x:c>
      <x:c r="F1028" s="28" t="n">
        <x:f>IF(M1028=0,0,M1028*N1028+O1028)</x:f>
        <x:v>8</x:v>
      </x:c>
      <x:c r="G1028" s="28" t="n">
        <x:f>ROUND(Catalogue!G55*SQRT((1+'Paramètres'!$B$4*(C1028-1)+'Paramètres'!$B$5*(C1028-1)^2)),0)</x:f>
        <x:v>0</x:v>
      </x:c>
      <x:c r="H1028" s="28" t="n">
        <x:f>ROUND(Catalogue!H55*SQRT((1+'Paramètres'!$B$4*(C1028-1)+'Paramètres'!$B$5*(C1028-1)^2)),0)</x:f>
        <x:v>0</x:v>
      </x:c>
      <x:c r="I1028" s="28" t="n">
        <x:v>2</x:v>
      </x:c>
      <x:c r="J1028" s="28" t="n">
        <x:v>4</x:v>
      </x:c>
      <x:c r="K1028" s="30" t="n">
        <x:v>0.4</x:v>
      </x:c>
      <x:c r="L1028" s="54" t="n">
        <x:f>IF(M1028=0,0,(E1028+F1028)/2)</x:f>
        <x:v>5.5</x:v>
      </x:c>
      <x:c r="M1028" t="n">
        <x:v>1</x:v>
      </x:c>
      <x:c r="N1028" t="n">
        <x:v>6</x:v>
      </x:c>
      <x:c r="O1028" t="n">
        <x:v>2</x:v>
      </x:c>
      <x:c r="P1028" s="63" t="str">
        <x:f>IF(M1028=0,"—",M1028&amp;"d"&amp;N1028&amp;IF(O1028=0,""," + "&amp;O1028))</x:f>
        <x:v>1d6 + 2</x:v>
      </x:c>
      <x:c r="Q1028" t="n">
        <x:f>ROUND(INDEX(Catalogue!E$4:E$85,MATCH(A1028,Catalogue!A$4:A$85,0))*(1+'Paramètres'!$B$4*(C1028-1)+'Paramètres'!$B$5*(C1028-1)^2),0)</x:f>
        <x:v>3</x:v>
      </x:c>
      <x:c r="R1028" t="n">
        <x:f>ROUND(INDEX(Catalogue!F$4:F$85,MATCH(A1028,Catalogue!A$4:A$85,0))*(1+'Paramètres'!$B$4*(C1028-1)+'Paramètres'!$B$5*(C1028-1)^2),0)</x:f>
        <x:v>8</x:v>
      </x:c>
      <x:c r="S1028" t="n">
        <x:f>L1028-AVERAGE(Q1028:R1028)</x:f>
        <x:v>0</x:v>
      </x:c>
      <x:c r="T1028" t="str">
        <x:f>IF(M1028=0,IF(AND(N1028=0,O1028=0,E1028=0,F1028=0),"OK","ERREUR"),IF(AND(M1028&gt;=1,M1028&lt;=32,OR(N1028=4,N1028=6,N1028=8,N1028=10,N1028=12,N1028=20),O1028&gt;=0,E1028=M1028+O1028,F1028=M1028*N1028+O1028),"OK","ERREUR"))</x:f>
        <x:v>OK</x:v>
      </x:c>
      <x:c r="U1028" s="86" t="n">
        <x:f>IF(M1028&gt;0,M1028*(N1028+1)/2+O1028,0)</x:f>
        <x:v>5.5</x:v>
      </x:c>
      <x:c r="V1028" t="str">
        <x:f>IF(ABS(L1028-U1028)&lt;0.001,"OK","ERREUR")</x:f>
        <x:v>OK</x:v>
      </x:c>
    </x:row>
    <x:row r="1029" ht="18" customHeight="1">
      <x:c r="A1029" t="str">
        <x:v>ARM052</x:v>
      </x:c>
      <x:c r="B1029" t="str">
        <x:v>Fronde</x:v>
      </x:c>
      <x:c r="C1029" t="n">
        <x:v>6</x:v>
      </x:c>
      <x:c r="D1029" t="str">
        <x:v>Distance</x:v>
      </x:c>
      <x:c r="E1029" s="28" t="n">
        <x:f>IF(M1029=0,0,M1029+O1029)</x:f>
        <x:v>4</x:v>
      </x:c>
      <x:c r="F1029" s="28" t="n">
        <x:f>IF(M1029=0,0,M1029*N1029+O1029)</x:f>
        <x:v>10</x:v>
      </x:c>
      <x:c r="G1029" s="28" t="n">
        <x:f>ROUND(Catalogue!G55*SQRT((1+'Paramètres'!$B$4*(C1029-1)+'Paramètres'!$B$5*(C1029-1)^2)),0)</x:f>
        <x:v>0</x:v>
      </x:c>
      <x:c r="H1029" s="28" t="n">
        <x:f>ROUND(Catalogue!H55*SQRT((1+'Paramètres'!$B$4*(C1029-1)+'Paramètres'!$B$5*(C1029-1)^2)),0)</x:f>
        <x:v>0</x:v>
      </x:c>
      <x:c r="I1029" s="28" t="n">
        <x:v>2</x:v>
      </x:c>
      <x:c r="J1029" s="28" t="n">
        <x:v>4</x:v>
      </x:c>
      <x:c r="K1029" s="30" t="n">
        <x:v>0.4</x:v>
      </x:c>
      <x:c r="L1029" s="54" t="n">
        <x:f>IF(M1029=0,0,(E1029+F1029)/2)</x:f>
        <x:v>7</x:v>
      </x:c>
      <x:c r="M1029" t="n">
        <x:v>2</x:v>
      </x:c>
      <x:c r="N1029" t="n">
        <x:v>4</x:v>
      </x:c>
      <x:c r="O1029" t="n">
        <x:v>2</x:v>
      </x:c>
      <x:c r="P1029" s="63" t="str">
        <x:f>IF(M1029=0,"—",M1029&amp;"d"&amp;N1029&amp;IF(O1029=0,""," + "&amp;O1029))</x:f>
        <x:v>2d4 + 2</x:v>
      </x:c>
      <x:c r="Q1029" t="n">
        <x:f>ROUND(INDEX(Catalogue!E$4:E$85,MATCH(A1029,Catalogue!A$4:A$85,0))*(1+'Paramètres'!$B$4*(C1029-1)+'Paramètres'!$B$5*(C1029-1)^2),0)</x:f>
        <x:v>4</x:v>
      </x:c>
      <x:c r="R1029" t="n">
        <x:f>ROUND(INDEX(Catalogue!F$4:F$85,MATCH(A1029,Catalogue!A$4:A$85,0))*(1+'Paramètres'!$B$4*(C1029-1)+'Paramètres'!$B$5*(C1029-1)^2),0)</x:f>
        <x:v>10</x:v>
      </x:c>
      <x:c r="S1029" t="n">
        <x:f>L1029-AVERAGE(Q1029:R1029)</x:f>
        <x:v>0</x:v>
      </x:c>
      <x:c r="T1029" t="str">
        <x:f>IF(M1029=0,IF(AND(N1029=0,O1029=0,E1029=0,F1029=0),"OK","ERREUR"),IF(AND(M1029&gt;=1,M1029&lt;=32,OR(N1029=4,N1029=6,N1029=8,N1029=10,N1029=12,N1029=20),O1029&gt;=0,E1029=M1029+O1029,F1029=M1029*N1029+O1029),"OK","ERREUR"))</x:f>
        <x:v>OK</x:v>
      </x:c>
      <x:c r="U1029" s="86" t="n">
        <x:f>IF(M1029&gt;0,M1029*(N1029+1)/2+O1029,0)</x:f>
        <x:v>7</x:v>
      </x:c>
      <x:c r="V1029" t="str">
        <x:f>IF(ABS(L1029-U1029)&lt;0.001,"OK","ERREUR")</x:f>
        <x:v>OK</x:v>
      </x:c>
    </x:row>
    <x:row r="1030" ht="18" customHeight="1">
      <x:c r="A1030" t="str">
        <x:v>ARM052</x:v>
      </x:c>
      <x:c r="B1030" t="str">
        <x:v>Fronde</x:v>
      </x:c>
      <x:c r="C1030" t="n">
        <x:v>7</x:v>
      </x:c>
      <x:c r="D1030" t="str">
        <x:v>Distance</x:v>
      </x:c>
      <x:c r="E1030" s="28" t="n">
        <x:f>IF(M1030=0,0,M1030+O1030)</x:f>
        <x:v>4</x:v>
      </x:c>
      <x:c r="F1030" s="28" t="n">
        <x:f>IF(M1030=0,0,M1030*N1030+O1030)</x:f>
        <x:v>11</x:v>
      </x:c>
      <x:c r="G1030" s="28" t="n">
        <x:f>ROUND(Catalogue!G55*SQRT((1+'Paramètres'!$B$4*(C1030-1)+'Paramètres'!$B$5*(C1030-1)^2)),0)</x:f>
        <x:v>0</x:v>
      </x:c>
      <x:c r="H1030" s="28" t="n">
        <x:f>ROUND(Catalogue!H55*SQRT((1+'Paramètres'!$B$4*(C1030-1)+'Paramètres'!$B$5*(C1030-1)^2)),0)</x:f>
        <x:v>0</x:v>
      </x:c>
      <x:c r="I1030" s="28" t="n">
        <x:v>2</x:v>
      </x:c>
      <x:c r="J1030" s="28" t="n">
        <x:v>4</x:v>
      </x:c>
      <x:c r="K1030" s="30" t="n">
        <x:v>0.4</x:v>
      </x:c>
      <x:c r="L1030" s="54" t="n">
        <x:f>IF(M1030=0,0,(E1030+F1030)/2)</x:f>
        <x:v>7.5</x:v>
      </x:c>
      <x:c r="M1030" t="n">
        <x:v>1</x:v>
      </x:c>
      <x:c r="N1030" t="n">
        <x:v>8</x:v>
      </x:c>
      <x:c r="O1030" t="n">
        <x:v>3</x:v>
      </x:c>
      <x:c r="P1030" s="63" t="str">
        <x:f>IF(M1030=0,"—",M1030&amp;"d"&amp;N1030&amp;IF(O1030=0,""," + "&amp;O1030))</x:f>
        <x:v>1d8 + 3</x:v>
      </x:c>
      <x:c r="Q1030" t="n">
        <x:f>ROUND(INDEX(Catalogue!E$4:E$85,MATCH(A1030,Catalogue!A$4:A$85,0))*(1+'Paramètres'!$B$4*(C1030-1)+'Paramètres'!$B$5*(C1030-1)^2),0)</x:f>
        <x:v>4</x:v>
      </x:c>
      <x:c r="R1030" t="n">
        <x:f>ROUND(INDEX(Catalogue!F$4:F$85,MATCH(A1030,Catalogue!A$4:A$85,0))*(1+'Paramètres'!$B$4*(C1030-1)+'Paramètres'!$B$5*(C1030-1)^2),0)</x:f>
        <x:v>11</x:v>
      </x:c>
      <x:c r="S1030" t="n">
        <x:f>L1030-AVERAGE(Q1030:R1030)</x:f>
        <x:v>0</x:v>
      </x:c>
      <x:c r="T1030" t="str">
        <x:f>IF(M1030=0,IF(AND(N1030=0,O1030=0,E1030=0,F1030=0),"OK","ERREUR"),IF(AND(M1030&gt;=1,M1030&lt;=32,OR(N1030=4,N1030=6,N1030=8,N1030=10,N1030=12,N1030=20),O1030&gt;=0,E1030=M1030+O1030,F1030=M1030*N1030+O1030),"OK","ERREUR"))</x:f>
        <x:v>OK</x:v>
      </x:c>
      <x:c r="U1030" s="86" t="n">
        <x:f>IF(M1030&gt;0,M1030*(N1030+1)/2+O1030,0)</x:f>
        <x:v>7.5</x:v>
      </x:c>
      <x:c r="V1030" t="str">
        <x:f>IF(ABS(L1030-U1030)&lt;0.001,"OK","ERREUR")</x:f>
        <x:v>OK</x:v>
      </x:c>
    </x:row>
    <x:row r="1031" ht="18" customHeight="1">
      <x:c r="A1031" t="str">
        <x:v>ARM052</x:v>
      </x:c>
      <x:c r="B1031" t="str">
        <x:v>Fronde</x:v>
      </x:c>
      <x:c r="C1031" t="n">
        <x:v>8</x:v>
      </x:c>
      <x:c r="D1031" t="str">
        <x:v>Distance</x:v>
      </x:c>
      <x:c r="E1031" s="28" t="n">
        <x:f>IF(M1031=0,0,M1031+O1031)</x:f>
        <x:v>4</x:v>
      </x:c>
      <x:c r="F1031" s="28" t="n">
        <x:f>IF(M1031=0,0,M1031*N1031+O1031)</x:f>
        <x:v>13</x:v>
      </x:c>
      <x:c r="G1031" s="28" t="n">
        <x:f>ROUND(Catalogue!G55*SQRT((1+'Paramètres'!$B$4*(C1031-1)+'Paramètres'!$B$5*(C1031-1)^2)),0)</x:f>
        <x:v>0</x:v>
      </x:c>
      <x:c r="H1031" s="28" t="n">
        <x:f>ROUND(Catalogue!H55*SQRT((1+'Paramètres'!$B$4*(C1031-1)+'Paramètres'!$B$5*(C1031-1)^2)),0)</x:f>
        <x:v>0</x:v>
      </x:c>
      <x:c r="I1031" s="28" t="n">
        <x:v>2</x:v>
      </x:c>
      <x:c r="J1031" s="28" t="n">
        <x:v>4</x:v>
      </x:c>
      <x:c r="K1031" s="30" t="n">
        <x:v>0.4</x:v>
      </x:c>
      <x:c r="L1031" s="54" t="n">
        <x:f>IF(M1031=0,0,(E1031+F1031)/2)</x:f>
        <x:v>8.5</x:v>
      </x:c>
      <x:c r="M1031" t="n">
        <x:v>3</x:v>
      </x:c>
      <x:c r="N1031" t="n">
        <x:v>4</x:v>
      </x:c>
      <x:c r="O1031" t="n">
        <x:v>1</x:v>
      </x:c>
      <x:c r="P1031" s="63" t="str">
        <x:f>IF(M1031=0,"—",M1031&amp;"d"&amp;N1031&amp;IF(O1031=0,""," + "&amp;O1031))</x:f>
        <x:v>3d4 + 1</x:v>
      </x:c>
      <x:c r="Q1031" t="n">
        <x:f>ROUND(INDEX(Catalogue!E$4:E$85,MATCH(A1031,Catalogue!A$4:A$85,0))*(1+'Paramètres'!$B$4*(C1031-1)+'Paramètres'!$B$5*(C1031-1)^2),0)</x:f>
        <x:v>5</x:v>
      </x:c>
      <x:c r="R1031" t="n">
        <x:f>ROUND(INDEX(Catalogue!F$4:F$85,MATCH(A1031,Catalogue!A$4:A$85,0))*(1+'Paramètres'!$B$4*(C1031-1)+'Paramètres'!$B$5*(C1031-1)^2),0)</x:f>
        <x:v>13</x:v>
      </x:c>
      <x:c r="S1031" t="n">
        <x:f>L1031-AVERAGE(Q1031:R1031)</x:f>
        <x:v>-0.5</x:v>
      </x:c>
      <x:c r="T1031" t="str">
        <x:f>IF(M1031=0,IF(AND(N1031=0,O1031=0,E1031=0,F1031=0),"OK","ERREUR"),IF(AND(M1031&gt;=1,M1031&lt;=32,OR(N1031=4,N1031=6,N1031=8,N1031=10,N1031=12,N1031=20),O1031&gt;=0,E1031=M1031+O1031,F1031=M1031*N1031+O1031),"OK","ERREUR"))</x:f>
        <x:v>OK</x:v>
      </x:c>
      <x:c r="U1031" s="86" t="n">
        <x:f>IF(M1031&gt;0,M1031*(N1031+1)/2+O1031,0)</x:f>
        <x:v>8.5</x:v>
      </x:c>
      <x:c r="V1031" t="str">
        <x:f>IF(ABS(L1031-U1031)&lt;0.001,"OK","ERREUR")</x:f>
        <x:v>OK</x:v>
      </x:c>
    </x:row>
    <x:row r="1032" ht="18" customHeight="1">
      <x:c r="A1032" t="str">
        <x:v>ARM052</x:v>
      </x:c>
      <x:c r="B1032" t="str">
        <x:v>Fronde</x:v>
      </x:c>
      <x:c r="C1032" t="n">
        <x:v>9</x:v>
      </x:c>
      <x:c r="D1032" t="str">
        <x:v>Distance</x:v>
      </x:c>
      <x:c r="E1032" s="28" t="n">
        <x:f>IF(M1032=0,0,M1032+O1032)</x:f>
        <x:v>6</x:v>
      </x:c>
      <x:c r="F1032" s="28" t="n">
        <x:f>IF(M1032=0,0,M1032*N1032+O1032)</x:f>
        <x:v>15</x:v>
      </x:c>
      <x:c r="G1032" s="28" t="n">
        <x:f>ROUND(Catalogue!G55*SQRT((1+'Paramètres'!$B$4*(C1032-1)+'Paramètres'!$B$5*(C1032-1)^2)),0)</x:f>
        <x:v>0</x:v>
      </x:c>
      <x:c r="H1032" s="28" t="n">
        <x:f>ROUND(Catalogue!H55*SQRT((1+'Paramètres'!$B$4*(C1032-1)+'Paramètres'!$B$5*(C1032-1)^2)),0)</x:f>
        <x:v>0</x:v>
      </x:c>
      <x:c r="I1032" s="28" t="n">
        <x:v>2</x:v>
      </x:c>
      <x:c r="J1032" s="28" t="n">
        <x:v>4</x:v>
      </x:c>
      <x:c r="K1032" s="30" t="n">
        <x:v>0.4</x:v>
      </x:c>
      <x:c r="L1032" s="54" t="n">
        <x:f>IF(M1032=0,0,(E1032+F1032)/2)</x:f>
        <x:v>10.5</x:v>
      </x:c>
      <x:c r="M1032" t="n">
        <x:v>3</x:v>
      </x:c>
      <x:c r="N1032" t="n">
        <x:v>4</x:v>
      </x:c>
      <x:c r="O1032" t="n">
        <x:v>3</x:v>
      </x:c>
      <x:c r="P1032" s="63" t="str">
        <x:f>IF(M1032=0,"—",M1032&amp;"d"&amp;N1032&amp;IF(O1032=0,""," + "&amp;O1032))</x:f>
        <x:v>3d4 + 3</x:v>
      </x:c>
      <x:c r="Q1032" t="n">
        <x:f>ROUND(INDEX(Catalogue!E$4:E$85,MATCH(A1032,Catalogue!A$4:A$85,0))*(1+'Paramètres'!$B$4*(C1032-1)+'Paramètres'!$B$5*(C1032-1)^2),0)</x:f>
        <x:v>6</x:v>
      </x:c>
      <x:c r="R1032" t="n">
        <x:f>ROUND(INDEX(Catalogue!F$4:F$85,MATCH(A1032,Catalogue!A$4:A$85,0))*(1+'Paramètres'!$B$4*(C1032-1)+'Paramètres'!$B$5*(C1032-1)^2),0)</x:f>
        <x:v>15</x:v>
      </x:c>
      <x:c r="S1032" t="n">
        <x:f>L1032-AVERAGE(Q1032:R1032)</x:f>
        <x:v>0</x:v>
      </x:c>
      <x:c r="T1032" t="str">
        <x:f>IF(M1032=0,IF(AND(N1032=0,O1032=0,E1032=0,F1032=0),"OK","ERREUR"),IF(AND(M1032&gt;=1,M1032&lt;=32,OR(N1032=4,N1032=6,N1032=8,N1032=10,N1032=12,N1032=20),O1032&gt;=0,E1032=M1032+O1032,F1032=M1032*N1032+O1032),"OK","ERREUR"))</x:f>
        <x:v>OK</x:v>
      </x:c>
      <x:c r="U1032" s="86" t="n">
        <x:f>IF(M1032&gt;0,M1032*(N1032+1)/2+O1032,0)</x:f>
        <x:v>10.5</x:v>
      </x:c>
      <x:c r="V1032" t="str">
        <x:f>IF(ABS(L1032-U1032)&lt;0.001,"OK","ERREUR")</x:f>
        <x:v>OK</x:v>
      </x:c>
    </x:row>
    <x:row r="1033" ht="18" customHeight="1">
      <x:c r="A1033" t="str">
        <x:v>ARM052</x:v>
      </x:c>
      <x:c r="B1033" t="str">
        <x:v>Fronde</x:v>
      </x:c>
      <x:c r="C1033" t="n">
        <x:v>10</x:v>
      </x:c>
      <x:c r="D1033" t="str">
        <x:v>Distance</x:v>
      </x:c>
      <x:c r="E1033" s="28" t="n">
        <x:f>IF(M1033=0,0,M1033+O1033)</x:f>
        <x:v>7</x:v>
      </x:c>
      <x:c r="F1033" s="28" t="n">
        <x:f>IF(M1033=0,0,M1033*N1033+O1033)</x:f>
        <x:v>16</x:v>
      </x:c>
      <x:c r="G1033" s="28" t="n">
        <x:f>ROUND(Catalogue!G55*SQRT((1+'Paramètres'!$B$4*(C1033-1)+'Paramètres'!$B$5*(C1033-1)^2)),0)</x:f>
        <x:v>0</x:v>
      </x:c>
      <x:c r="H1033" s="28" t="n">
        <x:f>ROUND(Catalogue!H55*SQRT((1+'Paramètres'!$B$4*(C1033-1)+'Paramètres'!$B$5*(C1033-1)^2)),0)</x:f>
        <x:v>0</x:v>
      </x:c>
      <x:c r="I1033" s="28" t="n">
        <x:v>2</x:v>
      </x:c>
      <x:c r="J1033" s="28" t="n">
        <x:v>4</x:v>
      </x:c>
      <x:c r="K1033" s="30" t="n">
        <x:v>0.4</x:v>
      </x:c>
      <x:c r="L1033" s="54" t="n">
        <x:f>IF(M1033=0,0,(E1033+F1033)/2)</x:f>
        <x:v>11.5</x:v>
      </x:c>
      <x:c r="M1033" t="n">
        <x:v>3</x:v>
      </x:c>
      <x:c r="N1033" t="n">
        <x:v>4</x:v>
      </x:c>
      <x:c r="O1033" t="n">
        <x:v>4</x:v>
      </x:c>
      <x:c r="P1033" s="63" t="str">
        <x:f>IF(M1033=0,"—",M1033&amp;"d"&amp;N1033&amp;IF(O1033=0,""," + "&amp;O1033))</x:f>
        <x:v>3d4 + 4</x:v>
      </x:c>
      <x:c r="Q1033" t="n">
        <x:f>ROUND(INDEX(Catalogue!E$4:E$85,MATCH(A1033,Catalogue!A$4:A$85,0))*(1+'Paramètres'!$B$4*(C1033-1)+'Paramètres'!$B$5*(C1033-1)^2),0)</x:f>
        <x:v>7</x:v>
      </x:c>
      <x:c r="R1033" t="n">
        <x:f>ROUND(INDEX(Catalogue!F$4:F$85,MATCH(A1033,Catalogue!A$4:A$85,0))*(1+'Paramètres'!$B$4*(C1033-1)+'Paramètres'!$B$5*(C1033-1)^2),0)</x:f>
        <x:v>16</x:v>
      </x:c>
      <x:c r="S1033" t="n">
        <x:f>L1033-AVERAGE(Q1033:R1033)</x:f>
        <x:v>0</x:v>
      </x:c>
      <x:c r="T1033" t="str">
        <x:f>IF(M1033=0,IF(AND(N1033=0,O1033=0,E1033=0,F1033=0),"OK","ERREUR"),IF(AND(M1033&gt;=1,M1033&lt;=32,OR(N1033=4,N1033=6,N1033=8,N1033=10,N1033=12,N1033=20),O1033&gt;=0,E1033=M1033+O1033,F1033=M1033*N1033+O1033),"OK","ERREUR"))</x:f>
        <x:v>OK</x:v>
      </x:c>
      <x:c r="U1033" s="86" t="n">
        <x:f>IF(M1033&gt;0,M1033*(N1033+1)/2+O1033,0)</x:f>
        <x:v>11.5</x:v>
      </x:c>
      <x:c r="V1033" t="str">
        <x:f>IF(ABS(L1033-U1033)&lt;0.001,"OK","ERREUR")</x:f>
        <x:v>OK</x:v>
      </x:c>
    </x:row>
    <x:row r="1034" ht="18" customHeight="1">
      <x:c r="A1034" t="str">
        <x:v>ARM052</x:v>
      </x:c>
      <x:c r="B1034" t="str">
        <x:v>Fronde</x:v>
      </x:c>
      <x:c r="C1034" t="n">
        <x:v>11</x:v>
      </x:c>
      <x:c r="D1034" t="str">
        <x:v>Distance</x:v>
      </x:c>
      <x:c r="E1034" s="28" t="n">
        <x:f>IF(M1034=0,0,M1034+O1034)</x:f>
        <x:v>7</x:v>
      </x:c>
      <x:c r="F1034" s="28" t="n">
        <x:f>IF(M1034=0,0,M1034*N1034+O1034)</x:f>
        <x:v>19</x:v>
      </x:c>
      <x:c r="G1034" s="28" t="n">
        <x:f>ROUND(Catalogue!G55*SQRT((1+'Paramètres'!$B$4*(C1034-1)+'Paramètres'!$B$5*(C1034-1)^2)),0)</x:f>
        <x:v>0</x:v>
      </x:c>
      <x:c r="H1034" s="28" t="n">
        <x:f>ROUND(Catalogue!H55*SQRT((1+'Paramètres'!$B$4*(C1034-1)+'Paramètres'!$B$5*(C1034-1)^2)),0)</x:f>
        <x:v>0</x:v>
      </x:c>
      <x:c r="I1034" s="28" t="n">
        <x:v>2</x:v>
      </x:c>
      <x:c r="J1034" s="28" t="n">
        <x:v>4</x:v>
      </x:c>
      <x:c r="K1034" s="30" t="n">
        <x:v>0.4</x:v>
      </x:c>
      <x:c r="L1034" s="54" t="n">
        <x:f>IF(M1034=0,0,(E1034+F1034)/2)</x:f>
        <x:v>13</x:v>
      </x:c>
      <x:c r="M1034" t="n">
        <x:v>4</x:v>
      </x:c>
      <x:c r="N1034" t="n">
        <x:v>4</x:v>
      </x:c>
      <x:c r="O1034" t="n">
        <x:v>3</x:v>
      </x:c>
      <x:c r="P1034" s="63" t="str">
        <x:f>IF(M1034=0,"—",M1034&amp;"d"&amp;N1034&amp;IF(O1034=0,""," + "&amp;O1034))</x:f>
        <x:v>4d4 + 3</x:v>
      </x:c>
      <x:c r="Q1034" t="n">
        <x:f>ROUND(INDEX(Catalogue!E$4:E$85,MATCH(A1034,Catalogue!A$4:A$85,0))*(1+'Paramètres'!$B$4*(C1034-1)+'Paramètres'!$B$5*(C1034-1)^2),0)</x:f>
        <x:v>7</x:v>
      </x:c>
      <x:c r="R1034" t="n">
        <x:f>ROUND(INDEX(Catalogue!F$4:F$85,MATCH(A1034,Catalogue!A$4:A$85,0))*(1+'Paramètres'!$B$4*(C1034-1)+'Paramètres'!$B$5*(C1034-1)^2),0)</x:f>
        <x:v>19</x:v>
      </x:c>
      <x:c r="S1034" t="n">
        <x:f>L1034-AVERAGE(Q1034:R1034)</x:f>
        <x:v>0</x:v>
      </x:c>
      <x:c r="T1034" t="str">
        <x:f>IF(M1034=0,IF(AND(N1034=0,O1034=0,E1034=0,F1034=0),"OK","ERREUR"),IF(AND(M1034&gt;=1,M1034&lt;=32,OR(N1034=4,N1034=6,N1034=8,N1034=10,N1034=12,N1034=20),O1034&gt;=0,E1034=M1034+O1034,F1034=M1034*N1034+O1034),"OK","ERREUR"))</x:f>
        <x:v>OK</x:v>
      </x:c>
      <x:c r="U1034" s="86" t="n">
        <x:f>IF(M1034&gt;0,M1034*(N1034+1)/2+O1034,0)</x:f>
        <x:v>13</x:v>
      </x:c>
      <x:c r="V1034" t="str">
        <x:f>IF(ABS(L1034-U1034)&lt;0.001,"OK","ERREUR")</x:f>
        <x:v>OK</x:v>
      </x:c>
    </x:row>
    <x:row r="1035" ht="18" customHeight="1">
      <x:c r="A1035" t="str">
        <x:v>ARM052</x:v>
      </x:c>
      <x:c r="B1035" t="str">
        <x:v>Fronde</x:v>
      </x:c>
      <x:c r="C1035" t="n">
        <x:v>12</x:v>
      </x:c>
      <x:c r="D1035" t="str">
        <x:v>Distance</x:v>
      </x:c>
      <x:c r="E1035" s="28" t="n">
        <x:f>IF(M1035=0,0,M1035+O1035)</x:f>
        <x:v>7</x:v>
      </x:c>
      <x:c r="F1035" s="28" t="n">
        <x:f>IF(M1035=0,0,M1035*N1035+O1035)</x:f>
        <x:v>21</x:v>
      </x:c>
      <x:c r="G1035" s="28" t="n">
        <x:f>ROUND(Catalogue!G55*SQRT((1+'Paramètres'!$B$4*(C1035-1)+'Paramètres'!$B$5*(C1035-1)^2)),0)</x:f>
        <x:v>0</x:v>
      </x:c>
      <x:c r="H1035" s="28" t="n">
        <x:f>ROUND(Catalogue!H55*SQRT((1+'Paramètres'!$B$4*(C1035-1)+'Paramètres'!$B$5*(C1035-1)^2)),0)</x:f>
        <x:v>0</x:v>
      </x:c>
      <x:c r="I1035" s="28" t="n">
        <x:v>2</x:v>
      </x:c>
      <x:c r="J1035" s="28" t="n">
        <x:v>4</x:v>
      </x:c>
      <x:c r="K1035" s="30" t="n">
        <x:v>0.4</x:v>
      </x:c>
      <x:c r="L1035" s="54" t="n">
        <x:f>IF(M1035=0,0,(E1035+F1035)/2)</x:f>
        <x:v>14</x:v>
      </x:c>
      <x:c r="M1035" t="n">
        <x:v>2</x:v>
      </x:c>
      <x:c r="N1035" t="n">
        <x:v>8</x:v>
      </x:c>
      <x:c r="O1035" t="n">
        <x:v>5</x:v>
      </x:c>
      <x:c r="P1035" s="63" t="str">
        <x:f>IF(M1035=0,"—",M1035&amp;"d"&amp;N1035&amp;IF(O1035=0,""," + "&amp;O1035))</x:f>
        <x:v>2d8 + 5</x:v>
      </x:c>
      <x:c r="Q1035" t="n">
        <x:f>ROUND(INDEX(Catalogue!E$4:E$85,MATCH(A1035,Catalogue!A$4:A$85,0))*(1+'Paramètres'!$B$4*(C1035-1)+'Paramètres'!$B$5*(C1035-1)^2),0)</x:f>
        <x:v>8</x:v>
      </x:c>
      <x:c r="R1035" t="n">
        <x:f>ROUND(INDEX(Catalogue!F$4:F$85,MATCH(A1035,Catalogue!A$4:A$85,0))*(1+'Paramètres'!$B$4*(C1035-1)+'Paramètres'!$B$5*(C1035-1)^2),0)</x:f>
        <x:v>21</x:v>
      </x:c>
      <x:c r="S1035" t="n">
        <x:f>L1035-AVERAGE(Q1035:R1035)</x:f>
        <x:v>-0.5</x:v>
      </x:c>
      <x:c r="T1035" t="str">
        <x:f>IF(M1035=0,IF(AND(N1035=0,O1035=0,E1035=0,F1035=0),"OK","ERREUR"),IF(AND(M1035&gt;=1,M1035&lt;=32,OR(N1035=4,N1035=6,N1035=8,N1035=10,N1035=12,N1035=20),O1035&gt;=0,E1035=M1035+O1035,F1035=M1035*N1035+O1035),"OK","ERREUR"))</x:f>
        <x:v>OK</x:v>
      </x:c>
      <x:c r="U1035" s="86" t="n">
        <x:f>IF(M1035&gt;0,M1035*(N1035+1)/2+O1035,0)</x:f>
        <x:v>14</x:v>
      </x:c>
      <x:c r="V1035" t="str">
        <x:f>IF(ABS(L1035-U1035)&lt;0.001,"OK","ERREUR")</x:f>
        <x:v>OK</x:v>
      </x:c>
    </x:row>
    <x:row r="1036" ht="18" customHeight="1">
      <x:c r="A1036" t="str">
        <x:v>ARM052</x:v>
      </x:c>
      <x:c r="B1036" t="str">
        <x:v>Fronde</x:v>
      </x:c>
      <x:c r="C1036" t="n">
        <x:v>13</x:v>
      </x:c>
      <x:c r="D1036" t="str">
        <x:v>Distance</x:v>
      </x:c>
      <x:c r="E1036" s="28" t="n">
        <x:f>IF(M1036=0,0,M1036+O1036)</x:f>
        <x:v>9</x:v>
      </x:c>
      <x:c r="F1036" s="28" t="n">
        <x:f>IF(M1036=0,0,M1036*N1036+O1036)</x:f>
        <x:v>23</x:v>
      </x:c>
      <x:c r="G1036" s="28" t="n">
        <x:f>ROUND(Catalogue!G55*SQRT((1+'Paramètres'!$B$4*(C1036-1)+'Paramètres'!$B$5*(C1036-1)^2)),0)</x:f>
        <x:v>0</x:v>
      </x:c>
      <x:c r="H1036" s="28" t="n">
        <x:f>ROUND(Catalogue!H55*SQRT((1+'Paramètres'!$B$4*(C1036-1)+'Paramètres'!$B$5*(C1036-1)^2)),0)</x:f>
        <x:v>0</x:v>
      </x:c>
      <x:c r="I1036" s="28" t="n">
        <x:v>2</x:v>
      </x:c>
      <x:c r="J1036" s="28" t="n">
        <x:v>4</x:v>
      </x:c>
      <x:c r="K1036" s="30" t="n">
        <x:v>0.4</x:v>
      </x:c>
      <x:c r="L1036" s="54" t="n">
        <x:f>IF(M1036=0,0,(E1036+F1036)/2)</x:f>
        <x:v>16</x:v>
      </x:c>
      <x:c r="M1036" t="n">
        <x:v>2</x:v>
      </x:c>
      <x:c r="N1036" t="n">
        <x:v>8</x:v>
      </x:c>
      <x:c r="O1036" t="n">
        <x:v>7</x:v>
      </x:c>
      <x:c r="P1036" s="63" t="str">
        <x:f>IF(M1036=0,"—",M1036&amp;"d"&amp;N1036&amp;IF(O1036=0,""," + "&amp;O1036))</x:f>
        <x:v>2d8 + 7</x:v>
      </x:c>
      <x:c r="Q1036" t="n">
        <x:f>ROUND(INDEX(Catalogue!E$4:E$85,MATCH(A1036,Catalogue!A$4:A$85,0))*(1+'Paramètres'!$B$4*(C1036-1)+'Paramètres'!$B$5*(C1036-1)^2),0)</x:f>
        <x:v>9</x:v>
      </x:c>
      <x:c r="R1036" t="n">
        <x:f>ROUND(INDEX(Catalogue!F$4:F$85,MATCH(A1036,Catalogue!A$4:A$85,0))*(1+'Paramètres'!$B$4*(C1036-1)+'Paramètres'!$B$5*(C1036-1)^2),0)</x:f>
        <x:v>23</x:v>
      </x:c>
      <x:c r="S1036" t="n">
        <x:f>L1036-AVERAGE(Q1036:R1036)</x:f>
        <x:v>0</x:v>
      </x:c>
      <x:c r="T1036" t="str">
        <x:f>IF(M1036=0,IF(AND(N1036=0,O1036=0,E1036=0,F1036=0),"OK","ERREUR"),IF(AND(M1036&gt;=1,M1036&lt;=32,OR(N1036=4,N1036=6,N1036=8,N1036=10,N1036=12,N1036=20),O1036&gt;=0,E1036=M1036+O1036,F1036=M1036*N1036+O1036),"OK","ERREUR"))</x:f>
        <x:v>OK</x:v>
      </x:c>
      <x:c r="U1036" s="86" t="n">
        <x:f>IF(M1036&gt;0,M1036*(N1036+1)/2+O1036,0)</x:f>
        <x:v>16</x:v>
      </x:c>
      <x:c r="V1036" t="str">
        <x:f>IF(ABS(L1036-U1036)&lt;0.001,"OK","ERREUR")</x:f>
        <x:v>OK</x:v>
      </x:c>
    </x:row>
    <x:row r="1037" ht="18" customHeight="1">
      <x:c r="A1037" t="str">
        <x:v>ARM052</x:v>
      </x:c>
      <x:c r="B1037" t="str">
        <x:v>Fronde</x:v>
      </x:c>
      <x:c r="C1037" t="n">
        <x:v>14</x:v>
      </x:c>
      <x:c r="D1037" t="str">
        <x:v>Distance</x:v>
      </x:c>
      <x:c r="E1037" s="28" t="n">
        <x:f>IF(M1037=0,0,M1037+O1037)</x:f>
        <x:v>11</x:v>
      </x:c>
      <x:c r="F1037" s="28" t="n">
        <x:f>IF(M1037=0,0,M1037*N1037+O1037)</x:f>
        <x:v>26</x:v>
      </x:c>
      <x:c r="G1037" s="28" t="n">
        <x:f>ROUND(Catalogue!G55*SQRT((1+'Paramètres'!$B$4*(C1037-1)+'Paramètres'!$B$5*(C1037-1)^2)),0)</x:f>
        <x:v>0</x:v>
      </x:c>
      <x:c r="H1037" s="28" t="n">
        <x:f>ROUND(Catalogue!H55*SQRT((1+'Paramètres'!$B$4*(C1037-1)+'Paramètres'!$B$5*(C1037-1)^2)),0)</x:f>
        <x:v>0</x:v>
      </x:c>
      <x:c r="I1037" s="28" t="n">
        <x:v>2</x:v>
      </x:c>
      <x:c r="J1037" s="28" t="n">
        <x:v>4</x:v>
      </x:c>
      <x:c r="K1037" s="30" t="n">
        <x:v>0.4</x:v>
      </x:c>
      <x:c r="L1037" s="54" t="n">
        <x:f>IF(M1037=0,0,(E1037+F1037)/2)</x:f>
        <x:v>18.5</x:v>
      </x:c>
      <x:c r="M1037" t="n">
        <x:v>3</x:v>
      </x:c>
      <x:c r="N1037" t="n">
        <x:v>6</x:v>
      </x:c>
      <x:c r="O1037" t="n">
        <x:v>8</x:v>
      </x:c>
      <x:c r="P1037" s="63" t="str">
        <x:f>IF(M1037=0,"—",M1037&amp;"d"&amp;N1037&amp;IF(O1037=0,""," + "&amp;O1037))</x:f>
        <x:v>3d6 + 8</x:v>
      </x:c>
      <x:c r="Q1037" t="n">
        <x:f>ROUND(INDEX(Catalogue!E$4:E$85,MATCH(A1037,Catalogue!A$4:A$85,0))*(1+'Paramètres'!$B$4*(C1037-1)+'Paramètres'!$B$5*(C1037-1)^2),0)</x:f>
        <x:v>10</x:v>
      </x:c>
      <x:c r="R1037" t="n">
        <x:f>ROUND(INDEX(Catalogue!F$4:F$85,MATCH(A1037,Catalogue!A$4:A$85,0))*(1+'Paramètres'!$B$4*(C1037-1)+'Paramètres'!$B$5*(C1037-1)^2),0)</x:f>
        <x:v>26</x:v>
      </x:c>
      <x:c r="S1037" t="n">
        <x:f>L1037-AVERAGE(Q1037:R1037)</x:f>
        <x:v>0.5</x:v>
      </x:c>
      <x:c r="T1037" t="str">
        <x:f>IF(M1037=0,IF(AND(N1037=0,O1037=0,E1037=0,F1037=0),"OK","ERREUR"),IF(AND(M1037&gt;=1,M1037&lt;=32,OR(N1037=4,N1037=6,N1037=8,N1037=10,N1037=12,N1037=20),O1037&gt;=0,E1037=M1037+O1037,F1037=M1037*N1037+O1037),"OK","ERREUR"))</x:f>
        <x:v>OK</x:v>
      </x:c>
      <x:c r="U1037" s="86" t="n">
        <x:f>IF(M1037&gt;0,M1037*(N1037+1)/2+O1037,0)</x:f>
        <x:v>18.5</x:v>
      </x:c>
      <x:c r="V1037" t="str">
        <x:f>IF(ABS(L1037-U1037)&lt;0.001,"OK","ERREUR")</x:f>
        <x:v>OK</x:v>
      </x:c>
    </x:row>
    <x:row r="1038" ht="18" customHeight="1">
      <x:c r="A1038" t="str">
        <x:v>ARM052</x:v>
      </x:c>
      <x:c r="B1038" t="str">
        <x:v>Fronde</x:v>
      </x:c>
      <x:c r="C1038" t="n">
        <x:v>15</x:v>
      </x:c>
      <x:c r="D1038" t="str">
        <x:v>Distance</x:v>
      </x:c>
      <x:c r="E1038" s="28" t="n">
        <x:f>IF(M1038=0,0,M1038+O1038)</x:f>
        <x:v>10</x:v>
      </x:c>
      <x:c r="F1038" s="28" t="n">
        <x:f>IF(M1038=0,0,M1038*N1038+O1038)</x:f>
        <x:v>28</x:v>
      </x:c>
      <x:c r="G1038" s="28" t="n">
        <x:f>ROUND(Catalogue!G55*SQRT((1+'Paramètres'!$B$4*(C1038-1)+'Paramètres'!$B$5*(C1038-1)^2)),0)</x:f>
        <x:v>0</x:v>
      </x:c>
      <x:c r="H1038" s="28" t="n">
        <x:f>ROUND(Catalogue!H55*SQRT((1+'Paramètres'!$B$4*(C1038-1)+'Paramètres'!$B$5*(C1038-1)^2)),0)</x:f>
        <x:v>0</x:v>
      </x:c>
      <x:c r="I1038" s="28" t="n">
        <x:v>2</x:v>
      </x:c>
      <x:c r="J1038" s="28" t="n">
        <x:v>4</x:v>
      </x:c>
      <x:c r="K1038" s="30" t="n">
        <x:v>0.4</x:v>
      </x:c>
      <x:c r="L1038" s="54" t="n">
        <x:f>IF(M1038=0,0,(E1038+F1038)/2)</x:f>
        <x:v>19</x:v>
      </x:c>
      <x:c r="M1038" t="n">
        <x:v>2</x:v>
      </x:c>
      <x:c r="N1038" t="n">
        <x:v>10</x:v>
      </x:c>
      <x:c r="O1038" t="n">
        <x:v>8</x:v>
      </x:c>
      <x:c r="P1038" s="63" t="str">
        <x:f>IF(M1038=0,"—",M1038&amp;"d"&amp;N1038&amp;IF(O1038=0,""," + "&amp;O1038))</x:f>
        <x:v>2d10 + 8</x:v>
      </x:c>
      <x:c r="Q1038" t="n">
        <x:f>ROUND(INDEX(Catalogue!E$4:E$85,MATCH(A1038,Catalogue!A$4:A$85,0))*(1+'Paramètres'!$B$4*(C1038-1)+'Paramètres'!$B$5*(C1038-1)^2),0)</x:f>
        <x:v>11</x:v>
      </x:c>
      <x:c r="R1038" t="n">
        <x:f>ROUND(INDEX(Catalogue!F$4:F$85,MATCH(A1038,Catalogue!A$4:A$85,0))*(1+'Paramètres'!$B$4*(C1038-1)+'Paramètres'!$B$5*(C1038-1)^2),0)</x:f>
        <x:v>28</x:v>
      </x:c>
      <x:c r="S1038" t="n">
        <x:f>L1038-AVERAGE(Q1038:R1038)</x:f>
        <x:v>-0.5</x:v>
      </x:c>
      <x:c r="T1038" t="str">
        <x:f>IF(M1038=0,IF(AND(N1038=0,O1038=0,E1038=0,F1038=0),"OK","ERREUR"),IF(AND(M1038&gt;=1,M1038&lt;=32,OR(N1038=4,N1038=6,N1038=8,N1038=10,N1038=12,N1038=20),O1038&gt;=0,E1038=M1038+O1038,F1038=M1038*N1038+O1038),"OK","ERREUR"))</x:f>
        <x:v>OK</x:v>
      </x:c>
      <x:c r="U1038" s="86" t="n">
        <x:f>IF(M1038&gt;0,M1038*(N1038+1)/2+O1038,0)</x:f>
        <x:v>19</x:v>
      </x:c>
      <x:c r="V1038" t="str">
        <x:f>IF(ABS(L1038-U1038)&lt;0.001,"OK","ERREUR")</x:f>
        <x:v>OK</x:v>
      </x:c>
    </x:row>
    <x:row r="1039" ht="18" customHeight="1">
      <x:c r="A1039" t="str">
        <x:v>ARM052</x:v>
      </x:c>
      <x:c r="B1039" t="str">
        <x:v>Fronde</x:v>
      </x:c>
      <x:c r="C1039" t="n">
        <x:v>16</x:v>
      </x:c>
      <x:c r="D1039" t="str">
        <x:v>Distance</x:v>
      </x:c>
      <x:c r="E1039" s="28" t="n">
        <x:f>IF(M1039=0,0,M1039+O1039)</x:f>
        <x:v>13</x:v>
      </x:c>
      <x:c r="F1039" s="28" t="n">
        <x:f>IF(M1039=0,0,M1039*N1039+O1039)</x:f>
        <x:v>31</x:v>
      </x:c>
      <x:c r="G1039" s="28" t="n">
        <x:f>ROUND(Catalogue!G55*SQRT((1+'Paramètres'!$B$4*(C1039-1)+'Paramètres'!$B$5*(C1039-1)^2)),0)</x:f>
        <x:v>0</x:v>
      </x:c>
      <x:c r="H1039" s="28" t="n">
        <x:f>ROUND(Catalogue!H55*SQRT((1+'Paramètres'!$B$4*(C1039-1)+'Paramètres'!$B$5*(C1039-1)^2)),0)</x:f>
        <x:v>0</x:v>
      </x:c>
      <x:c r="I1039" s="28" t="n">
        <x:v>2</x:v>
      </x:c>
      <x:c r="J1039" s="28" t="n">
        <x:v>4</x:v>
      </x:c>
      <x:c r="K1039" s="30" t="n">
        <x:v>0.4</x:v>
      </x:c>
      <x:c r="L1039" s="54" t="n">
        <x:f>IF(M1039=0,0,(E1039+F1039)/2)</x:f>
        <x:v>22</x:v>
      </x:c>
      <x:c r="M1039" t="n">
        <x:v>2</x:v>
      </x:c>
      <x:c r="N1039" t="n">
        <x:v>10</x:v>
      </x:c>
      <x:c r="O1039" t="n">
        <x:v>11</x:v>
      </x:c>
      <x:c r="P1039" s="63" t="str">
        <x:f>IF(M1039=0,"—",M1039&amp;"d"&amp;N1039&amp;IF(O1039=0,""," + "&amp;O1039))</x:f>
        <x:v>2d10 + 11</x:v>
      </x:c>
      <x:c r="Q1039" t="n">
        <x:f>ROUND(INDEX(Catalogue!E$4:E$85,MATCH(A1039,Catalogue!A$4:A$85,0))*(1+'Paramètres'!$B$4*(C1039-1)+'Paramètres'!$B$5*(C1039-1)^2),0)</x:f>
        <x:v>13</x:v>
      </x:c>
      <x:c r="R1039" t="n">
        <x:f>ROUND(INDEX(Catalogue!F$4:F$85,MATCH(A1039,Catalogue!A$4:A$85,0))*(1+'Paramètres'!$B$4*(C1039-1)+'Paramètres'!$B$5*(C1039-1)^2),0)</x:f>
        <x:v>31</x:v>
      </x:c>
      <x:c r="S1039" t="n">
        <x:f>L1039-AVERAGE(Q1039:R1039)</x:f>
        <x:v>0</x:v>
      </x:c>
      <x:c r="T1039" t="str">
        <x:f>IF(M1039=0,IF(AND(N1039=0,O1039=0,E1039=0,F1039=0),"OK","ERREUR"),IF(AND(M1039&gt;=1,M1039&lt;=32,OR(N1039=4,N1039=6,N1039=8,N1039=10,N1039=12,N1039=20),O1039&gt;=0,E1039=M1039+O1039,F1039=M1039*N1039+O1039),"OK","ERREUR"))</x:f>
        <x:v>OK</x:v>
      </x:c>
      <x:c r="U1039" s="86" t="n">
        <x:f>IF(M1039&gt;0,M1039*(N1039+1)/2+O1039,0)</x:f>
        <x:v>22</x:v>
      </x:c>
      <x:c r="V1039" t="str">
        <x:f>IF(ABS(L1039-U1039)&lt;0.001,"OK","ERREUR")</x:f>
        <x:v>OK</x:v>
      </x:c>
    </x:row>
    <x:row r="1040" ht="18" customHeight="1">
      <x:c r="A1040" t="str">
        <x:v>ARM052</x:v>
      </x:c>
      <x:c r="B1040" t="str">
        <x:v>Fronde</x:v>
      </x:c>
      <x:c r="C1040" t="n">
        <x:v>17</x:v>
      </x:c>
      <x:c r="D1040" t="str">
        <x:v>Distance</x:v>
      </x:c>
      <x:c r="E1040" s="28" t="n">
        <x:f>IF(M1040=0,0,M1040+O1040)</x:f>
        <x:v>14</x:v>
      </x:c>
      <x:c r="F1040" s="28" t="n">
        <x:f>IF(M1040=0,0,M1040*N1040+O1040)</x:f>
        <x:v>34</x:v>
      </x:c>
      <x:c r="G1040" s="28" t="n">
        <x:f>ROUND(Catalogue!G55*SQRT((1+'Paramètres'!$B$4*(C1040-1)+'Paramètres'!$B$5*(C1040-1)^2)),0)</x:f>
        <x:v>0</x:v>
      </x:c>
      <x:c r="H1040" s="28" t="n">
        <x:f>ROUND(Catalogue!H55*SQRT((1+'Paramètres'!$B$4*(C1040-1)+'Paramètres'!$B$5*(C1040-1)^2)),0)</x:f>
        <x:v>0</x:v>
      </x:c>
      <x:c r="I1040" s="28" t="n">
        <x:v>2</x:v>
      </x:c>
      <x:c r="J1040" s="28" t="n">
        <x:v>4</x:v>
      </x:c>
      <x:c r="K1040" s="30" t="n">
        <x:v>0.4</x:v>
      </x:c>
      <x:c r="L1040" s="54" t="n">
        <x:f>IF(M1040=0,0,(E1040+F1040)/2)</x:f>
        <x:v>24</x:v>
      </x:c>
      <x:c r="M1040" t="n">
        <x:v>4</x:v>
      </x:c>
      <x:c r="N1040" t="n">
        <x:v>6</x:v>
      </x:c>
      <x:c r="O1040" t="n">
        <x:v>10</x:v>
      </x:c>
      <x:c r="P1040" s="63" t="str">
        <x:f>IF(M1040=0,"—",M1040&amp;"d"&amp;N1040&amp;IF(O1040=0,""," + "&amp;O1040))</x:f>
        <x:v>4d6 + 10</x:v>
      </x:c>
      <x:c r="Q1040" t="n">
        <x:f>ROUND(INDEX(Catalogue!E$4:E$85,MATCH(A1040,Catalogue!A$4:A$85,0))*(1+'Paramètres'!$B$4*(C1040-1)+'Paramètres'!$B$5*(C1040-1)^2),0)</x:f>
        <x:v>14</x:v>
      </x:c>
      <x:c r="R1040" t="n">
        <x:f>ROUND(INDEX(Catalogue!F$4:F$85,MATCH(A1040,Catalogue!A$4:A$85,0))*(1+'Paramètres'!$B$4*(C1040-1)+'Paramètres'!$B$5*(C1040-1)^2),0)</x:f>
        <x:v>34</x:v>
      </x:c>
      <x:c r="S1040" t="n">
        <x:f>L1040-AVERAGE(Q1040:R1040)</x:f>
        <x:v>0</x:v>
      </x:c>
      <x:c r="T1040" t="str">
        <x:f>IF(M1040=0,IF(AND(N1040=0,O1040=0,E1040=0,F1040=0),"OK","ERREUR"),IF(AND(M1040&gt;=1,M1040&lt;=32,OR(N1040=4,N1040=6,N1040=8,N1040=10,N1040=12,N1040=20),O1040&gt;=0,E1040=M1040+O1040,F1040=M1040*N1040+O1040),"OK","ERREUR"))</x:f>
        <x:v>OK</x:v>
      </x:c>
      <x:c r="U1040" s="86" t="n">
        <x:f>IF(M1040&gt;0,M1040*(N1040+1)/2+O1040,0)</x:f>
        <x:v>24</x:v>
      </x:c>
      <x:c r="V1040" t="str">
        <x:f>IF(ABS(L1040-U1040)&lt;0.001,"OK","ERREUR")</x:f>
        <x:v>OK</x:v>
      </x:c>
    </x:row>
    <x:row r="1041" ht="18" customHeight="1">
      <x:c r="A1041" t="str">
        <x:v>ARM052</x:v>
      </x:c>
      <x:c r="B1041" t="str">
        <x:v>Fronde</x:v>
      </x:c>
      <x:c r="C1041" t="n">
        <x:v>18</x:v>
      </x:c>
      <x:c r="D1041" t="str">
        <x:v>Distance</x:v>
      </x:c>
      <x:c r="E1041" s="28" t="n">
        <x:f>IF(M1041=0,0,M1041+O1041)</x:f>
        <x:v>15</x:v>
      </x:c>
      <x:c r="F1041" s="28" t="n">
        <x:f>IF(M1041=0,0,M1041*N1041+O1041)</x:f>
        <x:v>37</x:v>
      </x:c>
      <x:c r="G1041" s="28" t="n">
        <x:f>ROUND(Catalogue!G55*SQRT((1+'Paramètres'!$B$4*(C1041-1)+'Paramètres'!$B$5*(C1041-1)^2)),0)</x:f>
        <x:v>0</x:v>
      </x:c>
      <x:c r="H1041" s="28" t="n">
        <x:f>ROUND(Catalogue!H55*SQRT((1+'Paramètres'!$B$4*(C1041-1)+'Paramètres'!$B$5*(C1041-1)^2)),0)</x:f>
        <x:v>0</x:v>
      </x:c>
      <x:c r="I1041" s="28" t="n">
        <x:v>2</x:v>
      </x:c>
      <x:c r="J1041" s="28" t="n">
        <x:v>4</x:v>
      </x:c>
      <x:c r="K1041" s="30" t="n">
        <x:v>0.4</x:v>
      </x:c>
      <x:c r="L1041" s="54" t="n">
        <x:f>IF(M1041=0,0,(E1041+F1041)/2)</x:f>
        <x:v>26</x:v>
      </x:c>
      <x:c r="M1041" t="n">
        <x:v>2</x:v>
      </x:c>
      <x:c r="N1041" t="n">
        <x:v>12</x:v>
      </x:c>
      <x:c r="O1041" t="n">
        <x:v>13</x:v>
      </x:c>
      <x:c r="P1041" s="63" t="str">
        <x:f>IF(M1041=0,"—",M1041&amp;"d"&amp;N1041&amp;IF(O1041=0,""," + "&amp;O1041))</x:f>
        <x:v>2d12 + 13</x:v>
      </x:c>
      <x:c r="Q1041" t="n">
        <x:f>ROUND(INDEX(Catalogue!E$4:E$85,MATCH(A1041,Catalogue!A$4:A$85,0))*(1+'Paramètres'!$B$4*(C1041-1)+'Paramètres'!$B$5*(C1041-1)^2),0)</x:f>
        <x:v>15</x:v>
      </x:c>
      <x:c r="R1041" t="n">
        <x:f>ROUND(INDEX(Catalogue!F$4:F$85,MATCH(A1041,Catalogue!A$4:A$85,0))*(1+'Paramètres'!$B$4*(C1041-1)+'Paramètres'!$B$5*(C1041-1)^2),0)</x:f>
        <x:v>37</x:v>
      </x:c>
      <x:c r="S1041" t="n">
        <x:f>L1041-AVERAGE(Q1041:R1041)</x:f>
        <x:v>0</x:v>
      </x:c>
      <x:c r="T1041" t="str">
        <x:f>IF(M1041=0,IF(AND(N1041=0,O1041=0,E1041=0,F1041=0),"OK","ERREUR"),IF(AND(M1041&gt;=1,M1041&lt;=32,OR(N1041=4,N1041=6,N1041=8,N1041=10,N1041=12,N1041=20),O1041&gt;=0,E1041=M1041+O1041,F1041=M1041*N1041+O1041),"OK","ERREUR"))</x:f>
        <x:v>OK</x:v>
      </x:c>
      <x:c r="U1041" s="86" t="n">
        <x:f>IF(M1041&gt;0,M1041*(N1041+1)/2+O1041,0)</x:f>
        <x:v>26</x:v>
      </x:c>
      <x:c r="V1041" t="str">
        <x:f>IF(ABS(L1041-U1041)&lt;0.001,"OK","ERREUR")</x:f>
        <x:v>OK</x:v>
      </x:c>
    </x:row>
    <x:row r="1042" ht="18" customHeight="1">
      <x:c r="A1042" t="str">
        <x:v>ARM052</x:v>
      </x:c>
      <x:c r="B1042" t="str">
        <x:v>Fronde</x:v>
      </x:c>
      <x:c r="C1042" t="n">
        <x:v>19</x:v>
      </x:c>
      <x:c r="D1042" t="str">
        <x:v>Distance</x:v>
      </x:c>
      <x:c r="E1042" s="28" t="n">
        <x:f>IF(M1042=0,0,M1042+O1042)</x:f>
        <x:v>16</x:v>
      </x:c>
      <x:c r="F1042" s="28" t="n">
        <x:f>IF(M1042=0,0,M1042*N1042+O1042)</x:f>
        <x:v>41</x:v>
      </x:c>
      <x:c r="G1042" s="28" t="n">
        <x:f>ROUND(Catalogue!G55*SQRT((1+'Paramètres'!$B$4*(C1042-1)+'Paramètres'!$B$5*(C1042-1)^2)),0)</x:f>
        <x:v>0</x:v>
      </x:c>
      <x:c r="H1042" s="28" t="n">
        <x:f>ROUND(Catalogue!H55*SQRT((1+'Paramètres'!$B$4*(C1042-1)+'Paramètres'!$B$5*(C1042-1)^2)),0)</x:f>
        <x:v>0</x:v>
      </x:c>
      <x:c r="I1042" s="28" t="n">
        <x:v>2</x:v>
      </x:c>
      <x:c r="J1042" s="28" t="n">
        <x:v>4</x:v>
      </x:c>
      <x:c r="K1042" s="30" t="n">
        <x:v>0.4</x:v>
      </x:c>
      <x:c r="L1042" s="54" t="n">
        <x:f>IF(M1042=0,0,(E1042+F1042)/2)</x:f>
        <x:v>28.5</x:v>
      </x:c>
      <x:c r="M1042" t="n">
        <x:v>5</x:v>
      </x:c>
      <x:c r="N1042" t="n">
        <x:v>6</x:v>
      </x:c>
      <x:c r="O1042" t="n">
        <x:v>11</x:v>
      </x:c>
      <x:c r="P1042" s="63" t="str">
        <x:f>IF(M1042=0,"—",M1042&amp;"d"&amp;N1042&amp;IF(O1042=0,""," + "&amp;O1042))</x:f>
        <x:v>5d6 + 11</x:v>
      </x:c>
      <x:c r="Q1042" t="n">
        <x:f>ROUND(INDEX(Catalogue!E$4:E$85,MATCH(A1042,Catalogue!A$4:A$85,0))*(1+'Paramètres'!$B$4*(C1042-1)+'Paramètres'!$B$5*(C1042-1)^2),0)</x:f>
        <x:v>16</x:v>
      </x:c>
      <x:c r="R1042" t="n">
        <x:f>ROUND(INDEX(Catalogue!F$4:F$85,MATCH(A1042,Catalogue!A$4:A$85,0))*(1+'Paramètres'!$B$4*(C1042-1)+'Paramètres'!$B$5*(C1042-1)^2),0)</x:f>
        <x:v>41</x:v>
      </x:c>
      <x:c r="S1042" t="n">
        <x:f>L1042-AVERAGE(Q1042:R1042)</x:f>
        <x:v>0</x:v>
      </x:c>
      <x:c r="T1042" t="str">
        <x:f>IF(M1042=0,IF(AND(N1042=0,O1042=0,E1042=0,F1042=0),"OK","ERREUR"),IF(AND(M1042&gt;=1,M1042&lt;=32,OR(N1042=4,N1042=6,N1042=8,N1042=10,N1042=12,N1042=20),O1042&gt;=0,E1042=M1042+O1042,F1042=M1042*N1042+O1042),"OK","ERREUR"))</x:f>
        <x:v>OK</x:v>
      </x:c>
      <x:c r="U1042" s="86" t="n">
        <x:f>IF(M1042&gt;0,M1042*(N1042+1)/2+O1042,0)</x:f>
        <x:v>28.5</x:v>
      </x:c>
      <x:c r="V1042" t="str">
        <x:f>IF(ABS(L1042-U1042)&lt;0.001,"OK","ERREUR")</x:f>
        <x:v>OK</x:v>
      </x:c>
    </x:row>
    <x:row r="1043" ht="18" customHeight="1">
      <x:c r="A1043" t="str">
        <x:v>ARM052</x:v>
      </x:c>
      <x:c r="B1043" t="str">
        <x:v>Fronde</x:v>
      </x:c>
      <x:c r="C1043" t="n">
        <x:v>20</x:v>
      </x:c>
      <x:c r="D1043" t="str">
        <x:v>Distance</x:v>
      </x:c>
      <x:c r="E1043" s="28" t="n">
        <x:f>IF(M1043=0,0,M1043+O1043)</x:f>
        <x:v>17</x:v>
      </x:c>
      <x:c r="F1043" s="28" t="n">
        <x:f>IF(M1043=0,0,M1043*N1043+O1043)</x:f>
        <x:v>44</x:v>
      </x:c>
      <x:c r="G1043" s="28" t="n">
        <x:f>ROUND(Catalogue!G55*SQRT((1+'Paramètres'!$B$4*(C1043-1)+'Paramètres'!$B$5*(C1043-1)^2)),0)</x:f>
        <x:v>0</x:v>
      </x:c>
      <x:c r="H1043" s="28" t="n">
        <x:f>ROUND(Catalogue!H55*SQRT((1+'Paramètres'!$B$4*(C1043-1)+'Paramètres'!$B$5*(C1043-1)^2)),0)</x:f>
        <x:v>0</x:v>
      </x:c>
      <x:c r="I1043" s="28" t="n">
        <x:v>2</x:v>
      </x:c>
      <x:c r="J1043" s="28" t="n">
        <x:v>4</x:v>
      </x:c>
      <x:c r="K1043" s="30" t="n">
        <x:v>0.4</x:v>
      </x:c>
      <x:c r="L1043" s="54" t="n">
        <x:f>IF(M1043=0,0,(E1043+F1043)/2)</x:f>
        <x:v>30.5</x:v>
      </x:c>
      <x:c r="M1043" t="n">
        <x:v>3</x:v>
      </x:c>
      <x:c r="N1043" t="n">
        <x:v>10</x:v>
      </x:c>
      <x:c r="O1043" t="n">
        <x:v>14</x:v>
      </x:c>
      <x:c r="P1043" s="63" t="str">
        <x:f>IF(M1043=0,"—",M1043&amp;"d"&amp;N1043&amp;IF(O1043=0,""," + "&amp;O1043))</x:f>
        <x:v>3d10 + 14</x:v>
      </x:c>
      <x:c r="Q1043" t="n">
        <x:f>ROUND(INDEX(Catalogue!E$4:E$85,MATCH(A1043,Catalogue!A$4:A$85,0))*(1+'Paramètres'!$B$4*(C1043-1)+'Paramètres'!$B$5*(C1043-1)^2),0)</x:f>
        <x:v>18</x:v>
      </x:c>
      <x:c r="R1043" t="n">
        <x:f>ROUND(INDEX(Catalogue!F$4:F$85,MATCH(A1043,Catalogue!A$4:A$85,0))*(1+'Paramètres'!$B$4*(C1043-1)+'Paramètres'!$B$5*(C1043-1)^2),0)</x:f>
        <x:v>44</x:v>
      </x:c>
      <x:c r="S1043" t="n">
        <x:f>L1043-AVERAGE(Q1043:R1043)</x:f>
        <x:v>-0.5</x:v>
      </x:c>
      <x:c r="T1043" t="str">
        <x:f>IF(M1043=0,IF(AND(N1043=0,O1043=0,E1043=0,F1043=0),"OK","ERREUR"),IF(AND(M1043&gt;=1,M1043&lt;=32,OR(N1043=4,N1043=6,N1043=8,N1043=10,N1043=12,N1043=20),O1043&gt;=0,E1043=M1043+O1043,F1043=M1043*N1043+O1043),"OK","ERREUR"))</x:f>
        <x:v>OK</x:v>
      </x:c>
      <x:c r="U1043" s="86" t="n">
        <x:f>IF(M1043&gt;0,M1043*(N1043+1)/2+O1043,0)</x:f>
        <x:v>30.5</x:v>
      </x:c>
      <x:c r="V1043" t="str">
        <x:f>IF(ABS(L1043-U1043)&lt;0.001,"OK","ERREUR")</x:f>
        <x:v>OK</x:v>
      </x:c>
    </x:row>
    <x:row r="1044" ht="18" customHeight="1">
      <x:c r="A1044" t="str">
        <x:v>ARM053</x:v>
      </x:c>
      <x:c r="B1044" t="str">
        <x:v>Sarbacane</x:v>
      </x:c>
      <x:c r="C1044" t="n">
        <x:v>1</x:v>
      </x:c>
      <x:c r="D1044" t="str">
        <x:v>Distance</x:v>
      </x:c>
      <x:c r="E1044" s="28" t="n">
        <x:f>IF(M1044=0,0,M1044+O1044)</x:f>
        <x:v>1</x:v>
      </x:c>
      <x:c r="F1044" s="28" t="n">
        <x:f>IF(M1044=0,0,M1044*N1044+O1044)</x:f>
        <x:v>4</x:v>
      </x:c>
      <x:c r="G1044" s="28" t="n">
        <x:f>ROUND(Catalogue!G56*SQRT((1+'Paramètres'!$B$4*(C1044-1)+'Paramètres'!$B$5*(C1044-1)^2)),0)</x:f>
        <x:v>0</x:v>
      </x:c>
      <x:c r="H1044" s="28" t="n">
        <x:f>ROUND(Catalogue!H56*SQRT((1+'Paramètres'!$B$4*(C1044-1)+'Paramètres'!$B$5*(C1044-1)^2)),0)</x:f>
        <x:v>0</x:v>
      </x:c>
      <x:c r="I1044" s="28" t="n">
        <x:v>2</x:v>
      </x:c>
      <x:c r="J1044" s="28" t="n">
        <x:v>3</x:v>
      </x:c>
      <x:c r="K1044" s="30" t="n">
        <x:v>0.5</x:v>
      </x:c>
      <x:c r="L1044" s="54" t="n">
        <x:f>IF(M1044=0,0,(E1044+F1044)/2)</x:f>
        <x:v>2.5</x:v>
      </x:c>
      <x:c r="M1044" t="n">
        <x:v>1</x:v>
      </x:c>
      <x:c r="N1044" t="n">
        <x:v>4</x:v>
      </x:c>
      <x:c r="O1044" t="n">
        <x:v>0</x:v>
      </x:c>
      <x:c r="P1044" s="63" t="str">
        <x:f>IF(M1044=0,"—",M1044&amp;"d"&amp;N1044&amp;IF(O1044=0,""," + "&amp;O1044))</x:f>
        <x:v>1d4</x:v>
      </x:c>
      <x:c r="Q1044" t="n">
        <x:f>ROUND(INDEX(Catalogue!E$4:E$85,MATCH(A1044,Catalogue!A$4:A$85,0))*(1+'Paramètres'!$B$4*(C1044-1)+'Paramètres'!$B$5*(C1044-1)^2),0)</x:f>
        <x:v>1</x:v>
      </x:c>
      <x:c r="R1044" t="n">
        <x:f>ROUND(INDEX(Catalogue!F$4:F$85,MATCH(A1044,Catalogue!A$4:A$85,0))*(1+'Paramètres'!$B$4*(C1044-1)+'Paramètres'!$B$5*(C1044-1)^2),0)</x:f>
        <x:v>3</x:v>
      </x:c>
      <x:c r="S1044" t="n">
        <x:f>L1044-AVERAGE(Q1044:R1044)</x:f>
        <x:v>0.5</x:v>
      </x:c>
      <x:c r="T1044" t="str">
        <x:f>IF(M1044=0,IF(AND(N1044=0,O1044=0,E1044=0,F1044=0),"OK","ERREUR"),IF(AND(M1044&gt;=1,M1044&lt;=32,OR(N1044=4,N1044=6,N1044=8,N1044=10,N1044=12,N1044=20),O1044&gt;=0,E1044=M1044+O1044,F1044=M1044*N1044+O1044),"OK","ERREUR"))</x:f>
        <x:v>OK</x:v>
      </x:c>
      <x:c r="U1044" s="86" t="n">
        <x:f>IF(M1044&gt;0,M1044*(N1044+1)/2+O1044,0)</x:f>
        <x:v>2.5</x:v>
      </x:c>
      <x:c r="V1044" t="str">
        <x:f>IF(ABS(L1044-U1044)&lt;0.001,"OK","ERREUR")</x:f>
        <x:v>OK</x:v>
      </x:c>
    </x:row>
    <x:row r="1045" ht="18" customHeight="1">
      <x:c r="A1045" t="str">
        <x:v>ARM053</x:v>
      </x:c>
      <x:c r="B1045" t="str">
        <x:v>Sarbacane</x:v>
      </x:c>
      <x:c r="C1045" t="n">
        <x:v>2</x:v>
      </x:c>
      <x:c r="D1045" t="str">
        <x:v>Distance</x:v>
      </x:c>
      <x:c r="E1045" s="28" t="n">
        <x:f>IF(M1045=0,0,M1045+O1045)</x:f>
        <x:v>1</x:v>
      </x:c>
      <x:c r="F1045" s="28" t="n">
        <x:f>IF(M1045=0,0,M1045*N1045+O1045)</x:f>
        <x:v>4</x:v>
      </x:c>
      <x:c r="G1045" s="28" t="n">
        <x:f>ROUND(Catalogue!G56*SQRT((1+'Paramètres'!$B$4*(C1045-1)+'Paramètres'!$B$5*(C1045-1)^2)),0)</x:f>
        <x:v>0</x:v>
      </x:c>
      <x:c r="H1045" s="28" t="n">
        <x:f>ROUND(Catalogue!H56*SQRT((1+'Paramètres'!$B$4*(C1045-1)+'Paramètres'!$B$5*(C1045-1)^2)),0)</x:f>
        <x:v>0</x:v>
      </x:c>
      <x:c r="I1045" s="28" t="n">
        <x:v>2</x:v>
      </x:c>
      <x:c r="J1045" s="28" t="n">
        <x:v>3</x:v>
      </x:c>
      <x:c r="K1045" s="30" t="n">
        <x:v>0.5</x:v>
      </x:c>
      <x:c r="L1045" s="54" t="n">
        <x:f>IF(M1045=0,0,(E1045+F1045)/2)</x:f>
        <x:v>2.5</x:v>
      </x:c>
      <x:c r="M1045" t="n">
        <x:v>1</x:v>
      </x:c>
      <x:c r="N1045" t="n">
        <x:v>4</x:v>
      </x:c>
      <x:c r="O1045" t="n">
        <x:v>0</x:v>
      </x:c>
      <x:c r="P1045" s="63" t="str">
        <x:f>IF(M1045=0,"—",M1045&amp;"d"&amp;N1045&amp;IF(O1045=0,""," + "&amp;O1045))</x:f>
        <x:v>1d4</x:v>
      </x:c>
      <x:c r="Q1045" t="n">
        <x:f>ROUND(INDEX(Catalogue!E$4:E$85,MATCH(A1045,Catalogue!A$4:A$85,0))*(1+'Paramètres'!$B$4*(C1045-1)+'Paramètres'!$B$5*(C1045-1)^2),0)</x:f>
        <x:v>1</x:v>
      </x:c>
      <x:c r="R1045" t="n">
        <x:f>ROUND(INDEX(Catalogue!F$4:F$85,MATCH(A1045,Catalogue!A$4:A$85,0))*(1+'Paramètres'!$B$4*(C1045-1)+'Paramètres'!$B$5*(C1045-1)^2),0)</x:f>
        <x:v>3</x:v>
      </x:c>
      <x:c r="S1045" t="n">
        <x:f>L1045-AVERAGE(Q1045:R1045)</x:f>
        <x:v>0.5</x:v>
      </x:c>
      <x:c r="T1045" t="str">
        <x:f>IF(M1045=0,IF(AND(N1045=0,O1045=0,E1045=0,F1045=0),"OK","ERREUR"),IF(AND(M1045&gt;=1,M1045&lt;=32,OR(N1045=4,N1045=6,N1045=8,N1045=10,N1045=12,N1045=20),O1045&gt;=0,E1045=M1045+O1045,F1045=M1045*N1045+O1045),"OK","ERREUR"))</x:f>
        <x:v>OK</x:v>
      </x:c>
      <x:c r="U1045" s="86" t="n">
        <x:f>IF(M1045&gt;0,M1045*(N1045+1)/2+O1045,0)</x:f>
        <x:v>2.5</x:v>
      </x:c>
      <x:c r="V1045" t="str">
        <x:f>IF(ABS(L1045-U1045)&lt;0.001,"OK","ERREUR")</x:f>
        <x:v>OK</x:v>
      </x:c>
    </x:row>
    <x:row r="1046" ht="18" customHeight="1">
      <x:c r="A1046" t="str">
        <x:v>ARM053</x:v>
      </x:c>
      <x:c r="B1046" t="str">
        <x:v>Sarbacane</x:v>
      </x:c>
      <x:c r="C1046" t="n">
        <x:v>3</x:v>
      </x:c>
      <x:c r="D1046" t="str">
        <x:v>Distance</x:v>
      </x:c>
      <x:c r="E1046" s="28" t="n">
        <x:f>IF(M1046=0,0,M1046+O1046)</x:f>
        <x:v>1</x:v>
      </x:c>
      <x:c r="F1046" s="28" t="n">
        <x:f>IF(M1046=0,0,M1046*N1046+O1046)</x:f>
        <x:v>4</x:v>
      </x:c>
      <x:c r="G1046" s="28" t="n">
        <x:f>ROUND(Catalogue!G56*SQRT((1+'Paramètres'!$B$4*(C1046-1)+'Paramètres'!$B$5*(C1046-1)^2)),0)</x:f>
        <x:v>0</x:v>
      </x:c>
      <x:c r="H1046" s="28" t="n">
        <x:f>ROUND(Catalogue!H56*SQRT((1+'Paramètres'!$B$4*(C1046-1)+'Paramètres'!$B$5*(C1046-1)^2)),0)</x:f>
        <x:v>0</x:v>
      </x:c>
      <x:c r="I1046" s="28" t="n">
        <x:v>2</x:v>
      </x:c>
      <x:c r="J1046" s="28" t="n">
        <x:v>3</x:v>
      </x:c>
      <x:c r="K1046" s="30" t="n">
        <x:v>0.5</x:v>
      </x:c>
      <x:c r="L1046" s="54" t="n">
        <x:f>IF(M1046=0,0,(E1046+F1046)/2)</x:f>
        <x:v>2.5</x:v>
      </x:c>
      <x:c r="M1046" t="n">
        <x:v>1</x:v>
      </x:c>
      <x:c r="N1046" t="n">
        <x:v>4</x:v>
      </x:c>
      <x:c r="O1046" t="n">
        <x:v>0</x:v>
      </x:c>
      <x:c r="P1046" s="63" t="str">
        <x:f>IF(M1046=0,"—",M1046&amp;"d"&amp;N1046&amp;IF(O1046=0,""," + "&amp;O1046))</x:f>
        <x:v>1d4</x:v>
      </x:c>
      <x:c r="Q1046" t="n">
        <x:f>ROUND(INDEX(Catalogue!E$4:E$85,MATCH(A1046,Catalogue!A$4:A$85,0))*(1+'Paramètres'!$B$4*(C1046-1)+'Paramètres'!$B$5*(C1046-1)^2),0)</x:f>
        <x:v>1</x:v>
      </x:c>
      <x:c r="R1046" t="n">
        <x:f>ROUND(INDEX(Catalogue!F$4:F$85,MATCH(A1046,Catalogue!A$4:A$85,0))*(1+'Paramètres'!$B$4*(C1046-1)+'Paramètres'!$B$5*(C1046-1)^2),0)</x:f>
        <x:v>4</x:v>
      </x:c>
      <x:c r="S1046" t="n">
        <x:f>L1046-AVERAGE(Q1046:R1046)</x:f>
        <x:v>0</x:v>
      </x:c>
      <x:c r="T1046" t="str">
        <x:f>IF(M1046=0,IF(AND(N1046=0,O1046=0,E1046=0,F1046=0),"OK","ERREUR"),IF(AND(M1046&gt;=1,M1046&lt;=32,OR(N1046=4,N1046=6,N1046=8,N1046=10,N1046=12,N1046=20),O1046&gt;=0,E1046=M1046+O1046,F1046=M1046*N1046+O1046),"OK","ERREUR"))</x:f>
        <x:v>OK</x:v>
      </x:c>
      <x:c r="U1046" s="86" t="n">
        <x:f>IF(M1046&gt;0,M1046*(N1046+1)/2+O1046,0)</x:f>
        <x:v>2.5</x:v>
      </x:c>
      <x:c r="V1046" t="str">
        <x:f>IF(ABS(L1046-U1046)&lt;0.001,"OK","ERREUR")</x:f>
        <x:v>OK</x:v>
      </x:c>
    </x:row>
    <x:row r="1047" ht="18" customHeight="1">
      <x:c r="A1047" t="str">
        <x:v>ARM053</x:v>
      </x:c>
      <x:c r="B1047" t="str">
        <x:v>Sarbacane</x:v>
      </x:c>
      <x:c r="C1047" t="n">
        <x:v>4</x:v>
      </x:c>
      <x:c r="D1047" t="str">
        <x:v>Distance</x:v>
      </x:c>
      <x:c r="E1047" s="28" t="n">
        <x:f>IF(M1047=0,0,M1047+O1047)</x:f>
        <x:v>1</x:v>
      </x:c>
      <x:c r="F1047" s="28" t="n">
        <x:f>IF(M1047=0,0,M1047*N1047+O1047)</x:f>
        <x:v>4</x:v>
      </x:c>
      <x:c r="G1047" s="28" t="n">
        <x:f>ROUND(Catalogue!G56*SQRT((1+'Paramètres'!$B$4*(C1047-1)+'Paramètres'!$B$5*(C1047-1)^2)),0)</x:f>
        <x:v>0</x:v>
      </x:c>
      <x:c r="H1047" s="28" t="n">
        <x:f>ROUND(Catalogue!H56*SQRT((1+'Paramètres'!$B$4*(C1047-1)+'Paramètres'!$B$5*(C1047-1)^2)),0)</x:f>
        <x:v>0</x:v>
      </x:c>
      <x:c r="I1047" s="28" t="n">
        <x:v>2</x:v>
      </x:c>
      <x:c r="J1047" s="28" t="n">
        <x:v>3</x:v>
      </x:c>
      <x:c r="K1047" s="30" t="n">
        <x:v>0.5</x:v>
      </x:c>
      <x:c r="L1047" s="54" t="n">
        <x:f>IF(M1047=0,0,(E1047+F1047)/2)</x:f>
        <x:v>2.5</x:v>
      </x:c>
      <x:c r="M1047" t="n">
        <x:v>1</x:v>
      </x:c>
      <x:c r="N1047" t="n">
        <x:v>4</x:v>
      </x:c>
      <x:c r="O1047" t="n">
        <x:v>0</x:v>
      </x:c>
      <x:c r="P1047" s="63" t="str">
        <x:f>IF(M1047=0,"—",M1047&amp;"d"&amp;N1047&amp;IF(O1047=0,""," + "&amp;O1047))</x:f>
        <x:v>1d4</x:v>
      </x:c>
      <x:c r="Q1047" t="n">
        <x:f>ROUND(INDEX(Catalogue!E$4:E$85,MATCH(A1047,Catalogue!A$4:A$85,0))*(1+'Paramètres'!$B$4*(C1047-1)+'Paramètres'!$B$5*(C1047-1)^2),0)</x:f>
        <x:v>1</x:v>
      </x:c>
      <x:c r="R1047" t="n">
        <x:f>ROUND(INDEX(Catalogue!F$4:F$85,MATCH(A1047,Catalogue!A$4:A$85,0))*(1+'Paramètres'!$B$4*(C1047-1)+'Paramètres'!$B$5*(C1047-1)^2),0)</x:f>
        <x:v>4</x:v>
      </x:c>
      <x:c r="S1047" t="n">
        <x:f>L1047-AVERAGE(Q1047:R1047)</x:f>
        <x:v>0</x:v>
      </x:c>
      <x:c r="T1047" t="str">
        <x:f>IF(M1047=0,IF(AND(N1047=0,O1047=0,E1047=0,F1047=0),"OK","ERREUR"),IF(AND(M1047&gt;=1,M1047&lt;=32,OR(N1047=4,N1047=6,N1047=8,N1047=10,N1047=12,N1047=20),O1047&gt;=0,E1047=M1047+O1047,F1047=M1047*N1047+O1047),"OK","ERREUR"))</x:f>
        <x:v>OK</x:v>
      </x:c>
      <x:c r="U1047" s="86" t="n">
        <x:f>IF(M1047&gt;0,M1047*(N1047+1)/2+O1047,0)</x:f>
        <x:v>2.5</x:v>
      </x:c>
      <x:c r="V1047" t="str">
        <x:f>IF(ABS(L1047-U1047)&lt;0.001,"OK","ERREUR")</x:f>
        <x:v>OK</x:v>
      </x:c>
    </x:row>
    <x:row r="1048" ht="18" customHeight="1">
      <x:c r="A1048" t="str">
        <x:v>ARM053</x:v>
      </x:c>
      <x:c r="B1048" t="str">
        <x:v>Sarbacane</x:v>
      </x:c>
      <x:c r="C1048" t="n">
        <x:v>5</x:v>
      </x:c>
      <x:c r="D1048" t="str">
        <x:v>Distance</x:v>
      </x:c>
      <x:c r="E1048" s="28" t="n">
        <x:f>IF(M1048=0,0,M1048+O1048)</x:f>
        <x:v>2</x:v>
      </x:c>
      <x:c r="F1048" s="28" t="n">
        <x:f>IF(M1048=0,0,M1048*N1048+O1048)</x:f>
        <x:v>5</x:v>
      </x:c>
      <x:c r="G1048" s="28" t="n">
        <x:f>ROUND(Catalogue!G56*SQRT((1+'Paramètres'!$B$4*(C1048-1)+'Paramètres'!$B$5*(C1048-1)^2)),0)</x:f>
        <x:v>0</x:v>
      </x:c>
      <x:c r="H1048" s="28" t="n">
        <x:f>ROUND(Catalogue!H56*SQRT((1+'Paramètres'!$B$4*(C1048-1)+'Paramètres'!$B$5*(C1048-1)^2)),0)</x:f>
        <x:v>0</x:v>
      </x:c>
      <x:c r="I1048" s="28" t="n">
        <x:v>2</x:v>
      </x:c>
      <x:c r="J1048" s="28" t="n">
        <x:v>3</x:v>
      </x:c>
      <x:c r="K1048" s="30" t="n">
        <x:v>0.5</x:v>
      </x:c>
      <x:c r="L1048" s="54" t="n">
        <x:f>IF(M1048=0,0,(E1048+F1048)/2)</x:f>
        <x:v>3.5</x:v>
      </x:c>
      <x:c r="M1048" t="n">
        <x:v>1</x:v>
      </x:c>
      <x:c r="N1048" t="n">
        <x:v>4</x:v>
      </x:c>
      <x:c r="O1048" t="n">
        <x:v>1</x:v>
      </x:c>
      <x:c r="P1048" s="63" t="str">
        <x:f>IF(M1048=0,"—",M1048&amp;"d"&amp;N1048&amp;IF(O1048=0,""," + "&amp;O1048))</x:f>
        <x:v>1d4 + 1</x:v>
      </x:c>
      <x:c r="Q1048" t="n">
        <x:f>ROUND(INDEX(Catalogue!E$4:E$85,MATCH(A1048,Catalogue!A$4:A$85,0))*(1+'Paramètres'!$B$4*(C1048-1)+'Paramètres'!$B$5*(C1048-1)^2),0)</x:f>
        <x:v>2</x:v>
      </x:c>
      <x:c r="R1048" t="n">
        <x:f>ROUND(INDEX(Catalogue!F$4:F$85,MATCH(A1048,Catalogue!A$4:A$85,0))*(1+'Paramètres'!$B$4*(C1048-1)+'Paramètres'!$B$5*(C1048-1)^2),0)</x:f>
        <x:v>5</x:v>
      </x:c>
      <x:c r="S1048" t="n">
        <x:f>L1048-AVERAGE(Q1048:R1048)</x:f>
        <x:v>0</x:v>
      </x:c>
      <x:c r="T1048" t="str">
        <x:f>IF(M1048=0,IF(AND(N1048=0,O1048=0,E1048=0,F1048=0),"OK","ERREUR"),IF(AND(M1048&gt;=1,M1048&lt;=32,OR(N1048=4,N1048=6,N1048=8,N1048=10,N1048=12,N1048=20),O1048&gt;=0,E1048=M1048+O1048,F1048=M1048*N1048+O1048),"OK","ERREUR"))</x:f>
        <x:v>OK</x:v>
      </x:c>
      <x:c r="U1048" s="86" t="n">
        <x:f>IF(M1048&gt;0,M1048*(N1048+1)/2+O1048,0)</x:f>
        <x:v>3.5</x:v>
      </x:c>
      <x:c r="V1048" t="str">
        <x:f>IF(ABS(L1048-U1048)&lt;0.001,"OK","ERREUR")</x:f>
        <x:v>OK</x:v>
      </x:c>
    </x:row>
    <x:row r="1049" ht="18" customHeight="1">
      <x:c r="A1049" t="str">
        <x:v>ARM053</x:v>
      </x:c>
      <x:c r="B1049" t="str">
        <x:v>Sarbacane</x:v>
      </x:c>
      <x:c r="C1049" t="n">
        <x:v>6</x:v>
      </x:c>
      <x:c r="D1049" t="str">
        <x:v>Distance</x:v>
      </x:c>
      <x:c r="E1049" s="28" t="n">
        <x:f>IF(M1049=0,0,M1049+O1049)</x:f>
        <x:v>2</x:v>
      </x:c>
      <x:c r="F1049" s="28" t="n">
        <x:f>IF(M1049=0,0,M1049*N1049+O1049)</x:f>
        <x:v>5</x:v>
      </x:c>
      <x:c r="G1049" s="28" t="n">
        <x:f>ROUND(Catalogue!G56*SQRT((1+'Paramètres'!$B$4*(C1049-1)+'Paramètres'!$B$5*(C1049-1)^2)),0)</x:f>
        <x:v>0</x:v>
      </x:c>
      <x:c r="H1049" s="28" t="n">
        <x:f>ROUND(Catalogue!H56*SQRT((1+'Paramètres'!$B$4*(C1049-1)+'Paramètres'!$B$5*(C1049-1)^2)),0)</x:f>
        <x:v>0</x:v>
      </x:c>
      <x:c r="I1049" s="28" t="n">
        <x:v>2</x:v>
      </x:c>
      <x:c r="J1049" s="28" t="n">
        <x:v>3</x:v>
      </x:c>
      <x:c r="K1049" s="30" t="n">
        <x:v>0.5</x:v>
      </x:c>
      <x:c r="L1049" s="54" t="n">
        <x:f>IF(M1049=0,0,(E1049+F1049)/2)</x:f>
        <x:v>3.5</x:v>
      </x:c>
      <x:c r="M1049" t="n">
        <x:v>1</x:v>
      </x:c>
      <x:c r="N1049" t="n">
        <x:v>4</x:v>
      </x:c>
      <x:c r="O1049" t="n">
        <x:v>1</x:v>
      </x:c>
      <x:c r="P1049" s="63" t="str">
        <x:f>IF(M1049=0,"—",M1049&amp;"d"&amp;N1049&amp;IF(O1049=0,""," + "&amp;O1049))</x:f>
        <x:v>1d4 + 1</x:v>
      </x:c>
      <x:c r="Q1049" t="n">
        <x:f>ROUND(INDEX(Catalogue!E$4:E$85,MATCH(A1049,Catalogue!A$4:A$85,0))*(1+'Paramètres'!$B$4*(C1049-1)+'Paramètres'!$B$5*(C1049-1)^2),0)</x:f>
        <x:v>2</x:v>
      </x:c>
      <x:c r="R1049" t="n">
        <x:f>ROUND(INDEX(Catalogue!F$4:F$85,MATCH(A1049,Catalogue!A$4:A$85,0))*(1+'Paramètres'!$B$4*(C1049-1)+'Paramètres'!$B$5*(C1049-1)^2),0)</x:f>
        <x:v>6</x:v>
      </x:c>
      <x:c r="S1049" t="n">
        <x:f>L1049-AVERAGE(Q1049:R1049)</x:f>
        <x:v>-0.5</x:v>
      </x:c>
      <x:c r="T1049" t="str">
        <x:f>IF(M1049=0,IF(AND(N1049=0,O1049=0,E1049=0,F1049=0),"OK","ERREUR"),IF(AND(M1049&gt;=1,M1049&lt;=32,OR(N1049=4,N1049=6,N1049=8,N1049=10,N1049=12,N1049=20),O1049&gt;=0,E1049=M1049+O1049,F1049=M1049*N1049+O1049),"OK","ERREUR"))</x:f>
        <x:v>OK</x:v>
      </x:c>
      <x:c r="U1049" s="86" t="n">
        <x:f>IF(M1049&gt;0,M1049*(N1049+1)/2+O1049,0)</x:f>
        <x:v>3.5</x:v>
      </x:c>
      <x:c r="V1049" t="str">
        <x:f>IF(ABS(L1049-U1049)&lt;0.001,"OK","ERREUR")</x:f>
        <x:v>OK</x:v>
      </x:c>
    </x:row>
    <x:row r="1050" ht="18" customHeight="1">
      <x:c r="A1050" t="str">
        <x:v>ARM053</x:v>
      </x:c>
      <x:c r="B1050" t="str">
        <x:v>Sarbacane</x:v>
      </x:c>
      <x:c r="C1050" t="n">
        <x:v>7</x:v>
      </x:c>
      <x:c r="D1050" t="str">
        <x:v>Distance</x:v>
      </x:c>
      <x:c r="E1050" s="28" t="n">
        <x:f>IF(M1050=0,0,M1050+O1050)</x:f>
        <x:v>2</x:v>
      </x:c>
      <x:c r="F1050" s="28" t="n">
        <x:f>IF(M1050=0,0,M1050*N1050+O1050)</x:f>
        <x:v>7</x:v>
      </x:c>
      <x:c r="G1050" s="28" t="n">
        <x:f>ROUND(Catalogue!G56*SQRT((1+'Paramètres'!$B$4*(C1050-1)+'Paramètres'!$B$5*(C1050-1)^2)),0)</x:f>
        <x:v>0</x:v>
      </x:c>
      <x:c r="H1050" s="28" t="n">
        <x:f>ROUND(Catalogue!H56*SQRT((1+'Paramètres'!$B$4*(C1050-1)+'Paramètres'!$B$5*(C1050-1)^2)),0)</x:f>
        <x:v>0</x:v>
      </x:c>
      <x:c r="I1050" s="28" t="n">
        <x:v>2</x:v>
      </x:c>
      <x:c r="J1050" s="28" t="n">
        <x:v>3</x:v>
      </x:c>
      <x:c r="K1050" s="30" t="n">
        <x:v>0.5</x:v>
      </x:c>
      <x:c r="L1050" s="54" t="n">
        <x:f>IF(M1050=0,0,(E1050+F1050)/2)</x:f>
        <x:v>4.5</x:v>
      </x:c>
      <x:c r="M1050" t="n">
        <x:v>1</x:v>
      </x:c>
      <x:c r="N1050" t="n">
        <x:v>6</x:v>
      </x:c>
      <x:c r="O1050" t="n">
        <x:v>1</x:v>
      </x:c>
      <x:c r="P1050" s="63" t="str">
        <x:f>IF(M1050=0,"—",M1050&amp;"d"&amp;N1050&amp;IF(O1050=0,""," + "&amp;O1050))</x:f>
        <x:v>1d6 + 1</x:v>
      </x:c>
      <x:c r="Q1050" t="n">
        <x:f>ROUND(INDEX(Catalogue!E$4:E$85,MATCH(A1050,Catalogue!A$4:A$85,0))*(1+'Paramètres'!$B$4*(C1050-1)+'Paramètres'!$B$5*(C1050-1)^2),0)</x:f>
        <x:v>2</x:v>
      </x:c>
      <x:c r="R1050" t="n">
        <x:f>ROUND(INDEX(Catalogue!F$4:F$85,MATCH(A1050,Catalogue!A$4:A$85,0))*(1+'Paramètres'!$B$4*(C1050-1)+'Paramètres'!$B$5*(C1050-1)^2),0)</x:f>
        <x:v>7</x:v>
      </x:c>
      <x:c r="S1050" t="n">
        <x:f>L1050-AVERAGE(Q1050:R1050)</x:f>
        <x:v>0</x:v>
      </x:c>
      <x:c r="T1050" t="str">
        <x:f>IF(M1050=0,IF(AND(N1050=0,O1050=0,E1050=0,F1050=0),"OK","ERREUR"),IF(AND(M1050&gt;=1,M1050&lt;=32,OR(N1050=4,N1050=6,N1050=8,N1050=10,N1050=12,N1050=20),O1050&gt;=0,E1050=M1050+O1050,F1050=M1050*N1050+O1050),"OK","ERREUR"))</x:f>
        <x:v>OK</x:v>
      </x:c>
      <x:c r="U1050" s="86" t="n">
        <x:f>IF(M1050&gt;0,M1050*(N1050+1)/2+O1050,0)</x:f>
        <x:v>4.5</x:v>
      </x:c>
      <x:c r="V1050" t="str">
        <x:f>IF(ABS(L1050-U1050)&lt;0.001,"OK","ERREUR")</x:f>
        <x:v>OK</x:v>
      </x:c>
    </x:row>
    <x:row r="1051" ht="18" customHeight="1">
      <x:c r="A1051" t="str">
        <x:v>ARM053</x:v>
      </x:c>
      <x:c r="B1051" t="str">
        <x:v>Sarbacane</x:v>
      </x:c>
      <x:c r="C1051" t="n">
        <x:v>8</x:v>
      </x:c>
      <x:c r="D1051" t="str">
        <x:v>Distance</x:v>
      </x:c>
      <x:c r="E1051" s="28" t="n">
        <x:f>IF(M1051=0,0,M1051+O1051)</x:f>
        <x:v>3</x:v>
      </x:c>
      <x:c r="F1051" s="28" t="n">
        <x:f>IF(M1051=0,0,M1051*N1051+O1051)</x:f>
        <x:v>8</x:v>
      </x:c>
      <x:c r="G1051" s="28" t="n">
        <x:f>ROUND(Catalogue!G56*SQRT((1+'Paramètres'!$B$4*(C1051-1)+'Paramètres'!$B$5*(C1051-1)^2)),0)</x:f>
        <x:v>0</x:v>
      </x:c>
      <x:c r="H1051" s="28" t="n">
        <x:f>ROUND(Catalogue!H56*SQRT((1+'Paramètres'!$B$4*(C1051-1)+'Paramètres'!$B$5*(C1051-1)^2)),0)</x:f>
        <x:v>0</x:v>
      </x:c>
      <x:c r="I1051" s="28" t="n">
        <x:v>2</x:v>
      </x:c>
      <x:c r="J1051" s="28" t="n">
        <x:v>3</x:v>
      </x:c>
      <x:c r="K1051" s="30" t="n">
        <x:v>0.5</x:v>
      </x:c>
      <x:c r="L1051" s="54" t="n">
        <x:f>IF(M1051=0,0,(E1051+F1051)/2)</x:f>
        <x:v>5.5</x:v>
      </x:c>
      <x:c r="M1051" t="n">
        <x:v>1</x:v>
      </x:c>
      <x:c r="N1051" t="n">
        <x:v>6</x:v>
      </x:c>
      <x:c r="O1051" t="n">
        <x:v>2</x:v>
      </x:c>
      <x:c r="P1051" s="63" t="str">
        <x:f>IF(M1051=0,"—",M1051&amp;"d"&amp;N1051&amp;IF(O1051=0,""," + "&amp;O1051))</x:f>
        <x:v>1d6 + 2</x:v>
      </x:c>
      <x:c r="Q1051" t="n">
        <x:f>ROUND(INDEX(Catalogue!E$4:E$85,MATCH(A1051,Catalogue!A$4:A$85,0))*(1+'Paramètres'!$B$4*(C1051-1)+'Paramètres'!$B$5*(C1051-1)^2),0)</x:f>
        <x:v>3</x:v>
      </x:c>
      <x:c r="R1051" t="n">
        <x:f>ROUND(INDEX(Catalogue!F$4:F$85,MATCH(A1051,Catalogue!A$4:A$85,0))*(1+'Paramètres'!$B$4*(C1051-1)+'Paramètres'!$B$5*(C1051-1)^2),0)</x:f>
        <x:v>8</x:v>
      </x:c>
      <x:c r="S1051" t="n">
        <x:f>L1051-AVERAGE(Q1051:R1051)</x:f>
        <x:v>0</x:v>
      </x:c>
      <x:c r="T1051" t="str">
        <x:f>IF(M1051=0,IF(AND(N1051=0,O1051=0,E1051=0,F1051=0),"OK","ERREUR"),IF(AND(M1051&gt;=1,M1051&lt;=32,OR(N1051=4,N1051=6,N1051=8,N1051=10,N1051=12,N1051=20),O1051&gt;=0,E1051=M1051+O1051,F1051=M1051*N1051+O1051),"OK","ERREUR"))</x:f>
        <x:v>OK</x:v>
      </x:c>
      <x:c r="U1051" s="86" t="n">
        <x:f>IF(M1051&gt;0,M1051*(N1051+1)/2+O1051,0)</x:f>
        <x:v>5.5</x:v>
      </x:c>
      <x:c r="V1051" t="str">
        <x:f>IF(ABS(L1051-U1051)&lt;0.001,"OK","ERREUR")</x:f>
        <x:v>OK</x:v>
      </x:c>
    </x:row>
    <x:row r="1052" ht="18" customHeight="1">
      <x:c r="A1052" t="str">
        <x:v>ARM053</x:v>
      </x:c>
      <x:c r="B1052" t="str">
        <x:v>Sarbacane</x:v>
      </x:c>
      <x:c r="C1052" t="n">
        <x:v>9</x:v>
      </x:c>
      <x:c r="D1052" t="str">
        <x:v>Distance</x:v>
      </x:c>
      <x:c r="E1052" s="28" t="n">
        <x:f>IF(M1052=0,0,M1052+O1052)</x:f>
        <x:v>3</x:v>
      </x:c>
      <x:c r="F1052" s="28" t="n">
        <x:f>IF(M1052=0,0,M1052*N1052+O1052)</x:f>
        <x:v>9</x:v>
      </x:c>
      <x:c r="G1052" s="28" t="n">
        <x:f>ROUND(Catalogue!G56*SQRT((1+'Paramètres'!$B$4*(C1052-1)+'Paramètres'!$B$5*(C1052-1)^2)),0)</x:f>
        <x:v>0</x:v>
      </x:c>
      <x:c r="H1052" s="28" t="n">
        <x:f>ROUND(Catalogue!H56*SQRT((1+'Paramètres'!$B$4*(C1052-1)+'Paramètres'!$B$5*(C1052-1)^2)),0)</x:f>
        <x:v>0</x:v>
      </x:c>
      <x:c r="I1052" s="28" t="n">
        <x:v>2</x:v>
      </x:c>
      <x:c r="J1052" s="28" t="n">
        <x:v>3</x:v>
      </x:c>
      <x:c r="K1052" s="30" t="n">
        <x:v>0.5</x:v>
      </x:c>
      <x:c r="L1052" s="54" t="n">
        <x:f>IF(M1052=0,0,(E1052+F1052)/2)</x:f>
        <x:v>6</x:v>
      </x:c>
      <x:c r="M1052" t="n">
        <x:v>2</x:v>
      </x:c>
      <x:c r="N1052" t="n">
        <x:v>4</x:v>
      </x:c>
      <x:c r="O1052" t="n">
        <x:v>1</x:v>
      </x:c>
      <x:c r="P1052" s="63" t="str">
        <x:f>IF(M1052=0,"—",M1052&amp;"d"&amp;N1052&amp;IF(O1052=0,""," + "&amp;O1052))</x:f>
        <x:v>2d4 + 1</x:v>
      </x:c>
      <x:c r="Q1052" t="n">
        <x:f>ROUND(INDEX(Catalogue!E$4:E$85,MATCH(A1052,Catalogue!A$4:A$85,0))*(1+'Paramètres'!$B$4*(C1052-1)+'Paramètres'!$B$5*(C1052-1)^2),0)</x:f>
        <x:v>3</x:v>
      </x:c>
      <x:c r="R1052" t="n">
        <x:f>ROUND(INDEX(Catalogue!F$4:F$85,MATCH(A1052,Catalogue!A$4:A$85,0))*(1+'Paramètres'!$B$4*(C1052-1)+'Paramètres'!$B$5*(C1052-1)^2),0)</x:f>
        <x:v>9</x:v>
      </x:c>
      <x:c r="S1052" t="n">
        <x:f>L1052-AVERAGE(Q1052:R1052)</x:f>
        <x:v>0</x:v>
      </x:c>
      <x:c r="T1052" t="str">
        <x:f>IF(M1052=0,IF(AND(N1052=0,O1052=0,E1052=0,F1052=0),"OK","ERREUR"),IF(AND(M1052&gt;=1,M1052&lt;=32,OR(N1052=4,N1052=6,N1052=8,N1052=10,N1052=12,N1052=20),O1052&gt;=0,E1052=M1052+O1052,F1052=M1052*N1052+O1052),"OK","ERREUR"))</x:f>
        <x:v>OK</x:v>
      </x:c>
      <x:c r="U1052" s="86" t="n">
        <x:f>IF(M1052&gt;0,M1052*(N1052+1)/2+O1052,0)</x:f>
        <x:v>6</x:v>
      </x:c>
      <x:c r="V1052" t="str">
        <x:f>IF(ABS(L1052-U1052)&lt;0.001,"OK","ERREUR")</x:f>
        <x:v>OK</x:v>
      </x:c>
    </x:row>
    <x:row r="1053" ht="18" customHeight="1">
      <x:c r="A1053" t="str">
        <x:v>ARM053</x:v>
      </x:c>
      <x:c r="B1053" t="str">
        <x:v>Sarbacane</x:v>
      </x:c>
      <x:c r="C1053" t="n">
        <x:v>10</x:v>
      </x:c>
      <x:c r="D1053" t="str">
        <x:v>Distance</x:v>
      </x:c>
      <x:c r="E1053" s="28" t="n">
        <x:f>IF(M1053=0,0,M1053+O1053)</x:f>
        <x:v>3</x:v>
      </x:c>
      <x:c r="F1053" s="28" t="n">
        <x:f>IF(M1053=0,0,M1053*N1053+O1053)</x:f>
        <x:v>10</x:v>
      </x:c>
      <x:c r="G1053" s="28" t="n">
        <x:f>ROUND(Catalogue!G56*SQRT((1+'Paramètres'!$B$4*(C1053-1)+'Paramètres'!$B$5*(C1053-1)^2)),0)</x:f>
        <x:v>0</x:v>
      </x:c>
      <x:c r="H1053" s="28" t="n">
        <x:f>ROUND(Catalogue!H56*SQRT((1+'Paramètres'!$B$4*(C1053-1)+'Paramètres'!$B$5*(C1053-1)^2)),0)</x:f>
        <x:v>0</x:v>
      </x:c>
      <x:c r="I1053" s="28" t="n">
        <x:v>2</x:v>
      </x:c>
      <x:c r="J1053" s="28" t="n">
        <x:v>3</x:v>
      </x:c>
      <x:c r="K1053" s="30" t="n">
        <x:v>0.5</x:v>
      </x:c>
      <x:c r="L1053" s="54" t="n">
        <x:f>IF(M1053=0,0,(E1053+F1053)/2)</x:f>
        <x:v>6.5</x:v>
      </x:c>
      <x:c r="M1053" t="n">
        <x:v>1</x:v>
      </x:c>
      <x:c r="N1053" t="n">
        <x:v>8</x:v>
      </x:c>
      <x:c r="O1053" t="n">
        <x:v>2</x:v>
      </x:c>
      <x:c r="P1053" s="63" t="str">
        <x:f>IF(M1053=0,"—",M1053&amp;"d"&amp;N1053&amp;IF(O1053=0,""," + "&amp;O1053))</x:f>
        <x:v>1d8 + 2</x:v>
      </x:c>
      <x:c r="Q1053" t="n">
        <x:f>ROUND(INDEX(Catalogue!E$4:E$85,MATCH(A1053,Catalogue!A$4:A$85,0))*(1+'Paramètres'!$B$4*(C1053-1)+'Paramètres'!$B$5*(C1053-1)^2),0)</x:f>
        <x:v>3</x:v>
      </x:c>
      <x:c r="R1053" t="n">
        <x:f>ROUND(INDEX(Catalogue!F$4:F$85,MATCH(A1053,Catalogue!A$4:A$85,0))*(1+'Paramètres'!$B$4*(C1053-1)+'Paramètres'!$B$5*(C1053-1)^2),0)</x:f>
        <x:v>10</x:v>
      </x:c>
      <x:c r="S1053" t="n">
        <x:f>L1053-AVERAGE(Q1053:R1053)</x:f>
        <x:v>0</x:v>
      </x:c>
      <x:c r="T1053" t="str">
        <x:f>IF(M1053=0,IF(AND(N1053=0,O1053=0,E1053=0,F1053=0),"OK","ERREUR"),IF(AND(M1053&gt;=1,M1053&lt;=32,OR(N1053=4,N1053=6,N1053=8,N1053=10,N1053=12,N1053=20),O1053&gt;=0,E1053=M1053+O1053,F1053=M1053*N1053+O1053),"OK","ERREUR"))</x:f>
        <x:v>OK</x:v>
      </x:c>
      <x:c r="U1053" s="86" t="n">
        <x:f>IF(M1053&gt;0,M1053*(N1053+1)/2+O1053,0)</x:f>
        <x:v>6.5</x:v>
      </x:c>
      <x:c r="V1053" t="str">
        <x:f>IF(ABS(L1053-U1053)&lt;0.001,"OK","ERREUR")</x:f>
        <x:v>OK</x:v>
      </x:c>
    </x:row>
    <x:row r="1054" ht="18" customHeight="1">
      <x:c r="A1054" t="str">
        <x:v>ARM053</x:v>
      </x:c>
      <x:c r="B1054" t="str">
        <x:v>Sarbacane</x:v>
      </x:c>
      <x:c r="C1054" t="n">
        <x:v>11</x:v>
      </x:c>
      <x:c r="D1054" t="str">
        <x:v>Distance</x:v>
      </x:c>
      <x:c r="E1054" s="28" t="n">
        <x:f>IF(M1054=0,0,M1054+O1054)</x:f>
        <x:v>4</x:v>
      </x:c>
      <x:c r="F1054" s="28" t="n">
        <x:f>IF(M1054=0,0,M1054*N1054+O1054)</x:f>
        <x:v>11</x:v>
      </x:c>
      <x:c r="G1054" s="28" t="n">
        <x:f>ROUND(Catalogue!G56*SQRT((1+'Paramètres'!$B$4*(C1054-1)+'Paramètres'!$B$5*(C1054-1)^2)),0)</x:f>
        <x:v>0</x:v>
      </x:c>
      <x:c r="H1054" s="28" t="n">
        <x:f>ROUND(Catalogue!H56*SQRT((1+'Paramètres'!$B$4*(C1054-1)+'Paramètres'!$B$5*(C1054-1)^2)),0)</x:f>
        <x:v>0</x:v>
      </x:c>
      <x:c r="I1054" s="28" t="n">
        <x:v>2</x:v>
      </x:c>
      <x:c r="J1054" s="28" t="n">
        <x:v>3</x:v>
      </x:c>
      <x:c r="K1054" s="30" t="n">
        <x:v>0.5</x:v>
      </x:c>
      <x:c r="L1054" s="54" t="n">
        <x:f>IF(M1054=0,0,(E1054+F1054)/2)</x:f>
        <x:v>7.5</x:v>
      </x:c>
      <x:c r="M1054" t="n">
        <x:v>1</x:v>
      </x:c>
      <x:c r="N1054" t="n">
        <x:v>8</x:v>
      </x:c>
      <x:c r="O1054" t="n">
        <x:v>3</x:v>
      </x:c>
      <x:c r="P1054" s="63" t="str">
        <x:f>IF(M1054=0,"—",M1054&amp;"d"&amp;N1054&amp;IF(O1054=0,""," + "&amp;O1054))</x:f>
        <x:v>1d8 + 3</x:v>
      </x:c>
      <x:c r="Q1054" t="n">
        <x:f>ROUND(INDEX(Catalogue!E$4:E$85,MATCH(A1054,Catalogue!A$4:A$85,0))*(1+'Paramètres'!$B$4*(C1054-1)+'Paramètres'!$B$5*(C1054-1)^2),0)</x:f>
        <x:v>4</x:v>
      </x:c>
      <x:c r="R1054" t="n">
        <x:f>ROUND(INDEX(Catalogue!F$4:F$85,MATCH(A1054,Catalogue!A$4:A$85,0))*(1+'Paramètres'!$B$4*(C1054-1)+'Paramètres'!$B$5*(C1054-1)^2),0)</x:f>
        <x:v>11</x:v>
      </x:c>
      <x:c r="S1054" t="n">
        <x:f>L1054-AVERAGE(Q1054:R1054)</x:f>
        <x:v>0</x:v>
      </x:c>
      <x:c r="T1054" t="str">
        <x:f>IF(M1054=0,IF(AND(N1054=0,O1054=0,E1054=0,F1054=0),"OK","ERREUR"),IF(AND(M1054&gt;=1,M1054&lt;=32,OR(N1054=4,N1054=6,N1054=8,N1054=10,N1054=12,N1054=20),O1054&gt;=0,E1054=M1054+O1054,F1054=M1054*N1054+O1054),"OK","ERREUR"))</x:f>
        <x:v>OK</x:v>
      </x:c>
      <x:c r="U1054" s="86" t="n">
        <x:f>IF(M1054&gt;0,M1054*(N1054+1)/2+O1054,0)</x:f>
        <x:v>7.5</x:v>
      </x:c>
      <x:c r="V1054" t="str">
        <x:f>IF(ABS(L1054-U1054)&lt;0.001,"OK","ERREUR")</x:f>
        <x:v>OK</x:v>
      </x:c>
    </x:row>
    <x:row r="1055" ht="18" customHeight="1">
      <x:c r="A1055" t="str">
        <x:v>ARM053</x:v>
      </x:c>
      <x:c r="B1055" t="str">
        <x:v>Sarbacane</x:v>
      </x:c>
      <x:c r="C1055" t="n">
        <x:v>12</x:v>
      </x:c>
      <x:c r="D1055" t="str">
        <x:v>Distance</x:v>
      </x:c>
      <x:c r="E1055" s="28" t="n">
        <x:f>IF(M1055=0,0,M1055+O1055)</x:f>
        <x:v>3</x:v>
      </x:c>
      <x:c r="F1055" s="28" t="n">
        <x:f>IF(M1055=0,0,M1055*N1055+O1055)</x:f>
        <x:v>12</x:v>
      </x:c>
      <x:c r="G1055" s="28" t="n">
        <x:f>ROUND(Catalogue!G56*SQRT((1+'Paramètres'!$B$4*(C1055-1)+'Paramètres'!$B$5*(C1055-1)^2)),0)</x:f>
        <x:v>0</x:v>
      </x:c>
      <x:c r="H1055" s="28" t="n">
        <x:f>ROUND(Catalogue!H56*SQRT((1+'Paramètres'!$B$4*(C1055-1)+'Paramètres'!$B$5*(C1055-1)^2)),0)</x:f>
        <x:v>0</x:v>
      </x:c>
      <x:c r="I1055" s="28" t="n">
        <x:v>2</x:v>
      </x:c>
      <x:c r="J1055" s="28" t="n">
        <x:v>3</x:v>
      </x:c>
      <x:c r="K1055" s="30" t="n">
        <x:v>0.5</x:v>
      </x:c>
      <x:c r="L1055" s="54" t="n">
        <x:f>IF(M1055=0,0,(E1055+F1055)/2)</x:f>
        <x:v>7.5</x:v>
      </x:c>
      <x:c r="M1055" t="n">
        <x:v>3</x:v>
      </x:c>
      <x:c r="N1055" t="n">
        <x:v>4</x:v>
      </x:c>
      <x:c r="O1055" t="n">
        <x:v>0</x:v>
      </x:c>
      <x:c r="P1055" s="63" t="str">
        <x:f>IF(M1055=0,"—",M1055&amp;"d"&amp;N1055&amp;IF(O1055=0,""," + "&amp;O1055))</x:f>
        <x:v>3d4</x:v>
      </x:c>
      <x:c r="Q1055" t="n">
        <x:f>ROUND(INDEX(Catalogue!E$4:E$85,MATCH(A1055,Catalogue!A$4:A$85,0))*(1+'Paramètres'!$B$4*(C1055-1)+'Paramètres'!$B$5*(C1055-1)^2),0)</x:f>
        <x:v>4</x:v>
      </x:c>
      <x:c r="R1055" t="n">
        <x:f>ROUND(INDEX(Catalogue!F$4:F$85,MATCH(A1055,Catalogue!A$4:A$85,0))*(1+'Paramètres'!$B$4*(C1055-1)+'Paramètres'!$B$5*(C1055-1)^2),0)</x:f>
        <x:v>12</x:v>
      </x:c>
      <x:c r="S1055" t="n">
        <x:f>L1055-AVERAGE(Q1055:R1055)</x:f>
        <x:v>-0.5</x:v>
      </x:c>
      <x:c r="T1055" t="str">
        <x:f>IF(M1055=0,IF(AND(N1055=0,O1055=0,E1055=0,F1055=0),"OK","ERREUR"),IF(AND(M1055&gt;=1,M1055&lt;=32,OR(N1055=4,N1055=6,N1055=8,N1055=10,N1055=12,N1055=20),O1055&gt;=0,E1055=M1055+O1055,F1055=M1055*N1055+O1055),"OK","ERREUR"))</x:f>
        <x:v>OK</x:v>
      </x:c>
      <x:c r="U1055" s="86" t="n">
        <x:f>IF(M1055&gt;0,M1055*(N1055+1)/2+O1055,0)</x:f>
        <x:v>7.5</x:v>
      </x:c>
      <x:c r="V1055" t="str">
        <x:f>IF(ABS(L1055-U1055)&lt;0.001,"OK","ERREUR")</x:f>
        <x:v>OK</x:v>
      </x:c>
    </x:row>
    <x:row r="1056" ht="18" customHeight="1">
      <x:c r="A1056" t="str">
        <x:v>ARM053</x:v>
      </x:c>
      <x:c r="B1056" t="str">
        <x:v>Sarbacane</x:v>
      </x:c>
      <x:c r="C1056" t="n">
        <x:v>13</x:v>
      </x:c>
      <x:c r="D1056" t="str">
        <x:v>Distance</x:v>
      </x:c>
      <x:c r="E1056" s="28" t="n">
        <x:f>IF(M1056=0,0,M1056+O1056)</x:f>
        <x:v>5</x:v>
      </x:c>
      <x:c r="F1056" s="28" t="n">
        <x:f>IF(M1056=0,0,M1056*N1056+O1056)</x:f>
        <x:v>14</x:v>
      </x:c>
      <x:c r="G1056" s="28" t="n">
        <x:f>ROUND(Catalogue!G56*SQRT((1+'Paramètres'!$B$4*(C1056-1)+'Paramètres'!$B$5*(C1056-1)^2)),0)</x:f>
        <x:v>0</x:v>
      </x:c>
      <x:c r="H1056" s="28" t="n">
        <x:f>ROUND(Catalogue!H56*SQRT((1+'Paramètres'!$B$4*(C1056-1)+'Paramètres'!$B$5*(C1056-1)^2)),0)</x:f>
        <x:v>0</x:v>
      </x:c>
      <x:c r="I1056" s="28" t="n">
        <x:v>2</x:v>
      </x:c>
      <x:c r="J1056" s="28" t="n">
        <x:v>3</x:v>
      </x:c>
      <x:c r="K1056" s="30" t="n">
        <x:v>0.5</x:v>
      </x:c>
      <x:c r="L1056" s="54" t="n">
        <x:f>IF(M1056=0,0,(E1056+F1056)/2)</x:f>
        <x:v>9.5</x:v>
      </x:c>
      <x:c r="M1056" t="n">
        <x:v>3</x:v>
      </x:c>
      <x:c r="N1056" t="n">
        <x:v>4</x:v>
      </x:c>
      <x:c r="O1056" t="n">
        <x:v>2</x:v>
      </x:c>
      <x:c r="P1056" s="63" t="str">
        <x:f>IF(M1056=0,"—",M1056&amp;"d"&amp;N1056&amp;IF(O1056=0,""," + "&amp;O1056))</x:f>
        <x:v>3d4 + 2</x:v>
      </x:c>
      <x:c r="Q1056" t="n">
        <x:f>ROUND(INDEX(Catalogue!E$4:E$85,MATCH(A1056,Catalogue!A$4:A$85,0))*(1+'Paramètres'!$B$4*(C1056-1)+'Paramètres'!$B$5*(C1056-1)^2),0)</x:f>
        <x:v>5</x:v>
      </x:c>
      <x:c r="R1056" t="n">
        <x:f>ROUND(INDEX(Catalogue!F$4:F$85,MATCH(A1056,Catalogue!A$4:A$85,0))*(1+'Paramètres'!$B$4*(C1056-1)+'Paramètres'!$B$5*(C1056-1)^2),0)</x:f>
        <x:v>14</x:v>
      </x:c>
      <x:c r="S1056" t="n">
        <x:f>L1056-AVERAGE(Q1056:R1056)</x:f>
        <x:v>0</x:v>
      </x:c>
      <x:c r="T1056" t="str">
        <x:f>IF(M1056=0,IF(AND(N1056=0,O1056=0,E1056=0,F1056=0),"OK","ERREUR"),IF(AND(M1056&gt;=1,M1056&lt;=32,OR(N1056=4,N1056=6,N1056=8,N1056=10,N1056=12,N1056=20),O1056&gt;=0,E1056=M1056+O1056,F1056=M1056*N1056+O1056),"OK","ERREUR"))</x:f>
        <x:v>OK</x:v>
      </x:c>
      <x:c r="U1056" s="86" t="n">
        <x:f>IF(M1056&gt;0,M1056*(N1056+1)/2+O1056,0)</x:f>
        <x:v>9.5</x:v>
      </x:c>
      <x:c r="V1056" t="str">
        <x:f>IF(ABS(L1056-U1056)&lt;0.001,"OK","ERREUR")</x:f>
        <x:v>OK</x:v>
      </x:c>
    </x:row>
    <x:row r="1057" ht="18" customHeight="1">
      <x:c r="A1057" t="str">
        <x:v>ARM053</x:v>
      </x:c>
      <x:c r="B1057" t="str">
        <x:v>Sarbacane</x:v>
      </x:c>
      <x:c r="C1057" t="n">
        <x:v>14</x:v>
      </x:c>
      <x:c r="D1057" t="str">
        <x:v>Distance</x:v>
      </x:c>
      <x:c r="E1057" s="28" t="n">
        <x:f>IF(M1057=0,0,M1057+O1057)</x:f>
        <x:v>5</x:v>
      </x:c>
      <x:c r="F1057" s="28" t="n">
        <x:f>IF(M1057=0,0,M1057*N1057+O1057)</x:f>
        <x:v>15</x:v>
      </x:c>
      <x:c r="G1057" s="28" t="n">
        <x:f>ROUND(Catalogue!G56*SQRT((1+'Paramètres'!$B$4*(C1057-1)+'Paramètres'!$B$5*(C1057-1)^2)),0)</x:f>
        <x:v>0</x:v>
      </x:c>
      <x:c r="H1057" s="28" t="n">
        <x:f>ROUND(Catalogue!H56*SQRT((1+'Paramètres'!$B$4*(C1057-1)+'Paramètres'!$B$5*(C1057-1)^2)),0)</x:f>
        <x:v>0</x:v>
      </x:c>
      <x:c r="I1057" s="28" t="n">
        <x:v>2</x:v>
      </x:c>
      <x:c r="J1057" s="28" t="n">
        <x:v>3</x:v>
      </x:c>
      <x:c r="K1057" s="30" t="n">
        <x:v>0.5</x:v>
      </x:c>
      <x:c r="L1057" s="54" t="n">
        <x:f>IF(M1057=0,0,(E1057+F1057)/2)</x:f>
        <x:v>10</x:v>
      </x:c>
      <x:c r="M1057" t="n">
        <x:v>2</x:v>
      </x:c>
      <x:c r="N1057" t="n">
        <x:v>6</x:v>
      </x:c>
      <x:c r="O1057" t="n">
        <x:v>3</x:v>
      </x:c>
      <x:c r="P1057" s="63" t="str">
        <x:f>IF(M1057=0,"—",M1057&amp;"d"&amp;N1057&amp;IF(O1057=0,""," + "&amp;O1057))</x:f>
        <x:v>2d6 + 3</x:v>
      </x:c>
      <x:c r="Q1057" t="n">
        <x:f>ROUND(INDEX(Catalogue!E$4:E$85,MATCH(A1057,Catalogue!A$4:A$85,0))*(1+'Paramètres'!$B$4*(C1057-1)+'Paramètres'!$B$5*(C1057-1)^2),0)</x:f>
        <x:v>5</x:v>
      </x:c>
      <x:c r="R1057" t="n">
        <x:f>ROUND(INDEX(Catalogue!F$4:F$85,MATCH(A1057,Catalogue!A$4:A$85,0))*(1+'Paramètres'!$B$4*(C1057-1)+'Paramètres'!$B$5*(C1057-1)^2),0)</x:f>
        <x:v>15</x:v>
      </x:c>
      <x:c r="S1057" t="n">
        <x:f>L1057-AVERAGE(Q1057:R1057)</x:f>
        <x:v>0</x:v>
      </x:c>
      <x:c r="T1057" t="str">
        <x:f>IF(M1057=0,IF(AND(N1057=0,O1057=0,E1057=0,F1057=0),"OK","ERREUR"),IF(AND(M1057&gt;=1,M1057&lt;=32,OR(N1057=4,N1057=6,N1057=8,N1057=10,N1057=12,N1057=20),O1057&gt;=0,E1057=M1057+O1057,F1057=M1057*N1057+O1057),"OK","ERREUR"))</x:f>
        <x:v>OK</x:v>
      </x:c>
      <x:c r="U1057" s="86" t="n">
        <x:f>IF(M1057&gt;0,M1057*(N1057+1)/2+O1057,0)</x:f>
        <x:v>10</x:v>
      </x:c>
      <x:c r="V1057" t="str">
        <x:f>IF(ABS(L1057-U1057)&lt;0.001,"OK","ERREUR")</x:f>
        <x:v>OK</x:v>
      </x:c>
    </x:row>
    <x:row r="1058" ht="18" customHeight="1">
      <x:c r="A1058" t="str">
        <x:v>ARM053</x:v>
      </x:c>
      <x:c r="B1058" t="str">
        <x:v>Sarbacane</x:v>
      </x:c>
      <x:c r="C1058" t="n">
        <x:v>15</x:v>
      </x:c>
      <x:c r="D1058" t="str">
        <x:v>Distance</x:v>
      </x:c>
      <x:c r="E1058" s="28" t="n">
        <x:f>IF(M1058=0,0,M1058+O1058)</x:f>
        <x:v>6</x:v>
      </x:c>
      <x:c r="F1058" s="28" t="n">
        <x:f>IF(M1058=0,0,M1058*N1058+O1058)</x:f>
        <x:v>17</x:v>
      </x:c>
      <x:c r="G1058" s="28" t="n">
        <x:f>ROUND(Catalogue!G56*SQRT((1+'Paramètres'!$B$4*(C1058-1)+'Paramètres'!$B$5*(C1058-1)^2)),0)</x:f>
        <x:v>0</x:v>
      </x:c>
      <x:c r="H1058" s="28" t="n">
        <x:f>ROUND(Catalogue!H56*SQRT((1+'Paramètres'!$B$4*(C1058-1)+'Paramètres'!$B$5*(C1058-1)^2)),0)</x:f>
        <x:v>0</x:v>
      </x:c>
      <x:c r="I1058" s="28" t="n">
        <x:v>2</x:v>
      </x:c>
      <x:c r="J1058" s="28" t="n">
        <x:v>3</x:v>
      </x:c>
      <x:c r="K1058" s="30" t="n">
        <x:v>0.5</x:v>
      </x:c>
      <x:c r="L1058" s="54" t="n">
        <x:f>IF(M1058=0,0,(E1058+F1058)/2)</x:f>
        <x:v>11.5</x:v>
      </x:c>
      <x:c r="M1058" t="n">
        <x:v>1</x:v>
      </x:c>
      <x:c r="N1058" t="n">
        <x:v>12</x:v>
      </x:c>
      <x:c r="O1058" t="n">
        <x:v>5</x:v>
      </x:c>
      <x:c r="P1058" s="63" t="str">
        <x:f>IF(M1058=0,"—",M1058&amp;"d"&amp;N1058&amp;IF(O1058=0,""," + "&amp;O1058))</x:f>
        <x:v>1d12 + 5</x:v>
      </x:c>
      <x:c r="Q1058" t="n">
        <x:f>ROUND(INDEX(Catalogue!E$4:E$85,MATCH(A1058,Catalogue!A$4:A$85,0))*(1+'Paramètres'!$B$4*(C1058-1)+'Paramètres'!$B$5*(C1058-1)^2),0)</x:f>
        <x:v>6</x:v>
      </x:c>
      <x:c r="R1058" t="n">
        <x:f>ROUND(INDEX(Catalogue!F$4:F$85,MATCH(A1058,Catalogue!A$4:A$85,0))*(1+'Paramètres'!$B$4*(C1058-1)+'Paramètres'!$B$5*(C1058-1)^2),0)</x:f>
        <x:v>17</x:v>
      </x:c>
      <x:c r="S1058" t="n">
        <x:f>L1058-AVERAGE(Q1058:R1058)</x:f>
        <x:v>0</x:v>
      </x:c>
      <x:c r="T1058" t="str">
        <x:f>IF(M1058=0,IF(AND(N1058=0,O1058=0,E1058=0,F1058=0),"OK","ERREUR"),IF(AND(M1058&gt;=1,M1058&lt;=32,OR(N1058=4,N1058=6,N1058=8,N1058=10,N1058=12,N1058=20),O1058&gt;=0,E1058=M1058+O1058,F1058=M1058*N1058+O1058),"OK","ERREUR"))</x:f>
        <x:v>OK</x:v>
      </x:c>
      <x:c r="U1058" s="86" t="n">
        <x:f>IF(M1058&gt;0,M1058*(N1058+1)/2+O1058,0)</x:f>
        <x:v>11.5</x:v>
      </x:c>
      <x:c r="V1058" t="str">
        <x:f>IF(ABS(L1058-U1058)&lt;0.001,"OK","ERREUR")</x:f>
        <x:v>OK</x:v>
      </x:c>
    </x:row>
    <x:row r="1059" ht="18" customHeight="1">
      <x:c r="A1059" t="str">
        <x:v>ARM053</x:v>
      </x:c>
      <x:c r="B1059" t="str">
        <x:v>Sarbacane</x:v>
      </x:c>
      <x:c r="C1059" t="n">
        <x:v>16</x:v>
      </x:c>
      <x:c r="D1059" t="str">
        <x:v>Distance</x:v>
      </x:c>
      <x:c r="E1059" s="28" t="n">
        <x:f>IF(M1059=0,0,M1059+O1059)</x:f>
        <x:v>5</x:v>
      </x:c>
      <x:c r="F1059" s="28" t="n">
        <x:f>IF(M1059=0,0,M1059*N1059+O1059)</x:f>
        <x:v>19</x:v>
      </x:c>
      <x:c r="G1059" s="28" t="n">
        <x:f>ROUND(Catalogue!G56*SQRT((1+'Paramètres'!$B$4*(C1059-1)+'Paramètres'!$B$5*(C1059-1)^2)),0)</x:f>
        <x:v>0</x:v>
      </x:c>
      <x:c r="H1059" s="28" t="n">
        <x:f>ROUND(Catalogue!H56*SQRT((1+'Paramètres'!$B$4*(C1059-1)+'Paramètres'!$B$5*(C1059-1)^2)),0)</x:f>
        <x:v>0</x:v>
      </x:c>
      <x:c r="I1059" s="28" t="n">
        <x:v>2</x:v>
      </x:c>
      <x:c r="J1059" s="28" t="n">
        <x:v>3</x:v>
      </x:c>
      <x:c r="K1059" s="30" t="n">
        <x:v>0.5</x:v>
      </x:c>
      <x:c r="L1059" s="54" t="n">
        <x:f>IF(M1059=0,0,(E1059+F1059)/2)</x:f>
        <x:v>12</x:v>
      </x:c>
      <x:c r="M1059" t="n">
        <x:v>2</x:v>
      </x:c>
      <x:c r="N1059" t="n">
        <x:v>8</x:v>
      </x:c>
      <x:c r="O1059" t="n">
        <x:v>3</x:v>
      </x:c>
      <x:c r="P1059" s="63" t="str">
        <x:f>IF(M1059=0,"—",M1059&amp;"d"&amp;N1059&amp;IF(O1059=0,""," + "&amp;O1059))</x:f>
        <x:v>2d8 + 3</x:v>
      </x:c>
      <x:c r="Q1059" t="n">
        <x:f>ROUND(INDEX(Catalogue!E$4:E$85,MATCH(A1059,Catalogue!A$4:A$85,0))*(1+'Paramètres'!$B$4*(C1059-1)+'Paramètres'!$B$5*(C1059-1)^2),0)</x:f>
        <x:v>6</x:v>
      </x:c>
      <x:c r="R1059" t="n">
        <x:f>ROUND(INDEX(Catalogue!F$4:F$85,MATCH(A1059,Catalogue!A$4:A$85,0))*(1+'Paramètres'!$B$4*(C1059-1)+'Paramètres'!$B$5*(C1059-1)^2),0)</x:f>
        <x:v>19</x:v>
      </x:c>
      <x:c r="S1059" t="n">
        <x:f>L1059-AVERAGE(Q1059:R1059)</x:f>
        <x:v>-0.5</x:v>
      </x:c>
      <x:c r="T1059" t="str">
        <x:f>IF(M1059=0,IF(AND(N1059=0,O1059=0,E1059=0,F1059=0),"OK","ERREUR"),IF(AND(M1059&gt;=1,M1059&lt;=32,OR(N1059=4,N1059=6,N1059=8,N1059=10,N1059=12,N1059=20),O1059&gt;=0,E1059=M1059+O1059,F1059=M1059*N1059+O1059),"OK","ERREUR"))</x:f>
        <x:v>OK</x:v>
      </x:c>
      <x:c r="U1059" s="86" t="n">
        <x:f>IF(M1059&gt;0,M1059*(N1059+1)/2+O1059,0)</x:f>
        <x:v>12</x:v>
      </x:c>
      <x:c r="V1059" t="str">
        <x:f>IF(ABS(L1059-U1059)&lt;0.001,"OK","ERREUR")</x:f>
        <x:v>OK</x:v>
      </x:c>
    </x:row>
    <x:row r="1060" ht="18" customHeight="1">
      <x:c r="A1060" t="str">
        <x:v>ARM053</x:v>
      </x:c>
      <x:c r="B1060" t="str">
        <x:v>Sarbacane</x:v>
      </x:c>
      <x:c r="C1060" t="n">
        <x:v>17</x:v>
      </x:c>
      <x:c r="D1060" t="str">
        <x:v>Distance</x:v>
      </x:c>
      <x:c r="E1060" s="28" t="n">
        <x:f>IF(M1060=0,0,M1060+O1060)</x:f>
        <x:v>7</x:v>
      </x:c>
      <x:c r="F1060" s="28" t="n">
        <x:f>IF(M1060=0,0,M1060*N1060+O1060)</x:f>
        <x:v>21</x:v>
      </x:c>
      <x:c r="G1060" s="28" t="n">
        <x:f>ROUND(Catalogue!G56*SQRT((1+'Paramètres'!$B$4*(C1060-1)+'Paramètres'!$B$5*(C1060-1)^2)),0)</x:f>
        <x:v>0</x:v>
      </x:c>
      <x:c r="H1060" s="28" t="n">
        <x:f>ROUND(Catalogue!H56*SQRT((1+'Paramètres'!$B$4*(C1060-1)+'Paramètres'!$B$5*(C1060-1)^2)),0)</x:f>
        <x:v>0</x:v>
      </x:c>
      <x:c r="I1060" s="28" t="n">
        <x:v>2</x:v>
      </x:c>
      <x:c r="J1060" s="28" t="n">
        <x:v>3</x:v>
      </x:c>
      <x:c r="K1060" s="30" t="n">
        <x:v>0.5</x:v>
      </x:c>
      <x:c r="L1060" s="54" t="n">
        <x:f>IF(M1060=0,0,(E1060+F1060)/2)</x:f>
        <x:v>14</x:v>
      </x:c>
      <x:c r="M1060" t="n">
        <x:v>2</x:v>
      </x:c>
      <x:c r="N1060" t="n">
        <x:v>8</x:v>
      </x:c>
      <x:c r="O1060" t="n">
        <x:v>5</x:v>
      </x:c>
      <x:c r="P1060" s="63" t="str">
        <x:f>IF(M1060=0,"—",M1060&amp;"d"&amp;N1060&amp;IF(O1060=0,""," + "&amp;O1060))</x:f>
        <x:v>2d8 + 5</x:v>
      </x:c>
      <x:c r="Q1060" t="n">
        <x:f>ROUND(INDEX(Catalogue!E$4:E$85,MATCH(A1060,Catalogue!A$4:A$85,0))*(1+'Paramètres'!$B$4*(C1060-1)+'Paramètres'!$B$5*(C1060-1)^2),0)</x:f>
        <x:v>7</x:v>
      </x:c>
      <x:c r="R1060" t="n">
        <x:f>ROUND(INDEX(Catalogue!F$4:F$85,MATCH(A1060,Catalogue!A$4:A$85,0))*(1+'Paramètres'!$B$4*(C1060-1)+'Paramètres'!$B$5*(C1060-1)^2),0)</x:f>
        <x:v>21</x:v>
      </x:c>
      <x:c r="S1060" t="n">
        <x:f>L1060-AVERAGE(Q1060:R1060)</x:f>
        <x:v>0</x:v>
      </x:c>
      <x:c r="T1060" t="str">
        <x:f>IF(M1060=0,IF(AND(N1060=0,O1060=0,E1060=0,F1060=0),"OK","ERREUR"),IF(AND(M1060&gt;=1,M1060&lt;=32,OR(N1060=4,N1060=6,N1060=8,N1060=10,N1060=12,N1060=20),O1060&gt;=0,E1060=M1060+O1060,F1060=M1060*N1060+O1060),"OK","ERREUR"))</x:f>
        <x:v>OK</x:v>
      </x:c>
      <x:c r="U1060" s="86" t="n">
        <x:f>IF(M1060&gt;0,M1060*(N1060+1)/2+O1060,0)</x:f>
        <x:v>14</x:v>
      </x:c>
      <x:c r="V1060" t="str">
        <x:f>IF(ABS(L1060-U1060)&lt;0.001,"OK","ERREUR")</x:f>
        <x:v>OK</x:v>
      </x:c>
    </x:row>
    <x:row r="1061" ht="18" customHeight="1">
      <x:c r="A1061" t="str">
        <x:v>ARM053</x:v>
      </x:c>
      <x:c r="B1061" t="str">
        <x:v>Sarbacane</x:v>
      </x:c>
      <x:c r="C1061" t="n">
        <x:v>18</x:v>
      </x:c>
      <x:c r="D1061" t="str">
        <x:v>Distance</x:v>
      </x:c>
      <x:c r="E1061" s="28" t="n">
        <x:f>IF(M1061=0,0,M1061+O1061)</x:f>
        <x:v>7</x:v>
      </x:c>
      <x:c r="F1061" s="28" t="n">
        <x:f>IF(M1061=0,0,M1061*N1061+O1061)</x:f>
        <x:v>22</x:v>
      </x:c>
      <x:c r="G1061" s="28" t="n">
        <x:f>ROUND(Catalogue!G56*SQRT((1+'Paramètres'!$B$4*(C1061-1)+'Paramètres'!$B$5*(C1061-1)^2)),0)</x:f>
        <x:v>0</x:v>
      </x:c>
      <x:c r="H1061" s="28" t="n">
        <x:f>ROUND(Catalogue!H56*SQRT((1+'Paramètres'!$B$4*(C1061-1)+'Paramètres'!$B$5*(C1061-1)^2)),0)</x:f>
        <x:v>0</x:v>
      </x:c>
      <x:c r="I1061" s="28" t="n">
        <x:v>2</x:v>
      </x:c>
      <x:c r="J1061" s="28" t="n">
        <x:v>3</x:v>
      </x:c>
      <x:c r="K1061" s="30" t="n">
        <x:v>0.5</x:v>
      </x:c>
      <x:c r="L1061" s="54" t="n">
        <x:f>IF(M1061=0,0,(E1061+F1061)/2)</x:f>
        <x:v>14.5</x:v>
      </x:c>
      <x:c r="M1061" t="n">
        <x:v>3</x:v>
      </x:c>
      <x:c r="N1061" t="n">
        <x:v>6</x:v>
      </x:c>
      <x:c r="O1061" t="n">
        <x:v>4</x:v>
      </x:c>
      <x:c r="P1061" s="63" t="str">
        <x:f>IF(M1061=0,"—",M1061&amp;"d"&amp;N1061&amp;IF(O1061=0,""," + "&amp;O1061))</x:f>
        <x:v>3d6 + 4</x:v>
      </x:c>
      <x:c r="Q1061" t="n">
        <x:f>ROUND(INDEX(Catalogue!E$4:E$85,MATCH(A1061,Catalogue!A$4:A$85,0))*(1+'Paramètres'!$B$4*(C1061-1)+'Paramètres'!$B$5*(C1061-1)^2),0)</x:f>
        <x:v>7</x:v>
      </x:c>
      <x:c r="R1061" t="n">
        <x:f>ROUND(INDEX(Catalogue!F$4:F$85,MATCH(A1061,Catalogue!A$4:A$85,0))*(1+'Paramètres'!$B$4*(C1061-1)+'Paramètres'!$B$5*(C1061-1)^2),0)</x:f>
        <x:v>22</x:v>
      </x:c>
      <x:c r="S1061" t="n">
        <x:f>L1061-AVERAGE(Q1061:R1061)</x:f>
        <x:v>0</x:v>
      </x:c>
      <x:c r="T1061" t="str">
        <x:f>IF(M1061=0,IF(AND(N1061=0,O1061=0,E1061=0,F1061=0),"OK","ERREUR"),IF(AND(M1061&gt;=1,M1061&lt;=32,OR(N1061=4,N1061=6,N1061=8,N1061=10,N1061=12,N1061=20),O1061&gt;=0,E1061=M1061+O1061,F1061=M1061*N1061+O1061),"OK","ERREUR"))</x:f>
        <x:v>OK</x:v>
      </x:c>
      <x:c r="U1061" s="86" t="n">
        <x:f>IF(M1061&gt;0,M1061*(N1061+1)/2+O1061,0)</x:f>
        <x:v>14.5</x:v>
      </x:c>
      <x:c r="V1061" t="str">
        <x:f>IF(ABS(L1061-U1061)&lt;0.001,"OK","ERREUR")</x:f>
        <x:v>OK</x:v>
      </x:c>
    </x:row>
    <x:row r="1062" ht="18" customHeight="1">
      <x:c r="A1062" t="str">
        <x:v>ARM053</x:v>
      </x:c>
      <x:c r="B1062" t="str">
        <x:v>Sarbacane</x:v>
      </x:c>
      <x:c r="C1062" t="n">
        <x:v>19</x:v>
      </x:c>
      <x:c r="D1062" t="str">
        <x:v>Distance</x:v>
      </x:c>
      <x:c r="E1062" s="28" t="n">
        <x:f>IF(M1062=0,0,M1062+O1062)</x:f>
        <x:v>8</x:v>
      </x:c>
      <x:c r="F1062" s="28" t="n">
        <x:f>IF(M1062=0,0,M1062*N1062+O1062)</x:f>
        <x:v>23</x:v>
      </x:c>
      <x:c r="G1062" s="28" t="n">
        <x:f>ROUND(Catalogue!G56*SQRT((1+'Paramètres'!$B$4*(C1062-1)+'Paramètres'!$B$5*(C1062-1)^2)),0)</x:f>
        <x:v>0</x:v>
      </x:c>
      <x:c r="H1062" s="28" t="n">
        <x:f>ROUND(Catalogue!H56*SQRT((1+'Paramètres'!$B$4*(C1062-1)+'Paramètres'!$B$5*(C1062-1)^2)),0)</x:f>
        <x:v>0</x:v>
      </x:c>
      <x:c r="I1062" s="28" t="n">
        <x:v>2</x:v>
      </x:c>
      <x:c r="J1062" s="28" t="n">
        <x:v>3</x:v>
      </x:c>
      <x:c r="K1062" s="30" t="n">
        <x:v>0.5</x:v>
      </x:c>
      <x:c r="L1062" s="54" t="n">
        <x:f>IF(M1062=0,0,(E1062+F1062)/2)</x:f>
        <x:v>15.5</x:v>
      </x:c>
      <x:c r="M1062" t="n">
        <x:v>3</x:v>
      </x:c>
      <x:c r="N1062" t="n">
        <x:v>6</x:v>
      </x:c>
      <x:c r="O1062" t="n">
        <x:v>5</x:v>
      </x:c>
      <x:c r="P1062" s="63" t="str">
        <x:f>IF(M1062=0,"—",M1062&amp;"d"&amp;N1062&amp;IF(O1062=0,""," + "&amp;O1062))</x:f>
        <x:v>3d6 + 5</x:v>
      </x:c>
      <x:c r="Q1062" t="n">
        <x:f>ROUND(INDEX(Catalogue!E$4:E$85,MATCH(A1062,Catalogue!A$4:A$85,0))*(1+'Paramètres'!$B$4*(C1062-1)+'Paramètres'!$B$5*(C1062-1)^2),0)</x:f>
        <x:v>8</x:v>
      </x:c>
      <x:c r="R1062" t="n">
        <x:f>ROUND(INDEX(Catalogue!F$4:F$85,MATCH(A1062,Catalogue!A$4:A$85,0))*(1+'Paramètres'!$B$4*(C1062-1)+'Paramètres'!$B$5*(C1062-1)^2),0)</x:f>
        <x:v>24</x:v>
      </x:c>
      <x:c r="S1062" t="n">
        <x:f>L1062-AVERAGE(Q1062:R1062)</x:f>
        <x:v>-0.5</x:v>
      </x:c>
      <x:c r="T1062" t="str">
        <x:f>IF(M1062=0,IF(AND(N1062=0,O1062=0,E1062=0,F1062=0),"OK","ERREUR"),IF(AND(M1062&gt;=1,M1062&lt;=32,OR(N1062=4,N1062=6,N1062=8,N1062=10,N1062=12,N1062=20),O1062&gt;=0,E1062=M1062+O1062,F1062=M1062*N1062+O1062),"OK","ERREUR"))</x:f>
        <x:v>OK</x:v>
      </x:c>
      <x:c r="U1062" s="86" t="n">
        <x:f>IF(M1062&gt;0,M1062*(N1062+1)/2+O1062,0)</x:f>
        <x:v>15.5</x:v>
      </x:c>
      <x:c r="V1062" t="str">
        <x:f>IF(ABS(L1062-U1062)&lt;0.001,"OK","ERREUR")</x:f>
        <x:v>OK</x:v>
      </x:c>
    </x:row>
    <x:row r="1063" ht="18" customHeight="1">
      <x:c r="A1063" t="str">
        <x:v>ARM053</x:v>
      </x:c>
      <x:c r="B1063" t="str">
        <x:v>Sarbacane</x:v>
      </x:c>
      <x:c r="C1063" t="n">
        <x:v>20</x:v>
      </x:c>
      <x:c r="D1063" t="str">
        <x:v>Distance</x:v>
      </x:c>
      <x:c r="E1063" s="28" t="n">
        <x:f>IF(M1063=0,0,M1063+O1063)</x:f>
        <x:v>9</x:v>
      </x:c>
      <x:c r="F1063" s="28" t="n">
        <x:f>IF(M1063=0,0,M1063*N1063+O1063)</x:f>
        <x:v>27</x:v>
      </x:c>
      <x:c r="G1063" s="28" t="n">
        <x:f>ROUND(Catalogue!G56*SQRT((1+'Paramètres'!$B$4*(C1063-1)+'Paramètres'!$B$5*(C1063-1)^2)),0)</x:f>
        <x:v>0</x:v>
      </x:c>
      <x:c r="H1063" s="28" t="n">
        <x:f>ROUND(Catalogue!H56*SQRT((1+'Paramètres'!$B$4*(C1063-1)+'Paramètres'!$B$5*(C1063-1)^2)),0)</x:f>
        <x:v>0</x:v>
      </x:c>
      <x:c r="I1063" s="28" t="n">
        <x:v>2</x:v>
      </x:c>
      <x:c r="J1063" s="28" t="n">
        <x:v>3</x:v>
      </x:c>
      <x:c r="K1063" s="30" t="n">
        <x:v>0.5</x:v>
      </x:c>
      <x:c r="L1063" s="54" t="n">
        <x:f>IF(M1063=0,0,(E1063+F1063)/2)</x:f>
        <x:v>18</x:v>
      </x:c>
      <x:c r="M1063" t="n">
        <x:v>2</x:v>
      </x:c>
      <x:c r="N1063" t="n">
        <x:v>10</x:v>
      </x:c>
      <x:c r="O1063" t="n">
        <x:v>7</x:v>
      </x:c>
      <x:c r="P1063" s="63" t="str">
        <x:f>IF(M1063=0,"—",M1063&amp;"d"&amp;N1063&amp;IF(O1063=0,""," + "&amp;O1063))</x:f>
        <x:v>2d10 + 7</x:v>
      </x:c>
      <x:c r="Q1063" t="n">
        <x:f>ROUND(INDEX(Catalogue!E$4:E$85,MATCH(A1063,Catalogue!A$4:A$85,0))*(1+'Paramètres'!$B$4*(C1063-1)+'Paramètres'!$B$5*(C1063-1)^2),0)</x:f>
        <x:v>9</x:v>
      </x:c>
      <x:c r="R1063" t="n">
        <x:f>ROUND(INDEX(Catalogue!F$4:F$85,MATCH(A1063,Catalogue!A$4:A$85,0))*(1+'Paramètres'!$B$4*(C1063-1)+'Paramètres'!$B$5*(C1063-1)^2),0)</x:f>
        <x:v>27</x:v>
      </x:c>
      <x:c r="S1063" t="n">
        <x:f>L1063-AVERAGE(Q1063:R1063)</x:f>
        <x:v>0</x:v>
      </x:c>
      <x:c r="T1063" t="str">
        <x:f>IF(M1063=0,IF(AND(N1063=0,O1063=0,E1063=0,F1063=0),"OK","ERREUR"),IF(AND(M1063&gt;=1,M1063&lt;=32,OR(N1063=4,N1063=6,N1063=8,N1063=10,N1063=12,N1063=20),O1063&gt;=0,E1063=M1063+O1063,F1063=M1063*N1063+O1063),"OK","ERREUR"))</x:f>
        <x:v>OK</x:v>
      </x:c>
      <x:c r="U1063" s="86" t="n">
        <x:f>IF(M1063&gt;0,M1063*(N1063+1)/2+O1063,0)</x:f>
        <x:v>18</x:v>
      </x:c>
      <x:c r="V1063" t="str">
        <x:f>IF(ABS(L1063-U1063)&lt;0.001,"OK","ERREUR")</x:f>
        <x:v>OK</x:v>
      </x:c>
    </x:row>
    <x:row r="1064" ht="18" customHeight="1">
      <x:c r="A1064" t="str">
        <x:v>ARM054</x:v>
      </x:c>
      <x:c r="B1064" t="str">
        <x:v>Couteau de jet</x:v>
      </x:c>
      <x:c r="C1064" t="n">
        <x:v>1</x:v>
      </x:c>
      <x:c r="D1064" t="str">
        <x:v>Jet</x:v>
      </x:c>
      <x:c r="E1064" s="28" t="n">
        <x:f>IF(M1064=0,0,M1064+O1064)</x:f>
        <x:v>1</x:v>
      </x:c>
      <x:c r="F1064" s="28" t="n">
        <x:f>IF(M1064=0,0,M1064*N1064+O1064)</x:f>
        <x:v>4</x:v>
      </x:c>
      <x:c r="G1064" s="28" t="n">
        <x:f>ROUND(Catalogue!G57*SQRT((1+'Paramètres'!$B$4*(C1064-1)+'Paramètres'!$B$5*(C1064-1)^2)),0)</x:f>
        <x:v>0</x:v>
      </x:c>
      <x:c r="H1064" s="28" t="n">
        <x:f>ROUND(Catalogue!H57*SQRT((1+'Paramètres'!$B$4*(C1064-1)+'Paramètres'!$B$5*(C1064-1)^2)),0)</x:f>
        <x:v>0</x:v>
      </x:c>
      <x:c r="I1064" s="28" t="n">
        <x:v>2</x:v>
      </x:c>
      <x:c r="J1064" s="28" t="n">
        <x:v>4</x:v>
      </x:c>
      <x:c r="K1064" s="30" t="n">
        <x:v>0.2</x:v>
      </x:c>
      <x:c r="L1064" s="54" t="n">
        <x:f>IF(M1064=0,0,(E1064+F1064)/2)</x:f>
        <x:v>2.5</x:v>
      </x:c>
      <x:c r="M1064" t="n">
        <x:v>1</x:v>
      </x:c>
      <x:c r="N1064" t="n">
        <x:v>4</x:v>
      </x:c>
      <x:c r="O1064" t="n">
        <x:v>0</x:v>
      </x:c>
      <x:c r="P1064" s="63" t="str">
        <x:f>IF(M1064=0,"—",M1064&amp;"d"&amp;N1064&amp;IF(O1064=0,""," + "&amp;O1064))</x:f>
        <x:v>1d4</x:v>
      </x:c>
      <x:c r="Q1064" t="n">
        <x:f>ROUND(INDEX(Catalogue!E$4:E$85,MATCH(A1064,Catalogue!A$4:A$85,0))*(1+'Paramètres'!$B$4*(C1064-1)+'Paramètres'!$B$5*(C1064-1)^2),0)</x:f>
        <x:v>2</x:v>
      </x:c>
      <x:c r="R1064" t="n">
        <x:f>ROUND(INDEX(Catalogue!F$4:F$85,MATCH(A1064,Catalogue!A$4:A$85,0))*(1+'Paramètres'!$B$4*(C1064-1)+'Paramètres'!$B$5*(C1064-1)^2),0)</x:f>
        <x:v>4</x:v>
      </x:c>
      <x:c r="S1064" t="n">
        <x:f>L1064-AVERAGE(Q1064:R1064)</x:f>
        <x:v>-0.5</x:v>
      </x:c>
      <x:c r="T1064" t="str">
        <x:f>IF(M1064=0,IF(AND(N1064=0,O1064=0,E1064=0,F1064=0),"OK","ERREUR"),IF(AND(M1064&gt;=1,M1064&lt;=32,OR(N1064=4,N1064=6,N1064=8,N1064=10,N1064=12,N1064=20),O1064&gt;=0,E1064=M1064+O1064,F1064=M1064*N1064+O1064),"OK","ERREUR"))</x:f>
        <x:v>OK</x:v>
      </x:c>
      <x:c r="U1064" s="86" t="n">
        <x:f>IF(M1064&gt;0,M1064*(N1064+1)/2+O1064,0)</x:f>
        <x:v>2.5</x:v>
      </x:c>
      <x:c r="V1064" t="str">
        <x:f>IF(ABS(L1064-U1064)&lt;0.001,"OK","ERREUR")</x:f>
        <x:v>OK</x:v>
      </x:c>
    </x:row>
    <x:row r="1065" ht="18" customHeight="1">
      <x:c r="A1065" t="str">
        <x:v>ARM054</x:v>
      </x:c>
      <x:c r="B1065" t="str">
        <x:v>Couteau de jet</x:v>
      </x:c>
      <x:c r="C1065" t="n">
        <x:v>2</x:v>
      </x:c>
      <x:c r="D1065" t="str">
        <x:v>Jet</x:v>
      </x:c>
      <x:c r="E1065" s="28" t="n">
        <x:f>IF(M1065=0,0,M1065+O1065)</x:f>
        <x:v>2</x:v>
      </x:c>
      <x:c r="F1065" s="28" t="n">
        <x:f>IF(M1065=0,0,M1065*N1065+O1065)</x:f>
        <x:v>5</x:v>
      </x:c>
      <x:c r="G1065" s="28" t="n">
        <x:f>ROUND(Catalogue!G57*SQRT((1+'Paramètres'!$B$4*(C1065-1)+'Paramètres'!$B$5*(C1065-1)^2)),0)</x:f>
        <x:v>0</x:v>
      </x:c>
      <x:c r="H1065" s="28" t="n">
        <x:f>ROUND(Catalogue!H57*SQRT((1+'Paramètres'!$B$4*(C1065-1)+'Paramètres'!$B$5*(C1065-1)^2)),0)</x:f>
        <x:v>0</x:v>
      </x:c>
      <x:c r="I1065" s="28" t="n">
        <x:v>2</x:v>
      </x:c>
      <x:c r="J1065" s="28" t="n">
        <x:v>4</x:v>
      </x:c>
      <x:c r="K1065" s="30" t="n">
        <x:v>0.2</x:v>
      </x:c>
      <x:c r="L1065" s="54" t="n">
        <x:f>IF(M1065=0,0,(E1065+F1065)/2)</x:f>
        <x:v>3.5</x:v>
      </x:c>
      <x:c r="M1065" t="n">
        <x:v>1</x:v>
      </x:c>
      <x:c r="N1065" t="n">
        <x:v>4</x:v>
      </x:c>
      <x:c r="O1065" t="n">
        <x:v>1</x:v>
      </x:c>
      <x:c r="P1065" s="63" t="str">
        <x:f>IF(M1065=0,"—",M1065&amp;"d"&amp;N1065&amp;IF(O1065=0,""," + "&amp;O1065))</x:f>
        <x:v>1d4 + 1</x:v>
      </x:c>
      <x:c r="Q1065" t="n">
        <x:f>ROUND(INDEX(Catalogue!E$4:E$85,MATCH(A1065,Catalogue!A$4:A$85,0))*(1+'Paramètres'!$B$4*(C1065-1)+'Paramètres'!$B$5*(C1065-1)^2),0)</x:f>
        <x:v>2</x:v>
      </x:c>
      <x:c r="R1065" t="n">
        <x:f>ROUND(INDEX(Catalogue!F$4:F$85,MATCH(A1065,Catalogue!A$4:A$85,0))*(1+'Paramètres'!$B$4*(C1065-1)+'Paramètres'!$B$5*(C1065-1)^2),0)</x:f>
        <x:v>5</x:v>
      </x:c>
      <x:c r="S1065" t="n">
        <x:f>L1065-AVERAGE(Q1065:R1065)</x:f>
        <x:v>0</x:v>
      </x:c>
      <x:c r="T1065" t="str">
        <x:f>IF(M1065=0,IF(AND(N1065=0,O1065=0,E1065=0,F1065=0),"OK","ERREUR"),IF(AND(M1065&gt;=1,M1065&lt;=32,OR(N1065=4,N1065=6,N1065=8,N1065=10,N1065=12,N1065=20),O1065&gt;=0,E1065=M1065+O1065,F1065=M1065*N1065+O1065),"OK","ERREUR"))</x:f>
        <x:v>OK</x:v>
      </x:c>
      <x:c r="U1065" s="86" t="n">
        <x:f>IF(M1065&gt;0,M1065*(N1065+1)/2+O1065,0)</x:f>
        <x:v>3.5</x:v>
      </x:c>
      <x:c r="V1065" t="str">
        <x:f>IF(ABS(L1065-U1065)&lt;0.001,"OK","ERREUR")</x:f>
        <x:v>OK</x:v>
      </x:c>
    </x:row>
    <x:row r="1066" ht="18" customHeight="1">
      <x:c r="A1066" t="str">
        <x:v>ARM054</x:v>
      </x:c>
      <x:c r="B1066" t="str">
        <x:v>Couteau de jet</x:v>
      </x:c>
      <x:c r="C1066" t="n">
        <x:v>3</x:v>
      </x:c>
      <x:c r="D1066" t="str">
        <x:v>Jet</x:v>
      </x:c>
      <x:c r="E1066" s="28" t="n">
        <x:f>IF(M1066=0,0,M1066+O1066)</x:f>
        <x:v>2</x:v>
      </x:c>
      <x:c r="F1066" s="28" t="n">
        <x:f>IF(M1066=0,0,M1066*N1066+O1066)</x:f>
        <x:v>5</x:v>
      </x:c>
      <x:c r="G1066" s="28" t="n">
        <x:f>ROUND(Catalogue!G57*SQRT((1+'Paramètres'!$B$4*(C1066-1)+'Paramètres'!$B$5*(C1066-1)^2)),0)</x:f>
        <x:v>0</x:v>
      </x:c>
      <x:c r="H1066" s="28" t="n">
        <x:f>ROUND(Catalogue!H57*SQRT((1+'Paramètres'!$B$4*(C1066-1)+'Paramètres'!$B$5*(C1066-1)^2)),0)</x:f>
        <x:v>0</x:v>
      </x:c>
      <x:c r="I1066" s="28" t="n">
        <x:v>2</x:v>
      </x:c>
      <x:c r="J1066" s="28" t="n">
        <x:v>4</x:v>
      </x:c>
      <x:c r="K1066" s="30" t="n">
        <x:v>0.2</x:v>
      </x:c>
      <x:c r="L1066" s="54" t="n">
        <x:f>IF(M1066=0,0,(E1066+F1066)/2)</x:f>
        <x:v>3.5</x:v>
      </x:c>
      <x:c r="M1066" t="n">
        <x:v>1</x:v>
      </x:c>
      <x:c r="N1066" t="n">
        <x:v>4</x:v>
      </x:c>
      <x:c r="O1066" t="n">
        <x:v>1</x:v>
      </x:c>
      <x:c r="P1066" s="63" t="str">
        <x:f>IF(M1066=0,"—",M1066&amp;"d"&amp;N1066&amp;IF(O1066=0,""," + "&amp;O1066))</x:f>
        <x:v>1d4 + 1</x:v>
      </x:c>
      <x:c r="Q1066" t="n">
        <x:f>ROUND(INDEX(Catalogue!E$4:E$85,MATCH(A1066,Catalogue!A$4:A$85,0))*(1+'Paramètres'!$B$4*(C1066-1)+'Paramètres'!$B$5*(C1066-1)^2),0)</x:f>
        <x:v>3</x:v>
      </x:c>
      <x:c r="R1066" t="n">
        <x:f>ROUND(INDEX(Catalogue!F$4:F$85,MATCH(A1066,Catalogue!A$4:A$85,0))*(1+'Paramètres'!$B$4*(C1066-1)+'Paramètres'!$B$5*(C1066-1)^2),0)</x:f>
        <x:v>5</x:v>
      </x:c>
      <x:c r="S1066" t="n">
        <x:f>L1066-AVERAGE(Q1066:R1066)</x:f>
        <x:v>-0.5</x:v>
      </x:c>
      <x:c r="T1066" t="str">
        <x:f>IF(M1066=0,IF(AND(N1066=0,O1066=0,E1066=0,F1066=0),"OK","ERREUR"),IF(AND(M1066&gt;=1,M1066&lt;=32,OR(N1066=4,N1066=6,N1066=8,N1066=10,N1066=12,N1066=20),O1066&gt;=0,E1066=M1066+O1066,F1066=M1066*N1066+O1066),"OK","ERREUR"))</x:f>
        <x:v>OK</x:v>
      </x:c>
      <x:c r="U1066" s="86" t="n">
        <x:f>IF(M1066&gt;0,M1066*(N1066+1)/2+O1066,0)</x:f>
        <x:v>3.5</x:v>
      </x:c>
      <x:c r="V1066" t="str">
        <x:f>IF(ABS(L1066-U1066)&lt;0.001,"OK","ERREUR")</x:f>
        <x:v>OK</x:v>
      </x:c>
    </x:row>
    <x:row r="1067" ht="18" customHeight="1">
      <x:c r="A1067" t="str">
        <x:v>ARM054</x:v>
      </x:c>
      <x:c r="B1067" t="str">
        <x:v>Couteau de jet</x:v>
      </x:c>
      <x:c r="C1067" t="n">
        <x:v>4</x:v>
      </x:c>
      <x:c r="D1067" t="str">
        <x:v>Jet</x:v>
      </x:c>
      <x:c r="E1067" s="28" t="n">
        <x:f>IF(M1067=0,0,M1067+O1067)</x:f>
        <x:v>3</x:v>
      </x:c>
      <x:c r="F1067" s="28" t="n">
        <x:f>IF(M1067=0,0,M1067*N1067+O1067)</x:f>
        <x:v>6</x:v>
      </x:c>
      <x:c r="G1067" s="28" t="n">
        <x:f>ROUND(Catalogue!G57*SQRT((1+'Paramètres'!$B$4*(C1067-1)+'Paramètres'!$B$5*(C1067-1)^2)),0)</x:f>
        <x:v>0</x:v>
      </x:c>
      <x:c r="H1067" s="28" t="n">
        <x:f>ROUND(Catalogue!H57*SQRT((1+'Paramètres'!$B$4*(C1067-1)+'Paramètres'!$B$5*(C1067-1)^2)),0)</x:f>
        <x:v>0</x:v>
      </x:c>
      <x:c r="I1067" s="28" t="n">
        <x:v>2</x:v>
      </x:c>
      <x:c r="J1067" s="28" t="n">
        <x:v>4</x:v>
      </x:c>
      <x:c r="K1067" s="30" t="n">
        <x:v>0.2</x:v>
      </x:c>
      <x:c r="L1067" s="54" t="n">
        <x:f>IF(M1067=0,0,(E1067+F1067)/2)</x:f>
        <x:v>4.5</x:v>
      </x:c>
      <x:c r="M1067" t="n">
        <x:v>1</x:v>
      </x:c>
      <x:c r="N1067" t="n">
        <x:v>4</x:v>
      </x:c>
      <x:c r="O1067" t="n">
        <x:v>2</x:v>
      </x:c>
      <x:c r="P1067" s="63" t="str">
        <x:f>IF(M1067=0,"—",M1067&amp;"d"&amp;N1067&amp;IF(O1067=0,""," + "&amp;O1067))</x:f>
        <x:v>1d4 + 2</x:v>
      </x:c>
      <x:c r="Q1067" t="n">
        <x:f>ROUND(INDEX(Catalogue!E$4:E$85,MATCH(A1067,Catalogue!A$4:A$85,0))*(1+'Paramètres'!$B$4*(C1067-1)+'Paramètres'!$B$5*(C1067-1)^2),0)</x:f>
        <x:v>3</x:v>
      </x:c>
      <x:c r="R1067" t="n">
        <x:f>ROUND(INDEX(Catalogue!F$4:F$85,MATCH(A1067,Catalogue!A$4:A$85,0))*(1+'Paramètres'!$B$4*(C1067-1)+'Paramètres'!$B$5*(C1067-1)^2),0)</x:f>
        <x:v>6</x:v>
      </x:c>
      <x:c r="S1067" t="n">
        <x:f>L1067-AVERAGE(Q1067:R1067)</x:f>
        <x:v>0</x:v>
      </x:c>
      <x:c r="T1067" t="str">
        <x:f>IF(M1067=0,IF(AND(N1067=0,O1067=0,E1067=0,F1067=0),"OK","ERREUR"),IF(AND(M1067&gt;=1,M1067&lt;=32,OR(N1067=4,N1067=6,N1067=8,N1067=10,N1067=12,N1067=20),O1067&gt;=0,E1067=M1067+O1067,F1067=M1067*N1067+O1067),"OK","ERREUR"))</x:f>
        <x:v>OK</x:v>
      </x:c>
      <x:c r="U1067" s="86" t="n">
        <x:f>IF(M1067&gt;0,M1067*(N1067+1)/2+O1067,0)</x:f>
        <x:v>4.5</x:v>
      </x:c>
      <x:c r="V1067" t="str">
        <x:f>IF(ABS(L1067-U1067)&lt;0.001,"OK","ERREUR")</x:f>
        <x:v>OK</x:v>
      </x:c>
    </x:row>
    <x:row r="1068" ht="18" customHeight="1">
      <x:c r="A1068" t="str">
        <x:v>ARM054</x:v>
      </x:c>
      <x:c r="B1068" t="str">
        <x:v>Couteau de jet</x:v>
      </x:c>
      <x:c r="C1068" t="n">
        <x:v>5</x:v>
      </x:c>
      <x:c r="D1068" t="str">
        <x:v>Jet</x:v>
      </x:c>
      <x:c r="E1068" s="28" t="n">
        <x:f>IF(M1068=0,0,M1068+O1068)</x:f>
        <x:v>3</x:v>
      </x:c>
      <x:c r="F1068" s="28" t="n">
        <x:f>IF(M1068=0,0,M1068*N1068+O1068)</x:f>
        <x:v>6</x:v>
      </x:c>
      <x:c r="G1068" s="28" t="n">
        <x:f>ROUND(Catalogue!G57*SQRT((1+'Paramètres'!$B$4*(C1068-1)+'Paramètres'!$B$5*(C1068-1)^2)),0)</x:f>
        <x:v>0</x:v>
      </x:c>
      <x:c r="H1068" s="28" t="n">
        <x:f>ROUND(Catalogue!H57*SQRT((1+'Paramètres'!$B$4*(C1068-1)+'Paramètres'!$B$5*(C1068-1)^2)),0)</x:f>
        <x:v>0</x:v>
      </x:c>
      <x:c r="I1068" s="28" t="n">
        <x:v>2</x:v>
      </x:c>
      <x:c r="J1068" s="28" t="n">
        <x:v>4</x:v>
      </x:c>
      <x:c r="K1068" s="30" t="n">
        <x:v>0.2</x:v>
      </x:c>
      <x:c r="L1068" s="54" t="n">
        <x:f>IF(M1068=0,0,(E1068+F1068)/2)</x:f>
        <x:v>4.5</x:v>
      </x:c>
      <x:c r="M1068" t="n">
        <x:v>1</x:v>
      </x:c>
      <x:c r="N1068" t="n">
        <x:v>4</x:v>
      </x:c>
      <x:c r="O1068" t="n">
        <x:v>2</x:v>
      </x:c>
      <x:c r="P1068" s="63" t="str">
        <x:f>IF(M1068=0,"—",M1068&amp;"d"&amp;N1068&amp;IF(O1068=0,""," + "&amp;O1068))</x:f>
        <x:v>1d4 + 2</x:v>
      </x:c>
      <x:c r="Q1068" t="n">
        <x:f>ROUND(INDEX(Catalogue!E$4:E$85,MATCH(A1068,Catalogue!A$4:A$85,0))*(1+'Paramètres'!$B$4*(C1068-1)+'Paramètres'!$B$5*(C1068-1)^2),0)</x:f>
        <x:v>3</x:v>
      </x:c>
      <x:c r="R1068" t="n">
        <x:f>ROUND(INDEX(Catalogue!F$4:F$85,MATCH(A1068,Catalogue!A$4:A$85,0))*(1+'Paramètres'!$B$4*(C1068-1)+'Paramètres'!$B$5*(C1068-1)^2),0)</x:f>
        <x:v>7</x:v>
      </x:c>
      <x:c r="S1068" t="n">
        <x:f>L1068-AVERAGE(Q1068:R1068)</x:f>
        <x:v>-0.5</x:v>
      </x:c>
      <x:c r="T1068" t="str">
        <x:f>IF(M1068=0,IF(AND(N1068=0,O1068=0,E1068=0,F1068=0),"OK","ERREUR"),IF(AND(M1068&gt;=1,M1068&lt;=32,OR(N1068=4,N1068=6,N1068=8,N1068=10,N1068=12,N1068=20),O1068&gt;=0,E1068=M1068+O1068,F1068=M1068*N1068+O1068),"OK","ERREUR"))</x:f>
        <x:v>OK</x:v>
      </x:c>
      <x:c r="U1068" s="86" t="n">
        <x:f>IF(M1068&gt;0,M1068*(N1068+1)/2+O1068,0)</x:f>
        <x:v>4.5</x:v>
      </x:c>
      <x:c r="V1068" t="str">
        <x:f>IF(ABS(L1068-U1068)&lt;0.001,"OK","ERREUR")</x:f>
        <x:v>OK</x:v>
      </x:c>
    </x:row>
    <x:row r="1069" ht="18" customHeight="1">
      <x:c r="A1069" t="str">
        <x:v>ARM054</x:v>
      </x:c>
      <x:c r="B1069" t="str">
        <x:v>Couteau de jet</x:v>
      </x:c>
      <x:c r="C1069" t="n">
        <x:v>6</x:v>
      </x:c>
      <x:c r="D1069" t="str">
        <x:v>Jet</x:v>
      </x:c>
      <x:c r="E1069" s="28" t="n">
        <x:f>IF(M1069=0,0,M1069+O1069)</x:f>
        <x:v>4</x:v>
      </x:c>
      <x:c r="F1069" s="28" t="n">
        <x:f>IF(M1069=0,0,M1069*N1069+O1069)</x:f>
        <x:v>7</x:v>
      </x:c>
      <x:c r="G1069" s="28" t="n">
        <x:f>ROUND(Catalogue!G57*SQRT((1+'Paramètres'!$B$4*(C1069-1)+'Paramètres'!$B$5*(C1069-1)^2)),0)</x:f>
        <x:v>0</x:v>
      </x:c>
      <x:c r="H1069" s="28" t="n">
        <x:f>ROUND(Catalogue!H57*SQRT((1+'Paramètres'!$B$4*(C1069-1)+'Paramètres'!$B$5*(C1069-1)^2)),0)</x:f>
        <x:v>0</x:v>
      </x:c>
      <x:c r="I1069" s="28" t="n">
        <x:v>2</x:v>
      </x:c>
      <x:c r="J1069" s="28" t="n">
        <x:v>4</x:v>
      </x:c>
      <x:c r="K1069" s="30" t="n">
        <x:v>0.2</x:v>
      </x:c>
      <x:c r="L1069" s="54" t="n">
        <x:f>IF(M1069=0,0,(E1069+F1069)/2)</x:f>
        <x:v>5.5</x:v>
      </x:c>
      <x:c r="M1069" t="n">
        <x:v>1</x:v>
      </x:c>
      <x:c r="N1069" t="n">
        <x:v>4</x:v>
      </x:c>
      <x:c r="O1069" t="n">
        <x:v>3</x:v>
      </x:c>
      <x:c r="P1069" s="63" t="str">
        <x:f>IF(M1069=0,"—",M1069&amp;"d"&amp;N1069&amp;IF(O1069=0,""," + "&amp;O1069))</x:f>
        <x:v>1d4 + 3</x:v>
      </x:c>
      <x:c r="Q1069" t="n">
        <x:f>ROUND(INDEX(Catalogue!E$4:E$85,MATCH(A1069,Catalogue!A$4:A$85,0))*(1+'Paramètres'!$B$4*(C1069-1)+'Paramètres'!$B$5*(C1069-1)^2),0)</x:f>
        <x:v>4</x:v>
      </x:c>
      <x:c r="R1069" t="n">
        <x:f>ROUND(INDEX(Catalogue!F$4:F$85,MATCH(A1069,Catalogue!A$4:A$85,0))*(1+'Paramètres'!$B$4*(C1069-1)+'Paramètres'!$B$5*(C1069-1)^2),0)</x:f>
        <x:v>8</x:v>
      </x:c>
      <x:c r="S1069" t="n">
        <x:f>L1069-AVERAGE(Q1069:R1069)</x:f>
        <x:v>-0.5</x:v>
      </x:c>
      <x:c r="T1069" t="str">
        <x:f>IF(M1069=0,IF(AND(N1069=0,O1069=0,E1069=0,F1069=0),"OK","ERREUR"),IF(AND(M1069&gt;=1,M1069&lt;=32,OR(N1069=4,N1069=6,N1069=8,N1069=10,N1069=12,N1069=20),O1069&gt;=0,E1069=M1069+O1069,F1069=M1069*N1069+O1069),"OK","ERREUR"))</x:f>
        <x:v>OK</x:v>
      </x:c>
      <x:c r="U1069" s="86" t="n">
        <x:f>IF(M1069&gt;0,M1069*(N1069+1)/2+O1069,0)</x:f>
        <x:v>5.5</x:v>
      </x:c>
      <x:c r="V1069" t="str">
        <x:f>IF(ABS(L1069-U1069)&lt;0.001,"OK","ERREUR")</x:f>
        <x:v>OK</x:v>
      </x:c>
    </x:row>
    <x:row r="1070" ht="18" customHeight="1">
      <x:c r="A1070" t="str">
        <x:v>ARM054</x:v>
      </x:c>
      <x:c r="B1070" t="str">
        <x:v>Couteau de jet</x:v>
      </x:c>
      <x:c r="C1070" t="n">
        <x:v>7</x:v>
      </x:c>
      <x:c r="D1070" t="str">
        <x:v>Jet</x:v>
      </x:c>
      <x:c r="E1070" s="28" t="n">
        <x:f>IF(M1070=0,0,M1070+O1070)</x:f>
        <x:v>4</x:v>
      </x:c>
      <x:c r="F1070" s="28" t="n">
        <x:f>IF(M1070=0,0,M1070*N1070+O1070)</x:f>
        <x:v>9</x:v>
      </x:c>
      <x:c r="G1070" s="28" t="n">
        <x:f>ROUND(Catalogue!G57*SQRT((1+'Paramètres'!$B$4*(C1070-1)+'Paramètres'!$B$5*(C1070-1)^2)),0)</x:f>
        <x:v>0</x:v>
      </x:c>
      <x:c r="H1070" s="28" t="n">
        <x:f>ROUND(Catalogue!H57*SQRT((1+'Paramètres'!$B$4*(C1070-1)+'Paramètres'!$B$5*(C1070-1)^2)),0)</x:f>
        <x:v>0</x:v>
      </x:c>
      <x:c r="I1070" s="28" t="n">
        <x:v>2</x:v>
      </x:c>
      <x:c r="J1070" s="28" t="n">
        <x:v>4</x:v>
      </x:c>
      <x:c r="K1070" s="30" t="n">
        <x:v>0.2</x:v>
      </x:c>
      <x:c r="L1070" s="54" t="n">
        <x:f>IF(M1070=0,0,(E1070+F1070)/2)</x:f>
        <x:v>6.5</x:v>
      </x:c>
      <x:c r="M1070" t="n">
        <x:v>1</x:v>
      </x:c>
      <x:c r="N1070" t="n">
        <x:v>6</x:v>
      </x:c>
      <x:c r="O1070" t="n">
        <x:v>3</x:v>
      </x:c>
      <x:c r="P1070" s="63" t="str">
        <x:f>IF(M1070=0,"—",M1070&amp;"d"&amp;N1070&amp;IF(O1070=0,""," + "&amp;O1070))</x:f>
        <x:v>1d6 + 3</x:v>
      </x:c>
      <x:c r="Q1070" t="n">
        <x:f>ROUND(INDEX(Catalogue!E$4:E$85,MATCH(A1070,Catalogue!A$4:A$85,0))*(1+'Paramètres'!$B$4*(C1070-1)+'Paramètres'!$B$5*(C1070-1)^2),0)</x:f>
        <x:v>4</x:v>
      </x:c>
      <x:c r="R1070" t="n">
        <x:f>ROUND(INDEX(Catalogue!F$4:F$85,MATCH(A1070,Catalogue!A$4:A$85,0))*(1+'Paramètres'!$B$4*(C1070-1)+'Paramètres'!$B$5*(C1070-1)^2),0)</x:f>
        <x:v>9</x:v>
      </x:c>
      <x:c r="S1070" t="n">
        <x:f>L1070-AVERAGE(Q1070:R1070)</x:f>
        <x:v>0</x:v>
      </x:c>
      <x:c r="T1070" t="str">
        <x:f>IF(M1070=0,IF(AND(N1070=0,O1070=0,E1070=0,F1070=0),"OK","ERREUR"),IF(AND(M1070&gt;=1,M1070&lt;=32,OR(N1070=4,N1070=6,N1070=8,N1070=10,N1070=12,N1070=20),O1070&gt;=0,E1070=M1070+O1070,F1070=M1070*N1070+O1070),"OK","ERREUR"))</x:f>
        <x:v>OK</x:v>
      </x:c>
      <x:c r="U1070" s="86" t="n">
        <x:f>IF(M1070&gt;0,M1070*(N1070+1)/2+O1070,0)</x:f>
        <x:v>6.5</x:v>
      </x:c>
      <x:c r="V1070" t="str">
        <x:f>IF(ABS(L1070-U1070)&lt;0.001,"OK","ERREUR")</x:f>
        <x:v>OK</x:v>
      </x:c>
    </x:row>
    <x:row r="1071" ht="18" customHeight="1">
      <x:c r="A1071" t="str">
        <x:v>ARM054</x:v>
      </x:c>
      <x:c r="B1071" t="str">
        <x:v>Couteau de jet</x:v>
      </x:c>
      <x:c r="C1071" t="n">
        <x:v>8</x:v>
      </x:c>
      <x:c r="D1071" t="str">
        <x:v>Jet</x:v>
      </x:c>
      <x:c r="E1071" s="28" t="n">
        <x:f>IF(M1071=0,0,M1071+O1071)</x:f>
        <x:v>5</x:v>
      </x:c>
      <x:c r="F1071" s="28" t="n">
        <x:f>IF(M1071=0,0,M1071*N1071+O1071)</x:f>
        <x:v>10</x:v>
      </x:c>
      <x:c r="G1071" s="28" t="n">
        <x:f>ROUND(Catalogue!G57*SQRT((1+'Paramètres'!$B$4*(C1071-1)+'Paramètres'!$B$5*(C1071-1)^2)),0)</x:f>
        <x:v>0</x:v>
      </x:c>
      <x:c r="H1071" s="28" t="n">
        <x:f>ROUND(Catalogue!H57*SQRT((1+'Paramètres'!$B$4*(C1071-1)+'Paramètres'!$B$5*(C1071-1)^2)),0)</x:f>
        <x:v>0</x:v>
      </x:c>
      <x:c r="I1071" s="28" t="n">
        <x:v>2</x:v>
      </x:c>
      <x:c r="J1071" s="28" t="n">
        <x:v>4</x:v>
      </x:c>
      <x:c r="K1071" s="30" t="n">
        <x:v>0.2</x:v>
      </x:c>
      <x:c r="L1071" s="54" t="n">
        <x:f>IF(M1071=0,0,(E1071+F1071)/2)</x:f>
        <x:v>7.5</x:v>
      </x:c>
      <x:c r="M1071" t="n">
        <x:v>1</x:v>
      </x:c>
      <x:c r="N1071" t="n">
        <x:v>6</x:v>
      </x:c>
      <x:c r="O1071" t="n">
        <x:v>4</x:v>
      </x:c>
      <x:c r="P1071" s="63" t="str">
        <x:f>IF(M1071=0,"—",M1071&amp;"d"&amp;N1071&amp;IF(O1071=0,""," + "&amp;O1071))</x:f>
        <x:v>1d6 + 4</x:v>
      </x:c>
      <x:c r="Q1071" t="n">
        <x:f>ROUND(INDEX(Catalogue!E$4:E$85,MATCH(A1071,Catalogue!A$4:A$85,0))*(1+'Paramètres'!$B$4*(C1071-1)+'Paramètres'!$B$5*(C1071-1)^2),0)</x:f>
        <x:v>5</x:v>
      </x:c>
      <x:c r="R1071" t="n">
        <x:f>ROUND(INDEX(Catalogue!F$4:F$85,MATCH(A1071,Catalogue!A$4:A$85,0))*(1+'Paramètres'!$B$4*(C1071-1)+'Paramètres'!$B$5*(C1071-1)^2),0)</x:f>
        <x:v>10</x:v>
      </x:c>
      <x:c r="S1071" t="n">
        <x:f>L1071-AVERAGE(Q1071:R1071)</x:f>
        <x:v>0</x:v>
      </x:c>
      <x:c r="T1071" t="str">
        <x:f>IF(M1071=0,IF(AND(N1071=0,O1071=0,E1071=0,F1071=0),"OK","ERREUR"),IF(AND(M1071&gt;=1,M1071&lt;=32,OR(N1071=4,N1071=6,N1071=8,N1071=10,N1071=12,N1071=20),O1071&gt;=0,E1071=M1071+O1071,F1071=M1071*N1071+O1071),"OK","ERREUR"))</x:f>
        <x:v>OK</x:v>
      </x:c>
      <x:c r="U1071" s="86" t="n">
        <x:f>IF(M1071&gt;0,M1071*(N1071+1)/2+O1071,0)</x:f>
        <x:v>7.5</x:v>
      </x:c>
      <x:c r="V1071" t="str">
        <x:f>IF(ABS(L1071-U1071)&lt;0.001,"OK","ERREUR")</x:f>
        <x:v>OK</x:v>
      </x:c>
    </x:row>
    <x:row r="1072" ht="18" customHeight="1">
      <x:c r="A1072" t="str">
        <x:v>ARM054</x:v>
      </x:c>
      <x:c r="B1072" t="str">
        <x:v>Couteau de jet</x:v>
      </x:c>
      <x:c r="C1072" t="n">
        <x:v>9</x:v>
      </x:c>
      <x:c r="D1072" t="str">
        <x:v>Jet</x:v>
      </x:c>
      <x:c r="E1072" s="28" t="n">
        <x:f>IF(M1072=0,0,M1072+O1072)</x:f>
        <x:v>6</x:v>
      </x:c>
      <x:c r="F1072" s="28" t="n">
        <x:f>IF(M1072=0,0,M1072*N1072+O1072)</x:f>
        <x:v>12</x:v>
      </x:c>
      <x:c r="G1072" s="28" t="n">
        <x:f>ROUND(Catalogue!G57*SQRT((1+'Paramètres'!$B$4*(C1072-1)+'Paramètres'!$B$5*(C1072-1)^2)),0)</x:f>
        <x:v>0</x:v>
      </x:c>
      <x:c r="H1072" s="28" t="n">
        <x:f>ROUND(Catalogue!H57*SQRT((1+'Paramètres'!$B$4*(C1072-1)+'Paramètres'!$B$5*(C1072-1)^2)),0)</x:f>
        <x:v>0</x:v>
      </x:c>
      <x:c r="I1072" s="28" t="n">
        <x:v>2</x:v>
      </x:c>
      <x:c r="J1072" s="28" t="n">
        <x:v>4</x:v>
      </x:c>
      <x:c r="K1072" s="30" t="n">
        <x:v>0.2</x:v>
      </x:c>
      <x:c r="L1072" s="54" t="n">
        <x:f>IF(M1072=0,0,(E1072+F1072)/2)</x:f>
        <x:v>9</x:v>
      </x:c>
      <x:c r="M1072" t="n">
        <x:v>2</x:v>
      </x:c>
      <x:c r="N1072" t="n">
        <x:v>4</x:v>
      </x:c>
      <x:c r="O1072" t="n">
        <x:v>4</x:v>
      </x:c>
      <x:c r="P1072" s="63" t="str">
        <x:f>IF(M1072=0,"—",M1072&amp;"d"&amp;N1072&amp;IF(O1072=0,""," + "&amp;O1072))</x:f>
        <x:v>2d4 + 4</x:v>
      </x:c>
      <x:c r="Q1072" t="n">
        <x:f>ROUND(INDEX(Catalogue!E$4:E$85,MATCH(A1072,Catalogue!A$4:A$85,0))*(1+'Paramètres'!$B$4*(C1072-1)+'Paramètres'!$B$5*(C1072-1)^2),0)</x:f>
        <x:v>6</x:v>
      </x:c>
      <x:c r="R1072" t="n">
        <x:f>ROUND(INDEX(Catalogue!F$4:F$85,MATCH(A1072,Catalogue!A$4:A$85,0))*(1+'Paramètres'!$B$4*(C1072-1)+'Paramètres'!$B$5*(C1072-1)^2),0)</x:f>
        <x:v>12</x:v>
      </x:c>
      <x:c r="S1072" t="n">
        <x:f>L1072-AVERAGE(Q1072:R1072)</x:f>
        <x:v>0</x:v>
      </x:c>
      <x:c r="T1072" t="str">
        <x:f>IF(M1072=0,IF(AND(N1072=0,O1072=0,E1072=0,F1072=0),"OK","ERREUR"),IF(AND(M1072&gt;=1,M1072&lt;=32,OR(N1072=4,N1072=6,N1072=8,N1072=10,N1072=12,N1072=20),O1072&gt;=0,E1072=M1072+O1072,F1072=M1072*N1072+O1072),"OK","ERREUR"))</x:f>
        <x:v>OK</x:v>
      </x:c>
      <x:c r="U1072" s="86" t="n">
        <x:f>IF(M1072&gt;0,M1072*(N1072+1)/2+O1072,0)</x:f>
        <x:v>9</x:v>
      </x:c>
      <x:c r="V1072" t="str">
        <x:f>IF(ABS(L1072-U1072)&lt;0.001,"OK","ERREUR")</x:f>
        <x:v>OK</x:v>
      </x:c>
    </x:row>
    <x:row r="1073" ht="18" customHeight="1">
      <x:c r="A1073" t="str">
        <x:v>ARM054</x:v>
      </x:c>
      <x:c r="B1073" t="str">
        <x:v>Couteau de jet</x:v>
      </x:c>
      <x:c r="C1073" t="n">
        <x:v>10</x:v>
      </x:c>
      <x:c r="D1073" t="str">
        <x:v>Jet</x:v>
      </x:c>
      <x:c r="E1073" s="28" t="n">
        <x:f>IF(M1073=0,0,M1073+O1073)</x:f>
        <x:v>7</x:v>
      </x:c>
      <x:c r="F1073" s="28" t="n">
        <x:f>IF(M1073=0,0,M1073*N1073+O1073)</x:f>
        <x:v>13</x:v>
      </x:c>
      <x:c r="G1073" s="28" t="n">
        <x:f>ROUND(Catalogue!G57*SQRT((1+'Paramètres'!$B$4*(C1073-1)+'Paramètres'!$B$5*(C1073-1)^2)),0)</x:f>
        <x:v>0</x:v>
      </x:c>
      <x:c r="H1073" s="28" t="n">
        <x:f>ROUND(Catalogue!H57*SQRT((1+'Paramètres'!$B$4*(C1073-1)+'Paramètres'!$B$5*(C1073-1)^2)),0)</x:f>
        <x:v>0</x:v>
      </x:c>
      <x:c r="I1073" s="28" t="n">
        <x:v>2</x:v>
      </x:c>
      <x:c r="J1073" s="28" t="n">
        <x:v>4</x:v>
      </x:c>
      <x:c r="K1073" s="30" t="n">
        <x:v>0.2</x:v>
      </x:c>
      <x:c r="L1073" s="54" t="n">
        <x:f>IF(M1073=0,0,(E1073+F1073)/2)</x:f>
        <x:v>10</x:v>
      </x:c>
      <x:c r="M1073" t="n">
        <x:v>2</x:v>
      </x:c>
      <x:c r="N1073" t="n">
        <x:v>4</x:v>
      </x:c>
      <x:c r="O1073" t="n">
        <x:v>5</x:v>
      </x:c>
      <x:c r="P1073" s="63" t="str">
        <x:f>IF(M1073=0,"—",M1073&amp;"d"&amp;N1073&amp;IF(O1073=0,""," + "&amp;O1073))</x:f>
        <x:v>2d4 + 5</x:v>
      </x:c>
      <x:c r="Q1073" t="n">
        <x:f>ROUND(INDEX(Catalogue!E$4:E$85,MATCH(A1073,Catalogue!A$4:A$85,0))*(1+'Paramètres'!$B$4*(C1073-1)+'Paramètres'!$B$5*(C1073-1)^2),0)</x:f>
        <x:v>7</x:v>
      </x:c>
      <x:c r="R1073" t="n">
        <x:f>ROUND(INDEX(Catalogue!F$4:F$85,MATCH(A1073,Catalogue!A$4:A$85,0))*(1+'Paramètres'!$B$4*(C1073-1)+'Paramètres'!$B$5*(C1073-1)^2),0)</x:f>
        <x:v>13</x:v>
      </x:c>
      <x:c r="S1073" t="n">
        <x:f>L1073-AVERAGE(Q1073:R1073)</x:f>
        <x:v>0</x:v>
      </x:c>
      <x:c r="T1073" t="str">
        <x:f>IF(M1073=0,IF(AND(N1073=0,O1073=0,E1073=0,F1073=0),"OK","ERREUR"),IF(AND(M1073&gt;=1,M1073&lt;=32,OR(N1073=4,N1073=6,N1073=8,N1073=10,N1073=12,N1073=20),O1073&gt;=0,E1073=M1073+O1073,F1073=M1073*N1073+O1073),"OK","ERREUR"))</x:f>
        <x:v>OK</x:v>
      </x:c>
      <x:c r="U1073" s="86" t="n">
        <x:f>IF(M1073&gt;0,M1073*(N1073+1)/2+O1073,0)</x:f>
        <x:v>10</x:v>
      </x:c>
      <x:c r="V1073" t="str">
        <x:f>IF(ABS(L1073-U1073)&lt;0.001,"OK","ERREUR")</x:f>
        <x:v>OK</x:v>
      </x:c>
    </x:row>
    <x:row r="1074" ht="18" customHeight="1">
      <x:c r="A1074" t="str">
        <x:v>ARM054</x:v>
      </x:c>
      <x:c r="B1074" t="str">
        <x:v>Couteau de jet</x:v>
      </x:c>
      <x:c r="C1074" t="n">
        <x:v>11</x:v>
      </x:c>
      <x:c r="D1074" t="str">
        <x:v>Jet</x:v>
      </x:c>
      <x:c r="E1074" s="28" t="n">
        <x:f>IF(M1074=0,0,M1074+O1074)</x:f>
        <x:v>6</x:v>
      </x:c>
      <x:c r="F1074" s="28" t="n">
        <x:f>IF(M1074=0,0,M1074*N1074+O1074)</x:f>
        <x:v>15</x:v>
      </x:c>
      <x:c r="G1074" s="28" t="n">
        <x:f>ROUND(Catalogue!G57*SQRT((1+'Paramètres'!$B$4*(C1074-1)+'Paramètres'!$B$5*(C1074-1)^2)),0)</x:f>
        <x:v>0</x:v>
      </x:c>
      <x:c r="H1074" s="28" t="n">
        <x:f>ROUND(Catalogue!H57*SQRT((1+'Paramètres'!$B$4*(C1074-1)+'Paramètres'!$B$5*(C1074-1)^2)),0)</x:f>
        <x:v>0</x:v>
      </x:c>
      <x:c r="I1074" s="28" t="n">
        <x:v>2</x:v>
      </x:c>
      <x:c r="J1074" s="28" t="n">
        <x:v>4</x:v>
      </x:c>
      <x:c r="K1074" s="30" t="n">
        <x:v>0.2</x:v>
      </x:c>
      <x:c r="L1074" s="54" t="n">
        <x:f>IF(M1074=0,0,(E1074+F1074)/2)</x:f>
        <x:v>10.5</x:v>
      </x:c>
      <x:c r="M1074" t="n">
        <x:v>3</x:v>
      </x:c>
      <x:c r="N1074" t="n">
        <x:v>4</x:v>
      </x:c>
      <x:c r="O1074" t="n">
        <x:v>3</x:v>
      </x:c>
      <x:c r="P1074" s="63" t="str">
        <x:f>IF(M1074=0,"—",M1074&amp;"d"&amp;N1074&amp;IF(O1074=0,""," + "&amp;O1074))</x:f>
        <x:v>3d4 + 3</x:v>
      </x:c>
      <x:c r="Q1074" t="n">
        <x:f>ROUND(INDEX(Catalogue!E$4:E$85,MATCH(A1074,Catalogue!A$4:A$85,0))*(1+'Paramètres'!$B$4*(C1074-1)+'Paramètres'!$B$5*(C1074-1)^2),0)</x:f>
        <x:v>7</x:v>
      </x:c>
      <x:c r="R1074" t="n">
        <x:f>ROUND(INDEX(Catalogue!F$4:F$85,MATCH(A1074,Catalogue!A$4:A$85,0))*(1+'Paramètres'!$B$4*(C1074-1)+'Paramètres'!$B$5*(C1074-1)^2),0)</x:f>
        <x:v>15</x:v>
      </x:c>
      <x:c r="S1074" t="n">
        <x:f>L1074-AVERAGE(Q1074:R1074)</x:f>
        <x:v>-0.5</x:v>
      </x:c>
      <x:c r="T1074" t="str">
        <x:f>IF(M1074=0,IF(AND(N1074=0,O1074=0,E1074=0,F1074=0),"OK","ERREUR"),IF(AND(M1074&gt;=1,M1074&lt;=32,OR(N1074=4,N1074=6,N1074=8,N1074=10,N1074=12,N1074=20),O1074&gt;=0,E1074=M1074+O1074,F1074=M1074*N1074+O1074),"OK","ERREUR"))</x:f>
        <x:v>OK</x:v>
      </x:c>
      <x:c r="U1074" s="86" t="n">
        <x:f>IF(M1074&gt;0,M1074*(N1074+1)/2+O1074,0)</x:f>
        <x:v>10.5</x:v>
      </x:c>
      <x:c r="V1074" t="str">
        <x:f>IF(ABS(L1074-U1074)&lt;0.001,"OK","ERREUR")</x:f>
        <x:v>OK</x:v>
      </x:c>
    </x:row>
    <x:row r="1075" ht="18" customHeight="1">
      <x:c r="A1075" t="str">
        <x:v>ARM054</x:v>
      </x:c>
      <x:c r="B1075" t="str">
        <x:v>Couteau de jet</x:v>
      </x:c>
      <x:c r="C1075" t="n">
        <x:v>12</x:v>
      </x:c>
      <x:c r="D1075" t="str">
        <x:v>Jet</x:v>
      </x:c>
      <x:c r="E1075" s="28" t="n">
        <x:f>IF(M1075=0,0,M1075+O1075)</x:f>
        <x:v>8</x:v>
      </x:c>
      <x:c r="F1075" s="28" t="n">
        <x:f>IF(M1075=0,0,M1075*N1075+O1075)</x:f>
        <x:v>17</x:v>
      </x:c>
      <x:c r="G1075" s="28" t="n">
        <x:f>ROUND(Catalogue!G57*SQRT((1+'Paramètres'!$B$4*(C1075-1)+'Paramètres'!$B$5*(C1075-1)^2)),0)</x:f>
        <x:v>0</x:v>
      </x:c>
      <x:c r="H1075" s="28" t="n">
        <x:f>ROUND(Catalogue!H57*SQRT((1+'Paramètres'!$B$4*(C1075-1)+'Paramètres'!$B$5*(C1075-1)^2)),0)</x:f>
        <x:v>0</x:v>
      </x:c>
      <x:c r="I1075" s="28" t="n">
        <x:v>2</x:v>
      </x:c>
      <x:c r="J1075" s="28" t="n">
        <x:v>4</x:v>
      </x:c>
      <x:c r="K1075" s="30" t="n">
        <x:v>0.2</x:v>
      </x:c>
      <x:c r="L1075" s="54" t="n">
        <x:f>IF(M1075=0,0,(E1075+F1075)/2)</x:f>
        <x:v>12.5</x:v>
      </x:c>
      <x:c r="M1075" t="n">
        <x:v>3</x:v>
      </x:c>
      <x:c r="N1075" t="n">
        <x:v>4</x:v>
      </x:c>
      <x:c r="O1075" t="n">
        <x:v>5</x:v>
      </x:c>
      <x:c r="P1075" s="63" t="str">
        <x:f>IF(M1075=0,"—",M1075&amp;"d"&amp;N1075&amp;IF(O1075=0,""," + "&amp;O1075))</x:f>
        <x:v>3d4 + 5</x:v>
      </x:c>
      <x:c r="Q1075" t="n">
        <x:f>ROUND(INDEX(Catalogue!E$4:E$85,MATCH(A1075,Catalogue!A$4:A$85,0))*(1+'Paramètres'!$B$4*(C1075-1)+'Paramètres'!$B$5*(C1075-1)^2),0)</x:f>
        <x:v>8</x:v>
      </x:c>
      <x:c r="R1075" t="n">
        <x:f>ROUND(INDEX(Catalogue!F$4:F$85,MATCH(A1075,Catalogue!A$4:A$85,0))*(1+'Paramètres'!$B$4*(C1075-1)+'Paramètres'!$B$5*(C1075-1)^2),0)</x:f>
        <x:v>17</x:v>
      </x:c>
      <x:c r="S1075" t="n">
        <x:f>L1075-AVERAGE(Q1075:R1075)</x:f>
        <x:v>0</x:v>
      </x:c>
      <x:c r="T1075" t="str">
        <x:f>IF(M1075=0,IF(AND(N1075=0,O1075=0,E1075=0,F1075=0),"OK","ERREUR"),IF(AND(M1075&gt;=1,M1075&lt;=32,OR(N1075=4,N1075=6,N1075=8,N1075=10,N1075=12,N1075=20),O1075&gt;=0,E1075=M1075+O1075,F1075=M1075*N1075+O1075),"OK","ERREUR"))</x:f>
        <x:v>OK</x:v>
      </x:c>
      <x:c r="U1075" s="86" t="n">
        <x:f>IF(M1075&gt;0,M1075*(N1075+1)/2+O1075,0)</x:f>
        <x:v>12.5</x:v>
      </x:c>
      <x:c r="V1075" t="str">
        <x:f>IF(ABS(L1075-U1075)&lt;0.001,"OK","ERREUR")</x:f>
        <x:v>OK</x:v>
      </x:c>
    </x:row>
    <x:row r="1076" ht="18" customHeight="1">
      <x:c r="A1076" t="str">
        <x:v>ARM054</x:v>
      </x:c>
      <x:c r="B1076" t="str">
        <x:v>Couteau de jet</x:v>
      </x:c>
      <x:c r="C1076" t="n">
        <x:v>13</x:v>
      </x:c>
      <x:c r="D1076" t="str">
        <x:v>Jet</x:v>
      </x:c>
      <x:c r="E1076" s="28" t="n">
        <x:f>IF(M1076=0,0,M1076+O1076)</x:f>
        <x:v>9</x:v>
      </x:c>
      <x:c r="F1076" s="28" t="n">
        <x:f>IF(M1076=0,0,M1076*N1076+O1076)</x:f>
        <x:v>18</x:v>
      </x:c>
      <x:c r="G1076" s="28" t="n">
        <x:f>ROUND(Catalogue!G57*SQRT((1+'Paramètres'!$B$4*(C1076-1)+'Paramètres'!$B$5*(C1076-1)^2)),0)</x:f>
        <x:v>0</x:v>
      </x:c>
      <x:c r="H1076" s="28" t="n">
        <x:f>ROUND(Catalogue!H57*SQRT((1+'Paramètres'!$B$4*(C1076-1)+'Paramètres'!$B$5*(C1076-1)^2)),0)</x:f>
        <x:v>0</x:v>
      </x:c>
      <x:c r="I1076" s="28" t="n">
        <x:v>2</x:v>
      </x:c>
      <x:c r="J1076" s="28" t="n">
        <x:v>4</x:v>
      </x:c>
      <x:c r="K1076" s="30" t="n">
        <x:v>0.2</x:v>
      </x:c>
      <x:c r="L1076" s="54" t="n">
        <x:f>IF(M1076=0,0,(E1076+F1076)/2)</x:f>
        <x:v>13.5</x:v>
      </x:c>
      <x:c r="M1076" t="n">
        <x:v>3</x:v>
      </x:c>
      <x:c r="N1076" t="n">
        <x:v>4</x:v>
      </x:c>
      <x:c r="O1076" t="n">
        <x:v>6</x:v>
      </x:c>
      <x:c r="P1076" s="63" t="str">
        <x:f>IF(M1076=0,"—",M1076&amp;"d"&amp;N1076&amp;IF(O1076=0,""," + "&amp;O1076))</x:f>
        <x:v>3d4 + 6</x:v>
      </x:c>
      <x:c r="Q1076" t="n">
        <x:f>ROUND(INDEX(Catalogue!E$4:E$85,MATCH(A1076,Catalogue!A$4:A$85,0))*(1+'Paramètres'!$B$4*(C1076-1)+'Paramètres'!$B$5*(C1076-1)^2),0)</x:f>
        <x:v>9</x:v>
      </x:c>
      <x:c r="R1076" t="n">
        <x:f>ROUND(INDEX(Catalogue!F$4:F$85,MATCH(A1076,Catalogue!A$4:A$85,0))*(1+'Paramètres'!$B$4*(C1076-1)+'Paramètres'!$B$5*(C1076-1)^2),0)</x:f>
        <x:v>18</x:v>
      </x:c>
      <x:c r="S1076" t="n">
        <x:f>L1076-AVERAGE(Q1076:R1076)</x:f>
        <x:v>0</x:v>
      </x:c>
      <x:c r="T1076" t="str">
        <x:f>IF(M1076=0,IF(AND(N1076=0,O1076=0,E1076=0,F1076=0),"OK","ERREUR"),IF(AND(M1076&gt;=1,M1076&lt;=32,OR(N1076=4,N1076=6,N1076=8,N1076=10,N1076=12,N1076=20),O1076&gt;=0,E1076=M1076+O1076,F1076=M1076*N1076+O1076),"OK","ERREUR"))</x:f>
        <x:v>OK</x:v>
      </x:c>
      <x:c r="U1076" s="86" t="n">
        <x:f>IF(M1076&gt;0,M1076*(N1076+1)/2+O1076,0)</x:f>
        <x:v>13.5</x:v>
      </x:c>
      <x:c r="V1076" t="str">
        <x:f>IF(ABS(L1076-U1076)&lt;0.001,"OK","ERREUR")</x:f>
        <x:v>OK</x:v>
      </x:c>
    </x:row>
    <x:row r="1077" ht="18" customHeight="1">
      <x:c r="A1077" t="str">
        <x:v>ARM054</x:v>
      </x:c>
      <x:c r="B1077" t="str">
        <x:v>Couteau de jet</x:v>
      </x:c>
      <x:c r="C1077" t="n">
        <x:v>14</x:v>
      </x:c>
      <x:c r="D1077" t="str">
        <x:v>Jet</x:v>
      </x:c>
      <x:c r="E1077" s="28" t="n">
        <x:f>IF(M1077=0,0,M1077+O1077)</x:f>
        <x:v>10</x:v>
      </x:c>
      <x:c r="F1077" s="28" t="n">
        <x:f>IF(M1077=0,0,M1077*N1077+O1077)</x:f>
        <x:v>20</x:v>
      </x:c>
      <x:c r="G1077" s="28" t="n">
        <x:f>ROUND(Catalogue!G57*SQRT((1+'Paramètres'!$B$4*(C1077-1)+'Paramètres'!$B$5*(C1077-1)^2)),0)</x:f>
        <x:v>0</x:v>
      </x:c>
      <x:c r="H1077" s="28" t="n">
        <x:f>ROUND(Catalogue!H57*SQRT((1+'Paramètres'!$B$4*(C1077-1)+'Paramètres'!$B$5*(C1077-1)^2)),0)</x:f>
        <x:v>0</x:v>
      </x:c>
      <x:c r="I1077" s="28" t="n">
        <x:v>2</x:v>
      </x:c>
      <x:c r="J1077" s="28" t="n">
        <x:v>4</x:v>
      </x:c>
      <x:c r="K1077" s="30" t="n">
        <x:v>0.2</x:v>
      </x:c>
      <x:c r="L1077" s="54" t="n">
        <x:f>IF(M1077=0,0,(E1077+F1077)/2)</x:f>
        <x:v>15</x:v>
      </x:c>
      <x:c r="M1077" t="n">
        <x:v>2</x:v>
      </x:c>
      <x:c r="N1077" t="n">
        <x:v>6</x:v>
      </x:c>
      <x:c r="O1077" t="n">
        <x:v>8</x:v>
      </x:c>
      <x:c r="P1077" s="63" t="str">
        <x:f>IF(M1077=0,"—",M1077&amp;"d"&amp;N1077&amp;IF(O1077=0,""," + "&amp;O1077))</x:f>
        <x:v>2d6 + 8</x:v>
      </x:c>
      <x:c r="Q1077" t="n">
        <x:f>ROUND(INDEX(Catalogue!E$4:E$85,MATCH(A1077,Catalogue!A$4:A$85,0))*(1+'Paramètres'!$B$4*(C1077-1)+'Paramètres'!$B$5*(C1077-1)^2),0)</x:f>
        <x:v>10</x:v>
      </x:c>
      <x:c r="R1077" t="n">
        <x:f>ROUND(INDEX(Catalogue!F$4:F$85,MATCH(A1077,Catalogue!A$4:A$85,0))*(1+'Paramètres'!$B$4*(C1077-1)+'Paramètres'!$B$5*(C1077-1)^2),0)</x:f>
        <x:v>21</x:v>
      </x:c>
      <x:c r="S1077" t="n">
        <x:f>L1077-AVERAGE(Q1077:R1077)</x:f>
        <x:v>-0.5</x:v>
      </x:c>
      <x:c r="T1077" t="str">
        <x:f>IF(M1077=0,IF(AND(N1077=0,O1077=0,E1077=0,F1077=0),"OK","ERREUR"),IF(AND(M1077&gt;=1,M1077&lt;=32,OR(N1077=4,N1077=6,N1077=8,N1077=10,N1077=12,N1077=20),O1077&gt;=0,E1077=M1077+O1077,F1077=M1077*N1077+O1077),"OK","ERREUR"))</x:f>
        <x:v>OK</x:v>
      </x:c>
      <x:c r="U1077" s="86" t="n">
        <x:f>IF(M1077&gt;0,M1077*(N1077+1)/2+O1077,0)</x:f>
        <x:v>15</x:v>
      </x:c>
      <x:c r="V1077" t="str">
        <x:f>IF(ABS(L1077-U1077)&lt;0.001,"OK","ERREUR")</x:f>
        <x:v>OK</x:v>
      </x:c>
    </x:row>
    <x:row r="1078" ht="18" customHeight="1">
      <x:c r="A1078" t="str">
        <x:v>ARM054</x:v>
      </x:c>
      <x:c r="B1078" t="str">
        <x:v>Couteau de jet</x:v>
      </x:c>
      <x:c r="C1078" t="n">
        <x:v>15</x:v>
      </x:c>
      <x:c r="D1078" t="str">
        <x:v>Jet</x:v>
      </x:c>
      <x:c r="E1078" s="28" t="n">
        <x:f>IF(M1078=0,0,M1078+O1078)</x:f>
        <x:v>11</x:v>
      </x:c>
      <x:c r="F1078" s="28" t="n">
        <x:f>IF(M1078=0,0,M1078*N1078+O1078)</x:f>
        <x:v>23</x:v>
      </x:c>
      <x:c r="G1078" s="28" t="n">
        <x:f>ROUND(Catalogue!G57*SQRT((1+'Paramètres'!$B$4*(C1078-1)+'Paramètres'!$B$5*(C1078-1)^2)),0)</x:f>
        <x:v>0</x:v>
      </x:c>
      <x:c r="H1078" s="28" t="n">
        <x:f>ROUND(Catalogue!H57*SQRT((1+'Paramètres'!$B$4*(C1078-1)+'Paramètres'!$B$5*(C1078-1)^2)),0)</x:f>
        <x:v>0</x:v>
      </x:c>
      <x:c r="I1078" s="28" t="n">
        <x:v>2</x:v>
      </x:c>
      <x:c r="J1078" s="28" t="n">
        <x:v>4</x:v>
      </x:c>
      <x:c r="K1078" s="30" t="n">
        <x:v>0.2</x:v>
      </x:c>
      <x:c r="L1078" s="54" t="n">
        <x:f>IF(M1078=0,0,(E1078+F1078)/2)</x:f>
        <x:v>17</x:v>
      </x:c>
      <x:c r="M1078" t="n">
        <x:v>4</x:v>
      </x:c>
      <x:c r="N1078" t="n">
        <x:v>4</x:v>
      </x:c>
      <x:c r="O1078" t="n">
        <x:v>7</x:v>
      </x:c>
      <x:c r="P1078" s="63" t="str">
        <x:f>IF(M1078=0,"—",M1078&amp;"d"&amp;N1078&amp;IF(O1078=0,""," + "&amp;O1078))</x:f>
        <x:v>4d4 + 7</x:v>
      </x:c>
      <x:c r="Q1078" t="n">
        <x:f>ROUND(INDEX(Catalogue!E$4:E$85,MATCH(A1078,Catalogue!A$4:A$85,0))*(1+'Paramètres'!$B$4*(C1078-1)+'Paramètres'!$B$5*(C1078-1)^2),0)</x:f>
        <x:v>11</x:v>
      </x:c>
      <x:c r="R1078" t="n">
        <x:f>ROUND(INDEX(Catalogue!F$4:F$85,MATCH(A1078,Catalogue!A$4:A$85,0))*(1+'Paramètres'!$B$4*(C1078-1)+'Paramètres'!$B$5*(C1078-1)^2),0)</x:f>
        <x:v>23</x:v>
      </x:c>
      <x:c r="S1078" t="n">
        <x:f>L1078-AVERAGE(Q1078:R1078)</x:f>
        <x:v>0</x:v>
      </x:c>
      <x:c r="T1078" t="str">
        <x:f>IF(M1078=0,IF(AND(N1078=0,O1078=0,E1078=0,F1078=0),"OK","ERREUR"),IF(AND(M1078&gt;=1,M1078&lt;=32,OR(N1078=4,N1078=6,N1078=8,N1078=10,N1078=12,N1078=20),O1078&gt;=0,E1078=M1078+O1078,F1078=M1078*N1078+O1078),"OK","ERREUR"))</x:f>
        <x:v>OK</x:v>
      </x:c>
      <x:c r="U1078" s="86" t="n">
        <x:f>IF(M1078&gt;0,M1078*(N1078+1)/2+O1078,0)</x:f>
        <x:v>17</x:v>
      </x:c>
      <x:c r="V1078" t="str">
        <x:f>IF(ABS(L1078-U1078)&lt;0.001,"OK","ERREUR")</x:f>
        <x:v>OK</x:v>
      </x:c>
    </x:row>
    <x:row r="1079" ht="18" customHeight="1">
      <x:c r="A1079" t="str">
        <x:v>ARM054</x:v>
      </x:c>
      <x:c r="B1079" t="str">
        <x:v>Couteau de jet</x:v>
      </x:c>
      <x:c r="C1079" t="n">
        <x:v>16</x:v>
      </x:c>
      <x:c r="D1079" t="str">
        <x:v>Jet</x:v>
      </x:c>
      <x:c r="E1079" s="28" t="n">
        <x:f>IF(M1079=0,0,M1079+O1079)</x:f>
        <x:v>13</x:v>
      </x:c>
      <x:c r="F1079" s="28" t="n">
        <x:f>IF(M1079=0,0,M1079*N1079+O1079)</x:f>
        <x:v>25</x:v>
      </x:c>
      <x:c r="G1079" s="28" t="n">
        <x:f>ROUND(Catalogue!G57*SQRT((1+'Paramètres'!$B$4*(C1079-1)+'Paramètres'!$B$5*(C1079-1)^2)),0)</x:f>
        <x:v>0</x:v>
      </x:c>
      <x:c r="H1079" s="28" t="n">
        <x:f>ROUND(Catalogue!H57*SQRT((1+'Paramètres'!$B$4*(C1079-1)+'Paramètres'!$B$5*(C1079-1)^2)),0)</x:f>
        <x:v>0</x:v>
      </x:c>
      <x:c r="I1079" s="28" t="n">
        <x:v>2</x:v>
      </x:c>
      <x:c r="J1079" s="28" t="n">
        <x:v>4</x:v>
      </x:c>
      <x:c r="K1079" s="30" t="n">
        <x:v>0.2</x:v>
      </x:c>
      <x:c r="L1079" s="54" t="n">
        <x:f>IF(M1079=0,0,(E1079+F1079)/2)</x:f>
        <x:v>19</x:v>
      </x:c>
      <x:c r="M1079" t="n">
        <x:v>4</x:v>
      </x:c>
      <x:c r="N1079" t="n">
        <x:v>4</x:v>
      </x:c>
      <x:c r="O1079" t="n">
        <x:v>9</x:v>
      </x:c>
      <x:c r="P1079" s="63" t="str">
        <x:f>IF(M1079=0,"—",M1079&amp;"d"&amp;N1079&amp;IF(O1079=0,""," + "&amp;O1079))</x:f>
        <x:v>4d4 + 9</x:v>
      </x:c>
      <x:c r="Q1079" t="n">
        <x:f>ROUND(INDEX(Catalogue!E$4:E$85,MATCH(A1079,Catalogue!A$4:A$85,0))*(1+'Paramètres'!$B$4*(C1079-1)+'Paramètres'!$B$5*(C1079-1)^2),0)</x:f>
        <x:v>13</x:v>
      </x:c>
      <x:c r="R1079" t="n">
        <x:f>ROUND(INDEX(Catalogue!F$4:F$85,MATCH(A1079,Catalogue!A$4:A$85,0))*(1+'Paramètres'!$B$4*(C1079-1)+'Paramètres'!$B$5*(C1079-1)^2),0)</x:f>
        <x:v>25</x:v>
      </x:c>
      <x:c r="S1079" t="n">
        <x:f>L1079-AVERAGE(Q1079:R1079)</x:f>
        <x:v>0</x:v>
      </x:c>
      <x:c r="T1079" t="str">
        <x:f>IF(M1079=0,IF(AND(N1079=0,O1079=0,E1079=0,F1079=0),"OK","ERREUR"),IF(AND(M1079&gt;=1,M1079&lt;=32,OR(N1079=4,N1079=6,N1079=8,N1079=10,N1079=12,N1079=20),O1079&gt;=0,E1079=M1079+O1079,F1079=M1079*N1079+O1079),"OK","ERREUR"))</x:f>
        <x:v>OK</x:v>
      </x:c>
      <x:c r="U1079" s="86" t="n">
        <x:f>IF(M1079&gt;0,M1079*(N1079+1)/2+O1079,0)</x:f>
        <x:v>19</x:v>
      </x:c>
      <x:c r="V1079" t="str">
        <x:f>IF(ABS(L1079-U1079)&lt;0.001,"OK","ERREUR")</x:f>
        <x:v>OK</x:v>
      </x:c>
    </x:row>
    <x:row r="1080" ht="18" customHeight="1">
      <x:c r="A1080" t="str">
        <x:v>ARM054</x:v>
      </x:c>
      <x:c r="B1080" t="str">
        <x:v>Couteau de jet</x:v>
      </x:c>
      <x:c r="C1080" t="n">
        <x:v>17</x:v>
      </x:c>
      <x:c r="D1080" t="str">
        <x:v>Jet</x:v>
      </x:c>
      <x:c r="E1080" s="28" t="n">
        <x:f>IF(M1080=0,0,M1080+O1080)</x:f>
        <x:v>13</x:v>
      </x:c>
      <x:c r="F1080" s="28" t="n">
        <x:f>IF(M1080=0,0,M1080*N1080+O1080)</x:f>
        <x:v>27</x:v>
      </x:c>
      <x:c r="G1080" s="28" t="n">
        <x:f>ROUND(Catalogue!G57*SQRT((1+'Paramètres'!$B$4*(C1080-1)+'Paramètres'!$B$5*(C1080-1)^2)),0)</x:f>
        <x:v>0</x:v>
      </x:c>
      <x:c r="H1080" s="28" t="n">
        <x:f>ROUND(Catalogue!H57*SQRT((1+'Paramètres'!$B$4*(C1080-1)+'Paramètres'!$B$5*(C1080-1)^2)),0)</x:f>
        <x:v>0</x:v>
      </x:c>
      <x:c r="I1080" s="28" t="n">
        <x:v>2</x:v>
      </x:c>
      <x:c r="J1080" s="28" t="n">
        <x:v>4</x:v>
      </x:c>
      <x:c r="K1080" s="30" t="n">
        <x:v>0.2</x:v>
      </x:c>
      <x:c r="L1080" s="54" t="n">
        <x:f>IF(M1080=0,0,(E1080+F1080)/2)</x:f>
        <x:v>20</x:v>
      </x:c>
      <x:c r="M1080" t="n">
        <x:v>2</x:v>
      </x:c>
      <x:c r="N1080" t="n">
        <x:v>8</x:v>
      </x:c>
      <x:c r="O1080" t="n">
        <x:v>11</x:v>
      </x:c>
      <x:c r="P1080" s="63" t="str">
        <x:f>IF(M1080=0,"—",M1080&amp;"d"&amp;N1080&amp;IF(O1080=0,""," + "&amp;O1080))</x:f>
        <x:v>2d8 + 11</x:v>
      </x:c>
      <x:c r="Q1080" t="n">
        <x:f>ROUND(INDEX(Catalogue!E$4:E$85,MATCH(A1080,Catalogue!A$4:A$85,0))*(1+'Paramètres'!$B$4*(C1080-1)+'Paramètres'!$B$5*(C1080-1)^2),0)</x:f>
        <x:v>14</x:v>
      </x:c>
      <x:c r="R1080" t="n">
        <x:f>ROUND(INDEX(Catalogue!F$4:F$85,MATCH(A1080,Catalogue!A$4:A$85,0))*(1+'Paramètres'!$B$4*(C1080-1)+'Paramètres'!$B$5*(C1080-1)^2),0)</x:f>
        <x:v>27</x:v>
      </x:c>
      <x:c r="S1080" t="n">
        <x:f>L1080-AVERAGE(Q1080:R1080)</x:f>
        <x:v>-0.5</x:v>
      </x:c>
      <x:c r="T1080" t="str">
        <x:f>IF(M1080=0,IF(AND(N1080=0,O1080=0,E1080=0,F1080=0),"OK","ERREUR"),IF(AND(M1080&gt;=1,M1080&lt;=32,OR(N1080=4,N1080=6,N1080=8,N1080=10,N1080=12,N1080=20),O1080&gt;=0,E1080=M1080+O1080,F1080=M1080*N1080+O1080),"OK","ERREUR"))</x:f>
        <x:v>OK</x:v>
      </x:c>
      <x:c r="U1080" s="86" t="n">
        <x:f>IF(M1080&gt;0,M1080*(N1080+1)/2+O1080,0)</x:f>
        <x:v>20</x:v>
      </x:c>
      <x:c r="V1080" t="str">
        <x:f>IF(ABS(L1080-U1080)&lt;0.001,"OK","ERREUR")</x:f>
        <x:v>OK</x:v>
      </x:c>
    </x:row>
    <x:row r="1081" ht="18" customHeight="1">
      <x:c r="A1081" t="str">
        <x:v>ARM054</x:v>
      </x:c>
      <x:c r="B1081" t="str">
        <x:v>Couteau de jet</x:v>
      </x:c>
      <x:c r="C1081" t="n">
        <x:v>18</x:v>
      </x:c>
      <x:c r="D1081" t="str">
        <x:v>Jet</x:v>
      </x:c>
      <x:c r="E1081" s="28" t="n">
        <x:f>IF(M1081=0,0,M1081+O1081)</x:f>
        <x:v>15</x:v>
      </x:c>
      <x:c r="F1081" s="28" t="n">
        <x:f>IF(M1081=0,0,M1081*N1081+O1081)</x:f>
        <x:v>30</x:v>
      </x:c>
      <x:c r="G1081" s="28" t="n">
        <x:f>ROUND(Catalogue!G57*SQRT((1+'Paramètres'!$B$4*(C1081-1)+'Paramètres'!$B$5*(C1081-1)^2)),0)</x:f>
        <x:v>0</x:v>
      </x:c>
      <x:c r="H1081" s="28" t="n">
        <x:f>ROUND(Catalogue!H57*SQRT((1+'Paramètres'!$B$4*(C1081-1)+'Paramètres'!$B$5*(C1081-1)^2)),0)</x:f>
        <x:v>0</x:v>
      </x:c>
      <x:c r="I1081" s="28" t="n">
        <x:v>2</x:v>
      </x:c>
      <x:c r="J1081" s="28" t="n">
        <x:v>4</x:v>
      </x:c>
      <x:c r="K1081" s="30" t="n">
        <x:v>0.2</x:v>
      </x:c>
      <x:c r="L1081" s="54" t="n">
        <x:f>IF(M1081=0,0,(E1081+F1081)/2)</x:f>
        <x:v>22.5</x:v>
      </x:c>
      <x:c r="M1081" t="n">
        <x:v>3</x:v>
      </x:c>
      <x:c r="N1081" t="n">
        <x:v>6</x:v>
      </x:c>
      <x:c r="O1081" t="n">
        <x:v>12</x:v>
      </x:c>
      <x:c r="P1081" s="63" t="str">
        <x:f>IF(M1081=0,"—",M1081&amp;"d"&amp;N1081&amp;IF(O1081=0,""," + "&amp;O1081))</x:f>
        <x:v>3d6 + 12</x:v>
      </x:c>
      <x:c r="Q1081" t="n">
        <x:f>ROUND(INDEX(Catalogue!E$4:E$85,MATCH(A1081,Catalogue!A$4:A$85,0))*(1+'Paramètres'!$B$4*(C1081-1)+'Paramètres'!$B$5*(C1081-1)^2),0)</x:f>
        <x:v>15</x:v>
      </x:c>
      <x:c r="R1081" t="n">
        <x:f>ROUND(INDEX(Catalogue!F$4:F$85,MATCH(A1081,Catalogue!A$4:A$85,0))*(1+'Paramètres'!$B$4*(C1081-1)+'Paramètres'!$B$5*(C1081-1)^2),0)</x:f>
        <x:v>30</x:v>
      </x:c>
      <x:c r="S1081" t="n">
        <x:f>L1081-AVERAGE(Q1081:R1081)</x:f>
        <x:v>0</x:v>
      </x:c>
      <x:c r="T1081" t="str">
        <x:f>IF(M1081=0,IF(AND(N1081=0,O1081=0,E1081=0,F1081=0),"OK","ERREUR"),IF(AND(M1081&gt;=1,M1081&lt;=32,OR(N1081=4,N1081=6,N1081=8,N1081=10,N1081=12,N1081=20),O1081&gt;=0,E1081=M1081+O1081,F1081=M1081*N1081+O1081),"OK","ERREUR"))</x:f>
        <x:v>OK</x:v>
      </x:c>
      <x:c r="U1081" s="86" t="n">
        <x:f>IF(M1081&gt;0,M1081*(N1081+1)/2+O1081,0)</x:f>
        <x:v>22.5</x:v>
      </x:c>
      <x:c r="V1081" t="str">
        <x:f>IF(ABS(L1081-U1081)&lt;0.001,"OK","ERREUR")</x:f>
        <x:v>OK</x:v>
      </x:c>
    </x:row>
    <x:row r="1082" ht="18" customHeight="1">
      <x:c r="A1082" t="str">
        <x:v>ARM054</x:v>
      </x:c>
      <x:c r="B1082" t="str">
        <x:v>Couteau de jet</x:v>
      </x:c>
      <x:c r="C1082" t="n">
        <x:v>19</x:v>
      </x:c>
      <x:c r="D1082" t="str">
        <x:v>Jet</x:v>
      </x:c>
      <x:c r="E1082" s="28" t="n">
        <x:f>IF(M1082=0,0,M1082+O1082)</x:f>
        <x:v>15</x:v>
      </x:c>
      <x:c r="F1082" s="28" t="n">
        <x:f>IF(M1082=0,0,M1082*N1082+O1082)</x:f>
        <x:v>33</x:v>
      </x:c>
      <x:c r="G1082" s="28" t="n">
        <x:f>ROUND(Catalogue!G57*SQRT((1+'Paramètres'!$B$4*(C1082-1)+'Paramètres'!$B$5*(C1082-1)^2)),0)</x:f>
        <x:v>0</x:v>
      </x:c>
      <x:c r="H1082" s="28" t="n">
        <x:f>ROUND(Catalogue!H57*SQRT((1+'Paramètres'!$B$4*(C1082-1)+'Paramètres'!$B$5*(C1082-1)^2)),0)</x:f>
        <x:v>0</x:v>
      </x:c>
      <x:c r="I1082" s="28" t="n">
        <x:v>2</x:v>
      </x:c>
      <x:c r="J1082" s="28" t="n">
        <x:v>4</x:v>
      </x:c>
      <x:c r="K1082" s="30" t="n">
        <x:v>0.2</x:v>
      </x:c>
      <x:c r="L1082" s="54" t="n">
        <x:f>IF(M1082=0,0,(E1082+F1082)/2)</x:f>
        <x:v>24</x:v>
      </x:c>
      <x:c r="M1082" t="n">
        <x:v>6</x:v>
      </x:c>
      <x:c r="N1082" t="n">
        <x:v>4</x:v>
      </x:c>
      <x:c r="O1082" t="n">
        <x:v>9</x:v>
      </x:c>
      <x:c r="P1082" s="63" t="str">
        <x:f>IF(M1082=0,"—",M1082&amp;"d"&amp;N1082&amp;IF(O1082=0,""," + "&amp;O1082))</x:f>
        <x:v>6d4 + 9</x:v>
      </x:c>
      <x:c r="Q1082" t="n">
        <x:f>ROUND(INDEX(Catalogue!E$4:E$85,MATCH(A1082,Catalogue!A$4:A$85,0))*(1+'Paramètres'!$B$4*(C1082-1)+'Paramètres'!$B$5*(C1082-1)^2),0)</x:f>
        <x:v>16</x:v>
      </x:c>
      <x:c r="R1082" t="n">
        <x:f>ROUND(INDEX(Catalogue!F$4:F$85,MATCH(A1082,Catalogue!A$4:A$85,0))*(1+'Paramètres'!$B$4*(C1082-1)+'Paramètres'!$B$5*(C1082-1)^2),0)</x:f>
        <x:v>33</x:v>
      </x:c>
      <x:c r="S1082" t="n">
        <x:f>L1082-AVERAGE(Q1082:R1082)</x:f>
        <x:v>-0.5</x:v>
      </x:c>
      <x:c r="T1082" t="str">
        <x:f>IF(M1082=0,IF(AND(N1082=0,O1082=0,E1082=0,F1082=0),"OK","ERREUR"),IF(AND(M1082&gt;=1,M1082&lt;=32,OR(N1082=4,N1082=6,N1082=8,N1082=10,N1082=12,N1082=20),O1082&gt;=0,E1082=M1082+O1082,F1082=M1082*N1082+O1082),"OK","ERREUR"))</x:f>
        <x:v>OK</x:v>
      </x:c>
      <x:c r="U1082" s="86" t="n">
        <x:f>IF(M1082&gt;0,M1082*(N1082+1)/2+O1082,0)</x:f>
        <x:v>24</x:v>
      </x:c>
      <x:c r="V1082" t="str">
        <x:f>IF(ABS(L1082-U1082)&lt;0.001,"OK","ERREUR")</x:f>
        <x:v>OK</x:v>
      </x:c>
    </x:row>
    <x:row r="1083" ht="18" customHeight="1">
      <x:c r="A1083" t="str">
        <x:v>ARM054</x:v>
      </x:c>
      <x:c r="B1083" t="str">
        <x:v>Couteau de jet</x:v>
      </x:c>
      <x:c r="C1083" t="n">
        <x:v>20</x:v>
      </x:c>
      <x:c r="D1083" t="str">
        <x:v>Jet</x:v>
      </x:c>
      <x:c r="E1083" s="28" t="n">
        <x:f>IF(M1083=0,0,M1083+O1083)</x:f>
        <x:v>17</x:v>
      </x:c>
      <x:c r="F1083" s="28" t="n">
        <x:f>IF(M1083=0,0,M1083*N1083+O1083)</x:f>
        <x:v>35</x:v>
      </x:c>
      <x:c r="G1083" s="28" t="n">
        <x:f>ROUND(Catalogue!G57*SQRT((1+'Paramètres'!$B$4*(C1083-1)+'Paramètres'!$B$5*(C1083-1)^2)),0)</x:f>
        <x:v>0</x:v>
      </x:c>
      <x:c r="H1083" s="28" t="n">
        <x:f>ROUND(Catalogue!H57*SQRT((1+'Paramètres'!$B$4*(C1083-1)+'Paramètres'!$B$5*(C1083-1)^2)),0)</x:f>
        <x:v>0</x:v>
      </x:c>
      <x:c r="I1083" s="28" t="n">
        <x:v>2</x:v>
      </x:c>
      <x:c r="J1083" s="28" t="n">
        <x:v>4</x:v>
      </x:c>
      <x:c r="K1083" s="30" t="n">
        <x:v>0.2</x:v>
      </x:c>
      <x:c r="L1083" s="54" t="n">
        <x:f>IF(M1083=0,0,(E1083+F1083)/2)</x:f>
        <x:v>26</x:v>
      </x:c>
      <x:c r="M1083" t="n">
        <x:v>6</x:v>
      </x:c>
      <x:c r="N1083" t="n">
        <x:v>4</x:v>
      </x:c>
      <x:c r="O1083" t="n">
        <x:v>11</x:v>
      </x:c>
      <x:c r="P1083" s="63" t="str">
        <x:f>IF(M1083=0,"—",M1083&amp;"d"&amp;N1083&amp;IF(O1083=0,""," + "&amp;O1083))</x:f>
        <x:v>6d4 + 11</x:v>
      </x:c>
      <x:c r="Q1083" t="n">
        <x:f>ROUND(INDEX(Catalogue!E$4:E$85,MATCH(A1083,Catalogue!A$4:A$85,0))*(1+'Paramètres'!$B$4*(C1083-1)+'Paramètres'!$B$5*(C1083-1)^2),0)</x:f>
        <x:v>18</x:v>
      </x:c>
      <x:c r="R1083" t="n">
        <x:f>ROUND(INDEX(Catalogue!F$4:F$85,MATCH(A1083,Catalogue!A$4:A$85,0))*(1+'Paramètres'!$B$4*(C1083-1)+'Paramètres'!$B$5*(C1083-1)^2),0)</x:f>
        <x:v>35</x:v>
      </x:c>
      <x:c r="S1083" t="n">
        <x:f>L1083-AVERAGE(Q1083:R1083)</x:f>
        <x:v>-0.5</x:v>
      </x:c>
      <x:c r="T1083" t="str">
        <x:f>IF(M1083=0,IF(AND(N1083=0,O1083=0,E1083=0,F1083=0),"OK","ERREUR"),IF(AND(M1083&gt;=1,M1083&lt;=32,OR(N1083=4,N1083=6,N1083=8,N1083=10,N1083=12,N1083=20),O1083&gt;=0,E1083=M1083+O1083,F1083=M1083*N1083+O1083),"OK","ERREUR"))</x:f>
        <x:v>OK</x:v>
      </x:c>
      <x:c r="U1083" s="86" t="n">
        <x:f>IF(M1083&gt;0,M1083*(N1083+1)/2+O1083,0)</x:f>
        <x:v>26</x:v>
      </x:c>
      <x:c r="V1083" t="str">
        <x:f>IF(ABS(L1083-U1083)&lt;0.001,"OK","ERREUR")</x:f>
        <x:v>OK</x:v>
      </x:c>
    </x:row>
    <x:row r="1084" ht="18" customHeight="1">
      <x:c r="A1084" t="str">
        <x:v>ARM055</x:v>
      </x:c>
      <x:c r="B1084" t="str">
        <x:v>Dague de jet</x:v>
      </x:c>
      <x:c r="C1084" t="n">
        <x:v>1</x:v>
      </x:c>
      <x:c r="D1084" t="str">
        <x:v>Jet</x:v>
      </x:c>
      <x:c r="E1084" s="28" t="n">
        <x:f>IF(M1084=0,0,M1084+O1084)</x:f>
        <x:v>2</x:v>
      </x:c>
      <x:c r="F1084" s="28" t="n">
        <x:f>IF(M1084=0,0,M1084*N1084+O1084)</x:f>
        <x:v>5</x:v>
      </x:c>
      <x:c r="G1084" s="28" t="n">
        <x:f>ROUND(Catalogue!G58*SQRT((1+'Paramètres'!$B$4*(C1084-1)+'Paramètres'!$B$5*(C1084-1)^2)),0)</x:f>
        <x:v>0</x:v>
      </x:c>
      <x:c r="H1084" s="28" t="n">
        <x:f>ROUND(Catalogue!H58*SQRT((1+'Paramètres'!$B$4*(C1084-1)+'Paramètres'!$B$5*(C1084-1)^2)),0)</x:f>
        <x:v>0</x:v>
      </x:c>
      <x:c r="I1084" s="28" t="n">
        <x:v>2</x:v>
      </x:c>
      <x:c r="J1084" s="28" t="n">
        <x:v>4</x:v>
      </x:c>
      <x:c r="K1084" s="30" t="n">
        <x:v>0.35</x:v>
      </x:c>
      <x:c r="L1084" s="54" t="n">
        <x:f>IF(M1084=0,0,(E1084+F1084)/2)</x:f>
        <x:v>3.5</x:v>
      </x:c>
      <x:c r="M1084" t="n">
        <x:v>1</x:v>
      </x:c>
      <x:c r="N1084" t="n">
        <x:v>4</x:v>
      </x:c>
      <x:c r="O1084" t="n">
        <x:v>1</x:v>
      </x:c>
      <x:c r="P1084" s="63" t="str">
        <x:f>IF(M1084=0,"—",M1084&amp;"d"&amp;N1084&amp;IF(O1084=0,""," + "&amp;O1084))</x:f>
        <x:v>1d4 + 1</x:v>
      </x:c>
      <x:c r="Q1084" t="n">
        <x:f>ROUND(INDEX(Catalogue!E$4:E$85,MATCH(A1084,Catalogue!A$4:A$85,0))*(1+'Paramètres'!$B$4*(C1084-1)+'Paramètres'!$B$5*(C1084-1)^2),0)</x:f>
        <x:v>3</x:v>
      </x:c>
      <x:c r="R1084" t="n">
        <x:f>ROUND(INDEX(Catalogue!F$4:F$85,MATCH(A1084,Catalogue!A$4:A$85,0))*(1+'Paramètres'!$B$4*(C1084-1)+'Paramètres'!$B$5*(C1084-1)^2),0)</x:f>
        <x:v>5</x:v>
      </x:c>
      <x:c r="S1084" t="n">
        <x:f>L1084-AVERAGE(Q1084:R1084)</x:f>
        <x:v>-0.5</x:v>
      </x:c>
      <x:c r="T1084" t="str">
        <x:f>IF(M1084=0,IF(AND(N1084=0,O1084=0,E1084=0,F1084=0),"OK","ERREUR"),IF(AND(M1084&gt;=1,M1084&lt;=32,OR(N1084=4,N1084=6,N1084=8,N1084=10,N1084=12,N1084=20),O1084&gt;=0,E1084=M1084+O1084,F1084=M1084*N1084+O1084),"OK","ERREUR"))</x:f>
        <x:v>OK</x:v>
      </x:c>
      <x:c r="U1084" s="86" t="n">
        <x:f>IF(M1084&gt;0,M1084*(N1084+1)/2+O1084,0)</x:f>
        <x:v>3.5</x:v>
      </x:c>
      <x:c r="V1084" t="str">
        <x:f>IF(ABS(L1084-U1084)&lt;0.001,"OK","ERREUR")</x:f>
        <x:v>OK</x:v>
      </x:c>
    </x:row>
    <x:row r="1085" ht="18" customHeight="1">
      <x:c r="A1085" t="str">
        <x:v>ARM055</x:v>
      </x:c>
      <x:c r="B1085" t="str">
        <x:v>Dague de jet</x:v>
      </x:c>
      <x:c r="C1085" t="n">
        <x:v>2</x:v>
      </x:c>
      <x:c r="D1085" t="str">
        <x:v>Jet</x:v>
      </x:c>
      <x:c r="E1085" s="28" t="n">
        <x:f>IF(M1085=0,0,M1085+O1085)</x:f>
        <x:v>3</x:v>
      </x:c>
      <x:c r="F1085" s="28" t="n">
        <x:f>IF(M1085=0,0,M1085*N1085+O1085)</x:f>
        <x:v>6</x:v>
      </x:c>
      <x:c r="G1085" s="28" t="n">
        <x:f>ROUND(Catalogue!G58*SQRT((1+'Paramètres'!$B$4*(C1085-1)+'Paramètres'!$B$5*(C1085-1)^2)),0)</x:f>
        <x:v>0</x:v>
      </x:c>
      <x:c r="H1085" s="28" t="n">
        <x:f>ROUND(Catalogue!H58*SQRT((1+'Paramètres'!$B$4*(C1085-1)+'Paramètres'!$B$5*(C1085-1)^2)),0)</x:f>
        <x:v>0</x:v>
      </x:c>
      <x:c r="I1085" s="28" t="n">
        <x:v>2</x:v>
      </x:c>
      <x:c r="J1085" s="28" t="n">
        <x:v>4</x:v>
      </x:c>
      <x:c r="K1085" s="30" t="n">
        <x:v>0.35</x:v>
      </x:c>
      <x:c r="L1085" s="54" t="n">
        <x:f>IF(M1085=0,0,(E1085+F1085)/2)</x:f>
        <x:v>4.5</x:v>
      </x:c>
      <x:c r="M1085" t="n">
        <x:v>1</x:v>
      </x:c>
      <x:c r="N1085" t="n">
        <x:v>4</x:v>
      </x:c>
      <x:c r="O1085" t="n">
        <x:v>2</x:v>
      </x:c>
      <x:c r="P1085" s="63" t="str">
        <x:f>IF(M1085=0,"—",M1085&amp;"d"&amp;N1085&amp;IF(O1085=0,""," + "&amp;O1085))</x:f>
        <x:v>1d4 + 2</x:v>
      </x:c>
      <x:c r="Q1085" t="n">
        <x:f>ROUND(INDEX(Catalogue!E$4:E$85,MATCH(A1085,Catalogue!A$4:A$85,0))*(1+'Paramètres'!$B$4*(C1085-1)+'Paramètres'!$B$5*(C1085-1)^2),0)</x:f>
        <x:v>3</x:v>
      </x:c>
      <x:c r="R1085" t="n">
        <x:f>ROUND(INDEX(Catalogue!F$4:F$85,MATCH(A1085,Catalogue!A$4:A$85,0))*(1+'Paramètres'!$B$4*(C1085-1)+'Paramètres'!$B$5*(C1085-1)^2),0)</x:f>
        <x:v>6</x:v>
      </x:c>
      <x:c r="S1085" t="n">
        <x:f>L1085-AVERAGE(Q1085:R1085)</x:f>
        <x:v>0</x:v>
      </x:c>
      <x:c r="T1085" t="str">
        <x:f>IF(M1085=0,IF(AND(N1085=0,O1085=0,E1085=0,F1085=0),"OK","ERREUR"),IF(AND(M1085&gt;=1,M1085&lt;=32,OR(N1085=4,N1085=6,N1085=8,N1085=10,N1085=12,N1085=20),O1085&gt;=0,E1085=M1085+O1085,F1085=M1085*N1085+O1085),"OK","ERREUR"))</x:f>
        <x:v>OK</x:v>
      </x:c>
      <x:c r="U1085" s="86" t="n">
        <x:f>IF(M1085&gt;0,M1085*(N1085+1)/2+O1085,0)</x:f>
        <x:v>4.5</x:v>
      </x:c>
      <x:c r="V1085" t="str">
        <x:f>IF(ABS(L1085-U1085)&lt;0.001,"OK","ERREUR")</x:f>
        <x:v>OK</x:v>
      </x:c>
    </x:row>
    <x:row r="1086" ht="18" customHeight="1">
      <x:c r="A1086" t="str">
        <x:v>ARM055</x:v>
      </x:c>
      <x:c r="B1086" t="str">
        <x:v>Dague de jet</x:v>
      </x:c>
      <x:c r="C1086" t="n">
        <x:v>3</x:v>
      </x:c>
      <x:c r="D1086" t="str">
        <x:v>Jet</x:v>
      </x:c>
      <x:c r="E1086" s="28" t="n">
        <x:f>IF(M1086=0,0,M1086+O1086)</x:f>
        <x:v>3</x:v>
      </x:c>
      <x:c r="F1086" s="28" t="n">
        <x:f>IF(M1086=0,0,M1086*N1086+O1086)</x:f>
        <x:v>6</x:v>
      </x:c>
      <x:c r="G1086" s="28" t="n">
        <x:f>ROUND(Catalogue!G58*SQRT((1+'Paramètres'!$B$4*(C1086-1)+'Paramètres'!$B$5*(C1086-1)^2)),0)</x:f>
        <x:v>0</x:v>
      </x:c>
      <x:c r="H1086" s="28" t="n">
        <x:f>ROUND(Catalogue!H58*SQRT((1+'Paramètres'!$B$4*(C1086-1)+'Paramètres'!$B$5*(C1086-1)^2)),0)</x:f>
        <x:v>0</x:v>
      </x:c>
      <x:c r="I1086" s="28" t="n">
        <x:v>2</x:v>
      </x:c>
      <x:c r="J1086" s="28" t="n">
        <x:v>4</x:v>
      </x:c>
      <x:c r="K1086" s="30" t="n">
        <x:v>0.35</x:v>
      </x:c>
      <x:c r="L1086" s="54" t="n">
        <x:f>IF(M1086=0,0,(E1086+F1086)/2)</x:f>
        <x:v>4.5</x:v>
      </x:c>
      <x:c r="M1086" t="n">
        <x:v>1</x:v>
      </x:c>
      <x:c r="N1086" t="n">
        <x:v>4</x:v>
      </x:c>
      <x:c r="O1086" t="n">
        <x:v>2</x:v>
      </x:c>
      <x:c r="P1086" s="63" t="str">
        <x:f>IF(M1086=0,"—",M1086&amp;"d"&amp;N1086&amp;IF(O1086=0,""," + "&amp;O1086))</x:f>
        <x:v>1d4 + 2</x:v>
      </x:c>
      <x:c r="Q1086" t="n">
        <x:f>ROUND(INDEX(Catalogue!E$4:E$85,MATCH(A1086,Catalogue!A$4:A$85,0))*(1+'Paramètres'!$B$4*(C1086-1)+'Paramètres'!$B$5*(C1086-1)^2),0)</x:f>
        <x:v>4</x:v>
      </x:c>
      <x:c r="R1086" t="n">
        <x:f>ROUND(INDEX(Catalogue!F$4:F$85,MATCH(A1086,Catalogue!A$4:A$85,0))*(1+'Paramètres'!$B$4*(C1086-1)+'Paramètres'!$B$5*(C1086-1)^2),0)</x:f>
        <x:v>6</x:v>
      </x:c>
      <x:c r="S1086" t="n">
        <x:f>L1086-AVERAGE(Q1086:R1086)</x:f>
        <x:v>-0.5</x:v>
      </x:c>
      <x:c r="T1086" t="str">
        <x:f>IF(M1086=0,IF(AND(N1086=0,O1086=0,E1086=0,F1086=0),"OK","ERREUR"),IF(AND(M1086&gt;=1,M1086&lt;=32,OR(N1086=4,N1086=6,N1086=8,N1086=10,N1086=12,N1086=20),O1086&gt;=0,E1086=M1086+O1086,F1086=M1086*N1086+O1086),"OK","ERREUR"))</x:f>
        <x:v>OK</x:v>
      </x:c>
      <x:c r="U1086" s="86" t="n">
        <x:f>IF(M1086&gt;0,M1086*(N1086+1)/2+O1086,0)</x:f>
        <x:v>4.5</x:v>
      </x:c>
      <x:c r="V1086" t="str">
        <x:f>IF(ABS(L1086-U1086)&lt;0.001,"OK","ERREUR")</x:f>
        <x:v>OK</x:v>
      </x:c>
    </x:row>
    <x:row r="1087" ht="18" customHeight="1">
      <x:c r="A1087" t="str">
        <x:v>ARM055</x:v>
      </x:c>
      <x:c r="B1087" t="str">
        <x:v>Dague de jet</x:v>
      </x:c>
      <x:c r="C1087" t="n">
        <x:v>4</x:v>
      </x:c>
      <x:c r="D1087" t="str">
        <x:v>Jet</x:v>
      </x:c>
      <x:c r="E1087" s="28" t="n">
        <x:f>IF(M1087=0,0,M1087+O1087)</x:f>
        <x:v>4</x:v>
      </x:c>
      <x:c r="F1087" s="28" t="n">
        <x:f>IF(M1087=0,0,M1087*N1087+O1087)</x:f>
        <x:v>7</x:v>
      </x:c>
      <x:c r="G1087" s="28" t="n">
        <x:f>ROUND(Catalogue!G58*SQRT((1+'Paramètres'!$B$4*(C1087-1)+'Paramètres'!$B$5*(C1087-1)^2)),0)</x:f>
        <x:v>0</x:v>
      </x:c>
      <x:c r="H1087" s="28" t="n">
        <x:f>ROUND(Catalogue!H58*SQRT((1+'Paramètres'!$B$4*(C1087-1)+'Paramètres'!$B$5*(C1087-1)^2)),0)</x:f>
        <x:v>0</x:v>
      </x:c>
      <x:c r="I1087" s="28" t="n">
        <x:v>2</x:v>
      </x:c>
      <x:c r="J1087" s="28" t="n">
        <x:v>4</x:v>
      </x:c>
      <x:c r="K1087" s="30" t="n">
        <x:v>0.35</x:v>
      </x:c>
      <x:c r="L1087" s="54" t="n">
        <x:f>IF(M1087=0,0,(E1087+F1087)/2)</x:f>
        <x:v>5.5</x:v>
      </x:c>
      <x:c r="M1087" t="n">
        <x:v>1</x:v>
      </x:c>
      <x:c r="N1087" t="n">
        <x:v>4</x:v>
      </x:c>
      <x:c r="O1087" t="n">
        <x:v>3</x:v>
      </x:c>
      <x:c r="P1087" s="63" t="str">
        <x:f>IF(M1087=0,"—",M1087&amp;"d"&amp;N1087&amp;IF(O1087=0,""," + "&amp;O1087))</x:f>
        <x:v>1d4 + 3</x:v>
      </x:c>
      <x:c r="Q1087" t="n">
        <x:f>ROUND(INDEX(Catalogue!E$4:E$85,MATCH(A1087,Catalogue!A$4:A$85,0))*(1+'Paramètres'!$B$4*(C1087-1)+'Paramètres'!$B$5*(C1087-1)^2),0)</x:f>
        <x:v>4</x:v>
      </x:c>
      <x:c r="R1087" t="n">
        <x:f>ROUND(INDEX(Catalogue!F$4:F$85,MATCH(A1087,Catalogue!A$4:A$85,0))*(1+'Paramètres'!$B$4*(C1087-1)+'Paramètres'!$B$5*(C1087-1)^2),0)</x:f>
        <x:v>7</x:v>
      </x:c>
      <x:c r="S1087" t="n">
        <x:f>L1087-AVERAGE(Q1087:R1087)</x:f>
        <x:v>0</x:v>
      </x:c>
      <x:c r="T1087" t="str">
        <x:f>IF(M1087=0,IF(AND(N1087=0,O1087=0,E1087=0,F1087=0),"OK","ERREUR"),IF(AND(M1087&gt;=1,M1087&lt;=32,OR(N1087=4,N1087=6,N1087=8,N1087=10,N1087=12,N1087=20),O1087&gt;=0,E1087=M1087+O1087,F1087=M1087*N1087+O1087),"OK","ERREUR"))</x:f>
        <x:v>OK</x:v>
      </x:c>
      <x:c r="U1087" s="86" t="n">
        <x:f>IF(M1087&gt;0,M1087*(N1087+1)/2+O1087,0)</x:f>
        <x:v>5.5</x:v>
      </x:c>
      <x:c r="V1087" t="str">
        <x:f>IF(ABS(L1087-U1087)&lt;0.001,"OK","ERREUR")</x:f>
        <x:v>OK</x:v>
      </x:c>
    </x:row>
    <x:row r="1088" ht="18" customHeight="1">
      <x:c r="A1088" t="str">
        <x:v>ARM055</x:v>
      </x:c>
      <x:c r="B1088" t="str">
        <x:v>Dague de jet</x:v>
      </x:c>
      <x:c r="C1088" t="n">
        <x:v>5</x:v>
      </x:c>
      <x:c r="D1088" t="str">
        <x:v>Jet</x:v>
      </x:c>
      <x:c r="E1088" s="28" t="n">
        <x:f>IF(M1088=0,0,M1088+O1088)</x:f>
        <x:v>5</x:v>
      </x:c>
      <x:c r="F1088" s="28" t="n">
        <x:f>IF(M1088=0,0,M1088*N1088+O1088)</x:f>
        <x:v>8</x:v>
      </x:c>
      <x:c r="G1088" s="28" t="n">
        <x:f>ROUND(Catalogue!G58*SQRT((1+'Paramètres'!$B$4*(C1088-1)+'Paramètres'!$B$5*(C1088-1)^2)),0)</x:f>
        <x:v>0</x:v>
      </x:c>
      <x:c r="H1088" s="28" t="n">
        <x:f>ROUND(Catalogue!H58*SQRT((1+'Paramètres'!$B$4*(C1088-1)+'Paramètres'!$B$5*(C1088-1)^2)),0)</x:f>
        <x:v>0</x:v>
      </x:c>
      <x:c r="I1088" s="28" t="n">
        <x:v>2</x:v>
      </x:c>
      <x:c r="J1088" s="28" t="n">
        <x:v>4</x:v>
      </x:c>
      <x:c r="K1088" s="30" t="n">
        <x:v>0.35</x:v>
      </x:c>
      <x:c r="L1088" s="54" t="n">
        <x:f>IF(M1088=0,0,(E1088+F1088)/2)</x:f>
        <x:v>6.5</x:v>
      </x:c>
      <x:c r="M1088" t="n">
        <x:v>1</x:v>
      </x:c>
      <x:c r="N1088" t="n">
        <x:v>4</x:v>
      </x:c>
      <x:c r="O1088" t="n">
        <x:v>4</x:v>
      </x:c>
      <x:c r="P1088" s="63" t="str">
        <x:f>IF(M1088=0,"—",M1088&amp;"d"&amp;N1088&amp;IF(O1088=0,""," + "&amp;O1088))</x:f>
        <x:v>1d4 + 4</x:v>
      </x:c>
      <x:c r="Q1088" t="n">
        <x:f>ROUND(INDEX(Catalogue!E$4:E$85,MATCH(A1088,Catalogue!A$4:A$85,0))*(1+'Paramètres'!$B$4*(C1088-1)+'Paramètres'!$B$5*(C1088-1)^2),0)</x:f>
        <x:v>5</x:v>
      </x:c>
      <x:c r="R1088" t="n">
        <x:f>ROUND(INDEX(Catalogue!F$4:F$85,MATCH(A1088,Catalogue!A$4:A$85,0))*(1+'Paramètres'!$B$4*(C1088-1)+'Paramètres'!$B$5*(C1088-1)^2),0)</x:f>
        <x:v>8</x:v>
      </x:c>
      <x:c r="S1088" t="n">
        <x:f>L1088-AVERAGE(Q1088:R1088)</x:f>
        <x:v>0</x:v>
      </x:c>
      <x:c r="T1088" t="str">
        <x:f>IF(M1088=0,IF(AND(N1088=0,O1088=0,E1088=0,F1088=0),"OK","ERREUR"),IF(AND(M1088&gt;=1,M1088&lt;=32,OR(N1088=4,N1088=6,N1088=8,N1088=10,N1088=12,N1088=20),O1088&gt;=0,E1088=M1088+O1088,F1088=M1088*N1088+O1088),"OK","ERREUR"))</x:f>
        <x:v>OK</x:v>
      </x:c>
      <x:c r="U1088" s="86" t="n">
        <x:f>IF(M1088&gt;0,M1088*(N1088+1)/2+O1088,0)</x:f>
        <x:v>6.5</x:v>
      </x:c>
      <x:c r="V1088" t="str">
        <x:f>IF(ABS(L1088-U1088)&lt;0.001,"OK","ERREUR")</x:f>
        <x:v>OK</x:v>
      </x:c>
    </x:row>
    <x:row r="1089" ht="18" customHeight="1">
      <x:c r="A1089" t="str">
        <x:v>ARM055</x:v>
      </x:c>
      <x:c r="B1089" t="str">
        <x:v>Dague de jet</x:v>
      </x:c>
      <x:c r="C1089" t="n">
        <x:v>6</x:v>
      </x:c>
      <x:c r="D1089" t="str">
        <x:v>Jet</x:v>
      </x:c>
      <x:c r="E1089" s="28" t="n">
        <x:f>IF(M1089=0,0,M1089+O1089)</x:f>
        <x:v>6</x:v>
      </x:c>
      <x:c r="F1089" s="28" t="n">
        <x:f>IF(M1089=0,0,M1089*N1089+O1089)</x:f>
        <x:v>9</x:v>
      </x:c>
      <x:c r="G1089" s="28" t="n">
        <x:f>ROUND(Catalogue!G58*SQRT((1+'Paramètres'!$B$4*(C1089-1)+'Paramètres'!$B$5*(C1089-1)^2)),0)</x:f>
        <x:v>0</x:v>
      </x:c>
      <x:c r="H1089" s="28" t="n">
        <x:f>ROUND(Catalogue!H58*SQRT((1+'Paramètres'!$B$4*(C1089-1)+'Paramètres'!$B$5*(C1089-1)^2)),0)</x:f>
        <x:v>0</x:v>
      </x:c>
      <x:c r="I1089" s="28" t="n">
        <x:v>2</x:v>
      </x:c>
      <x:c r="J1089" s="28" t="n">
        <x:v>4</x:v>
      </x:c>
      <x:c r="K1089" s="30" t="n">
        <x:v>0.35</x:v>
      </x:c>
      <x:c r="L1089" s="54" t="n">
        <x:f>IF(M1089=0,0,(E1089+F1089)/2)</x:f>
        <x:v>7.5</x:v>
      </x:c>
      <x:c r="M1089" t="n">
        <x:v>1</x:v>
      </x:c>
      <x:c r="N1089" t="n">
        <x:v>4</x:v>
      </x:c>
      <x:c r="O1089" t="n">
        <x:v>5</x:v>
      </x:c>
      <x:c r="P1089" s="63" t="str">
        <x:f>IF(M1089=0,"—",M1089&amp;"d"&amp;N1089&amp;IF(O1089=0,""," + "&amp;O1089))</x:f>
        <x:v>1d4 + 5</x:v>
      </x:c>
      <x:c r="Q1089" t="n">
        <x:f>ROUND(INDEX(Catalogue!E$4:E$85,MATCH(A1089,Catalogue!A$4:A$85,0))*(1+'Paramètres'!$B$4*(C1089-1)+'Paramètres'!$B$5*(C1089-1)^2),0)</x:f>
        <x:v>6</x:v>
      </x:c>
      <x:c r="R1089" t="n">
        <x:f>ROUND(INDEX(Catalogue!F$4:F$85,MATCH(A1089,Catalogue!A$4:A$85,0))*(1+'Paramètres'!$B$4*(C1089-1)+'Paramètres'!$B$5*(C1089-1)^2),0)</x:f>
        <x:v>10</x:v>
      </x:c>
      <x:c r="S1089" t="n">
        <x:f>L1089-AVERAGE(Q1089:R1089)</x:f>
        <x:v>-0.5</x:v>
      </x:c>
      <x:c r="T1089" t="str">
        <x:f>IF(M1089=0,IF(AND(N1089=0,O1089=0,E1089=0,F1089=0),"OK","ERREUR"),IF(AND(M1089&gt;=1,M1089&lt;=32,OR(N1089=4,N1089=6,N1089=8,N1089=10,N1089=12,N1089=20),O1089&gt;=0,E1089=M1089+O1089,F1089=M1089*N1089+O1089),"OK","ERREUR"))</x:f>
        <x:v>OK</x:v>
      </x:c>
      <x:c r="U1089" s="86" t="n">
        <x:f>IF(M1089&gt;0,M1089*(N1089+1)/2+O1089,0)</x:f>
        <x:v>7.5</x:v>
      </x:c>
      <x:c r="V1089" t="str">
        <x:f>IF(ABS(L1089-U1089)&lt;0.001,"OK","ERREUR")</x:f>
        <x:v>OK</x:v>
      </x:c>
    </x:row>
    <x:row r="1090" ht="18" customHeight="1">
      <x:c r="A1090" t="str">
        <x:v>ARM055</x:v>
      </x:c>
      <x:c r="B1090" t="str">
        <x:v>Dague de jet</x:v>
      </x:c>
      <x:c r="C1090" t="n">
        <x:v>7</x:v>
      </x:c>
      <x:c r="D1090" t="str">
        <x:v>Jet</x:v>
      </x:c>
      <x:c r="E1090" s="28" t="n">
        <x:f>IF(M1090=0,0,M1090+O1090)</x:f>
        <x:v>7</x:v>
      </x:c>
      <x:c r="F1090" s="28" t="n">
        <x:f>IF(M1090=0,0,M1090*N1090+O1090)</x:f>
        <x:v>10</x:v>
      </x:c>
      <x:c r="G1090" s="28" t="n">
        <x:f>ROUND(Catalogue!G58*SQRT((1+'Paramètres'!$B$4*(C1090-1)+'Paramètres'!$B$5*(C1090-1)^2)),0)</x:f>
        <x:v>0</x:v>
      </x:c>
      <x:c r="H1090" s="28" t="n">
        <x:f>ROUND(Catalogue!H58*SQRT((1+'Paramètres'!$B$4*(C1090-1)+'Paramètres'!$B$5*(C1090-1)^2)),0)</x:f>
        <x:v>0</x:v>
      </x:c>
      <x:c r="I1090" s="28" t="n">
        <x:v>2</x:v>
      </x:c>
      <x:c r="J1090" s="28" t="n">
        <x:v>4</x:v>
      </x:c>
      <x:c r="K1090" s="30" t="n">
        <x:v>0.35</x:v>
      </x:c>
      <x:c r="L1090" s="54" t="n">
        <x:f>IF(M1090=0,0,(E1090+F1090)/2)</x:f>
        <x:v>8.5</x:v>
      </x:c>
      <x:c r="M1090" t="n">
        <x:v>1</x:v>
      </x:c>
      <x:c r="N1090" t="n">
        <x:v>4</x:v>
      </x:c>
      <x:c r="O1090" t="n">
        <x:v>6</x:v>
      </x:c>
      <x:c r="P1090" s="63" t="str">
        <x:f>IF(M1090=0,"—",M1090&amp;"d"&amp;N1090&amp;IF(O1090=0,""," + "&amp;O1090))</x:f>
        <x:v>1d4 + 6</x:v>
      </x:c>
      <x:c r="Q1090" t="n">
        <x:f>ROUND(INDEX(Catalogue!E$4:E$85,MATCH(A1090,Catalogue!A$4:A$85,0))*(1+'Paramètres'!$B$4*(C1090-1)+'Paramètres'!$B$5*(C1090-1)^2),0)</x:f>
        <x:v>7</x:v>
      </x:c>
      <x:c r="R1090" t="n">
        <x:f>ROUND(INDEX(Catalogue!F$4:F$85,MATCH(A1090,Catalogue!A$4:A$85,0))*(1+'Paramètres'!$B$4*(C1090-1)+'Paramètres'!$B$5*(C1090-1)^2),0)</x:f>
        <x:v>11</x:v>
      </x:c>
      <x:c r="S1090" t="n">
        <x:f>L1090-AVERAGE(Q1090:R1090)</x:f>
        <x:v>-0.5</x:v>
      </x:c>
      <x:c r="T1090" t="str">
        <x:f>IF(M1090=0,IF(AND(N1090=0,O1090=0,E1090=0,F1090=0),"OK","ERREUR"),IF(AND(M1090&gt;=1,M1090&lt;=32,OR(N1090=4,N1090=6,N1090=8,N1090=10,N1090=12,N1090=20),O1090&gt;=0,E1090=M1090+O1090,F1090=M1090*N1090+O1090),"OK","ERREUR"))</x:f>
        <x:v>OK</x:v>
      </x:c>
      <x:c r="U1090" s="86" t="n">
        <x:f>IF(M1090&gt;0,M1090*(N1090+1)/2+O1090,0)</x:f>
        <x:v>8.5</x:v>
      </x:c>
      <x:c r="V1090" t="str">
        <x:f>IF(ABS(L1090-U1090)&lt;0.001,"OK","ERREUR")</x:f>
        <x:v>OK</x:v>
      </x:c>
    </x:row>
    <x:row r="1091" ht="18" customHeight="1">
      <x:c r="A1091" t="str">
        <x:v>ARM055</x:v>
      </x:c>
      <x:c r="B1091" t="str">
        <x:v>Dague de jet</x:v>
      </x:c>
      <x:c r="C1091" t="n">
        <x:v>8</x:v>
      </x:c>
      <x:c r="D1091" t="str">
        <x:v>Jet</x:v>
      </x:c>
      <x:c r="E1091" s="28" t="n">
        <x:f>IF(M1091=0,0,M1091+O1091)</x:f>
        <x:v>8</x:v>
      </x:c>
      <x:c r="F1091" s="28" t="n">
        <x:f>IF(M1091=0,0,M1091*N1091+O1091)</x:f>
        <x:v>13</x:v>
      </x:c>
      <x:c r="G1091" s="28" t="n">
        <x:f>ROUND(Catalogue!G58*SQRT((1+'Paramètres'!$B$4*(C1091-1)+'Paramètres'!$B$5*(C1091-1)^2)),0)</x:f>
        <x:v>0</x:v>
      </x:c>
      <x:c r="H1091" s="28" t="n">
        <x:f>ROUND(Catalogue!H58*SQRT((1+'Paramètres'!$B$4*(C1091-1)+'Paramètres'!$B$5*(C1091-1)^2)),0)</x:f>
        <x:v>0</x:v>
      </x:c>
      <x:c r="I1091" s="28" t="n">
        <x:v>2</x:v>
      </x:c>
      <x:c r="J1091" s="28" t="n">
        <x:v>4</x:v>
      </x:c>
      <x:c r="K1091" s="30" t="n">
        <x:v>0.35</x:v>
      </x:c>
      <x:c r="L1091" s="54" t="n">
        <x:f>IF(M1091=0,0,(E1091+F1091)/2)</x:f>
        <x:v>10.5</x:v>
      </x:c>
      <x:c r="M1091" t="n">
        <x:v>1</x:v>
      </x:c>
      <x:c r="N1091" t="n">
        <x:v>6</x:v>
      </x:c>
      <x:c r="O1091" t="n">
        <x:v>7</x:v>
      </x:c>
      <x:c r="P1091" s="63" t="str">
        <x:f>IF(M1091=0,"—",M1091&amp;"d"&amp;N1091&amp;IF(O1091=0,""," + "&amp;O1091))</x:f>
        <x:v>1d6 + 7</x:v>
      </x:c>
      <x:c r="Q1091" t="n">
        <x:f>ROUND(INDEX(Catalogue!E$4:E$85,MATCH(A1091,Catalogue!A$4:A$85,0))*(1+'Paramètres'!$B$4*(C1091-1)+'Paramètres'!$B$5*(C1091-1)^2),0)</x:f>
        <x:v>8</x:v>
      </x:c>
      <x:c r="R1091" t="n">
        <x:f>ROUND(INDEX(Catalogue!F$4:F$85,MATCH(A1091,Catalogue!A$4:A$85,0))*(1+'Paramètres'!$B$4*(C1091-1)+'Paramètres'!$B$5*(C1091-1)^2),0)</x:f>
        <x:v>13</x:v>
      </x:c>
      <x:c r="S1091" t="n">
        <x:f>L1091-AVERAGE(Q1091:R1091)</x:f>
        <x:v>0</x:v>
      </x:c>
      <x:c r="T1091" t="str">
        <x:f>IF(M1091=0,IF(AND(N1091=0,O1091=0,E1091=0,F1091=0),"OK","ERREUR"),IF(AND(M1091&gt;=1,M1091&lt;=32,OR(N1091=4,N1091=6,N1091=8,N1091=10,N1091=12,N1091=20),O1091&gt;=0,E1091=M1091+O1091,F1091=M1091*N1091+O1091),"OK","ERREUR"))</x:f>
        <x:v>OK</x:v>
      </x:c>
      <x:c r="U1091" s="86" t="n">
        <x:f>IF(M1091&gt;0,M1091*(N1091+1)/2+O1091,0)</x:f>
        <x:v>10.5</x:v>
      </x:c>
      <x:c r="V1091" t="str">
        <x:f>IF(ABS(L1091-U1091)&lt;0.001,"OK","ERREUR")</x:f>
        <x:v>OK</x:v>
      </x:c>
    </x:row>
    <x:row r="1092" ht="18" customHeight="1">
      <x:c r="A1092" t="str">
        <x:v>ARM055</x:v>
      </x:c>
      <x:c r="B1092" t="str">
        <x:v>Dague de jet</x:v>
      </x:c>
      <x:c r="C1092" t="n">
        <x:v>9</x:v>
      </x:c>
      <x:c r="D1092" t="str">
        <x:v>Jet</x:v>
      </x:c>
      <x:c r="E1092" s="28" t="n">
        <x:f>IF(M1092=0,0,M1092+O1092)</x:f>
        <x:v>9</x:v>
      </x:c>
      <x:c r="F1092" s="28" t="n">
        <x:f>IF(M1092=0,0,M1092*N1092+O1092)</x:f>
        <x:v>15</x:v>
      </x:c>
      <x:c r="G1092" s="28" t="n">
        <x:f>ROUND(Catalogue!G58*SQRT((1+'Paramètres'!$B$4*(C1092-1)+'Paramètres'!$B$5*(C1092-1)^2)),0)</x:f>
        <x:v>0</x:v>
      </x:c>
      <x:c r="H1092" s="28" t="n">
        <x:f>ROUND(Catalogue!H58*SQRT((1+'Paramètres'!$B$4*(C1092-1)+'Paramètres'!$B$5*(C1092-1)^2)),0)</x:f>
        <x:v>0</x:v>
      </x:c>
      <x:c r="I1092" s="28" t="n">
        <x:v>2</x:v>
      </x:c>
      <x:c r="J1092" s="28" t="n">
        <x:v>4</x:v>
      </x:c>
      <x:c r="K1092" s="30" t="n">
        <x:v>0.35</x:v>
      </x:c>
      <x:c r="L1092" s="54" t="n">
        <x:f>IF(M1092=0,0,(E1092+F1092)/2)</x:f>
        <x:v>12</x:v>
      </x:c>
      <x:c r="M1092" t="n">
        <x:v>2</x:v>
      </x:c>
      <x:c r="N1092" t="n">
        <x:v>4</x:v>
      </x:c>
      <x:c r="O1092" t="n">
        <x:v>7</x:v>
      </x:c>
      <x:c r="P1092" s="63" t="str">
        <x:f>IF(M1092=0,"—",M1092&amp;"d"&amp;N1092&amp;IF(O1092=0,""," + "&amp;O1092))</x:f>
        <x:v>2d4 + 7</x:v>
      </x:c>
      <x:c r="Q1092" t="n">
        <x:f>ROUND(INDEX(Catalogue!E$4:E$85,MATCH(A1092,Catalogue!A$4:A$85,0))*(1+'Paramètres'!$B$4*(C1092-1)+'Paramètres'!$B$5*(C1092-1)^2),0)</x:f>
        <x:v>9</x:v>
      </x:c>
      <x:c r="R1092" t="n">
        <x:f>ROUND(INDEX(Catalogue!F$4:F$85,MATCH(A1092,Catalogue!A$4:A$85,0))*(1+'Paramètres'!$B$4*(C1092-1)+'Paramètres'!$B$5*(C1092-1)^2),0)</x:f>
        <x:v>15</x:v>
      </x:c>
      <x:c r="S1092" t="n">
        <x:f>L1092-AVERAGE(Q1092:R1092)</x:f>
        <x:v>0</x:v>
      </x:c>
      <x:c r="T1092" t="str">
        <x:f>IF(M1092=0,IF(AND(N1092=0,O1092=0,E1092=0,F1092=0),"OK","ERREUR"),IF(AND(M1092&gt;=1,M1092&lt;=32,OR(N1092=4,N1092=6,N1092=8,N1092=10,N1092=12,N1092=20),O1092&gt;=0,E1092=M1092+O1092,F1092=M1092*N1092+O1092),"OK","ERREUR"))</x:f>
        <x:v>OK</x:v>
      </x:c>
      <x:c r="U1092" s="86" t="n">
        <x:f>IF(M1092&gt;0,M1092*(N1092+1)/2+O1092,0)</x:f>
        <x:v>12</x:v>
      </x:c>
      <x:c r="V1092" t="str">
        <x:f>IF(ABS(L1092-U1092)&lt;0.001,"OK","ERREUR")</x:f>
        <x:v>OK</x:v>
      </x:c>
    </x:row>
    <x:row r="1093" ht="18" customHeight="1">
      <x:c r="A1093" t="str">
        <x:v>ARM055</x:v>
      </x:c>
      <x:c r="B1093" t="str">
        <x:v>Dague de jet</x:v>
      </x:c>
      <x:c r="C1093" t="n">
        <x:v>10</x:v>
      </x:c>
      <x:c r="D1093" t="str">
        <x:v>Jet</x:v>
      </x:c>
      <x:c r="E1093" s="28" t="n">
        <x:f>IF(M1093=0,0,M1093+O1093)</x:f>
        <x:v>10</x:v>
      </x:c>
      <x:c r="F1093" s="28" t="n">
        <x:f>IF(M1093=0,0,M1093*N1093+O1093)</x:f>
        <x:v>16</x:v>
      </x:c>
      <x:c r="G1093" s="28" t="n">
        <x:f>ROUND(Catalogue!G58*SQRT((1+'Paramètres'!$B$4*(C1093-1)+'Paramètres'!$B$5*(C1093-1)^2)),0)</x:f>
        <x:v>0</x:v>
      </x:c>
      <x:c r="H1093" s="28" t="n">
        <x:f>ROUND(Catalogue!H58*SQRT((1+'Paramètres'!$B$4*(C1093-1)+'Paramètres'!$B$5*(C1093-1)^2)),0)</x:f>
        <x:v>0</x:v>
      </x:c>
      <x:c r="I1093" s="28" t="n">
        <x:v>2</x:v>
      </x:c>
      <x:c r="J1093" s="28" t="n">
        <x:v>4</x:v>
      </x:c>
      <x:c r="K1093" s="30" t="n">
        <x:v>0.35</x:v>
      </x:c>
      <x:c r="L1093" s="54" t="n">
        <x:f>IF(M1093=0,0,(E1093+F1093)/2)</x:f>
        <x:v>13</x:v>
      </x:c>
      <x:c r="M1093" t="n">
        <x:v>2</x:v>
      </x:c>
      <x:c r="N1093" t="n">
        <x:v>4</x:v>
      </x:c>
      <x:c r="O1093" t="n">
        <x:v>8</x:v>
      </x:c>
      <x:c r="P1093" s="63" t="str">
        <x:f>IF(M1093=0,"—",M1093&amp;"d"&amp;N1093&amp;IF(O1093=0,""," + "&amp;O1093))</x:f>
        <x:v>2d4 + 8</x:v>
      </x:c>
      <x:c r="Q1093" t="n">
        <x:f>ROUND(INDEX(Catalogue!E$4:E$85,MATCH(A1093,Catalogue!A$4:A$85,0))*(1+'Paramètres'!$B$4*(C1093-1)+'Paramètres'!$B$5*(C1093-1)^2),0)</x:f>
        <x:v>10</x:v>
      </x:c>
      <x:c r="R1093" t="n">
        <x:f>ROUND(INDEX(Catalogue!F$4:F$85,MATCH(A1093,Catalogue!A$4:A$85,0))*(1+'Paramètres'!$B$4*(C1093-1)+'Paramètres'!$B$5*(C1093-1)^2),0)</x:f>
        <x:v>16</x:v>
      </x:c>
      <x:c r="S1093" t="n">
        <x:f>L1093-AVERAGE(Q1093:R1093)</x:f>
        <x:v>0</x:v>
      </x:c>
      <x:c r="T1093" t="str">
        <x:f>IF(M1093=0,IF(AND(N1093=0,O1093=0,E1093=0,F1093=0),"OK","ERREUR"),IF(AND(M1093&gt;=1,M1093&lt;=32,OR(N1093=4,N1093=6,N1093=8,N1093=10,N1093=12,N1093=20),O1093&gt;=0,E1093=M1093+O1093,F1093=M1093*N1093+O1093),"OK","ERREUR"))</x:f>
        <x:v>OK</x:v>
      </x:c>
      <x:c r="U1093" s="86" t="n">
        <x:f>IF(M1093&gt;0,M1093*(N1093+1)/2+O1093,0)</x:f>
        <x:v>13</x:v>
      </x:c>
      <x:c r="V1093" t="str">
        <x:f>IF(ABS(L1093-U1093)&lt;0.001,"OK","ERREUR")</x:f>
        <x:v>OK</x:v>
      </x:c>
    </x:row>
    <x:row r="1094" ht="18" customHeight="1">
      <x:c r="A1094" t="str">
        <x:v>ARM055</x:v>
      </x:c>
      <x:c r="B1094" t="str">
        <x:v>Dague de jet</x:v>
      </x:c>
      <x:c r="C1094" t="n">
        <x:v>11</x:v>
      </x:c>
      <x:c r="D1094" t="str">
        <x:v>Jet</x:v>
      </x:c>
      <x:c r="E1094" s="28" t="n">
        <x:f>IF(M1094=0,0,M1094+O1094)</x:f>
        <x:v>11</x:v>
      </x:c>
      <x:c r="F1094" s="28" t="n">
        <x:f>IF(M1094=0,0,M1094*N1094+O1094)</x:f>
        <x:v>20</x:v>
      </x:c>
      <x:c r="G1094" s="28" t="n">
        <x:f>ROUND(Catalogue!G58*SQRT((1+'Paramètres'!$B$4*(C1094-1)+'Paramètres'!$B$5*(C1094-1)^2)),0)</x:f>
        <x:v>0</x:v>
      </x:c>
      <x:c r="H1094" s="28" t="n">
        <x:f>ROUND(Catalogue!H58*SQRT((1+'Paramètres'!$B$4*(C1094-1)+'Paramètres'!$B$5*(C1094-1)^2)),0)</x:f>
        <x:v>0</x:v>
      </x:c>
      <x:c r="I1094" s="28" t="n">
        <x:v>2</x:v>
      </x:c>
      <x:c r="J1094" s="28" t="n">
        <x:v>4</x:v>
      </x:c>
      <x:c r="K1094" s="30" t="n">
        <x:v>0.35</x:v>
      </x:c>
      <x:c r="L1094" s="54" t="n">
        <x:f>IF(M1094=0,0,(E1094+F1094)/2)</x:f>
        <x:v>15.5</x:v>
      </x:c>
      <x:c r="M1094" t="n">
        <x:v>3</x:v>
      </x:c>
      <x:c r="N1094" t="n">
        <x:v>4</x:v>
      </x:c>
      <x:c r="O1094" t="n">
        <x:v>8</x:v>
      </x:c>
      <x:c r="P1094" s="63" t="str">
        <x:f>IF(M1094=0,"—",M1094&amp;"d"&amp;N1094&amp;IF(O1094=0,""," + "&amp;O1094))</x:f>
        <x:v>3d4 + 8</x:v>
      </x:c>
      <x:c r="Q1094" t="n">
        <x:f>ROUND(INDEX(Catalogue!E$4:E$85,MATCH(A1094,Catalogue!A$4:A$85,0))*(1+'Paramètres'!$B$4*(C1094-1)+'Paramètres'!$B$5*(C1094-1)^2),0)</x:f>
        <x:v>11</x:v>
      </x:c>
      <x:c r="R1094" t="n">
        <x:f>ROUND(INDEX(Catalogue!F$4:F$85,MATCH(A1094,Catalogue!A$4:A$85,0))*(1+'Paramètres'!$B$4*(C1094-1)+'Paramètres'!$B$5*(C1094-1)^2),0)</x:f>
        <x:v>19</x:v>
      </x:c>
      <x:c r="S1094" t="n">
        <x:f>L1094-AVERAGE(Q1094:R1094)</x:f>
        <x:v>0.5</x:v>
      </x:c>
      <x:c r="T1094" t="str">
        <x:f>IF(M1094=0,IF(AND(N1094=0,O1094=0,E1094=0,F1094=0),"OK","ERREUR"),IF(AND(M1094&gt;=1,M1094&lt;=32,OR(N1094=4,N1094=6,N1094=8,N1094=10,N1094=12,N1094=20),O1094&gt;=0,E1094=M1094+O1094,F1094=M1094*N1094+O1094),"OK","ERREUR"))</x:f>
        <x:v>OK</x:v>
      </x:c>
      <x:c r="U1094" s="86" t="n">
        <x:f>IF(M1094&gt;0,M1094*(N1094+1)/2+O1094,0)</x:f>
        <x:v>15.5</x:v>
      </x:c>
      <x:c r="V1094" t="str">
        <x:f>IF(ABS(L1094-U1094)&lt;0.001,"OK","ERREUR")</x:f>
        <x:v>OK</x:v>
      </x:c>
    </x:row>
    <x:row r="1095" ht="18" customHeight="1">
      <x:c r="A1095" t="str">
        <x:v>ARM055</x:v>
      </x:c>
      <x:c r="B1095" t="str">
        <x:v>Dague de jet</x:v>
      </x:c>
      <x:c r="C1095" t="n">
        <x:v>12</x:v>
      </x:c>
      <x:c r="D1095" t="str">
        <x:v>Jet</x:v>
      </x:c>
      <x:c r="E1095" s="28" t="n">
        <x:f>IF(M1095=0,0,M1095+O1095)</x:f>
        <x:v>12</x:v>
      </x:c>
      <x:c r="F1095" s="28" t="n">
        <x:f>IF(M1095=0,0,M1095*N1095+O1095)</x:f>
        <x:v>21</x:v>
      </x:c>
      <x:c r="G1095" s="28" t="n">
        <x:f>ROUND(Catalogue!G58*SQRT((1+'Paramètres'!$B$4*(C1095-1)+'Paramètres'!$B$5*(C1095-1)^2)),0)</x:f>
        <x:v>0</x:v>
      </x:c>
      <x:c r="H1095" s="28" t="n">
        <x:f>ROUND(Catalogue!H58*SQRT((1+'Paramètres'!$B$4*(C1095-1)+'Paramètres'!$B$5*(C1095-1)^2)),0)</x:f>
        <x:v>0</x:v>
      </x:c>
      <x:c r="I1095" s="28" t="n">
        <x:v>2</x:v>
      </x:c>
      <x:c r="J1095" s="28" t="n">
        <x:v>4</x:v>
      </x:c>
      <x:c r="K1095" s="30" t="n">
        <x:v>0.35</x:v>
      </x:c>
      <x:c r="L1095" s="54" t="n">
        <x:f>IF(M1095=0,0,(E1095+F1095)/2)</x:f>
        <x:v>16.5</x:v>
      </x:c>
      <x:c r="M1095" t="n">
        <x:v>3</x:v>
      </x:c>
      <x:c r="N1095" t="n">
        <x:v>4</x:v>
      </x:c>
      <x:c r="O1095" t="n">
        <x:v>9</x:v>
      </x:c>
      <x:c r="P1095" s="63" t="str">
        <x:f>IF(M1095=0,"—",M1095&amp;"d"&amp;N1095&amp;IF(O1095=0,""," + "&amp;O1095))</x:f>
        <x:v>3d4 + 9</x:v>
      </x:c>
      <x:c r="Q1095" t="n">
        <x:f>ROUND(INDEX(Catalogue!E$4:E$85,MATCH(A1095,Catalogue!A$4:A$85,0))*(1+'Paramètres'!$B$4*(C1095-1)+'Paramètres'!$B$5*(C1095-1)^2),0)</x:f>
        <x:v>12</x:v>
      </x:c>
      <x:c r="R1095" t="n">
        <x:f>ROUND(INDEX(Catalogue!F$4:F$85,MATCH(A1095,Catalogue!A$4:A$85,0))*(1+'Paramètres'!$B$4*(C1095-1)+'Paramètres'!$B$5*(C1095-1)^2),0)</x:f>
        <x:v>21</x:v>
      </x:c>
      <x:c r="S1095" t="n">
        <x:f>L1095-AVERAGE(Q1095:R1095)</x:f>
        <x:v>0</x:v>
      </x:c>
      <x:c r="T1095" t="str">
        <x:f>IF(M1095=0,IF(AND(N1095=0,O1095=0,E1095=0,F1095=0),"OK","ERREUR"),IF(AND(M1095&gt;=1,M1095&lt;=32,OR(N1095=4,N1095=6,N1095=8,N1095=10,N1095=12,N1095=20),O1095&gt;=0,E1095=M1095+O1095,F1095=M1095*N1095+O1095),"OK","ERREUR"))</x:f>
        <x:v>OK</x:v>
      </x:c>
      <x:c r="U1095" s="86" t="n">
        <x:f>IF(M1095&gt;0,M1095*(N1095+1)/2+O1095,0)</x:f>
        <x:v>16.5</x:v>
      </x:c>
      <x:c r="V1095" t="str">
        <x:f>IF(ABS(L1095-U1095)&lt;0.001,"OK","ERREUR")</x:f>
        <x:v>OK</x:v>
      </x:c>
    </x:row>
    <x:row r="1096" ht="18" customHeight="1">
      <x:c r="A1096" t="str">
        <x:v>ARM055</x:v>
      </x:c>
      <x:c r="B1096" t="str">
        <x:v>Dague de jet</x:v>
      </x:c>
      <x:c r="C1096" t="n">
        <x:v>13</x:v>
      </x:c>
      <x:c r="D1096" t="str">
        <x:v>Jet</x:v>
      </x:c>
      <x:c r="E1096" s="28" t="n">
        <x:f>IF(M1096=0,0,M1096+O1096)</x:f>
        <x:v>14</x:v>
      </x:c>
      <x:c r="F1096" s="28" t="n">
        <x:f>IF(M1096=0,0,M1096*N1096+O1096)</x:f>
        <x:v>23</x:v>
      </x:c>
      <x:c r="G1096" s="28" t="n">
        <x:f>ROUND(Catalogue!G58*SQRT((1+'Paramètres'!$B$4*(C1096-1)+'Paramètres'!$B$5*(C1096-1)^2)),0)</x:f>
        <x:v>0</x:v>
      </x:c>
      <x:c r="H1096" s="28" t="n">
        <x:f>ROUND(Catalogue!H58*SQRT((1+'Paramètres'!$B$4*(C1096-1)+'Paramètres'!$B$5*(C1096-1)^2)),0)</x:f>
        <x:v>0</x:v>
      </x:c>
      <x:c r="I1096" s="28" t="n">
        <x:v>2</x:v>
      </x:c>
      <x:c r="J1096" s="28" t="n">
        <x:v>4</x:v>
      </x:c>
      <x:c r="K1096" s="30" t="n">
        <x:v>0.35</x:v>
      </x:c>
      <x:c r="L1096" s="54" t="n">
        <x:f>IF(M1096=0,0,(E1096+F1096)/2)</x:f>
        <x:v>18.5</x:v>
      </x:c>
      <x:c r="M1096" t="n">
        <x:v>3</x:v>
      </x:c>
      <x:c r="N1096" t="n">
        <x:v>4</x:v>
      </x:c>
      <x:c r="O1096" t="n">
        <x:v>11</x:v>
      </x:c>
      <x:c r="P1096" s="63" t="str">
        <x:f>IF(M1096=0,"—",M1096&amp;"d"&amp;N1096&amp;IF(O1096=0,""," + "&amp;O1096))</x:f>
        <x:v>3d4 + 11</x:v>
      </x:c>
      <x:c r="Q1096" t="n">
        <x:f>ROUND(INDEX(Catalogue!E$4:E$85,MATCH(A1096,Catalogue!A$4:A$85,0))*(1+'Paramètres'!$B$4*(C1096-1)+'Paramètres'!$B$5*(C1096-1)^2),0)</x:f>
        <x:v>14</x:v>
      </x:c>
      <x:c r="R1096" t="n">
        <x:f>ROUND(INDEX(Catalogue!F$4:F$85,MATCH(A1096,Catalogue!A$4:A$85,0))*(1+'Paramètres'!$B$4*(C1096-1)+'Paramètres'!$B$5*(C1096-1)^2),0)</x:f>
        <x:v>23</x:v>
      </x:c>
      <x:c r="S1096" t="n">
        <x:f>L1096-AVERAGE(Q1096:R1096)</x:f>
        <x:v>0</x:v>
      </x:c>
      <x:c r="T1096" t="str">
        <x:f>IF(M1096=0,IF(AND(N1096=0,O1096=0,E1096=0,F1096=0),"OK","ERREUR"),IF(AND(M1096&gt;=1,M1096&lt;=32,OR(N1096=4,N1096=6,N1096=8,N1096=10,N1096=12,N1096=20),O1096&gt;=0,E1096=M1096+O1096,F1096=M1096*N1096+O1096),"OK","ERREUR"))</x:f>
        <x:v>OK</x:v>
      </x:c>
      <x:c r="U1096" s="86" t="n">
        <x:f>IF(M1096&gt;0,M1096*(N1096+1)/2+O1096,0)</x:f>
        <x:v>18.5</x:v>
      </x:c>
      <x:c r="V1096" t="str">
        <x:f>IF(ABS(L1096-U1096)&lt;0.001,"OK","ERREUR")</x:f>
        <x:v>OK</x:v>
      </x:c>
    </x:row>
    <x:row r="1097" ht="18" customHeight="1">
      <x:c r="A1097" t="str">
        <x:v>ARM055</x:v>
      </x:c>
      <x:c r="B1097" t="str">
        <x:v>Dague de jet</x:v>
      </x:c>
      <x:c r="C1097" t="n">
        <x:v>14</x:v>
      </x:c>
      <x:c r="D1097" t="str">
        <x:v>Jet</x:v>
      </x:c>
      <x:c r="E1097" s="28" t="n">
        <x:f>IF(M1097=0,0,M1097+O1097)</x:f>
        <x:v>15</x:v>
      </x:c>
      <x:c r="F1097" s="28" t="n">
        <x:f>IF(M1097=0,0,M1097*N1097+O1097)</x:f>
        <x:v>25</x:v>
      </x:c>
      <x:c r="G1097" s="28" t="n">
        <x:f>ROUND(Catalogue!G58*SQRT((1+'Paramètres'!$B$4*(C1097-1)+'Paramètres'!$B$5*(C1097-1)^2)),0)</x:f>
        <x:v>0</x:v>
      </x:c>
      <x:c r="H1097" s="28" t="n">
        <x:f>ROUND(Catalogue!H58*SQRT((1+'Paramètres'!$B$4*(C1097-1)+'Paramètres'!$B$5*(C1097-1)^2)),0)</x:f>
        <x:v>0</x:v>
      </x:c>
      <x:c r="I1097" s="28" t="n">
        <x:v>2</x:v>
      </x:c>
      <x:c r="J1097" s="28" t="n">
        <x:v>4</x:v>
      </x:c>
      <x:c r="K1097" s="30" t="n">
        <x:v>0.35</x:v>
      </x:c>
      <x:c r="L1097" s="54" t="n">
        <x:f>IF(M1097=0,0,(E1097+F1097)/2)</x:f>
        <x:v>20</x:v>
      </x:c>
      <x:c r="M1097" t="n">
        <x:v>2</x:v>
      </x:c>
      <x:c r="N1097" t="n">
        <x:v>6</x:v>
      </x:c>
      <x:c r="O1097" t="n">
        <x:v>13</x:v>
      </x:c>
      <x:c r="P1097" s="63" t="str">
        <x:f>IF(M1097=0,"—",M1097&amp;"d"&amp;N1097&amp;IF(O1097=0,""," + "&amp;O1097))</x:f>
        <x:v>2d6 + 13</x:v>
      </x:c>
      <x:c r="Q1097" t="n">
        <x:f>ROUND(INDEX(Catalogue!E$4:E$85,MATCH(A1097,Catalogue!A$4:A$85,0))*(1+'Paramètres'!$B$4*(C1097-1)+'Paramètres'!$B$5*(C1097-1)^2),0)</x:f>
        <x:v>15</x:v>
      </x:c>
      <x:c r="R1097" t="n">
        <x:f>ROUND(INDEX(Catalogue!F$4:F$85,MATCH(A1097,Catalogue!A$4:A$85,0))*(1+'Paramètres'!$B$4*(C1097-1)+'Paramètres'!$B$5*(C1097-1)^2),0)</x:f>
        <x:v>26</x:v>
      </x:c>
      <x:c r="S1097" t="n">
        <x:f>L1097-AVERAGE(Q1097:R1097)</x:f>
        <x:v>-0.5</x:v>
      </x:c>
      <x:c r="T1097" t="str">
        <x:f>IF(M1097=0,IF(AND(N1097=0,O1097=0,E1097=0,F1097=0),"OK","ERREUR"),IF(AND(M1097&gt;=1,M1097&lt;=32,OR(N1097=4,N1097=6,N1097=8,N1097=10,N1097=12,N1097=20),O1097&gt;=0,E1097=M1097+O1097,F1097=M1097*N1097+O1097),"OK","ERREUR"))</x:f>
        <x:v>OK</x:v>
      </x:c>
      <x:c r="U1097" s="86" t="n">
        <x:f>IF(M1097&gt;0,M1097*(N1097+1)/2+O1097,0)</x:f>
        <x:v>20</x:v>
      </x:c>
      <x:c r="V1097" t="str">
        <x:f>IF(ABS(L1097-U1097)&lt;0.001,"OK","ERREUR")</x:f>
        <x:v>OK</x:v>
      </x:c>
    </x:row>
    <x:row r="1098" ht="18" customHeight="1">
      <x:c r="A1098" t="str">
        <x:v>ARM055</x:v>
      </x:c>
      <x:c r="B1098" t="str">
        <x:v>Dague de jet</x:v>
      </x:c>
      <x:c r="C1098" t="n">
        <x:v>15</x:v>
      </x:c>
      <x:c r="D1098" t="str">
        <x:v>Jet</x:v>
      </x:c>
      <x:c r="E1098" s="28" t="n">
        <x:f>IF(M1098=0,0,M1098+O1098)</x:f>
        <x:v>18</x:v>
      </x:c>
      <x:c r="F1098" s="28" t="n">
        <x:f>IF(M1098=0,0,M1098*N1098+O1098)</x:f>
        <x:v>28</x:v>
      </x:c>
      <x:c r="G1098" s="28" t="n">
        <x:f>ROUND(Catalogue!G58*SQRT((1+'Paramètres'!$B$4*(C1098-1)+'Paramètres'!$B$5*(C1098-1)^2)),0)</x:f>
        <x:v>0</x:v>
      </x:c>
      <x:c r="H1098" s="28" t="n">
        <x:f>ROUND(Catalogue!H58*SQRT((1+'Paramètres'!$B$4*(C1098-1)+'Paramètres'!$B$5*(C1098-1)^2)),0)</x:f>
        <x:v>0</x:v>
      </x:c>
      <x:c r="I1098" s="28" t="n">
        <x:v>2</x:v>
      </x:c>
      <x:c r="J1098" s="28" t="n">
        <x:v>4</x:v>
      </x:c>
      <x:c r="K1098" s="30" t="n">
        <x:v>0.35</x:v>
      </x:c>
      <x:c r="L1098" s="54" t="n">
        <x:f>IF(M1098=0,0,(E1098+F1098)/2)</x:f>
        <x:v>23</x:v>
      </x:c>
      <x:c r="M1098" t="n">
        <x:v>2</x:v>
      </x:c>
      <x:c r="N1098" t="n">
        <x:v>6</x:v>
      </x:c>
      <x:c r="O1098" t="n">
        <x:v>16</x:v>
      </x:c>
      <x:c r="P1098" s="63" t="str">
        <x:f>IF(M1098=0,"—",M1098&amp;"d"&amp;N1098&amp;IF(O1098=0,""," + "&amp;O1098))</x:f>
        <x:v>2d6 + 16</x:v>
      </x:c>
      <x:c r="Q1098" t="n">
        <x:f>ROUND(INDEX(Catalogue!E$4:E$85,MATCH(A1098,Catalogue!A$4:A$85,0))*(1+'Paramètres'!$B$4*(C1098-1)+'Paramètres'!$B$5*(C1098-1)^2),0)</x:f>
        <x:v>17</x:v>
      </x:c>
      <x:c r="R1098" t="n">
        <x:f>ROUND(INDEX(Catalogue!F$4:F$85,MATCH(A1098,Catalogue!A$4:A$85,0))*(1+'Paramètres'!$B$4*(C1098-1)+'Paramètres'!$B$5*(C1098-1)^2),0)</x:f>
        <x:v>28</x:v>
      </x:c>
      <x:c r="S1098" t="n">
        <x:f>L1098-AVERAGE(Q1098:R1098)</x:f>
        <x:v>0.5</x:v>
      </x:c>
      <x:c r="T1098" t="str">
        <x:f>IF(M1098=0,IF(AND(N1098=0,O1098=0,E1098=0,F1098=0),"OK","ERREUR"),IF(AND(M1098&gt;=1,M1098&lt;=32,OR(N1098=4,N1098=6,N1098=8,N1098=10,N1098=12,N1098=20),O1098&gt;=0,E1098=M1098+O1098,F1098=M1098*N1098+O1098),"OK","ERREUR"))</x:f>
        <x:v>OK</x:v>
      </x:c>
      <x:c r="U1098" s="86" t="n">
        <x:f>IF(M1098&gt;0,M1098*(N1098+1)/2+O1098,0)</x:f>
        <x:v>23</x:v>
      </x:c>
      <x:c r="V1098" t="str">
        <x:f>IF(ABS(L1098-U1098)&lt;0.001,"OK","ERREUR")</x:f>
        <x:v>OK</x:v>
      </x:c>
    </x:row>
    <x:row r="1099" ht="18" customHeight="1">
      <x:c r="A1099" t="str">
        <x:v>ARM055</x:v>
      </x:c>
      <x:c r="B1099" t="str">
        <x:v>Dague de jet</x:v>
      </x:c>
      <x:c r="C1099" t="n">
        <x:v>16</x:v>
      </x:c>
      <x:c r="D1099" t="str">
        <x:v>Jet</x:v>
      </x:c>
      <x:c r="E1099" s="28" t="n">
        <x:f>IF(M1099=0,0,M1099+O1099)</x:f>
        <x:v>19</x:v>
      </x:c>
      <x:c r="F1099" s="28" t="n">
        <x:f>IF(M1099=0,0,M1099*N1099+O1099)</x:f>
        <x:v>31</x:v>
      </x:c>
      <x:c r="G1099" s="28" t="n">
        <x:f>ROUND(Catalogue!G58*SQRT((1+'Paramètres'!$B$4*(C1099-1)+'Paramètres'!$B$5*(C1099-1)^2)),0)</x:f>
        <x:v>0</x:v>
      </x:c>
      <x:c r="H1099" s="28" t="n">
        <x:f>ROUND(Catalogue!H58*SQRT((1+'Paramètres'!$B$4*(C1099-1)+'Paramètres'!$B$5*(C1099-1)^2)),0)</x:f>
        <x:v>0</x:v>
      </x:c>
      <x:c r="I1099" s="28" t="n">
        <x:v>2</x:v>
      </x:c>
      <x:c r="J1099" s="28" t="n">
        <x:v>4</x:v>
      </x:c>
      <x:c r="K1099" s="30" t="n">
        <x:v>0.35</x:v>
      </x:c>
      <x:c r="L1099" s="54" t="n">
        <x:f>IF(M1099=0,0,(E1099+F1099)/2)</x:f>
        <x:v>25</x:v>
      </x:c>
      <x:c r="M1099" t="n">
        <x:v>4</x:v>
      </x:c>
      <x:c r="N1099" t="n">
        <x:v>4</x:v>
      </x:c>
      <x:c r="O1099" t="n">
        <x:v>15</x:v>
      </x:c>
      <x:c r="P1099" s="63" t="str">
        <x:f>IF(M1099=0,"—",M1099&amp;"d"&amp;N1099&amp;IF(O1099=0,""," + "&amp;O1099))</x:f>
        <x:v>4d4 + 15</x:v>
      </x:c>
      <x:c r="Q1099" t="n">
        <x:f>ROUND(INDEX(Catalogue!E$4:E$85,MATCH(A1099,Catalogue!A$4:A$85,0))*(1+'Paramètres'!$B$4*(C1099-1)+'Paramètres'!$B$5*(C1099-1)^2),0)</x:f>
        <x:v>19</x:v>
      </x:c>
      <x:c r="R1099" t="n">
        <x:f>ROUND(INDEX(Catalogue!F$4:F$85,MATCH(A1099,Catalogue!A$4:A$85,0))*(1+'Paramètres'!$B$4*(C1099-1)+'Paramètres'!$B$5*(C1099-1)^2),0)</x:f>
        <x:v>31</x:v>
      </x:c>
      <x:c r="S1099" t="n">
        <x:f>L1099-AVERAGE(Q1099:R1099)</x:f>
        <x:v>0</x:v>
      </x:c>
      <x:c r="T1099" t="str">
        <x:f>IF(M1099=0,IF(AND(N1099=0,O1099=0,E1099=0,F1099=0),"OK","ERREUR"),IF(AND(M1099&gt;=1,M1099&lt;=32,OR(N1099=4,N1099=6,N1099=8,N1099=10,N1099=12,N1099=20),O1099&gt;=0,E1099=M1099+O1099,F1099=M1099*N1099+O1099),"OK","ERREUR"))</x:f>
        <x:v>OK</x:v>
      </x:c>
      <x:c r="U1099" s="86" t="n">
        <x:f>IF(M1099&gt;0,M1099*(N1099+1)/2+O1099,0)</x:f>
        <x:v>25</x:v>
      </x:c>
      <x:c r="V1099" t="str">
        <x:f>IF(ABS(L1099-U1099)&lt;0.001,"OK","ERREUR")</x:f>
        <x:v>OK</x:v>
      </x:c>
    </x:row>
    <x:row r="1100" ht="18" customHeight="1">
      <x:c r="A1100" t="str">
        <x:v>ARM055</x:v>
      </x:c>
      <x:c r="B1100" t="str">
        <x:v>Dague de jet</x:v>
      </x:c>
      <x:c r="C1100" t="n">
        <x:v>17</x:v>
      </x:c>
      <x:c r="D1100" t="str">
        <x:v>Jet</x:v>
      </x:c>
      <x:c r="E1100" s="28" t="n">
        <x:f>IF(M1100=0,0,M1100+O1100)</x:f>
        <x:v>20</x:v>
      </x:c>
      <x:c r="F1100" s="28" t="n">
        <x:f>IF(M1100=0,0,M1100*N1100+O1100)</x:f>
        <x:v>34</x:v>
      </x:c>
      <x:c r="G1100" s="28" t="n">
        <x:f>ROUND(Catalogue!G58*SQRT((1+'Paramètres'!$B$4*(C1100-1)+'Paramètres'!$B$5*(C1100-1)^2)),0)</x:f>
        <x:v>0</x:v>
      </x:c>
      <x:c r="H1100" s="28" t="n">
        <x:f>ROUND(Catalogue!H58*SQRT((1+'Paramètres'!$B$4*(C1100-1)+'Paramètres'!$B$5*(C1100-1)^2)),0)</x:f>
        <x:v>0</x:v>
      </x:c>
      <x:c r="I1100" s="28" t="n">
        <x:v>2</x:v>
      </x:c>
      <x:c r="J1100" s="28" t="n">
        <x:v>4</x:v>
      </x:c>
      <x:c r="K1100" s="30" t="n">
        <x:v>0.35</x:v>
      </x:c>
      <x:c r="L1100" s="54" t="n">
        <x:f>IF(M1100=0,0,(E1100+F1100)/2)</x:f>
        <x:v>27</x:v>
      </x:c>
      <x:c r="M1100" t="n">
        <x:v>2</x:v>
      </x:c>
      <x:c r="N1100" t="n">
        <x:v>8</x:v>
      </x:c>
      <x:c r="O1100" t="n">
        <x:v>18</x:v>
      </x:c>
      <x:c r="P1100" s="63" t="str">
        <x:f>IF(M1100=0,"—",M1100&amp;"d"&amp;N1100&amp;IF(O1100=0,""," + "&amp;O1100))</x:f>
        <x:v>2d8 + 18</x:v>
      </x:c>
      <x:c r="Q1100" t="n">
        <x:f>ROUND(INDEX(Catalogue!E$4:E$85,MATCH(A1100,Catalogue!A$4:A$85,0))*(1+'Paramètres'!$B$4*(C1100-1)+'Paramètres'!$B$5*(C1100-1)^2),0)</x:f>
        <x:v>21</x:v>
      </x:c>
      <x:c r="R1100" t="n">
        <x:f>ROUND(INDEX(Catalogue!F$4:F$85,MATCH(A1100,Catalogue!A$4:A$85,0))*(1+'Paramètres'!$B$4*(C1100-1)+'Paramètres'!$B$5*(C1100-1)^2),0)</x:f>
        <x:v>34</x:v>
      </x:c>
      <x:c r="S1100" t="n">
        <x:f>L1100-AVERAGE(Q1100:R1100)</x:f>
        <x:v>-0.5</x:v>
      </x:c>
      <x:c r="T1100" t="str">
        <x:f>IF(M1100=0,IF(AND(N1100=0,O1100=0,E1100=0,F1100=0),"OK","ERREUR"),IF(AND(M1100&gt;=1,M1100&lt;=32,OR(N1100=4,N1100=6,N1100=8,N1100=10,N1100=12,N1100=20),O1100&gt;=0,E1100=M1100+O1100,F1100=M1100*N1100+O1100),"OK","ERREUR"))</x:f>
        <x:v>OK</x:v>
      </x:c>
      <x:c r="U1100" s="86" t="n">
        <x:f>IF(M1100&gt;0,M1100*(N1100+1)/2+O1100,0)</x:f>
        <x:v>27</x:v>
      </x:c>
      <x:c r="V1100" t="str">
        <x:f>IF(ABS(L1100-U1100)&lt;0.001,"OK","ERREUR")</x:f>
        <x:v>OK</x:v>
      </x:c>
    </x:row>
    <x:row r="1101" ht="18" customHeight="1">
      <x:c r="A1101" t="str">
        <x:v>ARM055</x:v>
      </x:c>
      <x:c r="B1101" t="str">
        <x:v>Dague de jet</x:v>
      </x:c>
      <x:c r="C1101" t="n">
        <x:v>18</x:v>
      </x:c>
      <x:c r="D1101" t="str">
        <x:v>Jet</x:v>
      </x:c>
      <x:c r="E1101" s="28" t="n">
        <x:f>IF(M1101=0,0,M1101+O1101)</x:f>
        <x:v>22</x:v>
      </x:c>
      <x:c r="F1101" s="28" t="n">
        <x:f>IF(M1101=0,0,M1101*N1101+O1101)</x:f>
        <x:v>37</x:v>
      </x:c>
      <x:c r="G1101" s="28" t="n">
        <x:f>ROUND(Catalogue!G58*SQRT((1+'Paramètres'!$B$4*(C1101-1)+'Paramètres'!$B$5*(C1101-1)^2)),0)</x:f>
        <x:v>0</x:v>
      </x:c>
      <x:c r="H1101" s="28" t="n">
        <x:f>ROUND(Catalogue!H58*SQRT((1+'Paramètres'!$B$4*(C1101-1)+'Paramètres'!$B$5*(C1101-1)^2)),0)</x:f>
        <x:v>0</x:v>
      </x:c>
      <x:c r="I1101" s="28" t="n">
        <x:v>2</x:v>
      </x:c>
      <x:c r="J1101" s="28" t="n">
        <x:v>4</x:v>
      </x:c>
      <x:c r="K1101" s="30" t="n">
        <x:v>0.35</x:v>
      </x:c>
      <x:c r="L1101" s="54" t="n">
        <x:f>IF(M1101=0,0,(E1101+F1101)/2)</x:f>
        <x:v>29.5</x:v>
      </x:c>
      <x:c r="M1101" t="n">
        <x:v>3</x:v>
      </x:c>
      <x:c r="N1101" t="n">
        <x:v>6</x:v>
      </x:c>
      <x:c r="O1101" t="n">
        <x:v>19</x:v>
      </x:c>
      <x:c r="P1101" s="63" t="str">
        <x:f>IF(M1101=0,"—",M1101&amp;"d"&amp;N1101&amp;IF(O1101=0,""," + "&amp;O1101))</x:f>
        <x:v>3d6 + 19</x:v>
      </x:c>
      <x:c r="Q1101" t="n">
        <x:f>ROUND(INDEX(Catalogue!E$4:E$85,MATCH(A1101,Catalogue!A$4:A$85,0))*(1+'Paramètres'!$B$4*(C1101-1)+'Paramètres'!$B$5*(C1101-1)^2),0)</x:f>
        <x:v>22</x:v>
      </x:c>
      <x:c r="R1101" t="n">
        <x:f>ROUND(INDEX(Catalogue!F$4:F$85,MATCH(A1101,Catalogue!A$4:A$85,0))*(1+'Paramètres'!$B$4*(C1101-1)+'Paramètres'!$B$5*(C1101-1)^2),0)</x:f>
        <x:v>37</x:v>
      </x:c>
      <x:c r="S1101" t="n">
        <x:f>L1101-AVERAGE(Q1101:R1101)</x:f>
        <x:v>0</x:v>
      </x:c>
      <x:c r="T1101" t="str">
        <x:f>IF(M1101=0,IF(AND(N1101=0,O1101=0,E1101=0,F1101=0),"OK","ERREUR"),IF(AND(M1101&gt;=1,M1101&lt;=32,OR(N1101=4,N1101=6,N1101=8,N1101=10,N1101=12,N1101=20),O1101&gt;=0,E1101=M1101+O1101,F1101=M1101*N1101+O1101),"OK","ERREUR"))</x:f>
        <x:v>OK</x:v>
      </x:c>
      <x:c r="U1101" s="86" t="n">
        <x:f>IF(M1101&gt;0,M1101*(N1101+1)/2+O1101,0)</x:f>
        <x:v>29.5</x:v>
      </x:c>
      <x:c r="V1101" t="str">
        <x:f>IF(ABS(L1101-U1101)&lt;0.001,"OK","ERREUR")</x:f>
        <x:v>OK</x:v>
      </x:c>
    </x:row>
    <x:row r="1102" ht="18" customHeight="1">
      <x:c r="A1102" t="str">
        <x:v>ARM055</x:v>
      </x:c>
      <x:c r="B1102" t="str">
        <x:v>Dague de jet</x:v>
      </x:c>
      <x:c r="C1102" t="n">
        <x:v>19</x:v>
      </x:c>
      <x:c r="D1102" t="str">
        <x:v>Jet</x:v>
      </x:c>
      <x:c r="E1102" s="28" t="n">
        <x:f>IF(M1102=0,0,M1102+O1102)</x:f>
        <x:v>23</x:v>
      </x:c>
      <x:c r="F1102" s="28" t="n">
        <x:f>IF(M1102=0,0,M1102*N1102+O1102)</x:f>
        <x:v>41</x:v>
      </x:c>
      <x:c r="G1102" s="28" t="n">
        <x:f>ROUND(Catalogue!G58*SQRT((1+'Paramètres'!$B$4*(C1102-1)+'Paramètres'!$B$5*(C1102-1)^2)),0)</x:f>
        <x:v>0</x:v>
      </x:c>
      <x:c r="H1102" s="28" t="n">
        <x:f>ROUND(Catalogue!H58*SQRT((1+'Paramètres'!$B$4*(C1102-1)+'Paramètres'!$B$5*(C1102-1)^2)),0)</x:f>
        <x:v>0</x:v>
      </x:c>
      <x:c r="I1102" s="28" t="n">
        <x:v>2</x:v>
      </x:c>
      <x:c r="J1102" s="28" t="n">
        <x:v>4</x:v>
      </x:c>
      <x:c r="K1102" s="30" t="n">
        <x:v>0.35</x:v>
      </x:c>
      <x:c r="L1102" s="54" t="n">
        <x:f>IF(M1102=0,0,(E1102+F1102)/2)</x:f>
        <x:v>32</x:v>
      </x:c>
      <x:c r="M1102" t="n">
        <x:v>6</x:v>
      </x:c>
      <x:c r="N1102" t="n">
        <x:v>4</x:v>
      </x:c>
      <x:c r="O1102" t="n">
        <x:v>17</x:v>
      </x:c>
      <x:c r="P1102" s="63" t="str">
        <x:f>IF(M1102=0,"—",M1102&amp;"d"&amp;N1102&amp;IF(O1102=0,""," + "&amp;O1102))</x:f>
        <x:v>6d4 + 17</x:v>
      </x:c>
      <x:c r="Q1102" t="n">
        <x:f>ROUND(INDEX(Catalogue!E$4:E$85,MATCH(A1102,Catalogue!A$4:A$85,0))*(1+'Paramètres'!$B$4*(C1102-1)+'Paramètres'!$B$5*(C1102-1)^2),0)</x:f>
        <x:v>24</x:v>
      </x:c>
      <x:c r="R1102" t="n">
        <x:f>ROUND(INDEX(Catalogue!F$4:F$85,MATCH(A1102,Catalogue!A$4:A$85,0))*(1+'Paramètres'!$B$4*(C1102-1)+'Paramètres'!$B$5*(C1102-1)^2),0)</x:f>
        <x:v>41</x:v>
      </x:c>
      <x:c r="S1102" t="n">
        <x:f>L1102-AVERAGE(Q1102:R1102)</x:f>
        <x:v>-0.5</x:v>
      </x:c>
      <x:c r="T1102" t="str">
        <x:f>IF(M1102=0,IF(AND(N1102=0,O1102=0,E1102=0,F1102=0),"OK","ERREUR"),IF(AND(M1102&gt;=1,M1102&lt;=32,OR(N1102=4,N1102=6,N1102=8,N1102=10,N1102=12,N1102=20),O1102&gt;=0,E1102=M1102+O1102,F1102=M1102*N1102+O1102),"OK","ERREUR"))</x:f>
        <x:v>OK</x:v>
      </x:c>
      <x:c r="U1102" s="86" t="n">
        <x:f>IF(M1102&gt;0,M1102*(N1102+1)/2+O1102,0)</x:f>
        <x:v>32</x:v>
      </x:c>
      <x:c r="V1102" t="str">
        <x:f>IF(ABS(L1102-U1102)&lt;0.001,"OK","ERREUR")</x:f>
        <x:v>OK</x:v>
      </x:c>
    </x:row>
    <x:row r="1103" ht="18" customHeight="1">
      <x:c r="A1103" t="str">
        <x:v>ARM055</x:v>
      </x:c>
      <x:c r="B1103" t="str">
        <x:v>Dague de jet</x:v>
      </x:c>
      <x:c r="C1103" t="n">
        <x:v>20</x:v>
      </x:c>
      <x:c r="D1103" t="str">
        <x:v>Jet</x:v>
      </x:c>
      <x:c r="E1103" s="28" t="n">
        <x:f>IF(M1103=0,0,M1103+O1103)</x:f>
        <x:v>26</x:v>
      </x:c>
      <x:c r="F1103" s="28" t="n">
        <x:f>IF(M1103=0,0,M1103*N1103+O1103)</x:f>
        <x:v>44</x:v>
      </x:c>
      <x:c r="G1103" s="28" t="n">
        <x:f>ROUND(Catalogue!G58*SQRT((1+'Paramètres'!$B$4*(C1103-1)+'Paramètres'!$B$5*(C1103-1)^2)),0)</x:f>
        <x:v>0</x:v>
      </x:c>
      <x:c r="H1103" s="28" t="n">
        <x:f>ROUND(Catalogue!H58*SQRT((1+'Paramètres'!$B$4*(C1103-1)+'Paramètres'!$B$5*(C1103-1)^2)),0)</x:f>
        <x:v>0</x:v>
      </x:c>
      <x:c r="I1103" s="28" t="n">
        <x:v>2</x:v>
      </x:c>
      <x:c r="J1103" s="28" t="n">
        <x:v>4</x:v>
      </x:c>
      <x:c r="K1103" s="30" t="n">
        <x:v>0.35</x:v>
      </x:c>
      <x:c r="L1103" s="54" t="n">
        <x:f>IF(M1103=0,0,(E1103+F1103)/2)</x:f>
        <x:v>35</x:v>
      </x:c>
      <x:c r="M1103" t="n">
        <x:v>6</x:v>
      </x:c>
      <x:c r="N1103" t="n">
        <x:v>4</x:v>
      </x:c>
      <x:c r="O1103" t="n">
        <x:v>20</x:v>
      </x:c>
      <x:c r="P1103" s="63" t="str">
        <x:f>IF(M1103=0,"—",M1103&amp;"d"&amp;N1103&amp;IF(O1103=0,""," + "&amp;O1103))</x:f>
        <x:v>6d4 + 20</x:v>
      </x:c>
      <x:c r="Q1103" t="n">
        <x:f>ROUND(INDEX(Catalogue!E$4:E$85,MATCH(A1103,Catalogue!A$4:A$85,0))*(1+'Paramètres'!$B$4*(C1103-1)+'Paramètres'!$B$5*(C1103-1)^2),0)</x:f>
        <x:v>27</x:v>
      </x:c>
      <x:c r="R1103" t="n">
        <x:f>ROUND(INDEX(Catalogue!F$4:F$85,MATCH(A1103,Catalogue!A$4:A$85,0))*(1+'Paramètres'!$B$4*(C1103-1)+'Paramètres'!$B$5*(C1103-1)^2),0)</x:f>
        <x:v>44</x:v>
      </x:c>
      <x:c r="S1103" t="n">
        <x:f>L1103-AVERAGE(Q1103:R1103)</x:f>
        <x:v>-0.5</x:v>
      </x:c>
      <x:c r="T1103" t="str">
        <x:f>IF(M1103=0,IF(AND(N1103=0,O1103=0,E1103=0,F1103=0),"OK","ERREUR"),IF(AND(M1103&gt;=1,M1103&lt;=32,OR(N1103=4,N1103=6,N1103=8,N1103=10,N1103=12,N1103=20),O1103&gt;=0,E1103=M1103+O1103,F1103=M1103*N1103+O1103),"OK","ERREUR"))</x:f>
        <x:v>OK</x:v>
      </x:c>
      <x:c r="U1103" s="86" t="n">
        <x:f>IF(M1103&gt;0,M1103*(N1103+1)/2+O1103,0)</x:f>
        <x:v>35</x:v>
      </x:c>
      <x:c r="V1103" t="str">
        <x:f>IF(ABS(L1103-U1103)&lt;0.001,"OK","ERREUR")</x:f>
        <x:v>OK</x:v>
      </x:c>
    </x:row>
    <x:row r="1104" ht="18" customHeight="1">
      <x:c r="A1104" t="str">
        <x:v>ARM056</x:v>
      </x:c>
      <x:c r="B1104" t="str">
        <x:v>Hache de jet</x:v>
      </x:c>
      <x:c r="C1104" t="n">
        <x:v>1</x:v>
      </x:c>
      <x:c r="D1104" t="str">
        <x:v>Jet</x:v>
      </x:c>
      <x:c r="E1104" s="28" t="n">
        <x:f>IF(M1104=0,0,M1104+O1104)</x:f>
        <x:v>4</x:v>
      </x:c>
      <x:c r="F1104" s="28" t="n">
        <x:f>IF(M1104=0,0,M1104*N1104+O1104)</x:f>
        <x:v>7</x:v>
      </x:c>
      <x:c r="G1104" s="28" t="n">
        <x:f>ROUND(Catalogue!G59*SQRT((1+'Paramètres'!$B$4*(C1104-1)+'Paramètres'!$B$5*(C1104-1)^2)),0)</x:f>
        <x:v>0</x:v>
      </x:c>
      <x:c r="H1104" s="28" t="n">
        <x:f>ROUND(Catalogue!H59*SQRT((1+'Paramètres'!$B$4*(C1104-1)+'Paramètres'!$B$5*(C1104-1)^2)),0)</x:f>
        <x:v>0</x:v>
      </x:c>
      <x:c r="I1104" s="28" t="n">
        <x:v>2</x:v>
      </x:c>
      <x:c r="J1104" s="28" t="n">
        <x:v>4</x:v>
      </x:c>
      <x:c r="K1104" s="30" t="n">
        <x:v>1.1</x:v>
      </x:c>
      <x:c r="L1104" s="54" t="n">
        <x:f>IF(M1104=0,0,(E1104+F1104)/2)</x:f>
        <x:v>5.5</x:v>
      </x:c>
      <x:c r="M1104" t="n">
        <x:v>1</x:v>
      </x:c>
      <x:c r="N1104" t="n">
        <x:v>4</x:v>
      </x:c>
      <x:c r="O1104" t="n">
        <x:v>3</x:v>
      </x:c>
      <x:c r="P1104" s="63" t="str">
        <x:f>IF(M1104=0,"—",M1104&amp;"d"&amp;N1104&amp;IF(O1104=0,""," + "&amp;O1104))</x:f>
        <x:v>1d4 + 3</x:v>
      </x:c>
      <x:c r="Q1104" t="n">
        <x:f>ROUND(INDEX(Catalogue!E$4:E$85,MATCH(A1104,Catalogue!A$4:A$85,0))*(1+'Paramètres'!$B$4*(C1104-1)+'Paramètres'!$B$5*(C1104-1)^2),0)</x:f>
        <x:v>4</x:v>
      </x:c>
      <x:c r="R1104" t="n">
        <x:f>ROUND(INDEX(Catalogue!F$4:F$85,MATCH(A1104,Catalogue!A$4:A$85,0))*(1+'Paramètres'!$B$4*(C1104-1)+'Paramètres'!$B$5*(C1104-1)^2),0)</x:f>
        <x:v>7</x:v>
      </x:c>
      <x:c r="S1104" t="n">
        <x:f>L1104-AVERAGE(Q1104:R1104)</x:f>
        <x:v>0</x:v>
      </x:c>
      <x:c r="T1104" t="str">
        <x:f>IF(M1104=0,IF(AND(N1104=0,O1104=0,E1104=0,F1104=0),"OK","ERREUR"),IF(AND(M1104&gt;=1,M1104&lt;=32,OR(N1104=4,N1104=6,N1104=8,N1104=10,N1104=12,N1104=20),O1104&gt;=0,E1104=M1104+O1104,F1104=M1104*N1104+O1104),"OK","ERREUR"))</x:f>
        <x:v>OK</x:v>
      </x:c>
      <x:c r="U1104" s="86" t="n">
        <x:f>IF(M1104&gt;0,M1104*(N1104+1)/2+O1104,0)</x:f>
        <x:v>5.5</x:v>
      </x:c>
      <x:c r="V1104" t="str">
        <x:f>IF(ABS(L1104-U1104)&lt;0.001,"OK","ERREUR")</x:f>
        <x:v>OK</x:v>
      </x:c>
    </x:row>
    <x:row r="1105" ht="18" customHeight="1">
      <x:c r="A1105" t="str">
        <x:v>ARM056</x:v>
      </x:c>
      <x:c r="B1105" t="str">
        <x:v>Hache de jet</x:v>
      </x:c>
      <x:c r="C1105" t="n">
        <x:v>2</x:v>
      </x:c>
      <x:c r="D1105" t="str">
        <x:v>Jet</x:v>
      </x:c>
      <x:c r="E1105" s="28" t="n">
        <x:f>IF(M1105=0,0,M1105+O1105)</x:f>
        <x:v>5</x:v>
      </x:c>
      <x:c r="F1105" s="28" t="n">
        <x:f>IF(M1105=0,0,M1105*N1105+O1105)</x:f>
        <x:v>8</x:v>
      </x:c>
      <x:c r="G1105" s="28" t="n">
        <x:f>ROUND(Catalogue!G59*SQRT((1+'Paramètres'!$B$4*(C1105-1)+'Paramètres'!$B$5*(C1105-1)^2)),0)</x:f>
        <x:v>0</x:v>
      </x:c>
      <x:c r="H1105" s="28" t="n">
        <x:f>ROUND(Catalogue!H59*SQRT((1+'Paramètres'!$B$4*(C1105-1)+'Paramètres'!$B$5*(C1105-1)^2)),0)</x:f>
        <x:v>0</x:v>
      </x:c>
      <x:c r="I1105" s="28" t="n">
        <x:v>2</x:v>
      </x:c>
      <x:c r="J1105" s="28" t="n">
        <x:v>4</x:v>
      </x:c>
      <x:c r="K1105" s="30" t="n">
        <x:v>1.1</x:v>
      </x:c>
      <x:c r="L1105" s="54" t="n">
        <x:f>IF(M1105=0,0,(E1105+F1105)/2)</x:f>
        <x:v>6.5</x:v>
      </x:c>
      <x:c r="M1105" t="n">
        <x:v>1</x:v>
      </x:c>
      <x:c r="N1105" t="n">
        <x:v>4</x:v>
      </x:c>
      <x:c r="O1105" t="n">
        <x:v>4</x:v>
      </x:c>
      <x:c r="P1105" s="63" t="str">
        <x:f>IF(M1105=0,"—",M1105&amp;"d"&amp;N1105&amp;IF(O1105=0,""," + "&amp;O1105))</x:f>
        <x:v>1d4 + 4</x:v>
      </x:c>
      <x:c r="Q1105" t="n">
        <x:f>ROUND(INDEX(Catalogue!E$4:E$85,MATCH(A1105,Catalogue!A$4:A$85,0))*(1+'Paramètres'!$B$4*(C1105-1)+'Paramètres'!$B$5*(C1105-1)^2),0)</x:f>
        <x:v>5</x:v>
      </x:c>
      <x:c r="R1105" t="n">
        <x:f>ROUND(INDEX(Catalogue!F$4:F$85,MATCH(A1105,Catalogue!A$4:A$85,0))*(1+'Paramètres'!$B$4*(C1105-1)+'Paramètres'!$B$5*(C1105-1)^2),0)</x:f>
        <x:v>8</x:v>
      </x:c>
      <x:c r="S1105" t="n">
        <x:f>L1105-AVERAGE(Q1105:R1105)</x:f>
        <x:v>0</x:v>
      </x:c>
      <x:c r="T1105" t="str">
        <x:f>IF(M1105=0,IF(AND(N1105=0,O1105=0,E1105=0,F1105=0),"OK","ERREUR"),IF(AND(M1105&gt;=1,M1105&lt;=32,OR(N1105=4,N1105=6,N1105=8,N1105=10,N1105=12,N1105=20),O1105&gt;=0,E1105=M1105+O1105,F1105=M1105*N1105+O1105),"OK","ERREUR"))</x:f>
        <x:v>OK</x:v>
      </x:c>
      <x:c r="U1105" s="86" t="n">
        <x:f>IF(M1105&gt;0,M1105*(N1105+1)/2+O1105,0)</x:f>
        <x:v>6.5</x:v>
      </x:c>
      <x:c r="V1105" t="str">
        <x:f>IF(ABS(L1105-U1105)&lt;0.001,"OK","ERREUR")</x:f>
        <x:v>OK</x:v>
      </x:c>
    </x:row>
    <x:row r="1106" ht="18" customHeight="1">
      <x:c r="A1106" t="str">
        <x:v>ARM056</x:v>
      </x:c>
      <x:c r="B1106" t="str">
        <x:v>Hache de jet</x:v>
      </x:c>
      <x:c r="C1106" t="n">
        <x:v>3</x:v>
      </x:c>
      <x:c r="D1106" t="str">
        <x:v>Jet</x:v>
      </x:c>
      <x:c r="E1106" s="28" t="n">
        <x:f>IF(M1106=0,0,M1106+O1106)</x:f>
        <x:v>5</x:v>
      </x:c>
      <x:c r="F1106" s="28" t="n">
        <x:f>IF(M1106=0,0,M1106*N1106+O1106)</x:f>
        <x:v>8</x:v>
      </x:c>
      <x:c r="G1106" s="28" t="n">
        <x:f>ROUND(Catalogue!G59*SQRT((1+'Paramètres'!$B$4*(C1106-1)+'Paramètres'!$B$5*(C1106-1)^2)),0)</x:f>
        <x:v>0</x:v>
      </x:c>
      <x:c r="H1106" s="28" t="n">
        <x:f>ROUND(Catalogue!H59*SQRT((1+'Paramètres'!$B$4*(C1106-1)+'Paramètres'!$B$5*(C1106-1)^2)),0)</x:f>
        <x:v>0</x:v>
      </x:c>
      <x:c r="I1106" s="28" t="n">
        <x:v>2</x:v>
      </x:c>
      <x:c r="J1106" s="28" t="n">
        <x:v>4</x:v>
      </x:c>
      <x:c r="K1106" s="30" t="n">
        <x:v>1.1</x:v>
      </x:c>
      <x:c r="L1106" s="54" t="n">
        <x:f>IF(M1106=0,0,(E1106+F1106)/2)</x:f>
        <x:v>6.5</x:v>
      </x:c>
      <x:c r="M1106" t="n">
        <x:v>1</x:v>
      </x:c>
      <x:c r="N1106" t="n">
        <x:v>4</x:v>
      </x:c>
      <x:c r="O1106" t="n">
        <x:v>4</x:v>
      </x:c>
      <x:c r="P1106" s="63" t="str">
        <x:f>IF(M1106=0,"—",M1106&amp;"d"&amp;N1106&amp;IF(O1106=0,""," + "&amp;O1106))</x:f>
        <x:v>1d4 + 4</x:v>
      </x:c>
      <x:c r="Q1106" t="n">
        <x:f>ROUND(INDEX(Catalogue!E$4:E$85,MATCH(A1106,Catalogue!A$4:A$85,0))*(1+'Paramètres'!$B$4*(C1106-1)+'Paramètres'!$B$5*(C1106-1)^2),0)</x:f>
        <x:v>5</x:v>
      </x:c>
      <x:c r="R1106" t="n">
        <x:f>ROUND(INDEX(Catalogue!F$4:F$85,MATCH(A1106,Catalogue!A$4:A$85,0))*(1+'Paramètres'!$B$4*(C1106-1)+'Paramètres'!$B$5*(C1106-1)^2),0)</x:f>
        <x:v>9</x:v>
      </x:c>
      <x:c r="S1106" t="n">
        <x:f>L1106-AVERAGE(Q1106:R1106)</x:f>
        <x:v>-0.5</x:v>
      </x:c>
      <x:c r="T1106" t="str">
        <x:f>IF(M1106=0,IF(AND(N1106=0,O1106=0,E1106=0,F1106=0),"OK","ERREUR"),IF(AND(M1106&gt;=1,M1106&lt;=32,OR(N1106=4,N1106=6,N1106=8,N1106=10,N1106=12,N1106=20),O1106&gt;=0,E1106=M1106+O1106,F1106=M1106*N1106+O1106),"OK","ERREUR"))</x:f>
        <x:v>OK</x:v>
      </x:c>
      <x:c r="U1106" s="86" t="n">
        <x:f>IF(M1106&gt;0,M1106*(N1106+1)/2+O1106,0)</x:f>
        <x:v>6.5</x:v>
      </x:c>
      <x:c r="V1106" t="str">
        <x:f>IF(ABS(L1106-U1106)&lt;0.001,"OK","ERREUR")</x:f>
        <x:v>OK</x:v>
      </x:c>
    </x:row>
    <x:row r="1107" ht="18" customHeight="1">
      <x:c r="A1107" t="str">
        <x:v>ARM056</x:v>
      </x:c>
      <x:c r="B1107" t="str">
        <x:v>Hache de jet</x:v>
      </x:c>
      <x:c r="C1107" t="n">
        <x:v>4</x:v>
      </x:c>
      <x:c r="D1107" t="str">
        <x:v>Jet</x:v>
      </x:c>
      <x:c r="E1107" s="28" t="n">
        <x:f>IF(M1107=0,0,M1107+O1107)</x:f>
        <x:v>6</x:v>
      </x:c>
      <x:c r="F1107" s="28" t="n">
        <x:f>IF(M1107=0,0,M1107*N1107+O1107)</x:f>
        <x:v>9</x:v>
      </x:c>
      <x:c r="G1107" s="28" t="n">
        <x:f>ROUND(Catalogue!G59*SQRT((1+'Paramètres'!$B$4*(C1107-1)+'Paramètres'!$B$5*(C1107-1)^2)),0)</x:f>
        <x:v>0</x:v>
      </x:c>
      <x:c r="H1107" s="28" t="n">
        <x:f>ROUND(Catalogue!H59*SQRT((1+'Paramètres'!$B$4*(C1107-1)+'Paramètres'!$B$5*(C1107-1)^2)),0)</x:f>
        <x:v>0</x:v>
      </x:c>
      <x:c r="I1107" s="28" t="n">
        <x:v>2</x:v>
      </x:c>
      <x:c r="J1107" s="28" t="n">
        <x:v>4</x:v>
      </x:c>
      <x:c r="K1107" s="30" t="n">
        <x:v>1.1</x:v>
      </x:c>
      <x:c r="L1107" s="54" t="n">
        <x:f>IF(M1107=0,0,(E1107+F1107)/2)</x:f>
        <x:v>7.5</x:v>
      </x:c>
      <x:c r="M1107" t="n">
        <x:v>1</x:v>
      </x:c>
      <x:c r="N1107" t="n">
        <x:v>4</x:v>
      </x:c>
      <x:c r="O1107" t="n">
        <x:v>5</x:v>
      </x:c>
      <x:c r="P1107" s="63" t="str">
        <x:f>IF(M1107=0,"—",M1107&amp;"d"&amp;N1107&amp;IF(O1107=0,""," + "&amp;O1107))</x:f>
        <x:v>1d4 + 5</x:v>
      </x:c>
      <x:c r="Q1107" t="n">
        <x:f>ROUND(INDEX(Catalogue!E$4:E$85,MATCH(A1107,Catalogue!A$4:A$85,0))*(1+'Paramètres'!$B$4*(C1107-1)+'Paramètres'!$B$5*(C1107-1)^2),0)</x:f>
        <x:v>6</x:v>
      </x:c>
      <x:c r="R1107" t="n">
        <x:f>ROUND(INDEX(Catalogue!F$4:F$85,MATCH(A1107,Catalogue!A$4:A$85,0))*(1+'Paramètres'!$B$4*(C1107-1)+'Paramètres'!$B$5*(C1107-1)^2),0)</x:f>
        <x:v>10</x:v>
      </x:c>
      <x:c r="S1107" t="n">
        <x:f>L1107-AVERAGE(Q1107:R1107)</x:f>
        <x:v>-0.5</x:v>
      </x:c>
      <x:c r="T1107" t="str">
        <x:f>IF(M1107=0,IF(AND(N1107=0,O1107=0,E1107=0,F1107=0),"OK","ERREUR"),IF(AND(M1107&gt;=1,M1107&lt;=32,OR(N1107=4,N1107=6,N1107=8,N1107=10,N1107=12,N1107=20),O1107&gt;=0,E1107=M1107+O1107,F1107=M1107*N1107+O1107),"OK","ERREUR"))</x:f>
        <x:v>OK</x:v>
      </x:c>
      <x:c r="U1107" s="86" t="n">
        <x:f>IF(M1107&gt;0,M1107*(N1107+1)/2+O1107,0)</x:f>
        <x:v>7.5</x:v>
      </x:c>
      <x:c r="V1107" t="str">
        <x:f>IF(ABS(L1107-U1107)&lt;0.001,"OK","ERREUR")</x:f>
        <x:v>OK</x:v>
      </x:c>
    </x:row>
    <x:row r="1108" ht="18" customHeight="1">
      <x:c r="A1108" t="str">
        <x:v>ARM056</x:v>
      </x:c>
      <x:c r="B1108" t="str">
        <x:v>Hache de jet</x:v>
      </x:c>
      <x:c r="C1108" t="n">
        <x:v>5</x:v>
      </x:c>
      <x:c r="D1108" t="str">
        <x:v>Jet</x:v>
      </x:c>
      <x:c r="E1108" s="28" t="n">
        <x:f>IF(M1108=0,0,M1108+O1108)</x:f>
        <x:v>7</x:v>
      </x:c>
      <x:c r="F1108" s="28" t="n">
        <x:f>IF(M1108=0,0,M1108*N1108+O1108)</x:f>
        <x:v>12</x:v>
      </x:c>
      <x:c r="G1108" s="28" t="n">
        <x:f>ROUND(Catalogue!G59*SQRT((1+'Paramètres'!$B$4*(C1108-1)+'Paramètres'!$B$5*(C1108-1)^2)),0)</x:f>
        <x:v>0</x:v>
      </x:c>
      <x:c r="H1108" s="28" t="n">
        <x:f>ROUND(Catalogue!H59*SQRT((1+'Paramètres'!$B$4*(C1108-1)+'Paramètres'!$B$5*(C1108-1)^2)),0)</x:f>
        <x:v>0</x:v>
      </x:c>
      <x:c r="I1108" s="28" t="n">
        <x:v>2</x:v>
      </x:c>
      <x:c r="J1108" s="28" t="n">
        <x:v>4</x:v>
      </x:c>
      <x:c r="K1108" s="30" t="n">
        <x:v>1.1</x:v>
      </x:c>
      <x:c r="L1108" s="54" t="n">
        <x:f>IF(M1108=0,0,(E1108+F1108)/2)</x:f>
        <x:v>9.5</x:v>
      </x:c>
      <x:c r="M1108" t="n">
        <x:v>1</x:v>
      </x:c>
      <x:c r="N1108" t="n">
        <x:v>6</x:v>
      </x:c>
      <x:c r="O1108" t="n">
        <x:v>6</x:v>
      </x:c>
      <x:c r="P1108" s="63" t="str">
        <x:f>IF(M1108=0,"—",M1108&amp;"d"&amp;N1108&amp;IF(O1108=0,""," + "&amp;O1108))</x:f>
        <x:v>1d6 + 6</x:v>
      </x:c>
      <x:c r="Q1108" t="n">
        <x:f>ROUND(INDEX(Catalogue!E$4:E$85,MATCH(A1108,Catalogue!A$4:A$85,0))*(1+'Paramètres'!$B$4*(C1108-1)+'Paramètres'!$B$5*(C1108-1)^2),0)</x:f>
        <x:v>7</x:v>
      </x:c>
      <x:c r="R1108" t="n">
        <x:f>ROUND(INDEX(Catalogue!F$4:F$85,MATCH(A1108,Catalogue!A$4:A$85,0))*(1+'Paramètres'!$B$4*(C1108-1)+'Paramètres'!$B$5*(C1108-1)^2),0)</x:f>
        <x:v>12</x:v>
      </x:c>
      <x:c r="S1108" t="n">
        <x:f>L1108-AVERAGE(Q1108:R1108)</x:f>
        <x:v>0</x:v>
      </x:c>
      <x:c r="T1108" t="str">
        <x:f>IF(M1108=0,IF(AND(N1108=0,O1108=0,E1108=0,F1108=0),"OK","ERREUR"),IF(AND(M1108&gt;=1,M1108&lt;=32,OR(N1108=4,N1108=6,N1108=8,N1108=10,N1108=12,N1108=20),O1108&gt;=0,E1108=M1108+O1108,F1108=M1108*N1108+O1108),"OK","ERREUR"))</x:f>
        <x:v>OK</x:v>
      </x:c>
      <x:c r="U1108" s="86" t="n">
        <x:f>IF(M1108&gt;0,M1108*(N1108+1)/2+O1108,0)</x:f>
        <x:v>9.5</x:v>
      </x:c>
      <x:c r="V1108" t="str">
        <x:f>IF(ABS(L1108-U1108)&lt;0.001,"OK","ERREUR")</x:f>
        <x:v>OK</x:v>
      </x:c>
    </x:row>
    <x:row r="1109" ht="18" customHeight="1">
      <x:c r="A1109" t="str">
        <x:v>ARM056</x:v>
      </x:c>
      <x:c r="B1109" t="str">
        <x:v>Hache de jet</x:v>
      </x:c>
      <x:c r="C1109" t="n">
        <x:v>6</x:v>
      </x:c>
      <x:c r="D1109" t="str">
        <x:v>Jet</x:v>
      </x:c>
      <x:c r="E1109" s="28" t="n">
        <x:f>IF(M1109=0,0,M1109+O1109)</x:f>
        <x:v>8</x:v>
      </x:c>
      <x:c r="F1109" s="28" t="n">
        <x:f>IF(M1109=0,0,M1109*N1109+O1109)</x:f>
        <x:v>14</x:v>
      </x:c>
      <x:c r="G1109" s="28" t="n">
        <x:f>ROUND(Catalogue!G59*SQRT((1+'Paramètres'!$B$4*(C1109-1)+'Paramètres'!$B$5*(C1109-1)^2)),0)</x:f>
        <x:v>0</x:v>
      </x:c>
      <x:c r="H1109" s="28" t="n">
        <x:f>ROUND(Catalogue!H59*SQRT((1+'Paramètres'!$B$4*(C1109-1)+'Paramètres'!$B$5*(C1109-1)^2)),0)</x:f>
        <x:v>0</x:v>
      </x:c>
      <x:c r="I1109" s="28" t="n">
        <x:v>2</x:v>
      </x:c>
      <x:c r="J1109" s="28" t="n">
        <x:v>4</x:v>
      </x:c>
      <x:c r="K1109" s="30" t="n">
        <x:v>1.1</x:v>
      </x:c>
      <x:c r="L1109" s="54" t="n">
        <x:f>IF(M1109=0,0,(E1109+F1109)/2)</x:f>
        <x:v>11</x:v>
      </x:c>
      <x:c r="M1109" t="n">
        <x:v>2</x:v>
      </x:c>
      <x:c r="N1109" t="n">
        <x:v>4</x:v>
      </x:c>
      <x:c r="O1109" t="n">
        <x:v>6</x:v>
      </x:c>
      <x:c r="P1109" s="63" t="str">
        <x:f>IF(M1109=0,"—",M1109&amp;"d"&amp;N1109&amp;IF(O1109=0,""," + "&amp;O1109))</x:f>
        <x:v>2d4 + 6</x:v>
      </x:c>
      <x:c r="Q1109" t="n">
        <x:f>ROUND(INDEX(Catalogue!E$4:E$85,MATCH(A1109,Catalogue!A$4:A$85,0))*(1+'Paramètres'!$B$4*(C1109-1)+'Paramètres'!$B$5*(C1109-1)^2),0)</x:f>
        <x:v>8</x:v>
      </x:c>
      <x:c r="R1109" t="n">
        <x:f>ROUND(INDEX(Catalogue!F$4:F$85,MATCH(A1109,Catalogue!A$4:A$85,0))*(1+'Paramètres'!$B$4*(C1109-1)+'Paramètres'!$B$5*(C1109-1)^2),0)</x:f>
        <x:v>14</x:v>
      </x:c>
      <x:c r="S1109" t="n">
        <x:f>L1109-AVERAGE(Q1109:R1109)</x:f>
        <x:v>0</x:v>
      </x:c>
      <x:c r="T1109" t="str">
        <x:f>IF(M1109=0,IF(AND(N1109=0,O1109=0,E1109=0,F1109=0),"OK","ERREUR"),IF(AND(M1109&gt;=1,M1109&lt;=32,OR(N1109=4,N1109=6,N1109=8,N1109=10,N1109=12,N1109=20),O1109&gt;=0,E1109=M1109+O1109,F1109=M1109*N1109+O1109),"OK","ERREUR"))</x:f>
        <x:v>OK</x:v>
      </x:c>
      <x:c r="U1109" s="86" t="n">
        <x:f>IF(M1109&gt;0,M1109*(N1109+1)/2+O1109,0)</x:f>
        <x:v>11</x:v>
      </x:c>
      <x:c r="V1109" t="str">
        <x:f>IF(ABS(L1109-U1109)&lt;0.001,"OK","ERREUR")</x:f>
        <x:v>OK</x:v>
      </x:c>
    </x:row>
    <x:row r="1110" ht="18" customHeight="1">
      <x:c r="A1110" t="str">
        <x:v>ARM056</x:v>
      </x:c>
      <x:c r="B1110" t="str">
        <x:v>Hache de jet</x:v>
      </x:c>
      <x:c r="C1110" t="n">
        <x:v>7</x:v>
      </x:c>
      <x:c r="D1110" t="str">
        <x:v>Jet</x:v>
      </x:c>
      <x:c r="E1110" s="28" t="n">
        <x:f>IF(M1110=0,0,M1110+O1110)</x:f>
        <x:v>9</x:v>
      </x:c>
      <x:c r="F1110" s="28" t="n">
        <x:f>IF(M1110=0,0,M1110*N1110+O1110)</x:f>
        <x:v>16</x:v>
      </x:c>
      <x:c r="G1110" s="28" t="n">
        <x:f>ROUND(Catalogue!G59*SQRT((1+'Paramètres'!$B$4*(C1110-1)+'Paramètres'!$B$5*(C1110-1)^2)),0)</x:f>
        <x:v>0</x:v>
      </x:c>
      <x:c r="H1110" s="28" t="n">
        <x:f>ROUND(Catalogue!H59*SQRT((1+'Paramètres'!$B$4*(C1110-1)+'Paramètres'!$B$5*(C1110-1)^2)),0)</x:f>
        <x:v>0</x:v>
      </x:c>
      <x:c r="I1110" s="28" t="n">
        <x:v>2</x:v>
      </x:c>
      <x:c r="J1110" s="28" t="n">
        <x:v>4</x:v>
      </x:c>
      <x:c r="K1110" s="30" t="n">
        <x:v>1.1</x:v>
      </x:c>
      <x:c r="L1110" s="54" t="n">
        <x:f>IF(M1110=0,0,(E1110+F1110)/2)</x:f>
        <x:v>12.5</x:v>
      </x:c>
      <x:c r="M1110" t="n">
        <x:v>1</x:v>
      </x:c>
      <x:c r="N1110" t="n">
        <x:v>8</x:v>
      </x:c>
      <x:c r="O1110" t="n">
        <x:v>8</x:v>
      </x:c>
      <x:c r="P1110" s="63" t="str">
        <x:f>IF(M1110=0,"—",M1110&amp;"d"&amp;N1110&amp;IF(O1110=0,""," + "&amp;O1110))</x:f>
        <x:v>1d8 + 8</x:v>
      </x:c>
      <x:c r="Q1110" t="n">
        <x:f>ROUND(INDEX(Catalogue!E$4:E$85,MATCH(A1110,Catalogue!A$4:A$85,0))*(1+'Paramètres'!$B$4*(C1110-1)+'Paramètres'!$B$5*(C1110-1)^2),0)</x:f>
        <x:v>9</x:v>
      </x:c>
      <x:c r="R1110" t="n">
        <x:f>ROUND(INDEX(Catalogue!F$4:F$85,MATCH(A1110,Catalogue!A$4:A$85,0))*(1+'Paramètres'!$B$4*(C1110-1)+'Paramètres'!$B$5*(C1110-1)^2),0)</x:f>
        <x:v>16</x:v>
      </x:c>
      <x:c r="S1110" t="n">
        <x:f>L1110-AVERAGE(Q1110:R1110)</x:f>
        <x:v>0</x:v>
      </x:c>
      <x:c r="T1110" t="str">
        <x:f>IF(M1110=0,IF(AND(N1110=0,O1110=0,E1110=0,F1110=0),"OK","ERREUR"),IF(AND(M1110&gt;=1,M1110&lt;=32,OR(N1110=4,N1110=6,N1110=8,N1110=10,N1110=12,N1110=20),O1110&gt;=0,E1110=M1110+O1110,F1110=M1110*N1110+O1110),"OK","ERREUR"))</x:f>
        <x:v>OK</x:v>
      </x:c>
      <x:c r="U1110" s="86" t="n">
        <x:f>IF(M1110&gt;0,M1110*(N1110+1)/2+O1110,0)</x:f>
        <x:v>12.5</x:v>
      </x:c>
      <x:c r="V1110" t="str">
        <x:f>IF(ABS(L1110-U1110)&lt;0.001,"OK","ERREUR")</x:f>
        <x:v>OK</x:v>
      </x:c>
    </x:row>
    <x:row r="1111" ht="18" customHeight="1">
      <x:c r="A1111" t="str">
        <x:v>ARM056</x:v>
      </x:c>
      <x:c r="B1111" t="str">
        <x:v>Hache de jet</x:v>
      </x:c>
      <x:c r="C1111" t="n">
        <x:v>8</x:v>
      </x:c>
      <x:c r="D1111" t="str">
        <x:v>Jet</x:v>
      </x:c>
      <x:c r="E1111" s="28" t="n">
        <x:f>IF(M1111=0,0,M1111+O1111)</x:f>
        <x:v>9</x:v>
      </x:c>
      <x:c r="F1111" s="28" t="n">
        <x:f>IF(M1111=0,0,M1111*N1111+O1111)</x:f>
        <x:v>18</x:v>
      </x:c>
      <x:c r="G1111" s="28" t="n">
        <x:f>ROUND(Catalogue!G59*SQRT((1+'Paramètres'!$B$4*(C1111-1)+'Paramètres'!$B$5*(C1111-1)^2)),0)</x:f>
        <x:v>0</x:v>
      </x:c>
      <x:c r="H1111" s="28" t="n">
        <x:f>ROUND(Catalogue!H59*SQRT((1+'Paramètres'!$B$4*(C1111-1)+'Paramètres'!$B$5*(C1111-1)^2)),0)</x:f>
        <x:v>0</x:v>
      </x:c>
      <x:c r="I1111" s="28" t="n">
        <x:v>2</x:v>
      </x:c>
      <x:c r="J1111" s="28" t="n">
        <x:v>4</x:v>
      </x:c>
      <x:c r="K1111" s="30" t="n">
        <x:v>1.1</x:v>
      </x:c>
      <x:c r="L1111" s="54" t="n">
        <x:f>IF(M1111=0,0,(E1111+F1111)/2)</x:f>
        <x:v>13.5</x:v>
      </x:c>
      <x:c r="M1111" t="n">
        <x:v>3</x:v>
      </x:c>
      <x:c r="N1111" t="n">
        <x:v>4</x:v>
      </x:c>
      <x:c r="O1111" t="n">
        <x:v>6</x:v>
      </x:c>
      <x:c r="P1111" s="63" t="str">
        <x:f>IF(M1111=0,"—",M1111&amp;"d"&amp;N1111&amp;IF(O1111=0,""," + "&amp;O1111))</x:f>
        <x:v>3d4 + 6</x:v>
      </x:c>
      <x:c r="Q1111" t="n">
        <x:f>ROUND(INDEX(Catalogue!E$4:E$85,MATCH(A1111,Catalogue!A$4:A$85,0))*(1+'Paramètres'!$B$4*(C1111-1)+'Paramètres'!$B$5*(C1111-1)^2),0)</x:f>
        <x:v>10</x:v>
      </x:c>
      <x:c r="R1111" t="n">
        <x:f>ROUND(INDEX(Catalogue!F$4:F$85,MATCH(A1111,Catalogue!A$4:A$85,0))*(1+'Paramètres'!$B$4*(C1111-1)+'Paramètres'!$B$5*(C1111-1)^2),0)</x:f>
        <x:v>18</x:v>
      </x:c>
      <x:c r="S1111" t="n">
        <x:f>L1111-AVERAGE(Q1111:R1111)</x:f>
        <x:v>-0.5</x:v>
      </x:c>
      <x:c r="T1111" t="str">
        <x:f>IF(M1111=0,IF(AND(N1111=0,O1111=0,E1111=0,F1111=0),"OK","ERREUR"),IF(AND(M1111&gt;=1,M1111&lt;=32,OR(N1111=4,N1111=6,N1111=8,N1111=10,N1111=12,N1111=20),O1111&gt;=0,E1111=M1111+O1111,F1111=M1111*N1111+O1111),"OK","ERREUR"))</x:f>
        <x:v>OK</x:v>
      </x:c>
      <x:c r="U1111" s="86" t="n">
        <x:f>IF(M1111&gt;0,M1111*(N1111+1)/2+O1111,0)</x:f>
        <x:v>13.5</x:v>
      </x:c>
      <x:c r="V1111" t="str">
        <x:f>IF(ABS(L1111-U1111)&lt;0.001,"OK","ERREUR")</x:f>
        <x:v>OK</x:v>
      </x:c>
    </x:row>
    <x:row r="1112" ht="18" customHeight="1">
      <x:c r="A1112" t="str">
        <x:v>ARM056</x:v>
      </x:c>
      <x:c r="B1112" t="str">
        <x:v>Hache de jet</x:v>
      </x:c>
      <x:c r="C1112" t="n">
        <x:v>9</x:v>
      </x:c>
      <x:c r="D1112" t="str">
        <x:v>Jet</x:v>
      </x:c>
      <x:c r="E1112" s="28" t="n">
        <x:f>IF(M1112=0,0,M1112+O1112)</x:f>
        <x:v>11</x:v>
      </x:c>
      <x:c r="F1112" s="28" t="n">
        <x:f>IF(M1112=0,0,M1112*N1112+O1112)</x:f>
        <x:v>20</x:v>
      </x:c>
      <x:c r="G1112" s="28" t="n">
        <x:f>ROUND(Catalogue!G59*SQRT((1+'Paramètres'!$B$4*(C1112-1)+'Paramètres'!$B$5*(C1112-1)^2)),0)</x:f>
        <x:v>0</x:v>
      </x:c>
      <x:c r="H1112" s="28" t="n">
        <x:f>ROUND(Catalogue!H59*SQRT((1+'Paramètres'!$B$4*(C1112-1)+'Paramètres'!$B$5*(C1112-1)^2)),0)</x:f>
        <x:v>0</x:v>
      </x:c>
      <x:c r="I1112" s="28" t="n">
        <x:v>2</x:v>
      </x:c>
      <x:c r="J1112" s="28" t="n">
        <x:v>4</x:v>
      </x:c>
      <x:c r="K1112" s="30" t="n">
        <x:v>1.1</x:v>
      </x:c>
      <x:c r="L1112" s="54" t="n">
        <x:f>IF(M1112=0,0,(E1112+F1112)/2)</x:f>
        <x:v>15.5</x:v>
      </x:c>
      <x:c r="M1112" t="n">
        <x:v>3</x:v>
      </x:c>
      <x:c r="N1112" t="n">
        <x:v>4</x:v>
      </x:c>
      <x:c r="O1112" t="n">
        <x:v>8</x:v>
      </x:c>
      <x:c r="P1112" s="63" t="str">
        <x:f>IF(M1112=0,"—",M1112&amp;"d"&amp;N1112&amp;IF(O1112=0,""," + "&amp;O1112))</x:f>
        <x:v>3d4 + 8</x:v>
      </x:c>
      <x:c r="Q1112" t="n">
        <x:f>ROUND(INDEX(Catalogue!E$4:E$85,MATCH(A1112,Catalogue!A$4:A$85,0))*(1+'Paramètres'!$B$4*(C1112-1)+'Paramètres'!$B$5*(C1112-1)^2),0)</x:f>
        <x:v>12</x:v>
      </x:c>
      <x:c r="R1112" t="n">
        <x:f>ROUND(INDEX(Catalogue!F$4:F$85,MATCH(A1112,Catalogue!A$4:A$85,0))*(1+'Paramètres'!$B$4*(C1112-1)+'Paramètres'!$B$5*(C1112-1)^2),0)</x:f>
        <x:v>20</x:v>
      </x:c>
      <x:c r="S1112" t="n">
        <x:f>L1112-AVERAGE(Q1112:R1112)</x:f>
        <x:v>-0.5</x:v>
      </x:c>
      <x:c r="T1112" t="str">
        <x:f>IF(M1112=0,IF(AND(N1112=0,O1112=0,E1112=0,F1112=0),"OK","ERREUR"),IF(AND(M1112&gt;=1,M1112&lt;=32,OR(N1112=4,N1112=6,N1112=8,N1112=10,N1112=12,N1112=20),O1112&gt;=0,E1112=M1112+O1112,F1112=M1112*N1112+O1112),"OK","ERREUR"))</x:f>
        <x:v>OK</x:v>
      </x:c>
      <x:c r="U1112" s="86" t="n">
        <x:f>IF(M1112&gt;0,M1112*(N1112+1)/2+O1112,0)</x:f>
        <x:v>15.5</x:v>
      </x:c>
      <x:c r="V1112" t="str">
        <x:f>IF(ABS(L1112-U1112)&lt;0.001,"OK","ERREUR")</x:f>
        <x:v>OK</x:v>
      </x:c>
    </x:row>
    <x:row r="1113" ht="18" customHeight="1">
      <x:c r="A1113" t="str">
        <x:v>ARM056</x:v>
      </x:c>
      <x:c r="B1113" t="str">
        <x:v>Hache de jet</x:v>
      </x:c>
      <x:c r="C1113" t="n">
        <x:v>10</x:v>
      </x:c>
      <x:c r="D1113" t="str">
        <x:v>Jet</x:v>
      </x:c>
      <x:c r="E1113" s="28" t="n">
        <x:f>IF(M1113=0,0,M1113+O1113)</x:f>
        <x:v>13</x:v>
      </x:c>
      <x:c r="F1113" s="28" t="n">
        <x:f>IF(M1113=0,0,M1113*N1113+O1113)</x:f>
        <x:v>23</x:v>
      </x:c>
      <x:c r="G1113" s="28" t="n">
        <x:f>ROUND(Catalogue!G59*SQRT((1+'Paramètres'!$B$4*(C1113-1)+'Paramètres'!$B$5*(C1113-1)^2)),0)</x:f>
        <x:v>0</x:v>
      </x:c>
      <x:c r="H1113" s="28" t="n">
        <x:f>ROUND(Catalogue!H59*SQRT((1+'Paramètres'!$B$4*(C1113-1)+'Paramètres'!$B$5*(C1113-1)^2)),0)</x:f>
        <x:v>0</x:v>
      </x:c>
      <x:c r="I1113" s="28" t="n">
        <x:v>2</x:v>
      </x:c>
      <x:c r="J1113" s="28" t="n">
        <x:v>4</x:v>
      </x:c>
      <x:c r="K1113" s="30" t="n">
        <x:v>1.1</x:v>
      </x:c>
      <x:c r="L1113" s="54" t="n">
        <x:f>IF(M1113=0,0,(E1113+F1113)/2)</x:f>
        <x:v>18</x:v>
      </x:c>
      <x:c r="M1113" t="n">
        <x:v>2</x:v>
      </x:c>
      <x:c r="N1113" t="n">
        <x:v>6</x:v>
      </x:c>
      <x:c r="O1113" t="n">
        <x:v>11</x:v>
      </x:c>
      <x:c r="P1113" s="63" t="str">
        <x:f>IF(M1113=0,"—",M1113&amp;"d"&amp;N1113&amp;IF(O1113=0,""," + "&amp;O1113))</x:f>
        <x:v>2d6 + 11</x:v>
      </x:c>
      <x:c r="Q1113" t="n">
        <x:f>ROUND(INDEX(Catalogue!E$4:E$85,MATCH(A1113,Catalogue!A$4:A$85,0))*(1+'Paramètres'!$B$4*(C1113-1)+'Paramètres'!$B$5*(C1113-1)^2),0)</x:f>
        <x:v>13</x:v>
      </x:c>
      <x:c r="R1113" t="n">
        <x:f>ROUND(INDEX(Catalogue!F$4:F$85,MATCH(A1113,Catalogue!A$4:A$85,0))*(1+'Paramètres'!$B$4*(C1113-1)+'Paramètres'!$B$5*(C1113-1)^2),0)</x:f>
        <x:v>23</x:v>
      </x:c>
      <x:c r="S1113" t="n">
        <x:f>L1113-AVERAGE(Q1113:R1113)</x:f>
        <x:v>0</x:v>
      </x:c>
      <x:c r="T1113" t="str">
        <x:f>IF(M1113=0,IF(AND(N1113=0,O1113=0,E1113=0,F1113=0),"OK","ERREUR"),IF(AND(M1113&gt;=1,M1113&lt;=32,OR(N1113=4,N1113=6,N1113=8,N1113=10,N1113=12,N1113=20),O1113&gt;=0,E1113=M1113+O1113,F1113=M1113*N1113+O1113),"OK","ERREUR"))</x:f>
        <x:v>OK</x:v>
      </x:c>
      <x:c r="U1113" s="86" t="n">
        <x:f>IF(M1113&gt;0,M1113*(N1113+1)/2+O1113,0)</x:f>
        <x:v>18</x:v>
      </x:c>
      <x:c r="V1113" t="str">
        <x:f>IF(ABS(L1113-U1113)&lt;0.001,"OK","ERREUR")</x:f>
        <x:v>OK</x:v>
      </x:c>
    </x:row>
    <x:row r="1114" ht="18" customHeight="1">
      <x:c r="A1114" t="str">
        <x:v>ARM056</x:v>
      </x:c>
      <x:c r="B1114" t="str">
        <x:v>Hache de jet</x:v>
      </x:c>
      <x:c r="C1114" t="n">
        <x:v>11</x:v>
      </x:c>
      <x:c r="D1114" t="str">
        <x:v>Jet</x:v>
      </x:c>
      <x:c r="E1114" s="28" t="n">
        <x:f>IF(M1114=0,0,M1114+O1114)</x:f>
        <x:v>15</x:v>
      </x:c>
      <x:c r="F1114" s="28" t="n">
        <x:f>IF(M1114=0,0,M1114*N1114+O1114)</x:f>
        <x:v>25</x:v>
      </x:c>
      <x:c r="G1114" s="28" t="n">
        <x:f>ROUND(Catalogue!G59*SQRT((1+'Paramètres'!$B$4*(C1114-1)+'Paramètres'!$B$5*(C1114-1)^2)),0)</x:f>
        <x:v>0</x:v>
      </x:c>
      <x:c r="H1114" s="28" t="n">
        <x:f>ROUND(Catalogue!H59*SQRT((1+'Paramètres'!$B$4*(C1114-1)+'Paramètres'!$B$5*(C1114-1)^2)),0)</x:f>
        <x:v>0</x:v>
      </x:c>
      <x:c r="I1114" s="28" t="n">
        <x:v>2</x:v>
      </x:c>
      <x:c r="J1114" s="28" t="n">
        <x:v>4</x:v>
      </x:c>
      <x:c r="K1114" s="30" t="n">
        <x:v>1.1</x:v>
      </x:c>
      <x:c r="L1114" s="54" t="n">
        <x:f>IF(M1114=0,0,(E1114+F1114)/2)</x:f>
        <x:v>20</x:v>
      </x:c>
      <x:c r="M1114" t="n">
        <x:v>2</x:v>
      </x:c>
      <x:c r="N1114" t="n">
        <x:v>6</x:v>
      </x:c>
      <x:c r="O1114" t="n">
        <x:v>13</x:v>
      </x:c>
      <x:c r="P1114" s="63" t="str">
        <x:f>IF(M1114=0,"—",M1114&amp;"d"&amp;N1114&amp;IF(O1114=0,""," + "&amp;O1114))</x:f>
        <x:v>2d6 + 13</x:v>
      </x:c>
      <x:c r="Q1114" t="n">
        <x:f>ROUND(INDEX(Catalogue!E$4:E$85,MATCH(A1114,Catalogue!A$4:A$85,0))*(1+'Paramètres'!$B$4*(C1114-1)+'Paramètres'!$B$5*(C1114-1)^2),0)</x:f>
        <x:v>15</x:v>
      </x:c>
      <x:c r="R1114" t="n">
        <x:f>ROUND(INDEX(Catalogue!F$4:F$85,MATCH(A1114,Catalogue!A$4:A$85,0))*(1+'Paramètres'!$B$4*(C1114-1)+'Paramètres'!$B$5*(C1114-1)^2),0)</x:f>
        <x:v>26</x:v>
      </x:c>
      <x:c r="S1114" t="n">
        <x:f>L1114-AVERAGE(Q1114:R1114)</x:f>
        <x:v>-0.5</x:v>
      </x:c>
      <x:c r="T1114" t="str">
        <x:f>IF(M1114=0,IF(AND(N1114=0,O1114=0,E1114=0,F1114=0),"OK","ERREUR"),IF(AND(M1114&gt;=1,M1114&lt;=32,OR(N1114=4,N1114=6,N1114=8,N1114=10,N1114=12,N1114=20),O1114&gt;=0,E1114=M1114+O1114,F1114=M1114*N1114+O1114),"OK","ERREUR"))</x:f>
        <x:v>OK</x:v>
      </x:c>
      <x:c r="U1114" s="86" t="n">
        <x:f>IF(M1114&gt;0,M1114*(N1114+1)/2+O1114,0)</x:f>
        <x:v>20</x:v>
      </x:c>
      <x:c r="V1114" t="str">
        <x:f>IF(ABS(L1114-U1114)&lt;0.001,"OK","ERREUR")</x:f>
        <x:v>OK</x:v>
      </x:c>
    </x:row>
    <x:row r="1115" ht="18" customHeight="1">
      <x:c r="A1115" t="str">
        <x:v>ARM056</x:v>
      </x:c>
      <x:c r="B1115" t="str">
        <x:v>Hache de jet</x:v>
      </x:c>
      <x:c r="C1115" t="n">
        <x:v>12</x:v>
      </x:c>
      <x:c r="D1115" t="str">
        <x:v>Jet</x:v>
      </x:c>
      <x:c r="E1115" s="28" t="n">
        <x:f>IF(M1115=0,0,M1115+O1115)</x:f>
        <x:v>17</x:v>
      </x:c>
      <x:c r="F1115" s="28" t="n">
        <x:f>IF(M1115=0,0,M1115*N1115+O1115)</x:f>
        <x:v>29</x:v>
      </x:c>
      <x:c r="G1115" s="28" t="n">
        <x:f>ROUND(Catalogue!G59*SQRT((1+'Paramètres'!$B$4*(C1115-1)+'Paramètres'!$B$5*(C1115-1)^2)),0)</x:f>
        <x:v>0</x:v>
      </x:c>
      <x:c r="H1115" s="28" t="n">
        <x:f>ROUND(Catalogue!H59*SQRT((1+'Paramètres'!$B$4*(C1115-1)+'Paramètres'!$B$5*(C1115-1)^2)),0)</x:f>
        <x:v>0</x:v>
      </x:c>
      <x:c r="I1115" s="28" t="n">
        <x:v>2</x:v>
      </x:c>
      <x:c r="J1115" s="28" t="n">
        <x:v>4</x:v>
      </x:c>
      <x:c r="K1115" s="30" t="n">
        <x:v>1.1</x:v>
      </x:c>
      <x:c r="L1115" s="54" t="n">
        <x:f>IF(M1115=0,0,(E1115+F1115)/2)</x:f>
        <x:v>23</x:v>
      </x:c>
      <x:c r="M1115" t="n">
        <x:v>4</x:v>
      </x:c>
      <x:c r="N1115" t="n">
        <x:v>4</x:v>
      </x:c>
      <x:c r="O1115" t="n">
        <x:v>13</x:v>
      </x:c>
      <x:c r="P1115" s="63" t="str">
        <x:f>IF(M1115=0,"—",M1115&amp;"d"&amp;N1115&amp;IF(O1115=0,""," + "&amp;O1115))</x:f>
        <x:v>4d4 + 13</x:v>
      </x:c>
      <x:c r="Q1115" t="n">
        <x:f>ROUND(INDEX(Catalogue!E$4:E$85,MATCH(A1115,Catalogue!A$4:A$85,0))*(1+'Paramètres'!$B$4*(C1115-1)+'Paramètres'!$B$5*(C1115-1)^2),0)</x:f>
        <x:v>17</x:v>
      </x:c>
      <x:c r="R1115" t="n">
        <x:f>ROUND(INDEX(Catalogue!F$4:F$85,MATCH(A1115,Catalogue!A$4:A$85,0))*(1+'Paramètres'!$B$4*(C1115-1)+'Paramètres'!$B$5*(C1115-1)^2),0)</x:f>
        <x:v>29</x:v>
      </x:c>
      <x:c r="S1115" t="n">
        <x:f>L1115-AVERAGE(Q1115:R1115)</x:f>
        <x:v>0</x:v>
      </x:c>
      <x:c r="T1115" t="str">
        <x:f>IF(M1115=0,IF(AND(N1115=0,O1115=0,E1115=0,F1115=0),"OK","ERREUR"),IF(AND(M1115&gt;=1,M1115&lt;=32,OR(N1115=4,N1115=6,N1115=8,N1115=10,N1115=12,N1115=20),O1115&gt;=0,E1115=M1115+O1115,F1115=M1115*N1115+O1115),"OK","ERREUR"))</x:f>
        <x:v>OK</x:v>
      </x:c>
      <x:c r="U1115" s="86" t="n">
        <x:f>IF(M1115&gt;0,M1115*(N1115+1)/2+O1115,0)</x:f>
        <x:v>23</x:v>
      </x:c>
      <x:c r="V1115" t="str">
        <x:f>IF(ABS(L1115-U1115)&lt;0.001,"OK","ERREUR")</x:f>
        <x:v>OK</x:v>
      </x:c>
    </x:row>
    <x:row r="1116" ht="18" customHeight="1">
      <x:c r="A1116" t="str">
        <x:v>ARM056</x:v>
      </x:c>
      <x:c r="B1116" t="str">
        <x:v>Hache de jet</x:v>
      </x:c>
      <x:c r="C1116" t="n">
        <x:v>13</x:v>
      </x:c>
      <x:c r="D1116" t="str">
        <x:v>Jet</x:v>
      </x:c>
      <x:c r="E1116" s="28" t="n">
        <x:f>IF(M1116=0,0,M1116+O1116)</x:f>
        <x:v>18</x:v>
      </x:c>
      <x:c r="F1116" s="28" t="n">
        <x:f>IF(M1116=0,0,M1116*N1116+O1116)</x:f>
        <x:v>32</x:v>
      </x:c>
      <x:c r="G1116" s="28" t="n">
        <x:f>ROUND(Catalogue!G59*SQRT((1+'Paramètres'!$B$4*(C1116-1)+'Paramètres'!$B$5*(C1116-1)^2)),0)</x:f>
        <x:v>0</x:v>
      </x:c>
      <x:c r="H1116" s="28" t="n">
        <x:f>ROUND(Catalogue!H59*SQRT((1+'Paramètres'!$B$4*(C1116-1)+'Paramètres'!$B$5*(C1116-1)^2)),0)</x:f>
        <x:v>0</x:v>
      </x:c>
      <x:c r="I1116" s="28" t="n">
        <x:v>2</x:v>
      </x:c>
      <x:c r="J1116" s="28" t="n">
        <x:v>4</x:v>
      </x:c>
      <x:c r="K1116" s="30" t="n">
        <x:v>1.1</x:v>
      </x:c>
      <x:c r="L1116" s="54" t="n">
        <x:f>IF(M1116=0,0,(E1116+F1116)/2)</x:f>
        <x:v>25</x:v>
      </x:c>
      <x:c r="M1116" t="n">
        <x:v>2</x:v>
      </x:c>
      <x:c r="N1116" t="n">
        <x:v>8</x:v>
      </x:c>
      <x:c r="O1116" t="n">
        <x:v>16</x:v>
      </x:c>
      <x:c r="P1116" s="63" t="str">
        <x:f>IF(M1116=0,"—",M1116&amp;"d"&amp;N1116&amp;IF(O1116=0,""," + "&amp;O1116))</x:f>
        <x:v>2d8 + 16</x:v>
      </x:c>
      <x:c r="Q1116" t="n">
        <x:f>ROUND(INDEX(Catalogue!E$4:E$85,MATCH(A1116,Catalogue!A$4:A$85,0))*(1+'Paramètres'!$B$4*(C1116-1)+'Paramètres'!$B$5*(C1116-1)^2),0)</x:f>
        <x:v>18</x:v>
      </x:c>
      <x:c r="R1116" t="n">
        <x:f>ROUND(INDEX(Catalogue!F$4:F$85,MATCH(A1116,Catalogue!A$4:A$85,0))*(1+'Paramètres'!$B$4*(C1116-1)+'Paramètres'!$B$5*(C1116-1)^2),0)</x:f>
        <x:v>32</x:v>
      </x:c>
      <x:c r="S1116" t="n">
        <x:f>L1116-AVERAGE(Q1116:R1116)</x:f>
        <x:v>0</x:v>
      </x:c>
      <x:c r="T1116" t="str">
        <x:f>IF(M1116=0,IF(AND(N1116=0,O1116=0,E1116=0,F1116=0),"OK","ERREUR"),IF(AND(M1116&gt;=1,M1116&lt;=32,OR(N1116=4,N1116=6,N1116=8,N1116=10,N1116=12,N1116=20),O1116&gt;=0,E1116=M1116+O1116,F1116=M1116*N1116+O1116),"OK","ERREUR"))</x:f>
        <x:v>OK</x:v>
      </x:c>
      <x:c r="U1116" s="86" t="n">
        <x:f>IF(M1116&gt;0,M1116*(N1116+1)/2+O1116,0)</x:f>
        <x:v>25</x:v>
      </x:c>
      <x:c r="V1116" t="str">
        <x:f>IF(ABS(L1116-U1116)&lt;0.001,"OK","ERREUR")</x:f>
        <x:v>OK</x:v>
      </x:c>
    </x:row>
    <x:row r="1117" ht="18" customHeight="1">
      <x:c r="A1117" t="str">
        <x:v>ARM056</x:v>
      </x:c>
      <x:c r="B1117" t="str">
        <x:v>Hache de jet</x:v>
      </x:c>
      <x:c r="C1117" t="n">
        <x:v>14</x:v>
      </x:c>
      <x:c r="D1117" t="str">
        <x:v>Jet</x:v>
      </x:c>
      <x:c r="E1117" s="28" t="n">
        <x:f>IF(M1117=0,0,M1117+O1117)</x:f>
        <x:v>21</x:v>
      </x:c>
      <x:c r="F1117" s="28" t="n">
        <x:f>IF(M1117=0,0,M1117*N1117+O1117)</x:f>
        <x:v>36</x:v>
      </x:c>
      <x:c r="G1117" s="28" t="n">
        <x:f>ROUND(Catalogue!G59*SQRT((1+'Paramètres'!$B$4*(C1117-1)+'Paramètres'!$B$5*(C1117-1)^2)),0)</x:f>
        <x:v>0</x:v>
      </x:c>
      <x:c r="H1117" s="28" t="n">
        <x:f>ROUND(Catalogue!H59*SQRT((1+'Paramètres'!$B$4*(C1117-1)+'Paramètres'!$B$5*(C1117-1)^2)),0)</x:f>
        <x:v>0</x:v>
      </x:c>
      <x:c r="I1117" s="28" t="n">
        <x:v>2</x:v>
      </x:c>
      <x:c r="J1117" s="28" t="n">
        <x:v>4</x:v>
      </x:c>
      <x:c r="K1117" s="30" t="n">
        <x:v>1.1</x:v>
      </x:c>
      <x:c r="L1117" s="54" t="n">
        <x:f>IF(M1117=0,0,(E1117+F1117)/2)</x:f>
        <x:v>28.5</x:v>
      </x:c>
      <x:c r="M1117" t="n">
        <x:v>3</x:v>
      </x:c>
      <x:c r="N1117" t="n">
        <x:v>6</x:v>
      </x:c>
      <x:c r="O1117" t="n">
        <x:v>18</x:v>
      </x:c>
      <x:c r="P1117" s="63" t="str">
        <x:f>IF(M1117=0,"—",M1117&amp;"d"&amp;N1117&amp;IF(O1117=0,""," + "&amp;O1117))</x:f>
        <x:v>3d6 + 18</x:v>
      </x:c>
      <x:c r="Q1117" t="n">
        <x:f>ROUND(INDEX(Catalogue!E$4:E$85,MATCH(A1117,Catalogue!A$4:A$85,0))*(1+'Paramètres'!$B$4*(C1117-1)+'Paramètres'!$B$5*(C1117-1)^2),0)</x:f>
        <x:v>21</x:v>
      </x:c>
      <x:c r="R1117" t="n">
        <x:f>ROUND(INDEX(Catalogue!F$4:F$85,MATCH(A1117,Catalogue!A$4:A$85,0))*(1+'Paramètres'!$B$4*(C1117-1)+'Paramètres'!$B$5*(C1117-1)^2),0)</x:f>
        <x:v>36</x:v>
      </x:c>
      <x:c r="S1117" t="n">
        <x:f>L1117-AVERAGE(Q1117:R1117)</x:f>
        <x:v>0</x:v>
      </x:c>
      <x:c r="T1117" t="str">
        <x:f>IF(M1117=0,IF(AND(N1117=0,O1117=0,E1117=0,F1117=0),"OK","ERREUR"),IF(AND(M1117&gt;=1,M1117&lt;=32,OR(N1117=4,N1117=6,N1117=8,N1117=10,N1117=12,N1117=20),O1117&gt;=0,E1117=M1117+O1117,F1117=M1117*N1117+O1117),"OK","ERREUR"))</x:f>
        <x:v>OK</x:v>
      </x:c>
      <x:c r="U1117" s="86" t="n">
        <x:f>IF(M1117&gt;0,M1117*(N1117+1)/2+O1117,0)</x:f>
        <x:v>28.5</x:v>
      </x:c>
      <x:c r="V1117" t="str">
        <x:f>IF(ABS(L1117-U1117)&lt;0.001,"OK","ERREUR")</x:f>
        <x:v>OK</x:v>
      </x:c>
    </x:row>
    <x:row r="1118" ht="18" customHeight="1">
      <x:c r="A1118" t="str">
        <x:v>ARM056</x:v>
      </x:c>
      <x:c r="B1118" t="str">
        <x:v>Hache de jet</x:v>
      </x:c>
      <x:c r="C1118" t="n">
        <x:v>15</x:v>
      </x:c>
      <x:c r="D1118" t="str">
        <x:v>Jet</x:v>
      </x:c>
      <x:c r="E1118" s="28" t="n">
        <x:f>IF(M1118=0,0,M1118+O1118)</x:f>
        <x:v>24</x:v>
      </x:c>
      <x:c r="F1118" s="28" t="n">
        <x:f>IF(M1118=0,0,M1118*N1118+O1118)</x:f>
        <x:v>39</x:v>
      </x:c>
      <x:c r="G1118" s="28" t="n">
        <x:f>ROUND(Catalogue!G59*SQRT((1+'Paramètres'!$B$4*(C1118-1)+'Paramètres'!$B$5*(C1118-1)^2)),0)</x:f>
        <x:v>0</x:v>
      </x:c>
      <x:c r="H1118" s="28" t="n">
        <x:f>ROUND(Catalogue!H59*SQRT((1+'Paramètres'!$B$4*(C1118-1)+'Paramètres'!$B$5*(C1118-1)^2)),0)</x:f>
        <x:v>0</x:v>
      </x:c>
      <x:c r="I1118" s="28" t="n">
        <x:v>2</x:v>
      </x:c>
      <x:c r="J1118" s="28" t="n">
        <x:v>4</x:v>
      </x:c>
      <x:c r="K1118" s="30" t="n">
        <x:v>1.1</x:v>
      </x:c>
      <x:c r="L1118" s="54" t="n">
        <x:f>IF(M1118=0,0,(E1118+F1118)/2)</x:f>
        <x:v>31.5</x:v>
      </x:c>
      <x:c r="M1118" t="n">
        <x:v>3</x:v>
      </x:c>
      <x:c r="N1118" t="n">
        <x:v>6</x:v>
      </x:c>
      <x:c r="O1118" t="n">
        <x:v>21</x:v>
      </x:c>
      <x:c r="P1118" s="63" t="str">
        <x:f>IF(M1118=0,"—",M1118&amp;"d"&amp;N1118&amp;IF(O1118=0,""," + "&amp;O1118))</x:f>
        <x:v>3d6 + 21</x:v>
      </x:c>
      <x:c r="Q1118" t="n">
        <x:f>ROUND(INDEX(Catalogue!E$4:E$85,MATCH(A1118,Catalogue!A$4:A$85,0))*(1+'Paramètres'!$B$4*(C1118-1)+'Paramètres'!$B$5*(C1118-1)^2),0)</x:f>
        <x:v>23</x:v>
      </x:c>
      <x:c r="R1118" t="n">
        <x:f>ROUND(INDEX(Catalogue!F$4:F$85,MATCH(A1118,Catalogue!A$4:A$85,0))*(1+'Paramètres'!$B$4*(C1118-1)+'Paramètres'!$B$5*(C1118-1)^2),0)</x:f>
        <x:v>40</x:v>
      </x:c>
      <x:c r="S1118" t="n">
        <x:f>L1118-AVERAGE(Q1118:R1118)</x:f>
        <x:v>0</x:v>
      </x:c>
      <x:c r="T1118" t="str">
        <x:f>IF(M1118=0,IF(AND(N1118=0,O1118=0,E1118=0,F1118=0),"OK","ERREUR"),IF(AND(M1118&gt;=1,M1118&lt;=32,OR(N1118=4,N1118=6,N1118=8,N1118=10,N1118=12,N1118=20),O1118&gt;=0,E1118=M1118+O1118,F1118=M1118*N1118+O1118),"OK","ERREUR"))</x:f>
        <x:v>OK</x:v>
      </x:c>
      <x:c r="U1118" s="86" t="n">
        <x:f>IF(M1118&gt;0,M1118*(N1118+1)/2+O1118,0)</x:f>
        <x:v>31.5</x:v>
      </x:c>
      <x:c r="V1118" t="str">
        <x:f>IF(ABS(L1118-U1118)&lt;0.001,"OK","ERREUR")</x:f>
        <x:v>OK</x:v>
      </x:c>
    </x:row>
    <x:row r="1119" ht="18" customHeight="1">
      <x:c r="A1119" t="str">
        <x:v>ARM056</x:v>
      </x:c>
      <x:c r="B1119" t="str">
        <x:v>Hache de jet</x:v>
      </x:c>
      <x:c r="C1119" t="n">
        <x:v>16</x:v>
      </x:c>
      <x:c r="D1119" t="str">
        <x:v>Jet</x:v>
      </x:c>
      <x:c r="E1119" s="28" t="n">
        <x:f>IF(M1119=0,0,M1119+O1119)</x:f>
        <x:v>24</x:v>
      </x:c>
      <x:c r="F1119" s="28" t="n">
        <x:f>IF(M1119=0,0,M1119*N1119+O1119)</x:f>
        <x:v>44</x:v>
      </x:c>
      <x:c r="G1119" s="28" t="n">
        <x:f>ROUND(Catalogue!G59*SQRT((1+'Paramètres'!$B$4*(C1119-1)+'Paramètres'!$B$5*(C1119-1)^2)),0)</x:f>
        <x:v>0</x:v>
      </x:c>
      <x:c r="H1119" s="28" t="n">
        <x:f>ROUND(Catalogue!H59*SQRT((1+'Paramètres'!$B$4*(C1119-1)+'Paramètres'!$B$5*(C1119-1)^2)),0)</x:f>
        <x:v>0</x:v>
      </x:c>
      <x:c r="I1119" s="28" t="n">
        <x:v>2</x:v>
      </x:c>
      <x:c r="J1119" s="28" t="n">
        <x:v>4</x:v>
      </x:c>
      <x:c r="K1119" s="30" t="n">
        <x:v>1.1</x:v>
      </x:c>
      <x:c r="L1119" s="54" t="n">
        <x:f>IF(M1119=0,0,(E1119+F1119)/2)</x:f>
        <x:v>34</x:v>
      </x:c>
      <x:c r="M1119" t="n">
        <x:v>4</x:v>
      </x:c>
      <x:c r="N1119" t="n">
        <x:v>6</x:v>
      </x:c>
      <x:c r="O1119" t="n">
        <x:v>20</x:v>
      </x:c>
      <x:c r="P1119" s="63" t="str">
        <x:f>IF(M1119=0,"—",M1119&amp;"d"&amp;N1119&amp;IF(O1119=0,""," + "&amp;O1119))</x:f>
        <x:v>4d6 + 20</x:v>
      </x:c>
      <x:c r="Q1119" t="n">
        <x:f>ROUND(INDEX(Catalogue!E$4:E$85,MATCH(A1119,Catalogue!A$4:A$85,0))*(1+'Paramètres'!$B$4*(C1119-1)+'Paramètres'!$B$5*(C1119-1)^2),0)</x:f>
        <x:v>25</x:v>
      </x:c>
      <x:c r="R1119" t="n">
        <x:f>ROUND(INDEX(Catalogue!F$4:F$85,MATCH(A1119,Catalogue!A$4:A$85,0))*(1+'Paramètres'!$B$4*(C1119-1)+'Paramètres'!$B$5*(C1119-1)^2),0)</x:f>
        <x:v>44</x:v>
      </x:c>
      <x:c r="S1119" t="n">
        <x:f>L1119-AVERAGE(Q1119:R1119)</x:f>
        <x:v>-0.5</x:v>
      </x:c>
      <x:c r="T1119" t="str">
        <x:f>IF(M1119=0,IF(AND(N1119=0,O1119=0,E1119=0,F1119=0),"OK","ERREUR"),IF(AND(M1119&gt;=1,M1119&lt;=32,OR(N1119=4,N1119=6,N1119=8,N1119=10,N1119=12,N1119=20),O1119&gt;=0,E1119=M1119+O1119,F1119=M1119*N1119+O1119),"OK","ERREUR"))</x:f>
        <x:v>OK</x:v>
      </x:c>
      <x:c r="U1119" s="86" t="n">
        <x:f>IF(M1119&gt;0,M1119*(N1119+1)/2+O1119,0)</x:f>
        <x:v>34</x:v>
      </x:c>
      <x:c r="V1119" t="str">
        <x:f>IF(ABS(L1119-U1119)&lt;0.001,"OK","ERREUR")</x:f>
        <x:v>OK</x:v>
      </x:c>
    </x:row>
    <x:row r="1120" ht="18" customHeight="1">
      <x:c r="A1120" t="str">
        <x:v>ARM056</x:v>
      </x:c>
      <x:c r="B1120" t="str">
        <x:v>Hache de jet</x:v>
      </x:c>
      <x:c r="C1120" t="n">
        <x:v>17</x:v>
      </x:c>
      <x:c r="D1120" t="str">
        <x:v>Jet</x:v>
      </x:c>
      <x:c r="E1120" s="28" t="n">
        <x:f>IF(M1120=0,0,M1120+O1120)</x:f>
        <x:v>27</x:v>
      </x:c>
      <x:c r="F1120" s="28" t="n">
        <x:f>IF(M1120=0,0,M1120*N1120+O1120)</x:f>
        <x:v>48</x:v>
      </x:c>
      <x:c r="G1120" s="28" t="n">
        <x:f>ROUND(Catalogue!G59*SQRT((1+'Paramètres'!$B$4*(C1120-1)+'Paramètres'!$B$5*(C1120-1)^2)),0)</x:f>
        <x:v>0</x:v>
      </x:c>
      <x:c r="H1120" s="28" t="n">
        <x:f>ROUND(Catalogue!H59*SQRT((1+'Paramètres'!$B$4*(C1120-1)+'Paramètres'!$B$5*(C1120-1)^2)),0)</x:f>
        <x:v>0</x:v>
      </x:c>
      <x:c r="I1120" s="28" t="n">
        <x:v>2</x:v>
      </x:c>
      <x:c r="J1120" s="28" t="n">
        <x:v>4</x:v>
      </x:c>
      <x:c r="K1120" s="30" t="n">
        <x:v>1.1</x:v>
      </x:c>
      <x:c r="L1120" s="54" t="n">
        <x:f>IF(M1120=0,0,(E1120+F1120)/2)</x:f>
        <x:v>37.5</x:v>
      </x:c>
      <x:c r="M1120" t="n">
        <x:v>3</x:v>
      </x:c>
      <x:c r="N1120" t="n">
        <x:v>8</x:v>
      </x:c>
      <x:c r="O1120" t="n">
        <x:v>24</x:v>
      </x:c>
      <x:c r="P1120" s="63" t="str">
        <x:f>IF(M1120=0,"—",M1120&amp;"d"&amp;N1120&amp;IF(O1120=0,""," + "&amp;O1120))</x:f>
        <x:v>3d8 + 24</x:v>
      </x:c>
      <x:c r="Q1120" t="n">
        <x:f>ROUND(INDEX(Catalogue!E$4:E$85,MATCH(A1120,Catalogue!A$4:A$85,0))*(1+'Paramètres'!$B$4*(C1120-1)+'Paramètres'!$B$5*(C1120-1)^2),0)</x:f>
        <x:v>27</x:v>
      </x:c>
      <x:c r="R1120" t="n">
        <x:f>ROUND(INDEX(Catalogue!F$4:F$85,MATCH(A1120,Catalogue!A$4:A$85,0))*(1+'Paramètres'!$B$4*(C1120-1)+'Paramètres'!$B$5*(C1120-1)^2),0)</x:f>
        <x:v>48</x:v>
      </x:c>
      <x:c r="S1120" t="n">
        <x:f>L1120-AVERAGE(Q1120:R1120)</x:f>
        <x:v>0</x:v>
      </x:c>
      <x:c r="T1120" t="str">
        <x:f>IF(M1120=0,IF(AND(N1120=0,O1120=0,E1120=0,F1120=0),"OK","ERREUR"),IF(AND(M1120&gt;=1,M1120&lt;=32,OR(N1120=4,N1120=6,N1120=8,N1120=10,N1120=12,N1120=20),O1120&gt;=0,E1120=M1120+O1120,F1120=M1120*N1120+O1120),"OK","ERREUR"))</x:f>
        <x:v>OK</x:v>
      </x:c>
      <x:c r="U1120" s="86" t="n">
        <x:f>IF(M1120&gt;0,M1120*(N1120+1)/2+O1120,0)</x:f>
        <x:v>37.5</x:v>
      </x:c>
      <x:c r="V1120" t="str">
        <x:f>IF(ABS(L1120-U1120)&lt;0.001,"OK","ERREUR")</x:f>
        <x:v>OK</x:v>
      </x:c>
    </x:row>
    <x:row r="1121" ht="18" customHeight="1">
      <x:c r="A1121" t="str">
        <x:v>ARM056</x:v>
      </x:c>
      <x:c r="B1121" t="str">
        <x:v>Hache de jet</x:v>
      </x:c>
      <x:c r="C1121" t="n">
        <x:v>18</x:v>
      </x:c>
      <x:c r="D1121" t="str">
        <x:v>Jet</x:v>
      </x:c>
      <x:c r="E1121" s="28" t="n">
        <x:f>IF(M1121=0,0,M1121+O1121)</x:f>
        <x:v>30</x:v>
      </x:c>
      <x:c r="F1121" s="28" t="n">
        <x:f>IF(M1121=0,0,M1121*N1121+O1121)</x:f>
        <x:v>51</x:v>
      </x:c>
      <x:c r="G1121" s="28" t="n">
        <x:f>ROUND(Catalogue!G59*SQRT((1+'Paramètres'!$B$4*(C1121-1)+'Paramètres'!$B$5*(C1121-1)^2)),0)</x:f>
        <x:v>0</x:v>
      </x:c>
      <x:c r="H1121" s="28" t="n">
        <x:f>ROUND(Catalogue!H59*SQRT((1+'Paramètres'!$B$4*(C1121-1)+'Paramètres'!$B$5*(C1121-1)^2)),0)</x:f>
        <x:v>0</x:v>
      </x:c>
      <x:c r="I1121" s="28" t="n">
        <x:v>2</x:v>
      </x:c>
      <x:c r="J1121" s="28" t="n">
        <x:v>4</x:v>
      </x:c>
      <x:c r="K1121" s="30" t="n">
        <x:v>1.1</x:v>
      </x:c>
      <x:c r="L1121" s="54" t="n">
        <x:f>IF(M1121=0,0,(E1121+F1121)/2)</x:f>
        <x:v>40.5</x:v>
      </x:c>
      <x:c r="M1121" t="n">
        <x:v>3</x:v>
      </x:c>
      <x:c r="N1121" t="n">
        <x:v>8</x:v>
      </x:c>
      <x:c r="O1121" t="n">
        <x:v>27</x:v>
      </x:c>
      <x:c r="P1121" s="63" t="str">
        <x:f>IF(M1121=0,"—",M1121&amp;"d"&amp;N1121&amp;IF(O1121=0,""," + "&amp;O1121))</x:f>
        <x:v>3d8 + 27</x:v>
      </x:c>
      <x:c r="Q1121" t="n">
        <x:f>ROUND(INDEX(Catalogue!E$4:E$85,MATCH(A1121,Catalogue!A$4:A$85,0))*(1+'Paramètres'!$B$4*(C1121-1)+'Paramètres'!$B$5*(C1121-1)^2),0)</x:f>
        <x:v>30</x:v>
      </x:c>
      <x:c r="R1121" t="n">
        <x:f>ROUND(INDEX(Catalogue!F$4:F$85,MATCH(A1121,Catalogue!A$4:A$85,0))*(1+'Paramètres'!$B$4*(C1121-1)+'Paramètres'!$B$5*(C1121-1)^2),0)</x:f>
        <x:v>52</x:v>
      </x:c>
      <x:c r="S1121" t="n">
        <x:f>L1121-AVERAGE(Q1121:R1121)</x:f>
        <x:v>-0.5</x:v>
      </x:c>
      <x:c r="T1121" t="str">
        <x:f>IF(M1121=0,IF(AND(N1121=0,O1121=0,E1121=0,F1121=0),"OK","ERREUR"),IF(AND(M1121&gt;=1,M1121&lt;=32,OR(N1121=4,N1121=6,N1121=8,N1121=10,N1121=12,N1121=20),O1121&gt;=0,E1121=M1121+O1121,F1121=M1121*N1121+O1121),"OK","ERREUR"))</x:f>
        <x:v>OK</x:v>
      </x:c>
      <x:c r="U1121" s="86" t="n">
        <x:f>IF(M1121&gt;0,M1121*(N1121+1)/2+O1121,0)</x:f>
        <x:v>40.5</x:v>
      </x:c>
      <x:c r="V1121" t="str">
        <x:f>IF(ABS(L1121-U1121)&lt;0.001,"OK","ERREUR")</x:f>
        <x:v>OK</x:v>
      </x:c>
    </x:row>
    <x:row r="1122" ht="18" customHeight="1">
      <x:c r="A1122" t="str">
        <x:v>ARM056</x:v>
      </x:c>
      <x:c r="B1122" t="str">
        <x:v>Hache de jet</x:v>
      </x:c>
      <x:c r="C1122" t="n">
        <x:v>19</x:v>
      </x:c>
      <x:c r="D1122" t="str">
        <x:v>Jet</x:v>
      </x:c>
      <x:c r="E1122" s="28" t="n">
        <x:f>IF(M1122=0,0,M1122+O1122)</x:f>
        <x:v>32</x:v>
      </x:c>
      <x:c r="F1122" s="28" t="n">
        <x:f>IF(M1122=0,0,M1122*N1122+O1122)</x:f>
        <x:v>57</x:v>
      </x:c>
      <x:c r="G1122" s="28" t="n">
        <x:f>ROUND(Catalogue!G59*SQRT((1+'Paramètres'!$B$4*(C1122-1)+'Paramètres'!$B$5*(C1122-1)^2)),0)</x:f>
        <x:v>0</x:v>
      </x:c>
      <x:c r="H1122" s="28" t="n">
        <x:f>ROUND(Catalogue!H59*SQRT((1+'Paramètres'!$B$4*(C1122-1)+'Paramètres'!$B$5*(C1122-1)^2)),0)</x:f>
        <x:v>0</x:v>
      </x:c>
      <x:c r="I1122" s="28" t="n">
        <x:v>2</x:v>
      </x:c>
      <x:c r="J1122" s="28" t="n">
        <x:v>4</x:v>
      </x:c>
      <x:c r="K1122" s="30" t="n">
        <x:v>1.1</x:v>
      </x:c>
      <x:c r="L1122" s="54" t="n">
        <x:f>IF(M1122=0,0,(E1122+F1122)/2)</x:f>
        <x:v>44.5</x:v>
      </x:c>
      <x:c r="M1122" t="n">
        <x:v>5</x:v>
      </x:c>
      <x:c r="N1122" t="n">
        <x:v>6</x:v>
      </x:c>
      <x:c r="O1122" t="n">
        <x:v>27</x:v>
      </x:c>
      <x:c r="P1122" s="63" t="str">
        <x:f>IF(M1122=0,"—",M1122&amp;"d"&amp;N1122&amp;IF(O1122=0,""," + "&amp;O1122))</x:f>
        <x:v>5d6 + 27</x:v>
      </x:c>
      <x:c r="Q1122" t="n">
        <x:f>ROUND(INDEX(Catalogue!E$4:E$85,MATCH(A1122,Catalogue!A$4:A$85,0))*(1+'Paramètres'!$B$4*(C1122-1)+'Paramètres'!$B$5*(C1122-1)^2),0)</x:f>
        <x:v>33</x:v>
      </x:c>
      <x:c r="R1122" t="n">
        <x:f>ROUND(INDEX(Catalogue!F$4:F$85,MATCH(A1122,Catalogue!A$4:A$85,0))*(1+'Paramètres'!$B$4*(C1122-1)+'Paramètres'!$B$5*(C1122-1)^2),0)</x:f>
        <x:v>57</x:v>
      </x:c>
      <x:c r="S1122" t="n">
        <x:f>L1122-AVERAGE(Q1122:R1122)</x:f>
        <x:v>-0.5</x:v>
      </x:c>
      <x:c r="T1122" t="str">
        <x:f>IF(M1122=0,IF(AND(N1122=0,O1122=0,E1122=0,F1122=0),"OK","ERREUR"),IF(AND(M1122&gt;=1,M1122&lt;=32,OR(N1122=4,N1122=6,N1122=8,N1122=10,N1122=12,N1122=20),O1122&gt;=0,E1122=M1122+O1122,F1122=M1122*N1122+O1122),"OK","ERREUR"))</x:f>
        <x:v>OK</x:v>
      </x:c>
      <x:c r="U1122" s="86" t="n">
        <x:f>IF(M1122&gt;0,M1122*(N1122+1)/2+O1122,0)</x:f>
        <x:v>44.5</x:v>
      </x:c>
      <x:c r="V1122" t="str">
        <x:f>IF(ABS(L1122-U1122)&lt;0.001,"OK","ERREUR")</x:f>
        <x:v>OK</x:v>
      </x:c>
    </x:row>
    <x:row r="1123" ht="18" customHeight="1">
      <x:c r="A1123" t="str">
        <x:v>ARM056</x:v>
      </x:c>
      <x:c r="B1123" t="str">
        <x:v>Hache de jet</x:v>
      </x:c>
      <x:c r="C1123" t="n">
        <x:v>20</x:v>
      </x:c>
      <x:c r="D1123" t="str">
        <x:v>Jet</x:v>
      </x:c>
      <x:c r="E1123" s="28" t="n">
        <x:f>IF(M1123=0,0,M1123+O1123)</x:f>
        <x:v>34</x:v>
      </x:c>
      <x:c r="F1123" s="28" t="n">
        <x:f>IF(M1123=0,0,M1123*N1123+O1123)</x:f>
        <x:v>62</x:v>
      </x:c>
      <x:c r="G1123" s="28" t="n">
        <x:f>ROUND(Catalogue!G59*SQRT((1+'Paramètres'!$B$4*(C1123-1)+'Paramètres'!$B$5*(C1123-1)^2)),0)</x:f>
        <x:v>0</x:v>
      </x:c>
      <x:c r="H1123" s="28" t="n">
        <x:f>ROUND(Catalogue!H59*SQRT((1+'Paramètres'!$B$4*(C1123-1)+'Paramètres'!$B$5*(C1123-1)^2)),0)</x:f>
        <x:v>0</x:v>
      </x:c>
      <x:c r="I1123" s="28" t="n">
        <x:v>2</x:v>
      </x:c>
      <x:c r="J1123" s="28" t="n">
        <x:v>4</x:v>
      </x:c>
      <x:c r="K1123" s="30" t="n">
        <x:v>1.1</x:v>
      </x:c>
      <x:c r="L1123" s="54" t="n">
        <x:f>IF(M1123=0,0,(E1123+F1123)/2)</x:f>
        <x:v>48</x:v>
      </x:c>
      <x:c r="M1123" t="n">
        <x:v>4</x:v>
      </x:c>
      <x:c r="N1123" t="n">
        <x:v>8</x:v>
      </x:c>
      <x:c r="O1123" t="n">
        <x:v>30</x:v>
      </x:c>
      <x:c r="P1123" s="63" t="str">
        <x:f>IF(M1123=0,"—",M1123&amp;"d"&amp;N1123&amp;IF(O1123=0,""," + "&amp;O1123))</x:f>
        <x:v>4d8 + 30</x:v>
      </x:c>
      <x:c r="Q1123" t="n">
        <x:f>ROUND(INDEX(Catalogue!E$4:E$85,MATCH(A1123,Catalogue!A$4:A$85,0))*(1+'Paramètres'!$B$4*(C1123-1)+'Paramètres'!$B$5*(C1123-1)^2),0)</x:f>
        <x:v>35</x:v>
      </x:c>
      <x:c r="R1123" t="n">
        <x:f>ROUND(INDEX(Catalogue!F$4:F$85,MATCH(A1123,Catalogue!A$4:A$85,0))*(1+'Paramètres'!$B$4*(C1123-1)+'Paramètres'!$B$5*(C1123-1)^2),0)</x:f>
        <x:v>62</x:v>
      </x:c>
      <x:c r="S1123" t="n">
        <x:f>L1123-AVERAGE(Q1123:R1123)</x:f>
        <x:v>-0.5</x:v>
      </x:c>
      <x:c r="T1123" t="str">
        <x:f>IF(M1123=0,IF(AND(N1123=0,O1123=0,E1123=0,F1123=0),"OK","ERREUR"),IF(AND(M1123&gt;=1,M1123&lt;=32,OR(N1123=4,N1123=6,N1123=8,N1123=10,N1123=12,N1123=20),O1123&gt;=0,E1123=M1123+O1123,F1123=M1123*N1123+O1123),"OK","ERREUR"))</x:f>
        <x:v>OK</x:v>
      </x:c>
      <x:c r="U1123" s="86" t="n">
        <x:f>IF(M1123&gt;0,M1123*(N1123+1)/2+O1123,0)</x:f>
        <x:v>48</x:v>
      </x:c>
      <x:c r="V1123" t="str">
        <x:f>IF(ABS(L1123-U1123)&lt;0.001,"OK","ERREUR")</x:f>
        <x:v>OK</x:v>
      </x:c>
    </x:row>
    <x:row r="1124" ht="18" customHeight="1">
      <x:c r="A1124" t="str">
        <x:v>ARM057</x:v>
      </x:c>
      <x:c r="B1124" t="str">
        <x:v>Javelot</x:v>
      </x:c>
      <x:c r="C1124" t="n">
        <x:v>1</x:v>
      </x:c>
      <x:c r="D1124" t="str">
        <x:v>Jet</x:v>
      </x:c>
      <x:c r="E1124" s="28" t="n">
        <x:f>IF(M1124=0,0,M1124+O1124)</x:f>
        <x:v>4</x:v>
      </x:c>
      <x:c r="F1124" s="28" t="n">
        <x:f>IF(M1124=0,0,M1124*N1124+O1124)</x:f>
        <x:v>7</x:v>
      </x:c>
      <x:c r="G1124" s="28" t="n">
        <x:f>ROUND(Catalogue!G60*SQRT((1+'Paramètres'!$B$4*(C1124-1)+'Paramètres'!$B$5*(C1124-1)^2)),0)</x:f>
        <x:v>0</x:v>
      </x:c>
      <x:c r="H1124" s="28" t="n">
        <x:f>ROUND(Catalogue!H60*SQRT((1+'Paramètres'!$B$4*(C1124-1)+'Paramètres'!$B$5*(C1124-1)^2)),0)</x:f>
        <x:v>0</x:v>
      </x:c>
      <x:c r="I1124" s="28" t="n">
        <x:v>2</x:v>
      </x:c>
      <x:c r="J1124" s="28" t="n">
        <x:v>4</x:v>
      </x:c>
      <x:c r="K1124" s="30" t="n">
        <x:v>1.4</x:v>
      </x:c>
      <x:c r="L1124" s="54" t="n">
        <x:f>IF(M1124=0,0,(E1124+F1124)/2)</x:f>
        <x:v>5.5</x:v>
      </x:c>
      <x:c r="M1124" t="n">
        <x:v>1</x:v>
      </x:c>
      <x:c r="N1124" t="n">
        <x:v>4</x:v>
      </x:c>
      <x:c r="O1124" t="n">
        <x:v>3</x:v>
      </x:c>
      <x:c r="P1124" s="63" t="str">
        <x:f>IF(M1124=0,"—",M1124&amp;"d"&amp;N1124&amp;IF(O1124=0,""," + "&amp;O1124))</x:f>
        <x:v>1d4 + 3</x:v>
      </x:c>
      <x:c r="Q1124" t="n">
        <x:f>ROUND(INDEX(Catalogue!E$4:E$85,MATCH(A1124,Catalogue!A$4:A$85,0))*(1+'Paramètres'!$B$4*(C1124-1)+'Paramètres'!$B$5*(C1124-1)^2),0)</x:f>
        <x:v>4</x:v>
      </x:c>
      <x:c r="R1124" t="n">
        <x:f>ROUND(INDEX(Catalogue!F$4:F$85,MATCH(A1124,Catalogue!A$4:A$85,0))*(1+'Paramètres'!$B$4*(C1124-1)+'Paramètres'!$B$5*(C1124-1)^2),0)</x:f>
        <x:v>7</x:v>
      </x:c>
      <x:c r="S1124" t="n">
        <x:f>L1124-AVERAGE(Q1124:R1124)</x:f>
        <x:v>0</x:v>
      </x:c>
      <x:c r="T1124" t="str">
        <x:f>IF(M1124=0,IF(AND(N1124=0,O1124=0,E1124=0,F1124=0),"OK","ERREUR"),IF(AND(M1124&gt;=1,M1124&lt;=32,OR(N1124=4,N1124=6,N1124=8,N1124=10,N1124=12,N1124=20),O1124&gt;=0,E1124=M1124+O1124,F1124=M1124*N1124+O1124),"OK","ERREUR"))</x:f>
        <x:v>OK</x:v>
      </x:c>
      <x:c r="U1124" s="86" t="n">
        <x:f>IF(M1124&gt;0,M1124*(N1124+1)/2+O1124,0)</x:f>
        <x:v>5.5</x:v>
      </x:c>
      <x:c r="V1124" t="str">
        <x:f>IF(ABS(L1124-U1124)&lt;0.001,"OK","ERREUR")</x:f>
        <x:v>OK</x:v>
      </x:c>
    </x:row>
    <x:row r="1125" ht="18" customHeight="1">
      <x:c r="A1125" t="str">
        <x:v>ARM057</x:v>
      </x:c>
      <x:c r="B1125" t="str">
        <x:v>Javelot</x:v>
      </x:c>
      <x:c r="C1125" t="n">
        <x:v>2</x:v>
      </x:c>
      <x:c r="D1125" t="str">
        <x:v>Jet</x:v>
      </x:c>
      <x:c r="E1125" s="28" t="n">
        <x:f>IF(M1125=0,0,M1125+O1125)</x:f>
        <x:v>5</x:v>
      </x:c>
      <x:c r="F1125" s="28" t="n">
        <x:f>IF(M1125=0,0,M1125*N1125+O1125)</x:f>
        <x:v>8</x:v>
      </x:c>
      <x:c r="G1125" s="28" t="n">
        <x:f>ROUND(Catalogue!G60*SQRT((1+'Paramètres'!$B$4*(C1125-1)+'Paramètres'!$B$5*(C1125-1)^2)),0)</x:f>
        <x:v>0</x:v>
      </x:c>
      <x:c r="H1125" s="28" t="n">
        <x:f>ROUND(Catalogue!H60*SQRT((1+'Paramètres'!$B$4*(C1125-1)+'Paramètres'!$B$5*(C1125-1)^2)),0)</x:f>
        <x:v>0</x:v>
      </x:c>
      <x:c r="I1125" s="28" t="n">
        <x:v>2</x:v>
      </x:c>
      <x:c r="J1125" s="28" t="n">
        <x:v>4</x:v>
      </x:c>
      <x:c r="K1125" s="30" t="n">
        <x:v>1.4</x:v>
      </x:c>
      <x:c r="L1125" s="54" t="n">
        <x:f>IF(M1125=0,0,(E1125+F1125)/2)</x:f>
        <x:v>6.5</x:v>
      </x:c>
      <x:c r="M1125" t="n">
        <x:v>1</x:v>
      </x:c>
      <x:c r="N1125" t="n">
        <x:v>4</x:v>
      </x:c>
      <x:c r="O1125" t="n">
        <x:v>4</x:v>
      </x:c>
      <x:c r="P1125" s="63" t="str">
        <x:f>IF(M1125=0,"—",M1125&amp;"d"&amp;N1125&amp;IF(O1125=0,""," + "&amp;O1125))</x:f>
        <x:v>1d4 + 4</x:v>
      </x:c>
      <x:c r="Q1125" t="n">
        <x:f>ROUND(INDEX(Catalogue!E$4:E$85,MATCH(A1125,Catalogue!A$4:A$85,0))*(1+'Paramètres'!$B$4*(C1125-1)+'Paramètres'!$B$5*(C1125-1)^2),0)</x:f>
        <x:v>5</x:v>
      </x:c>
      <x:c r="R1125" t="n">
        <x:f>ROUND(INDEX(Catalogue!F$4:F$85,MATCH(A1125,Catalogue!A$4:A$85,0))*(1+'Paramètres'!$B$4*(C1125-1)+'Paramètres'!$B$5*(C1125-1)^2),0)</x:f>
        <x:v>8</x:v>
      </x:c>
      <x:c r="S1125" t="n">
        <x:f>L1125-AVERAGE(Q1125:R1125)</x:f>
        <x:v>0</x:v>
      </x:c>
      <x:c r="T1125" t="str">
        <x:f>IF(M1125=0,IF(AND(N1125=0,O1125=0,E1125=0,F1125=0),"OK","ERREUR"),IF(AND(M1125&gt;=1,M1125&lt;=32,OR(N1125=4,N1125=6,N1125=8,N1125=10,N1125=12,N1125=20),O1125&gt;=0,E1125=M1125+O1125,F1125=M1125*N1125+O1125),"OK","ERREUR"))</x:f>
        <x:v>OK</x:v>
      </x:c>
      <x:c r="U1125" s="86" t="n">
        <x:f>IF(M1125&gt;0,M1125*(N1125+1)/2+O1125,0)</x:f>
        <x:v>6.5</x:v>
      </x:c>
      <x:c r="V1125" t="str">
        <x:f>IF(ABS(L1125-U1125)&lt;0.001,"OK","ERREUR")</x:f>
        <x:v>OK</x:v>
      </x:c>
    </x:row>
    <x:row r="1126" ht="18" customHeight="1">
      <x:c r="A1126" t="str">
        <x:v>ARM057</x:v>
      </x:c>
      <x:c r="B1126" t="str">
        <x:v>Javelot</x:v>
      </x:c>
      <x:c r="C1126" t="n">
        <x:v>3</x:v>
      </x:c>
      <x:c r="D1126" t="str">
        <x:v>Jet</x:v>
      </x:c>
      <x:c r="E1126" s="28" t="n">
        <x:f>IF(M1126=0,0,M1126+O1126)</x:f>
        <x:v>5</x:v>
      </x:c>
      <x:c r="F1126" s="28" t="n">
        <x:f>IF(M1126=0,0,M1126*N1126+O1126)</x:f>
        <x:v>8</x:v>
      </x:c>
      <x:c r="G1126" s="28" t="n">
        <x:f>ROUND(Catalogue!G60*SQRT((1+'Paramètres'!$B$4*(C1126-1)+'Paramètres'!$B$5*(C1126-1)^2)),0)</x:f>
        <x:v>0</x:v>
      </x:c>
      <x:c r="H1126" s="28" t="n">
        <x:f>ROUND(Catalogue!H60*SQRT((1+'Paramètres'!$B$4*(C1126-1)+'Paramètres'!$B$5*(C1126-1)^2)),0)</x:f>
        <x:v>0</x:v>
      </x:c>
      <x:c r="I1126" s="28" t="n">
        <x:v>2</x:v>
      </x:c>
      <x:c r="J1126" s="28" t="n">
        <x:v>4</x:v>
      </x:c>
      <x:c r="K1126" s="30" t="n">
        <x:v>1.4</x:v>
      </x:c>
      <x:c r="L1126" s="54" t="n">
        <x:f>IF(M1126=0,0,(E1126+F1126)/2)</x:f>
        <x:v>6.5</x:v>
      </x:c>
      <x:c r="M1126" t="n">
        <x:v>1</x:v>
      </x:c>
      <x:c r="N1126" t="n">
        <x:v>4</x:v>
      </x:c>
      <x:c r="O1126" t="n">
        <x:v>4</x:v>
      </x:c>
      <x:c r="P1126" s="63" t="str">
        <x:f>IF(M1126=0,"—",M1126&amp;"d"&amp;N1126&amp;IF(O1126=0,""," + "&amp;O1126))</x:f>
        <x:v>1d4 + 4</x:v>
      </x:c>
      <x:c r="Q1126" t="n">
        <x:f>ROUND(INDEX(Catalogue!E$4:E$85,MATCH(A1126,Catalogue!A$4:A$85,0))*(1+'Paramètres'!$B$4*(C1126-1)+'Paramètres'!$B$5*(C1126-1)^2),0)</x:f>
        <x:v>5</x:v>
      </x:c>
      <x:c r="R1126" t="n">
        <x:f>ROUND(INDEX(Catalogue!F$4:F$85,MATCH(A1126,Catalogue!A$4:A$85,0))*(1+'Paramètres'!$B$4*(C1126-1)+'Paramètres'!$B$5*(C1126-1)^2),0)</x:f>
        <x:v>9</x:v>
      </x:c>
      <x:c r="S1126" t="n">
        <x:f>L1126-AVERAGE(Q1126:R1126)</x:f>
        <x:v>-0.5</x:v>
      </x:c>
      <x:c r="T1126" t="str">
        <x:f>IF(M1126=0,IF(AND(N1126=0,O1126=0,E1126=0,F1126=0),"OK","ERREUR"),IF(AND(M1126&gt;=1,M1126&lt;=32,OR(N1126=4,N1126=6,N1126=8,N1126=10,N1126=12,N1126=20),O1126&gt;=0,E1126=M1126+O1126,F1126=M1126*N1126+O1126),"OK","ERREUR"))</x:f>
        <x:v>OK</x:v>
      </x:c>
      <x:c r="U1126" s="86" t="n">
        <x:f>IF(M1126&gt;0,M1126*(N1126+1)/2+O1126,0)</x:f>
        <x:v>6.5</x:v>
      </x:c>
      <x:c r="V1126" t="str">
        <x:f>IF(ABS(L1126-U1126)&lt;0.001,"OK","ERREUR")</x:f>
        <x:v>OK</x:v>
      </x:c>
    </x:row>
    <x:row r="1127" ht="18" customHeight="1">
      <x:c r="A1127" t="str">
        <x:v>ARM057</x:v>
      </x:c>
      <x:c r="B1127" t="str">
        <x:v>Javelot</x:v>
      </x:c>
      <x:c r="C1127" t="n">
        <x:v>4</x:v>
      </x:c>
      <x:c r="D1127" t="str">
        <x:v>Jet</x:v>
      </x:c>
      <x:c r="E1127" s="28" t="n">
        <x:f>IF(M1127=0,0,M1127+O1127)</x:f>
        <x:v>6</x:v>
      </x:c>
      <x:c r="F1127" s="28" t="n">
        <x:f>IF(M1127=0,0,M1127*N1127+O1127)</x:f>
        <x:v>9</x:v>
      </x:c>
      <x:c r="G1127" s="28" t="n">
        <x:f>ROUND(Catalogue!G60*SQRT((1+'Paramètres'!$B$4*(C1127-1)+'Paramètres'!$B$5*(C1127-1)^2)),0)</x:f>
        <x:v>0</x:v>
      </x:c>
      <x:c r="H1127" s="28" t="n">
        <x:f>ROUND(Catalogue!H60*SQRT((1+'Paramètres'!$B$4*(C1127-1)+'Paramètres'!$B$5*(C1127-1)^2)),0)</x:f>
        <x:v>0</x:v>
      </x:c>
      <x:c r="I1127" s="28" t="n">
        <x:v>2</x:v>
      </x:c>
      <x:c r="J1127" s="28" t="n">
        <x:v>4</x:v>
      </x:c>
      <x:c r="K1127" s="30" t="n">
        <x:v>1.4</x:v>
      </x:c>
      <x:c r="L1127" s="54" t="n">
        <x:f>IF(M1127=0,0,(E1127+F1127)/2)</x:f>
        <x:v>7.5</x:v>
      </x:c>
      <x:c r="M1127" t="n">
        <x:v>1</x:v>
      </x:c>
      <x:c r="N1127" t="n">
        <x:v>4</x:v>
      </x:c>
      <x:c r="O1127" t="n">
        <x:v>5</x:v>
      </x:c>
      <x:c r="P1127" s="63" t="str">
        <x:f>IF(M1127=0,"—",M1127&amp;"d"&amp;N1127&amp;IF(O1127=0,""," + "&amp;O1127))</x:f>
        <x:v>1d4 + 5</x:v>
      </x:c>
      <x:c r="Q1127" t="n">
        <x:f>ROUND(INDEX(Catalogue!E$4:E$85,MATCH(A1127,Catalogue!A$4:A$85,0))*(1+'Paramètres'!$B$4*(C1127-1)+'Paramètres'!$B$5*(C1127-1)^2),0)</x:f>
        <x:v>6</x:v>
      </x:c>
      <x:c r="R1127" t="n">
        <x:f>ROUND(INDEX(Catalogue!F$4:F$85,MATCH(A1127,Catalogue!A$4:A$85,0))*(1+'Paramètres'!$B$4*(C1127-1)+'Paramètres'!$B$5*(C1127-1)^2),0)</x:f>
        <x:v>10</x:v>
      </x:c>
      <x:c r="S1127" t="n">
        <x:f>L1127-AVERAGE(Q1127:R1127)</x:f>
        <x:v>-0.5</x:v>
      </x:c>
      <x:c r="T1127" t="str">
        <x:f>IF(M1127=0,IF(AND(N1127=0,O1127=0,E1127=0,F1127=0),"OK","ERREUR"),IF(AND(M1127&gt;=1,M1127&lt;=32,OR(N1127=4,N1127=6,N1127=8,N1127=10,N1127=12,N1127=20),O1127&gt;=0,E1127=M1127+O1127,F1127=M1127*N1127+O1127),"OK","ERREUR"))</x:f>
        <x:v>OK</x:v>
      </x:c>
      <x:c r="U1127" s="86" t="n">
        <x:f>IF(M1127&gt;0,M1127*(N1127+1)/2+O1127,0)</x:f>
        <x:v>7.5</x:v>
      </x:c>
      <x:c r="V1127" t="str">
        <x:f>IF(ABS(L1127-U1127)&lt;0.001,"OK","ERREUR")</x:f>
        <x:v>OK</x:v>
      </x:c>
    </x:row>
    <x:row r="1128" ht="18" customHeight="1">
      <x:c r="A1128" t="str">
        <x:v>ARM057</x:v>
      </x:c>
      <x:c r="B1128" t="str">
        <x:v>Javelot</x:v>
      </x:c>
      <x:c r="C1128" t="n">
        <x:v>5</x:v>
      </x:c>
      <x:c r="D1128" t="str">
        <x:v>Jet</x:v>
      </x:c>
      <x:c r="E1128" s="28" t="n">
        <x:f>IF(M1128=0,0,M1128+O1128)</x:f>
        <x:v>7</x:v>
      </x:c>
      <x:c r="F1128" s="28" t="n">
        <x:f>IF(M1128=0,0,M1128*N1128+O1128)</x:f>
        <x:v>12</x:v>
      </x:c>
      <x:c r="G1128" s="28" t="n">
        <x:f>ROUND(Catalogue!G60*SQRT((1+'Paramètres'!$B$4*(C1128-1)+'Paramètres'!$B$5*(C1128-1)^2)),0)</x:f>
        <x:v>0</x:v>
      </x:c>
      <x:c r="H1128" s="28" t="n">
        <x:f>ROUND(Catalogue!H60*SQRT((1+'Paramètres'!$B$4*(C1128-1)+'Paramètres'!$B$5*(C1128-1)^2)),0)</x:f>
        <x:v>0</x:v>
      </x:c>
      <x:c r="I1128" s="28" t="n">
        <x:v>2</x:v>
      </x:c>
      <x:c r="J1128" s="28" t="n">
        <x:v>4</x:v>
      </x:c>
      <x:c r="K1128" s="30" t="n">
        <x:v>1.4</x:v>
      </x:c>
      <x:c r="L1128" s="54" t="n">
        <x:f>IF(M1128=0,0,(E1128+F1128)/2)</x:f>
        <x:v>9.5</x:v>
      </x:c>
      <x:c r="M1128" t="n">
        <x:v>1</x:v>
      </x:c>
      <x:c r="N1128" t="n">
        <x:v>6</x:v>
      </x:c>
      <x:c r="O1128" t="n">
        <x:v>6</x:v>
      </x:c>
      <x:c r="P1128" s="63" t="str">
        <x:f>IF(M1128=0,"—",M1128&amp;"d"&amp;N1128&amp;IF(O1128=0,""," + "&amp;O1128))</x:f>
        <x:v>1d6 + 6</x:v>
      </x:c>
      <x:c r="Q1128" t="n">
        <x:f>ROUND(INDEX(Catalogue!E$4:E$85,MATCH(A1128,Catalogue!A$4:A$85,0))*(1+'Paramètres'!$B$4*(C1128-1)+'Paramètres'!$B$5*(C1128-1)^2),0)</x:f>
        <x:v>7</x:v>
      </x:c>
      <x:c r="R1128" t="n">
        <x:f>ROUND(INDEX(Catalogue!F$4:F$85,MATCH(A1128,Catalogue!A$4:A$85,0))*(1+'Paramètres'!$B$4*(C1128-1)+'Paramètres'!$B$5*(C1128-1)^2),0)</x:f>
        <x:v>12</x:v>
      </x:c>
      <x:c r="S1128" t="n">
        <x:f>L1128-AVERAGE(Q1128:R1128)</x:f>
        <x:v>0</x:v>
      </x:c>
      <x:c r="T1128" t="str">
        <x:f>IF(M1128=0,IF(AND(N1128=0,O1128=0,E1128=0,F1128=0),"OK","ERREUR"),IF(AND(M1128&gt;=1,M1128&lt;=32,OR(N1128=4,N1128=6,N1128=8,N1128=10,N1128=12,N1128=20),O1128&gt;=0,E1128=M1128+O1128,F1128=M1128*N1128+O1128),"OK","ERREUR"))</x:f>
        <x:v>OK</x:v>
      </x:c>
      <x:c r="U1128" s="86" t="n">
        <x:f>IF(M1128&gt;0,M1128*(N1128+1)/2+O1128,0)</x:f>
        <x:v>9.5</x:v>
      </x:c>
      <x:c r="V1128" t="str">
        <x:f>IF(ABS(L1128-U1128)&lt;0.001,"OK","ERREUR")</x:f>
        <x:v>OK</x:v>
      </x:c>
    </x:row>
    <x:row r="1129" ht="18" customHeight="1">
      <x:c r="A1129" t="str">
        <x:v>ARM057</x:v>
      </x:c>
      <x:c r="B1129" t="str">
        <x:v>Javelot</x:v>
      </x:c>
      <x:c r="C1129" t="n">
        <x:v>6</x:v>
      </x:c>
      <x:c r="D1129" t="str">
        <x:v>Jet</x:v>
      </x:c>
      <x:c r="E1129" s="28" t="n">
        <x:f>IF(M1129=0,0,M1129+O1129)</x:f>
        <x:v>8</x:v>
      </x:c>
      <x:c r="F1129" s="28" t="n">
        <x:f>IF(M1129=0,0,M1129*N1129+O1129)</x:f>
        <x:v>14</x:v>
      </x:c>
      <x:c r="G1129" s="28" t="n">
        <x:f>ROUND(Catalogue!G60*SQRT((1+'Paramètres'!$B$4*(C1129-1)+'Paramètres'!$B$5*(C1129-1)^2)),0)</x:f>
        <x:v>0</x:v>
      </x:c>
      <x:c r="H1129" s="28" t="n">
        <x:f>ROUND(Catalogue!H60*SQRT((1+'Paramètres'!$B$4*(C1129-1)+'Paramètres'!$B$5*(C1129-1)^2)),0)</x:f>
        <x:v>0</x:v>
      </x:c>
      <x:c r="I1129" s="28" t="n">
        <x:v>2</x:v>
      </x:c>
      <x:c r="J1129" s="28" t="n">
        <x:v>4</x:v>
      </x:c>
      <x:c r="K1129" s="30" t="n">
        <x:v>1.4</x:v>
      </x:c>
      <x:c r="L1129" s="54" t="n">
        <x:f>IF(M1129=0,0,(E1129+F1129)/2)</x:f>
        <x:v>11</x:v>
      </x:c>
      <x:c r="M1129" t="n">
        <x:v>2</x:v>
      </x:c>
      <x:c r="N1129" t="n">
        <x:v>4</x:v>
      </x:c>
      <x:c r="O1129" t="n">
        <x:v>6</x:v>
      </x:c>
      <x:c r="P1129" s="63" t="str">
        <x:f>IF(M1129=0,"—",M1129&amp;"d"&amp;N1129&amp;IF(O1129=0,""," + "&amp;O1129))</x:f>
        <x:v>2d4 + 6</x:v>
      </x:c>
      <x:c r="Q1129" t="n">
        <x:f>ROUND(INDEX(Catalogue!E$4:E$85,MATCH(A1129,Catalogue!A$4:A$85,0))*(1+'Paramètres'!$B$4*(C1129-1)+'Paramètres'!$B$5*(C1129-1)^2),0)</x:f>
        <x:v>8</x:v>
      </x:c>
      <x:c r="R1129" t="n">
        <x:f>ROUND(INDEX(Catalogue!F$4:F$85,MATCH(A1129,Catalogue!A$4:A$85,0))*(1+'Paramètres'!$B$4*(C1129-1)+'Paramètres'!$B$5*(C1129-1)^2),0)</x:f>
        <x:v>14</x:v>
      </x:c>
      <x:c r="S1129" t="n">
        <x:f>L1129-AVERAGE(Q1129:R1129)</x:f>
        <x:v>0</x:v>
      </x:c>
      <x:c r="T1129" t="str">
        <x:f>IF(M1129=0,IF(AND(N1129=0,O1129=0,E1129=0,F1129=0),"OK","ERREUR"),IF(AND(M1129&gt;=1,M1129&lt;=32,OR(N1129=4,N1129=6,N1129=8,N1129=10,N1129=12,N1129=20),O1129&gt;=0,E1129=M1129+O1129,F1129=M1129*N1129+O1129),"OK","ERREUR"))</x:f>
        <x:v>OK</x:v>
      </x:c>
      <x:c r="U1129" s="86" t="n">
        <x:f>IF(M1129&gt;0,M1129*(N1129+1)/2+O1129,0)</x:f>
        <x:v>11</x:v>
      </x:c>
      <x:c r="V1129" t="str">
        <x:f>IF(ABS(L1129-U1129)&lt;0.001,"OK","ERREUR")</x:f>
        <x:v>OK</x:v>
      </x:c>
    </x:row>
    <x:row r="1130" ht="18" customHeight="1">
      <x:c r="A1130" t="str">
        <x:v>ARM057</x:v>
      </x:c>
      <x:c r="B1130" t="str">
        <x:v>Javelot</x:v>
      </x:c>
      <x:c r="C1130" t="n">
        <x:v>7</x:v>
      </x:c>
      <x:c r="D1130" t="str">
        <x:v>Jet</x:v>
      </x:c>
      <x:c r="E1130" s="28" t="n">
        <x:f>IF(M1130=0,0,M1130+O1130)</x:f>
        <x:v>9</x:v>
      </x:c>
      <x:c r="F1130" s="28" t="n">
        <x:f>IF(M1130=0,0,M1130*N1130+O1130)</x:f>
        <x:v>16</x:v>
      </x:c>
      <x:c r="G1130" s="28" t="n">
        <x:f>ROUND(Catalogue!G60*SQRT((1+'Paramètres'!$B$4*(C1130-1)+'Paramètres'!$B$5*(C1130-1)^2)),0)</x:f>
        <x:v>0</x:v>
      </x:c>
      <x:c r="H1130" s="28" t="n">
        <x:f>ROUND(Catalogue!H60*SQRT((1+'Paramètres'!$B$4*(C1130-1)+'Paramètres'!$B$5*(C1130-1)^2)),0)</x:f>
        <x:v>0</x:v>
      </x:c>
      <x:c r="I1130" s="28" t="n">
        <x:v>2</x:v>
      </x:c>
      <x:c r="J1130" s="28" t="n">
        <x:v>4</x:v>
      </x:c>
      <x:c r="K1130" s="30" t="n">
        <x:v>1.4</x:v>
      </x:c>
      <x:c r="L1130" s="54" t="n">
        <x:f>IF(M1130=0,0,(E1130+F1130)/2)</x:f>
        <x:v>12.5</x:v>
      </x:c>
      <x:c r="M1130" t="n">
        <x:v>1</x:v>
      </x:c>
      <x:c r="N1130" t="n">
        <x:v>8</x:v>
      </x:c>
      <x:c r="O1130" t="n">
        <x:v>8</x:v>
      </x:c>
      <x:c r="P1130" s="63" t="str">
        <x:f>IF(M1130=0,"—",M1130&amp;"d"&amp;N1130&amp;IF(O1130=0,""," + "&amp;O1130))</x:f>
        <x:v>1d8 + 8</x:v>
      </x:c>
      <x:c r="Q1130" t="n">
        <x:f>ROUND(INDEX(Catalogue!E$4:E$85,MATCH(A1130,Catalogue!A$4:A$85,0))*(1+'Paramètres'!$B$4*(C1130-1)+'Paramètres'!$B$5*(C1130-1)^2),0)</x:f>
        <x:v>9</x:v>
      </x:c>
      <x:c r="R1130" t="n">
        <x:f>ROUND(INDEX(Catalogue!F$4:F$85,MATCH(A1130,Catalogue!A$4:A$85,0))*(1+'Paramètres'!$B$4*(C1130-1)+'Paramètres'!$B$5*(C1130-1)^2),0)</x:f>
        <x:v>16</x:v>
      </x:c>
      <x:c r="S1130" t="n">
        <x:f>L1130-AVERAGE(Q1130:R1130)</x:f>
        <x:v>0</x:v>
      </x:c>
      <x:c r="T1130" t="str">
        <x:f>IF(M1130=0,IF(AND(N1130=0,O1130=0,E1130=0,F1130=0),"OK","ERREUR"),IF(AND(M1130&gt;=1,M1130&lt;=32,OR(N1130=4,N1130=6,N1130=8,N1130=10,N1130=12,N1130=20),O1130&gt;=0,E1130=M1130+O1130,F1130=M1130*N1130+O1130),"OK","ERREUR"))</x:f>
        <x:v>OK</x:v>
      </x:c>
      <x:c r="U1130" s="86" t="n">
        <x:f>IF(M1130&gt;0,M1130*(N1130+1)/2+O1130,0)</x:f>
        <x:v>12.5</x:v>
      </x:c>
      <x:c r="V1130" t="str">
        <x:f>IF(ABS(L1130-U1130)&lt;0.001,"OK","ERREUR")</x:f>
        <x:v>OK</x:v>
      </x:c>
    </x:row>
    <x:row r="1131" ht="18" customHeight="1">
      <x:c r="A1131" t="str">
        <x:v>ARM057</x:v>
      </x:c>
      <x:c r="B1131" t="str">
        <x:v>Javelot</x:v>
      </x:c>
      <x:c r="C1131" t="n">
        <x:v>8</x:v>
      </x:c>
      <x:c r="D1131" t="str">
        <x:v>Jet</x:v>
      </x:c>
      <x:c r="E1131" s="28" t="n">
        <x:f>IF(M1131=0,0,M1131+O1131)</x:f>
        <x:v>9</x:v>
      </x:c>
      <x:c r="F1131" s="28" t="n">
        <x:f>IF(M1131=0,0,M1131*N1131+O1131)</x:f>
        <x:v>18</x:v>
      </x:c>
      <x:c r="G1131" s="28" t="n">
        <x:f>ROUND(Catalogue!G60*SQRT((1+'Paramètres'!$B$4*(C1131-1)+'Paramètres'!$B$5*(C1131-1)^2)),0)</x:f>
        <x:v>0</x:v>
      </x:c>
      <x:c r="H1131" s="28" t="n">
        <x:f>ROUND(Catalogue!H60*SQRT((1+'Paramètres'!$B$4*(C1131-1)+'Paramètres'!$B$5*(C1131-1)^2)),0)</x:f>
        <x:v>0</x:v>
      </x:c>
      <x:c r="I1131" s="28" t="n">
        <x:v>2</x:v>
      </x:c>
      <x:c r="J1131" s="28" t="n">
        <x:v>4</x:v>
      </x:c>
      <x:c r="K1131" s="30" t="n">
        <x:v>1.4</x:v>
      </x:c>
      <x:c r="L1131" s="54" t="n">
        <x:f>IF(M1131=0,0,(E1131+F1131)/2)</x:f>
        <x:v>13.5</x:v>
      </x:c>
      <x:c r="M1131" t="n">
        <x:v>3</x:v>
      </x:c>
      <x:c r="N1131" t="n">
        <x:v>4</x:v>
      </x:c>
      <x:c r="O1131" t="n">
        <x:v>6</x:v>
      </x:c>
      <x:c r="P1131" s="63" t="str">
        <x:f>IF(M1131=0,"—",M1131&amp;"d"&amp;N1131&amp;IF(O1131=0,""," + "&amp;O1131))</x:f>
        <x:v>3d4 + 6</x:v>
      </x:c>
      <x:c r="Q1131" t="n">
        <x:f>ROUND(INDEX(Catalogue!E$4:E$85,MATCH(A1131,Catalogue!A$4:A$85,0))*(1+'Paramètres'!$B$4*(C1131-1)+'Paramètres'!$B$5*(C1131-1)^2),0)</x:f>
        <x:v>10</x:v>
      </x:c>
      <x:c r="R1131" t="n">
        <x:f>ROUND(INDEX(Catalogue!F$4:F$85,MATCH(A1131,Catalogue!A$4:A$85,0))*(1+'Paramètres'!$B$4*(C1131-1)+'Paramètres'!$B$5*(C1131-1)^2),0)</x:f>
        <x:v>18</x:v>
      </x:c>
      <x:c r="S1131" t="n">
        <x:f>L1131-AVERAGE(Q1131:R1131)</x:f>
        <x:v>-0.5</x:v>
      </x:c>
      <x:c r="T1131" t="str">
        <x:f>IF(M1131=0,IF(AND(N1131=0,O1131=0,E1131=0,F1131=0),"OK","ERREUR"),IF(AND(M1131&gt;=1,M1131&lt;=32,OR(N1131=4,N1131=6,N1131=8,N1131=10,N1131=12,N1131=20),O1131&gt;=0,E1131=M1131+O1131,F1131=M1131*N1131+O1131),"OK","ERREUR"))</x:f>
        <x:v>OK</x:v>
      </x:c>
      <x:c r="U1131" s="86" t="n">
        <x:f>IF(M1131&gt;0,M1131*(N1131+1)/2+O1131,0)</x:f>
        <x:v>13.5</x:v>
      </x:c>
      <x:c r="V1131" t="str">
        <x:f>IF(ABS(L1131-U1131)&lt;0.001,"OK","ERREUR")</x:f>
        <x:v>OK</x:v>
      </x:c>
    </x:row>
    <x:row r="1132" ht="18" customHeight="1">
      <x:c r="A1132" t="str">
        <x:v>ARM057</x:v>
      </x:c>
      <x:c r="B1132" t="str">
        <x:v>Javelot</x:v>
      </x:c>
      <x:c r="C1132" t="n">
        <x:v>9</x:v>
      </x:c>
      <x:c r="D1132" t="str">
        <x:v>Jet</x:v>
      </x:c>
      <x:c r="E1132" s="28" t="n">
        <x:f>IF(M1132=0,0,M1132+O1132)</x:f>
        <x:v>11</x:v>
      </x:c>
      <x:c r="F1132" s="28" t="n">
        <x:f>IF(M1132=0,0,M1132*N1132+O1132)</x:f>
        <x:v>20</x:v>
      </x:c>
      <x:c r="G1132" s="28" t="n">
        <x:f>ROUND(Catalogue!G60*SQRT((1+'Paramètres'!$B$4*(C1132-1)+'Paramètres'!$B$5*(C1132-1)^2)),0)</x:f>
        <x:v>0</x:v>
      </x:c>
      <x:c r="H1132" s="28" t="n">
        <x:f>ROUND(Catalogue!H60*SQRT((1+'Paramètres'!$B$4*(C1132-1)+'Paramètres'!$B$5*(C1132-1)^2)),0)</x:f>
        <x:v>0</x:v>
      </x:c>
      <x:c r="I1132" s="28" t="n">
        <x:v>2</x:v>
      </x:c>
      <x:c r="J1132" s="28" t="n">
        <x:v>4</x:v>
      </x:c>
      <x:c r="K1132" s="30" t="n">
        <x:v>1.4</x:v>
      </x:c>
      <x:c r="L1132" s="54" t="n">
        <x:f>IF(M1132=0,0,(E1132+F1132)/2)</x:f>
        <x:v>15.5</x:v>
      </x:c>
      <x:c r="M1132" t="n">
        <x:v>3</x:v>
      </x:c>
      <x:c r="N1132" t="n">
        <x:v>4</x:v>
      </x:c>
      <x:c r="O1132" t="n">
        <x:v>8</x:v>
      </x:c>
      <x:c r="P1132" s="63" t="str">
        <x:f>IF(M1132=0,"—",M1132&amp;"d"&amp;N1132&amp;IF(O1132=0,""," + "&amp;O1132))</x:f>
        <x:v>3d4 + 8</x:v>
      </x:c>
      <x:c r="Q1132" t="n">
        <x:f>ROUND(INDEX(Catalogue!E$4:E$85,MATCH(A1132,Catalogue!A$4:A$85,0))*(1+'Paramètres'!$B$4*(C1132-1)+'Paramètres'!$B$5*(C1132-1)^2),0)</x:f>
        <x:v>12</x:v>
      </x:c>
      <x:c r="R1132" t="n">
        <x:f>ROUND(INDEX(Catalogue!F$4:F$85,MATCH(A1132,Catalogue!A$4:A$85,0))*(1+'Paramètres'!$B$4*(C1132-1)+'Paramètres'!$B$5*(C1132-1)^2),0)</x:f>
        <x:v>20</x:v>
      </x:c>
      <x:c r="S1132" t="n">
        <x:f>L1132-AVERAGE(Q1132:R1132)</x:f>
        <x:v>-0.5</x:v>
      </x:c>
      <x:c r="T1132" t="str">
        <x:f>IF(M1132=0,IF(AND(N1132=0,O1132=0,E1132=0,F1132=0),"OK","ERREUR"),IF(AND(M1132&gt;=1,M1132&lt;=32,OR(N1132=4,N1132=6,N1132=8,N1132=10,N1132=12,N1132=20),O1132&gt;=0,E1132=M1132+O1132,F1132=M1132*N1132+O1132),"OK","ERREUR"))</x:f>
        <x:v>OK</x:v>
      </x:c>
      <x:c r="U1132" s="86" t="n">
        <x:f>IF(M1132&gt;0,M1132*(N1132+1)/2+O1132,0)</x:f>
        <x:v>15.5</x:v>
      </x:c>
      <x:c r="V1132" t="str">
        <x:f>IF(ABS(L1132-U1132)&lt;0.001,"OK","ERREUR")</x:f>
        <x:v>OK</x:v>
      </x:c>
    </x:row>
    <x:row r="1133" ht="18" customHeight="1">
      <x:c r="A1133" t="str">
        <x:v>ARM057</x:v>
      </x:c>
      <x:c r="B1133" t="str">
        <x:v>Javelot</x:v>
      </x:c>
      <x:c r="C1133" t="n">
        <x:v>10</x:v>
      </x:c>
      <x:c r="D1133" t="str">
        <x:v>Jet</x:v>
      </x:c>
      <x:c r="E1133" s="28" t="n">
        <x:f>IF(M1133=0,0,M1133+O1133)</x:f>
        <x:v>13</x:v>
      </x:c>
      <x:c r="F1133" s="28" t="n">
        <x:f>IF(M1133=0,0,M1133*N1133+O1133)</x:f>
        <x:v>23</x:v>
      </x:c>
      <x:c r="G1133" s="28" t="n">
        <x:f>ROUND(Catalogue!G60*SQRT((1+'Paramètres'!$B$4*(C1133-1)+'Paramètres'!$B$5*(C1133-1)^2)),0)</x:f>
        <x:v>0</x:v>
      </x:c>
      <x:c r="H1133" s="28" t="n">
        <x:f>ROUND(Catalogue!H60*SQRT((1+'Paramètres'!$B$4*(C1133-1)+'Paramètres'!$B$5*(C1133-1)^2)),0)</x:f>
        <x:v>0</x:v>
      </x:c>
      <x:c r="I1133" s="28" t="n">
        <x:v>2</x:v>
      </x:c>
      <x:c r="J1133" s="28" t="n">
        <x:v>4</x:v>
      </x:c>
      <x:c r="K1133" s="30" t="n">
        <x:v>1.4</x:v>
      </x:c>
      <x:c r="L1133" s="54" t="n">
        <x:f>IF(M1133=0,0,(E1133+F1133)/2)</x:f>
        <x:v>18</x:v>
      </x:c>
      <x:c r="M1133" t="n">
        <x:v>2</x:v>
      </x:c>
      <x:c r="N1133" t="n">
        <x:v>6</x:v>
      </x:c>
      <x:c r="O1133" t="n">
        <x:v>11</x:v>
      </x:c>
      <x:c r="P1133" s="63" t="str">
        <x:f>IF(M1133=0,"—",M1133&amp;"d"&amp;N1133&amp;IF(O1133=0,""," + "&amp;O1133))</x:f>
        <x:v>2d6 + 11</x:v>
      </x:c>
      <x:c r="Q1133" t="n">
        <x:f>ROUND(INDEX(Catalogue!E$4:E$85,MATCH(A1133,Catalogue!A$4:A$85,0))*(1+'Paramètres'!$B$4*(C1133-1)+'Paramètres'!$B$5*(C1133-1)^2),0)</x:f>
        <x:v>13</x:v>
      </x:c>
      <x:c r="R1133" t="n">
        <x:f>ROUND(INDEX(Catalogue!F$4:F$85,MATCH(A1133,Catalogue!A$4:A$85,0))*(1+'Paramètres'!$B$4*(C1133-1)+'Paramètres'!$B$5*(C1133-1)^2),0)</x:f>
        <x:v>23</x:v>
      </x:c>
      <x:c r="S1133" t="n">
        <x:f>L1133-AVERAGE(Q1133:R1133)</x:f>
        <x:v>0</x:v>
      </x:c>
      <x:c r="T1133" t="str">
        <x:f>IF(M1133=0,IF(AND(N1133=0,O1133=0,E1133=0,F1133=0),"OK","ERREUR"),IF(AND(M1133&gt;=1,M1133&lt;=32,OR(N1133=4,N1133=6,N1133=8,N1133=10,N1133=12,N1133=20),O1133&gt;=0,E1133=M1133+O1133,F1133=M1133*N1133+O1133),"OK","ERREUR"))</x:f>
        <x:v>OK</x:v>
      </x:c>
      <x:c r="U1133" s="86" t="n">
        <x:f>IF(M1133&gt;0,M1133*(N1133+1)/2+O1133,0)</x:f>
        <x:v>18</x:v>
      </x:c>
      <x:c r="V1133" t="str">
        <x:f>IF(ABS(L1133-U1133)&lt;0.001,"OK","ERREUR")</x:f>
        <x:v>OK</x:v>
      </x:c>
    </x:row>
    <x:row r="1134" ht="18" customHeight="1">
      <x:c r="A1134" t="str">
        <x:v>ARM057</x:v>
      </x:c>
      <x:c r="B1134" t="str">
        <x:v>Javelot</x:v>
      </x:c>
      <x:c r="C1134" t="n">
        <x:v>11</x:v>
      </x:c>
      <x:c r="D1134" t="str">
        <x:v>Jet</x:v>
      </x:c>
      <x:c r="E1134" s="28" t="n">
        <x:f>IF(M1134=0,0,M1134+O1134)</x:f>
        <x:v>15</x:v>
      </x:c>
      <x:c r="F1134" s="28" t="n">
        <x:f>IF(M1134=0,0,M1134*N1134+O1134)</x:f>
        <x:v>25</x:v>
      </x:c>
      <x:c r="G1134" s="28" t="n">
        <x:f>ROUND(Catalogue!G60*SQRT((1+'Paramètres'!$B$4*(C1134-1)+'Paramètres'!$B$5*(C1134-1)^2)),0)</x:f>
        <x:v>0</x:v>
      </x:c>
      <x:c r="H1134" s="28" t="n">
        <x:f>ROUND(Catalogue!H60*SQRT((1+'Paramètres'!$B$4*(C1134-1)+'Paramètres'!$B$5*(C1134-1)^2)),0)</x:f>
        <x:v>0</x:v>
      </x:c>
      <x:c r="I1134" s="28" t="n">
        <x:v>2</x:v>
      </x:c>
      <x:c r="J1134" s="28" t="n">
        <x:v>4</x:v>
      </x:c>
      <x:c r="K1134" s="30" t="n">
        <x:v>1.4</x:v>
      </x:c>
      <x:c r="L1134" s="54" t="n">
        <x:f>IF(M1134=0,0,(E1134+F1134)/2)</x:f>
        <x:v>20</x:v>
      </x:c>
      <x:c r="M1134" t="n">
        <x:v>2</x:v>
      </x:c>
      <x:c r="N1134" t="n">
        <x:v>6</x:v>
      </x:c>
      <x:c r="O1134" t="n">
        <x:v>13</x:v>
      </x:c>
      <x:c r="P1134" s="63" t="str">
        <x:f>IF(M1134=0,"—",M1134&amp;"d"&amp;N1134&amp;IF(O1134=0,""," + "&amp;O1134))</x:f>
        <x:v>2d6 + 13</x:v>
      </x:c>
      <x:c r="Q1134" t="n">
        <x:f>ROUND(INDEX(Catalogue!E$4:E$85,MATCH(A1134,Catalogue!A$4:A$85,0))*(1+'Paramètres'!$B$4*(C1134-1)+'Paramètres'!$B$5*(C1134-1)^2),0)</x:f>
        <x:v>15</x:v>
      </x:c>
      <x:c r="R1134" t="n">
        <x:f>ROUND(INDEX(Catalogue!F$4:F$85,MATCH(A1134,Catalogue!A$4:A$85,0))*(1+'Paramètres'!$B$4*(C1134-1)+'Paramètres'!$B$5*(C1134-1)^2),0)</x:f>
        <x:v>26</x:v>
      </x:c>
      <x:c r="S1134" t="n">
        <x:f>L1134-AVERAGE(Q1134:R1134)</x:f>
        <x:v>-0.5</x:v>
      </x:c>
      <x:c r="T1134" t="str">
        <x:f>IF(M1134=0,IF(AND(N1134=0,O1134=0,E1134=0,F1134=0),"OK","ERREUR"),IF(AND(M1134&gt;=1,M1134&lt;=32,OR(N1134=4,N1134=6,N1134=8,N1134=10,N1134=12,N1134=20),O1134&gt;=0,E1134=M1134+O1134,F1134=M1134*N1134+O1134),"OK","ERREUR"))</x:f>
        <x:v>OK</x:v>
      </x:c>
      <x:c r="U1134" s="86" t="n">
        <x:f>IF(M1134&gt;0,M1134*(N1134+1)/2+O1134,0)</x:f>
        <x:v>20</x:v>
      </x:c>
      <x:c r="V1134" t="str">
        <x:f>IF(ABS(L1134-U1134)&lt;0.001,"OK","ERREUR")</x:f>
        <x:v>OK</x:v>
      </x:c>
    </x:row>
    <x:row r="1135" ht="18" customHeight="1">
      <x:c r="A1135" t="str">
        <x:v>ARM057</x:v>
      </x:c>
      <x:c r="B1135" t="str">
        <x:v>Javelot</x:v>
      </x:c>
      <x:c r="C1135" t="n">
        <x:v>12</x:v>
      </x:c>
      <x:c r="D1135" t="str">
        <x:v>Jet</x:v>
      </x:c>
      <x:c r="E1135" s="28" t="n">
        <x:f>IF(M1135=0,0,M1135+O1135)</x:f>
        <x:v>17</x:v>
      </x:c>
      <x:c r="F1135" s="28" t="n">
        <x:f>IF(M1135=0,0,M1135*N1135+O1135)</x:f>
        <x:v>29</x:v>
      </x:c>
      <x:c r="G1135" s="28" t="n">
        <x:f>ROUND(Catalogue!G60*SQRT((1+'Paramètres'!$B$4*(C1135-1)+'Paramètres'!$B$5*(C1135-1)^2)),0)</x:f>
        <x:v>0</x:v>
      </x:c>
      <x:c r="H1135" s="28" t="n">
        <x:f>ROUND(Catalogue!H60*SQRT((1+'Paramètres'!$B$4*(C1135-1)+'Paramètres'!$B$5*(C1135-1)^2)),0)</x:f>
        <x:v>0</x:v>
      </x:c>
      <x:c r="I1135" s="28" t="n">
        <x:v>2</x:v>
      </x:c>
      <x:c r="J1135" s="28" t="n">
        <x:v>4</x:v>
      </x:c>
      <x:c r="K1135" s="30" t="n">
        <x:v>1.4</x:v>
      </x:c>
      <x:c r="L1135" s="54" t="n">
        <x:f>IF(M1135=0,0,(E1135+F1135)/2)</x:f>
        <x:v>23</x:v>
      </x:c>
      <x:c r="M1135" t="n">
        <x:v>4</x:v>
      </x:c>
      <x:c r="N1135" t="n">
        <x:v>4</x:v>
      </x:c>
      <x:c r="O1135" t="n">
        <x:v>13</x:v>
      </x:c>
      <x:c r="P1135" s="63" t="str">
        <x:f>IF(M1135=0,"—",M1135&amp;"d"&amp;N1135&amp;IF(O1135=0,""," + "&amp;O1135))</x:f>
        <x:v>4d4 + 13</x:v>
      </x:c>
      <x:c r="Q1135" t="n">
        <x:f>ROUND(INDEX(Catalogue!E$4:E$85,MATCH(A1135,Catalogue!A$4:A$85,0))*(1+'Paramètres'!$B$4*(C1135-1)+'Paramètres'!$B$5*(C1135-1)^2),0)</x:f>
        <x:v>17</x:v>
      </x:c>
      <x:c r="R1135" t="n">
        <x:f>ROUND(INDEX(Catalogue!F$4:F$85,MATCH(A1135,Catalogue!A$4:A$85,0))*(1+'Paramètres'!$B$4*(C1135-1)+'Paramètres'!$B$5*(C1135-1)^2),0)</x:f>
        <x:v>29</x:v>
      </x:c>
      <x:c r="S1135" t="n">
        <x:f>L1135-AVERAGE(Q1135:R1135)</x:f>
        <x:v>0</x:v>
      </x:c>
      <x:c r="T1135" t="str">
        <x:f>IF(M1135=0,IF(AND(N1135=0,O1135=0,E1135=0,F1135=0),"OK","ERREUR"),IF(AND(M1135&gt;=1,M1135&lt;=32,OR(N1135=4,N1135=6,N1135=8,N1135=10,N1135=12,N1135=20),O1135&gt;=0,E1135=M1135+O1135,F1135=M1135*N1135+O1135),"OK","ERREUR"))</x:f>
        <x:v>OK</x:v>
      </x:c>
      <x:c r="U1135" s="86" t="n">
        <x:f>IF(M1135&gt;0,M1135*(N1135+1)/2+O1135,0)</x:f>
        <x:v>23</x:v>
      </x:c>
      <x:c r="V1135" t="str">
        <x:f>IF(ABS(L1135-U1135)&lt;0.001,"OK","ERREUR")</x:f>
        <x:v>OK</x:v>
      </x:c>
    </x:row>
    <x:row r="1136" ht="18" customHeight="1">
      <x:c r="A1136" t="str">
        <x:v>ARM057</x:v>
      </x:c>
      <x:c r="B1136" t="str">
        <x:v>Javelot</x:v>
      </x:c>
      <x:c r="C1136" t="n">
        <x:v>13</x:v>
      </x:c>
      <x:c r="D1136" t="str">
        <x:v>Jet</x:v>
      </x:c>
      <x:c r="E1136" s="28" t="n">
        <x:f>IF(M1136=0,0,M1136+O1136)</x:f>
        <x:v>18</x:v>
      </x:c>
      <x:c r="F1136" s="28" t="n">
        <x:f>IF(M1136=0,0,M1136*N1136+O1136)</x:f>
        <x:v>32</x:v>
      </x:c>
      <x:c r="G1136" s="28" t="n">
        <x:f>ROUND(Catalogue!G60*SQRT((1+'Paramètres'!$B$4*(C1136-1)+'Paramètres'!$B$5*(C1136-1)^2)),0)</x:f>
        <x:v>0</x:v>
      </x:c>
      <x:c r="H1136" s="28" t="n">
        <x:f>ROUND(Catalogue!H60*SQRT((1+'Paramètres'!$B$4*(C1136-1)+'Paramètres'!$B$5*(C1136-1)^2)),0)</x:f>
        <x:v>0</x:v>
      </x:c>
      <x:c r="I1136" s="28" t="n">
        <x:v>2</x:v>
      </x:c>
      <x:c r="J1136" s="28" t="n">
        <x:v>4</x:v>
      </x:c>
      <x:c r="K1136" s="30" t="n">
        <x:v>1.4</x:v>
      </x:c>
      <x:c r="L1136" s="54" t="n">
        <x:f>IF(M1136=0,0,(E1136+F1136)/2)</x:f>
        <x:v>25</x:v>
      </x:c>
      <x:c r="M1136" t="n">
        <x:v>2</x:v>
      </x:c>
      <x:c r="N1136" t="n">
        <x:v>8</x:v>
      </x:c>
      <x:c r="O1136" t="n">
        <x:v>16</x:v>
      </x:c>
      <x:c r="P1136" s="63" t="str">
        <x:f>IF(M1136=0,"—",M1136&amp;"d"&amp;N1136&amp;IF(O1136=0,""," + "&amp;O1136))</x:f>
        <x:v>2d8 + 16</x:v>
      </x:c>
      <x:c r="Q1136" t="n">
        <x:f>ROUND(INDEX(Catalogue!E$4:E$85,MATCH(A1136,Catalogue!A$4:A$85,0))*(1+'Paramètres'!$B$4*(C1136-1)+'Paramètres'!$B$5*(C1136-1)^2),0)</x:f>
        <x:v>18</x:v>
      </x:c>
      <x:c r="R1136" t="n">
        <x:f>ROUND(INDEX(Catalogue!F$4:F$85,MATCH(A1136,Catalogue!A$4:A$85,0))*(1+'Paramètres'!$B$4*(C1136-1)+'Paramètres'!$B$5*(C1136-1)^2),0)</x:f>
        <x:v>32</x:v>
      </x:c>
      <x:c r="S1136" t="n">
        <x:f>L1136-AVERAGE(Q1136:R1136)</x:f>
        <x:v>0</x:v>
      </x:c>
      <x:c r="T1136" t="str">
        <x:f>IF(M1136=0,IF(AND(N1136=0,O1136=0,E1136=0,F1136=0),"OK","ERREUR"),IF(AND(M1136&gt;=1,M1136&lt;=32,OR(N1136=4,N1136=6,N1136=8,N1136=10,N1136=12,N1136=20),O1136&gt;=0,E1136=M1136+O1136,F1136=M1136*N1136+O1136),"OK","ERREUR"))</x:f>
        <x:v>OK</x:v>
      </x:c>
      <x:c r="U1136" s="86" t="n">
        <x:f>IF(M1136&gt;0,M1136*(N1136+1)/2+O1136,0)</x:f>
        <x:v>25</x:v>
      </x:c>
      <x:c r="V1136" t="str">
        <x:f>IF(ABS(L1136-U1136)&lt;0.001,"OK","ERREUR")</x:f>
        <x:v>OK</x:v>
      </x:c>
    </x:row>
    <x:row r="1137" ht="18" customHeight="1">
      <x:c r="A1137" t="str">
        <x:v>ARM057</x:v>
      </x:c>
      <x:c r="B1137" t="str">
        <x:v>Javelot</x:v>
      </x:c>
      <x:c r="C1137" t="n">
        <x:v>14</x:v>
      </x:c>
      <x:c r="D1137" t="str">
        <x:v>Jet</x:v>
      </x:c>
      <x:c r="E1137" s="28" t="n">
        <x:f>IF(M1137=0,0,M1137+O1137)</x:f>
        <x:v>21</x:v>
      </x:c>
      <x:c r="F1137" s="28" t="n">
        <x:f>IF(M1137=0,0,M1137*N1137+O1137)</x:f>
        <x:v>36</x:v>
      </x:c>
      <x:c r="G1137" s="28" t="n">
        <x:f>ROUND(Catalogue!G60*SQRT((1+'Paramètres'!$B$4*(C1137-1)+'Paramètres'!$B$5*(C1137-1)^2)),0)</x:f>
        <x:v>0</x:v>
      </x:c>
      <x:c r="H1137" s="28" t="n">
        <x:f>ROUND(Catalogue!H60*SQRT((1+'Paramètres'!$B$4*(C1137-1)+'Paramètres'!$B$5*(C1137-1)^2)),0)</x:f>
        <x:v>0</x:v>
      </x:c>
      <x:c r="I1137" s="28" t="n">
        <x:v>2</x:v>
      </x:c>
      <x:c r="J1137" s="28" t="n">
        <x:v>4</x:v>
      </x:c>
      <x:c r="K1137" s="30" t="n">
        <x:v>1.4</x:v>
      </x:c>
      <x:c r="L1137" s="54" t="n">
        <x:f>IF(M1137=0,0,(E1137+F1137)/2)</x:f>
        <x:v>28.5</x:v>
      </x:c>
      <x:c r="M1137" t="n">
        <x:v>3</x:v>
      </x:c>
      <x:c r="N1137" t="n">
        <x:v>6</x:v>
      </x:c>
      <x:c r="O1137" t="n">
        <x:v>18</x:v>
      </x:c>
      <x:c r="P1137" s="63" t="str">
        <x:f>IF(M1137=0,"—",M1137&amp;"d"&amp;N1137&amp;IF(O1137=0,""," + "&amp;O1137))</x:f>
        <x:v>3d6 + 18</x:v>
      </x:c>
      <x:c r="Q1137" t="n">
        <x:f>ROUND(INDEX(Catalogue!E$4:E$85,MATCH(A1137,Catalogue!A$4:A$85,0))*(1+'Paramètres'!$B$4*(C1137-1)+'Paramètres'!$B$5*(C1137-1)^2),0)</x:f>
        <x:v>21</x:v>
      </x:c>
      <x:c r="R1137" t="n">
        <x:f>ROUND(INDEX(Catalogue!F$4:F$85,MATCH(A1137,Catalogue!A$4:A$85,0))*(1+'Paramètres'!$B$4*(C1137-1)+'Paramètres'!$B$5*(C1137-1)^2),0)</x:f>
        <x:v>36</x:v>
      </x:c>
      <x:c r="S1137" t="n">
        <x:f>L1137-AVERAGE(Q1137:R1137)</x:f>
        <x:v>0</x:v>
      </x:c>
      <x:c r="T1137" t="str">
        <x:f>IF(M1137=0,IF(AND(N1137=0,O1137=0,E1137=0,F1137=0),"OK","ERREUR"),IF(AND(M1137&gt;=1,M1137&lt;=32,OR(N1137=4,N1137=6,N1137=8,N1137=10,N1137=12,N1137=20),O1137&gt;=0,E1137=M1137+O1137,F1137=M1137*N1137+O1137),"OK","ERREUR"))</x:f>
        <x:v>OK</x:v>
      </x:c>
      <x:c r="U1137" s="86" t="n">
        <x:f>IF(M1137&gt;0,M1137*(N1137+1)/2+O1137,0)</x:f>
        <x:v>28.5</x:v>
      </x:c>
      <x:c r="V1137" t="str">
        <x:f>IF(ABS(L1137-U1137)&lt;0.001,"OK","ERREUR")</x:f>
        <x:v>OK</x:v>
      </x:c>
    </x:row>
    <x:row r="1138" ht="18" customHeight="1">
      <x:c r="A1138" t="str">
        <x:v>ARM057</x:v>
      </x:c>
      <x:c r="B1138" t="str">
        <x:v>Javelot</x:v>
      </x:c>
      <x:c r="C1138" t="n">
        <x:v>15</x:v>
      </x:c>
      <x:c r="D1138" t="str">
        <x:v>Jet</x:v>
      </x:c>
      <x:c r="E1138" s="28" t="n">
        <x:f>IF(M1138=0,0,M1138+O1138)</x:f>
        <x:v>24</x:v>
      </x:c>
      <x:c r="F1138" s="28" t="n">
        <x:f>IF(M1138=0,0,M1138*N1138+O1138)</x:f>
        <x:v>39</x:v>
      </x:c>
      <x:c r="G1138" s="28" t="n">
        <x:f>ROUND(Catalogue!G60*SQRT((1+'Paramètres'!$B$4*(C1138-1)+'Paramètres'!$B$5*(C1138-1)^2)),0)</x:f>
        <x:v>0</x:v>
      </x:c>
      <x:c r="H1138" s="28" t="n">
        <x:f>ROUND(Catalogue!H60*SQRT((1+'Paramètres'!$B$4*(C1138-1)+'Paramètres'!$B$5*(C1138-1)^2)),0)</x:f>
        <x:v>0</x:v>
      </x:c>
      <x:c r="I1138" s="28" t="n">
        <x:v>2</x:v>
      </x:c>
      <x:c r="J1138" s="28" t="n">
        <x:v>4</x:v>
      </x:c>
      <x:c r="K1138" s="30" t="n">
        <x:v>1.4</x:v>
      </x:c>
      <x:c r="L1138" s="54" t="n">
        <x:f>IF(M1138=0,0,(E1138+F1138)/2)</x:f>
        <x:v>31.5</x:v>
      </x:c>
      <x:c r="M1138" t="n">
        <x:v>3</x:v>
      </x:c>
      <x:c r="N1138" t="n">
        <x:v>6</x:v>
      </x:c>
      <x:c r="O1138" t="n">
        <x:v>21</x:v>
      </x:c>
      <x:c r="P1138" s="63" t="str">
        <x:f>IF(M1138=0,"—",M1138&amp;"d"&amp;N1138&amp;IF(O1138=0,""," + "&amp;O1138))</x:f>
        <x:v>3d6 + 21</x:v>
      </x:c>
      <x:c r="Q1138" t="n">
        <x:f>ROUND(INDEX(Catalogue!E$4:E$85,MATCH(A1138,Catalogue!A$4:A$85,0))*(1+'Paramètres'!$B$4*(C1138-1)+'Paramètres'!$B$5*(C1138-1)^2),0)</x:f>
        <x:v>23</x:v>
      </x:c>
      <x:c r="R1138" t="n">
        <x:f>ROUND(INDEX(Catalogue!F$4:F$85,MATCH(A1138,Catalogue!A$4:A$85,0))*(1+'Paramètres'!$B$4*(C1138-1)+'Paramètres'!$B$5*(C1138-1)^2),0)</x:f>
        <x:v>40</x:v>
      </x:c>
      <x:c r="S1138" t="n">
        <x:f>L1138-AVERAGE(Q1138:R1138)</x:f>
        <x:v>0</x:v>
      </x:c>
      <x:c r="T1138" t="str">
        <x:f>IF(M1138=0,IF(AND(N1138=0,O1138=0,E1138=0,F1138=0),"OK","ERREUR"),IF(AND(M1138&gt;=1,M1138&lt;=32,OR(N1138=4,N1138=6,N1138=8,N1138=10,N1138=12,N1138=20),O1138&gt;=0,E1138=M1138+O1138,F1138=M1138*N1138+O1138),"OK","ERREUR"))</x:f>
        <x:v>OK</x:v>
      </x:c>
      <x:c r="U1138" s="86" t="n">
        <x:f>IF(M1138&gt;0,M1138*(N1138+1)/2+O1138,0)</x:f>
        <x:v>31.5</x:v>
      </x:c>
      <x:c r="V1138" t="str">
        <x:f>IF(ABS(L1138-U1138)&lt;0.001,"OK","ERREUR")</x:f>
        <x:v>OK</x:v>
      </x:c>
    </x:row>
    <x:row r="1139" ht="18" customHeight="1">
      <x:c r="A1139" t="str">
        <x:v>ARM057</x:v>
      </x:c>
      <x:c r="B1139" t="str">
        <x:v>Javelot</x:v>
      </x:c>
      <x:c r="C1139" t="n">
        <x:v>16</x:v>
      </x:c>
      <x:c r="D1139" t="str">
        <x:v>Jet</x:v>
      </x:c>
      <x:c r="E1139" s="28" t="n">
        <x:f>IF(M1139=0,0,M1139+O1139)</x:f>
        <x:v>24</x:v>
      </x:c>
      <x:c r="F1139" s="28" t="n">
        <x:f>IF(M1139=0,0,M1139*N1139+O1139)</x:f>
        <x:v>44</x:v>
      </x:c>
      <x:c r="G1139" s="28" t="n">
        <x:f>ROUND(Catalogue!G60*SQRT((1+'Paramètres'!$B$4*(C1139-1)+'Paramètres'!$B$5*(C1139-1)^2)),0)</x:f>
        <x:v>0</x:v>
      </x:c>
      <x:c r="H1139" s="28" t="n">
        <x:f>ROUND(Catalogue!H60*SQRT((1+'Paramètres'!$B$4*(C1139-1)+'Paramètres'!$B$5*(C1139-1)^2)),0)</x:f>
        <x:v>0</x:v>
      </x:c>
      <x:c r="I1139" s="28" t="n">
        <x:v>2</x:v>
      </x:c>
      <x:c r="J1139" s="28" t="n">
        <x:v>4</x:v>
      </x:c>
      <x:c r="K1139" s="30" t="n">
        <x:v>1.4</x:v>
      </x:c>
      <x:c r="L1139" s="54" t="n">
        <x:f>IF(M1139=0,0,(E1139+F1139)/2)</x:f>
        <x:v>34</x:v>
      </x:c>
      <x:c r="M1139" t="n">
        <x:v>4</x:v>
      </x:c>
      <x:c r="N1139" t="n">
        <x:v>6</x:v>
      </x:c>
      <x:c r="O1139" t="n">
        <x:v>20</x:v>
      </x:c>
      <x:c r="P1139" s="63" t="str">
        <x:f>IF(M1139=0,"—",M1139&amp;"d"&amp;N1139&amp;IF(O1139=0,""," + "&amp;O1139))</x:f>
        <x:v>4d6 + 20</x:v>
      </x:c>
      <x:c r="Q1139" t="n">
        <x:f>ROUND(INDEX(Catalogue!E$4:E$85,MATCH(A1139,Catalogue!A$4:A$85,0))*(1+'Paramètres'!$B$4*(C1139-1)+'Paramètres'!$B$5*(C1139-1)^2),0)</x:f>
        <x:v>25</x:v>
      </x:c>
      <x:c r="R1139" t="n">
        <x:f>ROUND(INDEX(Catalogue!F$4:F$85,MATCH(A1139,Catalogue!A$4:A$85,0))*(1+'Paramètres'!$B$4*(C1139-1)+'Paramètres'!$B$5*(C1139-1)^2),0)</x:f>
        <x:v>44</x:v>
      </x:c>
      <x:c r="S1139" t="n">
        <x:f>L1139-AVERAGE(Q1139:R1139)</x:f>
        <x:v>-0.5</x:v>
      </x:c>
      <x:c r="T1139" t="str">
        <x:f>IF(M1139=0,IF(AND(N1139=0,O1139=0,E1139=0,F1139=0),"OK","ERREUR"),IF(AND(M1139&gt;=1,M1139&lt;=32,OR(N1139=4,N1139=6,N1139=8,N1139=10,N1139=12,N1139=20),O1139&gt;=0,E1139=M1139+O1139,F1139=M1139*N1139+O1139),"OK","ERREUR"))</x:f>
        <x:v>OK</x:v>
      </x:c>
      <x:c r="U1139" s="86" t="n">
        <x:f>IF(M1139&gt;0,M1139*(N1139+1)/2+O1139,0)</x:f>
        <x:v>34</x:v>
      </x:c>
      <x:c r="V1139" t="str">
        <x:f>IF(ABS(L1139-U1139)&lt;0.001,"OK","ERREUR")</x:f>
        <x:v>OK</x:v>
      </x:c>
    </x:row>
    <x:row r="1140" ht="18" customHeight="1">
      <x:c r="A1140" t="str">
        <x:v>ARM057</x:v>
      </x:c>
      <x:c r="B1140" t="str">
        <x:v>Javelot</x:v>
      </x:c>
      <x:c r="C1140" t="n">
        <x:v>17</x:v>
      </x:c>
      <x:c r="D1140" t="str">
        <x:v>Jet</x:v>
      </x:c>
      <x:c r="E1140" s="28" t="n">
        <x:f>IF(M1140=0,0,M1140+O1140)</x:f>
        <x:v>27</x:v>
      </x:c>
      <x:c r="F1140" s="28" t="n">
        <x:f>IF(M1140=0,0,M1140*N1140+O1140)</x:f>
        <x:v>48</x:v>
      </x:c>
      <x:c r="G1140" s="28" t="n">
        <x:f>ROUND(Catalogue!G60*SQRT((1+'Paramètres'!$B$4*(C1140-1)+'Paramètres'!$B$5*(C1140-1)^2)),0)</x:f>
        <x:v>0</x:v>
      </x:c>
      <x:c r="H1140" s="28" t="n">
        <x:f>ROUND(Catalogue!H60*SQRT((1+'Paramètres'!$B$4*(C1140-1)+'Paramètres'!$B$5*(C1140-1)^2)),0)</x:f>
        <x:v>0</x:v>
      </x:c>
      <x:c r="I1140" s="28" t="n">
        <x:v>2</x:v>
      </x:c>
      <x:c r="J1140" s="28" t="n">
        <x:v>4</x:v>
      </x:c>
      <x:c r="K1140" s="30" t="n">
        <x:v>1.4</x:v>
      </x:c>
      <x:c r="L1140" s="54" t="n">
        <x:f>IF(M1140=0,0,(E1140+F1140)/2)</x:f>
        <x:v>37.5</x:v>
      </x:c>
      <x:c r="M1140" t="n">
        <x:v>3</x:v>
      </x:c>
      <x:c r="N1140" t="n">
        <x:v>8</x:v>
      </x:c>
      <x:c r="O1140" t="n">
        <x:v>24</x:v>
      </x:c>
      <x:c r="P1140" s="63" t="str">
        <x:f>IF(M1140=0,"—",M1140&amp;"d"&amp;N1140&amp;IF(O1140=0,""," + "&amp;O1140))</x:f>
        <x:v>3d8 + 24</x:v>
      </x:c>
      <x:c r="Q1140" t="n">
        <x:f>ROUND(INDEX(Catalogue!E$4:E$85,MATCH(A1140,Catalogue!A$4:A$85,0))*(1+'Paramètres'!$B$4*(C1140-1)+'Paramètres'!$B$5*(C1140-1)^2),0)</x:f>
        <x:v>27</x:v>
      </x:c>
      <x:c r="R1140" t="n">
        <x:f>ROUND(INDEX(Catalogue!F$4:F$85,MATCH(A1140,Catalogue!A$4:A$85,0))*(1+'Paramètres'!$B$4*(C1140-1)+'Paramètres'!$B$5*(C1140-1)^2),0)</x:f>
        <x:v>48</x:v>
      </x:c>
      <x:c r="S1140" t="n">
        <x:f>L1140-AVERAGE(Q1140:R1140)</x:f>
        <x:v>0</x:v>
      </x:c>
      <x:c r="T1140" t="str">
        <x:f>IF(M1140=0,IF(AND(N1140=0,O1140=0,E1140=0,F1140=0),"OK","ERREUR"),IF(AND(M1140&gt;=1,M1140&lt;=32,OR(N1140=4,N1140=6,N1140=8,N1140=10,N1140=12,N1140=20),O1140&gt;=0,E1140=M1140+O1140,F1140=M1140*N1140+O1140),"OK","ERREUR"))</x:f>
        <x:v>OK</x:v>
      </x:c>
      <x:c r="U1140" s="86" t="n">
        <x:f>IF(M1140&gt;0,M1140*(N1140+1)/2+O1140,0)</x:f>
        <x:v>37.5</x:v>
      </x:c>
      <x:c r="V1140" t="str">
        <x:f>IF(ABS(L1140-U1140)&lt;0.001,"OK","ERREUR")</x:f>
        <x:v>OK</x:v>
      </x:c>
    </x:row>
    <x:row r="1141" ht="18" customHeight="1">
      <x:c r="A1141" t="str">
        <x:v>ARM057</x:v>
      </x:c>
      <x:c r="B1141" t="str">
        <x:v>Javelot</x:v>
      </x:c>
      <x:c r="C1141" t="n">
        <x:v>18</x:v>
      </x:c>
      <x:c r="D1141" t="str">
        <x:v>Jet</x:v>
      </x:c>
      <x:c r="E1141" s="28" t="n">
        <x:f>IF(M1141=0,0,M1141+O1141)</x:f>
        <x:v>30</x:v>
      </x:c>
      <x:c r="F1141" s="28" t="n">
        <x:f>IF(M1141=0,0,M1141*N1141+O1141)</x:f>
        <x:v>51</x:v>
      </x:c>
      <x:c r="G1141" s="28" t="n">
        <x:f>ROUND(Catalogue!G60*SQRT((1+'Paramètres'!$B$4*(C1141-1)+'Paramètres'!$B$5*(C1141-1)^2)),0)</x:f>
        <x:v>0</x:v>
      </x:c>
      <x:c r="H1141" s="28" t="n">
        <x:f>ROUND(Catalogue!H60*SQRT((1+'Paramètres'!$B$4*(C1141-1)+'Paramètres'!$B$5*(C1141-1)^2)),0)</x:f>
        <x:v>0</x:v>
      </x:c>
      <x:c r="I1141" s="28" t="n">
        <x:v>2</x:v>
      </x:c>
      <x:c r="J1141" s="28" t="n">
        <x:v>4</x:v>
      </x:c>
      <x:c r="K1141" s="30" t="n">
        <x:v>1.4</x:v>
      </x:c>
      <x:c r="L1141" s="54" t="n">
        <x:f>IF(M1141=0,0,(E1141+F1141)/2)</x:f>
        <x:v>40.5</x:v>
      </x:c>
      <x:c r="M1141" t="n">
        <x:v>3</x:v>
      </x:c>
      <x:c r="N1141" t="n">
        <x:v>8</x:v>
      </x:c>
      <x:c r="O1141" t="n">
        <x:v>27</x:v>
      </x:c>
      <x:c r="P1141" s="63" t="str">
        <x:f>IF(M1141=0,"—",M1141&amp;"d"&amp;N1141&amp;IF(O1141=0,""," + "&amp;O1141))</x:f>
        <x:v>3d8 + 27</x:v>
      </x:c>
      <x:c r="Q1141" t="n">
        <x:f>ROUND(INDEX(Catalogue!E$4:E$85,MATCH(A1141,Catalogue!A$4:A$85,0))*(1+'Paramètres'!$B$4*(C1141-1)+'Paramètres'!$B$5*(C1141-1)^2),0)</x:f>
        <x:v>30</x:v>
      </x:c>
      <x:c r="R1141" t="n">
        <x:f>ROUND(INDEX(Catalogue!F$4:F$85,MATCH(A1141,Catalogue!A$4:A$85,0))*(1+'Paramètres'!$B$4*(C1141-1)+'Paramètres'!$B$5*(C1141-1)^2),0)</x:f>
        <x:v>52</x:v>
      </x:c>
      <x:c r="S1141" t="n">
        <x:f>L1141-AVERAGE(Q1141:R1141)</x:f>
        <x:v>-0.5</x:v>
      </x:c>
      <x:c r="T1141" t="str">
        <x:f>IF(M1141=0,IF(AND(N1141=0,O1141=0,E1141=0,F1141=0),"OK","ERREUR"),IF(AND(M1141&gt;=1,M1141&lt;=32,OR(N1141=4,N1141=6,N1141=8,N1141=10,N1141=12,N1141=20),O1141&gt;=0,E1141=M1141+O1141,F1141=M1141*N1141+O1141),"OK","ERREUR"))</x:f>
        <x:v>OK</x:v>
      </x:c>
      <x:c r="U1141" s="86" t="n">
        <x:f>IF(M1141&gt;0,M1141*(N1141+1)/2+O1141,0)</x:f>
        <x:v>40.5</x:v>
      </x:c>
      <x:c r="V1141" t="str">
        <x:f>IF(ABS(L1141-U1141)&lt;0.001,"OK","ERREUR")</x:f>
        <x:v>OK</x:v>
      </x:c>
    </x:row>
    <x:row r="1142" ht="18" customHeight="1">
      <x:c r="A1142" t="str">
        <x:v>ARM057</x:v>
      </x:c>
      <x:c r="B1142" t="str">
        <x:v>Javelot</x:v>
      </x:c>
      <x:c r="C1142" t="n">
        <x:v>19</x:v>
      </x:c>
      <x:c r="D1142" t="str">
        <x:v>Jet</x:v>
      </x:c>
      <x:c r="E1142" s="28" t="n">
        <x:f>IF(M1142=0,0,M1142+O1142)</x:f>
        <x:v>32</x:v>
      </x:c>
      <x:c r="F1142" s="28" t="n">
        <x:f>IF(M1142=0,0,M1142*N1142+O1142)</x:f>
        <x:v>57</x:v>
      </x:c>
      <x:c r="G1142" s="28" t="n">
        <x:f>ROUND(Catalogue!G60*SQRT((1+'Paramètres'!$B$4*(C1142-1)+'Paramètres'!$B$5*(C1142-1)^2)),0)</x:f>
        <x:v>0</x:v>
      </x:c>
      <x:c r="H1142" s="28" t="n">
        <x:f>ROUND(Catalogue!H60*SQRT((1+'Paramètres'!$B$4*(C1142-1)+'Paramètres'!$B$5*(C1142-1)^2)),0)</x:f>
        <x:v>0</x:v>
      </x:c>
      <x:c r="I1142" s="28" t="n">
        <x:v>2</x:v>
      </x:c>
      <x:c r="J1142" s="28" t="n">
        <x:v>4</x:v>
      </x:c>
      <x:c r="K1142" s="30" t="n">
        <x:v>1.4</x:v>
      </x:c>
      <x:c r="L1142" s="54" t="n">
        <x:f>IF(M1142=0,0,(E1142+F1142)/2)</x:f>
        <x:v>44.5</x:v>
      </x:c>
      <x:c r="M1142" t="n">
        <x:v>5</x:v>
      </x:c>
      <x:c r="N1142" t="n">
        <x:v>6</x:v>
      </x:c>
      <x:c r="O1142" t="n">
        <x:v>27</x:v>
      </x:c>
      <x:c r="P1142" s="63" t="str">
        <x:f>IF(M1142=0,"—",M1142&amp;"d"&amp;N1142&amp;IF(O1142=0,""," + "&amp;O1142))</x:f>
        <x:v>5d6 + 27</x:v>
      </x:c>
      <x:c r="Q1142" t="n">
        <x:f>ROUND(INDEX(Catalogue!E$4:E$85,MATCH(A1142,Catalogue!A$4:A$85,0))*(1+'Paramètres'!$B$4*(C1142-1)+'Paramètres'!$B$5*(C1142-1)^2),0)</x:f>
        <x:v>33</x:v>
      </x:c>
      <x:c r="R1142" t="n">
        <x:f>ROUND(INDEX(Catalogue!F$4:F$85,MATCH(A1142,Catalogue!A$4:A$85,0))*(1+'Paramètres'!$B$4*(C1142-1)+'Paramètres'!$B$5*(C1142-1)^2),0)</x:f>
        <x:v>57</x:v>
      </x:c>
      <x:c r="S1142" t="n">
        <x:f>L1142-AVERAGE(Q1142:R1142)</x:f>
        <x:v>-0.5</x:v>
      </x:c>
      <x:c r="T1142" t="str">
        <x:f>IF(M1142=0,IF(AND(N1142=0,O1142=0,E1142=0,F1142=0),"OK","ERREUR"),IF(AND(M1142&gt;=1,M1142&lt;=32,OR(N1142=4,N1142=6,N1142=8,N1142=10,N1142=12,N1142=20),O1142&gt;=0,E1142=M1142+O1142,F1142=M1142*N1142+O1142),"OK","ERREUR"))</x:f>
        <x:v>OK</x:v>
      </x:c>
      <x:c r="U1142" s="86" t="n">
        <x:f>IF(M1142&gt;0,M1142*(N1142+1)/2+O1142,0)</x:f>
        <x:v>44.5</x:v>
      </x:c>
      <x:c r="V1142" t="str">
        <x:f>IF(ABS(L1142-U1142)&lt;0.001,"OK","ERREUR")</x:f>
        <x:v>OK</x:v>
      </x:c>
    </x:row>
    <x:row r="1143" ht="18" customHeight="1">
      <x:c r="A1143" t="str">
        <x:v>ARM057</x:v>
      </x:c>
      <x:c r="B1143" t="str">
        <x:v>Javelot</x:v>
      </x:c>
      <x:c r="C1143" t="n">
        <x:v>20</x:v>
      </x:c>
      <x:c r="D1143" t="str">
        <x:v>Jet</x:v>
      </x:c>
      <x:c r="E1143" s="28" t="n">
        <x:f>IF(M1143=0,0,M1143+O1143)</x:f>
        <x:v>34</x:v>
      </x:c>
      <x:c r="F1143" s="28" t="n">
        <x:f>IF(M1143=0,0,M1143*N1143+O1143)</x:f>
        <x:v>62</x:v>
      </x:c>
      <x:c r="G1143" s="28" t="n">
        <x:f>ROUND(Catalogue!G60*SQRT((1+'Paramètres'!$B$4*(C1143-1)+'Paramètres'!$B$5*(C1143-1)^2)),0)</x:f>
        <x:v>0</x:v>
      </x:c>
      <x:c r="H1143" s="28" t="n">
        <x:f>ROUND(Catalogue!H60*SQRT((1+'Paramètres'!$B$4*(C1143-1)+'Paramètres'!$B$5*(C1143-1)^2)),0)</x:f>
        <x:v>0</x:v>
      </x:c>
      <x:c r="I1143" s="28" t="n">
        <x:v>2</x:v>
      </x:c>
      <x:c r="J1143" s="28" t="n">
        <x:v>4</x:v>
      </x:c>
      <x:c r="K1143" s="30" t="n">
        <x:v>1.4</x:v>
      </x:c>
      <x:c r="L1143" s="54" t="n">
        <x:f>IF(M1143=0,0,(E1143+F1143)/2)</x:f>
        <x:v>48</x:v>
      </x:c>
      <x:c r="M1143" t="n">
        <x:v>4</x:v>
      </x:c>
      <x:c r="N1143" t="n">
        <x:v>8</x:v>
      </x:c>
      <x:c r="O1143" t="n">
        <x:v>30</x:v>
      </x:c>
      <x:c r="P1143" s="63" t="str">
        <x:f>IF(M1143=0,"—",M1143&amp;"d"&amp;N1143&amp;IF(O1143=0,""," + "&amp;O1143))</x:f>
        <x:v>4d8 + 30</x:v>
      </x:c>
      <x:c r="Q1143" t="n">
        <x:f>ROUND(INDEX(Catalogue!E$4:E$85,MATCH(A1143,Catalogue!A$4:A$85,0))*(1+'Paramètres'!$B$4*(C1143-1)+'Paramètres'!$B$5*(C1143-1)^2),0)</x:f>
        <x:v>35</x:v>
      </x:c>
      <x:c r="R1143" t="n">
        <x:f>ROUND(INDEX(Catalogue!F$4:F$85,MATCH(A1143,Catalogue!A$4:A$85,0))*(1+'Paramètres'!$B$4*(C1143-1)+'Paramètres'!$B$5*(C1143-1)^2),0)</x:f>
        <x:v>62</x:v>
      </x:c>
      <x:c r="S1143" t="n">
        <x:f>L1143-AVERAGE(Q1143:R1143)</x:f>
        <x:v>-0.5</x:v>
      </x:c>
      <x:c r="T1143" t="str">
        <x:f>IF(M1143=0,IF(AND(N1143=0,O1143=0,E1143=0,F1143=0),"OK","ERREUR"),IF(AND(M1143&gt;=1,M1143&lt;=32,OR(N1143=4,N1143=6,N1143=8,N1143=10,N1143=12,N1143=20),O1143&gt;=0,E1143=M1143+O1143,F1143=M1143*N1143+O1143),"OK","ERREUR"))</x:f>
        <x:v>OK</x:v>
      </x:c>
      <x:c r="U1143" s="86" t="n">
        <x:f>IF(M1143&gt;0,M1143*(N1143+1)/2+O1143,0)</x:f>
        <x:v>48</x:v>
      </x:c>
      <x:c r="V1143" t="str">
        <x:f>IF(ABS(L1143-U1143)&lt;0.001,"OK","ERREUR")</x:f>
        <x:v>OK</x:v>
      </x:c>
    </x:row>
    <x:row r="1144" ht="18" customHeight="1">
      <x:c r="A1144" t="str">
        <x:v>ARM058</x:v>
      </x:c>
      <x:c r="B1144" t="str">
        <x:v>Dard</x:v>
      </x:c>
      <x:c r="C1144" t="n">
        <x:v>1</x:v>
      </x:c>
      <x:c r="D1144" t="str">
        <x:v>Jet</x:v>
      </x:c>
      <x:c r="E1144" s="28" t="n">
        <x:f>IF(M1144=0,0,M1144+O1144)</x:f>
        <x:v>1</x:v>
      </x:c>
      <x:c r="F1144" s="28" t="n">
        <x:f>IF(M1144=0,0,M1144*N1144+O1144)</x:f>
        <x:v>4</x:v>
      </x:c>
      <x:c r="G1144" s="28" t="n">
        <x:f>ROUND(Catalogue!G61*SQRT((1+'Paramètres'!$B$4*(C1144-1)+'Paramètres'!$B$5*(C1144-1)^2)),0)</x:f>
        <x:v>0</x:v>
      </x:c>
      <x:c r="H1144" s="28" t="n">
        <x:f>ROUND(Catalogue!H61*SQRT((1+'Paramètres'!$B$4*(C1144-1)+'Paramètres'!$B$5*(C1144-1)^2)),0)</x:f>
        <x:v>0</x:v>
      </x:c>
      <x:c r="I1144" s="28" t="n">
        <x:v>2</x:v>
      </x:c>
      <x:c r="J1144" s="28" t="n">
        <x:v>4</x:v>
      </x:c>
      <x:c r="K1144" s="30" t="n">
        <x:v>0.1</x:v>
      </x:c>
      <x:c r="L1144" s="54" t="n">
        <x:f>IF(M1144=0,0,(E1144+F1144)/2)</x:f>
        <x:v>2.5</x:v>
      </x:c>
      <x:c r="M1144" t="n">
        <x:v>1</x:v>
      </x:c>
      <x:c r="N1144" t="n">
        <x:v>4</x:v>
      </x:c>
      <x:c r="O1144" t="n">
        <x:v>0</x:v>
      </x:c>
      <x:c r="P1144" s="63" t="str">
        <x:f>IF(M1144=0,"—",M1144&amp;"d"&amp;N1144&amp;IF(O1144=0,""," + "&amp;O1144))</x:f>
        <x:v>1d4</x:v>
      </x:c>
      <x:c r="Q1144" t="n">
        <x:f>ROUND(INDEX(Catalogue!E$4:E$85,MATCH(A1144,Catalogue!A$4:A$85,0))*(1+'Paramètres'!$B$4*(C1144-1)+'Paramètres'!$B$5*(C1144-1)^2),0)</x:f>
        <x:v>1</x:v>
      </x:c>
      <x:c r="R1144" t="n">
        <x:f>ROUND(INDEX(Catalogue!F$4:F$85,MATCH(A1144,Catalogue!A$4:A$85,0))*(1+'Paramètres'!$B$4*(C1144-1)+'Paramètres'!$B$5*(C1144-1)^2),0)</x:f>
        <x:v>3</x:v>
      </x:c>
      <x:c r="S1144" t="n">
        <x:f>L1144-AVERAGE(Q1144:R1144)</x:f>
        <x:v>0.5</x:v>
      </x:c>
      <x:c r="T1144" t="str">
        <x:f>IF(M1144=0,IF(AND(N1144=0,O1144=0,E1144=0,F1144=0),"OK","ERREUR"),IF(AND(M1144&gt;=1,M1144&lt;=32,OR(N1144=4,N1144=6,N1144=8,N1144=10,N1144=12,N1144=20),O1144&gt;=0,E1144=M1144+O1144,F1144=M1144*N1144+O1144),"OK","ERREUR"))</x:f>
        <x:v>OK</x:v>
      </x:c>
      <x:c r="U1144" s="86" t="n">
        <x:f>IF(M1144&gt;0,M1144*(N1144+1)/2+O1144,0)</x:f>
        <x:v>2.5</x:v>
      </x:c>
      <x:c r="V1144" t="str">
        <x:f>IF(ABS(L1144-U1144)&lt;0.001,"OK","ERREUR")</x:f>
        <x:v>OK</x:v>
      </x:c>
    </x:row>
    <x:row r="1145" ht="18" customHeight="1">
      <x:c r="A1145" t="str">
        <x:v>ARM058</x:v>
      </x:c>
      <x:c r="B1145" t="str">
        <x:v>Dard</x:v>
      </x:c>
      <x:c r="C1145" t="n">
        <x:v>2</x:v>
      </x:c>
      <x:c r="D1145" t="str">
        <x:v>Jet</x:v>
      </x:c>
      <x:c r="E1145" s="28" t="n">
        <x:f>IF(M1145=0,0,M1145+O1145)</x:f>
        <x:v>1</x:v>
      </x:c>
      <x:c r="F1145" s="28" t="n">
        <x:f>IF(M1145=0,0,M1145*N1145+O1145)</x:f>
        <x:v>4</x:v>
      </x:c>
      <x:c r="G1145" s="28" t="n">
        <x:f>ROUND(Catalogue!G61*SQRT((1+'Paramètres'!$B$4*(C1145-1)+'Paramètres'!$B$5*(C1145-1)^2)),0)</x:f>
        <x:v>0</x:v>
      </x:c>
      <x:c r="H1145" s="28" t="n">
        <x:f>ROUND(Catalogue!H61*SQRT((1+'Paramètres'!$B$4*(C1145-1)+'Paramètres'!$B$5*(C1145-1)^2)),0)</x:f>
        <x:v>0</x:v>
      </x:c>
      <x:c r="I1145" s="28" t="n">
        <x:v>2</x:v>
      </x:c>
      <x:c r="J1145" s="28" t="n">
        <x:v>4</x:v>
      </x:c>
      <x:c r="K1145" s="30" t="n">
        <x:v>0.1</x:v>
      </x:c>
      <x:c r="L1145" s="54" t="n">
        <x:f>IF(M1145=0,0,(E1145+F1145)/2)</x:f>
        <x:v>2.5</x:v>
      </x:c>
      <x:c r="M1145" t="n">
        <x:v>1</x:v>
      </x:c>
      <x:c r="N1145" t="n">
        <x:v>4</x:v>
      </x:c>
      <x:c r="O1145" t="n">
        <x:v>0</x:v>
      </x:c>
      <x:c r="P1145" s="63" t="str">
        <x:f>IF(M1145=0,"—",M1145&amp;"d"&amp;N1145&amp;IF(O1145=0,""," + "&amp;O1145))</x:f>
        <x:v>1d4</x:v>
      </x:c>
      <x:c r="Q1145" t="n">
        <x:f>ROUND(INDEX(Catalogue!E$4:E$85,MATCH(A1145,Catalogue!A$4:A$85,0))*(1+'Paramètres'!$B$4*(C1145-1)+'Paramètres'!$B$5*(C1145-1)^2),0)</x:f>
        <x:v>1</x:v>
      </x:c>
      <x:c r="R1145" t="n">
        <x:f>ROUND(INDEX(Catalogue!F$4:F$85,MATCH(A1145,Catalogue!A$4:A$85,0))*(1+'Paramètres'!$B$4*(C1145-1)+'Paramètres'!$B$5*(C1145-1)^2),0)</x:f>
        <x:v>3</x:v>
      </x:c>
      <x:c r="S1145" t="n">
        <x:f>L1145-AVERAGE(Q1145:R1145)</x:f>
        <x:v>0.5</x:v>
      </x:c>
      <x:c r="T1145" t="str">
        <x:f>IF(M1145=0,IF(AND(N1145=0,O1145=0,E1145=0,F1145=0),"OK","ERREUR"),IF(AND(M1145&gt;=1,M1145&lt;=32,OR(N1145=4,N1145=6,N1145=8,N1145=10,N1145=12,N1145=20),O1145&gt;=0,E1145=M1145+O1145,F1145=M1145*N1145+O1145),"OK","ERREUR"))</x:f>
        <x:v>OK</x:v>
      </x:c>
      <x:c r="U1145" s="86" t="n">
        <x:f>IF(M1145&gt;0,M1145*(N1145+1)/2+O1145,0)</x:f>
        <x:v>2.5</x:v>
      </x:c>
      <x:c r="V1145" t="str">
        <x:f>IF(ABS(L1145-U1145)&lt;0.001,"OK","ERREUR")</x:f>
        <x:v>OK</x:v>
      </x:c>
    </x:row>
    <x:row r="1146" ht="18" customHeight="1">
      <x:c r="A1146" t="str">
        <x:v>ARM058</x:v>
      </x:c>
      <x:c r="B1146" t="str">
        <x:v>Dard</x:v>
      </x:c>
      <x:c r="C1146" t="n">
        <x:v>3</x:v>
      </x:c>
      <x:c r="D1146" t="str">
        <x:v>Jet</x:v>
      </x:c>
      <x:c r="E1146" s="28" t="n">
        <x:f>IF(M1146=0,0,M1146+O1146)</x:f>
        <x:v>1</x:v>
      </x:c>
      <x:c r="F1146" s="28" t="n">
        <x:f>IF(M1146=0,0,M1146*N1146+O1146)</x:f>
        <x:v>4</x:v>
      </x:c>
      <x:c r="G1146" s="28" t="n">
        <x:f>ROUND(Catalogue!G61*SQRT((1+'Paramètres'!$B$4*(C1146-1)+'Paramètres'!$B$5*(C1146-1)^2)),0)</x:f>
        <x:v>0</x:v>
      </x:c>
      <x:c r="H1146" s="28" t="n">
        <x:f>ROUND(Catalogue!H61*SQRT((1+'Paramètres'!$B$4*(C1146-1)+'Paramètres'!$B$5*(C1146-1)^2)),0)</x:f>
        <x:v>0</x:v>
      </x:c>
      <x:c r="I1146" s="28" t="n">
        <x:v>2</x:v>
      </x:c>
      <x:c r="J1146" s="28" t="n">
        <x:v>4</x:v>
      </x:c>
      <x:c r="K1146" s="30" t="n">
        <x:v>0.1</x:v>
      </x:c>
      <x:c r="L1146" s="54" t="n">
        <x:f>IF(M1146=0,0,(E1146+F1146)/2)</x:f>
        <x:v>2.5</x:v>
      </x:c>
      <x:c r="M1146" t="n">
        <x:v>1</x:v>
      </x:c>
      <x:c r="N1146" t="n">
        <x:v>4</x:v>
      </x:c>
      <x:c r="O1146" t="n">
        <x:v>0</x:v>
      </x:c>
      <x:c r="P1146" s="63" t="str">
        <x:f>IF(M1146=0,"—",M1146&amp;"d"&amp;N1146&amp;IF(O1146=0,""," + "&amp;O1146))</x:f>
        <x:v>1d4</x:v>
      </x:c>
      <x:c r="Q1146" t="n">
        <x:f>ROUND(INDEX(Catalogue!E$4:E$85,MATCH(A1146,Catalogue!A$4:A$85,0))*(1+'Paramètres'!$B$4*(C1146-1)+'Paramètres'!$B$5*(C1146-1)^2),0)</x:f>
        <x:v>1</x:v>
      </x:c>
      <x:c r="R1146" t="n">
        <x:f>ROUND(INDEX(Catalogue!F$4:F$85,MATCH(A1146,Catalogue!A$4:A$85,0))*(1+'Paramètres'!$B$4*(C1146-1)+'Paramètres'!$B$5*(C1146-1)^2),0)</x:f>
        <x:v>4</x:v>
      </x:c>
      <x:c r="S1146" t="n">
        <x:f>L1146-AVERAGE(Q1146:R1146)</x:f>
        <x:v>0</x:v>
      </x:c>
      <x:c r="T1146" t="str">
        <x:f>IF(M1146=0,IF(AND(N1146=0,O1146=0,E1146=0,F1146=0),"OK","ERREUR"),IF(AND(M1146&gt;=1,M1146&lt;=32,OR(N1146=4,N1146=6,N1146=8,N1146=10,N1146=12,N1146=20),O1146&gt;=0,E1146=M1146+O1146,F1146=M1146*N1146+O1146),"OK","ERREUR"))</x:f>
        <x:v>OK</x:v>
      </x:c>
      <x:c r="U1146" s="86" t="n">
        <x:f>IF(M1146&gt;0,M1146*(N1146+1)/2+O1146,0)</x:f>
        <x:v>2.5</x:v>
      </x:c>
      <x:c r="V1146" t="str">
        <x:f>IF(ABS(L1146-U1146)&lt;0.001,"OK","ERREUR")</x:f>
        <x:v>OK</x:v>
      </x:c>
    </x:row>
    <x:row r="1147" ht="18" customHeight="1">
      <x:c r="A1147" t="str">
        <x:v>ARM058</x:v>
      </x:c>
      <x:c r="B1147" t="str">
        <x:v>Dard</x:v>
      </x:c>
      <x:c r="C1147" t="n">
        <x:v>4</x:v>
      </x:c>
      <x:c r="D1147" t="str">
        <x:v>Jet</x:v>
      </x:c>
      <x:c r="E1147" s="28" t="n">
        <x:f>IF(M1147=0,0,M1147+O1147)</x:f>
        <x:v>1</x:v>
      </x:c>
      <x:c r="F1147" s="28" t="n">
        <x:f>IF(M1147=0,0,M1147*N1147+O1147)</x:f>
        <x:v>4</x:v>
      </x:c>
      <x:c r="G1147" s="28" t="n">
        <x:f>ROUND(Catalogue!G61*SQRT((1+'Paramètres'!$B$4*(C1147-1)+'Paramètres'!$B$5*(C1147-1)^2)),0)</x:f>
        <x:v>0</x:v>
      </x:c>
      <x:c r="H1147" s="28" t="n">
        <x:f>ROUND(Catalogue!H61*SQRT((1+'Paramètres'!$B$4*(C1147-1)+'Paramètres'!$B$5*(C1147-1)^2)),0)</x:f>
        <x:v>0</x:v>
      </x:c>
      <x:c r="I1147" s="28" t="n">
        <x:v>2</x:v>
      </x:c>
      <x:c r="J1147" s="28" t="n">
        <x:v>4</x:v>
      </x:c>
      <x:c r="K1147" s="30" t="n">
        <x:v>0.1</x:v>
      </x:c>
      <x:c r="L1147" s="54" t="n">
        <x:f>IF(M1147=0,0,(E1147+F1147)/2)</x:f>
        <x:v>2.5</x:v>
      </x:c>
      <x:c r="M1147" t="n">
        <x:v>1</x:v>
      </x:c>
      <x:c r="N1147" t="n">
        <x:v>4</x:v>
      </x:c>
      <x:c r="O1147" t="n">
        <x:v>0</x:v>
      </x:c>
      <x:c r="P1147" s="63" t="str">
        <x:f>IF(M1147=0,"—",M1147&amp;"d"&amp;N1147&amp;IF(O1147=0,""," + "&amp;O1147))</x:f>
        <x:v>1d4</x:v>
      </x:c>
      <x:c r="Q1147" t="n">
        <x:f>ROUND(INDEX(Catalogue!E$4:E$85,MATCH(A1147,Catalogue!A$4:A$85,0))*(1+'Paramètres'!$B$4*(C1147-1)+'Paramètres'!$B$5*(C1147-1)^2),0)</x:f>
        <x:v>1</x:v>
      </x:c>
      <x:c r="R1147" t="n">
        <x:f>ROUND(INDEX(Catalogue!F$4:F$85,MATCH(A1147,Catalogue!A$4:A$85,0))*(1+'Paramètres'!$B$4*(C1147-1)+'Paramètres'!$B$5*(C1147-1)^2),0)</x:f>
        <x:v>4</x:v>
      </x:c>
      <x:c r="S1147" t="n">
        <x:f>L1147-AVERAGE(Q1147:R1147)</x:f>
        <x:v>0</x:v>
      </x:c>
      <x:c r="T1147" t="str">
        <x:f>IF(M1147=0,IF(AND(N1147=0,O1147=0,E1147=0,F1147=0),"OK","ERREUR"),IF(AND(M1147&gt;=1,M1147&lt;=32,OR(N1147=4,N1147=6,N1147=8,N1147=10,N1147=12,N1147=20),O1147&gt;=0,E1147=M1147+O1147,F1147=M1147*N1147+O1147),"OK","ERREUR"))</x:f>
        <x:v>OK</x:v>
      </x:c>
      <x:c r="U1147" s="86" t="n">
        <x:f>IF(M1147&gt;0,M1147*(N1147+1)/2+O1147,0)</x:f>
        <x:v>2.5</x:v>
      </x:c>
      <x:c r="V1147" t="str">
        <x:f>IF(ABS(L1147-U1147)&lt;0.001,"OK","ERREUR")</x:f>
        <x:v>OK</x:v>
      </x:c>
    </x:row>
    <x:row r="1148" ht="18" customHeight="1">
      <x:c r="A1148" t="str">
        <x:v>ARM058</x:v>
      </x:c>
      <x:c r="B1148" t="str">
        <x:v>Dard</x:v>
      </x:c>
      <x:c r="C1148" t="n">
        <x:v>5</x:v>
      </x:c>
      <x:c r="D1148" t="str">
        <x:v>Jet</x:v>
      </x:c>
      <x:c r="E1148" s="28" t="n">
        <x:f>IF(M1148=0,0,M1148+O1148)</x:f>
        <x:v>2</x:v>
      </x:c>
      <x:c r="F1148" s="28" t="n">
        <x:f>IF(M1148=0,0,M1148*N1148+O1148)</x:f>
        <x:v>5</x:v>
      </x:c>
      <x:c r="G1148" s="28" t="n">
        <x:f>ROUND(Catalogue!G61*SQRT((1+'Paramètres'!$B$4*(C1148-1)+'Paramètres'!$B$5*(C1148-1)^2)),0)</x:f>
        <x:v>0</x:v>
      </x:c>
      <x:c r="H1148" s="28" t="n">
        <x:f>ROUND(Catalogue!H61*SQRT((1+'Paramètres'!$B$4*(C1148-1)+'Paramètres'!$B$5*(C1148-1)^2)),0)</x:f>
        <x:v>0</x:v>
      </x:c>
      <x:c r="I1148" s="28" t="n">
        <x:v>2</x:v>
      </x:c>
      <x:c r="J1148" s="28" t="n">
        <x:v>4</x:v>
      </x:c>
      <x:c r="K1148" s="30" t="n">
        <x:v>0.1</x:v>
      </x:c>
      <x:c r="L1148" s="54" t="n">
        <x:f>IF(M1148=0,0,(E1148+F1148)/2)</x:f>
        <x:v>3.5</x:v>
      </x:c>
      <x:c r="M1148" t="n">
        <x:v>1</x:v>
      </x:c>
      <x:c r="N1148" t="n">
        <x:v>4</x:v>
      </x:c>
      <x:c r="O1148" t="n">
        <x:v>1</x:v>
      </x:c>
      <x:c r="P1148" s="63" t="str">
        <x:f>IF(M1148=0,"—",M1148&amp;"d"&amp;N1148&amp;IF(O1148=0,""," + "&amp;O1148))</x:f>
        <x:v>1d4 + 1</x:v>
      </x:c>
      <x:c r="Q1148" t="n">
        <x:f>ROUND(INDEX(Catalogue!E$4:E$85,MATCH(A1148,Catalogue!A$4:A$85,0))*(1+'Paramètres'!$B$4*(C1148-1)+'Paramètres'!$B$5*(C1148-1)^2),0)</x:f>
        <x:v>2</x:v>
      </x:c>
      <x:c r="R1148" t="n">
        <x:f>ROUND(INDEX(Catalogue!F$4:F$85,MATCH(A1148,Catalogue!A$4:A$85,0))*(1+'Paramètres'!$B$4*(C1148-1)+'Paramètres'!$B$5*(C1148-1)^2),0)</x:f>
        <x:v>5</x:v>
      </x:c>
      <x:c r="S1148" t="n">
        <x:f>L1148-AVERAGE(Q1148:R1148)</x:f>
        <x:v>0</x:v>
      </x:c>
      <x:c r="T1148" t="str">
        <x:f>IF(M1148=0,IF(AND(N1148=0,O1148=0,E1148=0,F1148=0),"OK","ERREUR"),IF(AND(M1148&gt;=1,M1148&lt;=32,OR(N1148=4,N1148=6,N1148=8,N1148=10,N1148=12,N1148=20),O1148&gt;=0,E1148=M1148+O1148,F1148=M1148*N1148+O1148),"OK","ERREUR"))</x:f>
        <x:v>OK</x:v>
      </x:c>
      <x:c r="U1148" s="86" t="n">
        <x:f>IF(M1148&gt;0,M1148*(N1148+1)/2+O1148,0)</x:f>
        <x:v>3.5</x:v>
      </x:c>
      <x:c r="V1148" t="str">
        <x:f>IF(ABS(L1148-U1148)&lt;0.001,"OK","ERREUR")</x:f>
        <x:v>OK</x:v>
      </x:c>
    </x:row>
    <x:row r="1149" ht="18" customHeight="1">
      <x:c r="A1149" t="str">
        <x:v>ARM058</x:v>
      </x:c>
      <x:c r="B1149" t="str">
        <x:v>Dard</x:v>
      </x:c>
      <x:c r="C1149" t="n">
        <x:v>6</x:v>
      </x:c>
      <x:c r="D1149" t="str">
        <x:v>Jet</x:v>
      </x:c>
      <x:c r="E1149" s="28" t="n">
        <x:f>IF(M1149=0,0,M1149+O1149)</x:f>
        <x:v>2</x:v>
      </x:c>
      <x:c r="F1149" s="28" t="n">
        <x:f>IF(M1149=0,0,M1149*N1149+O1149)</x:f>
        <x:v>5</x:v>
      </x:c>
      <x:c r="G1149" s="28" t="n">
        <x:f>ROUND(Catalogue!G61*SQRT((1+'Paramètres'!$B$4*(C1149-1)+'Paramètres'!$B$5*(C1149-1)^2)),0)</x:f>
        <x:v>0</x:v>
      </x:c>
      <x:c r="H1149" s="28" t="n">
        <x:f>ROUND(Catalogue!H61*SQRT((1+'Paramètres'!$B$4*(C1149-1)+'Paramètres'!$B$5*(C1149-1)^2)),0)</x:f>
        <x:v>0</x:v>
      </x:c>
      <x:c r="I1149" s="28" t="n">
        <x:v>2</x:v>
      </x:c>
      <x:c r="J1149" s="28" t="n">
        <x:v>4</x:v>
      </x:c>
      <x:c r="K1149" s="30" t="n">
        <x:v>0.1</x:v>
      </x:c>
      <x:c r="L1149" s="54" t="n">
        <x:f>IF(M1149=0,0,(E1149+F1149)/2)</x:f>
        <x:v>3.5</x:v>
      </x:c>
      <x:c r="M1149" t="n">
        <x:v>1</x:v>
      </x:c>
      <x:c r="N1149" t="n">
        <x:v>4</x:v>
      </x:c>
      <x:c r="O1149" t="n">
        <x:v>1</x:v>
      </x:c>
      <x:c r="P1149" s="63" t="str">
        <x:f>IF(M1149=0,"—",M1149&amp;"d"&amp;N1149&amp;IF(O1149=0,""," + "&amp;O1149))</x:f>
        <x:v>1d4 + 1</x:v>
      </x:c>
      <x:c r="Q1149" t="n">
        <x:f>ROUND(INDEX(Catalogue!E$4:E$85,MATCH(A1149,Catalogue!A$4:A$85,0))*(1+'Paramètres'!$B$4*(C1149-1)+'Paramètres'!$B$5*(C1149-1)^2),0)</x:f>
        <x:v>2</x:v>
      </x:c>
      <x:c r="R1149" t="n">
        <x:f>ROUND(INDEX(Catalogue!F$4:F$85,MATCH(A1149,Catalogue!A$4:A$85,0))*(1+'Paramètres'!$B$4*(C1149-1)+'Paramètres'!$B$5*(C1149-1)^2),0)</x:f>
        <x:v>6</x:v>
      </x:c>
      <x:c r="S1149" t="n">
        <x:f>L1149-AVERAGE(Q1149:R1149)</x:f>
        <x:v>-0.5</x:v>
      </x:c>
      <x:c r="T1149" t="str">
        <x:f>IF(M1149=0,IF(AND(N1149=0,O1149=0,E1149=0,F1149=0),"OK","ERREUR"),IF(AND(M1149&gt;=1,M1149&lt;=32,OR(N1149=4,N1149=6,N1149=8,N1149=10,N1149=12,N1149=20),O1149&gt;=0,E1149=M1149+O1149,F1149=M1149*N1149+O1149),"OK","ERREUR"))</x:f>
        <x:v>OK</x:v>
      </x:c>
      <x:c r="U1149" s="86" t="n">
        <x:f>IF(M1149&gt;0,M1149*(N1149+1)/2+O1149,0)</x:f>
        <x:v>3.5</x:v>
      </x:c>
      <x:c r="V1149" t="str">
        <x:f>IF(ABS(L1149-U1149)&lt;0.001,"OK","ERREUR")</x:f>
        <x:v>OK</x:v>
      </x:c>
    </x:row>
    <x:row r="1150" ht="18" customHeight="1">
      <x:c r="A1150" t="str">
        <x:v>ARM058</x:v>
      </x:c>
      <x:c r="B1150" t="str">
        <x:v>Dard</x:v>
      </x:c>
      <x:c r="C1150" t="n">
        <x:v>7</x:v>
      </x:c>
      <x:c r="D1150" t="str">
        <x:v>Jet</x:v>
      </x:c>
      <x:c r="E1150" s="28" t="n">
        <x:f>IF(M1150=0,0,M1150+O1150)</x:f>
        <x:v>2</x:v>
      </x:c>
      <x:c r="F1150" s="28" t="n">
        <x:f>IF(M1150=0,0,M1150*N1150+O1150)</x:f>
        <x:v>7</x:v>
      </x:c>
      <x:c r="G1150" s="28" t="n">
        <x:f>ROUND(Catalogue!G61*SQRT((1+'Paramètres'!$B$4*(C1150-1)+'Paramètres'!$B$5*(C1150-1)^2)),0)</x:f>
        <x:v>0</x:v>
      </x:c>
      <x:c r="H1150" s="28" t="n">
        <x:f>ROUND(Catalogue!H61*SQRT((1+'Paramètres'!$B$4*(C1150-1)+'Paramètres'!$B$5*(C1150-1)^2)),0)</x:f>
        <x:v>0</x:v>
      </x:c>
      <x:c r="I1150" s="28" t="n">
        <x:v>2</x:v>
      </x:c>
      <x:c r="J1150" s="28" t="n">
        <x:v>4</x:v>
      </x:c>
      <x:c r="K1150" s="30" t="n">
        <x:v>0.1</x:v>
      </x:c>
      <x:c r="L1150" s="54" t="n">
        <x:f>IF(M1150=0,0,(E1150+F1150)/2)</x:f>
        <x:v>4.5</x:v>
      </x:c>
      <x:c r="M1150" t="n">
        <x:v>1</x:v>
      </x:c>
      <x:c r="N1150" t="n">
        <x:v>6</x:v>
      </x:c>
      <x:c r="O1150" t="n">
        <x:v>1</x:v>
      </x:c>
      <x:c r="P1150" s="63" t="str">
        <x:f>IF(M1150=0,"—",M1150&amp;"d"&amp;N1150&amp;IF(O1150=0,""," + "&amp;O1150))</x:f>
        <x:v>1d6 + 1</x:v>
      </x:c>
      <x:c r="Q1150" t="n">
        <x:f>ROUND(INDEX(Catalogue!E$4:E$85,MATCH(A1150,Catalogue!A$4:A$85,0))*(1+'Paramètres'!$B$4*(C1150-1)+'Paramètres'!$B$5*(C1150-1)^2),0)</x:f>
        <x:v>2</x:v>
      </x:c>
      <x:c r="R1150" t="n">
        <x:f>ROUND(INDEX(Catalogue!F$4:F$85,MATCH(A1150,Catalogue!A$4:A$85,0))*(1+'Paramètres'!$B$4*(C1150-1)+'Paramètres'!$B$5*(C1150-1)^2),0)</x:f>
        <x:v>7</x:v>
      </x:c>
      <x:c r="S1150" t="n">
        <x:f>L1150-AVERAGE(Q1150:R1150)</x:f>
        <x:v>0</x:v>
      </x:c>
      <x:c r="T1150" t="str">
        <x:f>IF(M1150=0,IF(AND(N1150=0,O1150=0,E1150=0,F1150=0),"OK","ERREUR"),IF(AND(M1150&gt;=1,M1150&lt;=32,OR(N1150=4,N1150=6,N1150=8,N1150=10,N1150=12,N1150=20),O1150&gt;=0,E1150=M1150+O1150,F1150=M1150*N1150+O1150),"OK","ERREUR"))</x:f>
        <x:v>OK</x:v>
      </x:c>
      <x:c r="U1150" s="86" t="n">
        <x:f>IF(M1150&gt;0,M1150*(N1150+1)/2+O1150,0)</x:f>
        <x:v>4.5</x:v>
      </x:c>
      <x:c r="V1150" t="str">
        <x:f>IF(ABS(L1150-U1150)&lt;0.001,"OK","ERREUR")</x:f>
        <x:v>OK</x:v>
      </x:c>
    </x:row>
    <x:row r="1151" ht="18" customHeight="1">
      <x:c r="A1151" t="str">
        <x:v>ARM058</x:v>
      </x:c>
      <x:c r="B1151" t="str">
        <x:v>Dard</x:v>
      </x:c>
      <x:c r="C1151" t="n">
        <x:v>8</x:v>
      </x:c>
      <x:c r="D1151" t="str">
        <x:v>Jet</x:v>
      </x:c>
      <x:c r="E1151" s="28" t="n">
        <x:f>IF(M1151=0,0,M1151+O1151)</x:f>
        <x:v>3</x:v>
      </x:c>
      <x:c r="F1151" s="28" t="n">
        <x:f>IF(M1151=0,0,M1151*N1151+O1151)</x:f>
        <x:v>8</x:v>
      </x:c>
      <x:c r="G1151" s="28" t="n">
        <x:f>ROUND(Catalogue!G61*SQRT((1+'Paramètres'!$B$4*(C1151-1)+'Paramètres'!$B$5*(C1151-1)^2)),0)</x:f>
        <x:v>0</x:v>
      </x:c>
      <x:c r="H1151" s="28" t="n">
        <x:f>ROUND(Catalogue!H61*SQRT((1+'Paramètres'!$B$4*(C1151-1)+'Paramètres'!$B$5*(C1151-1)^2)),0)</x:f>
        <x:v>0</x:v>
      </x:c>
      <x:c r="I1151" s="28" t="n">
        <x:v>2</x:v>
      </x:c>
      <x:c r="J1151" s="28" t="n">
        <x:v>4</x:v>
      </x:c>
      <x:c r="K1151" s="30" t="n">
        <x:v>0.1</x:v>
      </x:c>
      <x:c r="L1151" s="54" t="n">
        <x:f>IF(M1151=0,0,(E1151+F1151)/2)</x:f>
        <x:v>5.5</x:v>
      </x:c>
      <x:c r="M1151" t="n">
        <x:v>1</x:v>
      </x:c>
      <x:c r="N1151" t="n">
        <x:v>6</x:v>
      </x:c>
      <x:c r="O1151" t="n">
        <x:v>2</x:v>
      </x:c>
      <x:c r="P1151" s="63" t="str">
        <x:f>IF(M1151=0,"—",M1151&amp;"d"&amp;N1151&amp;IF(O1151=0,""," + "&amp;O1151))</x:f>
        <x:v>1d6 + 2</x:v>
      </x:c>
      <x:c r="Q1151" t="n">
        <x:f>ROUND(INDEX(Catalogue!E$4:E$85,MATCH(A1151,Catalogue!A$4:A$85,0))*(1+'Paramètres'!$B$4*(C1151-1)+'Paramètres'!$B$5*(C1151-1)^2),0)</x:f>
        <x:v>3</x:v>
      </x:c>
      <x:c r="R1151" t="n">
        <x:f>ROUND(INDEX(Catalogue!F$4:F$85,MATCH(A1151,Catalogue!A$4:A$85,0))*(1+'Paramètres'!$B$4*(C1151-1)+'Paramètres'!$B$5*(C1151-1)^2),0)</x:f>
        <x:v>8</x:v>
      </x:c>
      <x:c r="S1151" t="n">
        <x:f>L1151-AVERAGE(Q1151:R1151)</x:f>
        <x:v>0</x:v>
      </x:c>
      <x:c r="T1151" t="str">
        <x:f>IF(M1151=0,IF(AND(N1151=0,O1151=0,E1151=0,F1151=0),"OK","ERREUR"),IF(AND(M1151&gt;=1,M1151&lt;=32,OR(N1151=4,N1151=6,N1151=8,N1151=10,N1151=12,N1151=20),O1151&gt;=0,E1151=M1151+O1151,F1151=M1151*N1151+O1151),"OK","ERREUR"))</x:f>
        <x:v>OK</x:v>
      </x:c>
      <x:c r="U1151" s="86" t="n">
        <x:f>IF(M1151&gt;0,M1151*(N1151+1)/2+O1151,0)</x:f>
        <x:v>5.5</x:v>
      </x:c>
      <x:c r="V1151" t="str">
        <x:f>IF(ABS(L1151-U1151)&lt;0.001,"OK","ERREUR")</x:f>
        <x:v>OK</x:v>
      </x:c>
    </x:row>
    <x:row r="1152" ht="18" customHeight="1">
      <x:c r="A1152" t="str">
        <x:v>ARM058</x:v>
      </x:c>
      <x:c r="B1152" t="str">
        <x:v>Dard</x:v>
      </x:c>
      <x:c r="C1152" t="n">
        <x:v>9</x:v>
      </x:c>
      <x:c r="D1152" t="str">
        <x:v>Jet</x:v>
      </x:c>
      <x:c r="E1152" s="28" t="n">
        <x:f>IF(M1152=0,0,M1152+O1152)</x:f>
        <x:v>3</x:v>
      </x:c>
      <x:c r="F1152" s="28" t="n">
        <x:f>IF(M1152=0,0,M1152*N1152+O1152)</x:f>
        <x:v>9</x:v>
      </x:c>
      <x:c r="G1152" s="28" t="n">
        <x:f>ROUND(Catalogue!G61*SQRT((1+'Paramètres'!$B$4*(C1152-1)+'Paramètres'!$B$5*(C1152-1)^2)),0)</x:f>
        <x:v>0</x:v>
      </x:c>
      <x:c r="H1152" s="28" t="n">
        <x:f>ROUND(Catalogue!H61*SQRT((1+'Paramètres'!$B$4*(C1152-1)+'Paramètres'!$B$5*(C1152-1)^2)),0)</x:f>
        <x:v>0</x:v>
      </x:c>
      <x:c r="I1152" s="28" t="n">
        <x:v>2</x:v>
      </x:c>
      <x:c r="J1152" s="28" t="n">
        <x:v>4</x:v>
      </x:c>
      <x:c r="K1152" s="30" t="n">
        <x:v>0.1</x:v>
      </x:c>
      <x:c r="L1152" s="54" t="n">
        <x:f>IF(M1152=0,0,(E1152+F1152)/2)</x:f>
        <x:v>6</x:v>
      </x:c>
      <x:c r="M1152" t="n">
        <x:v>2</x:v>
      </x:c>
      <x:c r="N1152" t="n">
        <x:v>4</x:v>
      </x:c>
      <x:c r="O1152" t="n">
        <x:v>1</x:v>
      </x:c>
      <x:c r="P1152" s="63" t="str">
        <x:f>IF(M1152=0,"—",M1152&amp;"d"&amp;N1152&amp;IF(O1152=0,""," + "&amp;O1152))</x:f>
        <x:v>2d4 + 1</x:v>
      </x:c>
      <x:c r="Q1152" t="n">
        <x:f>ROUND(INDEX(Catalogue!E$4:E$85,MATCH(A1152,Catalogue!A$4:A$85,0))*(1+'Paramètres'!$B$4*(C1152-1)+'Paramètres'!$B$5*(C1152-1)^2),0)</x:f>
        <x:v>3</x:v>
      </x:c>
      <x:c r="R1152" t="n">
        <x:f>ROUND(INDEX(Catalogue!F$4:F$85,MATCH(A1152,Catalogue!A$4:A$85,0))*(1+'Paramètres'!$B$4*(C1152-1)+'Paramètres'!$B$5*(C1152-1)^2),0)</x:f>
        <x:v>9</x:v>
      </x:c>
      <x:c r="S1152" t="n">
        <x:f>L1152-AVERAGE(Q1152:R1152)</x:f>
        <x:v>0</x:v>
      </x:c>
      <x:c r="T1152" t="str">
        <x:f>IF(M1152=0,IF(AND(N1152=0,O1152=0,E1152=0,F1152=0),"OK","ERREUR"),IF(AND(M1152&gt;=1,M1152&lt;=32,OR(N1152=4,N1152=6,N1152=8,N1152=10,N1152=12,N1152=20),O1152&gt;=0,E1152=M1152+O1152,F1152=M1152*N1152+O1152),"OK","ERREUR"))</x:f>
        <x:v>OK</x:v>
      </x:c>
      <x:c r="U1152" s="86" t="n">
        <x:f>IF(M1152&gt;0,M1152*(N1152+1)/2+O1152,0)</x:f>
        <x:v>6</x:v>
      </x:c>
      <x:c r="V1152" t="str">
        <x:f>IF(ABS(L1152-U1152)&lt;0.001,"OK","ERREUR")</x:f>
        <x:v>OK</x:v>
      </x:c>
    </x:row>
    <x:row r="1153" ht="18" customHeight="1">
      <x:c r="A1153" t="str">
        <x:v>ARM058</x:v>
      </x:c>
      <x:c r="B1153" t="str">
        <x:v>Dard</x:v>
      </x:c>
      <x:c r="C1153" t="n">
        <x:v>10</x:v>
      </x:c>
      <x:c r="D1153" t="str">
        <x:v>Jet</x:v>
      </x:c>
      <x:c r="E1153" s="28" t="n">
        <x:f>IF(M1153=0,0,M1153+O1153)</x:f>
        <x:v>3</x:v>
      </x:c>
      <x:c r="F1153" s="28" t="n">
        <x:f>IF(M1153=0,0,M1153*N1153+O1153)</x:f>
        <x:v>10</x:v>
      </x:c>
      <x:c r="G1153" s="28" t="n">
        <x:f>ROUND(Catalogue!G61*SQRT((1+'Paramètres'!$B$4*(C1153-1)+'Paramètres'!$B$5*(C1153-1)^2)),0)</x:f>
        <x:v>0</x:v>
      </x:c>
      <x:c r="H1153" s="28" t="n">
        <x:f>ROUND(Catalogue!H61*SQRT((1+'Paramètres'!$B$4*(C1153-1)+'Paramètres'!$B$5*(C1153-1)^2)),0)</x:f>
        <x:v>0</x:v>
      </x:c>
      <x:c r="I1153" s="28" t="n">
        <x:v>2</x:v>
      </x:c>
      <x:c r="J1153" s="28" t="n">
        <x:v>4</x:v>
      </x:c>
      <x:c r="K1153" s="30" t="n">
        <x:v>0.1</x:v>
      </x:c>
      <x:c r="L1153" s="54" t="n">
        <x:f>IF(M1153=0,0,(E1153+F1153)/2)</x:f>
        <x:v>6.5</x:v>
      </x:c>
      <x:c r="M1153" t="n">
        <x:v>1</x:v>
      </x:c>
      <x:c r="N1153" t="n">
        <x:v>8</x:v>
      </x:c>
      <x:c r="O1153" t="n">
        <x:v>2</x:v>
      </x:c>
      <x:c r="P1153" s="63" t="str">
        <x:f>IF(M1153=0,"—",M1153&amp;"d"&amp;N1153&amp;IF(O1153=0,""," + "&amp;O1153))</x:f>
        <x:v>1d8 + 2</x:v>
      </x:c>
      <x:c r="Q1153" t="n">
        <x:f>ROUND(INDEX(Catalogue!E$4:E$85,MATCH(A1153,Catalogue!A$4:A$85,0))*(1+'Paramètres'!$B$4*(C1153-1)+'Paramètres'!$B$5*(C1153-1)^2),0)</x:f>
        <x:v>3</x:v>
      </x:c>
      <x:c r="R1153" t="n">
        <x:f>ROUND(INDEX(Catalogue!F$4:F$85,MATCH(A1153,Catalogue!A$4:A$85,0))*(1+'Paramètres'!$B$4*(C1153-1)+'Paramètres'!$B$5*(C1153-1)^2),0)</x:f>
        <x:v>10</x:v>
      </x:c>
      <x:c r="S1153" t="n">
        <x:f>L1153-AVERAGE(Q1153:R1153)</x:f>
        <x:v>0</x:v>
      </x:c>
      <x:c r="T1153" t="str">
        <x:f>IF(M1153=0,IF(AND(N1153=0,O1153=0,E1153=0,F1153=0),"OK","ERREUR"),IF(AND(M1153&gt;=1,M1153&lt;=32,OR(N1153=4,N1153=6,N1153=8,N1153=10,N1153=12,N1153=20),O1153&gt;=0,E1153=M1153+O1153,F1153=M1153*N1153+O1153),"OK","ERREUR"))</x:f>
        <x:v>OK</x:v>
      </x:c>
      <x:c r="U1153" s="86" t="n">
        <x:f>IF(M1153&gt;0,M1153*(N1153+1)/2+O1153,0)</x:f>
        <x:v>6.5</x:v>
      </x:c>
      <x:c r="V1153" t="str">
        <x:f>IF(ABS(L1153-U1153)&lt;0.001,"OK","ERREUR")</x:f>
        <x:v>OK</x:v>
      </x:c>
    </x:row>
    <x:row r="1154" ht="18" customHeight="1">
      <x:c r="A1154" t="str">
        <x:v>ARM058</x:v>
      </x:c>
      <x:c r="B1154" t="str">
        <x:v>Dard</x:v>
      </x:c>
      <x:c r="C1154" t="n">
        <x:v>11</x:v>
      </x:c>
      <x:c r="D1154" t="str">
        <x:v>Jet</x:v>
      </x:c>
      <x:c r="E1154" s="28" t="n">
        <x:f>IF(M1154=0,0,M1154+O1154)</x:f>
        <x:v>4</x:v>
      </x:c>
      <x:c r="F1154" s="28" t="n">
        <x:f>IF(M1154=0,0,M1154*N1154+O1154)</x:f>
        <x:v>11</x:v>
      </x:c>
      <x:c r="G1154" s="28" t="n">
        <x:f>ROUND(Catalogue!G61*SQRT((1+'Paramètres'!$B$4*(C1154-1)+'Paramètres'!$B$5*(C1154-1)^2)),0)</x:f>
        <x:v>0</x:v>
      </x:c>
      <x:c r="H1154" s="28" t="n">
        <x:f>ROUND(Catalogue!H61*SQRT((1+'Paramètres'!$B$4*(C1154-1)+'Paramètres'!$B$5*(C1154-1)^2)),0)</x:f>
        <x:v>0</x:v>
      </x:c>
      <x:c r="I1154" s="28" t="n">
        <x:v>2</x:v>
      </x:c>
      <x:c r="J1154" s="28" t="n">
        <x:v>4</x:v>
      </x:c>
      <x:c r="K1154" s="30" t="n">
        <x:v>0.1</x:v>
      </x:c>
      <x:c r="L1154" s="54" t="n">
        <x:f>IF(M1154=0,0,(E1154+F1154)/2)</x:f>
        <x:v>7.5</x:v>
      </x:c>
      <x:c r="M1154" t="n">
        <x:v>1</x:v>
      </x:c>
      <x:c r="N1154" t="n">
        <x:v>8</x:v>
      </x:c>
      <x:c r="O1154" t="n">
        <x:v>3</x:v>
      </x:c>
      <x:c r="P1154" s="63" t="str">
        <x:f>IF(M1154=0,"—",M1154&amp;"d"&amp;N1154&amp;IF(O1154=0,""," + "&amp;O1154))</x:f>
        <x:v>1d8 + 3</x:v>
      </x:c>
      <x:c r="Q1154" t="n">
        <x:f>ROUND(INDEX(Catalogue!E$4:E$85,MATCH(A1154,Catalogue!A$4:A$85,0))*(1+'Paramètres'!$B$4*(C1154-1)+'Paramètres'!$B$5*(C1154-1)^2),0)</x:f>
        <x:v>4</x:v>
      </x:c>
      <x:c r="R1154" t="n">
        <x:f>ROUND(INDEX(Catalogue!F$4:F$85,MATCH(A1154,Catalogue!A$4:A$85,0))*(1+'Paramètres'!$B$4*(C1154-1)+'Paramètres'!$B$5*(C1154-1)^2),0)</x:f>
        <x:v>11</x:v>
      </x:c>
      <x:c r="S1154" t="n">
        <x:f>L1154-AVERAGE(Q1154:R1154)</x:f>
        <x:v>0</x:v>
      </x:c>
      <x:c r="T1154" t="str">
        <x:f>IF(M1154=0,IF(AND(N1154=0,O1154=0,E1154=0,F1154=0),"OK","ERREUR"),IF(AND(M1154&gt;=1,M1154&lt;=32,OR(N1154=4,N1154=6,N1154=8,N1154=10,N1154=12,N1154=20),O1154&gt;=0,E1154=M1154+O1154,F1154=M1154*N1154+O1154),"OK","ERREUR"))</x:f>
        <x:v>OK</x:v>
      </x:c>
      <x:c r="U1154" s="86" t="n">
        <x:f>IF(M1154&gt;0,M1154*(N1154+1)/2+O1154,0)</x:f>
        <x:v>7.5</x:v>
      </x:c>
      <x:c r="V1154" t="str">
        <x:f>IF(ABS(L1154-U1154)&lt;0.001,"OK","ERREUR")</x:f>
        <x:v>OK</x:v>
      </x:c>
    </x:row>
    <x:row r="1155" ht="18" customHeight="1">
      <x:c r="A1155" t="str">
        <x:v>ARM058</x:v>
      </x:c>
      <x:c r="B1155" t="str">
        <x:v>Dard</x:v>
      </x:c>
      <x:c r="C1155" t="n">
        <x:v>12</x:v>
      </x:c>
      <x:c r="D1155" t="str">
        <x:v>Jet</x:v>
      </x:c>
      <x:c r="E1155" s="28" t="n">
        <x:f>IF(M1155=0,0,M1155+O1155)</x:f>
        <x:v>3</x:v>
      </x:c>
      <x:c r="F1155" s="28" t="n">
        <x:f>IF(M1155=0,0,M1155*N1155+O1155)</x:f>
        <x:v>12</x:v>
      </x:c>
      <x:c r="G1155" s="28" t="n">
        <x:f>ROUND(Catalogue!G61*SQRT((1+'Paramètres'!$B$4*(C1155-1)+'Paramètres'!$B$5*(C1155-1)^2)),0)</x:f>
        <x:v>0</x:v>
      </x:c>
      <x:c r="H1155" s="28" t="n">
        <x:f>ROUND(Catalogue!H61*SQRT((1+'Paramètres'!$B$4*(C1155-1)+'Paramètres'!$B$5*(C1155-1)^2)),0)</x:f>
        <x:v>0</x:v>
      </x:c>
      <x:c r="I1155" s="28" t="n">
        <x:v>2</x:v>
      </x:c>
      <x:c r="J1155" s="28" t="n">
        <x:v>4</x:v>
      </x:c>
      <x:c r="K1155" s="30" t="n">
        <x:v>0.1</x:v>
      </x:c>
      <x:c r="L1155" s="54" t="n">
        <x:f>IF(M1155=0,0,(E1155+F1155)/2)</x:f>
        <x:v>7.5</x:v>
      </x:c>
      <x:c r="M1155" t="n">
        <x:v>3</x:v>
      </x:c>
      <x:c r="N1155" t="n">
        <x:v>4</x:v>
      </x:c>
      <x:c r="O1155" t="n">
        <x:v>0</x:v>
      </x:c>
      <x:c r="P1155" s="63" t="str">
        <x:f>IF(M1155=0,"—",M1155&amp;"d"&amp;N1155&amp;IF(O1155=0,""," + "&amp;O1155))</x:f>
        <x:v>3d4</x:v>
      </x:c>
      <x:c r="Q1155" t="n">
        <x:f>ROUND(INDEX(Catalogue!E$4:E$85,MATCH(A1155,Catalogue!A$4:A$85,0))*(1+'Paramètres'!$B$4*(C1155-1)+'Paramètres'!$B$5*(C1155-1)^2),0)</x:f>
        <x:v>4</x:v>
      </x:c>
      <x:c r="R1155" t="n">
        <x:f>ROUND(INDEX(Catalogue!F$4:F$85,MATCH(A1155,Catalogue!A$4:A$85,0))*(1+'Paramètres'!$B$4*(C1155-1)+'Paramètres'!$B$5*(C1155-1)^2),0)</x:f>
        <x:v>12</x:v>
      </x:c>
      <x:c r="S1155" t="n">
        <x:f>L1155-AVERAGE(Q1155:R1155)</x:f>
        <x:v>-0.5</x:v>
      </x:c>
      <x:c r="T1155" t="str">
        <x:f>IF(M1155=0,IF(AND(N1155=0,O1155=0,E1155=0,F1155=0),"OK","ERREUR"),IF(AND(M1155&gt;=1,M1155&lt;=32,OR(N1155=4,N1155=6,N1155=8,N1155=10,N1155=12,N1155=20),O1155&gt;=0,E1155=M1155+O1155,F1155=M1155*N1155+O1155),"OK","ERREUR"))</x:f>
        <x:v>OK</x:v>
      </x:c>
      <x:c r="U1155" s="86" t="n">
        <x:f>IF(M1155&gt;0,M1155*(N1155+1)/2+O1155,0)</x:f>
        <x:v>7.5</x:v>
      </x:c>
      <x:c r="V1155" t="str">
        <x:f>IF(ABS(L1155-U1155)&lt;0.001,"OK","ERREUR")</x:f>
        <x:v>OK</x:v>
      </x:c>
    </x:row>
    <x:row r="1156" ht="18" customHeight="1">
      <x:c r="A1156" t="str">
        <x:v>ARM058</x:v>
      </x:c>
      <x:c r="B1156" t="str">
        <x:v>Dard</x:v>
      </x:c>
      <x:c r="C1156" t="n">
        <x:v>13</x:v>
      </x:c>
      <x:c r="D1156" t="str">
        <x:v>Jet</x:v>
      </x:c>
      <x:c r="E1156" s="28" t="n">
        <x:f>IF(M1156=0,0,M1156+O1156)</x:f>
        <x:v>5</x:v>
      </x:c>
      <x:c r="F1156" s="28" t="n">
        <x:f>IF(M1156=0,0,M1156*N1156+O1156)</x:f>
        <x:v>14</x:v>
      </x:c>
      <x:c r="G1156" s="28" t="n">
        <x:f>ROUND(Catalogue!G61*SQRT((1+'Paramètres'!$B$4*(C1156-1)+'Paramètres'!$B$5*(C1156-1)^2)),0)</x:f>
        <x:v>0</x:v>
      </x:c>
      <x:c r="H1156" s="28" t="n">
        <x:f>ROUND(Catalogue!H61*SQRT((1+'Paramètres'!$B$4*(C1156-1)+'Paramètres'!$B$5*(C1156-1)^2)),0)</x:f>
        <x:v>0</x:v>
      </x:c>
      <x:c r="I1156" s="28" t="n">
        <x:v>2</x:v>
      </x:c>
      <x:c r="J1156" s="28" t="n">
        <x:v>4</x:v>
      </x:c>
      <x:c r="K1156" s="30" t="n">
        <x:v>0.1</x:v>
      </x:c>
      <x:c r="L1156" s="54" t="n">
        <x:f>IF(M1156=0,0,(E1156+F1156)/2)</x:f>
        <x:v>9.5</x:v>
      </x:c>
      <x:c r="M1156" t="n">
        <x:v>3</x:v>
      </x:c>
      <x:c r="N1156" t="n">
        <x:v>4</x:v>
      </x:c>
      <x:c r="O1156" t="n">
        <x:v>2</x:v>
      </x:c>
      <x:c r="P1156" s="63" t="str">
        <x:f>IF(M1156=0,"—",M1156&amp;"d"&amp;N1156&amp;IF(O1156=0,""," + "&amp;O1156))</x:f>
        <x:v>3d4 + 2</x:v>
      </x:c>
      <x:c r="Q1156" t="n">
        <x:f>ROUND(INDEX(Catalogue!E$4:E$85,MATCH(A1156,Catalogue!A$4:A$85,0))*(1+'Paramètres'!$B$4*(C1156-1)+'Paramètres'!$B$5*(C1156-1)^2),0)</x:f>
        <x:v>5</x:v>
      </x:c>
      <x:c r="R1156" t="n">
        <x:f>ROUND(INDEX(Catalogue!F$4:F$85,MATCH(A1156,Catalogue!A$4:A$85,0))*(1+'Paramètres'!$B$4*(C1156-1)+'Paramètres'!$B$5*(C1156-1)^2),0)</x:f>
        <x:v>14</x:v>
      </x:c>
      <x:c r="S1156" t="n">
        <x:f>L1156-AVERAGE(Q1156:R1156)</x:f>
        <x:v>0</x:v>
      </x:c>
      <x:c r="T1156" t="str">
        <x:f>IF(M1156=0,IF(AND(N1156=0,O1156=0,E1156=0,F1156=0),"OK","ERREUR"),IF(AND(M1156&gt;=1,M1156&lt;=32,OR(N1156=4,N1156=6,N1156=8,N1156=10,N1156=12,N1156=20),O1156&gt;=0,E1156=M1156+O1156,F1156=M1156*N1156+O1156),"OK","ERREUR"))</x:f>
        <x:v>OK</x:v>
      </x:c>
      <x:c r="U1156" s="86" t="n">
        <x:f>IF(M1156&gt;0,M1156*(N1156+1)/2+O1156,0)</x:f>
        <x:v>9.5</x:v>
      </x:c>
      <x:c r="V1156" t="str">
        <x:f>IF(ABS(L1156-U1156)&lt;0.001,"OK","ERREUR")</x:f>
        <x:v>OK</x:v>
      </x:c>
    </x:row>
    <x:row r="1157" ht="18" customHeight="1">
      <x:c r="A1157" t="str">
        <x:v>ARM058</x:v>
      </x:c>
      <x:c r="B1157" t="str">
        <x:v>Dard</x:v>
      </x:c>
      <x:c r="C1157" t="n">
        <x:v>14</x:v>
      </x:c>
      <x:c r="D1157" t="str">
        <x:v>Jet</x:v>
      </x:c>
      <x:c r="E1157" s="28" t="n">
        <x:f>IF(M1157=0,0,M1157+O1157)</x:f>
        <x:v>5</x:v>
      </x:c>
      <x:c r="F1157" s="28" t="n">
        <x:f>IF(M1157=0,0,M1157*N1157+O1157)</x:f>
        <x:v>15</x:v>
      </x:c>
      <x:c r="G1157" s="28" t="n">
        <x:f>ROUND(Catalogue!G61*SQRT((1+'Paramètres'!$B$4*(C1157-1)+'Paramètres'!$B$5*(C1157-1)^2)),0)</x:f>
        <x:v>0</x:v>
      </x:c>
      <x:c r="H1157" s="28" t="n">
        <x:f>ROUND(Catalogue!H61*SQRT((1+'Paramètres'!$B$4*(C1157-1)+'Paramètres'!$B$5*(C1157-1)^2)),0)</x:f>
        <x:v>0</x:v>
      </x:c>
      <x:c r="I1157" s="28" t="n">
        <x:v>2</x:v>
      </x:c>
      <x:c r="J1157" s="28" t="n">
        <x:v>4</x:v>
      </x:c>
      <x:c r="K1157" s="30" t="n">
        <x:v>0.1</x:v>
      </x:c>
      <x:c r="L1157" s="54" t="n">
        <x:f>IF(M1157=0,0,(E1157+F1157)/2)</x:f>
        <x:v>10</x:v>
      </x:c>
      <x:c r="M1157" t="n">
        <x:v>2</x:v>
      </x:c>
      <x:c r="N1157" t="n">
        <x:v>6</x:v>
      </x:c>
      <x:c r="O1157" t="n">
        <x:v>3</x:v>
      </x:c>
      <x:c r="P1157" s="63" t="str">
        <x:f>IF(M1157=0,"—",M1157&amp;"d"&amp;N1157&amp;IF(O1157=0,""," + "&amp;O1157))</x:f>
        <x:v>2d6 + 3</x:v>
      </x:c>
      <x:c r="Q1157" t="n">
        <x:f>ROUND(INDEX(Catalogue!E$4:E$85,MATCH(A1157,Catalogue!A$4:A$85,0))*(1+'Paramètres'!$B$4*(C1157-1)+'Paramètres'!$B$5*(C1157-1)^2),0)</x:f>
        <x:v>5</x:v>
      </x:c>
      <x:c r="R1157" t="n">
        <x:f>ROUND(INDEX(Catalogue!F$4:F$85,MATCH(A1157,Catalogue!A$4:A$85,0))*(1+'Paramètres'!$B$4*(C1157-1)+'Paramètres'!$B$5*(C1157-1)^2),0)</x:f>
        <x:v>15</x:v>
      </x:c>
      <x:c r="S1157" t="n">
        <x:f>L1157-AVERAGE(Q1157:R1157)</x:f>
        <x:v>0</x:v>
      </x:c>
      <x:c r="T1157" t="str">
        <x:f>IF(M1157=0,IF(AND(N1157=0,O1157=0,E1157=0,F1157=0),"OK","ERREUR"),IF(AND(M1157&gt;=1,M1157&lt;=32,OR(N1157=4,N1157=6,N1157=8,N1157=10,N1157=12,N1157=20),O1157&gt;=0,E1157=M1157+O1157,F1157=M1157*N1157+O1157),"OK","ERREUR"))</x:f>
        <x:v>OK</x:v>
      </x:c>
      <x:c r="U1157" s="86" t="n">
        <x:f>IF(M1157&gt;0,M1157*(N1157+1)/2+O1157,0)</x:f>
        <x:v>10</x:v>
      </x:c>
      <x:c r="V1157" t="str">
        <x:f>IF(ABS(L1157-U1157)&lt;0.001,"OK","ERREUR")</x:f>
        <x:v>OK</x:v>
      </x:c>
    </x:row>
    <x:row r="1158" ht="18" customHeight="1">
      <x:c r="A1158" t="str">
        <x:v>ARM058</x:v>
      </x:c>
      <x:c r="B1158" t="str">
        <x:v>Dard</x:v>
      </x:c>
      <x:c r="C1158" t="n">
        <x:v>15</x:v>
      </x:c>
      <x:c r="D1158" t="str">
        <x:v>Jet</x:v>
      </x:c>
      <x:c r="E1158" s="28" t="n">
        <x:f>IF(M1158=0,0,M1158+O1158)</x:f>
        <x:v>6</x:v>
      </x:c>
      <x:c r="F1158" s="28" t="n">
        <x:f>IF(M1158=0,0,M1158*N1158+O1158)</x:f>
        <x:v>16</x:v>
      </x:c>
      <x:c r="G1158" s="28" t="n">
        <x:f>ROUND(Catalogue!G61*SQRT((1+'Paramètres'!$B$4*(C1158-1)+'Paramètres'!$B$5*(C1158-1)^2)),0)</x:f>
        <x:v>0</x:v>
      </x:c>
      <x:c r="H1158" s="28" t="n">
        <x:f>ROUND(Catalogue!H61*SQRT((1+'Paramètres'!$B$4*(C1158-1)+'Paramètres'!$B$5*(C1158-1)^2)),0)</x:f>
        <x:v>0</x:v>
      </x:c>
      <x:c r="I1158" s="28" t="n">
        <x:v>2</x:v>
      </x:c>
      <x:c r="J1158" s="28" t="n">
        <x:v>4</x:v>
      </x:c>
      <x:c r="K1158" s="30" t="n">
        <x:v>0.1</x:v>
      </x:c>
      <x:c r="L1158" s="54" t="n">
        <x:f>IF(M1158=0,0,(E1158+F1158)/2)</x:f>
        <x:v>11</x:v>
      </x:c>
      <x:c r="M1158" t="n">
        <x:v>2</x:v>
      </x:c>
      <x:c r="N1158" t="n">
        <x:v>6</x:v>
      </x:c>
      <x:c r="O1158" t="n">
        <x:v>4</x:v>
      </x:c>
      <x:c r="P1158" s="63" t="str">
        <x:f>IF(M1158=0,"—",M1158&amp;"d"&amp;N1158&amp;IF(O1158=0,""," + "&amp;O1158))</x:f>
        <x:v>2d6 + 4</x:v>
      </x:c>
      <x:c r="Q1158" t="n">
        <x:f>ROUND(INDEX(Catalogue!E$4:E$85,MATCH(A1158,Catalogue!A$4:A$85,0))*(1+'Paramètres'!$B$4*(C1158-1)+'Paramètres'!$B$5*(C1158-1)^2),0)</x:f>
        <x:v>6</x:v>
      </x:c>
      <x:c r="R1158" t="n">
        <x:f>ROUND(INDEX(Catalogue!F$4:F$85,MATCH(A1158,Catalogue!A$4:A$85,0))*(1+'Paramètres'!$B$4*(C1158-1)+'Paramètres'!$B$5*(C1158-1)^2),0)</x:f>
        <x:v>17</x:v>
      </x:c>
      <x:c r="S1158" t="n">
        <x:f>L1158-AVERAGE(Q1158:R1158)</x:f>
        <x:v>-0.5</x:v>
      </x:c>
      <x:c r="T1158" t="str">
        <x:f>IF(M1158=0,IF(AND(N1158=0,O1158=0,E1158=0,F1158=0),"OK","ERREUR"),IF(AND(M1158&gt;=1,M1158&lt;=32,OR(N1158=4,N1158=6,N1158=8,N1158=10,N1158=12,N1158=20),O1158&gt;=0,E1158=M1158+O1158,F1158=M1158*N1158+O1158),"OK","ERREUR"))</x:f>
        <x:v>OK</x:v>
      </x:c>
      <x:c r="U1158" s="86" t="n">
        <x:f>IF(M1158&gt;0,M1158*(N1158+1)/2+O1158,0)</x:f>
        <x:v>11</x:v>
      </x:c>
      <x:c r="V1158" t="str">
        <x:f>IF(ABS(L1158-U1158)&lt;0.001,"OK","ERREUR")</x:f>
        <x:v>OK</x:v>
      </x:c>
    </x:row>
    <x:row r="1159" ht="18" customHeight="1">
      <x:c r="A1159" t="str">
        <x:v>ARM058</x:v>
      </x:c>
      <x:c r="B1159" t="str">
        <x:v>Dard</x:v>
      </x:c>
      <x:c r="C1159" t="n">
        <x:v>16</x:v>
      </x:c>
      <x:c r="D1159" t="str">
        <x:v>Jet</x:v>
      </x:c>
      <x:c r="E1159" s="28" t="n">
        <x:f>IF(M1159=0,0,M1159+O1159)</x:f>
        <x:v>5</x:v>
      </x:c>
      <x:c r="F1159" s="28" t="n">
        <x:f>IF(M1159=0,0,M1159*N1159+O1159)</x:f>
        <x:v>19</x:v>
      </x:c>
      <x:c r="G1159" s="28" t="n">
        <x:f>ROUND(Catalogue!G61*SQRT((1+'Paramètres'!$B$4*(C1159-1)+'Paramètres'!$B$5*(C1159-1)^2)),0)</x:f>
        <x:v>0</x:v>
      </x:c>
      <x:c r="H1159" s="28" t="n">
        <x:f>ROUND(Catalogue!H61*SQRT((1+'Paramètres'!$B$4*(C1159-1)+'Paramètres'!$B$5*(C1159-1)^2)),0)</x:f>
        <x:v>0</x:v>
      </x:c>
      <x:c r="I1159" s="28" t="n">
        <x:v>2</x:v>
      </x:c>
      <x:c r="J1159" s="28" t="n">
        <x:v>4</x:v>
      </x:c>
      <x:c r="K1159" s="30" t="n">
        <x:v>0.1</x:v>
      </x:c>
      <x:c r="L1159" s="54" t="n">
        <x:f>IF(M1159=0,0,(E1159+F1159)/2)</x:f>
        <x:v>12</x:v>
      </x:c>
      <x:c r="M1159" t="n">
        <x:v>2</x:v>
      </x:c>
      <x:c r="N1159" t="n">
        <x:v>8</x:v>
      </x:c>
      <x:c r="O1159" t="n">
        <x:v>3</x:v>
      </x:c>
      <x:c r="P1159" s="63" t="str">
        <x:f>IF(M1159=0,"—",M1159&amp;"d"&amp;N1159&amp;IF(O1159=0,""," + "&amp;O1159))</x:f>
        <x:v>2d8 + 3</x:v>
      </x:c>
      <x:c r="Q1159" t="n">
        <x:f>ROUND(INDEX(Catalogue!E$4:E$85,MATCH(A1159,Catalogue!A$4:A$85,0))*(1+'Paramètres'!$B$4*(C1159-1)+'Paramètres'!$B$5*(C1159-1)^2),0)</x:f>
        <x:v>6</x:v>
      </x:c>
      <x:c r="R1159" t="n">
        <x:f>ROUND(INDEX(Catalogue!F$4:F$85,MATCH(A1159,Catalogue!A$4:A$85,0))*(1+'Paramètres'!$B$4*(C1159-1)+'Paramètres'!$B$5*(C1159-1)^2),0)</x:f>
        <x:v>19</x:v>
      </x:c>
      <x:c r="S1159" t="n">
        <x:f>L1159-AVERAGE(Q1159:R1159)</x:f>
        <x:v>-0.5</x:v>
      </x:c>
      <x:c r="T1159" t="str">
        <x:f>IF(M1159=0,IF(AND(N1159=0,O1159=0,E1159=0,F1159=0),"OK","ERREUR"),IF(AND(M1159&gt;=1,M1159&lt;=32,OR(N1159=4,N1159=6,N1159=8,N1159=10,N1159=12,N1159=20),O1159&gt;=0,E1159=M1159+O1159,F1159=M1159*N1159+O1159),"OK","ERREUR"))</x:f>
        <x:v>OK</x:v>
      </x:c>
      <x:c r="U1159" s="86" t="n">
        <x:f>IF(M1159&gt;0,M1159*(N1159+1)/2+O1159,0)</x:f>
        <x:v>12</x:v>
      </x:c>
      <x:c r="V1159" t="str">
        <x:f>IF(ABS(L1159-U1159)&lt;0.001,"OK","ERREUR")</x:f>
        <x:v>OK</x:v>
      </x:c>
    </x:row>
    <x:row r="1160" ht="18" customHeight="1">
      <x:c r="A1160" t="str">
        <x:v>ARM058</x:v>
      </x:c>
      <x:c r="B1160" t="str">
        <x:v>Dard</x:v>
      </x:c>
      <x:c r="C1160" t="n">
        <x:v>17</x:v>
      </x:c>
      <x:c r="D1160" t="str">
        <x:v>Jet</x:v>
      </x:c>
      <x:c r="E1160" s="28" t="n">
        <x:f>IF(M1160=0,0,M1160+O1160)</x:f>
        <x:v>7</x:v>
      </x:c>
      <x:c r="F1160" s="28" t="n">
        <x:f>IF(M1160=0,0,M1160*N1160+O1160)</x:f>
        <x:v>21</x:v>
      </x:c>
      <x:c r="G1160" s="28" t="n">
        <x:f>ROUND(Catalogue!G61*SQRT((1+'Paramètres'!$B$4*(C1160-1)+'Paramètres'!$B$5*(C1160-1)^2)),0)</x:f>
        <x:v>0</x:v>
      </x:c>
      <x:c r="H1160" s="28" t="n">
        <x:f>ROUND(Catalogue!H61*SQRT((1+'Paramètres'!$B$4*(C1160-1)+'Paramètres'!$B$5*(C1160-1)^2)),0)</x:f>
        <x:v>0</x:v>
      </x:c>
      <x:c r="I1160" s="28" t="n">
        <x:v>2</x:v>
      </x:c>
      <x:c r="J1160" s="28" t="n">
        <x:v>4</x:v>
      </x:c>
      <x:c r="K1160" s="30" t="n">
        <x:v>0.1</x:v>
      </x:c>
      <x:c r="L1160" s="54" t="n">
        <x:f>IF(M1160=0,0,(E1160+F1160)/2)</x:f>
        <x:v>14</x:v>
      </x:c>
      <x:c r="M1160" t="n">
        <x:v>2</x:v>
      </x:c>
      <x:c r="N1160" t="n">
        <x:v>8</x:v>
      </x:c>
      <x:c r="O1160" t="n">
        <x:v>5</x:v>
      </x:c>
      <x:c r="P1160" s="63" t="str">
        <x:f>IF(M1160=0,"—",M1160&amp;"d"&amp;N1160&amp;IF(O1160=0,""," + "&amp;O1160))</x:f>
        <x:v>2d8 + 5</x:v>
      </x:c>
      <x:c r="Q1160" t="n">
        <x:f>ROUND(INDEX(Catalogue!E$4:E$85,MATCH(A1160,Catalogue!A$4:A$85,0))*(1+'Paramètres'!$B$4*(C1160-1)+'Paramètres'!$B$5*(C1160-1)^2),0)</x:f>
        <x:v>7</x:v>
      </x:c>
      <x:c r="R1160" t="n">
        <x:f>ROUND(INDEX(Catalogue!F$4:F$85,MATCH(A1160,Catalogue!A$4:A$85,0))*(1+'Paramètres'!$B$4*(C1160-1)+'Paramètres'!$B$5*(C1160-1)^2),0)</x:f>
        <x:v>21</x:v>
      </x:c>
      <x:c r="S1160" t="n">
        <x:f>L1160-AVERAGE(Q1160:R1160)</x:f>
        <x:v>0</x:v>
      </x:c>
      <x:c r="T1160" t="str">
        <x:f>IF(M1160=0,IF(AND(N1160=0,O1160=0,E1160=0,F1160=0),"OK","ERREUR"),IF(AND(M1160&gt;=1,M1160&lt;=32,OR(N1160=4,N1160=6,N1160=8,N1160=10,N1160=12,N1160=20),O1160&gt;=0,E1160=M1160+O1160,F1160=M1160*N1160+O1160),"OK","ERREUR"))</x:f>
        <x:v>OK</x:v>
      </x:c>
      <x:c r="U1160" s="86" t="n">
        <x:f>IF(M1160&gt;0,M1160*(N1160+1)/2+O1160,0)</x:f>
        <x:v>14</x:v>
      </x:c>
      <x:c r="V1160" t="str">
        <x:f>IF(ABS(L1160-U1160)&lt;0.001,"OK","ERREUR")</x:f>
        <x:v>OK</x:v>
      </x:c>
    </x:row>
    <x:row r="1161" ht="18" customHeight="1">
      <x:c r="A1161" t="str">
        <x:v>ARM058</x:v>
      </x:c>
      <x:c r="B1161" t="str">
        <x:v>Dard</x:v>
      </x:c>
      <x:c r="C1161" t="n">
        <x:v>18</x:v>
      </x:c>
      <x:c r="D1161" t="str">
        <x:v>Jet</x:v>
      </x:c>
      <x:c r="E1161" s="28" t="n">
        <x:f>IF(M1161=0,0,M1161+O1161)</x:f>
        <x:v>7</x:v>
      </x:c>
      <x:c r="F1161" s="28" t="n">
        <x:f>IF(M1161=0,0,M1161*N1161+O1161)</x:f>
        <x:v>22</x:v>
      </x:c>
      <x:c r="G1161" s="28" t="n">
        <x:f>ROUND(Catalogue!G61*SQRT((1+'Paramètres'!$B$4*(C1161-1)+'Paramètres'!$B$5*(C1161-1)^2)),0)</x:f>
        <x:v>0</x:v>
      </x:c>
      <x:c r="H1161" s="28" t="n">
        <x:f>ROUND(Catalogue!H61*SQRT((1+'Paramètres'!$B$4*(C1161-1)+'Paramètres'!$B$5*(C1161-1)^2)),0)</x:f>
        <x:v>0</x:v>
      </x:c>
      <x:c r="I1161" s="28" t="n">
        <x:v>2</x:v>
      </x:c>
      <x:c r="J1161" s="28" t="n">
        <x:v>4</x:v>
      </x:c>
      <x:c r="K1161" s="30" t="n">
        <x:v>0.1</x:v>
      </x:c>
      <x:c r="L1161" s="54" t="n">
        <x:f>IF(M1161=0,0,(E1161+F1161)/2)</x:f>
        <x:v>14.5</x:v>
      </x:c>
      <x:c r="M1161" t="n">
        <x:v>3</x:v>
      </x:c>
      <x:c r="N1161" t="n">
        <x:v>6</x:v>
      </x:c>
      <x:c r="O1161" t="n">
        <x:v>4</x:v>
      </x:c>
      <x:c r="P1161" s="63" t="str">
        <x:f>IF(M1161=0,"—",M1161&amp;"d"&amp;N1161&amp;IF(O1161=0,""," + "&amp;O1161))</x:f>
        <x:v>3d6 + 4</x:v>
      </x:c>
      <x:c r="Q1161" t="n">
        <x:f>ROUND(INDEX(Catalogue!E$4:E$85,MATCH(A1161,Catalogue!A$4:A$85,0))*(1+'Paramètres'!$B$4*(C1161-1)+'Paramètres'!$B$5*(C1161-1)^2),0)</x:f>
        <x:v>7</x:v>
      </x:c>
      <x:c r="R1161" t="n">
        <x:f>ROUND(INDEX(Catalogue!F$4:F$85,MATCH(A1161,Catalogue!A$4:A$85,0))*(1+'Paramètres'!$B$4*(C1161-1)+'Paramètres'!$B$5*(C1161-1)^2),0)</x:f>
        <x:v>22</x:v>
      </x:c>
      <x:c r="S1161" t="n">
        <x:f>L1161-AVERAGE(Q1161:R1161)</x:f>
        <x:v>0</x:v>
      </x:c>
      <x:c r="T1161" t="str">
        <x:f>IF(M1161=0,IF(AND(N1161=0,O1161=0,E1161=0,F1161=0),"OK","ERREUR"),IF(AND(M1161&gt;=1,M1161&lt;=32,OR(N1161=4,N1161=6,N1161=8,N1161=10,N1161=12,N1161=20),O1161&gt;=0,E1161=M1161+O1161,F1161=M1161*N1161+O1161),"OK","ERREUR"))</x:f>
        <x:v>OK</x:v>
      </x:c>
      <x:c r="U1161" s="86" t="n">
        <x:f>IF(M1161&gt;0,M1161*(N1161+1)/2+O1161,0)</x:f>
        <x:v>14.5</x:v>
      </x:c>
      <x:c r="V1161" t="str">
        <x:f>IF(ABS(L1161-U1161)&lt;0.001,"OK","ERREUR")</x:f>
        <x:v>OK</x:v>
      </x:c>
    </x:row>
    <x:row r="1162" ht="18" customHeight="1">
      <x:c r="A1162" t="str">
        <x:v>ARM058</x:v>
      </x:c>
      <x:c r="B1162" t="str">
        <x:v>Dard</x:v>
      </x:c>
      <x:c r="C1162" t="n">
        <x:v>19</x:v>
      </x:c>
      <x:c r="D1162" t="str">
        <x:v>Jet</x:v>
      </x:c>
      <x:c r="E1162" s="28" t="n">
        <x:f>IF(M1162=0,0,M1162+O1162)</x:f>
        <x:v>8</x:v>
      </x:c>
      <x:c r="F1162" s="28" t="n">
        <x:f>IF(M1162=0,0,M1162*N1162+O1162)</x:f>
        <x:v>23</x:v>
      </x:c>
      <x:c r="G1162" s="28" t="n">
        <x:f>ROUND(Catalogue!G61*SQRT((1+'Paramètres'!$B$4*(C1162-1)+'Paramètres'!$B$5*(C1162-1)^2)),0)</x:f>
        <x:v>0</x:v>
      </x:c>
      <x:c r="H1162" s="28" t="n">
        <x:f>ROUND(Catalogue!H61*SQRT((1+'Paramètres'!$B$4*(C1162-1)+'Paramètres'!$B$5*(C1162-1)^2)),0)</x:f>
        <x:v>0</x:v>
      </x:c>
      <x:c r="I1162" s="28" t="n">
        <x:v>2</x:v>
      </x:c>
      <x:c r="J1162" s="28" t="n">
        <x:v>4</x:v>
      </x:c>
      <x:c r="K1162" s="30" t="n">
        <x:v>0.1</x:v>
      </x:c>
      <x:c r="L1162" s="54" t="n">
        <x:f>IF(M1162=0,0,(E1162+F1162)/2)</x:f>
        <x:v>15.5</x:v>
      </x:c>
      <x:c r="M1162" t="n">
        <x:v>3</x:v>
      </x:c>
      <x:c r="N1162" t="n">
        <x:v>6</x:v>
      </x:c>
      <x:c r="O1162" t="n">
        <x:v>5</x:v>
      </x:c>
      <x:c r="P1162" s="63" t="str">
        <x:f>IF(M1162=0,"—",M1162&amp;"d"&amp;N1162&amp;IF(O1162=0,""," + "&amp;O1162))</x:f>
        <x:v>3d6 + 5</x:v>
      </x:c>
      <x:c r="Q1162" t="n">
        <x:f>ROUND(INDEX(Catalogue!E$4:E$85,MATCH(A1162,Catalogue!A$4:A$85,0))*(1+'Paramètres'!$B$4*(C1162-1)+'Paramètres'!$B$5*(C1162-1)^2),0)</x:f>
        <x:v>8</x:v>
      </x:c>
      <x:c r="R1162" t="n">
        <x:f>ROUND(INDEX(Catalogue!F$4:F$85,MATCH(A1162,Catalogue!A$4:A$85,0))*(1+'Paramètres'!$B$4*(C1162-1)+'Paramètres'!$B$5*(C1162-1)^2),0)</x:f>
        <x:v>24</x:v>
      </x:c>
      <x:c r="S1162" t="n">
        <x:f>L1162-AVERAGE(Q1162:R1162)</x:f>
        <x:v>-0.5</x:v>
      </x:c>
      <x:c r="T1162" t="str">
        <x:f>IF(M1162=0,IF(AND(N1162=0,O1162=0,E1162=0,F1162=0),"OK","ERREUR"),IF(AND(M1162&gt;=1,M1162&lt;=32,OR(N1162=4,N1162=6,N1162=8,N1162=10,N1162=12,N1162=20),O1162&gt;=0,E1162=M1162+O1162,F1162=M1162*N1162+O1162),"OK","ERREUR"))</x:f>
        <x:v>OK</x:v>
      </x:c>
      <x:c r="U1162" s="86" t="n">
        <x:f>IF(M1162&gt;0,M1162*(N1162+1)/2+O1162,0)</x:f>
        <x:v>15.5</x:v>
      </x:c>
      <x:c r="V1162" t="str">
        <x:f>IF(ABS(L1162-U1162)&lt;0.001,"OK","ERREUR")</x:f>
        <x:v>OK</x:v>
      </x:c>
    </x:row>
    <x:row r="1163" ht="18" customHeight="1">
      <x:c r="A1163" t="str">
        <x:v>ARM058</x:v>
      </x:c>
      <x:c r="B1163" t="str">
        <x:v>Dard</x:v>
      </x:c>
      <x:c r="C1163" t="n">
        <x:v>20</x:v>
      </x:c>
      <x:c r="D1163" t="str">
        <x:v>Jet</x:v>
      </x:c>
      <x:c r="E1163" s="28" t="n">
        <x:f>IF(M1163=0,0,M1163+O1163)</x:f>
        <x:v>9</x:v>
      </x:c>
      <x:c r="F1163" s="28" t="n">
        <x:f>IF(M1163=0,0,M1163*N1163+O1163)</x:f>
        <x:v>27</x:v>
      </x:c>
      <x:c r="G1163" s="28" t="n">
        <x:f>ROUND(Catalogue!G61*SQRT((1+'Paramètres'!$B$4*(C1163-1)+'Paramètres'!$B$5*(C1163-1)^2)),0)</x:f>
        <x:v>0</x:v>
      </x:c>
      <x:c r="H1163" s="28" t="n">
        <x:f>ROUND(Catalogue!H61*SQRT((1+'Paramètres'!$B$4*(C1163-1)+'Paramètres'!$B$5*(C1163-1)^2)),0)</x:f>
        <x:v>0</x:v>
      </x:c>
      <x:c r="I1163" s="28" t="n">
        <x:v>2</x:v>
      </x:c>
      <x:c r="J1163" s="28" t="n">
        <x:v>4</x:v>
      </x:c>
      <x:c r="K1163" s="30" t="n">
        <x:v>0.1</x:v>
      </x:c>
      <x:c r="L1163" s="54" t="n">
        <x:f>IF(M1163=0,0,(E1163+F1163)/2)</x:f>
        <x:v>18</x:v>
      </x:c>
      <x:c r="M1163" t="n">
        <x:v>6</x:v>
      </x:c>
      <x:c r="N1163" t="n">
        <x:v>4</x:v>
      </x:c>
      <x:c r="O1163" t="n">
        <x:v>3</x:v>
      </x:c>
      <x:c r="P1163" s="63" t="str">
        <x:f>IF(M1163=0,"—",M1163&amp;"d"&amp;N1163&amp;IF(O1163=0,""," + "&amp;O1163))</x:f>
        <x:v>6d4 + 3</x:v>
      </x:c>
      <x:c r="Q1163" t="n">
        <x:f>ROUND(INDEX(Catalogue!E$4:E$85,MATCH(A1163,Catalogue!A$4:A$85,0))*(1+'Paramètres'!$B$4*(C1163-1)+'Paramètres'!$B$5*(C1163-1)^2),0)</x:f>
        <x:v>9</x:v>
      </x:c>
      <x:c r="R1163" t="n">
        <x:f>ROUND(INDEX(Catalogue!F$4:F$85,MATCH(A1163,Catalogue!A$4:A$85,0))*(1+'Paramètres'!$B$4*(C1163-1)+'Paramètres'!$B$5*(C1163-1)^2),0)</x:f>
        <x:v>27</x:v>
      </x:c>
      <x:c r="S1163" t="n">
        <x:f>L1163-AVERAGE(Q1163:R1163)</x:f>
        <x:v>0</x:v>
      </x:c>
      <x:c r="T1163" t="str">
        <x:f>IF(M1163=0,IF(AND(N1163=0,O1163=0,E1163=0,F1163=0),"OK","ERREUR"),IF(AND(M1163&gt;=1,M1163&lt;=32,OR(N1163=4,N1163=6,N1163=8,N1163=10,N1163=12,N1163=20),O1163&gt;=0,E1163=M1163+O1163,F1163=M1163*N1163+O1163),"OK","ERREUR"))</x:f>
        <x:v>OK</x:v>
      </x:c>
      <x:c r="U1163" s="86" t="n">
        <x:f>IF(M1163&gt;0,M1163*(N1163+1)/2+O1163,0)</x:f>
        <x:v>18</x:v>
      </x:c>
      <x:c r="V1163" t="str">
        <x:f>IF(ABS(L1163-U1163)&lt;0.001,"OK","ERREUR")</x:f>
        <x:v>OK</x:v>
      </x:c>
    </x:row>
    <x:row r="1164" ht="18" customHeight="1">
      <x:c r="A1164" t="str">
        <x:v>ARM059</x:v>
      </x:c>
      <x:c r="B1164" t="str">
        <x:v>Bolas</x:v>
      </x:c>
      <x:c r="C1164" t="n">
        <x:v>1</x:v>
      </x:c>
      <x:c r="D1164" t="str">
        <x:v>Jet</x:v>
      </x:c>
      <x:c r="E1164" s="28" t="n">
        <x:f>IF(M1164=0,0,M1164+O1164)</x:f>
        <x:v>1</x:v>
      </x:c>
      <x:c r="F1164" s="28" t="n">
        <x:f>IF(M1164=0,0,M1164*N1164+O1164)</x:f>
        <x:v>4</x:v>
      </x:c>
      <x:c r="G1164" s="28" t="n">
        <x:f>ROUND(Catalogue!G62*SQRT((1+'Paramètres'!$B$4*(C1164-1)+'Paramètres'!$B$5*(C1164-1)^2)),0)</x:f>
        <x:v>0</x:v>
      </x:c>
      <x:c r="H1164" s="28" t="n">
        <x:f>ROUND(Catalogue!H62*SQRT((1+'Paramètres'!$B$4*(C1164-1)+'Paramètres'!$B$5*(C1164-1)^2)),0)</x:f>
        <x:v>0</x:v>
      </x:c>
      <x:c r="I1164" s="28" t="n">
        <x:v>2</x:v>
      </x:c>
      <x:c r="J1164" s="28" t="n">
        <x:v>3</x:v>
      </x:c>
      <x:c r="K1164" s="30" t="n">
        <x:v>0.7</x:v>
      </x:c>
      <x:c r="L1164" s="54" t="n">
        <x:f>IF(M1164=0,0,(E1164+F1164)/2)</x:f>
        <x:v>2.5</x:v>
      </x:c>
      <x:c r="M1164" t="n">
        <x:v>1</x:v>
      </x:c>
      <x:c r="N1164" t="n">
        <x:v>4</x:v>
      </x:c>
      <x:c r="O1164" t="n">
        <x:v>0</x:v>
      </x:c>
      <x:c r="P1164" s="63" t="str">
        <x:f>IF(M1164=0,"—",M1164&amp;"d"&amp;N1164&amp;IF(O1164=0,""," + "&amp;O1164))</x:f>
        <x:v>1d4</x:v>
      </x:c>
      <x:c r="Q1164" t="n">
        <x:f>ROUND(INDEX(Catalogue!E$4:E$85,MATCH(A1164,Catalogue!A$4:A$85,0))*(1+'Paramètres'!$B$4*(C1164-1)+'Paramètres'!$B$5*(C1164-1)^2),0)</x:f>
        <x:v>1</x:v>
      </x:c>
      <x:c r="R1164" t="n">
        <x:f>ROUND(INDEX(Catalogue!F$4:F$85,MATCH(A1164,Catalogue!A$4:A$85,0))*(1+'Paramètres'!$B$4*(C1164-1)+'Paramètres'!$B$5*(C1164-1)^2),0)</x:f>
        <x:v>2</x:v>
      </x:c>
      <x:c r="S1164" t="n">
        <x:f>L1164-AVERAGE(Q1164:R1164)</x:f>
        <x:v>1</x:v>
      </x:c>
      <x:c r="T1164" t="str">
        <x:f>IF(M1164=0,IF(AND(N1164=0,O1164=0,E1164=0,F1164=0),"OK","ERREUR"),IF(AND(M1164&gt;=1,M1164&lt;=32,OR(N1164=4,N1164=6,N1164=8,N1164=10,N1164=12,N1164=20),O1164&gt;=0,E1164=M1164+O1164,F1164=M1164*N1164+O1164),"OK","ERREUR"))</x:f>
        <x:v>OK</x:v>
      </x:c>
      <x:c r="U1164" s="86" t="n">
        <x:f>IF(M1164&gt;0,M1164*(N1164+1)/2+O1164,0)</x:f>
        <x:v>2.5</x:v>
      </x:c>
      <x:c r="V1164" t="str">
        <x:f>IF(ABS(L1164-U1164)&lt;0.001,"OK","ERREUR")</x:f>
        <x:v>OK</x:v>
      </x:c>
    </x:row>
    <x:row r="1165" ht="18" customHeight="1">
      <x:c r="A1165" t="str">
        <x:v>ARM059</x:v>
      </x:c>
      <x:c r="B1165" t="str">
        <x:v>Bolas</x:v>
      </x:c>
      <x:c r="C1165" t="n">
        <x:v>2</x:v>
      </x:c>
      <x:c r="D1165" t="str">
        <x:v>Jet</x:v>
      </x:c>
      <x:c r="E1165" s="28" t="n">
        <x:f>IF(M1165=0,0,M1165+O1165)</x:f>
        <x:v>1</x:v>
      </x:c>
      <x:c r="F1165" s="28" t="n">
        <x:f>IF(M1165=0,0,M1165*N1165+O1165)</x:f>
        <x:v>4</x:v>
      </x:c>
      <x:c r="G1165" s="28" t="n">
        <x:f>ROUND(Catalogue!G62*SQRT((1+'Paramètres'!$B$4*(C1165-1)+'Paramètres'!$B$5*(C1165-1)^2)),0)</x:f>
        <x:v>0</x:v>
      </x:c>
      <x:c r="H1165" s="28" t="n">
        <x:f>ROUND(Catalogue!H62*SQRT((1+'Paramètres'!$B$4*(C1165-1)+'Paramètres'!$B$5*(C1165-1)^2)),0)</x:f>
        <x:v>0</x:v>
      </x:c>
      <x:c r="I1165" s="28" t="n">
        <x:v>2</x:v>
      </x:c>
      <x:c r="J1165" s="28" t="n">
        <x:v>3</x:v>
      </x:c>
      <x:c r="K1165" s="30" t="n">
        <x:v>0.7</x:v>
      </x:c>
      <x:c r="L1165" s="54" t="n">
        <x:f>IF(M1165=0,0,(E1165+F1165)/2)</x:f>
        <x:v>2.5</x:v>
      </x:c>
      <x:c r="M1165" t="n">
        <x:v>1</x:v>
      </x:c>
      <x:c r="N1165" t="n">
        <x:v>4</x:v>
      </x:c>
      <x:c r="O1165" t="n">
        <x:v>0</x:v>
      </x:c>
      <x:c r="P1165" s="63" t="str">
        <x:f>IF(M1165=0,"—",M1165&amp;"d"&amp;N1165&amp;IF(O1165=0,""," + "&amp;O1165))</x:f>
        <x:v>1d4</x:v>
      </x:c>
      <x:c r="Q1165" t="n">
        <x:f>ROUND(INDEX(Catalogue!E$4:E$85,MATCH(A1165,Catalogue!A$4:A$85,0))*(1+'Paramètres'!$B$4*(C1165-1)+'Paramètres'!$B$5*(C1165-1)^2),0)</x:f>
        <x:v>1</x:v>
      </x:c>
      <x:c r="R1165" t="n">
        <x:f>ROUND(INDEX(Catalogue!F$4:F$85,MATCH(A1165,Catalogue!A$4:A$85,0))*(1+'Paramètres'!$B$4*(C1165-1)+'Paramètres'!$B$5*(C1165-1)^2),0)</x:f>
        <x:v>2</x:v>
      </x:c>
      <x:c r="S1165" t="n">
        <x:f>L1165-AVERAGE(Q1165:R1165)</x:f>
        <x:v>1</x:v>
      </x:c>
      <x:c r="T1165" t="str">
        <x:f>IF(M1165=0,IF(AND(N1165=0,O1165=0,E1165=0,F1165=0),"OK","ERREUR"),IF(AND(M1165&gt;=1,M1165&lt;=32,OR(N1165=4,N1165=6,N1165=8,N1165=10,N1165=12,N1165=20),O1165&gt;=0,E1165=M1165+O1165,F1165=M1165*N1165+O1165),"OK","ERREUR"))</x:f>
        <x:v>OK</x:v>
      </x:c>
      <x:c r="U1165" s="86" t="n">
        <x:f>IF(M1165&gt;0,M1165*(N1165+1)/2+O1165,0)</x:f>
        <x:v>2.5</x:v>
      </x:c>
      <x:c r="V1165" t="str">
        <x:f>IF(ABS(L1165-U1165)&lt;0.001,"OK","ERREUR")</x:f>
        <x:v>OK</x:v>
      </x:c>
    </x:row>
    <x:row r="1166" ht="18" customHeight="1">
      <x:c r="A1166" t="str">
        <x:v>ARM059</x:v>
      </x:c>
      <x:c r="B1166" t="str">
        <x:v>Bolas</x:v>
      </x:c>
      <x:c r="C1166" t="n">
        <x:v>3</x:v>
      </x:c>
      <x:c r="D1166" t="str">
        <x:v>Jet</x:v>
      </x:c>
      <x:c r="E1166" s="28" t="n">
        <x:f>IF(M1166=0,0,M1166+O1166)</x:f>
        <x:v>1</x:v>
      </x:c>
      <x:c r="F1166" s="28" t="n">
        <x:f>IF(M1166=0,0,M1166*N1166+O1166)</x:f>
        <x:v>4</x:v>
      </x:c>
      <x:c r="G1166" s="28" t="n">
        <x:f>ROUND(Catalogue!G62*SQRT((1+'Paramètres'!$B$4*(C1166-1)+'Paramètres'!$B$5*(C1166-1)^2)),0)</x:f>
        <x:v>0</x:v>
      </x:c>
      <x:c r="H1166" s="28" t="n">
        <x:f>ROUND(Catalogue!H62*SQRT((1+'Paramètres'!$B$4*(C1166-1)+'Paramètres'!$B$5*(C1166-1)^2)),0)</x:f>
        <x:v>0</x:v>
      </x:c>
      <x:c r="I1166" s="28" t="n">
        <x:v>2</x:v>
      </x:c>
      <x:c r="J1166" s="28" t="n">
        <x:v>3</x:v>
      </x:c>
      <x:c r="K1166" s="30" t="n">
        <x:v>0.7</x:v>
      </x:c>
      <x:c r="L1166" s="54" t="n">
        <x:f>IF(M1166=0,0,(E1166+F1166)/2)</x:f>
        <x:v>2.5</x:v>
      </x:c>
      <x:c r="M1166" t="n">
        <x:v>1</x:v>
      </x:c>
      <x:c r="N1166" t="n">
        <x:v>4</x:v>
      </x:c>
      <x:c r="O1166" t="n">
        <x:v>0</x:v>
      </x:c>
      <x:c r="P1166" s="63" t="str">
        <x:f>IF(M1166=0,"—",M1166&amp;"d"&amp;N1166&amp;IF(O1166=0,""," + "&amp;O1166))</x:f>
        <x:v>1d4</x:v>
      </x:c>
      <x:c r="Q1166" t="n">
        <x:f>ROUND(INDEX(Catalogue!E$4:E$85,MATCH(A1166,Catalogue!A$4:A$85,0))*(1+'Paramètres'!$B$4*(C1166-1)+'Paramètres'!$B$5*(C1166-1)^2),0)</x:f>
        <x:v>1</x:v>
      </x:c>
      <x:c r="R1166" t="n">
        <x:f>ROUND(INDEX(Catalogue!F$4:F$85,MATCH(A1166,Catalogue!A$4:A$85,0))*(1+'Paramètres'!$B$4*(C1166-1)+'Paramètres'!$B$5*(C1166-1)^2),0)</x:f>
        <x:v>3</x:v>
      </x:c>
      <x:c r="S1166" t="n">
        <x:f>L1166-AVERAGE(Q1166:R1166)</x:f>
        <x:v>0.5</x:v>
      </x:c>
      <x:c r="T1166" t="str">
        <x:f>IF(M1166=0,IF(AND(N1166=0,O1166=0,E1166=0,F1166=0),"OK","ERREUR"),IF(AND(M1166&gt;=1,M1166&lt;=32,OR(N1166=4,N1166=6,N1166=8,N1166=10,N1166=12,N1166=20),O1166&gt;=0,E1166=M1166+O1166,F1166=M1166*N1166+O1166),"OK","ERREUR"))</x:f>
        <x:v>OK</x:v>
      </x:c>
      <x:c r="U1166" s="86" t="n">
        <x:f>IF(M1166&gt;0,M1166*(N1166+1)/2+O1166,0)</x:f>
        <x:v>2.5</x:v>
      </x:c>
      <x:c r="V1166" t="str">
        <x:f>IF(ABS(L1166-U1166)&lt;0.001,"OK","ERREUR")</x:f>
        <x:v>OK</x:v>
      </x:c>
    </x:row>
    <x:row r="1167" ht="18" customHeight="1">
      <x:c r="A1167" t="str">
        <x:v>ARM059</x:v>
      </x:c>
      <x:c r="B1167" t="str">
        <x:v>Bolas</x:v>
      </x:c>
      <x:c r="C1167" t="n">
        <x:v>4</x:v>
      </x:c>
      <x:c r="D1167" t="str">
        <x:v>Jet</x:v>
      </x:c>
      <x:c r="E1167" s="28" t="n">
        <x:f>IF(M1167=0,0,M1167+O1167)</x:f>
        <x:v>1</x:v>
      </x:c>
      <x:c r="F1167" s="28" t="n">
        <x:f>IF(M1167=0,0,M1167*N1167+O1167)</x:f>
        <x:v>4</x:v>
      </x:c>
      <x:c r="G1167" s="28" t="n">
        <x:f>ROUND(Catalogue!G62*SQRT((1+'Paramètres'!$B$4*(C1167-1)+'Paramètres'!$B$5*(C1167-1)^2)),0)</x:f>
        <x:v>0</x:v>
      </x:c>
      <x:c r="H1167" s="28" t="n">
        <x:f>ROUND(Catalogue!H62*SQRT((1+'Paramètres'!$B$4*(C1167-1)+'Paramètres'!$B$5*(C1167-1)^2)),0)</x:f>
        <x:v>0</x:v>
      </x:c>
      <x:c r="I1167" s="28" t="n">
        <x:v>2</x:v>
      </x:c>
      <x:c r="J1167" s="28" t="n">
        <x:v>3</x:v>
      </x:c>
      <x:c r="K1167" s="30" t="n">
        <x:v>0.7</x:v>
      </x:c>
      <x:c r="L1167" s="54" t="n">
        <x:f>IF(M1167=0,0,(E1167+F1167)/2)</x:f>
        <x:v>2.5</x:v>
      </x:c>
      <x:c r="M1167" t="n">
        <x:v>1</x:v>
      </x:c>
      <x:c r="N1167" t="n">
        <x:v>4</x:v>
      </x:c>
      <x:c r="O1167" t="n">
        <x:v>0</x:v>
      </x:c>
      <x:c r="P1167" s="63" t="str">
        <x:f>IF(M1167=0,"—",M1167&amp;"d"&amp;N1167&amp;IF(O1167=0,""," + "&amp;O1167))</x:f>
        <x:v>1d4</x:v>
      </x:c>
      <x:c r="Q1167" t="n">
        <x:f>ROUND(INDEX(Catalogue!E$4:E$85,MATCH(A1167,Catalogue!A$4:A$85,0))*(1+'Paramètres'!$B$4*(C1167-1)+'Paramètres'!$B$5*(C1167-1)^2),0)</x:f>
        <x:v>1</x:v>
      </x:c>
      <x:c r="R1167" t="n">
        <x:f>ROUND(INDEX(Catalogue!F$4:F$85,MATCH(A1167,Catalogue!A$4:A$85,0))*(1+'Paramètres'!$B$4*(C1167-1)+'Paramètres'!$B$5*(C1167-1)^2),0)</x:f>
        <x:v>3</x:v>
      </x:c>
      <x:c r="S1167" t="n">
        <x:f>L1167-AVERAGE(Q1167:R1167)</x:f>
        <x:v>0.5</x:v>
      </x:c>
      <x:c r="T1167" t="str">
        <x:f>IF(M1167=0,IF(AND(N1167=0,O1167=0,E1167=0,F1167=0),"OK","ERREUR"),IF(AND(M1167&gt;=1,M1167&lt;=32,OR(N1167=4,N1167=6,N1167=8,N1167=10,N1167=12,N1167=20),O1167&gt;=0,E1167=M1167+O1167,F1167=M1167*N1167+O1167),"OK","ERREUR"))</x:f>
        <x:v>OK</x:v>
      </x:c>
      <x:c r="U1167" s="86" t="n">
        <x:f>IF(M1167&gt;0,M1167*(N1167+1)/2+O1167,0)</x:f>
        <x:v>2.5</x:v>
      </x:c>
      <x:c r="V1167" t="str">
        <x:f>IF(ABS(L1167-U1167)&lt;0.001,"OK","ERREUR")</x:f>
        <x:v>OK</x:v>
      </x:c>
    </x:row>
    <x:row r="1168" ht="18" customHeight="1">
      <x:c r="A1168" t="str">
        <x:v>ARM059</x:v>
      </x:c>
      <x:c r="B1168" t="str">
        <x:v>Bolas</x:v>
      </x:c>
      <x:c r="C1168" t="n">
        <x:v>5</x:v>
      </x:c>
      <x:c r="D1168" t="str">
        <x:v>Jet</x:v>
      </x:c>
      <x:c r="E1168" s="28" t="n">
        <x:f>IF(M1168=0,0,M1168+O1168)</x:f>
        <x:v>1</x:v>
      </x:c>
      <x:c r="F1168" s="28" t="n">
        <x:f>IF(M1168=0,0,M1168*N1168+O1168)</x:f>
        <x:v>4</x:v>
      </x:c>
      <x:c r="G1168" s="28" t="n">
        <x:f>ROUND(Catalogue!G62*SQRT((1+'Paramètres'!$B$4*(C1168-1)+'Paramètres'!$B$5*(C1168-1)^2)),0)</x:f>
        <x:v>0</x:v>
      </x:c>
      <x:c r="H1168" s="28" t="n">
        <x:f>ROUND(Catalogue!H62*SQRT((1+'Paramètres'!$B$4*(C1168-1)+'Paramètres'!$B$5*(C1168-1)^2)),0)</x:f>
        <x:v>0</x:v>
      </x:c>
      <x:c r="I1168" s="28" t="n">
        <x:v>2</x:v>
      </x:c>
      <x:c r="J1168" s="28" t="n">
        <x:v>3</x:v>
      </x:c>
      <x:c r="K1168" s="30" t="n">
        <x:v>0.7</x:v>
      </x:c>
      <x:c r="L1168" s="54" t="n">
        <x:f>IF(M1168=0,0,(E1168+F1168)/2)</x:f>
        <x:v>2.5</x:v>
      </x:c>
      <x:c r="M1168" t="n">
        <x:v>1</x:v>
      </x:c>
      <x:c r="N1168" t="n">
        <x:v>4</x:v>
      </x:c>
      <x:c r="O1168" t="n">
        <x:v>0</x:v>
      </x:c>
      <x:c r="P1168" s="63" t="str">
        <x:f>IF(M1168=0,"—",M1168&amp;"d"&amp;N1168&amp;IF(O1168=0,""," + "&amp;O1168))</x:f>
        <x:v>1d4</x:v>
      </x:c>
      <x:c r="Q1168" t="n">
        <x:f>ROUND(INDEX(Catalogue!E$4:E$85,MATCH(A1168,Catalogue!A$4:A$85,0))*(1+'Paramètres'!$B$4*(C1168-1)+'Paramètres'!$B$5*(C1168-1)^2),0)</x:f>
        <x:v>2</x:v>
      </x:c>
      <x:c r="R1168" t="n">
        <x:f>ROUND(INDEX(Catalogue!F$4:F$85,MATCH(A1168,Catalogue!A$4:A$85,0))*(1+'Paramètres'!$B$4*(C1168-1)+'Paramètres'!$B$5*(C1168-1)^2),0)</x:f>
        <x:v>3</x:v>
      </x:c>
      <x:c r="S1168" t="n">
        <x:f>L1168-AVERAGE(Q1168:R1168)</x:f>
        <x:v>0</x:v>
      </x:c>
      <x:c r="T1168" t="str">
        <x:f>IF(M1168=0,IF(AND(N1168=0,O1168=0,E1168=0,F1168=0),"OK","ERREUR"),IF(AND(M1168&gt;=1,M1168&lt;=32,OR(N1168=4,N1168=6,N1168=8,N1168=10,N1168=12,N1168=20),O1168&gt;=0,E1168=M1168+O1168,F1168=M1168*N1168+O1168),"OK","ERREUR"))</x:f>
        <x:v>OK</x:v>
      </x:c>
      <x:c r="U1168" s="86" t="n">
        <x:f>IF(M1168&gt;0,M1168*(N1168+1)/2+O1168,0)</x:f>
        <x:v>2.5</x:v>
      </x:c>
      <x:c r="V1168" t="str">
        <x:f>IF(ABS(L1168-U1168)&lt;0.001,"OK","ERREUR")</x:f>
        <x:v>OK</x:v>
      </x:c>
    </x:row>
    <x:row r="1169" ht="18" customHeight="1">
      <x:c r="A1169" t="str">
        <x:v>ARM059</x:v>
      </x:c>
      <x:c r="B1169" t="str">
        <x:v>Bolas</x:v>
      </x:c>
      <x:c r="C1169" t="n">
        <x:v>6</x:v>
      </x:c>
      <x:c r="D1169" t="str">
        <x:v>Jet</x:v>
      </x:c>
      <x:c r="E1169" s="28" t="n">
        <x:f>IF(M1169=0,0,M1169+O1169)</x:f>
        <x:v>1</x:v>
      </x:c>
      <x:c r="F1169" s="28" t="n">
        <x:f>IF(M1169=0,0,M1169*N1169+O1169)</x:f>
        <x:v>4</x:v>
      </x:c>
      <x:c r="G1169" s="28" t="n">
        <x:f>ROUND(Catalogue!G62*SQRT((1+'Paramètres'!$B$4*(C1169-1)+'Paramètres'!$B$5*(C1169-1)^2)),0)</x:f>
        <x:v>0</x:v>
      </x:c>
      <x:c r="H1169" s="28" t="n">
        <x:f>ROUND(Catalogue!H62*SQRT((1+'Paramètres'!$B$4*(C1169-1)+'Paramètres'!$B$5*(C1169-1)^2)),0)</x:f>
        <x:v>0</x:v>
      </x:c>
      <x:c r="I1169" s="28" t="n">
        <x:v>2</x:v>
      </x:c>
      <x:c r="J1169" s="28" t="n">
        <x:v>3</x:v>
      </x:c>
      <x:c r="K1169" s="30" t="n">
        <x:v>0.7</x:v>
      </x:c>
      <x:c r="L1169" s="54" t="n">
        <x:f>IF(M1169=0,0,(E1169+F1169)/2)</x:f>
        <x:v>2.5</x:v>
      </x:c>
      <x:c r="M1169" t="n">
        <x:v>1</x:v>
      </x:c>
      <x:c r="N1169" t="n">
        <x:v>4</x:v>
      </x:c>
      <x:c r="O1169" t="n">
        <x:v>0</x:v>
      </x:c>
      <x:c r="P1169" s="63" t="str">
        <x:f>IF(M1169=0,"—",M1169&amp;"d"&amp;N1169&amp;IF(O1169=0,""," + "&amp;O1169))</x:f>
        <x:v>1d4</x:v>
      </x:c>
      <x:c r="Q1169" t="n">
        <x:f>ROUND(INDEX(Catalogue!E$4:E$85,MATCH(A1169,Catalogue!A$4:A$85,0))*(1+'Paramètres'!$B$4*(C1169-1)+'Paramètres'!$B$5*(C1169-1)^2),0)</x:f>
        <x:v>2</x:v>
      </x:c>
      <x:c r="R1169" t="n">
        <x:f>ROUND(INDEX(Catalogue!F$4:F$85,MATCH(A1169,Catalogue!A$4:A$85,0))*(1+'Paramètres'!$B$4*(C1169-1)+'Paramètres'!$B$5*(C1169-1)^2),0)</x:f>
        <x:v>4</x:v>
      </x:c>
      <x:c r="S1169" t="n">
        <x:f>L1169-AVERAGE(Q1169:R1169)</x:f>
        <x:v>-0.5</x:v>
      </x:c>
      <x:c r="T1169" t="str">
        <x:f>IF(M1169=0,IF(AND(N1169=0,O1169=0,E1169=0,F1169=0),"OK","ERREUR"),IF(AND(M1169&gt;=1,M1169&lt;=32,OR(N1169=4,N1169=6,N1169=8,N1169=10,N1169=12,N1169=20),O1169&gt;=0,E1169=M1169+O1169,F1169=M1169*N1169+O1169),"OK","ERREUR"))</x:f>
        <x:v>OK</x:v>
      </x:c>
      <x:c r="U1169" s="86" t="n">
        <x:f>IF(M1169&gt;0,M1169*(N1169+1)/2+O1169,0)</x:f>
        <x:v>2.5</x:v>
      </x:c>
      <x:c r="V1169" t="str">
        <x:f>IF(ABS(L1169-U1169)&lt;0.001,"OK","ERREUR")</x:f>
        <x:v>OK</x:v>
      </x:c>
    </x:row>
    <x:row r="1170" ht="18" customHeight="1">
      <x:c r="A1170" t="str">
        <x:v>ARM059</x:v>
      </x:c>
      <x:c r="B1170" t="str">
        <x:v>Bolas</x:v>
      </x:c>
      <x:c r="C1170" t="n">
        <x:v>7</x:v>
      </x:c>
      <x:c r="D1170" t="str">
        <x:v>Jet</x:v>
      </x:c>
      <x:c r="E1170" s="28" t="n">
        <x:f>IF(M1170=0,0,M1170+O1170)</x:f>
        <x:v>1</x:v>
      </x:c>
      <x:c r="F1170" s="28" t="n">
        <x:f>IF(M1170=0,0,M1170*N1170+O1170)</x:f>
        <x:v>4</x:v>
      </x:c>
      <x:c r="G1170" s="28" t="n">
        <x:f>ROUND(Catalogue!G62*SQRT((1+'Paramètres'!$B$4*(C1170-1)+'Paramètres'!$B$5*(C1170-1)^2)),0)</x:f>
        <x:v>0</x:v>
      </x:c>
      <x:c r="H1170" s="28" t="n">
        <x:f>ROUND(Catalogue!H62*SQRT((1+'Paramètres'!$B$4*(C1170-1)+'Paramètres'!$B$5*(C1170-1)^2)),0)</x:f>
        <x:v>0</x:v>
      </x:c>
      <x:c r="I1170" s="28" t="n">
        <x:v>2</x:v>
      </x:c>
      <x:c r="J1170" s="28" t="n">
        <x:v>3</x:v>
      </x:c>
      <x:c r="K1170" s="30" t="n">
        <x:v>0.7</x:v>
      </x:c>
      <x:c r="L1170" s="54" t="n">
        <x:f>IF(M1170=0,0,(E1170+F1170)/2)</x:f>
        <x:v>2.5</x:v>
      </x:c>
      <x:c r="M1170" t="n">
        <x:v>1</x:v>
      </x:c>
      <x:c r="N1170" t="n">
        <x:v>4</x:v>
      </x:c>
      <x:c r="O1170" t="n">
        <x:v>0</x:v>
      </x:c>
      <x:c r="P1170" s="63" t="str">
        <x:f>IF(M1170=0,"—",M1170&amp;"d"&amp;N1170&amp;IF(O1170=0,""," + "&amp;O1170))</x:f>
        <x:v>1d4</x:v>
      </x:c>
      <x:c r="Q1170" t="n">
        <x:f>ROUND(INDEX(Catalogue!E$4:E$85,MATCH(A1170,Catalogue!A$4:A$85,0))*(1+'Paramètres'!$B$4*(C1170-1)+'Paramètres'!$B$5*(C1170-1)^2),0)</x:f>
        <x:v>2</x:v>
      </x:c>
      <x:c r="R1170" t="n">
        <x:f>ROUND(INDEX(Catalogue!F$4:F$85,MATCH(A1170,Catalogue!A$4:A$85,0))*(1+'Paramètres'!$B$4*(C1170-1)+'Paramètres'!$B$5*(C1170-1)^2),0)</x:f>
        <x:v>4</x:v>
      </x:c>
      <x:c r="S1170" t="n">
        <x:f>L1170-AVERAGE(Q1170:R1170)</x:f>
        <x:v>-0.5</x:v>
      </x:c>
      <x:c r="T1170" t="str">
        <x:f>IF(M1170=0,IF(AND(N1170=0,O1170=0,E1170=0,F1170=0),"OK","ERREUR"),IF(AND(M1170&gt;=1,M1170&lt;=32,OR(N1170=4,N1170=6,N1170=8,N1170=10,N1170=12,N1170=20),O1170&gt;=0,E1170=M1170+O1170,F1170=M1170*N1170+O1170),"OK","ERREUR"))</x:f>
        <x:v>OK</x:v>
      </x:c>
      <x:c r="U1170" s="86" t="n">
        <x:f>IF(M1170&gt;0,M1170*(N1170+1)/2+O1170,0)</x:f>
        <x:v>2.5</x:v>
      </x:c>
      <x:c r="V1170" t="str">
        <x:f>IF(ABS(L1170-U1170)&lt;0.001,"OK","ERREUR")</x:f>
        <x:v>OK</x:v>
      </x:c>
    </x:row>
    <x:row r="1171" ht="18" customHeight="1">
      <x:c r="A1171" t="str">
        <x:v>ARM059</x:v>
      </x:c>
      <x:c r="B1171" t="str">
        <x:v>Bolas</x:v>
      </x:c>
      <x:c r="C1171" t="n">
        <x:v>8</x:v>
      </x:c>
      <x:c r="D1171" t="str">
        <x:v>Jet</x:v>
      </x:c>
      <x:c r="E1171" s="28" t="n">
        <x:f>IF(M1171=0,0,M1171+O1171)</x:f>
        <x:v>2</x:v>
      </x:c>
      <x:c r="F1171" s="28" t="n">
        <x:f>IF(M1171=0,0,M1171*N1171+O1171)</x:f>
        <x:v>5</x:v>
      </x:c>
      <x:c r="G1171" s="28" t="n">
        <x:f>ROUND(Catalogue!G62*SQRT((1+'Paramètres'!$B$4*(C1171-1)+'Paramètres'!$B$5*(C1171-1)^2)),0)</x:f>
        <x:v>0</x:v>
      </x:c>
      <x:c r="H1171" s="28" t="n">
        <x:f>ROUND(Catalogue!H62*SQRT((1+'Paramètres'!$B$4*(C1171-1)+'Paramètres'!$B$5*(C1171-1)^2)),0)</x:f>
        <x:v>0</x:v>
      </x:c>
      <x:c r="I1171" s="28" t="n">
        <x:v>2</x:v>
      </x:c>
      <x:c r="J1171" s="28" t="n">
        <x:v>3</x:v>
      </x:c>
      <x:c r="K1171" s="30" t="n">
        <x:v>0.7</x:v>
      </x:c>
      <x:c r="L1171" s="54" t="n">
        <x:f>IF(M1171=0,0,(E1171+F1171)/2)</x:f>
        <x:v>3.5</x:v>
      </x:c>
      <x:c r="M1171" t="n">
        <x:v>1</x:v>
      </x:c>
      <x:c r="N1171" t="n">
        <x:v>4</x:v>
      </x:c>
      <x:c r="O1171" t="n">
        <x:v>1</x:v>
      </x:c>
      <x:c r="P1171" s="63" t="str">
        <x:f>IF(M1171=0,"—",M1171&amp;"d"&amp;N1171&amp;IF(O1171=0,""," + "&amp;O1171))</x:f>
        <x:v>1d4 + 1</x:v>
      </x:c>
      <x:c r="Q1171" t="n">
        <x:f>ROUND(INDEX(Catalogue!E$4:E$85,MATCH(A1171,Catalogue!A$4:A$85,0))*(1+'Paramètres'!$B$4*(C1171-1)+'Paramètres'!$B$5*(C1171-1)^2),0)</x:f>
        <x:v>3</x:v>
      </x:c>
      <x:c r="R1171" t="n">
        <x:f>ROUND(INDEX(Catalogue!F$4:F$85,MATCH(A1171,Catalogue!A$4:A$85,0))*(1+'Paramètres'!$B$4*(C1171-1)+'Paramètres'!$B$5*(C1171-1)^2),0)</x:f>
        <x:v>5</x:v>
      </x:c>
      <x:c r="S1171" t="n">
        <x:f>L1171-AVERAGE(Q1171:R1171)</x:f>
        <x:v>-0.5</x:v>
      </x:c>
      <x:c r="T1171" t="str">
        <x:f>IF(M1171=0,IF(AND(N1171=0,O1171=0,E1171=0,F1171=0),"OK","ERREUR"),IF(AND(M1171&gt;=1,M1171&lt;=32,OR(N1171=4,N1171=6,N1171=8,N1171=10,N1171=12,N1171=20),O1171&gt;=0,E1171=M1171+O1171,F1171=M1171*N1171+O1171),"OK","ERREUR"))</x:f>
        <x:v>OK</x:v>
      </x:c>
      <x:c r="U1171" s="86" t="n">
        <x:f>IF(M1171&gt;0,M1171*(N1171+1)/2+O1171,0)</x:f>
        <x:v>3.5</x:v>
      </x:c>
      <x:c r="V1171" t="str">
        <x:f>IF(ABS(L1171-U1171)&lt;0.001,"OK","ERREUR")</x:f>
        <x:v>OK</x:v>
      </x:c>
    </x:row>
    <x:row r="1172" ht="18" customHeight="1">
      <x:c r="A1172" t="str">
        <x:v>ARM059</x:v>
      </x:c>
      <x:c r="B1172" t="str">
        <x:v>Bolas</x:v>
      </x:c>
      <x:c r="C1172" t="n">
        <x:v>9</x:v>
      </x:c>
      <x:c r="D1172" t="str">
        <x:v>Jet</x:v>
      </x:c>
      <x:c r="E1172" s="28" t="n">
        <x:f>IF(M1172=0,0,M1172+O1172)</x:f>
        <x:v>3</x:v>
      </x:c>
      <x:c r="F1172" s="28" t="n">
        <x:f>IF(M1172=0,0,M1172*N1172+O1172)</x:f>
        <x:v>6</x:v>
      </x:c>
      <x:c r="G1172" s="28" t="n">
        <x:f>ROUND(Catalogue!G62*SQRT((1+'Paramètres'!$B$4*(C1172-1)+'Paramètres'!$B$5*(C1172-1)^2)),0)</x:f>
        <x:v>0</x:v>
      </x:c>
      <x:c r="H1172" s="28" t="n">
        <x:f>ROUND(Catalogue!H62*SQRT((1+'Paramètres'!$B$4*(C1172-1)+'Paramètres'!$B$5*(C1172-1)^2)),0)</x:f>
        <x:v>0</x:v>
      </x:c>
      <x:c r="I1172" s="28" t="n">
        <x:v>2</x:v>
      </x:c>
      <x:c r="J1172" s="28" t="n">
        <x:v>3</x:v>
      </x:c>
      <x:c r="K1172" s="30" t="n">
        <x:v>0.7</x:v>
      </x:c>
      <x:c r="L1172" s="54" t="n">
        <x:f>IF(M1172=0,0,(E1172+F1172)/2)</x:f>
        <x:v>4.5</x:v>
      </x:c>
      <x:c r="M1172" t="n">
        <x:v>1</x:v>
      </x:c>
      <x:c r="N1172" t="n">
        <x:v>4</x:v>
      </x:c>
      <x:c r="O1172" t="n">
        <x:v>2</x:v>
      </x:c>
      <x:c r="P1172" s="63" t="str">
        <x:f>IF(M1172=0,"—",M1172&amp;"d"&amp;N1172&amp;IF(O1172=0,""," + "&amp;O1172))</x:f>
        <x:v>1d4 + 2</x:v>
      </x:c>
      <x:c r="Q1172" t="n">
        <x:f>ROUND(INDEX(Catalogue!E$4:E$85,MATCH(A1172,Catalogue!A$4:A$85,0))*(1+'Paramètres'!$B$4*(C1172-1)+'Paramètres'!$B$5*(C1172-1)^2),0)</x:f>
        <x:v>3</x:v>
      </x:c>
      <x:c r="R1172" t="n">
        <x:f>ROUND(INDEX(Catalogue!F$4:F$85,MATCH(A1172,Catalogue!A$4:A$85,0))*(1+'Paramètres'!$B$4*(C1172-1)+'Paramètres'!$B$5*(C1172-1)^2),0)</x:f>
        <x:v>6</x:v>
      </x:c>
      <x:c r="S1172" t="n">
        <x:f>L1172-AVERAGE(Q1172:R1172)</x:f>
        <x:v>0</x:v>
      </x:c>
      <x:c r="T1172" t="str">
        <x:f>IF(M1172=0,IF(AND(N1172=0,O1172=0,E1172=0,F1172=0),"OK","ERREUR"),IF(AND(M1172&gt;=1,M1172&lt;=32,OR(N1172=4,N1172=6,N1172=8,N1172=10,N1172=12,N1172=20),O1172&gt;=0,E1172=M1172+O1172,F1172=M1172*N1172+O1172),"OK","ERREUR"))</x:f>
        <x:v>OK</x:v>
      </x:c>
      <x:c r="U1172" s="86" t="n">
        <x:f>IF(M1172&gt;0,M1172*(N1172+1)/2+O1172,0)</x:f>
        <x:v>4.5</x:v>
      </x:c>
      <x:c r="V1172" t="str">
        <x:f>IF(ABS(L1172-U1172)&lt;0.001,"OK","ERREUR")</x:f>
        <x:v>OK</x:v>
      </x:c>
    </x:row>
    <x:row r="1173" ht="18" customHeight="1">
      <x:c r="A1173" t="str">
        <x:v>ARM059</x:v>
      </x:c>
      <x:c r="B1173" t="str">
        <x:v>Bolas</x:v>
      </x:c>
      <x:c r="C1173" t="n">
        <x:v>10</x:v>
      </x:c>
      <x:c r="D1173" t="str">
        <x:v>Jet</x:v>
      </x:c>
      <x:c r="E1173" s="28" t="n">
        <x:f>IF(M1173=0,0,M1173+O1173)</x:f>
        <x:v>3</x:v>
      </x:c>
      <x:c r="F1173" s="28" t="n">
        <x:f>IF(M1173=0,0,M1173*N1173+O1173)</x:f>
        <x:v>6</x:v>
      </x:c>
      <x:c r="G1173" s="28" t="n">
        <x:f>ROUND(Catalogue!G62*SQRT((1+'Paramètres'!$B$4*(C1173-1)+'Paramètres'!$B$5*(C1173-1)^2)),0)</x:f>
        <x:v>0</x:v>
      </x:c>
      <x:c r="H1173" s="28" t="n">
        <x:f>ROUND(Catalogue!H62*SQRT((1+'Paramètres'!$B$4*(C1173-1)+'Paramètres'!$B$5*(C1173-1)^2)),0)</x:f>
        <x:v>0</x:v>
      </x:c>
      <x:c r="I1173" s="28" t="n">
        <x:v>2</x:v>
      </x:c>
      <x:c r="J1173" s="28" t="n">
        <x:v>3</x:v>
      </x:c>
      <x:c r="K1173" s="30" t="n">
        <x:v>0.7</x:v>
      </x:c>
      <x:c r="L1173" s="54" t="n">
        <x:f>IF(M1173=0,0,(E1173+F1173)/2)</x:f>
        <x:v>4.5</x:v>
      </x:c>
      <x:c r="M1173" t="n">
        <x:v>1</x:v>
      </x:c>
      <x:c r="N1173" t="n">
        <x:v>4</x:v>
      </x:c>
      <x:c r="O1173" t="n">
        <x:v>2</x:v>
      </x:c>
      <x:c r="P1173" s="63" t="str">
        <x:f>IF(M1173=0,"—",M1173&amp;"d"&amp;N1173&amp;IF(O1173=0,""," + "&amp;O1173))</x:f>
        <x:v>1d4 + 2</x:v>
      </x:c>
      <x:c r="Q1173" t="n">
        <x:f>ROUND(INDEX(Catalogue!E$4:E$85,MATCH(A1173,Catalogue!A$4:A$85,0))*(1+'Paramètres'!$B$4*(C1173-1)+'Paramètres'!$B$5*(C1173-1)^2),0)</x:f>
        <x:v>3</x:v>
      </x:c>
      <x:c r="R1173" t="n">
        <x:f>ROUND(INDEX(Catalogue!F$4:F$85,MATCH(A1173,Catalogue!A$4:A$85,0))*(1+'Paramètres'!$B$4*(C1173-1)+'Paramètres'!$B$5*(C1173-1)^2),0)</x:f>
        <x:v>7</x:v>
      </x:c>
      <x:c r="S1173" t="n">
        <x:f>L1173-AVERAGE(Q1173:R1173)</x:f>
        <x:v>-0.5</x:v>
      </x:c>
      <x:c r="T1173" t="str">
        <x:f>IF(M1173=0,IF(AND(N1173=0,O1173=0,E1173=0,F1173=0),"OK","ERREUR"),IF(AND(M1173&gt;=1,M1173&lt;=32,OR(N1173=4,N1173=6,N1173=8,N1173=10,N1173=12,N1173=20),O1173&gt;=0,E1173=M1173+O1173,F1173=M1173*N1173+O1173),"OK","ERREUR"))</x:f>
        <x:v>OK</x:v>
      </x:c>
      <x:c r="U1173" s="86" t="n">
        <x:f>IF(M1173&gt;0,M1173*(N1173+1)/2+O1173,0)</x:f>
        <x:v>4.5</x:v>
      </x:c>
      <x:c r="V1173" t="str">
        <x:f>IF(ABS(L1173-U1173)&lt;0.001,"OK","ERREUR")</x:f>
        <x:v>OK</x:v>
      </x:c>
    </x:row>
    <x:row r="1174" ht="18" customHeight="1">
      <x:c r="A1174" t="str">
        <x:v>ARM059</x:v>
      </x:c>
      <x:c r="B1174" t="str">
        <x:v>Bolas</x:v>
      </x:c>
      <x:c r="C1174" t="n">
        <x:v>11</x:v>
      </x:c>
      <x:c r="D1174" t="str">
        <x:v>Jet</x:v>
      </x:c>
      <x:c r="E1174" s="28" t="n">
        <x:f>IF(M1174=0,0,M1174+O1174)</x:f>
        <x:v>4</x:v>
      </x:c>
      <x:c r="F1174" s="28" t="n">
        <x:f>IF(M1174=0,0,M1174*N1174+O1174)</x:f>
        <x:v>7</x:v>
      </x:c>
      <x:c r="G1174" s="28" t="n">
        <x:f>ROUND(Catalogue!G62*SQRT((1+'Paramètres'!$B$4*(C1174-1)+'Paramètres'!$B$5*(C1174-1)^2)),0)</x:f>
        <x:v>0</x:v>
      </x:c>
      <x:c r="H1174" s="28" t="n">
        <x:f>ROUND(Catalogue!H62*SQRT((1+'Paramètres'!$B$4*(C1174-1)+'Paramètres'!$B$5*(C1174-1)^2)),0)</x:f>
        <x:v>0</x:v>
      </x:c>
      <x:c r="I1174" s="28" t="n">
        <x:v>2</x:v>
      </x:c>
      <x:c r="J1174" s="28" t="n">
        <x:v>3</x:v>
      </x:c>
      <x:c r="K1174" s="30" t="n">
        <x:v>0.7</x:v>
      </x:c>
      <x:c r="L1174" s="54" t="n">
        <x:f>IF(M1174=0,0,(E1174+F1174)/2)</x:f>
        <x:v>5.5</x:v>
      </x:c>
      <x:c r="M1174" t="n">
        <x:v>1</x:v>
      </x:c>
      <x:c r="N1174" t="n">
        <x:v>4</x:v>
      </x:c>
      <x:c r="O1174" t="n">
        <x:v>3</x:v>
      </x:c>
      <x:c r="P1174" s="63" t="str">
        <x:f>IF(M1174=0,"—",M1174&amp;"d"&amp;N1174&amp;IF(O1174=0,""," + "&amp;O1174))</x:f>
        <x:v>1d4 + 3</x:v>
      </x:c>
      <x:c r="Q1174" t="n">
        <x:f>ROUND(INDEX(Catalogue!E$4:E$85,MATCH(A1174,Catalogue!A$4:A$85,0))*(1+'Paramètres'!$B$4*(C1174-1)+'Paramètres'!$B$5*(C1174-1)^2),0)</x:f>
        <x:v>4</x:v>
      </x:c>
      <x:c r="R1174" t="n">
        <x:f>ROUND(INDEX(Catalogue!F$4:F$85,MATCH(A1174,Catalogue!A$4:A$85,0))*(1+'Paramètres'!$B$4*(C1174-1)+'Paramètres'!$B$5*(C1174-1)^2),0)</x:f>
        <x:v>7</x:v>
      </x:c>
      <x:c r="S1174" t="n">
        <x:f>L1174-AVERAGE(Q1174:R1174)</x:f>
        <x:v>0</x:v>
      </x:c>
      <x:c r="T1174" t="str">
        <x:f>IF(M1174=0,IF(AND(N1174=0,O1174=0,E1174=0,F1174=0),"OK","ERREUR"),IF(AND(M1174&gt;=1,M1174&lt;=32,OR(N1174=4,N1174=6,N1174=8,N1174=10,N1174=12,N1174=20),O1174&gt;=0,E1174=M1174+O1174,F1174=M1174*N1174+O1174),"OK","ERREUR"))</x:f>
        <x:v>OK</x:v>
      </x:c>
      <x:c r="U1174" s="86" t="n">
        <x:f>IF(M1174&gt;0,M1174*(N1174+1)/2+O1174,0)</x:f>
        <x:v>5.5</x:v>
      </x:c>
      <x:c r="V1174" t="str">
        <x:f>IF(ABS(L1174-U1174)&lt;0.001,"OK","ERREUR")</x:f>
        <x:v>OK</x:v>
      </x:c>
    </x:row>
    <x:row r="1175" ht="18" customHeight="1">
      <x:c r="A1175" t="str">
        <x:v>ARM059</x:v>
      </x:c>
      <x:c r="B1175" t="str">
        <x:v>Bolas</x:v>
      </x:c>
      <x:c r="C1175" t="n">
        <x:v>12</x:v>
      </x:c>
      <x:c r="D1175" t="str">
        <x:v>Jet</x:v>
      </x:c>
      <x:c r="E1175" s="28" t="n">
        <x:f>IF(M1175=0,0,M1175+O1175)</x:f>
        <x:v>4</x:v>
      </x:c>
      <x:c r="F1175" s="28" t="n">
        <x:f>IF(M1175=0,0,M1175*N1175+O1175)</x:f>
        <x:v>7</x:v>
      </x:c>
      <x:c r="G1175" s="28" t="n">
        <x:f>ROUND(Catalogue!G62*SQRT((1+'Paramètres'!$B$4*(C1175-1)+'Paramètres'!$B$5*(C1175-1)^2)),0)</x:f>
        <x:v>0</x:v>
      </x:c>
      <x:c r="H1175" s="28" t="n">
        <x:f>ROUND(Catalogue!H62*SQRT((1+'Paramètres'!$B$4*(C1175-1)+'Paramètres'!$B$5*(C1175-1)^2)),0)</x:f>
        <x:v>0</x:v>
      </x:c>
      <x:c r="I1175" s="28" t="n">
        <x:v>2</x:v>
      </x:c>
      <x:c r="J1175" s="28" t="n">
        <x:v>3</x:v>
      </x:c>
      <x:c r="K1175" s="30" t="n">
        <x:v>0.7</x:v>
      </x:c>
      <x:c r="L1175" s="54" t="n">
        <x:f>IF(M1175=0,0,(E1175+F1175)/2)</x:f>
        <x:v>5.5</x:v>
      </x:c>
      <x:c r="M1175" t="n">
        <x:v>1</x:v>
      </x:c>
      <x:c r="N1175" t="n">
        <x:v>4</x:v>
      </x:c>
      <x:c r="O1175" t="n">
        <x:v>3</x:v>
      </x:c>
      <x:c r="P1175" s="63" t="str">
        <x:f>IF(M1175=0,"—",M1175&amp;"d"&amp;N1175&amp;IF(O1175=0,""," + "&amp;O1175))</x:f>
        <x:v>1d4 + 3</x:v>
      </x:c>
      <x:c r="Q1175" t="n">
        <x:f>ROUND(INDEX(Catalogue!E$4:E$85,MATCH(A1175,Catalogue!A$4:A$85,0))*(1+'Paramètres'!$B$4*(C1175-1)+'Paramètres'!$B$5*(C1175-1)^2),0)</x:f>
        <x:v>4</x:v>
      </x:c>
      <x:c r="R1175" t="n">
        <x:f>ROUND(INDEX(Catalogue!F$4:F$85,MATCH(A1175,Catalogue!A$4:A$85,0))*(1+'Paramètres'!$B$4*(C1175-1)+'Paramètres'!$B$5*(C1175-1)^2),0)</x:f>
        <x:v>8</x:v>
      </x:c>
      <x:c r="S1175" t="n">
        <x:f>L1175-AVERAGE(Q1175:R1175)</x:f>
        <x:v>-0.5</x:v>
      </x:c>
      <x:c r="T1175" t="str">
        <x:f>IF(M1175=0,IF(AND(N1175=0,O1175=0,E1175=0,F1175=0),"OK","ERREUR"),IF(AND(M1175&gt;=1,M1175&lt;=32,OR(N1175=4,N1175=6,N1175=8,N1175=10,N1175=12,N1175=20),O1175&gt;=0,E1175=M1175+O1175,F1175=M1175*N1175+O1175),"OK","ERREUR"))</x:f>
        <x:v>OK</x:v>
      </x:c>
      <x:c r="U1175" s="86" t="n">
        <x:f>IF(M1175&gt;0,M1175*(N1175+1)/2+O1175,0)</x:f>
        <x:v>5.5</x:v>
      </x:c>
      <x:c r="V1175" t="str">
        <x:f>IF(ABS(L1175-U1175)&lt;0.001,"OK","ERREUR")</x:f>
        <x:v>OK</x:v>
      </x:c>
    </x:row>
    <x:row r="1176" ht="18" customHeight="1">
      <x:c r="A1176" t="str">
        <x:v>ARM059</x:v>
      </x:c>
      <x:c r="B1176" t="str">
        <x:v>Bolas</x:v>
      </x:c>
      <x:c r="C1176" t="n">
        <x:v>13</x:v>
      </x:c>
      <x:c r="D1176" t="str">
        <x:v>Jet</x:v>
      </x:c>
      <x:c r="E1176" s="28" t="n">
        <x:f>IF(M1176=0,0,M1176+O1176)</x:f>
        <x:v>5</x:v>
      </x:c>
      <x:c r="F1176" s="28" t="n">
        <x:f>IF(M1176=0,0,M1176*N1176+O1176)</x:f>
        <x:v>8</x:v>
      </x:c>
      <x:c r="G1176" s="28" t="n">
        <x:f>ROUND(Catalogue!G62*SQRT((1+'Paramètres'!$B$4*(C1176-1)+'Paramètres'!$B$5*(C1176-1)^2)),0)</x:f>
        <x:v>0</x:v>
      </x:c>
      <x:c r="H1176" s="28" t="n">
        <x:f>ROUND(Catalogue!H62*SQRT((1+'Paramètres'!$B$4*(C1176-1)+'Paramètres'!$B$5*(C1176-1)^2)),0)</x:f>
        <x:v>0</x:v>
      </x:c>
      <x:c r="I1176" s="28" t="n">
        <x:v>2</x:v>
      </x:c>
      <x:c r="J1176" s="28" t="n">
        <x:v>3</x:v>
      </x:c>
      <x:c r="K1176" s="30" t="n">
        <x:v>0.7</x:v>
      </x:c>
      <x:c r="L1176" s="54" t="n">
        <x:f>IF(M1176=0,0,(E1176+F1176)/2)</x:f>
        <x:v>6.5</x:v>
      </x:c>
      <x:c r="M1176" t="n">
        <x:v>1</x:v>
      </x:c>
      <x:c r="N1176" t="n">
        <x:v>4</x:v>
      </x:c>
      <x:c r="O1176" t="n">
        <x:v>4</x:v>
      </x:c>
      <x:c r="P1176" s="63" t="str">
        <x:f>IF(M1176=0,"—",M1176&amp;"d"&amp;N1176&amp;IF(O1176=0,""," + "&amp;O1176))</x:f>
        <x:v>1d4 + 4</x:v>
      </x:c>
      <x:c r="Q1176" t="n">
        <x:f>ROUND(INDEX(Catalogue!E$4:E$85,MATCH(A1176,Catalogue!A$4:A$85,0))*(1+'Paramètres'!$B$4*(C1176-1)+'Paramètres'!$B$5*(C1176-1)^2),0)</x:f>
        <x:v>5</x:v>
      </x:c>
      <x:c r="R1176" t="n">
        <x:f>ROUND(INDEX(Catalogue!F$4:F$85,MATCH(A1176,Catalogue!A$4:A$85,0))*(1+'Paramètres'!$B$4*(C1176-1)+'Paramètres'!$B$5*(C1176-1)^2),0)</x:f>
        <x:v>9</x:v>
      </x:c>
      <x:c r="S1176" t="n">
        <x:f>L1176-AVERAGE(Q1176:R1176)</x:f>
        <x:v>-0.5</x:v>
      </x:c>
      <x:c r="T1176" t="str">
        <x:f>IF(M1176=0,IF(AND(N1176=0,O1176=0,E1176=0,F1176=0),"OK","ERREUR"),IF(AND(M1176&gt;=1,M1176&lt;=32,OR(N1176=4,N1176=6,N1176=8,N1176=10,N1176=12,N1176=20),O1176&gt;=0,E1176=M1176+O1176,F1176=M1176*N1176+O1176),"OK","ERREUR"))</x:f>
        <x:v>OK</x:v>
      </x:c>
      <x:c r="U1176" s="86" t="n">
        <x:f>IF(M1176&gt;0,M1176*(N1176+1)/2+O1176,0)</x:f>
        <x:v>6.5</x:v>
      </x:c>
      <x:c r="V1176" t="str">
        <x:f>IF(ABS(L1176-U1176)&lt;0.001,"OK","ERREUR")</x:f>
        <x:v>OK</x:v>
      </x:c>
    </x:row>
    <x:row r="1177" ht="18" customHeight="1">
      <x:c r="A1177" t="str">
        <x:v>ARM059</x:v>
      </x:c>
      <x:c r="B1177" t="str">
        <x:v>Bolas</x:v>
      </x:c>
      <x:c r="C1177" t="n">
        <x:v>14</x:v>
      </x:c>
      <x:c r="D1177" t="str">
        <x:v>Jet</x:v>
      </x:c>
      <x:c r="E1177" s="28" t="n">
        <x:f>IF(M1177=0,0,M1177+O1177)</x:f>
        <x:v>5</x:v>
      </x:c>
      <x:c r="F1177" s="28" t="n">
        <x:f>IF(M1177=0,0,M1177*N1177+O1177)</x:f>
        <x:v>10</x:v>
      </x:c>
      <x:c r="G1177" s="28" t="n">
        <x:f>ROUND(Catalogue!G62*SQRT((1+'Paramètres'!$B$4*(C1177-1)+'Paramètres'!$B$5*(C1177-1)^2)),0)</x:f>
        <x:v>0</x:v>
      </x:c>
      <x:c r="H1177" s="28" t="n">
        <x:f>ROUND(Catalogue!H62*SQRT((1+'Paramètres'!$B$4*(C1177-1)+'Paramètres'!$B$5*(C1177-1)^2)),0)</x:f>
        <x:v>0</x:v>
      </x:c>
      <x:c r="I1177" s="28" t="n">
        <x:v>2</x:v>
      </x:c>
      <x:c r="J1177" s="28" t="n">
        <x:v>3</x:v>
      </x:c>
      <x:c r="K1177" s="30" t="n">
        <x:v>0.7</x:v>
      </x:c>
      <x:c r="L1177" s="54" t="n">
        <x:f>IF(M1177=0,0,(E1177+F1177)/2)</x:f>
        <x:v>7.5</x:v>
      </x:c>
      <x:c r="M1177" t="n">
        <x:v>1</x:v>
      </x:c>
      <x:c r="N1177" t="n">
        <x:v>6</x:v>
      </x:c>
      <x:c r="O1177" t="n">
        <x:v>4</x:v>
      </x:c>
      <x:c r="P1177" s="63" t="str">
        <x:f>IF(M1177=0,"—",M1177&amp;"d"&amp;N1177&amp;IF(O1177=0,""," + "&amp;O1177))</x:f>
        <x:v>1d6 + 4</x:v>
      </x:c>
      <x:c r="Q1177" t="n">
        <x:f>ROUND(INDEX(Catalogue!E$4:E$85,MATCH(A1177,Catalogue!A$4:A$85,0))*(1+'Paramètres'!$B$4*(C1177-1)+'Paramètres'!$B$5*(C1177-1)^2),0)</x:f>
        <x:v>5</x:v>
      </x:c>
      <x:c r="R1177" t="n">
        <x:f>ROUND(INDEX(Catalogue!F$4:F$85,MATCH(A1177,Catalogue!A$4:A$85,0))*(1+'Paramètres'!$B$4*(C1177-1)+'Paramètres'!$B$5*(C1177-1)^2),0)</x:f>
        <x:v>10</x:v>
      </x:c>
      <x:c r="S1177" t="n">
        <x:f>L1177-AVERAGE(Q1177:R1177)</x:f>
        <x:v>0</x:v>
      </x:c>
      <x:c r="T1177" t="str">
        <x:f>IF(M1177=0,IF(AND(N1177=0,O1177=0,E1177=0,F1177=0),"OK","ERREUR"),IF(AND(M1177&gt;=1,M1177&lt;=32,OR(N1177=4,N1177=6,N1177=8,N1177=10,N1177=12,N1177=20),O1177&gt;=0,E1177=M1177+O1177,F1177=M1177*N1177+O1177),"OK","ERREUR"))</x:f>
        <x:v>OK</x:v>
      </x:c>
      <x:c r="U1177" s="86" t="n">
        <x:f>IF(M1177&gt;0,M1177*(N1177+1)/2+O1177,0)</x:f>
        <x:v>7.5</x:v>
      </x:c>
      <x:c r="V1177" t="str">
        <x:f>IF(ABS(L1177-U1177)&lt;0.001,"OK","ERREUR")</x:f>
        <x:v>OK</x:v>
      </x:c>
    </x:row>
    <x:row r="1178" ht="18" customHeight="1">
      <x:c r="A1178" t="str">
        <x:v>ARM059</x:v>
      </x:c>
      <x:c r="B1178" t="str">
        <x:v>Bolas</x:v>
      </x:c>
      <x:c r="C1178" t="n">
        <x:v>15</x:v>
      </x:c>
      <x:c r="D1178" t="str">
        <x:v>Jet</x:v>
      </x:c>
      <x:c r="E1178" s="28" t="n">
        <x:f>IF(M1178=0,0,M1178+O1178)</x:f>
        <x:v>6</x:v>
      </x:c>
      <x:c r="F1178" s="28" t="n">
        <x:f>IF(M1178=0,0,M1178*N1178+O1178)</x:f>
        <x:v>11</x:v>
      </x:c>
      <x:c r="G1178" s="28" t="n">
        <x:f>ROUND(Catalogue!G62*SQRT((1+'Paramètres'!$B$4*(C1178-1)+'Paramètres'!$B$5*(C1178-1)^2)),0)</x:f>
        <x:v>0</x:v>
      </x:c>
      <x:c r="H1178" s="28" t="n">
        <x:f>ROUND(Catalogue!H62*SQRT((1+'Paramètres'!$B$4*(C1178-1)+'Paramètres'!$B$5*(C1178-1)^2)),0)</x:f>
        <x:v>0</x:v>
      </x:c>
      <x:c r="I1178" s="28" t="n">
        <x:v>2</x:v>
      </x:c>
      <x:c r="J1178" s="28" t="n">
        <x:v>3</x:v>
      </x:c>
      <x:c r="K1178" s="30" t="n">
        <x:v>0.7</x:v>
      </x:c>
      <x:c r="L1178" s="54" t="n">
        <x:f>IF(M1178=0,0,(E1178+F1178)/2)</x:f>
        <x:v>8.5</x:v>
      </x:c>
      <x:c r="M1178" t="n">
        <x:v>1</x:v>
      </x:c>
      <x:c r="N1178" t="n">
        <x:v>6</x:v>
      </x:c>
      <x:c r="O1178" t="n">
        <x:v>5</x:v>
      </x:c>
      <x:c r="P1178" s="63" t="str">
        <x:f>IF(M1178=0,"—",M1178&amp;"d"&amp;N1178&amp;IF(O1178=0,""," + "&amp;O1178))</x:f>
        <x:v>1d6 + 5</x:v>
      </x:c>
      <x:c r="Q1178" t="n">
        <x:f>ROUND(INDEX(Catalogue!E$4:E$85,MATCH(A1178,Catalogue!A$4:A$85,0))*(1+'Paramètres'!$B$4*(C1178-1)+'Paramètres'!$B$5*(C1178-1)^2),0)</x:f>
        <x:v>6</x:v>
      </x:c>
      <x:c r="R1178" t="n">
        <x:f>ROUND(INDEX(Catalogue!F$4:F$85,MATCH(A1178,Catalogue!A$4:A$85,0))*(1+'Paramètres'!$B$4*(C1178-1)+'Paramètres'!$B$5*(C1178-1)^2),0)</x:f>
        <x:v>11</x:v>
      </x:c>
      <x:c r="S1178" t="n">
        <x:f>L1178-AVERAGE(Q1178:R1178)</x:f>
        <x:v>0</x:v>
      </x:c>
      <x:c r="T1178" t="str">
        <x:f>IF(M1178=0,IF(AND(N1178=0,O1178=0,E1178=0,F1178=0),"OK","ERREUR"),IF(AND(M1178&gt;=1,M1178&lt;=32,OR(N1178=4,N1178=6,N1178=8,N1178=10,N1178=12,N1178=20),O1178&gt;=0,E1178=M1178+O1178,F1178=M1178*N1178+O1178),"OK","ERREUR"))</x:f>
        <x:v>OK</x:v>
      </x:c>
      <x:c r="U1178" s="86" t="n">
        <x:f>IF(M1178&gt;0,M1178*(N1178+1)/2+O1178,0)</x:f>
        <x:v>8.5</x:v>
      </x:c>
      <x:c r="V1178" t="str">
        <x:f>IF(ABS(L1178-U1178)&lt;0.001,"OK","ERREUR")</x:f>
        <x:v>OK</x:v>
      </x:c>
    </x:row>
    <x:row r="1179" ht="18" customHeight="1">
      <x:c r="A1179" t="str">
        <x:v>ARM059</x:v>
      </x:c>
      <x:c r="B1179" t="str">
        <x:v>Bolas</x:v>
      </x:c>
      <x:c r="C1179" t="n">
        <x:v>16</x:v>
      </x:c>
      <x:c r="D1179" t="str">
        <x:v>Jet</x:v>
      </x:c>
      <x:c r="E1179" s="28" t="n">
        <x:f>IF(M1179=0,0,M1179+O1179)</x:f>
        <x:v>6</x:v>
      </x:c>
      <x:c r="F1179" s="28" t="n">
        <x:f>IF(M1179=0,0,M1179*N1179+O1179)</x:f>
        <x:v>13</x:v>
      </x:c>
      <x:c r="G1179" s="28" t="n">
        <x:f>ROUND(Catalogue!G62*SQRT((1+'Paramètres'!$B$4*(C1179-1)+'Paramètres'!$B$5*(C1179-1)^2)),0)</x:f>
        <x:v>0</x:v>
      </x:c>
      <x:c r="H1179" s="28" t="n">
        <x:f>ROUND(Catalogue!H62*SQRT((1+'Paramètres'!$B$4*(C1179-1)+'Paramètres'!$B$5*(C1179-1)^2)),0)</x:f>
        <x:v>0</x:v>
      </x:c>
      <x:c r="I1179" s="28" t="n">
        <x:v>2</x:v>
      </x:c>
      <x:c r="J1179" s="28" t="n">
        <x:v>3</x:v>
      </x:c>
      <x:c r="K1179" s="30" t="n">
        <x:v>0.7</x:v>
      </x:c>
      <x:c r="L1179" s="54" t="n">
        <x:f>IF(M1179=0,0,(E1179+F1179)/2)</x:f>
        <x:v>9.5</x:v>
      </x:c>
      <x:c r="M1179" t="n">
        <x:v>1</x:v>
      </x:c>
      <x:c r="N1179" t="n">
        <x:v>8</x:v>
      </x:c>
      <x:c r="O1179" t="n">
        <x:v>5</x:v>
      </x:c>
      <x:c r="P1179" s="63" t="str">
        <x:f>IF(M1179=0,"—",M1179&amp;"d"&amp;N1179&amp;IF(O1179=0,""," + "&amp;O1179))</x:f>
        <x:v>1d8 + 5</x:v>
      </x:c>
      <x:c r="Q1179" t="n">
        <x:f>ROUND(INDEX(Catalogue!E$4:E$85,MATCH(A1179,Catalogue!A$4:A$85,0))*(1+'Paramètres'!$B$4*(C1179-1)+'Paramètres'!$B$5*(C1179-1)^2),0)</x:f>
        <x:v>6</x:v>
      </x:c>
      <x:c r="R1179" t="n">
        <x:f>ROUND(INDEX(Catalogue!F$4:F$85,MATCH(A1179,Catalogue!A$4:A$85,0))*(1+'Paramètres'!$B$4*(C1179-1)+'Paramètres'!$B$5*(C1179-1)^2),0)</x:f>
        <x:v>13</x:v>
      </x:c>
      <x:c r="S1179" t="n">
        <x:f>L1179-AVERAGE(Q1179:R1179)</x:f>
        <x:v>0</x:v>
      </x:c>
      <x:c r="T1179" t="str">
        <x:f>IF(M1179=0,IF(AND(N1179=0,O1179=0,E1179=0,F1179=0),"OK","ERREUR"),IF(AND(M1179&gt;=1,M1179&lt;=32,OR(N1179=4,N1179=6,N1179=8,N1179=10,N1179=12,N1179=20),O1179&gt;=0,E1179=M1179+O1179,F1179=M1179*N1179+O1179),"OK","ERREUR"))</x:f>
        <x:v>OK</x:v>
      </x:c>
      <x:c r="U1179" s="86" t="n">
        <x:f>IF(M1179&gt;0,M1179*(N1179+1)/2+O1179,0)</x:f>
        <x:v>9.5</x:v>
      </x:c>
      <x:c r="V1179" t="str">
        <x:f>IF(ABS(L1179-U1179)&lt;0.001,"OK","ERREUR")</x:f>
        <x:v>OK</x:v>
      </x:c>
    </x:row>
    <x:row r="1180" ht="18" customHeight="1">
      <x:c r="A1180" t="str">
        <x:v>ARM059</x:v>
      </x:c>
      <x:c r="B1180" t="str">
        <x:v>Bolas</x:v>
      </x:c>
      <x:c r="C1180" t="n">
        <x:v>17</x:v>
      </x:c>
      <x:c r="D1180" t="str">
        <x:v>Jet</x:v>
      </x:c>
      <x:c r="E1180" s="28" t="n">
        <x:f>IF(M1180=0,0,M1180+O1180)</x:f>
        <x:v>7</x:v>
      </x:c>
      <x:c r="F1180" s="28" t="n">
        <x:f>IF(M1180=0,0,M1180*N1180+O1180)</x:f>
        <x:v>14</x:v>
      </x:c>
      <x:c r="G1180" s="28" t="n">
        <x:f>ROUND(Catalogue!G62*SQRT((1+'Paramètres'!$B$4*(C1180-1)+'Paramètres'!$B$5*(C1180-1)^2)),0)</x:f>
        <x:v>0</x:v>
      </x:c>
      <x:c r="H1180" s="28" t="n">
        <x:f>ROUND(Catalogue!H62*SQRT((1+'Paramètres'!$B$4*(C1180-1)+'Paramètres'!$B$5*(C1180-1)^2)),0)</x:f>
        <x:v>0</x:v>
      </x:c>
      <x:c r="I1180" s="28" t="n">
        <x:v>2</x:v>
      </x:c>
      <x:c r="J1180" s="28" t="n">
        <x:v>3</x:v>
      </x:c>
      <x:c r="K1180" s="30" t="n">
        <x:v>0.7</x:v>
      </x:c>
      <x:c r="L1180" s="54" t="n">
        <x:f>IF(M1180=0,0,(E1180+F1180)/2)</x:f>
        <x:v>10.5</x:v>
      </x:c>
      <x:c r="M1180" t="n">
        <x:v>1</x:v>
      </x:c>
      <x:c r="N1180" t="n">
        <x:v>8</x:v>
      </x:c>
      <x:c r="O1180" t="n">
        <x:v>6</x:v>
      </x:c>
      <x:c r="P1180" s="63" t="str">
        <x:f>IF(M1180=0,"—",M1180&amp;"d"&amp;N1180&amp;IF(O1180=0,""," + "&amp;O1180))</x:f>
        <x:v>1d8 + 6</x:v>
      </x:c>
      <x:c r="Q1180" t="n">
        <x:f>ROUND(INDEX(Catalogue!E$4:E$85,MATCH(A1180,Catalogue!A$4:A$85,0))*(1+'Paramètres'!$B$4*(C1180-1)+'Paramètres'!$B$5*(C1180-1)^2),0)</x:f>
        <x:v>7</x:v>
      </x:c>
      <x:c r="R1180" t="n">
        <x:f>ROUND(INDEX(Catalogue!F$4:F$85,MATCH(A1180,Catalogue!A$4:A$85,0))*(1+'Paramètres'!$B$4*(C1180-1)+'Paramètres'!$B$5*(C1180-1)^2),0)</x:f>
        <x:v>14</x:v>
      </x:c>
      <x:c r="S1180" t="n">
        <x:f>L1180-AVERAGE(Q1180:R1180)</x:f>
        <x:v>0</x:v>
      </x:c>
      <x:c r="T1180" t="str">
        <x:f>IF(M1180=0,IF(AND(N1180=0,O1180=0,E1180=0,F1180=0),"OK","ERREUR"),IF(AND(M1180&gt;=1,M1180&lt;=32,OR(N1180=4,N1180=6,N1180=8,N1180=10,N1180=12,N1180=20),O1180&gt;=0,E1180=M1180+O1180,F1180=M1180*N1180+O1180),"OK","ERREUR"))</x:f>
        <x:v>OK</x:v>
      </x:c>
      <x:c r="U1180" s="86" t="n">
        <x:f>IF(M1180&gt;0,M1180*(N1180+1)/2+O1180,0)</x:f>
        <x:v>10.5</x:v>
      </x:c>
      <x:c r="V1180" t="str">
        <x:f>IF(ABS(L1180-U1180)&lt;0.001,"OK","ERREUR")</x:f>
        <x:v>OK</x:v>
      </x:c>
    </x:row>
    <x:row r="1181" ht="18" customHeight="1">
      <x:c r="A1181" t="str">
        <x:v>ARM059</x:v>
      </x:c>
      <x:c r="B1181" t="str">
        <x:v>Bolas</x:v>
      </x:c>
      <x:c r="C1181" t="n">
        <x:v>18</x:v>
      </x:c>
      <x:c r="D1181" t="str">
        <x:v>Jet</x:v>
      </x:c>
      <x:c r="E1181" s="28" t="n">
        <x:f>IF(M1181=0,0,M1181+O1181)</x:f>
        <x:v>6</x:v>
      </x:c>
      <x:c r="F1181" s="28" t="n">
        <x:f>IF(M1181=0,0,M1181*N1181+O1181)</x:f>
        <x:v>15</x:v>
      </x:c>
      <x:c r="G1181" s="28" t="n">
        <x:f>ROUND(Catalogue!G62*SQRT((1+'Paramètres'!$B$4*(C1181-1)+'Paramètres'!$B$5*(C1181-1)^2)),0)</x:f>
        <x:v>0</x:v>
      </x:c>
      <x:c r="H1181" s="28" t="n">
        <x:f>ROUND(Catalogue!H62*SQRT((1+'Paramètres'!$B$4*(C1181-1)+'Paramètres'!$B$5*(C1181-1)^2)),0)</x:f>
        <x:v>0</x:v>
      </x:c>
      <x:c r="I1181" s="28" t="n">
        <x:v>2</x:v>
      </x:c>
      <x:c r="J1181" s="28" t="n">
        <x:v>3</x:v>
      </x:c>
      <x:c r="K1181" s="30" t="n">
        <x:v>0.7</x:v>
      </x:c>
      <x:c r="L1181" s="54" t="n">
        <x:f>IF(M1181=0,0,(E1181+F1181)/2)</x:f>
        <x:v>10.5</x:v>
      </x:c>
      <x:c r="M1181" t="n">
        <x:v>3</x:v>
      </x:c>
      <x:c r="N1181" t="n">
        <x:v>4</x:v>
      </x:c>
      <x:c r="O1181" t="n">
        <x:v>3</x:v>
      </x:c>
      <x:c r="P1181" s="63" t="str">
        <x:f>IF(M1181=0,"—",M1181&amp;"d"&amp;N1181&amp;IF(O1181=0,""," + "&amp;O1181))</x:f>
        <x:v>3d4 + 3</x:v>
      </x:c>
      <x:c r="Q1181" t="n">
        <x:f>ROUND(INDEX(Catalogue!E$4:E$85,MATCH(A1181,Catalogue!A$4:A$85,0))*(1+'Paramètres'!$B$4*(C1181-1)+'Paramètres'!$B$5*(C1181-1)^2),0)</x:f>
        <x:v>7</x:v>
      </x:c>
      <x:c r="R1181" t="n">
        <x:f>ROUND(INDEX(Catalogue!F$4:F$85,MATCH(A1181,Catalogue!A$4:A$85,0))*(1+'Paramètres'!$B$4*(C1181-1)+'Paramètres'!$B$5*(C1181-1)^2),0)</x:f>
        <x:v>15</x:v>
      </x:c>
      <x:c r="S1181" t="n">
        <x:f>L1181-AVERAGE(Q1181:R1181)</x:f>
        <x:v>-0.5</x:v>
      </x:c>
      <x:c r="T1181" t="str">
        <x:f>IF(M1181=0,IF(AND(N1181=0,O1181=0,E1181=0,F1181=0),"OK","ERREUR"),IF(AND(M1181&gt;=1,M1181&lt;=32,OR(N1181=4,N1181=6,N1181=8,N1181=10,N1181=12,N1181=20),O1181&gt;=0,E1181=M1181+O1181,F1181=M1181*N1181+O1181),"OK","ERREUR"))</x:f>
        <x:v>OK</x:v>
      </x:c>
      <x:c r="U1181" s="86" t="n">
        <x:f>IF(M1181&gt;0,M1181*(N1181+1)/2+O1181,0)</x:f>
        <x:v>10.5</x:v>
      </x:c>
      <x:c r="V1181" t="str">
        <x:f>IF(ABS(L1181-U1181)&lt;0.001,"OK","ERREUR")</x:f>
        <x:v>OK</x:v>
      </x:c>
    </x:row>
    <x:row r="1182" ht="18" customHeight="1">
      <x:c r="A1182" t="str">
        <x:v>ARM059</x:v>
      </x:c>
      <x:c r="B1182" t="str">
        <x:v>Bolas</x:v>
      </x:c>
      <x:c r="C1182" t="n">
        <x:v>19</x:v>
      </x:c>
      <x:c r="D1182" t="str">
        <x:v>Jet</x:v>
      </x:c>
      <x:c r="E1182" s="28" t="n">
        <x:f>IF(M1182=0,0,M1182+O1182)</x:f>
        <x:v>7</x:v>
      </x:c>
      <x:c r="F1182" s="28" t="n">
        <x:f>IF(M1182=0,0,M1182*N1182+O1182)</x:f>
        <x:v>16</x:v>
      </x:c>
      <x:c r="G1182" s="28" t="n">
        <x:f>ROUND(Catalogue!G62*SQRT((1+'Paramètres'!$B$4*(C1182-1)+'Paramètres'!$B$5*(C1182-1)^2)),0)</x:f>
        <x:v>0</x:v>
      </x:c>
      <x:c r="H1182" s="28" t="n">
        <x:f>ROUND(Catalogue!H62*SQRT((1+'Paramètres'!$B$4*(C1182-1)+'Paramètres'!$B$5*(C1182-1)^2)),0)</x:f>
        <x:v>0</x:v>
      </x:c>
      <x:c r="I1182" s="28" t="n">
        <x:v>2</x:v>
      </x:c>
      <x:c r="J1182" s="28" t="n">
        <x:v>3</x:v>
      </x:c>
      <x:c r="K1182" s="30" t="n">
        <x:v>0.7</x:v>
      </x:c>
      <x:c r="L1182" s="54" t="n">
        <x:f>IF(M1182=0,0,(E1182+F1182)/2)</x:f>
        <x:v>11.5</x:v>
      </x:c>
      <x:c r="M1182" t="n">
        <x:v>3</x:v>
      </x:c>
      <x:c r="N1182" t="n">
        <x:v>4</x:v>
      </x:c>
      <x:c r="O1182" t="n">
        <x:v>4</x:v>
      </x:c>
      <x:c r="P1182" s="63" t="str">
        <x:f>IF(M1182=0,"—",M1182&amp;"d"&amp;N1182&amp;IF(O1182=0,""," + "&amp;O1182))</x:f>
        <x:v>3d4 + 4</x:v>
      </x:c>
      <x:c r="Q1182" t="n">
        <x:f>ROUND(INDEX(Catalogue!E$4:E$85,MATCH(A1182,Catalogue!A$4:A$85,0))*(1+'Paramètres'!$B$4*(C1182-1)+'Paramètres'!$B$5*(C1182-1)^2),0)</x:f>
        <x:v>8</x:v>
      </x:c>
      <x:c r="R1182" t="n">
        <x:f>ROUND(INDEX(Catalogue!F$4:F$85,MATCH(A1182,Catalogue!A$4:A$85,0))*(1+'Paramètres'!$B$4*(C1182-1)+'Paramètres'!$B$5*(C1182-1)^2),0)</x:f>
        <x:v>16</x:v>
      </x:c>
      <x:c r="S1182" t="n">
        <x:f>L1182-AVERAGE(Q1182:R1182)</x:f>
        <x:v>-0.5</x:v>
      </x:c>
      <x:c r="T1182" t="str">
        <x:f>IF(M1182=0,IF(AND(N1182=0,O1182=0,E1182=0,F1182=0),"OK","ERREUR"),IF(AND(M1182&gt;=1,M1182&lt;=32,OR(N1182=4,N1182=6,N1182=8,N1182=10,N1182=12,N1182=20),O1182&gt;=0,E1182=M1182+O1182,F1182=M1182*N1182+O1182),"OK","ERREUR"))</x:f>
        <x:v>OK</x:v>
      </x:c>
      <x:c r="U1182" s="86" t="n">
        <x:f>IF(M1182&gt;0,M1182*(N1182+1)/2+O1182,0)</x:f>
        <x:v>11.5</x:v>
      </x:c>
      <x:c r="V1182" t="str">
        <x:f>IF(ABS(L1182-U1182)&lt;0.001,"OK","ERREUR")</x:f>
        <x:v>OK</x:v>
      </x:c>
    </x:row>
    <x:row r="1183" ht="18" customHeight="1">
      <x:c r="A1183" t="str">
        <x:v>ARM059</x:v>
      </x:c>
      <x:c r="B1183" t="str">
        <x:v>Bolas</x:v>
      </x:c>
      <x:c r="C1183" t="n">
        <x:v>20</x:v>
      </x:c>
      <x:c r="D1183" t="str">
        <x:v>Jet</x:v>
      </x:c>
      <x:c r="E1183" s="28" t="n">
        <x:f>IF(M1183=0,0,M1183+O1183)</x:f>
        <x:v>9</x:v>
      </x:c>
      <x:c r="F1183" s="28" t="n">
        <x:f>IF(M1183=0,0,M1183*N1183+O1183)</x:f>
        <x:v>18</x:v>
      </x:c>
      <x:c r="G1183" s="28" t="n">
        <x:f>ROUND(Catalogue!G62*SQRT((1+'Paramètres'!$B$4*(C1183-1)+'Paramètres'!$B$5*(C1183-1)^2)),0)</x:f>
        <x:v>0</x:v>
      </x:c>
      <x:c r="H1183" s="28" t="n">
        <x:f>ROUND(Catalogue!H62*SQRT((1+'Paramètres'!$B$4*(C1183-1)+'Paramètres'!$B$5*(C1183-1)^2)),0)</x:f>
        <x:v>0</x:v>
      </x:c>
      <x:c r="I1183" s="28" t="n">
        <x:v>2</x:v>
      </x:c>
      <x:c r="J1183" s="28" t="n">
        <x:v>3</x:v>
      </x:c>
      <x:c r="K1183" s="30" t="n">
        <x:v>0.7</x:v>
      </x:c>
      <x:c r="L1183" s="54" t="n">
        <x:f>IF(M1183=0,0,(E1183+F1183)/2)</x:f>
        <x:v>13.5</x:v>
      </x:c>
      <x:c r="M1183" t="n">
        <x:v>3</x:v>
      </x:c>
      <x:c r="N1183" t="n">
        <x:v>4</x:v>
      </x:c>
      <x:c r="O1183" t="n">
        <x:v>6</x:v>
      </x:c>
      <x:c r="P1183" s="63" t="str">
        <x:f>IF(M1183=0,"—",M1183&amp;"d"&amp;N1183&amp;IF(O1183=0,""," + "&amp;O1183))</x:f>
        <x:v>3d4 + 6</x:v>
      </x:c>
      <x:c r="Q1183" t="n">
        <x:f>ROUND(INDEX(Catalogue!E$4:E$85,MATCH(A1183,Catalogue!A$4:A$85,0))*(1+'Paramètres'!$B$4*(C1183-1)+'Paramètres'!$B$5*(C1183-1)^2),0)</x:f>
        <x:v>9</x:v>
      </x:c>
      <x:c r="R1183" t="n">
        <x:f>ROUND(INDEX(Catalogue!F$4:F$85,MATCH(A1183,Catalogue!A$4:A$85,0))*(1+'Paramètres'!$B$4*(C1183-1)+'Paramètres'!$B$5*(C1183-1)^2),0)</x:f>
        <x:v>18</x:v>
      </x:c>
      <x:c r="S1183" t="n">
        <x:f>L1183-AVERAGE(Q1183:R1183)</x:f>
        <x:v>0</x:v>
      </x:c>
      <x:c r="T1183" t="str">
        <x:f>IF(M1183=0,IF(AND(N1183=0,O1183=0,E1183=0,F1183=0),"OK","ERREUR"),IF(AND(M1183&gt;=1,M1183&lt;=32,OR(N1183=4,N1183=6,N1183=8,N1183=10,N1183=12,N1183=20),O1183&gt;=0,E1183=M1183+O1183,F1183=M1183*N1183+O1183),"OK","ERREUR"))</x:f>
        <x:v>OK</x:v>
      </x:c>
      <x:c r="U1183" s="86" t="n">
        <x:f>IF(M1183&gt;0,M1183*(N1183+1)/2+O1183,0)</x:f>
        <x:v>13.5</x:v>
      </x:c>
      <x:c r="V1183" t="str">
        <x:f>IF(ABS(L1183-U1183)&lt;0.001,"OK","ERREUR")</x:f>
        <x:v>OK</x:v>
      </x:c>
    </x:row>
    <x:row r="1184" ht="18" customHeight="1">
      <x:c r="A1184" t="str">
        <x:v>ARM060</x:v>
      </x:c>
      <x:c r="B1184" t="str">
        <x:v>Chakram</x:v>
      </x:c>
      <x:c r="C1184" t="n">
        <x:v>1</x:v>
      </x:c>
      <x:c r="D1184" t="str">
        <x:v>Jet</x:v>
      </x:c>
      <x:c r="E1184" s="28" t="n">
        <x:f>IF(M1184=0,0,M1184+O1184)</x:f>
        <x:v>2</x:v>
      </x:c>
      <x:c r="F1184" s="28" t="n">
        <x:f>IF(M1184=0,0,M1184*N1184+O1184)</x:f>
        <x:v>5</x:v>
      </x:c>
      <x:c r="G1184" s="28" t="n">
        <x:f>ROUND(Catalogue!G63*SQRT((1+'Paramètres'!$B$4*(C1184-1)+'Paramètres'!$B$5*(C1184-1)^2)),0)</x:f>
        <x:v>0</x:v>
      </x:c>
      <x:c r="H1184" s="28" t="n">
        <x:f>ROUND(Catalogue!H63*SQRT((1+'Paramètres'!$B$4*(C1184-1)+'Paramètres'!$B$5*(C1184-1)^2)),0)</x:f>
        <x:v>0</x:v>
      </x:c>
      <x:c r="I1184" s="28" t="n">
        <x:v>2</x:v>
      </x:c>
      <x:c r="J1184" s="28" t="n">
        <x:v>4</x:v>
      </x:c>
      <x:c r="K1184" s="30" t="n">
        <x:v>0.5</x:v>
      </x:c>
      <x:c r="L1184" s="54" t="n">
        <x:f>IF(M1184=0,0,(E1184+F1184)/2)</x:f>
        <x:v>3.5</x:v>
      </x:c>
      <x:c r="M1184" t="n">
        <x:v>1</x:v>
      </x:c>
      <x:c r="N1184" t="n">
        <x:v>4</x:v>
      </x:c>
      <x:c r="O1184" t="n">
        <x:v>1</x:v>
      </x:c>
      <x:c r="P1184" s="63" t="str">
        <x:f>IF(M1184=0,"—",M1184&amp;"d"&amp;N1184&amp;IF(O1184=0,""," + "&amp;O1184))</x:f>
        <x:v>1d4 + 1</x:v>
      </x:c>
      <x:c r="Q1184" t="n">
        <x:f>ROUND(INDEX(Catalogue!E$4:E$85,MATCH(A1184,Catalogue!A$4:A$85,0))*(1+'Paramètres'!$B$4*(C1184-1)+'Paramètres'!$B$5*(C1184-1)^2),0)</x:f>
        <x:v>3</x:v>
      </x:c>
      <x:c r="R1184" t="n">
        <x:f>ROUND(INDEX(Catalogue!F$4:F$85,MATCH(A1184,Catalogue!A$4:A$85,0))*(1+'Paramètres'!$B$4*(C1184-1)+'Paramètres'!$B$5*(C1184-1)^2),0)</x:f>
        <x:v>5</x:v>
      </x:c>
      <x:c r="S1184" t="n">
        <x:f>L1184-AVERAGE(Q1184:R1184)</x:f>
        <x:v>-0.5</x:v>
      </x:c>
      <x:c r="T1184" t="str">
        <x:f>IF(M1184=0,IF(AND(N1184=0,O1184=0,E1184=0,F1184=0),"OK","ERREUR"),IF(AND(M1184&gt;=1,M1184&lt;=32,OR(N1184=4,N1184=6,N1184=8,N1184=10,N1184=12,N1184=20),O1184&gt;=0,E1184=M1184+O1184,F1184=M1184*N1184+O1184),"OK","ERREUR"))</x:f>
        <x:v>OK</x:v>
      </x:c>
      <x:c r="U1184" s="86" t="n">
        <x:f>IF(M1184&gt;0,M1184*(N1184+1)/2+O1184,0)</x:f>
        <x:v>3.5</x:v>
      </x:c>
      <x:c r="V1184" t="str">
        <x:f>IF(ABS(L1184-U1184)&lt;0.001,"OK","ERREUR")</x:f>
        <x:v>OK</x:v>
      </x:c>
    </x:row>
    <x:row r="1185" ht="18" customHeight="1">
      <x:c r="A1185" t="str">
        <x:v>ARM060</x:v>
      </x:c>
      <x:c r="B1185" t="str">
        <x:v>Chakram</x:v>
      </x:c>
      <x:c r="C1185" t="n">
        <x:v>2</x:v>
      </x:c>
      <x:c r="D1185" t="str">
        <x:v>Jet</x:v>
      </x:c>
      <x:c r="E1185" s="28" t="n">
        <x:f>IF(M1185=0,0,M1185+O1185)</x:f>
        <x:v>3</x:v>
      </x:c>
      <x:c r="F1185" s="28" t="n">
        <x:f>IF(M1185=0,0,M1185*N1185+O1185)</x:f>
        <x:v>6</x:v>
      </x:c>
      <x:c r="G1185" s="28" t="n">
        <x:f>ROUND(Catalogue!G63*SQRT((1+'Paramètres'!$B$4*(C1185-1)+'Paramètres'!$B$5*(C1185-1)^2)),0)</x:f>
        <x:v>0</x:v>
      </x:c>
      <x:c r="H1185" s="28" t="n">
        <x:f>ROUND(Catalogue!H63*SQRT((1+'Paramètres'!$B$4*(C1185-1)+'Paramètres'!$B$5*(C1185-1)^2)),0)</x:f>
        <x:v>0</x:v>
      </x:c>
      <x:c r="I1185" s="28" t="n">
        <x:v>2</x:v>
      </x:c>
      <x:c r="J1185" s="28" t="n">
        <x:v>4</x:v>
      </x:c>
      <x:c r="K1185" s="30" t="n">
        <x:v>0.5</x:v>
      </x:c>
      <x:c r="L1185" s="54" t="n">
        <x:f>IF(M1185=0,0,(E1185+F1185)/2)</x:f>
        <x:v>4.5</x:v>
      </x:c>
      <x:c r="M1185" t="n">
        <x:v>1</x:v>
      </x:c>
      <x:c r="N1185" t="n">
        <x:v>4</x:v>
      </x:c>
      <x:c r="O1185" t="n">
        <x:v>2</x:v>
      </x:c>
      <x:c r="P1185" s="63" t="str">
        <x:f>IF(M1185=0,"—",M1185&amp;"d"&amp;N1185&amp;IF(O1185=0,""," + "&amp;O1185))</x:f>
        <x:v>1d4 + 2</x:v>
      </x:c>
      <x:c r="Q1185" t="n">
        <x:f>ROUND(INDEX(Catalogue!E$4:E$85,MATCH(A1185,Catalogue!A$4:A$85,0))*(1+'Paramètres'!$B$4*(C1185-1)+'Paramètres'!$B$5*(C1185-1)^2),0)</x:f>
        <x:v>3</x:v>
      </x:c>
      <x:c r="R1185" t="n">
        <x:f>ROUND(INDEX(Catalogue!F$4:F$85,MATCH(A1185,Catalogue!A$4:A$85,0))*(1+'Paramètres'!$B$4*(C1185-1)+'Paramètres'!$B$5*(C1185-1)^2),0)</x:f>
        <x:v>6</x:v>
      </x:c>
      <x:c r="S1185" t="n">
        <x:f>L1185-AVERAGE(Q1185:R1185)</x:f>
        <x:v>0</x:v>
      </x:c>
      <x:c r="T1185" t="str">
        <x:f>IF(M1185=0,IF(AND(N1185=0,O1185=0,E1185=0,F1185=0),"OK","ERREUR"),IF(AND(M1185&gt;=1,M1185&lt;=32,OR(N1185=4,N1185=6,N1185=8,N1185=10,N1185=12,N1185=20),O1185&gt;=0,E1185=M1185+O1185,F1185=M1185*N1185+O1185),"OK","ERREUR"))</x:f>
        <x:v>OK</x:v>
      </x:c>
      <x:c r="U1185" s="86" t="n">
        <x:f>IF(M1185&gt;0,M1185*(N1185+1)/2+O1185,0)</x:f>
        <x:v>4.5</x:v>
      </x:c>
      <x:c r="V1185" t="str">
        <x:f>IF(ABS(L1185-U1185)&lt;0.001,"OK","ERREUR")</x:f>
        <x:v>OK</x:v>
      </x:c>
    </x:row>
    <x:row r="1186" ht="18" customHeight="1">
      <x:c r="A1186" t="str">
        <x:v>ARM060</x:v>
      </x:c>
      <x:c r="B1186" t="str">
        <x:v>Chakram</x:v>
      </x:c>
      <x:c r="C1186" t="n">
        <x:v>3</x:v>
      </x:c>
      <x:c r="D1186" t="str">
        <x:v>Jet</x:v>
      </x:c>
      <x:c r="E1186" s="28" t="n">
        <x:f>IF(M1186=0,0,M1186+O1186)</x:f>
        <x:v>3</x:v>
      </x:c>
      <x:c r="F1186" s="28" t="n">
        <x:f>IF(M1186=0,0,M1186*N1186+O1186)</x:f>
        <x:v>6</x:v>
      </x:c>
      <x:c r="G1186" s="28" t="n">
        <x:f>ROUND(Catalogue!G63*SQRT((1+'Paramètres'!$B$4*(C1186-1)+'Paramètres'!$B$5*(C1186-1)^2)),0)</x:f>
        <x:v>0</x:v>
      </x:c>
      <x:c r="H1186" s="28" t="n">
        <x:f>ROUND(Catalogue!H63*SQRT((1+'Paramètres'!$B$4*(C1186-1)+'Paramètres'!$B$5*(C1186-1)^2)),0)</x:f>
        <x:v>0</x:v>
      </x:c>
      <x:c r="I1186" s="28" t="n">
        <x:v>2</x:v>
      </x:c>
      <x:c r="J1186" s="28" t="n">
        <x:v>4</x:v>
      </x:c>
      <x:c r="K1186" s="30" t="n">
        <x:v>0.5</x:v>
      </x:c>
      <x:c r="L1186" s="54" t="n">
        <x:f>IF(M1186=0,0,(E1186+F1186)/2)</x:f>
        <x:v>4.5</x:v>
      </x:c>
      <x:c r="M1186" t="n">
        <x:v>1</x:v>
      </x:c>
      <x:c r="N1186" t="n">
        <x:v>4</x:v>
      </x:c>
      <x:c r="O1186" t="n">
        <x:v>2</x:v>
      </x:c>
      <x:c r="P1186" s="63" t="str">
        <x:f>IF(M1186=0,"—",M1186&amp;"d"&amp;N1186&amp;IF(O1186=0,""," + "&amp;O1186))</x:f>
        <x:v>1d4 + 2</x:v>
      </x:c>
      <x:c r="Q1186" t="n">
        <x:f>ROUND(INDEX(Catalogue!E$4:E$85,MATCH(A1186,Catalogue!A$4:A$85,0))*(1+'Paramètres'!$B$4*(C1186-1)+'Paramètres'!$B$5*(C1186-1)^2),0)</x:f>
        <x:v>4</x:v>
      </x:c>
      <x:c r="R1186" t="n">
        <x:f>ROUND(INDEX(Catalogue!F$4:F$85,MATCH(A1186,Catalogue!A$4:A$85,0))*(1+'Paramètres'!$B$4*(C1186-1)+'Paramètres'!$B$5*(C1186-1)^2),0)</x:f>
        <x:v>6</x:v>
      </x:c>
      <x:c r="S1186" t="n">
        <x:f>L1186-AVERAGE(Q1186:R1186)</x:f>
        <x:v>-0.5</x:v>
      </x:c>
      <x:c r="T1186" t="str">
        <x:f>IF(M1186=0,IF(AND(N1186=0,O1186=0,E1186=0,F1186=0),"OK","ERREUR"),IF(AND(M1186&gt;=1,M1186&lt;=32,OR(N1186=4,N1186=6,N1186=8,N1186=10,N1186=12,N1186=20),O1186&gt;=0,E1186=M1186+O1186,F1186=M1186*N1186+O1186),"OK","ERREUR"))</x:f>
        <x:v>OK</x:v>
      </x:c>
      <x:c r="U1186" s="86" t="n">
        <x:f>IF(M1186&gt;0,M1186*(N1186+1)/2+O1186,0)</x:f>
        <x:v>4.5</x:v>
      </x:c>
      <x:c r="V1186" t="str">
        <x:f>IF(ABS(L1186-U1186)&lt;0.001,"OK","ERREUR")</x:f>
        <x:v>OK</x:v>
      </x:c>
    </x:row>
    <x:row r="1187" ht="18" customHeight="1">
      <x:c r="A1187" t="str">
        <x:v>ARM060</x:v>
      </x:c>
      <x:c r="B1187" t="str">
        <x:v>Chakram</x:v>
      </x:c>
      <x:c r="C1187" t="n">
        <x:v>4</x:v>
      </x:c>
      <x:c r="D1187" t="str">
        <x:v>Jet</x:v>
      </x:c>
      <x:c r="E1187" s="28" t="n">
        <x:f>IF(M1187=0,0,M1187+O1187)</x:f>
        <x:v>4</x:v>
      </x:c>
      <x:c r="F1187" s="28" t="n">
        <x:f>IF(M1187=0,0,M1187*N1187+O1187)</x:f>
        <x:v>7</x:v>
      </x:c>
      <x:c r="G1187" s="28" t="n">
        <x:f>ROUND(Catalogue!G63*SQRT((1+'Paramètres'!$B$4*(C1187-1)+'Paramètres'!$B$5*(C1187-1)^2)),0)</x:f>
        <x:v>0</x:v>
      </x:c>
      <x:c r="H1187" s="28" t="n">
        <x:f>ROUND(Catalogue!H63*SQRT((1+'Paramètres'!$B$4*(C1187-1)+'Paramètres'!$B$5*(C1187-1)^2)),0)</x:f>
        <x:v>0</x:v>
      </x:c>
      <x:c r="I1187" s="28" t="n">
        <x:v>2</x:v>
      </x:c>
      <x:c r="J1187" s="28" t="n">
        <x:v>4</x:v>
      </x:c>
      <x:c r="K1187" s="30" t="n">
        <x:v>0.5</x:v>
      </x:c>
      <x:c r="L1187" s="54" t="n">
        <x:f>IF(M1187=0,0,(E1187+F1187)/2)</x:f>
        <x:v>5.5</x:v>
      </x:c>
      <x:c r="M1187" t="n">
        <x:v>1</x:v>
      </x:c>
      <x:c r="N1187" t="n">
        <x:v>4</x:v>
      </x:c>
      <x:c r="O1187" t="n">
        <x:v>3</x:v>
      </x:c>
      <x:c r="P1187" s="63" t="str">
        <x:f>IF(M1187=0,"—",M1187&amp;"d"&amp;N1187&amp;IF(O1187=0,""," + "&amp;O1187))</x:f>
        <x:v>1d4 + 3</x:v>
      </x:c>
      <x:c r="Q1187" t="n">
        <x:f>ROUND(INDEX(Catalogue!E$4:E$85,MATCH(A1187,Catalogue!A$4:A$85,0))*(1+'Paramètres'!$B$4*(C1187-1)+'Paramètres'!$B$5*(C1187-1)^2),0)</x:f>
        <x:v>4</x:v>
      </x:c>
      <x:c r="R1187" t="n">
        <x:f>ROUND(INDEX(Catalogue!F$4:F$85,MATCH(A1187,Catalogue!A$4:A$85,0))*(1+'Paramètres'!$B$4*(C1187-1)+'Paramètres'!$B$5*(C1187-1)^2),0)</x:f>
        <x:v>7</x:v>
      </x:c>
      <x:c r="S1187" t="n">
        <x:f>L1187-AVERAGE(Q1187:R1187)</x:f>
        <x:v>0</x:v>
      </x:c>
      <x:c r="T1187" t="str">
        <x:f>IF(M1187=0,IF(AND(N1187=0,O1187=0,E1187=0,F1187=0),"OK","ERREUR"),IF(AND(M1187&gt;=1,M1187&lt;=32,OR(N1187=4,N1187=6,N1187=8,N1187=10,N1187=12,N1187=20),O1187&gt;=0,E1187=M1187+O1187,F1187=M1187*N1187+O1187),"OK","ERREUR"))</x:f>
        <x:v>OK</x:v>
      </x:c>
      <x:c r="U1187" s="86" t="n">
        <x:f>IF(M1187&gt;0,M1187*(N1187+1)/2+O1187,0)</x:f>
        <x:v>5.5</x:v>
      </x:c>
      <x:c r="V1187" t="str">
        <x:f>IF(ABS(L1187-U1187)&lt;0.001,"OK","ERREUR")</x:f>
        <x:v>OK</x:v>
      </x:c>
    </x:row>
    <x:row r="1188" ht="18" customHeight="1">
      <x:c r="A1188" t="str">
        <x:v>ARM060</x:v>
      </x:c>
      <x:c r="B1188" t="str">
        <x:v>Chakram</x:v>
      </x:c>
      <x:c r="C1188" t="n">
        <x:v>5</x:v>
      </x:c>
      <x:c r="D1188" t="str">
        <x:v>Jet</x:v>
      </x:c>
      <x:c r="E1188" s="28" t="n">
        <x:f>IF(M1188=0,0,M1188+O1188)</x:f>
        <x:v>5</x:v>
      </x:c>
      <x:c r="F1188" s="28" t="n">
        <x:f>IF(M1188=0,0,M1188*N1188+O1188)</x:f>
        <x:v>8</x:v>
      </x:c>
      <x:c r="G1188" s="28" t="n">
        <x:f>ROUND(Catalogue!G63*SQRT((1+'Paramètres'!$B$4*(C1188-1)+'Paramètres'!$B$5*(C1188-1)^2)),0)</x:f>
        <x:v>0</x:v>
      </x:c>
      <x:c r="H1188" s="28" t="n">
        <x:f>ROUND(Catalogue!H63*SQRT((1+'Paramètres'!$B$4*(C1188-1)+'Paramètres'!$B$5*(C1188-1)^2)),0)</x:f>
        <x:v>0</x:v>
      </x:c>
      <x:c r="I1188" s="28" t="n">
        <x:v>2</x:v>
      </x:c>
      <x:c r="J1188" s="28" t="n">
        <x:v>4</x:v>
      </x:c>
      <x:c r="K1188" s="30" t="n">
        <x:v>0.5</x:v>
      </x:c>
      <x:c r="L1188" s="54" t="n">
        <x:f>IF(M1188=0,0,(E1188+F1188)/2)</x:f>
        <x:v>6.5</x:v>
      </x:c>
      <x:c r="M1188" t="n">
        <x:v>1</x:v>
      </x:c>
      <x:c r="N1188" t="n">
        <x:v>4</x:v>
      </x:c>
      <x:c r="O1188" t="n">
        <x:v>4</x:v>
      </x:c>
      <x:c r="P1188" s="63" t="str">
        <x:f>IF(M1188=0,"—",M1188&amp;"d"&amp;N1188&amp;IF(O1188=0,""," + "&amp;O1188))</x:f>
        <x:v>1d4 + 4</x:v>
      </x:c>
      <x:c r="Q1188" t="n">
        <x:f>ROUND(INDEX(Catalogue!E$4:E$85,MATCH(A1188,Catalogue!A$4:A$85,0))*(1+'Paramètres'!$B$4*(C1188-1)+'Paramètres'!$B$5*(C1188-1)^2),0)</x:f>
        <x:v>5</x:v>
      </x:c>
      <x:c r="R1188" t="n">
        <x:f>ROUND(INDEX(Catalogue!F$4:F$85,MATCH(A1188,Catalogue!A$4:A$85,0))*(1+'Paramètres'!$B$4*(C1188-1)+'Paramètres'!$B$5*(C1188-1)^2),0)</x:f>
        <x:v>8</x:v>
      </x:c>
      <x:c r="S1188" t="n">
        <x:f>L1188-AVERAGE(Q1188:R1188)</x:f>
        <x:v>0</x:v>
      </x:c>
      <x:c r="T1188" t="str">
        <x:f>IF(M1188=0,IF(AND(N1188=0,O1188=0,E1188=0,F1188=0),"OK","ERREUR"),IF(AND(M1188&gt;=1,M1188&lt;=32,OR(N1188=4,N1188=6,N1188=8,N1188=10,N1188=12,N1188=20),O1188&gt;=0,E1188=M1188+O1188,F1188=M1188*N1188+O1188),"OK","ERREUR"))</x:f>
        <x:v>OK</x:v>
      </x:c>
      <x:c r="U1188" s="86" t="n">
        <x:f>IF(M1188&gt;0,M1188*(N1188+1)/2+O1188,0)</x:f>
        <x:v>6.5</x:v>
      </x:c>
      <x:c r="V1188" t="str">
        <x:f>IF(ABS(L1188-U1188)&lt;0.001,"OK","ERREUR")</x:f>
        <x:v>OK</x:v>
      </x:c>
    </x:row>
    <x:row r="1189" ht="18" customHeight="1">
      <x:c r="A1189" t="str">
        <x:v>ARM060</x:v>
      </x:c>
      <x:c r="B1189" t="str">
        <x:v>Chakram</x:v>
      </x:c>
      <x:c r="C1189" t="n">
        <x:v>6</x:v>
      </x:c>
      <x:c r="D1189" t="str">
        <x:v>Jet</x:v>
      </x:c>
      <x:c r="E1189" s="28" t="n">
        <x:f>IF(M1189=0,0,M1189+O1189)</x:f>
        <x:v>6</x:v>
      </x:c>
      <x:c r="F1189" s="28" t="n">
        <x:f>IF(M1189=0,0,M1189*N1189+O1189)</x:f>
        <x:v>9</x:v>
      </x:c>
      <x:c r="G1189" s="28" t="n">
        <x:f>ROUND(Catalogue!G63*SQRT((1+'Paramètres'!$B$4*(C1189-1)+'Paramètres'!$B$5*(C1189-1)^2)),0)</x:f>
        <x:v>0</x:v>
      </x:c>
      <x:c r="H1189" s="28" t="n">
        <x:f>ROUND(Catalogue!H63*SQRT((1+'Paramètres'!$B$4*(C1189-1)+'Paramètres'!$B$5*(C1189-1)^2)),0)</x:f>
        <x:v>0</x:v>
      </x:c>
      <x:c r="I1189" s="28" t="n">
        <x:v>2</x:v>
      </x:c>
      <x:c r="J1189" s="28" t="n">
        <x:v>4</x:v>
      </x:c>
      <x:c r="K1189" s="30" t="n">
        <x:v>0.5</x:v>
      </x:c>
      <x:c r="L1189" s="54" t="n">
        <x:f>IF(M1189=0,0,(E1189+F1189)/2)</x:f>
        <x:v>7.5</x:v>
      </x:c>
      <x:c r="M1189" t="n">
        <x:v>1</x:v>
      </x:c>
      <x:c r="N1189" t="n">
        <x:v>4</x:v>
      </x:c>
      <x:c r="O1189" t="n">
        <x:v>5</x:v>
      </x:c>
      <x:c r="P1189" s="63" t="str">
        <x:f>IF(M1189=0,"—",M1189&amp;"d"&amp;N1189&amp;IF(O1189=0,""," + "&amp;O1189))</x:f>
        <x:v>1d4 + 5</x:v>
      </x:c>
      <x:c r="Q1189" t="n">
        <x:f>ROUND(INDEX(Catalogue!E$4:E$85,MATCH(A1189,Catalogue!A$4:A$85,0))*(1+'Paramètres'!$B$4*(C1189-1)+'Paramètres'!$B$5*(C1189-1)^2),0)</x:f>
        <x:v>6</x:v>
      </x:c>
      <x:c r="R1189" t="n">
        <x:f>ROUND(INDEX(Catalogue!F$4:F$85,MATCH(A1189,Catalogue!A$4:A$85,0))*(1+'Paramètres'!$B$4*(C1189-1)+'Paramètres'!$B$5*(C1189-1)^2),0)</x:f>
        <x:v>10</x:v>
      </x:c>
      <x:c r="S1189" t="n">
        <x:f>L1189-AVERAGE(Q1189:R1189)</x:f>
        <x:v>-0.5</x:v>
      </x:c>
      <x:c r="T1189" t="str">
        <x:f>IF(M1189=0,IF(AND(N1189=0,O1189=0,E1189=0,F1189=0),"OK","ERREUR"),IF(AND(M1189&gt;=1,M1189&lt;=32,OR(N1189=4,N1189=6,N1189=8,N1189=10,N1189=12,N1189=20),O1189&gt;=0,E1189=M1189+O1189,F1189=M1189*N1189+O1189),"OK","ERREUR"))</x:f>
        <x:v>OK</x:v>
      </x:c>
      <x:c r="U1189" s="86" t="n">
        <x:f>IF(M1189&gt;0,M1189*(N1189+1)/2+O1189,0)</x:f>
        <x:v>7.5</x:v>
      </x:c>
      <x:c r="V1189" t="str">
        <x:f>IF(ABS(L1189-U1189)&lt;0.001,"OK","ERREUR")</x:f>
        <x:v>OK</x:v>
      </x:c>
    </x:row>
    <x:row r="1190" ht="18" customHeight="1">
      <x:c r="A1190" t="str">
        <x:v>ARM060</x:v>
      </x:c>
      <x:c r="B1190" t="str">
        <x:v>Chakram</x:v>
      </x:c>
      <x:c r="C1190" t="n">
        <x:v>7</x:v>
      </x:c>
      <x:c r="D1190" t="str">
        <x:v>Jet</x:v>
      </x:c>
      <x:c r="E1190" s="28" t="n">
        <x:f>IF(M1190=0,0,M1190+O1190)</x:f>
        <x:v>7</x:v>
      </x:c>
      <x:c r="F1190" s="28" t="n">
        <x:f>IF(M1190=0,0,M1190*N1190+O1190)</x:f>
        <x:v>10</x:v>
      </x:c>
      <x:c r="G1190" s="28" t="n">
        <x:f>ROUND(Catalogue!G63*SQRT((1+'Paramètres'!$B$4*(C1190-1)+'Paramètres'!$B$5*(C1190-1)^2)),0)</x:f>
        <x:v>0</x:v>
      </x:c>
      <x:c r="H1190" s="28" t="n">
        <x:f>ROUND(Catalogue!H63*SQRT((1+'Paramètres'!$B$4*(C1190-1)+'Paramètres'!$B$5*(C1190-1)^2)),0)</x:f>
        <x:v>0</x:v>
      </x:c>
      <x:c r="I1190" s="28" t="n">
        <x:v>2</x:v>
      </x:c>
      <x:c r="J1190" s="28" t="n">
        <x:v>4</x:v>
      </x:c>
      <x:c r="K1190" s="30" t="n">
        <x:v>0.5</x:v>
      </x:c>
      <x:c r="L1190" s="54" t="n">
        <x:f>IF(M1190=0,0,(E1190+F1190)/2)</x:f>
        <x:v>8.5</x:v>
      </x:c>
      <x:c r="M1190" t="n">
        <x:v>1</x:v>
      </x:c>
      <x:c r="N1190" t="n">
        <x:v>4</x:v>
      </x:c>
      <x:c r="O1190" t="n">
        <x:v>6</x:v>
      </x:c>
      <x:c r="P1190" s="63" t="str">
        <x:f>IF(M1190=0,"—",M1190&amp;"d"&amp;N1190&amp;IF(O1190=0,""," + "&amp;O1190))</x:f>
        <x:v>1d4 + 6</x:v>
      </x:c>
      <x:c r="Q1190" t="n">
        <x:f>ROUND(INDEX(Catalogue!E$4:E$85,MATCH(A1190,Catalogue!A$4:A$85,0))*(1+'Paramètres'!$B$4*(C1190-1)+'Paramètres'!$B$5*(C1190-1)^2),0)</x:f>
        <x:v>7</x:v>
      </x:c>
      <x:c r="R1190" t="n">
        <x:f>ROUND(INDEX(Catalogue!F$4:F$85,MATCH(A1190,Catalogue!A$4:A$85,0))*(1+'Paramètres'!$B$4*(C1190-1)+'Paramètres'!$B$5*(C1190-1)^2),0)</x:f>
        <x:v>11</x:v>
      </x:c>
      <x:c r="S1190" t="n">
        <x:f>L1190-AVERAGE(Q1190:R1190)</x:f>
        <x:v>-0.5</x:v>
      </x:c>
      <x:c r="T1190" t="str">
        <x:f>IF(M1190=0,IF(AND(N1190=0,O1190=0,E1190=0,F1190=0),"OK","ERREUR"),IF(AND(M1190&gt;=1,M1190&lt;=32,OR(N1190=4,N1190=6,N1190=8,N1190=10,N1190=12,N1190=20),O1190&gt;=0,E1190=M1190+O1190,F1190=M1190*N1190+O1190),"OK","ERREUR"))</x:f>
        <x:v>OK</x:v>
      </x:c>
      <x:c r="U1190" s="86" t="n">
        <x:f>IF(M1190&gt;0,M1190*(N1190+1)/2+O1190,0)</x:f>
        <x:v>8.5</x:v>
      </x:c>
      <x:c r="V1190" t="str">
        <x:f>IF(ABS(L1190-U1190)&lt;0.001,"OK","ERREUR")</x:f>
        <x:v>OK</x:v>
      </x:c>
    </x:row>
    <x:row r="1191" ht="18" customHeight="1">
      <x:c r="A1191" t="str">
        <x:v>ARM060</x:v>
      </x:c>
      <x:c r="B1191" t="str">
        <x:v>Chakram</x:v>
      </x:c>
      <x:c r="C1191" t="n">
        <x:v>8</x:v>
      </x:c>
      <x:c r="D1191" t="str">
        <x:v>Jet</x:v>
      </x:c>
      <x:c r="E1191" s="28" t="n">
        <x:f>IF(M1191=0,0,M1191+O1191)</x:f>
        <x:v>8</x:v>
      </x:c>
      <x:c r="F1191" s="28" t="n">
        <x:f>IF(M1191=0,0,M1191*N1191+O1191)</x:f>
        <x:v>13</x:v>
      </x:c>
      <x:c r="G1191" s="28" t="n">
        <x:f>ROUND(Catalogue!G63*SQRT((1+'Paramètres'!$B$4*(C1191-1)+'Paramètres'!$B$5*(C1191-1)^2)),0)</x:f>
        <x:v>0</x:v>
      </x:c>
      <x:c r="H1191" s="28" t="n">
        <x:f>ROUND(Catalogue!H63*SQRT((1+'Paramètres'!$B$4*(C1191-1)+'Paramètres'!$B$5*(C1191-1)^2)),0)</x:f>
        <x:v>0</x:v>
      </x:c>
      <x:c r="I1191" s="28" t="n">
        <x:v>2</x:v>
      </x:c>
      <x:c r="J1191" s="28" t="n">
        <x:v>4</x:v>
      </x:c>
      <x:c r="K1191" s="30" t="n">
        <x:v>0.5</x:v>
      </x:c>
      <x:c r="L1191" s="54" t="n">
        <x:f>IF(M1191=0,0,(E1191+F1191)/2)</x:f>
        <x:v>10.5</x:v>
      </x:c>
      <x:c r="M1191" t="n">
        <x:v>1</x:v>
      </x:c>
      <x:c r="N1191" t="n">
        <x:v>6</x:v>
      </x:c>
      <x:c r="O1191" t="n">
        <x:v>7</x:v>
      </x:c>
      <x:c r="P1191" s="63" t="str">
        <x:f>IF(M1191=0,"—",M1191&amp;"d"&amp;N1191&amp;IF(O1191=0,""," + "&amp;O1191))</x:f>
        <x:v>1d6 + 7</x:v>
      </x:c>
      <x:c r="Q1191" t="n">
        <x:f>ROUND(INDEX(Catalogue!E$4:E$85,MATCH(A1191,Catalogue!A$4:A$85,0))*(1+'Paramètres'!$B$4*(C1191-1)+'Paramètres'!$B$5*(C1191-1)^2),0)</x:f>
        <x:v>8</x:v>
      </x:c>
      <x:c r="R1191" t="n">
        <x:f>ROUND(INDEX(Catalogue!F$4:F$85,MATCH(A1191,Catalogue!A$4:A$85,0))*(1+'Paramètres'!$B$4*(C1191-1)+'Paramètres'!$B$5*(C1191-1)^2),0)</x:f>
        <x:v>13</x:v>
      </x:c>
      <x:c r="S1191" t="n">
        <x:f>L1191-AVERAGE(Q1191:R1191)</x:f>
        <x:v>0</x:v>
      </x:c>
      <x:c r="T1191" t="str">
        <x:f>IF(M1191=0,IF(AND(N1191=0,O1191=0,E1191=0,F1191=0),"OK","ERREUR"),IF(AND(M1191&gt;=1,M1191&lt;=32,OR(N1191=4,N1191=6,N1191=8,N1191=10,N1191=12,N1191=20),O1191&gt;=0,E1191=M1191+O1191,F1191=M1191*N1191+O1191),"OK","ERREUR"))</x:f>
        <x:v>OK</x:v>
      </x:c>
      <x:c r="U1191" s="86" t="n">
        <x:f>IF(M1191&gt;0,M1191*(N1191+1)/2+O1191,0)</x:f>
        <x:v>10.5</x:v>
      </x:c>
      <x:c r="V1191" t="str">
        <x:f>IF(ABS(L1191-U1191)&lt;0.001,"OK","ERREUR")</x:f>
        <x:v>OK</x:v>
      </x:c>
    </x:row>
    <x:row r="1192" ht="18" customHeight="1">
      <x:c r="A1192" t="str">
        <x:v>ARM060</x:v>
      </x:c>
      <x:c r="B1192" t="str">
        <x:v>Chakram</x:v>
      </x:c>
      <x:c r="C1192" t="n">
        <x:v>9</x:v>
      </x:c>
      <x:c r="D1192" t="str">
        <x:v>Jet</x:v>
      </x:c>
      <x:c r="E1192" s="28" t="n">
        <x:f>IF(M1192=0,0,M1192+O1192)</x:f>
        <x:v>9</x:v>
      </x:c>
      <x:c r="F1192" s="28" t="n">
        <x:f>IF(M1192=0,0,M1192*N1192+O1192)</x:f>
        <x:v>15</x:v>
      </x:c>
      <x:c r="G1192" s="28" t="n">
        <x:f>ROUND(Catalogue!G63*SQRT((1+'Paramètres'!$B$4*(C1192-1)+'Paramètres'!$B$5*(C1192-1)^2)),0)</x:f>
        <x:v>0</x:v>
      </x:c>
      <x:c r="H1192" s="28" t="n">
        <x:f>ROUND(Catalogue!H63*SQRT((1+'Paramètres'!$B$4*(C1192-1)+'Paramètres'!$B$5*(C1192-1)^2)),0)</x:f>
        <x:v>0</x:v>
      </x:c>
      <x:c r="I1192" s="28" t="n">
        <x:v>2</x:v>
      </x:c>
      <x:c r="J1192" s="28" t="n">
        <x:v>4</x:v>
      </x:c>
      <x:c r="K1192" s="30" t="n">
        <x:v>0.5</x:v>
      </x:c>
      <x:c r="L1192" s="54" t="n">
        <x:f>IF(M1192=0,0,(E1192+F1192)/2)</x:f>
        <x:v>12</x:v>
      </x:c>
      <x:c r="M1192" t="n">
        <x:v>2</x:v>
      </x:c>
      <x:c r="N1192" t="n">
        <x:v>4</x:v>
      </x:c>
      <x:c r="O1192" t="n">
        <x:v>7</x:v>
      </x:c>
      <x:c r="P1192" s="63" t="str">
        <x:f>IF(M1192=0,"—",M1192&amp;"d"&amp;N1192&amp;IF(O1192=0,""," + "&amp;O1192))</x:f>
        <x:v>2d4 + 7</x:v>
      </x:c>
      <x:c r="Q1192" t="n">
        <x:f>ROUND(INDEX(Catalogue!E$4:E$85,MATCH(A1192,Catalogue!A$4:A$85,0))*(1+'Paramètres'!$B$4*(C1192-1)+'Paramètres'!$B$5*(C1192-1)^2),0)</x:f>
        <x:v>9</x:v>
      </x:c>
      <x:c r="R1192" t="n">
        <x:f>ROUND(INDEX(Catalogue!F$4:F$85,MATCH(A1192,Catalogue!A$4:A$85,0))*(1+'Paramètres'!$B$4*(C1192-1)+'Paramètres'!$B$5*(C1192-1)^2),0)</x:f>
        <x:v>15</x:v>
      </x:c>
      <x:c r="S1192" t="n">
        <x:f>L1192-AVERAGE(Q1192:R1192)</x:f>
        <x:v>0</x:v>
      </x:c>
      <x:c r="T1192" t="str">
        <x:f>IF(M1192=0,IF(AND(N1192=0,O1192=0,E1192=0,F1192=0),"OK","ERREUR"),IF(AND(M1192&gt;=1,M1192&lt;=32,OR(N1192=4,N1192=6,N1192=8,N1192=10,N1192=12,N1192=20),O1192&gt;=0,E1192=M1192+O1192,F1192=M1192*N1192+O1192),"OK","ERREUR"))</x:f>
        <x:v>OK</x:v>
      </x:c>
      <x:c r="U1192" s="86" t="n">
        <x:f>IF(M1192&gt;0,M1192*(N1192+1)/2+O1192,0)</x:f>
        <x:v>12</x:v>
      </x:c>
      <x:c r="V1192" t="str">
        <x:f>IF(ABS(L1192-U1192)&lt;0.001,"OK","ERREUR")</x:f>
        <x:v>OK</x:v>
      </x:c>
    </x:row>
    <x:row r="1193" ht="18" customHeight="1">
      <x:c r="A1193" t="str">
        <x:v>ARM060</x:v>
      </x:c>
      <x:c r="B1193" t="str">
        <x:v>Chakram</x:v>
      </x:c>
      <x:c r="C1193" t="n">
        <x:v>10</x:v>
      </x:c>
      <x:c r="D1193" t="str">
        <x:v>Jet</x:v>
      </x:c>
      <x:c r="E1193" s="28" t="n">
        <x:f>IF(M1193=0,0,M1193+O1193)</x:f>
        <x:v>10</x:v>
      </x:c>
      <x:c r="F1193" s="28" t="n">
        <x:f>IF(M1193=0,0,M1193*N1193+O1193)</x:f>
        <x:v>16</x:v>
      </x:c>
      <x:c r="G1193" s="28" t="n">
        <x:f>ROUND(Catalogue!G63*SQRT((1+'Paramètres'!$B$4*(C1193-1)+'Paramètres'!$B$5*(C1193-1)^2)),0)</x:f>
        <x:v>0</x:v>
      </x:c>
      <x:c r="H1193" s="28" t="n">
        <x:f>ROUND(Catalogue!H63*SQRT((1+'Paramètres'!$B$4*(C1193-1)+'Paramètres'!$B$5*(C1193-1)^2)),0)</x:f>
        <x:v>0</x:v>
      </x:c>
      <x:c r="I1193" s="28" t="n">
        <x:v>2</x:v>
      </x:c>
      <x:c r="J1193" s="28" t="n">
        <x:v>4</x:v>
      </x:c>
      <x:c r="K1193" s="30" t="n">
        <x:v>0.5</x:v>
      </x:c>
      <x:c r="L1193" s="54" t="n">
        <x:f>IF(M1193=0,0,(E1193+F1193)/2)</x:f>
        <x:v>13</x:v>
      </x:c>
      <x:c r="M1193" t="n">
        <x:v>2</x:v>
      </x:c>
      <x:c r="N1193" t="n">
        <x:v>4</x:v>
      </x:c>
      <x:c r="O1193" t="n">
        <x:v>8</x:v>
      </x:c>
      <x:c r="P1193" s="63" t="str">
        <x:f>IF(M1193=0,"—",M1193&amp;"d"&amp;N1193&amp;IF(O1193=0,""," + "&amp;O1193))</x:f>
        <x:v>2d4 + 8</x:v>
      </x:c>
      <x:c r="Q1193" t="n">
        <x:f>ROUND(INDEX(Catalogue!E$4:E$85,MATCH(A1193,Catalogue!A$4:A$85,0))*(1+'Paramètres'!$B$4*(C1193-1)+'Paramètres'!$B$5*(C1193-1)^2),0)</x:f>
        <x:v>10</x:v>
      </x:c>
      <x:c r="R1193" t="n">
        <x:f>ROUND(INDEX(Catalogue!F$4:F$85,MATCH(A1193,Catalogue!A$4:A$85,0))*(1+'Paramètres'!$B$4*(C1193-1)+'Paramètres'!$B$5*(C1193-1)^2),0)</x:f>
        <x:v>16</x:v>
      </x:c>
      <x:c r="S1193" t="n">
        <x:f>L1193-AVERAGE(Q1193:R1193)</x:f>
        <x:v>0</x:v>
      </x:c>
      <x:c r="T1193" t="str">
        <x:f>IF(M1193=0,IF(AND(N1193=0,O1193=0,E1193=0,F1193=0),"OK","ERREUR"),IF(AND(M1193&gt;=1,M1193&lt;=32,OR(N1193=4,N1193=6,N1193=8,N1193=10,N1193=12,N1193=20),O1193&gt;=0,E1193=M1193+O1193,F1193=M1193*N1193+O1193),"OK","ERREUR"))</x:f>
        <x:v>OK</x:v>
      </x:c>
      <x:c r="U1193" s="86" t="n">
        <x:f>IF(M1193&gt;0,M1193*(N1193+1)/2+O1193,0)</x:f>
        <x:v>13</x:v>
      </x:c>
      <x:c r="V1193" t="str">
        <x:f>IF(ABS(L1193-U1193)&lt;0.001,"OK","ERREUR")</x:f>
        <x:v>OK</x:v>
      </x:c>
    </x:row>
    <x:row r="1194" ht="18" customHeight="1">
      <x:c r="A1194" t="str">
        <x:v>ARM060</x:v>
      </x:c>
      <x:c r="B1194" t="str">
        <x:v>Chakram</x:v>
      </x:c>
      <x:c r="C1194" t="n">
        <x:v>11</x:v>
      </x:c>
      <x:c r="D1194" t="str">
        <x:v>Jet</x:v>
      </x:c>
      <x:c r="E1194" s="28" t="n">
        <x:f>IF(M1194=0,0,M1194+O1194)</x:f>
        <x:v>11</x:v>
      </x:c>
      <x:c r="F1194" s="28" t="n">
        <x:f>IF(M1194=0,0,M1194*N1194+O1194)</x:f>
        <x:v>20</x:v>
      </x:c>
      <x:c r="G1194" s="28" t="n">
        <x:f>ROUND(Catalogue!G63*SQRT((1+'Paramètres'!$B$4*(C1194-1)+'Paramètres'!$B$5*(C1194-1)^2)),0)</x:f>
        <x:v>0</x:v>
      </x:c>
      <x:c r="H1194" s="28" t="n">
        <x:f>ROUND(Catalogue!H63*SQRT((1+'Paramètres'!$B$4*(C1194-1)+'Paramètres'!$B$5*(C1194-1)^2)),0)</x:f>
        <x:v>0</x:v>
      </x:c>
      <x:c r="I1194" s="28" t="n">
        <x:v>2</x:v>
      </x:c>
      <x:c r="J1194" s="28" t="n">
        <x:v>4</x:v>
      </x:c>
      <x:c r="K1194" s="30" t="n">
        <x:v>0.5</x:v>
      </x:c>
      <x:c r="L1194" s="54" t="n">
        <x:f>IF(M1194=0,0,(E1194+F1194)/2)</x:f>
        <x:v>15.5</x:v>
      </x:c>
      <x:c r="M1194" t="n">
        <x:v>3</x:v>
      </x:c>
      <x:c r="N1194" t="n">
        <x:v>4</x:v>
      </x:c>
      <x:c r="O1194" t="n">
        <x:v>8</x:v>
      </x:c>
      <x:c r="P1194" s="63" t="str">
        <x:f>IF(M1194=0,"—",M1194&amp;"d"&amp;N1194&amp;IF(O1194=0,""," + "&amp;O1194))</x:f>
        <x:v>3d4 + 8</x:v>
      </x:c>
      <x:c r="Q1194" t="n">
        <x:f>ROUND(INDEX(Catalogue!E$4:E$85,MATCH(A1194,Catalogue!A$4:A$85,0))*(1+'Paramètres'!$B$4*(C1194-1)+'Paramètres'!$B$5*(C1194-1)^2),0)</x:f>
        <x:v>11</x:v>
      </x:c>
      <x:c r="R1194" t="n">
        <x:f>ROUND(INDEX(Catalogue!F$4:F$85,MATCH(A1194,Catalogue!A$4:A$85,0))*(1+'Paramètres'!$B$4*(C1194-1)+'Paramètres'!$B$5*(C1194-1)^2),0)</x:f>
        <x:v>19</x:v>
      </x:c>
      <x:c r="S1194" t="n">
        <x:f>L1194-AVERAGE(Q1194:R1194)</x:f>
        <x:v>0.5</x:v>
      </x:c>
      <x:c r="T1194" t="str">
        <x:f>IF(M1194=0,IF(AND(N1194=0,O1194=0,E1194=0,F1194=0),"OK","ERREUR"),IF(AND(M1194&gt;=1,M1194&lt;=32,OR(N1194=4,N1194=6,N1194=8,N1194=10,N1194=12,N1194=20),O1194&gt;=0,E1194=M1194+O1194,F1194=M1194*N1194+O1194),"OK","ERREUR"))</x:f>
        <x:v>OK</x:v>
      </x:c>
      <x:c r="U1194" s="86" t="n">
        <x:f>IF(M1194&gt;0,M1194*(N1194+1)/2+O1194,0)</x:f>
        <x:v>15.5</x:v>
      </x:c>
      <x:c r="V1194" t="str">
        <x:f>IF(ABS(L1194-U1194)&lt;0.001,"OK","ERREUR")</x:f>
        <x:v>OK</x:v>
      </x:c>
    </x:row>
    <x:row r="1195" ht="18" customHeight="1">
      <x:c r="A1195" t="str">
        <x:v>ARM060</x:v>
      </x:c>
      <x:c r="B1195" t="str">
        <x:v>Chakram</x:v>
      </x:c>
      <x:c r="C1195" t="n">
        <x:v>12</x:v>
      </x:c>
      <x:c r="D1195" t="str">
        <x:v>Jet</x:v>
      </x:c>
      <x:c r="E1195" s="28" t="n">
        <x:f>IF(M1195=0,0,M1195+O1195)</x:f>
        <x:v>12</x:v>
      </x:c>
      <x:c r="F1195" s="28" t="n">
        <x:f>IF(M1195=0,0,M1195*N1195+O1195)</x:f>
        <x:v>21</x:v>
      </x:c>
      <x:c r="G1195" s="28" t="n">
        <x:f>ROUND(Catalogue!G63*SQRT((1+'Paramètres'!$B$4*(C1195-1)+'Paramètres'!$B$5*(C1195-1)^2)),0)</x:f>
        <x:v>0</x:v>
      </x:c>
      <x:c r="H1195" s="28" t="n">
        <x:f>ROUND(Catalogue!H63*SQRT((1+'Paramètres'!$B$4*(C1195-1)+'Paramètres'!$B$5*(C1195-1)^2)),0)</x:f>
        <x:v>0</x:v>
      </x:c>
      <x:c r="I1195" s="28" t="n">
        <x:v>2</x:v>
      </x:c>
      <x:c r="J1195" s="28" t="n">
        <x:v>4</x:v>
      </x:c>
      <x:c r="K1195" s="30" t="n">
        <x:v>0.5</x:v>
      </x:c>
      <x:c r="L1195" s="54" t="n">
        <x:f>IF(M1195=0,0,(E1195+F1195)/2)</x:f>
        <x:v>16.5</x:v>
      </x:c>
      <x:c r="M1195" t="n">
        <x:v>3</x:v>
      </x:c>
      <x:c r="N1195" t="n">
        <x:v>4</x:v>
      </x:c>
      <x:c r="O1195" t="n">
        <x:v>9</x:v>
      </x:c>
      <x:c r="P1195" s="63" t="str">
        <x:f>IF(M1195=0,"—",M1195&amp;"d"&amp;N1195&amp;IF(O1195=0,""," + "&amp;O1195))</x:f>
        <x:v>3d4 + 9</x:v>
      </x:c>
      <x:c r="Q1195" t="n">
        <x:f>ROUND(INDEX(Catalogue!E$4:E$85,MATCH(A1195,Catalogue!A$4:A$85,0))*(1+'Paramètres'!$B$4*(C1195-1)+'Paramètres'!$B$5*(C1195-1)^2),0)</x:f>
        <x:v>12</x:v>
      </x:c>
      <x:c r="R1195" t="n">
        <x:f>ROUND(INDEX(Catalogue!F$4:F$85,MATCH(A1195,Catalogue!A$4:A$85,0))*(1+'Paramètres'!$B$4*(C1195-1)+'Paramètres'!$B$5*(C1195-1)^2),0)</x:f>
        <x:v>21</x:v>
      </x:c>
      <x:c r="S1195" t="n">
        <x:f>L1195-AVERAGE(Q1195:R1195)</x:f>
        <x:v>0</x:v>
      </x:c>
      <x:c r="T1195" t="str">
        <x:f>IF(M1195=0,IF(AND(N1195=0,O1195=0,E1195=0,F1195=0),"OK","ERREUR"),IF(AND(M1195&gt;=1,M1195&lt;=32,OR(N1195=4,N1195=6,N1195=8,N1195=10,N1195=12,N1195=20),O1195&gt;=0,E1195=M1195+O1195,F1195=M1195*N1195+O1195),"OK","ERREUR"))</x:f>
        <x:v>OK</x:v>
      </x:c>
      <x:c r="U1195" s="86" t="n">
        <x:f>IF(M1195&gt;0,M1195*(N1195+1)/2+O1195,0)</x:f>
        <x:v>16.5</x:v>
      </x:c>
      <x:c r="V1195" t="str">
        <x:f>IF(ABS(L1195-U1195)&lt;0.001,"OK","ERREUR")</x:f>
        <x:v>OK</x:v>
      </x:c>
    </x:row>
    <x:row r="1196" ht="18" customHeight="1">
      <x:c r="A1196" t="str">
        <x:v>ARM060</x:v>
      </x:c>
      <x:c r="B1196" t="str">
        <x:v>Chakram</x:v>
      </x:c>
      <x:c r="C1196" t="n">
        <x:v>13</x:v>
      </x:c>
      <x:c r="D1196" t="str">
        <x:v>Jet</x:v>
      </x:c>
      <x:c r="E1196" s="28" t="n">
        <x:f>IF(M1196=0,0,M1196+O1196)</x:f>
        <x:v>14</x:v>
      </x:c>
      <x:c r="F1196" s="28" t="n">
        <x:f>IF(M1196=0,0,M1196*N1196+O1196)</x:f>
        <x:v>23</x:v>
      </x:c>
      <x:c r="G1196" s="28" t="n">
        <x:f>ROUND(Catalogue!G63*SQRT((1+'Paramètres'!$B$4*(C1196-1)+'Paramètres'!$B$5*(C1196-1)^2)),0)</x:f>
        <x:v>0</x:v>
      </x:c>
      <x:c r="H1196" s="28" t="n">
        <x:f>ROUND(Catalogue!H63*SQRT((1+'Paramètres'!$B$4*(C1196-1)+'Paramètres'!$B$5*(C1196-1)^2)),0)</x:f>
        <x:v>0</x:v>
      </x:c>
      <x:c r="I1196" s="28" t="n">
        <x:v>2</x:v>
      </x:c>
      <x:c r="J1196" s="28" t="n">
        <x:v>4</x:v>
      </x:c>
      <x:c r="K1196" s="30" t="n">
        <x:v>0.5</x:v>
      </x:c>
      <x:c r="L1196" s="54" t="n">
        <x:f>IF(M1196=0,0,(E1196+F1196)/2)</x:f>
        <x:v>18.5</x:v>
      </x:c>
      <x:c r="M1196" t="n">
        <x:v>3</x:v>
      </x:c>
      <x:c r="N1196" t="n">
        <x:v>4</x:v>
      </x:c>
      <x:c r="O1196" t="n">
        <x:v>11</x:v>
      </x:c>
      <x:c r="P1196" s="63" t="str">
        <x:f>IF(M1196=0,"—",M1196&amp;"d"&amp;N1196&amp;IF(O1196=0,""," + "&amp;O1196))</x:f>
        <x:v>3d4 + 11</x:v>
      </x:c>
      <x:c r="Q1196" t="n">
        <x:f>ROUND(INDEX(Catalogue!E$4:E$85,MATCH(A1196,Catalogue!A$4:A$85,0))*(1+'Paramètres'!$B$4*(C1196-1)+'Paramètres'!$B$5*(C1196-1)^2),0)</x:f>
        <x:v>14</x:v>
      </x:c>
      <x:c r="R1196" t="n">
        <x:f>ROUND(INDEX(Catalogue!F$4:F$85,MATCH(A1196,Catalogue!A$4:A$85,0))*(1+'Paramètres'!$B$4*(C1196-1)+'Paramètres'!$B$5*(C1196-1)^2),0)</x:f>
        <x:v>23</x:v>
      </x:c>
      <x:c r="S1196" t="n">
        <x:f>L1196-AVERAGE(Q1196:R1196)</x:f>
        <x:v>0</x:v>
      </x:c>
      <x:c r="T1196" t="str">
        <x:f>IF(M1196=0,IF(AND(N1196=0,O1196=0,E1196=0,F1196=0),"OK","ERREUR"),IF(AND(M1196&gt;=1,M1196&lt;=32,OR(N1196=4,N1196=6,N1196=8,N1196=10,N1196=12,N1196=20),O1196&gt;=0,E1196=M1196+O1196,F1196=M1196*N1196+O1196),"OK","ERREUR"))</x:f>
        <x:v>OK</x:v>
      </x:c>
      <x:c r="U1196" s="86" t="n">
        <x:f>IF(M1196&gt;0,M1196*(N1196+1)/2+O1196,0)</x:f>
        <x:v>18.5</x:v>
      </x:c>
      <x:c r="V1196" t="str">
        <x:f>IF(ABS(L1196-U1196)&lt;0.001,"OK","ERREUR")</x:f>
        <x:v>OK</x:v>
      </x:c>
    </x:row>
    <x:row r="1197" ht="18" customHeight="1">
      <x:c r="A1197" t="str">
        <x:v>ARM060</x:v>
      </x:c>
      <x:c r="B1197" t="str">
        <x:v>Chakram</x:v>
      </x:c>
      <x:c r="C1197" t="n">
        <x:v>14</x:v>
      </x:c>
      <x:c r="D1197" t="str">
        <x:v>Jet</x:v>
      </x:c>
      <x:c r="E1197" s="28" t="n">
        <x:f>IF(M1197=0,0,M1197+O1197)</x:f>
        <x:v>15</x:v>
      </x:c>
      <x:c r="F1197" s="28" t="n">
        <x:f>IF(M1197=0,0,M1197*N1197+O1197)</x:f>
        <x:v>25</x:v>
      </x:c>
      <x:c r="G1197" s="28" t="n">
        <x:f>ROUND(Catalogue!G63*SQRT((1+'Paramètres'!$B$4*(C1197-1)+'Paramètres'!$B$5*(C1197-1)^2)),0)</x:f>
        <x:v>0</x:v>
      </x:c>
      <x:c r="H1197" s="28" t="n">
        <x:f>ROUND(Catalogue!H63*SQRT((1+'Paramètres'!$B$4*(C1197-1)+'Paramètres'!$B$5*(C1197-1)^2)),0)</x:f>
        <x:v>0</x:v>
      </x:c>
      <x:c r="I1197" s="28" t="n">
        <x:v>2</x:v>
      </x:c>
      <x:c r="J1197" s="28" t="n">
        <x:v>4</x:v>
      </x:c>
      <x:c r="K1197" s="30" t="n">
        <x:v>0.5</x:v>
      </x:c>
      <x:c r="L1197" s="54" t="n">
        <x:f>IF(M1197=0,0,(E1197+F1197)/2)</x:f>
        <x:v>20</x:v>
      </x:c>
      <x:c r="M1197" t="n">
        <x:v>2</x:v>
      </x:c>
      <x:c r="N1197" t="n">
        <x:v>6</x:v>
      </x:c>
      <x:c r="O1197" t="n">
        <x:v>13</x:v>
      </x:c>
      <x:c r="P1197" s="63" t="str">
        <x:f>IF(M1197=0,"—",M1197&amp;"d"&amp;N1197&amp;IF(O1197=0,""," + "&amp;O1197))</x:f>
        <x:v>2d6 + 13</x:v>
      </x:c>
      <x:c r="Q1197" t="n">
        <x:f>ROUND(INDEX(Catalogue!E$4:E$85,MATCH(A1197,Catalogue!A$4:A$85,0))*(1+'Paramètres'!$B$4*(C1197-1)+'Paramètres'!$B$5*(C1197-1)^2),0)</x:f>
        <x:v>15</x:v>
      </x:c>
      <x:c r="R1197" t="n">
        <x:f>ROUND(INDEX(Catalogue!F$4:F$85,MATCH(A1197,Catalogue!A$4:A$85,0))*(1+'Paramètres'!$B$4*(C1197-1)+'Paramètres'!$B$5*(C1197-1)^2),0)</x:f>
        <x:v>26</x:v>
      </x:c>
      <x:c r="S1197" t="n">
        <x:f>L1197-AVERAGE(Q1197:R1197)</x:f>
        <x:v>-0.5</x:v>
      </x:c>
      <x:c r="T1197" t="str">
        <x:f>IF(M1197=0,IF(AND(N1197=0,O1197=0,E1197=0,F1197=0),"OK","ERREUR"),IF(AND(M1197&gt;=1,M1197&lt;=32,OR(N1197=4,N1197=6,N1197=8,N1197=10,N1197=12,N1197=20),O1197&gt;=0,E1197=M1197+O1197,F1197=M1197*N1197+O1197),"OK","ERREUR"))</x:f>
        <x:v>OK</x:v>
      </x:c>
      <x:c r="U1197" s="86" t="n">
        <x:f>IF(M1197&gt;0,M1197*(N1197+1)/2+O1197,0)</x:f>
        <x:v>20</x:v>
      </x:c>
      <x:c r="V1197" t="str">
        <x:f>IF(ABS(L1197-U1197)&lt;0.001,"OK","ERREUR")</x:f>
        <x:v>OK</x:v>
      </x:c>
    </x:row>
    <x:row r="1198" ht="18" customHeight="1">
      <x:c r="A1198" t="str">
        <x:v>ARM060</x:v>
      </x:c>
      <x:c r="B1198" t="str">
        <x:v>Chakram</x:v>
      </x:c>
      <x:c r="C1198" t="n">
        <x:v>15</x:v>
      </x:c>
      <x:c r="D1198" t="str">
        <x:v>Jet</x:v>
      </x:c>
      <x:c r="E1198" s="28" t="n">
        <x:f>IF(M1198=0,0,M1198+O1198)</x:f>
        <x:v>18</x:v>
      </x:c>
      <x:c r="F1198" s="28" t="n">
        <x:f>IF(M1198=0,0,M1198*N1198+O1198)</x:f>
        <x:v>28</x:v>
      </x:c>
      <x:c r="G1198" s="28" t="n">
        <x:f>ROUND(Catalogue!G63*SQRT((1+'Paramètres'!$B$4*(C1198-1)+'Paramètres'!$B$5*(C1198-1)^2)),0)</x:f>
        <x:v>0</x:v>
      </x:c>
      <x:c r="H1198" s="28" t="n">
        <x:f>ROUND(Catalogue!H63*SQRT((1+'Paramètres'!$B$4*(C1198-1)+'Paramètres'!$B$5*(C1198-1)^2)),0)</x:f>
        <x:v>0</x:v>
      </x:c>
      <x:c r="I1198" s="28" t="n">
        <x:v>2</x:v>
      </x:c>
      <x:c r="J1198" s="28" t="n">
        <x:v>4</x:v>
      </x:c>
      <x:c r="K1198" s="30" t="n">
        <x:v>0.5</x:v>
      </x:c>
      <x:c r="L1198" s="54" t="n">
        <x:f>IF(M1198=0,0,(E1198+F1198)/2)</x:f>
        <x:v>23</x:v>
      </x:c>
      <x:c r="M1198" t="n">
        <x:v>2</x:v>
      </x:c>
      <x:c r="N1198" t="n">
        <x:v>6</x:v>
      </x:c>
      <x:c r="O1198" t="n">
        <x:v>16</x:v>
      </x:c>
      <x:c r="P1198" s="63" t="str">
        <x:f>IF(M1198=0,"—",M1198&amp;"d"&amp;N1198&amp;IF(O1198=0,""," + "&amp;O1198))</x:f>
        <x:v>2d6 + 16</x:v>
      </x:c>
      <x:c r="Q1198" t="n">
        <x:f>ROUND(INDEX(Catalogue!E$4:E$85,MATCH(A1198,Catalogue!A$4:A$85,0))*(1+'Paramètres'!$B$4*(C1198-1)+'Paramètres'!$B$5*(C1198-1)^2),0)</x:f>
        <x:v>17</x:v>
      </x:c>
      <x:c r="R1198" t="n">
        <x:f>ROUND(INDEX(Catalogue!F$4:F$85,MATCH(A1198,Catalogue!A$4:A$85,0))*(1+'Paramètres'!$B$4*(C1198-1)+'Paramètres'!$B$5*(C1198-1)^2),0)</x:f>
        <x:v>28</x:v>
      </x:c>
      <x:c r="S1198" t="n">
        <x:f>L1198-AVERAGE(Q1198:R1198)</x:f>
        <x:v>0.5</x:v>
      </x:c>
      <x:c r="T1198" t="str">
        <x:f>IF(M1198=0,IF(AND(N1198=0,O1198=0,E1198=0,F1198=0),"OK","ERREUR"),IF(AND(M1198&gt;=1,M1198&lt;=32,OR(N1198=4,N1198=6,N1198=8,N1198=10,N1198=12,N1198=20),O1198&gt;=0,E1198=M1198+O1198,F1198=M1198*N1198+O1198),"OK","ERREUR"))</x:f>
        <x:v>OK</x:v>
      </x:c>
      <x:c r="U1198" s="86" t="n">
        <x:f>IF(M1198&gt;0,M1198*(N1198+1)/2+O1198,0)</x:f>
        <x:v>23</x:v>
      </x:c>
      <x:c r="V1198" t="str">
        <x:f>IF(ABS(L1198-U1198)&lt;0.001,"OK","ERREUR")</x:f>
        <x:v>OK</x:v>
      </x:c>
    </x:row>
    <x:row r="1199" ht="18" customHeight="1">
      <x:c r="A1199" t="str">
        <x:v>ARM060</x:v>
      </x:c>
      <x:c r="B1199" t="str">
        <x:v>Chakram</x:v>
      </x:c>
      <x:c r="C1199" t="n">
        <x:v>16</x:v>
      </x:c>
      <x:c r="D1199" t="str">
        <x:v>Jet</x:v>
      </x:c>
      <x:c r="E1199" s="28" t="n">
        <x:f>IF(M1199=0,0,M1199+O1199)</x:f>
        <x:v>19</x:v>
      </x:c>
      <x:c r="F1199" s="28" t="n">
        <x:f>IF(M1199=0,0,M1199*N1199+O1199)</x:f>
        <x:v>31</x:v>
      </x:c>
      <x:c r="G1199" s="28" t="n">
        <x:f>ROUND(Catalogue!G63*SQRT((1+'Paramètres'!$B$4*(C1199-1)+'Paramètres'!$B$5*(C1199-1)^2)),0)</x:f>
        <x:v>0</x:v>
      </x:c>
      <x:c r="H1199" s="28" t="n">
        <x:f>ROUND(Catalogue!H63*SQRT((1+'Paramètres'!$B$4*(C1199-1)+'Paramètres'!$B$5*(C1199-1)^2)),0)</x:f>
        <x:v>0</x:v>
      </x:c>
      <x:c r="I1199" s="28" t="n">
        <x:v>2</x:v>
      </x:c>
      <x:c r="J1199" s="28" t="n">
        <x:v>4</x:v>
      </x:c>
      <x:c r="K1199" s="30" t="n">
        <x:v>0.5</x:v>
      </x:c>
      <x:c r="L1199" s="54" t="n">
        <x:f>IF(M1199=0,0,(E1199+F1199)/2)</x:f>
        <x:v>25</x:v>
      </x:c>
      <x:c r="M1199" t="n">
        <x:v>4</x:v>
      </x:c>
      <x:c r="N1199" t="n">
        <x:v>4</x:v>
      </x:c>
      <x:c r="O1199" t="n">
        <x:v>15</x:v>
      </x:c>
      <x:c r="P1199" s="63" t="str">
        <x:f>IF(M1199=0,"—",M1199&amp;"d"&amp;N1199&amp;IF(O1199=0,""," + "&amp;O1199))</x:f>
        <x:v>4d4 + 15</x:v>
      </x:c>
      <x:c r="Q1199" t="n">
        <x:f>ROUND(INDEX(Catalogue!E$4:E$85,MATCH(A1199,Catalogue!A$4:A$85,0))*(1+'Paramètres'!$B$4*(C1199-1)+'Paramètres'!$B$5*(C1199-1)^2),0)</x:f>
        <x:v>19</x:v>
      </x:c>
      <x:c r="R1199" t="n">
        <x:f>ROUND(INDEX(Catalogue!F$4:F$85,MATCH(A1199,Catalogue!A$4:A$85,0))*(1+'Paramètres'!$B$4*(C1199-1)+'Paramètres'!$B$5*(C1199-1)^2),0)</x:f>
        <x:v>31</x:v>
      </x:c>
      <x:c r="S1199" t="n">
        <x:f>L1199-AVERAGE(Q1199:R1199)</x:f>
        <x:v>0</x:v>
      </x:c>
      <x:c r="T1199" t="str">
        <x:f>IF(M1199=0,IF(AND(N1199=0,O1199=0,E1199=0,F1199=0),"OK","ERREUR"),IF(AND(M1199&gt;=1,M1199&lt;=32,OR(N1199=4,N1199=6,N1199=8,N1199=10,N1199=12,N1199=20),O1199&gt;=0,E1199=M1199+O1199,F1199=M1199*N1199+O1199),"OK","ERREUR"))</x:f>
        <x:v>OK</x:v>
      </x:c>
      <x:c r="U1199" s="86" t="n">
        <x:f>IF(M1199&gt;0,M1199*(N1199+1)/2+O1199,0)</x:f>
        <x:v>25</x:v>
      </x:c>
      <x:c r="V1199" t="str">
        <x:f>IF(ABS(L1199-U1199)&lt;0.001,"OK","ERREUR")</x:f>
        <x:v>OK</x:v>
      </x:c>
    </x:row>
    <x:row r="1200" ht="18" customHeight="1">
      <x:c r="A1200" t="str">
        <x:v>ARM060</x:v>
      </x:c>
      <x:c r="B1200" t="str">
        <x:v>Chakram</x:v>
      </x:c>
      <x:c r="C1200" t="n">
        <x:v>17</x:v>
      </x:c>
      <x:c r="D1200" t="str">
        <x:v>Jet</x:v>
      </x:c>
      <x:c r="E1200" s="28" t="n">
        <x:f>IF(M1200=0,0,M1200+O1200)</x:f>
        <x:v>20</x:v>
      </x:c>
      <x:c r="F1200" s="28" t="n">
        <x:f>IF(M1200=0,0,M1200*N1200+O1200)</x:f>
        <x:v>34</x:v>
      </x:c>
      <x:c r="G1200" s="28" t="n">
        <x:f>ROUND(Catalogue!G63*SQRT((1+'Paramètres'!$B$4*(C1200-1)+'Paramètres'!$B$5*(C1200-1)^2)),0)</x:f>
        <x:v>0</x:v>
      </x:c>
      <x:c r="H1200" s="28" t="n">
        <x:f>ROUND(Catalogue!H63*SQRT((1+'Paramètres'!$B$4*(C1200-1)+'Paramètres'!$B$5*(C1200-1)^2)),0)</x:f>
        <x:v>0</x:v>
      </x:c>
      <x:c r="I1200" s="28" t="n">
        <x:v>2</x:v>
      </x:c>
      <x:c r="J1200" s="28" t="n">
        <x:v>4</x:v>
      </x:c>
      <x:c r="K1200" s="30" t="n">
        <x:v>0.5</x:v>
      </x:c>
      <x:c r="L1200" s="54" t="n">
        <x:f>IF(M1200=0,0,(E1200+F1200)/2)</x:f>
        <x:v>27</x:v>
      </x:c>
      <x:c r="M1200" t="n">
        <x:v>2</x:v>
      </x:c>
      <x:c r="N1200" t="n">
        <x:v>8</x:v>
      </x:c>
      <x:c r="O1200" t="n">
        <x:v>18</x:v>
      </x:c>
      <x:c r="P1200" s="63" t="str">
        <x:f>IF(M1200=0,"—",M1200&amp;"d"&amp;N1200&amp;IF(O1200=0,""," + "&amp;O1200))</x:f>
        <x:v>2d8 + 18</x:v>
      </x:c>
      <x:c r="Q1200" t="n">
        <x:f>ROUND(INDEX(Catalogue!E$4:E$85,MATCH(A1200,Catalogue!A$4:A$85,0))*(1+'Paramètres'!$B$4*(C1200-1)+'Paramètres'!$B$5*(C1200-1)^2),0)</x:f>
        <x:v>21</x:v>
      </x:c>
      <x:c r="R1200" t="n">
        <x:f>ROUND(INDEX(Catalogue!F$4:F$85,MATCH(A1200,Catalogue!A$4:A$85,0))*(1+'Paramètres'!$B$4*(C1200-1)+'Paramètres'!$B$5*(C1200-1)^2),0)</x:f>
        <x:v>34</x:v>
      </x:c>
      <x:c r="S1200" t="n">
        <x:f>L1200-AVERAGE(Q1200:R1200)</x:f>
        <x:v>-0.5</x:v>
      </x:c>
      <x:c r="T1200" t="str">
        <x:f>IF(M1200=0,IF(AND(N1200=0,O1200=0,E1200=0,F1200=0),"OK","ERREUR"),IF(AND(M1200&gt;=1,M1200&lt;=32,OR(N1200=4,N1200=6,N1200=8,N1200=10,N1200=12,N1200=20),O1200&gt;=0,E1200=M1200+O1200,F1200=M1200*N1200+O1200),"OK","ERREUR"))</x:f>
        <x:v>OK</x:v>
      </x:c>
      <x:c r="U1200" s="86" t="n">
        <x:f>IF(M1200&gt;0,M1200*(N1200+1)/2+O1200,0)</x:f>
        <x:v>27</x:v>
      </x:c>
      <x:c r="V1200" t="str">
        <x:f>IF(ABS(L1200-U1200)&lt;0.001,"OK","ERREUR")</x:f>
        <x:v>OK</x:v>
      </x:c>
    </x:row>
    <x:row r="1201" ht="18" customHeight="1">
      <x:c r="A1201" t="str">
        <x:v>ARM060</x:v>
      </x:c>
      <x:c r="B1201" t="str">
        <x:v>Chakram</x:v>
      </x:c>
      <x:c r="C1201" t="n">
        <x:v>18</x:v>
      </x:c>
      <x:c r="D1201" t="str">
        <x:v>Jet</x:v>
      </x:c>
      <x:c r="E1201" s="28" t="n">
        <x:f>IF(M1201=0,0,M1201+O1201)</x:f>
        <x:v>22</x:v>
      </x:c>
      <x:c r="F1201" s="28" t="n">
        <x:f>IF(M1201=0,0,M1201*N1201+O1201)</x:f>
        <x:v>37</x:v>
      </x:c>
      <x:c r="G1201" s="28" t="n">
        <x:f>ROUND(Catalogue!G63*SQRT((1+'Paramètres'!$B$4*(C1201-1)+'Paramètres'!$B$5*(C1201-1)^2)),0)</x:f>
        <x:v>0</x:v>
      </x:c>
      <x:c r="H1201" s="28" t="n">
        <x:f>ROUND(Catalogue!H63*SQRT((1+'Paramètres'!$B$4*(C1201-1)+'Paramètres'!$B$5*(C1201-1)^2)),0)</x:f>
        <x:v>0</x:v>
      </x:c>
      <x:c r="I1201" s="28" t="n">
        <x:v>2</x:v>
      </x:c>
      <x:c r="J1201" s="28" t="n">
        <x:v>4</x:v>
      </x:c>
      <x:c r="K1201" s="30" t="n">
        <x:v>0.5</x:v>
      </x:c>
      <x:c r="L1201" s="54" t="n">
        <x:f>IF(M1201=0,0,(E1201+F1201)/2)</x:f>
        <x:v>29.5</x:v>
      </x:c>
      <x:c r="M1201" t="n">
        <x:v>3</x:v>
      </x:c>
      <x:c r="N1201" t="n">
        <x:v>6</x:v>
      </x:c>
      <x:c r="O1201" t="n">
        <x:v>19</x:v>
      </x:c>
      <x:c r="P1201" s="63" t="str">
        <x:f>IF(M1201=0,"—",M1201&amp;"d"&amp;N1201&amp;IF(O1201=0,""," + "&amp;O1201))</x:f>
        <x:v>3d6 + 19</x:v>
      </x:c>
      <x:c r="Q1201" t="n">
        <x:f>ROUND(INDEX(Catalogue!E$4:E$85,MATCH(A1201,Catalogue!A$4:A$85,0))*(1+'Paramètres'!$B$4*(C1201-1)+'Paramètres'!$B$5*(C1201-1)^2),0)</x:f>
        <x:v>22</x:v>
      </x:c>
      <x:c r="R1201" t="n">
        <x:f>ROUND(INDEX(Catalogue!F$4:F$85,MATCH(A1201,Catalogue!A$4:A$85,0))*(1+'Paramètres'!$B$4*(C1201-1)+'Paramètres'!$B$5*(C1201-1)^2),0)</x:f>
        <x:v>37</x:v>
      </x:c>
      <x:c r="S1201" t="n">
        <x:f>L1201-AVERAGE(Q1201:R1201)</x:f>
        <x:v>0</x:v>
      </x:c>
      <x:c r="T1201" t="str">
        <x:f>IF(M1201=0,IF(AND(N1201=0,O1201=0,E1201=0,F1201=0),"OK","ERREUR"),IF(AND(M1201&gt;=1,M1201&lt;=32,OR(N1201=4,N1201=6,N1201=8,N1201=10,N1201=12,N1201=20),O1201&gt;=0,E1201=M1201+O1201,F1201=M1201*N1201+O1201),"OK","ERREUR"))</x:f>
        <x:v>OK</x:v>
      </x:c>
      <x:c r="U1201" s="86" t="n">
        <x:f>IF(M1201&gt;0,M1201*(N1201+1)/2+O1201,0)</x:f>
        <x:v>29.5</x:v>
      </x:c>
      <x:c r="V1201" t="str">
        <x:f>IF(ABS(L1201-U1201)&lt;0.001,"OK","ERREUR")</x:f>
        <x:v>OK</x:v>
      </x:c>
    </x:row>
    <x:row r="1202" ht="18" customHeight="1">
      <x:c r="A1202" t="str">
        <x:v>ARM060</x:v>
      </x:c>
      <x:c r="B1202" t="str">
        <x:v>Chakram</x:v>
      </x:c>
      <x:c r="C1202" t="n">
        <x:v>19</x:v>
      </x:c>
      <x:c r="D1202" t="str">
        <x:v>Jet</x:v>
      </x:c>
      <x:c r="E1202" s="28" t="n">
        <x:f>IF(M1202=0,0,M1202+O1202)</x:f>
        <x:v>23</x:v>
      </x:c>
      <x:c r="F1202" s="28" t="n">
        <x:f>IF(M1202=0,0,M1202*N1202+O1202)</x:f>
        <x:v>41</x:v>
      </x:c>
      <x:c r="G1202" s="28" t="n">
        <x:f>ROUND(Catalogue!G63*SQRT((1+'Paramètres'!$B$4*(C1202-1)+'Paramètres'!$B$5*(C1202-1)^2)),0)</x:f>
        <x:v>0</x:v>
      </x:c>
      <x:c r="H1202" s="28" t="n">
        <x:f>ROUND(Catalogue!H63*SQRT((1+'Paramètres'!$B$4*(C1202-1)+'Paramètres'!$B$5*(C1202-1)^2)),0)</x:f>
        <x:v>0</x:v>
      </x:c>
      <x:c r="I1202" s="28" t="n">
        <x:v>2</x:v>
      </x:c>
      <x:c r="J1202" s="28" t="n">
        <x:v>4</x:v>
      </x:c>
      <x:c r="K1202" s="30" t="n">
        <x:v>0.5</x:v>
      </x:c>
      <x:c r="L1202" s="54" t="n">
        <x:f>IF(M1202=0,0,(E1202+F1202)/2)</x:f>
        <x:v>32</x:v>
      </x:c>
      <x:c r="M1202" t="n">
        <x:v>6</x:v>
      </x:c>
      <x:c r="N1202" t="n">
        <x:v>4</x:v>
      </x:c>
      <x:c r="O1202" t="n">
        <x:v>17</x:v>
      </x:c>
      <x:c r="P1202" s="63" t="str">
        <x:f>IF(M1202=0,"—",M1202&amp;"d"&amp;N1202&amp;IF(O1202=0,""," + "&amp;O1202))</x:f>
        <x:v>6d4 + 17</x:v>
      </x:c>
      <x:c r="Q1202" t="n">
        <x:f>ROUND(INDEX(Catalogue!E$4:E$85,MATCH(A1202,Catalogue!A$4:A$85,0))*(1+'Paramètres'!$B$4*(C1202-1)+'Paramètres'!$B$5*(C1202-1)^2),0)</x:f>
        <x:v>24</x:v>
      </x:c>
      <x:c r="R1202" t="n">
        <x:f>ROUND(INDEX(Catalogue!F$4:F$85,MATCH(A1202,Catalogue!A$4:A$85,0))*(1+'Paramètres'!$B$4*(C1202-1)+'Paramètres'!$B$5*(C1202-1)^2),0)</x:f>
        <x:v>41</x:v>
      </x:c>
      <x:c r="S1202" t="n">
        <x:f>L1202-AVERAGE(Q1202:R1202)</x:f>
        <x:v>-0.5</x:v>
      </x:c>
      <x:c r="T1202" t="str">
        <x:f>IF(M1202=0,IF(AND(N1202=0,O1202=0,E1202=0,F1202=0),"OK","ERREUR"),IF(AND(M1202&gt;=1,M1202&lt;=32,OR(N1202=4,N1202=6,N1202=8,N1202=10,N1202=12,N1202=20),O1202&gt;=0,E1202=M1202+O1202,F1202=M1202*N1202+O1202),"OK","ERREUR"))</x:f>
        <x:v>OK</x:v>
      </x:c>
      <x:c r="U1202" s="86" t="n">
        <x:f>IF(M1202&gt;0,M1202*(N1202+1)/2+O1202,0)</x:f>
        <x:v>32</x:v>
      </x:c>
      <x:c r="V1202" t="str">
        <x:f>IF(ABS(L1202-U1202)&lt;0.001,"OK","ERREUR")</x:f>
        <x:v>OK</x:v>
      </x:c>
    </x:row>
    <x:row r="1203" ht="18" customHeight="1">
      <x:c r="A1203" t="str">
        <x:v>ARM060</x:v>
      </x:c>
      <x:c r="B1203" t="str">
        <x:v>Chakram</x:v>
      </x:c>
      <x:c r="C1203" t="n">
        <x:v>20</x:v>
      </x:c>
      <x:c r="D1203" t="str">
        <x:v>Jet</x:v>
      </x:c>
      <x:c r="E1203" s="28" t="n">
        <x:f>IF(M1203=0,0,M1203+O1203)</x:f>
        <x:v>26</x:v>
      </x:c>
      <x:c r="F1203" s="28" t="n">
        <x:f>IF(M1203=0,0,M1203*N1203+O1203)</x:f>
        <x:v>44</x:v>
      </x:c>
      <x:c r="G1203" s="28" t="n">
        <x:f>ROUND(Catalogue!G63*SQRT((1+'Paramètres'!$B$4*(C1203-1)+'Paramètres'!$B$5*(C1203-1)^2)),0)</x:f>
        <x:v>0</x:v>
      </x:c>
      <x:c r="H1203" s="28" t="n">
        <x:f>ROUND(Catalogue!H63*SQRT((1+'Paramètres'!$B$4*(C1203-1)+'Paramètres'!$B$5*(C1203-1)^2)),0)</x:f>
        <x:v>0</x:v>
      </x:c>
      <x:c r="I1203" s="28" t="n">
        <x:v>2</x:v>
      </x:c>
      <x:c r="J1203" s="28" t="n">
        <x:v>4</x:v>
      </x:c>
      <x:c r="K1203" s="30" t="n">
        <x:v>0.5</x:v>
      </x:c>
      <x:c r="L1203" s="54" t="n">
        <x:f>IF(M1203=0,0,(E1203+F1203)/2)</x:f>
        <x:v>35</x:v>
      </x:c>
      <x:c r="M1203" t="n">
        <x:v>6</x:v>
      </x:c>
      <x:c r="N1203" t="n">
        <x:v>4</x:v>
      </x:c>
      <x:c r="O1203" t="n">
        <x:v>20</x:v>
      </x:c>
      <x:c r="P1203" s="63" t="str">
        <x:f>IF(M1203=0,"—",M1203&amp;"d"&amp;N1203&amp;IF(O1203=0,""," + "&amp;O1203))</x:f>
        <x:v>6d4 + 20</x:v>
      </x:c>
      <x:c r="Q1203" t="n">
        <x:f>ROUND(INDEX(Catalogue!E$4:E$85,MATCH(A1203,Catalogue!A$4:A$85,0))*(1+'Paramètres'!$B$4*(C1203-1)+'Paramètres'!$B$5*(C1203-1)^2),0)</x:f>
        <x:v>27</x:v>
      </x:c>
      <x:c r="R1203" t="n">
        <x:f>ROUND(INDEX(Catalogue!F$4:F$85,MATCH(A1203,Catalogue!A$4:A$85,0))*(1+'Paramètres'!$B$4*(C1203-1)+'Paramètres'!$B$5*(C1203-1)^2),0)</x:f>
        <x:v>44</x:v>
      </x:c>
      <x:c r="S1203" t="n">
        <x:f>L1203-AVERAGE(Q1203:R1203)</x:f>
        <x:v>-0.5</x:v>
      </x:c>
      <x:c r="T1203" t="str">
        <x:f>IF(M1203=0,IF(AND(N1203=0,O1203=0,E1203=0,F1203=0),"OK","ERREUR"),IF(AND(M1203&gt;=1,M1203&lt;=32,OR(N1203=4,N1203=6,N1203=8,N1203=10,N1203=12,N1203=20),O1203&gt;=0,E1203=M1203+O1203,F1203=M1203*N1203+O1203),"OK","ERREUR"))</x:f>
        <x:v>OK</x:v>
      </x:c>
      <x:c r="U1203" s="86" t="n">
        <x:f>IF(M1203&gt;0,M1203*(N1203+1)/2+O1203,0)</x:f>
        <x:v>35</x:v>
      </x:c>
      <x:c r="V1203" t="str">
        <x:f>IF(ABS(L1203-U1203)&lt;0.001,"OK","ERREUR")</x:f>
        <x:v>OK</x:v>
      </x:c>
    </x:row>
    <x:row r="1204" ht="18" customHeight="1">
      <x:c r="A1204" t="str">
        <x:v>ARM061</x:v>
      </x:c>
      <x:c r="B1204" t="str">
        <x:v>Baguette arcanique</x:v>
      </x:c>
      <x:c r="C1204" t="n">
        <x:v>1</x:v>
      </x:c>
      <x:c r="D1204" t="str">
        <x:v>Focaliseurs</x:v>
      </x:c>
      <x:c r="E1204" s="28" t="n">
        <x:f>IF(M1204=0,0,M1204+O1204)</x:f>
        <x:v>1</x:v>
      </x:c>
      <x:c r="F1204" s="28" t="n">
        <x:f>IF(M1204=0,0,M1204*N1204+O1204)</x:f>
        <x:v>4</x:v>
      </x:c>
      <x:c r="G1204" s="28" t="n">
        <x:f>ROUND(Catalogue!G64*SQRT((1+'Paramètres'!$B$4*(C1204-1)+'Paramètres'!$B$5*(C1204-1)^2)),0)</x:f>
        <x:v>0</x:v>
      </x:c>
      <x:c r="H1204" s="28" t="n">
        <x:f>ROUND(Catalogue!H64*SQRT((1+'Paramètres'!$B$4*(C1204-1)+'Paramètres'!$B$5*(C1204-1)^2)),0)</x:f>
        <x:v>0</x:v>
      </x:c>
      <x:c r="I1204" s="28" t="n">
        <x:v>2</x:v>
      </x:c>
      <x:c r="J1204" s="28" t="n">
        <x:v>4</x:v>
      </x:c>
      <x:c r="K1204" s="30" t="n">
        <x:v>0.3</x:v>
      </x:c>
      <x:c r="L1204" s="54" t="n">
        <x:f>IF(M1204=0,0,(E1204+F1204)/2)</x:f>
        <x:v>2.5</x:v>
      </x:c>
      <x:c r="M1204" t="n">
        <x:v>1</x:v>
      </x:c>
      <x:c r="N1204" t="n">
        <x:v>4</x:v>
      </x:c>
      <x:c r="O1204" t="n">
        <x:v>0</x:v>
      </x:c>
      <x:c r="P1204" s="63" t="str">
        <x:f>IF(M1204=0,"—",M1204&amp;"d"&amp;N1204&amp;IF(O1204=0,""," + "&amp;O1204))</x:f>
        <x:v>1d4</x:v>
      </x:c>
      <x:c r="Q1204" t="n">
        <x:f>ROUND(INDEX(Catalogue!E$4:E$85,MATCH(A1204,Catalogue!A$4:A$85,0))*(1+'Paramètres'!$B$4*(C1204-1)+'Paramètres'!$B$5*(C1204-1)^2),0)</x:f>
        <x:v>2</x:v>
      </x:c>
      <x:c r="R1204" t="n">
        <x:f>ROUND(INDEX(Catalogue!F$4:F$85,MATCH(A1204,Catalogue!A$4:A$85,0))*(1+'Paramètres'!$B$4*(C1204-1)+'Paramètres'!$B$5*(C1204-1)^2),0)</x:f>
        <x:v>4</x:v>
      </x:c>
      <x:c r="S1204" t="n">
        <x:f>L1204-AVERAGE(Q1204:R1204)</x:f>
        <x:v>-0.5</x:v>
      </x:c>
      <x:c r="T1204" t="str">
        <x:f>IF(M1204=0,IF(AND(N1204=0,O1204=0,E1204=0,F1204=0),"OK","ERREUR"),IF(AND(M1204&gt;=1,M1204&lt;=32,OR(N1204=4,N1204=6,N1204=8,N1204=10,N1204=12,N1204=20),O1204&gt;=0,E1204=M1204+O1204,F1204=M1204*N1204+O1204),"OK","ERREUR"))</x:f>
        <x:v>OK</x:v>
      </x:c>
      <x:c r="U1204" s="86" t="n">
        <x:f>IF(M1204&gt;0,M1204*(N1204+1)/2+O1204,0)</x:f>
        <x:v>2.5</x:v>
      </x:c>
      <x:c r="V1204" t="str">
        <x:f>IF(ABS(L1204-U1204)&lt;0.001,"OK","ERREUR")</x:f>
        <x:v>OK</x:v>
      </x:c>
    </x:row>
    <x:row r="1205" ht="18" customHeight="1">
      <x:c r="A1205" t="str">
        <x:v>ARM061</x:v>
      </x:c>
      <x:c r="B1205" t="str">
        <x:v>Baguette arcanique</x:v>
      </x:c>
      <x:c r="C1205" t="n">
        <x:v>2</x:v>
      </x:c>
      <x:c r="D1205" t="str">
        <x:v>Focaliseurs</x:v>
      </x:c>
      <x:c r="E1205" s="28" t="n">
        <x:f>IF(M1205=0,0,M1205+O1205)</x:f>
        <x:v>2</x:v>
      </x:c>
      <x:c r="F1205" s="28" t="n">
        <x:f>IF(M1205=0,0,M1205*N1205+O1205)</x:f>
        <x:v>5</x:v>
      </x:c>
      <x:c r="G1205" s="28" t="n">
        <x:f>ROUND(Catalogue!G64*SQRT((1+'Paramètres'!$B$4*(C1205-1)+'Paramètres'!$B$5*(C1205-1)^2)),0)</x:f>
        <x:v>0</x:v>
      </x:c>
      <x:c r="H1205" s="28" t="n">
        <x:f>ROUND(Catalogue!H64*SQRT((1+'Paramètres'!$B$4*(C1205-1)+'Paramètres'!$B$5*(C1205-1)^2)),0)</x:f>
        <x:v>0</x:v>
      </x:c>
      <x:c r="I1205" s="28" t="n">
        <x:v>2</x:v>
      </x:c>
      <x:c r="J1205" s="28" t="n">
        <x:v>4</x:v>
      </x:c>
      <x:c r="K1205" s="30" t="n">
        <x:v>0.3</x:v>
      </x:c>
      <x:c r="L1205" s="54" t="n">
        <x:f>IF(M1205=0,0,(E1205+F1205)/2)</x:f>
        <x:v>3.5</x:v>
      </x:c>
      <x:c r="M1205" t="n">
        <x:v>1</x:v>
      </x:c>
      <x:c r="N1205" t="n">
        <x:v>4</x:v>
      </x:c>
      <x:c r="O1205" t="n">
        <x:v>1</x:v>
      </x:c>
      <x:c r="P1205" s="63" t="str">
        <x:f>IF(M1205=0,"—",M1205&amp;"d"&amp;N1205&amp;IF(O1205=0,""," + "&amp;O1205))</x:f>
        <x:v>1d4 + 1</x:v>
      </x:c>
      <x:c r="Q1205" t="n">
        <x:f>ROUND(INDEX(Catalogue!E$4:E$85,MATCH(A1205,Catalogue!A$4:A$85,0))*(1+'Paramètres'!$B$4*(C1205-1)+'Paramètres'!$B$5*(C1205-1)^2),0)</x:f>
        <x:v>2</x:v>
      </x:c>
      <x:c r="R1205" t="n">
        <x:f>ROUND(INDEX(Catalogue!F$4:F$85,MATCH(A1205,Catalogue!A$4:A$85,0))*(1+'Paramètres'!$B$4*(C1205-1)+'Paramètres'!$B$5*(C1205-1)^2),0)</x:f>
        <x:v>5</x:v>
      </x:c>
      <x:c r="S1205" t="n">
        <x:f>L1205-AVERAGE(Q1205:R1205)</x:f>
        <x:v>0</x:v>
      </x:c>
      <x:c r="T1205" t="str">
        <x:f>IF(M1205=0,IF(AND(N1205=0,O1205=0,E1205=0,F1205=0),"OK","ERREUR"),IF(AND(M1205&gt;=1,M1205&lt;=32,OR(N1205=4,N1205=6,N1205=8,N1205=10,N1205=12,N1205=20),O1205&gt;=0,E1205=M1205+O1205,F1205=M1205*N1205+O1205),"OK","ERREUR"))</x:f>
        <x:v>OK</x:v>
      </x:c>
      <x:c r="U1205" s="86" t="n">
        <x:f>IF(M1205&gt;0,M1205*(N1205+1)/2+O1205,0)</x:f>
        <x:v>3.5</x:v>
      </x:c>
      <x:c r="V1205" t="str">
        <x:f>IF(ABS(L1205-U1205)&lt;0.001,"OK","ERREUR")</x:f>
        <x:v>OK</x:v>
      </x:c>
    </x:row>
    <x:row r="1206" ht="18" customHeight="1">
      <x:c r="A1206" t="str">
        <x:v>ARM061</x:v>
      </x:c>
      <x:c r="B1206" t="str">
        <x:v>Baguette arcanique</x:v>
      </x:c>
      <x:c r="C1206" t="n">
        <x:v>3</x:v>
      </x:c>
      <x:c r="D1206" t="str">
        <x:v>Focaliseurs</x:v>
      </x:c>
      <x:c r="E1206" s="28" t="n">
        <x:f>IF(M1206=0,0,M1206+O1206)</x:f>
        <x:v>2</x:v>
      </x:c>
      <x:c r="F1206" s="28" t="n">
        <x:f>IF(M1206=0,0,M1206*N1206+O1206)</x:f>
        <x:v>5</x:v>
      </x:c>
      <x:c r="G1206" s="28" t="n">
        <x:f>ROUND(Catalogue!G64*SQRT((1+'Paramètres'!$B$4*(C1206-1)+'Paramètres'!$B$5*(C1206-1)^2)),0)</x:f>
        <x:v>0</x:v>
      </x:c>
      <x:c r="H1206" s="28" t="n">
        <x:f>ROUND(Catalogue!H64*SQRT((1+'Paramètres'!$B$4*(C1206-1)+'Paramètres'!$B$5*(C1206-1)^2)),0)</x:f>
        <x:v>0</x:v>
      </x:c>
      <x:c r="I1206" s="28" t="n">
        <x:v>2</x:v>
      </x:c>
      <x:c r="J1206" s="28" t="n">
        <x:v>4</x:v>
      </x:c>
      <x:c r="K1206" s="30" t="n">
        <x:v>0.3</x:v>
      </x:c>
      <x:c r="L1206" s="54" t="n">
        <x:f>IF(M1206=0,0,(E1206+F1206)/2)</x:f>
        <x:v>3.5</x:v>
      </x:c>
      <x:c r="M1206" t="n">
        <x:v>1</x:v>
      </x:c>
      <x:c r="N1206" t="n">
        <x:v>4</x:v>
      </x:c>
      <x:c r="O1206" t="n">
        <x:v>1</x:v>
      </x:c>
      <x:c r="P1206" s="63" t="str">
        <x:f>IF(M1206=0,"—",M1206&amp;"d"&amp;N1206&amp;IF(O1206=0,""," + "&amp;O1206))</x:f>
        <x:v>1d4 + 1</x:v>
      </x:c>
      <x:c r="Q1206" t="n">
        <x:f>ROUND(INDEX(Catalogue!E$4:E$85,MATCH(A1206,Catalogue!A$4:A$85,0))*(1+'Paramètres'!$B$4*(C1206-1)+'Paramètres'!$B$5*(C1206-1)^2),0)</x:f>
        <x:v>3</x:v>
      </x:c>
      <x:c r="R1206" t="n">
        <x:f>ROUND(INDEX(Catalogue!F$4:F$85,MATCH(A1206,Catalogue!A$4:A$85,0))*(1+'Paramètres'!$B$4*(C1206-1)+'Paramètres'!$B$5*(C1206-1)^2),0)</x:f>
        <x:v>5</x:v>
      </x:c>
      <x:c r="S1206" t="n">
        <x:f>L1206-AVERAGE(Q1206:R1206)</x:f>
        <x:v>-0.5</x:v>
      </x:c>
      <x:c r="T1206" t="str">
        <x:f>IF(M1206=0,IF(AND(N1206=0,O1206=0,E1206=0,F1206=0),"OK","ERREUR"),IF(AND(M1206&gt;=1,M1206&lt;=32,OR(N1206=4,N1206=6,N1206=8,N1206=10,N1206=12,N1206=20),O1206&gt;=0,E1206=M1206+O1206,F1206=M1206*N1206+O1206),"OK","ERREUR"))</x:f>
        <x:v>OK</x:v>
      </x:c>
      <x:c r="U1206" s="86" t="n">
        <x:f>IF(M1206&gt;0,M1206*(N1206+1)/2+O1206,0)</x:f>
        <x:v>3.5</x:v>
      </x:c>
      <x:c r="V1206" t="str">
        <x:f>IF(ABS(L1206-U1206)&lt;0.001,"OK","ERREUR")</x:f>
        <x:v>OK</x:v>
      </x:c>
    </x:row>
    <x:row r="1207" ht="18" customHeight="1">
      <x:c r="A1207" t="str">
        <x:v>ARM061</x:v>
      </x:c>
      <x:c r="B1207" t="str">
        <x:v>Baguette arcanique</x:v>
      </x:c>
      <x:c r="C1207" t="n">
        <x:v>4</x:v>
      </x:c>
      <x:c r="D1207" t="str">
        <x:v>Focaliseurs</x:v>
      </x:c>
      <x:c r="E1207" s="28" t="n">
        <x:f>IF(M1207=0,0,M1207+O1207)</x:f>
        <x:v>3</x:v>
      </x:c>
      <x:c r="F1207" s="28" t="n">
        <x:f>IF(M1207=0,0,M1207*N1207+O1207)</x:f>
        <x:v>6</x:v>
      </x:c>
      <x:c r="G1207" s="28" t="n">
        <x:f>ROUND(Catalogue!G64*SQRT((1+'Paramètres'!$B$4*(C1207-1)+'Paramètres'!$B$5*(C1207-1)^2)),0)</x:f>
        <x:v>0</x:v>
      </x:c>
      <x:c r="H1207" s="28" t="n">
        <x:f>ROUND(Catalogue!H64*SQRT((1+'Paramètres'!$B$4*(C1207-1)+'Paramètres'!$B$5*(C1207-1)^2)),0)</x:f>
        <x:v>0</x:v>
      </x:c>
      <x:c r="I1207" s="28" t="n">
        <x:v>2</x:v>
      </x:c>
      <x:c r="J1207" s="28" t="n">
        <x:v>4</x:v>
      </x:c>
      <x:c r="K1207" s="30" t="n">
        <x:v>0.3</x:v>
      </x:c>
      <x:c r="L1207" s="54" t="n">
        <x:f>IF(M1207=0,0,(E1207+F1207)/2)</x:f>
        <x:v>4.5</x:v>
      </x:c>
      <x:c r="M1207" t="n">
        <x:v>1</x:v>
      </x:c>
      <x:c r="N1207" t="n">
        <x:v>4</x:v>
      </x:c>
      <x:c r="O1207" t="n">
        <x:v>2</x:v>
      </x:c>
      <x:c r="P1207" s="63" t="str">
        <x:f>IF(M1207=0,"—",M1207&amp;"d"&amp;N1207&amp;IF(O1207=0,""," + "&amp;O1207))</x:f>
        <x:v>1d4 + 2</x:v>
      </x:c>
      <x:c r="Q1207" t="n">
        <x:f>ROUND(INDEX(Catalogue!E$4:E$85,MATCH(A1207,Catalogue!A$4:A$85,0))*(1+'Paramètres'!$B$4*(C1207-1)+'Paramètres'!$B$5*(C1207-1)^2),0)</x:f>
        <x:v>3</x:v>
      </x:c>
      <x:c r="R1207" t="n">
        <x:f>ROUND(INDEX(Catalogue!F$4:F$85,MATCH(A1207,Catalogue!A$4:A$85,0))*(1+'Paramètres'!$B$4*(C1207-1)+'Paramètres'!$B$5*(C1207-1)^2),0)</x:f>
        <x:v>6</x:v>
      </x:c>
      <x:c r="S1207" t="n">
        <x:f>L1207-AVERAGE(Q1207:R1207)</x:f>
        <x:v>0</x:v>
      </x:c>
      <x:c r="T1207" t="str">
        <x:f>IF(M1207=0,IF(AND(N1207=0,O1207=0,E1207=0,F1207=0),"OK","ERREUR"),IF(AND(M1207&gt;=1,M1207&lt;=32,OR(N1207=4,N1207=6,N1207=8,N1207=10,N1207=12,N1207=20),O1207&gt;=0,E1207=M1207+O1207,F1207=M1207*N1207+O1207),"OK","ERREUR"))</x:f>
        <x:v>OK</x:v>
      </x:c>
      <x:c r="U1207" s="86" t="n">
        <x:f>IF(M1207&gt;0,M1207*(N1207+1)/2+O1207,0)</x:f>
        <x:v>4.5</x:v>
      </x:c>
      <x:c r="V1207" t="str">
        <x:f>IF(ABS(L1207-U1207)&lt;0.001,"OK","ERREUR")</x:f>
        <x:v>OK</x:v>
      </x:c>
    </x:row>
    <x:row r="1208" ht="18" customHeight="1">
      <x:c r="A1208" t="str">
        <x:v>ARM061</x:v>
      </x:c>
      <x:c r="B1208" t="str">
        <x:v>Baguette arcanique</x:v>
      </x:c>
      <x:c r="C1208" t="n">
        <x:v>5</x:v>
      </x:c>
      <x:c r="D1208" t="str">
        <x:v>Focaliseurs</x:v>
      </x:c>
      <x:c r="E1208" s="28" t="n">
        <x:f>IF(M1208=0,0,M1208+O1208)</x:f>
        <x:v>3</x:v>
      </x:c>
      <x:c r="F1208" s="28" t="n">
        <x:f>IF(M1208=0,0,M1208*N1208+O1208)</x:f>
        <x:v>6</x:v>
      </x:c>
      <x:c r="G1208" s="28" t="n">
        <x:f>ROUND(Catalogue!G64*SQRT((1+'Paramètres'!$B$4*(C1208-1)+'Paramètres'!$B$5*(C1208-1)^2)),0)</x:f>
        <x:v>0</x:v>
      </x:c>
      <x:c r="H1208" s="28" t="n">
        <x:f>ROUND(Catalogue!H64*SQRT((1+'Paramètres'!$B$4*(C1208-1)+'Paramètres'!$B$5*(C1208-1)^2)),0)</x:f>
        <x:v>0</x:v>
      </x:c>
      <x:c r="I1208" s="28" t="n">
        <x:v>2</x:v>
      </x:c>
      <x:c r="J1208" s="28" t="n">
        <x:v>4</x:v>
      </x:c>
      <x:c r="K1208" s="30" t="n">
        <x:v>0.3</x:v>
      </x:c>
      <x:c r="L1208" s="54" t="n">
        <x:f>IF(M1208=0,0,(E1208+F1208)/2)</x:f>
        <x:v>4.5</x:v>
      </x:c>
      <x:c r="M1208" t="n">
        <x:v>1</x:v>
      </x:c>
      <x:c r="N1208" t="n">
        <x:v>4</x:v>
      </x:c>
      <x:c r="O1208" t="n">
        <x:v>2</x:v>
      </x:c>
      <x:c r="P1208" s="63" t="str">
        <x:f>IF(M1208=0,"—",M1208&amp;"d"&amp;N1208&amp;IF(O1208=0,""," + "&amp;O1208))</x:f>
        <x:v>1d4 + 2</x:v>
      </x:c>
      <x:c r="Q1208" t="n">
        <x:f>ROUND(INDEX(Catalogue!E$4:E$85,MATCH(A1208,Catalogue!A$4:A$85,0))*(1+'Paramètres'!$B$4*(C1208-1)+'Paramètres'!$B$5*(C1208-1)^2),0)</x:f>
        <x:v>3</x:v>
      </x:c>
      <x:c r="R1208" t="n">
        <x:f>ROUND(INDEX(Catalogue!F$4:F$85,MATCH(A1208,Catalogue!A$4:A$85,0))*(1+'Paramètres'!$B$4*(C1208-1)+'Paramètres'!$B$5*(C1208-1)^2),0)</x:f>
        <x:v>7</x:v>
      </x:c>
      <x:c r="S1208" t="n">
        <x:f>L1208-AVERAGE(Q1208:R1208)</x:f>
        <x:v>-0.5</x:v>
      </x:c>
      <x:c r="T1208" t="str">
        <x:f>IF(M1208=0,IF(AND(N1208=0,O1208=0,E1208=0,F1208=0),"OK","ERREUR"),IF(AND(M1208&gt;=1,M1208&lt;=32,OR(N1208=4,N1208=6,N1208=8,N1208=10,N1208=12,N1208=20),O1208&gt;=0,E1208=M1208+O1208,F1208=M1208*N1208+O1208),"OK","ERREUR"))</x:f>
        <x:v>OK</x:v>
      </x:c>
      <x:c r="U1208" s="86" t="n">
        <x:f>IF(M1208&gt;0,M1208*(N1208+1)/2+O1208,0)</x:f>
        <x:v>4.5</x:v>
      </x:c>
      <x:c r="V1208" t="str">
        <x:f>IF(ABS(L1208-U1208)&lt;0.001,"OK","ERREUR")</x:f>
        <x:v>OK</x:v>
      </x:c>
    </x:row>
    <x:row r="1209" ht="18" customHeight="1">
      <x:c r="A1209" t="str">
        <x:v>ARM061</x:v>
      </x:c>
      <x:c r="B1209" t="str">
        <x:v>Baguette arcanique</x:v>
      </x:c>
      <x:c r="C1209" t="n">
        <x:v>6</x:v>
      </x:c>
      <x:c r="D1209" t="str">
        <x:v>Focaliseurs</x:v>
      </x:c>
      <x:c r="E1209" s="28" t="n">
        <x:f>IF(M1209=0,0,M1209+O1209)</x:f>
        <x:v>4</x:v>
      </x:c>
      <x:c r="F1209" s="28" t="n">
        <x:f>IF(M1209=0,0,M1209*N1209+O1209)</x:f>
        <x:v>7</x:v>
      </x:c>
      <x:c r="G1209" s="28" t="n">
        <x:f>ROUND(Catalogue!G64*SQRT((1+'Paramètres'!$B$4*(C1209-1)+'Paramètres'!$B$5*(C1209-1)^2)),0)</x:f>
        <x:v>0</x:v>
      </x:c>
      <x:c r="H1209" s="28" t="n">
        <x:f>ROUND(Catalogue!H64*SQRT((1+'Paramètres'!$B$4*(C1209-1)+'Paramètres'!$B$5*(C1209-1)^2)),0)</x:f>
        <x:v>0</x:v>
      </x:c>
      <x:c r="I1209" s="28" t="n">
        <x:v>2</x:v>
      </x:c>
      <x:c r="J1209" s="28" t="n">
        <x:v>4</x:v>
      </x:c>
      <x:c r="K1209" s="30" t="n">
        <x:v>0.3</x:v>
      </x:c>
      <x:c r="L1209" s="54" t="n">
        <x:f>IF(M1209=0,0,(E1209+F1209)/2)</x:f>
        <x:v>5.5</x:v>
      </x:c>
      <x:c r="M1209" t="n">
        <x:v>1</x:v>
      </x:c>
      <x:c r="N1209" t="n">
        <x:v>4</x:v>
      </x:c>
      <x:c r="O1209" t="n">
        <x:v>3</x:v>
      </x:c>
      <x:c r="P1209" s="63" t="str">
        <x:f>IF(M1209=0,"—",M1209&amp;"d"&amp;N1209&amp;IF(O1209=0,""," + "&amp;O1209))</x:f>
        <x:v>1d4 + 3</x:v>
      </x:c>
      <x:c r="Q1209" t="n">
        <x:f>ROUND(INDEX(Catalogue!E$4:E$85,MATCH(A1209,Catalogue!A$4:A$85,0))*(1+'Paramètres'!$B$4*(C1209-1)+'Paramètres'!$B$5*(C1209-1)^2),0)</x:f>
        <x:v>4</x:v>
      </x:c>
      <x:c r="R1209" t="n">
        <x:f>ROUND(INDEX(Catalogue!F$4:F$85,MATCH(A1209,Catalogue!A$4:A$85,0))*(1+'Paramètres'!$B$4*(C1209-1)+'Paramètres'!$B$5*(C1209-1)^2),0)</x:f>
        <x:v>8</x:v>
      </x:c>
      <x:c r="S1209" t="n">
        <x:f>L1209-AVERAGE(Q1209:R1209)</x:f>
        <x:v>-0.5</x:v>
      </x:c>
      <x:c r="T1209" t="str">
        <x:f>IF(M1209=0,IF(AND(N1209=0,O1209=0,E1209=0,F1209=0),"OK","ERREUR"),IF(AND(M1209&gt;=1,M1209&lt;=32,OR(N1209=4,N1209=6,N1209=8,N1209=10,N1209=12,N1209=20),O1209&gt;=0,E1209=M1209+O1209,F1209=M1209*N1209+O1209),"OK","ERREUR"))</x:f>
        <x:v>OK</x:v>
      </x:c>
      <x:c r="U1209" s="86" t="n">
        <x:f>IF(M1209&gt;0,M1209*(N1209+1)/2+O1209,0)</x:f>
        <x:v>5.5</x:v>
      </x:c>
      <x:c r="V1209" t="str">
        <x:f>IF(ABS(L1209-U1209)&lt;0.001,"OK","ERREUR")</x:f>
        <x:v>OK</x:v>
      </x:c>
    </x:row>
    <x:row r="1210" ht="18" customHeight="1">
      <x:c r="A1210" t="str">
        <x:v>ARM061</x:v>
      </x:c>
      <x:c r="B1210" t="str">
        <x:v>Baguette arcanique</x:v>
      </x:c>
      <x:c r="C1210" t="n">
        <x:v>7</x:v>
      </x:c>
      <x:c r="D1210" t="str">
        <x:v>Focaliseurs</x:v>
      </x:c>
      <x:c r="E1210" s="28" t="n">
        <x:f>IF(M1210=0,0,M1210+O1210)</x:f>
        <x:v>4</x:v>
      </x:c>
      <x:c r="F1210" s="28" t="n">
        <x:f>IF(M1210=0,0,M1210*N1210+O1210)</x:f>
        <x:v>9</x:v>
      </x:c>
      <x:c r="G1210" s="28" t="n">
        <x:f>ROUND(Catalogue!G64*SQRT((1+'Paramètres'!$B$4*(C1210-1)+'Paramètres'!$B$5*(C1210-1)^2)),0)</x:f>
        <x:v>0</x:v>
      </x:c>
      <x:c r="H1210" s="28" t="n">
        <x:f>ROUND(Catalogue!H64*SQRT((1+'Paramètres'!$B$4*(C1210-1)+'Paramètres'!$B$5*(C1210-1)^2)),0)</x:f>
        <x:v>0</x:v>
      </x:c>
      <x:c r="I1210" s="28" t="n">
        <x:v>2</x:v>
      </x:c>
      <x:c r="J1210" s="28" t="n">
        <x:v>4</x:v>
      </x:c>
      <x:c r="K1210" s="30" t="n">
        <x:v>0.3</x:v>
      </x:c>
      <x:c r="L1210" s="54" t="n">
        <x:f>IF(M1210=0,0,(E1210+F1210)/2)</x:f>
        <x:v>6.5</x:v>
      </x:c>
      <x:c r="M1210" t="n">
        <x:v>1</x:v>
      </x:c>
      <x:c r="N1210" t="n">
        <x:v>6</x:v>
      </x:c>
      <x:c r="O1210" t="n">
        <x:v>3</x:v>
      </x:c>
      <x:c r="P1210" s="63" t="str">
        <x:f>IF(M1210=0,"—",M1210&amp;"d"&amp;N1210&amp;IF(O1210=0,""," + "&amp;O1210))</x:f>
        <x:v>1d6 + 3</x:v>
      </x:c>
      <x:c r="Q1210" t="n">
        <x:f>ROUND(INDEX(Catalogue!E$4:E$85,MATCH(A1210,Catalogue!A$4:A$85,0))*(1+'Paramètres'!$B$4*(C1210-1)+'Paramètres'!$B$5*(C1210-1)^2),0)</x:f>
        <x:v>4</x:v>
      </x:c>
      <x:c r="R1210" t="n">
        <x:f>ROUND(INDEX(Catalogue!F$4:F$85,MATCH(A1210,Catalogue!A$4:A$85,0))*(1+'Paramètres'!$B$4*(C1210-1)+'Paramètres'!$B$5*(C1210-1)^2),0)</x:f>
        <x:v>9</x:v>
      </x:c>
      <x:c r="S1210" t="n">
        <x:f>L1210-AVERAGE(Q1210:R1210)</x:f>
        <x:v>0</x:v>
      </x:c>
      <x:c r="T1210" t="str">
        <x:f>IF(M1210=0,IF(AND(N1210=0,O1210=0,E1210=0,F1210=0),"OK","ERREUR"),IF(AND(M1210&gt;=1,M1210&lt;=32,OR(N1210=4,N1210=6,N1210=8,N1210=10,N1210=12,N1210=20),O1210&gt;=0,E1210=M1210+O1210,F1210=M1210*N1210+O1210),"OK","ERREUR"))</x:f>
        <x:v>OK</x:v>
      </x:c>
      <x:c r="U1210" s="86" t="n">
        <x:f>IF(M1210&gt;0,M1210*(N1210+1)/2+O1210,0)</x:f>
        <x:v>6.5</x:v>
      </x:c>
      <x:c r="V1210" t="str">
        <x:f>IF(ABS(L1210-U1210)&lt;0.001,"OK","ERREUR")</x:f>
        <x:v>OK</x:v>
      </x:c>
    </x:row>
    <x:row r="1211" ht="18" customHeight="1">
      <x:c r="A1211" t="str">
        <x:v>ARM061</x:v>
      </x:c>
      <x:c r="B1211" t="str">
        <x:v>Baguette arcanique</x:v>
      </x:c>
      <x:c r="C1211" t="n">
        <x:v>8</x:v>
      </x:c>
      <x:c r="D1211" t="str">
        <x:v>Focaliseurs</x:v>
      </x:c>
      <x:c r="E1211" s="28" t="n">
        <x:f>IF(M1211=0,0,M1211+O1211)</x:f>
        <x:v>5</x:v>
      </x:c>
      <x:c r="F1211" s="28" t="n">
        <x:f>IF(M1211=0,0,M1211*N1211+O1211)</x:f>
        <x:v>10</x:v>
      </x:c>
      <x:c r="G1211" s="28" t="n">
        <x:f>ROUND(Catalogue!G64*SQRT((1+'Paramètres'!$B$4*(C1211-1)+'Paramètres'!$B$5*(C1211-1)^2)),0)</x:f>
        <x:v>0</x:v>
      </x:c>
      <x:c r="H1211" s="28" t="n">
        <x:f>ROUND(Catalogue!H64*SQRT((1+'Paramètres'!$B$4*(C1211-1)+'Paramètres'!$B$5*(C1211-1)^2)),0)</x:f>
        <x:v>0</x:v>
      </x:c>
      <x:c r="I1211" s="28" t="n">
        <x:v>2</x:v>
      </x:c>
      <x:c r="J1211" s="28" t="n">
        <x:v>4</x:v>
      </x:c>
      <x:c r="K1211" s="30" t="n">
        <x:v>0.3</x:v>
      </x:c>
      <x:c r="L1211" s="54" t="n">
        <x:f>IF(M1211=0,0,(E1211+F1211)/2)</x:f>
        <x:v>7.5</x:v>
      </x:c>
      <x:c r="M1211" t="n">
        <x:v>1</x:v>
      </x:c>
      <x:c r="N1211" t="n">
        <x:v>6</x:v>
      </x:c>
      <x:c r="O1211" t="n">
        <x:v>4</x:v>
      </x:c>
      <x:c r="P1211" s="63" t="str">
        <x:f>IF(M1211=0,"—",M1211&amp;"d"&amp;N1211&amp;IF(O1211=0,""," + "&amp;O1211))</x:f>
        <x:v>1d6 + 4</x:v>
      </x:c>
      <x:c r="Q1211" t="n">
        <x:f>ROUND(INDEX(Catalogue!E$4:E$85,MATCH(A1211,Catalogue!A$4:A$85,0))*(1+'Paramètres'!$B$4*(C1211-1)+'Paramètres'!$B$5*(C1211-1)^2),0)</x:f>
        <x:v>5</x:v>
      </x:c>
      <x:c r="R1211" t="n">
        <x:f>ROUND(INDEX(Catalogue!F$4:F$85,MATCH(A1211,Catalogue!A$4:A$85,0))*(1+'Paramètres'!$B$4*(C1211-1)+'Paramètres'!$B$5*(C1211-1)^2),0)</x:f>
        <x:v>10</x:v>
      </x:c>
      <x:c r="S1211" t="n">
        <x:f>L1211-AVERAGE(Q1211:R1211)</x:f>
        <x:v>0</x:v>
      </x:c>
      <x:c r="T1211" t="str">
        <x:f>IF(M1211=0,IF(AND(N1211=0,O1211=0,E1211=0,F1211=0),"OK","ERREUR"),IF(AND(M1211&gt;=1,M1211&lt;=32,OR(N1211=4,N1211=6,N1211=8,N1211=10,N1211=12,N1211=20),O1211&gt;=0,E1211=M1211+O1211,F1211=M1211*N1211+O1211),"OK","ERREUR"))</x:f>
        <x:v>OK</x:v>
      </x:c>
      <x:c r="U1211" s="86" t="n">
        <x:f>IF(M1211&gt;0,M1211*(N1211+1)/2+O1211,0)</x:f>
        <x:v>7.5</x:v>
      </x:c>
      <x:c r="V1211" t="str">
        <x:f>IF(ABS(L1211-U1211)&lt;0.001,"OK","ERREUR")</x:f>
        <x:v>OK</x:v>
      </x:c>
    </x:row>
    <x:row r="1212" ht="18" customHeight="1">
      <x:c r="A1212" t="str">
        <x:v>ARM061</x:v>
      </x:c>
      <x:c r="B1212" t="str">
        <x:v>Baguette arcanique</x:v>
      </x:c>
      <x:c r="C1212" t="n">
        <x:v>9</x:v>
      </x:c>
      <x:c r="D1212" t="str">
        <x:v>Focaliseurs</x:v>
      </x:c>
      <x:c r="E1212" s="28" t="n">
        <x:f>IF(M1212=0,0,M1212+O1212)</x:f>
        <x:v>6</x:v>
      </x:c>
      <x:c r="F1212" s="28" t="n">
        <x:f>IF(M1212=0,0,M1212*N1212+O1212)</x:f>
        <x:v>12</x:v>
      </x:c>
      <x:c r="G1212" s="28" t="n">
        <x:f>ROUND(Catalogue!G64*SQRT((1+'Paramètres'!$B$4*(C1212-1)+'Paramètres'!$B$5*(C1212-1)^2)),0)</x:f>
        <x:v>0</x:v>
      </x:c>
      <x:c r="H1212" s="28" t="n">
        <x:f>ROUND(Catalogue!H64*SQRT((1+'Paramètres'!$B$4*(C1212-1)+'Paramètres'!$B$5*(C1212-1)^2)),0)</x:f>
        <x:v>0</x:v>
      </x:c>
      <x:c r="I1212" s="28" t="n">
        <x:v>2</x:v>
      </x:c>
      <x:c r="J1212" s="28" t="n">
        <x:v>4</x:v>
      </x:c>
      <x:c r="K1212" s="30" t="n">
        <x:v>0.3</x:v>
      </x:c>
      <x:c r="L1212" s="54" t="n">
        <x:f>IF(M1212=0,0,(E1212+F1212)/2)</x:f>
        <x:v>9</x:v>
      </x:c>
      <x:c r="M1212" t="n">
        <x:v>2</x:v>
      </x:c>
      <x:c r="N1212" t="n">
        <x:v>4</x:v>
      </x:c>
      <x:c r="O1212" t="n">
        <x:v>4</x:v>
      </x:c>
      <x:c r="P1212" s="63" t="str">
        <x:f>IF(M1212=0,"—",M1212&amp;"d"&amp;N1212&amp;IF(O1212=0,""," + "&amp;O1212))</x:f>
        <x:v>2d4 + 4</x:v>
      </x:c>
      <x:c r="Q1212" t="n">
        <x:f>ROUND(INDEX(Catalogue!E$4:E$85,MATCH(A1212,Catalogue!A$4:A$85,0))*(1+'Paramètres'!$B$4*(C1212-1)+'Paramètres'!$B$5*(C1212-1)^2),0)</x:f>
        <x:v>6</x:v>
      </x:c>
      <x:c r="R1212" t="n">
        <x:f>ROUND(INDEX(Catalogue!F$4:F$85,MATCH(A1212,Catalogue!A$4:A$85,0))*(1+'Paramètres'!$B$4*(C1212-1)+'Paramètres'!$B$5*(C1212-1)^2),0)</x:f>
        <x:v>12</x:v>
      </x:c>
      <x:c r="S1212" t="n">
        <x:f>L1212-AVERAGE(Q1212:R1212)</x:f>
        <x:v>0</x:v>
      </x:c>
      <x:c r="T1212" t="str">
        <x:f>IF(M1212=0,IF(AND(N1212=0,O1212=0,E1212=0,F1212=0),"OK","ERREUR"),IF(AND(M1212&gt;=1,M1212&lt;=32,OR(N1212=4,N1212=6,N1212=8,N1212=10,N1212=12,N1212=20),O1212&gt;=0,E1212=M1212+O1212,F1212=M1212*N1212+O1212),"OK","ERREUR"))</x:f>
        <x:v>OK</x:v>
      </x:c>
      <x:c r="U1212" s="86" t="n">
        <x:f>IF(M1212&gt;0,M1212*(N1212+1)/2+O1212,0)</x:f>
        <x:v>9</x:v>
      </x:c>
      <x:c r="V1212" t="str">
        <x:f>IF(ABS(L1212-U1212)&lt;0.001,"OK","ERREUR")</x:f>
        <x:v>OK</x:v>
      </x:c>
    </x:row>
    <x:row r="1213" ht="18" customHeight="1">
      <x:c r="A1213" t="str">
        <x:v>ARM061</x:v>
      </x:c>
      <x:c r="B1213" t="str">
        <x:v>Baguette arcanique</x:v>
      </x:c>
      <x:c r="C1213" t="n">
        <x:v>10</x:v>
      </x:c>
      <x:c r="D1213" t="str">
        <x:v>Focaliseurs</x:v>
      </x:c>
      <x:c r="E1213" s="28" t="n">
        <x:f>IF(M1213=0,0,M1213+O1213)</x:f>
        <x:v>7</x:v>
      </x:c>
      <x:c r="F1213" s="28" t="n">
        <x:f>IF(M1213=0,0,M1213*N1213+O1213)</x:f>
        <x:v>13</x:v>
      </x:c>
      <x:c r="G1213" s="28" t="n">
        <x:f>ROUND(Catalogue!G64*SQRT((1+'Paramètres'!$B$4*(C1213-1)+'Paramètres'!$B$5*(C1213-1)^2)),0)</x:f>
        <x:v>0</x:v>
      </x:c>
      <x:c r="H1213" s="28" t="n">
        <x:f>ROUND(Catalogue!H64*SQRT((1+'Paramètres'!$B$4*(C1213-1)+'Paramètres'!$B$5*(C1213-1)^2)),0)</x:f>
        <x:v>0</x:v>
      </x:c>
      <x:c r="I1213" s="28" t="n">
        <x:v>2</x:v>
      </x:c>
      <x:c r="J1213" s="28" t="n">
        <x:v>4</x:v>
      </x:c>
      <x:c r="K1213" s="30" t="n">
        <x:v>0.3</x:v>
      </x:c>
      <x:c r="L1213" s="54" t="n">
        <x:f>IF(M1213=0,0,(E1213+F1213)/2)</x:f>
        <x:v>10</x:v>
      </x:c>
      <x:c r="M1213" t="n">
        <x:v>2</x:v>
      </x:c>
      <x:c r="N1213" t="n">
        <x:v>4</x:v>
      </x:c>
      <x:c r="O1213" t="n">
        <x:v>5</x:v>
      </x:c>
      <x:c r="P1213" s="63" t="str">
        <x:f>IF(M1213=0,"—",M1213&amp;"d"&amp;N1213&amp;IF(O1213=0,""," + "&amp;O1213))</x:f>
        <x:v>2d4 + 5</x:v>
      </x:c>
      <x:c r="Q1213" t="n">
        <x:f>ROUND(INDEX(Catalogue!E$4:E$85,MATCH(A1213,Catalogue!A$4:A$85,0))*(1+'Paramètres'!$B$4*(C1213-1)+'Paramètres'!$B$5*(C1213-1)^2),0)</x:f>
        <x:v>7</x:v>
      </x:c>
      <x:c r="R1213" t="n">
        <x:f>ROUND(INDEX(Catalogue!F$4:F$85,MATCH(A1213,Catalogue!A$4:A$85,0))*(1+'Paramètres'!$B$4*(C1213-1)+'Paramètres'!$B$5*(C1213-1)^2),0)</x:f>
        <x:v>13</x:v>
      </x:c>
      <x:c r="S1213" t="n">
        <x:f>L1213-AVERAGE(Q1213:R1213)</x:f>
        <x:v>0</x:v>
      </x:c>
      <x:c r="T1213" t="str">
        <x:f>IF(M1213=0,IF(AND(N1213=0,O1213=0,E1213=0,F1213=0),"OK","ERREUR"),IF(AND(M1213&gt;=1,M1213&lt;=32,OR(N1213=4,N1213=6,N1213=8,N1213=10,N1213=12,N1213=20),O1213&gt;=0,E1213=M1213+O1213,F1213=M1213*N1213+O1213),"OK","ERREUR"))</x:f>
        <x:v>OK</x:v>
      </x:c>
      <x:c r="U1213" s="86" t="n">
        <x:f>IF(M1213&gt;0,M1213*(N1213+1)/2+O1213,0)</x:f>
        <x:v>10</x:v>
      </x:c>
      <x:c r="V1213" t="str">
        <x:f>IF(ABS(L1213-U1213)&lt;0.001,"OK","ERREUR")</x:f>
        <x:v>OK</x:v>
      </x:c>
    </x:row>
    <x:row r="1214" ht="18" customHeight="1">
      <x:c r="A1214" t="str">
        <x:v>ARM061</x:v>
      </x:c>
      <x:c r="B1214" t="str">
        <x:v>Baguette arcanique</x:v>
      </x:c>
      <x:c r="C1214" t="n">
        <x:v>11</x:v>
      </x:c>
      <x:c r="D1214" t="str">
        <x:v>Focaliseurs</x:v>
      </x:c>
      <x:c r="E1214" s="28" t="n">
        <x:f>IF(M1214=0,0,M1214+O1214)</x:f>
        <x:v>6</x:v>
      </x:c>
      <x:c r="F1214" s="28" t="n">
        <x:f>IF(M1214=0,0,M1214*N1214+O1214)</x:f>
        <x:v>15</x:v>
      </x:c>
      <x:c r="G1214" s="28" t="n">
        <x:f>ROUND(Catalogue!G64*SQRT((1+'Paramètres'!$B$4*(C1214-1)+'Paramètres'!$B$5*(C1214-1)^2)),0)</x:f>
        <x:v>0</x:v>
      </x:c>
      <x:c r="H1214" s="28" t="n">
        <x:f>ROUND(Catalogue!H64*SQRT((1+'Paramètres'!$B$4*(C1214-1)+'Paramètres'!$B$5*(C1214-1)^2)),0)</x:f>
        <x:v>0</x:v>
      </x:c>
      <x:c r="I1214" s="28" t="n">
        <x:v>2</x:v>
      </x:c>
      <x:c r="J1214" s="28" t="n">
        <x:v>4</x:v>
      </x:c>
      <x:c r="K1214" s="30" t="n">
        <x:v>0.3</x:v>
      </x:c>
      <x:c r="L1214" s="54" t="n">
        <x:f>IF(M1214=0,0,(E1214+F1214)/2)</x:f>
        <x:v>10.5</x:v>
      </x:c>
      <x:c r="M1214" t="n">
        <x:v>3</x:v>
      </x:c>
      <x:c r="N1214" t="n">
        <x:v>4</x:v>
      </x:c>
      <x:c r="O1214" t="n">
        <x:v>3</x:v>
      </x:c>
      <x:c r="P1214" s="63" t="str">
        <x:f>IF(M1214=0,"—",M1214&amp;"d"&amp;N1214&amp;IF(O1214=0,""," + "&amp;O1214))</x:f>
        <x:v>3d4 + 3</x:v>
      </x:c>
      <x:c r="Q1214" t="n">
        <x:f>ROUND(INDEX(Catalogue!E$4:E$85,MATCH(A1214,Catalogue!A$4:A$85,0))*(1+'Paramètres'!$B$4*(C1214-1)+'Paramètres'!$B$5*(C1214-1)^2),0)</x:f>
        <x:v>7</x:v>
      </x:c>
      <x:c r="R1214" t="n">
        <x:f>ROUND(INDEX(Catalogue!F$4:F$85,MATCH(A1214,Catalogue!A$4:A$85,0))*(1+'Paramètres'!$B$4*(C1214-1)+'Paramètres'!$B$5*(C1214-1)^2),0)</x:f>
        <x:v>15</x:v>
      </x:c>
      <x:c r="S1214" t="n">
        <x:f>L1214-AVERAGE(Q1214:R1214)</x:f>
        <x:v>-0.5</x:v>
      </x:c>
      <x:c r="T1214" t="str">
        <x:f>IF(M1214=0,IF(AND(N1214=0,O1214=0,E1214=0,F1214=0),"OK","ERREUR"),IF(AND(M1214&gt;=1,M1214&lt;=32,OR(N1214=4,N1214=6,N1214=8,N1214=10,N1214=12,N1214=20),O1214&gt;=0,E1214=M1214+O1214,F1214=M1214*N1214+O1214),"OK","ERREUR"))</x:f>
        <x:v>OK</x:v>
      </x:c>
      <x:c r="U1214" s="86" t="n">
        <x:f>IF(M1214&gt;0,M1214*(N1214+1)/2+O1214,0)</x:f>
        <x:v>10.5</x:v>
      </x:c>
      <x:c r="V1214" t="str">
        <x:f>IF(ABS(L1214-U1214)&lt;0.001,"OK","ERREUR")</x:f>
        <x:v>OK</x:v>
      </x:c>
    </x:row>
    <x:row r="1215" ht="18" customHeight="1">
      <x:c r="A1215" t="str">
        <x:v>ARM061</x:v>
      </x:c>
      <x:c r="B1215" t="str">
        <x:v>Baguette arcanique</x:v>
      </x:c>
      <x:c r="C1215" t="n">
        <x:v>12</x:v>
      </x:c>
      <x:c r="D1215" t="str">
        <x:v>Focaliseurs</x:v>
      </x:c>
      <x:c r="E1215" s="28" t="n">
        <x:f>IF(M1215=0,0,M1215+O1215)</x:f>
        <x:v>8</x:v>
      </x:c>
      <x:c r="F1215" s="28" t="n">
        <x:f>IF(M1215=0,0,M1215*N1215+O1215)</x:f>
        <x:v>17</x:v>
      </x:c>
      <x:c r="G1215" s="28" t="n">
        <x:f>ROUND(Catalogue!G64*SQRT((1+'Paramètres'!$B$4*(C1215-1)+'Paramètres'!$B$5*(C1215-1)^2)),0)</x:f>
        <x:v>0</x:v>
      </x:c>
      <x:c r="H1215" s="28" t="n">
        <x:f>ROUND(Catalogue!H64*SQRT((1+'Paramètres'!$B$4*(C1215-1)+'Paramètres'!$B$5*(C1215-1)^2)),0)</x:f>
        <x:v>0</x:v>
      </x:c>
      <x:c r="I1215" s="28" t="n">
        <x:v>2</x:v>
      </x:c>
      <x:c r="J1215" s="28" t="n">
        <x:v>4</x:v>
      </x:c>
      <x:c r="K1215" s="30" t="n">
        <x:v>0.3</x:v>
      </x:c>
      <x:c r="L1215" s="54" t="n">
        <x:f>IF(M1215=0,0,(E1215+F1215)/2)</x:f>
        <x:v>12.5</x:v>
      </x:c>
      <x:c r="M1215" t="n">
        <x:v>3</x:v>
      </x:c>
      <x:c r="N1215" t="n">
        <x:v>4</x:v>
      </x:c>
      <x:c r="O1215" t="n">
        <x:v>5</x:v>
      </x:c>
      <x:c r="P1215" s="63" t="str">
        <x:f>IF(M1215=0,"—",M1215&amp;"d"&amp;N1215&amp;IF(O1215=0,""," + "&amp;O1215))</x:f>
        <x:v>3d4 + 5</x:v>
      </x:c>
      <x:c r="Q1215" t="n">
        <x:f>ROUND(INDEX(Catalogue!E$4:E$85,MATCH(A1215,Catalogue!A$4:A$85,0))*(1+'Paramètres'!$B$4*(C1215-1)+'Paramètres'!$B$5*(C1215-1)^2),0)</x:f>
        <x:v>8</x:v>
      </x:c>
      <x:c r="R1215" t="n">
        <x:f>ROUND(INDEX(Catalogue!F$4:F$85,MATCH(A1215,Catalogue!A$4:A$85,0))*(1+'Paramètres'!$B$4*(C1215-1)+'Paramètres'!$B$5*(C1215-1)^2),0)</x:f>
        <x:v>17</x:v>
      </x:c>
      <x:c r="S1215" t="n">
        <x:f>L1215-AVERAGE(Q1215:R1215)</x:f>
        <x:v>0</x:v>
      </x:c>
      <x:c r="T1215" t="str">
        <x:f>IF(M1215=0,IF(AND(N1215=0,O1215=0,E1215=0,F1215=0),"OK","ERREUR"),IF(AND(M1215&gt;=1,M1215&lt;=32,OR(N1215=4,N1215=6,N1215=8,N1215=10,N1215=12,N1215=20),O1215&gt;=0,E1215=M1215+O1215,F1215=M1215*N1215+O1215),"OK","ERREUR"))</x:f>
        <x:v>OK</x:v>
      </x:c>
      <x:c r="U1215" s="86" t="n">
        <x:f>IF(M1215&gt;0,M1215*(N1215+1)/2+O1215,0)</x:f>
        <x:v>12.5</x:v>
      </x:c>
      <x:c r="V1215" t="str">
        <x:f>IF(ABS(L1215-U1215)&lt;0.001,"OK","ERREUR")</x:f>
        <x:v>OK</x:v>
      </x:c>
    </x:row>
    <x:row r="1216" ht="18" customHeight="1">
      <x:c r="A1216" t="str">
        <x:v>ARM061</x:v>
      </x:c>
      <x:c r="B1216" t="str">
        <x:v>Baguette arcanique</x:v>
      </x:c>
      <x:c r="C1216" t="n">
        <x:v>13</x:v>
      </x:c>
      <x:c r="D1216" t="str">
        <x:v>Focaliseurs</x:v>
      </x:c>
      <x:c r="E1216" s="28" t="n">
        <x:f>IF(M1216=0,0,M1216+O1216)</x:f>
        <x:v>9</x:v>
      </x:c>
      <x:c r="F1216" s="28" t="n">
        <x:f>IF(M1216=0,0,M1216*N1216+O1216)</x:f>
        <x:v>18</x:v>
      </x:c>
      <x:c r="G1216" s="28" t="n">
        <x:f>ROUND(Catalogue!G64*SQRT((1+'Paramètres'!$B$4*(C1216-1)+'Paramètres'!$B$5*(C1216-1)^2)),0)</x:f>
        <x:v>0</x:v>
      </x:c>
      <x:c r="H1216" s="28" t="n">
        <x:f>ROUND(Catalogue!H64*SQRT((1+'Paramètres'!$B$4*(C1216-1)+'Paramètres'!$B$5*(C1216-1)^2)),0)</x:f>
        <x:v>0</x:v>
      </x:c>
      <x:c r="I1216" s="28" t="n">
        <x:v>2</x:v>
      </x:c>
      <x:c r="J1216" s="28" t="n">
        <x:v>4</x:v>
      </x:c>
      <x:c r="K1216" s="30" t="n">
        <x:v>0.3</x:v>
      </x:c>
      <x:c r="L1216" s="54" t="n">
        <x:f>IF(M1216=0,0,(E1216+F1216)/2)</x:f>
        <x:v>13.5</x:v>
      </x:c>
      <x:c r="M1216" t="n">
        <x:v>3</x:v>
      </x:c>
      <x:c r="N1216" t="n">
        <x:v>4</x:v>
      </x:c>
      <x:c r="O1216" t="n">
        <x:v>6</x:v>
      </x:c>
      <x:c r="P1216" s="63" t="str">
        <x:f>IF(M1216=0,"—",M1216&amp;"d"&amp;N1216&amp;IF(O1216=0,""," + "&amp;O1216))</x:f>
        <x:v>3d4 + 6</x:v>
      </x:c>
      <x:c r="Q1216" t="n">
        <x:f>ROUND(INDEX(Catalogue!E$4:E$85,MATCH(A1216,Catalogue!A$4:A$85,0))*(1+'Paramètres'!$B$4*(C1216-1)+'Paramètres'!$B$5*(C1216-1)^2),0)</x:f>
        <x:v>9</x:v>
      </x:c>
      <x:c r="R1216" t="n">
        <x:f>ROUND(INDEX(Catalogue!F$4:F$85,MATCH(A1216,Catalogue!A$4:A$85,0))*(1+'Paramètres'!$B$4*(C1216-1)+'Paramètres'!$B$5*(C1216-1)^2),0)</x:f>
        <x:v>18</x:v>
      </x:c>
      <x:c r="S1216" t="n">
        <x:f>L1216-AVERAGE(Q1216:R1216)</x:f>
        <x:v>0</x:v>
      </x:c>
      <x:c r="T1216" t="str">
        <x:f>IF(M1216=0,IF(AND(N1216=0,O1216=0,E1216=0,F1216=0),"OK","ERREUR"),IF(AND(M1216&gt;=1,M1216&lt;=32,OR(N1216=4,N1216=6,N1216=8,N1216=10,N1216=12,N1216=20),O1216&gt;=0,E1216=M1216+O1216,F1216=M1216*N1216+O1216),"OK","ERREUR"))</x:f>
        <x:v>OK</x:v>
      </x:c>
      <x:c r="U1216" s="86" t="n">
        <x:f>IF(M1216&gt;0,M1216*(N1216+1)/2+O1216,0)</x:f>
        <x:v>13.5</x:v>
      </x:c>
      <x:c r="V1216" t="str">
        <x:f>IF(ABS(L1216-U1216)&lt;0.001,"OK","ERREUR")</x:f>
        <x:v>OK</x:v>
      </x:c>
    </x:row>
    <x:row r="1217" ht="18" customHeight="1">
      <x:c r="A1217" t="str">
        <x:v>ARM061</x:v>
      </x:c>
      <x:c r="B1217" t="str">
        <x:v>Baguette arcanique</x:v>
      </x:c>
      <x:c r="C1217" t="n">
        <x:v>14</x:v>
      </x:c>
      <x:c r="D1217" t="str">
        <x:v>Focaliseurs</x:v>
      </x:c>
      <x:c r="E1217" s="28" t="n">
        <x:f>IF(M1217=0,0,M1217+O1217)</x:f>
        <x:v>10</x:v>
      </x:c>
      <x:c r="F1217" s="28" t="n">
        <x:f>IF(M1217=0,0,M1217*N1217+O1217)</x:f>
        <x:v>21</x:v>
      </x:c>
      <x:c r="G1217" s="28" t="n">
        <x:f>ROUND(Catalogue!G64*SQRT((1+'Paramètres'!$B$4*(C1217-1)+'Paramètres'!$B$5*(C1217-1)^2)),0)</x:f>
        <x:v>0</x:v>
      </x:c>
      <x:c r="H1217" s="28" t="n">
        <x:f>ROUND(Catalogue!H64*SQRT((1+'Paramètres'!$B$4*(C1217-1)+'Paramètres'!$B$5*(C1217-1)^2)),0)</x:f>
        <x:v>0</x:v>
      </x:c>
      <x:c r="I1217" s="28" t="n">
        <x:v>2</x:v>
      </x:c>
      <x:c r="J1217" s="28" t="n">
        <x:v>4</x:v>
      </x:c>
      <x:c r="K1217" s="30" t="n">
        <x:v>0.3</x:v>
      </x:c>
      <x:c r="L1217" s="54" t="n">
        <x:f>IF(M1217=0,0,(E1217+F1217)/2)</x:f>
        <x:v>15.5</x:v>
      </x:c>
      <x:c r="M1217" t="n">
        <x:v>1</x:v>
      </x:c>
      <x:c r="N1217" t="n">
        <x:v>12</x:v>
      </x:c>
      <x:c r="O1217" t="n">
        <x:v>9</x:v>
      </x:c>
      <x:c r="P1217" s="63" t="str">
        <x:f>IF(M1217=0,"—",M1217&amp;"d"&amp;N1217&amp;IF(O1217=0,""," + "&amp;O1217))</x:f>
        <x:v>1d12 + 9</x:v>
      </x:c>
      <x:c r="Q1217" t="n">
        <x:f>ROUND(INDEX(Catalogue!E$4:E$85,MATCH(A1217,Catalogue!A$4:A$85,0))*(1+'Paramètres'!$B$4*(C1217-1)+'Paramètres'!$B$5*(C1217-1)^2),0)</x:f>
        <x:v>10</x:v>
      </x:c>
      <x:c r="R1217" t="n">
        <x:f>ROUND(INDEX(Catalogue!F$4:F$85,MATCH(A1217,Catalogue!A$4:A$85,0))*(1+'Paramètres'!$B$4*(C1217-1)+'Paramètres'!$B$5*(C1217-1)^2),0)</x:f>
        <x:v>21</x:v>
      </x:c>
      <x:c r="S1217" t="n">
        <x:f>L1217-AVERAGE(Q1217:R1217)</x:f>
        <x:v>0</x:v>
      </x:c>
      <x:c r="T1217" t="str">
        <x:f>IF(M1217=0,IF(AND(N1217=0,O1217=0,E1217=0,F1217=0),"OK","ERREUR"),IF(AND(M1217&gt;=1,M1217&lt;=32,OR(N1217=4,N1217=6,N1217=8,N1217=10,N1217=12,N1217=20),O1217&gt;=0,E1217=M1217+O1217,F1217=M1217*N1217+O1217),"OK","ERREUR"))</x:f>
        <x:v>OK</x:v>
      </x:c>
      <x:c r="U1217" s="86" t="n">
        <x:f>IF(M1217&gt;0,M1217*(N1217+1)/2+O1217,0)</x:f>
        <x:v>15.5</x:v>
      </x:c>
      <x:c r="V1217" t="str">
        <x:f>IF(ABS(L1217-U1217)&lt;0.001,"OK","ERREUR")</x:f>
        <x:v>OK</x:v>
      </x:c>
    </x:row>
    <x:row r="1218" ht="18" customHeight="1">
      <x:c r="A1218" t="str">
        <x:v>ARM061</x:v>
      </x:c>
      <x:c r="B1218" t="str">
        <x:v>Baguette arcanique</x:v>
      </x:c>
      <x:c r="C1218" t="n">
        <x:v>15</x:v>
      </x:c>
      <x:c r="D1218" t="str">
        <x:v>Focaliseurs</x:v>
      </x:c>
      <x:c r="E1218" s="28" t="n">
        <x:f>IF(M1218=0,0,M1218+O1218)</x:f>
        <x:v>11</x:v>
      </x:c>
      <x:c r="F1218" s="28" t="n">
        <x:f>IF(M1218=0,0,M1218*N1218+O1218)</x:f>
        <x:v>23</x:v>
      </x:c>
      <x:c r="G1218" s="28" t="n">
        <x:f>ROUND(Catalogue!G64*SQRT((1+'Paramètres'!$B$4*(C1218-1)+'Paramètres'!$B$5*(C1218-1)^2)),0)</x:f>
        <x:v>0</x:v>
      </x:c>
      <x:c r="H1218" s="28" t="n">
        <x:f>ROUND(Catalogue!H64*SQRT((1+'Paramètres'!$B$4*(C1218-1)+'Paramètres'!$B$5*(C1218-1)^2)),0)</x:f>
        <x:v>0</x:v>
      </x:c>
      <x:c r="I1218" s="28" t="n">
        <x:v>2</x:v>
      </x:c>
      <x:c r="J1218" s="28" t="n">
        <x:v>4</x:v>
      </x:c>
      <x:c r="K1218" s="30" t="n">
        <x:v>0.3</x:v>
      </x:c>
      <x:c r="L1218" s="54" t="n">
        <x:f>IF(M1218=0,0,(E1218+F1218)/2)</x:f>
        <x:v>17</x:v>
      </x:c>
      <x:c r="M1218" t="n">
        <x:v>4</x:v>
      </x:c>
      <x:c r="N1218" t="n">
        <x:v>4</x:v>
      </x:c>
      <x:c r="O1218" t="n">
        <x:v>7</x:v>
      </x:c>
      <x:c r="P1218" s="63" t="str">
        <x:f>IF(M1218=0,"—",M1218&amp;"d"&amp;N1218&amp;IF(O1218=0,""," + "&amp;O1218))</x:f>
        <x:v>4d4 + 7</x:v>
      </x:c>
      <x:c r="Q1218" t="n">
        <x:f>ROUND(INDEX(Catalogue!E$4:E$85,MATCH(A1218,Catalogue!A$4:A$85,0))*(1+'Paramètres'!$B$4*(C1218-1)+'Paramètres'!$B$5*(C1218-1)^2),0)</x:f>
        <x:v>11</x:v>
      </x:c>
      <x:c r="R1218" t="n">
        <x:f>ROUND(INDEX(Catalogue!F$4:F$85,MATCH(A1218,Catalogue!A$4:A$85,0))*(1+'Paramètres'!$B$4*(C1218-1)+'Paramètres'!$B$5*(C1218-1)^2),0)</x:f>
        <x:v>23</x:v>
      </x:c>
      <x:c r="S1218" t="n">
        <x:f>L1218-AVERAGE(Q1218:R1218)</x:f>
        <x:v>0</x:v>
      </x:c>
      <x:c r="T1218" t="str">
        <x:f>IF(M1218=0,IF(AND(N1218=0,O1218=0,E1218=0,F1218=0),"OK","ERREUR"),IF(AND(M1218&gt;=1,M1218&lt;=32,OR(N1218=4,N1218=6,N1218=8,N1218=10,N1218=12,N1218=20),O1218&gt;=0,E1218=M1218+O1218,F1218=M1218*N1218+O1218),"OK","ERREUR"))</x:f>
        <x:v>OK</x:v>
      </x:c>
      <x:c r="U1218" s="86" t="n">
        <x:f>IF(M1218&gt;0,M1218*(N1218+1)/2+O1218,0)</x:f>
        <x:v>17</x:v>
      </x:c>
      <x:c r="V1218" t="str">
        <x:f>IF(ABS(L1218-U1218)&lt;0.001,"OK","ERREUR")</x:f>
        <x:v>OK</x:v>
      </x:c>
    </x:row>
    <x:row r="1219" ht="18" customHeight="1">
      <x:c r="A1219" t="str">
        <x:v>ARM061</x:v>
      </x:c>
      <x:c r="B1219" t="str">
        <x:v>Baguette arcanique</x:v>
      </x:c>
      <x:c r="C1219" t="n">
        <x:v>16</x:v>
      </x:c>
      <x:c r="D1219" t="str">
        <x:v>Focaliseurs</x:v>
      </x:c>
      <x:c r="E1219" s="28" t="n">
        <x:f>IF(M1219=0,0,M1219+O1219)</x:f>
        <x:v>13</x:v>
      </x:c>
      <x:c r="F1219" s="28" t="n">
        <x:f>IF(M1219=0,0,M1219*N1219+O1219)</x:f>
        <x:v>25</x:v>
      </x:c>
      <x:c r="G1219" s="28" t="n">
        <x:f>ROUND(Catalogue!G64*SQRT((1+'Paramètres'!$B$4*(C1219-1)+'Paramètres'!$B$5*(C1219-1)^2)),0)</x:f>
        <x:v>0</x:v>
      </x:c>
      <x:c r="H1219" s="28" t="n">
        <x:f>ROUND(Catalogue!H64*SQRT((1+'Paramètres'!$B$4*(C1219-1)+'Paramètres'!$B$5*(C1219-1)^2)),0)</x:f>
        <x:v>0</x:v>
      </x:c>
      <x:c r="I1219" s="28" t="n">
        <x:v>2</x:v>
      </x:c>
      <x:c r="J1219" s="28" t="n">
        <x:v>4</x:v>
      </x:c>
      <x:c r="K1219" s="30" t="n">
        <x:v>0.3</x:v>
      </x:c>
      <x:c r="L1219" s="54" t="n">
        <x:f>IF(M1219=0,0,(E1219+F1219)/2)</x:f>
        <x:v>19</x:v>
      </x:c>
      <x:c r="M1219" t="n">
        <x:v>4</x:v>
      </x:c>
      <x:c r="N1219" t="n">
        <x:v>4</x:v>
      </x:c>
      <x:c r="O1219" t="n">
        <x:v>9</x:v>
      </x:c>
      <x:c r="P1219" s="63" t="str">
        <x:f>IF(M1219=0,"—",M1219&amp;"d"&amp;N1219&amp;IF(O1219=0,""," + "&amp;O1219))</x:f>
        <x:v>4d4 + 9</x:v>
      </x:c>
      <x:c r="Q1219" t="n">
        <x:f>ROUND(INDEX(Catalogue!E$4:E$85,MATCH(A1219,Catalogue!A$4:A$85,0))*(1+'Paramètres'!$B$4*(C1219-1)+'Paramètres'!$B$5*(C1219-1)^2),0)</x:f>
        <x:v>13</x:v>
      </x:c>
      <x:c r="R1219" t="n">
        <x:f>ROUND(INDEX(Catalogue!F$4:F$85,MATCH(A1219,Catalogue!A$4:A$85,0))*(1+'Paramètres'!$B$4*(C1219-1)+'Paramètres'!$B$5*(C1219-1)^2),0)</x:f>
        <x:v>25</x:v>
      </x:c>
      <x:c r="S1219" t="n">
        <x:f>L1219-AVERAGE(Q1219:R1219)</x:f>
        <x:v>0</x:v>
      </x:c>
      <x:c r="T1219" t="str">
        <x:f>IF(M1219=0,IF(AND(N1219=0,O1219=0,E1219=0,F1219=0),"OK","ERREUR"),IF(AND(M1219&gt;=1,M1219&lt;=32,OR(N1219=4,N1219=6,N1219=8,N1219=10,N1219=12,N1219=20),O1219&gt;=0,E1219=M1219+O1219,F1219=M1219*N1219+O1219),"OK","ERREUR"))</x:f>
        <x:v>OK</x:v>
      </x:c>
      <x:c r="U1219" s="86" t="n">
        <x:f>IF(M1219&gt;0,M1219*(N1219+1)/2+O1219,0)</x:f>
        <x:v>19</x:v>
      </x:c>
      <x:c r="V1219" t="str">
        <x:f>IF(ABS(L1219-U1219)&lt;0.001,"OK","ERREUR")</x:f>
        <x:v>OK</x:v>
      </x:c>
    </x:row>
    <x:row r="1220" ht="18" customHeight="1">
      <x:c r="A1220" t="str">
        <x:v>ARM061</x:v>
      </x:c>
      <x:c r="B1220" t="str">
        <x:v>Baguette arcanique</x:v>
      </x:c>
      <x:c r="C1220" t="n">
        <x:v>17</x:v>
      </x:c>
      <x:c r="D1220" t="str">
        <x:v>Focaliseurs</x:v>
      </x:c>
      <x:c r="E1220" s="28" t="n">
        <x:f>IF(M1220=0,0,M1220+O1220)</x:f>
        <x:v>13</x:v>
      </x:c>
      <x:c r="F1220" s="28" t="n">
        <x:f>IF(M1220=0,0,M1220*N1220+O1220)</x:f>
        <x:v>27</x:v>
      </x:c>
      <x:c r="G1220" s="28" t="n">
        <x:f>ROUND(Catalogue!G64*SQRT((1+'Paramètres'!$B$4*(C1220-1)+'Paramètres'!$B$5*(C1220-1)^2)),0)</x:f>
        <x:v>0</x:v>
      </x:c>
      <x:c r="H1220" s="28" t="n">
        <x:f>ROUND(Catalogue!H64*SQRT((1+'Paramètres'!$B$4*(C1220-1)+'Paramètres'!$B$5*(C1220-1)^2)),0)</x:f>
        <x:v>0</x:v>
      </x:c>
      <x:c r="I1220" s="28" t="n">
        <x:v>2</x:v>
      </x:c>
      <x:c r="J1220" s="28" t="n">
        <x:v>4</x:v>
      </x:c>
      <x:c r="K1220" s="30" t="n">
        <x:v>0.3</x:v>
      </x:c>
      <x:c r="L1220" s="54" t="n">
        <x:f>IF(M1220=0,0,(E1220+F1220)/2)</x:f>
        <x:v>20</x:v>
      </x:c>
      <x:c r="M1220" t="n">
        <x:v>2</x:v>
      </x:c>
      <x:c r="N1220" t="n">
        <x:v>8</x:v>
      </x:c>
      <x:c r="O1220" t="n">
        <x:v>11</x:v>
      </x:c>
      <x:c r="P1220" s="63" t="str">
        <x:f>IF(M1220=0,"—",M1220&amp;"d"&amp;N1220&amp;IF(O1220=0,""," + "&amp;O1220))</x:f>
        <x:v>2d8 + 11</x:v>
      </x:c>
      <x:c r="Q1220" t="n">
        <x:f>ROUND(INDEX(Catalogue!E$4:E$85,MATCH(A1220,Catalogue!A$4:A$85,0))*(1+'Paramètres'!$B$4*(C1220-1)+'Paramètres'!$B$5*(C1220-1)^2),0)</x:f>
        <x:v>14</x:v>
      </x:c>
      <x:c r="R1220" t="n">
        <x:f>ROUND(INDEX(Catalogue!F$4:F$85,MATCH(A1220,Catalogue!A$4:A$85,0))*(1+'Paramètres'!$B$4*(C1220-1)+'Paramètres'!$B$5*(C1220-1)^2),0)</x:f>
        <x:v>27</x:v>
      </x:c>
      <x:c r="S1220" t="n">
        <x:f>L1220-AVERAGE(Q1220:R1220)</x:f>
        <x:v>-0.5</x:v>
      </x:c>
      <x:c r="T1220" t="str">
        <x:f>IF(M1220=0,IF(AND(N1220=0,O1220=0,E1220=0,F1220=0),"OK","ERREUR"),IF(AND(M1220&gt;=1,M1220&lt;=32,OR(N1220=4,N1220=6,N1220=8,N1220=10,N1220=12,N1220=20),O1220&gt;=0,E1220=M1220+O1220,F1220=M1220*N1220+O1220),"OK","ERREUR"))</x:f>
        <x:v>OK</x:v>
      </x:c>
      <x:c r="U1220" s="86" t="n">
        <x:f>IF(M1220&gt;0,M1220*(N1220+1)/2+O1220,0)</x:f>
        <x:v>20</x:v>
      </x:c>
      <x:c r="V1220" t="str">
        <x:f>IF(ABS(L1220-U1220)&lt;0.001,"OK","ERREUR")</x:f>
        <x:v>OK</x:v>
      </x:c>
    </x:row>
    <x:row r="1221" ht="18" customHeight="1">
      <x:c r="A1221" t="str">
        <x:v>ARM061</x:v>
      </x:c>
      <x:c r="B1221" t="str">
        <x:v>Baguette arcanique</x:v>
      </x:c>
      <x:c r="C1221" t="n">
        <x:v>18</x:v>
      </x:c>
      <x:c r="D1221" t="str">
        <x:v>Focaliseurs</x:v>
      </x:c>
      <x:c r="E1221" s="28" t="n">
        <x:f>IF(M1221=0,0,M1221+O1221)</x:f>
        <x:v>15</x:v>
      </x:c>
      <x:c r="F1221" s="28" t="n">
        <x:f>IF(M1221=0,0,M1221*N1221+O1221)</x:f>
        <x:v>30</x:v>
      </x:c>
      <x:c r="G1221" s="28" t="n">
        <x:f>ROUND(Catalogue!G64*SQRT((1+'Paramètres'!$B$4*(C1221-1)+'Paramètres'!$B$5*(C1221-1)^2)),0)</x:f>
        <x:v>0</x:v>
      </x:c>
      <x:c r="H1221" s="28" t="n">
        <x:f>ROUND(Catalogue!H64*SQRT((1+'Paramètres'!$B$4*(C1221-1)+'Paramètres'!$B$5*(C1221-1)^2)),0)</x:f>
        <x:v>0</x:v>
      </x:c>
      <x:c r="I1221" s="28" t="n">
        <x:v>2</x:v>
      </x:c>
      <x:c r="J1221" s="28" t="n">
        <x:v>4</x:v>
      </x:c>
      <x:c r="K1221" s="30" t="n">
        <x:v>0.3</x:v>
      </x:c>
      <x:c r="L1221" s="54" t="n">
        <x:f>IF(M1221=0,0,(E1221+F1221)/2)</x:f>
        <x:v>22.5</x:v>
      </x:c>
      <x:c r="M1221" t="n">
        <x:v>3</x:v>
      </x:c>
      <x:c r="N1221" t="n">
        <x:v>6</x:v>
      </x:c>
      <x:c r="O1221" t="n">
        <x:v>12</x:v>
      </x:c>
      <x:c r="P1221" s="63" t="str">
        <x:f>IF(M1221=0,"—",M1221&amp;"d"&amp;N1221&amp;IF(O1221=0,""," + "&amp;O1221))</x:f>
        <x:v>3d6 + 12</x:v>
      </x:c>
      <x:c r="Q1221" t="n">
        <x:f>ROUND(INDEX(Catalogue!E$4:E$85,MATCH(A1221,Catalogue!A$4:A$85,0))*(1+'Paramètres'!$B$4*(C1221-1)+'Paramètres'!$B$5*(C1221-1)^2),0)</x:f>
        <x:v>15</x:v>
      </x:c>
      <x:c r="R1221" t="n">
        <x:f>ROUND(INDEX(Catalogue!F$4:F$85,MATCH(A1221,Catalogue!A$4:A$85,0))*(1+'Paramètres'!$B$4*(C1221-1)+'Paramètres'!$B$5*(C1221-1)^2),0)</x:f>
        <x:v>30</x:v>
      </x:c>
      <x:c r="S1221" t="n">
        <x:f>L1221-AVERAGE(Q1221:R1221)</x:f>
        <x:v>0</x:v>
      </x:c>
      <x:c r="T1221" t="str">
        <x:f>IF(M1221=0,IF(AND(N1221=0,O1221=0,E1221=0,F1221=0),"OK","ERREUR"),IF(AND(M1221&gt;=1,M1221&lt;=32,OR(N1221=4,N1221=6,N1221=8,N1221=10,N1221=12,N1221=20),O1221&gt;=0,E1221=M1221+O1221,F1221=M1221*N1221+O1221),"OK","ERREUR"))</x:f>
        <x:v>OK</x:v>
      </x:c>
      <x:c r="U1221" s="86" t="n">
        <x:f>IF(M1221&gt;0,M1221*(N1221+1)/2+O1221,0)</x:f>
        <x:v>22.5</x:v>
      </x:c>
      <x:c r="V1221" t="str">
        <x:f>IF(ABS(L1221-U1221)&lt;0.001,"OK","ERREUR")</x:f>
        <x:v>OK</x:v>
      </x:c>
    </x:row>
    <x:row r="1222" ht="18" customHeight="1">
      <x:c r="A1222" t="str">
        <x:v>ARM061</x:v>
      </x:c>
      <x:c r="B1222" t="str">
        <x:v>Baguette arcanique</x:v>
      </x:c>
      <x:c r="C1222" t="n">
        <x:v>19</x:v>
      </x:c>
      <x:c r="D1222" t="str">
        <x:v>Focaliseurs</x:v>
      </x:c>
      <x:c r="E1222" s="28" t="n">
        <x:f>IF(M1222=0,0,M1222+O1222)</x:f>
        <x:v>15</x:v>
      </x:c>
      <x:c r="F1222" s="28" t="n">
        <x:f>IF(M1222=0,0,M1222*N1222+O1222)</x:f>
        <x:v>33</x:v>
      </x:c>
      <x:c r="G1222" s="28" t="n">
        <x:f>ROUND(Catalogue!G64*SQRT((1+'Paramètres'!$B$4*(C1222-1)+'Paramètres'!$B$5*(C1222-1)^2)),0)</x:f>
        <x:v>0</x:v>
      </x:c>
      <x:c r="H1222" s="28" t="n">
        <x:f>ROUND(Catalogue!H64*SQRT((1+'Paramètres'!$B$4*(C1222-1)+'Paramètres'!$B$5*(C1222-1)^2)),0)</x:f>
        <x:v>0</x:v>
      </x:c>
      <x:c r="I1222" s="28" t="n">
        <x:v>2</x:v>
      </x:c>
      <x:c r="J1222" s="28" t="n">
        <x:v>4</x:v>
      </x:c>
      <x:c r="K1222" s="30" t="n">
        <x:v>0.3</x:v>
      </x:c>
      <x:c r="L1222" s="54" t="n">
        <x:f>IF(M1222=0,0,(E1222+F1222)/2)</x:f>
        <x:v>24</x:v>
      </x:c>
      <x:c r="M1222" t="n">
        <x:v>2</x:v>
      </x:c>
      <x:c r="N1222" t="n">
        <x:v>10</x:v>
      </x:c>
      <x:c r="O1222" t="n">
        <x:v>13</x:v>
      </x:c>
      <x:c r="P1222" s="63" t="str">
        <x:f>IF(M1222=0,"—",M1222&amp;"d"&amp;N1222&amp;IF(O1222=0,""," + "&amp;O1222))</x:f>
        <x:v>2d10 + 13</x:v>
      </x:c>
      <x:c r="Q1222" t="n">
        <x:f>ROUND(INDEX(Catalogue!E$4:E$85,MATCH(A1222,Catalogue!A$4:A$85,0))*(1+'Paramètres'!$B$4*(C1222-1)+'Paramètres'!$B$5*(C1222-1)^2),0)</x:f>
        <x:v>16</x:v>
      </x:c>
      <x:c r="R1222" t="n">
        <x:f>ROUND(INDEX(Catalogue!F$4:F$85,MATCH(A1222,Catalogue!A$4:A$85,0))*(1+'Paramètres'!$B$4*(C1222-1)+'Paramètres'!$B$5*(C1222-1)^2),0)</x:f>
        <x:v>33</x:v>
      </x:c>
      <x:c r="S1222" t="n">
        <x:f>L1222-AVERAGE(Q1222:R1222)</x:f>
        <x:v>-0.5</x:v>
      </x:c>
      <x:c r="T1222" t="str">
        <x:f>IF(M1222=0,IF(AND(N1222=0,O1222=0,E1222=0,F1222=0),"OK","ERREUR"),IF(AND(M1222&gt;=1,M1222&lt;=32,OR(N1222=4,N1222=6,N1222=8,N1222=10,N1222=12,N1222=20),O1222&gt;=0,E1222=M1222+O1222,F1222=M1222*N1222+O1222),"OK","ERREUR"))</x:f>
        <x:v>OK</x:v>
      </x:c>
      <x:c r="U1222" s="86" t="n">
        <x:f>IF(M1222&gt;0,M1222*(N1222+1)/2+O1222,0)</x:f>
        <x:v>24</x:v>
      </x:c>
      <x:c r="V1222" t="str">
        <x:f>IF(ABS(L1222-U1222)&lt;0.001,"OK","ERREUR")</x:f>
        <x:v>OK</x:v>
      </x:c>
    </x:row>
    <x:row r="1223" ht="18" customHeight="1">
      <x:c r="A1223" t="str">
        <x:v>ARM061</x:v>
      </x:c>
      <x:c r="B1223" t="str">
        <x:v>Baguette arcanique</x:v>
      </x:c>
      <x:c r="C1223" t="n">
        <x:v>20</x:v>
      </x:c>
      <x:c r="D1223" t="str">
        <x:v>Focaliseurs</x:v>
      </x:c>
      <x:c r="E1223" s="28" t="n">
        <x:f>IF(M1223=0,0,M1223+O1223)</x:f>
        <x:v>18</x:v>
      </x:c>
      <x:c r="F1223" s="28" t="n">
        <x:f>IF(M1223=0,0,M1223*N1223+O1223)</x:f>
        <x:v>36</x:v>
      </x:c>
      <x:c r="G1223" s="28" t="n">
        <x:f>ROUND(Catalogue!G64*SQRT((1+'Paramètres'!$B$4*(C1223-1)+'Paramètres'!$B$5*(C1223-1)^2)),0)</x:f>
        <x:v>0</x:v>
      </x:c>
      <x:c r="H1223" s="28" t="n">
        <x:f>ROUND(Catalogue!H64*SQRT((1+'Paramètres'!$B$4*(C1223-1)+'Paramètres'!$B$5*(C1223-1)^2)),0)</x:f>
        <x:v>0</x:v>
      </x:c>
      <x:c r="I1223" s="28" t="n">
        <x:v>2</x:v>
      </x:c>
      <x:c r="J1223" s="28" t="n">
        <x:v>4</x:v>
      </x:c>
      <x:c r="K1223" s="30" t="n">
        <x:v>0.3</x:v>
      </x:c>
      <x:c r="L1223" s="54" t="n">
        <x:f>IF(M1223=0,0,(E1223+F1223)/2)</x:f>
        <x:v>27</x:v>
      </x:c>
      <x:c r="M1223" t="n">
        <x:v>2</x:v>
      </x:c>
      <x:c r="N1223" t="n">
        <x:v>10</x:v>
      </x:c>
      <x:c r="O1223" t="n">
        <x:v>16</x:v>
      </x:c>
      <x:c r="P1223" s="63" t="str">
        <x:f>IF(M1223=0,"—",M1223&amp;"d"&amp;N1223&amp;IF(O1223=0,""," + "&amp;O1223))</x:f>
        <x:v>2d10 + 16</x:v>
      </x:c>
      <x:c r="Q1223" t="n">
        <x:f>ROUND(INDEX(Catalogue!E$4:E$85,MATCH(A1223,Catalogue!A$4:A$85,0))*(1+'Paramètres'!$B$4*(C1223-1)+'Paramètres'!$B$5*(C1223-1)^2),0)</x:f>
        <x:v>18</x:v>
      </x:c>
      <x:c r="R1223" t="n">
        <x:f>ROUND(INDEX(Catalogue!F$4:F$85,MATCH(A1223,Catalogue!A$4:A$85,0))*(1+'Paramètres'!$B$4*(C1223-1)+'Paramètres'!$B$5*(C1223-1)^2),0)</x:f>
        <x:v>35</x:v>
      </x:c>
      <x:c r="S1223" t="n">
        <x:f>L1223-AVERAGE(Q1223:R1223)</x:f>
        <x:v>0.5</x:v>
      </x:c>
      <x:c r="T1223" t="str">
        <x:f>IF(M1223=0,IF(AND(N1223=0,O1223=0,E1223=0,F1223=0),"OK","ERREUR"),IF(AND(M1223&gt;=1,M1223&lt;=32,OR(N1223=4,N1223=6,N1223=8,N1223=10,N1223=12,N1223=20),O1223&gt;=0,E1223=M1223+O1223,F1223=M1223*N1223+O1223),"OK","ERREUR"))</x:f>
        <x:v>OK</x:v>
      </x:c>
      <x:c r="U1223" s="86" t="n">
        <x:f>IF(M1223&gt;0,M1223*(N1223+1)/2+O1223,0)</x:f>
        <x:v>27</x:v>
      </x:c>
      <x:c r="V1223" t="str">
        <x:f>IF(ABS(L1223-U1223)&lt;0.001,"OK","ERREUR")</x:f>
        <x:v>OK</x:v>
      </x:c>
    </x:row>
    <x:row r="1224" ht="18" customHeight="1">
      <x:c r="A1224" t="str">
        <x:v>ARM062</x:v>
      </x:c>
      <x:c r="B1224" t="str">
        <x:v>Baguette de feu</x:v>
      </x:c>
      <x:c r="C1224" t="n">
        <x:v>1</x:v>
      </x:c>
      <x:c r="D1224" t="str">
        <x:v>Focaliseurs</x:v>
      </x:c>
      <x:c r="E1224" s="28" t="n">
        <x:f>IF(M1224=0,0,M1224+O1224)</x:f>
        <x:v>2</x:v>
      </x:c>
      <x:c r="F1224" s="28" t="n">
        <x:f>IF(M1224=0,0,M1224*N1224+O1224)</x:f>
        <x:v>5</x:v>
      </x:c>
      <x:c r="G1224" s="28" t="n">
        <x:f>ROUND(Catalogue!G65*SQRT((1+'Paramètres'!$B$4*(C1224-1)+'Paramètres'!$B$5*(C1224-1)^2)),0)</x:f>
        <x:v>0</x:v>
      </x:c>
      <x:c r="H1224" s="28" t="n">
        <x:f>ROUND(Catalogue!H65*SQRT((1+'Paramètres'!$B$4*(C1224-1)+'Paramètres'!$B$5*(C1224-1)^2)),0)</x:f>
        <x:v>0</x:v>
      </x:c>
      <x:c r="I1224" s="28" t="n">
        <x:v>2</x:v>
      </x:c>
      <x:c r="J1224" s="28" t="n">
        <x:v>4</x:v>
      </x:c>
      <x:c r="K1224" s="30" t="n">
        <x:v>0.3</x:v>
      </x:c>
      <x:c r="L1224" s="54" t="n">
        <x:f>IF(M1224=0,0,(E1224+F1224)/2)</x:f>
        <x:v>3.5</x:v>
      </x:c>
      <x:c r="M1224" t="n">
        <x:v>1</x:v>
      </x:c>
      <x:c r="N1224" t="n">
        <x:v>4</x:v>
      </x:c>
      <x:c r="O1224" t="n">
        <x:v>1</x:v>
      </x:c>
      <x:c r="P1224" s="63" t="str">
        <x:f>IF(M1224=0,"—",M1224&amp;"d"&amp;N1224&amp;IF(O1224=0,""," + "&amp;O1224))</x:f>
        <x:v>1d4 + 1</x:v>
      </x:c>
      <x:c r="Q1224" t="n">
        <x:f>ROUND(INDEX(Catalogue!E$4:E$85,MATCH(A1224,Catalogue!A$4:A$85,0))*(1+'Paramètres'!$B$4*(C1224-1)+'Paramètres'!$B$5*(C1224-1)^2),0)</x:f>
        <x:v>2</x:v>
      </x:c>
      <x:c r="R1224" t="n">
        <x:f>ROUND(INDEX(Catalogue!F$4:F$85,MATCH(A1224,Catalogue!A$4:A$85,0))*(1+'Paramètres'!$B$4*(C1224-1)+'Paramètres'!$B$5*(C1224-1)^2),0)</x:f>
        <x:v>5</x:v>
      </x:c>
      <x:c r="S1224" t="n">
        <x:f>L1224-AVERAGE(Q1224:R1224)</x:f>
        <x:v>0</x:v>
      </x:c>
      <x:c r="T1224" t="str">
        <x:f>IF(M1224=0,IF(AND(N1224=0,O1224=0,E1224=0,F1224=0),"OK","ERREUR"),IF(AND(M1224&gt;=1,M1224&lt;=32,OR(N1224=4,N1224=6,N1224=8,N1224=10,N1224=12,N1224=20),O1224&gt;=0,E1224=M1224+O1224,F1224=M1224*N1224+O1224),"OK","ERREUR"))</x:f>
        <x:v>OK</x:v>
      </x:c>
      <x:c r="U1224" s="86" t="n">
        <x:f>IF(M1224&gt;0,M1224*(N1224+1)/2+O1224,0)</x:f>
        <x:v>3.5</x:v>
      </x:c>
      <x:c r="V1224" t="str">
        <x:f>IF(ABS(L1224-U1224)&lt;0.001,"OK","ERREUR")</x:f>
        <x:v>OK</x:v>
      </x:c>
    </x:row>
    <x:row r="1225" ht="18" customHeight="1">
      <x:c r="A1225" t="str">
        <x:v>ARM062</x:v>
      </x:c>
      <x:c r="B1225" t="str">
        <x:v>Baguette de feu</x:v>
      </x:c>
      <x:c r="C1225" t="n">
        <x:v>2</x:v>
      </x:c>
      <x:c r="D1225" t="str">
        <x:v>Focaliseurs</x:v>
      </x:c>
      <x:c r="E1225" s="28" t="n">
        <x:f>IF(M1225=0,0,M1225+O1225)</x:f>
        <x:v>2</x:v>
      </x:c>
      <x:c r="F1225" s="28" t="n">
        <x:f>IF(M1225=0,0,M1225*N1225+O1225)</x:f>
        <x:v>5</x:v>
      </x:c>
      <x:c r="G1225" s="28" t="n">
        <x:f>ROUND(Catalogue!G65*SQRT((1+'Paramètres'!$B$4*(C1225-1)+'Paramètres'!$B$5*(C1225-1)^2)),0)</x:f>
        <x:v>0</x:v>
      </x:c>
      <x:c r="H1225" s="28" t="n">
        <x:f>ROUND(Catalogue!H65*SQRT((1+'Paramètres'!$B$4*(C1225-1)+'Paramètres'!$B$5*(C1225-1)^2)),0)</x:f>
        <x:v>0</x:v>
      </x:c>
      <x:c r="I1225" s="28" t="n">
        <x:v>2</x:v>
      </x:c>
      <x:c r="J1225" s="28" t="n">
        <x:v>4</x:v>
      </x:c>
      <x:c r="K1225" s="30" t="n">
        <x:v>0.3</x:v>
      </x:c>
      <x:c r="L1225" s="54" t="n">
        <x:f>IF(M1225=0,0,(E1225+F1225)/2)</x:f>
        <x:v>3.5</x:v>
      </x:c>
      <x:c r="M1225" t="n">
        <x:v>1</x:v>
      </x:c>
      <x:c r="N1225" t="n">
        <x:v>4</x:v>
      </x:c>
      <x:c r="O1225" t="n">
        <x:v>1</x:v>
      </x:c>
      <x:c r="P1225" s="63" t="str">
        <x:f>IF(M1225=0,"—",M1225&amp;"d"&amp;N1225&amp;IF(O1225=0,""," + "&amp;O1225))</x:f>
        <x:v>1d4 + 1</x:v>
      </x:c>
      <x:c r="Q1225" t="n">
        <x:f>ROUND(INDEX(Catalogue!E$4:E$85,MATCH(A1225,Catalogue!A$4:A$85,0))*(1+'Paramètres'!$B$4*(C1225-1)+'Paramètres'!$B$5*(C1225-1)^2),0)</x:f>
        <x:v>2</x:v>
      </x:c>
      <x:c r="R1225" t="n">
        <x:f>ROUND(INDEX(Catalogue!F$4:F$85,MATCH(A1225,Catalogue!A$4:A$85,0))*(1+'Paramètres'!$B$4*(C1225-1)+'Paramètres'!$B$5*(C1225-1)^2),0)</x:f>
        <x:v>6</x:v>
      </x:c>
      <x:c r="S1225" t="n">
        <x:f>L1225-AVERAGE(Q1225:R1225)</x:f>
        <x:v>-0.5</x:v>
      </x:c>
      <x:c r="T1225" t="str">
        <x:f>IF(M1225=0,IF(AND(N1225=0,O1225=0,E1225=0,F1225=0),"OK","ERREUR"),IF(AND(M1225&gt;=1,M1225&lt;=32,OR(N1225=4,N1225=6,N1225=8,N1225=10,N1225=12,N1225=20),O1225&gt;=0,E1225=M1225+O1225,F1225=M1225*N1225+O1225),"OK","ERREUR"))</x:f>
        <x:v>OK</x:v>
      </x:c>
      <x:c r="U1225" s="86" t="n">
        <x:f>IF(M1225&gt;0,M1225*(N1225+1)/2+O1225,0)</x:f>
        <x:v>3.5</x:v>
      </x:c>
      <x:c r="V1225" t="str">
        <x:f>IF(ABS(L1225-U1225)&lt;0.001,"OK","ERREUR")</x:f>
        <x:v>OK</x:v>
      </x:c>
    </x:row>
    <x:row r="1226" ht="18" customHeight="1">
      <x:c r="A1226" t="str">
        <x:v>ARM062</x:v>
      </x:c>
      <x:c r="B1226" t="str">
        <x:v>Baguette de feu</x:v>
      </x:c>
      <x:c r="C1226" t="n">
        <x:v>3</x:v>
      </x:c>
      <x:c r="D1226" t="str">
        <x:v>Focaliseurs</x:v>
      </x:c>
      <x:c r="E1226" s="28" t="n">
        <x:f>IF(M1226=0,0,M1226+O1226)</x:f>
        <x:v>3</x:v>
      </x:c>
      <x:c r="F1226" s="28" t="n">
        <x:f>IF(M1226=0,0,M1226*N1226+O1226)</x:f>
        <x:v>6</x:v>
      </x:c>
      <x:c r="G1226" s="28" t="n">
        <x:f>ROUND(Catalogue!G65*SQRT((1+'Paramètres'!$B$4*(C1226-1)+'Paramètres'!$B$5*(C1226-1)^2)),0)</x:f>
        <x:v>0</x:v>
      </x:c>
      <x:c r="H1226" s="28" t="n">
        <x:f>ROUND(Catalogue!H65*SQRT((1+'Paramètres'!$B$4*(C1226-1)+'Paramètres'!$B$5*(C1226-1)^2)),0)</x:f>
        <x:v>0</x:v>
      </x:c>
      <x:c r="I1226" s="28" t="n">
        <x:v>2</x:v>
      </x:c>
      <x:c r="J1226" s="28" t="n">
        <x:v>4</x:v>
      </x:c>
      <x:c r="K1226" s="30" t="n">
        <x:v>0.3</x:v>
      </x:c>
      <x:c r="L1226" s="54" t="n">
        <x:f>IF(M1226=0,0,(E1226+F1226)/2)</x:f>
        <x:v>4.5</x:v>
      </x:c>
      <x:c r="M1226" t="n">
        <x:v>1</x:v>
      </x:c>
      <x:c r="N1226" t="n">
        <x:v>4</x:v>
      </x:c>
      <x:c r="O1226" t="n">
        <x:v>2</x:v>
      </x:c>
      <x:c r="P1226" s="63" t="str">
        <x:f>IF(M1226=0,"—",M1226&amp;"d"&amp;N1226&amp;IF(O1226=0,""," + "&amp;O1226))</x:f>
        <x:v>1d4 + 2</x:v>
      </x:c>
      <x:c r="Q1226" t="n">
        <x:f>ROUND(INDEX(Catalogue!E$4:E$85,MATCH(A1226,Catalogue!A$4:A$85,0))*(1+'Paramètres'!$B$4*(C1226-1)+'Paramètres'!$B$5*(C1226-1)^2),0)</x:f>
        <x:v>3</x:v>
      </x:c>
      <x:c r="R1226" t="n">
        <x:f>ROUND(INDEX(Catalogue!F$4:F$85,MATCH(A1226,Catalogue!A$4:A$85,0))*(1+'Paramètres'!$B$4*(C1226-1)+'Paramètres'!$B$5*(C1226-1)^2),0)</x:f>
        <x:v>6</x:v>
      </x:c>
      <x:c r="S1226" t="n">
        <x:f>L1226-AVERAGE(Q1226:R1226)</x:f>
        <x:v>0</x:v>
      </x:c>
      <x:c r="T1226" t="str">
        <x:f>IF(M1226=0,IF(AND(N1226=0,O1226=0,E1226=0,F1226=0),"OK","ERREUR"),IF(AND(M1226&gt;=1,M1226&lt;=32,OR(N1226=4,N1226=6,N1226=8,N1226=10,N1226=12,N1226=20),O1226&gt;=0,E1226=M1226+O1226,F1226=M1226*N1226+O1226),"OK","ERREUR"))</x:f>
        <x:v>OK</x:v>
      </x:c>
      <x:c r="U1226" s="86" t="n">
        <x:f>IF(M1226&gt;0,M1226*(N1226+1)/2+O1226,0)</x:f>
        <x:v>4.5</x:v>
      </x:c>
      <x:c r="V1226" t="str">
        <x:f>IF(ABS(L1226-U1226)&lt;0.001,"OK","ERREUR")</x:f>
        <x:v>OK</x:v>
      </x:c>
    </x:row>
    <x:row r="1227" ht="18" customHeight="1">
      <x:c r="A1227" t="str">
        <x:v>ARM062</x:v>
      </x:c>
      <x:c r="B1227" t="str">
        <x:v>Baguette de feu</x:v>
      </x:c>
      <x:c r="C1227" t="n">
        <x:v>4</x:v>
      </x:c>
      <x:c r="D1227" t="str">
        <x:v>Focaliseurs</x:v>
      </x:c>
      <x:c r="E1227" s="28" t="n">
        <x:f>IF(M1227=0,0,M1227+O1227)</x:f>
        <x:v>3</x:v>
      </x:c>
      <x:c r="F1227" s="28" t="n">
        <x:f>IF(M1227=0,0,M1227*N1227+O1227)</x:f>
        <x:v>6</x:v>
      </x:c>
      <x:c r="G1227" s="28" t="n">
        <x:f>ROUND(Catalogue!G65*SQRT((1+'Paramètres'!$B$4*(C1227-1)+'Paramètres'!$B$5*(C1227-1)^2)),0)</x:f>
        <x:v>0</x:v>
      </x:c>
      <x:c r="H1227" s="28" t="n">
        <x:f>ROUND(Catalogue!H65*SQRT((1+'Paramètres'!$B$4*(C1227-1)+'Paramètres'!$B$5*(C1227-1)^2)),0)</x:f>
        <x:v>0</x:v>
      </x:c>
      <x:c r="I1227" s="28" t="n">
        <x:v>2</x:v>
      </x:c>
      <x:c r="J1227" s="28" t="n">
        <x:v>4</x:v>
      </x:c>
      <x:c r="K1227" s="30" t="n">
        <x:v>0.3</x:v>
      </x:c>
      <x:c r="L1227" s="54" t="n">
        <x:f>IF(M1227=0,0,(E1227+F1227)/2)</x:f>
        <x:v>4.5</x:v>
      </x:c>
      <x:c r="M1227" t="n">
        <x:v>1</x:v>
      </x:c>
      <x:c r="N1227" t="n">
        <x:v>4</x:v>
      </x:c>
      <x:c r="O1227" t="n">
        <x:v>2</x:v>
      </x:c>
      <x:c r="P1227" s="63" t="str">
        <x:f>IF(M1227=0,"—",M1227&amp;"d"&amp;N1227&amp;IF(O1227=0,""," + "&amp;O1227))</x:f>
        <x:v>1d4 + 2</x:v>
      </x:c>
      <x:c r="Q1227" t="n">
        <x:f>ROUND(INDEX(Catalogue!E$4:E$85,MATCH(A1227,Catalogue!A$4:A$85,0))*(1+'Paramètres'!$B$4*(C1227-1)+'Paramètres'!$B$5*(C1227-1)^2),0)</x:f>
        <x:v>3</x:v>
      </x:c>
      <x:c r="R1227" t="n">
        <x:f>ROUND(INDEX(Catalogue!F$4:F$85,MATCH(A1227,Catalogue!A$4:A$85,0))*(1+'Paramètres'!$B$4*(C1227-1)+'Paramètres'!$B$5*(C1227-1)^2),0)</x:f>
        <x:v>7</x:v>
      </x:c>
      <x:c r="S1227" t="n">
        <x:f>L1227-AVERAGE(Q1227:R1227)</x:f>
        <x:v>-0.5</x:v>
      </x:c>
      <x:c r="T1227" t="str">
        <x:f>IF(M1227=0,IF(AND(N1227=0,O1227=0,E1227=0,F1227=0),"OK","ERREUR"),IF(AND(M1227&gt;=1,M1227&lt;=32,OR(N1227=4,N1227=6,N1227=8,N1227=10,N1227=12,N1227=20),O1227&gt;=0,E1227=M1227+O1227,F1227=M1227*N1227+O1227),"OK","ERREUR"))</x:f>
        <x:v>OK</x:v>
      </x:c>
      <x:c r="U1227" s="86" t="n">
        <x:f>IF(M1227&gt;0,M1227*(N1227+1)/2+O1227,0)</x:f>
        <x:v>4.5</x:v>
      </x:c>
      <x:c r="V1227" t="str">
        <x:f>IF(ABS(L1227-U1227)&lt;0.001,"OK","ERREUR")</x:f>
        <x:v>OK</x:v>
      </x:c>
    </x:row>
    <x:row r="1228" ht="18" customHeight="1">
      <x:c r="A1228" t="str">
        <x:v>ARM062</x:v>
      </x:c>
      <x:c r="B1228" t="str">
        <x:v>Baguette de feu</x:v>
      </x:c>
      <x:c r="C1228" t="n">
        <x:v>5</x:v>
      </x:c>
      <x:c r="D1228" t="str">
        <x:v>Focaliseurs</x:v>
      </x:c>
      <x:c r="E1228" s="28" t="n">
        <x:f>IF(M1228=0,0,M1228+O1228)</x:f>
        <x:v>3</x:v>
      </x:c>
      <x:c r="F1228" s="28" t="n">
        <x:f>IF(M1228=0,0,M1228*N1228+O1228)</x:f>
        <x:v>8</x:v>
      </x:c>
      <x:c r="G1228" s="28" t="n">
        <x:f>ROUND(Catalogue!G65*SQRT((1+'Paramètres'!$B$4*(C1228-1)+'Paramètres'!$B$5*(C1228-1)^2)),0)</x:f>
        <x:v>0</x:v>
      </x:c>
      <x:c r="H1228" s="28" t="n">
        <x:f>ROUND(Catalogue!H65*SQRT((1+'Paramètres'!$B$4*(C1228-1)+'Paramètres'!$B$5*(C1228-1)^2)),0)</x:f>
        <x:v>0</x:v>
      </x:c>
      <x:c r="I1228" s="28" t="n">
        <x:v>2</x:v>
      </x:c>
      <x:c r="J1228" s="28" t="n">
        <x:v>4</x:v>
      </x:c>
      <x:c r="K1228" s="30" t="n">
        <x:v>0.3</x:v>
      </x:c>
      <x:c r="L1228" s="54" t="n">
        <x:f>IF(M1228=0,0,(E1228+F1228)/2)</x:f>
        <x:v>5.5</x:v>
      </x:c>
      <x:c r="M1228" t="n">
        <x:v>1</x:v>
      </x:c>
      <x:c r="N1228" t="n">
        <x:v>6</x:v>
      </x:c>
      <x:c r="O1228" t="n">
        <x:v>2</x:v>
      </x:c>
      <x:c r="P1228" s="63" t="str">
        <x:f>IF(M1228=0,"—",M1228&amp;"d"&amp;N1228&amp;IF(O1228=0,""," + "&amp;O1228))</x:f>
        <x:v>1d6 + 2</x:v>
      </x:c>
      <x:c r="Q1228" t="n">
        <x:f>ROUND(INDEX(Catalogue!E$4:E$85,MATCH(A1228,Catalogue!A$4:A$85,0))*(1+'Paramètres'!$B$4*(C1228-1)+'Paramètres'!$B$5*(C1228-1)^2),0)</x:f>
        <x:v>3</x:v>
      </x:c>
      <x:c r="R1228" t="n">
        <x:f>ROUND(INDEX(Catalogue!F$4:F$85,MATCH(A1228,Catalogue!A$4:A$85,0))*(1+'Paramètres'!$B$4*(C1228-1)+'Paramètres'!$B$5*(C1228-1)^2),0)</x:f>
        <x:v>8</x:v>
      </x:c>
      <x:c r="S1228" t="n">
        <x:f>L1228-AVERAGE(Q1228:R1228)</x:f>
        <x:v>0</x:v>
      </x:c>
      <x:c r="T1228" t="str">
        <x:f>IF(M1228=0,IF(AND(N1228=0,O1228=0,E1228=0,F1228=0),"OK","ERREUR"),IF(AND(M1228&gt;=1,M1228&lt;=32,OR(N1228=4,N1228=6,N1228=8,N1228=10,N1228=12,N1228=20),O1228&gt;=0,E1228=M1228+O1228,F1228=M1228*N1228+O1228),"OK","ERREUR"))</x:f>
        <x:v>OK</x:v>
      </x:c>
      <x:c r="U1228" s="86" t="n">
        <x:f>IF(M1228&gt;0,M1228*(N1228+1)/2+O1228,0)</x:f>
        <x:v>5.5</x:v>
      </x:c>
      <x:c r="V1228" t="str">
        <x:f>IF(ABS(L1228-U1228)&lt;0.001,"OK","ERREUR")</x:f>
        <x:v>OK</x:v>
      </x:c>
    </x:row>
    <x:row r="1229" ht="18" customHeight="1">
      <x:c r="A1229" t="str">
        <x:v>ARM062</x:v>
      </x:c>
      <x:c r="B1229" t="str">
        <x:v>Baguette de feu</x:v>
      </x:c>
      <x:c r="C1229" t="n">
        <x:v>6</x:v>
      </x:c>
      <x:c r="D1229" t="str">
        <x:v>Focaliseurs</x:v>
      </x:c>
      <x:c r="E1229" s="28" t="n">
        <x:f>IF(M1229=0,0,M1229+O1229)</x:f>
        <x:v>4</x:v>
      </x:c>
      <x:c r="F1229" s="28" t="n">
        <x:f>IF(M1229=0,0,M1229*N1229+O1229)</x:f>
        <x:v>10</x:v>
      </x:c>
      <x:c r="G1229" s="28" t="n">
        <x:f>ROUND(Catalogue!G65*SQRT((1+'Paramètres'!$B$4*(C1229-1)+'Paramètres'!$B$5*(C1229-1)^2)),0)</x:f>
        <x:v>0</x:v>
      </x:c>
      <x:c r="H1229" s="28" t="n">
        <x:f>ROUND(Catalogue!H65*SQRT((1+'Paramètres'!$B$4*(C1229-1)+'Paramètres'!$B$5*(C1229-1)^2)),0)</x:f>
        <x:v>0</x:v>
      </x:c>
      <x:c r="I1229" s="28" t="n">
        <x:v>2</x:v>
      </x:c>
      <x:c r="J1229" s="28" t="n">
        <x:v>4</x:v>
      </x:c>
      <x:c r="K1229" s="30" t="n">
        <x:v>0.3</x:v>
      </x:c>
      <x:c r="L1229" s="54" t="n">
        <x:f>IF(M1229=0,0,(E1229+F1229)/2)</x:f>
        <x:v>7</x:v>
      </x:c>
      <x:c r="M1229" t="n">
        <x:v>2</x:v>
      </x:c>
      <x:c r="N1229" t="n">
        <x:v>4</x:v>
      </x:c>
      <x:c r="O1229" t="n">
        <x:v>2</x:v>
      </x:c>
      <x:c r="P1229" s="63" t="str">
        <x:f>IF(M1229=0,"—",M1229&amp;"d"&amp;N1229&amp;IF(O1229=0,""," + "&amp;O1229))</x:f>
        <x:v>2d4 + 2</x:v>
      </x:c>
      <x:c r="Q1229" t="n">
        <x:f>ROUND(INDEX(Catalogue!E$4:E$85,MATCH(A1229,Catalogue!A$4:A$85,0))*(1+'Paramètres'!$B$4*(C1229-1)+'Paramètres'!$B$5*(C1229-1)^2),0)</x:f>
        <x:v>4</x:v>
      </x:c>
      <x:c r="R1229" t="n">
        <x:f>ROUND(INDEX(Catalogue!F$4:F$85,MATCH(A1229,Catalogue!A$4:A$85,0))*(1+'Paramètres'!$B$4*(C1229-1)+'Paramètres'!$B$5*(C1229-1)^2),0)</x:f>
        <x:v>10</x:v>
      </x:c>
      <x:c r="S1229" t="n">
        <x:f>L1229-AVERAGE(Q1229:R1229)</x:f>
        <x:v>0</x:v>
      </x:c>
      <x:c r="T1229" t="str">
        <x:f>IF(M1229=0,IF(AND(N1229=0,O1229=0,E1229=0,F1229=0),"OK","ERREUR"),IF(AND(M1229&gt;=1,M1229&lt;=32,OR(N1229=4,N1229=6,N1229=8,N1229=10,N1229=12,N1229=20),O1229&gt;=0,E1229=M1229+O1229,F1229=M1229*N1229+O1229),"OK","ERREUR"))</x:f>
        <x:v>OK</x:v>
      </x:c>
      <x:c r="U1229" s="86" t="n">
        <x:f>IF(M1229&gt;0,M1229*(N1229+1)/2+O1229,0)</x:f>
        <x:v>7</x:v>
      </x:c>
      <x:c r="V1229" t="str">
        <x:f>IF(ABS(L1229-U1229)&lt;0.001,"OK","ERREUR")</x:f>
        <x:v>OK</x:v>
      </x:c>
    </x:row>
    <x:row r="1230" ht="18" customHeight="1">
      <x:c r="A1230" t="str">
        <x:v>ARM062</x:v>
      </x:c>
      <x:c r="B1230" t="str">
        <x:v>Baguette de feu</x:v>
      </x:c>
      <x:c r="C1230" t="n">
        <x:v>7</x:v>
      </x:c>
      <x:c r="D1230" t="str">
        <x:v>Focaliseurs</x:v>
      </x:c>
      <x:c r="E1230" s="28" t="n">
        <x:f>IF(M1230=0,0,M1230+O1230)</x:f>
        <x:v>4</x:v>
      </x:c>
      <x:c r="F1230" s="28" t="n">
        <x:f>IF(M1230=0,0,M1230*N1230+O1230)</x:f>
        <x:v>11</x:v>
      </x:c>
      <x:c r="G1230" s="28" t="n">
        <x:f>ROUND(Catalogue!G65*SQRT((1+'Paramètres'!$B$4*(C1230-1)+'Paramètres'!$B$5*(C1230-1)^2)),0)</x:f>
        <x:v>0</x:v>
      </x:c>
      <x:c r="H1230" s="28" t="n">
        <x:f>ROUND(Catalogue!H65*SQRT((1+'Paramètres'!$B$4*(C1230-1)+'Paramètres'!$B$5*(C1230-1)^2)),0)</x:f>
        <x:v>0</x:v>
      </x:c>
      <x:c r="I1230" s="28" t="n">
        <x:v>2</x:v>
      </x:c>
      <x:c r="J1230" s="28" t="n">
        <x:v>4</x:v>
      </x:c>
      <x:c r="K1230" s="30" t="n">
        <x:v>0.3</x:v>
      </x:c>
      <x:c r="L1230" s="54" t="n">
        <x:f>IF(M1230=0,0,(E1230+F1230)/2)</x:f>
        <x:v>7.5</x:v>
      </x:c>
      <x:c r="M1230" t="n">
        <x:v>1</x:v>
      </x:c>
      <x:c r="N1230" t="n">
        <x:v>8</x:v>
      </x:c>
      <x:c r="O1230" t="n">
        <x:v>3</x:v>
      </x:c>
      <x:c r="P1230" s="63" t="str">
        <x:f>IF(M1230=0,"—",M1230&amp;"d"&amp;N1230&amp;IF(O1230=0,""," + "&amp;O1230))</x:f>
        <x:v>1d8 + 3</x:v>
      </x:c>
      <x:c r="Q1230" t="n">
        <x:f>ROUND(INDEX(Catalogue!E$4:E$85,MATCH(A1230,Catalogue!A$4:A$85,0))*(1+'Paramètres'!$B$4*(C1230-1)+'Paramètres'!$B$5*(C1230-1)^2),0)</x:f>
        <x:v>4</x:v>
      </x:c>
      <x:c r="R1230" t="n">
        <x:f>ROUND(INDEX(Catalogue!F$4:F$85,MATCH(A1230,Catalogue!A$4:A$85,0))*(1+'Paramètres'!$B$4*(C1230-1)+'Paramètres'!$B$5*(C1230-1)^2),0)</x:f>
        <x:v>11</x:v>
      </x:c>
      <x:c r="S1230" t="n">
        <x:f>L1230-AVERAGE(Q1230:R1230)</x:f>
        <x:v>0</x:v>
      </x:c>
      <x:c r="T1230" t="str">
        <x:f>IF(M1230=0,IF(AND(N1230=0,O1230=0,E1230=0,F1230=0),"OK","ERREUR"),IF(AND(M1230&gt;=1,M1230&lt;=32,OR(N1230=4,N1230=6,N1230=8,N1230=10,N1230=12,N1230=20),O1230&gt;=0,E1230=M1230+O1230,F1230=M1230*N1230+O1230),"OK","ERREUR"))</x:f>
        <x:v>OK</x:v>
      </x:c>
      <x:c r="U1230" s="86" t="n">
        <x:f>IF(M1230&gt;0,M1230*(N1230+1)/2+O1230,0)</x:f>
        <x:v>7.5</x:v>
      </x:c>
      <x:c r="V1230" t="str">
        <x:f>IF(ABS(L1230-U1230)&lt;0.001,"OK","ERREUR")</x:f>
        <x:v>OK</x:v>
      </x:c>
    </x:row>
    <x:row r="1231" ht="18" customHeight="1">
      <x:c r="A1231" t="str">
        <x:v>ARM062</x:v>
      </x:c>
      <x:c r="B1231" t="str">
        <x:v>Baguette de feu</x:v>
      </x:c>
      <x:c r="C1231" t="n">
        <x:v>8</x:v>
      </x:c>
      <x:c r="D1231" t="str">
        <x:v>Focaliseurs</x:v>
      </x:c>
      <x:c r="E1231" s="28" t="n">
        <x:f>IF(M1231=0,0,M1231+O1231)</x:f>
        <x:v>4</x:v>
      </x:c>
      <x:c r="F1231" s="28" t="n">
        <x:f>IF(M1231=0,0,M1231*N1231+O1231)</x:f>
        <x:v>13</x:v>
      </x:c>
      <x:c r="G1231" s="28" t="n">
        <x:f>ROUND(Catalogue!G65*SQRT((1+'Paramètres'!$B$4*(C1231-1)+'Paramètres'!$B$5*(C1231-1)^2)),0)</x:f>
        <x:v>0</x:v>
      </x:c>
      <x:c r="H1231" s="28" t="n">
        <x:f>ROUND(Catalogue!H65*SQRT((1+'Paramètres'!$B$4*(C1231-1)+'Paramètres'!$B$5*(C1231-1)^2)),0)</x:f>
        <x:v>0</x:v>
      </x:c>
      <x:c r="I1231" s="28" t="n">
        <x:v>2</x:v>
      </x:c>
      <x:c r="J1231" s="28" t="n">
        <x:v>4</x:v>
      </x:c>
      <x:c r="K1231" s="30" t="n">
        <x:v>0.3</x:v>
      </x:c>
      <x:c r="L1231" s="54" t="n">
        <x:f>IF(M1231=0,0,(E1231+F1231)/2)</x:f>
        <x:v>8.5</x:v>
      </x:c>
      <x:c r="M1231" t="n">
        <x:v>3</x:v>
      </x:c>
      <x:c r="N1231" t="n">
        <x:v>4</x:v>
      </x:c>
      <x:c r="O1231" t="n">
        <x:v>1</x:v>
      </x:c>
      <x:c r="P1231" s="63" t="str">
        <x:f>IF(M1231=0,"—",M1231&amp;"d"&amp;N1231&amp;IF(O1231=0,""," + "&amp;O1231))</x:f>
        <x:v>3d4 + 1</x:v>
      </x:c>
      <x:c r="Q1231" t="n">
        <x:f>ROUND(INDEX(Catalogue!E$4:E$85,MATCH(A1231,Catalogue!A$4:A$85,0))*(1+'Paramètres'!$B$4*(C1231-1)+'Paramètres'!$B$5*(C1231-1)^2),0)</x:f>
        <x:v>5</x:v>
      </x:c>
      <x:c r="R1231" t="n">
        <x:f>ROUND(INDEX(Catalogue!F$4:F$85,MATCH(A1231,Catalogue!A$4:A$85,0))*(1+'Paramètres'!$B$4*(C1231-1)+'Paramètres'!$B$5*(C1231-1)^2),0)</x:f>
        <x:v>13</x:v>
      </x:c>
      <x:c r="S1231" t="n">
        <x:f>L1231-AVERAGE(Q1231:R1231)</x:f>
        <x:v>-0.5</x:v>
      </x:c>
      <x:c r="T1231" t="str">
        <x:f>IF(M1231=0,IF(AND(N1231=0,O1231=0,E1231=0,F1231=0),"OK","ERREUR"),IF(AND(M1231&gt;=1,M1231&lt;=32,OR(N1231=4,N1231=6,N1231=8,N1231=10,N1231=12,N1231=20),O1231&gt;=0,E1231=M1231+O1231,F1231=M1231*N1231+O1231),"OK","ERREUR"))</x:f>
        <x:v>OK</x:v>
      </x:c>
      <x:c r="U1231" s="86" t="n">
        <x:f>IF(M1231&gt;0,M1231*(N1231+1)/2+O1231,0)</x:f>
        <x:v>8.5</x:v>
      </x:c>
      <x:c r="V1231" t="str">
        <x:f>IF(ABS(L1231-U1231)&lt;0.001,"OK","ERREUR")</x:f>
        <x:v>OK</x:v>
      </x:c>
    </x:row>
    <x:row r="1232" ht="18" customHeight="1">
      <x:c r="A1232" t="str">
        <x:v>ARM062</x:v>
      </x:c>
      <x:c r="B1232" t="str">
        <x:v>Baguette de feu</x:v>
      </x:c>
      <x:c r="C1232" t="n">
        <x:v>9</x:v>
      </x:c>
      <x:c r="D1232" t="str">
        <x:v>Focaliseurs</x:v>
      </x:c>
      <x:c r="E1232" s="28" t="n">
        <x:f>IF(M1232=0,0,M1232+O1232)</x:f>
        <x:v>6</x:v>
      </x:c>
      <x:c r="F1232" s="28" t="n">
        <x:f>IF(M1232=0,0,M1232*N1232+O1232)</x:f>
        <x:v>15</x:v>
      </x:c>
      <x:c r="G1232" s="28" t="n">
        <x:f>ROUND(Catalogue!G65*SQRT((1+'Paramètres'!$B$4*(C1232-1)+'Paramètres'!$B$5*(C1232-1)^2)),0)</x:f>
        <x:v>0</x:v>
      </x:c>
      <x:c r="H1232" s="28" t="n">
        <x:f>ROUND(Catalogue!H65*SQRT((1+'Paramètres'!$B$4*(C1232-1)+'Paramètres'!$B$5*(C1232-1)^2)),0)</x:f>
        <x:v>0</x:v>
      </x:c>
      <x:c r="I1232" s="28" t="n">
        <x:v>2</x:v>
      </x:c>
      <x:c r="J1232" s="28" t="n">
        <x:v>4</x:v>
      </x:c>
      <x:c r="K1232" s="30" t="n">
        <x:v>0.3</x:v>
      </x:c>
      <x:c r="L1232" s="54" t="n">
        <x:f>IF(M1232=0,0,(E1232+F1232)/2)</x:f>
        <x:v>10.5</x:v>
      </x:c>
      <x:c r="M1232" t="n">
        <x:v>3</x:v>
      </x:c>
      <x:c r="N1232" t="n">
        <x:v>4</x:v>
      </x:c>
      <x:c r="O1232" t="n">
        <x:v>3</x:v>
      </x:c>
      <x:c r="P1232" s="63" t="str">
        <x:f>IF(M1232=0,"—",M1232&amp;"d"&amp;N1232&amp;IF(O1232=0,""," + "&amp;O1232))</x:f>
        <x:v>3d4 + 3</x:v>
      </x:c>
      <x:c r="Q1232" t="n">
        <x:f>ROUND(INDEX(Catalogue!E$4:E$85,MATCH(A1232,Catalogue!A$4:A$85,0))*(1+'Paramètres'!$B$4*(C1232-1)+'Paramètres'!$B$5*(C1232-1)^2),0)</x:f>
        <x:v>6</x:v>
      </x:c>
      <x:c r="R1232" t="n">
        <x:f>ROUND(INDEX(Catalogue!F$4:F$85,MATCH(A1232,Catalogue!A$4:A$85,0))*(1+'Paramètres'!$B$4*(C1232-1)+'Paramètres'!$B$5*(C1232-1)^2),0)</x:f>
        <x:v>15</x:v>
      </x:c>
      <x:c r="S1232" t="n">
        <x:f>L1232-AVERAGE(Q1232:R1232)</x:f>
        <x:v>0</x:v>
      </x:c>
      <x:c r="T1232" t="str">
        <x:f>IF(M1232=0,IF(AND(N1232=0,O1232=0,E1232=0,F1232=0),"OK","ERREUR"),IF(AND(M1232&gt;=1,M1232&lt;=32,OR(N1232=4,N1232=6,N1232=8,N1232=10,N1232=12,N1232=20),O1232&gt;=0,E1232=M1232+O1232,F1232=M1232*N1232+O1232),"OK","ERREUR"))</x:f>
        <x:v>OK</x:v>
      </x:c>
      <x:c r="U1232" s="86" t="n">
        <x:f>IF(M1232&gt;0,M1232*(N1232+1)/2+O1232,0)</x:f>
        <x:v>10.5</x:v>
      </x:c>
      <x:c r="V1232" t="str">
        <x:f>IF(ABS(L1232-U1232)&lt;0.001,"OK","ERREUR")</x:f>
        <x:v>OK</x:v>
      </x:c>
    </x:row>
    <x:row r="1233" ht="18" customHeight="1">
      <x:c r="A1233" t="str">
        <x:v>ARM062</x:v>
      </x:c>
      <x:c r="B1233" t="str">
        <x:v>Baguette de feu</x:v>
      </x:c>
      <x:c r="C1233" t="n">
        <x:v>10</x:v>
      </x:c>
      <x:c r="D1233" t="str">
        <x:v>Focaliseurs</x:v>
      </x:c>
      <x:c r="E1233" s="28" t="n">
        <x:f>IF(M1233=0,0,M1233+O1233)</x:f>
        <x:v>7</x:v>
      </x:c>
      <x:c r="F1233" s="28" t="n">
        <x:f>IF(M1233=0,0,M1233*N1233+O1233)</x:f>
        <x:v>16</x:v>
      </x:c>
      <x:c r="G1233" s="28" t="n">
        <x:f>ROUND(Catalogue!G65*SQRT((1+'Paramètres'!$B$4*(C1233-1)+'Paramètres'!$B$5*(C1233-1)^2)),0)</x:f>
        <x:v>0</x:v>
      </x:c>
      <x:c r="H1233" s="28" t="n">
        <x:f>ROUND(Catalogue!H65*SQRT((1+'Paramètres'!$B$4*(C1233-1)+'Paramètres'!$B$5*(C1233-1)^2)),0)</x:f>
        <x:v>0</x:v>
      </x:c>
      <x:c r="I1233" s="28" t="n">
        <x:v>2</x:v>
      </x:c>
      <x:c r="J1233" s="28" t="n">
        <x:v>4</x:v>
      </x:c>
      <x:c r="K1233" s="30" t="n">
        <x:v>0.3</x:v>
      </x:c>
      <x:c r="L1233" s="54" t="n">
        <x:f>IF(M1233=0,0,(E1233+F1233)/2)</x:f>
        <x:v>11.5</x:v>
      </x:c>
      <x:c r="M1233" t="n">
        <x:v>3</x:v>
      </x:c>
      <x:c r="N1233" t="n">
        <x:v>4</x:v>
      </x:c>
      <x:c r="O1233" t="n">
        <x:v>4</x:v>
      </x:c>
      <x:c r="P1233" s="63" t="str">
        <x:f>IF(M1233=0,"—",M1233&amp;"d"&amp;N1233&amp;IF(O1233=0,""," + "&amp;O1233))</x:f>
        <x:v>3d4 + 4</x:v>
      </x:c>
      <x:c r="Q1233" t="n">
        <x:f>ROUND(INDEX(Catalogue!E$4:E$85,MATCH(A1233,Catalogue!A$4:A$85,0))*(1+'Paramètres'!$B$4*(C1233-1)+'Paramètres'!$B$5*(C1233-1)^2),0)</x:f>
        <x:v>7</x:v>
      </x:c>
      <x:c r="R1233" t="n">
        <x:f>ROUND(INDEX(Catalogue!F$4:F$85,MATCH(A1233,Catalogue!A$4:A$85,0))*(1+'Paramètres'!$B$4*(C1233-1)+'Paramètres'!$B$5*(C1233-1)^2),0)</x:f>
        <x:v>16</x:v>
      </x:c>
      <x:c r="S1233" t="n">
        <x:f>L1233-AVERAGE(Q1233:R1233)</x:f>
        <x:v>0</x:v>
      </x:c>
      <x:c r="T1233" t="str">
        <x:f>IF(M1233=0,IF(AND(N1233=0,O1233=0,E1233=0,F1233=0),"OK","ERREUR"),IF(AND(M1233&gt;=1,M1233&lt;=32,OR(N1233=4,N1233=6,N1233=8,N1233=10,N1233=12,N1233=20),O1233&gt;=0,E1233=M1233+O1233,F1233=M1233*N1233+O1233),"OK","ERREUR"))</x:f>
        <x:v>OK</x:v>
      </x:c>
      <x:c r="U1233" s="86" t="n">
        <x:f>IF(M1233&gt;0,M1233*(N1233+1)/2+O1233,0)</x:f>
        <x:v>11.5</x:v>
      </x:c>
      <x:c r="V1233" t="str">
        <x:f>IF(ABS(L1233-U1233)&lt;0.001,"OK","ERREUR")</x:f>
        <x:v>OK</x:v>
      </x:c>
    </x:row>
    <x:row r="1234" ht="18" customHeight="1">
      <x:c r="A1234" t="str">
        <x:v>ARM062</x:v>
      </x:c>
      <x:c r="B1234" t="str">
        <x:v>Baguette de feu</x:v>
      </x:c>
      <x:c r="C1234" t="n">
        <x:v>11</x:v>
      </x:c>
      <x:c r="D1234" t="str">
        <x:v>Focaliseurs</x:v>
      </x:c>
      <x:c r="E1234" s="28" t="n">
        <x:f>IF(M1234=0,0,M1234+O1234)</x:f>
        <x:v>7</x:v>
      </x:c>
      <x:c r="F1234" s="28" t="n">
        <x:f>IF(M1234=0,0,M1234*N1234+O1234)</x:f>
        <x:v>19</x:v>
      </x:c>
      <x:c r="G1234" s="28" t="n">
        <x:f>ROUND(Catalogue!G65*SQRT((1+'Paramètres'!$B$4*(C1234-1)+'Paramètres'!$B$5*(C1234-1)^2)),0)</x:f>
        <x:v>0</x:v>
      </x:c>
      <x:c r="H1234" s="28" t="n">
        <x:f>ROUND(Catalogue!H65*SQRT((1+'Paramètres'!$B$4*(C1234-1)+'Paramètres'!$B$5*(C1234-1)^2)),0)</x:f>
        <x:v>0</x:v>
      </x:c>
      <x:c r="I1234" s="28" t="n">
        <x:v>2</x:v>
      </x:c>
      <x:c r="J1234" s="28" t="n">
        <x:v>4</x:v>
      </x:c>
      <x:c r="K1234" s="30" t="n">
        <x:v>0.3</x:v>
      </x:c>
      <x:c r="L1234" s="54" t="n">
        <x:f>IF(M1234=0,0,(E1234+F1234)/2)</x:f>
        <x:v>13</x:v>
      </x:c>
      <x:c r="M1234" t="n">
        <x:v>4</x:v>
      </x:c>
      <x:c r="N1234" t="n">
        <x:v>4</x:v>
      </x:c>
      <x:c r="O1234" t="n">
        <x:v>3</x:v>
      </x:c>
      <x:c r="P1234" s="63" t="str">
        <x:f>IF(M1234=0,"—",M1234&amp;"d"&amp;N1234&amp;IF(O1234=0,""," + "&amp;O1234))</x:f>
        <x:v>4d4 + 3</x:v>
      </x:c>
      <x:c r="Q1234" t="n">
        <x:f>ROUND(INDEX(Catalogue!E$4:E$85,MATCH(A1234,Catalogue!A$4:A$85,0))*(1+'Paramètres'!$B$4*(C1234-1)+'Paramètres'!$B$5*(C1234-1)^2),0)</x:f>
        <x:v>7</x:v>
      </x:c>
      <x:c r="R1234" t="n">
        <x:f>ROUND(INDEX(Catalogue!F$4:F$85,MATCH(A1234,Catalogue!A$4:A$85,0))*(1+'Paramètres'!$B$4*(C1234-1)+'Paramètres'!$B$5*(C1234-1)^2),0)</x:f>
        <x:v>19</x:v>
      </x:c>
      <x:c r="S1234" t="n">
        <x:f>L1234-AVERAGE(Q1234:R1234)</x:f>
        <x:v>0</x:v>
      </x:c>
      <x:c r="T1234" t="str">
        <x:f>IF(M1234=0,IF(AND(N1234=0,O1234=0,E1234=0,F1234=0),"OK","ERREUR"),IF(AND(M1234&gt;=1,M1234&lt;=32,OR(N1234=4,N1234=6,N1234=8,N1234=10,N1234=12,N1234=20),O1234&gt;=0,E1234=M1234+O1234,F1234=M1234*N1234+O1234),"OK","ERREUR"))</x:f>
        <x:v>OK</x:v>
      </x:c>
      <x:c r="U1234" s="86" t="n">
        <x:f>IF(M1234&gt;0,M1234*(N1234+1)/2+O1234,0)</x:f>
        <x:v>13</x:v>
      </x:c>
      <x:c r="V1234" t="str">
        <x:f>IF(ABS(L1234-U1234)&lt;0.001,"OK","ERREUR")</x:f>
        <x:v>OK</x:v>
      </x:c>
    </x:row>
    <x:row r="1235" ht="18" customHeight="1">
      <x:c r="A1235" t="str">
        <x:v>ARM062</x:v>
      </x:c>
      <x:c r="B1235" t="str">
        <x:v>Baguette de feu</x:v>
      </x:c>
      <x:c r="C1235" t="n">
        <x:v>12</x:v>
      </x:c>
      <x:c r="D1235" t="str">
        <x:v>Focaliseurs</x:v>
      </x:c>
      <x:c r="E1235" s="28" t="n">
        <x:f>IF(M1235=0,0,M1235+O1235)</x:f>
        <x:v>7</x:v>
      </x:c>
      <x:c r="F1235" s="28" t="n">
        <x:f>IF(M1235=0,0,M1235*N1235+O1235)</x:f>
        <x:v>21</x:v>
      </x:c>
      <x:c r="G1235" s="28" t="n">
        <x:f>ROUND(Catalogue!G65*SQRT((1+'Paramètres'!$B$4*(C1235-1)+'Paramètres'!$B$5*(C1235-1)^2)),0)</x:f>
        <x:v>0</x:v>
      </x:c>
      <x:c r="H1235" s="28" t="n">
        <x:f>ROUND(Catalogue!H65*SQRT((1+'Paramètres'!$B$4*(C1235-1)+'Paramètres'!$B$5*(C1235-1)^2)),0)</x:f>
        <x:v>0</x:v>
      </x:c>
      <x:c r="I1235" s="28" t="n">
        <x:v>2</x:v>
      </x:c>
      <x:c r="J1235" s="28" t="n">
        <x:v>4</x:v>
      </x:c>
      <x:c r="K1235" s="30" t="n">
        <x:v>0.3</x:v>
      </x:c>
      <x:c r="L1235" s="54" t="n">
        <x:f>IF(M1235=0,0,(E1235+F1235)/2)</x:f>
        <x:v>14</x:v>
      </x:c>
      <x:c r="M1235" t="n">
        <x:v>2</x:v>
      </x:c>
      <x:c r="N1235" t="n">
        <x:v>8</x:v>
      </x:c>
      <x:c r="O1235" t="n">
        <x:v>5</x:v>
      </x:c>
      <x:c r="P1235" s="63" t="str">
        <x:f>IF(M1235=0,"—",M1235&amp;"d"&amp;N1235&amp;IF(O1235=0,""," + "&amp;O1235))</x:f>
        <x:v>2d8 + 5</x:v>
      </x:c>
      <x:c r="Q1235" t="n">
        <x:f>ROUND(INDEX(Catalogue!E$4:E$85,MATCH(A1235,Catalogue!A$4:A$85,0))*(1+'Paramètres'!$B$4*(C1235-1)+'Paramètres'!$B$5*(C1235-1)^2),0)</x:f>
        <x:v>8</x:v>
      </x:c>
      <x:c r="R1235" t="n">
        <x:f>ROUND(INDEX(Catalogue!F$4:F$85,MATCH(A1235,Catalogue!A$4:A$85,0))*(1+'Paramètres'!$B$4*(C1235-1)+'Paramètres'!$B$5*(C1235-1)^2),0)</x:f>
        <x:v>21</x:v>
      </x:c>
      <x:c r="S1235" t="n">
        <x:f>L1235-AVERAGE(Q1235:R1235)</x:f>
        <x:v>-0.5</x:v>
      </x:c>
      <x:c r="T1235" t="str">
        <x:f>IF(M1235=0,IF(AND(N1235=0,O1235=0,E1235=0,F1235=0),"OK","ERREUR"),IF(AND(M1235&gt;=1,M1235&lt;=32,OR(N1235=4,N1235=6,N1235=8,N1235=10,N1235=12,N1235=20),O1235&gt;=0,E1235=M1235+O1235,F1235=M1235*N1235+O1235),"OK","ERREUR"))</x:f>
        <x:v>OK</x:v>
      </x:c>
      <x:c r="U1235" s="86" t="n">
        <x:f>IF(M1235&gt;0,M1235*(N1235+1)/2+O1235,0)</x:f>
        <x:v>14</x:v>
      </x:c>
      <x:c r="V1235" t="str">
        <x:f>IF(ABS(L1235-U1235)&lt;0.001,"OK","ERREUR")</x:f>
        <x:v>OK</x:v>
      </x:c>
    </x:row>
    <x:row r="1236" ht="18" customHeight="1">
      <x:c r="A1236" t="str">
        <x:v>ARM062</x:v>
      </x:c>
      <x:c r="B1236" t="str">
        <x:v>Baguette de feu</x:v>
      </x:c>
      <x:c r="C1236" t="n">
        <x:v>13</x:v>
      </x:c>
      <x:c r="D1236" t="str">
        <x:v>Focaliseurs</x:v>
      </x:c>
      <x:c r="E1236" s="28" t="n">
        <x:f>IF(M1236=0,0,M1236+O1236)</x:f>
        <x:v>9</x:v>
      </x:c>
      <x:c r="F1236" s="28" t="n">
        <x:f>IF(M1236=0,0,M1236*N1236+O1236)</x:f>
        <x:v>23</x:v>
      </x:c>
      <x:c r="G1236" s="28" t="n">
        <x:f>ROUND(Catalogue!G65*SQRT((1+'Paramètres'!$B$4*(C1236-1)+'Paramètres'!$B$5*(C1236-1)^2)),0)</x:f>
        <x:v>0</x:v>
      </x:c>
      <x:c r="H1236" s="28" t="n">
        <x:f>ROUND(Catalogue!H65*SQRT((1+'Paramètres'!$B$4*(C1236-1)+'Paramètres'!$B$5*(C1236-1)^2)),0)</x:f>
        <x:v>0</x:v>
      </x:c>
      <x:c r="I1236" s="28" t="n">
        <x:v>2</x:v>
      </x:c>
      <x:c r="J1236" s="28" t="n">
        <x:v>4</x:v>
      </x:c>
      <x:c r="K1236" s="30" t="n">
        <x:v>0.3</x:v>
      </x:c>
      <x:c r="L1236" s="54" t="n">
        <x:f>IF(M1236=0,0,(E1236+F1236)/2)</x:f>
        <x:v>16</x:v>
      </x:c>
      <x:c r="M1236" t="n">
        <x:v>2</x:v>
      </x:c>
      <x:c r="N1236" t="n">
        <x:v>8</x:v>
      </x:c>
      <x:c r="O1236" t="n">
        <x:v>7</x:v>
      </x:c>
      <x:c r="P1236" s="63" t="str">
        <x:f>IF(M1236=0,"—",M1236&amp;"d"&amp;N1236&amp;IF(O1236=0,""," + "&amp;O1236))</x:f>
        <x:v>2d8 + 7</x:v>
      </x:c>
      <x:c r="Q1236" t="n">
        <x:f>ROUND(INDEX(Catalogue!E$4:E$85,MATCH(A1236,Catalogue!A$4:A$85,0))*(1+'Paramètres'!$B$4*(C1236-1)+'Paramètres'!$B$5*(C1236-1)^2),0)</x:f>
        <x:v>9</x:v>
      </x:c>
      <x:c r="R1236" t="n">
        <x:f>ROUND(INDEX(Catalogue!F$4:F$85,MATCH(A1236,Catalogue!A$4:A$85,0))*(1+'Paramètres'!$B$4*(C1236-1)+'Paramètres'!$B$5*(C1236-1)^2),0)</x:f>
        <x:v>23</x:v>
      </x:c>
      <x:c r="S1236" t="n">
        <x:f>L1236-AVERAGE(Q1236:R1236)</x:f>
        <x:v>0</x:v>
      </x:c>
      <x:c r="T1236" t="str">
        <x:f>IF(M1236=0,IF(AND(N1236=0,O1236=0,E1236=0,F1236=0),"OK","ERREUR"),IF(AND(M1236&gt;=1,M1236&lt;=32,OR(N1236=4,N1236=6,N1236=8,N1236=10,N1236=12,N1236=20),O1236&gt;=0,E1236=M1236+O1236,F1236=M1236*N1236+O1236),"OK","ERREUR"))</x:f>
        <x:v>OK</x:v>
      </x:c>
      <x:c r="U1236" s="86" t="n">
        <x:f>IF(M1236&gt;0,M1236*(N1236+1)/2+O1236,0)</x:f>
        <x:v>16</x:v>
      </x:c>
      <x:c r="V1236" t="str">
        <x:f>IF(ABS(L1236-U1236)&lt;0.001,"OK","ERREUR")</x:f>
        <x:v>OK</x:v>
      </x:c>
    </x:row>
    <x:row r="1237" ht="18" customHeight="1">
      <x:c r="A1237" t="str">
        <x:v>ARM062</x:v>
      </x:c>
      <x:c r="B1237" t="str">
        <x:v>Baguette de feu</x:v>
      </x:c>
      <x:c r="C1237" t="n">
        <x:v>14</x:v>
      </x:c>
      <x:c r="D1237" t="str">
        <x:v>Focaliseurs</x:v>
      </x:c>
      <x:c r="E1237" s="28" t="n">
        <x:f>IF(M1237=0,0,M1237+O1237)</x:f>
        <x:v>11</x:v>
      </x:c>
      <x:c r="F1237" s="28" t="n">
        <x:f>IF(M1237=0,0,M1237*N1237+O1237)</x:f>
        <x:v>26</x:v>
      </x:c>
      <x:c r="G1237" s="28" t="n">
        <x:f>ROUND(Catalogue!G65*SQRT((1+'Paramètres'!$B$4*(C1237-1)+'Paramètres'!$B$5*(C1237-1)^2)),0)</x:f>
        <x:v>0</x:v>
      </x:c>
      <x:c r="H1237" s="28" t="n">
        <x:f>ROUND(Catalogue!H65*SQRT((1+'Paramètres'!$B$4*(C1237-1)+'Paramètres'!$B$5*(C1237-1)^2)),0)</x:f>
        <x:v>0</x:v>
      </x:c>
      <x:c r="I1237" s="28" t="n">
        <x:v>2</x:v>
      </x:c>
      <x:c r="J1237" s="28" t="n">
        <x:v>4</x:v>
      </x:c>
      <x:c r="K1237" s="30" t="n">
        <x:v>0.3</x:v>
      </x:c>
      <x:c r="L1237" s="54" t="n">
        <x:f>IF(M1237=0,0,(E1237+F1237)/2)</x:f>
        <x:v>18.5</x:v>
      </x:c>
      <x:c r="M1237" t="n">
        <x:v>3</x:v>
      </x:c>
      <x:c r="N1237" t="n">
        <x:v>6</x:v>
      </x:c>
      <x:c r="O1237" t="n">
        <x:v>8</x:v>
      </x:c>
      <x:c r="P1237" s="63" t="str">
        <x:f>IF(M1237=0,"—",M1237&amp;"d"&amp;N1237&amp;IF(O1237=0,""," + "&amp;O1237))</x:f>
        <x:v>3d6 + 8</x:v>
      </x:c>
      <x:c r="Q1237" t="n">
        <x:f>ROUND(INDEX(Catalogue!E$4:E$85,MATCH(A1237,Catalogue!A$4:A$85,0))*(1+'Paramètres'!$B$4*(C1237-1)+'Paramètres'!$B$5*(C1237-1)^2),0)</x:f>
        <x:v>10</x:v>
      </x:c>
      <x:c r="R1237" t="n">
        <x:f>ROUND(INDEX(Catalogue!F$4:F$85,MATCH(A1237,Catalogue!A$4:A$85,0))*(1+'Paramètres'!$B$4*(C1237-1)+'Paramètres'!$B$5*(C1237-1)^2),0)</x:f>
        <x:v>26</x:v>
      </x:c>
      <x:c r="S1237" t="n">
        <x:f>L1237-AVERAGE(Q1237:R1237)</x:f>
        <x:v>0.5</x:v>
      </x:c>
      <x:c r="T1237" t="str">
        <x:f>IF(M1237=0,IF(AND(N1237=0,O1237=0,E1237=0,F1237=0),"OK","ERREUR"),IF(AND(M1237&gt;=1,M1237&lt;=32,OR(N1237=4,N1237=6,N1237=8,N1237=10,N1237=12,N1237=20),O1237&gt;=0,E1237=M1237+O1237,F1237=M1237*N1237+O1237),"OK","ERREUR"))</x:f>
        <x:v>OK</x:v>
      </x:c>
      <x:c r="U1237" s="86" t="n">
        <x:f>IF(M1237&gt;0,M1237*(N1237+1)/2+O1237,0)</x:f>
        <x:v>18.5</x:v>
      </x:c>
      <x:c r="V1237" t="str">
        <x:f>IF(ABS(L1237-U1237)&lt;0.001,"OK","ERREUR")</x:f>
        <x:v>OK</x:v>
      </x:c>
    </x:row>
    <x:row r="1238" ht="18" customHeight="1">
      <x:c r="A1238" t="str">
        <x:v>ARM062</x:v>
      </x:c>
      <x:c r="B1238" t="str">
        <x:v>Baguette de feu</x:v>
      </x:c>
      <x:c r="C1238" t="n">
        <x:v>15</x:v>
      </x:c>
      <x:c r="D1238" t="str">
        <x:v>Focaliseurs</x:v>
      </x:c>
      <x:c r="E1238" s="28" t="n">
        <x:f>IF(M1238=0,0,M1238+O1238)</x:f>
        <x:v>10</x:v>
      </x:c>
      <x:c r="F1238" s="28" t="n">
        <x:f>IF(M1238=0,0,M1238*N1238+O1238)</x:f>
        <x:v>29</x:v>
      </x:c>
      <x:c r="G1238" s="28" t="n">
        <x:f>ROUND(Catalogue!G65*SQRT((1+'Paramètres'!$B$4*(C1238-1)+'Paramètres'!$B$5*(C1238-1)^2)),0)</x:f>
        <x:v>0</x:v>
      </x:c>
      <x:c r="H1238" s="28" t="n">
        <x:f>ROUND(Catalogue!H65*SQRT((1+'Paramètres'!$B$4*(C1238-1)+'Paramètres'!$B$5*(C1238-1)^2)),0)</x:f>
        <x:v>0</x:v>
      </x:c>
      <x:c r="I1238" s="28" t="n">
        <x:v>2</x:v>
      </x:c>
      <x:c r="J1238" s="28" t="n">
        <x:v>4</x:v>
      </x:c>
      <x:c r="K1238" s="30" t="n">
        <x:v>0.3</x:v>
      </x:c>
      <x:c r="L1238" s="54" t="n">
        <x:f>IF(M1238=0,0,(E1238+F1238)/2)</x:f>
        <x:v>19.5</x:v>
      </x:c>
      <x:c r="M1238" t="n">
        <x:v>1</x:v>
      </x:c>
      <x:c r="N1238" t="n">
        <x:v>20</x:v>
      </x:c>
      <x:c r="O1238" t="n">
        <x:v>9</x:v>
      </x:c>
      <x:c r="P1238" s="63" t="str">
        <x:f>IF(M1238=0,"—",M1238&amp;"d"&amp;N1238&amp;IF(O1238=0,""," + "&amp;O1238))</x:f>
        <x:v>1d20 + 9</x:v>
      </x:c>
      <x:c r="Q1238" t="n">
        <x:f>ROUND(INDEX(Catalogue!E$4:E$85,MATCH(A1238,Catalogue!A$4:A$85,0))*(1+'Paramètres'!$B$4*(C1238-1)+'Paramètres'!$B$5*(C1238-1)^2),0)</x:f>
        <x:v>11</x:v>
      </x:c>
      <x:c r="R1238" t="n">
        <x:f>ROUND(INDEX(Catalogue!F$4:F$85,MATCH(A1238,Catalogue!A$4:A$85,0))*(1+'Paramètres'!$B$4*(C1238-1)+'Paramètres'!$B$5*(C1238-1)^2),0)</x:f>
        <x:v>28</x:v>
      </x:c>
      <x:c r="S1238" t="n">
        <x:f>L1238-AVERAGE(Q1238:R1238)</x:f>
        <x:v>0</x:v>
      </x:c>
      <x:c r="T1238" t="str">
        <x:f>IF(M1238=0,IF(AND(N1238=0,O1238=0,E1238=0,F1238=0),"OK","ERREUR"),IF(AND(M1238&gt;=1,M1238&lt;=32,OR(N1238=4,N1238=6,N1238=8,N1238=10,N1238=12,N1238=20),O1238&gt;=0,E1238=M1238+O1238,F1238=M1238*N1238+O1238),"OK","ERREUR"))</x:f>
        <x:v>OK</x:v>
      </x:c>
      <x:c r="U1238" s="86" t="n">
        <x:f>IF(M1238&gt;0,M1238*(N1238+1)/2+O1238,0)</x:f>
        <x:v>19.5</x:v>
      </x:c>
      <x:c r="V1238" t="str">
        <x:f>IF(ABS(L1238-U1238)&lt;0.001,"OK","ERREUR")</x:f>
        <x:v>OK</x:v>
      </x:c>
    </x:row>
    <x:row r="1239" ht="18" customHeight="1">
      <x:c r="A1239" t="str">
        <x:v>ARM062</x:v>
      </x:c>
      <x:c r="B1239" t="str">
        <x:v>Baguette de feu</x:v>
      </x:c>
      <x:c r="C1239" t="n">
        <x:v>16</x:v>
      </x:c>
      <x:c r="D1239" t="str">
        <x:v>Focaliseurs</x:v>
      </x:c>
      <x:c r="E1239" s="28" t="n">
        <x:f>IF(M1239=0,0,M1239+O1239)</x:f>
        <x:v>12</x:v>
      </x:c>
      <x:c r="F1239" s="28" t="n">
        <x:f>IF(M1239=0,0,M1239*N1239+O1239)</x:f>
        <x:v>31</x:v>
      </x:c>
      <x:c r="G1239" s="28" t="n">
        <x:f>ROUND(Catalogue!G65*SQRT((1+'Paramètres'!$B$4*(C1239-1)+'Paramètres'!$B$5*(C1239-1)^2)),0)</x:f>
        <x:v>0</x:v>
      </x:c>
      <x:c r="H1239" s="28" t="n">
        <x:f>ROUND(Catalogue!H65*SQRT((1+'Paramètres'!$B$4*(C1239-1)+'Paramètres'!$B$5*(C1239-1)^2)),0)</x:f>
        <x:v>0</x:v>
      </x:c>
      <x:c r="I1239" s="28" t="n">
        <x:v>2</x:v>
      </x:c>
      <x:c r="J1239" s="28" t="n">
        <x:v>4</x:v>
      </x:c>
      <x:c r="K1239" s="30" t="n">
        <x:v>0.3</x:v>
      </x:c>
      <x:c r="L1239" s="54" t="n">
        <x:f>IF(M1239=0,0,(E1239+F1239)/2)</x:f>
        <x:v>21.5</x:v>
      </x:c>
      <x:c r="M1239" t="n">
        <x:v>1</x:v>
      </x:c>
      <x:c r="N1239" t="n">
        <x:v>20</x:v>
      </x:c>
      <x:c r="O1239" t="n">
        <x:v>11</x:v>
      </x:c>
      <x:c r="P1239" s="63" t="str">
        <x:f>IF(M1239=0,"—",M1239&amp;"d"&amp;N1239&amp;IF(O1239=0,""," + "&amp;O1239))</x:f>
        <x:v>1d20 + 11</x:v>
      </x:c>
      <x:c r="Q1239" t="n">
        <x:f>ROUND(INDEX(Catalogue!E$4:E$85,MATCH(A1239,Catalogue!A$4:A$85,0))*(1+'Paramètres'!$B$4*(C1239-1)+'Paramètres'!$B$5*(C1239-1)^2),0)</x:f>
        <x:v>13</x:v>
      </x:c>
      <x:c r="R1239" t="n">
        <x:f>ROUND(INDEX(Catalogue!F$4:F$85,MATCH(A1239,Catalogue!A$4:A$85,0))*(1+'Paramètres'!$B$4*(C1239-1)+'Paramètres'!$B$5*(C1239-1)^2),0)</x:f>
        <x:v>31</x:v>
      </x:c>
      <x:c r="S1239" t="n">
        <x:f>L1239-AVERAGE(Q1239:R1239)</x:f>
        <x:v>-0.5</x:v>
      </x:c>
      <x:c r="T1239" t="str">
        <x:f>IF(M1239=0,IF(AND(N1239=0,O1239=0,E1239=0,F1239=0),"OK","ERREUR"),IF(AND(M1239&gt;=1,M1239&lt;=32,OR(N1239=4,N1239=6,N1239=8,N1239=10,N1239=12,N1239=20),O1239&gt;=0,E1239=M1239+O1239,F1239=M1239*N1239+O1239),"OK","ERREUR"))</x:f>
        <x:v>OK</x:v>
      </x:c>
      <x:c r="U1239" s="86" t="n">
        <x:f>IF(M1239&gt;0,M1239*(N1239+1)/2+O1239,0)</x:f>
        <x:v>21.5</x:v>
      </x:c>
      <x:c r="V1239" t="str">
        <x:f>IF(ABS(L1239-U1239)&lt;0.001,"OK","ERREUR")</x:f>
        <x:v>OK</x:v>
      </x:c>
    </x:row>
    <x:row r="1240" ht="18" customHeight="1">
      <x:c r="A1240" t="str">
        <x:v>ARM062</x:v>
      </x:c>
      <x:c r="B1240" t="str">
        <x:v>Baguette de feu</x:v>
      </x:c>
      <x:c r="C1240" t="n">
        <x:v>17</x:v>
      </x:c>
      <x:c r="D1240" t="str">
        <x:v>Focaliseurs</x:v>
      </x:c>
      <x:c r="E1240" s="28" t="n">
        <x:f>IF(M1240=0,0,M1240+O1240)</x:f>
        <x:v>14</x:v>
      </x:c>
      <x:c r="F1240" s="28" t="n">
        <x:f>IF(M1240=0,0,M1240*N1240+O1240)</x:f>
        <x:v>33</x:v>
      </x:c>
      <x:c r="G1240" s="28" t="n">
        <x:f>ROUND(Catalogue!G65*SQRT((1+'Paramètres'!$B$4*(C1240-1)+'Paramètres'!$B$5*(C1240-1)^2)),0)</x:f>
        <x:v>0</x:v>
      </x:c>
      <x:c r="H1240" s="28" t="n">
        <x:f>ROUND(Catalogue!H65*SQRT((1+'Paramètres'!$B$4*(C1240-1)+'Paramètres'!$B$5*(C1240-1)^2)),0)</x:f>
        <x:v>0</x:v>
      </x:c>
      <x:c r="I1240" s="28" t="n">
        <x:v>2</x:v>
      </x:c>
      <x:c r="J1240" s="28" t="n">
        <x:v>4</x:v>
      </x:c>
      <x:c r="K1240" s="30" t="n">
        <x:v>0.3</x:v>
      </x:c>
      <x:c r="L1240" s="54" t="n">
        <x:f>IF(M1240=0,0,(E1240+F1240)/2)</x:f>
        <x:v>23.5</x:v>
      </x:c>
      <x:c r="M1240" t="n">
        <x:v>1</x:v>
      </x:c>
      <x:c r="N1240" t="n">
        <x:v>20</x:v>
      </x:c>
      <x:c r="O1240" t="n">
        <x:v>13</x:v>
      </x:c>
      <x:c r="P1240" s="63" t="str">
        <x:f>IF(M1240=0,"—",M1240&amp;"d"&amp;N1240&amp;IF(O1240=0,""," + "&amp;O1240))</x:f>
        <x:v>1d20 + 13</x:v>
      </x:c>
      <x:c r="Q1240" t="n">
        <x:f>ROUND(INDEX(Catalogue!E$4:E$85,MATCH(A1240,Catalogue!A$4:A$85,0))*(1+'Paramètres'!$B$4*(C1240-1)+'Paramètres'!$B$5*(C1240-1)^2),0)</x:f>
        <x:v>14</x:v>
      </x:c>
      <x:c r="R1240" t="n">
        <x:f>ROUND(INDEX(Catalogue!F$4:F$85,MATCH(A1240,Catalogue!A$4:A$85,0))*(1+'Paramètres'!$B$4*(C1240-1)+'Paramètres'!$B$5*(C1240-1)^2),0)</x:f>
        <x:v>34</x:v>
      </x:c>
      <x:c r="S1240" t="n">
        <x:f>L1240-AVERAGE(Q1240:R1240)</x:f>
        <x:v>-0.5</x:v>
      </x:c>
      <x:c r="T1240" t="str">
        <x:f>IF(M1240=0,IF(AND(N1240=0,O1240=0,E1240=0,F1240=0),"OK","ERREUR"),IF(AND(M1240&gt;=1,M1240&lt;=32,OR(N1240=4,N1240=6,N1240=8,N1240=10,N1240=12,N1240=20),O1240&gt;=0,E1240=M1240+O1240,F1240=M1240*N1240+O1240),"OK","ERREUR"))</x:f>
        <x:v>OK</x:v>
      </x:c>
      <x:c r="U1240" s="86" t="n">
        <x:f>IF(M1240&gt;0,M1240*(N1240+1)/2+O1240,0)</x:f>
        <x:v>23.5</x:v>
      </x:c>
      <x:c r="V1240" t="str">
        <x:f>IF(ABS(L1240-U1240)&lt;0.001,"OK","ERREUR")</x:f>
        <x:v>OK</x:v>
      </x:c>
    </x:row>
    <x:row r="1241" ht="18" customHeight="1">
      <x:c r="A1241" t="str">
        <x:v>ARM062</x:v>
      </x:c>
      <x:c r="B1241" t="str">
        <x:v>Baguette de feu</x:v>
      </x:c>
      <x:c r="C1241" t="n">
        <x:v>18</x:v>
      </x:c>
      <x:c r="D1241" t="str">
        <x:v>Focaliseurs</x:v>
      </x:c>
      <x:c r="E1241" s="28" t="n">
        <x:f>IF(M1241=0,0,M1241+O1241)</x:f>
        <x:v>17</x:v>
      </x:c>
      <x:c r="F1241" s="28" t="n">
        <x:f>IF(M1241=0,0,M1241*N1241+O1241)</x:f>
        <x:v>36</x:v>
      </x:c>
      <x:c r="G1241" s="28" t="n">
        <x:f>ROUND(Catalogue!G65*SQRT((1+'Paramètres'!$B$4*(C1241-1)+'Paramètres'!$B$5*(C1241-1)^2)),0)</x:f>
        <x:v>0</x:v>
      </x:c>
      <x:c r="H1241" s="28" t="n">
        <x:f>ROUND(Catalogue!H65*SQRT((1+'Paramètres'!$B$4*(C1241-1)+'Paramètres'!$B$5*(C1241-1)^2)),0)</x:f>
        <x:v>0</x:v>
      </x:c>
      <x:c r="I1241" s="28" t="n">
        <x:v>2</x:v>
      </x:c>
      <x:c r="J1241" s="28" t="n">
        <x:v>4</x:v>
      </x:c>
      <x:c r="K1241" s="30" t="n">
        <x:v>0.3</x:v>
      </x:c>
      <x:c r="L1241" s="54" t="n">
        <x:f>IF(M1241=0,0,(E1241+F1241)/2)</x:f>
        <x:v>26.5</x:v>
      </x:c>
      <x:c r="M1241" t="n">
        <x:v>1</x:v>
      </x:c>
      <x:c r="N1241" t="n">
        <x:v>20</x:v>
      </x:c>
      <x:c r="O1241" t="n">
        <x:v>16</x:v>
      </x:c>
      <x:c r="P1241" s="63" t="str">
        <x:f>IF(M1241=0,"—",M1241&amp;"d"&amp;N1241&amp;IF(O1241=0,""," + "&amp;O1241))</x:f>
        <x:v>1d20 + 16</x:v>
      </x:c>
      <x:c r="Q1241" t="n">
        <x:f>ROUND(INDEX(Catalogue!E$4:E$85,MATCH(A1241,Catalogue!A$4:A$85,0))*(1+'Paramètres'!$B$4*(C1241-1)+'Paramètres'!$B$5*(C1241-1)^2),0)</x:f>
        <x:v>15</x:v>
      </x:c>
      <x:c r="R1241" t="n">
        <x:f>ROUND(INDEX(Catalogue!F$4:F$85,MATCH(A1241,Catalogue!A$4:A$85,0))*(1+'Paramètres'!$B$4*(C1241-1)+'Paramètres'!$B$5*(C1241-1)^2),0)</x:f>
        <x:v>37</x:v>
      </x:c>
      <x:c r="S1241" t="n">
        <x:f>L1241-AVERAGE(Q1241:R1241)</x:f>
        <x:v>0.5</x:v>
      </x:c>
      <x:c r="T1241" t="str">
        <x:f>IF(M1241=0,IF(AND(N1241=0,O1241=0,E1241=0,F1241=0),"OK","ERREUR"),IF(AND(M1241&gt;=1,M1241&lt;=32,OR(N1241=4,N1241=6,N1241=8,N1241=10,N1241=12,N1241=20),O1241&gt;=0,E1241=M1241+O1241,F1241=M1241*N1241+O1241),"OK","ERREUR"))</x:f>
        <x:v>OK</x:v>
      </x:c>
      <x:c r="U1241" s="86" t="n">
        <x:f>IF(M1241&gt;0,M1241*(N1241+1)/2+O1241,0)</x:f>
        <x:v>26.5</x:v>
      </x:c>
      <x:c r="V1241" t="str">
        <x:f>IF(ABS(L1241-U1241)&lt;0.001,"OK","ERREUR")</x:f>
        <x:v>OK</x:v>
      </x:c>
    </x:row>
    <x:row r="1242" ht="18" customHeight="1">
      <x:c r="A1242" t="str">
        <x:v>ARM062</x:v>
      </x:c>
      <x:c r="B1242" t="str">
        <x:v>Baguette de feu</x:v>
      </x:c>
      <x:c r="C1242" t="n">
        <x:v>19</x:v>
      </x:c>
      <x:c r="D1242" t="str">
        <x:v>Focaliseurs</x:v>
      </x:c>
      <x:c r="E1242" s="28" t="n">
        <x:f>IF(M1242=0,0,M1242+O1242)</x:f>
        <x:v>19</x:v>
      </x:c>
      <x:c r="F1242" s="28" t="n">
        <x:f>IF(M1242=0,0,M1242*N1242+O1242)</x:f>
        <x:v>38</x:v>
      </x:c>
      <x:c r="G1242" s="28" t="n">
        <x:f>ROUND(Catalogue!G65*SQRT((1+'Paramètres'!$B$4*(C1242-1)+'Paramètres'!$B$5*(C1242-1)^2)),0)</x:f>
        <x:v>0</x:v>
      </x:c>
      <x:c r="H1242" s="28" t="n">
        <x:f>ROUND(Catalogue!H65*SQRT((1+'Paramètres'!$B$4*(C1242-1)+'Paramètres'!$B$5*(C1242-1)^2)),0)</x:f>
        <x:v>0</x:v>
      </x:c>
      <x:c r="I1242" s="28" t="n">
        <x:v>2</x:v>
      </x:c>
      <x:c r="J1242" s="28" t="n">
        <x:v>4</x:v>
      </x:c>
      <x:c r="K1242" s="30" t="n">
        <x:v>0.3</x:v>
      </x:c>
      <x:c r="L1242" s="54" t="n">
        <x:f>IF(M1242=0,0,(E1242+F1242)/2)</x:f>
        <x:v>28.5</x:v>
      </x:c>
      <x:c r="M1242" t="n">
        <x:v>1</x:v>
      </x:c>
      <x:c r="N1242" t="n">
        <x:v>20</x:v>
      </x:c>
      <x:c r="O1242" t="n">
        <x:v>18</x:v>
      </x:c>
      <x:c r="P1242" s="63" t="str">
        <x:f>IF(M1242=0,"—",M1242&amp;"d"&amp;N1242&amp;IF(O1242=0,""," + "&amp;O1242))</x:f>
        <x:v>1d20 + 18</x:v>
      </x:c>
      <x:c r="Q1242" t="n">
        <x:f>ROUND(INDEX(Catalogue!E$4:E$85,MATCH(A1242,Catalogue!A$4:A$85,0))*(1+'Paramètres'!$B$4*(C1242-1)+'Paramètres'!$B$5*(C1242-1)^2),0)</x:f>
        <x:v>16</x:v>
      </x:c>
      <x:c r="R1242" t="n">
        <x:f>ROUND(INDEX(Catalogue!F$4:F$85,MATCH(A1242,Catalogue!A$4:A$85,0))*(1+'Paramètres'!$B$4*(C1242-1)+'Paramètres'!$B$5*(C1242-1)^2),0)</x:f>
        <x:v>41</x:v>
      </x:c>
      <x:c r="S1242" t="n">
        <x:f>L1242-AVERAGE(Q1242:R1242)</x:f>
        <x:v>0</x:v>
      </x:c>
      <x:c r="T1242" t="str">
        <x:f>IF(M1242=0,IF(AND(N1242=0,O1242=0,E1242=0,F1242=0),"OK","ERREUR"),IF(AND(M1242&gt;=1,M1242&lt;=32,OR(N1242=4,N1242=6,N1242=8,N1242=10,N1242=12,N1242=20),O1242&gt;=0,E1242=M1242+O1242,F1242=M1242*N1242+O1242),"OK","ERREUR"))</x:f>
        <x:v>OK</x:v>
      </x:c>
      <x:c r="U1242" s="86" t="n">
        <x:f>IF(M1242&gt;0,M1242*(N1242+1)/2+O1242,0)</x:f>
        <x:v>28.5</x:v>
      </x:c>
      <x:c r="V1242" t="str">
        <x:f>IF(ABS(L1242-U1242)&lt;0.001,"OK","ERREUR")</x:f>
        <x:v>OK</x:v>
      </x:c>
    </x:row>
    <x:row r="1243" ht="18" customHeight="1">
      <x:c r="A1243" t="str">
        <x:v>ARM062</x:v>
      </x:c>
      <x:c r="B1243" t="str">
        <x:v>Baguette de feu</x:v>
      </x:c>
      <x:c r="C1243" t="n">
        <x:v>20</x:v>
      </x:c>
      <x:c r="D1243" t="str">
        <x:v>Focaliseurs</x:v>
      </x:c>
      <x:c r="E1243" s="28" t="n">
        <x:f>IF(M1243=0,0,M1243+O1243)</x:f>
        <x:v>21</x:v>
      </x:c>
      <x:c r="F1243" s="28" t="n">
        <x:f>IF(M1243=0,0,M1243*N1243+O1243)</x:f>
        <x:v>40</x:v>
      </x:c>
      <x:c r="G1243" s="28" t="n">
        <x:f>ROUND(Catalogue!G65*SQRT((1+'Paramètres'!$B$4*(C1243-1)+'Paramètres'!$B$5*(C1243-1)^2)),0)</x:f>
        <x:v>0</x:v>
      </x:c>
      <x:c r="H1243" s="28" t="n">
        <x:f>ROUND(Catalogue!H65*SQRT((1+'Paramètres'!$B$4*(C1243-1)+'Paramètres'!$B$5*(C1243-1)^2)),0)</x:f>
        <x:v>0</x:v>
      </x:c>
      <x:c r="I1243" s="28" t="n">
        <x:v>2</x:v>
      </x:c>
      <x:c r="J1243" s="28" t="n">
        <x:v>4</x:v>
      </x:c>
      <x:c r="K1243" s="30" t="n">
        <x:v>0.3</x:v>
      </x:c>
      <x:c r="L1243" s="54" t="n">
        <x:f>IF(M1243=0,0,(E1243+F1243)/2)</x:f>
        <x:v>30.5</x:v>
      </x:c>
      <x:c r="M1243" t="n">
        <x:v>1</x:v>
      </x:c>
      <x:c r="N1243" t="n">
        <x:v>20</x:v>
      </x:c>
      <x:c r="O1243" t="n">
        <x:v>20</x:v>
      </x:c>
      <x:c r="P1243" s="63" t="str">
        <x:f>IF(M1243=0,"—",M1243&amp;"d"&amp;N1243&amp;IF(O1243=0,""," + "&amp;O1243))</x:f>
        <x:v>1d20 + 20</x:v>
      </x:c>
      <x:c r="Q1243" t="n">
        <x:f>ROUND(INDEX(Catalogue!E$4:E$85,MATCH(A1243,Catalogue!A$4:A$85,0))*(1+'Paramètres'!$B$4*(C1243-1)+'Paramètres'!$B$5*(C1243-1)^2),0)</x:f>
        <x:v>18</x:v>
      </x:c>
      <x:c r="R1243" t="n">
        <x:f>ROUND(INDEX(Catalogue!F$4:F$85,MATCH(A1243,Catalogue!A$4:A$85,0))*(1+'Paramètres'!$B$4*(C1243-1)+'Paramètres'!$B$5*(C1243-1)^2),0)</x:f>
        <x:v>44</x:v>
      </x:c>
      <x:c r="S1243" t="n">
        <x:f>L1243-AVERAGE(Q1243:R1243)</x:f>
        <x:v>-0.5</x:v>
      </x:c>
      <x:c r="T1243" t="str">
        <x:f>IF(M1243=0,IF(AND(N1243=0,O1243=0,E1243=0,F1243=0),"OK","ERREUR"),IF(AND(M1243&gt;=1,M1243&lt;=32,OR(N1243=4,N1243=6,N1243=8,N1243=10,N1243=12,N1243=20),O1243&gt;=0,E1243=M1243+O1243,F1243=M1243*N1243+O1243),"OK","ERREUR"))</x:f>
        <x:v>OK</x:v>
      </x:c>
      <x:c r="U1243" s="86" t="n">
        <x:f>IF(M1243&gt;0,M1243*(N1243+1)/2+O1243,0)</x:f>
        <x:v>30.5</x:v>
      </x:c>
      <x:c r="V1243" t="str">
        <x:f>IF(ABS(L1243-U1243)&lt;0.001,"OK","ERREUR")</x:f>
        <x:v>OK</x:v>
      </x:c>
    </x:row>
    <x:row r="1244" ht="18" customHeight="1">
      <x:c r="A1244" t="str">
        <x:v>ARM063</x:v>
      </x:c>
      <x:c r="B1244" t="str">
        <x:v>Baguette de givre</x:v>
      </x:c>
      <x:c r="C1244" t="n">
        <x:v>1</x:v>
      </x:c>
      <x:c r="D1244" t="str">
        <x:v>Focaliseurs</x:v>
      </x:c>
      <x:c r="E1244" s="28" t="n">
        <x:f>IF(M1244=0,0,M1244+O1244)</x:f>
        <x:v>2</x:v>
      </x:c>
      <x:c r="F1244" s="28" t="n">
        <x:f>IF(M1244=0,0,M1244*N1244+O1244)</x:f>
        <x:v>5</x:v>
      </x:c>
      <x:c r="G1244" s="28" t="n">
        <x:f>ROUND(Catalogue!G66*SQRT((1+'Paramètres'!$B$4*(C1244-1)+'Paramètres'!$B$5*(C1244-1)^2)),0)</x:f>
        <x:v>0</x:v>
      </x:c>
      <x:c r="H1244" s="28" t="n">
        <x:f>ROUND(Catalogue!H66*SQRT((1+'Paramètres'!$B$4*(C1244-1)+'Paramètres'!$B$5*(C1244-1)^2)),0)</x:f>
        <x:v>0</x:v>
      </x:c>
      <x:c r="I1244" s="28" t="n">
        <x:v>2</x:v>
      </x:c>
      <x:c r="J1244" s="28" t="n">
        <x:v>4</x:v>
      </x:c>
      <x:c r="K1244" s="30" t="n">
        <x:v>0.3</x:v>
      </x:c>
      <x:c r="L1244" s="54" t="n">
        <x:f>IF(M1244=0,0,(E1244+F1244)/2)</x:f>
        <x:v>3.5</x:v>
      </x:c>
      <x:c r="M1244" t="n">
        <x:v>1</x:v>
      </x:c>
      <x:c r="N1244" t="n">
        <x:v>4</x:v>
      </x:c>
      <x:c r="O1244" t="n">
        <x:v>1</x:v>
      </x:c>
      <x:c r="P1244" s="63" t="str">
        <x:f>IF(M1244=0,"—",M1244&amp;"d"&amp;N1244&amp;IF(O1244=0,""," + "&amp;O1244))</x:f>
        <x:v>1d4 + 1</x:v>
      </x:c>
      <x:c r="Q1244" t="n">
        <x:f>ROUND(INDEX(Catalogue!E$4:E$85,MATCH(A1244,Catalogue!A$4:A$85,0))*(1+'Paramètres'!$B$4*(C1244-1)+'Paramètres'!$B$5*(C1244-1)^2),0)</x:f>
        <x:v>2</x:v>
      </x:c>
      <x:c r="R1244" t="n">
        <x:f>ROUND(INDEX(Catalogue!F$4:F$85,MATCH(A1244,Catalogue!A$4:A$85,0))*(1+'Paramètres'!$B$4*(C1244-1)+'Paramètres'!$B$5*(C1244-1)^2),0)</x:f>
        <x:v>5</x:v>
      </x:c>
      <x:c r="S1244" t="n">
        <x:f>L1244-AVERAGE(Q1244:R1244)</x:f>
        <x:v>0</x:v>
      </x:c>
      <x:c r="T1244" t="str">
        <x:f>IF(M1244=0,IF(AND(N1244=0,O1244=0,E1244=0,F1244=0),"OK","ERREUR"),IF(AND(M1244&gt;=1,M1244&lt;=32,OR(N1244=4,N1244=6,N1244=8,N1244=10,N1244=12,N1244=20),O1244&gt;=0,E1244=M1244+O1244,F1244=M1244*N1244+O1244),"OK","ERREUR"))</x:f>
        <x:v>OK</x:v>
      </x:c>
      <x:c r="U1244" s="86" t="n">
        <x:f>IF(M1244&gt;0,M1244*(N1244+1)/2+O1244,0)</x:f>
        <x:v>3.5</x:v>
      </x:c>
      <x:c r="V1244" t="str">
        <x:f>IF(ABS(L1244-U1244)&lt;0.001,"OK","ERREUR")</x:f>
        <x:v>OK</x:v>
      </x:c>
    </x:row>
    <x:row r="1245" ht="18" customHeight="1">
      <x:c r="A1245" t="str">
        <x:v>ARM063</x:v>
      </x:c>
      <x:c r="B1245" t="str">
        <x:v>Baguette de givre</x:v>
      </x:c>
      <x:c r="C1245" t="n">
        <x:v>2</x:v>
      </x:c>
      <x:c r="D1245" t="str">
        <x:v>Focaliseurs</x:v>
      </x:c>
      <x:c r="E1245" s="28" t="n">
        <x:f>IF(M1245=0,0,M1245+O1245)</x:f>
        <x:v>2</x:v>
      </x:c>
      <x:c r="F1245" s="28" t="n">
        <x:f>IF(M1245=0,0,M1245*N1245+O1245)</x:f>
        <x:v>5</x:v>
      </x:c>
      <x:c r="G1245" s="28" t="n">
        <x:f>ROUND(Catalogue!G66*SQRT((1+'Paramètres'!$B$4*(C1245-1)+'Paramètres'!$B$5*(C1245-1)^2)),0)</x:f>
        <x:v>0</x:v>
      </x:c>
      <x:c r="H1245" s="28" t="n">
        <x:f>ROUND(Catalogue!H66*SQRT((1+'Paramètres'!$B$4*(C1245-1)+'Paramètres'!$B$5*(C1245-1)^2)),0)</x:f>
        <x:v>0</x:v>
      </x:c>
      <x:c r="I1245" s="28" t="n">
        <x:v>2</x:v>
      </x:c>
      <x:c r="J1245" s="28" t="n">
        <x:v>4</x:v>
      </x:c>
      <x:c r="K1245" s="30" t="n">
        <x:v>0.3</x:v>
      </x:c>
      <x:c r="L1245" s="54" t="n">
        <x:f>IF(M1245=0,0,(E1245+F1245)/2)</x:f>
        <x:v>3.5</x:v>
      </x:c>
      <x:c r="M1245" t="n">
        <x:v>1</x:v>
      </x:c>
      <x:c r="N1245" t="n">
        <x:v>4</x:v>
      </x:c>
      <x:c r="O1245" t="n">
        <x:v>1</x:v>
      </x:c>
      <x:c r="P1245" s="63" t="str">
        <x:f>IF(M1245=0,"—",M1245&amp;"d"&amp;N1245&amp;IF(O1245=0,""," + "&amp;O1245))</x:f>
        <x:v>1d4 + 1</x:v>
      </x:c>
      <x:c r="Q1245" t="n">
        <x:f>ROUND(INDEX(Catalogue!E$4:E$85,MATCH(A1245,Catalogue!A$4:A$85,0))*(1+'Paramètres'!$B$4*(C1245-1)+'Paramètres'!$B$5*(C1245-1)^2),0)</x:f>
        <x:v>2</x:v>
      </x:c>
      <x:c r="R1245" t="n">
        <x:f>ROUND(INDEX(Catalogue!F$4:F$85,MATCH(A1245,Catalogue!A$4:A$85,0))*(1+'Paramètres'!$B$4*(C1245-1)+'Paramètres'!$B$5*(C1245-1)^2),0)</x:f>
        <x:v>6</x:v>
      </x:c>
      <x:c r="S1245" t="n">
        <x:f>L1245-AVERAGE(Q1245:R1245)</x:f>
        <x:v>-0.5</x:v>
      </x:c>
      <x:c r="T1245" t="str">
        <x:f>IF(M1245=0,IF(AND(N1245=0,O1245=0,E1245=0,F1245=0),"OK","ERREUR"),IF(AND(M1245&gt;=1,M1245&lt;=32,OR(N1245=4,N1245=6,N1245=8,N1245=10,N1245=12,N1245=20),O1245&gt;=0,E1245=M1245+O1245,F1245=M1245*N1245+O1245),"OK","ERREUR"))</x:f>
        <x:v>OK</x:v>
      </x:c>
      <x:c r="U1245" s="86" t="n">
        <x:f>IF(M1245&gt;0,M1245*(N1245+1)/2+O1245,0)</x:f>
        <x:v>3.5</x:v>
      </x:c>
      <x:c r="V1245" t="str">
        <x:f>IF(ABS(L1245-U1245)&lt;0.001,"OK","ERREUR")</x:f>
        <x:v>OK</x:v>
      </x:c>
    </x:row>
    <x:row r="1246" ht="18" customHeight="1">
      <x:c r="A1246" t="str">
        <x:v>ARM063</x:v>
      </x:c>
      <x:c r="B1246" t="str">
        <x:v>Baguette de givre</x:v>
      </x:c>
      <x:c r="C1246" t="n">
        <x:v>3</x:v>
      </x:c>
      <x:c r="D1246" t="str">
        <x:v>Focaliseurs</x:v>
      </x:c>
      <x:c r="E1246" s="28" t="n">
        <x:f>IF(M1246=0,0,M1246+O1246)</x:f>
        <x:v>3</x:v>
      </x:c>
      <x:c r="F1246" s="28" t="n">
        <x:f>IF(M1246=0,0,M1246*N1246+O1246)</x:f>
        <x:v>6</x:v>
      </x:c>
      <x:c r="G1246" s="28" t="n">
        <x:f>ROUND(Catalogue!G66*SQRT((1+'Paramètres'!$B$4*(C1246-1)+'Paramètres'!$B$5*(C1246-1)^2)),0)</x:f>
        <x:v>0</x:v>
      </x:c>
      <x:c r="H1246" s="28" t="n">
        <x:f>ROUND(Catalogue!H66*SQRT((1+'Paramètres'!$B$4*(C1246-1)+'Paramètres'!$B$5*(C1246-1)^2)),0)</x:f>
        <x:v>0</x:v>
      </x:c>
      <x:c r="I1246" s="28" t="n">
        <x:v>2</x:v>
      </x:c>
      <x:c r="J1246" s="28" t="n">
        <x:v>4</x:v>
      </x:c>
      <x:c r="K1246" s="30" t="n">
        <x:v>0.3</x:v>
      </x:c>
      <x:c r="L1246" s="54" t="n">
        <x:f>IF(M1246=0,0,(E1246+F1246)/2)</x:f>
        <x:v>4.5</x:v>
      </x:c>
      <x:c r="M1246" t="n">
        <x:v>1</x:v>
      </x:c>
      <x:c r="N1246" t="n">
        <x:v>4</x:v>
      </x:c>
      <x:c r="O1246" t="n">
        <x:v>2</x:v>
      </x:c>
      <x:c r="P1246" s="63" t="str">
        <x:f>IF(M1246=0,"—",M1246&amp;"d"&amp;N1246&amp;IF(O1246=0,""," + "&amp;O1246))</x:f>
        <x:v>1d4 + 2</x:v>
      </x:c>
      <x:c r="Q1246" t="n">
        <x:f>ROUND(INDEX(Catalogue!E$4:E$85,MATCH(A1246,Catalogue!A$4:A$85,0))*(1+'Paramètres'!$B$4*(C1246-1)+'Paramètres'!$B$5*(C1246-1)^2),0)</x:f>
        <x:v>3</x:v>
      </x:c>
      <x:c r="R1246" t="n">
        <x:f>ROUND(INDEX(Catalogue!F$4:F$85,MATCH(A1246,Catalogue!A$4:A$85,0))*(1+'Paramètres'!$B$4*(C1246-1)+'Paramètres'!$B$5*(C1246-1)^2),0)</x:f>
        <x:v>6</x:v>
      </x:c>
      <x:c r="S1246" t="n">
        <x:f>L1246-AVERAGE(Q1246:R1246)</x:f>
        <x:v>0</x:v>
      </x:c>
      <x:c r="T1246" t="str">
        <x:f>IF(M1246=0,IF(AND(N1246=0,O1246=0,E1246=0,F1246=0),"OK","ERREUR"),IF(AND(M1246&gt;=1,M1246&lt;=32,OR(N1246=4,N1246=6,N1246=8,N1246=10,N1246=12,N1246=20),O1246&gt;=0,E1246=M1246+O1246,F1246=M1246*N1246+O1246),"OK","ERREUR"))</x:f>
        <x:v>OK</x:v>
      </x:c>
      <x:c r="U1246" s="86" t="n">
        <x:f>IF(M1246&gt;0,M1246*(N1246+1)/2+O1246,0)</x:f>
        <x:v>4.5</x:v>
      </x:c>
      <x:c r="V1246" t="str">
        <x:f>IF(ABS(L1246-U1246)&lt;0.001,"OK","ERREUR")</x:f>
        <x:v>OK</x:v>
      </x:c>
    </x:row>
    <x:row r="1247" ht="18" customHeight="1">
      <x:c r="A1247" t="str">
        <x:v>ARM063</x:v>
      </x:c>
      <x:c r="B1247" t="str">
        <x:v>Baguette de givre</x:v>
      </x:c>
      <x:c r="C1247" t="n">
        <x:v>4</x:v>
      </x:c>
      <x:c r="D1247" t="str">
        <x:v>Focaliseurs</x:v>
      </x:c>
      <x:c r="E1247" s="28" t="n">
        <x:f>IF(M1247=0,0,M1247+O1247)</x:f>
        <x:v>3</x:v>
      </x:c>
      <x:c r="F1247" s="28" t="n">
        <x:f>IF(M1247=0,0,M1247*N1247+O1247)</x:f>
        <x:v>6</x:v>
      </x:c>
      <x:c r="G1247" s="28" t="n">
        <x:f>ROUND(Catalogue!G66*SQRT((1+'Paramètres'!$B$4*(C1247-1)+'Paramètres'!$B$5*(C1247-1)^2)),0)</x:f>
        <x:v>0</x:v>
      </x:c>
      <x:c r="H1247" s="28" t="n">
        <x:f>ROUND(Catalogue!H66*SQRT((1+'Paramètres'!$B$4*(C1247-1)+'Paramètres'!$B$5*(C1247-1)^2)),0)</x:f>
        <x:v>0</x:v>
      </x:c>
      <x:c r="I1247" s="28" t="n">
        <x:v>2</x:v>
      </x:c>
      <x:c r="J1247" s="28" t="n">
        <x:v>4</x:v>
      </x:c>
      <x:c r="K1247" s="30" t="n">
        <x:v>0.3</x:v>
      </x:c>
      <x:c r="L1247" s="54" t="n">
        <x:f>IF(M1247=0,0,(E1247+F1247)/2)</x:f>
        <x:v>4.5</x:v>
      </x:c>
      <x:c r="M1247" t="n">
        <x:v>1</x:v>
      </x:c>
      <x:c r="N1247" t="n">
        <x:v>4</x:v>
      </x:c>
      <x:c r="O1247" t="n">
        <x:v>2</x:v>
      </x:c>
      <x:c r="P1247" s="63" t="str">
        <x:f>IF(M1247=0,"—",M1247&amp;"d"&amp;N1247&amp;IF(O1247=0,""," + "&amp;O1247))</x:f>
        <x:v>1d4 + 2</x:v>
      </x:c>
      <x:c r="Q1247" t="n">
        <x:f>ROUND(INDEX(Catalogue!E$4:E$85,MATCH(A1247,Catalogue!A$4:A$85,0))*(1+'Paramètres'!$B$4*(C1247-1)+'Paramètres'!$B$5*(C1247-1)^2),0)</x:f>
        <x:v>3</x:v>
      </x:c>
      <x:c r="R1247" t="n">
        <x:f>ROUND(INDEX(Catalogue!F$4:F$85,MATCH(A1247,Catalogue!A$4:A$85,0))*(1+'Paramètres'!$B$4*(C1247-1)+'Paramètres'!$B$5*(C1247-1)^2),0)</x:f>
        <x:v>7</x:v>
      </x:c>
      <x:c r="S1247" t="n">
        <x:f>L1247-AVERAGE(Q1247:R1247)</x:f>
        <x:v>-0.5</x:v>
      </x:c>
      <x:c r="T1247" t="str">
        <x:f>IF(M1247=0,IF(AND(N1247=0,O1247=0,E1247=0,F1247=0),"OK","ERREUR"),IF(AND(M1247&gt;=1,M1247&lt;=32,OR(N1247=4,N1247=6,N1247=8,N1247=10,N1247=12,N1247=20),O1247&gt;=0,E1247=M1247+O1247,F1247=M1247*N1247+O1247),"OK","ERREUR"))</x:f>
        <x:v>OK</x:v>
      </x:c>
      <x:c r="U1247" s="86" t="n">
        <x:f>IF(M1247&gt;0,M1247*(N1247+1)/2+O1247,0)</x:f>
        <x:v>4.5</x:v>
      </x:c>
      <x:c r="V1247" t="str">
        <x:f>IF(ABS(L1247-U1247)&lt;0.001,"OK","ERREUR")</x:f>
        <x:v>OK</x:v>
      </x:c>
    </x:row>
    <x:row r="1248" ht="18" customHeight="1">
      <x:c r="A1248" t="str">
        <x:v>ARM063</x:v>
      </x:c>
      <x:c r="B1248" t="str">
        <x:v>Baguette de givre</x:v>
      </x:c>
      <x:c r="C1248" t="n">
        <x:v>5</x:v>
      </x:c>
      <x:c r="D1248" t="str">
        <x:v>Focaliseurs</x:v>
      </x:c>
      <x:c r="E1248" s="28" t="n">
        <x:f>IF(M1248=0,0,M1248+O1248)</x:f>
        <x:v>3</x:v>
      </x:c>
      <x:c r="F1248" s="28" t="n">
        <x:f>IF(M1248=0,0,M1248*N1248+O1248)</x:f>
        <x:v>8</x:v>
      </x:c>
      <x:c r="G1248" s="28" t="n">
        <x:f>ROUND(Catalogue!G66*SQRT((1+'Paramètres'!$B$4*(C1248-1)+'Paramètres'!$B$5*(C1248-1)^2)),0)</x:f>
        <x:v>0</x:v>
      </x:c>
      <x:c r="H1248" s="28" t="n">
        <x:f>ROUND(Catalogue!H66*SQRT((1+'Paramètres'!$B$4*(C1248-1)+'Paramètres'!$B$5*(C1248-1)^2)),0)</x:f>
        <x:v>0</x:v>
      </x:c>
      <x:c r="I1248" s="28" t="n">
        <x:v>2</x:v>
      </x:c>
      <x:c r="J1248" s="28" t="n">
        <x:v>4</x:v>
      </x:c>
      <x:c r="K1248" s="30" t="n">
        <x:v>0.3</x:v>
      </x:c>
      <x:c r="L1248" s="54" t="n">
        <x:f>IF(M1248=0,0,(E1248+F1248)/2)</x:f>
        <x:v>5.5</x:v>
      </x:c>
      <x:c r="M1248" t="n">
        <x:v>1</x:v>
      </x:c>
      <x:c r="N1248" t="n">
        <x:v>6</x:v>
      </x:c>
      <x:c r="O1248" t="n">
        <x:v>2</x:v>
      </x:c>
      <x:c r="P1248" s="63" t="str">
        <x:f>IF(M1248=0,"—",M1248&amp;"d"&amp;N1248&amp;IF(O1248=0,""," + "&amp;O1248))</x:f>
        <x:v>1d6 + 2</x:v>
      </x:c>
      <x:c r="Q1248" t="n">
        <x:f>ROUND(INDEX(Catalogue!E$4:E$85,MATCH(A1248,Catalogue!A$4:A$85,0))*(1+'Paramètres'!$B$4*(C1248-1)+'Paramètres'!$B$5*(C1248-1)^2),0)</x:f>
        <x:v>3</x:v>
      </x:c>
      <x:c r="R1248" t="n">
        <x:f>ROUND(INDEX(Catalogue!F$4:F$85,MATCH(A1248,Catalogue!A$4:A$85,0))*(1+'Paramètres'!$B$4*(C1248-1)+'Paramètres'!$B$5*(C1248-1)^2),0)</x:f>
        <x:v>8</x:v>
      </x:c>
      <x:c r="S1248" t="n">
        <x:f>L1248-AVERAGE(Q1248:R1248)</x:f>
        <x:v>0</x:v>
      </x:c>
      <x:c r="T1248" t="str">
        <x:f>IF(M1248=0,IF(AND(N1248=0,O1248=0,E1248=0,F1248=0),"OK","ERREUR"),IF(AND(M1248&gt;=1,M1248&lt;=32,OR(N1248=4,N1248=6,N1248=8,N1248=10,N1248=12,N1248=20),O1248&gt;=0,E1248=M1248+O1248,F1248=M1248*N1248+O1248),"OK","ERREUR"))</x:f>
        <x:v>OK</x:v>
      </x:c>
      <x:c r="U1248" s="86" t="n">
        <x:f>IF(M1248&gt;0,M1248*(N1248+1)/2+O1248,0)</x:f>
        <x:v>5.5</x:v>
      </x:c>
      <x:c r="V1248" t="str">
        <x:f>IF(ABS(L1248-U1248)&lt;0.001,"OK","ERREUR")</x:f>
        <x:v>OK</x:v>
      </x:c>
    </x:row>
    <x:row r="1249" ht="18" customHeight="1">
      <x:c r="A1249" t="str">
        <x:v>ARM063</x:v>
      </x:c>
      <x:c r="B1249" t="str">
        <x:v>Baguette de givre</x:v>
      </x:c>
      <x:c r="C1249" t="n">
        <x:v>6</x:v>
      </x:c>
      <x:c r="D1249" t="str">
        <x:v>Focaliseurs</x:v>
      </x:c>
      <x:c r="E1249" s="28" t="n">
        <x:f>IF(M1249=0,0,M1249+O1249)</x:f>
        <x:v>4</x:v>
      </x:c>
      <x:c r="F1249" s="28" t="n">
        <x:f>IF(M1249=0,0,M1249*N1249+O1249)</x:f>
        <x:v>10</x:v>
      </x:c>
      <x:c r="G1249" s="28" t="n">
        <x:f>ROUND(Catalogue!G66*SQRT((1+'Paramètres'!$B$4*(C1249-1)+'Paramètres'!$B$5*(C1249-1)^2)),0)</x:f>
        <x:v>0</x:v>
      </x:c>
      <x:c r="H1249" s="28" t="n">
        <x:f>ROUND(Catalogue!H66*SQRT((1+'Paramètres'!$B$4*(C1249-1)+'Paramètres'!$B$5*(C1249-1)^2)),0)</x:f>
        <x:v>0</x:v>
      </x:c>
      <x:c r="I1249" s="28" t="n">
        <x:v>2</x:v>
      </x:c>
      <x:c r="J1249" s="28" t="n">
        <x:v>4</x:v>
      </x:c>
      <x:c r="K1249" s="30" t="n">
        <x:v>0.3</x:v>
      </x:c>
      <x:c r="L1249" s="54" t="n">
        <x:f>IF(M1249=0,0,(E1249+F1249)/2)</x:f>
        <x:v>7</x:v>
      </x:c>
      <x:c r="M1249" t="n">
        <x:v>2</x:v>
      </x:c>
      <x:c r="N1249" t="n">
        <x:v>4</x:v>
      </x:c>
      <x:c r="O1249" t="n">
        <x:v>2</x:v>
      </x:c>
      <x:c r="P1249" s="63" t="str">
        <x:f>IF(M1249=0,"—",M1249&amp;"d"&amp;N1249&amp;IF(O1249=0,""," + "&amp;O1249))</x:f>
        <x:v>2d4 + 2</x:v>
      </x:c>
      <x:c r="Q1249" t="n">
        <x:f>ROUND(INDEX(Catalogue!E$4:E$85,MATCH(A1249,Catalogue!A$4:A$85,0))*(1+'Paramètres'!$B$4*(C1249-1)+'Paramètres'!$B$5*(C1249-1)^2),0)</x:f>
        <x:v>4</x:v>
      </x:c>
      <x:c r="R1249" t="n">
        <x:f>ROUND(INDEX(Catalogue!F$4:F$85,MATCH(A1249,Catalogue!A$4:A$85,0))*(1+'Paramètres'!$B$4*(C1249-1)+'Paramètres'!$B$5*(C1249-1)^2),0)</x:f>
        <x:v>10</x:v>
      </x:c>
      <x:c r="S1249" t="n">
        <x:f>L1249-AVERAGE(Q1249:R1249)</x:f>
        <x:v>0</x:v>
      </x:c>
      <x:c r="T1249" t="str">
        <x:f>IF(M1249=0,IF(AND(N1249=0,O1249=0,E1249=0,F1249=0),"OK","ERREUR"),IF(AND(M1249&gt;=1,M1249&lt;=32,OR(N1249=4,N1249=6,N1249=8,N1249=10,N1249=12,N1249=20),O1249&gt;=0,E1249=M1249+O1249,F1249=M1249*N1249+O1249),"OK","ERREUR"))</x:f>
        <x:v>OK</x:v>
      </x:c>
      <x:c r="U1249" s="86" t="n">
        <x:f>IF(M1249&gt;0,M1249*(N1249+1)/2+O1249,0)</x:f>
        <x:v>7</x:v>
      </x:c>
      <x:c r="V1249" t="str">
        <x:f>IF(ABS(L1249-U1249)&lt;0.001,"OK","ERREUR")</x:f>
        <x:v>OK</x:v>
      </x:c>
    </x:row>
    <x:row r="1250" ht="18" customHeight="1">
      <x:c r="A1250" t="str">
        <x:v>ARM063</x:v>
      </x:c>
      <x:c r="B1250" t="str">
        <x:v>Baguette de givre</x:v>
      </x:c>
      <x:c r="C1250" t="n">
        <x:v>7</x:v>
      </x:c>
      <x:c r="D1250" t="str">
        <x:v>Focaliseurs</x:v>
      </x:c>
      <x:c r="E1250" s="28" t="n">
        <x:f>IF(M1250=0,0,M1250+O1250)</x:f>
        <x:v>4</x:v>
      </x:c>
      <x:c r="F1250" s="28" t="n">
        <x:f>IF(M1250=0,0,M1250*N1250+O1250)</x:f>
        <x:v>11</x:v>
      </x:c>
      <x:c r="G1250" s="28" t="n">
        <x:f>ROUND(Catalogue!G66*SQRT((1+'Paramètres'!$B$4*(C1250-1)+'Paramètres'!$B$5*(C1250-1)^2)),0)</x:f>
        <x:v>0</x:v>
      </x:c>
      <x:c r="H1250" s="28" t="n">
        <x:f>ROUND(Catalogue!H66*SQRT((1+'Paramètres'!$B$4*(C1250-1)+'Paramètres'!$B$5*(C1250-1)^2)),0)</x:f>
        <x:v>0</x:v>
      </x:c>
      <x:c r="I1250" s="28" t="n">
        <x:v>2</x:v>
      </x:c>
      <x:c r="J1250" s="28" t="n">
        <x:v>4</x:v>
      </x:c>
      <x:c r="K1250" s="30" t="n">
        <x:v>0.3</x:v>
      </x:c>
      <x:c r="L1250" s="54" t="n">
        <x:f>IF(M1250=0,0,(E1250+F1250)/2)</x:f>
        <x:v>7.5</x:v>
      </x:c>
      <x:c r="M1250" t="n">
        <x:v>1</x:v>
      </x:c>
      <x:c r="N1250" t="n">
        <x:v>8</x:v>
      </x:c>
      <x:c r="O1250" t="n">
        <x:v>3</x:v>
      </x:c>
      <x:c r="P1250" s="63" t="str">
        <x:f>IF(M1250=0,"—",M1250&amp;"d"&amp;N1250&amp;IF(O1250=0,""," + "&amp;O1250))</x:f>
        <x:v>1d8 + 3</x:v>
      </x:c>
      <x:c r="Q1250" t="n">
        <x:f>ROUND(INDEX(Catalogue!E$4:E$85,MATCH(A1250,Catalogue!A$4:A$85,0))*(1+'Paramètres'!$B$4*(C1250-1)+'Paramètres'!$B$5*(C1250-1)^2),0)</x:f>
        <x:v>4</x:v>
      </x:c>
      <x:c r="R1250" t="n">
        <x:f>ROUND(INDEX(Catalogue!F$4:F$85,MATCH(A1250,Catalogue!A$4:A$85,0))*(1+'Paramètres'!$B$4*(C1250-1)+'Paramètres'!$B$5*(C1250-1)^2),0)</x:f>
        <x:v>11</x:v>
      </x:c>
      <x:c r="S1250" t="n">
        <x:f>L1250-AVERAGE(Q1250:R1250)</x:f>
        <x:v>0</x:v>
      </x:c>
      <x:c r="T1250" t="str">
        <x:f>IF(M1250=0,IF(AND(N1250=0,O1250=0,E1250=0,F1250=0),"OK","ERREUR"),IF(AND(M1250&gt;=1,M1250&lt;=32,OR(N1250=4,N1250=6,N1250=8,N1250=10,N1250=12,N1250=20),O1250&gt;=0,E1250=M1250+O1250,F1250=M1250*N1250+O1250),"OK","ERREUR"))</x:f>
        <x:v>OK</x:v>
      </x:c>
      <x:c r="U1250" s="86" t="n">
        <x:f>IF(M1250&gt;0,M1250*(N1250+1)/2+O1250,0)</x:f>
        <x:v>7.5</x:v>
      </x:c>
      <x:c r="V1250" t="str">
        <x:f>IF(ABS(L1250-U1250)&lt;0.001,"OK","ERREUR")</x:f>
        <x:v>OK</x:v>
      </x:c>
    </x:row>
    <x:row r="1251" ht="18" customHeight="1">
      <x:c r="A1251" t="str">
        <x:v>ARM063</x:v>
      </x:c>
      <x:c r="B1251" t="str">
        <x:v>Baguette de givre</x:v>
      </x:c>
      <x:c r="C1251" t="n">
        <x:v>8</x:v>
      </x:c>
      <x:c r="D1251" t="str">
        <x:v>Focaliseurs</x:v>
      </x:c>
      <x:c r="E1251" s="28" t="n">
        <x:f>IF(M1251=0,0,M1251+O1251)</x:f>
        <x:v>4</x:v>
      </x:c>
      <x:c r="F1251" s="28" t="n">
        <x:f>IF(M1251=0,0,M1251*N1251+O1251)</x:f>
        <x:v>13</x:v>
      </x:c>
      <x:c r="G1251" s="28" t="n">
        <x:f>ROUND(Catalogue!G66*SQRT((1+'Paramètres'!$B$4*(C1251-1)+'Paramètres'!$B$5*(C1251-1)^2)),0)</x:f>
        <x:v>0</x:v>
      </x:c>
      <x:c r="H1251" s="28" t="n">
        <x:f>ROUND(Catalogue!H66*SQRT((1+'Paramètres'!$B$4*(C1251-1)+'Paramètres'!$B$5*(C1251-1)^2)),0)</x:f>
        <x:v>0</x:v>
      </x:c>
      <x:c r="I1251" s="28" t="n">
        <x:v>2</x:v>
      </x:c>
      <x:c r="J1251" s="28" t="n">
        <x:v>4</x:v>
      </x:c>
      <x:c r="K1251" s="30" t="n">
        <x:v>0.3</x:v>
      </x:c>
      <x:c r="L1251" s="54" t="n">
        <x:f>IF(M1251=0,0,(E1251+F1251)/2)</x:f>
        <x:v>8.5</x:v>
      </x:c>
      <x:c r="M1251" t="n">
        <x:v>3</x:v>
      </x:c>
      <x:c r="N1251" t="n">
        <x:v>4</x:v>
      </x:c>
      <x:c r="O1251" t="n">
        <x:v>1</x:v>
      </x:c>
      <x:c r="P1251" s="63" t="str">
        <x:f>IF(M1251=0,"—",M1251&amp;"d"&amp;N1251&amp;IF(O1251=0,""," + "&amp;O1251))</x:f>
        <x:v>3d4 + 1</x:v>
      </x:c>
      <x:c r="Q1251" t="n">
        <x:f>ROUND(INDEX(Catalogue!E$4:E$85,MATCH(A1251,Catalogue!A$4:A$85,0))*(1+'Paramètres'!$B$4*(C1251-1)+'Paramètres'!$B$5*(C1251-1)^2),0)</x:f>
        <x:v>5</x:v>
      </x:c>
      <x:c r="R1251" t="n">
        <x:f>ROUND(INDEX(Catalogue!F$4:F$85,MATCH(A1251,Catalogue!A$4:A$85,0))*(1+'Paramètres'!$B$4*(C1251-1)+'Paramètres'!$B$5*(C1251-1)^2),0)</x:f>
        <x:v>13</x:v>
      </x:c>
      <x:c r="S1251" t="n">
        <x:f>L1251-AVERAGE(Q1251:R1251)</x:f>
        <x:v>-0.5</x:v>
      </x:c>
      <x:c r="T1251" t="str">
        <x:f>IF(M1251=0,IF(AND(N1251=0,O1251=0,E1251=0,F1251=0),"OK","ERREUR"),IF(AND(M1251&gt;=1,M1251&lt;=32,OR(N1251=4,N1251=6,N1251=8,N1251=10,N1251=12,N1251=20),O1251&gt;=0,E1251=M1251+O1251,F1251=M1251*N1251+O1251),"OK","ERREUR"))</x:f>
        <x:v>OK</x:v>
      </x:c>
      <x:c r="U1251" s="86" t="n">
        <x:f>IF(M1251&gt;0,M1251*(N1251+1)/2+O1251,0)</x:f>
        <x:v>8.5</x:v>
      </x:c>
      <x:c r="V1251" t="str">
        <x:f>IF(ABS(L1251-U1251)&lt;0.001,"OK","ERREUR")</x:f>
        <x:v>OK</x:v>
      </x:c>
    </x:row>
    <x:row r="1252" ht="18" customHeight="1">
      <x:c r="A1252" t="str">
        <x:v>ARM063</x:v>
      </x:c>
      <x:c r="B1252" t="str">
        <x:v>Baguette de givre</x:v>
      </x:c>
      <x:c r="C1252" t="n">
        <x:v>9</x:v>
      </x:c>
      <x:c r="D1252" t="str">
        <x:v>Focaliseurs</x:v>
      </x:c>
      <x:c r="E1252" s="28" t="n">
        <x:f>IF(M1252=0,0,M1252+O1252)</x:f>
        <x:v>6</x:v>
      </x:c>
      <x:c r="F1252" s="28" t="n">
        <x:f>IF(M1252=0,0,M1252*N1252+O1252)</x:f>
        <x:v>15</x:v>
      </x:c>
      <x:c r="G1252" s="28" t="n">
        <x:f>ROUND(Catalogue!G66*SQRT((1+'Paramètres'!$B$4*(C1252-1)+'Paramètres'!$B$5*(C1252-1)^2)),0)</x:f>
        <x:v>0</x:v>
      </x:c>
      <x:c r="H1252" s="28" t="n">
        <x:f>ROUND(Catalogue!H66*SQRT((1+'Paramètres'!$B$4*(C1252-1)+'Paramètres'!$B$5*(C1252-1)^2)),0)</x:f>
        <x:v>0</x:v>
      </x:c>
      <x:c r="I1252" s="28" t="n">
        <x:v>2</x:v>
      </x:c>
      <x:c r="J1252" s="28" t="n">
        <x:v>4</x:v>
      </x:c>
      <x:c r="K1252" s="30" t="n">
        <x:v>0.3</x:v>
      </x:c>
      <x:c r="L1252" s="54" t="n">
        <x:f>IF(M1252=0,0,(E1252+F1252)/2)</x:f>
        <x:v>10.5</x:v>
      </x:c>
      <x:c r="M1252" t="n">
        <x:v>3</x:v>
      </x:c>
      <x:c r="N1252" t="n">
        <x:v>4</x:v>
      </x:c>
      <x:c r="O1252" t="n">
        <x:v>3</x:v>
      </x:c>
      <x:c r="P1252" s="63" t="str">
        <x:f>IF(M1252=0,"—",M1252&amp;"d"&amp;N1252&amp;IF(O1252=0,""," + "&amp;O1252))</x:f>
        <x:v>3d4 + 3</x:v>
      </x:c>
      <x:c r="Q1252" t="n">
        <x:f>ROUND(INDEX(Catalogue!E$4:E$85,MATCH(A1252,Catalogue!A$4:A$85,0))*(1+'Paramètres'!$B$4*(C1252-1)+'Paramètres'!$B$5*(C1252-1)^2),0)</x:f>
        <x:v>6</x:v>
      </x:c>
      <x:c r="R1252" t="n">
        <x:f>ROUND(INDEX(Catalogue!F$4:F$85,MATCH(A1252,Catalogue!A$4:A$85,0))*(1+'Paramètres'!$B$4*(C1252-1)+'Paramètres'!$B$5*(C1252-1)^2),0)</x:f>
        <x:v>15</x:v>
      </x:c>
      <x:c r="S1252" t="n">
        <x:f>L1252-AVERAGE(Q1252:R1252)</x:f>
        <x:v>0</x:v>
      </x:c>
      <x:c r="T1252" t="str">
        <x:f>IF(M1252=0,IF(AND(N1252=0,O1252=0,E1252=0,F1252=0),"OK","ERREUR"),IF(AND(M1252&gt;=1,M1252&lt;=32,OR(N1252=4,N1252=6,N1252=8,N1252=10,N1252=12,N1252=20),O1252&gt;=0,E1252=M1252+O1252,F1252=M1252*N1252+O1252),"OK","ERREUR"))</x:f>
        <x:v>OK</x:v>
      </x:c>
      <x:c r="U1252" s="86" t="n">
        <x:f>IF(M1252&gt;0,M1252*(N1252+1)/2+O1252,0)</x:f>
        <x:v>10.5</x:v>
      </x:c>
      <x:c r="V1252" t="str">
        <x:f>IF(ABS(L1252-U1252)&lt;0.001,"OK","ERREUR")</x:f>
        <x:v>OK</x:v>
      </x:c>
    </x:row>
    <x:row r="1253" ht="18" customHeight="1">
      <x:c r="A1253" t="str">
        <x:v>ARM063</x:v>
      </x:c>
      <x:c r="B1253" t="str">
        <x:v>Baguette de givre</x:v>
      </x:c>
      <x:c r="C1253" t="n">
        <x:v>10</x:v>
      </x:c>
      <x:c r="D1253" t="str">
        <x:v>Focaliseurs</x:v>
      </x:c>
      <x:c r="E1253" s="28" t="n">
        <x:f>IF(M1253=0,0,M1253+O1253)</x:f>
        <x:v>7</x:v>
      </x:c>
      <x:c r="F1253" s="28" t="n">
        <x:f>IF(M1253=0,0,M1253*N1253+O1253)</x:f>
        <x:v>16</x:v>
      </x:c>
      <x:c r="G1253" s="28" t="n">
        <x:f>ROUND(Catalogue!G66*SQRT((1+'Paramètres'!$B$4*(C1253-1)+'Paramètres'!$B$5*(C1253-1)^2)),0)</x:f>
        <x:v>0</x:v>
      </x:c>
      <x:c r="H1253" s="28" t="n">
        <x:f>ROUND(Catalogue!H66*SQRT((1+'Paramètres'!$B$4*(C1253-1)+'Paramètres'!$B$5*(C1253-1)^2)),0)</x:f>
        <x:v>0</x:v>
      </x:c>
      <x:c r="I1253" s="28" t="n">
        <x:v>2</x:v>
      </x:c>
      <x:c r="J1253" s="28" t="n">
        <x:v>4</x:v>
      </x:c>
      <x:c r="K1253" s="30" t="n">
        <x:v>0.3</x:v>
      </x:c>
      <x:c r="L1253" s="54" t="n">
        <x:f>IF(M1253=0,0,(E1253+F1253)/2)</x:f>
        <x:v>11.5</x:v>
      </x:c>
      <x:c r="M1253" t="n">
        <x:v>3</x:v>
      </x:c>
      <x:c r="N1253" t="n">
        <x:v>4</x:v>
      </x:c>
      <x:c r="O1253" t="n">
        <x:v>4</x:v>
      </x:c>
      <x:c r="P1253" s="63" t="str">
        <x:f>IF(M1253=0,"—",M1253&amp;"d"&amp;N1253&amp;IF(O1253=0,""," + "&amp;O1253))</x:f>
        <x:v>3d4 + 4</x:v>
      </x:c>
      <x:c r="Q1253" t="n">
        <x:f>ROUND(INDEX(Catalogue!E$4:E$85,MATCH(A1253,Catalogue!A$4:A$85,0))*(1+'Paramètres'!$B$4*(C1253-1)+'Paramètres'!$B$5*(C1253-1)^2),0)</x:f>
        <x:v>7</x:v>
      </x:c>
      <x:c r="R1253" t="n">
        <x:f>ROUND(INDEX(Catalogue!F$4:F$85,MATCH(A1253,Catalogue!A$4:A$85,0))*(1+'Paramètres'!$B$4*(C1253-1)+'Paramètres'!$B$5*(C1253-1)^2),0)</x:f>
        <x:v>16</x:v>
      </x:c>
      <x:c r="S1253" t="n">
        <x:f>L1253-AVERAGE(Q1253:R1253)</x:f>
        <x:v>0</x:v>
      </x:c>
      <x:c r="T1253" t="str">
        <x:f>IF(M1253=0,IF(AND(N1253=0,O1253=0,E1253=0,F1253=0),"OK","ERREUR"),IF(AND(M1253&gt;=1,M1253&lt;=32,OR(N1253=4,N1253=6,N1253=8,N1253=10,N1253=12,N1253=20),O1253&gt;=0,E1253=M1253+O1253,F1253=M1253*N1253+O1253),"OK","ERREUR"))</x:f>
        <x:v>OK</x:v>
      </x:c>
      <x:c r="U1253" s="86" t="n">
        <x:f>IF(M1253&gt;0,M1253*(N1253+1)/2+O1253,0)</x:f>
        <x:v>11.5</x:v>
      </x:c>
      <x:c r="V1253" t="str">
        <x:f>IF(ABS(L1253-U1253)&lt;0.001,"OK","ERREUR")</x:f>
        <x:v>OK</x:v>
      </x:c>
    </x:row>
    <x:row r="1254" ht="18" customHeight="1">
      <x:c r="A1254" t="str">
        <x:v>ARM063</x:v>
      </x:c>
      <x:c r="B1254" t="str">
        <x:v>Baguette de givre</x:v>
      </x:c>
      <x:c r="C1254" t="n">
        <x:v>11</x:v>
      </x:c>
      <x:c r="D1254" t="str">
        <x:v>Focaliseurs</x:v>
      </x:c>
      <x:c r="E1254" s="28" t="n">
        <x:f>IF(M1254=0,0,M1254+O1254)</x:f>
        <x:v>7</x:v>
      </x:c>
      <x:c r="F1254" s="28" t="n">
        <x:f>IF(M1254=0,0,M1254*N1254+O1254)</x:f>
        <x:v>19</x:v>
      </x:c>
      <x:c r="G1254" s="28" t="n">
        <x:f>ROUND(Catalogue!G66*SQRT((1+'Paramètres'!$B$4*(C1254-1)+'Paramètres'!$B$5*(C1254-1)^2)),0)</x:f>
        <x:v>0</x:v>
      </x:c>
      <x:c r="H1254" s="28" t="n">
        <x:f>ROUND(Catalogue!H66*SQRT((1+'Paramètres'!$B$4*(C1254-1)+'Paramètres'!$B$5*(C1254-1)^2)),0)</x:f>
        <x:v>0</x:v>
      </x:c>
      <x:c r="I1254" s="28" t="n">
        <x:v>2</x:v>
      </x:c>
      <x:c r="J1254" s="28" t="n">
        <x:v>4</x:v>
      </x:c>
      <x:c r="K1254" s="30" t="n">
        <x:v>0.3</x:v>
      </x:c>
      <x:c r="L1254" s="54" t="n">
        <x:f>IF(M1254=0,0,(E1254+F1254)/2)</x:f>
        <x:v>13</x:v>
      </x:c>
      <x:c r="M1254" t="n">
        <x:v>4</x:v>
      </x:c>
      <x:c r="N1254" t="n">
        <x:v>4</x:v>
      </x:c>
      <x:c r="O1254" t="n">
        <x:v>3</x:v>
      </x:c>
      <x:c r="P1254" s="63" t="str">
        <x:f>IF(M1254=0,"—",M1254&amp;"d"&amp;N1254&amp;IF(O1254=0,""," + "&amp;O1254))</x:f>
        <x:v>4d4 + 3</x:v>
      </x:c>
      <x:c r="Q1254" t="n">
        <x:f>ROUND(INDEX(Catalogue!E$4:E$85,MATCH(A1254,Catalogue!A$4:A$85,0))*(1+'Paramètres'!$B$4*(C1254-1)+'Paramètres'!$B$5*(C1254-1)^2),0)</x:f>
        <x:v>7</x:v>
      </x:c>
      <x:c r="R1254" t="n">
        <x:f>ROUND(INDEX(Catalogue!F$4:F$85,MATCH(A1254,Catalogue!A$4:A$85,0))*(1+'Paramètres'!$B$4*(C1254-1)+'Paramètres'!$B$5*(C1254-1)^2),0)</x:f>
        <x:v>19</x:v>
      </x:c>
      <x:c r="S1254" t="n">
        <x:f>L1254-AVERAGE(Q1254:R1254)</x:f>
        <x:v>0</x:v>
      </x:c>
      <x:c r="T1254" t="str">
        <x:f>IF(M1254=0,IF(AND(N1254=0,O1254=0,E1254=0,F1254=0),"OK","ERREUR"),IF(AND(M1254&gt;=1,M1254&lt;=32,OR(N1254=4,N1254=6,N1254=8,N1254=10,N1254=12,N1254=20),O1254&gt;=0,E1254=M1254+O1254,F1254=M1254*N1254+O1254),"OK","ERREUR"))</x:f>
        <x:v>OK</x:v>
      </x:c>
      <x:c r="U1254" s="86" t="n">
        <x:f>IF(M1254&gt;0,M1254*(N1254+1)/2+O1254,0)</x:f>
        <x:v>13</x:v>
      </x:c>
      <x:c r="V1254" t="str">
        <x:f>IF(ABS(L1254-U1254)&lt;0.001,"OK","ERREUR")</x:f>
        <x:v>OK</x:v>
      </x:c>
    </x:row>
    <x:row r="1255" ht="18" customHeight="1">
      <x:c r="A1255" t="str">
        <x:v>ARM063</x:v>
      </x:c>
      <x:c r="B1255" t="str">
        <x:v>Baguette de givre</x:v>
      </x:c>
      <x:c r="C1255" t="n">
        <x:v>12</x:v>
      </x:c>
      <x:c r="D1255" t="str">
        <x:v>Focaliseurs</x:v>
      </x:c>
      <x:c r="E1255" s="28" t="n">
        <x:f>IF(M1255=0,0,M1255+O1255)</x:f>
        <x:v>7</x:v>
      </x:c>
      <x:c r="F1255" s="28" t="n">
        <x:f>IF(M1255=0,0,M1255*N1255+O1255)</x:f>
        <x:v>21</x:v>
      </x:c>
      <x:c r="G1255" s="28" t="n">
        <x:f>ROUND(Catalogue!G66*SQRT((1+'Paramètres'!$B$4*(C1255-1)+'Paramètres'!$B$5*(C1255-1)^2)),0)</x:f>
        <x:v>0</x:v>
      </x:c>
      <x:c r="H1255" s="28" t="n">
        <x:f>ROUND(Catalogue!H66*SQRT((1+'Paramètres'!$B$4*(C1255-1)+'Paramètres'!$B$5*(C1255-1)^2)),0)</x:f>
        <x:v>0</x:v>
      </x:c>
      <x:c r="I1255" s="28" t="n">
        <x:v>2</x:v>
      </x:c>
      <x:c r="J1255" s="28" t="n">
        <x:v>4</x:v>
      </x:c>
      <x:c r="K1255" s="30" t="n">
        <x:v>0.3</x:v>
      </x:c>
      <x:c r="L1255" s="54" t="n">
        <x:f>IF(M1255=0,0,(E1255+F1255)/2)</x:f>
        <x:v>14</x:v>
      </x:c>
      <x:c r="M1255" t="n">
        <x:v>2</x:v>
      </x:c>
      <x:c r="N1255" t="n">
        <x:v>8</x:v>
      </x:c>
      <x:c r="O1255" t="n">
        <x:v>5</x:v>
      </x:c>
      <x:c r="P1255" s="63" t="str">
        <x:f>IF(M1255=0,"—",M1255&amp;"d"&amp;N1255&amp;IF(O1255=0,""," + "&amp;O1255))</x:f>
        <x:v>2d8 + 5</x:v>
      </x:c>
      <x:c r="Q1255" t="n">
        <x:f>ROUND(INDEX(Catalogue!E$4:E$85,MATCH(A1255,Catalogue!A$4:A$85,0))*(1+'Paramètres'!$B$4*(C1255-1)+'Paramètres'!$B$5*(C1255-1)^2),0)</x:f>
        <x:v>8</x:v>
      </x:c>
      <x:c r="R1255" t="n">
        <x:f>ROUND(INDEX(Catalogue!F$4:F$85,MATCH(A1255,Catalogue!A$4:A$85,0))*(1+'Paramètres'!$B$4*(C1255-1)+'Paramètres'!$B$5*(C1255-1)^2),0)</x:f>
        <x:v>21</x:v>
      </x:c>
      <x:c r="S1255" t="n">
        <x:f>L1255-AVERAGE(Q1255:R1255)</x:f>
        <x:v>-0.5</x:v>
      </x:c>
      <x:c r="T1255" t="str">
        <x:f>IF(M1255=0,IF(AND(N1255=0,O1255=0,E1255=0,F1255=0),"OK","ERREUR"),IF(AND(M1255&gt;=1,M1255&lt;=32,OR(N1255=4,N1255=6,N1255=8,N1255=10,N1255=12,N1255=20),O1255&gt;=0,E1255=M1255+O1255,F1255=M1255*N1255+O1255),"OK","ERREUR"))</x:f>
        <x:v>OK</x:v>
      </x:c>
      <x:c r="U1255" s="86" t="n">
        <x:f>IF(M1255&gt;0,M1255*(N1255+1)/2+O1255,0)</x:f>
        <x:v>14</x:v>
      </x:c>
      <x:c r="V1255" t="str">
        <x:f>IF(ABS(L1255-U1255)&lt;0.001,"OK","ERREUR")</x:f>
        <x:v>OK</x:v>
      </x:c>
    </x:row>
    <x:row r="1256" ht="18" customHeight="1">
      <x:c r="A1256" t="str">
        <x:v>ARM063</x:v>
      </x:c>
      <x:c r="B1256" t="str">
        <x:v>Baguette de givre</x:v>
      </x:c>
      <x:c r="C1256" t="n">
        <x:v>13</x:v>
      </x:c>
      <x:c r="D1256" t="str">
        <x:v>Focaliseurs</x:v>
      </x:c>
      <x:c r="E1256" s="28" t="n">
        <x:f>IF(M1256=0,0,M1256+O1256)</x:f>
        <x:v>9</x:v>
      </x:c>
      <x:c r="F1256" s="28" t="n">
        <x:f>IF(M1256=0,0,M1256*N1256+O1256)</x:f>
        <x:v>23</x:v>
      </x:c>
      <x:c r="G1256" s="28" t="n">
        <x:f>ROUND(Catalogue!G66*SQRT((1+'Paramètres'!$B$4*(C1256-1)+'Paramètres'!$B$5*(C1256-1)^2)),0)</x:f>
        <x:v>0</x:v>
      </x:c>
      <x:c r="H1256" s="28" t="n">
        <x:f>ROUND(Catalogue!H66*SQRT((1+'Paramètres'!$B$4*(C1256-1)+'Paramètres'!$B$5*(C1256-1)^2)),0)</x:f>
        <x:v>0</x:v>
      </x:c>
      <x:c r="I1256" s="28" t="n">
        <x:v>2</x:v>
      </x:c>
      <x:c r="J1256" s="28" t="n">
        <x:v>4</x:v>
      </x:c>
      <x:c r="K1256" s="30" t="n">
        <x:v>0.3</x:v>
      </x:c>
      <x:c r="L1256" s="54" t="n">
        <x:f>IF(M1256=0,0,(E1256+F1256)/2)</x:f>
        <x:v>16</x:v>
      </x:c>
      <x:c r="M1256" t="n">
        <x:v>2</x:v>
      </x:c>
      <x:c r="N1256" t="n">
        <x:v>8</x:v>
      </x:c>
      <x:c r="O1256" t="n">
        <x:v>7</x:v>
      </x:c>
      <x:c r="P1256" s="63" t="str">
        <x:f>IF(M1256=0,"—",M1256&amp;"d"&amp;N1256&amp;IF(O1256=0,""," + "&amp;O1256))</x:f>
        <x:v>2d8 + 7</x:v>
      </x:c>
      <x:c r="Q1256" t="n">
        <x:f>ROUND(INDEX(Catalogue!E$4:E$85,MATCH(A1256,Catalogue!A$4:A$85,0))*(1+'Paramètres'!$B$4*(C1256-1)+'Paramètres'!$B$5*(C1256-1)^2),0)</x:f>
        <x:v>9</x:v>
      </x:c>
      <x:c r="R1256" t="n">
        <x:f>ROUND(INDEX(Catalogue!F$4:F$85,MATCH(A1256,Catalogue!A$4:A$85,0))*(1+'Paramètres'!$B$4*(C1256-1)+'Paramètres'!$B$5*(C1256-1)^2),0)</x:f>
        <x:v>23</x:v>
      </x:c>
      <x:c r="S1256" t="n">
        <x:f>L1256-AVERAGE(Q1256:R1256)</x:f>
        <x:v>0</x:v>
      </x:c>
      <x:c r="T1256" t="str">
        <x:f>IF(M1256=0,IF(AND(N1256=0,O1256=0,E1256=0,F1256=0),"OK","ERREUR"),IF(AND(M1256&gt;=1,M1256&lt;=32,OR(N1256=4,N1256=6,N1256=8,N1256=10,N1256=12,N1256=20),O1256&gt;=0,E1256=M1256+O1256,F1256=M1256*N1256+O1256),"OK","ERREUR"))</x:f>
        <x:v>OK</x:v>
      </x:c>
      <x:c r="U1256" s="86" t="n">
        <x:f>IF(M1256&gt;0,M1256*(N1256+1)/2+O1256,0)</x:f>
        <x:v>16</x:v>
      </x:c>
      <x:c r="V1256" t="str">
        <x:f>IF(ABS(L1256-U1256)&lt;0.001,"OK","ERREUR")</x:f>
        <x:v>OK</x:v>
      </x:c>
    </x:row>
    <x:row r="1257" ht="18" customHeight="1">
      <x:c r="A1257" t="str">
        <x:v>ARM063</x:v>
      </x:c>
      <x:c r="B1257" t="str">
        <x:v>Baguette de givre</x:v>
      </x:c>
      <x:c r="C1257" t="n">
        <x:v>14</x:v>
      </x:c>
      <x:c r="D1257" t="str">
        <x:v>Focaliseurs</x:v>
      </x:c>
      <x:c r="E1257" s="28" t="n">
        <x:f>IF(M1257=0,0,M1257+O1257)</x:f>
        <x:v>11</x:v>
      </x:c>
      <x:c r="F1257" s="28" t="n">
        <x:f>IF(M1257=0,0,M1257*N1257+O1257)</x:f>
        <x:v>26</x:v>
      </x:c>
      <x:c r="G1257" s="28" t="n">
        <x:f>ROUND(Catalogue!G66*SQRT((1+'Paramètres'!$B$4*(C1257-1)+'Paramètres'!$B$5*(C1257-1)^2)),0)</x:f>
        <x:v>0</x:v>
      </x:c>
      <x:c r="H1257" s="28" t="n">
        <x:f>ROUND(Catalogue!H66*SQRT((1+'Paramètres'!$B$4*(C1257-1)+'Paramètres'!$B$5*(C1257-1)^2)),0)</x:f>
        <x:v>0</x:v>
      </x:c>
      <x:c r="I1257" s="28" t="n">
        <x:v>2</x:v>
      </x:c>
      <x:c r="J1257" s="28" t="n">
        <x:v>4</x:v>
      </x:c>
      <x:c r="K1257" s="30" t="n">
        <x:v>0.3</x:v>
      </x:c>
      <x:c r="L1257" s="54" t="n">
        <x:f>IF(M1257=0,0,(E1257+F1257)/2)</x:f>
        <x:v>18.5</x:v>
      </x:c>
      <x:c r="M1257" t="n">
        <x:v>3</x:v>
      </x:c>
      <x:c r="N1257" t="n">
        <x:v>6</x:v>
      </x:c>
      <x:c r="O1257" t="n">
        <x:v>8</x:v>
      </x:c>
      <x:c r="P1257" s="63" t="str">
        <x:f>IF(M1257=0,"—",M1257&amp;"d"&amp;N1257&amp;IF(O1257=0,""," + "&amp;O1257))</x:f>
        <x:v>3d6 + 8</x:v>
      </x:c>
      <x:c r="Q1257" t="n">
        <x:f>ROUND(INDEX(Catalogue!E$4:E$85,MATCH(A1257,Catalogue!A$4:A$85,0))*(1+'Paramètres'!$B$4*(C1257-1)+'Paramètres'!$B$5*(C1257-1)^2),0)</x:f>
        <x:v>10</x:v>
      </x:c>
      <x:c r="R1257" t="n">
        <x:f>ROUND(INDEX(Catalogue!F$4:F$85,MATCH(A1257,Catalogue!A$4:A$85,0))*(1+'Paramètres'!$B$4*(C1257-1)+'Paramètres'!$B$5*(C1257-1)^2),0)</x:f>
        <x:v>26</x:v>
      </x:c>
      <x:c r="S1257" t="n">
        <x:f>L1257-AVERAGE(Q1257:R1257)</x:f>
        <x:v>0.5</x:v>
      </x:c>
      <x:c r="T1257" t="str">
        <x:f>IF(M1257=0,IF(AND(N1257=0,O1257=0,E1257=0,F1257=0),"OK","ERREUR"),IF(AND(M1257&gt;=1,M1257&lt;=32,OR(N1257=4,N1257=6,N1257=8,N1257=10,N1257=12,N1257=20),O1257&gt;=0,E1257=M1257+O1257,F1257=M1257*N1257+O1257),"OK","ERREUR"))</x:f>
        <x:v>OK</x:v>
      </x:c>
      <x:c r="U1257" s="86" t="n">
        <x:f>IF(M1257&gt;0,M1257*(N1257+1)/2+O1257,0)</x:f>
        <x:v>18.5</x:v>
      </x:c>
      <x:c r="V1257" t="str">
        <x:f>IF(ABS(L1257-U1257)&lt;0.001,"OK","ERREUR")</x:f>
        <x:v>OK</x:v>
      </x:c>
    </x:row>
    <x:row r="1258" ht="18" customHeight="1">
      <x:c r="A1258" t="str">
        <x:v>ARM063</x:v>
      </x:c>
      <x:c r="B1258" t="str">
        <x:v>Baguette de givre</x:v>
      </x:c>
      <x:c r="C1258" t="n">
        <x:v>15</x:v>
      </x:c>
      <x:c r="D1258" t="str">
        <x:v>Focaliseurs</x:v>
      </x:c>
      <x:c r="E1258" s="28" t="n">
        <x:f>IF(M1258=0,0,M1258+O1258)</x:f>
        <x:v>10</x:v>
      </x:c>
      <x:c r="F1258" s="28" t="n">
        <x:f>IF(M1258=0,0,M1258*N1258+O1258)</x:f>
        <x:v>28</x:v>
      </x:c>
      <x:c r="G1258" s="28" t="n">
        <x:f>ROUND(Catalogue!G66*SQRT((1+'Paramètres'!$B$4*(C1258-1)+'Paramètres'!$B$5*(C1258-1)^2)),0)</x:f>
        <x:v>0</x:v>
      </x:c>
      <x:c r="H1258" s="28" t="n">
        <x:f>ROUND(Catalogue!H66*SQRT((1+'Paramètres'!$B$4*(C1258-1)+'Paramètres'!$B$5*(C1258-1)^2)),0)</x:f>
        <x:v>0</x:v>
      </x:c>
      <x:c r="I1258" s="28" t="n">
        <x:v>2</x:v>
      </x:c>
      <x:c r="J1258" s="28" t="n">
        <x:v>4</x:v>
      </x:c>
      <x:c r="K1258" s="30" t="n">
        <x:v>0.3</x:v>
      </x:c>
      <x:c r="L1258" s="54" t="n">
        <x:f>IF(M1258=0,0,(E1258+F1258)/2)</x:f>
        <x:v>19</x:v>
      </x:c>
      <x:c r="M1258" t="n">
        <x:v>2</x:v>
      </x:c>
      <x:c r="N1258" t="n">
        <x:v>10</x:v>
      </x:c>
      <x:c r="O1258" t="n">
        <x:v>8</x:v>
      </x:c>
      <x:c r="P1258" s="63" t="str">
        <x:f>IF(M1258=0,"—",M1258&amp;"d"&amp;N1258&amp;IF(O1258=0,""," + "&amp;O1258))</x:f>
        <x:v>2d10 + 8</x:v>
      </x:c>
      <x:c r="Q1258" t="n">
        <x:f>ROUND(INDEX(Catalogue!E$4:E$85,MATCH(A1258,Catalogue!A$4:A$85,0))*(1+'Paramètres'!$B$4*(C1258-1)+'Paramètres'!$B$5*(C1258-1)^2),0)</x:f>
        <x:v>11</x:v>
      </x:c>
      <x:c r="R1258" t="n">
        <x:f>ROUND(INDEX(Catalogue!F$4:F$85,MATCH(A1258,Catalogue!A$4:A$85,0))*(1+'Paramètres'!$B$4*(C1258-1)+'Paramètres'!$B$5*(C1258-1)^2),0)</x:f>
        <x:v>28</x:v>
      </x:c>
      <x:c r="S1258" t="n">
        <x:f>L1258-AVERAGE(Q1258:R1258)</x:f>
        <x:v>-0.5</x:v>
      </x:c>
      <x:c r="T1258" t="str">
        <x:f>IF(M1258=0,IF(AND(N1258=0,O1258=0,E1258=0,F1258=0),"OK","ERREUR"),IF(AND(M1258&gt;=1,M1258&lt;=32,OR(N1258=4,N1258=6,N1258=8,N1258=10,N1258=12,N1258=20),O1258&gt;=0,E1258=M1258+O1258,F1258=M1258*N1258+O1258),"OK","ERREUR"))</x:f>
        <x:v>OK</x:v>
      </x:c>
      <x:c r="U1258" s="86" t="n">
        <x:f>IF(M1258&gt;0,M1258*(N1258+1)/2+O1258,0)</x:f>
        <x:v>19</x:v>
      </x:c>
      <x:c r="V1258" t="str">
        <x:f>IF(ABS(L1258-U1258)&lt;0.001,"OK","ERREUR")</x:f>
        <x:v>OK</x:v>
      </x:c>
    </x:row>
    <x:row r="1259" ht="18" customHeight="1">
      <x:c r="A1259" t="str">
        <x:v>ARM063</x:v>
      </x:c>
      <x:c r="B1259" t="str">
        <x:v>Baguette de givre</x:v>
      </x:c>
      <x:c r="C1259" t="n">
        <x:v>16</x:v>
      </x:c>
      <x:c r="D1259" t="str">
        <x:v>Focaliseurs</x:v>
      </x:c>
      <x:c r="E1259" s="28" t="n">
        <x:f>IF(M1259=0,0,M1259+O1259)</x:f>
        <x:v>13</x:v>
      </x:c>
      <x:c r="F1259" s="28" t="n">
        <x:f>IF(M1259=0,0,M1259*N1259+O1259)</x:f>
        <x:v>31</x:v>
      </x:c>
      <x:c r="G1259" s="28" t="n">
        <x:f>ROUND(Catalogue!G66*SQRT((1+'Paramètres'!$B$4*(C1259-1)+'Paramètres'!$B$5*(C1259-1)^2)),0)</x:f>
        <x:v>0</x:v>
      </x:c>
      <x:c r="H1259" s="28" t="n">
        <x:f>ROUND(Catalogue!H66*SQRT((1+'Paramètres'!$B$4*(C1259-1)+'Paramètres'!$B$5*(C1259-1)^2)),0)</x:f>
        <x:v>0</x:v>
      </x:c>
      <x:c r="I1259" s="28" t="n">
        <x:v>2</x:v>
      </x:c>
      <x:c r="J1259" s="28" t="n">
        <x:v>4</x:v>
      </x:c>
      <x:c r="K1259" s="30" t="n">
        <x:v>0.3</x:v>
      </x:c>
      <x:c r="L1259" s="54" t="n">
        <x:f>IF(M1259=0,0,(E1259+F1259)/2)</x:f>
        <x:v>22</x:v>
      </x:c>
      <x:c r="M1259" t="n">
        <x:v>2</x:v>
      </x:c>
      <x:c r="N1259" t="n">
        <x:v>10</x:v>
      </x:c>
      <x:c r="O1259" t="n">
        <x:v>11</x:v>
      </x:c>
      <x:c r="P1259" s="63" t="str">
        <x:f>IF(M1259=0,"—",M1259&amp;"d"&amp;N1259&amp;IF(O1259=0,""," + "&amp;O1259))</x:f>
        <x:v>2d10 + 11</x:v>
      </x:c>
      <x:c r="Q1259" t="n">
        <x:f>ROUND(INDEX(Catalogue!E$4:E$85,MATCH(A1259,Catalogue!A$4:A$85,0))*(1+'Paramètres'!$B$4*(C1259-1)+'Paramètres'!$B$5*(C1259-1)^2),0)</x:f>
        <x:v>13</x:v>
      </x:c>
      <x:c r="R1259" t="n">
        <x:f>ROUND(INDEX(Catalogue!F$4:F$85,MATCH(A1259,Catalogue!A$4:A$85,0))*(1+'Paramètres'!$B$4*(C1259-1)+'Paramètres'!$B$5*(C1259-1)^2),0)</x:f>
        <x:v>31</x:v>
      </x:c>
      <x:c r="S1259" t="n">
        <x:f>L1259-AVERAGE(Q1259:R1259)</x:f>
        <x:v>0</x:v>
      </x:c>
      <x:c r="T1259" t="str">
        <x:f>IF(M1259=0,IF(AND(N1259=0,O1259=0,E1259=0,F1259=0),"OK","ERREUR"),IF(AND(M1259&gt;=1,M1259&lt;=32,OR(N1259=4,N1259=6,N1259=8,N1259=10,N1259=12,N1259=20),O1259&gt;=0,E1259=M1259+O1259,F1259=M1259*N1259+O1259),"OK","ERREUR"))</x:f>
        <x:v>OK</x:v>
      </x:c>
      <x:c r="U1259" s="86" t="n">
        <x:f>IF(M1259&gt;0,M1259*(N1259+1)/2+O1259,0)</x:f>
        <x:v>22</x:v>
      </x:c>
      <x:c r="V1259" t="str">
        <x:f>IF(ABS(L1259-U1259)&lt;0.001,"OK","ERREUR")</x:f>
        <x:v>OK</x:v>
      </x:c>
    </x:row>
    <x:row r="1260" ht="18" customHeight="1">
      <x:c r="A1260" t="str">
        <x:v>ARM063</x:v>
      </x:c>
      <x:c r="B1260" t="str">
        <x:v>Baguette de givre</x:v>
      </x:c>
      <x:c r="C1260" t="n">
        <x:v>17</x:v>
      </x:c>
      <x:c r="D1260" t="str">
        <x:v>Focaliseurs</x:v>
      </x:c>
      <x:c r="E1260" s="28" t="n">
        <x:f>IF(M1260=0,0,M1260+O1260)</x:f>
        <x:v>14</x:v>
      </x:c>
      <x:c r="F1260" s="28" t="n">
        <x:f>IF(M1260=0,0,M1260*N1260+O1260)</x:f>
        <x:v>34</x:v>
      </x:c>
      <x:c r="G1260" s="28" t="n">
        <x:f>ROUND(Catalogue!G66*SQRT((1+'Paramètres'!$B$4*(C1260-1)+'Paramètres'!$B$5*(C1260-1)^2)),0)</x:f>
        <x:v>0</x:v>
      </x:c>
      <x:c r="H1260" s="28" t="n">
        <x:f>ROUND(Catalogue!H66*SQRT((1+'Paramètres'!$B$4*(C1260-1)+'Paramètres'!$B$5*(C1260-1)^2)),0)</x:f>
        <x:v>0</x:v>
      </x:c>
      <x:c r="I1260" s="28" t="n">
        <x:v>2</x:v>
      </x:c>
      <x:c r="J1260" s="28" t="n">
        <x:v>4</x:v>
      </x:c>
      <x:c r="K1260" s="30" t="n">
        <x:v>0.3</x:v>
      </x:c>
      <x:c r="L1260" s="54" t="n">
        <x:f>IF(M1260=0,0,(E1260+F1260)/2)</x:f>
        <x:v>24</x:v>
      </x:c>
      <x:c r="M1260" t="n">
        <x:v>4</x:v>
      </x:c>
      <x:c r="N1260" t="n">
        <x:v>6</x:v>
      </x:c>
      <x:c r="O1260" t="n">
        <x:v>10</x:v>
      </x:c>
      <x:c r="P1260" s="63" t="str">
        <x:f>IF(M1260=0,"—",M1260&amp;"d"&amp;N1260&amp;IF(O1260=0,""," + "&amp;O1260))</x:f>
        <x:v>4d6 + 10</x:v>
      </x:c>
      <x:c r="Q1260" t="n">
        <x:f>ROUND(INDEX(Catalogue!E$4:E$85,MATCH(A1260,Catalogue!A$4:A$85,0))*(1+'Paramètres'!$B$4*(C1260-1)+'Paramètres'!$B$5*(C1260-1)^2),0)</x:f>
        <x:v>14</x:v>
      </x:c>
      <x:c r="R1260" t="n">
        <x:f>ROUND(INDEX(Catalogue!F$4:F$85,MATCH(A1260,Catalogue!A$4:A$85,0))*(1+'Paramètres'!$B$4*(C1260-1)+'Paramètres'!$B$5*(C1260-1)^2),0)</x:f>
        <x:v>34</x:v>
      </x:c>
      <x:c r="S1260" t="n">
        <x:f>L1260-AVERAGE(Q1260:R1260)</x:f>
        <x:v>0</x:v>
      </x:c>
      <x:c r="T1260" t="str">
        <x:f>IF(M1260=0,IF(AND(N1260=0,O1260=0,E1260=0,F1260=0),"OK","ERREUR"),IF(AND(M1260&gt;=1,M1260&lt;=32,OR(N1260=4,N1260=6,N1260=8,N1260=10,N1260=12,N1260=20),O1260&gt;=0,E1260=M1260+O1260,F1260=M1260*N1260+O1260),"OK","ERREUR"))</x:f>
        <x:v>OK</x:v>
      </x:c>
      <x:c r="U1260" s="86" t="n">
        <x:f>IF(M1260&gt;0,M1260*(N1260+1)/2+O1260,0)</x:f>
        <x:v>24</x:v>
      </x:c>
      <x:c r="V1260" t="str">
        <x:f>IF(ABS(L1260-U1260)&lt;0.001,"OK","ERREUR")</x:f>
        <x:v>OK</x:v>
      </x:c>
    </x:row>
    <x:row r="1261" ht="18" customHeight="1">
      <x:c r="A1261" t="str">
        <x:v>ARM063</x:v>
      </x:c>
      <x:c r="B1261" t="str">
        <x:v>Baguette de givre</x:v>
      </x:c>
      <x:c r="C1261" t="n">
        <x:v>18</x:v>
      </x:c>
      <x:c r="D1261" t="str">
        <x:v>Focaliseurs</x:v>
      </x:c>
      <x:c r="E1261" s="28" t="n">
        <x:f>IF(M1261=0,0,M1261+O1261)</x:f>
        <x:v>15</x:v>
      </x:c>
      <x:c r="F1261" s="28" t="n">
        <x:f>IF(M1261=0,0,M1261*N1261+O1261)</x:f>
        <x:v>37</x:v>
      </x:c>
      <x:c r="G1261" s="28" t="n">
        <x:f>ROUND(Catalogue!G66*SQRT((1+'Paramètres'!$B$4*(C1261-1)+'Paramètres'!$B$5*(C1261-1)^2)),0)</x:f>
        <x:v>0</x:v>
      </x:c>
      <x:c r="H1261" s="28" t="n">
        <x:f>ROUND(Catalogue!H66*SQRT((1+'Paramètres'!$B$4*(C1261-1)+'Paramètres'!$B$5*(C1261-1)^2)),0)</x:f>
        <x:v>0</x:v>
      </x:c>
      <x:c r="I1261" s="28" t="n">
        <x:v>2</x:v>
      </x:c>
      <x:c r="J1261" s="28" t="n">
        <x:v>4</x:v>
      </x:c>
      <x:c r="K1261" s="30" t="n">
        <x:v>0.3</x:v>
      </x:c>
      <x:c r="L1261" s="54" t="n">
        <x:f>IF(M1261=0,0,(E1261+F1261)/2)</x:f>
        <x:v>26</x:v>
      </x:c>
      <x:c r="M1261" t="n">
        <x:v>2</x:v>
      </x:c>
      <x:c r="N1261" t="n">
        <x:v>12</x:v>
      </x:c>
      <x:c r="O1261" t="n">
        <x:v>13</x:v>
      </x:c>
      <x:c r="P1261" s="63" t="str">
        <x:f>IF(M1261=0,"—",M1261&amp;"d"&amp;N1261&amp;IF(O1261=0,""," + "&amp;O1261))</x:f>
        <x:v>2d12 + 13</x:v>
      </x:c>
      <x:c r="Q1261" t="n">
        <x:f>ROUND(INDEX(Catalogue!E$4:E$85,MATCH(A1261,Catalogue!A$4:A$85,0))*(1+'Paramètres'!$B$4*(C1261-1)+'Paramètres'!$B$5*(C1261-1)^2),0)</x:f>
        <x:v>15</x:v>
      </x:c>
      <x:c r="R1261" t="n">
        <x:f>ROUND(INDEX(Catalogue!F$4:F$85,MATCH(A1261,Catalogue!A$4:A$85,0))*(1+'Paramètres'!$B$4*(C1261-1)+'Paramètres'!$B$5*(C1261-1)^2),0)</x:f>
        <x:v>37</x:v>
      </x:c>
      <x:c r="S1261" t="n">
        <x:f>L1261-AVERAGE(Q1261:R1261)</x:f>
        <x:v>0</x:v>
      </x:c>
      <x:c r="T1261" t="str">
        <x:f>IF(M1261=0,IF(AND(N1261=0,O1261=0,E1261=0,F1261=0),"OK","ERREUR"),IF(AND(M1261&gt;=1,M1261&lt;=32,OR(N1261=4,N1261=6,N1261=8,N1261=10,N1261=12,N1261=20),O1261&gt;=0,E1261=M1261+O1261,F1261=M1261*N1261+O1261),"OK","ERREUR"))</x:f>
        <x:v>OK</x:v>
      </x:c>
      <x:c r="U1261" s="86" t="n">
        <x:f>IF(M1261&gt;0,M1261*(N1261+1)/2+O1261,0)</x:f>
        <x:v>26</x:v>
      </x:c>
      <x:c r="V1261" t="str">
        <x:f>IF(ABS(L1261-U1261)&lt;0.001,"OK","ERREUR")</x:f>
        <x:v>OK</x:v>
      </x:c>
    </x:row>
    <x:row r="1262" ht="18" customHeight="1">
      <x:c r="A1262" t="str">
        <x:v>ARM063</x:v>
      </x:c>
      <x:c r="B1262" t="str">
        <x:v>Baguette de givre</x:v>
      </x:c>
      <x:c r="C1262" t="n">
        <x:v>19</x:v>
      </x:c>
      <x:c r="D1262" t="str">
        <x:v>Focaliseurs</x:v>
      </x:c>
      <x:c r="E1262" s="28" t="n">
        <x:f>IF(M1262=0,0,M1262+O1262)</x:f>
        <x:v>16</x:v>
      </x:c>
      <x:c r="F1262" s="28" t="n">
        <x:f>IF(M1262=0,0,M1262*N1262+O1262)</x:f>
        <x:v>41</x:v>
      </x:c>
      <x:c r="G1262" s="28" t="n">
        <x:f>ROUND(Catalogue!G66*SQRT((1+'Paramètres'!$B$4*(C1262-1)+'Paramètres'!$B$5*(C1262-1)^2)),0)</x:f>
        <x:v>0</x:v>
      </x:c>
      <x:c r="H1262" s="28" t="n">
        <x:f>ROUND(Catalogue!H66*SQRT((1+'Paramètres'!$B$4*(C1262-1)+'Paramètres'!$B$5*(C1262-1)^2)),0)</x:f>
        <x:v>0</x:v>
      </x:c>
      <x:c r="I1262" s="28" t="n">
        <x:v>2</x:v>
      </x:c>
      <x:c r="J1262" s="28" t="n">
        <x:v>4</x:v>
      </x:c>
      <x:c r="K1262" s="30" t="n">
        <x:v>0.3</x:v>
      </x:c>
      <x:c r="L1262" s="54" t="n">
        <x:f>IF(M1262=0,0,(E1262+F1262)/2)</x:f>
        <x:v>28.5</x:v>
      </x:c>
      <x:c r="M1262" t="n">
        <x:v>5</x:v>
      </x:c>
      <x:c r="N1262" t="n">
        <x:v>6</x:v>
      </x:c>
      <x:c r="O1262" t="n">
        <x:v>11</x:v>
      </x:c>
      <x:c r="P1262" s="63" t="str">
        <x:f>IF(M1262=0,"—",M1262&amp;"d"&amp;N1262&amp;IF(O1262=0,""," + "&amp;O1262))</x:f>
        <x:v>5d6 + 11</x:v>
      </x:c>
      <x:c r="Q1262" t="n">
        <x:f>ROUND(INDEX(Catalogue!E$4:E$85,MATCH(A1262,Catalogue!A$4:A$85,0))*(1+'Paramètres'!$B$4*(C1262-1)+'Paramètres'!$B$5*(C1262-1)^2),0)</x:f>
        <x:v>16</x:v>
      </x:c>
      <x:c r="R1262" t="n">
        <x:f>ROUND(INDEX(Catalogue!F$4:F$85,MATCH(A1262,Catalogue!A$4:A$85,0))*(1+'Paramètres'!$B$4*(C1262-1)+'Paramètres'!$B$5*(C1262-1)^2),0)</x:f>
        <x:v>41</x:v>
      </x:c>
      <x:c r="S1262" t="n">
        <x:f>L1262-AVERAGE(Q1262:R1262)</x:f>
        <x:v>0</x:v>
      </x:c>
      <x:c r="T1262" t="str">
        <x:f>IF(M1262=0,IF(AND(N1262=0,O1262=0,E1262=0,F1262=0),"OK","ERREUR"),IF(AND(M1262&gt;=1,M1262&lt;=32,OR(N1262=4,N1262=6,N1262=8,N1262=10,N1262=12,N1262=20),O1262&gt;=0,E1262=M1262+O1262,F1262=M1262*N1262+O1262),"OK","ERREUR"))</x:f>
        <x:v>OK</x:v>
      </x:c>
      <x:c r="U1262" s="86" t="n">
        <x:f>IF(M1262&gt;0,M1262*(N1262+1)/2+O1262,0)</x:f>
        <x:v>28.5</x:v>
      </x:c>
      <x:c r="V1262" t="str">
        <x:f>IF(ABS(L1262-U1262)&lt;0.001,"OK","ERREUR")</x:f>
        <x:v>OK</x:v>
      </x:c>
    </x:row>
    <x:row r="1263" ht="18" customHeight="1">
      <x:c r="A1263" t="str">
        <x:v>ARM063</x:v>
      </x:c>
      <x:c r="B1263" t="str">
        <x:v>Baguette de givre</x:v>
      </x:c>
      <x:c r="C1263" t="n">
        <x:v>20</x:v>
      </x:c>
      <x:c r="D1263" t="str">
        <x:v>Focaliseurs</x:v>
      </x:c>
      <x:c r="E1263" s="28" t="n">
        <x:f>IF(M1263=0,0,M1263+O1263)</x:f>
        <x:v>17</x:v>
      </x:c>
      <x:c r="F1263" s="28" t="n">
        <x:f>IF(M1263=0,0,M1263*N1263+O1263)</x:f>
        <x:v>44</x:v>
      </x:c>
      <x:c r="G1263" s="28" t="n">
        <x:f>ROUND(Catalogue!G66*SQRT((1+'Paramètres'!$B$4*(C1263-1)+'Paramètres'!$B$5*(C1263-1)^2)),0)</x:f>
        <x:v>0</x:v>
      </x:c>
      <x:c r="H1263" s="28" t="n">
        <x:f>ROUND(Catalogue!H66*SQRT((1+'Paramètres'!$B$4*(C1263-1)+'Paramètres'!$B$5*(C1263-1)^2)),0)</x:f>
        <x:v>0</x:v>
      </x:c>
      <x:c r="I1263" s="28" t="n">
        <x:v>2</x:v>
      </x:c>
      <x:c r="J1263" s="28" t="n">
        <x:v>4</x:v>
      </x:c>
      <x:c r="K1263" s="30" t="n">
        <x:v>0.3</x:v>
      </x:c>
      <x:c r="L1263" s="54" t="n">
        <x:f>IF(M1263=0,0,(E1263+F1263)/2)</x:f>
        <x:v>30.5</x:v>
      </x:c>
      <x:c r="M1263" t="n">
        <x:v>3</x:v>
      </x:c>
      <x:c r="N1263" t="n">
        <x:v>10</x:v>
      </x:c>
      <x:c r="O1263" t="n">
        <x:v>14</x:v>
      </x:c>
      <x:c r="P1263" s="63" t="str">
        <x:f>IF(M1263=0,"—",M1263&amp;"d"&amp;N1263&amp;IF(O1263=0,""," + "&amp;O1263))</x:f>
        <x:v>3d10 + 14</x:v>
      </x:c>
      <x:c r="Q1263" t="n">
        <x:f>ROUND(INDEX(Catalogue!E$4:E$85,MATCH(A1263,Catalogue!A$4:A$85,0))*(1+'Paramètres'!$B$4*(C1263-1)+'Paramètres'!$B$5*(C1263-1)^2),0)</x:f>
        <x:v>18</x:v>
      </x:c>
      <x:c r="R1263" t="n">
        <x:f>ROUND(INDEX(Catalogue!F$4:F$85,MATCH(A1263,Catalogue!A$4:A$85,0))*(1+'Paramètres'!$B$4*(C1263-1)+'Paramètres'!$B$5*(C1263-1)^2),0)</x:f>
        <x:v>44</x:v>
      </x:c>
      <x:c r="S1263" t="n">
        <x:f>L1263-AVERAGE(Q1263:R1263)</x:f>
        <x:v>-0.5</x:v>
      </x:c>
      <x:c r="T1263" t="str">
        <x:f>IF(M1263=0,IF(AND(N1263=0,O1263=0,E1263=0,F1263=0),"OK","ERREUR"),IF(AND(M1263&gt;=1,M1263&lt;=32,OR(N1263=4,N1263=6,N1263=8,N1263=10,N1263=12,N1263=20),O1263&gt;=0,E1263=M1263+O1263,F1263=M1263*N1263+O1263),"OK","ERREUR"))</x:f>
        <x:v>OK</x:v>
      </x:c>
      <x:c r="U1263" s="86" t="n">
        <x:f>IF(M1263&gt;0,M1263*(N1263+1)/2+O1263,0)</x:f>
        <x:v>30.5</x:v>
      </x:c>
      <x:c r="V1263" t="str">
        <x:f>IF(ABS(L1263-U1263)&lt;0.001,"OK","ERREUR")</x:f>
        <x:v>OK</x:v>
      </x:c>
    </x:row>
    <x:row r="1264" ht="18" customHeight="1">
      <x:c r="A1264" t="str">
        <x:v>ARM064</x:v>
      </x:c>
      <x:c r="B1264" t="str">
        <x:v>Baguette de foudre</x:v>
      </x:c>
      <x:c r="C1264" t="n">
        <x:v>1</x:v>
      </x:c>
      <x:c r="D1264" t="str">
        <x:v>Focaliseurs</x:v>
      </x:c>
      <x:c r="E1264" s="28" t="n">
        <x:f>IF(M1264=0,0,M1264+O1264)</x:f>
        <x:v>2</x:v>
      </x:c>
      <x:c r="F1264" s="28" t="n">
        <x:f>IF(M1264=0,0,M1264*N1264+O1264)</x:f>
        <x:v>5</x:v>
      </x:c>
      <x:c r="G1264" s="28" t="n">
        <x:f>ROUND(Catalogue!G67*SQRT((1+'Paramètres'!$B$4*(C1264-1)+'Paramètres'!$B$5*(C1264-1)^2)),0)</x:f>
        <x:v>0</x:v>
      </x:c>
      <x:c r="H1264" s="28" t="n">
        <x:f>ROUND(Catalogue!H67*SQRT((1+'Paramètres'!$B$4*(C1264-1)+'Paramètres'!$B$5*(C1264-1)^2)),0)</x:f>
        <x:v>0</x:v>
      </x:c>
      <x:c r="I1264" s="28" t="n">
        <x:v>2</x:v>
      </x:c>
      <x:c r="J1264" s="28" t="n">
        <x:v>4</x:v>
      </x:c>
      <x:c r="K1264" s="30" t="n">
        <x:v>0.3</x:v>
      </x:c>
      <x:c r="L1264" s="54" t="n">
        <x:f>IF(M1264=0,0,(E1264+F1264)/2)</x:f>
        <x:v>3.5</x:v>
      </x:c>
      <x:c r="M1264" t="n">
        <x:v>1</x:v>
      </x:c>
      <x:c r="N1264" t="n">
        <x:v>4</x:v>
      </x:c>
      <x:c r="O1264" t="n">
        <x:v>1</x:v>
      </x:c>
      <x:c r="P1264" s="63" t="str">
        <x:f>IF(M1264=0,"—",M1264&amp;"d"&amp;N1264&amp;IF(O1264=0,""," + "&amp;O1264))</x:f>
        <x:v>1d4 + 1</x:v>
      </x:c>
      <x:c r="Q1264" t="n">
        <x:f>ROUND(INDEX(Catalogue!E$4:E$85,MATCH(A1264,Catalogue!A$4:A$85,0))*(1+'Paramètres'!$B$4*(C1264-1)+'Paramètres'!$B$5*(C1264-1)^2),0)</x:f>
        <x:v>2</x:v>
      </x:c>
      <x:c r="R1264" t="n">
        <x:f>ROUND(INDEX(Catalogue!F$4:F$85,MATCH(A1264,Catalogue!A$4:A$85,0))*(1+'Paramètres'!$B$4*(C1264-1)+'Paramètres'!$B$5*(C1264-1)^2),0)</x:f>
        <x:v>5</x:v>
      </x:c>
      <x:c r="S1264" t="n">
        <x:f>L1264-AVERAGE(Q1264:R1264)</x:f>
        <x:v>0</x:v>
      </x:c>
      <x:c r="T1264" t="str">
        <x:f>IF(M1264=0,IF(AND(N1264=0,O1264=0,E1264=0,F1264=0),"OK","ERREUR"),IF(AND(M1264&gt;=1,M1264&lt;=32,OR(N1264=4,N1264=6,N1264=8,N1264=10,N1264=12,N1264=20),O1264&gt;=0,E1264=M1264+O1264,F1264=M1264*N1264+O1264),"OK","ERREUR"))</x:f>
        <x:v>OK</x:v>
      </x:c>
      <x:c r="U1264" s="86" t="n">
        <x:f>IF(M1264&gt;0,M1264*(N1264+1)/2+O1264,0)</x:f>
        <x:v>3.5</x:v>
      </x:c>
      <x:c r="V1264" t="str">
        <x:f>IF(ABS(L1264-U1264)&lt;0.001,"OK","ERREUR")</x:f>
        <x:v>OK</x:v>
      </x:c>
    </x:row>
    <x:row r="1265" ht="18" customHeight="1">
      <x:c r="A1265" t="str">
        <x:v>ARM064</x:v>
      </x:c>
      <x:c r="B1265" t="str">
        <x:v>Baguette de foudre</x:v>
      </x:c>
      <x:c r="C1265" t="n">
        <x:v>2</x:v>
      </x:c>
      <x:c r="D1265" t="str">
        <x:v>Focaliseurs</x:v>
      </x:c>
      <x:c r="E1265" s="28" t="n">
        <x:f>IF(M1265=0,0,M1265+O1265)</x:f>
        <x:v>2</x:v>
      </x:c>
      <x:c r="F1265" s="28" t="n">
        <x:f>IF(M1265=0,0,M1265*N1265+O1265)</x:f>
        <x:v>5</x:v>
      </x:c>
      <x:c r="G1265" s="28" t="n">
        <x:f>ROUND(Catalogue!G67*SQRT((1+'Paramètres'!$B$4*(C1265-1)+'Paramètres'!$B$5*(C1265-1)^2)),0)</x:f>
        <x:v>0</x:v>
      </x:c>
      <x:c r="H1265" s="28" t="n">
        <x:f>ROUND(Catalogue!H67*SQRT((1+'Paramètres'!$B$4*(C1265-1)+'Paramètres'!$B$5*(C1265-1)^2)),0)</x:f>
        <x:v>0</x:v>
      </x:c>
      <x:c r="I1265" s="28" t="n">
        <x:v>2</x:v>
      </x:c>
      <x:c r="J1265" s="28" t="n">
        <x:v>4</x:v>
      </x:c>
      <x:c r="K1265" s="30" t="n">
        <x:v>0.3</x:v>
      </x:c>
      <x:c r="L1265" s="54" t="n">
        <x:f>IF(M1265=0,0,(E1265+F1265)/2)</x:f>
        <x:v>3.5</x:v>
      </x:c>
      <x:c r="M1265" t="n">
        <x:v>1</x:v>
      </x:c>
      <x:c r="N1265" t="n">
        <x:v>4</x:v>
      </x:c>
      <x:c r="O1265" t="n">
        <x:v>1</x:v>
      </x:c>
      <x:c r="P1265" s="63" t="str">
        <x:f>IF(M1265=0,"—",M1265&amp;"d"&amp;N1265&amp;IF(O1265=0,""," + "&amp;O1265))</x:f>
        <x:v>1d4 + 1</x:v>
      </x:c>
      <x:c r="Q1265" t="n">
        <x:f>ROUND(INDEX(Catalogue!E$4:E$85,MATCH(A1265,Catalogue!A$4:A$85,0))*(1+'Paramètres'!$B$4*(C1265-1)+'Paramètres'!$B$5*(C1265-1)^2),0)</x:f>
        <x:v>2</x:v>
      </x:c>
      <x:c r="R1265" t="n">
        <x:f>ROUND(INDEX(Catalogue!F$4:F$85,MATCH(A1265,Catalogue!A$4:A$85,0))*(1+'Paramètres'!$B$4*(C1265-1)+'Paramètres'!$B$5*(C1265-1)^2),0)</x:f>
        <x:v>6</x:v>
      </x:c>
      <x:c r="S1265" t="n">
        <x:f>L1265-AVERAGE(Q1265:R1265)</x:f>
        <x:v>-0.5</x:v>
      </x:c>
      <x:c r="T1265" t="str">
        <x:f>IF(M1265=0,IF(AND(N1265=0,O1265=0,E1265=0,F1265=0),"OK","ERREUR"),IF(AND(M1265&gt;=1,M1265&lt;=32,OR(N1265=4,N1265=6,N1265=8,N1265=10,N1265=12,N1265=20),O1265&gt;=0,E1265=M1265+O1265,F1265=M1265*N1265+O1265),"OK","ERREUR"))</x:f>
        <x:v>OK</x:v>
      </x:c>
      <x:c r="U1265" s="86" t="n">
        <x:f>IF(M1265&gt;0,M1265*(N1265+1)/2+O1265,0)</x:f>
        <x:v>3.5</x:v>
      </x:c>
      <x:c r="V1265" t="str">
        <x:f>IF(ABS(L1265-U1265)&lt;0.001,"OK","ERREUR")</x:f>
        <x:v>OK</x:v>
      </x:c>
    </x:row>
    <x:row r="1266" ht="18" customHeight="1">
      <x:c r="A1266" t="str">
        <x:v>ARM064</x:v>
      </x:c>
      <x:c r="B1266" t="str">
        <x:v>Baguette de foudre</x:v>
      </x:c>
      <x:c r="C1266" t="n">
        <x:v>3</x:v>
      </x:c>
      <x:c r="D1266" t="str">
        <x:v>Focaliseurs</x:v>
      </x:c>
      <x:c r="E1266" s="28" t="n">
        <x:f>IF(M1266=0,0,M1266+O1266)</x:f>
        <x:v>3</x:v>
      </x:c>
      <x:c r="F1266" s="28" t="n">
        <x:f>IF(M1266=0,0,M1266*N1266+O1266)</x:f>
        <x:v>6</x:v>
      </x:c>
      <x:c r="G1266" s="28" t="n">
        <x:f>ROUND(Catalogue!G67*SQRT((1+'Paramètres'!$B$4*(C1266-1)+'Paramètres'!$B$5*(C1266-1)^2)),0)</x:f>
        <x:v>0</x:v>
      </x:c>
      <x:c r="H1266" s="28" t="n">
        <x:f>ROUND(Catalogue!H67*SQRT((1+'Paramètres'!$B$4*(C1266-1)+'Paramètres'!$B$5*(C1266-1)^2)),0)</x:f>
        <x:v>0</x:v>
      </x:c>
      <x:c r="I1266" s="28" t="n">
        <x:v>2</x:v>
      </x:c>
      <x:c r="J1266" s="28" t="n">
        <x:v>4</x:v>
      </x:c>
      <x:c r="K1266" s="30" t="n">
        <x:v>0.3</x:v>
      </x:c>
      <x:c r="L1266" s="54" t="n">
        <x:f>IF(M1266=0,0,(E1266+F1266)/2)</x:f>
        <x:v>4.5</x:v>
      </x:c>
      <x:c r="M1266" t="n">
        <x:v>1</x:v>
      </x:c>
      <x:c r="N1266" t="n">
        <x:v>4</x:v>
      </x:c>
      <x:c r="O1266" t="n">
        <x:v>2</x:v>
      </x:c>
      <x:c r="P1266" s="63" t="str">
        <x:f>IF(M1266=0,"—",M1266&amp;"d"&amp;N1266&amp;IF(O1266=0,""," + "&amp;O1266))</x:f>
        <x:v>1d4 + 2</x:v>
      </x:c>
      <x:c r="Q1266" t="n">
        <x:f>ROUND(INDEX(Catalogue!E$4:E$85,MATCH(A1266,Catalogue!A$4:A$85,0))*(1+'Paramètres'!$B$4*(C1266-1)+'Paramètres'!$B$5*(C1266-1)^2),0)</x:f>
        <x:v>3</x:v>
      </x:c>
      <x:c r="R1266" t="n">
        <x:f>ROUND(INDEX(Catalogue!F$4:F$85,MATCH(A1266,Catalogue!A$4:A$85,0))*(1+'Paramètres'!$B$4*(C1266-1)+'Paramètres'!$B$5*(C1266-1)^2),0)</x:f>
        <x:v>6</x:v>
      </x:c>
      <x:c r="S1266" t="n">
        <x:f>L1266-AVERAGE(Q1266:R1266)</x:f>
        <x:v>0</x:v>
      </x:c>
      <x:c r="T1266" t="str">
        <x:f>IF(M1266=0,IF(AND(N1266=0,O1266=0,E1266=0,F1266=0),"OK","ERREUR"),IF(AND(M1266&gt;=1,M1266&lt;=32,OR(N1266=4,N1266=6,N1266=8,N1266=10,N1266=12,N1266=20),O1266&gt;=0,E1266=M1266+O1266,F1266=M1266*N1266+O1266),"OK","ERREUR"))</x:f>
        <x:v>OK</x:v>
      </x:c>
      <x:c r="U1266" s="86" t="n">
        <x:f>IF(M1266&gt;0,M1266*(N1266+1)/2+O1266,0)</x:f>
        <x:v>4.5</x:v>
      </x:c>
      <x:c r="V1266" t="str">
        <x:f>IF(ABS(L1266-U1266)&lt;0.001,"OK","ERREUR")</x:f>
        <x:v>OK</x:v>
      </x:c>
    </x:row>
    <x:row r="1267" ht="18" customHeight="1">
      <x:c r="A1267" t="str">
        <x:v>ARM064</x:v>
      </x:c>
      <x:c r="B1267" t="str">
        <x:v>Baguette de foudre</x:v>
      </x:c>
      <x:c r="C1267" t="n">
        <x:v>4</x:v>
      </x:c>
      <x:c r="D1267" t="str">
        <x:v>Focaliseurs</x:v>
      </x:c>
      <x:c r="E1267" s="28" t="n">
        <x:f>IF(M1267=0,0,M1267+O1267)</x:f>
        <x:v>3</x:v>
      </x:c>
      <x:c r="F1267" s="28" t="n">
        <x:f>IF(M1267=0,0,M1267*N1267+O1267)</x:f>
        <x:v>6</x:v>
      </x:c>
      <x:c r="G1267" s="28" t="n">
        <x:f>ROUND(Catalogue!G67*SQRT((1+'Paramètres'!$B$4*(C1267-1)+'Paramètres'!$B$5*(C1267-1)^2)),0)</x:f>
        <x:v>0</x:v>
      </x:c>
      <x:c r="H1267" s="28" t="n">
        <x:f>ROUND(Catalogue!H67*SQRT((1+'Paramètres'!$B$4*(C1267-1)+'Paramètres'!$B$5*(C1267-1)^2)),0)</x:f>
        <x:v>0</x:v>
      </x:c>
      <x:c r="I1267" s="28" t="n">
        <x:v>2</x:v>
      </x:c>
      <x:c r="J1267" s="28" t="n">
        <x:v>4</x:v>
      </x:c>
      <x:c r="K1267" s="30" t="n">
        <x:v>0.3</x:v>
      </x:c>
      <x:c r="L1267" s="54" t="n">
        <x:f>IF(M1267=0,0,(E1267+F1267)/2)</x:f>
        <x:v>4.5</x:v>
      </x:c>
      <x:c r="M1267" t="n">
        <x:v>1</x:v>
      </x:c>
      <x:c r="N1267" t="n">
        <x:v>4</x:v>
      </x:c>
      <x:c r="O1267" t="n">
        <x:v>2</x:v>
      </x:c>
      <x:c r="P1267" s="63" t="str">
        <x:f>IF(M1267=0,"—",M1267&amp;"d"&amp;N1267&amp;IF(O1267=0,""," + "&amp;O1267))</x:f>
        <x:v>1d4 + 2</x:v>
      </x:c>
      <x:c r="Q1267" t="n">
        <x:f>ROUND(INDEX(Catalogue!E$4:E$85,MATCH(A1267,Catalogue!A$4:A$85,0))*(1+'Paramètres'!$B$4*(C1267-1)+'Paramètres'!$B$5*(C1267-1)^2),0)</x:f>
        <x:v>3</x:v>
      </x:c>
      <x:c r="R1267" t="n">
        <x:f>ROUND(INDEX(Catalogue!F$4:F$85,MATCH(A1267,Catalogue!A$4:A$85,0))*(1+'Paramètres'!$B$4*(C1267-1)+'Paramètres'!$B$5*(C1267-1)^2),0)</x:f>
        <x:v>7</x:v>
      </x:c>
      <x:c r="S1267" t="n">
        <x:f>L1267-AVERAGE(Q1267:R1267)</x:f>
        <x:v>-0.5</x:v>
      </x:c>
      <x:c r="T1267" t="str">
        <x:f>IF(M1267=0,IF(AND(N1267=0,O1267=0,E1267=0,F1267=0),"OK","ERREUR"),IF(AND(M1267&gt;=1,M1267&lt;=32,OR(N1267=4,N1267=6,N1267=8,N1267=10,N1267=12,N1267=20),O1267&gt;=0,E1267=M1267+O1267,F1267=M1267*N1267+O1267),"OK","ERREUR"))</x:f>
        <x:v>OK</x:v>
      </x:c>
      <x:c r="U1267" s="86" t="n">
        <x:f>IF(M1267&gt;0,M1267*(N1267+1)/2+O1267,0)</x:f>
        <x:v>4.5</x:v>
      </x:c>
      <x:c r="V1267" t="str">
        <x:f>IF(ABS(L1267-U1267)&lt;0.001,"OK","ERREUR")</x:f>
        <x:v>OK</x:v>
      </x:c>
    </x:row>
    <x:row r="1268" ht="18" customHeight="1">
      <x:c r="A1268" t="str">
        <x:v>ARM064</x:v>
      </x:c>
      <x:c r="B1268" t="str">
        <x:v>Baguette de foudre</x:v>
      </x:c>
      <x:c r="C1268" t="n">
        <x:v>5</x:v>
      </x:c>
      <x:c r="D1268" t="str">
        <x:v>Focaliseurs</x:v>
      </x:c>
      <x:c r="E1268" s="28" t="n">
        <x:f>IF(M1268=0,0,M1268+O1268)</x:f>
        <x:v>3</x:v>
      </x:c>
      <x:c r="F1268" s="28" t="n">
        <x:f>IF(M1268=0,0,M1268*N1268+O1268)</x:f>
        <x:v>8</x:v>
      </x:c>
      <x:c r="G1268" s="28" t="n">
        <x:f>ROUND(Catalogue!G67*SQRT((1+'Paramètres'!$B$4*(C1268-1)+'Paramètres'!$B$5*(C1268-1)^2)),0)</x:f>
        <x:v>0</x:v>
      </x:c>
      <x:c r="H1268" s="28" t="n">
        <x:f>ROUND(Catalogue!H67*SQRT((1+'Paramètres'!$B$4*(C1268-1)+'Paramètres'!$B$5*(C1268-1)^2)),0)</x:f>
        <x:v>0</x:v>
      </x:c>
      <x:c r="I1268" s="28" t="n">
        <x:v>2</x:v>
      </x:c>
      <x:c r="J1268" s="28" t="n">
        <x:v>4</x:v>
      </x:c>
      <x:c r="K1268" s="30" t="n">
        <x:v>0.3</x:v>
      </x:c>
      <x:c r="L1268" s="54" t="n">
        <x:f>IF(M1268=0,0,(E1268+F1268)/2)</x:f>
        <x:v>5.5</x:v>
      </x:c>
      <x:c r="M1268" t="n">
        <x:v>1</x:v>
      </x:c>
      <x:c r="N1268" t="n">
        <x:v>6</x:v>
      </x:c>
      <x:c r="O1268" t="n">
        <x:v>2</x:v>
      </x:c>
      <x:c r="P1268" s="63" t="str">
        <x:f>IF(M1268=0,"—",M1268&amp;"d"&amp;N1268&amp;IF(O1268=0,""," + "&amp;O1268))</x:f>
        <x:v>1d6 + 2</x:v>
      </x:c>
      <x:c r="Q1268" t="n">
        <x:f>ROUND(INDEX(Catalogue!E$4:E$85,MATCH(A1268,Catalogue!A$4:A$85,0))*(1+'Paramètres'!$B$4*(C1268-1)+'Paramètres'!$B$5*(C1268-1)^2),0)</x:f>
        <x:v>3</x:v>
      </x:c>
      <x:c r="R1268" t="n">
        <x:f>ROUND(INDEX(Catalogue!F$4:F$85,MATCH(A1268,Catalogue!A$4:A$85,0))*(1+'Paramètres'!$B$4*(C1268-1)+'Paramètres'!$B$5*(C1268-1)^2),0)</x:f>
        <x:v>8</x:v>
      </x:c>
      <x:c r="S1268" t="n">
        <x:f>L1268-AVERAGE(Q1268:R1268)</x:f>
        <x:v>0</x:v>
      </x:c>
      <x:c r="T1268" t="str">
        <x:f>IF(M1268=0,IF(AND(N1268=0,O1268=0,E1268=0,F1268=0),"OK","ERREUR"),IF(AND(M1268&gt;=1,M1268&lt;=32,OR(N1268=4,N1268=6,N1268=8,N1268=10,N1268=12,N1268=20),O1268&gt;=0,E1268=M1268+O1268,F1268=M1268*N1268+O1268),"OK","ERREUR"))</x:f>
        <x:v>OK</x:v>
      </x:c>
      <x:c r="U1268" s="86" t="n">
        <x:f>IF(M1268&gt;0,M1268*(N1268+1)/2+O1268,0)</x:f>
        <x:v>5.5</x:v>
      </x:c>
      <x:c r="V1268" t="str">
        <x:f>IF(ABS(L1268-U1268)&lt;0.001,"OK","ERREUR")</x:f>
        <x:v>OK</x:v>
      </x:c>
    </x:row>
    <x:row r="1269" ht="18" customHeight="1">
      <x:c r="A1269" t="str">
        <x:v>ARM064</x:v>
      </x:c>
      <x:c r="B1269" t="str">
        <x:v>Baguette de foudre</x:v>
      </x:c>
      <x:c r="C1269" t="n">
        <x:v>6</x:v>
      </x:c>
      <x:c r="D1269" t="str">
        <x:v>Focaliseurs</x:v>
      </x:c>
      <x:c r="E1269" s="28" t="n">
        <x:f>IF(M1269=0,0,M1269+O1269)</x:f>
        <x:v>4</x:v>
      </x:c>
      <x:c r="F1269" s="28" t="n">
        <x:f>IF(M1269=0,0,M1269*N1269+O1269)</x:f>
        <x:v>10</x:v>
      </x:c>
      <x:c r="G1269" s="28" t="n">
        <x:f>ROUND(Catalogue!G67*SQRT((1+'Paramètres'!$B$4*(C1269-1)+'Paramètres'!$B$5*(C1269-1)^2)),0)</x:f>
        <x:v>0</x:v>
      </x:c>
      <x:c r="H1269" s="28" t="n">
        <x:f>ROUND(Catalogue!H67*SQRT((1+'Paramètres'!$B$4*(C1269-1)+'Paramètres'!$B$5*(C1269-1)^2)),0)</x:f>
        <x:v>0</x:v>
      </x:c>
      <x:c r="I1269" s="28" t="n">
        <x:v>2</x:v>
      </x:c>
      <x:c r="J1269" s="28" t="n">
        <x:v>4</x:v>
      </x:c>
      <x:c r="K1269" s="30" t="n">
        <x:v>0.3</x:v>
      </x:c>
      <x:c r="L1269" s="54" t="n">
        <x:f>IF(M1269=0,0,(E1269+F1269)/2)</x:f>
        <x:v>7</x:v>
      </x:c>
      <x:c r="M1269" t="n">
        <x:v>2</x:v>
      </x:c>
      <x:c r="N1269" t="n">
        <x:v>4</x:v>
      </x:c>
      <x:c r="O1269" t="n">
        <x:v>2</x:v>
      </x:c>
      <x:c r="P1269" s="63" t="str">
        <x:f>IF(M1269=0,"—",M1269&amp;"d"&amp;N1269&amp;IF(O1269=0,""," + "&amp;O1269))</x:f>
        <x:v>2d4 + 2</x:v>
      </x:c>
      <x:c r="Q1269" t="n">
        <x:f>ROUND(INDEX(Catalogue!E$4:E$85,MATCH(A1269,Catalogue!A$4:A$85,0))*(1+'Paramètres'!$B$4*(C1269-1)+'Paramètres'!$B$5*(C1269-1)^2),0)</x:f>
        <x:v>4</x:v>
      </x:c>
      <x:c r="R1269" t="n">
        <x:f>ROUND(INDEX(Catalogue!F$4:F$85,MATCH(A1269,Catalogue!A$4:A$85,0))*(1+'Paramètres'!$B$4*(C1269-1)+'Paramètres'!$B$5*(C1269-1)^2),0)</x:f>
        <x:v>10</x:v>
      </x:c>
      <x:c r="S1269" t="n">
        <x:f>L1269-AVERAGE(Q1269:R1269)</x:f>
        <x:v>0</x:v>
      </x:c>
      <x:c r="T1269" t="str">
        <x:f>IF(M1269=0,IF(AND(N1269=0,O1269=0,E1269=0,F1269=0),"OK","ERREUR"),IF(AND(M1269&gt;=1,M1269&lt;=32,OR(N1269=4,N1269=6,N1269=8,N1269=10,N1269=12,N1269=20),O1269&gt;=0,E1269=M1269+O1269,F1269=M1269*N1269+O1269),"OK","ERREUR"))</x:f>
        <x:v>OK</x:v>
      </x:c>
      <x:c r="U1269" s="86" t="n">
        <x:f>IF(M1269&gt;0,M1269*(N1269+1)/2+O1269,0)</x:f>
        <x:v>7</x:v>
      </x:c>
      <x:c r="V1269" t="str">
        <x:f>IF(ABS(L1269-U1269)&lt;0.001,"OK","ERREUR")</x:f>
        <x:v>OK</x:v>
      </x:c>
    </x:row>
    <x:row r="1270" ht="18" customHeight="1">
      <x:c r="A1270" t="str">
        <x:v>ARM064</x:v>
      </x:c>
      <x:c r="B1270" t="str">
        <x:v>Baguette de foudre</x:v>
      </x:c>
      <x:c r="C1270" t="n">
        <x:v>7</x:v>
      </x:c>
      <x:c r="D1270" t="str">
        <x:v>Focaliseurs</x:v>
      </x:c>
      <x:c r="E1270" s="28" t="n">
        <x:f>IF(M1270=0,0,M1270+O1270)</x:f>
        <x:v>4</x:v>
      </x:c>
      <x:c r="F1270" s="28" t="n">
        <x:f>IF(M1270=0,0,M1270*N1270+O1270)</x:f>
        <x:v>11</x:v>
      </x:c>
      <x:c r="G1270" s="28" t="n">
        <x:f>ROUND(Catalogue!G67*SQRT((1+'Paramètres'!$B$4*(C1270-1)+'Paramètres'!$B$5*(C1270-1)^2)),0)</x:f>
        <x:v>0</x:v>
      </x:c>
      <x:c r="H1270" s="28" t="n">
        <x:f>ROUND(Catalogue!H67*SQRT((1+'Paramètres'!$B$4*(C1270-1)+'Paramètres'!$B$5*(C1270-1)^2)),0)</x:f>
        <x:v>0</x:v>
      </x:c>
      <x:c r="I1270" s="28" t="n">
        <x:v>2</x:v>
      </x:c>
      <x:c r="J1270" s="28" t="n">
        <x:v>4</x:v>
      </x:c>
      <x:c r="K1270" s="30" t="n">
        <x:v>0.3</x:v>
      </x:c>
      <x:c r="L1270" s="54" t="n">
        <x:f>IF(M1270=0,0,(E1270+F1270)/2)</x:f>
        <x:v>7.5</x:v>
      </x:c>
      <x:c r="M1270" t="n">
        <x:v>1</x:v>
      </x:c>
      <x:c r="N1270" t="n">
        <x:v>8</x:v>
      </x:c>
      <x:c r="O1270" t="n">
        <x:v>3</x:v>
      </x:c>
      <x:c r="P1270" s="63" t="str">
        <x:f>IF(M1270=0,"—",M1270&amp;"d"&amp;N1270&amp;IF(O1270=0,""," + "&amp;O1270))</x:f>
        <x:v>1d8 + 3</x:v>
      </x:c>
      <x:c r="Q1270" t="n">
        <x:f>ROUND(INDEX(Catalogue!E$4:E$85,MATCH(A1270,Catalogue!A$4:A$85,0))*(1+'Paramètres'!$B$4*(C1270-1)+'Paramètres'!$B$5*(C1270-1)^2),0)</x:f>
        <x:v>4</x:v>
      </x:c>
      <x:c r="R1270" t="n">
        <x:f>ROUND(INDEX(Catalogue!F$4:F$85,MATCH(A1270,Catalogue!A$4:A$85,0))*(1+'Paramètres'!$B$4*(C1270-1)+'Paramètres'!$B$5*(C1270-1)^2),0)</x:f>
        <x:v>11</x:v>
      </x:c>
      <x:c r="S1270" t="n">
        <x:f>L1270-AVERAGE(Q1270:R1270)</x:f>
        <x:v>0</x:v>
      </x:c>
      <x:c r="T1270" t="str">
        <x:f>IF(M1270=0,IF(AND(N1270=0,O1270=0,E1270=0,F1270=0),"OK","ERREUR"),IF(AND(M1270&gt;=1,M1270&lt;=32,OR(N1270=4,N1270=6,N1270=8,N1270=10,N1270=12,N1270=20),O1270&gt;=0,E1270=M1270+O1270,F1270=M1270*N1270+O1270),"OK","ERREUR"))</x:f>
        <x:v>OK</x:v>
      </x:c>
      <x:c r="U1270" s="86" t="n">
        <x:f>IF(M1270&gt;0,M1270*(N1270+1)/2+O1270,0)</x:f>
        <x:v>7.5</x:v>
      </x:c>
      <x:c r="V1270" t="str">
        <x:f>IF(ABS(L1270-U1270)&lt;0.001,"OK","ERREUR")</x:f>
        <x:v>OK</x:v>
      </x:c>
    </x:row>
    <x:row r="1271" ht="18" customHeight="1">
      <x:c r="A1271" t="str">
        <x:v>ARM064</x:v>
      </x:c>
      <x:c r="B1271" t="str">
        <x:v>Baguette de foudre</x:v>
      </x:c>
      <x:c r="C1271" t="n">
        <x:v>8</x:v>
      </x:c>
      <x:c r="D1271" t="str">
        <x:v>Focaliseurs</x:v>
      </x:c>
      <x:c r="E1271" s="28" t="n">
        <x:f>IF(M1271=0,0,M1271+O1271)</x:f>
        <x:v>4</x:v>
      </x:c>
      <x:c r="F1271" s="28" t="n">
        <x:f>IF(M1271=0,0,M1271*N1271+O1271)</x:f>
        <x:v>13</x:v>
      </x:c>
      <x:c r="G1271" s="28" t="n">
        <x:f>ROUND(Catalogue!G67*SQRT((1+'Paramètres'!$B$4*(C1271-1)+'Paramètres'!$B$5*(C1271-1)^2)),0)</x:f>
        <x:v>0</x:v>
      </x:c>
      <x:c r="H1271" s="28" t="n">
        <x:f>ROUND(Catalogue!H67*SQRT((1+'Paramètres'!$B$4*(C1271-1)+'Paramètres'!$B$5*(C1271-1)^2)),0)</x:f>
        <x:v>0</x:v>
      </x:c>
      <x:c r="I1271" s="28" t="n">
        <x:v>2</x:v>
      </x:c>
      <x:c r="J1271" s="28" t="n">
        <x:v>4</x:v>
      </x:c>
      <x:c r="K1271" s="30" t="n">
        <x:v>0.3</x:v>
      </x:c>
      <x:c r="L1271" s="54" t="n">
        <x:f>IF(M1271=0,0,(E1271+F1271)/2)</x:f>
        <x:v>8.5</x:v>
      </x:c>
      <x:c r="M1271" t="n">
        <x:v>3</x:v>
      </x:c>
      <x:c r="N1271" t="n">
        <x:v>4</x:v>
      </x:c>
      <x:c r="O1271" t="n">
        <x:v>1</x:v>
      </x:c>
      <x:c r="P1271" s="63" t="str">
        <x:f>IF(M1271=0,"—",M1271&amp;"d"&amp;N1271&amp;IF(O1271=0,""," + "&amp;O1271))</x:f>
        <x:v>3d4 + 1</x:v>
      </x:c>
      <x:c r="Q1271" t="n">
        <x:f>ROUND(INDEX(Catalogue!E$4:E$85,MATCH(A1271,Catalogue!A$4:A$85,0))*(1+'Paramètres'!$B$4*(C1271-1)+'Paramètres'!$B$5*(C1271-1)^2),0)</x:f>
        <x:v>5</x:v>
      </x:c>
      <x:c r="R1271" t="n">
        <x:f>ROUND(INDEX(Catalogue!F$4:F$85,MATCH(A1271,Catalogue!A$4:A$85,0))*(1+'Paramètres'!$B$4*(C1271-1)+'Paramètres'!$B$5*(C1271-1)^2),0)</x:f>
        <x:v>13</x:v>
      </x:c>
      <x:c r="S1271" t="n">
        <x:f>L1271-AVERAGE(Q1271:R1271)</x:f>
        <x:v>-0.5</x:v>
      </x:c>
      <x:c r="T1271" t="str">
        <x:f>IF(M1271=0,IF(AND(N1271=0,O1271=0,E1271=0,F1271=0),"OK","ERREUR"),IF(AND(M1271&gt;=1,M1271&lt;=32,OR(N1271=4,N1271=6,N1271=8,N1271=10,N1271=12,N1271=20),O1271&gt;=0,E1271=M1271+O1271,F1271=M1271*N1271+O1271),"OK","ERREUR"))</x:f>
        <x:v>OK</x:v>
      </x:c>
      <x:c r="U1271" s="86" t="n">
        <x:f>IF(M1271&gt;0,M1271*(N1271+1)/2+O1271,0)</x:f>
        <x:v>8.5</x:v>
      </x:c>
      <x:c r="V1271" t="str">
        <x:f>IF(ABS(L1271-U1271)&lt;0.001,"OK","ERREUR")</x:f>
        <x:v>OK</x:v>
      </x:c>
    </x:row>
    <x:row r="1272" ht="18" customHeight="1">
      <x:c r="A1272" t="str">
        <x:v>ARM064</x:v>
      </x:c>
      <x:c r="B1272" t="str">
        <x:v>Baguette de foudre</x:v>
      </x:c>
      <x:c r="C1272" t="n">
        <x:v>9</x:v>
      </x:c>
      <x:c r="D1272" t="str">
        <x:v>Focaliseurs</x:v>
      </x:c>
      <x:c r="E1272" s="28" t="n">
        <x:f>IF(M1272=0,0,M1272+O1272)</x:f>
        <x:v>6</x:v>
      </x:c>
      <x:c r="F1272" s="28" t="n">
        <x:f>IF(M1272=0,0,M1272*N1272+O1272)</x:f>
        <x:v>15</x:v>
      </x:c>
      <x:c r="G1272" s="28" t="n">
        <x:f>ROUND(Catalogue!G67*SQRT((1+'Paramètres'!$B$4*(C1272-1)+'Paramètres'!$B$5*(C1272-1)^2)),0)</x:f>
        <x:v>0</x:v>
      </x:c>
      <x:c r="H1272" s="28" t="n">
        <x:f>ROUND(Catalogue!H67*SQRT((1+'Paramètres'!$B$4*(C1272-1)+'Paramètres'!$B$5*(C1272-1)^2)),0)</x:f>
        <x:v>0</x:v>
      </x:c>
      <x:c r="I1272" s="28" t="n">
        <x:v>2</x:v>
      </x:c>
      <x:c r="J1272" s="28" t="n">
        <x:v>4</x:v>
      </x:c>
      <x:c r="K1272" s="30" t="n">
        <x:v>0.3</x:v>
      </x:c>
      <x:c r="L1272" s="54" t="n">
        <x:f>IF(M1272=0,0,(E1272+F1272)/2)</x:f>
        <x:v>10.5</x:v>
      </x:c>
      <x:c r="M1272" t="n">
        <x:v>3</x:v>
      </x:c>
      <x:c r="N1272" t="n">
        <x:v>4</x:v>
      </x:c>
      <x:c r="O1272" t="n">
        <x:v>3</x:v>
      </x:c>
      <x:c r="P1272" s="63" t="str">
        <x:f>IF(M1272=0,"—",M1272&amp;"d"&amp;N1272&amp;IF(O1272=0,""," + "&amp;O1272))</x:f>
        <x:v>3d4 + 3</x:v>
      </x:c>
      <x:c r="Q1272" t="n">
        <x:f>ROUND(INDEX(Catalogue!E$4:E$85,MATCH(A1272,Catalogue!A$4:A$85,0))*(1+'Paramètres'!$B$4*(C1272-1)+'Paramètres'!$B$5*(C1272-1)^2),0)</x:f>
        <x:v>6</x:v>
      </x:c>
      <x:c r="R1272" t="n">
        <x:f>ROUND(INDEX(Catalogue!F$4:F$85,MATCH(A1272,Catalogue!A$4:A$85,0))*(1+'Paramètres'!$B$4*(C1272-1)+'Paramètres'!$B$5*(C1272-1)^2),0)</x:f>
        <x:v>15</x:v>
      </x:c>
      <x:c r="S1272" t="n">
        <x:f>L1272-AVERAGE(Q1272:R1272)</x:f>
        <x:v>0</x:v>
      </x:c>
      <x:c r="T1272" t="str">
        <x:f>IF(M1272=0,IF(AND(N1272=0,O1272=0,E1272=0,F1272=0),"OK","ERREUR"),IF(AND(M1272&gt;=1,M1272&lt;=32,OR(N1272=4,N1272=6,N1272=8,N1272=10,N1272=12,N1272=20),O1272&gt;=0,E1272=M1272+O1272,F1272=M1272*N1272+O1272),"OK","ERREUR"))</x:f>
        <x:v>OK</x:v>
      </x:c>
      <x:c r="U1272" s="86" t="n">
        <x:f>IF(M1272&gt;0,M1272*(N1272+1)/2+O1272,0)</x:f>
        <x:v>10.5</x:v>
      </x:c>
      <x:c r="V1272" t="str">
        <x:f>IF(ABS(L1272-U1272)&lt;0.001,"OK","ERREUR")</x:f>
        <x:v>OK</x:v>
      </x:c>
    </x:row>
    <x:row r="1273" ht="18" customHeight="1">
      <x:c r="A1273" t="str">
        <x:v>ARM064</x:v>
      </x:c>
      <x:c r="B1273" t="str">
        <x:v>Baguette de foudre</x:v>
      </x:c>
      <x:c r="C1273" t="n">
        <x:v>10</x:v>
      </x:c>
      <x:c r="D1273" t="str">
        <x:v>Focaliseurs</x:v>
      </x:c>
      <x:c r="E1273" s="28" t="n">
        <x:f>IF(M1273=0,0,M1273+O1273)</x:f>
        <x:v>7</x:v>
      </x:c>
      <x:c r="F1273" s="28" t="n">
        <x:f>IF(M1273=0,0,M1273*N1273+O1273)</x:f>
        <x:v>16</x:v>
      </x:c>
      <x:c r="G1273" s="28" t="n">
        <x:f>ROUND(Catalogue!G67*SQRT((1+'Paramètres'!$B$4*(C1273-1)+'Paramètres'!$B$5*(C1273-1)^2)),0)</x:f>
        <x:v>0</x:v>
      </x:c>
      <x:c r="H1273" s="28" t="n">
        <x:f>ROUND(Catalogue!H67*SQRT((1+'Paramètres'!$B$4*(C1273-1)+'Paramètres'!$B$5*(C1273-1)^2)),0)</x:f>
        <x:v>0</x:v>
      </x:c>
      <x:c r="I1273" s="28" t="n">
        <x:v>2</x:v>
      </x:c>
      <x:c r="J1273" s="28" t="n">
        <x:v>4</x:v>
      </x:c>
      <x:c r="K1273" s="30" t="n">
        <x:v>0.3</x:v>
      </x:c>
      <x:c r="L1273" s="54" t="n">
        <x:f>IF(M1273=0,0,(E1273+F1273)/2)</x:f>
        <x:v>11.5</x:v>
      </x:c>
      <x:c r="M1273" t="n">
        <x:v>3</x:v>
      </x:c>
      <x:c r="N1273" t="n">
        <x:v>4</x:v>
      </x:c>
      <x:c r="O1273" t="n">
        <x:v>4</x:v>
      </x:c>
      <x:c r="P1273" s="63" t="str">
        <x:f>IF(M1273=0,"—",M1273&amp;"d"&amp;N1273&amp;IF(O1273=0,""," + "&amp;O1273))</x:f>
        <x:v>3d4 + 4</x:v>
      </x:c>
      <x:c r="Q1273" t="n">
        <x:f>ROUND(INDEX(Catalogue!E$4:E$85,MATCH(A1273,Catalogue!A$4:A$85,0))*(1+'Paramètres'!$B$4*(C1273-1)+'Paramètres'!$B$5*(C1273-1)^2),0)</x:f>
        <x:v>7</x:v>
      </x:c>
      <x:c r="R1273" t="n">
        <x:f>ROUND(INDEX(Catalogue!F$4:F$85,MATCH(A1273,Catalogue!A$4:A$85,0))*(1+'Paramètres'!$B$4*(C1273-1)+'Paramètres'!$B$5*(C1273-1)^2),0)</x:f>
        <x:v>16</x:v>
      </x:c>
      <x:c r="S1273" t="n">
        <x:f>L1273-AVERAGE(Q1273:R1273)</x:f>
        <x:v>0</x:v>
      </x:c>
      <x:c r="T1273" t="str">
        <x:f>IF(M1273=0,IF(AND(N1273=0,O1273=0,E1273=0,F1273=0),"OK","ERREUR"),IF(AND(M1273&gt;=1,M1273&lt;=32,OR(N1273=4,N1273=6,N1273=8,N1273=10,N1273=12,N1273=20),O1273&gt;=0,E1273=M1273+O1273,F1273=M1273*N1273+O1273),"OK","ERREUR"))</x:f>
        <x:v>OK</x:v>
      </x:c>
      <x:c r="U1273" s="86" t="n">
        <x:f>IF(M1273&gt;0,M1273*(N1273+1)/2+O1273,0)</x:f>
        <x:v>11.5</x:v>
      </x:c>
      <x:c r="V1273" t="str">
        <x:f>IF(ABS(L1273-U1273)&lt;0.001,"OK","ERREUR")</x:f>
        <x:v>OK</x:v>
      </x:c>
    </x:row>
    <x:row r="1274" ht="18" customHeight="1">
      <x:c r="A1274" t="str">
        <x:v>ARM064</x:v>
      </x:c>
      <x:c r="B1274" t="str">
        <x:v>Baguette de foudre</x:v>
      </x:c>
      <x:c r="C1274" t="n">
        <x:v>11</x:v>
      </x:c>
      <x:c r="D1274" t="str">
        <x:v>Focaliseurs</x:v>
      </x:c>
      <x:c r="E1274" s="28" t="n">
        <x:f>IF(M1274=0,0,M1274+O1274)</x:f>
        <x:v>7</x:v>
      </x:c>
      <x:c r="F1274" s="28" t="n">
        <x:f>IF(M1274=0,0,M1274*N1274+O1274)</x:f>
        <x:v>19</x:v>
      </x:c>
      <x:c r="G1274" s="28" t="n">
        <x:f>ROUND(Catalogue!G67*SQRT((1+'Paramètres'!$B$4*(C1274-1)+'Paramètres'!$B$5*(C1274-1)^2)),0)</x:f>
        <x:v>0</x:v>
      </x:c>
      <x:c r="H1274" s="28" t="n">
        <x:f>ROUND(Catalogue!H67*SQRT((1+'Paramètres'!$B$4*(C1274-1)+'Paramètres'!$B$5*(C1274-1)^2)),0)</x:f>
        <x:v>0</x:v>
      </x:c>
      <x:c r="I1274" s="28" t="n">
        <x:v>2</x:v>
      </x:c>
      <x:c r="J1274" s="28" t="n">
        <x:v>4</x:v>
      </x:c>
      <x:c r="K1274" s="30" t="n">
        <x:v>0.3</x:v>
      </x:c>
      <x:c r="L1274" s="54" t="n">
        <x:f>IF(M1274=0,0,(E1274+F1274)/2)</x:f>
        <x:v>13</x:v>
      </x:c>
      <x:c r="M1274" t="n">
        <x:v>4</x:v>
      </x:c>
      <x:c r="N1274" t="n">
        <x:v>4</x:v>
      </x:c>
      <x:c r="O1274" t="n">
        <x:v>3</x:v>
      </x:c>
      <x:c r="P1274" s="63" t="str">
        <x:f>IF(M1274=0,"—",M1274&amp;"d"&amp;N1274&amp;IF(O1274=0,""," + "&amp;O1274))</x:f>
        <x:v>4d4 + 3</x:v>
      </x:c>
      <x:c r="Q1274" t="n">
        <x:f>ROUND(INDEX(Catalogue!E$4:E$85,MATCH(A1274,Catalogue!A$4:A$85,0))*(1+'Paramètres'!$B$4*(C1274-1)+'Paramètres'!$B$5*(C1274-1)^2),0)</x:f>
        <x:v>7</x:v>
      </x:c>
      <x:c r="R1274" t="n">
        <x:f>ROUND(INDEX(Catalogue!F$4:F$85,MATCH(A1274,Catalogue!A$4:A$85,0))*(1+'Paramètres'!$B$4*(C1274-1)+'Paramètres'!$B$5*(C1274-1)^2),0)</x:f>
        <x:v>19</x:v>
      </x:c>
      <x:c r="S1274" t="n">
        <x:f>L1274-AVERAGE(Q1274:R1274)</x:f>
        <x:v>0</x:v>
      </x:c>
      <x:c r="T1274" t="str">
        <x:f>IF(M1274=0,IF(AND(N1274=0,O1274=0,E1274=0,F1274=0),"OK","ERREUR"),IF(AND(M1274&gt;=1,M1274&lt;=32,OR(N1274=4,N1274=6,N1274=8,N1274=10,N1274=12,N1274=20),O1274&gt;=0,E1274=M1274+O1274,F1274=M1274*N1274+O1274),"OK","ERREUR"))</x:f>
        <x:v>OK</x:v>
      </x:c>
      <x:c r="U1274" s="86" t="n">
        <x:f>IF(M1274&gt;0,M1274*(N1274+1)/2+O1274,0)</x:f>
        <x:v>13</x:v>
      </x:c>
      <x:c r="V1274" t="str">
        <x:f>IF(ABS(L1274-U1274)&lt;0.001,"OK","ERREUR")</x:f>
        <x:v>OK</x:v>
      </x:c>
    </x:row>
    <x:row r="1275" ht="18" customHeight="1">
      <x:c r="A1275" t="str">
        <x:v>ARM064</x:v>
      </x:c>
      <x:c r="B1275" t="str">
        <x:v>Baguette de foudre</x:v>
      </x:c>
      <x:c r="C1275" t="n">
        <x:v>12</x:v>
      </x:c>
      <x:c r="D1275" t="str">
        <x:v>Focaliseurs</x:v>
      </x:c>
      <x:c r="E1275" s="28" t="n">
        <x:f>IF(M1275=0,0,M1275+O1275)</x:f>
        <x:v>7</x:v>
      </x:c>
      <x:c r="F1275" s="28" t="n">
        <x:f>IF(M1275=0,0,M1275*N1275+O1275)</x:f>
        <x:v>21</x:v>
      </x:c>
      <x:c r="G1275" s="28" t="n">
        <x:f>ROUND(Catalogue!G67*SQRT((1+'Paramètres'!$B$4*(C1275-1)+'Paramètres'!$B$5*(C1275-1)^2)),0)</x:f>
        <x:v>0</x:v>
      </x:c>
      <x:c r="H1275" s="28" t="n">
        <x:f>ROUND(Catalogue!H67*SQRT((1+'Paramètres'!$B$4*(C1275-1)+'Paramètres'!$B$5*(C1275-1)^2)),0)</x:f>
        <x:v>0</x:v>
      </x:c>
      <x:c r="I1275" s="28" t="n">
        <x:v>2</x:v>
      </x:c>
      <x:c r="J1275" s="28" t="n">
        <x:v>4</x:v>
      </x:c>
      <x:c r="K1275" s="30" t="n">
        <x:v>0.3</x:v>
      </x:c>
      <x:c r="L1275" s="54" t="n">
        <x:f>IF(M1275=0,0,(E1275+F1275)/2)</x:f>
        <x:v>14</x:v>
      </x:c>
      <x:c r="M1275" t="n">
        <x:v>2</x:v>
      </x:c>
      <x:c r="N1275" t="n">
        <x:v>8</x:v>
      </x:c>
      <x:c r="O1275" t="n">
        <x:v>5</x:v>
      </x:c>
      <x:c r="P1275" s="63" t="str">
        <x:f>IF(M1275=0,"—",M1275&amp;"d"&amp;N1275&amp;IF(O1275=0,""," + "&amp;O1275))</x:f>
        <x:v>2d8 + 5</x:v>
      </x:c>
      <x:c r="Q1275" t="n">
        <x:f>ROUND(INDEX(Catalogue!E$4:E$85,MATCH(A1275,Catalogue!A$4:A$85,0))*(1+'Paramètres'!$B$4*(C1275-1)+'Paramètres'!$B$5*(C1275-1)^2),0)</x:f>
        <x:v>8</x:v>
      </x:c>
      <x:c r="R1275" t="n">
        <x:f>ROUND(INDEX(Catalogue!F$4:F$85,MATCH(A1275,Catalogue!A$4:A$85,0))*(1+'Paramètres'!$B$4*(C1275-1)+'Paramètres'!$B$5*(C1275-1)^2),0)</x:f>
        <x:v>21</x:v>
      </x:c>
      <x:c r="S1275" t="n">
        <x:f>L1275-AVERAGE(Q1275:R1275)</x:f>
        <x:v>-0.5</x:v>
      </x:c>
      <x:c r="T1275" t="str">
        <x:f>IF(M1275=0,IF(AND(N1275=0,O1275=0,E1275=0,F1275=0),"OK","ERREUR"),IF(AND(M1275&gt;=1,M1275&lt;=32,OR(N1275=4,N1275=6,N1275=8,N1275=10,N1275=12,N1275=20),O1275&gt;=0,E1275=M1275+O1275,F1275=M1275*N1275+O1275),"OK","ERREUR"))</x:f>
        <x:v>OK</x:v>
      </x:c>
      <x:c r="U1275" s="86" t="n">
        <x:f>IF(M1275&gt;0,M1275*(N1275+1)/2+O1275,0)</x:f>
        <x:v>14</x:v>
      </x:c>
      <x:c r="V1275" t="str">
        <x:f>IF(ABS(L1275-U1275)&lt;0.001,"OK","ERREUR")</x:f>
        <x:v>OK</x:v>
      </x:c>
    </x:row>
    <x:row r="1276" ht="18" customHeight="1">
      <x:c r="A1276" t="str">
        <x:v>ARM064</x:v>
      </x:c>
      <x:c r="B1276" t="str">
        <x:v>Baguette de foudre</x:v>
      </x:c>
      <x:c r="C1276" t="n">
        <x:v>13</x:v>
      </x:c>
      <x:c r="D1276" t="str">
        <x:v>Focaliseurs</x:v>
      </x:c>
      <x:c r="E1276" s="28" t="n">
        <x:f>IF(M1276=0,0,M1276+O1276)</x:f>
        <x:v>9</x:v>
      </x:c>
      <x:c r="F1276" s="28" t="n">
        <x:f>IF(M1276=0,0,M1276*N1276+O1276)</x:f>
        <x:v>23</x:v>
      </x:c>
      <x:c r="G1276" s="28" t="n">
        <x:f>ROUND(Catalogue!G67*SQRT((1+'Paramètres'!$B$4*(C1276-1)+'Paramètres'!$B$5*(C1276-1)^2)),0)</x:f>
        <x:v>0</x:v>
      </x:c>
      <x:c r="H1276" s="28" t="n">
        <x:f>ROUND(Catalogue!H67*SQRT((1+'Paramètres'!$B$4*(C1276-1)+'Paramètres'!$B$5*(C1276-1)^2)),0)</x:f>
        <x:v>0</x:v>
      </x:c>
      <x:c r="I1276" s="28" t="n">
        <x:v>2</x:v>
      </x:c>
      <x:c r="J1276" s="28" t="n">
        <x:v>4</x:v>
      </x:c>
      <x:c r="K1276" s="30" t="n">
        <x:v>0.3</x:v>
      </x:c>
      <x:c r="L1276" s="54" t="n">
        <x:f>IF(M1276=0,0,(E1276+F1276)/2)</x:f>
        <x:v>16</x:v>
      </x:c>
      <x:c r="M1276" t="n">
        <x:v>2</x:v>
      </x:c>
      <x:c r="N1276" t="n">
        <x:v>8</x:v>
      </x:c>
      <x:c r="O1276" t="n">
        <x:v>7</x:v>
      </x:c>
      <x:c r="P1276" s="63" t="str">
        <x:f>IF(M1276=0,"—",M1276&amp;"d"&amp;N1276&amp;IF(O1276=0,""," + "&amp;O1276))</x:f>
        <x:v>2d8 + 7</x:v>
      </x:c>
      <x:c r="Q1276" t="n">
        <x:f>ROUND(INDEX(Catalogue!E$4:E$85,MATCH(A1276,Catalogue!A$4:A$85,0))*(1+'Paramètres'!$B$4*(C1276-1)+'Paramètres'!$B$5*(C1276-1)^2),0)</x:f>
        <x:v>9</x:v>
      </x:c>
      <x:c r="R1276" t="n">
        <x:f>ROUND(INDEX(Catalogue!F$4:F$85,MATCH(A1276,Catalogue!A$4:A$85,0))*(1+'Paramètres'!$B$4*(C1276-1)+'Paramètres'!$B$5*(C1276-1)^2),0)</x:f>
        <x:v>23</x:v>
      </x:c>
      <x:c r="S1276" t="n">
        <x:f>L1276-AVERAGE(Q1276:R1276)</x:f>
        <x:v>0</x:v>
      </x:c>
      <x:c r="T1276" t="str">
        <x:f>IF(M1276=0,IF(AND(N1276=0,O1276=0,E1276=0,F1276=0),"OK","ERREUR"),IF(AND(M1276&gt;=1,M1276&lt;=32,OR(N1276=4,N1276=6,N1276=8,N1276=10,N1276=12,N1276=20),O1276&gt;=0,E1276=M1276+O1276,F1276=M1276*N1276+O1276),"OK","ERREUR"))</x:f>
        <x:v>OK</x:v>
      </x:c>
      <x:c r="U1276" s="86" t="n">
        <x:f>IF(M1276&gt;0,M1276*(N1276+1)/2+O1276,0)</x:f>
        <x:v>16</x:v>
      </x:c>
      <x:c r="V1276" t="str">
        <x:f>IF(ABS(L1276-U1276)&lt;0.001,"OK","ERREUR")</x:f>
        <x:v>OK</x:v>
      </x:c>
    </x:row>
    <x:row r="1277" ht="18" customHeight="1">
      <x:c r="A1277" t="str">
        <x:v>ARM064</x:v>
      </x:c>
      <x:c r="B1277" t="str">
        <x:v>Baguette de foudre</x:v>
      </x:c>
      <x:c r="C1277" t="n">
        <x:v>14</x:v>
      </x:c>
      <x:c r="D1277" t="str">
        <x:v>Focaliseurs</x:v>
      </x:c>
      <x:c r="E1277" s="28" t="n">
        <x:f>IF(M1277=0,0,M1277+O1277)</x:f>
        <x:v>11</x:v>
      </x:c>
      <x:c r="F1277" s="28" t="n">
        <x:f>IF(M1277=0,0,M1277*N1277+O1277)</x:f>
        <x:v>26</x:v>
      </x:c>
      <x:c r="G1277" s="28" t="n">
        <x:f>ROUND(Catalogue!G67*SQRT((1+'Paramètres'!$B$4*(C1277-1)+'Paramètres'!$B$5*(C1277-1)^2)),0)</x:f>
        <x:v>0</x:v>
      </x:c>
      <x:c r="H1277" s="28" t="n">
        <x:f>ROUND(Catalogue!H67*SQRT((1+'Paramètres'!$B$4*(C1277-1)+'Paramètres'!$B$5*(C1277-1)^2)),0)</x:f>
        <x:v>0</x:v>
      </x:c>
      <x:c r="I1277" s="28" t="n">
        <x:v>2</x:v>
      </x:c>
      <x:c r="J1277" s="28" t="n">
        <x:v>4</x:v>
      </x:c>
      <x:c r="K1277" s="30" t="n">
        <x:v>0.3</x:v>
      </x:c>
      <x:c r="L1277" s="54" t="n">
        <x:f>IF(M1277=0,0,(E1277+F1277)/2)</x:f>
        <x:v>18.5</x:v>
      </x:c>
      <x:c r="M1277" t="n">
        <x:v>3</x:v>
      </x:c>
      <x:c r="N1277" t="n">
        <x:v>6</x:v>
      </x:c>
      <x:c r="O1277" t="n">
        <x:v>8</x:v>
      </x:c>
      <x:c r="P1277" s="63" t="str">
        <x:f>IF(M1277=0,"—",M1277&amp;"d"&amp;N1277&amp;IF(O1277=0,""," + "&amp;O1277))</x:f>
        <x:v>3d6 + 8</x:v>
      </x:c>
      <x:c r="Q1277" t="n">
        <x:f>ROUND(INDEX(Catalogue!E$4:E$85,MATCH(A1277,Catalogue!A$4:A$85,0))*(1+'Paramètres'!$B$4*(C1277-1)+'Paramètres'!$B$5*(C1277-1)^2),0)</x:f>
        <x:v>10</x:v>
      </x:c>
      <x:c r="R1277" t="n">
        <x:f>ROUND(INDEX(Catalogue!F$4:F$85,MATCH(A1277,Catalogue!A$4:A$85,0))*(1+'Paramètres'!$B$4*(C1277-1)+'Paramètres'!$B$5*(C1277-1)^2),0)</x:f>
        <x:v>26</x:v>
      </x:c>
      <x:c r="S1277" t="n">
        <x:f>L1277-AVERAGE(Q1277:R1277)</x:f>
        <x:v>0.5</x:v>
      </x:c>
      <x:c r="T1277" t="str">
        <x:f>IF(M1277=0,IF(AND(N1277=0,O1277=0,E1277=0,F1277=0),"OK","ERREUR"),IF(AND(M1277&gt;=1,M1277&lt;=32,OR(N1277=4,N1277=6,N1277=8,N1277=10,N1277=12,N1277=20),O1277&gt;=0,E1277=M1277+O1277,F1277=M1277*N1277+O1277),"OK","ERREUR"))</x:f>
        <x:v>OK</x:v>
      </x:c>
      <x:c r="U1277" s="86" t="n">
        <x:f>IF(M1277&gt;0,M1277*(N1277+1)/2+O1277,0)</x:f>
        <x:v>18.5</x:v>
      </x:c>
      <x:c r="V1277" t="str">
        <x:f>IF(ABS(L1277-U1277)&lt;0.001,"OK","ERREUR")</x:f>
        <x:v>OK</x:v>
      </x:c>
    </x:row>
    <x:row r="1278" ht="18" customHeight="1">
      <x:c r="A1278" t="str">
        <x:v>ARM064</x:v>
      </x:c>
      <x:c r="B1278" t="str">
        <x:v>Baguette de foudre</x:v>
      </x:c>
      <x:c r="C1278" t="n">
        <x:v>15</x:v>
      </x:c>
      <x:c r="D1278" t="str">
        <x:v>Focaliseurs</x:v>
      </x:c>
      <x:c r="E1278" s="28" t="n">
        <x:f>IF(M1278=0,0,M1278+O1278)</x:f>
        <x:v>10</x:v>
      </x:c>
      <x:c r="F1278" s="28" t="n">
        <x:f>IF(M1278=0,0,M1278*N1278+O1278)</x:f>
        <x:v>28</x:v>
      </x:c>
      <x:c r="G1278" s="28" t="n">
        <x:f>ROUND(Catalogue!G67*SQRT((1+'Paramètres'!$B$4*(C1278-1)+'Paramètres'!$B$5*(C1278-1)^2)),0)</x:f>
        <x:v>0</x:v>
      </x:c>
      <x:c r="H1278" s="28" t="n">
        <x:f>ROUND(Catalogue!H67*SQRT((1+'Paramètres'!$B$4*(C1278-1)+'Paramètres'!$B$5*(C1278-1)^2)),0)</x:f>
        <x:v>0</x:v>
      </x:c>
      <x:c r="I1278" s="28" t="n">
        <x:v>2</x:v>
      </x:c>
      <x:c r="J1278" s="28" t="n">
        <x:v>4</x:v>
      </x:c>
      <x:c r="K1278" s="30" t="n">
        <x:v>0.3</x:v>
      </x:c>
      <x:c r="L1278" s="54" t="n">
        <x:f>IF(M1278=0,0,(E1278+F1278)/2)</x:f>
        <x:v>19</x:v>
      </x:c>
      <x:c r="M1278" t="n">
        <x:v>2</x:v>
      </x:c>
      <x:c r="N1278" t="n">
        <x:v>10</x:v>
      </x:c>
      <x:c r="O1278" t="n">
        <x:v>8</x:v>
      </x:c>
      <x:c r="P1278" s="63" t="str">
        <x:f>IF(M1278=0,"—",M1278&amp;"d"&amp;N1278&amp;IF(O1278=0,""," + "&amp;O1278))</x:f>
        <x:v>2d10 + 8</x:v>
      </x:c>
      <x:c r="Q1278" t="n">
        <x:f>ROUND(INDEX(Catalogue!E$4:E$85,MATCH(A1278,Catalogue!A$4:A$85,0))*(1+'Paramètres'!$B$4*(C1278-1)+'Paramètres'!$B$5*(C1278-1)^2),0)</x:f>
        <x:v>11</x:v>
      </x:c>
      <x:c r="R1278" t="n">
        <x:f>ROUND(INDEX(Catalogue!F$4:F$85,MATCH(A1278,Catalogue!A$4:A$85,0))*(1+'Paramètres'!$B$4*(C1278-1)+'Paramètres'!$B$5*(C1278-1)^2),0)</x:f>
        <x:v>28</x:v>
      </x:c>
      <x:c r="S1278" t="n">
        <x:f>L1278-AVERAGE(Q1278:R1278)</x:f>
        <x:v>-0.5</x:v>
      </x:c>
      <x:c r="T1278" t="str">
        <x:f>IF(M1278=0,IF(AND(N1278=0,O1278=0,E1278=0,F1278=0),"OK","ERREUR"),IF(AND(M1278&gt;=1,M1278&lt;=32,OR(N1278=4,N1278=6,N1278=8,N1278=10,N1278=12,N1278=20),O1278&gt;=0,E1278=M1278+O1278,F1278=M1278*N1278+O1278),"OK","ERREUR"))</x:f>
        <x:v>OK</x:v>
      </x:c>
      <x:c r="U1278" s="86" t="n">
        <x:f>IF(M1278&gt;0,M1278*(N1278+1)/2+O1278,0)</x:f>
        <x:v>19</x:v>
      </x:c>
      <x:c r="V1278" t="str">
        <x:f>IF(ABS(L1278-U1278)&lt;0.001,"OK","ERREUR")</x:f>
        <x:v>OK</x:v>
      </x:c>
    </x:row>
    <x:row r="1279" ht="18" customHeight="1">
      <x:c r="A1279" t="str">
        <x:v>ARM064</x:v>
      </x:c>
      <x:c r="B1279" t="str">
        <x:v>Baguette de foudre</x:v>
      </x:c>
      <x:c r="C1279" t="n">
        <x:v>16</x:v>
      </x:c>
      <x:c r="D1279" t="str">
        <x:v>Focaliseurs</x:v>
      </x:c>
      <x:c r="E1279" s="28" t="n">
        <x:f>IF(M1279=0,0,M1279+O1279)</x:f>
        <x:v>13</x:v>
      </x:c>
      <x:c r="F1279" s="28" t="n">
        <x:f>IF(M1279=0,0,M1279*N1279+O1279)</x:f>
        <x:v>31</x:v>
      </x:c>
      <x:c r="G1279" s="28" t="n">
        <x:f>ROUND(Catalogue!G67*SQRT((1+'Paramètres'!$B$4*(C1279-1)+'Paramètres'!$B$5*(C1279-1)^2)),0)</x:f>
        <x:v>0</x:v>
      </x:c>
      <x:c r="H1279" s="28" t="n">
        <x:f>ROUND(Catalogue!H67*SQRT((1+'Paramètres'!$B$4*(C1279-1)+'Paramètres'!$B$5*(C1279-1)^2)),0)</x:f>
        <x:v>0</x:v>
      </x:c>
      <x:c r="I1279" s="28" t="n">
        <x:v>2</x:v>
      </x:c>
      <x:c r="J1279" s="28" t="n">
        <x:v>4</x:v>
      </x:c>
      <x:c r="K1279" s="30" t="n">
        <x:v>0.3</x:v>
      </x:c>
      <x:c r="L1279" s="54" t="n">
        <x:f>IF(M1279=0,0,(E1279+F1279)/2)</x:f>
        <x:v>22</x:v>
      </x:c>
      <x:c r="M1279" t="n">
        <x:v>2</x:v>
      </x:c>
      <x:c r="N1279" t="n">
        <x:v>10</x:v>
      </x:c>
      <x:c r="O1279" t="n">
        <x:v>11</x:v>
      </x:c>
      <x:c r="P1279" s="63" t="str">
        <x:f>IF(M1279=0,"—",M1279&amp;"d"&amp;N1279&amp;IF(O1279=0,""," + "&amp;O1279))</x:f>
        <x:v>2d10 + 11</x:v>
      </x:c>
      <x:c r="Q1279" t="n">
        <x:f>ROUND(INDEX(Catalogue!E$4:E$85,MATCH(A1279,Catalogue!A$4:A$85,0))*(1+'Paramètres'!$B$4*(C1279-1)+'Paramètres'!$B$5*(C1279-1)^2),0)</x:f>
        <x:v>13</x:v>
      </x:c>
      <x:c r="R1279" t="n">
        <x:f>ROUND(INDEX(Catalogue!F$4:F$85,MATCH(A1279,Catalogue!A$4:A$85,0))*(1+'Paramètres'!$B$4*(C1279-1)+'Paramètres'!$B$5*(C1279-1)^2),0)</x:f>
        <x:v>31</x:v>
      </x:c>
      <x:c r="S1279" t="n">
        <x:f>L1279-AVERAGE(Q1279:R1279)</x:f>
        <x:v>0</x:v>
      </x:c>
      <x:c r="T1279" t="str">
        <x:f>IF(M1279=0,IF(AND(N1279=0,O1279=0,E1279=0,F1279=0),"OK","ERREUR"),IF(AND(M1279&gt;=1,M1279&lt;=32,OR(N1279=4,N1279=6,N1279=8,N1279=10,N1279=12,N1279=20),O1279&gt;=0,E1279=M1279+O1279,F1279=M1279*N1279+O1279),"OK","ERREUR"))</x:f>
        <x:v>OK</x:v>
      </x:c>
      <x:c r="U1279" s="86" t="n">
        <x:f>IF(M1279&gt;0,M1279*(N1279+1)/2+O1279,0)</x:f>
        <x:v>22</x:v>
      </x:c>
      <x:c r="V1279" t="str">
        <x:f>IF(ABS(L1279-U1279)&lt;0.001,"OK","ERREUR")</x:f>
        <x:v>OK</x:v>
      </x:c>
    </x:row>
    <x:row r="1280" ht="18" customHeight="1">
      <x:c r="A1280" t="str">
        <x:v>ARM064</x:v>
      </x:c>
      <x:c r="B1280" t="str">
        <x:v>Baguette de foudre</x:v>
      </x:c>
      <x:c r="C1280" t="n">
        <x:v>17</x:v>
      </x:c>
      <x:c r="D1280" t="str">
        <x:v>Focaliseurs</x:v>
      </x:c>
      <x:c r="E1280" s="28" t="n">
        <x:f>IF(M1280=0,0,M1280+O1280)</x:f>
        <x:v>14</x:v>
      </x:c>
      <x:c r="F1280" s="28" t="n">
        <x:f>IF(M1280=0,0,M1280*N1280+O1280)</x:f>
        <x:v>34</x:v>
      </x:c>
      <x:c r="G1280" s="28" t="n">
        <x:f>ROUND(Catalogue!G67*SQRT((1+'Paramètres'!$B$4*(C1280-1)+'Paramètres'!$B$5*(C1280-1)^2)),0)</x:f>
        <x:v>0</x:v>
      </x:c>
      <x:c r="H1280" s="28" t="n">
        <x:f>ROUND(Catalogue!H67*SQRT((1+'Paramètres'!$B$4*(C1280-1)+'Paramètres'!$B$5*(C1280-1)^2)),0)</x:f>
        <x:v>0</x:v>
      </x:c>
      <x:c r="I1280" s="28" t="n">
        <x:v>2</x:v>
      </x:c>
      <x:c r="J1280" s="28" t="n">
        <x:v>4</x:v>
      </x:c>
      <x:c r="K1280" s="30" t="n">
        <x:v>0.3</x:v>
      </x:c>
      <x:c r="L1280" s="54" t="n">
        <x:f>IF(M1280=0,0,(E1280+F1280)/2)</x:f>
        <x:v>24</x:v>
      </x:c>
      <x:c r="M1280" t="n">
        <x:v>4</x:v>
      </x:c>
      <x:c r="N1280" t="n">
        <x:v>6</x:v>
      </x:c>
      <x:c r="O1280" t="n">
        <x:v>10</x:v>
      </x:c>
      <x:c r="P1280" s="63" t="str">
        <x:f>IF(M1280=0,"—",M1280&amp;"d"&amp;N1280&amp;IF(O1280=0,""," + "&amp;O1280))</x:f>
        <x:v>4d6 + 10</x:v>
      </x:c>
      <x:c r="Q1280" t="n">
        <x:f>ROUND(INDEX(Catalogue!E$4:E$85,MATCH(A1280,Catalogue!A$4:A$85,0))*(1+'Paramètres'!$B$4*(C1280-1)+'Paramètres'!$B$5*(C1280-1)^2),0)</x:f>
        <x:v>14</x:v>
      </x:c>
      <x:c r="R1280" t="n">
        <x:f>ROUND(INDEX(Catalogue!F$4:F$85,MATCH(A1280,Catalogue!A$4:A$85,0))*(1+'Paramètres'!$B$4*(C1280-1)+'Paramètres'!$B$5*(C1280-1)^2),0)</x:f>
        <x:v>34</x:v>
      </x:c>
      <x:c r="S1280" t="n">
        <x:f>L1280-AVERAGE(Q1280:R1280)</x:f>
        <x:v>0</x:v>
      </x:c>
      <x:c r="T1280" t="str">
        <x:f>IF(M1280=0,IF(AND(N1280=0,O1280=0,E1280=0,F1280=0),"OK","ERREUR"),IF(AND(M1280&gt;=1,M1280&lt;=32,OR(N1280=4,N1280=6,N1280=8,N1280=10,N1280=12,N1280=20),O1280&gt;=0,E1280=M1280+O1280,F1280=M1280*N1280+O1280),"OK","ERREUR"))</x:f>
        <x:v>OK</x:v>
      </x:c>
      <x:c r="U1280" s="86" t="n">
        <x:f>IF(M1280&gt;0,M1280*(N1280+1)/2+O1280,0)</x:f>
        <x:v>24</x:v>
      </x:c>
      <x:c r="V1280" t="str">
        <x:f>IF(ABS(L1280-U1280)&lt;0.001,"OK","ERREUR")</x:f>
        <x:v>OK</x:v>
      </x:c>
    </x:row>
    <x:row r="1281" ht="18" customHeight="1">
      <x:c r="A1281" t="str">
        <x:v>ARM064</x:v>
      </x:c>
      <x:c r="B1281" t="str">
        <x:v>Baguette de foudre</x:v>
      </x:c>
      <x:c r="C1281" t="n">
        <x:v>18</x:v>
      </x:c>
      <x:c r="D1281" t="str">
        <x:v>Focaliseurs</x:v>
      </x:c>
      <x:c r="E1281" s="28" t="n">
        <x:f>IF(M1281=0,0,M1281+O1281)</x:f>
        <x:v>15</x:v>
      </x:c>
      <x:c r="F1281" s="28" t="n">
        <x:f>IF(M1281=0,0,M1281*N1281+O1281)</x:f>
        <x:v>37</x:v>
      </x:c>
      <x:c r="G1281" s="28" t="n">
        <x:f>ROUND(Catalogue!G67*SQRT((1+'Paramètres'!$B$4*(C1281-1)+'Paramètres'!$B$5*(C1281-1)^2)),0)</x:f>
        <x:v>0</x:v>
      </x:c>
      <x:c r="H1281" s="28" t="n">
        <x:f>ROUND(Catalogue!H67*SQRT((1+'Paramètres'!$B$4*(C1281-1)+'Paramètres'!$B$5*(C1281-1)^2)),0)</x:f>
        <x:v>0</x:v>
      </x:c>
      <x:c r="I1281" s="28" t="n">
        <x:v>2</x:v>
      </x:c>
      <x:c r="J1281" s="28" t="n">
        <x:v>4</x:v>
      </x:c>
      <x:c r="K1281" s="30" t="n">
        <x:v>0.3</x:v>
      </x:c>
      <x:c r="L1281" s="54" t="n">
        <x:f>IF(M1281=0,0,(E1281+F1281)/2)</x:f>
        <x:v>26</x:v>
      </x:c>
      <x:c r="M1281" t="n">
        <x:v>2</x:v>
      </x:c>
      <x:c r="N1281" t="n">
        <x:v>12</x:v>
      </x:c>
      <x:c r="O1281" t="n">
        <x:v>13</x:v>
      </x:c>
      <x:c r="P1281" s="63" t="str">
        <x:f>IF(M1281=0,"—",M1281&amp;"d"&amp;N1281&amp;IF(O1281=0,""," + "&amp;O1281))</x:f>
        <x:v>2d12 + 13</x:v>
      </x:c>
      <x:c r="Q1281" t="n">
        <x:f>ROUND(INDEX(Catalogue!E$4:E$85,MATCH(A1281,Catalogue!A$4:A$85,0))*(1+'Paramètres'!$B$4*(C1281-1)+'Paramètres'!$B$5*(C1281-1)^2),0)</x:f>
        <x:v>15</x:v>
      </x:c>
      <x:c r="R1281" t="n">
        <x:f>ROUND(INDEX(Catalogue!F$4:F$85,MATCH(A1281,Catalogue!A$4:A$85,0))*(1+'Paramètres'!$B$4*(C1281-1)+'Paramètres'!$B$5*(C1281-1)^2),0)</x:f>
        <x:v>37</x:v>
      </x:c>
      <x:c r="S1281" t="n">
        <x:f>L1281-AVERAGE(Q1281:R1281)</x:f>
        <x:v>0</x:v>
      </x:c>
      <x:c r="T1281" t="str">
        <x:f>IF(M1281=0,IF(AND(N1281=0,O1281=0,E1281=0,F1281=0),"OK","ERREUR"),IF(AND(M1281&gt;=1,M1281&lt;=32,OR(N1281=4,N1281=6,N1281=8,N1281=10,N1281=12,N1281=20),O1281&gt;=0,E1281=M1281+O1281,F1281=M1281*N1281+O1281),"OK","ERREUR"))</x:f>
        <x:v>OK</x:v>
      </x:c>
      <x:c r="U1281" s="86" t="n">
        <x:f>IF(M1281&gt;0,M1281*(N1281+1)/2+O1281,0)</x:f>
        <x:v>26</x:v>
      </x:c>
      <x:c r="V1281" t="str">
        <x:f>IF(ABS(L1281-U1281)&lt;0.001,"OK","ERREUR")</x:f>
        <x:v>OK</x:v>
      </x:c>
    </x:row>
    <x:row r="1282" ht="18" customHeight="1">
      <x:c r="A1282" t="str">
        <x:v>ARM064</x:v>
      </x:c>
      <x:c r="B1282" t="str">
        <x:v>Baguette de foudre</x:v>
      </x:c>
      <x:c r="C1282" t="n">
        <x:v>19</x:v>
      </x:c>
      <x:c r="D1282" t="str">
        <x:v>Focaliseurs</x:v>
      </x:c>
      <x:c r="E1282" s="28" t="n">
        <x:f>IF(M1282=0,0,M1282+O1282)</x:f>
        <x:v>16</x:v>
      </x:c>
      <x:c r="F1282" s="28" t="n">
        <x:f>IF(M1282=0,0,M1282*N1282+O1282)</x:f>
        <x:v>41</x:v>
      </x:c>
      <x:c r="G1282" s="28" t="n">
        <x:f>ROUND(Catalogue!G67*SQRT((1+'Paramètres'!$B$4*(C1282-1)+'Paramètres'!$B$5*(C1282-1)^2)),0)</x:f>
        <x:v>0</x:v>
      </x:c>
      <x:c r="H1282" s="28" t="n">
        <x:f>ROUND(Catalogue!H67*SQRT((1+'Paramètres'!$B$4*(C1282-1)+'Paramètres'!$B$5*(C1282-1)^2)),0)</x:f>
        <x:v>0</x:v>
      </x:c>
      <x:c r="I1282" s="28" t="n">
        <x:v>2</x:v>
      </x:c>
      <x:c r="J1282" s="28" t="n">
        <x:v>4</x:v>
      </x:c>
      <x:c r="K1282" s="30" t="n">
        <x:v>0.3</x:v>
      </x:c>
      <x:c r="L1282" s="54" t="n">
        <x:f>IF(M1282=0,0,(E1282+F1282)/2)</x:f>
        <x:v>28.5</x:v>
      </x:c>
      <x:c r="M1282" t="n">
        <x:v>5</x:v>
      </x:c>
      <x:c r="N1282" t="n">
        <x:v>6</x:v>
      </x:c>
      <x:c r="O1282" t="n">
        <x:v>11</x:v>
      </x:c>
      <x:c r="P1282" s="63" t="str">
        <x:f>IF(M1282=0,"—",M1282&amp;"d"&amp;N1282&amp;IF(O1282=0,""," + "&amp;O1282))</x:f>
        <x:v>5d6 + 11</x:v>
      </x:c>
      <x:c r="Q1282" t="n">
        <x:f>ROUND(INDEX(Catalogue!E$4:E$85,MATCH(A1282,Catalogue!A$4:A$85,0))*(1+'Paramètres'!$B$4*(C1282-1)+'Paramètres'!$B$5*(C1282-1)^2),0)</x:f>
        <x:v>16</x:v>
      </x:c>
      <x:c r="R1282" t="n">
        <x:f>ROUND(INDEX(Catalogue!F$4:F$85,MATCH(A1282,Catalogue!A$4:A$85,0))*(1+'Paramètres'!$B$4*(C1282-1)+'Paramètres'!$B$5*(C1282-1)^2),0)</x:f>
        <x:v>41</x:v>
      </x:c>
      <x:c r="S1282" t="n">
        <x:f>L1282-AVERAGE(Q1282:R1282)</x:f>
        <x:v>0</x:v>
      </x:c>
      <x:c r="T1282" t="str">
        <x:f>IF(M1282=0,IF(AND(N1282=0,O1282=0,E1282=0,F1282=0),"OK","ERREUR"),IF(AND(M1282&gt;=1,M1282&lt;=32,OR(N1282=4,N1282=6,N1282=8,N1282=10,N1282=12,N1282=20),O1282&gt;=0,E1282=M1282+O1282,F1282=M1282*N1282+O1282),"OK","ERREUR"))</x:f>
        <x:v>OK</x:v>
      </x:c>
      <x:c r="U1282" s="86" t="n">
        <x:f>IF(M1282&gt;0,M1282*(N1282+1)/2+O1282,0)</x:f>
        <x:v>28.5</x:v>
      </x:c>
      <x:c r="V1282" t="str">
        <x:f>IF(ABS(L1282-U1282)&lt;0.001,"OK","ERREUR")</x:f>
        <x:v>OK</x:v>
      </x:c>
    </x:row>
    <x:row r="1283" ht="18" customHeight="1">
      <x:c r="A1283" t="str">
        <x:v>ARM064</x:v>
      </x:c>
      <x:c r="B1283" t="str">
        <x:v>Baguette de foudre</x:v>
      </x:c>
      <x:c r="C1283" t="n">
        <x:v>20</x:v>
      </x:c>
      <x:c r="D1283" t="str">
        <x:v>Focaliseurs</x:v>
      </x:c>
      <x:c r="E1283" s="28" t="n">
        <x:f>IF(M1283=0,0,M1283+O1283)</x:f>
        <x:v>17</x:v>
      </x:c>
      <x:c r="F1283" s="28" t="n">
        <x:f>IF(M1283=0,0,M1283*N1283+O1283)</x:f>
        <x:v>44</x:v>
      </x:c>
      <x:c r="G1283" s="28" t="n">
        <x:f>ROUND(Catalogue!G67*SQRT((1+'Paramètres'!$B$4*(C1283-1)+'Paramètres'!$B$5*(C1283-1)^2)),0)</x:f>
        <x:v>0</x:v>
      </x:c>
      <x:c r="H1283" s="28" t="n">
        <x:f>ROUND(Catalogue!H67*SQRT((1+'Paramètres'!$B$4*(C1283-1)+'Paramètres'!$B$5*(C1283-1)^2)),0)</x:f>
        <x:v>0</x:v>
      </x:c>
      <x:c r="I1283" s="28" t="n">
        <x:v>2</x:v>
      </x:c>
      <x:c r="J1283" s="28" t="n">
        <x:v>4</x:v>
      </x:c>
      <x:c r="K1283" s="30" t="n">
        <x:v>0.3</x:v>
      </x:c>
      <x:c r="L1283" s="54" t="n">
        <x:f>IF(M1283=0,0,(E1283+F1283)/2)</x:f>
        <x:v>30.5</x:v>
      </x:c>
      <x:c r="M1283" t="n">
        <x:v>3</x:v>
      </x:c>
      <x:c r="N1283" t="n">
        <x:v>10</x:v>
      </x:c>
      <x:c r="O1283" t="n">
        <x:v>14</x:v>
      </x:c>
      <x:c r="P1283" s="63" t="str">
        <x:f>IF(M1283=0,"—",M1283&amp;"d"&amp;N1283&amp;IF(O1283=0,""," + "&amp;O1283))</x:f>
        <x:v>3d10 + 14</x:v>
      </x:c>
      <x:c r="Q1283" t="n">
        <x:f>ROUND(INDEX(Catalogue!E$4:E$85,MATCH(A1283,Catalogue!A$4:A$85,0))*(1+'Paramètres'!$B$4*(C1283-1)+'Paramètres'!$B$5*(C1283-1)^2),0)</x:f>
        <x:v>18</x:v>
      </x:c>
      <x:c r="R1283" t="n">
        <x:f>ROUND(INDEX(Catalogue!F$4:F$85,MATCH(A1283,Catalogue!A$4:A$85,0))*(1+'Paramètres'!$B$4*(C1283-1)+'Paramètres'!$B$5*(C1283-1)^2),0)</x:f>
        <x:v>44</x:v>
      </x:c>
      <x:c r="S1283" t="n">
        <x:f>L1283-AVERAGE(Q1283:R1283)</x:f>
        <x:v>-0.5</x:v>
      </x:c>
      <x:c r="T1283" t="str">
        <x:f>IF(M1283=0,IF(AND(N1283=0,O1283=0,E1283=0,F1283=0),"OK","ERREUR"),IF(AND(M1283&gt;=1,M1283&lt;=32,OR(N1283=4,N1283=6,N1283=8,N1283=10,N1283=12,N1283=20),O1283&gt;=0,E1283=M1283+O1283,F1283=M1283*N1283+O1283),"OK","ERREUR"))</x:f>
        <x:v>OK</x:v>
      </x:c>
      <x:c r="U1283" s="86" t="n">
        <x:f>IF(M1283&gt;0,M1283*(N1283+1)/2+O1283,0)</x:f>
        <x:v>30.5</x:v>
      </x:c>
      <x:c r="V1283" t="str">
        <x:f>IF(ABS(L1283-U1283)&lt;0.001,"OK","ERREUR")</x:f>
        <x:v>OK</x:v>
      </x:c>
    </x:row>
    <x:row r="1284" ht="18" customHeight="1">
      <x:c r="A1284" t="str">
        <x:v>ARM065</x:v>
      </x:c>
      <x:c r="B1284" t="str">
        <x:v>Baguette de venin</x:v>
      </x:c>
      <x:c r="C1284" t="n">
        <x:v>1</x:v>
      </x:c>
      <x:c r="D1284" t="str">
        <x:v>Focaliseurs</x:v>
      </x:c>
      <x:c r="E1284" s="28" t="n">
        <x:f>IF(M1284=0,0,M1284+O1284)</x:f>
        <x:v>1</x:v>
      </x:c>
      <x:c r="F1284" s="28" t="n">
        <x:f>IF(M1284=0,0,M1284*N1284+O1284)</x:f>
        <x:v>4</x:v>
      </x:c>
      <x:c r="G1284" s="28" t="n">
        <x:f>ROUND(Catalogue!G68*SQRT((1+'Paramètres'!$B$4*(C1284-1)+'Paramètres'!$B$5*(C1284-1)^2)),0)</x:f>
        <x:v>0</x:v>
      </x:c>
      <x:c r="H1284" s="28" t="n">
        <x:f>ROUND(Catalogue!H68*SQRT((1+'Paramètres'!$B$4*(C1284-1)+'Paramètres'!$B$5*(C1284-1)^2)),0)</x:f>
        <x:v>0</x:v>
      </x:c>
      <x:c r="I1284" s="28" t="n">
        <x:v>2</x:v>
      </x:c>
      <x:c r="J1284" s="28" t="n">
        <x:v>4</x:v>
      </x:c>
      <x:c r="K1284" s="30" t="n">
        <x:v>0.3</x:v>
      </x:c>
      <x:c r="L1284" s="54" t="n">
        <x:f>IF(M1284=0,0,(E1284+F1284)/2)</x:f>
        <x:v>2.5</x:v>
      </x:c>
      <x:c r="M1284" t="n">
        <x:v>1</x:v>
      </x:c>
      <x:c r="N1284" t="n">
        <x:v>4</x:v>
      </x:c>
      <x:c r="O1284" t="n">
        <x:v>0</x:v>
      </x:c>
      <x:c r="P1284" s="63" t="str">
        <x:f>IF(M1284=0,"—",M1284&amp;"d"&amp;N1284&amp;IF(O1284=0,""," + "&amp;O1284))</x:f>
        <x:v>1d4</x:v>
      </x:c>
      <x:c r="Q1284" t="n">
        <x:f>ROUND(INDEX(Catalogue!E$4:E$85,MATCH(A1284,Catalogue!A$4:A$85,0))*(1+'Paramètres'!$B$4*(C1284-1)+'Paramètres'!$B$5*(C1284-1)^2),0)</x:f>
        <x:v>2</x:v>
      </x:c>
      <x:c r="R1284" t="n">
        <x:f>ROUND(INDEX(Catalogue!F$4:F$85,MATCH(A1284,Catalogue!A$4:A$85,0))*(1+'Paramètres'!$B$4*(C1284-1)+'Paramètres'!$B$5*(C1284-1)^2),0)</x:f>
        <x:v>4</x:v>
      </x:c>
      <x:c r="S1284" t="n">
        <x:f>L1284-AVERAGE(Q1284:R1284)</x:f>
        <x:v>-0.5</x:v>
      </x:c>
      <x:c r="T1284" t="str">
        <x:f>IF(M1284=0,IF(AND(N1284=0,O1284=0,E1284=0,F1284=0),"OK","ERREUR"),IF(AND(M1284&gt;=1,M1284&lt;=32,OR(N1284=4,N1284=6,N1284=8,N1284=10,N1284=12,N1284=20),O1284&gt;=0,E1284=M1284+O1284,F1284=M1284*N1284+O1284),"OK","ERREUR"))</x:f>
        <x:v>OK</x:v>
      </x:c>
      <x:c r="U1284" s="86" t="n">
        <x:f>IF(M1284&gt;0,M1284*(N1284+1)/2+O1284,0)</x:f>
        <x:v>2.5</x:v>
      </x:c>
      <x:c r="V1284" t="str">
        <x:f>IF(ABS(L1284-U1284)&lt;0.001,"OK","ERREUR")</x:f>
        <x:v>OK</x:v>
      </x:c>
    </x:row>
    <x:row r="1285" ht="18" customHeight="1">
      <x:c r="A1285" t="str">
        <x:v>ARM065</x:v>
      </x:c>
      <x:c r="B1285" t="str">
        <x:v>Baguette de venin</x:v>
      </x:c>
      <x:c r="C1285" t="n">
        <x:v>2</x:v>
      </x:c>
      <x:c r="D1285" t="str">
        <x:v>Focaliseurs</x:v>
      </x:c>
      <x:c r="E1285" s="28" t="n">
        <x:f>IF(M1285=0,0,M1285+O1285)</x:f>
        <x:v>2</x:v>
      </x:c>
      <x:c r="F1285" s="28" t="n">
        <x:f>IF(M1285=0,0,M1285*N1285+O1285)</x:f>
        <x:v>5</x:v>
      </x:c>
      <x:c r="G1285" s="28" t="n">
        <x:f>ROUND(Catalogue!G68*SQRT((1+'Paramètres'!$B$4*(C1285-1)+'Paramètres'!$B$5*(C1285-1)^2)),0)</x:f>
        <x:v>0</x:v>
      </x:c>
      <x:c r="H1285" s="28" t="n">
        <x:f>ROUND(Catalogue!H68*SQRT((1+'Paramètres'!$B$4*(C1285-1)+'Paramètres'!$B$5*(C1285-1)^2)),0)</x:f>
        <x:v>0</x:v>
      </x:c>
      <x:c r="I1285" s="28" t="n">
        <x:v>2</x:v>
      </x:c>
      <x:c r="J1285" s="28" t="n">
        <x:v>4</x:v>
      </x:c>
      <x:c r="K1285" s="30" t="n">
        <x:v>0.3</x:v>
      </x:c>
      <x:c r="L1285" s="54" t="n">
        <x:f>IF(M1285=0,0,(E1285+F1285)/2)</x:f>
        <x:v>3.5</x:v>
      </x:c>
      <x:c r="M1285" t="n">
        <x:v>1</x:v>
      </x:c>
      <x:c r="N1285" t="n">
        <x:v>4</x:v>
      </x:c>
      <x:c r="O1285" t="n">
        <x:v>1</x:v>
      </x:c>
      <x:c r="P1285" s="63" t="str">
        <x:f>IF(M1285=0,"—",M1285&amp;"d"&amp;N1285&amp;IF(O1285=0,""," + "&amp;O1285))</x:f>
        <x:v>1d4 + 1</x:v>
      </x:c>
      <x:c r="Q1285" t="n">
        <x:f>ROUND(INDEX(Catalogue!E$4:E$85,MATCH(A1285,Catalogue!A$4:A$85,0))*(1+'Paramètres'!$B$4*(C1285-1)+'Paramètres'!$B$5*(C1285-1)^2),0)</x:f>
        <x:v>2</x:v>
      </x:c>
      <x:c r="R1285" t="n">
        <x:f>ROUND(INDEX(Catalogue!F$4:F$85,MATCH(A1285,Catalogue!A$4:A$85,0))*(1+'Paramètres'!$B$4*(C1285-1)+'Paramètres'!$B$5*(C1285-1)^2),0)</x:f>
        <x:v>5</x:v>
      </x:c>
      <x:c r="S1285" t="n">
        <x:f>L1285-AVERAGE(Q1285:R1285)</x:f>
        <x:v>0</x:v>
      </x:c>
      <x:c r="T1285" t="str">
        <x:f>IF(M1285=0,IF(AND(N1285=0,O1285=0,E1285=0,F1285=0),"OK","ERREUR"),IF(AND(M1285&gt;=1,M1285&lt;=32,OR(N1285=4,N1285=6,N1285=8,N1285=10,N1285=12,N1285=20),O1285&gt;=0,E1285=M1285+O1285,F1285=M1285*N1285+O1285),"OK","ERREUR"))</x:f>
        <x:v>OK</x:v>
      </x:c>
      <x:c r="U1285" s="86" t="n">
        <x:f>IF(M1285&gt;0,M1285*(N1285+1)/2+O1285,0)</x:f>
        <x:v>3.5</x:v>
      </x:c>
      <x:c r="V1285" t="str">
        <x:f>IF(ABS(L1285-U1285)&lt;0.001,"OK","ERREUR")</x:f>
        <x:v>OK</x:v>
      </x:c>
    </x:row>
    <x:row r="1286" ht="18" customHeight="1">
      <x:c r="A1286" t="str">
        <x:v>ARM065</x:v>
      </x:c>
      <x:c r="B1286" t="str">
        <x:v>Baguette de venin</x:v>
      </x:c>
      <x:c r="C1286" t="n">
        <x:v>3</x:v>
      </x:c>
      <x:c r="D1286" t="str">
        <x:v>Focaliseurs</x:v>
      </x:c>
      <x:c r="E1286" s="28" t="n">
        <x:f>IF(M1286=0,0,M1286+O1286)</x:f>
        <x:v>2</x:v>
      </x:c>
      <x:c r="F1286" s="28" t="n">
        <x:f>IF(M1286=0,0,M1286*N1286+O1286)</x:f>
        <x:v>5</x:v>
      </x:c>
      <x:c r="G1286" s="28" t="n">
        <x:f>ROUND(Catalogue!G68*SQRT((1+'Paramètres'!$B$4*(C1286-1)+'Paramètres'!$B$5*(C1286-1)^2)),0)</x:f>
        <x:v>0</x:v>
      </x:c>
      <x:c r="H1286" s="28" t="n">
        <x:f>ROUND(Catalogue!H68*SQRT((1+'Paramètres'!$B$4*(C1286-1)+'Paramètres'!$B$5*(C1286-1)^2)),0)</x:f>
        <x:v>0</x:v>
      </x:c>
      <x:c r="I1286" s="28" t="n">
        <x:v>2</x:v>
      </x:c>
      <x:c r="J1286" s="28" t="n">
        <x:v>4</x:v>
      </x:c>
      <x:c r="K1286" s="30" t="n">
        <x:v>0.3</x:v>
      </x:c>
      <x:c r="L1286" s="54" t="n">
        <x:f>IF(M1286=0,0,(E1286+F1286)/2)</x:f>
        <x:v>3.5</x:v>
      </x:c>
      <x:c r="M1286" t="n">
        <x:v>1</x:v>
      </x:c>
      <x:c r="N1286" t="n">
        <x:v>4</x:v>
      </x:c>
      <x:c r="O1286" t="n">
        <x:v>1</x:v>
      </x:c>
      <x:c r="P1286" s="63" t="str">
        <x:f>IF(M1286=0,"—",M1286&amp;"d"&amp;N1286&amp;IF(O1286=0,""," + "&amp;O1286))</x:f>
        <x:v>1d4 + 1</x:v>
      </x:c>
      <x:c r="Q1286" t="n">
        <x:f>ROUND(INDEX(Catalogue!E$4:E$85,MATCH(A1286,Catalogue!A$4:A$85,0))*(1+'Paramètres'!$B$4*(C1286-1)+'Paramètres'!$B$5*(C1286-1)^2),0)</x:f>
        <x:v>3</x:v>
      </x:c>
      <x:c r="R1286" t="n">
        <x:f>ROUND(INDEX(Catalogue!F$4:F$85,MATCH(A1286,Catalogue!A$4:A$85,0))*(1+'Paramètres'!$B$4*(C1286-1)+'Paramètres'!$B$5*(C1286-1)^2),0)</x:f>
        <x:v>5</x:v>
      </x:c>
      <x:c r="S1286" t="n">
        <x:f>L1286-AVERAGE(Q1286:R1286)</x:f>
        <x:v>-0.5</x:v>
      </x:c>
      <x:c r="T1286" t="str">
        <x:f>IF(M1286=0,IF(AND(N1286=0,O1286=0,E1286=0,F1286=0),"OK","ERREUR"),IF(AND(M1286&gt;=1,M1286&lt;=32,OR(N1286=4,N1286=6,N1286=8,N1286=10,N1286=12,N1286=20),O1286&gt;=0,E1286=M1286+O1286,F1286=M1286*N1286+O1286),"OK","ERREUR"))</x:f>
        <x:v>OK</x:v>
      </x:c>
      <x:c r="U1286" s="86" t="n">
        <x:f>IF(M1286&gt;0,M1286*(N1286+1)/2+O1286,0)</x:f>
        <x:v>3.5</x:v>
      </x:c>
      <x:c r="V1286" t="str">
        <x:f>IF(ABS(L1286-U1286)&lt;0.001,"OK","ERREUR")</x:f>
        <x:v>OK</x:v>
      </x:c>
    </x:row>
    <x:row r="1287" ht="18" customHeight="1">
      <x:c r="A1287" t="str">
        <x:v>ARM065</x:v>
      </x:c>
      <x:c r="B1287" t="str">
        <x:v>Baguette de venin</x:v>
      </x:c>
      <x:c r="C1287" t="n">
        <x:v>4</x:v>
      </x:c>
      <x:c r="D1287" t="str">
        <x:v>Focaliseurs</x:v>
      </x:c>
      <x:c r="E1287" s="28" t="n">
        <x:f>IF(M1287=0,0,M1287+O1287)</x:f>
        <x:v>3</x:v>
      </x:c>
      <x:c r="F1287" s="28" t="n">
        <x:f>IF(M1287=0,0,M1287*N1287+O1287)</x:f>
        <x:v>6</x:v>
      </x:c>
      <x:c r="G1287" s="28" t="n">
        <x:f>ROUND(Catalogue!G68*SQRT((1+'Paramètres'!$B$4*(C1287-1)+'Paramètres'!$B$5*(C1287-1)^2)),0)</x:f>
        <x:v>0</x:v>
      </x:c>
      <x:c r="H1287" s="28" t="n">
        <x:f>ROUND(Catalogue!H68*SQRT((1+'Paramètres'!$B$4*(C1287-1)+'Paramètres'!$B$5*(C1287-1)^2)),0)</x:f>
        <x:v>0</x:v>
      </x:c>
      <x:c r="I1287" s="28" t="n">
        <x:v>2</x:v>
      </x:c>
      <x:c r="J1287" s="28" t="n">
        <x:v>4</x:v>
      </x:c>
      <x:c r="K1287" s="30" t="n">
        <x:v>0.3</x:v>
      </x:c>
      <x:c r="L1287" s="54" t="n">
        <x:f>IF(M1287=0,0,(E1287+F1287)/2)</x:f>
        <x:v>4.5</x:v>
      </x:c>
      <x:c r="M1287" t="n">
        <x:v>1</x:v>
      </x:c>
      <x:c r="N1287" t="n">
        <x:v>4</x:v>
      </x:c>
      <x:c r="O1287" t="n">
        <x:v>2</x:v>
      </x:c>
      <x:c r="P1287" s="63" t="str">
        <x:f>IF(M1287=0,"—",M1287&amp;"d"&amp;N1287&amp;IF(O1287=0,""," + "&amp;O1287))</x:f>
        <x:v>1d4 + 2</x:v>
      </x:c>
      <x:c r="Q1287" t="n">
        <x:f>ROUND(INDEX(Catalogue!E$4:E$85,MATCH(A1287,Catalogue!A$4:A$85,0))*(1+'Paramètres'!$B$4*(C1287-1)+'Paramètres'!$B$5*(C1287-1)^2),0)</x:f>
        <x:v>3</x:v>
      </x:c>
      <x:c r="R1287" t="n">
        <x:f>ROUND(INDEX(Catalogue!F$4:F$85,MATCH(A1287,Catalogue!A$4:A$85,0))*(1+'Paramètres'!$B$4*(C1287-1)+'Paramètres'!$B$5*(C1287-1)^2),0)</x:f>
        <x:v>6</x:v>
      </x:c>
      <x:c r="S1287" t="n">
        <x:f>L1287-AVERAGE(Q1287:R1287)</x:f>
        <x:v>0</x:v>
      </x:c>
      <x:c r="T1287" t="str">
        <x:f>IF(M1287=0,IF(AND(N1287=0,O1287=0,E1287=0,F1287=0),"OK","ERREUR"),IF(AND(M1287&gt;=1,M1287&lt;=32,OR(N1287=4,N1287=6,N1287=8,N1287=10,N1287=12,N1287=20),O1287&gt;=0,E1287=M1287+O1287,F1287=M1287*N1287+O1287),"OK","ERREUR"))</x:f>
        <x:v>OK</x:v>
      </x:c>
      <x:c r="U1287" s="86" t="n">
        <x:f>IF(M1287&gt;0,M1287*(N1287+1)/2+O1287,0)</x:f>
        <x:v>4.5</x:v>
      </x:c>
      <x:c r="V1287" t="str">
        <x:f>IF(ABS(L1287-U1287)&lt;0.001,"OK","ERREUR")</x:f>
        <x:v>OK</x:v>
      </x:c>
    </x:row>
    <x:row r="1288" ht="18" customHeight="1">
      <x:c r="A1288" t="str">
        <x:v>ARM065</x:v>
      </x:c>
      <x:c r="B1288" t="str">
        <x:v>Baguette de venin</x:v>
      </x:c>
      <x:c r="C1288" t="n">
        <x:v>5</x:v>
      </x:c>
      <x:c r="D1288" t="str">
        <x:v>Focaliseurs</x:v>
      </x:c>
      <x:c r="E1288" s="28" t="n">
        <x:f>IF(M1288=0,0,M1288+O1288)</x:f>
        <x:v>3</x:v>
      </x:c>
      <x:c r="F1288" s="28" t="n">
        <x:f>IF(M1288=0,0,M1288*N1288+O1288)</x:f>
        <x:v>6</x:v>
      </x:c>
      <x:c r="G1288" s="28" t="n">
        <x:f>ROUND(Catalogue!G68*SQRT((1+'Paramètres'!$B$4*(C1288-1)+'Paramètres'!$B$5*(C1288-1)^2)),0)</x:f>
        <x:v>0</x:v>
      </x:c>
      <x:c r="H1288" s="28" t="n">
        <x:f>ROUND(Catalogue!H68*SQRT((1+'Paramètres'!$B$4*(C1288-1)+'Paramètres'!$B$5*(C1288-1)^2)),0)</x:f>
        <x:v>0</x:v>
      </x:c>
      <x:c r="I1288" s="28" t="n">
        <x:v>2</x:v>
      </x:c>
      <x:c r="J1288" s="28" t="n">
        <x:v>4</x:v>
      </x:c>
      <x:c r="K1288" s="30" t="n">
        <x:v>0.3</x:v>
      </x:c>
      <x:c r="L1288" s="54" t="n">
        <x:f>IF(M1288=0,0,(E1288+F1288)/2)</x:f>
        <x:v>4.5</x:v>
      </x:c>
      <x:c r="M1288" t="n">
        <x:v>1</x:v>
      </x:c>
      <x:c r="N1288" t="n">
        <x:v>4</x:v>
      </x:c>
      <x:c r="O1288" t="n">
        <x:v>2</x:v>
      </x:c>
      <x:c r="P1288" s="63" t="str">
        <x:f>IF(M1288=0,"—",M1288&amp;"d"&amp;N1288&amp;IF(O1288=0,""," + "&amp;O1288))</x:f>
        <x:v>1d4 + 2</x:v>
      </x:c>
      <x:c r="Q1288" t="n">
        <x:f>ROUND(INDEX(Catalogue!E$4:E$85,MATCH(A1288,Catalogue!A$4:A$85,0))*(1+'Paramètres'!$B$4*(C1288-1)+'Paramètres'!$B$5*(C1288-1)^2),0)</x:f>
        <x:v>3</x:v>
      </x:c>
      <x:c r="R1288" t="n">
        <x:f>ROUND(INDEX(Catalogue!F$4:F$85,MATCH(A1288,Catalogue!A$4:A$85,0))*(1+'Paramètres'!$B$4*(C1288-1)+'Paramètres'!$B$5*(C1288-1)^2),0)</x:f>
        <x:v>7</x:v>
      </x:c>
      <x:c r="S1288" t="n">
        <x:f>L1288-AVERAGE(Q1288:R1288)</x:f>
        <x:v>-0.5</x:v>
      </x:c>
      <x:c r="T1288" t="str">
        <x:f>IF(M1288=0,IF(AND(N1288=0,O1288=0,E1288=0,F1288=0),"OK","ERREUR"),IF(AND(M1288&gt;=1,M1288&lt;=32,OR(N1288=4,N1288=6,N1288=8,N1288=10,N1288=12,N1288=20),O1288&gt;=0,E1288=M1288+O1288,F1288=M1288*N1288+O1288),"OK","ERREUR"))</x:f>
        <x:v>OK</x:v>
      </x:c>
      <x:c r="U1288" s="86" t="n">
        <x:f>IF(M1288&gt;0,M1288*(N1288+1)/2+O1288,0)</x:f>
        <x:v>4.5</x:v>
      </x:c>
      <x:c r="V1288" t="str">
        <x:f>IF(ABS(L1288-U1288)&lt;0.001,"OK","ERREUR")</x:f>
        <x:v>OK</x:v>
      </x:c>
    </x:row>
    <x:row r="1289" ht="18" customHeight="1">
      <x:c r="A1289" t="str">
        <x:v>ARM065</x:v>
      </x:c>
      <x:c r="B1289" t="str">
        <x:v>Baguette de venin</x:v>
      </x:c>
      <x:c r="C1289" t="n">
        <x:v>6</x:v>
      </x:c>
      <x:c r="D1289" t="str">
        <x:v>Focaliseurs</x:v>
      </x:c>
      <x:c r="E1289" s="28" t="n">
        <x:f>IF(M1289=0,0,M1289+O1289)</x:f>
        <x:v>4</x:v>
      </x:c>
      <x:c r="F1289" s="28" t="n">
        <x:f>IF(M1289=0,0,M1289*N1289+O1289)</x:f>
        <x:v>7</x:v>
      </x:c>
      <x:c r="G1289" s="28" t="n">
        <x:f>ROUND(Catalogue!G68*SQRT((1+'Paramètres'!$B$4*(C1289-1)+'Paramètres'!$B$5*(C1289-1)^2)),0)</x:f>
        <x:v>0</x:v>
      </x:c>
      <x:c r="H1289" s="28" t="n">
        <x:f>ROUND(Catalogue!H68*SQRT((1+'Paramètres'!$B$4*(C1289-1)+'Paramètres'!$B$5*(C1289-1)^2)),0)</x:f>
        <x:v>0</x:v>
      </x:c>
      <x:c r="I1289" s="28" t="n">
        <x:v>2</x:v>
      </x:c>
      <x:c r="J1289" s="28" t="n">
        <x:v>4</x:v>
      </x:c>
      <x:c r="K1289" s="30" t="n">
        <x:v>0.3</x:v>
      </x:c>
      <x:c r="L1289" s="54" t="n">
        <x:f>IF(M1289=0,0,(E1289+F1289)/2)</x:f>
        <x:v>5.5</x:v>
      </x:c>
      <x:c r="M1289" t="n">
        <x:v>1</x:v>
      </x:c>
      <x:c r="N1289" t="n">
        <x:v>4</x:v>
      </x:c>
      <x:c r="O1289" t="n">
        <x:v>3</x:v>
      </x:c>
      <x:c r="P1289" s="63" t="str">
        <x:f>IF(M1289=0,"—",M1289&amp;"d"&amp;N1289&amp;IF(O1289=0,""," + "&amp;O1289))</x:f>
        <x:v>1d4 + 3</x:v>
      </x:c>
      <x:c r="Q1289" t="n">
        <x:f>ROUND(INDEX(Catalogue!E$4:E$85,MATCH(A1289,Catalogue!A$4:A$85,0))*(1+'Paramètres'!$B$4*(C1289-1)+'Paramètres'!$B$5*(C1289-1)^2),0)</x:f>
        <x:v>4</x:v>
      </x:c>
      <x:c r="R1289" t="n">
        <x:f>ROUND(INDEX(Catalogue!F$4:F$85,MATCH(A1289,Catalogue!A$4:A$85,0))*(1+'Paramètres'!$B$4*(C1289-1)+'Paramètres'!$B$5*(C1289-1)^2),0)</x:f>
        <x:v>8</x:v>
      </x:c>
      <x:c r="S1289" t="n">
        <x:f>L1289-AVERAGE(Q1289:R1289)</x:f>
        <x:v>-0.5</x:v>
      </x:c>
      <x:c r="T1289" t="str">
        <x:f>IF(M1289=0,IF(AND(N1289=0,O1289=0,E1289=0,F1289=0),"OK","ERREUR"),IF(AND(M1289&gt;=1,M1289&lt;=32,OR(N1289=4,N1289=6,N1289=8,N1289=10,N1289=12,N1289=20),O1289&gt;=0,E1289=M1289+O1289,F1289=M1289*N1289+O1289),"OK","ERREUR"))</x:f>
        <x:v>OK</x:v>
      </x:c>
      <x:c r="U1289" s="86" t="n">
        <x:f>IF(M1289&gt;0,M1289*(N1289+1)/2+O1289,0)</x:f>
        <x:v>5.5</x:v>
      </x:c>
      <x:c r="V1289" t="str">
        <x:f>IF(ABS(L1289-U1289)&lt;0.001,"OK","ERREUR")</x:f>
        <x:v>OK</x:v>
      </x:c>
    </x:row>
    <x:row r="1290" ht="18" customHeight="1">
      <x:c r="A1290" t="str">
        <x:v>ARM065</x:v>
      </x:c>
      <x:c r="B1290" t="str">
        <x:v>Baguette de venin</x:v>
      </x:c>
      <x:c r="C1290" t="n">
        <x:v>7</x:v>
      </x:c>
      <x:c r="D1290" t="str">
        <x:v>Focaliseurs</x:v>
      </x:c>
      <x:c r="E1290" s="28" t="n">
        <x:f>IF(M1290=0,0,M1290+O1290)</x:f>
        <x:v>4</x:v>
      </x:c>
      <x:c r="F1290" s="28" t="n">
        <x:f>IF(M1290=0,0,M1290*N1290+O1290)</x:f>
        <x:v>9</x:v>
      </x:c>
      <x:c r="G1290" s="28" t="n">
        <x:f>ROUND(Catalogue!G68*SQRT((1+'Paramètres'!$B$4*(C1290-1)+'Paramètres'!$B$5*(C1290-1)^2)),0)</x:f>
        <x:v>0</x:v>
      </x:c>
      <x:c r="H1290" s="28" t="n">
        <x:f>ROUND(Catalogue!H68*SQRT((1+'Paramètres'!$B$4*(C1290-1)+'Paramètres'!$B$5*(C1290-1)^2)),0)</x:f>
        <x:v>0</x:v>
      </x:c>
      <x:c r="I1290" s="28" t="n">
        <x:v>2</x:v>
      </x:c>
      <x:c r="J1290" s="28" t="n">
        <x:v>4</x:v>
      </x:c>
      <x:c r="K1290" s="30" t="n">
        <x:v>0.3</x:v>
      </x:c>
      <x:c r="L1290" s="54" t="n">
        <x:f>IF(M1290=0,0,(E1290+F1290)/2)</x:f>
        <x:v>6.5</x:v>
      </x:c>
      <x:c r="M1290" t="n">
        <x:v>1</x:v>
      </x:c>
      <x:c r="N1290" t="n">
        <x:v>6</x:v>
      </x:c>
      <x:c r="O1290" t="n">
        <x:v>3</x:v>
      </x:c>
      <x:c r="P1290" s="63" t="str">
        <x:f>IF(M1290=0,"—",M1290&amp;"d"&amp;N1290&amp;IF(O1290=0,""," + "&amp;O1290))</x:f>
        <x:v>1d6 + 3</x:v>
      </x:c>
      <x:c r="Q1290" t="n">
        <x:f>ROUND(INDEX(Catalogue!E$4:E$85,MATCH(A1290,Catalogue!A$4:A$85,0))*(1+'Paramètres'!$B$4*(C1290-1)+'Paramètres'!$B$5*(C1290-1)^2),0)</x:f>
        <x:v>4</x:v>
      </x:c>
      <x:c r="R1290" t="n">
        <x:f>ROUND(INDEX(Catalogue!F$4:F$85,MATCH(A1290,Catalogue!A$4:A$85,0))*(1+'Paramètres'!$B$4*(C1290-1)+'Paramètres'!$B$5*(C1290-1)^2),0)</x:f>
        <x:v>9</x:v>
      </x:c>
      <x:c r="S1290" t="n">
        <x:f>L1290-AVERAGE(Q1290:R1290)</x:f>
        <x:v>0</x:v>
      </x:c>
      <x:c r="T1290" t="str">
        <x:f>IF(M1290=0,IF(AND(N1290=0,O1290=0,E1290=0,F1290=0),"OK","ERREUR"),IF(AND(M1290&gt;=1,M1290&lt;=32,OR(N1290=4,N1290=6,N1290=8,N1290=10,N1290=12,N1290=20),O1290&gt;=0,E1290=M1290+O1290,F1290=M1290*N1290+O1290),"OK","ERREUR"))</x:f>
        <x:v>OK</x:v>
      </x:c>
      <x:c r="U1290" s="86" t="n">
        <x:f>IF(M1290&gt;0,M1290*(N1290+1)/2+O1290,0)</x:f>
        <x:v>6.5</x:v>
      </x:c>
      <x:c r="V1290" t="str">
        <x:f>IF(ABS(L1290-U1290)&lt;0.001,"OK","ERREUR")</x:f>
        <x:v>OK</x:v>
      </x:c>
    </x:row>
    <x:row r="1291" ht="18" customHeight="1">
      <x:c r="A1291" t="str">
        <x:v>ARM065</x:v>
      </x:c>
      <x:c r="B1291" t="str">
        <x:v>Baguette de venin</x:v>
      </x:c>
      <x:c r="C1291" t="n">
        <x:v>8</x:v>
      </x:c>
      <x:c r="D1291" t="str">
        <x:v>Focaliseurs</x:v>
      </x:c>
      <x:c r="E1291" s="28" t="n">
        <x:f>IF(M1291=0,0,M1291+O1291)</x:f>
        <x:v>5</x:v>
      </x:c>
      <x:c r="F1291" s="28" t="n">
        <x:f>IF(M1291=0,0,M1291*N1291+O1291)</x:f>
        <x:v>10</x:v>
      </x:c>
      <x:c r="G1291" s="28" t="n">
        <x:f>ROUND(Catalogue!G68*SQRT((1+'Paramètres'!$B$4*(C1291-1)+'Paramètres'!$B$5*(C1291-1)^2)),0)</x:f>
        <x:v>0</x:v>
      </x:c>
      <x:c r="H1291" s="28" t="n">
        <x:f>ROUND(Catalogue!H68*SQRT((1+'Paramètres'!$B$4*(C1291-1)+'Paramètres'!$B$5*(C1291-1)^2)),0)</x:f>
        <x:v>0</x:v>
      </x:c>
      <x:c r="I1291" s="28" t="n">
        <x:v>2</x:v>
      </x:c>
      <x:c r="J1291" s="28" t="n">
        <x:v>4</x:v>
      </x:c>
      <x:c r="K1291" s="30" t="n">
        <x:v>0.3</x:v>
      </x:c>
      <x:c r="L1291" s="54" t="n">
        <x:f>IF(M1291=0,0,(E1291+F1291)/2)</x:f>
        <x:v>7.5</x:v>
      </x:c>
      <x:c r="M1291" t="n">
        <x:v>1</x:v>
      </x:c>
      <x:c r="N1291" t="n">
        <x:v>6</x:v>
      </x:c>
      <x:c r="O1291" t="n">
        <x:v>4</x:v>
      </x:c>
      <x:c r="P1291" s="63" t="str">
        <x:f>IF(M1291=0,"—",M1291&amp;"d"&amp;N1291&amp;IF(O1291=0,""," + "&amp;O1291))</x:f>
        <x:v>1d6 + 4</x:v>
      </x:c>
      <x:c r="Q1291" t="n">
        <x:f>ROUND(INDEX(Catalogue!E$4:E$85,MATCH(A1291,Catalogue!A$4:A$85,0))*(1+'Paramètres'!$B$4*(C1291-1)+'Paramètres'!$B$5*(C1291-1)^2),0)</x:f>
        <x:v>5</x:v>
      </x:c>
      <x:c r="R1291" t="n">
        <x:f>ROUND(INDEX(Catalogue!F$4:F$85,MATCH(A1291,Catalogue!A$4:A$85,0))*(1+'Paramètres'!$B$4*(C1291-1)+'Paramètres'!$B$5*(C1291-1)^2),0)</x:f>
        <x:v>10</x:v>
      </x:c>
      <x:c r="S1291" t="n">
        <x:f>L1291-AVERAGE(Q1291:R1291)</x:f>
        <x:v>0</x:v>
      </x:c>
      <x:c r="T1291" t="str">
        <x:f>IF(M1291=0,IF(AND(N1291=0,O1291=0,E1291=0,F1291=0),"OK","ERREUR"),IF(AND(M1291&gt;=1,M1291&lt;=32,OR(N1291=4,N1291=6,N1291=8,N1291=10,N1291=12,N1291=20),O1291&gt;=0,E1291=M1291+O1291,F1291=M1291*N1291+O1291),"OK","ERREUR"))</x:f>
        <x:v>OK</x:v>
      </x:c>
      <x:c r="U1291" s="86" t="n">
        <x:f>IF(M1291&gt;0,M1291*(N1291+1)/2+O1291,0)</x:f>
        <x:v>7.5</x:v>
      </x:c>
      <x:c r="V1291" t="str">
        <x:f>IF(ABS(L1291-U1291)&lt;0.001,"OK","ERREUR")</x:f>
        <x:v>OK</x:v>
      </x:c>
    </x:row>
    <x:row r="1292" ht="18" customHeight="1">
      <x:c r="A1292" t="str">
        <x:v>ARM065</x:v>
      </x:c>
      <x:c r="B1292" t="str">
        <x:v>Baguette de venin</x:v>
      </x:c>
      <x:c r="C1292" t="n">
        <x:v>9</x:v>
      </x:c>
      <x:c r="D1292" t="str">
        <x:v>Focaliseurs</x:v>
      </x:c>
      <x:c r="E1292" s="28" t="n">
        <x:f>IF(M1292=0,0,M1292+O1292)</x:f>
        <x:v>6</x:v>
      </x:c>
      <x:c r="F1292" s="28" t="n">
        <x:f>IF(M1292=0,0,M1292*N1292+O1292)</x:f>
        <x:v>12</x:v>
      </x:c>
      <x:c r="G1292" s="28" t="n">
        <x:f>ROUND(Catalogue!G68*SQRT((1+'Paramètres'!$B$4*(C1292-1)+'Paramètres'!$B$5*(C1292-1)^2)),0)</x:f>
        <x:v>0</x:v>
      </x:c>
      <x:c r="H1292" s="28" t="n">
        <x:f>ROUND(Catalogue!H68*SQRT((1+'Paramètres'!$B$4*(C1292-1)+'Paramètres'!$B$5*(C1292-1)^2)),0)</x:f>
        <x:v>0</x:v>
      </x:c>
      <x:c r="I1292" s="28" t="n">
        <x:v>2</x:v>
      </x:c>
      <x:c r="J1292" s="28" t="n">
        <x:v>4</x:v>
      </x:c>
      <x:c r="K1292" s="30" t="n">
        <x:v>0.3</x:v>
      </x:c>
      <x:c r="L1292" s="54" t="n">
        <x:f>IF(M1292=0,0,(E1292+F1292)/2)</x:f>
        <x:v>9</x:v>
      </x:c>
      <x:c r="M1292" t="n">
        <x:v>2</x:v>
      </x:c>
      <x:c r="N1292" t="n">
        <x:v>4</x:v>
      </x:c>
      <x:c r="O1292" t="n">
        <x:v>4</x:v>
      </x:c>
      <x:c r="P1292" s="63" t="str">
        <x:f>IF(M1292=0,"—",M1292&amp;"d"&amp;N1292&amp;IF(O1292=0,""," + "&amp;O1292))</x:f>
        <x:v>2d4 + 4</x:v>
      </x:c>
      <x:c r="Q1292" t="n">
        <x:f>ROUND(INDEX(Catalogue!E$4:E$85,MATCH(A1292,Catalogue!A$4:A$85,0))*(1+'Paramètres'!$B$4*(C1292-1)+'Paramètres'!$B$5*(C1292-1)^2),0)</x:f>
        <x:v>6</x:v>
      </x:c>
      <x:c r="R1292" t="n">
        <x:f>ROUND(INDEX(Catalogue!F$4:F$85,MATCH(A1292,Catalogue!A$4:A$85,0))*(1+'Paramètres'!$B$4*(C1292-1)+'Paramètres'!$B$5*(C1292-1)^2),0)</x:f>
        <x:v>12</x:v>
      </x:c>
      <x:c r="S1292" t="n">
        <x:f>L1292-AVERAGE(Q1292:R1292)</x:f>
        <x:v>0</x:v>
      </x:c>
      <x:c r="T1292" t="str">
        <x:f>IF(M1292=0,IF(AND(N1292=0,O1292=0,E1292=0,F1292=0),"OK","ERREUR"),IF(AND(M1292&gt;=1,M1292&lt;=32,OR(N1292=4,N1292=6,N1292=8,N1292=10,N1292=12,N1292=20),O1292&gt;=0,E1292=M1292+O1292,F1292=M1292*N1292+O1292),"OK","ERREUR"))</x:f>
        <x:v>OK</x:v>
      </x:c>
      <x:c r="U1292" s="86" t="n">
        <x:f>IF(M1292&gt;0,M1292*(N1292+1)/2+O1292,0)</x:f>
        <x:v>9</x:v>
      </x:c>
      <x:c r="V1292" t="str">
        <x:f>IF(ABS(L1292-U1292)&lt;0.001,"OK","ERREUR")</x:f>
        <x:v>OK</x:v>
      </x:c>
    </x:row>
    <x:row r="1293" ht="18" customHeight="1">
      <x:c r="A1293" t="str">
        <x:v>ARM065</x:v>
      </x:c>
      <x:c r="B1293" t="str">
        <x:v>Baguette de venin</x:v>
      </x:c>
      <x:c r="C1293" t="n">
        <x:v>10</x:v>
      </x:c>
      <x:c r="D1293" t="str">
        <x:v>Focaliseurs</x:v>
      </x:c>
      <x:c r="E1293" s="28" t="n">
        <x:f>IF(M1293=0,0,M1293+O1293)</x:f>
        <x:v>7</x:v>
      </x:c>
      <x:c r="F1293" s="28" t="n">
        <x:f>IF(M1293=0,0,M1293*N1293+O1293)</x:f>
        <x:v>13</x:v>
      </x:c>
      <x:c r="G1293" s="28" t="n">
        <x:f>ROUND(Catalogue!G68*SQRT((1+'Paramètres'!$B$4*(C1293-1)+'Paramètres'!$B$5*(C1293-1)^2)),0)</x:f>
        <x:v>0</x:v>
      </x:c>
      <x:c r="H1293" s="28" t="n">
        <x:f>ROUND(Catalogue!H68*SQRT((1+'Paramètres'!$B$4*(C1293-1)+'Paramètres'!$B$5*(C1293-1)^2)),0)</x:f>
        <x:v>0</x:v>
      </x:c>
      <x:c r="I1293" s="28" t="n">
        <x:v>2</x:v>
      </x:c>
      <x:c r="J1293" s="28" t="n">
        <x:v>4</x:v>
      </x:c>
      <x:c r="K1293" s="30" t="n">
        <x:v>0.3</x:v>
      </x:c>
      <x:c r="L1293" s="54" t="n">
        <x:f>IF(M1293=0,0,(E1293+F1293)/2)</x:f>
        <x:v>10</x:v>
      </x:c>
      <x:c r="M1293" t="n">
        <x:v>2</x:v>
      </x:c>
      <x:c r="N1293" t="n">
        <x:v>4</x:v>
      </x:c>
      <x:c r="O1293" t="n">
        <x:v>5</x:v>
      </x:c>
      <x:c r="P1293" s="63" t="str">
        <x:f>IF(M1293=0,"—",M1293&amp;"d"&amp;N1293&amp;IF(O1293=0,""," + "&amp;O1293))</x:f>
        <x:v>2d4 + 5</x:v>
      </x:c>
      <x:c r="Q1293" t="n">
        <x:f>ROUND(INDEX(Catalogue!E$4:E$85,MATCH(A1293,Catalogue!A$4:A$85,0))*(1+'Paramètres'!$B$4*(C1293-1)+'Paramètres'!$B$5*(C1293-1)^2),0)</x:f>
        <x:v>7</x:v>
      </x:c>
      <x:c r="R1293" t="n">
        <x:f>ROUND(INDEX(Catalogue!F$4:F$85,MATCH(A1293,Catalogue!A$4:A$85,0))*(1+'Paramètres'!$B$4*(C1293-1)+'Paramètres'!$B$5*(C1293-1)^2),0)</x:f>
        <x:v>13</x:v>
      </x:c>
      <x:c r="S1293" t="n">
        <x:f>L1293-AVERAGE(Q1293:R1293)</x:f>
        <x:v>0</x:v>
      </x:c>
      <x:c r="T1293" t="str">
        <x:f>IF(M1293=0,IF(AND(N1293=0,O1293=0,E1293=0,F1293=0),"OK","ERREUR"),IF(AND(M1293&gt;=1,M1293&lt;=32,OR(N1293=4,N1293=6,N1293=8,N1293=10,N1293=12,N1293=20),O1293&gt;=0,E1293=M1293+O1293,F1293=M1293*N1293+O1293),"OK","ERREUR"))</x:f>
        <x:v>OK</x:v>
      </x:c>
      <x:c r="U1293" s="86" t="n">
        <x:f>IF(M1293&gt;0,M1293*(N1293+1)/2+O1293,0)</x:f>
        <x:v>10</x:v>
      </x:c>
      <x:c r="V1293" t="str">
        <x:f>IF(ABS(L1293-U1293)&lt;0.001,"OK","ERREUR")</x:f>
        <x:v>OK</x:v>
      </x:c>
    </x:row>
    <x:row r="1294" ht="18" customHeight="1">
      <x:c r="A1294" t="str">
        <x:v>ARM065</x:v>
      </x:c>
      <x:c r="B1294" t="str">
        <x:v>Baguette de venin</x:v>
      </x:c>
      <x:c r="C1294" t="n">
        <x:v>11</x:v>
      </x:c>
      <x:c r="D1294" t="str">
        <x:v>Focaliseurs</x:v>
      </x:c>
      <x:c r="E1294" s="28" t="n">
        <x:f>IF(M1294=0,0,M1294+O1294)</x:f>
        <x:v>6</x:v>
      </x:c>
      <x:c r="F1294" s="28" t="n">
        <x:f>IF(M1294=0,0,M1294*N1294+O1294)</x:f>
        <x:v>15</x:v>
      </x:c>
      <x:c r="G1294" s="28" t="n">
        <x:f>ROUND(Catalogue!G68*SQRT((1+'Paramètres'!$B$4*(C1294-1)+'Paramètres'!$B$5*(C1294-1)^2)),0)</x:f>
        <x:v>0</x:v>
      </x:c>
      <x:c r="H1294" s="28" t="n">
        <x:f>ROUND(Catalogue!H68*SQRT((1+'Paramètres'!$B$4*(C1294-1)+'Paramètres'!$B$5*(C1294-1)^2)),0)</x:f>
        <x:v>0</x:v>
      </x:c>
      <x:c r="I1294" s="28" t="n">
        <x:v>2</x:v>
      </x:c>
      <x:c r="J1294" s="28" t="n">
        <x:v>4</x:v>
      </x:c>
      <x:c r="K1294" s="30" t="n">
        <x:v>0.3</x:v>
      </x:c>
      <x:c r="L1294" s="54" t="n">
        <x:f>IF(M1294=0,0,(E1294+F1294)/2)</x:f>
        <x:v>10.5</x:v>
      </x:c>
      <x:c r="M1294" t="n">
        <x:v>3</x:v>
      </x:c>
      <x:c r="N1294" t="n">
        <x:v>4</x:v>
      </x:c>
      <x:c r="O1294" t="n">
        <x:v>3</x:v>
      </x:c>
      <x:c r="P1294" s="63" t="str">
        <x:f>IF(M1294=0,"—",M1294&amp;"d"&amp;N1294&amp;IF(O1294=0,""," + "&amp;O1294))</x:f>
        <x:v>3d4 + 3</x:v>
      </x:c>
      <x:c r="Q1294" t="n">
        <x:f>ROUND(INDEX(Catalogue!E$4:E$85,MATCH(A1294,Catalogue!A$4:A$85,0))*(1+'Paramètres'!$B$4*(C1294-1)+'Paramètres'!$B$5*(C1294-1)^2),0)</x:f>
        <x:v>7</x:v>
      </x:c>
      <x:c r="R1294" t="n">
        <x:f>ROUND(INDEX(Catalogue!F$4:F$85,MATCH(A1294,Catalogue!A$4:A$85,0))*(1+'Paramètres'!$B$4*(C1294-1)+'Paramètres'!$B$5*(C1294-1)^2),0)</x:f>
        <x:v>15</x:v>
      </x:c>
      <x:c r="S1294" t="n">
        <x:f>L1294-AVERAGE(Q1294:R1294)</x:f>
        <x:v>-0.5</x:v>
      </x:c>
      <x:c r="T1294" t="str">
        <x:f>IF(M1294=0,IF(AND(N1294=0,O1294=0,E1294=0,F1294=0),"OK","ERREUR"),IF(AND(M1294&gt;=1,M1294&lt;=32,OR(N1294=4,N1294=6,N1294=8,N1294=10,N1294=12,N1294=20),O1294&gt;=0,E1294=M1294+O1294,F1294=M1294*N1294+O1294),"OK","ERREUR"))</x:f>
        <x:v>OK</x:v>
      </x:c>
      <x:c r="U1294" s="86" t="n">
        <x:f>IF(M1294&gt;0,M1294*(N1294+1)/2+O1294,0)</x:f>
        <x:v>10.5</x:v>
      </x:c>
      <x:c r="V1294" t="str">
        <x:f>IF(ABS(L1294-U1294)&lt;0.001,"OK","ERREUR")</x:f>
        <x:v>OK</x:v>
      </x:c>
    </x:row>
    <x:row r="1295" ht="18" customHeight="1">
      <x:c r="A1295" t="str">
        <x:v>ARM065</x:v>
      </x:c>
      <x:c r="B1295" t="str">
        <x:v>Baguette de venin</x:v>
      </x:c>
      <x:c r="C1295" t="n">
        <x:v>12</x:v>
      </x:c>
      <x:c r="D1295" t="str">
        <x:v>Focaliseurs</x:v>
      </x:c>
      <x:c r="E1295" s="28" t="n">
        <x:f>IF(M1295=0,0,M1295+O1295)</x:f>
        <x:v>8</x:v>
      </x:c>
      <x:c r="F1295" s="28" t="n">
        <x:f>IF(M1295=0,0,M1295*N1295+O1295)</x:f>
        <x:v>17</x:v>
      </x:c>
      <x:c r="G1295" s="28" t="n">
        <x:f>ROUND(Catalogue!G68*SQRT((1+'Paramètres'!$B$4*(C1295-1)+'Paramètres'!$B$5*(C1295-1)^2)),0)</x:f>
        <x:v>0</x:v>
      </x:c>
      <x:c r="H1295" s="28" t="n">
        <x:f>ROUND(Catalogue!H68*SQRT((1+'Paramètres'!$B$4*(C1295-1)+'Paramètres'!$B$5*(C1295-1)^2)),0)</x:f>
        <x:v>0</x:v>
      </x:c>
      <x:c r="I1295" s="28" t="n">
        <x:v>2</x:v>
      </x:c>
      <x:c r="J1295" s="28" t="n">
        <x:v>4</x:v>
      </x:c>
      <x:c r="K1295" s="30" t="n">
        <x:v>0.3</x:v>
      </x:c>
      <x:c r="L1295" s="54" t="n">
        <x:f>IF(M1295=0,0,(E1295+F1295)/2)</x:f>
        <x:v>12.5</x:v>
      </x:c>
      <x:c r="M1295" t="n">
        <x:v>3</x:v>
      </x:c>
      <x:c r="N1295" t="n">
        <x:v>4</x:v>
      </x:c>
      <x:c r="O1295" t="n">
        <x:v>5</x:v>
      </x:c>
      <x:c r="P1295" s="63" t="str">
        <x:f>IF(M1295=0,"—",M1295&amp;"d"&amp;N1295&amp;IF(O1295=0,""," + "&amp;O1295))</x:f>
        <x:v>3d4 + 5</x:v>
      </x:c>
      <x:c r="Q1295" t="n">
        <x:f>ROUND(INDEX(Catalogue!E$4:E$85,MATCH(A1295,Catalogue!A$4:A$85,0))*(1+'Paramètres'!$B$4*(C1295-1)+'Paramètres'!$B$5*(C1295-1)^2),0)</x:f>
        <x:v>8</x:v>
      </x:c>
      <x:c r="R1295" t="n">
        <x:f>ROUND(INDEX(Catalogue!F$4:F$85,MATCH(A1295,Catalogue!A$4:A$85,0))*(1+'Paramètres'!$B$4*(C1295-1)+'Paramètres'!$B$5*(C1295-1)^2),0)</x:f>
        <x:v>17</x:v>
      </x:c>
      <x:c r="S1295" t="n">
        <x:f>L1295-AVERAGE(Q1295:R1295)</x:f>
        <x:v>0</x:v>
      </x:c>
      <x:c r="T1295" t="str">
        <x:f>IF(M1295=0,IF(AND(N1295=0,O1295=0,E1295=0,F1295=0),"OK","ERREUR"),IF(AND(M1295&gt;=1,M1295&lt;=32,OR(N1295=4,N1295=6,N1295=8,N1295=10,N1295=12,N1295=20),O1295&gt;=0,E1295=M1295+O1295,F1295=M1295*N1295+O1295),"OK","ERREUR"))</x:f>
        <x:v>OK</x:v>
      </x:c>
      <x:c r="U1295" s="86" t="n">
        <x:f>IF(M1295&gt;0,M1295*(N1295+1)/2+O1295,0)</x:f>
        <x:v>12.5</x:v>
      </x:c>
      <x:c r="V1295" t="str">
        <x:f>IF(ABS(L1295-U1295)&lt;0.001,"OK","ERREUR")</x:f>
        <x:v>OK</x:v>
      </x:c>
    </x:row>
    <x:row r="1296" ht="18" customHeight="1">
      <x:c r="A1296" t="str">
        <x:v>ARM065</x:v>
      </x:c>
      <x:c r="B1296" t="str">
        <x:v>Baguette de venin</x:v>
      </x:c>
      <x:c r="C1296" t="n">
        <x:v>13</x:v>
      </x:c>
      <x:c r="D1296" t="str">
        <x:v>Focaliseurs</x:v>
      </x:c>
      <x:c r="E1296" s="28" t="n">
        <x:f>IF(M1296=0,0,M1296+O1296)</x:f>
        <x:v>9</x:v>
      </x:c>
      <x:c r="F1296" s="28" t="n">
        <x:f>IF(M1296=0,0,M1296*N1296+O1296)</x:f>
        <x:v>18</x:v>
      </x:c>
      <x:c r="G1296" s="28" t="n">
        <x:f>ROUND(Catalogue!G68*SQRT((1+'Paramètres'!$B$4*(C1296-1)+'Paramètres'!$B$5*(C1296-1)^2)),0)</x:f>
        <x:v>0</x:v>
      </x:c>
      <x:c r="H1296" s="28" t="n">
        <x:f>ROUND(Catalogue!H68*SQRT((1+'Paramètres'!$B$4*(C1296-1)+'Paramètres'!$B$5*(C1296-1)^2)),0)</x:f>
        <x:v>0</x:v>
      </x:c>
      <x:c r="I1296" s="28" t="n">
        <x:v>2</x:v>
      </x:c>
      <x:c r="J1296" s="28" t="n">
        <x:v>4</x:v>
      </x:c>
      <x:c r="K1296" s="30" t="n">
        <x:v>0.3</x:v>
      </x:c>
      <x:c r="L1296" s="54" t="n">
        <x:f>IF(M1296=0,0,(E1296+F1296)/2)</x:f>
        <x:v>13.5</x:v>
      </x:c>
      <x:c r="M1296" t="n">
        <x:v>3</x:v>
      </x:c>
      <x:c r="N1296" t="n">
        <x:v>4</x:v>
      </x:c>
      <x:c r="O1296" t="n">
        <x:v>6</x:v>
      </x:c>
      <x:c r="P1296" s="63" t="str">
        <x:f>IF(M1296=0,"—",M1296&amp;"d"&amp;N1296&amp;IF(O1296=0,""," + "&amp;O1296))</x:f>
        <x:v>3d4 + 6</x:v>
      </x:c>
      <x:c r="Q1296" t="n">
        <x:f>ROUND(INDEX(Catalogue!E$4:E$85,MATCH(A1296,Catalogue!A$4:A$85,0))*(1+'Paramètres'!$B$4*(C1296-1)+'Paramètres'!$B$5*(C1296-1)^2),0)</x:f>
        <x:v>9</x:v>
      </x:c>
      <x:c r="R1296" t="n">
        <x:f>ROUND(INDEX(Catalogue!F$4:F$85,MATCH(A1296,Catalogue!A$4:A$85,0))*(1+'Paramètres'!$B$4*(C1296-1)+'Paramètres'!$B$5*(C1296-1)^2),0)</x:f>
        <x:v>18</x:v>
      </x:c>
      <x:c r="S1296" t="n">
        <x:f>L1296-AVERAGE(Q1296:R1296)</x:f>
        <x:v>0</x:v>
      </x:c>
      <x:c r="T1296" t="str">
        <x:f>IF(M1296=0,IF(AND(N1296=0,O1296=0,E1296=0,F1296=0),"OK","ERREUR"),IF(AND(M1296&gt;=1,M1296&lt;=32,OR(N1296=4,N1296=6,N1296=8,N1296=10,N1296=12,N1296=20),O1296&gt;=0,E1296=M1296+O1296,F1296=M1296*N1296+O1296),"OK","ERREUR"))</x:f>
        <x:v>OK</x:v>
      </x:c>
      <x:c r="U1296" s="86" t="n">
        <x:f>IF(M1296&gt;0,M1296*(N1296+1)/2+O1296,0)</x:f>
        <x:v>13.5</x:v>
      </x:c>
      <x:c r="V1296" t="str">
        <x:f>IF(ABS(L1296-U1296)&lt;0.001,"OK","ERREUR")</x:f>
        <x:v>OK</x:v>
      </x:c>
    </x:row>
    <x:row r="1297" ht="18" customHeight="1">
      <x:c r="A1297" t="str">
        <x:v>ARM065</x:v>
      </x:c>
      <x:c r="B1297" t="str">
        <x:v>Baguette de venin</x:v>
      </x:c>
      <x:c r="C1297" t="n">
        <x:v>14</x:v>
      </x:c>
      <x:c r="D1297" t="str">
        <x:v>Focaliseurs</x:v>
      </x:c>
      <x:c r="E1297" s="28" t="n">
        <x:f>IF(M1297=0,0,M1297+O1297)</x:f>
        <x:v>10</x:v>
      </x:c>
      <x:c r="F1297" s="28" t="n">
        <x:f>IF(M1297=0,0,M1297*N1297+O1297)</x:f>
        <x:v>21</x:v>
      </x:c>
      <x:c r="G1297" s="28" t="n">
        <x:f>ROUND(Catalogue!G68*SQRT((1+'Paramètres'!$B$4*(C1297-1)+'Paramètres'!$B$5*(C1297-1)^2)),0)</x:f>
        <x:v>0</x:v>
      </x:c>
      <x:c r="H1297" s="28" t="n">
        <x:f>ROUND(Catalogue!H68*SQRT((1+'Paramètres'!$B$4*(C1297-1)+'Paramètres'!$B$5*(C1297-1)^2)),0)</x:f>
        <x:v>0</x:v>
      </x:c>
      <x:c r="I1297" s="28" t="n">
        <x:v>2</x:v>
      </x:c>
      <x:c r="J1297" s="28" t="n">
        <x:v>4</x:v>
      </x:c>
      <x:c r="K1297" s="30" t="n">
        <x:v>0.3</x:v>
      </x:c>
      <x:c r="L1297" s="54" t="n">
        <x:f>IF(M1297=0,0,(E1297+F1297)/2)</x:f>
        <x:v>15.5</x:v>
      </x:c>
      <x:c r="M1297" t="n">
        <x:v>1</x:v>
      </x:c>
      <x:c r="N1297" t="n">
        <x:v>12</x:v>
      </x:c>
      <x:c r="O1297" t="n">
        <x:v>9</x:v>
      </x:c>
      <x:c r="P1297" s="63" t="str">
        <x:f>IF(M1297=0,"—",M1297&amp;"d"&amp;N1297&amp;IF(O1297=0,""," + "&amp;O1297))</x:f>
        <x:v>1d12 + 9</x:v>
      </x:c>
      <x:c r="Q1297" t="n">
        <x:f>ROUND(INDEX(Catalogue!E$4:E$85,MATCH(A1297,Catalogue!A$4:A$85,0))*(1+'Paramètres'!$B$4*(C1297-1)+'Paramètres'!$B$5*(C1297-1)^2),0)</x:f>
        <x:v>10</x:v>
      </x:c>
      <x:c r="R1297" t="n">
        <x:f>ROUND(INDEX(Catalogue!F$4:F$85,MATCH(A1297,Catalogue!A$4:A$85,0))*(1+'Paramètres'!$B$4*(C1297-1)+'Paramètres'!$B$5*(C1297-1)^2),0)</x:f>
        <x:v>21</x:v>
      </x:c>
      <x:c r="S1297" t="n">
        <x:f>L1297-AVERAGE(Q1297:R1297)</x:f>
        <x:v>0</x:v>
      </x:c>
      <x:c r="T1297" t="str">
        <x:f>IF(M1297=0,IF(AND(N1297=0,O1297=0,E1297=0,F1297=0),"OK","ERREUR"),IF(AND(M1297&gt;=1,M1297&lt;=32,OR(N1297=4,N1297=6,N1297=8,N1297=10,N1297=12,N1297=20),O1297&gt;=0,E1297=M1297+O1297,F1297=M1297*N1297+O1297),"OK","ERREUR"))</x:f>
        <x:v>OK</x:v>
      </x:c>
      <x:c r="U1297" s="86" t="n">
        <x:f>IF(M1297&gt;0,M1297*(N1297+1)/2+O1297,0)</x:f>
        <x:v>15.5</x:v>
      </x:c>
      <x:c r="V1297" t="str">
        <x:f>IF(ABS(L1297-U1297)&lt;0.001,"OK","ERREUR")</x:f>
        <x:v>OK</x:v>
      </x:c>
    </x:row>
    <x:row r="1298" ht="18" customHeight="1">
      <x:c r="A1298" t="str">
        <x:v>ARM065</x:v>
      </x:c>
      <x:c r="B1298" t="str">
        <x:v>Baguette de venin</x:v>
      </x:c>
      <x:c r="C1298" t="n">
        <x:v>15</x:v>
      </x:c>
      <x:c r="D1298" t="str">
        <x:v>Focaliseurs</x:v>
      </x:c>
      <x:c r="E1298" s="28" t="n">
        <x:f>IF(M1298=0,0,M1298+O1298)</x:f>
        <x:v>11</x:v>
      </x:c>
      <x:c r="F1298" s="28" t="n">
        <x:f>IF(M1298=0,0,M1298*N1298+O1298)</x:f>
        <x:v>23</x:v>
      </x:c>
      <x:c r="G1298" s="28" t="n">
        <x:f>ROUND(Catalogue!G68*SQRT((1+'Paramètres'!$B$4*(C1298-1)+'Paramètres'!$B$5*(C1298-1)^2)),0)</x:f>
        <x:v>0</x:v>
      </x:c>
      <x:c r="H1298" s="28" t="n">
        <x:f>ROUND(Catalogue!H68*SQRT((1+'Paramètres'!$B$4*(C1298-1)+'Paramètres'!$B$5*(C1298-1)^2)),0)</x:f>
        <x:v>0</x:v>
      </x:c>
      <x:c r="I1298" s="28" t="n">
        <x:v>2</x:v>
      </x:c>
      <x:c r="J1298" s="28" t="n">
        <x:v>4</x:v>
      </x:c>
      <x:c r="K1298" s="30" t="n">
        <x:v>0.3</x:v>
      </x:c>
      <x:c r="L1298" s="54" t="n">
        <x:f>IF(M1298=0,0,(E1298+F1298)/2)</x:f>
        <x:v>17</x:v>
      </x:c>
      <x:c r="M1298" t="n">
        <x:v>4</x:v>
      </x:c>
      <x:c r="N1298" t="n">
        <x:v>4</x:v>
      </x:c>
      <x:c r="O1298" t="n">
        <x:v>7</x:v>
      </x:c>
      <x:c r="P1298" s="63" t="str">
        <x:f>IF(M1298=0,"—",M1298&amp;"d"&amp;N1298&amp;IF(O1298=0,""," + "&amp;O1298))</x:f>
        <x:v>4d4 + 7</x:v>
      </x:c>
      <x:c r="Q1298" t="n">
        <x:f>ROUND(INDEX(Catalogue!E$4:E$85,MATCH(A1298,Catalogue!A$4:A$85,0))*(1+'Paramètres'!$B$4*(C1298-1)+'Paramètres'!$B$5*(C1298-1)^2),0)</x:f>
        <x:v>11</x:v>
      </x:c>
      <x:c r="R1298" t="n">
        <x:f>ROUND(INDEX(Catalogue!F$4:F$85,MATCH(A1298,Catalogue!A$4:A$85,0))*(1+'Paramètres'!$B$4*(C1298-1)+'Paramètres'!$B$5*(C1298-1)^2),0)</x:f>
        <x:v>23</x:v>
      </x:c>
      <x:c r="S1298" t="n">
        <x:f>L1298-AVERAGE(Q1298:R1298)</x:f>
        <x:v>0</x:v>
      </x:c>
      <x:c r="T1298" t="str">
        <x:f>IF(M1298=0,IF(AND(N1298=0,O1298=0,E1298=0,F1298=0),"OK","ERREUR"),IF(AND(M1298&gt;=1,M1298&lt;=32,OR(N1298=4,N1298=6,N1298=8,N1298=10,N1298=12,N1298=20),O1298&gt;=0,E1298=M1298+O1298,F1298=M1298*N1298+O1298),"OK","ERREUR"))</x:f>
        <x:v>OK</x:v>
      </x:c>
      <x:c r="U1298" s="86" t="n">
        <x:f>IF(M1298&gt;0,M1298*(N1298+1)/2+O1298,0)</x:f>
        <x:v>17</x:v>
      </x:c>
      <x:c r="V1298" t="str">
        <x:f>IF(ABS(L1298-U1298)&lt;0.001,"OK","ERREUR")</x:f>
        <x:v>OK</x:v>
      </x:c>
    </x:row>
    <x:row r="1299" ht="18" customHeight="1">
      <x:c r="A1299" t="str">
        <x:v>ARM065</x:v>
      </x:c>
      <x:c r="B1299" t="str">
        <x:v>Baguette de venin</x:v>
      </x:c>
      <x:c r="C1299" t="n">
        <x:v>16</x:v>
      </x:c>
      <x:c r="D1299" t="str">
        <x:v>Focaliseurs</x:v>
      </x:c>
      <x:c r="E1299" s="28" t="n">
        <x:f>IF(M1299=0,0,M1299+O1299)</x:f>
        <x:v>13</x:v>
      </x:c>
      <x:c r="F1299" s="28" t="n">
        <x:f>IF(M1299=0,0,M1299*N1299+O1299)</x:f>
        <x:v>25</x:v>
      </x:c>
      <x:c r="G1299" s="28" t="n">
        <x:f>ROUND(Catalogue!G68*SQRT((1+'Paramètres'!$B$4*(C1299-1)+'Paramètres'!$B$5*(C1299-1)^2)),0)</x:f>
        <x:v>0</x:v>
      </x:c>
      <x:c r="H1299" s="28" t="n">
        <x:f>ROUND(Catalogue!H68*SQRT((1+'Paramètres'!$B$4*(C1299-1)+'Paramètres'!$B$5*(C1299-1)^2)),0)</x:f>
        <x:v>0</x:v>
      </x:c>
      <x:c r="I1299" s="28" t="n">
        <x:v>2</x:v>
      </x:c>
      <x:c r="J1299" s="28" t="n">
        <x:v>4</x:v>
      </x:c>
      <x:c r="K1299" s="30" t="n">
        <x:v>0.3</x:v>
      </x:c>
      <x:c r="L1299" s="54" t="n">
        <x:f>IF(M1299=0,0,(E1299+F1299)/2)</x:f>
        <x:v>19</x:v>
      </x:c>
      <x:c r="M1299" t="n">
        <x:v>4</x:v>
      </x:c>
      <x:c r="N1299" t="n">
        <x:v>4</x:v>
      </x:c>
      <x:c r="O1299" t="n">
        <x:v>9</x:v>
      </x:c>
      <x:c r="P1299" s="63" t="str">
        <x:f>IF(M1299=0,"—",M1299&amp;"d"&amp;N1299&amp;IF(O1299=0,""," + "&amp;O1299))</x:f>
        <x:v>4d4 + 9</x:v>
      </x:c>
      <x:c r="Q1299" t="n">
        <x:f>ROUND(INDEX(Catalogue!E$4:E$85,MATCH(A1299,Catalogue!A$4:A$85,0))*(1+'Paramètres'!$B$4*(C1299-1)+'Paramètres'!$B$5*(C1299-1)^2),0)</x:f>
        <x:v>13</x:v>
      </x:c>
      <x:c r="R1299" t="n">
        <x:f>ROUND(INDEX(Catalogue!F$4:F$85,MATCH(A1299,Catalogue!A$4:A$85,0))*(1+'Paramètres'!$B$4*(C1299-1)+'Paramètres'!$B$5*(C1299-1)^2),0)</x:f>
        <x:v>25</x:v>
      </x:c>
      <x:c r="S1299" t="n">
        <x:f>L1299-AVERAGE(Q1299:R1299)</x:f>
        <x:v>0</x:v>
      </x:c>
      <x:c r="T1299" t="str">
        <x:f>IF(M1299=0,IF(AND(N1299=0,O1299=0,E1299=0,F1299=0),"OK","ERREUR"),IF(AND(M1299&gt;=1,M1299&lt;=32,OR(N1299=4,N1299=6,N1299=8,N1299=10,N1299=12,N1299=20),O1299&gt;=0,E1299=M1299+O1299,F1299=M1299*N1299+O1299),"OK","ERREUR"))</x:f>
        <x:v>OK</x:v>
      </x:c>
      <x:c r="U1299" s="86" t="n">
        <x:f>IF(M1299&gt;0,M1299*(N1299+1)/2+O1299,0)</x:f>
        <x:v>19</x:v>
      </x:c>
      <x:c r="V1299" t="str">
        <x:f>IF(ABS(L1299-U1299)&lt;0.001,"OK","ERREUR")</x:f>
        <x:v>OK</x:v>
      </x:c>
    </x:row>
    <x:row r="1300" ht="18" customHeight="1">
      <x:c r="A1300" t="str">
        <x:v>ARM065</x:v>
      </x:c>
      <x:c r="B1300" t="str">
        <x:v>Baguette de venin</x:v>
      </x:c>
      <x:c r="C1300" t="n">
        <x:v>17</x:v>
      </x:c>
      <x:c r="D1300" t="str">
        <x:v>Focaliseurs</x:v>
      </x:c>
      <x:c r="E1300" s="28" t="n">
        <x:f>IF(M1300=0,0,M1300+O1300)</x:f>
        <x:v>13</x:v>
      </x:c>
      <x:c r="F1300" s="28" t="n">
        <x:f>IF(M1300=0,0,M1300*N1300+O1300)</x:f>
        <x:v>27</x:v>
      </x:c>
      <x:c r="G1300" s="28" t="n">
        <x:f>ROUND(Catalogue!G68*SQRT((1+'Paramètres'!$B$4*(C1300-1)+'Paramètres'!$B$5*(C1300-1)^2)),0)</x:f>
        <x:v>0</x:v>
      </x:c>
      <x:c r="H1300" s="28" t="n">
        <x:f>ROUND(Catalogue!H68*SQRT((1+'Paramètres'!$B$4*(C1300-1)+'Paramètres'!$B$5*(C1300-1)^2)),0)</x:f>
        <x:v>0</x:v>
      </x:c>
      <x:c r="I1300" s="28" t="n">
        <x:v>2</x:v>
      </x:c>
      <x:c r="J1300" s="28" t="n">
        <x:v>4</x:v>
      </x:c>
      <x:c r="K1300" s="30" t="n">
        <x:v>0.3</x:v>
      </x:c>
      <x:c r="L1300" s="54" t="n">
        <x:f>IF(M1300=0,0,(E1300+F1300)/2)</x:f>
        <x:v>20</x:v>
      </x:c>
      <x:c r="M1300" t="n">
        <x:v>2</x:v>
      </x:c>
      <x:c r="N1300" t="n">
        <x:v>8</x:v>
      </x:c>
      <x:c r="O1300" t="n">
        <x:v>11</x:v>
      </x:c>
      <x:c r="P1300" s="63" t="str">
        <x:f>IF(M1300=0,"—",M1300&amp;"d"&amp;N1300&amp;IF(O1300=0,""," + "&amp;O1300))</x:f>
        <x:v>2d8 + 11</x:v>
      </x:c>
      <x:c r="Q1300" t="n">
        <x:f>ROUND(INDEX(Catalogue!E$4:E$85,MATCH(A1300,Catalogue!A$4:A$85,0))*(1+'Paramètres'!$B$4*(C1300-1)+'Paramètres'!$B$5*(C1300-1)^2),0)</x:f>
        <x:v>14</x:v>
      </x:c>
      <x:c r="R1300" t="n">
        <x:f>ROUND(INDEX(Catalogue!F$4:F$85,MATCH(A1300,Catalogue!A$4:A$85,0))*(1+'Paramètres'!$B$4*(C1300-1)+'Paramètres'!$B$5*(C1300-1)^2),0)</x:f>
        <x:v>27</x:v>
      </x:c>
      <x:c r="S1300" t="n">
        <x:f>L1300-AVERAGE(Q1300:R1300)</x:f>
        <x:v>-0.5</x:v>
      </x:c>
      <x:c r="T1300" t="str">
        <x:f>IF(M1300=0,IF(AND(N1300=0,O1300=0,E1300=0,F1300=0),"OK","ERREUR"),IF(AND(M1300&gt;=1,M1300&lt;=32,OR(N1300=4,N1300=6,N1300=8,N1300=10,N1300=12,N1300=20),O1300&gt;=0,E1300=M1300+O1300,F1300=M1300*N1300+O1300),"OK","ERREUR"))</x:f>
        <x:v>OK</x:v>
      </x:c>
      <x:c r="U1300" s="86" t="n">
        <x:f>IF(M1300&gt;0,M1300*(N1300+1)/2+O1300,0)</x:f>
        <x:v>20</x:v>
      </x:c>
      <x:c r="V1300" t="str">
        <x:f>IF(ABS(L1300-U1300)&lt;0.001,"OK","ERREUR")</x:f>
        <x:v>OK</x:v>
      </x:c>
    </x:row>
    <x:row r="1301" ht="18" customHeight="1">
      <x:c r="A1301" t="str">
        <x:v>ARM065</x:v>
      </x:c>
      <x:c r="B1301" t="str">
        <x:v>Baguette de venin</x:v>
      </x:c>
      <x:c r="C1301" t="n">
        <x:v>18</x:v>
      </x:c>
      <x:c r="D1301" t="str">
        <x:v>Focaliseurs</x:v>
      </x:c>
      <x:c r="E1301" s="28" t="n">
        <x:f>IF(M1301=0,0,M1301+O1301)</x:f>
        <x:v>15</x:v>
      </x:c>
      <x:c r="F1301" s="28" t="n">
        <x:f>IF(M1301=0,0,M1301*N1301+O1301)</x:f>
        <x:v>30</x:v>
      </x:c>
      <x:c r="G1301" s="28" t="n">
        <x:f>ROUND(Catalogue!G68*SQRT((1+'Paramètres'!$B$4*(C1301-1)+'Paramètres'!$B$5*(C1301-1)^2)),0)</x:f>
        <x:v>0</x:v>
      </x:c>
      <x:c r="H1301" s="28" t="n">
        <x:f>ROUND(Catalogue!H68*SQRT((1+'Paramètres'!$B$4*(C1301-1)+'Paramètres'!$B$5*(C1301-1)^2)),0)</x:f>
        <x:v>0</x:v>
      </x:c>
      <x:c r="I1301" s="28" t="n">
        <x:v>2</x:v>
      </x:c>
      <x:c r="J1301" s="28" t="n">
        <x:v>4</x:v>
      </x:c>
      <x:c r="K1301" s="30" t="n">
        <x:v>0.3</x:v>
      </x:c>
      <x:c r="L1301" s="54" t="n">
        <x:f>IF(M1301=0,0,(E1301+F1301)/2)</x:f>
        <x:v>22.5</x:v>
      </x:c>
      <x:c r="M1301" t="n">
        <x:v>3</x:v>
      </x:c>
      <x:c r="N1301" t="n">
        <x:v>6</x:v>
      </x:c>
      <x:c r="O1301" t="n">
        <x:v>12</x:v>
      </x:c>
      <x:c r="P1301" s="63" t="str">
        <x:f>IF(M1301=0,"—",M1301&amp;"d"&amp;N1301&amp;IF(O1301=0,""," + "&amp;O1301))</x:f>
        <x:v>3d6 + 12</x:v>
      </x:c>
      <x:c r="Q1301" t="n">
        <x:f>ROUND(INDEX(Catalogue!E$4:E$85,MATCH(A1301,Catalogue!A$4:A$85,0))*(1+'Paramètres'!$B$4*(C1301-1)+'Paramètres'!$B$5*(C1301-1)^2),0)</x:f>
        <x:v>15</x:v>
      </x:c>
      <x:c r="R1301" t="n">
        <x:f>ROUND(INDEX(Catalogue!F$4:F$85,MATCH(A1301,Catalogue!A$4:A$85,0))*(1+'Paramètres'!$B$4*(C1301-1)+'Paramètres'!$B$5*(C1301-1)^2),0)</x:f>
        <x:v>30</x:v>
      </x:c>
      <x:c r="S1301" t="n">
        <x:f>L1301-AVERAGE(Q1301:R1301)</x:f>
        <x:v>0</x:v>
      </x:c>
      <x:c r="T1301" t="str">
        <x:f>IF(M1301=0,IF(AND(N1301=0,O1301=0,E1301=0,F1301=0),"OK","ERREUR"),IF(AND(M1301&gt;=1,M1301&lt;=32,OR(N1301=4,N1301=6,N1301=8,N1301=10,N1301=12,N1301=20),O1301&gt;=0,E1301=M1301+O1301,F1301=M1301*N1301+O1301),"OK","ERREUR"))</x:f>
        <x:v>OK</x:v>
      </x:c>
      <x:c r="U1301" s="86" t="n">
        <x:f>IF(M1301&gt;0,M1301*(N1301+1)/2+O1301,0)</x:f>
        <x:v>22.5</x:v>
      </x:c>
      <x:c r="V1301" t="str">
        <x:f>IF(ABS(L1301-U1301)&lt;0.001,"OK","ERREUR")</x:f>
        <x:v>OK</x:v>
      </x:c>
    </x:row>
    <x:row r="1302" ht="18" customHeight="1">
      <x:c r="A1302" t="str">
        <x:v>ARM065</x:v>
      </x:c>
      <x:c r="B1302" t="str">
        <x:v>Baguette de venin</x:v>
      </x:c>
      <x:c r="C1302" t="n">
        <x:v>19</x:v>
      </x:c>
      <x:c r="D1302" t="str">
        <x:v>Focaliseurs</x:v>
      </x:c>
      <x:c r="E1302" s="28" t="n">
        <x:f>IF(M1302=0,0,M1302+O1302)</x:f>
        <x:v>15</x:v>
      </x:c>
      <x:c r="F1302" s="28" t="n">
        <x:f>IF(M1302=0,0,M1302*N1302+O1302)</x:f>
        <x:v>33</x:v>
      </x:c>
      <x:c r="G1302" s="28" t="n">
        <x:f>ROUND(Catalogue!G68*SQRT((1+'Paramètres'!$B$4*(C1302-1)+'Paramètres'!$B$5*(C1302-1)^2)),0)</x:f>
        <x:v>0</x:v>
      </x:c>
      <x:c r="H1302" s="28" t="n">
        <x:f>ROUND(Catalogue!H68*SQRT((1+'Paramètres'!$B$4*(C1302-1)+'Paramètres'!$B$5*(C1302-1)^2)),0)</x:f>
        <x:v>0</x:v>
      </x:c>
      <x:c r="I1302" s="28" t="n">
        <x:v>2</x:v>
      </x:c>
      <x:c r="J1302" s="28" t="n">
        <x:v>4</x:v>
      </x:c>
      <x:c r="K1302" s="30" t="n">
        <x:v>0.3</x:v>
      </x:c>
      <x:c r="L1302" s="54" t="n">
        <x:f>IF(M1302=0,0,(E1302+F1302)/2)</x:f>
        <x:v>24</x:v>
      </x:c>
      <x:c r="M1302" t="n">
        <x:v>2</x:v>
      </x:c>
      <x:c r="N1302" t="n">
        <x:v>10</x:v>
      </x:c>
      <x:c r="O1302" t="n">
        <x:v>13</x:v>
      </x:c>
      <x:c r="P1302" s="63" t="str">
        <x:f>IF(M1302=0,"—",M1302&amp;"d"&amp;N1302&amp;IF(O1302=0,""," + "&amp;O1302))</x:f>
        <x:v>2d10 + 13</x:v>
      </x:c>
      <x:c r="Q1302" t="n">
        <x:f>ROUND(INDEX(Catalogue!E$4:E$85,MATCH(A1302,Catalogue!A$4:A$85,0))*(1+'Paramètres'!$B$4*(C1302-1)+'Paramètres'!$B$5*(C1302-1)^2),0)</x:f>
        <x:v>16</x:v>
      </x:c>
      <x:c r="R1302" t="n">
        <x:f>ROUND(INDEX(Catalogue!F$4:F$85,MATCH(A1302,Catalogue!A$4:A$85,0))*(1+'Paramètres'!$B$4*(C1302-1)+'Paramètres'!$B$5*(C1302-1)^2),0)</x:f>
        <x:v>33</x:v>
      </x:c>
      <x:c r="S1302" t="n">
        <x:f>L1302-AVERAGE(Q1302:R1302)</x:f>
        <x:v>-0.5</x:v>
      </x:c>
      <x:c r="T1302" t="str">
        <x:f>IF(M1302=0,IF(AND(N1302=0,O1302=0,E1302=0,F1302=0),"OK","ERREUR"),IF(AND(M1302&gt;=1,M1302&lt;=32,OR(N1302=4,N1302=6,N1302=8,N1302=10,N1302=12,N1302=20),O1302&gt;=0,E1302=M1302+O1302,F1302=M1302*N1302+O1302),"OK","ERREUR"))</x:f>
        <x:v>OK</x:v>
      </x:c>
      <x:c r="U1302" s="86" t="n">
        <x:f>IF(M1302&gt;0,M1302*(N1302+1)/2+O1302,0)</x:f>
        <x:v>24</x:v>
      </x:c>
      <x:c r="V1302" t="str">
        <x:f>IF(ABS(L1302-U1302)&lt;0.001,"OK","ERREUR")</x:f>
        <x:v>OK</x:v>
      </x:c>
    </x:row>
    <x:row r="1303" ht="18" customHeight="1">
      <x:c r="A1303" t="str">
        <x:v>ARM065</x:v>
      </x:c>
      <x:c r="B1303" t="str">
        <x:v>Baguette de venin</x:v>
      </x:c>
      <x:c r="C1303" t="n">
        <x:v>20</x:v>
      </x:c>
      <x:c r="D1303" t="str">
        <x:v>Focaliseurs</x:v>
      </x:c>
      <x:c r="E1303" s="28" t="n">
        <x:f>IF(M1303=0,0,M1303+O1303)</x:f>
        <x:v>18</x:v>
      </x:c>
      <x:c r="F1303" s="28" t="n">
        <x:f>IF(M1303=0,0,M1303*N1303+O1303)</x:f>
        <x:v>36</x:v>
      </x:c>
      <x:c r="G1303" s="28" t="n">
        <x:f>ROUND(Catalogue!G68*SQRT((1+'Paramètres'!$B$4*(C1303-1)+'Paramètres'!$B$5*(C1303-1)^2)),0)</x:f>
        <x:v>0</x:v>
      </x:c>
      <x:c r="H1303" s="28" t="n">
        <x:f>ROUND(Catalogue!H68*SQRT((1+'Paramètres'!$B$4*(C1303-1)+'Paramètres'!$B$5*(C1303-1)^2)),0)</x:f>
        <x:v>0</x:v>
      </x:c>
      <x:c r="I1303" s="28" t="n">
        <x:v>2</x:v>
      </x:c>
      <x:c r="J1303" s="28" t="n">
        <x:v>4</x:v>
      </x:c>
      <x:c r="K1303" s="30" t="n">
        <x:v>0.3</x:v>
      </x:c>
      <x:c r="L1303" s="54" t="n">
        <x:f>IF(M1303=0,0,(E1303+F1303)/2)</x:f>
        <x:v>27</x:v>
      </x:c>
      <x:c r="M1303" t="n">
        <x:v>2</x:v>
      </x:c>
      <x:c r="N1303" t="n">
        <x:v>10</x:v>
      </x:c>
      <x:c r="O1303" t="n">
        <x:v>16</x:v>
      </x:c>
      <x:c r="P1303" s="63" t="str">
        <x:f>IF(M1303=0,"—",M1303&amp;"d"&amp;N1303&amp;IF(O1303=0,""," + "&amp;O1303))</x:f>
        <x:v>2d10 + 16</x:v>
      </x:c>
      <x:c r="Q1303" t="n">
        <x:f>ROUND(INDEX(Catalogue!E$4:E$85,MATCH(A1303,Catalogue!A$4:A$85,0))*(1+'Paramètres'!$B$4*(C1303-1)+'Paramètres'!$B$5*(C1303-1)^2),0)</x:f>
        <x:v>18</x:v>
      </x:c>
      <x:c r="R1303" t="n">
        <x:f>ROUND(INDEX(Catalogue!F$4:F$85,MATCH(A1303,Catalogue!A$4:A$85,0))*(1+'Paramètres'!$B$4*(C1303-1)+'Paramètres'!$B$5*(C1303-1)^2),0)</x:f>
        <x:v>35</x:v>
      </x:c>
      <x:c r="S1303" t="n">
        <x:f>L1303-AVERAGE(Q1303:R1303)</x:f>
        <x:v>0.5</x:v>
      </x:c>
      <x:c r="T1303" t="str">
        <x:f>IF(M1303=0,IF(AND(N1303=0,O1303=0,E1303=0,F1303=0),"OK","ERREUR"),IF(AND(M1303&gt;=1,M1303&lt;=32,OR(N1303=4,N1303=6,N1303=8,N1303=10,N1303=12,N1303=20),O1303&gt;=0,E1303=M1303+O1303,F1303=M1303*N1303+O1303),"OK","ERREUR"))</x:f>
        <x:v>OK</x:v>
      </x:c>
      <x:c r="U1303" s="86" t="n">
        <x:f>IF(M1303&gt;0,M1303*(N1303+1)/2+O1303,0)</x:f>
        <x:v>27</x:v>
      </x:c>
      <x:c r="V1303" t="str">
        <x:f>IF(ABS(L1303-U1303)&lt;0.001,"OK","ERREUR")</x:f>
        <x:v>OK</x:v>
      </x:c>
    </x:row>
    <x:row r="1304" ht="18" customHeight="1">
      <x:c r="A1304" t="str">
        <x:v>ARM066</x:v>
      </x:c>
      <x:c r="B1304" t="str">
        <x:v>Bâton arcanique</x:v>
      </x:c>
      <x:c r="C1304" t="n">
        <x:v>1</x:v>
      </x:c>
      <x:c r="D1304" t="str">
        <x:v>Focaliseurs</x:v>
      </x:c>
      <x:c r="E1304" s="28" t="n">
        <x:f>IF(M1304=0,0,M1304+O1304)</x:f>
        <x:v>3</x:v>
      </x:c>
      <x:c r="F1304" s="28" t="n">
        <x:f>IF(M1304=0,0,M1304*N1304+O1304)</x:f>
        <x:v>6</x:v>
      </x:c>
      <x:c r="G1304" s="28" t="n">
        <x:f>ROUND(Catalogue!G69*SQRT((1+'Paramètres'!$B$4*(C1304-1)+'Paramètres'!$B$5*(C1304-1)^2)),0)</x:f>
        <x:v>0</x:v>
      </x:c>
      <x:c r="H1304" s="28" t="n">
        <x:f>ROUND(Catalogue!H69*SQRT((1+'Paramètres'!$B$4*(C1304-1)+'Paramètres'!$B$5*(C1304-1)^2)),0)</x:f>
        <x:v>0</x:v>
      </x:c>
      <x:c r="I1304" s="28" t="n">
        <x:v>2</x:v>
      </x:c>
      <x:c r="J1304" s="28" t="n">
        <x:v>4</x:v>
      </x:c>
      <x:c r="K1304" s="30" t="n">
        <x:v>1.6</x:v>
      </x:c>
      <x:c r="L1304" s="54" t="n">
        <x:f>IF(M1304=0,0,(E1304+F1304)/2)</x:f>
        <x:v>4.5</x:v>
      </x:c>
      <x:c r="M1304" t="n">
        <x:v>1</x:v>
      </x:c>
      <x:c r="N1304" t="n">
        <x:v>4</x:v>
      </x:c>
      <x:c r="O1304" t="n">
        <x:v>2</x:v>
      </x:c>
      <x:c r="P1304" s="63" t="str">
        <x:f>IF(M1304=0,"—",M1304&amp;"d"&amp;N1304&amp;IF(O1304=0,""," + "&amp;O1304))</x:f>
        <x:v>1d4 + 2</x:v>
      </x:c>
      <x:c r="Q1304" t="n">
        <x:f>ROUND(INDEX(Catalogue!E$4:E$85,MATCH(A1304,Catalogue!A$4:A$85,0))*(1+'Paramètres'!$B$4*(C1304-1)+'Paramètres'!$B$5*(C1304-1)^2),0)</x:f>
        <x:v>3</x:v>
      </x:c>
      <x:c r="R1304" t="n">
        <x:f>ROUND(INDEX(Catalogue!F$4:F$85,MATCH(A1304,Catalogue!A$4:A$85,0))*(1+'Paramètres'!$B$4*(C1304-1)+'Paramètres'!$B$5*(C1304-1)^2),0)</x:f>
        <x:v>6</x:v>
      </x:c>
      <x:c r="S1304" t="n">
        <x:f>L1304-AVERAGE(Q1304:R1304)</x:f>
        <x:v>0</x:v>
      </x:c>
      <x:c r="T1304" t="str">
        <x:f>IF(M1304=0,IF(AND(N1304=0,O1304=0,E1304=0,F1304=0),"OK","ERREUR"),IF(AND(M1304&gt;=1,M1304&lt;=32,OR(N1304=4,N1304=6,N1304=8,N1304=10,N1304=12,N1304=20),O1304&gt;=0,E1304=M1304+O1304,F1304=M1304*N1304+O1304),"OK","ERREUR"))</x:f>
        <x:v>OK</x:v>
      </x:c>
      <x:c r="U1304" s="86" t="n">
        <x:f>IF(M1304&gt;0,M1304*(N1304+1)/2+O1304,0)</x:f>
        <x:v>4.5</x:v>
      </x:c>
      <x:c r="V1304" t="str">
        <x:f>IF(ABS(L1304-U1304)&lt;0.001,"OK","ERREUR")</x:f>
        <x:v>OK</x:v>
      </x:c>
    </x:row>
    <x:row r="1305" ht="18" customHeight="1">
      <x:c r="A1305" t="str">
        <x:v>ARM066</x:v>
      </x:c>
      <x:c r="B1305" t="str">
        <x:v>Bâton arcanique</x:v>
      </x:c>
      <x:c r="C1305" t="n">
        <x:v>2</x:v>
      </x:c>
      <x:c r="D1305" t="str">
        <x:v>Focaliseurs</x:v>
      </x:c>
      <x:c r="E1305" s="28" t="n">
        <x:f>IF(M1305=0,0,M1305+O1305)</x:f>
        <x:v>3</x:v>
      </x:c>
      <x:c r="F1305" s="28" t="n">
        <x:f>IF(M1305=0,0,M1305*N1305+O1305)</x:f>
        <x:v>6</x:v>
      </x:c>
      <x:c r="G1305" s="28" t="n">
        <x:f>ROUND(Catalogue!G69*SQRT((1+'Paramètres'!$B$4*(C1305-1)+'Paramètres'!$B$5*(C1305-1)^2)),0)</x:f>
        <x:v>0</x:v>
      </x:c>
      <x:c r="H1305" s="28" t="n">
        <x:f>ROUND(Catalogue!H69*SQRT((1+'Paramètres'!$B$4*(C1305-1)+'Paramètres'!$B$5*(C1305-1)^2)),0)</x:f>
        <x:v>0</x:v>
      </x:c>
      <x:c r="I1305" s="28" t="n">
        <x:v>2</x:v>
      </x:c>
      <x:c r="J1305" s="28" t="n">
        <x:v>4</x:v>
      </x:c>
      <x:c r="K1305" s="30" t="n">
        <x:v>1.6</x:v>
      </x:c>
      <x:c r="L1305" s="54" t="n">
        <x:f>IF(M1305=0,0,(E1305+F1305)/2)</x:f>
        <x:v>4.5</x:v>
      </x:c>
      <x:c r="M1305" t="n">
        <x:v>1</x:v>
      </x:c>
      <x:c r="N1305" t="n">
        <x:v>4</x:v>
      </x:c>
      <x:c r="O1305" t="n">
        <x:v>2</x:v>
      </x:c>
      <x:c r="P1305" s="63" t="str">
        <x:f>IF(M1305=0,"—",M1305&amp;"d"&amp;N1305&amp;IF(O1305=0,""," + "&amp;O1305))</x:f>
        <x:v>1d4 + 2</x:v>
      </x:c>
      <x:c r="Q1305" t="n">
        <x:f>ROUND(INDEX(Catalogue!E$4:E$85,MATCH(A1305,Catalogue!A$4:A$85,0))*(1+'Paramètres'!$B$4*(C1305-1)+'Paramètres'!$B$5*(C1305-1)^2),0)</x:f>
        <x:v>3</x:v>
      </x:c>
      <x:c r="R1305" t="n">
        <x:f>ROUND(INDEX(Catalogue!F$4:F$85,MATCH(A1305,Catalogue!A$4:A$85,0))*(1+'Paramètres'!$B$4*(C1305-1)+'Paramètres'!$B$5*(C1305-1)^2),0)</x:f>
        <x:v>7</x:v>
      </x:c>
      <x:c r="S1305" t="n">
        <x:f>L1305-AVERAGE(Q1305:R1305)</x:f>
        <x:v>-0.5</x:v>
      </x:c>
      <x:c r="T1305" t="str">
        <x:f>IF(M1305=0,IF(AND(N1305=0,O1305=0,E1305=0,F1305=0),"OK","ERREUR"),IF(AND(M1305&gt;=1,M1305&lt;=32,OR(N1305=4,N1305=6,N1305=8,N1305=10,N1305=12,N1305=20),O1305&gt;=0,E1305=M1305+O1305,F1305=M1305*N1305+O1305),"OK","ERREUR"))</x:f>
        <x:v>OK</x:v>
      </x:c>
      <x:c r="U1305" s="86" t="n">
        <x:f>IF(M1305&gt;0,M1305*(N1305+1)/2+O1305,0)</x:f>
        <x:v>4.5</x:v>
      </x:c>
      <x:c r="V1305" t="str">
        <x:f>IF(ABS(L1305-U1305)&lt;0.001,"OK","ERREUR")</x:f>
        <x:v>OK</x:v>
      </x:c>
    </x:row>
    <x:row r="1306" ht="18" customHeight="1">
      <x:c r="A1306" t="str">
        <x:v>ARM066</x:v>
      </x:c>
      <x:c r="B1306" t="str">
        <x:v>Bâton arcanique</x:v>
      </x:c>
      <x:c r="C1306" t="n">
        <x:v>3</x:v>
      </x:c>
      <x:c r="D1306" t="str">
        <x:v>Focaliseurs</x:v>
      </x:c>
      <x:c r="E1306" s="28" t="n">
        <x:f>IF(M1306=0,0,M1306+O1306)</x:f>
        <x:v>4</x:v>
      </x:c>
      <x:c r="F1306" s="28" t="n">
        <x:f>IF(M1306=0,0,M1306*N1306+O1306)</x:f>
        <x:v>7</x:v>
      </x:c>
      <x:c r="G1306" s="28" t="n">
        <x:f>ROUND(Catalogue!G69*SQRT((1+'Paramètres'!$B$4*(C1306-1)+'Paramètres'!$B$5*(C1306-1)^2)),0)</x:f>
        <x:v>0</x:v>
      </x:c>
      <x:c r="H1306" s="28" t="n">
        <x:f>ROUND(Catalogue!H69*SQRT((1+'Paramètres'!$B$4*(C1306-1)+'Paramètres'!$B$5*(C1306-1)^2)),0)</x:f>
        <x:v>0</x:v>
      </x:c>
      <x:c r="I1306" s="28" t="n">
        <x:v>2</x:v>
      </x:c>
      <x:c r="J1306" s="28" t="n">
        <x:v>4</x:v>
      </x:c>
      <x:c r="K1306" s="30" t="n">
        <x:v>1.6</x:v>
      </x:c>
      <x:c r="L1306" s="54" t="n">
        <x:f>IF(M1306=0,0,(E1306+F1306)/2)</x:f>
        <x:v>5.5</x:v>
      </x:c>
      <x:c r="M1306" t="n">
        <x:v>1</x:v>
      </x:c>
      <x:c r="N1306" t="n">
        <x:v>4</x:v>
      </x:c>
      <x:c r="O1306" t="n">
        <x:v>3</x:v>
      </x:c>
      <x:c r="P1306" s="63" t="str">
        <x:f>IF(M1306=0,"—",M1306&amp;"d"&amp;N1306&amp;IF(O1306=0,""," + "&amp;O1306))</x:f>
        <x:v>1d4 + 3</x:v>
      </x:c>
      <x:c r="Q1306" t="n">
        <x:f>ROUND(INDEX(Catalogue!E$4:E$85,MATCH(A1306,Catalogue!A$4:A$85,0))*(1+'Paramètres'!$B$4*(C1306-1)+'Paramètres'!$B$5*(C1306-1)^2),0)</x:f>
        <x:v>4</x:v>
      </x:c>
      <x:c r="R1306" t="n">
        <x:f>ROUND(INDEX(Catalogue!F$4:F$85,MATCH(A1306,Catalogue!A$4:A$85,0))*(1+'Paramètres'!$B$4*(C1306-1)+'Paramètres'!$B$5*(C1306-1)^2),0)</x:f>
        <x:v>8</x:v>
      </x:c>
      <x:c r="S1306" t="n">
        <x:f>L1306-AVERAGE(Q1306:R1306)</x:f>
        <x:v>-0.5</x:v>
      </x:c>
      <x:c r="T1306" t="str">
        <x:f>IF(M1306=0,IF(AND(N1306=0,O1306=0,E1306=0,F1306=0),"OK","ERREUR"),IF(AND(M1306&gt;=1,M1306&lt;=32,OR(N1306=4,N1306=6,N1306=8,N1306=10,N1306=12,N1306=20),O1306&gt;=0,E1306=M1306+O1306,F1306=M1306*N1306+O1306),"OK","ERREUR"))</x:f>
        <x:v>OK</x:v>
      </x:c>
      <x:c r="U1306" s="86" t="n">
        <x:f>IF(M1306&gt;0,M1306*(N1306+1)/2+O1306,0)</x:f>
        <x:v>5.5</x:v>
      </x:c>
      <x:c r="V1306" t="str">
        <x:f>IF(ABS(L1306-U1306)&lt;0.001,"OK","ERREUR")</x:f>
        <x:v>OK</x:v>
      </x:c>
    </x:row>
    <x:row r="1307" ht="18" customHeight="1">
      <x:c r="A1307" t="str">
        <x:v>ARM066</x:v>
      </x:c>
      <x:c r="B1307" t="str">
        <x:v>Bâton arcanique</x:v>
      </x:c>
      <x:c r="C1307" t="n">
        <x:v>4</x:v>
      </x:c>
      <x:c r="D1307" t="str">
        <x:v>Focaliseurs</x:v>
      </x:c>
      <x:c r="E1307" s="28" t="n">
        <x:f>IF(M1307=0,0,M1307+O1307)</x:f>
        <x:v>4</x:v>
      </x:c>
      <x:c r="F1307" s="28" t="n">
        <x:f>IF(M1307=0,0,M1307*N1307+O1307)</x:f>
        <x:v>9</x:v>
      </x:c>
      <x:c r="G1307" s="28" t="n">
        <x:f>ROUND(Catalogue!G69*SQRT((1+'Paramètres'!$B$4*(C1307-1)+'Paramètres'!$B$5*(C1307-1)^2)),0)</x:f>
        <x:v>0</x:v>
      </x:c>
      <x:c r="H1307" s="28" t="n">
        <x:f>ROUND(Catalogue!H69*SQRT((1+'Paramètres'!$B$4*(C1307-1)+'Paramètres'!$B$5*(C1307-1)^2)),0)</x:f>
        <x:v>0</x:v>
      </x:c>
      <x:c r="I1307" s="28" t="n">
        <x:v>2</x:v>
      </x:c>
      <x:c r="J1307" s="28" t="n">
        <x:v>4</x:v>
      </x:c>
      <x:c r="K1307" s="30" t="n">
        <x:v>1.6</x:v>
      </x:c>
      <x:c r="L1307" s="54" t="n">
        <x:f>IF(M1307=0,0,(E1307+F1307)/2)</x:f>
        <x:v>6.5</x:v>
      </x:c>
      <x:c r="M1307" t="n">
        <x:v>1</x:v>
      </x:c>
      <x:c r="N1307" t="n">
        <x:v>6</x:v>
      </x:c>
      <x:c r="O1307" t="n">
        <x:v>3</x:v>
      </x:c>
      <x:c r="P1307" s="63" t="str">
        <x:f>IF(M1307=0,"—",M1307&amp;"d"&amp;N1307&amp;IF(O1307=0,""," + "&amp;O1307))</x:f>
        <x:v>1d6 + 3</x:v>
      </x:c>
      <x:c r="Q1307" t="n">
        <x:f>ROUND(INDEX(Catalogue!E$4:E$85,MATCH(A1307,Catalogue!A$4:A$85,0))*(1+'Paramètres'!$B$4*(C1307-1)+'Paramètres'!$B$5*(C1307-1)^2),0)</x:f>
        <x:v>4</x:v>
      </x:c>
      <x:c r="R1307" t="n">
        <x:f>ROUND(INDEX(Catalogue!F$4:F$85,MATCH(A1307,Catalogue!A$4:A$85,0))*(1+'Paramètres'!$B$4*(C1307-1)+'Paramètres'!$B$5*(C1307-1)^2),0)</x:f>
        <x:v>9</x:v>
      </x:c>
      <x:c r="S1307" t="n">
        <x:f>L1307-AVERAGE(Q1307:R1307)</x:f>
        <x:v>0</x:v>
      </x:c>
      <x:c r="T1307" t="str">
        <x:f>IF(M1307=0,IF(AND(N1307=0,O1307=0,E1307=0,F1307=0),"OK","ERREUR"),IF(AND(M1307&gt;=1,M1307&lt;=32,OR(N1307=4,N1307=6,N1307=8,N1307=10,N1307=12,N1307=20),O1307&gt;=0,E1307=M1307+O1307,F1307=M1307*N1307+O1307),"OK","ERREUR"))</x:f>
        <x:v>OK</x:v>
      </x:c>
      <x:c r="U1307" s="86" t="n">
        <x:f>IF(M1307&gt;0,M1307*(N1307+1)/2+O1307,0)</x:f>
        <x:v>6.5</x:v>
      </x:c>
      <x:c r="V1307" t="str">
        <x:f>IF(ABS(L1307-U1307)&lt;0.001,"OK","ERREUR")</x:f>
        <x:v>OK</x:v>
      </x:c>
    </x:row>
    <x:row r="1308" ht="18" customHeight="1">
      <x:c r="A1308" t="str">
        <x:v>ARM066</x:v>
      </x:c>
      <x:c r="B1308" t="str">
        <x:v>Bâton arcanique</x:v>
      </x:c>
      <x:c r="C1308" t="n">
        <x:v>5</x:v>
      </x:c>
      <x:c r="D1308" t="str">
        <x:v>Focaliseurs</x:v>
      </x:c>
      <x:c r="E1308" s="28" t="n">
        <x:f>IF(M1308=0,0,M1308+O1308)</x:f>
        <x:v>5</x:v>
      </x:c>
      <x:c r="F1308" s="28" t="n">
        <x:f>IF(M1308=0,0,M1308*N1308+O1308)</x:f>
        <x:v>10</x:v>
      </x:c>
      <x:c r="G1308" s="28" t="n">
        <x:f>ROUND(Catalogue!G69*SQRT((1+'Paramètres'!$B$4*(C1308-1)+'Paramètres'!$B$5*(C1308-1)^2)),0)</x:f>
        <x:v>0</x:v>
      </x:c>
      <x:c r="H1308" s="28" t="n">
        <x:f>ROUND(Catalogue!H69*SQRT((1+'Paramètres'!$B$4*(C1308-1)+'Paramètres'!$B$5*(C1308-1)^2)),0)</x:f>
        <x:v>0</x:v>
      </x:c>
      <x:c r="I1308" s="28" t="n">
        <x:v>2</x:v>
      </x:c>
      <x:c r="J1308" s="28" t="n">
        <x:v>4</x:v>
      </x:c>
      <x:c r="K1308" s="30" t="n">
        <x:v>1.6</x:v>
      </x:c>
      <x:c r="L1308" s="54" t="n">
        <x:f>IF(M1308=0,0,(E1308+F1308)/2)</x:f>
        <x:v>7.5</x:v>
      </x:c>
      <x:c r="M1308" t="n">
        <x:v>1</x:v>
      </x:c>
      <x:c r="N1308" t="n">
        <x:v>6</x:v>
      </x:c>
      <x:c r="O1308" t="n">
        <x:v>4</x:v>
      </x:c>
      <x:c r="P1308" s="63" t="str">
        <x:f>IF(M1308=0,"—",M1308&amp;"d"&amp;N1308&amp;IF(O1308=0,""," + "&amp;O1308))</x:f>
        <x:v>1d6 + 4</x:v>
      </x:c>
      <x:c r="Q1308" t="n">
        <x:f>ROUND(INDEX(Catalogue!E$4:E$85,MATCH(A1308,Catalogue!A$4:A$85,0))*(1+'Paramètres'!$B$4*(C1308-1)+'Paramètres'!$B$5*(C1308-1)^2),0)</x:f>
        <x:v>5</x:v>
      </x:c>
      <x:c r="R1308" t="n">
        <x:f>ROUND(INDEX(Catalogue!F$4:F$85,MATCH(A1308,Catalogue!A$4:A$85,0))*(1+'Paramètres'!$B$4*(C1308-1)+'Paramètres'!$B$5*(C1308-1)^2),0)</x:f>
        <x:v>10</x:v>
      </x:c>
      <x:c r="S1308" t="n">
        <x:f>L1308-AVERAGE(Q1308:R1308)</x:f>
        <x:v>0</x:v>
      </x:c>
      <x:c r="T1308" t="str">
        <x:f>IF(M1308=0,IF(AND(N1308=0,O1308=0,E1308=0,F1308=0),"OK","ERREUR"),IF(AND(M1308&gt;=1,M1308&lt;=32,OR(N1308=4,N1308=6,N1308=8,N1308=10,N1308=12,N1308=20),O1308&gt;=0,E1308=M1308+O1308,F1308=M1308*N1308+O1308),"OK","ERREUR"))</x:f>
        <x:v>OK</x:v>
      </x:c>
      <x:c r="U1308" s="86" t="n">
        <x:f>IF(M1308&gt;0,M1308*(N1308+1)/2+O1308,0)</x:f>
        <x:v>7.5</x:v>
      </x:c>
      <x:c r="V1308" t="str">
        <x:f>IF(ABS(L1308-U1308)&lt;0.001,"OK","ERREUR")</x:f>
        <x:v>OK</x:v>
      </x:c>
    </x:row>
    <x:row r="1309" ht="18" customHeight="1">
      <x:c r="A1309" t="str">
        <x:v>ARM066</x:v>
      </x:c>
      <x:c r="B1309" t="str">
        <x:v>Bâton arcanique</x:v>
      </x:c>
      <x:c r="C1309" t="n">
        <x:v>6</x:v>
      </x:c>
      <x:c r="D1309" t="str">
        <x:v>Focaliseurs</x:v>
      </x:c>
      <x:c r="E1309" s="28" t="n">
        <x:f>IF(M1309=0,0,M1309+O1309)</x:f>
        <x:v>6</x:v>
      </x:c>
      <x:c r="F1309" s="28" t="n">
        <x:f>IF(M1309=0,0,M1309*N1309+O1309)</x:f>
        <x:v>12</x:v>
      </x:c>
      <x:c r="G1309" s="28" t="n">
        <x:f>ROUND(Catalogue!G69*SQRT((1+'Paramètres'!$B$4*(C1309-1)+'Paramètres'!$B$5*(C1309-1)^2)),0)</x:f>
        <x:v>0</x:v>
      </x:c>
      <x:c r="H1309" s="28" t="n">
        <x:f>ROUND(Catalogue!H69*SQRT((1+'Paramètres'!$B$4*(C1309-1)+'Paramètres'!$B$5*(C1309-1)^2)),0)</x:f>
        <x:v>0</x:v>
      </x:c>
      <x:c r="I1309" s="28" t="n">
        <x:v>2</x:v>
      </x:c>
      <x:c r="J1309" s="28" t="n">
        <x:v>4</x:v>
      </x:c>
      <x:c r="K1309" s="30" t="n">
        <x:v>1.6</x:v>
      </x:c>
      <x:c r="L1309" s="54" t="n">
        <x:f>IF(M1309=0,0,(E1309+F1309)/2)</x:f>
        <x:v>9</x:v>
      </x:c>
      <x:c r="M1309" t="n">
        <x:v>2</x:v>
      </x:c>
      <x:c r="N1309" t="n">
        <x:v>4</x:v>
      </x:c>
      <x:c r="O1309" t="n">
        <x:v>4</x:v>
      </x:c>
      <x:c r="P1309" s="63" t="str">
        <x:f>IF(M1309=0,"—",M1309&amp;"d"&amp;N1309&amp;IF(O1309=0,""," + "&amp;O1309))</x:f>
        <x:v>2d4 + 4</x:v>
      </x:c>
      <x:c r="Q1309" t="n">
        <x:f>ROUND(INDEX(Catalogue!E$4:E$85,MATCH(A1309,Catalogue!A$4:A$85,0))*(1+'Paramètres'!$B$4*(C1309-1)+'Paramètres'!$B$5*(C1309-1)^2),0)</x:f>
        <x:v>6</x:v>
      </x:c>
      <x:c r="R1309" t="n">
        <x:f>ROUND(INDEX(Catalogue!F$4:F$85,MATCH(A1309,Catalogue!A$4:A$85,0))*(1+'Paramètres'!$B$4*(C1309-1)+'Paramètres'!$B$5*(C1309-1)^2),0)</x:f>
        <x:v>12</x:v>
      </x:c>
      <x:c r="S1309" t="n">
        <x:f>L1309-AVERAGE(Q1309:R1309)</x:f>
        <x:v>0</x:v>
      </x:c>
      <x:c r="T1309" t="str">
        <x:f>IF(M1309=0,IF(AND(N1309=0,O1309=0,E1309=0,F1309=0),"OK","ERREUR"),IF(AND(M1309&gt;=1,M1309&lt;=32,OR(N1309=4,N1309=6,N1309=8,N1309=10,N1309=12,N1309=20),O1309&gt;=0,E1309=M1309+O1309,F1309=M1309*N1309+O1309),"OK","ERREUR"))</x:f>
        <x:v>OK</x:v>
      </x:c>
      <x:c r="U1309" s="86" t="n">
        <x:f>IF(M1309&gt;0,M1309*(N1309+1)/2+O1309,0)</x:f>
        <x:v>9</x:v>
      </x:c>
      <x:c r="V1309" t="str">
        <x:f>IF(ABS(L1309-U1309)&lt;0.001,"OK","ERREUR")</x:f>
        <x:v>OK</x:v>
      </x:c>
    </x:row>
    <x:row r="1310" ht="18" customHeight="1">
      <x:c r="A1310" t="str">
        <x:v>ARM066</x:v>
      </x:c>
      <x:c r="B1310" t="str">
        <x:v>Bâton arcanique</x:v>
      </x:c>
      <x:c r="C1310" t="n">
        <x:v>7</x:v>
      </x:c>
      <x:c r="D1310" t="str">
        <x:v>Focaliseurs</x:v>
      </x:c>
      <x:c r="E1310" s="28" t="n">
        <x:f>IF(M1310=0,0,M1310+O1310)</x:f>
        <x:v>7</x:v>
      </x:c>
      <x:c r="F1310" s="28" t="n">
        <x:f>IF(M1310=0,0,M1310*N1310+O1310)</x:f>
        <x:v>13</x:v>
      </x:c>
      <x:c r="G1310" s="28" t="n">
        <x:f>ROUND(Catalogue!G69*SQRT((1+'Paramètres'!$B$4*(C1310-1)+'Paramètres'!$B$5*(C1310-1)^2)),0)</x:f>
        <x:v>0</x:v>
      </x:c>
      <x:c r="H1310" s="28" t="n">
        <x:f>ROUND(Catalogue!H69*SQRT((1+'Paramètres'!$B$4*(C1310-1)+'Paramètres'!$B$5*(C1310-1)^2)),0)</x:f>
        <x:v>0</x:v>
      </x:c>
      <x:c r="I1310" s="28" t="n">
        <x:v>2</x:v>
      </x:c>
      <x:c r="J1310" s="28" t="n">
        <x:v>4</x:v>
      </x:c>
      <x:c r="K1310" s="30" t="n">
        <x:v>1.6</x:v>
      </x:c>
      <x:c r="L1310" s="54" t="n">
        <x:f>IF(M1310=0,0,(E1310+F1310)/2)</x:f>
        <x:v>10</x:v>
      </x:c>
      <x:c r="M1310" t="n">
        <x:v>2</x:v>
      </x:c>
      <x:c r="N1310" t="n">
        <x:v>4</x:v>
      </x:c>
      <x:c r="O1310" t="n">
        <x:v>5</x:v>
      </x:c>
      <x:c r="P1310" s="63" t="str">
        <x:f>IF(M1310=0,"—",M1310&amp;"d"&amp;N1310&amp;IF(O1310=0,""," + "&amp;O1310))</x:f>
        <x:v>2d4 + 5</x:v>
      </x:c>
      <x:c r="Q1310" t="n">
        <x:f>ROUND(INDEX(Catalogue!E$4:E$85,MATCH(A1310,Catalogue!A$4:A$85,0))*(1+'Paramètres'!$B$4*(C1310-1)+'Paramètres'!$B$5*(C1310-1)^2),0)</x:f>
        <x:v>7</x:v>
      </x:c>
      <x:c r="R1310" t="n">
        <x:f>ROUND(INDEX(Catalogue!F$4:F$85,MATCH(A1310,Catalogue!A$4:A$85,0))*(1+'Paramètres'!$B$4*(C1310-1)+'Paramètres'!$B$5*(C1310-1)^2),0)</x:f>
        <x:v>13</x:v>
      </x:c>
      <x:c r="S1310" t="n">
        <x:f>L1310-AVERAGE(Q1310:R1310)</x:f>
        <x:v>0</x:v>
      </x:c>
      <x:c r="T1310" t="str">
        <x:f>IF(M1310=0,IF(AND(N1310=0,O1310=0,E1310=0,F1310=0),"OK","ERREUR"),IF(AND(M1310&gt;=1,M1310&lt;=32,OR(N1310=4,N1310=6,N1310=8,N1310=10,N1310=12,N1310=20),O1310&gt;=0,E1310=M1310+O1310,F1310=M1310*N1310+O1310),"OK","ERREUR"))</x:f>
        <x:v>OK</x:v>
      </x:c>
      <x:c r="U1310" s="86" t="n">
        <x:f>IF(M1310&gt;0,M1310*(N1310+1)/2+O1310,0)</x:f>
        <x:v>10</x:v>
      </x:c>
      <x:c r="V1310" t="str">
        <x:f>IF(ABS(L1310-U1310)&lt;0.001,"OK","ERREUR")</x:f>
        <x:v>OK</x:v>
      </x:c>
    </x:row>
    <x:row r="1311" ht="18" customHeight="1">
      <x:c r="A1311" t="str">
        <x:v>ARM066</x:v>
      </x:c>
      <x:c r="B1311" t="str">
        <x:v>Bâton arcanique</x:v>
      </x:c>
      <x:c r="C1311" t="n">
        <x:v>8</x:v>
      </x:c>
      <x:c r="D1311" t="str">
        <x:v>Focaliseurs</x:v>
      </x:c>
      <x:c r="E1311" s="28" t="n">
        <x:f>IF(M1311=0,0,M1311+O1311)</x:f>
        <x:v>8</x:v>
      </x:c>
      <x:c r="F1311" s="28" t="n">
        <x:f>IF(M1311=0,0,M1311*N1311+O1311)</x:f>
        <x:v>15</x:v>
      </x:c>
      <x:c r="G1311" s="28" t="n">
        <x:f>ROUND(Catalogue!G69*SQRT((1+'Paramètres'!$B$4*(C1311-1)+'Paramètres'!$B$5*(C1311-1)^2)),0)</x:f>
        <x:v>0</x:v>
      </x:c>
      <x:c r="H1311" s="28" t="n">
        <x:f>ROUND(Catalogue!H69*SQRT((1+'Paramètres'!$B$4*(C1311-1)+'Paramètres'!$B$5*(C1311-1)^2)),0)</x:f>
        <x:v>0</x:v>
      </x:c>
      <x:c r="I1311" s="28" t="n">
        <x:v>2</x:v>
      </x:c>
      <x:c r="J1311" s="28" t="n">
        <x:v>4</x:v>
      </x:c>
      <x:c r="K1311" s="30" t="n">
        <x:v>1.6</x:v>
      </x:c>
      <x:c r="L1311" s="54" t="n">
        <x:f>IF(M1311=0,0,(E1311+F1311)/2)</x:f>
        <x:v>11.5</x:v>
      </x:c>
      <x:c r="M1311" t="n">
        <x:v>1</x:v>
      </x:c>
      <x:c r="N1311" t="n">
        <x:v>8</x:v>
      </x:c>
      <x:c r="O1311" t="n">
        <x:v>7</x:v>
      </x:c>
      <x:c r="P1311" s="63" t="str">
        <x:f>IF(M1311=0,"—",M1311&amp;"d"&amp;N1311&amp;IF(O1311=0,""," + "&amp;O1311))</x:f>
        <x:v>1d8 + 7</x:v>
      </x:c>
      <x:c r="Q1311" t="n">
        <x:f>ROUND(INDEX(Catalogue!E$4:E$85,MATCH(A1311,Catalogue!A$4:A$85,0))*(1+'Paramètres'!$B$4*(C1311-1)+'Paramètres'!$B$5*(C1311-1)^2),0)</x:f>
        <x:v>8</x:v>
      </x:c>
      <x:c r="R1311" t="n">
        <x:f>ROUND(INDEX(Catalogue!F$4:F$85,MATCH(A1311,Catalogue!A$4:A$85,0))*(1+'Paramètres'!$B$4*(C1311-1)+'Paramètres'!$B$5*(C1311-1)^2),0)</x:f>
        <x:v>15</x:v>
      </x:c>
      <x:c r="S1311" t="n">
        <x:f>L1311-AVERAGE(Q1311:R1311)</x:f>
        <x:v>0</x:v>
      </x:c>
      <x:c r="T1311" t="str">
        <x:f>IF(M1311=0,IF(AND(N1311=0,O1311=0,E1311=0,F1311=0),"OK","ERREUR"),IF(AND(M1311&gt;=1,M1311&lt;=32,OR(N1311=4,N1311=6,N1311=8,N1311=10,N1311=12,N1311=20),O1311&gt;=0,E1311=M1311+O1311,F1311=M1311*N1311+O1311),"OK","ERREUR"))</x:f>
        <x:v>OK</x:v>
      </x:c>
      <x:c r="U1311" s="86" t="n">
        <x:f>IF(M1311&gt;0,M1311*(N1311+1)/2+O1311,0)</x:f>
        <x:v>11.5</x:v>
      </x:c>
      <x:c r="V1311" t="str">
        <x:f>IF(ABS(L1311-U1311)&lt;0.001,"OK","ERREUR")</x:f>
        <x:v>OK</x:v>
      </x:c>
    </x:row>
    <x:row r="1312" ht="18" customHeight="1">
      <x:c r="A1312" t="str">
        <x:v>ARM066</x:v>
      </x:c>
      <x:c r="B1312" t="str">
        <x:v>Bâton arcanique</x:v>
      </x:c>
      <x:c r="C1312" t="n">
        <x:v>9</x:v>
      </x:c>
      <x:c r="D1312" t="str">
        <x:v>Focaliseurs</x:v>
      </x:c>
      <x:c r="E1312" s="28" t="n">
        <x:f>IF(M1312=0,0,M1312+O1312)</x:f>
        <x:v>8</x:v>
      </x:c>
      <x:c r="F1312" s="28" t="n">
        <x:f>IF(M1312=0,0,M1312*N1312+O1312)</x:f>
        <x:v>17</x:v>
      </x:c>
      <x:c r="G1312" s="28" t="n">
        <x:f>ROUND(Catalogue!G69*SQRT((1+'Paramètres'!$B$4*(C1312-1)+'Paramètres'!$B$5*(C1312-1)^2)),0)</x:f>
        <x:v>0</x:v>
      </x:c>
      <x:c r="H1312" s="28" t="n">
        <x:f>ROUND(Catalogue!H69*SQRT((1+'Paramètres'!$B$4*(C1312-1)+'Paramètres'!$B$5*(C1312-1)^2)),0)</x:f>
        <x:v>0</x:v>
      </x:c>
      <x:c r="I1312" s="28" t="n">
        <x:v>2</x:v>
      </x:c>
      <x:c r="J1312" s="28" t="n">
        <x:v>4</x:v>
      </x:c>
      <x:c r="K1312" s="30" t="n">
        <x:v>1.6</x:v>
      </x:c>
      <x:c r="L1312" s="54" t="n">
        <x:f>IF(M1312=0,0,(E1312+F1312)/2)</x:f>
        <x:v>12.5</x:v>
      </x:c>
      <x:c r="M1312" t="n">
        <x:v>3</x:v>
      </x:c>
      <x:c r="N1312" t="n">
        <x:v>4</x:v>
      </x:c>
      <x:c r="O1312" t="n">
        <x:v>5</x:v>
      </x:c>
      <x:c r="P1312" s="63" t="str">
        <x:f>IF(M1312=0,"—",M1312&amp;"d"&amp;N1312&amp;IF(O1312=0,""," + "&amp;O1312))</x:f>
        <x:v>3d4 + 5</x:v>
      </x:c>
      <x:c r="Q1312" t="n">
        <x:f>ROUND(INDEX(Catalogue!E$4:E$85,MATCH(A1312,Catalogue!A$4:A$85,0))*(1+'Paramètres'!$B$4*(C1312-1)+'Paramètres'!$B$5*(C1312-1)^2),0)</x:f>
        <x:v>9</x:v>
      </x:c>
      <x:c r="R1312" t="n">
        <x:f>ROUND(INDEX(Catalogue!F$4:F$85,MATCH(A1312,Catalogue!A$4:A$85,0))*(1+'Paramètres'!$B$4*(C1312-1)+'Paramètres'!$B$5*(C1312-1)^2),0)</x:f>
        <x:v>17</x:v>
      </x:c>
      <x:c r="S1312" t="n">
        <x:f>L1312-AVERAGE(Q1312:R1312)</x:f>
        <x:v>-0.5</x:v>
      </x:c>
      <x:c r="T1312" t="str">
        <x:f>IF(M1312=0,IF(AND(N1312=0,O1312=0,E1312=0,F1312=0),"OK","ERREUR"),IF(AND(M1312&gt;=1,M1312&lt;=32,OR(N1312=4,N1312=6,N1312=8,N1312=10,N1312=12,N1312=20),O1312&gt;=0,E1312=M1312+O1312,F1312=M1312*N1312+O1312),"OK","ERREUR"))</x:f>
        <x:v>OK</x:v>
      </x:c>
      <x:c r="U1312" s="86" t="n">
        <x:f>IF(M1312&gt;0,M1312*(N1312+1)/2+O1312,0)</x:f>
        <x:v>12.5</x:v>
      </x:c>
      <x:c r="V1312" t="str">
        <x:f>IF(ABS(L1312-U1312)&lt;0.001,"OK","ERREUR")</x:f>
        <x:v>OK</x:v>
      </x:c>
    </x:row>
    <x:row r="1313" ht="18" customHeight="1">
      <x:c r="A1313" t="str">
        <x:v>ARM066</x:v>
      </x:c>
      <x:c r="B1313" t="str">
        <x:v>Bâton arcanique</x:v>
      </x:c>
      <x:c r="C1313" t="n">
        <x:v>10</x:v>
      </x:c>
      <x:c r="D1313" t="str">
        <x:v>Focaliseurs</x:v>
      </x:c>
      <x:c r="E1313" s="28" t="n">
        <x:f>IF(M1313=0,0,M1313+O1313)</x:f>
        <x:v>10</x:v>
      </x:c>
      <x:c r="F1313" s="28" t="n">
        <x:f>IF(M1313=0,0,M1313*N1313+O1313)</x:f>
        <x:v>20</x:v>
      </x:c>
      <x:c r="G1313" s="28" t="n">
        <x:f>ROUND(Catalogue!G69*SQRT((1+'Paramètres'!$B$4*(C1313-1)+'Paramètres'!$B$5*(C1313-1)^2)),0)</x:f>
        <x:v>0</x:v>
      </x:c>
      <x:c r="H1313" s="28" t="n">
        <x:f>ROUND(Catalogue!H69*SQRT((1+'Paramètres'!$B$4*(C1313-1)+'Paramètres'!$B$5*(C1313-1)^2)),0)</x:f>
        <x:v>0</x:v>
      </x:c>
      <x:c r="I1313" s="28" t="n">
        <x:v>2</x:v>
      </x:c>
      <x:c r="J1313" s="28" t="n">
        <x:v>4</x:v>
      </x:c>
      <x:c r="K1313" s="30" t="n">
        <x:v>1.6</x:v>
      </x:c>
      <x:c r="L1313" s="54" t="n">
        <x:f>IF(M1313=0,0,(E1313+F1313)/2)</x:f>
        <x:v>15</x:v>
      </x:c>
      <x:c r="M1313" t="n">
        <x:v>2</x:v>
      </x:c>
      <x:c r="N1313" t="n">
        <x:v>6</x:v>
      </x:c>
      <x:c r="O1313" t="n">
        <x:v>8</x:v>
      </x:c>
      <x:c r="P1313" s="63" t="str">
        <x:f>IF(M1313=0,"—",M1313&amp;"d"&amp;N1313&amp;IF(O1313=0,""," + "&amp;O1313))</x:f>
        <x:v>2d6 + 8</x:v>
      </x:c>
      <x:c r="Q1313" t="n">
        <x:f>ROUND(INDEX(Catalogue!E$4:E$85,MATCH(A1313,Catalogue!A$4:A$85,0))*(1+'Paramètres'!$B$4*(C1313-1)+'Paramètres'!$B$5*(C1313-1)^2),0)</x:f>
        <x:v>10</x:v>
      </x:c>
      <x:c r="R1313" t="n">
        <x:f>ROUND(INDEX(Catalogue!F$4:F$85,MATCH(A1313,Catalogue!A$4:A$85,0))*(1+'Paramètres'!$B$4*(C1313-1)+'Paramètres'!$B$5*(C1313-1)^2),0)</x:f>
        <x:v>20</x:v>
      </x:c>
      <x:c r="S1313" t="n">
        <x:f>L1313-AVERAGE(Q1313:R1313)</x:f>
        <x:v>0</x:v>
      </x:c>
      <x:c r="T1313" t="str">
        <x:f>IF(M1313=0,IF(AND(N1313=0,O1313=0,E1313=0,F1313=0),"OK","ERREUR"),IF(AND(M1313&gt;=1,M1313&lt;=32,OR(N1313=4,N1313=6,N1313=8,N1313=10,N1313=12,N1313=20),O1313&gt;=0,E1313=M1313+O1313,F1313=M1313*N1313+O1313),"OK","ERREUR"))</x:f>
        <x:v>OK</x:v>
      </x:c>
      <x:c r="U1313" s="86" t="n">
        <x:f>IF(M1313&gt;0,M1313*(N1313+1)/2+O1313,0)</x:f>
        <x:v>15</x:v>
      </x:c>
      <x:c r="V1313" t="str">
        <x:f>IF(ABS(L1313-U1313)&lt;0.001,"OK","ERREUR")</x:f>
        <x:v>OK</x:v>
      </x:c>
    </x:row>
    <x:row r="1314" ht="18" customHeight="1">
      <x:c r="A1314" t="str">
        <x:v>ARM066</x:v>
      </x:c>
      <x:c r="B1314" t="str">
        <x:v>Bâton arcanique</x:v>
      </x:c>
      <x:c r="C1314" t="n">
        <x:v>11</x:v>
      </x:c>
      <x:c r="D1314" t="str">
        <x:v>Focaliseurs</x:v>
      </x:c>
      <x:c r="E1314" s="28" t="n">
        <x:f>IF(M1314=0,0,M1314+O1314)</x:f>
        <x:v>11</x:v>
      </x:c>
      <x:c r="F1314" s="28" t="n">
        <x:f>IF(M1314=0,0,M1314*N1314+O1314)</x:f>
        <x:v>22</x:v>
      </x:c>
      <x:c r="G1314" s="28" t="n">
        <x:f>ROUND(Catalogue!G69*SQRT((1+'Paramètres'!$B$4*(C1314-1)+'Paramètres'!$B$5*(C1314-1)^2)),0)</x:f>
        <x:v>0</x:v>
      </x:c>
      <x:c r="H1314" s="28" t="n">
        <x:f>ROUND(Catalogue!H69*SQRT((1+'Paramètres'!$B$4*(C1314-1)+'Paramètres'!$B$5*(C1314-1)^2)),0)</x:f>
        <x:v>0</x:v>
      </x:c>
      <x:c r="I1314" s="28" t="n">
        <x:v>2</x:v>
      </x:c>
      <x:c r="J1314" s="28" t="n">
        <x:v>4</x:v>
      </x:c>
      <x:c r="K1314" s="30" t="n">
        <x:v>1.6</x:v>
      </x:c>
      <x:c r="L1314" s="54" t="n">
        <x:f>IF(M1314=0,0,(E1314+F1314)/2)</x:f>
        <x:v>16.5</x:v>
      </x:c>
      <x:c r="M1314" t="n">
        <x:v>1</x:v>
      </x:c>
      <x:c r="N1314" t="n">
        <x:v>12</x:v>
      </x:c>
      <x:c r="O1314" t="n">
        <x:v>10</x:v>
      </x:c>
      <x:c r="P1314" s="63" t="str">
        <x:f>IF(M1314=0,"—",M1314&amp;"d"&amp;N1314&amp;IF(O1314=0,""," + "&amp;O1314))</x:f>
        <x:v>1d12 + 10</x:v>
      </x:c>
      <x:c r="Q1314" t="n">
        <x:f>ROUND(INDEX(Catalogue!E$4:E$85,MATCH(A1314,Catalogue!A$4:A$85,0))*(1+'Paramètres'!$B$4*(C1314-1)+'Paramètres'!$B$5*(C1314-1)^2),0)</x:f>
        <x:v>11</x:v>
      </x:c>
      <x:c r="R1314" t="n">
        <x:f>ROUND(INDEX(Catalogue!F$4:F$85,MATCH(A1314,Catalogue!A$4:A$85,0))*(1+'Paramètres'!$B$4*(C1314-1)+'Paramètres'!$B$5*(C1314-1)^2),0)</x:f>
        <x:v>22</x:v>
      </x:c>
      <x:c r="S1314" t="n">
        <x:f>L1314-AVERAGE(Q1314:R1314)</x:f>
        <x:v>0</x:v>
      </x:c>
      <x:c r="T1314" t="str">
        <x:f>IF(M1314=0,IF(AND(N1314=0,O1314=0,E1314=0,F1314=0),"OK","ERREUR"),IF(AND(M1314&gt;=1,M1314&lt;=32,OR(N1314=4,N1314=6,N1314=8,N1314=10,N1314=12,N1314=20),O1314&gt;=0,E1314=M1314+O1314,F1314=M1314*N1314+O1314),"OK","ERREUR"))</x:f>
        <x:v>OK</x:v>
      </x:c>
      <x:c r="U1314" s="86" t="n">
        <x:f>IF(M1314&gt;0,M1314*(N1314+1)/2+O1314,0)</x:f>
        <x:v>16.5</x:v>
      </x:c>
      <x:c r="V1314" t="str">
        <x:f>IF(ABS(L1314-U1314)&lt;0.001,"OK","ERREUR")</x:f>
        <x:v>OK</x:v>
      </x:c>
    </x:row>
    <x:row r="1315" ht="18" customHeight="1">
      <x:c r="A1315" t="str">
        <x:v>ARM066</x:v>
      </x:c>
      <x:c r="B1315" t="str">
        <x:v>Bâton arcanique</x:v>
      </x:c>
      <x:c r="C1315" t="n">
        <x:v>12</x:v>
      </x:c>
      <x:c r="D1315" t="str">
        <x:v>Focaliseurs</x:v>
      </x:c>
      <x:c r="E1315" s="28" t="n">
        <x:f>IF(M1315=0,0,M1315+O1315)</x:f>
        <x:v>11</x:v>
      </x:c>
      <x:c r="F1315" s="28" t="n">
        <x:f>IF(M1315=0,0,M1315*N1315+O1315)</x:f>
        <x:v>25</x:v>
      </x:c>
      <x:c r="G1315" s="28" t="n">
        <x:f>ROUND(Catalogue!G69*SQRT((1+'Paramètres'!$B$4*(C1315-1)+'Paramètres'!$B$5*(C1315-1)^2)),0)</x:f>
        <x:v>0</x:v>
      </x:c>
      <x:c r="H1315" s="28" t="n">
        <x:f>ROUND(Catalogue!H69*SQRT((1+'Paramètres'!$B$4*(C1315-1)+'Paramètres'!$B$5*(C1315-1)^2)),0)</x:f>
        <x:v>0</x:v>
      </x:c>
      <x:c r="I1315" s="28" t="n">
        <x:v>2</x:v>
      </x:c>
      <x:c r="J1315" s="28" t="n">
        <x:v>4</x:v>
      </x:c>
      <x:c r="K1315" s="30" t="n">
        <x:v>1.6</x:v>
      </x:c>
      <x:c r="L1315" s="54" t="n">
        <x:f>IF(M1315=0,0,(E1315+F1315)/2)</x:f>
        <x:v>18</x:v>
      </x:c>
      <x:c r="M1315" t="n">
        <x:v>2</x:v>
      </x:c>
      <x:c r="N1315" t="n">
        <x:v>8</x:v>
      </x:c>
      <x:c r="O1315" t="n">
        <x:v>9</x:v>
      </x:c>
      <x:c r="P1315" s="63" t="str">
        <x:f>IF(M1315=0,"—",M1315&amp;"d"&amp;N1315&amp;IF(O1315=0,""," + "&amp;O1315))</x:f>
        <x:v>2d8 + 9</x:v>
      </x:c>
      <x:c r="Q1315" t="n">
        <x:f>ROUND(INDEX(Catalogue!E$4:E$85,MATCH(A1315,Catalogue!A$4:A$85,0))*(1+'Paramètres'!$B$4*(C1315-1)+'Paramètres'!$B$5*(C1315-1)^2),0)</x:f>
        <x:v>12</x:v>
      </x:c>
      <x:c r="R1315" t="n">
        <x:f>ROUND(INDEX(Catalogue!F$4:F$85,MATCH(A1315,Catalogue!A$4:A$85,0))*(1+'Paramètres'!$B$4*(C1315-1)+'Paramètres'!$B$5*(C1315-1)^2),0)</x:f>
        <x:v>25</x:v>
      </x:c>
      <x:c r="S1315" t="n">
        <x:f>L1315-AVERAGE(Q1315:R1315)</x:f>
        <x:v>-0.5</x:v>
      </x:c>
      <x:c r="T1315" t="str">
        <x:f>IF(M1315=0,IF(AND(N1315=0,O1315=0,E1315=0,F1315=0),"OK","ERREUR"),IF(AND(M1315&gt;=1,M1315&lt;=32,OR(N1315=4,N1315=6,N1315=8,N1315=10,N1315=12,N1315=20),O1315&gt;=0,E1315=M1315+O1315,F1315=M1315*N1315+O1315),"OK","ERREUR"))</x:f>
        <x:v>OK</x:v>
      </x:c>
      <x:c r="U1315" s="86" t="n">
        <x:f>IF(M1315&gt;0,M1315*(N1315+1)/2+O1315,0)</x:f>
        <x:v>18</x:v>
      </x:c>
      <x:c r="V1315" t="str">
        <x:f>IF(ABS(L1315-U1315)&lt;0.001,"OK","ERREUR")</x:f>
        <x:v>OK</x:v>
      </x:c>
    </x:row>
    <x:row r="1316" ht="18" customHeight="1">
      <x:c r="A1316" t="str">
        <x:v>ARM066</x:v>
      </x:c>
      <x:c r="B1316" t="str">
        <x:v>Bâton arcanique</x:v>
      </x:c>
      <x:c r="C1316" t="n">
        <x:v>13</x:v>
      </x:c>
      <x:c r="D1316" t="str">
        <x:v>Focaliseurs</x:v>
      </x:c>
      <x:c r="E1316" s="28" t="n">
        <x:f>IF(M1316=0,0,M1316+O1316)</x:f>
        <x:v>14</x:v>
      </x:c>
      <x:c r="F1316" s="28" t="n">
        <x:f>IF(M1316=0,0,M1316*N1316+O1316)</x:f>
        <x:v>28</x:v>
      </x:c>
      <x:c r="G1316" s="28" t="n">
        <x:f>ROUND(Catalogue!G69*SQRT((1+'Paramètres'!$B$4*(C1316-1)+'Paramètres'!$B$5*(C1316-1)^2)),0)</x:f>
        <x:v>0</x:v>
      </x:c>
      <x:c r="H1316" s="28" t="n">
        <x:f>ROUND(Catalogue!H69*SQRT((1+'Paramètres'!$B$4*(C1316-1)+'Paramètres'!$B$5*(C1316-1)^2)),0)</x:f>
        <x:v>0</x:v>
      </x:c>
      <x:c r="I1316" s="28" t="n">
        <x:v>2</x:v>
      </x:c>
      <x:c r="J1316" s="28" t="n">
        <x:v>4</x:v>
      </x:c>
      <x:c r="K1316" s="30" t="n">
        <x:v>1.6</x:v>
      </x:c>
      <x:c r="L1316" s="54" t="n">
        <x:f>IF(M1316=0,0,(E1316+F1316)/2)</x:f>
        <x:v>21</x:v>
      </x:c>
      <x:c r="M1316" t="n">
        <x:v>2</x:v>
      </x:c>
      <x:c r="N1316" t="n">
        <x:v>8</x:v>
      </x:c>
      <x:c r="O1316" t="n">
        <x:v>12</x:v>
      </x:c>
      <x:c r="P1316" s="63" t="str">
        <x:f>IF(M1316=0,"—",M1316&amp;"d"&amp;N1316&amp;IF(O1316=0,""," + "&amp;O1316))</x:f>
        <x:v>2d8 + 12</x:v>
      </x:c>
      <x:c r="Q1316" t="n">
        <x:f>ROUND(INDEX(Catalogue!E$4:E$85,MATCH(A1316,Catalogue!A$4:A$85,0))*(1+'Paramètres'!$B$4*(C1316-1)+'Paramètres'!$B$5*(C1316-1)^2),0)</x:f>
        <x:v>14</x:v>
      </x:c>
      <x:c r="R1316" t="n">
        <x:f>ROUND(INDEX(Catalogue!F$4:F$85,MATCH(A1316,Catalogue!A$4:A$85,0))*(1+'Paramètres'!$B$4*(C1316-1)+'Paramètres'!$B$5*(C1316-1)^2),0)</x:f>
        <x:v>28</x:v>
      </x:c>
      <x:c r="S1316" t="n">
        <x:f>L1316-AVERAGE(Q1316:R1316)</x:f>
        <x:v>0</x:v>
      </x:c>
      <x:c r="T1316" t="str">
        <x:f>IF(M1316=0,IF(AND(N1316=0,O1316=0,E1316=0,F1316=0),"OK","ERREUR"),IF(AND(M1316&gt;=1,M1316&lt;=32,OR(N1316=4,N1316=6,N1316=8,N1316=10,N1316=12,N1316=20),O1316&gt;=0,E1316=M1316+O1316,F1316=M1316*N1316+O1316),"OK","ERREUR"))</x:f>
        <x:v>OK</x:v>
      </x:c>
      <x:c r="U1316" s="86" t="n">
        <x:f>IF(M1316&gt;0,M1316*(N1316+1)/2+O1316,0)</x:f>
        <x:v>21</x:v>
      </x:c>
      <x:c r="V1316" t="str">
        <x:f>IF(ABS(L1316-U1316)&lt;0.001,"OK","ERREUR")</x:f>
        <x:v>OK</x:v>
      </x:c>
    </x:row>
    <x:row r="1317" ht="18" customHeight="1">
      <x:c r="A1317" t="str">
        <x:v>ARM066</x:v>
      </x:c>
      <x:c r="B1317" t="str">
        <x:v>Bâton arcanique</x:v>
      </x:c>
      <x:c r="C1317" t="n">
        <x:v>14</x:v>
      </x:c>
      <x:c r="D1317" t="str">
        <x:v>Focaliseurs</x:v>
      </x:c>
      <x:c r="E1317" s="28" t="n">
        <x:f>IF(M1317=0,0,M1317+O1317)</x:f>
        <x:v>15</x:v>
      </x:c>
      <x:c r="F1317" s="28" t="n">
        <x:f>IF(M1317=0,0,M1317*N1317+O1317)</x:f>
        <x:v>30</x:v>
      </x:c>
      <x:c r="G1317" s="28" t="n">
        <x:f>ROUND(Catalogue!G69*SQRT((1+'Paramètres'!$B$4*(C1317-1)+'Paramètres'!$B$5*(C1317-1)^2)),0)</x:f>
        <x:v>0</x:v>
      </x:c>
      <x:c r="H1317" s="28" t="n">
        <x:f>ROUND(Catalogue!H69*SQRT((1+'Paramètres'!$B$4*(C1317-1)+'Paramètres'!$B$5*(C1317-1)^2)),0)</x:f>
        <x:v>0</x:v>
      </x:c>
      <x:c r="I1317" s="28" t="n">
        <x:v>2</x:v>
      </x:c>
      <x:c r="J1317" s="28" t="n">
        <x:v>4</x:v>
      </x:c>
      <x:c r="K1317" s="30" t="n">
        <x:v>1.6</x:v>
      </x:c>
      <x:c r="L1317" s="54" t="n">
        <x:f>IF(M1317=0,0,(E1317+F1317)/2)</x:f>
        <x:v>22.5</x:v>
      </x:c>
      <x:c r="M1317" t="n">
        <x:v>3</x:v>
      </x:c>
      <x:c r="N1317" t="n">
        <x:v>6</x:v>
      </x:c>
      <x:c r="O1317" t="n">
        <x:v>12</x:v>
      </x:c>
      <x:c r="P1317" s="63" t="str">
        <x:f>IF(M1317=0,"—",M1317&amp;"d"&amp;N1317&amp;IF(O1317=0,""," + "&amp;O1317))</x:f>
        <x:v>3d6 + 12</x:v>
      </x:c>
      <x:c r="Q1317" t="n">
        <x:f>ROUND(INDEX(Catalogue!E$4:E$85,MATCH(A1317,Catalogue!A$4:A$85,0))*(1+'Paramètres'!$B$4*(C1317-1)+'Paramètres'!$B$5*(C1317-1)^2),0)</x:f>
        <x:v>15</x:v>
      </x:c>
      <x:c r="R1317" t="n">
        <x:f>ROUND(INDEX(Catalogue!F$4:F$85,MATCH(A1317,Catalogue!A$4:A$85,0))*(1+'Paramètres'!$B$4*(C1317-1)+'Paramètres'!$B$5*(C1317-1)^2),0)</x:f>
        <x:v>31</x:v>
      </x:c>
      <x:c r="S1317" t="n">
        <x:f>L1317-AVERAGE(Q1317:R1317)</x:f>
        <x:v>-0.5</x:v>
      </x:c>
      <x:c r="T1317" t="str">
        <x:f>IF(M1317=0,IF(AND(N1317=0,O1317=0,E1317=0,F1317=0),"OK","ERREUR"),IF(AND(M1317&gt;=1,M1317&lt;=32,OR(N1317=4,N1317=6,N1317=8,N1317=10,N1317=12,N1317=20),O1317&gt;=0,E1317=M1317+O1317,F1317=M1317*N1317+O1317),"OK","ERREUR"))</x:f>
        <x:v>OK</x:v>
      </x:c>
      <x:c r="U1317" s="86" t="n">
        <x:f>IF(M1317&gt;0,M1317*(N1317+1)/2+O1317,0)</x:f>
        <x:v>22.5</x:v>
      </x:c>
      <x:c r="V1317" t="str">
        <x:f>IF(ABS(L1317-U1317)&lt;0.001,"OK","ERREUR")</x:f>
        <x:v>OK</x:v>
      </x:c>
    </x:row>
    <x:row r="1318" ht="18" customHeight="1">
      <x:c r="A1318" t="str">
        <x:v>ARM066</x:v>
      </x:c>
      <x:c r="B1318" t="str">
        <x:v>Bâton arcanique</x:v>
      </x:c>
      <x:c r="C1318" t="n">
        <x:v>15</x:v>
      </x:c>
      <x:c r="D1318" t="str">
        <x:v>Focaliseurs</x:v>
      </x:c>
      <x:c r="E1318" s="28" t="n">
        <x:f>IF(M1318=0,0,M1318+O1318)</x:f>
        <x:v>16</x:v>
      </x:c>
      <x:c r="F1318" s="28" t="n">
        <x:f>IF(M1318=0,0,M1318*N1318+O1318)</x:f>
        <x:v>34</x:v>
      </x:c>
      <x:c r="G1318" s="28" t="n">
        <x:f>ROUND(Catalogue!G69*SQRT((1+'Paramètres'!$B$4*(C1318-1)+'Paramètres'!$B$5*(C1318-1)^2)),0)</x:f>
        <x:v>0</x:v>
      </x:c>
      <x:c r="H1318" s="28" t="n">
        <x:f>ROUND(Catalogue!H69*SQRT((1+'Paramètres'!$B$4*(C1318-1)+'Paramètres'!$B$5*(C1318-1)^2)),0)</x:f>
        <x:v>0</x:v>
      </x:c>
      <x:c r="I1318" s="28" t="n">
        <x:v>2</x:v>
      </x:c>
      <x:c r="J1318" s="28" t="n">
        <x:v>4</x:v>
      </x:c>
      <x:c r="K1318" s="30" t="n">
        <x:v>1.6</x:v>
      </x:c>
      <x:c r="L1318" s="54" t="n">
        <x:f>IF(M1318=0,0,(E1318+F1318)/2)</x:f>
        <x:v>25</x:v>
      </x:c>
      <x:c r="M1318" t="n">
        <x:v>2</x:v>
      </x:c>
      <x:c r="N1318" t="n">
        <x:v>10</x:v>
      </x:c>
      <x:c r="O1318" t="n">
        <x:v>14</x:v>
      </x:c>
      <x:c r="P1318" s="63" t="str">
        <x:f>IF(M1318=0,"—",M1318&amp;"d"&amp;N1318&amp;IF(O1318=0,""," + "&amp;O1318))</x:f>
        <x:v>2d10 + 14</x:v>
      </x:c>
      <x:c r="Q1318" t="n">
        <x:f>ROUND(INDEX(Catalogue!E$4:E$85,MATCH(A1318,Catalogue!A$4:A$85,0))*(1+'Paramètres'!$B$4*(C1318-1)+'Paramètres'!$B$5*(C1318-1)^2),0)</x:f>
        <x:v>17</x:v>
      </x:c>
      <x:c r="R1318" t="n">
        <x:f>ROUND(INDEX(Catalogue!F$4:F$85,MATCH(A1318,Catalogue!A$4:A$85,0))*(1+'Paramètres'!$B$4*(C1318-1)+'Paramètres'!$B$5*(C1318-1)^2),0)</x:f>
        <x:v>34</x:v>
      </x:c>
      <x:c r="S1318" t="n">
        <x:f>L1318-AVERAGE(Q1318:R1318)</x:f>
        <x:v>-0.5</x:v>
      </x:c>
      <x:c r="T1318" t="str">
        <x:f>IF(M1318=0,IF(AND(N1318=0,O1318=0,E1318=0,F1318=0),"OK","ERREUR"),IF(AND(M1318&gt;=1,M1318&lt;=32,OR(N1318=4,N1318=6,N1318=8,N1318=10,N1318=12,N1318=20),O1318&gt;=0,E1318=M1318+O1318,F1318=M1318*N1318+O1318),"OK","ERREUR"))</x:f>
        <x:v>OK</x:v>
      </x:c>
      <x:c r="U1318" s="86" t="n">
        <x:f>IF(M1318&gt;0,M1318*(N1318+1)/2+O1318,0)</x:f>
        <x:v>25</x:v>
      </x:c>
      <x:c r="V1318" t="str">
        <x:f>IF(ABS(L1318-U1318)&lt;0.001,"OK","ERREUR")</x:f>
        <x:v>OK</x:v>
      </x:c>
    </x:row>
    <x:row r="1319" ht="18" customHeight="1">
      <x:c r="A1319" t="str">
        <x:v>ARM066</x:v>
      </x:c>
      <x:c r="B1319" t="str">
        <x:v>Bâton arcanique</x:v>
      </x:c>
      <x:c r="C1319" t="n">
        <x:v>16</x:v>
      </x:c>
      <x:c r="D1319" t="str">
        <x:v>Focaliseurs</x:v>
      </x:c>
      <x:c r="E1319" s="28" t="n">
        <x:f>IF(M1319=0,0,M1319+O1319)</x:f>
        <x:v>19</x:v>
      </x:c>
      <x:c r="F1319" s="28" t="n">
        <x:f>IF(M1319=0,0,M1319*N1319+O1319)</x:f>
        <x:v>37</x:v>
      </x:c>
      <x:c r="G1319" s="28" t="n">
        <x:f>ROUND(Catalogue!G69*SQRT((1+'Paramètres'!$B$4*(C1319-1)+'Paramètres'!$B$5*(C1319-1)^2)),0)</x:f>
        <x:v>0</x:v>
      </x:c>
      <x:c r="H1319" s="28" t="n">
        <x:f>ROUND(Catalogue!H69*SQRT((1+'Paramètres'!$B$4*(C1319-1)+'Paramètres'!$B$5*(C1319-1)^2)),0)</x:f>
        <x:v>0</x:v>
      </x:c>
      <x:c r="I1319" s="28" t="n">
        <x:v>2</x:v>
      </x:c>
      <x:c r="J1319" s="28" t="n">
        <x:v>4</x:v>
      </x:c>
      <x:c r="K1319" s="30" t="n">
        <x:v>1.6</x:v>
      </x:c>
      <x:c r="L1319" s="54" t="n">
        <x:f>IF(M1319=0,0,(E1319+F1319)/2)</x:f>
        <x:v>28</x:v>
      </x:c>
      <x:c r="M1319" t="n">
        <x:v>2</x:v>
      </x:c>
      <x:c r="N1319" t="n">
        <x:v>10</x:v>
      </x:c>
      <x:c r="O1319" t="n">
        <x:v>17</x:v>
      </x:c>
      <x:c r="P1319" s="63" t="str">
        <x:f>IF(M1319=0,"—",M1319&amp;"d"&amp;N1319&amp;IF(O1319=0,""," + "&amp;O1319))</x:f>
        <x:v>2d10 + 17</x:v>
      </x:c>
      <x:c r="Q1319" t="n">
        <x:f>ROUND(INDEX(Catalogue!E$4:E$85,MATCH(A1319,Catalogue!A$4:A$85,0))*(1+'Paramètres'!$B$4*(C1319-1)+'Paramètres'!$B$5*(C1319-1)^2),0)</x:f>
        <x:v>19</x:v>
      </x:c>
      <x:c r="R1319" t="n">
        <x:f>ROUND(INDEX(Catalogue!F$4:F$85,MATCH(A1319,Catalogue!A$4:A$85,0))*(1+'Paramètres'!$B$4*(C1319-1)+'Paramètres'!$B$5*(C1319-1)^2),0)</x:f>
        <x:v>38</x:v>
      </x:c>
      <x:c r="S1319" t="n">
        <x:f>L1319-AVERAGE(Q1319:R1319)</x:f>
        <x:v>-0.5</x:v>
      </x:c>
      <x:c r="T1319" t="str">
        <x:f>IF(M1319=0,IF(AND(N1319=0,O1319=0,E1319=0,F1319=0),"OK","ERREUR"),IF(AND(M1319&gt;=1,M1319&lt;=32,OR(N1319=4,N1319=6,N1319=8,N1319=10,N1319=12,N1319=20),O1319&gt;=0,E1319=M1319+O1319,F1319=M1319*N1319+O1319),"OK","ERREUR"))</x:f>
        <x:v>OK</x:v>
      </x:c>
      <x:c r="U1319" s="86" t="n">
        <x:f>IF(M1319&gt;0,M1319*(N1319+1)/2+O1319,0)</x:f>
        <x:v>28</x:v>
      </x:c>
      <x:c r="V1319" t="str">
        <x:f>IF(ABS(L1319-U1319)&lt;0.001,"OK","ERREUR")</x:f>
        <x:v>OK</x:v>
      </x:c>
    </x:row>
    <x:row r="1320" ht="18" customHeight="1">
      <x:c r="A1320" t="str">
        <x:v>ARM066</x:v>
      </x:c>
      <x:c r="B1320" t="str">
        <x:v>Bâton arcanique</x:v>
      </x:c>
      <x:c r="C1320" t="n">
        <x:v>17</x:v>
      </x:c>
      <x:c r="D1320" t="str">
        <x:v>Focaliseurs</x:v>
      </x:c>
      <x:c r="E1320" s="28" t="n">
        <x:f>IF(M1320=0,0,M1320+O1320)</x:f>
        <x:v>21</x:v>
      </x:c>
      <x:c r="F1320" s="28" t="n">
        <x:f>IF(M1320=0,0,M1320*N1320+O1320)</x:f>
        <x:v>41</x:v>
      </x:c>
      <x:c r="G1320" s="28" t="n">
        <x:f>ROUND(Catalogue!G69*SQRT((1+'Paramètres'!$B$4*(C1320-1)+'Paramètres'!$B$5*(C1320-1)^2)),0)</x:f>
        <x:v>0</x:v>
      </x:c>
      <x:c r="H1320" s="28" t="n">
        <x:f>ROUND(Catalogue!H69*SQRT((1+'Paramètres'!$B$4*(C1320-1)+'Paramètres'!$B$5*(C1320-1)^2)),0)</x:f>
        <x:v>0</x:v>
      </x:c>
      <x:c r="I1320" s="28" t="n">
        <x:v>2</x:v>
      </x:c>
      <x:c r="J1320" s="28" t="n">
        <x:v>4</x:v>
      </x:c>
      <x:c r="K1320" s="30" t="n">
        <x:v>1.6</x:v>
      </x:c>
      <x:c r="L1320" s="54" t="n">
        <x:f>IF(M1320=0,0,(E1320+F1320)/2)</x:f>
        <x:v>31</x:v>
      </x:c>
      <x:c r="M1320" t="n">
        <x:v>4</x:v>
      </x:c>
      <x:c r="N1320" t="n">
        <x:v>6</x:v>
      </x:c>
      <x:c r="O1320" t="n">
        <x:v>17</x:v>
      </x:c>
      <x:c r="P1320" s="63" t="str">
        <x:f>IF(M1320=0,"—",M1320&amp;"d"&amp;N1320&amp;IF(O1320=0,""," + "&amp;O1320))</x:f>
        <x:v>4d6 + 17</x:v>
      </x:c>
      <x:c r="Q1320" t="n">
        <x:f>ROUND(INDEX(Catalogue!E$4:E$85,MATCH(A1320,Catalogue!A$4:A$85,0))*(1+'Paramètres'!$B$4*(C1320-1)+'Paramètres'!$B$5*(C1320-1)^2),0)</x:f>
        <x:v>21</x:v>
      </x:c>
      <x:c r="R1320" t="n">
        <x:f>ROUND(INDEX(Catalogue!F$4:F$85,MATCH(A1320,Catalogue!A$4:A$85,0))*(1+'Paramètres'!$B$4*(C1320-1)+'Paramètres'!$B$5*(C1320-1)^2),0)</x:f>
        <x:v>41</x:v>
      </x:c>
      <x:c r="S1320" t="n">
        <x:f>L1320-AVERAGE(Q1320:R1320)</x:f>
        <x:v>0</x:v>
      </x:c>
      <x:c r="T1320" t="str">
        <x:f>IF(M1320=0,IF(AND(N1320=0,O1320=0,E1320=0,F1320=0),"OK","ERREUR"),IF(AND(M1320&gt;=1,M1320&lt;=32,OR(N1320=4,N1320=6,N1320=8,N1320=10,N1320=12,N1320=20),O1320&gt;=0,E1320=M1320+O1320,F1320=M1320*N1320+O1320),"OK","ERREUR"))</x:f>
        <x:v>OK</x:v>
      </x:c>
      <x:c r="U1320" s="86" t="n">
        <x:f>IF(M1320&gt;0,M1320*(N1320+1)/2+O1320,0)</x:f>
        <x:v>31</x:v>
      </x:c>
      <x:c r="V1320" t="str">
        <x:f>IF(ABS(L1320-U1320)&lt;0.001,"OK","ERREUR")</x:f>
        <x:v>OK</x:v>
      </x:c>
    </x:row>
    <x:row r="1321" ht="18" customHeight="1">
      <x:c r="A1321" t="str">
        <x:v>ARM066</x:v>
      </x:c>
      <x:c r="B1321" t="str">
        <x:v>Bâton arcanique</x:v>
      </x:c>
      <x:c r="C1321" t="n">
        <x:v>18</x:v>
      </x:c>
      <x:c r="D1321" t="str">
        <x:v>Focaliseurs</x:v>
      </x:c>
      <x:c r="E1321" s="28" t="n">
        <x:f>IF(M1321=0,0,M1321+O1321)</x:f>
        <x:v>22</x:v>
      </x:c>
      <x:c r="F1321" s="28" t="n">
        <x:f>IF(M1321=0,0,M1321*N1321+O1321)</x:f>
        <x:v>44</x:v>
      </x:c>
      <x:c r="G1321" s="28" t="n">
        <x:f>ROUND(Catalogue!G69*SQRT((1+'Paramètres'!$B$4*(C1321-1)+'Paramètres'!$B$5*(C1321-1)^2)),0)</x:f>
        <x:v>0</x:v>
      </x:c>
      <x:c r="H1321" s="28" t="n">
        <x:f>ROUND(Catalogue!H69*SQRT((1+'Paramètres'!$B$4*(C1321-1)+'Paramètres'!$B$5*(C1321-1)^2)),0)</x:f>
        <x:v>0</x:v>
      </x:c>
      <x:c r="I1321" s="28" t="n">
        <x:v>2</x:v>
      </x:c>
      <x:c r="J1321" s="28" t="n">
        <x:v>4</x:v>
      </x:c>
      <x:c r="K1321" s="30" t="n">
        <x:v>1.6</x:v>
      </x:c>
      <x:c r="L1321" s="54" t="n">
        <x:f>IF(M1321=0,0,(E1321+F1321)/2)</x:f>
        <x:v>33</x:v>
      </x:c>
      <x:c r="M1321" t="n">
        <x:v>2</x:v>
      </x:c>
      <x:c r="N1321" t="n">
        <x:v>12</x:v>
      </x:c>
      <x:c r="O1321" t="n">
        <x:v>20</x:v>
      </x:c>
      <x:c r="P1321" s="63" t="str">
        <x:f>IF(M1321=0,"—",M1321&amp;"d"&amp;N1321&amp;IF(O1321=0,""," + "&amp;O1321))</x:f>
        <x:v>2d12 + 20</x:v>
      </x:c>
      <x:c r="Q1321" t="n">
        <x:f>ROUND(INDEX(Catalogue!E$4:E$85,MATCH(A1321,Catalogue!A$4:A$85,0))*(1+'Paramètres'!$B$4*(C1321-1)+'Paramètres'!$B$5*(C1321-1)^2),0)</x:f>
        <x:v>22</x:v>
      </x:c>
      <x:c r="R1321" t="n">
        <x:f>ROUND(INDEX(Catalogue!F$4:F$85,MATCH(A1321,Catalogue!A$4:A$85,0))*(1+'Paramètres'!$B$4*(C1321-1)+'Paramètres'!$B$5*(C1321-1)^2),0)</x:f>
        <x:v>45</x:v>
      </x:c>
      <x:c r="S1321" t="n">
        <x:f>L1321-AVERAGE(Q1321:R1321)</x:f>
        <x:v>-0.5</x:v>
      </x:c>
      <x:c r="T1321" t="str">
        <x:f>IF(M1321=0,IF(AND(N1321=0,O1321=0,E1321=0,F1321=0),"OK","ERREUR"),IF(AND(M1321&gt;=1,M1321&lt;=32,OR(N1321=4,N1321=6,N1321=8,N1321=10,N1321=12,N1321=20),O1321&gt;=0,E1321=M1321+O1321,F1321=M1321*N1321+O1321),"OK","ERREUR"))</x:f>
        <x:v>OK</x:v>
      </x:c>
      <x:c r="U1321" s="86" t="n">
        <x:f>IF(M1321&gt;0,M1321*(N1321+1)/2+O1321,0)</x:f>
        <x:v>33</x:v>
      </x:c>
      <x:c r="V1321" t="str">
        <x:f>IF(ABS(L1321-U1321)&lt;0.001,"OK","ERREUR")</x:f>
        <x:v>OK</x:v>
      </x:c>
    </x:row>
    <x:row r="1322" ht="18" customHeight="1">
      <x:c r="A1322" t="str">
        <x:v>ARM066</x:v>
      </x:c>
      <x:c r="B1322" t="str">
        <x:v>Bâton arcanique</x:v>
      </x:c>
      <x:c r="C1322" t="n">
        <x:v>19</x:v>
      </x:c>
      <x:c r="D1322" t="str">
        <x:v>Focaliseurs</x:v>
      </x:c>
      <x:c r="E1322" s="28" t="n">
        <x:f>IF(M1322=0,0,M1322+O1322)</x:f>
        <x:v>24</x:v>
      </x:c>
      <x:c r="F1322" s="28" t="n">
        <x:f>IF(M1322=0,0,M1322*N1322+O1322)</x:f>
        <x:v>49</x:v>
      </x:c>
      <x:c r="G1322" s="28" t="n">
        <x:f>ROUND(Catalogue!G69*SQRT((1+'Paramètres'!$B$4*(C1322-1)+'Paramètres'!$B$5*(C1322-1)^2)),0)</x:f>
        <x:v>0</x:v>
      </x:c>
      <x:c r="H1322" s="28" t="n">
        <x:f>ROUND(Catalogue!H69*SQRT((1+'Paramètres'!$B$4*(C1322-1)+'Paramètres'!$B$5*(C1322-1)^2)),0)</x:f>
        <x:v>0</x:v>
      </x:c>
      <x:c r="I1322" s="28" t="n">
        <x:v>2</x:v>
      </x:c>
      <x:c r="J1322" s="28" t="n">
        <x:v>4</x:v>
      </x:c>
      <x:c r="K1322" s="30" t="n">
        <x:v>1.6</x:v>
      </x:c>
      <x:c r="L1322" s="54" t="n">
        <x:f>IF(M1322=0,0,(E1322+F1322)/2)</x:f>
        <x:v>36.5</x:v>
      </x:c>
      <x:c r="M1322" t="n">
        <x:v>5</x:v>
      </x:c>
      <x:c r="N1322" t="n">
        <x:v>6</x:v>
      </x:c>
      <x:c r="O1322" t="n">
        <x:v>19</x:v>
      </x:c>
      <x:c r="P1322" s="63" t="str">
        <x:f>IF(M1322=0,"—",M1322&amp;"d"&amp;N1322&amp;IF(O1322=0,""," + "&amp;O1322))</x:f>
        <x:v>5d6 + 19</x:v>
      </x:c>
      <x:c r="Q1322" t="n">
        <x:f>ROUND(INDEX(Catalogue!E$4:E$85,MATCH(A1322,Catalogue!A$4:A$85,0))*(1+'Paramètres'!$B$4*(C1322-1)+'Paramètres'!$B$5*(C1322-1)^2),0)</x:f>
        <x:v>24</x:v>
      </x:c>
      <x:c r="R1322" t="n">
        <x:f>ROUND(INDEX(Catalogue!F$4:F$85,MATCH(A1322,Catalogue!A$4:A$85,0))*(1+'Paramètres'!$B$4*(C1322-1)+'Paramètres'!$B$5*(C1322-1)^2),0)</x:f>
        <x:v>49</x:v>
      </x:c>
      <x:c r="S1322" t="n">
        <x:f>L1322-AVERAGE(Q1322:R1322)</x:f>
        <x:v>0</x:v>
      </x:c>
      <x:c r="T1322" t="str">
        <x:f>IF(M1322=0,IF(AND(N1322=0,O1322=0,E1322=0,F1322=0),"OK","ERREUR"),IF(AND(M1322&gt;=1,M1322&lt;=32,OR(N1322=4,N1322=6,N1322=8,N1322=10,N1322=12,N1322=20),O1322&gt;=0,E1322=M1322+O1322,F1322=M1322*N1322+O1322),"OK","ERREUR"))</x:f>
        <x:v>OK</x:v>
      </x:c>
      <x:c r="U1322" s="86" t="n">
        <x:f>IF(M1322&gt;0,M1322*(N1322+1)/2+O1322,0)</x:f>
        <x:v>36.5</x:v>
      </x:c>
      <x:c r="V1322" t="str">
        <x:f>IF(ABS(L1322-U1322)&lt;0.001,"OK","ERREUR")</x:f>
        <x:v>OK</x:v>
      </x:c>
    </x:row>
    <x:row r="1323" ht="18" customHeight="1">
      <x:c r="A1323" t="str">
        <x:v>ARM066</x:v>
      </x:c>
      <x:c r="B1323" t="str">
        <x:v>Bâton arcanique</x:v>
      </x:c>
      <x:c r="C1323" t="n">
        <x:v>20</x:v>
      </x:c>
      <x:c r="D1323" t="str">
        <x:v>Focaliseurs</x:v>
      </x:c>
      <x:c r="E1323" s="28" t="n">
        <x:f>IF(M1323=0,0,M1323+O1323)</x:f>
        <x:v>27</x:v>
      </x:c>
      <x:c r="F1323" s="28" t="n">
        <x:f>IF(M1323=0,0,M1323*N1323+O1323)</x:f>
        <x:v>54</x:v>
      </x:c>
      <x:c r="G1323" s="28" t="n">
        <x:f>ROUND(Catalogue!G69*SQRT((1+'Paramètres'!$B$4*(C1323-1)+'Paramètres'!$B$5*(C1323-1)^2)),0)</x:f>
        <x:v>0</x:v>
      </x:c>
      <x:c r="H1323" s="28" t="n">
        <x:f>ROUND(Catalogue!H69*SQRT((1+'Paramètres'!$B$4*(C1323-1)+'Paramètres'!$B$5*(C1323-1)^2)),0)</x:f>
        <x:v>0</x:v>
      </x:c>
      <x:c r="I1323" s="28" t="n">
        <x:v>2</x:v>
      </x:c>
      <x:c r="J1323" s="28" t="n">
        <x:v>4</x:v>
      </x:c>
      <x:c r="K1323" s="30" t="n">
        <x:v>1.6</x:v>
      </x:c>
      <x:c r="L1323" s="54" t="n">
        <x:f>IF(M1323=0,0,(E1323+F1323)/2)</x:f>
        <x:v>40.5</x:v>
      </x:c>
      <x:c r="M1323" t="n">
        <x:v>3</x:v>
      </x:c>
      <x:c r="N1323" t="n">
        <x:v>10</x:v>
      </x:c>
      <x:c r="O1323" t="n">
        <x:v>24</x:v>
      </x:c>
      <x:c r="P1323" s="63" t="str">
        <x:f>IF(M1323=0,"—",M1323&amp;"d"&amp;N1323&amp;IF(O1323=0,""," + "&amp;O1323))</x:f>
        <x:v>3d10 + 24</x:v>
      </x:c>
      <x:c r="Q1323" t="n">
        <x:f>ROUND(INDEX(Catalogue!E$4:E$85,MATCH(A1323,Catalogue!A$4:A$85,0))*(1+'Paramètres'!$B$4*(C1323-1)+'Paramètres'!$B$5*(C1323-1)^2),0)</x:f>
        <x:v>27</x:v>
      </x:c>
      <x:c r="R1323" t="n">
        <x:f>ROUND(INDEX(Catalogue!F$4:F$85,MATCH(A1323,Catalogue!A$4:A$85,0))*(1+'Paramètres'!$B$4*(C1323-1)+'Paramètres'!$B$5*(C1323-1)^2),0)</x:f>
        <x:v>53</x:v>
      </x:c>
      <x:c r="S1323" t="n">
        <x:f>L1323-AVERAGE(Q1323:R1323)</x:f>
        <x:v>0.5</x:v>
      </x:c>
      <x:c r="T1323" t="str">
        <x:f>IF(M1323=0,IF(AND(N1323=0,O1323=0,E1323=0,F1323=0),"OK","ERREUR"),IF(AND(M1323&gt;=1,M1323&lt;=32,OR(N1323=4,N1323=6,N1323=8,N1323=10,N1323=12,N1323=20),O1323&gt;=0,E1323=M1323+O1323,F1323=M1323*N1323+O1323),"OK","ERREUR"))</x:f>
        <x:v>OK</x:v>
      </x:c>
      <x:c r="U1323" s="86" t="n">
        <x:f>IF(M1323&gt;0,M1323*(N1323+1)/2+O1323,0)</x:f>
        <x:v>40.5</x:v>
      </x:c>
      <x:c r="V1323" t="str">
        <x:f>IF(ABS(L1323-U1323)&lt;0.001,"OK","ERREUR")</x:f>
        <x:v>OK</x:v>
      </x:c>
    </x:row>
    <x:row r="1324" ht="18" customHeight="1">
      <x:c r="A1324" t="str">
        <x:v>ARM067</x:v>
      </x:c>
      <x:c r="B1324" t="str">
        <x:v>Bâton élémentaire</x:v>
      </x:c>
      <x:c r="C1324" t="n">
        <x:v>1</x:v>
      </x:c>
      <x:c r="D1324" t="str">
        <x:v>Focaliseurs</x:v>
      </x:c>
      <x:c r="E1324" s="28" t="n">
        <x:f>IF(M1324=0,0,M1324+O1324)</x:f>
        <x:v>4</x:v>
      </x:c>
      <x:c r="F1324" s="28" t="n">
        <x:f>IF(M1324=0,0,M1324*N1324+O1324)</x:f>
        <x:v>7</x:v>
      </x:c>
      <x:c r="G1324" s="28" t="n">
        <x:f>ROUND(Catalogue!G70*SQRT((1+'Paramètres'!$B$4*(C1324-1)+'Paramètres'!$B$5*(C1324-1)^2)),0)</x:f>
        <x:v>0</x:v>
      </x:c>
      <x:c r="H1324" s="28" t="n">
        <x:f>ROUND(Catalogue!H70*SQRT((1+'Paramètres'!$B$4*(C1324-1)+'Paramètres'!$B$5*(C1324-1)^2)),0)</x:f>
        <x:v>0</x:v>
      </x:c>
      <x:c r="I1324" s="28" t="n">
        <x:v>2</x:v>
      </x:c>
      <x:c r="J1324" s="28" t="n">
        <x:v>4</x:v>
      </x:c>
      <x:c r="K1324" s="30" t="n">
        <x:v>1.8</x:v>
      </x:c>
      <x:c r="L1324" s="54" t="n">
        <x:f>IF(M1324=0,0,(E1324+F1324)/2)</x:f>
        <x:v>5.5</x:v>
      </x:c>
      <x:c r="M1324" t="n">
        <x:v>1</x:v>
      </x:c>
      <x:c r="N1324" t="n">
        <x:v>4</x:v>
      </x:c>
      <x:c r="O1324" t="n">
        <x:v>3</x:v>
      </x:c>
      <x:c r="P1324" s="63" t="str">
        <x:f>IF(M1324=0,"—",M1324&amp;"d"&amp;N1324&amp;IF(O1324=0,""," + "&amp;O1324))</x:f>
        <x:v>1d4 + 3</x:v>
      </x:c>
      <x:c r="Q1324" t="n">
        <x:f>ROUND(INDEX(Catalogue!E$4:E$85,MATCH(A1324,Catalogue!A$4:A$85,0))*(1+'Paramètres'!$B$4*(C1324-1)+'Paramètres'!$B$5*(C1324-1)^2),0)</x:f>
        <x:v>4</x:v>
      </x:c>
      <x:c r="R1324" t="n">
        <x:f>ROUND(INDEX(Catalogue!F$4:F$85,MATCH(A1324,Catalogue!A$4:A$85,0))*(1+'Paramètres'!$B$4*(C1324-1)+'Paramètres'!$B$5*(C1324-1)^2),0)</x:f>
        <x:v>7</x:v>
      </x:c>
      <x:c r="S1324" t="n">
        <x:f>L1324-AVERAGE(Q1324:R1324)</x:f>
        <x:v>0</x:v>
      </x:c>
      <x:c r="T1324" t="str">
        <x:f>IF(M1324=0,IF(AND(N1324=0,O1324=0,E1324=0,F1324=0),"OK","ERREUR"),IF(AND(M1324&gt;=1,M1324&lt;=32,OR(N1324=4,N1324=6,N1324=8,N1324=10,N1324=12,N1324=20),O1324&gt;=0,E1324=M1324+O1324,F1324=M1324*N1324+O1324),"OK","ERREUR"))</x:f>
        <x:v>OK</x:v>
      </x:c>
      <x:c r="U1324" s="86" t="n">
        <x:f>IF(M1324&gt;0,M1324*(N1324+1)/2+O1324,0)</x:f>
        <x:v>5.5</x:v>
      </x:c>
      <x:c r="V1324" t="str">
        <x:f>IF(ABS(L1324-U1324)&lt;0.001,"OK","ERREUR")</x:f>
        <x:v>OK</x:v>
      </x:c>
    </x:row>
    <x:row r="1325" ht="18" customHeight="1">
      <x:c r="A1325" t="str">
        <x:v>ARM067</x:v>
      </x:c>
      <x:c r="B1325" t="str">
        <x:v>Bâton élémentaire</x:v>
      </x:c>
      <x:c r="C1325" t="n">
        <x:v>2</x:v>
      </x:c>
      <x:c r="D1325" t="str">
        <x:v>Focaliseurs</x:v>
      </x:c>
      <x:c r="E1325" s="28" t="n">
        <x:f>IF(M1325=0,0,M1325+O1325)</x:f>
        <x:v>5</x:v>
      </x:c>
      <x:c r="F1325" s="28" t="n">
        <x:f>IF(M1325=0,0,M1325*N1325+O1325)</x:f>
        <x:v>8</x:v>
      </x:c>
      <x:c r="G1325" s="28" t="n">
        <x:f>ROUND(Catalogue!G70*SQRT((1+'Paramètres'!$B$4*(C1325-1)+'Paramètres'!$B$5*(C1325-1)^2)),0)</x:f>
        <x:v>0</x:v>
      </x:c>
      <x:c r="H1325" s="28" t="n">
        <x:f>ROUND(Catalogue!H70*SQRT((1+'Paramètres'!$B$4*(C1325-1)+'Paramètres'!$B$5*(C1325-1)^2)),0)</x:f>
        <x:v>0</x:v>
      </x:c>
      <x:c r="I1325" s="28" t="n">
        <x:v>2</x:v>
      </x:c>
      <x:c r="J1325" s="28" t="n">
        <x:v>4</x:v>
      </x:c>
      <x:c r="K1325" s="30" t="n">
        <x:v>1.8</x:v>
      </x:c>
      <x:c r="L1325" s="54" t="n">
        <x:f>IF(M1325=0,0,(E1325+F1325)/2)</x:f>
        <x:v>6.5</x:v>
      </x:c>
      <x:c r="M1325" t="n">
        <x:v>1</x:v>
      </x:c>
      <x:c r="N1325" t="n">
        <x:v>4</x:v>
      </x:c>
      <x:c r="O1325" t="n">
        <x:v>4</x:v>
      </x:c>
      <x:c r="P1325" s="63" t="str">
        <x:f>IF(M1325=0,"—",M1325&amp;"d"&amp;N1325&amp;IF(O1325=0,""," + "&amp;O1325))</x:f>
        <x:v>1d4 + 4</x:v>
      </x:c>
      <x:c r="Q1325" t="n">
        <x:f>ROUND(INDEX(Catalogue!E$4:E$85,MATCH(A1325,Catalogue!A$4:A$85,0))*(1+'Paramètres'!$B$4*(C1325-1)+'Paramètres'!$B$5*(C1325-1)^2),0)</x:f>
        <x:v>5</x:v>
      </x:c>
      <x:c r="R1325" t="n">
        <x:f>ROUND(INDEX(Catalogue!F$4:F$85,MATCH(A1325,Catalogue!A$4:A$85,0))*(1+'Paramètres'!$B$4*(C1325-1)+'Paramètres'!$B$5*(C1325-1)^2),0)</x:f>
        <x:v>8</x:v>
      </x:c>
      <x:c r="S1325" t="n">
        <x:f>L1325-AVERAGE(Q1325:R1325)</x:f>
        <x:v>0</x:v>
      </x:c>
      <x:c r="T1325" t="str">
        <x:f>IF(M1325=0,IF(AND(N1325=0,O1325=0,E1325=0,F1325=0),"OK","ERREUR"),IF(AND(M1325&gt;=1,M1325&lt;=32,OR(N1325=4,N1325=6,N1325=8,N1325=10,N1325=12,N1325=20),O1325&gt;=0,E1325=M1325+O1325,F1325=M1325*N1325+O1325),"OK","ERREUR"))</x:f>
        <x:v>OK</x:v>
      </x:c>
      <x:c r="U1325" s="86" t="n">
        <x:f>IF(M1325&gt;0,M1325*(N1325+1)/2+O1325,0)</x:f>
        <x:v>6.5</x:v>
      </x:c>
      <x:c r="V1325" t="str">
        <x:f>IF(ABS(L1325-U1325)&lt;0.001,"OK","ERREUR")</x:f>
        <x:v>OK</x:v>
      </x:c>
    </x:row>
    <x:row r="1326" ht="18" customHeight="1">
      <x:c r="A1326" t="str">
        <x:v>ARM067</x:v>
      </x:c>
      <x:c r="B1326" t="str">
        <x:v>Bâton élémentaire</x:v>
      </x:c>
      <x:c r="C1326" t="n">
        <x:v>3</x:v>
      </x:c>
      <x:c r="D1326" t="str">
        <x:v>Focaliseurs</x:v>
      </x:c>
      <x:c r="E1326" s="28" t="n">
        <x:f>IF(M1326=0,0,M1326+O1326)</x:f>
        <x:v>5</x:v>
      </x:c>
      <x:c r="F1326" s="28" t="n">
        <x:f>IF(M1326=0,0,M1326*N1326+O1326)</x:f>
        <x:v>8</x:v>
      </x:c>
      <x:c r="G1326" s="28" t="n">
        <x:f>ROUND(Catalogue!G70*SQRT((1+'Paramètres'!$B$4*(C1326-1)+'Paramètres'!$B$5*(C1326-1)^2)),0)</x:f>
        <x:v>0</x:v>
      </x:c>
      <x:c r="H1326" s="28" t="n">
        <x:f>ROUND(Catalogue!H70*SQRT((1+'Paramètres'!$B$4*(C1326-1)+'Paramètres'!$B$5*(C1326-1)^2)),0)</x:f>
        <x:v>0</x:v>
      </x:c>
      <x:c r="I1326" s="28" t="n">
        <x:v>2</x:v>
      </x:c>
      <x:c r="J1326" s="28" t="n">
        <x:v>4</x:v>
      </x:c>
      <x:c r="K1326" s="30" t="n">
        <x:v>1.8</x:v>
      </x:c>
      <x:c r="L1326" s="54" t="n">
        <x:f>IF(M1326=0,0,(E1326+F1326)/2)</x:f>
        <x:v>6.5</x:v>
      </x:c>
      <x:c r="M1326" t="n">
        <x:v>1</x:v>
      </x:c>
      <x:c r="N1326" t="n">
        <x:v>4</x:v>
      </x:c>
      <x:c r="O1326" t="n">
        <x:v>4</x:v>
      </x:c>
      <x:c r="P1326" s="63" t="str">
        <x:f>IF(M1326=0,"—",M1326&amp;"d"&amp;N1326&amp;IF(O1326=0,""," + "&amp;O1326))</x:f>
        <x:v>1d4 + 4</x:v>
      </x:c>
      <x:c r="Q1326" t="n">
        <x:f>ROUND(INDEX(Catalogue!E$4:E$85,MATCH(A1326,Catalogue!A$4:A$85,0))*(1+'Paramètres'!$B$4*(C1326-1)+'Paramètres'!$B$5*(C1326-1)^2),0)</x:f>
        <x:v>5</x:v>
      </x:c>
      <x:c r="R1326" t="n">
        <x:f>ROUND(INDEX(Catalogue!F$4:F$85,MATCH(A1326,Catalogue!A$4:A$85,0))*(1+'Paramètres'!$B$4*(C1326-1)+'Paramètres'!$B$5*(C1326-1)^2),0)</x:f>
        <x:v>9</x:v>
      </x:c>
      <x:c r="S1326" t="n">
        <x:f>L1326-AVERAGE(Q1326:R1326)</x:f>
        <x:v>-0.5</x:v>
      </x:c>
      <x:c r="T1326" t="str">
        <x:f>IF(M1326=0,IF(AND(N1326=0,O1326=0,E1326=0,F1326=0),"OK","ERREUR"),IF(AND(M1326&gt;=1,M1326&lt;=32,OR(N1326=4,N1326=6,N1326=8,N1326=10,N1326=12,N1326=20),O1326&gt;=0,E1326=M1326+O1326,F1326=M1326*N1326+O1326),"OK","ERREUR"))</x:f>
        <x:v>OK</x:v>
      </x:c>
      <x:c r="U1326" s="86" t="n">
        <x:f>IF(M1326&gt;0,M1326*(N1326+1)/2+O1326,0)</x:f>
        <x:v>6.5</x:v>
      </x:c>
      <x:c r="V1326" t="str">
        <x:f>IF(ABS(L1326-U1326)&lt;0.001,"OK","ERREUR")</x:f>
        <x:v>OK</x:v>
      </x:c>
    </x:row>
    <x:row r="1327" ht="18" customHeight="1">
      <x:c r="A1327" t="str">
        <x:v>ARM067</x:v>
      </x:c>
      <x:c r="B1327" t="str">
        <x:v>Bâton élémentaire</x:v>
      </x:c>
      <x:c r="C1327" t="n">
        <x:v>4</x:v>
      </x:c>
      <x:c r="D1327" t="str">
        <x:v>Focaliseurs</x:v>
      </x:c>
      <x:c r="E1327" s="28" t="n">
        <x:f>IF(M1327=0,0,M1327+O1327)</x:f>
        <x:v>6</x:v>
      </x:c>
      <x:c r="F1327" s="28" t="n">
        <x:f>IF(M1327=0,0,M1327*N1327+O1327)</x:f>
        <x:v>9</x:v>
      </x:c>
      <x:c r="G1327" s="28" t="n">
        <x:f>ROUND(Catalogue!G70*SQRT((1+'Paramètres'!$B$4*(C1327-1)+'Paramètres'!$B$5*(C1327-1)^2)),0)</x:f>
        <x:v>0</x:v>
      </x:c>
      <x:c r="H1327" s="28" t="n">
        <x:f>ROUND(Catalogue!H70*SQRT((1+'Paramètres'!$B$4*(C1327-1)+'Paramètres'!$B$5*(C1327-1)^2)),0)</x:f>
        <x:v>0</x:v>
      </x:c>
      <x:c r="I1327" s="28" t="n">
        <x:v>2</x:v>
      </x:c>
      <x:c r="J1327" s="28" t="n">
        <x:v>4</x:v>
      </x:c>
      <x:c r="K1327" s="30" t="n">
        <x:v>1.8</x:v>
      </x:c>
      <x:c r="L1327" s="54" t="n">
        <x:f>IF(M1327=0,0,(E1327+F1327)/2)</x:f>
        <x:v>7.5</x:v>
      </x:c>
      <x:c r="M1327" t="n">
        <x:v>1</x:v>
      </x:c>
      <x:c r="N1327" t="n">
        <x:v>4</x:v>
      </x:c>
      <x:c r="O1327" t="n">
        <x:v>5</x:v>
      </x:c>
      <x:c r="P1327" s="63" t="str">
        <x:f>IF(M1327=0,"—",M1327&amp;"d"&amp;N1327&amp;IF(O1327=0,""," + "&amp;O1327))</x:f>
        <x:v>1d4 + 5</x:v>
      </x:c>
      <x:c r="Q1327" t="n">
        <x:f>ROUND(INDEX(Catalogue!E$4:E$85,MATCH(A1327,Catalogue!A$4:A$85,0))*(1+'Paramètres'!$B$4*(C1327-1)+'Paramètres'!$B$5*(C1327-1)^2),0)</x:f>
        <x:v>6</x:v>
      </x:c>
      <x:c r="R1327" t="n">
        <x:f>ROUND(INDEX(Catalogue!F$4:F$85,MATCH(A1327,Catalogue!A$4:A$85,0))*(1+'Paramètres'!$B$4*(C1327-1)+'Paramètres'!$B$5*(C1327-1)^2),0)</x:f>
        <x:v>10</x:v>
      </x:c>
      <x:c r="S1327" t="n">
        <x:f>L1327-AVERAGE(Q1327:R1327)</x:f>
        <x:v>-0.5</x:v>
      </x:c>
      <x:c r="T1327" t="str">
        <x:f>IF(M1327=0,IF(AND(N1327=0,O1327=0,E1327=0,F1327=0),"OK","ERREUR"),IF(AND(M1327&gt;=1,M1327&lt;=32,OR(N1327=4,N1327=6,N1327=8,N1327=10,N1327=12,N1327=20),O1327&gt;=0,E1327=M1327+O1327,F1327=M1327*N1327+O1327),"OK","ERREUR"))</x:f>
        <x:v>OK</x:v>
      </x:c>
      <x:c r="U1327" s="86" t="n">
        <x:f>IF(M1327&gt;0,M1327*(N1327+1)/2+O1327,0)</x:f>
        <x:v>7.5</x:v>
      </x:c>
      <x:c r="V1327" t="str">
        <x:f>IF(ABS(L1327-U1327)&lt;0.001,"OK","ERREUR")</x:f>
        <x:v>OK</x:v>
      </x:c>
    </x:row>
    <x:row r="1328" ht="18" customHeight="1">
      <x:c r="A1328" t="str">
        <x:v>ARM067</x:v>
      </x:c>
      <x:c r="B1328" t="str">
        <x:v>Bâton élémentaire</x:v>
      </x:c>
      <x:c r="C1328" t="n">
        <x:v>5</x:v>
      </x:c>
      <x:c r="D1328" t="str">
        <x:v>Focaliseurs</x:v>
      </x:c>
      <x:c r="E1328" s="28" t="n">
        <x:f>IF(M1328=0,0,M1328+O1328)</x:f>
        <x:v>7</x:v>
      </x:c>
      <x:c r="F1328" s="28" t="n">
        <x:f>IF(M1328=0,0,M1328*N1328+O1328)</x:f>
        <x:v>12</x:v>
      </x:c>
      <x:c r="G1328" s="28" t="n">
        <x:f>ROUND(Catalogue!G70*SQRT((1+'Paramètres'!$B$4*(C1328-1)+'Paramètres'!$B$5*(C1328-1)^2)),0)</x:f>
        <x:v>0</x:v>
      </x:c>
      <x:c r="H1328" s="28" t="n">
        <x:f>ROUND(Catalogue!H70*SQRT((1+'Paramètres'!$B$4*(C1328-1)+'Paramètres'!$B$5*(C1328-1)^2)),0)</x:f>
        <x:v>0</x:v>
      </x:c>
      <x:c r="I1328" s="28" t="n">
        <x:v>2</x:v>
      </x:c>
      <x:c r="J1328" s="28" t="n">
        <x:v>4</x:v>
      </x:c>
      <x:c r="K1328" s="30" t="n">
        <x:v>1.8</x:v>
      </x:c>
      <x:c r="L1328" s="54" t="n">
        <x:f>IF(M1328=0,0,(E1328+F1328)/2)</x:f>
        <x:v>9.5</x:v>
      </x:c>
      <x:c r="M1328" t="n">
        <x:v>1</x:v>
      </x:c>
      <x:c r="N1328" t="n">
        <x:v>6</x:v>
      </x:c>
      <x:c r="O1328" t="n">
        <x:v>6</x:v>
      </x:c>
      <x:c r="P1328" s="63" t="str">
        <x:f>IF(M1328=0,"—",M1328&amp;"d"&amp;N1328&amp;IF(O1328=0,""," + "&amp;O1328))</x:f>
        <x:v>1d6 + 6</x:v>
      </x:c>
      <x:c r="Q1328" t="n">
        <x:f>ROUND(INDEX(Catalogue!E$4:E$85,MATCH(A1328,Catalogue!A$4:A$85,0))*(1+'Paramètres'!$B$4*(C1328-1)+'Paramètres'!$B$5*(C1328-1)^2),0)</x:f>
        <x:v>7</x:v>
      </x:c>
      <x:c r="R1328" t="n">
        <x:f>ROUND(INDEX(Catalogue!F$4:F$85,MATCH(A1328,Catalogue!A$4:A$85,0))*(1+'Paramètres'!$B$4*(C1328-1)+'Paramètres'!$B$5*(C1328-1)^2),0)</x:f>
        <x:v>12</x:v>
      </x:c>
      <x:c r="S1328" t="n">
        <x:f>L1328-AVERAGE(Q1328:R1328)</x:f>
        <x:v>0</x:v>
      </x:c>
      <x:c r="T1328" t="str">
        <x:f>IF(M1328=0,IF(AND(N1328=0,O1328=0,E1328=0,F1328=0),"OK","ERREUR"),IF(AND(M1328&gt;=1,M1328&lt;=32,OR(N1328=4,N1328=6,N1328=8,N1328=10,N1328=12,N1328=20),O1328&gt;=0,E1328=M1328+O1328,F1328=M1328*N1328+O1328),"OK","ERREUR"))</x:f>
        <x:v>OK</x:v>
      </x:c>
      <x:c r="U1328" s="86" t="n">
        <x:f>IF(M1328&gt;0,M1328*(N1328+1)/2+O1328,0)</x:f>
        <x:v>9.5</x:v>
      </x:c>
      <x:c r="V1328" t="str">
        <x:f>IF(ABS(L1328-U1328)&lt;0.001,"OK","ERREUR")</x:f>
        <x:v>OK</x:v>
      </x:c>
    </x:row>
    <x:row r="1329" ht="18" customHeight="1">
      <x:c r="A1329" t="str">
        <x:v>ARM067</x:v>
      </x:c>
      <x:c r="B1329" t="str">
        <x:v>Bâton élémentaire</x:v>
      </x:c>
      <x:c r="C1329" t="n">
        <x:v>6</x:v>
      </x:c>
      <x:c r="D1329" t="str">
        <x:v>Focaliseurs</x:v>
      </x:c>
      <x:c r="E1329" s="28" t="n">
        <x:f>IF(M1329=0,0,M1329+O1329)</x:f>
        <x:v>8</x:v>
      </x:c>
      <x:c r="F1329" s="28" t="n">
        <x:f>IF(M1329=0,0,M1329*N1329+O1329)</x:f>
        <x:v>14</x:v>
      </x:c>
      <x:c r="G1329" s="28" t="n">
        <x:f>ROUND(Catalogue!G70*SQRT((1+'Paramètres'!$B$4*(C1329-1)+'Paramètres'!$B$5*(C1329-1)^2)),0)</x:f>
        <x:v>0</x:v>
      </x:c>
      <x:c r="H1329" s="28" t="n">
        <x:f>ROUND(Catalogue!H70*SQRT((1+'Paramètres'!$B$4*(C1329-1)+'Paramètres'!$B$5*(C1329-1)^2)),0)</x:f>
        <x:v>0</x:v>
      </x:c>
      <x:c r="I1329" s="28" t="n">
        <x:v>2</x:v>
      </x:c>
      <x:c r="J1329" s="28" t="n">
        <x:v>4</x:v>
      </x:c>
      <x:c r="K1329" s="30" t="n">
        <x:v>1.8</x:v>
      </x:c>
      <x:c r="L1329" s="54" t="n">
        <x:f>IF(M1329=0,0,(E1329+F1329)/2)</x:f>
        <x:v>11</x:v>
      </x:c>
      <x:c r="M1329" t="n">
        <x:v>2</x:v>
      </x:c>
      <x:c r="N1329" t="n">
        <x:v>4</x:v>
      </x:c>
      <x:c r="O1329" t="n">
        <x:v>6</x:v>
      </x:c>
      <x:c r="P1329" s="63" t="str">
        <x:f>IF(M1329=0,"—",M1329&amp;"d"&amp;N1329&amp;IF(O1329=0,""," + "&amp;O1329))</x:f>
        <x:v>2d4 + 6</x:v>
      </x:c>
      <x:c r="Q1329" t="n">
        <x:f>ROUND(INDEX(Catalogue!E$4:E$85,MATCH(A1329,Catalogue!A$4:A$85,0))*(1+'Paramètres'!$B$4*(C1329-1)+'Paramètres'!$B$5*(C1329-1)^2),0)</x:f>
        <x:v>8</x:v>
      </x:c>
      <x:c r="R1329" t="n">
        <x:f>ROUND(INDEX(Catalogue!F$4:F$85,MATCH(A1329,Catalogue!A$4:A$85,0))*(1+'Paramètres'!$B$4*(C1329-1)+'Paramètres'!$B$5*(C1329-1)^2),0)</x:f>
        <x:v>14</x:v>
      </x:c>
      <x:c r="S1329" t="n">
        <x:f>L1329-AVERAGE(Q1329:R1329)</x:f>
        <x:v>0</x:v>
      </x:c>
      <x:c r="T1329" t="str">
        <x:f>IF(M1329=0,IF(AND(N1329=0,O1329=0,E1329=0,F1329=0),"OK","ERREUR"),IF(AND(M1329&gt;=1,M1329&lt;=32,OR(N1329=4,N1329=6,N1329=8,N1329=10,N1329=12,N1329=20),O1329&gt;=0,E1329=M1329+O1329,F1329=M1329*N1329+O1329),"OK","ERREUR"))</x:f>
        <x:v>OK</x:v>
      </x:c>
      <x:c r="U1329" s="86" t="n">
        <x:f>IF(M1329&gt;0,M1329*(N1329+1)/2+O1329,0)</x:f>
        <x:v>11</x:v>
      </x:c>
      <x:c r="V1329" t="str">
        <x:f>IF(ABS(L1329-U1329)&lt;0.001,"OK","ERREUR")</x:f>
        <x:v>OK</x:v>
      </x:c>
    </x:row>
    <x:row r="1330" ht="18" customHeight="1">
      <x:c r="A1330" t="str">
        <x:v>ARM067</x:v>
      </x:c>
      <x:c r="B1330" t="str">
        <x:v>Bâton élémentaire</x:v>
      </x:c>
      <x:c r="C1330" t="n">
        <x:v>7</x:v>
      </x:c>
      <x:c r="D1330" t="str">
        <x:v>Focaliseurs</x:v>
      </x:c>
      <x:c r="E1330" s="28" t="n">
        <x:f>IF(M1330=0,0,M1330+O1330)</x:f>
        <x:v>9</x:v>
      </x:c>
      <x:c r="F1330" s="28" t="n">
        <x:f>IF(M1330=0,0,M1330*N1330+O1330)</x:f>
        <x:v>16</x:v>
      </x:c>
      <x:c r="G1330" s="28" t="n">
        <x:f>ROUND(Catalogue!G70*SQRT((1+'Paramètres'!$B$4*(C1330-1)+'Paramètres'!$B$5*(C1330-1)^2)),0)</x:f>
        <x:v>0</x:v>
      </x:c>
      <x:c r="H1330" s="28" t="n">
        <x:f>ROUND(Catalogue!H70*SQRT((1+'Paramètres'!$B$4*(C1330-1)+'Paramètres'!$B$5*(C1330-1)^2)),0)</x:f>
        <x:v>0</x:v>
      </x:c>
      <x:c r="I1330" s="28" t="n">
        <x:v>2</x:v>
      </x:c>
      <x:c r="J1330" s="28" t="n">
        <x:v>4</x:v>
      </x:c>
      <x:c r="K1330" s="30" t="n">
        <x:v>1.8</x:v>
      </x:c>
      <x:c r="L1330" s="54" t="n">
        <x:f>IF(M1330=0,0,(E1330+F1330)/2)</x:f>
        <x:v>12.5</x:v>
      </x:c>
      <x:c r="M1330" t="n">
        <x:v>1</x:v>
      </x:c>
      <x:c r="N1330" t="n">
        <x:v>8</x:v>
      </x:c>
      <x:c r="O1330" t="n">
        <x:v>8</x:v>
      </x:c>
      <x:c r="P1330" s="63" t="str">
        <x:f>IF(M1330=0,"—",M1330&amp;"d"&amp;N1330&amp;IF(O1330=0,""," + "&amp;O1330))</x:f>
        <x:v>1d8 + 8</x:v>
      </x:c>
      <x:c r="Q1330" t="n">
        <x:f>ROUND(INDEX(Catalogue!E$4:E$85,MATCH(A1330,Catalogue!A$4:A$85,0))*(1+'Paramètres'!$B$4*(C1330-1)+'Paramètres'!$B$5*(C1330-1)^2),0)</x:f>
        <x:v>9</x:v>
      </x:c>
      <x:c r="R1330" t="n">
        <x:f>ROUND(INDEX(Catalogue!F$4:F$85,MATCH(A1330,Catalogue!A$4:A$85,0))*(1+'Paramètres'!$B$4*(C1330-1)+'Paramètres'!$B$5*(C1330-1)^2),0)</x:f>
        <x:v>16</x:v>
      </x:c>
      <x:c r="S1330" t="n">
        <x:f>L1330-AVERAGE(Q1330:R1330)</x:f>
        <x:v>0</x:v>
      </x:c>
      <x:c r="T1330" t="str">
        <x:f>IF(M1330=0,IF(AND(N1330=0,O1330=0,E1330=0,F1330=0),"OK","ERREUR"),IF(AND(M1330&gt;=1,M1330&lt;=32,OR(N1330=4,N1330=6,N1330=8,N1330=10,N1330=12,N1330=20),O1330&gt;=0,E1330=M1330+O1330,F1330=M1330*N1330+O1330),"OK","ERREUR"))</x:f>
        <x:v>OK</x:v>
      </x:c>
      <x:c r="U1330" s="86" t="n">
        <x:f>IF(M1330&gt;0,M1330*(N1330+1)/2+O1330,0)</x:f>
        <x:v>12.5</x:v>
      </x:c>
      <x:c r="V1330" t="str">
        <x:f>IF(ABS(L1330-U1330)&lt;0.001,"OK","ERREUR")</x:f>
        <x:v>OK</x:v>
      </x:c>
    </x:row>
    <x:row r="1331" ht="18" customHeight="1">
      <x:c r="A1331" t="str">
        <x:v>ARM067</x:v>
      </x:c>
      <x:c r="B1331" t="str">
        <x:v>Bâton élémentaire</x:v>
      </x:c>
      <x:c r="C1331" t="n">
        <x:v>8</x:v>
      </x:c>
      <x:c r="D1331" t="str">
        <x:v>Focaliseurs</x:v>
      </x:c>
      <x:c r="E1331" s="28" t="n">
        <x:f>IF(M1331=0,0,M1331+O1331)</x:f>
        <x:v>9</x:v>
      </x:c>
      <x:c r="F1331" s="28" t="n">
        <x:f>IF(M1331=0,0,M1331*N1331+O1331)</x:f>
        <x:v>18</x:v>
      </x:c>
      <x:c r="G1331" s="28" t="n">
        <x:f>ROUND(Catalogue!G70*SQRT((1+'Paramètres'!$B$4*(C1331-1)+'Paramètres'!$B$5*(C1331-1)^2)),0)</x:f>
        <x:v>0</x:v>
      </x:c>
      <x:c r="H1331" s="28" t="n">
        <x:f>ROUND(Catalogue!H70*SQRT((1+'Paramètres'!$B$4*(C1331-1)+'Paramètres'!$B$5*(C1331-1)^2)),0)</x:f>
        <x:v>0</x:v>
      </x:c>
      <x:c r="I1331" s="28" t="n">
        <x:v>2</x:v>
      </x:c>
      <x:c r="J1331" s="28" t="n">
        <x:v>4</x:v>
      </x:c>
      <x:c r="K1331" s="30" t="n">
        <x:v>1.8</x:v>
      </x:c>
      <x:c r="L1331" s="54" t="n">
        <x:f>IF(M1331=0,0,(E1331+F1331)/2)</x:f>
        <x:v>13.5</x:v>
      </x:c>
      <x:c r="M1331" t="n">
        <x:v>3</x:v>
      </x:c>
      <x:c r="N1331" t="n">
        <x:v>4</x:v>
      </x:c>
      <x:c r="O1331" t="n">
        <x:v>6</x:v>
      </x:c>
      <x:c r="P1331" s="63" t="str">
        <x:f>IF(M1331=0,"—",M1331&amp;"d"&amp;N1331&amp;IF(O1331=0,""," + "&amp;O1331))</x:f>
        <x:v>3d4 + 6</x:v>
      </x:c>
      <x:c r="Q1331" t="n">
        <x:f>ROUND(INDEX(Catalogue!E$4:E$85,MATCH(A1331,Catalogue!A$4:A$85,0))*(1+'Paramètres'!$B$4*(C1331-1)+'Paramètres'!$B$5*(C1331-1)^2),0)</x:f>
        <x:v>10</x:v>
      </x:c>
      <x:c r="R1331" t="n">
        <x:f>ROUND(INDEX(Catalogue!F$4:F$85,MATCH(A1331,Catalogue!A$4:A$85,0))*(1+'Paramètres'!$B$4*(C1331-1)+'Paramètres'!$B$5*(C1331-1)^2),0)</x:f>
        <x:v>18</x:v>
      </x:c>
      <x:c r="S1331" t="n">
        <x:f>L1331-AVERAGE(Q1331:R1331)</x:f>
        <x:v>-0.5</x:v>
      </x:c>
      <x:c r="T1331" t="str">
        <x:f>IF(M1331=0,IF(AND(N1331=0,O1331=0,E1331=0,F1331=0),"OK","ERREUR"),IF(AND(M1331&gt;=1,M1331&lt;=32,OR(N1331=4,N1331=6,N1331=8,N1331=10,N1331=12,N1331=20),O1331&gt;=0,E1331=M1331+O1331,F1331=M1331*N1331+O1331),"OK","ERREUR"))</x:f>
        <x:v>OK</x:v>
      </x:c>
      <x:c r="U1331" s="86" t="n">
        <x:f>IF(M1331&gt;0,M1331*(N1331+1)/2+O1331,0)</x:f>
        <x:v>13.5</x:v>
      </x:c>
      <x:c r="V1331" t="str">
        <x:f>IF(ABS(L1331-U1331)&lt;0.001,"OK","ERREUR")</x:f>
        <x:v>OK</x:v>
      </x:c>
    </x:row>
    <x:row r="1332" ht="18" customHeight="1">
      <x:c r="A1332" t="str">
        <x:v>ARM067</x:v>
      </x:c>
      <x:c r="B1332" t="str">
        <x:v>Bâton élémentaire</x:v>
      </x:c>
      <x:c r="C1332" t="n">
        <x:v>9</x:v>
      </x:c>
      <x:c r="D1332" t="str">
        <x:v>Focaliseurs</x:v>
      </x:c>
      <x:c r="E1332" s="28" t="n">
        <x:f>IF(M1332=0,0,M1332+O1332)</x:f>
        <x:v>11</x:v>
      </x:c>
      <x:c r="F1332" s="28" t="n">
        <x:f>IF(M1332=0,0,M1332*N1332+O1332)</x:f>
        <x:v>20</x:v>
      </x:c>
      <x:c r="G1332" s="28" t="n">
        <x:f>ROUND(Catalogue!G70*SQRT((1+'Paramètres'!$B$4*(C1332-1)+'Paramètres'!$B$5*(C1332-1)^2)),0)</x:f>
        <x:v>0</x:v>
      </x:c>
      <x:c r="H1332" s="28" t="n">
        <x:f>ROUND(Catalogue!H70*SQRT((1+'Paramètres'!$B$4*(C1332-1)+'Paramètres'!$B$5*(C1332-1)^2)),0)</x:f>
        <x:v>0</x:v>
      </x:c>
      <x:c r="I1332" s="28" t="n">
        <x:v>2</x:v>
      </x:c>
      <x:c r="J1332" s="28" t="n">
        <x:v>4</x:v>
      </x:c>
      <x:c r="K1332" s="30" t="n">
        <x:v>1.8</x:v>
      </x:c>
      <x:c r="L1332" s="54" t="n">
        <x:f>IF(M1332=0,0,(E1332+F1332)/2)</x:f>
        <x:v>15.5</x:v>
      </x:c>
      <x:c r="M1332" t="n">
        <x:v>3</x:v>
      </x:c>
      <x:c r="N1332" t="n">
        <x:v>4</x:v>
      </x:c>
      <x:c r="O1332" t="n">
        <x:v>8</x:v>
      </x:c>
      <x:c r="P1332" s="63" t="str">
        <x:f>IF(M1332=0,"—",M1332&amp;"d"&amp;N1332&amp;IF(O1332=0,""," + "&amp;O1332))</x:f>
        <x:v>3d4 + 8</x:v>
      </x:c>
      <x:c r="Q1332" t="n">
        <x:f>ROUND(INDEX(Catalogue!E$4:E$85,MATCH(A1332,Catalogue!A$4:A$85,0))*(1+'Paramètres'!$B$4*(C1332-1)+'Paramètres'!$B$5*(C1332-1)^2),0)</x:f>
        <x:v>12</x:v>
      </x:c>
      <x:c r="R1332" t="n">
        <x:f>ROUND(INDEX(Catalogue!F$4:F$85,MATCH(A1332,Catalogue!A$4:A$85,0))*(1+'Paramètres'!$B$4*(C1332-1)+'Paramètres'!$B$5*(C1332-1)^2),0)</x:f>
        <x:v>20</x:v>
      </x:c>
      <x:c r="S1332" t="n">
        <x:f>L1332-AVERAGE(Q1332:R1332)</x:f>
        <x:v>-0.5</x:v>
      </x:c>
      <x:c r="T1332" t="str">
        <x:f>IF(M1332=0,IF(AND(N1332=0,O1332=0,E1332=0,F1332=0),"OK","ERREUR"),IF(AND(M1332&gt;=1,M1332&lt;=32,OR(N1332=4,N1332=6,N1332=8,N1332=10,N1332=12,N1332=20),O1332&gt;=0,E1332=M1332+O1332,F1332=M1332*N1332+O1332),"OK","ERREUR"))</x:f>
        <x:v>OK</x:v>
      </x:c>
      <x:c r="U1332" s="86" t="n">
        <x:f>IF(M1332&gt;0,M1332*(N1332+1)/2+O1332,0)</x:f>
        <x:v>15.5</x:v>
      </x:c>
      <x:c r="V1332" t="str">
        <x:f>IF(ABS(L1332-U1332)&lt;0.001,"OK","ERREUR")</x:f>
        <x:v>OK</x:v>
      </x:c>
    </x:row>
    <x:row r="1333" ht="18" customHeight="1">
      <x:c r="A1333" t="str">
        <x:v>ARM067</x:v>
      </x:c>
      <x:c r="B1333" t="str">
        <x:v>Bâton élémentaire</x:v>
      </x:c>
      <x:c r="C1333" t="n">
        <x:v>10</x:v>
      </x:c>
      <x:c r="D1333" t="str">
        <x:v>Focaliseurs</x:v>
      </x:c>
      <x:c r="E1333" s="28" t="n">
        <x:f>IF(M1333=0,0,M1333+O1333)</x:f>
        <x:v>13</x:v>
      </x:c>
      <x:c r="F1333" s="28" t="n">
        <x:f>IF(M1333=0,0,M1333*N1333+O1333)</x:f>
        <x:v>23</x:v>
      </x:c>
      <x:c r="G1333" s="28" t="n">
        <x:f>ROUND(Catalogue!G70*SQRT((1+'Paramètres'!$B$4*(C1333-1)+'Paramètres'!$B$5*(C1333-1)^2)),0)</x:f>
        <x:v>0</x:v>
      </x:c>
      <x:c r="H1333" s="28" t="n">
        <x:f>ROUND(Catalogue!H70*SQRT((1+'Paramètres'!$B$4*(C1333-1)+'Paramètres'!$B$5*(C1333-1)^2)),0)</x:f>
        <x:v>0</x:v>
      </x:c>
      <x:c r="I1333" s="28" t="n">
        <x:v>2</x:v>
      </x:c>
      <x:c r="J1333" s="28" t="n">
        <x:v>4</x:v>
      </x:c>
      <x:c r="K1333" s="30" t="n">
        <x:v>1.8</x:v>
      </x:c>
      <x:c r="L1333" s="54" t="n">
        <x:f>IF(M1333=0,0,(E1333+F1333)/2)</x:f>
        <x:v>18</x:v>
      </x:c>
      <x:c r="M1333" t="n">
        <x:v>2</x:v>
      </x:c>
      <x:c r="N1333" t="n">
        <x:v>6</x:v>
      </x:c>
      <x:c r="O1333" t="n">
        <x:v>11</x:v>
      </x:c>
      <x:c r="P1333" s="63" t="str">
        <x:f>IF(M1333=0,"—",M1333&amp;"d"&amp;N1333&amp;IF(O1333=0,""," + "&amp;O1333))</x:f>
        <x:v>2d6 + 11</x:v>
      </x:c>
      <x:c r="Q1333" t="n">
        <x:f>ROUND(INDEX(Catalogue!E$4:E$85,MATCH(A1333,Catalogue!A$4:A$85,0))*(1+'Paramètres'!$B$4*(C1333-1)+'Paramètres'!$B$5*(C1333-1)^2),0)</x:f>
        <x:v>13</x:v>
      </x:c>
      <x:c r="R1333" t="n">
        <x:f>ROUND(INDEX(Catalogue!F$4:F$85,MATCH(A1333,Catalogue!A$4:A$85,0))*(1+'Paramètres'!$B$4*(C1333-1)+'Paramètres'!$B$5*(C1333-1)^2),0)</x:f>
        <x:v>23</x:v>
      </x:c>
      <x:c r="S1333" t="n">
        <x:f>L1333-AVERAGE(Q1333:R1333)</x:f>
        <x:v>0</x:v>
      </x:c>
      <x:c r="T1333" t="str">
        <x:f>IF(M1333=0,IF(AND(N1333=0,O1333=0,E1333=0,F1333=0),"OK","ERREUR"),IF(AND(M1333&gt;=1,M1333&lt;=32,OR(N1333=4,N1333=6,N1333=8,N1333=10,N1333=12,N1333=20),O1333&gt;=0,E1333=M1333+O1333,F1333=M1333*N1333+O1333),"OK","ERREUR"))</x:f>
        <x:v>OK</x:v>
      </x:c>
      <x:c r="U1333" s="86" t="n">
        <x:f>IF(M1333&gt;0,M1333*(N1333+1)/2+O1333,0)</x:f>
        <x:v>18</x:v>
      </x:c>
      <x:c r="V1333" t="str">
        <x:f>IF(ABS(L1333-U1333)&lt;0.001,"OK","ERREUR")</x:f>
        <x:v>OK</x:v>
      </x:c>
    </x:row>
    <x:row r="1334" ht="18" customHeight="1">
      <x:c r="A1334" t="str">
        <x:v>ARM067</x:v>
      </x:c>
      <x:c r="B1334" t="str">
        <x:v>Bâton élémentaire</x:v>
      </x:c>
      <x:c r="C1334" t="n">
        <x:v>11</x:v>
      </x:c>
      <x:c r="D1334" t="str">
        <x:v>Focaliseurs</x:v>
      </x:c>
      <x:c r="E1334" s="28" t="n">
        <x:f>IF(M1334=0,0,M1334+O1334)</x:f>
        <x:v>15</x:v>
      </x:c>
      <x:c r="F1334" s="28" t="n">
        <x:f>IF(M1334=0,0,M1334*N1334+O1334)</x:f>
        <x:v>26</x:v>
      </x:c>
      <x:c r="G1334" s="28" t="n">
        <x:f>ROUND(Catalogue!G70*SQRT((1+'Paramètres'!$B$4*(C1334-1)+'Paramètres'!$B$5*(C1334-1)^2)),0)</x:f>
        <x:v>0</x:v>
      </x:c>
      <x:c r="H1334" s="28" t="n">
        <x:f>ROUND(Catalogue!H70*SQRT((1+'Paramètres'!$B$4*(C1334-1)+'Paramètres'!$B$5*(C1334-1)^2)),0)</x:f>
        <x:v>0</x:v>
      </x:c>
      <x:c r="I1334" s="28" t="n">
        <x:v>2</x:v>
      </x:c>
      <x:c r="J1334" s="28" t="n">
        <x:v>4</x:v>
      </x:c>
      <x:c r="K1334" s="30" t="n">
        <x:v>1.8</x:v>
      </x:c>
      <x:c r="L1334" s="54" t="n">
        <x:f>IF(M1334=0,0,(E1334+F1334)/2)</x:f>
        <x:v>20.5</x:v>
      </x:c>
      <x:c r="M1334" t="n">
        <x:v>1</x:v>
      </x:c>
      <x:c r="N1334" t="n">
        <x:v>12</x:v>
      </x:c>
      <x:c r="O1334" t="n">
        <x:v>14</x:v>
      </x:c>
      <x:c r="P1334" s="63" t="str">
        <x:f>IF(M1334=0,"—",M1334&amp;"d"&amp;N1334&amp;IF(O1334=0,""," + "&amp;O1334))</x:f>
        <x:v>1d12 + 14</x:v>
      </x:c>
      <x:c r="Q1334" t="n">
        <x:f>ROUND(INDEX(Catalogue!E$4:E$85,MATCH(A1334,Catalogue!A$4:A$85,0))*(1+'Paramètres'!$B$4*(C1334-1)+'Paramètres'!$B$5*(C1334-1)^2),0)</x:f>
        <x:v>15</x:v>
      </x:c>
      <x:c r="R1334" t="n">
        <x:f>ROUND(INDEX(Catalogue!F$4:F$85,MATCH(A1334,Catalogue!A$4:A$85,0))*(1+'Paramètres'!$B$4*(C1334-1)+'Paramètres'!$B$5*(C1334-1)^2),0)</x:f>
        <x:v>26</x:v>
      </x:c>
      <x:c r="S1334" t="n">
        <x:f>L1334-AVERAGE(Q1334:R1334)</x:f>
        <x:v>0</x:v>
      </x:c>
      <x:c r="T1334" t="str">
        <x:f>IF(M1334=0,IF(AND(N1334=0,O1334=0,E1334=0,F1334=0),"OK","ERREUR"),IF(AND(M1334&gt;=1,M1334&lt;=32,OR(N1334=4,N1334=6,N1334=8,N1334=10,N1334=12,N1334=20),O1334&gt;=0,E1334=M1334+O1334,F1334=M1334*N1334+O1334),"OK","ERREUR"))</x:f>
        <x:v>OK</x:v>
      </x:c>
      <x:c r="U1334" s="86" t="n">
        <x:f>IF(M1334&gt;0,M1334*(N1334+1)/2+O1334,0)</x:f>
        <x:v>20.5</x:v>
      </x:c>
      <x:c r="V1334" t="str">
        <x:f>IF(ABS(L1334-U1334)&lt;0.001,"OK","ERREUR")</x:f>
        <x:v>OK</x:v>
      </x:c>
    </x:row>
    <x:row r="1335" ht="18" customHeight="1">
      <x:c r="A1335" t="str">
        <x:v>ARM067</x:v>
      </x:c>
      <x:c r="B1335" t="str">
        <x:v>Bâton élémentaire</x:v>
      </x:c>
      <x:c r="C1335" t="n">
        <x:v>12</x:v>
      </x:c>
      <x:c r="D1335" t="str">
        <x:v>Focaliseurs</x:v>
      </x:c>
      <x:c r="E1335" s="28" t="n">
        <x:f>IF(M1335=0,0,M1335+O1335)</x:f>
        <x:v>17</x:v>
      </x:c>
      <x:c r="F1335" s="28" t="n">
        <x:f>IF(M1335=0,0,M1335*N1335+O1335)</x:f>
        <x:v>29</x:v>
      </x:c>
      <x:c r="G1335" s="28" t="n">
        <x:f>ROUND(Catalogue!G70*SQRT((1+'Paramètres'!$B$4*(C1335-1)+'Paramètres'!$B$5*(C1335-1)^2)),0)</x:f>
        <x:v>0</x:v>
      </x:c>
      <x:c r="H1335" s="28" t="n">
        <x:f>ROUND(Catalogue!H70*SQRT((1+'Paramètres'!$B$4*(C1335-1)+'Paramètres'!$B$5*(C1335-1)^2)),0)</x:f>
        <x:v>0</x:v>
      </x:c>
      <x:c r="I1335" s="28" t="n">
        <x:v>2</x:v>
      </x:c>
      <x:c r="J1335" s="28" t="n">
        <x:v>4</x:v>
      </x:c>
      <x:c r="K1335" s="30" t="n">
        <x:v>1.8</x:v>
      </x:c>
      <x:c r="L1335" s="54" t="n">
        <x:f>IF(M1335=0,0,(E1335+F1335)/2)</x:f>
        <x:v>23</x:v>
      </x:c>
      <x:c r="M1335" t="n">
        <x:v>4</x:v>
      </x:c>
      <x:c r="N1335" t="n">
        <x:v>4</x:v>
      </x:c>
      <x:c r="O1335" t="n">
        <x:v>13</x:v>
      </x:c>
      <x:c r="P1335" s="63" t="str">
        <x:f>IF(M1335=0,"—",M1335&amp;"d"&amp;N1335&amp;IF(O1335=0,""," + "&amp;O1335))</x:f>
        <x:v>4d4 + 13</x:v>
      </x:c>
      <x:c r="Q1335" t="n">
        <x:f>ROUND(INDEX(Catalogue!E$4:E$85,MATCH(A1335,Catalogue!A$4:A$85,0))*(1+'Paramètres'!$B$4*(C1335-1)+'Paramètres'!$B$5*(C1335-1)^2),0)</x:f>
        <x:v>17</x:v>
      </x:c>
      <x:c r="R1335" t="n">
        <x:f>ROUND(INDEX(Catalogue!F$4:F$85,MATCH(A1335,Catalogue!A$4:A$85,0))*(1+'Paramètres'!$B$4*(C1335-1)+'Paramètres'!$B$5*(C1335-1)^2),0)</x:f>
        <x:v>29</x:v>
      </x:c>
      <x:c r="S1335" t="n">
        <x:f>L1335-AVERAGE(Q1335:R1335)</x:f>
        <x:v>0</x:v>
      </x:c>
      <x:c r="T1335" t="str">
        <x:f>IF(M1335=0,IF(AND(N1335=0,O1335=0,E1335=0,F1335=0),"OK","ERREUR"),IF(AND(M1335&gt;=1,M1335&lt;=32,OR(N1335=4,N1335=6,N1335=8,N1335=10,N1335=12,N1335=20),O1335&gt;=0,E1335=M1335+O1335,F1335=M1335*N1335+O1335),"OK","ERREUR"))</x:f>
        <x:v>OK</x:v>
      </x:c>
      <x:c r="U1335" s="86" t="n">
        <x:f>IF(M1335&gt;0,M1335*(N1335+1)/2+O1335,0)</x:f>
        <x:v>23</x:v>
      </x:c>
      <x:c r="V1335" t="str">
        <x:f>IF(ABS(L1335-U1335)&lt;0.001,"OK","ERREUR")</x:f>
        <x:v>OK</x:v>
      </x:c>
    </x:row>
    <x:row r="1336" ht="18" customHeight="1">
      <x:c r="A1336" t="str">
        <x:v>ARM067</x:v>
      </x:c>
      <x:c r="B1336" t="str">
        <x:v>Bâton élémentaire</x:v>
      </x:c>
      <x:c r="C1336" t="n">
        <x:v>13</x:v>
      </x:c>
      <x:c r="D1336" t="str">
        <x:v>Focaliseurs</x:v>
      </x:c>
      <x:c r="E1336" s="28" t="n">
        <x:f>IF(M1336=0,0,M1336+O1336)</x:f>
        <x:v>18</x:v>
      </x:c>
      <x:c r="F1336" s="28" t="n">
        <x:f>IF(M1336=0,0,M1336*N1336+O1336)</x:f>
        <x:v>32</x:v>
      </x:c>
      <x:c r="G1336" s="28" t="n">
        <x:f>ROUND(Catalogue!G70*SQRT((1+'Paramètres'!$B$4*(C1336-1)+'Paramètres'!$B$5*(C1336-1)^2)),0)</x:f>
        <x:v>0</x:v>
      </x:c>
      <x:c r="H1336" s="28" t="n">
        <x:f>ROUND(Catalogue!H70*SQRT((1+'Paramètres'!$B$4*(C1336-1)+'Paramètres'!$B$5*(C1336-1)^2)),0)</x:f>
        <x:v>0</x:v>
      </x:c>
      <x:c r="I1336" s="28" t="n">
        <x:v>2</x:v>
      </x:c>
      <x:c r="J1336" s="28" t="n">
        <x:v>4</x:v>
      </x:c>
      <x:c r="K1336" s="30" t="n">
        <x:v>1.8</x:v>
      </x:c>
      <x:c r="L1336" s="54" t="n">
        <x:f>IF(M1336=0,0,(E1336+F1336)/2)</x:f>
        <x:v>25</x:v>
      </x:c>
      <x:c r="M1336" t="n">
        <x:v>2</x:v>
      </x:c>
      <x:c r="N1336" t="n">
        <x:v>8</x:v>
      </x:c>
      <x:c r="O1336" t="n">
        <x:v>16</x:v>
      </x:c>
      <x:c r="P1336" s="63" t="str">
        <x:f>IF(M1336=0,"—",M1336&amp;"d"&amp;N1336&amp;IF(O1336=0,""," + "&amp;O1336))</x:f>
        <x:v>2d8 + 16</x:v>
      </x:c>
      <x:c r="Q1336" t="n">
        <x:f>ROUND(INDEX(Catalogue!E$4:E$85,MATCH(A1336,Catalogue!A$4:A$85,0))*(1+'Paramètres'!$B$4*(C1336-1)+'Paramètres'!$B$5*(C1336-1)^2),0)</x:f>
        <x:v>18</x:v>
      </x:c>
      <x:c r="R1336" t="n">
        <x:f>ROUND(INDEX(Catalogue!F$4:F$85,MATCH(A1336,Catalogue!A$4:A$85,0))*(1+'Paramètres'!$B$4*(C1336-1)+'Paramètres'!$B$5*(C1336-1)^2),0)</x:f>
        <x:v>32</x:v>
      </x:c>
      <x:c r="S1336" t="n">
        <x:f>L1336-AVERAGE(Q1336:R1336)</x:f>
        <x:v>0</x:v>
      </x:c>
      <x:c r="T1336" t="str">
        <x:f>IF(M1336=0,IF(AND(N1336=0,O1336=0,E1336=0,F1336=0),"OK","ERREUR"),IF(AND(M1336&gt;=1,M1336&lt;=32,OR(N1336=4,N1336=6,N1336=8,N1336=10,N1336=12,N1336=20),O1336&gt;=0,E1336=M1336+O1336,F1336=M1336*N1336+O1336),"OK","ERREUR"))</x:f>
        <x:v>OK</x:v>
      </x:c>
      <x:c r="U1336" s="86" t="n">
        <x:f>IF(M1336&gt;0,M1336*(N1336+1)/2+O1336,0)</x:f>
        <x:v>25</x:v>
      </x:c>
      <x:c r="V1336" t="str">
        <x:f>IF(ABS(L1336-U1336)&lt;0.001,"OK","ERREUR")</x:f>
        <x:v>OK</x:v>
      </x:c>
    </x:row>
    <x:row r="1337" ht="18" customHeight="1">
      <x:c r="A1337" t="str">
        <x:v>ARM067</x:v>
      </x:c>
      <x:c r="B1337" t="str">
        <x:v>Bâton élémentaire</x:v>
      </x:c>
      <x:c r="C1337" t="n">
        <x:v>14</x:v>
      </x:c>
      <x:c r="D1337" t="str">
        <x:v>Focaliseurs</x:v>
      </x:c>
      <x:c r="E1337" s="28" t="n">
        <x:f>IF(M1337=0,0,M1337+O1337)</x:f>
        <x:v>21</x:v>
      </x:c>
      <x:c r="F1337" s="28" t="n">
        <x:f>IF(M1337=0,0,M1337*N1337+O1337)</x:f>
        <x:v>36</x:v>
      </x:c>
      <x:c r="G1337" s="28" t="n">
        <x:f>ROUND(Catalogue!G70*SQRT((1+'Paramètres'!$B$4*(C1337-1)+'Paramètres'!$B$5*(C1337-1)^2)),0)</x:f>
        <x:v>0</x:v>
      </x:c>
      <x:c r="H1337" s="28" t="n">
        <x:f>ROUND(Catalogue!H70*SQRT((1+'Paramètres'!$B$4*(C1337-1)+'Paramètres'!$B$5*(C1337-1)^2)),0)</x:f>
        <x:v>0</x:v>
      </x:c>
      <x:c r="I1337" s="28" t="n">
        <x:v>2</x:v>
      </x:c>
      <x:c r="J1337" s="28" t="n">
        <x:v>4</x:v>
      </x:c>
      <x:c r="K1337" s="30" t="n">
        <x:v>1.8</x:v>
      </x:c>
      <x:c r="L1337" s="54" t="n">
        <x:f>IF(M1337=0,0,(E1337+F1337)/2)</x:f>
        <x:v>28.5</x:v>
      </x:c>
      <x:c r="M1337" t="n">
        <x:v>3</x:v>
      </x:c>
      <x:c r="N1337" t="n">
        <x:v>6</x:v>
      </x:c>
      <x:c r="O1337" t="n">
        <x:v>18</x:v>
      </x:c>
      <x:c r="P1337" s="63" t="str">
        <x:f>IF(M1337=0,"—",M1337&amp;"d"&amp;N1337&amp;IF(O1337=0,""," + "&amp;O1337))</x:f>
        <x:v>3d6 + 18</x:v>
      </x:c>
      <x:c r="Q1337" t="n">
        <x:f>ROUND(INDEX(Catalogue!E$4:E$85,MATCH(A1337,Catalogue!A$4:A$85,0))*(1+'Paramètres'!$B$4*(C1337-1)+'Paramètres'!$B$5*(C1337-1)^2),0)</x:f>
        <x:v>21</x:v>
      </x:c>
      <x:c r="R1337" t="n">
        <x:f>ROUND(INDEX(Catalogue!F$4:F$85,MATCH(A1337,Catalogue!A$4:A$85,0))*(1+'Paramètres'!$B$4*(C1337-1)+'Paramètres'!$B$5*(C1337-1)^2),0)</x:f>
        <x:v>36</x:v>
      </x:c>
      <x:c r="S1337" t="n">
        <x:f>L1337-AVERAGE(Q1337:R1337)</x:f>
        <x:v>0</x:v>
      </x:c>
      <x:c r="T1337" t="str">
        <x:f>IF(M1337=0,IF(AND(N1337=0,O1337=0,E1337=0,F1337=0),"OK","ERREUR"),IF(AND(M1337&gt;=1,M1337&lt;=32,OR(N1337=4,N1337=6,N1337=8,N1337=10,N1337=12,N1337=20),O1337&gt;=0,E1337=M1337+O1337,F1337=M1337*N1337+O1337),"OK","ERREUR"))</x:f>
        <x:v>OK</x:v>
      </x:c>
      <x:c r="U1337" s="86" t="n">
        <x:f>IF(M1337&gt;0,M1337*(N1337+1)/2+O1337,0)</x:f>
        <x:v>28.5</x:v>
      </x:c>
      <x:c r="V1337" t="str">
        <x:f>IF(ABS(L1337-U1337)&lt;0.001,"OK","ERREUR")</x:f>
        <x:v>OK</x:v>
      </x:c>
    </x:row>
    <x:row r="1338" ht="18" customHeight="1">
      <x:c r="A1338" t="str">
        <x:v>ARM067</x:v>
      </x:c>
      <x:c r="B1338" t="str">
        <x:v>Bâton élémentaire</x:v>
      </x:c>
      <x:c r="C1338" t="n">
        <x:v>15</x:v>
      </x:c>
      <x:c r="D1338" t="str">
        <x:v>Focaliseurs</x:v>
      </x:c>
      <x:c r="E1338" s="28" t="n">
        <x:f>IF(M1338=0,0,M1338+O1338)</x:f>
        <x:v>22</x:v>
      </x:c>
      <x:c r="F1338" s="28" t="n">
        <x:f>IF(M1338=0,0,M1338*N1338+O1338)</x:f>
        <x:v>40</x:v>
      </x:c>
      <x:c r="G1338" s="28" t="n">
        <x:f>ROUND(Catalogue!G70*SQRT((1+'Paramètres'!$B$4*(C1338-1)+'Paramètres'!$B$5*(C1338-1)^2)),0)</x:f>
        <x:v>0</x:v>
      </x:c>
      <x:c r="H1338" s="28" t="n">
        <x:f>ROUND(Catalogue!H70*SQRT((1+'Paramètres'!$B$4*(C1338-1)+'Paramètres'!$B$5*(C1338-1)^2)),0)</x:f>
        <x:v>0</x:v>
      </x:c>
      <x:c r="I1338" s="28" t="n">
        <x:v>2</x:v>
      </x:c>
      <x:c r="J1338" s="28" t="n">
        <x:v>4</x:v>
      </x:c>
      <x:c r="K1338" s="30" t="n">
        <x:v>1.8</x:v>
      </x:c>
      <x:c r="L1338" s="54" t="n">
        <x:f>IF(M1338=0,0,(E1338+F1338)/2)</x:f>
        <x:v>31</x:v>
      </x:c>
      <x:c r="M1338" t="n">
        <x:v>2</x:v>
      </x:c>
      <x:c r="N1338" t="n">
        <x:v>10</x:v>
      </x:c>
      <x:c r="O1338" t="n">
        <x:v>20</x:v>
      </x:c>
      <x:c r="P1338" s="63" t="str">
        <x:f>IF(M1338=0,"—",M1338&amp;"d"&amp;N1338&amp;IF(O1338=0,""," + "&amp;O1338))</x:f>
        <x:v>2d10 + 20</x:v>
      </x:c>
      <x:c r="Q1338" t="n">
        <x:f>ROUND(INDEX(Catalogue!E$4:E$85,MATCH(A1338,Catalogue!A$4:A$85,0))*(1+'Paramètres'!$B$4*(C1338-1)+'Paramètres'!$B$5*(C1338-1)^2),0)</x:f>
        <x:v>23</x:v>
      </x:c>
      <x:c r="R1338" t="n">
        <x:f>ROUND(INDEX(Catalogue!F$4:F$85,MATCH(A1338,Catalogue!A$4:A$85,0))*(1+'Paramètres'!$B$4*(C1338-1)+'Paramètres'!$B$5*(C1338-1)^2),0)</x:f>
        <x:v>40</x:v>
      </x:c>
      <x:c r="S1338" t="n">
        <x:f>L1338-AVERAGE(Q1338:R1338)</x:f>
        <x:v>-0.5</x:v>
      </x:c>
      <x:c r="T1338" t="str">
        <x:f>IF(M1338=0,IF(AND(N1338=0,O1338=0,E1338=0,F1338=0),"OK","ERREUR"),IF(AND(M1338&gt;=1,M1338&lt;=32,OR(N1338=4,N1338=6,N1338=8,N1338=10,N1338=12,N1338=20),O1338&gt;=0,E1338=M1338+O1338,F1338=M1338*N1338+O1338),"OK","ERREUR"))</x:f>
        <x:v>OK</x:v>
      </x:c>
      <x:c r="U1338" s="86" t="n">
        <x:f>IF(M1338&gt;0,M1338*(N1338+1)/2+O1338,0)</x:f>
        <x:v>31</x:v>
      </x:c>
      <x:c r="V1338" t="str">
        <x:f>IF(ABS(L1338-U1338)&lt;0.001,"OK","ERREUR")</x:f>
        <x:v>OK</x:v>
      </x:c>
    </x:row>
    <x:row r="1339" ht="18" customHeight="1">
      <x:c r="A1339" t="str">
        <x:v>ARM067</x:v>
      </x:c>
      <x:c r="B1339" t="str">
        <x:v>Bâton élémentaire</x:v>
      </x:c>
      <x:c r="C1339" t="n">
        <x:v>16</x:v>
      </x:c>
      <x:c r="D1339" t="str">
        <x:v>Focaliseurs</x:v>
      </x:c>
      <x:c r="E1339" s="28" t="n">
        <x:f>IF(M1339=0,0,M1339+O1339)</x:f>
        <x:v>26</x:v>
      </x:c>
      <x:c r="F1339" s="28" t="n">
        <x:f>IF(M1339=0,0,M1339*N1339+O1339)</x:f>
        <x:v>44</x:v>
      </x:c>
      <x:c r="G1339" s="28" t="n">
        <x:f>ROUND(Catalogue!G70*SQRT((1+'Paramètres'!$B$4*(C1339-1)+'Paramètres'!$B$5*(C1339-1)^2)),0)</x:f>
        <x:v>0</x:v>
      </x:c>
      <x:c r="H1339" s="28" t="n">
        <x:f>ROUND(Catalogue!H70*SQRT((1+'Paramètres'!$B$4*(C1339-1)+'Paramètres'!$B$5*(C1339-1)^2)),0)</x:f>
        <x:v>0</x:v>
      </x:c>
      <x:c r="I1339" s="28" t="n">
        <x:v>2</x:v>
      </x:c>
      <x:c r="J1339" s="28" t="n">
        <x:v>4</x:v>
      </x:c>
      <x:c r="K1339" s="30" t="n">
        <x:v>1.8</x:v>
      </x:c>
      <x:c r="L1339" s="54" t="n">
        <x:f>IF(M1339=0,0,(E1339+F1339)/2)</x:f>
        <x:v>35</x:v>
      </x:c>
      <x:c r="M1339" t="n">
        <x:v>2</x:v>
      </x:c>
      <x:c r="N1339" t="n">
        <x:v>10</x:v>
      </x:c>
      <x:c r="O1339" t="n">
        <x:v>24</x:v>
      </x:c>
      <x:c r="P1339" s="63" t="str">
        <x:f>IF(M1339=0,"—",M1339&amp;"d"&amp;N1339&amp;IF(O1339=0,""," + "&amp;O1339))</x:f>
        <x:v>2d10 + 24</x:v>
      </x:c>
      <x:c r="Q1339" t="n">
        <x:f>ROUND(INDEX(Catalogue!E$4:E$85,MATCH(A1339,Catalogue!A$4:A$85,0))*(1+'Paramètres'!$B$4*(C1339-1)+'Paramètres'!$B$5*(C1339-1)^2),0)</x:f>
        <x:v>25</x:v>
      </x:c>
      <x:c r="R1339" t="n">
        <x:f>ROUND(INDEX(Catalogue!F$4:F$85,MATCH(A1339,Catalogue!A$4:A$85,0))*(1+'Paramètres'!$B$4*(C1339-1)+'Paramètres'!$B$5*(C1339-1)^2),0)</x:f>
        <x:v>44</x:v>
      </x:c>
      <x:c r="S1339" t="n">
        <x:f>L1339-AVERAGE(Q1339:R1339)</x:f>
        <x:v>0.5</x:v>
      </x:c>
      <x:c r="T1339" t="str">
        <x:f>IF(M1339=0,IF(AND(N1339=0,O1339=0,E1339=0,F1339=0),"OK","ERREUR"),IF(AND(M1339&gt;=1,M1339&lt;=32,OR(N1339=4,N1339=6,N1339=8,N1339=10,N1339=12,N1339=20),O1339&gt;=0,E1339=M1339+O1339,F1339=M1339*N1339+O1339),"OK","ERREUR"))</x:f>
        <x:v>OK</x:v>
      </x:c>
      <x:c r="U1339" s="86" t="n">
        <x:f>IF(M1339&gt;0,M1339*(N1339+1)/2+O1339,0)</x:f>
        <x:v>35</x:v>
      </x:c>
      <x:c r="V1339" t="str">
        <x:f>IF(ABS(L1339-U1339)&lt;0.001,"OK","ERREUR")</x:f>
        <x:v>OK</x:v>
      </x:c>
    </x:row>
    <x:row r="1340" ht="18" customHeight="1">
      <x:c r="A1340" t="str">
        <x:v>ARM067</x:v>
      </x:c>
      <x:c r="B1340" t="str">
        <x:v>Bâton élémentaire</x:v>
      </x:c>
      <x:c r="C1340" t="n">
        <x:v>17</x:v>
      </x:c>
      <x:c r="D1340" t="str">
        <x:v>Focaliseurs</x:v>
      </x:c>
      <x:c r="E1340" s="28" t="n">
        <x:f>IF(M1340=0,0,M1340+O1340)</x:f>
        <x:v>27</x:v>
      </x:c>
      <x:c r="F1340" s="28" t="n">
        <x:f>IF(M1340=0,0,M1340*N1340+O1340)</x:f>
        <x:v>48</x:v>
      </x:c>
      <x:c r="G1340" s="28" t="n">
        <x:f>ROUND(Catalogue!G70*SQRT((1+'Paramètres'!$B$4*(C1340-1)+'Paramètres'!$B$5*(C1340-1)^2)),0)</x:f>
        <x:v>0</x:v>
      </x:c>
      <x:c r="H1340" s="28" t="n">
        <x:f>ROUND(Catalogue!H70*SQRT((1+'Paramètres'!$B$4*(C1340-1)+'Paramètres'!$B$5*(C1340-1)^2)),0)</x:f>
        <x:v>0</x:v>
      </x:c>
      <x:c r="I1340" s="28" t="n">
        <x:v>2</x:v>
      </x:c>
      <x:c r="J1340" s="28" t="n">
        <x:v>4</x:v>
      </x:c>
      <x:c r="K1340" s="30" t="n">
        <x:v>1.8</x:v>
      </x:c>
      <x:c r="L1340" s="54" t="n">
        <x:f>IF(M1340=0,0,(E1340+F1340)/2)</x:f>
        <x:v>37.5</x:v>
      </x:c>
      <x:c r="M1340" t="n">
        <x:v>3</x:v>
      </x:c>
      <x:c r="N1340" t="n">
        <x:v>8</x:v>
      </x:c>
      <x:c r="O1340" t="n">
        <x:v>24</x:v>
      </x:c>
      <x:c r="P1340" s="63" t="str">
        <x:f>IF(M1340=0,"—",M1340&amp;"d"&amp;N1340&amp;IF(O1340=0,""," + "&amp;O1340))</x:f>
        <x:v>3d8 + 24</x:v>
      </x:c>
      <x:c r="Q1340" t="n">
        <x:f>ROUND(INDEX(Catalogue!E$4:E$85,MATCH(A1340,Catalogue!A$4:A$85,0))*(1+'Paramètres'!$B$4*(C1340-1)+'Paramètres'!$B$5*(C1340-1)^2),0)</x:f>
        <x:v>27</x:v>
      </x:c>
      <x:c r="R1340" t="n">
        <x:f>ROUND(INDEX(Catalogue!F$4:F$85,MATCH(A1340,Catalogue!A$4:A$85,0))*(1+'Paramètres'!$B$4*(C1340-1)+'Paramètres'!$B$5*(C1340-1)^2),0)</x:f>
        <x:v>48</x:v>
      </x:c>
      <x:c r="S1340" t="n">
        <x:f>L1340-AVERAGE(Q1340:R1340)</x:f>
        <x:v>0</x:v>
      </x:c>
      <x:c r="T1340" t="str">
        <x:f>IF(M1340=0,IF(AND(N1340=0,O1340=0,E1340=0,F1340=0),"OK","ERREUR"),IF(AND(M1340&gt;=1,M1340&lt;=32,OR(N1340=4,N1340=6,N1340=8,N1340=10,N1340=12,N1340=20),O1340&gt;=0,E1340=M1340+O1340,F1340=M1340*N1340+O1340),"OK","ERREUR"))</x:f>
        <x:v>OK</x:v>
      </x:c>
      <x:c r="U1340" s="86" t="n">
        <x:f>IF(M1340&gt;0,M1340*(N1340+1)/2+O1340,0)</x:f>
        <x:v>37.5</x:v>
      </x:c>
      <x:c r="V1340" t="str">
        <x:f>IF(ABS(L1340-U1340)&lt;0.001,"OK","ERREUR")</x:f>
        <x:v>OK</x:v>
      </x:c>
    </x:row>
    <x:row r="1341" ht="18" customHeight="1">
      <x:c r="A1341" t="str">
        <x:v>ARM067</x:v>
      </x:c>
      <x:c r="B1341" t="str">
        <x:v>Bâton élémentaire</x:v>
      </x:c>
      <x:c r="C1341" t="n">
        <x:v>18</x:v>
      </x:c>
      <x:c r="D1341" t="str">
        <x:v>Focaliseurs</x:v>
      </x:c>
      <x:c r="E1341" s="28" t="n">
        <x:f>IF(M1341=0,0,M1341+O1341)</x:f>
        <x:v>30</x:v>
      </x:c>
      <x:c r="F1341" s="28" t="n">
        <x:f>IF(M1341=0,0,M1341*N1341+O1341)</x:f>
        <x:v>52</x:v>
      </x:c>
      <x:c r="G1341" s="28" t="n">
        <x:f>ROUND(Catalogue!G70*SQRT((1+'Paramètres'!$B$4*(C1341-1)+'Paramètres'!$B$5*(C1341-1)^2)),0)</x:f>
        <x:v>0</x:v>
      </x:c>
      <x:c r="H1341" s="28" t="n">
        <x:f>ROUND(Catalogue!H70*SQRT((1+'Paramètres'!$B$4*(C1341-1)+'Paramètres'!$B$5*(C1341-1)^2)),0)</x:f>
        <x:v>0</x:v>
      </x:c>
      <x:c r="I1341" s="28" t="n">
        <x:v>2</x:v>
      </x:c>
      <x:c r="J1341" s="28" t="n">
        <x:v>4</x:v>
      </x:c>
      <x:c r="K1341" s="30" t="n">
        <x:v>1.8</x:v>
      </x:c>
      <x:c r="L1341" s="54" t="n">
        <x:f>IF(M1341=0,0,(E1341+F1341)/2)</x:f>
        <x:v>41</x:v>
      </x:c>
      <x:c r="M1341" t="n">
        <x:v>2</x:v>
      </x:c>
      <x:c r="N1341" t="n">
        <x:v>12</x:v>
      </x:c>
      <x:c r="O1341" t="n">
        <x:v>28</x:v>
      </x:c>
      <x:c r="P1341" s="63" t="str">
        <x:f>IF(M1341=0,"—",M1341&amp;"d"&amp;N1341&amp;IF(O1341=0,""," + "&amp;O1341))</x:f>
        <x:v>2d12 + 28</x:v>
      </x:c>
      <x:c r="Q1341" t="n">
        <x:f>ROUND(INDEX(Catalogue!E$4:E$85,MATCH(A1341,Catalogue!A$4:A$85,0))*(1+'Paramètres'!$B$4*(C1341-1)+'Paramètres'!$B$5*(C1341-1)^2),0)</x:f>
        <x:v>30</x:v>
      </x:c>
      <x:c r="R1341" t="n">
        <x:f>ROUND(INDEX(Catalogue!F$4:F$85,MATCH(A1341,Catalogue!A$4:A$85,0))*(1+'Paramètres'!$B$4*(C1341-1)+'Paramètres'!$B$5*(C1341-1)^2),0)</x:f>
        <x:v>52</x:v>
      </x:c>
      <x:c r="S1341" t="n">
        <x:f>L1341-AVERAGE(Q1341:R1341)</x:f>
        <x:v>0</x:v>
      </x:c>
      <x:c r="T1341" t="str">
        <x:f>IF(M1341=0,IF(AND(N1341=0,O1341=0,E1341=0,F1341=0),"OK","ERREUR"),IF(AND(M1341&gt;=1,M1341&lt;=32,OR(N1341=4,N1341=6,N1341=8,N1341=10,N1341=12,N1341=20),O1341&gt;=0,E1341=M1341+O1341,F1341=M1341*N1341+O1341),"OK","ERREUR"))</x:f>
        <x:v>OK</x:v>
      </x:c>
      <x:c r="U1341" s="86" t="n">
        <x:f>IF(M1341&gt;0,M1341*(N1341+1)/2+O1341,0)</x:f>
        <x:v>41</x:v>
      </x:c>
      <x:c r="V1341" t="str">
        <x:f>IF(ABS(L1341-U1341)&lt;0.001,"OK","ERREUR")</x:f>
        <x:v>OK</x:v>
      </x:c>
    </x:row>
    <x:row r="1342" ht="18" customHeight="1">
      <x:c r="A1342" t="str">
        <x:v>ARM067</x:v>
      </x:c>
      <x:c r="B1342" t="str">
        <x:v>Bâton élémentaire</x:v>
      </x:c>
      <x:c r="C1342" t="n">
        <x:v>19</x:v>
      </x:c>
      <x:c r="D1342" t="str">
        <x:v>Focaliseurs</x:v>
      </x:c>
      <x:c r="E1342" s="28" t="n">
        <x:f>IF(M1342=0,0,M1342+O1342)</x:f>
        <x:v>32</x:v>
      </x:c>
      <x:c r="F1342" s="28" t="n">
        <x:f>IF(M1342=0,0,M1342*N1342+O1342)</x:f>
        <x:v>57</x:v>
      </x:c>
      <x:c r="G1342" s="28" t="n">
        <x:f>ROUND(Catalogue!G70*SQRT((1+'Paramètres'!$B$4*(C1342-1)+'Paramètres'!$B$5*(C1342-1)^2)),0)</x:f>
        <x:v>0</x:v>
      </x:c>
      <x:c r="H1342" s="28" t="n">
        <x:f>ROUND(Catalogue!H70*SQRT((1+'Paramètres'!$B$4*(C1342-1)+'Paramètres'!$B$5*(C1342-1)^2)),0)</x:f>
        <x:v>0</x:v>
      </x:c>
      <x:c r="I1342" s="28" t="n">
        <x:v>2</x:v>
      </x:c>
      <x:c r="J1342" s="28" t="n">
        <x:v>4</x:v>
      </x:c>
      <x:c r="K1342" s="30" t="n">
        <x:v>1.8</x:v>
      </x:c>
      <x:c r="L1342" s="54" t="n">
        <x:f>IF(M1342=0,0,(E1342+F1342)/2)</x:f>
        <x:v>44.5</x:v>
      </x:c>
      <x:c r="M1342" t="n">
        <x:v>5</x:v>
      </x:c>
      <x:c r="N1342" t="n">
        <x:v>6</x:v>
      </x:c>
      <x:c r="O1342" t="n">
        <x:v>27</x:v>
      </x:c>
      <x:c r="P1342" s="63" t="str">
        <x:f>IF(M1342=0,"—",M1342&amp;"d"&amp;N1342&amp;IF(O1342=0,""," + "&amp;O1342))</x:f>
        <x:v>5d6 + 27</x:v>
      </x:c>
      <x:c r="Q1342" t="n">
        <x:f>ROUND(INDEX(Catalogue!E$4:E$85,MATCH(A1342,Catalogue!A$4:A$85,0))*(1+'Paramètres'!$B$4*(C1342-1)+'Paramètres'!$B$5*(C1342-1)^2),0)</x:f>
        <x:v>33</x:v>
      </x:c>
      <x:c r="R1342" t="n">
        <x:f>ROUND(INDEX(Catalogue!F$4:F$85,MATCH(A1342,Catalogue!A$4:A$85,0))*(1+'Paramètres'!$B$4*(C1342-1)+'Paramètres'!$B$5*(C1342-1)^2),0)</x:f>
        <x:v>57</x:v>
      </x:c>
      <x:c r="S1342" t="n">
        <x:f>L1342-AVERAGE(Q1342:R1342)</x:f>
        <x:v>-0.5</x:v>
      </x:c>
      <x:c r="T1342" t="str">
        <x:f>IF(M1342=0,IF(AND(N1342=0,O1342=0,E1342=0,F1342=0),"OK","ERREUR"),IF(AND(M1342&gt;=1,M1342&lt;=32,OR(N1342=4,N1342=6,N1342=8,N1342=10,N1342=12,N1342=20),O1342&gt;=0,E1342=M1342+O1342,F1342=M1342*N1342+O1342),"OK","ERREUR"))</x:f>
        <x:v>OK</x:v>
      </x:c>
      <x:c r="U1342" s="86" t="n">
        <x:f>IF(M1342&gt;0,M1342*(N1342+1)/2+O1342,0)</x:f>
        <x:v>44.5</x:v>
      </x:c>
      <x:c r="V1342" t="str">
        <x:f>IF(ABS(L1342-U1342)&lt;0.001,"OK","ERREUR")</x:f>
        <x:v>OK</x:v>
      </x:c>
    </x:row>
    <x:row r="1343" ht="18" customHeight="1">
      <x:c r="A1343" t="str">
        <x:v>ARM067</x:v>
      </x:c>
      <x:c r="B1343" t="str">
        <x:v>Bâton élémentaire</x:v>
      </x:c>
      <x:c r="C1343" t="n">
        <x:v>20</x:v>
      </x:c>
      <x:c r="D1343" t="str">
        <x:v>Focaliseurs</x:v>
      </x:c>
      <x:c r="E1343" s="28" t="n">
        <x:f>IF(M1343=0,0,M1343+O1343)</x:f>
        <x:v>35</x:v>
      </x:c>
      <x:c r="F1343" s="28" t="n">
        <x:f>IF(M1343=0,0,M1343*N1343+O1343)</x:f>
        <x:v>62</x:v>
      </x:c>
      <x:c r="G1343" s="28" t="n">
        <x:f>ROUND(Catalogue!G70*SQRT((1+'Paramètres'!$B$4*(C1343-1)+'Paramètres'!$B$5*(C1343-1)^2)),0)</x:f>
        <x:v>0</x:v>
      </x:c>
      <x:c r="H1343" s="28" t="n">
        <x:f>ROUND(Catalogue!H70*SQRT((1+'Paramètres'!$B$4*(C1343-1)+'Paramètres'!$B$5*(C1343-1)^2)),0)</x:f>
        <x:v>0</x:v>
      </x:c>
      <x:c r="I1343" s="28" t="n">
        <x:v>2</x:v>
      </x:c>
      <x:c r="J1343" s="28" t="n">
        <x:v>4</x:v>
      </x:c>
      <x:c r="K1343" s="30" t="n">
        <x:v>1.8</x:v>
      </x:c>
      <x:c r="L1343" s="54" t="n">
        <x:f>IF(M1343=0,0,(E1343+F1343)/2)</x:f>
        <x:v>48.5</x:v>
      </x:c>
      <x:c r="M1343" t="n">
        <x:v>3</x:v>
      </x:c>
      <x:c r="N1343" t="n">
        <x:v>10</x:v>
      </x:c>
      <x:c r="O1343" t="n">
        <x:v>32</x:v>
      </x:c>
      <x:c r="P1343" s="63" t="str">
        <x:f>IF(M1343=0,"—",M1343&amp;"d"&amp;N1343&amp;IF(O1343=0,""," + "&amp;O1343))</x:f>
        <x:v>3d10 + 32</x:v>
      </x:c>
      <x:c r="Q1343" t="n">
        <x:f>ROUND(INDEX(Catalogue!E$4:E$85,MATCH(A1343,Catalogue!A$4:A$85,0))*(1+'Paramètres'!$B$4*(C1343-1)+'Paramètres'!$B$5*(C1343-1)^2),0)</x:f>
        <x:v>35</x:v>
      </x:c>
      <x:c r="R1343" t="n">
        <x:f>ROUND(INDEX(Catalogue!F$4:F$85,MATCH(A1343,Catalogue!A$4:A$85,0))*(1+'Paramètres'!$B$4*(C1343-1)+'Paramètres'!$B$5*(C1343-1)^2),0)</x:f>
        <x:v>62</x:v>
      </x:c>
      <x:c r="S1343" t="n">
        <x:f>L1343-AVERAGE(Q1343:R1343)</x:f>
        <x:v>0</x:v>
      </x:c>
      <x:c r="T1343" t="str">
        <x:f>IF(M1343=0,IF(AND(N1343=0,O1343=0,E1343=0,F1343=0),"OK","ERREUR"),IF(AND(M1343&gt;=1,M1343&lt;=32,OR(N1343=4,N1343=6,N1343=8,N1343=10,N1343=12,N1343=20),O1343&gt;=0,E1343=M1343+O1343,F1343=M1343*N1343+O1343),"OK","ERREUR"))</x:f>
        <x:v>OK</x:v>
      </x:c>
      <x:c r="U1343" s="86" t="n">
        <x:f>IF(M1343&gt;0,M1343*(N1343+1)/2+O1343,0)</x:f>
        <x:v>48.5</x:v>
      </x:c>
      <x:c r="V1343" t="str">
        <x:f>IF(ABS(L1343-U1343)&lt;0.001,"OK","ERREUR")</x:f>
        <x:v>OK</x:v>
      </x:c>
    </x:row>
    <x:row r="1344" ht="18" customHeight="1">
      <x:c r="A1344" t="str">
        <x:v>ARM068</x:v>
      </x:c>
      <x:c r="B1344" t="str">
        <x:v>Bâton rituel</x:v>
      </x:c>
      <x:c r="C1344" t="n">
        <x:v>1</x:v>
      </x:c>
      <x:c r="D1344" t="str">
        <x:v>Focaliseurs</x:v>
      </x:c>
      <x:c r="E1344" s="28" t="n">
        <x:f>IF(M1344=0,0,M1344+O1344)</x:f>
        <x:v>3</x:v>
      </x:c>
      <x:c r="F1344" s="28" t="n">
        <x:f>IF(M1344=0,0,M1344*N1344+O1344)</x:f>
        <x:v>6</x:v>
      </x:c>
      <x:c r="G1344" s="28" t="n">
        <x:f>ROUND(Catalogue!G71*SQRT((1+'Paramètres'!$B$4*(C1344-1)+'Paramètres'!$B$5*(C1344-1)^2)),0)</x:f>
        <x:v>0</x:v>
      </x:c>
      <x:c r="H1344" s="28" t="n">
        <x:f>ROUND(Catalogue!H71*SQRT((1+'Paramètres'!$B$4*(C1344-1)+'Paramètres'!$B$5*(C1344-1)^2)),0)</x:f>
        <x:v>0</x:v>
      </x:c>
      <x:c r="I1344" s="28" t="n">
        <x:v>2</x:v>
      </x:c>
      <x:c r="J1344" s="28" t="n">
        <x:v>4</x:v>
      </x:c>
      <x:c r="K1344" s="30" t="n">
        <x:v>2</x:v>
      </x:c>
      <x:c r="L1344" s="54" t="n">
        <x:f>IF(M1344=0,0,(E1344+F1344)/2)</x:f>
        <x:v>4.5</x:v>
      </x:c>
      <x:c r="M1344" t="n">
        <x:v>1</x:v>
      </x:c>
      <x:c r="N1344" t="n">
        <x:v>4</x:v>
      </x:c>
      <x:c r="O1344" t="n">
        <x:v>2</x:v>
      </x:c>
      <x:c r="P1344" s="63" t="str">
        <x:f>IF(M1344=0,"—",M1344&amp;"d"&amp;N1344&amp;IF(O1344=0,""," + "&amp;O1344))</x:f>
        <x:v>1d4 + 2</x:v>
      </x:c>
      <x:c r="Q1344" t="n">
        <x:f>ROUND(INDEX(Catalogue!E$4:E$85,MATCH(A1344,Catalogue!A$4:A$85,0))*(1+'Paramètres'!$B$4*(C1344-1)+'Paramètres'!$B$5*(C1344-1)^2),0)</x:f>
        <x:v>3</x:v>
      </x:c>
      <x:c r="R1344" t="n">
        <x:f>ROUND(INDEX(Catalogue!F$4:F$85,MATCH(A1344,Catalogue!A$4:A$85,0))*(1+'Paramètres'!$B$4*(C1344-1)+'Paramètres'!$B$5*(C1344-1)^2),0)</x:f>
        <x:v>6</x:v>
      </x:c>
      <x:c r="S1344" t="n">
        <x:f>L1344-AVERAGE(Q1344:R1344)</x:f>
        <x:v>0</x:v>
      </x:c>
      <x:c r="T1344" t="str">
        <x:f>IF(M1344=0,IF(AND(N1344=0,O1344=0,E1344=0,F1344=0),"OK","ERREUR"),IF(AND(M1344&gt;=1,M1344&lt;=32,OR(N1344=4,N1344=6,N1344=8,N1344=10,N1344=12,N1344=20),O1344&gt;=0,E1344=M1344+O1344,F1344=M1344*N1344+O1344),"OK","ERREUR"))</x:f>
        <x:v>OK</x:v>
      </x:c>
      <x:c r="U1344" s="86" t="n">
        <x:f>IF(M1344&gt;0,M1344*(N1344+1)/2+O1344,0)</x:f>
        <x:v>4.5</x:v>
      </x:c>
      <x:c r="V1344" t="str">
        <x:f>IF(ABS(L1344-U1344)&lt;0.001,"OK","ERREUR")</x:f>
        <x:v>OK</x:v>
      </x:c>
    </x:row>
    <x:row r="1345" ht="18" customHeight="1">
      <x:c r="A1345" t="str">
        <x:v>ARM068</x:v>
      </x:c>
      <x:c r="B1345" t="str">
        <x:v>Bâton rituel</x:v>
      </x:c>
      <x:c r="C1345" t="n">
        <x:v>2</x:v>
      </x:c>
      <x:c r="D1345" t="str">
        <x:v>Focaliseurs</x:v>
      </x:c>
      <x:c r="E1345" s="28" t="n">
        <x:f>IF(M1345=0,0,M1345+O1345)</x:f>
        <x:v>3</x:v>
      </x:c>
      <x:c r="F1345" s="28" t="n">
        <x:f>IF(M1345=0,0,M1345*N1345+O1345)</x:f>
        <x:v>6</x:v>
      </x:c>
      <x:c r="G1345" s="28" t="n">
        <x:f>ROUND(Catalogue!G71*SQRT((1+'Paramètres'!$B$4*(C1345-1)+'Paramètres'!$B$5*(C1345-1)^2)),0)</x:f>
        <x:v>0</x:v>
      </x:c>
      <x:c r="H1345" s="28" t="n">
        <x:f>ROUND(Catalogue!H71*SQRT((1+'Paramètres'!$B$4*(C1345-1)+'Paramètres'!$B$5*(C1345-1)^2)),0)</x:f>
        <x:v>0</x:v>
      </x:c>
      <x:c r="I1345" s="28" t="n">
        <x:v>2</x:v>
      </x:c>
      <x:c r="J1345" s="28" t="n">
        <x:v>4</x:v>
      </x:c>
      <x:c r="K1345" s="30" t="n">
        <x:v>2</x:v>
      </x:c>
      <x:c r="L1345" s="54" t="n">
        <x:f>IF(M1345=0,0,(E1345+F1345)/2)</x:f>
        <x:v>4.5</x:v>
      </x:c>
      <x:c r="M1345" t="n">
        <x:v>1</x:v>
      </x:c>
      <x:c r="N1345" t="n">
        <x:v>4</x:v>
      </x:c>
      <x:c r="O1345" t="n">
        <x:v>2</x:v>
      </x:c>
      <x:c r="P1345" s="63" t="str">
        <x:f>IF(M1345=0,"—",M1345&amp;"d"&amp;N1345&amp;IF(O1345=0,""," + "&amp;O1345))</x:f>
        <x:v>1d4 + 2</x:v>
      </x:c>
      <x:c r="Q1345" t="n">
        <x:f>ROUND(INDEX(Catalogue!E$4:E$85,MATCH(A1345,Catalogue!A$4:A$85,0))*(1+'Paramètres'!$B$4*(C1345-1)+'Paramètres'!$B$5*(C1345-1)^2),0)</x:f>
        <x:v>3</x:v>
      </x:c>
      <x:c r="R1345" t="n">
        <x:f>ROUND(INDEX(Catalogue!F$4:F$85,MATCH(A1345,Catalogue!A$4:A$85,0))*(1+'Paramètres'!$B$4*(C1345-1)+'Paramètres'!$B$5*(C1345-1)^2),0)</x:f>
        <x:v>7</x:v>
      </x:c>
      <x:c r="S1345" t="n">
        <x:f>L1345-AVERAGE(Q1345:R1345)</x:f>
        <x:v>-0.5</x:v>
      </x:c>
      <x:c r="T1345" t="str">
        <x:f>IF(M1345=0,IF(AND(N1345=0,O1345=0,E1345=0,F1345=0),"OK","ERREUR"),IF(AND(M1345&gt;=1,M1345&lt;=32,OR(N1345=4,N1345=6,N1345=8,N1345=10,N1345=12,N1345=20),O1345&gt;=0,E1345=M1345+O1345,F1345=M1345*N1345+O1345),"OK","ERREUR"))</x:f>
        <x:v>OK</x:v>
      </x:c>
      <x:c r="U1345" s="86" t="n">
        <x:f>IF(M1345&gt;0,M1345*(N1345+1)/2+O1345,0)</x:f>
        <x:v>4.5</x:v>
      </x:c>
      <x:c r="V1345" t="str">
        <x:f>IF(ABS(L1345-U1345)&lt;0.001,"OK","ERREUR")</x:f>
        <x:v>OK</x:v>
      </x:c>
    </x:row>
    <x:row r="1346" ht="18" customHeight="1">
      <x:c r="A1346" t="str">
        <x:v>ARM068</x:v>
      </x:c>
      <x:c r="B1346" t="str">
        <x:v>Bâton rituel</x:v>
      </x:c>
      <x:c r="C1346" t="n">
        <x:v>3</x:v>
      </x:c>
      <x:c r="D1346" t="str">
        <x:v>Focaliseurs</x:v>
      </x:c>
      <x:c r="E1346" s="28" t="n">
        <x:f>IF(M1346=0,0,M1346+O1346)</x:f>
        <x:v>4</x:v>
      </x:c>
      <x:c r="F1346" s="28" t="n">
        <x:f>IF(M1346=0,0,M1346*N1346+O1346)</x:f>
        <x:v>7</x:v>
      </x:c>
      <x:c r="G1346" s="28" t="n">
        <x:f>ROUND(Catalogue!G71*SQRT((1+'Paramètres'!$B$4*(C1346-1)+'Paramètres'!$B$5*(C1346-1)^2)),0)</x:f>
        <x:v>0</x:v>
      </x:c>
      <x:c r="H1346" s="28" t="n">
        <x:f>ROUND(Catalogue!H71*SQRT((1+'Paramètres'!$B$4*(C1346-1)+'Paramètres'!$B$5*(C1346-1)^2)),0)</x:f>
        <x:v>0</x:v>
      </x:c>
      <x:c r="I1346" s="28" t="n">
        <x:v>2</x:v>
      </x:c>
      <x:c r="J1346" s="28" t="n">
        <x:v>4</x:v>
      </x:c>
      <x:c r="K1346" s="30" t="n">
        <x:v>2</x:v>
      </x:c>
      <x:c r="L1346" s="54" t="n">
        <x:f>IF(M1346=0,0,(E1346+F1346)/2)</x:f>
        <x:v>5.5</x:v>
      </x:c>
      <x:c r="M1346" t="n">
        <x:v>1</x:v>
      </x:c>
      <x:c r="N1346" t="n">
        <x:v>4</x:v>
      </x:c>
      <x:c r="O1346" t="n">
        <x:v>3</x:v>
      </x:c>
      <x:c r="P1346" s="63" t="str">
        <x:f>IF(M1346=0,"—",M1346&amp;"d"&amp;N1346&amp;IF(O1346=0,""," + "&amp;O1346))</x:f>
        <x:v>1d4 + 3</x:v>
      </x:c>
      <x:c r="Q1346" t="n">
        <x:f>ROUND(INDEX(Catalogue!E$4:E$85,MATCH(A1346,Catalogue!A$4:A$85,0))*(1+'Paramètres'!$B$4*(C1346-1)+'Paramètres'!$B$5*(C1346-1)^2),0)</x:f>
        <x:v>4</x:v>
      </x:c>
      <x:c r="R1346" t="n">
        <x:f>ROUND(INDEX(Catalogue!F$4:F$85,MATCH(A1346,Catalogue!A$4:A$85,0))*(1+'Paramètres'!$B$4*(C1346-1)+'Paramètres'!$B$5*(C1346-1)^2),0)</x:f>
        <x:v>8</x:v>
      </x:c>
      <x:c r="S1346" t="n">
        <x:f>L1346-AVERAGE(Q1346:R1346)</x:f>
        <x:v>-0.5</x:v>
      </x:c>
      <x:c r="T1346" t="str">
        <x:f>IF(M1346=0,IF(AND(N1346=0,O1346=0,E1346=0,F1346=0),"OK","ERREUR"),IF(AND(M1346&gt;=1,M1346&lt;=32,OR(N1346=4,N1346=6,N1346=8,N1346=10,N1346=12,N1346=20),O1346&gt;=0,E1346=M1346+O1346,F1346=M1346*N1346+O1346),"OK","ERREUR"))</x:f>
        <x:v>OK</x:v>
      </x:c>
      <x:c r="U1346" s="86" t="n">
        <x:f>IF(M1346&gt;0,M1346*(N1346+1)/2+O1346,0)</x:f>
        <x:v>5.5</x:v>
      </x:c>
      <x:c r="V1346" t="str">
        <x:f>IF(ABS(L1346-U1346)&lt;0.001,"OK","ERREUR")</x:f>
        <x:v>OK</x:v>
      </x:c>
    </x:row>
    <x:row r="1347" ht="18" customHeight="1">
      <x:c r="A1347" t="str">
        <x:v>ARM068</x:v>
      </x:c>
      <x:c r="B1347" t="str">
        <x:v>Bâton rituel</x:v>
      </x:c>
      <x:c r="C1347" t="n">
        <x:v>4</x:v>
      </x:c>
      <x:c r="D1347" t="str">
        <x:v>Focaliseurs</x:v>
      </x:c>
      <x:c r="E1347" s="28" t="n">
        <x:f>IF(M1347=0,0,M1347+O1347)</x:f>
        <x:v>4</x:v>
      </x:c>
      <x:c r="F1347" s="28" t="n">
        <x:f>IF(M1347=0,0,M1347*N1347+O1347)</x:f>
        <x:v>9</x:v>
      </x:c>
      <x:c r="G1347" s="28" t="n">
        <x:f>ROUND(Catalogue!G71*SQRT((1+'Paramètres'!$B$4*(C1347-1)+'Paramètres'!$B$5*(C1347-1)^2)),0)</x:f>
        <x:v>0</x:v>
      </x:c>
      <x:c r="H1347" s="28" t="n">
        <x:f>ROUND(Catalogue!H71*SQRT((1+'Paramètres'!$B$4*(C1347-1)+'Paramètres'!$B$5*(C1347-1)^2)),0)</x:f>
        <x:v>0</x:v>
      </x:c>
      <x:c r="I1347" s="28" t="n">
        <x:v>2</x:v>
      </x:c>
      <x:c r="J1347" s="28" t="n">
        <x:v>4</x:v>
      </x:c>
      <x:c r="K1347" s="30" t="n">
        <x:v>2</x:v>
      </x:c>
      <x:c r="L1347" s="54" t="n">
        <x:f>IF(M1347=0,0,(E1347+F1347)/2)</x:f>
        <x:v>6.5</x:v>
      </x:c>
      <x:c r="M1347" t="n">
        <x:v>1</x:v>
      </x:c>
      <x:c r="N1347" t="n">
        <x:v>6</x:v>
      </x:c>
      <x:c r="O1347" t="n">
        <x:v>3</x:v>
      </x:c>
      <x:c r="P1347" s="63" t="str">
        <x:f>IF(M1347=0,"—",M1347&amp;"d"&amp;N1347&amp;IF(O1347=0,""," + "&amp;O1347))</x:f>
        <x:v>1d6 + 3</x:v>
      </x:c>
      <x:c r="Q1347" t="n">
        <x:f>ROUND(INDEX(Catalogue!E$4:E$85,MATCH(A1347,Catalogue!A$4:A$85,0))*(1+'Paramètres'!$B$4*(C1347-1)+'Paramètres'!$B$5*(C1347-1)^2),0)</x:f>
        <x:v>4</x:v>
      </x:c>
      <x:c r="R1347" t="n">
        <x:f>ROUND(INDEX(Catalogue!F$4:F$85,MATCH(A1347,Catalogue!A$4:A$85,0))*(1+'Paramètres'!$B$4*(C1347-1)+'Paramètres'!$B$5*(C1347-1)^2),0)</x:f>
        <x:v>9</x:v>
      </x:c>
      <x:c r="S1347" t="n">
        <x:f>L1347-AVERAGE(Q1347:R1347)</x:f>
        <x:v>0</x:v>
      </x:c>
      <x:c r="T1347" t="str">
        <x:f>IF(M1347=0,IF(AND(N1347=0,O1347=0,E1347=0,F1347=0),"OK","ERREUR"),IF(AND(M1347&gt;=1,M1347&lt;=32,OR(N1347=4,N1347=6,N1347=8,N1347=10,N1347=12,N1347=20),O1347&gt;=0,E1347=M1347+O1347,F1347=M1347*N1347+O1347),"OK","ERREUR"))</x:f>
        <x:v>OK</x:v>
      </x:c>
      <x:c r="U1347" s="86" t="n">
        <x:f>IF(M1347&gt;0,M1347*(N1347+1)/2+O1347,0)</x:f>
        <x:v>6.5</x:v>
      </x:c>
      <x:c r="V1347" t="str">
        <x:f>IF(ABS(L1347-U1347)&lt;0.001,"OK","ERREUR")</x:f>
        <x:v>OK</x:v>
      </x:c>
    </x:row>
    <x:row r="1348" ht="18" customHeight="1">
      <x:c r="A1348" t="str">
        <x:v>ARM068</x:v>
      </x:c>
      <x:c r="B1348" t="str">
        <x:v>Bâton rituel</x:v>
      </x:c>
      <x:c r="C1348" t="n">
        <x:v>5</x:v>
      </x:c>
      <x:c r="D1348" t="str">
        <x:v>Focaliseurs</x:v>
      </x:c>
      <x:c r="E1348" s="28" t="n">
        <x:f>IF(M1348=0,0,M1348+O1348)</x:f>
        <x:v>5</x:v>
      </x:c>
      <x:c r="F1348" s="28" t="n">
        <x:f>IF(M1348=0,0,M1348*N1348+O1348)</x:f>
        <x:v>10</x:v>
      </x:c>
      <x:c r="G1348" s="28" t="n">
        <x:f>ROUND(Catalogue!G71*SQRT((1+'Paramètres'!$B$4*(C1348-1)+'Paramètres'!$B$5*(C1348-1)^2)),0)</x:f>
        <x:v>0</x:v>
      </x:c>
      <x:c r="H1348" s="28" t="n">
        <x:f>ROUND(Catalogue!H71*SQRT((1+'Paramètres'!$B$4*(C1348-1)+'Paramètres'!$B$5*(C1348-1)^2)),0)</x:f>
        <x:v>0</x:v>
      </x:c>
      <x:c r="I1348" s="28" t="n">
        <x:v>2</x:v>
      </x:c>
      <x:c r="J1348" s="28" t="n">
        <x:v>4</x:v>
      </x:c>
      <x:c r="K1348" s="30" t="n">
        <x:v>2</x:v>
      </x:c>
      <x:c r="L1348" s="54" t="n">
        <x:f>IF(M1348=0,0,(E1348+F1348)/2)</x:f>
        <x:v>7.5</x:v>
      </x:c>
      <x:c r="M1348" t="n">
        <x:v>1</x:v>
      </x:c>
      <x:c r="N1348" t="n">
        <x:v>6</x:v>
      </x:c>
      <x:c r="O1348" t="n">
        <x:v>4</x:v>
      </x:c>
      <x:c r="P1348" s="63" t="str">
        <x:f>IF(M1348=0,"—",M1348&amp;"d"&amp;N1348&amp;IF(O1348=0,""," + "&amp;O1348))</x:f>
        <x:v>1d6 + 4</x:v>
      </x:c>
      <x:c r="Q1348" t="n">
        <x:f>ROUND(INDEX(Catalogue!E$4:E$85,MATCH(A1348,Catalogue!A$4:A$85,0))*(1+'Paramètres'!$B$4*(C1348-1)+'Paramètres'!$B$5*(C1348-1)^2),0)</x:f>
        <x:v>5</x:v>
      </x:c>
      <x:c r="R1348" t="n">
        <x:f>ROUND(INDEX(Catalogue!F$4:F$85,MATCH(A1348,Catalogue!A$4:A$85,0))*(1+'Paramètres'!$B$4*(C1348-1)+'Paramètres'!$B$5*(C1348-1)^2),0)</x:f>
        <x:v>10</x:v>
      </x:c>
      <x:c r="S1348" t="n">
        <x:f>L1348-AVERAGE(Q1348:R1348)</x:f>
        <x:v>0</x:v>
      </x:c>
      <x:c r="T1348" t="str">
        <x:f>IF(M1348=0,IF(AND(N1348=0,O1348=0,E1348=0,F1348=0),"OK","ERREUR"),IF(AND(M1348&gt;=1,M1348&lt;=32,OR(N1348=4,N1348=6,N1348=8,N1348=10,N1348=12,N1348=20),O1348&gt;=0,E1348=M1348+O1348,F1348=M1348*N1348+O1348),"OK","ERREUR"))</x:f>
        <x:v>OK</x:v>
      </x:c>
      <x:c r="U1348" s="86" t="n">
        <x:f>IF(M1348&gt;0,M1348*(N1348+1)/2+O1348,0)</x:f>
        <x:v>7.5</x:v>
      </x:c>
      <x:c r="V1348" t="str">
        <x:f>IF(ABS(L1348-U1348)&lt;0.001,"OK","ERREUR")</x:f>
        <x:v>OK</x:v>
      </x:c>
    </x:row>
    <x:row r="1349" ht="18" customHeight="1">
      <x:c r="A1349" t="str">
        <x:v>ARM068</x:v>
      </x:c>
      <x:c r="B1349" t="str">
        <x:v>Bâton rituel</x:v>
      </x:c>
      <x:c r="C1349" t="n">
        <x:v>6</x:v>
      </x:c>
      <x:c r="D1349" t="str">
        <x:v>Focaliseurs</x:v>
      </x:c>
      <x:c r="E1349" s="28" t="n">
        <x:f>IF(M1349=0,0,M1349+O1349)</x:f>
        <x:v>6</x:v>
      </x:c>
      <x:c r="F1349" s="28" t="n">
        <x:f>IF(M1349=0,0,M1349*N1349+O1349)</x:f>
        <x:v>12</x:v>
      </x:c>
      <x:c r="G1349" s="28" t="n">
        <x:f>ROUND(Catalogue!G71*SQRT((1+'Paramètres'!$B$4*(C1349-1)+'Paramètres'!$B$5*(C1349-1)^2)),0)</x:f>
        <x:v>0</x:v>
      </x:c>
      <x:c r="H1349" s="28" t="n">
        <x:f>ROUND(Catalogue!H71*SQRT((1+'Paramètres'!$B$4*(C1349-1)+'Paramètres'!$B$5*(C1349-1)^2)),0)</x:f>
        <x:v>0</x:v>
      </x:c>
      <x:c r="I1349" s="28" t="n">
        <x:v>2</x:v>
      </x:c>
      <x:c r="J1349" s="28" t="n">
        <x:v>4</x:v>
      </x:c>
      <x:c r="K1349" s="30" t="n">
        <x:v>2</x:v>
      </x:c>
      <x:c r="L1349" s="54" t="n">
        <x:f>IF(M1349=0,0,(E1349+F1349)/2)</x:f>
        <x:v>9</x:v>
      </x:c>
      <x:c r="M1349" t="n">
        <x:v>2</x:v>
      </x:c>
      <x:c r="N1349" t="n">
        <x:v>4</x:v>
      </x:c>
      <x:c r="O1349" t="n">
        <x:v>4</x:v>
      </x:c>
      <x:c r="P1349" s="63" t="str">
        <x:f>IF(M1349=0,"—",M1349&amp;"d"&amp;N1349&amp;IF(O1349=0,""," + "&amp;O1349))</x:f>
        <x:v>2d4 + 4</x:v>
      </x:c>
      <x:c r="Q1349" t="n">
        <x:f>ROUND(INDEX(Catalogue!E$4:E$85,MATCH(A1349,Catalogue!A$4:A$85,0))*(1+'Paramètres'!$B$4*(C1349-1)+'Paramètres'!$B$5*(C1349-1)^2),0)</x:f>
        <x:v>6</x:v>
      </x:c>
      <x:c r="R1349" t="n">
        <x:f>ROUND(INDEX(Catalogue!F$4:F$85,MATCH(A1349,Catalogue!A$4:A$85,0))*(1+'Paramètres'!$B$4*(C1349-1)+'Paramètres'!$B$5*(C1349-1)^2),0)</x:f>
        <x:v>12</x:v>
      </x:c>
      <x:c r="S1349" t="n">
        <x:f>L1349-AVERAGE(Q1349:R1349)</x:f>
        <x:v>0</x:v>
      </x:c>
      <x:c r="T1349" t="str">
        <x:f>IF(M1349=0,IF(AND(N1349=0,O1349=0,E1349=0,F1349=0),"OK","ERREUR"),IF(AND(M1349&gt;=1,M1349&lt;=32,OR(N1349=4,N1349=6,N1349=8,N1349=10,N1349=12,N1349=20),O1349&gt;=0,E1349=M1349+O1349,F1349=M1349*N1349+O1349),"OK","ERREUR"))</x:f>
        <x:v>OK</x:v>
      </x:c>
      <x:c r="U1349" s="86" t="n">
        <x:f>IF(M1349&gt;0,M1349*(N1349+1)/2+O1349,0)</x:f>
        <x:v>9</x:v>
      </x:c>
      <x:c r="V1349" t="str">
        <x:f>IF(ABS(L1349-U1349)&lt;0.001,"OK","ERREUR")</x:f>
        <x:v>OK</x:v>
      </x:c>
    </x:row>
    <x:row r="1350" ht="18" customHeight="1">
      <x:c r="A1350" t="str">
        <x:v>ARM068</x:v>
      </x:c>
      <x:c r="B1350" t="str">
        <x:v>Bâton rituel</x:v>
      </x:c>
      <x:c r="C1350" t="n">
        <x:v>7</x:v>
      </x:c>
      <x:c r="D1350" t="str">
        <x:v>Focaliseurs</x:v>
      </x:c>
      <x:c r="E1350" s="28" t="n">
        <x:f>IF(M1350=0,0,M1350+O1350)</x:f>
        <x:v>7</x:v>
      </x:c>
      <x:c r="F1350" s="28" t="n">
        <x:f>IF(M1350=0,0,M1350*N1350+O1350)</x:f>
        <x:v>13</x:v>
      </x:c>
      <x:c r="G1350" s="28" t="n">
        <x:f>ROUND(Catalogue!G71*SQRT((1+'Paramètres'!$B$4*(C1350-1)+'Paramètres'!$B$5*(C1350-1)^2)),0)</x:f>
        <x:v>0</x:v>
      </x:c>
      <x:c r="H1350" s="28" t="n">
        <x:f>ROUND(Catalogue!H71*SQRT((1+'Paramètres'!$B$4*(C1350-1)+'Paramètres'!$B$5*(C1350-1)^2)),0)</x:f>
        <x:v>0</x:v>
      </x:c>
      <x:c r="I1350" s="28" t="n">
        <x:v>2</x:v>
      </x:c>
      <x:c r="J1350" s="28" t="n">
        <x:v>4</x:v>
      </x:c>
      <x:c r="K1350" s="30" t="n">
        <x:v>2</x:v>
      </x:c>
      <x:c r="L1350" s="54" t="n">
        <x:f>IF(M1350=0,0,(E1350+F1350)/2)</x:f>
        <x:v>10</x:v>
      </x:c>
      <x:c r="M1350" t="n">
        <x:v>2</x:v>
      </x:c>
      <x:c r="N1350" t="n">
        <x:v>4</x:v>
      </x:c>
      <x:c r="O1350" t="n">
        <x:v>5</x:v>
      </x:c>
      <x:c r="P1350" s="63" t="str">
        <x:f>IF(M1350=0,"—",M1350&amp;"d"&amp;N1350&amp;IF(O1350=0,""," + "&amp;O1350))</x:f>
        <x:v>2d4 + 5</x:v>
      </x:c>
      <x:c r="Q1350" t="n">
        <x:f>ROUND(INDEX(Catalogue!E$4:E$85,MATCH(A1350,Catalogue!A$4:A$85,0))*(1+'Paramètres'!$B$4*(C1350-1)+'Paramètres'!$B$5*(C1350-1)^2),0)</x:f>
        <x:v>7</x:v>
      </x:c>
      <x:c r="R1350" t="n">
        <x:f>ROUND(INDEX(Catalogue!F$4:F$85,MATCH(A1350,Catalogue!A$4:A$85,0))*(1+'Paramètres'!$B$4*(C1350-1)+'Paramètres'!$B$5*(C1350-1)^2),0)</x:f>
        <x:v>13</x:v>
      </x:c>
      <x:c r="S1350" t="n">
        <x:f>L1350-AVERAGE(Q1350:R1350)</x:f>
        <x:v>0</x:v>
      </x:c>
      <x:c r="T1350" t="str">
        <x:f>IF(M1350=0,IF(AND(N1350=0,O1350=0,E1350=0,F1350=0),"OK","ERREUR"),IF(AND(M1350&gt;=1,M1350&lt;=32,OR(N1350=4,N1350=6,N1350=8,N1350=10,N1350=12,N1350=20),O1350&gt;=0,E1350=M1350+O1350,F1350=M1350*N1350+O1350),"OK","ERREUR"))</x:f>
        <x:v>OK</x:v>
      </x:c>
      <x:c r="U1350" s="86" t="n">
        <x:f>IF(M1350&gt;0,M1350*(N1350+1)/2+O1350,0)</x:f>
        <x:v>10</x:v>
      </x:c>
      <x:c r="V1350" t="str">
        <x:f>IF(ABS(L1350-U1350)&lt;0.001,"OK","ERREUR")</x:f>
        <x:v>OK</x:v>
      </x:c>
    </x:row>
    <x:row r="1351" ht="18" customHeight="1">
      <x:c r="A1351" t="str">
        <x:v>ARM068</x:v>
      </x:c>
      <x:c r="B1351" t="str">
        <x:v>Bâton rituel</x:v>
      </x:c>
      <x:c r="C1351" t="n">
        <x:v>8</x:v>
      </x:c>
      <x:c r="D1351" t="str">
        <x:v>Focaliseurs</x:v>
      </x:c>
      <x:c r="E1351" s="28" t="n">
        <x:f>IF(M1351=0,0,M1351+O1351)</x:f>
        <x:v>8</x:v>
      </x:c>
      <x:c r="F1351" s="28" t="n">
        <x:f>IF(M1351=0,0,M1351*N1351+O1351)</x:f>
        <x:v>15</x:v>
      </x:c>
      <x:c r="G1351" s="28" t="n">
        <x:f>ROUND(Catalogue!G71*SQRT((1+'Paramètres'!$B$4*(C1351-1)+'Paramètres'!$B$5*(C1351-1)^2)),0)</x:f>
        <x:v>0</x:v>
      </x:c>
      <x:c r="H1351" s="28" t="n">
        <x:f>ROUND(Catalogue!H71*SQRT((1+'Paramètres'!$B$4*(C1351-1)+'Paramètres'!$B$5*(C1351-1)^2)),0)</x:f>
        <x:v>0</x:v>
      </x:c>
      <x:c r="I1351" s="28" t="n">
        <x:v>2</x:v>
      </x:c>
      <x:c r="J1351" s="28" t="n">
        <x:v>4</x:v>
      </x:c>
      <x:c r="K1351" s="30" t="n">
        <x:v>2</x:v>
      </x:c>
      <x:c r="L1351" s="54" t="n">
        <x:f>IF(M1351=0,0,(E1351+F1351)/2)</x:f>
        <x:v>11.5</x:v>
      </x:c>
      <x:c r="M1351" t="n">
        <x:v>1</x:v>
      </x:c>
      <x:c r="N1351" t="n">
        <x:v>8</x:v>
      </x:c>
      <x:c r="O1351" t="n">
        <x:v>7</x:v>
      </x:c>
      <x:c r="P1351" s="63" t="str">
        <x:f>IF(M1351=0,"—",M1351&amp;"d"&amp;N1351&amp;IF(O1351=0,""," + "&amp;O1351))</x:f>
        <x:v>1d8 + 7</x:v>
      </x:c>
      <x:c r="Q1351" t="n">
        <x:f>ROUND(INDEX(Catalogue!E$4:E$85,MATCH(A1351,Catalogue!A$4:A$85,0))*(1+'Paramètres'!$B$4*(C1351-1)+'Paramètres'!$B$5*(C1351-1)^2),0)</x:f>
        <x:v>8</x:v>
      </x:c>
      <x:c r="R1351" t="n">
        <x:f>ROUND(INDEX(Catalogue!F$4:F$85,MATCH(A1351,Catalogue!A$4:A$85,0))*(1+'Paramètres'!$B$4*(C1351-1)+'Paramètres'!$B$5*(C1351-1)^2),0)</x:f>
        <x:v>15</x:v>
      </x:c>
      <x:c r="S1351" t="n">
        <x:f>L1351-AVERAGE(Q1351:R1351)</x:f>
        <x:v>0</x:v>
      </x:c>
      <x:c r="T1351" t="str">
        <x:f>IF(M1351=0,IF(AND(N1351=0,O1351=0,E1351=0,F1351=0),"OK","ERREUR"),IF(AND(M1351&gt;=1,M1351&lt;=32,OR(N1351=4,N1351=6,N1351=8,N1351=10,N1351=12,N1351=20),O1351&gt;=0,E1351=M1351+O1351,F1351=M1351*N1351+O1351),"OK","ERREUR"))</x:f>
        <x:v>OK</x:v>
      </x:c>
      <x:c r="U1351" s="86" t="n">
        <x:f>IF(M1351&gt;0,M1351*(N1351+1)/2+O1351,0)</x:f>
        <x:v>11.5</x:v>
      </x:c>
      <x:c r="V1351" t="str">
        <x:f>IF(ABS(L1351-U1351)&lt;0.001,"OK","ERREUR")</x:f>
        <x:v>OK</x:v>
      </x:c>
    </x:row>
    <x:row r="1352" ht="18" customHeight="1">
      <x:c r="A1352" t="str">
        <x:v>ARM068</x:v>
      </x:c>
      <x:c r="B1352" t="str">
        <x:v>Bâton rituel</x:v>
      </x:c>
      <x:c r="C1352" t="n">
        <x:v>9</x:v>
      </x:c>
      <x:c r="D1352" t="str">
        <x:v>Focaliseurs</x:v>
      </x:c>
      <x:c r="E1352" s="28" t="n">
        <x:f>IF(M1352=0,0,M1352+O1352)</x:f>
        <x:v>8</x:v>
      </x:c>
      <x:c r="F1352" s="28" t="n">
        <x:f>IF(M1352=0,0,M1352*N1352+O1352)</x:f>
        <x:v>17</x:v>
      </x:c>
      <x:c r="G1352" s="28" t="n">
        <x:f>ROUND(Catalogue!G71*SQRT((1+'Paramètres'!$B$4*(C1352-1)+'Paramètres'!$B$5*(C1352-1)^2)),0)</x:f>
        <x:v>0</x:v>
      </x:c>
      <x:c r="H1352" s="28" t="n">
        <x:f>ROUND(Catalogue!H71*SQRT((1+'Paramètres'!$B$4*(C1352-1)+'Paramètres'!$B$5*(C1352-1)^2)),0)</x:f>
        <x:v>0</x:v>
      </x:c>
      <x:c r="I1352" s="28" t="n">
        <x:v>2</x:v>
      </x:c>
      <x:c r="J1352" s="28" t="n">
        <x:v>4</x:v>
      </x:c>
      <x:c r="K1352" s="30" t="n">
        <x:v>2</x:v>
      </x:c>
      <x:c r="L1352" s="54" t="n">
        <x:f>IF(M1352=0,0,(E1352+F1352)/2)</x:f>
        <x:v>12.5</x:v>
      </x:c>
      <x:c r="M1352" t="n">
        <x:v>3</x:v>
      </x:c>
      <x:c r="N1352" t="n">
        <x:v>4</x:v>
      </x:c>
      <x:c r="O1352" t="n">
        <x:v>5</x:v>
      </x:c>
      <x:c r="P1352" s="63" t="str">
        <x:f>IF(M1352=0,"—",M1352&amp;"d"&amp;N1352&amp;IF(O1352=0,""," + "&amp;O1352))</x:f>
        <x:v>3d4 + 5</x:v>
      </x:c>
      <x:c r="Q1352" t="n">
        <x:f>ROUND(INDEX(Catalogue!E$4:E$85,MATCH(A1352,Catalogue!A$4:A$85,0))*(1+'Paramètres'!$B$4*(C1352-1)+'Paramètres'!$B$5*(C1352-1)^2),0)</x:f>
        <x:v>9</x:v>
      </x:c>
      <x:c r="R1352" t="n">
        <x:f>ROUND(INDEX(Catalogue!F$4:F$85,MATCH(A1352,Catalogue!A$4:A$85,0))*(1+'Paramètres'!$B$4*(C1352-1)+'Paramètres'!$B$5*(C1352-1)^2),0)</x:f>
        <x:v>17</x:v>
      </x:c>
      <x:c r="S1352" t="n">
        <x:f>L1352-AVERAGE(Q1352:R1352)</x:f>
        <x:v>-0.5</x:v>
      </x:c>
      <x:c r="T1352" t="str">
        <x:f>IF(M1352=0,IF(AND(N1352=0,O1352=0,E1352=0,F1352=0),"OK","ERREUR"),IF(AND(M1352&gt;=1,M1352&lt;=32,OR(N1352=4,N1352=6,N1352=8,N1352=10,N1352=12,N1352=20),O1352&gt;=0,E1352=M1352+O1352,F1352=M1352*N1352+O1352),"OK","ERREUR"))</x:f>
        <x:v>OK</x:v>
      </x:c>
      <x:c r="U1352" s="86" t="n">
        <x:f>IF(M1352&gt;0,M1352*(N1352+1)/2+O1352,0)</x:f>
        <x:v>12.5</x:v>
      </x:c>
      <x:c r="V1352" t="str">
        <x:f>IF(ABS(L1352-U1352)&lt;0.001,"OK","ERREUR")</x:f>
        <x:v>OK</x:v>
      </x:c>
    </x:row>
    <x:row r="1353" ht="18" customHeight="1">
      <x:c r="A1353" t="str">
        <x:v>ARM068</x:v>
      </x:c>
      <x:c r="B1353" t="str">
        <x:v>Bâton rituel</x:v>
      </x:c>
      <x:c r="C1353" t="n">
        <x:v>10</x:v>
      </x:c>
      <x:c r="D1353" t="str">
        <x:v>Focaliseurs</x:v>
      </x:c>
      <x:c r="E1353" s="28" t="n">
        <x:f>IF(M1353=0,0,M1353+O1353)</x:f>
        <x:v>10</x:v>
      </x:c>
      <x:c r="F1353" s="28" t="n">
        <x:f>IF(M1353=0,0,M1353*N1353+O1353)</x:f>
        <x:v>20</x:v>
      </x:c>
      <x:c r="G1353" s="28" t="n">
        <x:f>ROUND(Catalogue!G71*SQRT((1+'Paramètres'!$B$4*(C1353-1)+'Paramètres'!$B$5*(C1353-1)^2)),0)</x:f>
        <x:v>0</x:v>
      </x:c>
      <x:c r="H1353" s="28" t="n">
        <x:f>ROUND(Catalogue!H71*SQRT((1+'Paramètres'!$B$4*(C1353-1)+'Paramètres'!$B$5*(C1353-1)^2)),0)</x:f>
        <x:v>0</x:v>
      </x:c>
      <x:c r="I1353" s="28" t="n">
        <x:v>2</x:v>
      </x:c>
      <x:c r="J1353" s="28" t="n">
        <x:v>4</x:v>
      </x:c>
      <x:c r="K1353" s="30" t="n">
        <x:v>2</x:v>
      </x:c>
      <x:c r="L1353" s="54" t="n">
        <x:f>IF(M1353=0,0,(E1353+F1353)/2)</x:f>
        <x:v>15</x:v>
      </x:c>
      <x:c r="M1353" t="n">
        <x:v>2</x:v>
      </x:c>
      <x:c r="N1353" t="n">
        <x:v>6</x:v>
      </x:c>
      <x:c r="O1353" t="n">
        <x:v>8</x:v>
      </x:c>
      <x:c r="P1353" s="63" t="str">
        <x:f>IF(M1353=0,"—",M1353&amp;"d"&amp;N1353&amp;IF(O1353=0,""," + "&amp;O1353))</x:f>
        <x:v>2d6 + 8</x:v>
      </x:c>
      <x:c r="Q1353" t="n">
        <x:f>ROUND(INDEX(Catalogue!E$4:E$85,MATCH(A1353,Catalogue!A$4:A$85,0))*(1+'Paramètres'!$B$4*(C1353-1)+'Paramètres'!$B$5*(C1353-1)^2),0)</x:f>
        <x:v>10</x:v>
      </x:c>
      <x:c r="R1353" t="n">
        <x:f>ROUND(INDEX(Catalogue!F$4:F$85,MATCH(A1353,Catalogue!A$4:A$85,0))*(1+'Paramètres'!$B$4*(C1353-1)+'Paramètres'!$B$5*(C1353-1)^2),0)</x:f>
        <x:v>20</x:v>
      </x:c>
      <x:c r="S1353" t="n">
        <x:f>L1353-AVERAGE(Q1353:R1353)</x:f>
        <x:v>0</x:v>
      </x:c>
      <x:c r="T1353" t="str">
        <x:f>IF(M1353=0,IF(AND(N1353=0,O1353=0,E1353=0,F1353=0),"OK","ERREUR"),IF(AND(M1353&gt;=1,M1353&lt;=32,OR(N1353=4,N1353=6,N1353=8,N1353=10,N1353=12,N1353=20),O1353&gt;=0,E1353=M1353+O1353,F1353=M1353*N1353+O1353),"OK","ERREUR"))</x:f>
        <x:v>OK</x:v>
      </x:c>
      <x:c r="U1353" s="86" t="n">
        <x:f>IF(M1353&gt;0,M1353*(N1353+1)/2+O1353,0)</x:f>
        <x:v>15</x:v>
      </x:c>
      <x:c r="V1353" t="str">
        <x:f>IF(ABS(L1353-U1353)&lt;0.001,"OK","ERREUR")</x:f>
        <x:v>OK</x:v>
      </x:c>
    </x:row>
    <x:row r="1354" ht="18" customHeight="1">
      <x:c r="A1354" t="str">
        <x:v>ARM068</x:v>
      </x:c>
      <x:c r="B1354" t="str">
        <x:v>Bâton rituel</x:v>
      </x:c>
      <x:c r="C1354" t="n">
        <x:v>11</x:v>
      </x:c>
      <x:c r="D1354" t="str">
        <x:v>Focaliseurs</x:v>
      </x:c>
      <x:c r="E1354" s="28" t="n">
        <x:f>IF(M1354=0,0,M1354+O1354)</x:f>
        <x:v>11</x:v>
      </x:c>
      <x:c r="F1354" s="28" t="n">
        <x:f>IF(M1354=0,0,M1354*N1354+O1354)</x:f>
        <x:v>22</x:v>
      </x:c>
      <x:c r="G1354" s="28" t="n">
        <x:f>ROUND(Catalogue!G71*SQRT((1+'Paramètres'!$B$4*(C1354-1)+'Paramètres'!$B$5*(C1354-1)^2)),0)</x:f>
        <x:v>0</x:v>
      </x:c>
      <x:c r="H1354" s="28" t="n">
        <x:f>ROUND(Catalogue!H71*SQRT((1+'Paramètres'!$B$4*(C1354-1)+'Paramètres'!$B$5*(C1354-1)^2)),0)</x:f>
        <x:v>0</x:v>
      </x:c>
      <x:c r="I1354" s="28" t="n">
        <x:v>2</x:v>
      </x:c>
      <x:c r="J1354" s="28" t="n">
        <x:v>4</x:v>
      </x:c>
      <x:c r="K1354" s="30" t="n">
        <x:v>2</x:v>
      </x:c>
      <x:c r="L1354" s="54" t="n">
        <x:f>IF(M1354=0,0,(E1354+F1354)/2)</x:f>
        <x:v>16.5</x:v>
      </x:c>
      <x:c r="M1354" t="n">
        <x:v>1</x:v>
      </x:c>
      <x:c r="N1354" t="n">
        <x:v>12</x:v>
      </x:c>
      <x:c r="O1354" t="n">
        <x:v>10</x:v>
      </x:c>
      <x:c r="P1354" s="63" t="str">
        <x:f>IF(M1354=0,"—",M1354&amp;"d"&amp;N1354&amp;IF(O1354=0,""," + "&amp;O1354))</x:f>
        <x:v>1d12 + 10</x:v>
      </x:c>
      <x:c r="Q1354" t="n">
        <x:f>ROUND(INDEX(Catalogue!E$4:E$85,MATCH(A1354,Catalogue!A$4:A$85,0))*(1+'Paramètres'!$B$4*(C1354-1)+'Paramètres'!$B$5*(C1354-1)^2),0)</x:f>
        <x:v>11</x:v>
      </x:c>
      <x:c r="R1354" t="n">
        <x:f>ROUND(INDEX(Catalogue!F$4:F$85,MATCH(A1354,Catalogue!A$4:A$85,0))*(1+'Paramètres'!$B$4*(C1354-1)+'Paramètres'!$B$5*(C1354-1)^2),0)</x:f>
        <x:v>22</x:v>
      </x:c>
      <x:c r="S1354" t="n">
        <x:f>L1354-AVERAGE(Q1354:R1354)</x:f>
        <x:v>0</x:v>
      </x:c>
      <x:c r="T1354" t="str">
        <x:f>IF(M1354=0,IF(AND(N1354=0,O1354=0,E1354=0,F1354=0),"OK","ERREUR"),IF(AND(M1354&gt;=1,M1354&lt;=32,OR(N1354=4,N1354=6,N1354=8,N1354=10,N1354=12,N1354=20),O1354&gt;=0,E1354=M1354+O1354,F1354=M1354*N1354+O1354),"OK","ERREUR"))</x:f>
        <x:v>OK</x:v>
      </x:c>
      <x:c r="U1354" s="86" t="n">
        <x:f>IF(M1354&gt;0,M1354*(N1354+1)/2+O1354,0)</x:f>
        <x:v>16.5</x:v>
      </x:c>
      <x:c r="V1354" t="str">
        <x:f>IF(ABS(L1354-U1354)&lt;0.001,"OK","ERREUR")</x:f>
        <x:v>OK</x:v>
      </x:c>
    </x:row>
    <x:row r="1355" ht="18" customHeight="1">
      <x:c r="A1355" t="str">
        <x:v>ARM068</x:v>
      </x:c>
      <x:c r="B1355" t="str">
        <x:v>Bâton rituel</x:v>
      </x:c>
      <x:c r="C1355" t="n">
        <x:v>12</x:v>
      </x:c>
      <x:c r="D1355" t="str">
        <x:v>Focaliseurs</x:v>
      </x:c>
      <x:c r="E1355" s="28" t="n">
        <x:f>IF(M1355=0,0,M1355+O1355)</x:f>
        <x:v>11</x:v>
      </x:c>
      <x:c r="F1355" s="28" t="n">
        <x:f>IF(M1355=0,0,M1355*N1355+O1355)</x:f>
        <x:v>25</x:v>
      </x:c>
      <x:c r="G1355" s="28" t="n">
        <x:f>ROUND(Catalogue!G71*SQRT((1+'Paramètres'!$B$4*(C1355-1)+'Paramètres'!$B$5*(C1355-1)^2)),0)</x:f>
        <x:v>0</x:v>
      </x:c>
      <x:c r="H1355" s="28" t="n">
        <x:f>ROUND(Catalogue!H71*SQRT((1+'Paramètres'!$B$4*(C1355-1)+'Paramètres'!$B$5*(C1355-1)^2)),0)</x:f>
        <x:v>0</x:v>
      </x:c>
      <x:c r="I1355" s="28" t="n">
        <x:v>2</x:v>
      </x:c>
      <x:c r="J1355" s="28" t="n">
        <x:v>4</x:v>
      </x:c>
      <x:c r="K1355" s="30" t="n">
        <x:v>2</x:v>
      </x:c>
      <x:c r="L1355" s="54" t="n">
        <x:f>IF(M1355=0,0,(E1355+F1355)/2)</x:f>
        <x:v>18</x:v>
      </x:c>
      <x:c r="M1355" t="n">
        <x:v>2</x:v>
      </x:c>
      <x:c r="N1355" t="n">
        <x:v>8</x:v>
      </x:c>
      <x:c r="O1355" t="n">
        <x:v>9</x:v>
      </x:c>
      <x:c r="P1355" s="63" t="str">
        <x:f>IF(M1355=0,"—",M1355&amp;"d"&amp;N1355&amp;IF(O1355=0,""," + "&amp;O1355))</x:f>
        <x:v>2d8 + 9</x:v>
      </x:c>
      <x:c r="Q1355" t="n">
        <x:f>ROUND(INDEX(Catalogue!E$4:E$85,MATCH(A1355,Catalogue!A$4:A$85,0))*(1+'Paramètres'!$B$4*(C1355-1)+'Paramètres'!$B$5*(C1355-1)^2),0)</x:f>
        <x:v>12</x:v>
      </x:c>
      <x:c r="R1355" t="n">
        <x:f>ROUND(INDEX(Catalogue!F$4:F$85,MATCH(A1355,Catalogue!A$4:A$85,0))*(1+'Paramètres'!$B$4*(C1355-1)+'Paramètres'!$B$5*(C1355-1)^2),0)</x:f>
        <x:v>25</x:v>
      </x:c>
      <x:c r="S1355" t="n">
        <x:f>L1355-AVERAGE(Q1355:R1355)</x:f>
        <x:v>-0.5</x:v>
      </x:c>
      <x:c r="T1355" t="str">
        <x:f>IF(M1355=0,IF(AND(N1355=0,O1355=0,E1355=0,F1355=0),"OK","ERREUR"),IF(AND(M1355&gt;=1,M1355&lt;=32,OR(N1355=4,N1355=6,N1355=8,N1355=10,N1355=12,N1355=20),O1355&gt;=0,E1355=M1355+O1355,F1355=M1355*N1355+O1355),"OK","ERREUR"))</x:f>
        <x:v>OK</x:v>
      </x:c>
      <x:c r="U1355" s="86" t="n">
        <x:f>IF(M1355&gt;0,M1355*(N1355+1)/2+O1355,0)</x:f>
        <x:v>18</x:v>
      </x:c>
      <x:c r="V1355" t="str">
        <x:f>IF(ABS(L1355-U1355)&lt;0.001,"OK","ERREUR")</x:f>
        <x:v>OK</x:v>
      </x:c>
    </x:row>
    <x:row r="1356" ht="18" customHeight="1">
      <x:c r="A1356" t="str">
        <x:v>ARM068</x:v>
      </x:c>
      <x:c r="B1356" t="str">
        <x:v>Bâton rituel</x:v>
      </x:c>
      <x:c r="C1356" t="n">
        <x:v>13</x:v>
      </x:c>
      <x:c r="D1356" t="str">
        <x:v>Focaliseurs</x:v>
      </x:c>
      <x:c r="E1356" s="28" t="n">
        <x:f>IF(M1356=0,0,M1356+O1356)</x:f>
        <x:v>14</x:v>
      </x:c>
      <x:c r="F1356" s="28" t="n">
        <x:f>IF(M1356=0,0,M1356*N1356+O1356)</x:f>
        <x:v>28</x:v>
      </x:c>
      <x:c r="G1356" s="28" t="n">
        <x:f>ROUND(Catalogue!G71*SQRT((1+'Paramètres'!$B$4*(C1356-1)+'Paramètres'!$B$5*(C1356-1)^2)),0)</x:f>
        <x:v>0</x:v>
      </x:c>
      <x:c r="H1356" s="28" t="n">
        <x:f>ROUND(Catalogue!H71*SQRT((1+'Paramètres'!$B$4*(C1356-1)+'Paramètres'!$B$5*(C1356-1)^2)),0)</x:f>
        <x:v>0</x:v>
      </x:c>
      <x:c r="I1356" s="28" t="n">
        <x:v>2</x:v>
      </x:c>
      <x:c r="J1356" s="28" t="n">
        <x:v>4</x:v>
      </x:c>
      <x:c r="K1356" s="30" t="n">
        <x:v>2</x:v>
      </x:c>
      <x:c r="L1356" s="54" t="n">
        <x:f>IF(M1356=0,0,(E1356+F1356)/2)</x:f>
        <x:v>21</x:v>
      </x:c>
      <x:c r="M1356" t="n">
        <x:v>2</x:v>
      </x:c>
      <x:c r="N1356" t="n">
        <x:v>8</x:v>
      </x:c>
      <x:c r="O1356" t="n">
        <x:v>12</x:v>
      </x:c>
      <x:c r="P1356" s="63" t="str">
        <x:f>IF(M1356=0,"—",M1356&amp;"d"&amp;N1356&amp;IF(O1356=0,""," + "&amp;O1356))</x:f>
        <x:v>2d8 + 12</x:v>
      </x:c>
      <x:c r="Q1356" t="n">
        <x:f>ROUND(INDEX(Catalogue!E$4:E$85,MATCH(A1356,Catalogue!A$4:A$85,0))*(1+'Paramètres'!$B$4*(C1356-1)+'Paramètres'!$B$5*(C1356-1)^2),0)</x:f>
        <x:v>14</x:v>
      </x:c>
      <x:c r="R1356" t="n">
        <x:f>ROUND(INDEX(Catalogue!F$4:F$85,MATCH(A1356,Catalogue!A$4:A$85,0))*(1+'Paramètres'!$B$4*(C1356-1)+'Paramètres'!$B$5*(C1356-1)^2),0)</x:f>
        <x:v>28</x:v>
      </x:c>
      <x:c r="S1356" t="n">
        <x:f>L1356-AVERAGE(Q1356:R1356)</x:f>
        <x:v>0</x:v>
      </x:c>
      <x:c r="T1356" t="str">
        <x:f>IF(M1356=0,IF(AND(N1356=0,O1356=0,E1356=0,F1356=0),"OK","ERREUR"),IF(AND(M1356&gt;=1,M1356&lt;=32,OR(N1356=4,N1356=6,N1356=8,N1356=10,N1356=12,N1356=20),O1356&gt;=0,E1356=M1356+O1356,F1356=M1356*N1356+O1356),"OK","ERREUR"))</x:f>
        <x:v>OK</x:v>
      </x:c>
      <x:c r="U1356" s="86" t="n">
        <x:f>IF(M1356&gt;0,M1356*(N1356+1)/2+O1356,0)</x:f>
        <x:v>21</x:v>
      </x:c>
      <x:c r="V1356" t="str">
        <x:f>IF(ABS(L1356-U1356)&lt;0.001,"OK","ERREUR")</x:f>
        <x:v>OK</x:v>
      </x:c>
    </x:row>
    <x:row r="1357" ht="18" customHeight="1">
      <x:c r="A1357" t="str">
        <x:v>ARM068</x:v>
      </x:c>
      <x:c r="B1357" t="str">
        <x:v>Bâton rituel</x:v>
      </x:c>
      <x:c r="C1357" t="n">
        <x:v>14</x:v>
      </x:c>
      <x:c r="D1357" t="str">
        <x:v>Focaliseurs</x:v>
      </x:c>
      <x:c r="E1357" s="28" t="n">
        <x:f>IF(M1357=0,0,M1357+O1357)</x:f>
        <x:v>15</x:v>
      </x:c>
      <x:c r="F1357" s="28" t="n">
        <x:f>IF(M1357=0,0,M1357*N1357+O1357)</x:f>
        <x:v>30</x:v>
      </x:c>
      <x:c r="G1357" s="28" t="n">
        <x:f>ROUND(Catalogue!G71*SQRT((1+'Paramètres'!$B$4*(C1357-1)+'Paramètres'!$B$5*(C1357-1)^2)),0)</x:f>
        <x:v>0</x:v>
      </x:c>
      <x:c r="H1357" s="28" t="n">
        <x:f>ROUND(Catalogue!H71*SQRT((1+'Paramètres'!$B$4*(C1357-1)+'Paramètres'!$B$5*(C1357-1)^2)),0)</x:f>
        <x:v>0</x:v>
      </x:c>
      <x:c r="I1357" s="28" t="n">
        <x:v>2</x:v>
      </x:c>
      <x:c r="J1357" s="28" t="n">
        <x:v>4</x:v>
      </x:c>
      <x:c r="K1357" s="30" t="n">
        <x:v>2</x:v>
      </x:c>
      <x:c r="L1357" s="54" t="n">
        <x:f>IF(M1357=0,0,(E1357+F1357)/2)</x:f>
        <x:v>22.5</x:v>
      </x:c>
      <x:c r="M1357" t="n">
        <x:v>3</x:v>
      </x:c>
      <x:c r="N1357" t="n">
        <x:v>6</x:v>
      </x:c>
      <x:c r="O1357" t="n">
        <x:v>12</x:v>
      </x:c>
      <x:c r="P1357" s="63" t="str">
        <x:f>IF(M1357=0,"—",M1357&amp;"d"&amp;N1357&amp;IF(O1357=0,""," + "&amp;O1357))</x:f>
        <x:v>3d6 + 12</x:v>
      </x:c>
      <x:c r="Q1357" t="n">
        <x:f>ROUND(INDEX(Catalogue!E$4:E$85,MATCH(A1357,Catalogue!A$4:A$85,0))*(1+'Paramètres'!$B$4*(C1357-1)+'Paramètres'!$B$5*(C1357-1)^2),0)</x:f>
        <x:v>15</x:v>
      </x:c>
      <x:c r="R1357" t="n">
        <x:f>ROUND(INDEX(Catalogue!F$4:F$85,MATCH(A1357,Catalogue!A$4:A$85,0))*(1+'Paramètres'!$B$4*(C1357-1)+'Paramètres'!$B$5*(C1357-1)^2),0)</x:f>
        <x:v>31</x:v>
      </x:c>
      <x:c r="S1357" t="n">
        <x:f>L1357-AVERAGE(Q1357:R1357)</x:f>
        <x:v>-0.5</x:v>
      </x:c>
      <x:c r="T1357" t="str">
        <x:f>IF(M1357=0,IF(AND(N1357=0,O1357=0,E1357=0,F1357=0),"OK","ERREUR"),IF(AND(M1357&gt;=1,M1357&lt;=32,OR(N1357=4,N1357=6,N1357=8,N1357=10,N1357=12,N1357=20),O1357&gt;=0,E1357=M1357+O1357,F1357=M1357*N1357+O1357),"OK","ERREUR"))</x:f>
        <x:v>OK</x:v>
      </x:c>
      <x:c r="U1357" s="86" t="n">
        <x:f>IF(M1357&gt;0,M1357*(N1357+1)/2+O1357,0)</x:f>
        <x:v>22.5</x:v>
      </x:c>
      <x:c r="V1357" t="str">
        <x:f>IF(ABS(L1357-U1357)&lt;0.001,"OK","ERREUR")</x:f>
        <x:v>OK</x:v>
      </x:c>
    </x:row>
    <x:row r="1358" ht="18" customHeight="1">
      <x:c r="A1358" t="str">
        <x:v>ARM068</x:v>
      </x:c>
      <x:c r="B1358" t="str">
        <x:v>Bâton rituel</x:v>
      </x:c>
      <x:c r="C1358" t="n">
        <x:v>15</x:v>
      </x:c>
      <x:c r="D1358" t="str">
        <x:v>Focaliseurs</x:v>
      </x:c>
      <x:c r="E1358" s="28" t="n">
        <x:f>IF(M1358=0,0,M1358+O1358)</x:f>
        <x:v>16</x:v>
      </x:c>
      <x:c r="F1358" s="28" t="n">
        <x:f>IF(M1358=0,0,M1358*N1358+O1358)</x:f>
        <x:v>34</x:v>
      </x:c>
      <x:c r="G1358" s="28" t="n">
        <x:f>ROUND(Catalogue!G71*SQRT((1+'Paramètres'!$B$4*(C1358-1)+'Paramètres'!$B$5*(C1358-1)^2)),0)</x:f>
        <x:v>0</x:v>
      </x:c>
      <x:c r="H1358" s="28" t="n">
        <x:f>ROUND(Catalogue!H71*SQRT((1+'Paramètres'!$B$4*(C1358-1)+'Paramètres'!$B$5*(C1358-1)^2)),0)</x:f>
        <x:v>0</x:v>
      </x:c>
      <x:c r="I1358" s="28" t="n">
        <x:v>2</x:v>
      </x:c>
      <x:c r="J1358" s="28" t="n">
        <x:v>4</x:v>
      </x:c>
      <x:c r="K1358" s="30" t="n">
        <x:v>2</x:v>
      </x:c>
      <x:c r="L1358" s="54" t="n">
        <x:f>IF(M1358=0,0,(E1358+F1358)/2)</x:f>
        <x:v>25</x:v>
      </x:c>
      <x:c r="M1358" t="n">
        <x:v>2</x:v>
      </x:c>
      <x:c r="N1358" t="n">
        <x:v>10</x:v>
      </x:c>
      <x:c r="O1358" t="n">
        <x:v>14</x:v>
      </x:c>
      <x:c r="P1358" s="63" t="str">
        <x:f>IF(M1358=0,"—",M1358&amp;"d"&amp;N1358&amp;IF(O1358=0,""," + "&amp;O1358))</x:f>
        <x:v>2d10 + 14</x:v>
      </x:c>
      <x:c r="Q1358" t="n">
        <x:f>ROUND(INDEX(Catalogue!E$4:E$85,MATCH(A1358,Catalogue!A$4:A$85,0))*(1+'Paramètres'!$B$4*(C1358-1)+'Paramètres'!$B$5*(C1358-1)^2),0)</x:f>
        <x:v>17</x:v>
      </x:c>
      <x:c r="R1358" t="n">
        <x:f>ROUND(INDEX(Catalogue!F$4:F$85,MATCH(A1358,Catalogue!A$4:A$85,0))*(1+'Paramètres'!$B$4*(C1358-1)+'Paramètres'!$B$5*(C1358-1)^2),0)</x:f>
        <x:v>34</x:v>
      </x:c>
      <x:c r="S1358" t="n">
        <x:f>L1358-AVERAGE(Q1358:R1358)</x:f>
        <x:v>-0.5</x:v>
      </x:c>
      <x:c r="T1358" t="str">
        <x:f>IF(M1358=0,IF(AND(N1358=0,O1358=0,E1358=0,F1358=0),"OK","ERREUR"),IF(AND(M1358&gt;=1,M1358&lt;=32,OR(N1358=4,N1358=6,N1358=8,N1358=10,N1358=12,N1358=20),O1358&gt;=0,E1358=M1358+O1358,F1358=M1358*N1358+O1358),"OK","ERREUR"))</x:f>
        <x:v>OK</x:v>
      </x:c>
      <x:c r="U1358" s="86" t="n">
        <x:f>IF(M1358&gt;0,M1358*(N1358+1)/2+O1358,0)</x:f>
        <x:v>25</x:v>
      </x:c>
      <x:c r="V1358" t="str">
        <x:f>IF(ABS(L1358-U1358)&lt;0.001,"OK","ERREUR")</x:f>
        <x:v>OK</x:v>
      </x:c>
    </x:row>
    <x:row r="1359" ht="18" customHeight="1">
      <x:c r="A1359" t="str">
        <x:v>ARM068</x:v>
      </x:c>
      <x:c r="B1359" t="str">
        <x:v>Bâton rituel</x:v>
      </x:c>
      <x:c r="C1359" t="n">
        <x:v>16</x:v>
      </x:c>
      <x:c r="D1359" t="str">
        <x:v>Focaliseurs</x:v>
      </x:c>
      <x:c r="E1359" s="28" t="n">
        <x:f>IF(M1359=0,0,M1359+O1359)</x:f>
        <x:v>19</x:v>
      </x:c>
      <x:c r="F1359" s="28" t="n">
        <x:f>IF(M1359=0,0,M1359*N1359+O1359)</x:f>
        <x:v>37</x:v>
      </x:c>
      <x:c r="G1359" s="28" t="n">
        <x:f>ROUND(Catalogue!G71*SQRT((1+'Paramètres'!$B$4*(C1359-1)+'Paramètres'!$B$5*(C1359-1)^2)),0)</x:f>
        <x:v>0</x:v>
      </x:c>
      <x:c r="H1359" s="28" t="n">
        <x:f>ROUND(Catalogue!H71*SQRT((1+'Paramètres'!$B$4*(C1359-1)+'Paramètres'!$B$5*(C1359-1)^2)),0)</x:f>
        <x:v>0</x:v>
      </x:c>
      <x:c r="I1359" s="28" t="n">
        <x:v>2</x:v>
      </x:c>
      <x:c r="J1359" s="28" t="n">
        <x:v>4</x:v>
      </x:c>
      <x:c r="K1359" s="30" t="n">
        <x:v>2</x:v>
      </x:c>
      <x:c r="L1359" s="54" t="n">
        <x:f>IF(M1359=0,0,(E1359+F1359)/2)</x:f>
        <x:v>28</x:v>
      </x:c>
      <x:c r="M1359" t="n">
        <x:v>2</x:v>
      </x:c>
      <x:c r="N1359" t="n">
        <x:v>10</x:v>
      </x:c>
      <x:c r="O1359" t="n">
        <x:v>17</x:v>
      </x:c>
      <x:c r="P1359" s="63" t="str">
        <x:f>IF(M1359=0,"—",M1359&amp;"d"&amp;N1359&amp;IF(O1359=0,""," + "&amp;O1359))</x:f>
        <x:v>2d10 + 17</x:v>
      </x:c>
      <x:c r="Q1359" t="n">
        <x:f>ROUND(INDEX(Catalogue!E$4:E$85,MATCH(A1359,Catalogue!A$4:A$85,0))*(1+'Paramètres'!$B$4*(C1359-1)+'Paramètres'!$B$5*(C1359-1)^2),0)</x:f>
        <x:v>19</x:v>
      </x:c>
      <x:c r="R1359" t="n">
        <x:f>ROUND(INDEX(Catalogue!F$4:F$85,MATCH(A1359,Catalogue!A$4:A$85,0))*(1+'Paramètres'!$B$4*(C1359-1)+'Paramètres'!$B$5*(C1359-1)^2),0)</x:f>
        <x:v>38</x:v>
      </x:c>
      <x:c r="S1359" t="n">
        <x:f>L1359-AVERAGE(Q1359:R1359)</x:f>
        <x:v>-0.5</x:v>
      </x:c>
      <x:c r="T1359" t="str">
        <x:f>IF(M1359=0,IF(AND(N1359=0,O1359=0,E1359=0,F1359=0),"OK","ERREUR"),IF(AND(M1359&gt;=1,M1359&lt;=32,OR(N1359=4,N1359=6,N1359=8,N1359=10,N1359=12,N1359=20),O1359&gt;=0,E1359=M1359+O1359,F1359=M1359*N1359+O1359),"OK","ERREUR"))</x:f>
        <x:v>OK</x:v>
      </x:c>
      <x:c r="U1359" s="86" t="n">
        <x:f>IF(M1359&gt;0,M1359*(N1359+1)/2+O1359,0)</x:f>
        <x:v>28</x:v>
      </x:c>
      <x:c r="V1359" t="str">
        <x:f>IF(ABS(L1359-U1359)&lt;0.001,"OK","ERREUR")</x:f>
        <x:v>OK</x:v>
      </x:c>
    </x:row>
    <x:row r="1360" ht="18" customHeight="1">
      <x:c r="A1360" t="str">
        <x:v>ARM068</x:v>
      </x:c>
      <x:c r="B1360" t="str">
        <x:v>Bâton rituel</x:v>
      </x:c>
      <x:c r="C1360" t="n">
        <x:v>17</x:v>
      </x:c>
      <x:c r="D1360" t="str">
        <x:v>Focaliseurs</x:v>
      </x:c>
      <x:c r="E1360" s="28" t="n">
        <x:f>IF(M1360=0,0,M1360+O1360)</x:f>
        <x:v>21</x:v>
      </x:c>
      <x:c r="F1360" s="28" t="n">
        <x:f>IF(M1360=0,0,M1360*N1360+O1360)</x:f>
        <x:v>41</x:v>
      </x:c>
      <x:c r="G1360" s="28" t="n">
        <x:f>ROUND(Catalogue!G71*SQRT((1+'Paramètres'!$B$4*(C1360-1)+'Paramètres'!$B$5*(C1360-1)^2)),0)</x:f>
        <x:v>0</x:v>
      </x:c>
      <x:c r="H1360" s="28" t="n">
        <x:f>ROUND(Catalogue!H71*SQRT((1+'Paramètres'!$B$4*(C1360-1)+'Paramètres'!$B$5*(C1360-1)^2)),0)</x:f>
        <x:v>0</x:v>
      </x:c>
      <x:c r="I1360" s="28" t="n">
        <x:v>2</x:v>
      </x:c>
      <x:c r="J1360" s="28" t="n">
        <x:v>4</x:v>
      </x:c>
      <x:c r="K1360" s="30" t="n">
        <x:v>2</x:v>
      </x:c>
      <x:c r="L1360" s="54" t="n">
        <x:f>IF(M1360=0,0,(E1360+F1360)/2)</x:f>
        <x:v>31</x:v>
      </x:c>
      <x:c r="M1360" t="n">
        <x:v>4</x:v>
      </x:c>
      <x:c r="N1360" t="n">
        <x:v>6</x:v>
      </x:c>
      <x:c r="O1360" t="n">
        <x:v>17</x:v>
      </x:c>
      <x:c r="P1360" s="63" t="str">
        <x:f>IF(M1360=0,"—",M1360&amp;"d"&amp;N1360&amp;IF(O1360=0,""," + "&amp;O1360))</x:f>
        <x:v>4d6 + 17</x:v>
      </x:c>
      <x:c r="Q1360" t="n">
        <x:f>ROUND(INDEX(Catalogue!E$4:E$85,MATCH(A1360,Catalogue!A$4:A$85,0))*(1+'Paramètres'!$B$4*(C1360-1)+'Paramètres'!$B$5*(C1360-1)^2),0)</x:f>
        <x:v>21</x:v>
      </x:c>
      <x:c r="R1360" t="n">
        <x:f>ROUND(INDEX(Catalogue!F$4:F$85,MATCH(A1360,Catalogue!A$4:A$85,0))*(1+'Paramètres'!$B$4*(C1360-1)+'Paramètres'!$B$5*(C1360-1)^2),0)</x:f>
        <x:v>41</x:v>
      </x:c>
      <x:c r="S1360" t="n">
        <x:f>L1360-AVERAGE(Q1360:R1360)</x:f>
        <x:v>0</x:v>
      </x:c>
      <x:c r="T1360" t="str">
        <x:f>IF(M1360=0,IF(AND(N1360=0,O1360=0,E1360=0,F1360=0),"OK","ERREUR"),IF(AND(M1360&gt;=1,M1360&lt;=32,OR(N1360=4,N1360=6,N1360=8,N1360=10,N1360=12,N1360=20),O1360&gt;=0,E1360=M1360+O1360,F1360=M1360*N1360+O1360),"OK","ERREUR"))</x:f>
        <x:v>OK</x:v>
      </x:c>
      <x:c r="U1360" s="86" t="n">
        <x:f>IF(M1360&gt;0,M1360*(N1360+1)/2+O1360,0)</x:f>
        <x:v>31</x:v>
      </x:c>
      <x:c r="V1360" t="str">
        <x:f>IF(ABS(L1360-U1360)&lt;0.001,"OK","ERREUR")</x:f>
        <x:v>OK</x:v>
      </x:c>
    </x:row>
    <x:row r="1361" ht="18" customHeight="1">
      <x:c r="A1361" t="str">
        <x:v>ARM068</x:v>
      </x:c>
      <x:c r="B1361" t="str">
        <x:v>Bâton rituel</x:v>
      </x:c>
      <x:c r="C1361" t="n">
        <x:v>18</x:v>
      </x:c>
      <x:c r="D1361" t="str">
        <x:v>Focaliseurs</x:v>
      </x:c>
      <x:c r="E1361" s="28" t="n">
        <x:f>IF(M1361=0,0,M1361+O1361)</x:f>
        <x:v>22</x:v>
      </x:c>
      <x:c r="F1361" s="28" t="n">
        <x:f>IF(M1361=0,0,M1361*N1361+O1361)</x:f>
        <x:v>44</x:v>
      </x:c>
      <x:c r="G1361" s="28" t="n">
        <x:f>ROUND(Catalogue!G71*SQRT((1+'Paramètres'!$B$4*(C1361-1)+'Paramètres'!$B$5*(C1361-1)^2)),0)</x:f>
        <x:v>0</x:v>
      </x:c>
      <x:c r="H1361" s="28" t="n">
        <x:f>ROUND(Catalogue!H71*SQRT((1+'Paramètres'!$B$4*(C1361-1)+'Paramètres'!$B$5*(C1361-1)^2)),0)</x:f>
        <x:v>0</x:v>
      </x:c>
      <x:c r="I1361" s="28" t="n">
        <x:v>2</x:v>
      </x:c>
      <x:c r="J1361" s="28" t="n">
        <x:v>4</x:v>
      </x:c>
      <x:c r="K1361" s="30" t="n">
        <x:v>2</x:v>
      </x:c>
      <x:c r="L1361" s="54" t="n">
        <x:f>IF(M1361=0,0,(E1361+F1361)/2)</x:f>
        <x:v>33</x:v>
      </x:c>
      <x:c r="M1361" t="n">
        <x:v>2</x:v>
      </x:c>
      <x:c r="N1361" t="n">
        <x:v>12</x:v>
      </x:c>
      <x:c r="O1361" t="n">
        <x:v>20</x:v>
      </x:c>
      <x:c r="P1361" s="63" t="str">
        <x:f>IF(M1361=0,"—",M1361&amp;"d"&amp;N1361&amp;IF(O1361=0,""," + "&amp;O1361))</x:f>
        <x:v>2d12 + 20</x:v>
      </x:c>
      <x:c r="Q1361" t="n">
        <x:f>ROUND(INDEX(Catalogue!E$4:E$85,MATCH(A1361,Catalogue!A$4:A$85,0))*(1+'Paramètres'!$B$4*(C1361-1)+'Paramètres'!$B$5*(C1361-1)^2),0)</x:f>
        <x:v>22</x:v>
      </x:c>
      <x:c r="R1361" t="n">
        <x:f>ROUND(INDEX(Catalogue!F$4:F$85,MATCH(A1361,Catalogue!A$4:A$85,0))*(1+'Paramètres'!$B$4*(C1361-1)+'Paramètres'!$B$5*(C1361-1)^2),0)</x:f>
        <x:v>45</x:v>
      </x:c>
      <x:c r="S1361" t="n">
        <x:f>L1361-AVERAGE(Q1361:R1361)</x:f>
        <x:v>-0.5</x:v>
      </x:c>
      <x:c r="T1361" t="str">
        <x:f>IF(M1361=0,IF(AND(N1361=0,O1361=0,E1361=0,F1361=0),"OK","ERREUR"),IF(AND(M1361&gt;=1,M1361&lt;=32,OR(N1361=4,N1361=6,N1361=8,N1361=10,N1361=12,N1361=20),O1361&gt;=0,E1361=M1361+O1361,F1361=M1361*N1361+O1361),"OK","ERREUR"))</x:f>
        <x:v>OK</x:v>
      </x:c>
      <x:c r="U1361" s="86" t="n">
        <x:f>IF(M1361&gt;0,M1361*(N1361+1)/2+O1361,0)</x:f>
        <x:v>33</x:v>
      </x:c>
      <x:c r="V1361" t="str">
        <x:f>IF(ABS(L1361-U1361)&lt;0.001,"OK","ERREUR")</x:f>
        <x:v>OK</x:v>
      </x:c>
    </x:row>
    <x:row r="1362" ht="18" customHeight="1">
      <x:c r="A1362" t="str">
        <x:v>ARM068</x:v>
      </x:c>
      <x:c r="B1362" t="str">
        <x:v>Bâton rituel</x:v>
      </x:c>
      <x:c r="C1362" t="n">
        <x:v>19</x:v>
      </x:c>
      <x:c r="D1362" t="str">
        <x:v>Focaliseurs</x:v>
      </x:c>
      <x:c r="E1362" s="28" t="n">
        <x:f>IF(M1362=0,0,M1362+O1362)</x:f>
        <x:v>24</x:v>
      </x:c>
      <x:c r="F1362" s="28" t="n">
        <x:f>IF(M1362=0,0,M1362*N1362+O1362)</x:f>
        <x:v>49</x:v>
      </x:c>
      <x:c r="G1362" s="28" t="n">
        <x:f>ROUND(Catalogue!G71*SQRT((1+'Paramètres'!$B$4*(C1362-1)+'Paramètres'!$B$5*(C1362-1)^2)),0)</x:f>
        <x:v>0</x:v>
      </x:c>
      <x:c r="H1362" s="28" t="n">
        <x:f>ROUND(Catalogue!H71*SQRT((1+'Paramètres'!$B$4*(C1362-1)+'Paramètres'!$B$5*(C1362-1)^2)),0)</x:f>
        <x:v>0</x:v>
      </x:c>
      <x:c r="I1362" s="28" t="n">
        <x:v>2</x:v>
      </x:c>
      <x:c r="J1362" s="28" t="n">
        <x:v>4</x:v>
      </x:c>
      <x:c r="K1362" s="30" t="n">
        <x:v>2</x:v>
      </x:c>
      <x:c r="L1362" s="54" t="n">
        <x:f>IF(M1362=0,0,(E1362+F1362)/2)</x:f>
        <x:v>36.5</x:v>
      </x:c>
      <x:c r="M1362" t="n">
        <x:v>5</x:v>
      </x:c>
      <x:c r="N1362" t="n">
        <x:v>6</x:v>
      </x:c>
      <x:c r="O1362" t="n">
        <x:v>19</x:v>
      </x:c>
      <x:c r="P1362" s="63" t="str">
        <x:f>IF(M1362=0,"—",M1362&amp;"d"&amp;N1362&amp;IF(O1362=0,""," + "&amp;O1362))</x:f>
        <x:v>5d6 + 19</x:v>
      </x:c>
      <x:c r="Q1362" t="n">
        <x:f>ROUND(INDEX(Catalogue!E$4:E$85,MATCH(A1362,Catalogue!A$4:A$85,0))*(1+'Paramètres'!$B$4*(C1362-1)+'Paramètres'!$B$5*(C1362-1)^2),0)</x:f>
        <x:v>24</x:v>
      </x:c>
      <x:c r="R1362" t="n">
        <x:f>ROUND(INDEX(Catalogue!F$4:F$85,MATCH(A1362,Catalogue!A$4:A$85,0))*(1+'Paramètres'!$B$4*(C1362-1)+'Paramètres'!$B$5*(C1362-1)^2),0)</x:f>
        <x:v>49</x:v>
      </x:c>
      <x:c r="S1362" t="n">
        <x:f>L1362-AVERAGE(Q1362:R1362)</x:f>
        <x:v>0</x:v>
      </x:c>
      <x:c r="T1362" t="str">
        <x:f>IF(M1362=0,IF(AND(N1362=0,O1362=0,E1362=0,F1362=0),"OK","ERREUR"),IF(AND(M1362&gt;=1,M1362&lt;=32,OR(N1362=4,N1362=6,N1362=8,N1362=10,N1362=12,N1362=20),O1362&gt;=0,E1362=M1362+O1362,F1362=M1362*N1362+O1362),"OK","ERREUR"))</x:f>
        <x:v>OK</x:v>
      </x:c>
      <x:c r="U1362" s="86" t="n">
        <x:f>IF(M1362&gt;0,M1362*(N1362+1)/2+O1362,0)</x:f>
        <x:v>36.5</x:v>
      </x:c>
      <x:c r="V1362" t="str">
        <x:f>IF(ABS(L1362-U1362)&lt;0.001,"OK","ERREUR")</x:f>
        <x:v>OK</x:v>
      </x:c>
    </x:row>
    <x:row r="1363" ht="18" customHeight="1">
      <x:c r="A1363" t="str">
        <x:v>ARM068</x:v>
      </x:c>
      <x:c r="B1363" t="str">
        <x:v>Bâton rituel</x:v>
      </x:c>
      <x:c r="C1363" t="n">
        <x:v>20</x:v>
      </x:c>
      <x:c r="D1363" t="str">
        <x:v>Focaliseurs</x:v>
      </x:c>
      <x:c r="E1363" s="28" t="n">
        <x:f>IF(M1363=0,0,M1363+O1363)</x:f>
        <x:v>27</x:v>
      </x:c>
      <x:c r="F1363" s="28" t="n">
        <x:f>IF(M1363=0,0,M1363*N1363+O1363)</x:f>
        <x:v>54</x:v>
      </x:c>
      <x:c r="G1363" s="28" t="n">
        <x:f>ROUND(Catalogue!G71*SQRT((1+'Paramètres'!$B$4*(C1363-1)+'Paramètres'!$B$5*(C1363-1)^2)),0)</x:f>
        <x:v>0</x:v>
      </x:c>
      <x:c r="H1363" s="28" t="n">
        <x:f>ROUND(Catalogue!H71*SQRT((1+'Paramètres'!$B$4*(C1363-1)+'Paramètres'!$B$5*(C1363-1)^2)),0)</x:f>
        <x:v>0</x:v>
      </x:c>
      <x:c r="I1363" s="28" t="n">
        <x:v>2</x:v>
      </x:c>
      <x:c r="J1363" s="28" t="n">
        <x:v>4</x:v>
      </x:c>
      <x:c r="K1363" s="30" t="n">
        <x:v>2</x:v>
      </x:c>
      <x:c r="L1363" s="54" t="n">
        <x:f>IF(M1363=0,0,(E1363+F1363)/2)</x:f>
        <x:v>40.5</x:v>
      </x:c>
      <x:c r="M1363" t="n">
        <x:v>3</x:v>
      </x:c>
      <x:c r="N1363" t="n">
        <x:v>10</x:v>
      </x:c>
      <x:c r="O1363" t="n">
        <x:v>24</x:v>
      </x:c>
      <x:c r="P1363" s="63" t="str">
        <x:f>IF(M1363=0,"—",M1363&amp;"d"&amp;N1363&amp;IF(O1363=0,""," + "&amp;O1363))</x:f>
        <x:v>3d10 + 24</x:v>
      </x:c>
      <x:c r="Q1363" t="n">
        <x:f>ROUND(INDEX(Catalogue!E$4:E$85,MATCH(A1363,Catalogue!A$4:A$85,0))*(1+'Paramètres'!$B$4*(C1363-1)+'Paramètres'!$B$5*(C1363-1)^2),0)</x:f>
        <x:v>27</x:v>
      </x:c>
      <x:c r="R1363" t="n">
        <x:f>ROUND(INDEX(Catalogue!F$4:F$85,MATCH(A1363,Catalogue!A$4:A$85,0))*(1+'Paramètres'!$B$4*(C1363-1)+'Paramètres'!$B$5*(C1363-1)^2),0)</x:f>
        <x:v>53</x:v>
      </x:c>
      <x:c r="S1363" t="n">
        <x:f>L1363-AVERAGE(Q1363:R1363)</x:f>
        <x:v>0.5</x:v>
      </x:c>
      <x:c r="T1363" t="str">
        <x:f>IF(M1363=0,IF(AND(N1363=0,O1363=0,E1363=0,F1363=0),"OK","ERREUR"),IF(AND(M1363&gt;=1,M1363&lt;=32,OR(N1363=4,N1363=6,N1363=8,N1363=10,N1363=12,N1363=20),O1363&gt;=0,E1363=M1363+O1363,F1363=M1363*N1363+O1363),"OK","ERREUR"))</x:f>
        <x:v>OK</x:v>
      </x:c>
      <x:c r="U1363" s="86" t="n">
        <x:f>IF(M1363&gt;0,M1363*(N1363+1)/2+O1363,0)</x:f>
        <x:v>40.5</x:v>
      </x:c>
      <x:c r="V1363" t="str">
        <x:f>IF(ABS(L1363-U1363)&lt;0.001,"OK","ERREUR")</x:f>
        <x:v>OK</x:v>
      </x:c>
    </x:row>
    <x:row r="1364" ht="18" customHeight="1">
      <x:c r="A1364" t="str">
        <x:v>ARM069</x:v>
      </x:c>
      <x:c r="B1364" t="str">
        <x:v>Sceptre sacré</x:v>
      </x:c>
      <x:c r="C1364" t="n">
        <x:v>1</x:v>
      </x:c>
      <x:c r="D1364" t="str">
        <x:v>Focaliseurs</x:v>
      </x:c>
      <x:c r="E1364" s="28" t="n">
        <x:f>IF(M1364=0,0,M1364+O1364)</x:f>
        <x:v>2</x:v>
      </x:c>
      <x:c r="F1364" s="28" t="n">
        <x:f>IF(M1364=0,0,M1364*N1364+O1364)</x:f>
        <x:v>5</x:v>
      </x:c>
      <x:c r="G1364" s="28" t="n">
        <x:f>ROUND(Catalogue!G72*SQRT((1+'Paramètres'!$B$4*(C1364-1)+'Paramètres'!$B$5*(C1364-1)^2)),0)</x:f>
        <x:v>0</x:v>
      </x:c>
      <x:c r="H1364" s="28" t="n">
        <x:f>ROUND(Catalogue!H72*SQRT((1+'Paramètres'!$B$4*(C1364-1)+'Paramètres'!$B$5*(C1364-1)^2)),0)</x:f>
        <x:v>0</x:v>
      </x:c>
      <x:c r="I1364" s="28" t="n">
        <x:v>2</x:v>
      </x:c>
      <x:c r="J1364" s="28" t="n">
        <x:v>4</x:v>
      </x:c>
      <x:c r="K1364" s="30" t="n">
        <x:v>1</x:v>
      </x:c>
      <x:c r="L1364" s="54" t="n">
        <x:f>IF(M1364=0,0,(E1364+F1364)/2)</x:f>
        <x:v>3.5</x:v>
      </x:c>
      <x:c r="M1364" t="n">
        <x:v>1</x:v>
      </x:c>
      <x:c r="N1364" t="n">
        <x:v>4</x:v>
      </x:c>
      <x:c r="O1364" t="n">
        <x:v>1</x:v>
      </x:c>
      <x:c r="P1364" s="63" t="str">
        <x:f>IF(M1364=0,"—",M1364&amp;"d"&amp;N1364&amp;IF(O1364=0,""," + "&amp;O1364))</x:f>
        <x:v>1d4 + 1</x:v>
      </x:c>
      <x:c r="Q1364" t="n">
        <x:f>ROUND(INDEX(Catalogue!E$4:E$85,MATCH(A1364,Catalogue!A$4:A$85,0))*(1+'Paramètres'!$B$4*(C1364-1)+'Paramètres'!$B$5*(C1364-1)^2),0)</x:f>
        <x:v>3</x:v>
      </x:c>
      <x:c r="R1364" t="n">
        <x:f>ROUND(INDEX(Catalogue!F$4:F$85,MATCH(A1364,Catalogue!A$4:A$85,0))*(1+'Paramètres'!$B$4*(C1364-1)+'Paramètres'!$B$5*(C1364-1)^2),0)</x:f>
        <x:v>5</x:v>
      </x:c>
      <x:c r="S1364" t="n">
        <x:f>L1364-AVERAGE(Q1364:R1364)</x:f>
        <x:v>-0.5</x:v>
      </x:c>
      <x:c r="T1364" t="str">
        <x:f>IF(M1364=0,IF(AND(N1364=0,O1364=0,E1364=0,F1364=0),"OK","ERREUR"),IF(AND(M1364&gt;=1,M1364&lt;=32,OR(N1364=4,N1364=6,N1364=8,N1364=10,N1364=12,N1364=20),O1364&gt;=0,E1364=M1364+O1364,F1364=M1364*N1364+O1364),"OK","ERREUR"))</x:f>
        <x:v>OK</x:v>
      </x:c>
      <x:c r="U1364" s="86" t="n">
        <x:f>IF(M1364&gt;0,M1364*(N1364+1)/2+O1364,0)</x:f>
        <x:v>3.5</x:v>
      </x:c>
      <x:c r="V1364" t="str">
        <x:f>IF(ABS(L1364-U1364)&lt;0.001,"OK","ERREUR")</x:f>
        <x:v>OK</x:v>
      </x:c>
    </x:row>
    <x:row r="1365" ht="18" customHeight="1">
      <x:c r="A1365" t="str">
        <x:v>ARM069</x:v>
      </x:c>
      <x:c r="B1365" t="str">
        <x:v>Sceptre sacré</x:v>
      </x:c>
      <x:c r="C1365" t="n">
        <x:v>2</x:v>
      </x:c>
      <x:c r="D1365" t="str">
        <x:v>Focaliseurs</x:v>
      </x:c>
      <x:c r="E1365" s="28" t="n">
        <x:f>IF(M1365=0,0,M1365+O1365)</x:f>
        <x:v>3</x:v>
      </x:c>
      <x:c r="F1365" s="28" t="n">
        <x:f>IF(M1365=0,0,M1365*N1365+O1365)</x:f>
        <x:v>6</x:v>
      </x:c>
      <x:c r="G1365" s="28" t="n">
        <x:f>ROUND(Catalogue!G72*SQRT((1+'Paramètres'!$B$4*(C1365-1)+'Paramètres'!$B$5*(C1365-1)^2)),0)</x:f>
        <x:v>0</x:v>
      </x:c>
      <x:c r="H1365" s="28" t="n">
        <x:f>ROUND(Catalogue!H72*SQRT((1+'Paramètres'!$B$4*(C1365-1)+'Paramètres'!$B$5*(C1365-1)^2)),0)</x:f>
        <x:v>0</x:v>
      </x:c>
      <x:c r="I1365" s="28" t="n">
        <x:v>2</x:v>
      </x:c>
      <x:c r="J1365" s="28" t="n">
        <x:v>4</x:v>
      </x:c>
      <x:c r="K1365" s="30" t="n">
        <x:v>1</x:v>
      </x:c>
      <x:c r="L1365" s="54" t="n">
        <x:f>IF(M1365=0,0,(E1365+F1365)/2)</x:f>
        <x:v>4.5</x:v>
      </x:c>
      <x:c r="M1365" t="n">
        <x:v>1</x:v>
      </x:c>
      <x:c r="N1365" t="n">
        <x:v>4</x:v>
      </x:c>
      <x:c r="O1365" t="n">
        <x:v>2</x:v>
      </x:c>
      <x:c r="P1365" s="63" t="str">
        <x:f>IF(M1365=0,"—",M1365&amp;"d"&amp;N1365&amp;IF(O1365=0,""," + "&amp;O1365))</x:f>
        <x:v>1d4 + 2</x:v>
      </x:c>
      <x:c r="Q1365" t="n">
        <x:f>ROUND(INDEX(Catalogue!E$4:E$85,MATCH(A1365,Catalogue!A$4:A$85,0))*(1+'Paramètres'!$B$4*(C1365-1)+'Paramètres'!$B$5*(C1365-1)^2),0)</x:f>
        <x:v>3</x:v>
      </x:c>
      <x:c r="R1365" t="n">
        <x:f>ROUND(INDEX(Catalogue!F$4:F$85,MATCH(A1365,Catalogue!A$4:A$85,0))*(1+'Paramètres'!$B$4*(C1365-1)+'Paramètres'!$B$5*(C1365-1)^2),0)</x:f>
        <x:v>6</x:v>
      </x:c>
      <x:c r="S1365" t="n">
        <x:f>L1365-AVERAGE(Q1365:R1365)</x:f>
        <x:v>0</x:v>
      </x:c>
      <x:c r="T1365" t="str">
        <x:f>IF(M1365=0,IF(AND(N1365=0,O1365=0,E1365=0,F1365=0),"OK","ERREUR"),IF(AND(M1365&gt;=1,M1365&lt;=32,OR(N1365=4,N1365=6,N1365=8,N1365=10,N1365=12,N1365=20),O1365&gt;=0,E1365=M1365+O1365,F1365=M1365*N1365+O1365),"OK","ERREUR"))</x:f>
        <x:v>OK</x:v>
      </x:c>
      <x:c r="U1365" s="86" t="n">
        <x:f>IF(M1365&gt;0,M1365*(N1365+1)/2+O1365,0)</x:f>
        <x:v>4.5</x:v>
      </x:c>
      <x:c r="V1365" t="str">
        <x:f>IF(ABS(L1365-U1365)&lt;0.001,"OK","ERREUR")</x:f>
        <x:v>OK</x:v>
      </x:c>
    </x:row>
    <x:row r="1366" ht="18" customHeight="1">
      <x:c r="A1366" t="str">
        <x:v>ARM069</x:v>
      </x:c>
      <x:c r="B1366" t="str">
        <x:v>Sceptre sacré</x:v>
      </x:c>
      <x:c r="C1366" t="n">
        <x:v>3</x:v>
      </x:c>
      <x:c r="D1366" t="str">
        <x:v>Focaliseurs</x:v>
      </x:c>
      <x:c r="E1366" s="28" t="n">
        <x:f>IF(M1366=0,0,M1366+O1366)</x:f>
        <x:v>3</x:v>
      </x:c>
      <x:c r="F1366" s="28" t="n">
        <x:f>IF(M1366=0,0,M1366*N1366+O1366)</x:f>
        <x:v>6</x:v>
      </x:c>
      <x:c r="G1366" s="28" t="n">
        <x:f>ROUND(Catalogue!G72*SQRT((1+'Paramètres'!$B$4*(C1366-1)+'Paramètres'!$B$5*(C1366-1)^2)),0)</x:f>
        <x:v>0</x:v>
      </x:c>
      <x:c r="H1366" s="28" t="n">
        <x:f>ROUND(Catalogue!H72*SQRT((1+'Paramètres'!$B$4*(C1366-1)+'Paramètres'!$B$5*(C1366-1)^2)),0)</x:f>
        <x:v>0</x:v>
      </x:c>
      <x:c r="I1366" s="28" t="n">
        <x:v>2</x:v>
      </x:c>
      <x:c r="J1366" s="28" t="n">
        <x:v>4</x:v>
      </x:c>
      <x:c r="K1366" s="30" t="n">
        <x:v>1</x:v>
      </x:c>
      <x:c r="L1366" s="54" t="n">
        <x:f>IF(M1366=0,0,(E1366+F1366)/2)</x:f>
        <x:v>4.5</x:v>
      </x:c>
      <x:c r="M1366" t="n">
        <x:v>1</x:v>
      </x:c>
      <x:c r="N1366" t="n">
        <x:v>4</x:v>
      </x:c>
      <x:c r="O1366" t="n">
        <x:v>2</x:v>
      </x:c>
      <x:c r="P1366" s="63" t="str">
        <x:f>IF(M1366=0,"—",M1366&amp;"d"&amp;N1366&amp;IF(O1366=0,""," + "&amp;O1366))</x:f>
        <x:v>1d4 + 2</x:v>
      </x:c>
      <x:c r="Q1366" t="n">
        <x:f>ROUND(INDEX(Catalogue!E$4:E$85,MATCH(A1366,Catalogue!A$4:A$85,0))*(1+'Paramètres'!$B$4*(C1366-1)+'Paramètres'!$B$5*(C1366-1)^2),0)</x:f>
        <x:v>4</x:v>
      </x:c>
      <x:c r="R1366" t="n">
        <x:f>ROUND(INDEX(Catalogue!F$4:F$85,MATCH(A1366,Catalogue!A$4:A$85,0))*(1+'Paramètres'!$B$4*(C1366-1)+'Paramètres'!$B$5*(C1366-1)^2),0)</x:f>
        <x:v>6</x:v>
      </x:c>
      <x:c r="S1366" t="n">
        <x:f>L1366-AVERAGE(Q1366:R1366)</x:f>
        <x:v>-0.5</x:v>
      </x:c>
      <x:c r="T1366" t="str">
        <x:f>IF(M1366=0,IF(AND(N1366=0,O1366=0,E1366=0,F1366=0),"OK","ERREUR"),IF(AND(M1366&gt;=1,M1366&lt;=32,OR(N1366=4,N1366=6,N1366=8,N1366=10,N1366=12,N1366=20),O1366&gt;=0,E1366=M1366+O1366,F1366=M1366*N1366+O1366),"OK","ERREUR"))</x:f>
        <x:v>OK</x:v>
      </x:c>
      <x:c r="U1366" s="86" t="n">
        <x:f>IF(M1366&gt;0,M1366*(N1366+1)/2+O1366,0)</x:f>
        <x:v>4.5</x:v>
      </x:c>
      <x:c r="V1366" t="str">
        <x:f>IF(ABS(L1366-U1366)&lt;0.001,"OK","ERREUR")</x:f>
        <x:v>OK</x:v>
      </x:c>
    </x:row>
    <x:row r="1367" ht="18" customHeight="1">
      <x:c r="A1367" t="str">
        <x:v>ARM069</x:v>
      </x:c>
      <x:c r="B1367" t="str">
        <x:v>Sceptre sacré</x:v>
      </x:c>
      <x:c r="C1367" t="n">
        <x:v>4</x:v>
      </x:c>
      <x:c r="D1367" t="str">
        <x:v>Focaliseurs</x:v>
      </x:c>
      <x:c r="E1367" s="28" t="n">
        <x:f>IF(M1367=0,0,M1367+O1367)</x:f>
        <x:v>4</x:v>
      </x:c>
      <x:c r="F1367" s="28" t="n">
        <x:f>IF(M1367=0,0,M1367*N1367+O1367)</x:f>
        <x:v>7</x:v>
      </x:c>
      <x:c r="G1367" s="28" t="n">
        <x:f>ROUND(Catalogue!G72*SQRT((1+'Paramètres'!$B$4*(C1367-1)+'Paramètres'!$B$5*(C1367-1)^2)),0)</x:f>
        <x:v>0</x:v>
      </x:c>
      <x:c r="H1367" s="28" t="n">
        <x:f>ROUND(Catalogue!H72*SQRT((1+'Paramètres'!$B$4*(C1367-1)+'Paramètres'!$B$5*(C1367-1)^2)),0)</x:f>
        <x:v>0</x:v>
      </x:c>
      <x:c r="I1367" s="28" t="n">
        <x:v>2</x:v>
      </x:c>
      <x:c r="J1367" s="28" t="n">
        <x:v>4</x:v>
      </x:c>
      <x:c r="K1367" s="30" t="n">
        <x:v>1</x:v>
      </x:c>
      <x:c r="L1367" s="54" t="n">
        <x:f>IF(M1367=0,0,(E1367+F1367)/2)</x:f>
        <x:v>5.5</x:v>
      </x:c>
      <x:c r="M1367" t="n">
        <x:v>1</x:v>
      </x:c>
      <x:c r="N1367" t="n">
        <x:v>4</x:v>
      </x:c>
      <x:c r="O1367" t="n">
        <x:v>3</x:v>
      </x:c>
      <x:c r="P1367" s="63" t="str">
        <x:f>IF(M1367=0,"—",M1367&amp;"d"&amp;N1367&amp;IF(O1367=0,""," + "&amp;O1367))</x:f>
        <x:v>1d4 + 3</x:v>
      </x:c>
      <x:c r="Q1367" t="n">
        <x:f>ROUND(INDEX(Catalogue!E$4:E$85,MATCH(A1367,Catalogue!A$4:A$85,0))*(1+'Paramètres'!$B$4*(C1367-1)+'Paramètres'!$B$5*(C1367-1)^2),0)</x:f>
        <x:v>4</x:v>
      </x:c>
      <x:c r="R1367" t="n">
        <x:f>ROUND(INDEX(Catalogue!F$4:F$85,MATCH(A1367,Catalogue!A$4:A$85,0))*(1+'Paramètres'!$B$4*(C1367-1)+'Paramètres'!$B$5*(C1367-1)^2),0)</x:f>
        <x:v>7</x:v>
      </x:c>
      <x:c r="S1367" t="n">
        <x:f>L1367-AVERAGE(Q1367:R1367)</x:f>
        <x:v>0</x:v>
      </x:c>
      <x:c r="T1367" t="str">
        <x:f>IF(M1367=0,IF(AND(N1367=0,O1367=0,E1367=0,F1367=0),"OK","ERREUR"),IF(AND(M1367&gt;=1,M1367&lt;=32,OR(N1367=4,N1367=6,N1367=8,N1367=10,N1367=12,N1367=20),O1367&gt;=0,E1367=M1367+O1367,F1367=M1367*N1367+O1367),"OK","ERREUR"))</x:f>
        <x:v>OK</x:v>
      </x:c>
      <x:c r="U1367" s="86" t="n">
        <x:f>IF(M1367&gt;0,M1367*(N1367+1)/2+O1367,0)</x:f>
        <x:v>5.5</x:v>
      </x:c>
      <x:c r="V1367" t="str">
        <x:f>IF(ABS(L1367-U1367)&lt;0.001,"OK","ERREUR")</x:f>
        <x:v>OK</x:v>
      </x:c>
    </x:row>
    <x:row r="1368" ht="18" customHeight="1">
      <x:c r="A1368" t="str">
        <x:v>ARM069</x:v>
      </x:c>
      <x:c r="B1368" t="str">
        <x:v>Sceptre sacré</x:v>
      </x:c>
      <x:c r="C1368" t="n">
        <x:v>5</x:v>
      </x:c>
      <x:c r="D1368" t="str">
        <x:v>Focaliseurs</x:v>
      </x:c>
      <x:c r="E1368" s="28" t="n">
        <x:f>IF(M1368=0,0,M1368+O1368)</x:f>
        <x:v>5</x:v>
      </x:c>
      <x:c r="F1368" s="28" t="n">
        <x:f>IF(M1368=0,0,M1368*N1368+O1368)</x:f>
        <x:v>8</x:v>
      </x:c>
      <x:c r="G1368" s="28" t="n">
        <x:f>ROUND(Catalogue!G72*SQRT((1+'Paramètres'!$B$4*(C1368-1)+'Paramètres'!$B$5*(C1368-1)^2)),0)</x:f>
        <x:v>0</x:v>
      </x:c>
      <x:c r="H1368" s="28" t="n">
        <x:f>ROUND(Catalogue!H72*SQRT((1+'Paramètres'!$B$4*(C1368-1)+'Paramètres'!$B$5*(C1368-1)^2)),0)</x:f>
        <x:v>0</x:v>
      </x:c>
      <x:c r="I1368" s="28" t="n">
        <x:v>2</x:v>
      </x:c>
      <x:c r="J1368" s="28" t="n">
        <x:v>4</x:v>
      </x:c>
      <x:c r="K1368" s="30" t="n">
        <x:v>1</x:v>
      </x:c>
      <x:c r="L1368" s="54" t="n">
        <x:f>IF(M1368=0,0,(E1368+F1368)/2)</x:f>
        <x:v>6.5</x:v>
      </x:c>
      <x:c r="M1368" t="n">
        <x:v>1</x:v>
      </x:c>
      <x:c r="N1368" t="n">
        <x:v>4</x:v>
      </x:c>
      <x:c r="O1368" t="n">
        <x:v>4</x:v>
      </x:c>
      <x:c r="P1368" s="63" t="str">
        <x:f>IF(M1368=0,"—",M1368&amp;"d"&amp;N1368&amp;IF(O1368=0,""," + "&amp;O1368))</x:f>
        <x:v>1d4 + 4</x:v>
      </x:c>
      <x:c r="Q1368" t="n">
        <x:f>ROUND(INDEX(Catalogue!E$4:E$85,MATCH(A1368,Catalogue!A$4:A$85,0))*(1+'Paramètres'!$B$4*(C1368-1)+'Paramètres'!$B$5*(C1368-1)^2),0)</x:f>
        <x:v>5</x:v>
      </x:c>
      <x:c r="R1368" t="n">
        <x:f>ROUND(INDEX(Catalogue!F$4:F$85,MATCH(A1368,Catalogue!A$4:A$85,0))*(1+'Paramètres'!$B$4*(C1368-1)+'Paramètres'!$B$5*(C1368-1)^2),0)</x:f>
        <x:v>8</x:v>
      </x:c>
      <x:c r="S1368" t="n">
        <x:f>L1368-AVERAGE(Q1368:R1368)</x:f>
        <x:v>0</x:v>
      </x:c>
      <x:c r="T1368" t="str">
        <x:f>IF(M1368=0,IF(AND(N1368=0,O1368=0,E1368=0,F1368=0),"OK","ERREUR"),IF(AND(M1368&gt;=1,M1368&lt;=32,OR(N1368=4,N1368=6,N1368=8,N1368=10,N1368=12,N1368=20),O1368&gt;=0,E1368=M1368+O1368,F1368=M1368*N1368+O1368),"OK","ERREUR"))</x:f>
        <x:v>OK</x:v>
      </x:c>
      <x:c r="U1368" s="86" t="n">
        <x:f>IF(M1368&gt;0,M1368*(N1368+1)/2+O1368,0)</x:f>
        <x:v>6.5</x:v>
      </x:c>
      <x:c r="V1368" t="str">
        <x:f>IF(ABS(L1368-U1368)&lt;0.001,"OK","ERREUR")</x:f>
        <x:v>OK</x:v>
      </x:c>
    </x:row>
    <x:row r="1369" ht="18" customHeight="1">
      <x:c r="A1369" t="str">
        <x:v>ARM069</x:v>
      </x:c>
      <x:c r="B1369" t="str">
        <x:v>Sceptre sacré</x:v>
      </x:c>
      <x:c r="C1369" t="n">
        <x:v>6</x:v>
      </x:c>
      <x:c r="D1369" t="str">
        <x:v>Focaliseurs</x:v>
      </x:c>
      <x:c r="E1369" s="28" t="n">
        <x:f>IF(M1369=0,0,M1369+O1369)</x:f>
        <x:v>6</x:v>
      </x:c>
      <x:c r="F1369" s="28" t="n">
        <x:f>IF(M1369=0,0,M1369*N1369+O1369)</x:f>
        <x:v>9</x:v>
      </x:c>
      <x:c r="G1369" s="28" t="n">
        <x:f>ROUND(Catalogue!G72*SQRT((1+'Paramètres'!$B$4*(C1369-1)+'Paramètres'!$B$5*(C1369-1)^2)),0)</x:f>
        <x:v>0</x:v>
      </x:c>
      <x:c r="H1369" s="28" t="n">
        <x:f>ROUND(Catalogue!H72*SQRT((1+'Paramètres'!$B$4*(C1369-1)+'Paramètres'!$B$5*(C1369-1)^2)),0)</x:f>
        <x:v>0</x:v>
      </x:c>
      <x:c r="I1369" s="28" t="n">
        <x:v>2</x:v>
      </x:c>
      <x:c r="J1369" s="28" t="n">
        <x:v>4</x:v>
      </x:c>
      <x:c r="K1369" s="30" t="n">
        <x:v>1</x:v>
      </x:c>
      <x:c r="L1369" s="54" t="n">
        <x:f>IF(M1369=0,0,(E1369+F1369)/2)</x:f>
        <x:v>7.5</x:v>
      </x:c>
      <x:c r="M1369" t="n">
        <x:v>1</x:v>
      </x:c>
      <x:c r="N1369" t="n">
        <x:v>4</x:v>
      </x:c>
      <x:c r="O1369" t="n">
        <x:v>5</x:v>
      </x:c>
      <x:c r="P1369" s="63" t="str">
        <x:f>IF(M1369=0,"—",M1369&amp;"d"&amp;N1369&amp;IF(O1369=0,""," + "&amp;O1369))</x:f>
        <x:v>1d4 + 5</x:v>
      </x:c>
      <x:c r="Q1369" t="n">
        <x:f>ROUND(INDEX(Catalogue!E$4:E$85,MATCH(A1369,Catalogue!A$4:A$85,0))*(1+'Paramètres'!$B$4*(C1369-1)+'Paramètres'!$B$5*(C1369-1)^2),0)</x:f>
        <x:v>6</x:v>
      </x:c>
      <x:c r="R1369" t="n">
        <x:f>ROUND(INDEX(Catalogue!F$4:F$85,MATCH(A1369,Catalogue!A$4:A$85,0))*(1+'Paramètres'!$B$4*(C1369-1)+'Paramètres'!$B$5*(C1369-1)^2),0)</x:f>
        <x:v>10</x:v>
      </x:c>
      <x:c r="S1369" t="n">
        <x:f>L1369-AVERAGE(Q1369:R1369)</x:f>
        <x:v>-0.5</x:v>
      </x:c>
      <x:c r="T1369" t="str">
        <x:f>IF(M1369=0,IF(AND(N1369=0,O1369=0,E1369=0,F1369=0),"OK","ERREUR"),IF(AND(M1369&gt;=1,M1369&lt;=32,OR(N1369=4,N1369=6,N1369=8,N1369=10,N1369=12,N1369=20),O1369&gt;=0,E1369=M1369+O1369,F1369=M1369*N1369+O1369),"OK","ERREUR"))</x:f>
        <x:v>OK</x:v>
      </x:c>
      <x:c r="U1369" s="86" t="n">
        <x:f>IF(M1369&gt;0,M1369*(N1369+1)/2+O1369,0)</x:f>
        <x:v>7.5</x:v>
      </x:c>
      <x:c r="V1369" t="str">
        <x:f>IF(ABS(L1369-U1369)&lt;0.001,"OK","ERREUR")</x:f>
        <x:v>OK</x:v>
      </x:c>
    </x:row>
    <x:row r="1370" ht="18" customHeight="1">
      <x:c r="A1370" t="str">
        <x:v>ARM069</x:v>
      </x:c>
      <x:c r="B1370" t="str">
        <x:v>Sceptre sacré</x:v>
      </x:c>
      <x:c r="C1370" t="n">
        <x:v>7</x:v>
      </x:c>
      <x:c r="D1370" t="str">
        <x:v>Focaliseurs</x:v>
      </x:c>
      <x:c r="E1370" s="28" t="n">
        <x:f>IF(M1370=0,0,M1370+O1370)</x:f>
        <x:v>7</x:v>
      </x:c>
      <x:c r="F1370" s="28" t="n">
        <x:f>IF(M1370=0,0,M1370*N1370+O1370)</x:f>
        <x:v>10</x:v>
      </x:c>
      <x:c r="G1370" s="28" t="n">
        <x:f>ROUND(Catalogue!G72*SQRT((1+'Paramètres'!$B$4*(C1370-1)+'Paramètres'!$B$5*(C1370-1)^2)),0)</x:f>
        <x:v>0</x:v>
      </x:c>
      <x:c r="H1370" s="28" t="n">
        <x:f>ROUND(Catalogue!H72*SQRT((1+'Paramètres'!$B$4*(C1370-1)+'Paramètres'!$B$5*(C1370-1)^2)),0)</x:f>
        <x:v>0</x:v>
      </x:c>
      <x:c r="I1370" s="28" t="n">
        <x:v>2</x:v>
      </x:c>
      <x:c r="J1370" s="28" t="n">
        <x:v>4</x:v>
      </x:c>
      <x:c r="K1370" s="30" t="n">
        <x:v>1</x:v>
      </x:c>
      <x:c r="L1370" s="54" t="n">
        <x:f>IF(M1370=0,0,(E1370+F1370)/2)</x:f>
        <x:v>8.5</x:v>
      </x:c>
      <x:c r="M1370" t="n">
        <x:v>1</x:v>
      </x:c>
      <x:c r="N1370" t="n">
        <x:v>4</x:v>
      </x:c>
      <x:c r="O1370" t="n">
        <x:v>6</x:v>
      </x:c>
      <x:c r="P1370" s="63" t="str">
        <x:f>IF(M1370=0,"—",M1370&amp;"d"&amp;N1370&amp;IF(O1370=0,""," + "&amp;O1370))</x:f>
        <x:v>1d4 + 6</x:v>
      </x:c>
      <x:c r="Q1370" t="n">
        <x:f>ROUND(INDEX(Catalogue!E$4:E$85,MATCH(A1370,Catalogue!A$4:A$85,0))*(1+'Paramètres'!$B$4*(C1370-1)+'Paramètres'!$B$5*(C1370-1)^2),0)</x:f>
        <x:v>7</x:v>
      </x:c>
      <x:c r="R1370" t="n">
        <x:f>ROUND(INDEX(Catalogue!F$4:F$85,MATCH(A1370,Catalogue!A$4:A$85,0))*(1+'Paramètres'!$B$4*(C1370-1)+'Paramètres'!$B$5*(C1370-1)^2),0)</x:f>
        <x:v>11</x:v>
      </x:c>
      <x:c r="S1370" t="n">
        <x:f>L1370-AVERAGE(Q1370:R1370)</x:f>
        <x:v>-0.5</x:v>
      </x:c>
      <x:c r="T1370" t="str">
        <x:f>IF(M1370=0,IF(AND(N1370=0,O1370=0,E1370=0,F1370=0),"OK","ERREUR"),IF(AND(M1370&gt;=1,M1370&lt;=32,OR(N1370=4,N1370=6,N1370=8,N1370=10,N1370=12,N1370=20),O1370&gt;=0,E1370=M1370+O1370,F1370=M1370*N1370+O1370),"OK","ERREUR"))</x:f>
        <x:v>OK</x:v>
      </x:c>
      <x:c r="U1370" s="86" t="n">
        <x:f>IF(M1370&gt;0,M1370*(N1370+1)/2+O1370,0)</x:f>
        <x:v>8.5</x:v>
      </x:c>
      <x:c r="V1370" t="str">
        <x:f>IF(ABS(L1370-U1370)&lt;0.001,"OK","ERREUR")</x:f>
        <x:v>OK</x:v>
      </x:c>
    </x:row>
    <x:row r="1371" ht="18" customHeight="1">
      <x:c r="A1371" t="str">
        <x:v>ARM069</x:v>
      </x:c>
      <x:c r="B1371" t="str">
        <x:v>Sceptre sacré</x:v>
      </x:c>
      <x:c r="C1371" t="n">
        <x:v>8</x:v>
      </x:c>
      <x:c r="D1371" t="str">
        <x:v>Focaliseurs</x:v>
      </x:c>
      <x:c r="E1371" s="28" t="n">
        <x:f>IF(M1371=0,0,M1371+O1371)</x:f>
        <x:v>8</x:v>
      </x:c>
      <x:c r="F1371" s="28" t="n">
        <x:f>IF(M1371=0,0,M1371*N1371+O1371)</x:f>
        <x:v>13</x:v>
      </x:c>
      <x:c r="G1371" s="28" t="n">
        <x:f>ROUND(Catalogue!G72*SQRT((1+'Paramètres'!$B$4*(C1371-1)+'Paramètres'!$B$5*(C1371-1)^2)),0)</x:f>
        <x:v>0</x:v>
      </x:c>
      <x:c r="H1371" s="28" t="n">
        <x:f>ROUND(Catalogue!H72*SQRT((1+'Paramètres'!$B$4*(C1371-1)+'Paramètres'!$B$5*(C1371-1)^2)),0)</x:f>
        <x:v>0</x:v>
      </x:c>
      <x:c r="I1371" s="28" t="n">
        <x:v>2</x:v>
      </x:c>
      <x:c r="J1371" s="28" t="n">
        <x:v>4</x:v>
      </x:c>
      <x:c r="K1371" s="30" t="n">
        <x:v>1</x:v>
      </x:c>
      <x:c r="L1371" s="54" t="n">
        <x:f>IF(M1371=0,0,(E1371+F1371)/2)</x:f>
        <x:v>10.5</x:v>
      </x:c>
      <x:c r="M1371" t="n">
        <x:v>1</x:v>
      </x:c>
      <x:c r="N1371" t="n">
        <x:v>6</x:v>
      </x:c>
      <x:c r="O1371" t="n">
        <x:v>7</x:v>
      </x:c>
      <x:c r="P1371" s="63" t="str">
        <x:f>IF(M1371=0,"—",M1371&amp;"d"&amp;N1371&amp;IF(O1371=0,""," + "&amp;O1371))</x:f>
        <x:v>1d6 + 7</x:v>
      </x:c>
      <x:c r="Q1371" t="n">
        <x:f>ROUND(INDEX(Catalogue!E$4:E$85,MATCH(A1371,Catalogue!A$4:A$85,0))*(1+'Paramètres'!$B$4*(C1371-1)+'Paramètres'!$B$5*(C1371-1)^2),0)</x:f>
        <x:v>8</x:v>
      </x:c>
      <x:c r="R1371" t="n">
        <x:f>ROUND(INDEX(Catalogue!F$4:F$85,MATCH(A1371,Catalogue!A$4:A$85,0))*(1+'Paramètres'!$B$4*(C1371-1)+'Paramètres'!$B$5*(C1371-1)^2),0)</x:f>
        <x:v>13</x:v>
      </x:c>
      <x:c r="S1371" t="n">
        <x:f>L1371-AVERAGE(Q1371:R1371)</x:f>
        <x:v>0</x:v>
      </x:c>
      <x:c r="T1371" t="str">
        <x:f>IF(M1371=0,IF(AND(N1371=0,O1371=0,E1371=0,F1371=0),"OK","ERREUR"),IF(AND(M1371&gt;=1,M1371&lt;=32,OR(N1371=4,N1371=6,N1371=8,N1371=10,N1371=12,N1371=20),O1371&gt;=0,E1371=M1371+O1371,F1371=M1371*N1371+O1371),"OK","ERREUR"))</x:f>
        <x:v>OK</x:v>
      </x:c>
      <x:c r="U1371" s="86" t="n">
        <x:f>IF(M1371&gt;0,M1371*(N1371+1)/2+O1371,0)</x:f>
        <x:v>10.5</x:v>
      </x:c>
      <x:c r="V1371" t="str">
        <x:f>IF(ABS(L1371-U1371)&lt;0.001,"OK","ERREUR")</x:f>
        <x:v>OK</x:v>
      </x:c>
    </x:row>
    <x:row r="1372" ht="18" customHeight="1">
      <x:c r="A1372" t="str">
        <x:v>ARM069</x:v>
      </x:c>
      <x:c r="B1372" t="str">
        <x:v>Sceptre sacré</x:v>
      </x:c>
      <x:c r="C1372" t="n">
        <x:v>9</x:v>
      </x:c>
      <x:c r="D1372" t="str">
        <x:v>Focaliseurs</x:v>
      </x:c>
      <x:c r="E1372" s="28" t="n">
        <x:f>IF(M1372=0,0,M1372+O1372)</x:f>
        <x:v>9</x:v>
      </x:c>
      <x:c r="F1372" s="28" t="n">
        <x:f>IF(M1372=0,0,M1372*N1372+O1372)</x:f>
        <x:v>15</x:v>
      </x:c>
      <x:c r="G1372" s="28" t="n">
        <x:f>ROUND(Catalogue!G72*SQRT((1+'Paramètres'!$B$4*(C1372-1)+'Paramètres'!$B$5*(C1372-1)^2)),0)</x:f>
        <x:v>0</x:v>
      </x:c>
      <x:c r="H1372" s="28" t="n">
        <x:f>ROUND(Catalogue!H72*SQRT((1+'Paramètres'!$B$4*(C1372-1)+'Paramètres'!$B$5*(C1372-1)^2)),0)</x:f>
        <x:v>0</x:v>
      </x:c>
      <x:c r="I1372" s="28" t="n">
        <x:v>2</x:v>
      </x:c>
      <x:c r="J1372" s="28" t="n">
        <x:v>4</x:v>
      </x:c>
      <x:c r="K1372" s="30" t="n">
        <x:v>1</x:v>
      </x:c>
      <x:c r="L1372" s="54" t="n">
        <x:f>IF(M1372=0,0,(E1372+F1372)/2)</x:f>
        <x:v>12</x:v>
      </x:c>
      <x:c r="M1372" t="n">
        <x:v>2</x:v>
      </x:c>
      <x:c r="N1372" t="n">
        <x:v>4</x:v>
      </x:c>
      <x:c r="O1372" t="n">
        <x:v>7</x:v>
      </x:c>
      <x:c r="P1372" s="63" t="str">
        <x:f>IF(M1372=0,"—",M1372&amp;"d"&amp;N1372&amp;IF(O1372=0,""," + "&amp;O1372))</x:f>
        <x:v>2d4 + 7</x:v>
      </x:c>
      <x:c r="Q1372" t="n">
        <x:f>ROUND(INDEX(Catalogue!E$4:E$85,MATCH(A1372,Catalogue!A$4:A$85,0))*(1+'Paramètres'!$B$4*(C1372-1)+'Paramètres'!$B$5*(C1372-1)^2),0)</x:f>
        <x:v>9</x:v>
      </x:c>
      <x:c r="R1372" t="n">
        <x:f>ROUND(INDEX(Catalogue!F$4:F$85,MATCH(A1372,Catalogue!A$4:A$85,0))*(1+'Paramètres'!$B$4*(C1372-1)+'Paramètres'!$B$5*(C1372-1)^2),0)</x:f>
        <x:v>15</x:v>
      </x:c>
      <x:c r="S1372" t="n">
        <x:f>L1372-AVERAGE(Q1372:R1372)</x:f>
        <x:v>0</x:v>
      </x:c>
      <x:c r="T1372" t="str">
        <x:f>IF(M1372=0,IF(AND(N1372=0,O1372=0,E1372=0,F1372=0),"OK","ERREUR"),IF(AND(M1372&gt;=1,M1372&lt;=32,OR(N1372=4,N1372=6,N1372=8,N1372=10,N1372=12,N1372=20),O1372&gt;=0,E1372=M1372+O1372,F1372=M1372*N1372+O1372),"OK","ERREUR"))</x:f>
        <x:v>OK</x:v>
      </x:c>
      <x:c r="U1372" s="86" t="n">
        <x:f>IF(M1372&gt;0,M1372*(N1372+1)/2+O1372,0)</x:f>
        <x:v>12</x:v>
      </x:c>
      <x:c r="V1372" t="str">
        <x:f>IF(ABS(L1372-U1372)&lt;0.001,"OK","ERREUR")</x:f>
        <x:v>OK</x:v>
      </x:c>
    </x:row>
    <x:row r="1373" ht="18" customHeight="1">
      <x:c r="A1373" t="str">
        <x:v>ARM069</x:v>
      </x:c>
      <x:c r="B1373" t="str">
        <x:v>Sceptre sacré</x:v>
      </x:c>
      <x:c r="C1373" t="n">
        <x:v>10</x:v>
      </x:c>
      <x:c r="D1373" t="str">
        <x:v>Focaliseurs</x:v>
      </x:c>
      <x:c r="E1373" s="28" t="n">
        <x:f>IF(M1373=0,0,M1373+O1373)</x:f>
        <x:v>10</x:v>
      </x:c>
      <x:c r="F1373" s="28" t="n">
        <x:f>IF(M1373=0,0,M1373*N1373+O1373)</x:f>
        <x:v>16</x:v>
      </x:c>
      <x:c r="G1373" s="28" t="n">
        <x:f>ROUND(Catalogue!G72*SQRT((1+'Paramètres'!$B$4*(C1373-1)+'Paramètres'!$B$5*(C1373-1)^2)),0)</x:f>
        <x:v>0</x:v>
      </x:c>
      <x:c r="H1373" s="28" t="n">
        <x:f>ROUND(Catalogue!H72*SQRT((1+'Paramètres'!$B$4*(C1373-1)+'Paramètres'!$B$5*(C1373-1)^2)),0)</x:f>
        <x:v>0</x:v>
      </x:c>
      <x:c r="I1373" s="28" t="n">
        <x:v>2</x:v>
      </x:c>
      <x:c r="J1373" s="28" t="n">
        <x:v>4</x:v>
      </x:c>
      <x:c r="K1373" s="30" t="n">
        <x:v>1</x:v>
      </x:c>
      <x:c r="L1373" s="54" t="n">
        <x:f>IF(M1373=0,0,(E1373+F1373)/2)</x:f>
        <x:v>13</x:v>
      </x:c>
      <x:c r="M1373" t="n">
        <x:v>2</x:v>
      </x:c>
      <x:c r="N1373" t="n">
        <x:v>4</x:v>
      </x:c>
      <x:c r="O1373" t="n">
        <x:v>8</x:v>
      </x:c>
      <x:c r="P1373" s="63" t="str">
        <x:f>IF(M1373=0,"—",M1373&amp;"d"&amp;N1373&amp;IF(O1373=0,""," + "&amp;O1373))</x:f>
        <x:v>2d4 + 8</x:v>
      </x:c>
      <x:c r="Q1373" t="n">
        <x:f>ROUND(INDEX(Catalogue!E$4:E$85,MATCH(A1373,Catalogue!A$4:A$85,0))*(1+'Paramètres'!$B$4*(C1373-1)+'Paramètres'!$B$5*(C1373-1)^2),0)</x:f>
        <x:v>10</x:v>
      </x:c>
      <x:c r="R1373" t="n">
        <x:f>ROUND(INDEX(Catalogue!F$4:F$85,MATCH(A1373,Catalogue!A$4:A$85,0))*(1+'Paramètres'!$B$4*(C1373-1)+'Paramètres'!$B$5*(C1373-1)^2),0)</x:f>
        <x:v>16</x:v>
      </x:c>
      <x:c r="S1373" t="n">
        <x:f>L1373-AVERAGE(Q1373:R1373)</x:f>
        <x:v>0</x:v>
      </x:c>
      <x:c r="T1373" t="str">
        <x:f>IF(M1373=0,IF(AND(N1373=0,O1373=0,E1373=0,F1373=0),"OK","ERREUR"),IF(AND(M1373&gt;=1,M1373&lt;=32,OR(N1373=4,N1373=6,N1373=8,N1373=10,N1373=12,N1373=20),O1373&gt;=0,E1373=M1373+O1373,F1373=M1373*N1373+O1373),"OK","ERREUR"))</x:f>
        <x:v>OK</x:v>
      </x:c>
      <x:c r="U1373" s="86" t="n">
        <x:f>IF(M1373&gt;0,M1373*(N1373+1)/2+O1373,0)</x:f>
        <x:v>13</x:v>
      </x:c>
      <x:c r="V1373" t="str">
        <x:f>IF(ABS(L1373-U1373)&lt;0.001,"OK","ERREUR")</x:f>
        <x:v>OK</x:v>
      </x:c>
    </x:row>
    <x:row r="1374" ht="18" customHeight="1">
      <x:c r="A1374" t="str">
        <x:v>ARM069</x:v>
      </x:c>
      <x:c r="B1374" t="str">
        <x:v>Sceptre sacré</x:v>
      </x:c>
      <x:c r="C1374" t="n">
        <x:v>11</x:v>
      </x:c>
      <x:c r="D1374" t="str">
        <x:v>Focaliseurs</x:v>
      </x:c>
      <x:c r="E1374" s="28" t="n">
        <x:f>IF(M1374=0,0,M1374+O1374)</x:f>
        <x:v>11</x:v>
      </x:c>
      <x:c r="F1374" s="28" t="n">
        <x:f>IF(M1374=0,0,M1374*N1374+O1374)</x:f>
        <x:v>20</x:v>
      </x:c>
      <x:c r="G1374" s="28" t="n">
        <x:f>ROUND(Catalogue!G72*SQRT((1+'Paramètres'!$B$4*(C1374-1)+'Paramètres'!$B$5*(C1374-1)^2)),0)</x:f>
        <x:v>0</x:v>
      </x:c>
      <x:c r="H1374" s="28" t="n">
        <x:f>ROUND(Catalogue!H72*SQRT((1+'Paramètres'!$B$4*(C1374-1)+'Paramètres'!$B$5*(C1374-1)^2)),0)</x:f>
        <x:v>0</x:v>
      </x:c>
      <x:c r="I1374" s="28" t="n">
        <x:v>2</x:v>
      </x:c>
      <x:c r="J1374" s="28" t="n">
        <x:v>4</x:v>
      </x:c>
      <x:c r="K1374" s="30" t="n">
        <x:v>1</x:v>
      </x:c>
      <x:c r="L1374" s="54" t="n">
        <x:f>IF(M1374=0,0,(E1374+F1374)/2)</x:f>
        <x:v>15.5</x:v>
      </x:c>
      <x:c r="M1374" t="n">
        <x:v>3</x:v>
      </x:c>
      <x:c r="N1374" t="n">
        <x:v>4</x:v>
      </x:c>
      <x:c r="O1374" t="n">
        <x:v>8</x:v>
      </x:c>
      <x:c r="P1374" s="63" t="str">
        <x:f>IF(M1374=0,"—",M1374&amp;"d"&amp;N1374&amp;IF(O1374=0,""," + "&amp;O1374))</x:f>
        <x:v>3d4 + 8</x:v>
      </x:c>
      <x:c r="Q1374" t="n">
        <x:f>ROUND(INDEX(Catalogue!E$4:E$85,MATCH(A1374,Catalogue!A$4:A$85,0))*(1+'Paramètres'!$B$4*(C1374-1)+'Paramètres'!$B$5*(C1374-1)^2),0)</x:f>
        <x:v>11</x:v>
      </x:c>
      <x:c r="R1374" t="n">
        <x:f>ROUND(INDEX(Catalogue!F$4:F$85,MATCH(A1374,Catalogue!A$4:A$85,0))*(1+'Paramètres'!$B$4*(C1374-1)+'Paramètres'!$B$5*(C1374-1)^2),0)</x:f>
        <x:v>19</x:v>
      </x:c>
      <x:c r="S1374" t="n">
        <x:f>L1374-AVERAGE(Q1374:R1374)</x:f>
        <x:v>0.5</x:v>
      </x:c>
      <x:c r="T1374" t="str">
        <x:f>IF(M1374=0,IF(AND(N1374=0,O1374=0,E1374=0,F1374=0),"OK","ERREUR"),IF(AND(M1374&gt;=1,M1374&lt;=32,OR(N1374=4,N1374=6,N1374=8,N1374=10,N1374=12,N1374=20),O1374&gt;=0,E1374=M1374+O1374,F1374=M1374*N1374+O1374),"OK","ERREUR"))</x:f>
        <x:v>OK</x:v>
      </x:c>
      <x:c r="U1374" s="86" t="n">
        <x:f>IF(M1374&gt;0,M1374*(N1374+1)/2+O1374,0)</x:f>
        <x:v>15.5</x:v>
      </x:c>
      <x:c r="V1374" t="str">
        <x:f>IF(ABS(L1374-U1374)&lt;0.001,"OK","ERREUR")</x:f>
        <x:v>OK</x:v>
      </x:c>
    </x:row>
    <x:row r="1375" ht="18" customHeight="1">
      <x:c r="A1375" t="str">
        <x:v>ARM069</x:v>
      </x:c>
      <x:c r="B1375" t="str">
        <x:v>Sceptre sacré</x:v>
      </x:c>
      <x:c r="C1375" t="n">
        <x:v>12</x:v>
      </x:c>
      <x:c r="D1375" t="str">
        <x:v>Focaliseurs</x:v>
      </x:c>
      <x:c r="E1375" s="28" t="n">
        <x:f>IF(M1375=0,0,M1375+O1375)</x:f>
        <x:v>12</x:v>
      </x:c>
      <x:c r="F1375" s="28" t="n">
        <x:f>IF(M1375=0,0,M1375*N1375+O1375)</x:f>
        <x:v>21</x:v>
      </x:c>
      <x:c r="G1375" s="28" t="n">
        <x:f>ROUND(Catalogue!G72*SQRT((1+'Paramètres'!$B$4*(C1375-1)+'Paramètres'!$B$5*(C1375-1)^2)),0)</x:f>
        <x:v>0</x:v>
      </x:c>
      <x:c r="H1375" s="28" t="n">
        <x:f>ROUND(Catalogue!H72*SQRT((1+'Paramètres'!$B$4*(C1375-1)+'Paramètres'!$B$5*(C1375-1)^2)),0)</x:f>
        <x:v>0</x:v>
      </x:c>
      <x:c r="I1375" s="28" t="n">
        <x:v>2</x:v>
      </x:c>
      <x:c r="J1375" s="28" t="n">
        <x:v>4</x:v>
      </x:c>
      <x:c r="K1375" s="30" t="n">
        <x:v>1</x:v>
      </x:c>
      <x:c r="L1375" s="54" t="n">
        <x:f>IF(M1375=0,0,(E1375+F1375)/2)</x:f>
        <x:v>16.5</x:v>
      </x:c>
      <x:c r="M1375" t="n">
        <x:v>3</x:v>
      </x:c>
      <x:c r="N1375" t="n">
        <x:v>4</x:v>
      </x:c>
      <x:c r="O1375" t="n">
        <x:v>9</x:v>
      </x:c>
      <x:c r="P1375" s="63" t="str">
        <x:f>IF(M1375=0,"—",M1375&amp;"d"&amp;N1375&amp;IF(O1375=0,""," + "&amp;O1375))</x:f>
        <x:v>3d4 + 9</x:v>
      </x:c>
      <x:c r="Q1375" t="n">
        <x:f>ROUND(INDEX(Catalogue!E$4:E$85,MATCH(A1375,Catalogue!A$4:A$85,0))*(1+'Paramètres'!$B$4*(C1375-1)+'Paramètres'!$B$5*(C1375-1)^2),0)</x:f>
        <x:v>12</x:v>
      </x:c>
      <x:c r="R1375" t="n">
        <x:f>ROUND(INDEX(Catalogue!F$4:F$85,MATCH(A1375,Catalogue!A$4:A$85,0))*(1+'Paramètres'!$B$4*(C1375-1)+'Paramètres'!$B$5*(C1375-1)^2),0)</x:f>
        <x:v>21</x:v>
      </x:c>
      <x:c r="S1375" t="n">
        <x:f>L1375-AVERAGE(Q1375:R1375)</x:f>
        <x:v>0</x:v>
      </x:c>
      <x:c r="T1375" t="str">
        <x:f>IF(M1375=0,IF(AND(N1375=0,O1375=0,E1375=0,F1375=0),"OK","ERREUR"),IF(AND(M1375&gt;=1,M1375&lt;=32,OR(N1375=4,N1375=6,N1375=8,N1375=10,N1375=12,N1375=20),O1375&gt;=0,E1375=M1375+O1375,F1375=M1375*N1375+O1375),"OK","ERREUR"))</x:f>
        <x:v>OK</x:v>
      </x:c>
      <x:c r="U1375" s="86" t="n">
        <x:f>IF(M1375&gt;0,M1375*(N1375+1)/2+O1375,0)</x:f>
        <x:v>16.5</x:v>
      </x:c>
      <x:c r="V1375" t="str">
        <x:f>IF(ABS(L1375-U1375)&lt;0.001,"OK","ERREUR")</x:f>
        <x:v>OK</x:v>
      </x:c>
    </x:row>
    <x:row r="1376" ht="18" customHeight="1">
      <x:c r="A1376" t="str">
        <x:v>ARM069</x:v>
      </x:c>
      <x:c r="B1376" t="str">
        <x:v>Sceptre sacré</x:v>
      </x:c>
      <x:c r="C1376" t="n">
        <x:v>13</x:v>
      </x:c>
      <x:c r="D1376" t="str">
        <x:v>Focaliseurs</x:v>
      </x:c>
      <x:c r="E1376" s="28" t="n">
        <x:f>IF(M1376=0,0,M1376+O1376)</x:f>
        <x:v>14</x:v>
      </x:c>
      <x:c r="F1376" s="28" t="n">
        <x:f>IF(M1376=0,0,M1376*N1376+O1376)</x:f>
        <x:v>23</x:v>
      </x:c>
      <x:c r="G1376" s="28" t="n">
        <x:f>ROUND(Catalogue!G72*SQRT((1+'Paramètres'!$B$4*(C1376-1)+'Paramètres'!$B$5*(C1376-1)^2)),0)</x:f>
        <x:v>0</x:v>
      </x:c>
      <x:c r="H1376" s="28" t="n">
        <x:f>ROUND(Catalogue!H72*SQRT((1+'Paramètres'!$B$4*(C1376-1)+'Paramètres'!$B$5*(C1376-1)^2)),0)</x:f>
        <x:v>0</x:v>
      </x:c>
      <x:c r="I1376" s="28" t="n">
        <x:v>2</x:v>
      </x:c>
      <x:c r="J1376" s="28" t="n">
        <x:v>4</x:v>
      </x:c>
      <x:c r="K1376" s="30" t="n">
        <x:v>1</x:v>
      </x:c>
      <x:c r="L1376" s="54" t="n">
        <x:f>IF(M1376=0,0,(E1376+F1376)/2)</x:f>
        <x:v>18.5</x:v>
      </x:c>
      <x:c r="M1376" t="n">
        <x:v>3</x:v>
      </x:c>
      <x:c r="N1376" t="n">
        <x:v>4</x:v>
      </x:c>
      <x:c r="O1376" t="n">
        <x:v>11</x:v>
      </x:c>
      <x:c r="P1376" s="63" t="str">
        <x:f>IF(M1376=0,"—",M1376&amp;"d"&amp;N1376&amp;IF(O1376=0,""," + "&amp;O1376))</x:f>
        <x:v>3d4 + 11</x:v>
      </x:c>
      <x:c r="Q1376" t="n">
        <x:f>ROUND(INDEX(Catalogue!E$4:E$85,MATCH(A1376,Catalogue!A$4:A$85,0))*(1+'Paramètres'!$B$4*(C1376-1)+'Paramètres'!$B$5*(C1376-1)^2),0)</x:f>
        <x:v>14</x:v>
      </x:c>
      <x:c r="R1376" t="n">
        <x:f>ROUND(INDEX(Catalogue!F$4:F$85,MATCH(A1376,Catalogue!A$4:A$85,0))*(1+'Paramètres'!$B$4*(C1376-1)+'Paramètres'!$B$5*(C1376-1)^2),0)</x:f>
        <x:v>23</x:v>
      </x:c>
      <x:c r="S1376" t="n">
        <x:f>L1376-AVERAGE(Q1376:R1376)</x:f>
        <x:v>0</x:v>
      </x:c>
      <x:c r="T1376" t="str">
        <x:f>IF(M1376=0,IF(AND(N1376=0,O1376=0,E1376=0,F1376=0),"OK","ERREUR"),IF(AND(M1376&gt;=1,M1376&lt;=32,OR(N1376=4,N1376=6,N1376=8,N1376=10,N1376=12,N1376=20),O1376&gt;=0,E1376=M1376+O1376,F1376=M1376*N1376+O1376),"OK","ERREUR"))</x:f>
        <x:v>OK</x:v>
      </x:c>
      <x:c r="U1376" s="86" t="n">
        <x:f>IF(M1376&gt;0,M1376*(N1376+1)/2+O1376,0)</x:f>
        <x:v>18.5</x:v>
      </x:c>
      <x:c r="V1376" t="str">
        <x:f>IF(ABS(L1376-U1376)&lt;0.001,"OK","ERREUR")</x:f>
        <x:v>OK</x:v>
      </x:c>
    </x:row>
    <x:row r="1377" ht="18" customHeight="1">
      <x:c r="A1377" t="str">
        <x:v>ARM069</x:v>
      </x:c>
      <x:c r="B1377" t="str">
        <x:v>Sceptre sacré</x:v>
      </x:c>
      <x:c r="C1377" t="n">
        <x:v>14</x:v>
      </x:c>
      <x:c r="D1377" t="str">
        <x:v>Focaliseurs</x:v>
      </x:c>
      <x:c r="E1377" s="28" t="n">
        <x:f>IF(M1377=0,0,M1377+O1377)</x:f>
        <x:v>15</x:v>
      </x:c>
      <x:c r="F1377" s="28" t="n">
        <x:f>IF(M1377=0,0,M1377*N1377+O1377)</x:f>
        <x:v>26</x:v>
      </x:c>
      <x:c r="G1377" s="28" t="n">
        <x:f>ROUND(Catalogue!G72*SQRT((1+'Paramètres'!$B$4*(C1377-1)+'Paramètres'!$B$5*(C1377-1)^2)),0)</x:f>
        <x:v>0</x:v>
      </x:c>
      <x:c r="H1377" s="28" t="n">
        <x:f>ROUND(Catalogue!H72*SQRT((1+'Paramètres'!$B$4*(C1377-1)+'Paramètres'!$B$5*(C1377-1)^2)),0)</x:f>
        <x:v>0</x:v>
      </x:c>
      <x:c r="I1377" s="28" t="n">
        <x:v>2</x:v>
      </x:c>
      <x:c r="J1377" s="28" t="n">
        <x:v>4</x:v>
      </x:c>
      <x:c r="K1377" s="30" t="n">
        <x:v>1</x:v>
      </x:c>
      <x:c r="L1377" s="54" t="n">
        <x:f>IF(M1377=0,0,(E1377+F1377)/2)</x:f>
        <x:v>20.5</x:v>
      </x:c>
      <x:c r="M1377" t="n">
        <x:v>1</x:v>
      </x:c>
      <x:c r="N1377" t="n">
        <x:v>12</x:v>
      </x:c>
      <x:c r="O1377" t="n">
        <x:v>14</x:v>
      </x:c>
      <x:c r="P1377" s="63" t="str">
        <x:f>IF(M1377=0,"—",M1377&amp;"d"&amp;N1377&amp;IF(O1377=0,""," + "&amp;O1377))</x:f>
        <x:v>1d12 + 14</x:v>
      </x:c>
      <x:c r="Q1377" t="n">
        <x:f>ROUND(INDEX(Catalogue!E$4:E$85,MATCH(A1377,Catalogue!A$4:A$85,0))*(1+'Paramètres'!$B$4*(C1377-1)+'Paramètres'!$B$5*(C1377-1)^2),0)</x:f>
        <x:v>15</x:v>
      </x:c>
      <x:c r="R1377" t="n">
        <x:f>ROUND(INDEX(Catalogue!F$4:F$85,MATCH(A1377,Catalogue!A$4:A$85,0))*(1+'Paramètres'!$B$4*(C1377-1)+'Paramètres'!$B$5*(C1377-1)^2),0)</x:f>
        <x:v>26</x:v>
      </x:c>
      <x:c r="S1377" t="n">
        <x:f>L1377-AVERAGE(Q1377:R1377)</x:f>
        <x:v>0</x:v>
      </x:c>
      <x:c r="T1377" t="str">
        <x:f>IF(M1377=0,IF(AND(N1377=0,O1377=0,E1377=0,F1377=0),"OK","ERREUR"),IF(AND(M1377&gt;=1,M1377&lt;=32,OR(N1377=4,N1377=6,N1377=8,N1377=10,N1377=12,N1377=20),O1377&gt;=0,E1377=M1377+O1377,F1377=M1377*N1377+O1377),"OK","ERREUR"))</x:f>
        <x:v>OK</x:v>
      </x:c>
      <x:c r="U1377" s="86" t="n">
        <x:f>IF(M1377&gt;0,M1377*(N1377+1)/2+O1377,0)</x:f>
        <x:v>20.5</x:v>
      </x:c>
      <x:c r="V1377" t="str">
        <x:f>IF(ABS(L1377-U1377)&lt;0.001,"OK","ERREUR")</x:f>
        <x:v>OK</x:v>
      </x:c>
    </x:row>
    <x:row r="1378" ht="18" customHeight="1">
      <x:c r="A1378" t="str">
        <x:v>ARM069</x:v>
      </x:c>
      <x:c r="B1378" t="str">
        <x:v>Sceptre sacré</x:v>
      </x:c>
      <x:c r="C1378" t="n">
        <x:v>15</x:v>
      </x:c>
      <x:c r="D1378" t="str">
        <x:v>Focaliseurs</x:v>
      </x:c>
      <x:c r="E1378" s="28" t="n">
        <x:f>IF(M1378=0,0,M1378+O1378)</x:f>
        <x:v>17</x:v>
      </x:c>
      <x:c r="F1378" s="28" t="n">
        <x:f>IF(M1378=0,0,M1378*N1378+O1378)</x:f>
        <x:v>28</x:v>
      </x:c>
      <x:c r="G1378" s="28" t="n">
        <x:f>ROUND(Catalogue!G72*SQRT((1+'Paramètres'!$B$4*(C1378-1)+'Paramètres'!$B$5*(C1378-1)^2)),0)</x:f>
        <x:v>0</x:v>
      </x:c>
      <x:c r="H1378" s="28" t="n">
        <x:f>ROUND(Catalogue!H72*SQRT((1+'Paramètres'!$B$4*(C1378-1)+'Paramètres'!$B$5*(C1378-1)^2)),0)</x:f>
        <x:v>0</x:v>
      </x:c>
      <x:c r="I1378" s="28" t="n">
        <x:v>2</x:v>
      </x:c>
      <x:c r="J1378" s="28" t="n">
        <x:v>4</x:v>
      </x:c>
      <x:c r="K1378" s="30" t="n">
        <x:v>1</x:v>
      </x:c>
      <x:c r="L1378" s="54" t="n">
        <x:f>IF(M1378=0,0,(E1378+F1378)/2)</x:f>
        <x:v>22.5</x:v>
      </x:c>
      <x:c r="M1378" t="n">
        <x:v>1</x:v>
      </x:c>
      <x:c r="N1378" t="n">
        <x:v>12</x:v>
      </x:c>
      <x:c r="O1378" t="n">
        <x:v>16</x:v>
      </x:c>
      <x:c r="P1378" s="63" t="str">
        <x:f>IF(M1378=0,"—",M1378&amp;"d"&amp;N1378&amp;IF(O1378=0,""," + "&amp;O1378))</x:f>
        <x:v>1d12 + 16</x:v>
      </x:c>
      <x:c r="Q1378" t="n">
        <x:f>ROUND(INDEX(Catalogue!E$4:E$85,MATCH(A1378,Catalogue!A$4:A$85,0))*(1+'Paramètres'!$B$4*(C1378-1)+'Paramètres'!$B$5*(C1378-1)^2),0)</x:f>
        <x:v>17</x:v>
      </x:c>
      <x:c r="R1378" t="n">
        <x:f>ROUND(INDEX(Catalogue!F$4:F$85,MATCH(A1378,Catalogue!A$4:A$85,0))*(1+'Paramètres'!$B$4*(C1378-1)+'Paramètres'!$B$5*(C1378-1)^2),0)</x:f>
        <x:v>28</x:v>
      </x:c>
      <x:c r="S1378" t="n">
        <x:f>L1378-AVERAGE(Q1378:R1378)</x:f>
        <x:v>0</x:v>
      </x:c>
      <x:c r="T1378" t="str">
        <x:f>IF(M1378=0,IF(AND(N1378=0,O1378=0,E1378=0,F1378=0),"OK","ERREUR"),IF(AND(M1378&gt;=1,M1378&lt;=32,OR(N1378=4,N1378=6,N1378=8,N1378=10,N1378=12,N1378=20),O1378&gt;=0,E1378=M1378+O1378,F1378=M1378*N1378+O1378),"OK","ERREUR"))</x:f>
        <x:v>OK</x:v>
      </x:c>
      <x:c r="U1378" s="86" t="n">
        <x:f>IF(M1378&gt;0,M1378*(N1378+1)/2+O1378,0)</x:f>
        <x:v>22.5</x:v>
      </x:c>
      <x:c r="V1378" t="str">
        <x:f>IF(ABS(L1378-U1378)&lt;0.001,"OK","ERREUR")</x:f>
        <x:v>OK</x:v>
      </x:c>
    </x:row>
    <x:row r="1379" ht="18" customHeight="1">
      <x:c r="A1379" t="str">
        <x:v>ARM069</x:v>
      </x:c>
      <x:c r="B1379" t="str">
        <x:v>Sceptre sacré</x:v>
      </x:c>
      <x:c r="C1379" t="n">
        <x:v>16</x:v>
      </x:c>
      <x:c r="D1379" t="str">
        <x:v>Focaliseurs</x:v>
      </x:c>
      <x:c r="E1379" s="28" t="n">
        <x:f>IF(M1379=0,0,M1379+O1379)</x:f>
        <x:v>19</x:v>
      </x:c>
      <x:c r="F1379" s="28" t="n">
        <x:f>IF(M1379=0,0,M1379*N1379+O1379)</x:f>
        <x:v>31</x:v>
      </x:c>
      <x:c r="G1379" s="28" t="n">
        <x:f>ROUND(Catalogue!G72*SQRT((1+'Paramètres'!$B$4*(C1379-1)+'Paramètres'!$B$5*(C1379-1)^2)),0)</x:f>
        <x:v>0</x:v>
      </x:c>
      <x:c r="H1379" s="28" t="n">
        <x:f>ROUND(Catalogue!H72*SQRT((1+'Paramètres'!$B$4*(C1379-1)+'Paramètres'!$B$5*(C1379-1)^2)),0)</x:f>
        <x:v>0</x:v>
      </x:c>
      <x:c r="I1379" s="28" t="n">
        <x:v>2</x:v>
      </x:c>
      <x:c r="J1379" s="28" t="n">
        <x:v>4</x:v>
      </x:c>
      <x:c r="K1379" s="30" t="n">
        <x:v>1</x:v>
      </x:c>
      <x:c r="L1379" s="54" t="n">
        <x:f>IF(M1379=0,0,(E1379+F1379)/2)</x:f>
        <x:v>25</x:v>
      </x:c>
      <x:c r="M1379" t="n">
        <x:v>4</x:v>
      </x:c>
      <x:c r="N1379" t="n">
        <x:v>4</x:v>
      </x:c>
      <x:c r="O1379" t="n">
        <x:v>15</x:v>
      </x:c>
      <x:c r="P1379" s="63" t="str">
        <x:f>IF(M1379=0,"—",M1379&amp;"d"&amp;N1379&amp;IF(O1379=0,""," + "&amp;O1379))</x:f>
        <x:v>4d4 + 15</x:v>
      </x:c>
      <x:c r="Q1379" t="n">
        <x:f>ROUND(INDEX(Catalogue!E$4:E$85,MATCH(A1379,Catalogue!A$4:A$85,0))*(1+'Paramètres'!$B$4*(C1379-1)+'Paramètres'!$B$5*(C1379-1)^2),0)</x:f>
        <x:v>19</x:v>
      </x:c>
      <x:c r="R1379" t="n">
        <x:f>ROUND(INDEX(Catalogue!F$4:F$85,MATCH(A1379,Catalogue!A$4:A$85,0))*(1+'Paramètres'!$B$4*(C1379-1)+'Paramètres'!$B$5*(C1379-1)^2),0)</x:f>
        <x:v>31</x:v>
      </x:c>
      <x:c r="S1379" t="n">
        <x:f>L1379-AVERAGE(Q1379:R1379)</x:f>
        <x:v>0</x:v>
      </x:c>
      <x:c r="T1379" t="str">
        <x:f>IF(M1379=0,IF(AND(N1379=0,O1379=0,E1379=0,F1379=0),"OK","ERREUR"),IF(AND(M1379&gt;=1,M1379&lt;=32,OR(N1379=4,N1379=6,N1379=8,N1379=10,N1379=12,N1379=20),O1379&gt;=0,E1379=M1379+O1379,F1379=M1379*N1379+O1379),"OK","ERREUR"))</x:f>
        <x:v>OK</x:v>
      </x:c>
      <x:c r="U1379" s="86" t="n">
        <x:f>IF(M1379&gt;0,M1379*(N1379+1)/2+O1379,0)</x:f>
        <x:v>25</x:v>
      </x:c>
      <x:c r="V1379" t="str">
        <x:f>IF(ABS(L1379-U1379)&lt;0.001,"OK","ERREUR")</x:f>
        <x:v>OK</x:v>
      </x:c>
    </x:row>
    <x:row r="1380" ht="18" customHeight="1">
      <x:c r="A1380" t="str">
        <x:v>ARM069</x:v>
      </x:c>
      <x:c r="B1380" t="str">
        <x:v>Sceptre sacré</x:v>
      </x:c>
      <x:c r="C1380" t="n">
        <x:v>17</x:v>
      </x:c>
      <x:c r="D1380" t="str">
        <x:v>Focaliseurs</x:v>
      </x:c>
      <x:c r="E1380" s="28" t="n">
        <x:f>IF(M1380=0,0,M1380+O1380)</x:f>
        <x:v>20</x:v>
      </x:c>
      <x:c r="F1380" s="28" t="n">
        <x:f>IF(M1380=0,0,M1380*N1380+O1380)</x:f>
        <x:v>34</x:v>
      </x:c>
      <x:c r="G1380" s="28" t="n">
        <x:f>ROUND(Catalogue!G72*SQRT((1+'Paramètres'!$B$4*(C1380-1)+'Paramètres'!$B$5*(C1380-1)^2)),0)</x:f>
        <x:v>0</x:v>
      </x:c>
      <x:c r="H1380" s="28" t="n">
        <x:f>ROUND(Catalogue!H72*SQRT((1+'Paramètres'!$B$4*(C1380-1)+'Paramètres'!$B$5*(C1380-1)^2)),0)</x:f>
        <x:v>0</x:v>
      </x:c>
      <x:c r="I1380" s="28" t="n">
        <x:v>2</x:v>
      </x:c>
      <x:c r="J1380" s="28" t="n">
        <x:v>4</x:v>
      </x:c>
      <x:c r="K1380" s="30" t="n">
        <x:v>1</x:v>
      </x:c>
      <x:c r="L1380" s="54" t="n">
        <x:f>IF(M1380=0,0,(E1380+F1380)/2)</x:f>
        <x:v>27</x:v>
      </x:c>
      <x:c r="M1380" t="n">
        <x:v>2</x:v>
      </x:c>
      <x:c r="N1380" t="n">
        <x:v>8</x:v>
      </x:c>
      <x:c r="O1380" t="n">
        <x:v>18</x:v>
      </x:c>
      <x:c r="P1380" s="63" t="str">
        <x:f>IF(M1380=0,"—",M1380&amp;"d"&amp;N1380&amp;IF(O1380=0,""," + "&amp;O1380))</x:f>
        <x:v>2d8 + 18</x:v>
      </x:c>
      <x:c r="Q1380" t="n">
        <x:f>ROUND(INDEX(Catalogue!E$4:E$85,MATCH(A1380,Catalogue!A$4:A$85,0))*(1+'Paramètres'!$B$4*(C1380-1)+'Paramètres'!$B$5*(C1380-1)^2),0)</x:f>
        <x:v>21</x:v>
      </x:c>
      <x:c r="R1380" t="n">
        <x:f>ROUND(INDEX(Catalogue!F$4:F$85,MATCH(A1380,Catalogue!A$4:A$85,0))*(1+'Paramètres'!$B$4*(C1380-1)+'Paramètres'!$B$5*(C1380-1)^2),0)</x:f>
        <x:v>34</x:v>
      </x:c>
      <x:c r="S1380" t="n">
        <x:f>L1380-AVERAGE(Q1380:R1380)</x:f>
        <x:v>-0.5</x:v>
      </x:c>
      <x:c r="T1380" t="str">
        <x:f>IF(M1380=0,IF(AND(N1380=0,O1380=0,E1380=0,F1380=0),"OK","ERREUR"),IF(AND(M1380&gt;=1,M1380&lt;=32,OR(N1380=4,N1380=6,N1380=8,N1380=10,N1380=12,N1380=20),O1380&gt;=0,E1380=M1380+O1380,F1380=M1380*N1380+O1380),"OK","ERREUR"))</x:f>
        <x:v>OK</x:v>
      </x:c>
      <x:c r="U1380" s="86" t="n">
        <x:f>IF(M1380&gt;0,M1380*(N1380+1)/2+O1380,0)</x:f>
        <x:v>27</x:v>
      </x:c>
      <x:c r="V1380" t="str">
        <x:f>IF(ABS(L1380-U1380)&lt;0.001,"OK","ERREUR")</x:f>
        <x:v>OK</x:v>
      </x:c>
    </x:row>
    <x:row r="1381" ht="18" customHeight="1">
      <x:c r="A1381" t="str">
        <x:v>ARM069</x:v>
      </x:c>
      <x:c r="B1381" t="str">
        <x:v>Sceptre sacré</x:v>
      </x:c>
      <x:c r="C1381" t="n">
        <x:v>18</x:v>
      </x:c>
      <x:c r="D1381" t="str">
        <x:v>Focaliseurs</x:v>
      </x:c>
      <x:c r="E1381" s="28" t="n">
        <x:f>IF(M1381=0,0,M1381+O1381)</x:f>
        <x:v>22</x:v>
      </x:c>
      <x:c r="F1381" s="28" t="n">
        <x:f>IF(M1381=0,0,M1381*N1381+O1381)</x:f>
        <x:v>37</x:v>
      </x:c>
      <x:c r="G1381" s="28" t="n">
        <x:f>ROUND(Catalogue!G72*SQRT((1+'Paramètres'!$B$4*(C1381-1)+'Paramètres'!$B$5*(C1381-1)^2)),0)</x:f>
        <x:v>0</x:v>
      </x:c>
      <x:c r="H1381" s="28" t="n">
        <x:f>ROUND(Catalogue!H72*SQRT((1+'Paramètres'!$B$4*(C1381-1)+'Paramètres'!$B$5*(C1381-1)^2)),0)</x:f>
        <x:v>0</x:v>
      </x:c>
      <x:c r="I1381" s="28" t="n">
        <x:v>2</x:v>
      </x:c>
      <x:c r="J1381" s="28" t="n">
        <x:v>4</x:v>
      </x:c>
      <x:c r="K1381" s="30" t="n">
        <x:v>1</x:v>
      </x:c>
      <x:c r="L1381" s="54" t="n">
        <x:f>IF(M1381=0,0,(E1381+F1381)/2)</x:f>
        <x:v>29.5</x:v>
      </x:c>
      <x:c r="M1381" t="n">
        <x:v>3</x:v>
      </x:c>
      <x:c r="N1381" t="n">
        <x:v>6</x:v>
      </x:c>
      <x:c r="O1381" t="n">
        <x:v>19</x:v>
      </x:c>
      <x:c r="P1381" s="63" t="str">
        <x:f>IF(M1381=0,"—",M1381&amp;"d"&amp;N1381&amp;IF(O1381=0,""," + "&amp;O1381))</x:f>
        <x:v>3d6 + 19</x:v>
      </x:c>
      <x:c r="Q1381" t="n">
        <x:f>ROUND(INDEX(Catalogue!E$4:E$85,MATCH(A1381,Catalogue!A$4:A$85,0))*(1+'Paramètres'!$B$4*(C1381-1)+'Paramètres'!$B$5*(C1381-1)^2),0)</x:f>
        <x:v>22</x:v>
      </x:c>
      <x:c r="R1381" t="n">
        <x:f>ROUND(INDEX(Catalogue!F$4:F$85,MATCH(A1381,Catalogue!A$4:A$85,0))*(1+'Paramètres'!$B$4*(C1381-1)+'Paramètres'!$B$5*(C1381-1)^2),0)</x:f>
        <x:v>37</x:v>
      </x:c>
      <x:c r="S1381" t="n">
        <x:f>L1381-AVERAGE(Q1381:R1381)</x:f>
        <x:v>0</x:v>
      </x:c>
      <x:c r="T1381" t="str">
        <x:f>IF(M1381=0,IF(AND(N1381=0,O1381=0,E1381=0,F1381=0),"OK","ERREUR"),IF(AND(M1381&gt;=1,M1381&lt;=32,OR(N1381=4,N1381=6,N1381=8,N1381=10,N1381=12,N1381=20),O1381&gt;=0,E1381=M1381+O1381,F1381=M1381*N1381+O1381),"OK","ERREUR"))</x:f>
        <x:v>OK</x:v>
      </x:c>
      <x:c r="U1381" s="86" t="n">
        <x:f>IF(M1381&gt;0,M1381*(N1381+1)/2+O1381,0)</x:f>
        <x:v>29.5</x:v>
      </x:c>
      <x:c r="V1381" t="str">
        <x:f>IF(ABS(L1381-U1381)&lt;0.001,"OK","ERREUR")</x:f>
        <x:v>OK</x:v>
      </x:c>
    </x:row>
    <x:row r="1382" ht="18" customHeight="1">
      <x:c r="A1382" t="str">
        <x:v>ARM069</x:v>
      </x:c>
      <x:c r="B1382" t="str">
        <x:v>Sceptre sacré</x:v>
      </x:c>
      <x:c r="C1382" t="n">
        <x:v>19</x:v>
      </x:c>
      <x:c r="D1382" t="str">
        <x:v>Focaliseurs</x:v>
      </x:c>
      <x:c r="E1382" s="28" t="n">
        <x:f>IF(M1382=0,0,M1382+O1382)</x:f>
        <x:v>23</x:v>
      </x:c>
      <x:c r="F1382" s="28" t="n">
        <x:f>IF(M1382=0,0,M1382*N1382+O1382)</x:f>
        <x:v>41</x:v>
      </x:c>
      <x:c r="G1382" s="28" t="n">
        <x:f>ROUND(Catalogue!G72*SQRT((1+'Paramètres'!$B$4*(C1382-1)+'Paramètres'!$B$5*(C1382-1)^2)),0)</x:f>
        <x:v>0</x:v>
      </x:c>
      <x:c r="H1382" s="28" t="n">
        <x:f>ROUND(Catalogue!H72*SQRT((1+'Paramètres'!$B$4*(C1382-1)+'Paramètres'!$B$5*(C1382-1)^2)),0)</x:f>
        <x:v>0</x:v>
      </x:c>
      <x:c r="I1382" s="28" t="n">
        <x:v>2</x:v>
      </x:c>
      <x:c r="J1382" s="28" t="n">
        <x:v>4</x:v>
      </x:c>
      <x:c r="K1382" s="30" t="n">
        <x:v>1</x:v>
      </x:c>
      <x:c r="L1382" s="54" t="n">
        <x:f>IF(M1382=0,0,(E1382+F1382)/2)</x:f>
        <x:v>32</x:v>
      </x:c>
      <x:c r="M1382" t="n">
        <x:v>2</x:v>
      </x:c>
      <x:c r="N1382" t="n">
        <x:v>10</x:v>
      </x:c>
      <x:c r="O1382" t="n">
        <x:v>21</x:v>
      </x:c>
      <x:c r="P1382" s="63" t="str">
        <x:f>IF(M1382=0,"—",M1382&amp;"d"&amp;N1382&amp;IF(O1382=0,""," + "&amp;O1382))</x:f>
        <x:v>2d10 + 21</x:v>
      </x:c>
      <x:c r="Q1382" t="n">
        <x:f>ROUND(INDEX(Catalogue!E$4:E$85,MATCH(A1382,Catalogue!A$4:A$85,0))*(1+'Paramètres'!$B$4*(C1382-1)+'Paramètres'!$B$5*(C1382-1)^2),0)</x:f>
        <x:v>24</x:v>
      </x:c>
      <x:c r="R1382" t="n">
        <x:f>ROUND(INDEX(Catalogue!F$4:F$85,MATCH(A1382,Catalogue!A$4:A$85,0))*(1+'Paramètres'!$B$4*(C1382-1)+'Paramètres'!$B$5*(C1382-1)^2),0)</x:f>
        <x:v>41</x:v>
      </x:c>
      <x:c r="S1382" t="n">
        <x:f>L1382-AVERAGE(Q1382:R1382)</x:f>
        <x:v>-0.5</x:v>
      </x:c>
      <x:c r="T1382" t="str">
        <x:f>IF(M1382=0,IF(AND(N1382=0,O1382=0,E1382=0,F1382=0),"OK","ERREUR"),IF(AND(M1382&gt;=1,M1382&lt;=32,OR(N1382=4,N1382=6,N1382=8,N1382=10,N1382=12,N1382=20),O1382&gt;=0,E1382=M1382+O1382,F1382=M1382*N1382+O1382),"OK","ERREUR"))</x:f>
        <x:v>OK</x:v>
      </x:c>
      <x:c r="U1382" s="86" t="n">
        <x:f>IF(M1382&gt;0,M1382*(N1382+1)/2+O1382,0)</x:f>
        <x:v>32</x:v>
      </x:c>
      <x:c r="V1382" t="str">
        <x:f>IF(ABS(L1382-U1382)&lt;0.001,"OK","ERREUR")</x:f>
        <x:v>OK</x:v>
      </x:c>
    </x:row>
    <x:row r="1383" ht="18" customHeight="1">
      <x:c r="A1383" t="str">
        <x:v>ARM069</x:v>
      </x:c>
      <x:c r="B1383" t="str">
        <x:v>Sceptre sacré</x:v>
      </x:c>
      <x:c r="C1383" t="n">
        <x:v>20</x:v>
      </x:c>
      <x:c r="D1383" t="str">
        <x:v>Focaliseurs</x:v>
      </x:c>
      <x:c r="E1383" s="28" t="n">
        <x:f>IF(M1383=0,0,M1383+O1383)</x:f>
        <x:v>26</x:v>
      </x:c>
      <x:c r="F1383" s="28" t="n">
        <x:f>IF(M1383=0,0,M1383*N1383+O1383)</x:f>
        <x:v>44</x:v>
      </x:c>
      <x:c r="G1383" s="28" t="n">
        <x:f>ROUND(Catalogue!G72*SQRT((1+'Paramètres'!$B$4*(C1383-1)+'Paramètres'!$B$5*(C1383-1)^2)),0)</x:f>
        <x:v>0</x:v>
      </x:c>
      <x:c r="H1383" s="28" t="n">
        <x:f>ROUND(Catalogue!H72*SQRT((1+'Paramètres'!$B$4*(C1383-1)+'Paramètres'!$B$5*(C1383-1)^2)),0)</x:f>
        <x:v>0</x:v>
      </x:c>
      <x:c r="I1383" s="28" t="n">
        <x:v>2</x:v>
      </x:c>
      <x:c r="J1383" s="28" t="n">
        <x:v>4</x:v>
      </x:c>
      <x:c r="K1383" s="30" t="n">
        <x:v>1</x:v>
      </x:c>
      <x:c r="L1383" s="54" t="n">
        <x:f>IF(M1383=0,0,(E1383+F1383)/2)</x:f>
        <x:v>35</x:v>
      </x:c>
      <x:c r="M1383" t="n">
        <x:v>2</x:v>
      </x:c>
      <x:c r="N1383" t="n">
        <x:v>10</x:v>
      </x:c>
      <x:c r="O1383" t="n">
        <x:v>24</x:v>
      </x:c>
      <x:c r="P1383" s="63" t="str">
        <x:f>IF(M1383=0,"—",M1383&amp;"d"&amp;N1383&amp;IF(O1383=0,""," + "&amp;O1383))</x:f>
        <x:v>2d10 + 24</x:v>
      </x:c>
      <x:c r="Q1383" t="n">
        <x:f>ROUND(INDEX(Catalogue!E$4:E$85,MATCH(A1383,Catalogue!A$4:A$85,0))*(1+'Paramètres'!$B$4*(C1383-1)+'Paramètres'!$B$5*(C1383-1)^2),0)</x:f>
        <x:v>27</x:v>
      </x:c>
      <x:c r="R1383" t="n">
        <x:f>ROUND(INDEX(Catalogue!F$4:F$85,MATCH(A1383,Catalogue!A$4:A$85,0))*(1+'Paramètres'!$B$4*(C1383-1)+'Paramètres'!$B$5*(C1383-1)^2),0)</x:f>
        <x:v>44</x:v>
      </x:c>
      <x:c r="S1383" t="n">
        <x:f>L1383-AVERAGE(Q1383:R1383)</x:f>
        <x:v>-0.5</x:v>
      </x:c>
      <x:c r="T1383" t="str">
        <x:f>IF(M1383=0,IF(AND(N1383=0,O1383=0,E1383=0,F1383=0),"OK","ERREUR"),IF(AND(M1383&gt;=1,M1383&lt;=32,OR(N1383=4,N1383=6,N1383=8,N1383=10,N1383=12,N1383=20),O1383&gt;=0,E1383=M1383+O1383,F1383=M1383*N1383+O1383),"OK","ERREUR"))</x:f>
        <x:v>OK</x:v>
      </x:c>
      <x:c r="U1383" s="86" t="n">
        <x:f>IF(M1383&gt;0,M1383*(N1383+1)/2+O1383,0)</x:f>
        <x:v>35</x:v>
      </x:c>
      <x:c r="V1383" t="str">
        <x:f>IF(ABS(L1383-U1383)&lt;0.001,"OK","ERREUR")</x:f>
        <x:v>OK</x:v>
      </x:c>
    </x:row>
    <x:row r="1384" ht="18" customHeight="1">
      <x:c r="A1384" t="str">
        <x:v>ARM070</x:v>
      </x:c>
      <x:c r="B1384" t="str">
        <x:v>Orbe arcanique</x:v>
      </x:c>
      <x:c r="C1384" t="n">
        <x:v>1</x:v>
      </x:c>
      <x:c r="D1384" t="str">
        <x:v>Focaliseurs</x:v>
      </x:c>
      <x:c r="E1384" s="28" t="n">
        <x:f>IF(M1384=0,0,M1384+O1384)</x:f>
        <x:v>0</x:v>
      </x:c>
      <x:c r="F1384" s="28" t="n">
        <x:f>IF(M1384=0,0,M1384*N1384+O1384)</x:f>
        <x:v>0</x:v>
      </x:c>
      <x:c r="G1384" s="28" t="n">
        <x:f>ROUND(Catalogue!G73*SQRT((1+'Paramètres'!$B$4*(C1384-1)+'Paramètres'!$B$5*(C1384-1)^2)),0)</x:f>
        <x:v>0</x:v>
      </x:c>
      <x:c r="H1384" s="28" t="n">
        <x:f>ROUND(Catalogue!H73*SQRT((1+'Paramètres'!$B$4*(C1384-1)+'Paramètres'!$B$5*(C1384-1)^2)),0)</x:f>
        <x:v>0</x:v>
      </x:c>
      <x:c r="I1384" s="28" t="n">
        <x:v>0</x:v>
      </x:c>
      <x:c r="J1384" s="28" t="n">
        <x:v>0</x:v>
      </x:c>
      <x:c r="K1384" s="30" t="n">
        <x:v>0.5</x:v>
      </x:c>
      <x:c r="L1384" s="54" t="n">
        <x:f>IF(M1384=0,0,(E1384+F1384)/2)</x:f>
        <x:v>0</x:v>
      </x:c>
      <x:c r="M1384" t="n">
        <x:v>0</x:v>
      </x:c>
      <x:c r="N1384" t="n">
        <x:v>0</x:v>
      </x:c>
      <x:c r="O1384" t="n">
        <x:v>0</x:v>
      </x:c>
      <x:c r="P1384" s="63" t="str">
        <x:f>IF(M1384=0,"—",M1384&amp;"d"&amp;N1384&amp;IF(O1384=0,""," + "&amp;O1384))</x:f>
        <x:v>—</x:v>
      </x:c>
      <x:c r="Q1384" t="n">
        <x:f>ROUND(INDEX(Catalogue!E$4:E$85,MATCH(A1384,Catalogue!A$4:A$85,0))*(1+'Paramètres'!$B$4*(C1384-1)+'Paramètres'!$B$5*(C1384-1)^2),0)</x:f>
        <x:v>0</x:v>
      </x:c>
      <x:c r="R1384" t="n">
        <x:f>ROUND(INDEX(Catalogue!F$4:F$85,MATCH(A1384,Catalogue!A$4:A$85,0))*(1+'Paramètres'!$B$4*(C1384-1)+'Paramètres'!$B$5*(C1384-1)^2),0)</x:f>
        <x:v>0</x:v>
      </x:c>
      <x:c r="S1384" t="n">
        <x:f>L1384-AVERAGE(Q1384:R1384)</x:f>
        <x:v>0</x:v>
      </x:c>
      <x:c r="T1384" t="str">
        <x:f>IF(M1384=0,IF(AND(N1384=0,O1384=0,E1384=0,F1384=0),"OK","ERREUR"),IF(AND(M1384&gt;=1,M1384&lt;=32,OR(N1384=4,N1384=6,N1384=8,N1384=10,N1384=12,N1384=20),O1384&gt;=0,E1384=M1384+O1384,F1384=M1384*N1384+O1384),"OK","ERREUR"))</x:f>
        <x:v>OK</x:v>
      </x:c>
      <x:c r="U1384" s="86" t="n">
        <x:f>IF(M1384&gt;0,M1384*(N1384+1)/2+O1384,0)</x:f>
        <x:v>0</x:v>
      </x:c>
      <x:c r="V1384" t="str">
        <x:f>IF(ABS(L1384-U1384)&lt;0.001,"OK","ERREUR")</x:f>
        <x:v>OK</x:v>
      </x:c>
    </x:row>
    <x:row r="1385" ht="18" customHeight="1">
      <x:c r="A1385" t="str">
        <x:v>ARM070</x:v>
      </x:c>
      <x:c r="B1385" t="str">
        <x:v>Orbe arcanique</x:v>
      </x:c>
      <x:c r="C1385" t="n">
        <x:v>2</x:v>
      </x:c>
      <x:c r="D1385" t="str">
        <x:v>Focaliseurs</x:v>
      </x:c>
      <x:c r="E1385" s="28" t="n">
        <x:f>IF(M1385=0,0,M1385+O1385)</x:f>
        <x:v>0</x:v>
      </x:c>
      <x:c r="F1385" s="28" t="n">
        <x:f>IF(M1385=0,0,M1385*N1385+O1385)</x:f>
        <x:v>0</x:v>
      </x:c>
      <x:c r="G1385" s="28" t="n">
        <x:f>ROUND(Catalogue!G73*SQRT((1+'Paramètres'!$B$4*(C1385-1)+'Paramètres'!$B$5*(C1385-1)^2)),0)</x:f>
        <x:v>0</x:v>
      </x:c>
      <x:c r="H1385" s="28" t="n">
        <x:f>ROUND(Catalogue!H73*SQRT((1+'Paramètres'!$B$4*(C1385-1)+'Paramètres'!$B$5*(C1385-1)^2)),0)</x:f>
        <x:v>0</x:v>
      </x:c>
      <x:c r="I1385" s="28" t="n">
        <x:v>0</x:v>
      </x:c>
      <x:c r="J1385" s="28" t="n">
        <x:v>0</x:v>
      </x:c>
      <x:c r="K1385" s="30" t="n">
        <x:v>0.5</x:v>
      </x:c>
      <x:c r="L1385" s="54" t="n">
        <x:f>IF(M1385=0,0,(E1385+F1385)/2)</x:f>
        <x:v>0</x:v>
      </x:c>
      <x:c r="M1385" t="n">
        <x:v>0</x:v>
      </x:c>
      <x:c r="N1385" t="n">
        <x:v>0</x:v>
      </x:c>
      <x:c r="O1385" t="n">
        <x:v>0</x:v>
      </x:c>
      <x:c r="P1385" s="63" t="str">
        <x:f>IF(M1385=0,"—",M1385&amp;"d"&amp;N1385&amp;IF(O1385=0,""," + "&amp;O1385))</x:f>
        <x:v>—</x:v>
      </x:c>
      <x:c r="Q1385" t="n">
        <x:f>ROUND(INDEX(Catalogue!E$4:E$85,MATCH(A1385,Catalogue!A$4:A$85,0))*(1+'Paramètres'!$B$4*(C1385-1)+'Paramètres'!$B$5*(C1385-1)^2),0)</x:f>
        <x:v>0</x:v>
      </x:c>
      <x:c r="R1385" t="n">
        <x:f>ROUND(INDEX(Catalogue!F$4:F$85,MATCH(A1385,Catalogue!A$4:A$85,0))*(1+'Paramètres'!$B$4*(C1385-1)+'Paramètres'!$B$5*(C1385-1)^2),0)</x:f>
        <x:v>0</x:v>
      </x:c>
      <x:c r="S1385" t="n">
        <x:f>L1385-AVERAGE(Q1385:R1385)</x:f>
        <x:v>0</x:v>
      </x:c>
      <x:c r="T1385" t="str">
        <x:f>IF(M1385=0,IF(AND(N1385=0,O1385=0,E1385=0,F1385=0),"OK","ERREUR"),IF(AND(M1385&gt;=1,M1385&lt;=32,OR(N1385=4,N1385=6,N1385=8,N1385=10,N1385=12,N1385=20),O1385&gt;=0,E1385=M1385+O1385,F1385=M1385*N1385+O1385),"OK","ERREUR"))</x:f>
        <x:v>OK</x:v>
      </x:c>
      <x:c r="U1385" s="86" t="n">
        <x:f>IF(M1385&gt;0,M1385*(N1385+1)/2+O1385,0)</x:f>
        <x:v>0</x:v>
      </x:c>
      <x:c r="V1385" t="str">
        <x:f>IF(ABS(L1385-U1385)&lt;0.001,"OK","ERREUR")</x:f>
        <x:v>OK</x:v>
      </x:c>
    </x:row>
    <x:row r="1386" ht="18" customHeight="1">
      <x:c r="A1386" t="str">
        <x:v>ARM070</x:v>
      </x:c>
      <x:c r="B1386" t="str">
        <x:v>Orbe arcanique</x:v>
      </x:c>
      <x:c r="C1386" t="n">
        <x:v>3</x:v>
      </x:c>
      <x:c r="D1386" t="str">
        <x:v>Focaliseurs</x:v>
      </x:c>
      <x:c r="E1386" s="28" t="n">
        <x:f>IF(M1386=0,0,M1386+O1386)</x:f>
        <x:v>0</x:v>
      </x:c>
      <x:c r="F1386" s="28" t="n">
        <x:f>IF(M1386=0,0,M1386*N1386+O1386)</x:f>
        <x:v>0</x:v>
      </x:c>
      <x:c r="G1386" s="28" t="n">
        <x:f>ROUND(Catalogue!G73*SQRT((1+'Paramètres'!$B$4*(C1386-1)+'Paramètres'!$B$5*(C1386-1)^2)),0)</x:f>
        <x:v>0</x:v>
      </x:c>
      <x:c r="H1386" s="28" t="n">
        <x:f>ROUND(Catalogue!H73*SQRT((1+'Paramètres'!$B$4*(C1386-1)+'Paramètres'!$B$5*(C1386-1)^2)),0)</x:f>
        <x:v>0</x:v>
      </x:c>
      <x:c r="I1386" s="28" t="n">
        <x:v>0</x:v>
      </x:c>
      <x:c r="J1386" s="28" t="n">
        <x:v>0</x:v>
      </x:c>
      <x:c r="K1386" s="30" t="n">
        <x:v>0.5</x:v>
      </x:c>
      <x:c r="L1386" s="54" t="n">
        <x:f>IF(M1386=0,0,(E1386+F1386)/2)</x:f>
        <x:v>0</x:v>
      </x:c>
      <x:c r="M1386" t="n">
        <x:v>0</x:v>
      </x:c>
      <x:c r="N1386" t="n">
        <x:v>0</x:v>
      </x:c>
      <x:c r="O1386" t="n">
        <x:v>0</x:v>
      </x:c>
      <x:c r="P1386" s="63" t="str">
        <x:f>IF(M1386=0,"—",M1386&amp;"d"&amp;N1386&amp;IF(O1386=0,""," + "&amp;O1386))</x:f>
        <x:v>—</x:v>
      </x:c>
      <x:c r="Q1386" t="n">
        <x:f>ROUND(INDEX(Catalogue!E$4:E$85,MATCH(A1386,Catalogue!A$4:A$85,0))*(1+'Paramètres'!$B$4*(C1386-1)+'Paramètres'!$B$5*(C1386-1)^2),0)</x:f>
        <x:v>0</x:v>
      </x:c>
      <x:c r="R1386" t="n">
        <x:f>ROUND(INDEX(Catalogue!F$4:F$85,MATCH(A1386,Catalogue!A$4:A$85,0))*(1+'Paramètres'!$B$4*(C1386-1)+'Paramètres'!$B$5*(C1386-1)^2),0)</x:f>
        <x:v>0</x:v>
      </x:c>
      <x:c r="S1386" t="n">
        <x:f>L1386-AVERAGE(Q1386:R1386)</x:f>
        <x:v>0</x:v>
      </x:c>
      <x:c r="T1386" t="str">
        <x:f>IF(M1386=0,IF(AND(N1386=0,O1386=0,E1386=0,F1386=0),"OK","ERREUR"),IF(AND(M1386&gt;=1,M1386&lt;=32,OR(N1386=4,N1386=6,N1386=8,N1386=10,N1386=12,N1386=20),O1386&gt;=0,E1386=M1386+O1386,F1386=M1386*N1386+O1386),"OK","ERREUR"))</x:f>
        <x:v>OK</x:v>
      </x:c>
      <x:c r="U1386" s="86" t="n">
        <x:f>IF(M1386&gt;0,M1386*(N1386+1)/2+O1386,0)</x:f>
        <x:v>0</x:v>
      </x:c>
      <x:c r="V1386" t="str">
        <x:f>IF(ABS(L1386-U1386)&lt;0.001,"OK","ERREUR")</x:f>
        <x:v>OK</x:v>
      </x:c>
    </x:row>
    <x:row r="1387" ht="18" customHeight="1">
      <x:c r="A1387" t="str">
        <x:v>ARM070</x:v>
      </x:c>
      <x:c r="B1387" t="str">
        <x:v>Orbe arcanique</x:v>
      </x:c>
      <x:c r="C1387" t="n">
        <x:v>4</x:v>
      </x:c>
      <x:c r="D1387" t="str">
        <x:v>Focaliseurs</x:v>
      </x:c>
      <x:c r="E1387" s="28" t="n">
        <x:f>IF(M1387=0,0,M1387+O1387)</x:f>
        <x:v>0</x:v>
      </x:c>
      <x:c r="F1387" s="28" t="n">
        <x:f>IF(M1387=0,0,M1387*N1387+O1387)</x:f>
        <x:v>0</x:v>
      </x:c>
      <x:c r="G1387" s="28" t="n">
        <x:f>ROUND(Catalogue!G73*SQRT((1+'Paramètres'!$B$4*(C1387-1)+'Paramètres'!$B$5*(C1387-1)^2)),0)</x:f>
        <x:v>0</x:v>
      </x:c>
      <x:c r="H1387" s="28" t="n">
        <x:f>ROUND(Catalogue!H73*SQRT((1+'Paramètres'!$B$4*(C1387-1)+'Paramètres'!$B$5*(C1387-1)^2)),0)</x:f>
        <x:v>0</x:v>
      </x:c>
      <x:c r="I1387" s="28" t="n">
        <x:v>0</x:v>
      </x:c>
      <x:c r="J1387" s="28" t="n">
        <x:v>0</x:v>
      </x:c>
      <x:c r="K1387" s="30" t="n">
        <x:v>0.5</x:v>
      </x:c>
      <x:c r="L1387" s="54" t="n">
        <x:f>IF(M1387=0,0,(E1387+F1387)/2)</x:f>
        <x:v>0</x:v>
      </x:c>
      <x:c r="M1387" t="n">
        <x:v>0</x:v>
      </x:c>
      <x:c r="N1387" t="n">
        <x:v>0</x:v>
      </x:c>
      <x:c r="O1387" t="n">
        <x:v>0</x:v>
      </x:c>
      <x:c r="P1387" s="63" t="str">
        <x:f>IF(M1387=0,"—",M1387&amp;"d"&amp;N1387&amp;IF(O1387=0,""," + "&amp;O1387))</x:f>
        <x:v>—</x:v>
      </x:c>
      <x:c r="Q1387" t="n">
        <x:f>ROUND(INDEX(Catalogue!E$4:E$85,MATCH(A1387,Catalogue!A$4:A$85,0))*(1+'Paramètres'!$B$4*(C1387-1)+'Paramètres'!$B$5*(C1387-1)^2),0)</x:f>
        <x:v>0</x:v>
      </x:c>
      <x:c r="R1387" t="n">
        <x:f>ROUND(INDEX(Catalogue!F$4:F$85,MATCH(A1387,Catalogue!A$4:A$85,0))*(1+'Paramètres'!$B$4*(C1387-1)+'Paramètres'!$B$5*(C1387-1)^2),0)</x:f>
        <x:v>0</x:v>
      </x:c>
      <x:c r="S1387" t="n">
        <x:f>L1387-AVERAGE(Q1387:R1387)</x:f>
        <x:v>0</x:v>
      </x:c>
      <x:c r="T1387" t="str">
        <x:f>IF(M1387=0,IF(AND(N1387=0,O1387=0,E1387=0,F1387=0),"OK","ERREUR"),IF(AND(M1387&gt;=1,M1387&lt;=32,OR(N1387=4,N1387=6,N1387=8,N1387=10,N1387=12,N1387=20),O1387&gt;=0,E1387=M1387+O1387,F1387=M1387*N1387+O1387),"OK","ERREUR"))</x:f>
        <x:v>OK</x:v>
      </x:c>
      <x:c r="U1387" s="86" t="n">
        <x:f>IF(M1387&gt;0,M1387*(N1387+1)/2+O1387,0)</x:f>
        <x:v>0</x:v>
      </x:c>
      <x:c r="V1387" t="str">
        <x:f>IF(ABS(L1387-U1387)&lt;0.001,"OK","ERREUR")</x:f>
        <x:v>OK</x:v>
      </x:c>
    </x:row>
    <x:row r="1388" ht="18" customHeight="1">
      <x:c r="A1388" t="str">
        <x:v>ARM070</x:v>
      </x:c>
      <x:c r="B1388" t="str">
        <x:v>Orbe arcanique</x:v>
      </x:c>
      <x:c r="C1388" t="n">
        <x:v>5</x:v>
      </x:c>
      <x:c r="D1388" t="str">
        <x:v>Focaliseurs</x:v>
      </x:c>
      <x:c r="E1388" s="28" t="n">
        <x:f>IF(M1388=0,0,M1388+O1388)</x:f>
        <x:v>0</x:v>
      </x:c>
      <x:c r="F1388" s="28" t="n">
        <x:f>IF(M1388=0,0,M1388*N1388+O1388)</x:f>
        <x:v>0</x:v>
      </x:c>
      <x:c r="G1388" s="28" t="n">
        <x:f>ROUND(Catalogue!G73*SQRT((1+'Paramètres'!$B$4*(C1388-1)+'Paramètres'!$B$5*(C1388-1)^2)),0)</x:f>
        <x:v>0</x:v>
      </x:c>
      <x:c r="H1388" s="28" t="n">
        <x:f>ROUND(Catalogue!H73*SQRT((1+'Paramètres'!$B$4*(C1388-1)+'Paramètres'!$B$5*(C1388-1)^2)),0)</x:f>
        <x:v>0</x:v>
      </x:c>
      <x:c r="I1388" s="28" t="n">
        <x:v>0</x:v>
      </x:c>
      <x:c r="J1388" s="28" t="n">
        <x:v>0</x:v>
      </x:c>
      <x:c r="K1388" s="30" t="n">
        <x:v>0.5</x:v>
      </x:c>
      <x:c r="L1388" s="54" t="n">
        <x:f>IF(M1388=0,0,(E1388+F1388)/2)</x:f>
        <x:v>0</x:v>
      </x:c>
      <x:c r="M1388" t="n">
        <x:v>0</x:v>
      </x:c>
      <x:c r="N1388" t="n">
        <x:v>0</x:v>
      </x:c>
      <x:c r="O1388" t="n">
        <x:v>0</x:v>
      </x:c>
      <x:c r="P1388" s="63" t="str">
        <x:f>IF(M1388=0,"—",M1388&amp;"d"&amp;N1388&amp;IF(O1388=0,""," + "&amp;O1388))</x:f>
        <x:v>—</x:v>
      </x:c>
      <x:c r="Q1388" t="n">
        <x:f>ROUND(INDEX(Catalogue!E$4:E$85,MATCH(A1388,Catalogue!A$4:A$85,0))*(1+'Paramètres'!$B$4*(C1388-1)+'Paramètres'!$B$5*(C1388-1)^2),0)</x:f>
        <x:v>0</x:v>
      </x:c>
      <x:c r="R1388" t="n">
        <x:f>ROUND(INDEX(Catalogue!F$4:F$85,MATCH(A1388,Catalogue!A$4:A$85,0))*(1+'Paramètres'!$B$4*(C1388-1)+'Paramètres'!$B$5*(C1388-1)^2),0)</x:f>
        <x:v>0</x:v>
      </x:c>
      <x:c r="S1388" t="n">
        <x:f>L1388-AVERAGE(Q1388:R1388)</x:f>
        <x:v>0</x:v>
      </x:c>
      <x:c r="T1388" t="str">
        <x:f>IF(M1388=0,IF(AND(N1388=0,O1388=0,E1388=0,F1388=0),"OK","ERREUR"),IF(AND(M1388&gt;=1,M1388&lt;=32,OR(N1388=4,N1388=6,N1388=8,N1388=10,N1388=12,N1388=20),O1388&gt;=0,E1388=M1388+O1388,F1388=M1388*N1388+O1388),"OK","ERREUR"))</x:f>
        <x:v>OK</x:v>
      </x:c>
      <x:c r="U1388" s="86" t="n">
        <x:f>IF(M1388&gt;0,M1388*(N1388+1)/2+O1388,0)</x:f>
        <x:v>0</x:v>
      </x:c>
      <x:c r="V1388" t="str">
        <x:f>IF(ABS(L1388-U1388)&lt;0.001,"OK","ERREUR")</x:f>
        <x:v>OK</x:v>
      </x:c>
    </x:row>
    <x:row r="1389" ht="18" customHeight="1">
      <x:c r="A1389" t="str">
        <x:v>ARM070</x:v>
      </x:c>
      <x:c r="B1389" t="str">
        <x:v>Orbe arcanique</x:v>
      </x:c>
      <x:c r="C1389" t="n">
        <x:v>6</x:v>
      </x:c>
      <x:c r="D1389" t="str">
        <x:v>Focaliseurs</x:v>
      </x:c>
      <x:c r="E1389" s="28" t="n">
        <x:f>IF(M1389=0,0,M1389+O1389)</x:f>
        <x:v>0</x:v>
      </x:c>
      <x:c r="F1389" s="28" t="n">
        <x:f>IF(M1389=0,0,M1389*N1389+O1389)</x:f>
        <x:v>0</x:v>
      </x:c>
      <x:c r="G1389" s="28" t="n">
        <x:f>ROUND(Catalogue!G73*SQRT((1+'Paramètres'!$B$4*(C1389-1)+'Paramètres'!$B$5*(C1389-1)^2)),0)</x:f>
        <x:v>0</x:v>
      </x:c>
      <x:c r="H1389" s="28" t="n">
        <x:f>ROUND(Catalogue!H73*SQRT((1+'Paramètres'!$B$4*(C1389-1)+'Paramètres'!$B$5*(C1389-1)^2)),0)</x:f>
        <x:v>0</x:v>
      </x:c>
      <x:c r="I1389" s="28" t="n">
        <x:v>0</x:v>
      </x:c>
      <x:c r="J1389" s="28" t="n">
        <x:v>0</x:v>
      </x:c>
      <x:c r="K1389" s="30" t="n">
        <x:v>0.5</x:v>
      </x:c>
      <x:c r="L1389" s="54" t="n">
        <x:f>IF(M1389=0,0,(E1389+F1389)/2)</x:f>
        <x:v>0</x:v>
      </x:c>
      <x:c r="M1389" t="n">
        <x:v>0</x:v>
      </x:c>
      <x:c r="N1389" t="n">
        <x:v>0</x:v>
      </x:c>
      <x:c r="O1389" t="n">
        <x:v>0</x:v>
      </x:c>
      <x:c r="P1389" s="63" t="str">
        <x:f>IF(M1389=0,"—",M1389&amp;"d"&amp;N1389&amp;IF(O1389=0,""," + "&amp;O1389))</x:f>
        <x:v>—</x:v>
      </x:c>
      <x:c r="Q1389" t="n">
        <x:f>ROUND(INDEX(Catalogue!E$4:E$85,MATCH(A1389,Catalogue!A$4:A$85,0))*(1+'Paramètres'!$B$4*(C1389-1)+'Paramètres'!$B$5*(C1389-1)^2),0)</x:f>
        <x:v>0</x:v>
      </x:c>
      <x:c r="R1389" t="n">
        <x:f>ROUND(INDEX(Catalogue!F$4:F$85,MATCH(A1389,Catalogue!A$4:A$85,0))*(1+'Paramètres'!$B$4*(C1389-1)+'Paramètres'!$B$5*(C1389-1)^2),0)</x:f>
        <x:v>0</x:v>
      </x:c>
      <x:c r="S1389" t="n">
        <x:f>L1389-AVERAGE(Q1389:R1389)</x:f>
        <x:v>0</x:v>
      </x:c>
      <x:c r="T1389" t="str">
        <x:f>IF(M1389=0,IF(AND(N1389=0,O1389=0,E1389=0,F1389=0),"OK","ERREUR"),IF(AND(M1389&gt;=1,M1389&lt;=32,OR(N1389=4,N1389=6,N1389=8,N1389=10,N1389=12,N1389=20),O1389&gt;=0,E1389=M1389+O1389,F1389=M1389*N1389+O1389),"OK","ERREUR"))</x:f>
        <x:v>OK</x:v>
      </x:c>
      <x:c r="U1389" s="86" t="n">
        <x:f>IF(M1389&gt;0,M1389*(N1389+1)/2+O1389,0)</x:f>
        <x:v>0</x:v>
      </x:c>
      <x:c r="V1389" t="str">
        <x:f>IF(ABS(L1389-U1389)&lt;0.001,"OK","ERREUR")</x:f>
        <x:v>OK</x:v>
      </x:c>
    </x:row>
    <x:row r="1390" ht="18" customHeight="1">
      <x:c r="A1390" t="str">
        <x:v>ARM070</x:v>
      </x:c>
      <x:c r="B1390" t="str">
        <x:v>Orbe arcanique</x:v>
      </x:c>
      <x:c r="C1390" t="n">
        <x:v>7</x:v>
      </x:c>
      <x:c r="D1390" t="str">
        <x:v>Focaliseurs</x:v>
      </x:c>
      <x:c r="E1390" s="28" t="n">
        <x:f>IF(M1390=0,0,M1390+O1390)</x:f>
        <x:v>0</x:v>
      </x:c>
      <x:c r="F1390" s="28" t="n">
        <x:f>IF(M1390=0,0,M1390*N1390+O1390)</x:f>
        <x:v>0</x:v>
      </x:c>
      <x:c r="G1390" s="28" t="n">
        <x:f>ROUND(Catalogue!G73*SQRT((1+'Paramètres'!$B$4*(C1390-1)+'Paramètres'!$B$5*(C1390-1)^2)),0)</x:f>
        <x:v>0</x:v>
      </x:c>
      <x:c r="H1390" s="28" t="n">
        <x:f>ROUND(Catalogue!H73*SQRT((1+'Paramètres'!$B$4*(C1390-1)+'Paramètres'!$B$5*(C1390-1)^2)),0)</x:f>
        <x:v>0</x:v>
      </x:c>
      <x:c r="I1390" s="28" t="n">
        <x:v>0</x:v>
      </x:c>
      <x:c r="J1390" s="28" t="n">
        <x:v>0</x:v>
      </x:c>
      <x:c r="K1390" s="30" t="n">
        <x:v>0.5</x:v>
      </x:c>
      <x:c r="L1390" s="54" t="n">
        <x:f>IF(M1390=0,0,(E1390+F1390)/2)</x:f>
        <x:v>0</x:v>
      </x:c>
      <x:c r="M1390" t="n">
        <x:v>0</x:v>
      </x:c>
      <x:c r="N1390" t="n">
        <x:v>0</x:v>
      </x:c>
      <x:c r="O1390" t="n">
        <x:v>0</x:v>
      </x:c>
      <x:c r="P1390" s="63" t="str">
        <x:f>IF(M1390=0,"—",M1390&amp;"d"&amp;N1390&amp;IF(O1390=0,""," + "&amp;O1390))</x:f>
        <x:v>—</x:v>
      </x:c>
      <x:c r="Q1390" t="n">
        <x:f>ROUND(INDEX(Catalogue!E$4:E$85,MATCH(A1390,Catalogue!A$4:A$85,0))*(1+'Paramètres'!$B$4*(C1390-1)+'Paramètres'!$B$5*(C1390-1)^2),0)</x:f>
        <x:v>0</x:v>
      </x:c>
      <x:c r="R1390" t="n">
        <x:f>ROUND(INDEX(Catalogue!F$4:F$85,MATCH(A1390,Catalogue!A$4:A$85,0))*(1+'Paramètres'!$B$4*(C1390-1)+'Paramètres'!$B$5*(C1390-1)^2),0)</x:f>
        <x:v>0</x:v>
      </x:c>
      <x:c r="S1390" t="n">
        <x:f>L1390-AVERAGE(Q1390:R1390)</x:f>
        <x:v>0</x:v>
      </x:c>
      <x:c r="T1390" t="str">
        <x:f>IF(M1390=0,IF(AND(N1390=0,O1390=0,E1390=0,F1390=0),"OK","ERREUR"),IF(AND(M1390&gt;=1,M1390&lt;=32,OR(N1390=4,N1390=6,N1390=8,N1390=10,N1390=12,N1390=20),O1390&gt;=0,E1390=M1390+O1390,F1390=M1390*N1390+O1390),"OK","ERREUR"))</x:f>
        <x:v>OK</x:v>
      </x:c>
      <x:c r="U1390" s="86" t="n">
        <x:f>IF(M1390&gt;0,M1390*(N1390+1)/2+O1390,0)</x:f>
        <x:v>0</x:v>
      </x:c>
      <x:c r="V1390" t="str">
        <x:f>IF(ABS(L1390-U1390)&lt;0.001,"OK","ERREUR")</x:f>
        <x:v>OK</x:v>
      </x:c>
    </x:row>
    <x:row r="1391" ht="18" customHeight="1">
      <x:c r="A1391" t="str">
        <x:v>ARM070</x:v>
      </x:c>
      <x:c r="B1391" t="str">
        <x:v>Orbe arcanique</x:v>
      </x:c>
      <x:c r="C1391" t="n">
        <x:v>8</x:v>
      </x:c>
      <x:c r="D1391" t="str">
        <x:v>Focaliseurs</x:v>
      </x:c>
      <x:c r="E1391" s="28" t="n">
        <x:f>IF(M1391=0,0,M1391+O1391)</x:f>
        <x:v>0</x:v>
      </x:c>
      <x:c r="F1391" s="28" t="n">
        <x:f>IF(M1391=0,0,M1391*N1391+O1391)</x:f>
        <x:v>0</x:v>
      </x:c>
      <x:c r="G1391" s="28" t="n">
        <x:f>ROUND(Catalogue!G73*SQRT((1+'Paramètres'!$B$4*(C1391-1)+'Paramètres'!$B$5*(C1391-1)^2)),0)</x:f>
        <x:v>0</x:v>
      </x:c>
      <x:c r="H1391" s="28" t="n">
        <x:f>ROUND(Catalogue!H73*SQRT((1+'Paramètres'!$B$4*(C1391-1)+'Paramètres'!$B$5*(C1391-1)^2)),0)</x:f>
        <x:v>0</x:v>
      </x:c>
      <x:c r="I1391" s="28" t="n">
        <x:v>0</x:v>
      </x:c>
      <x:c r="J1391" s="28" t="n">
        <x:v>0</x:v>
      </x:c>
      <x:c r="K1391" s="30" t="n">
        <x:v>0.5</x:v>
      </x:c>
      <x:c r="L1391" s="54" t="n">
        <x:f>IF(M1391=0,0,(E1391+F1391)/2)</x:f>
        <x:v>0</x:v>
      </x:c>
      <x:c r="M1391" t="n">
        <x:v>0</x:v>
      </x:c>
      <x:c r="N1391" t="n">
        <x:v>0</x:v>
      </x:c>
      <x:c r="O1391" t="n">
        <x:v>0</x:v>
      </x:c>
      <x:c r="P1391" s="63" t="str">
        <x:f>IF(M1391=0,"—",M1391&amp;"d"&amp;N1391&amp;IF(O1391=0,""," + "&amp;O1391))</x:f>
        <x:v>—</x:v>
      </x:c>
      <x:c r="Q1391" t="n">
        <x:f>ROUND(INDEX(Catalogue!E$4:E$85,MATCH(A1391,Catalogue!A$4:A$85,0))*(1+'Paramètres'!$B$4*(C1391-1)+'Paramètres'!$B$5*(C1391-1)^2),0)</x:f>
        <x:v>0</x:v>
      </x:c>
      <x:c r="R1391" t="n">
        <x:f>ROUND(INDEX(Catalogue!F$4:F$85,MATCH(A1391,Catalogue!A$4:A$85,0))*(1+'Paramètres'!$B$4*(C1391-1)+'Paramètres'!$B$5*(C1391-1)^2),0)</x:f>
        <x:v>0</x:v>
      </x:c>
      <x:c r="S1391" t="n">
        <x:f>L1391-AVERAGE(Q1391:R1391)</x:f>
        <x:v>0</x:v>
      </x:c>
      <x:c r="T1391" t="str">
        <x:f>IF(M1391=0,IF(AND(N1391=0,O1391=0,E1391=0,F1391=0),"OK","ERREUR"),IF(AND(M1391&gt;=1,M1391&lt;=32,OR(N1391=4,N1391=6,N1391=8,N1391=10,N1391=12,N1391=20),O1391&gt;=0,E1391=M1391+O1391,F1391=M1391*N1391+O1391),"OK","ERREUR"))</x:f>
        <x:v>OK</x:v>
      </x:c>
      <x:c r="U1391" s="86" t="n">
        <x:f>IF(M1391&gt;0,M1391*(N1391+1)/2+O1391,0)</x:f>
        <x:v>0</x:v>
      </x:c>
      <x:c r="V1391" t="str">
        <x:f>IF(ABS(L1391-U1391)&lt;0.001,"OK","ERREUR")</x:f>
        <x:v>OK</x:v>
      </x:c>
    </x:row>
    <x:row r="1392" ht="18" customHeight="1">
      <x:c r="A1392" t="str">
        <x:v>ARM070</x:v>
      </x:c>
      <x:c r="B1392" t="str">
        <x:v>Orbe arcanique</x:v>
      </x:c>
      <x:c r="C1392" t="n">
        <x:v>9</x:v>
      </x:c>
      <x:c r="D1392" t="str">
        <x:v>Focaliseurs</x:v>
      </x:c>
      <x:c r="E1392" s="28" t="n">
        <x:f>IF(M1392=0,0,M1392+O1392)</x:f>
        <x:v>0</x:v>
      </x:c>
      <x:c r="F1392" s="28" t="n">
        <x:f>IF(M1392=0,0,M1392*N1392+O1392)</x:f>
        <x:v>0</x:v>
      </x:c>
      <x:c r="G1392" s="28" t="n">
        <x:f>ROUND(Catalogue!G73*SQRT((1+'Paramètres'!$B$4*(C1392-1)+'Paramètres'!$B$5*(C1392-1)^2)),0)</x:f>
        <x:v>0</x:v>
      </x:c>
      <x:c r="H1392" s="28" t="n">
        <x:f>ROUND(Catalogue!H73*SQRT((1+'Paramètres'!$B$4*(C1392-1)+'Paramètres'!$B$5*(C1392-1)^2)),0)</x:f>
        <x:v>0</x:v>
      </x:c>
      <x:c r="I1392" s="28" t="n">
        <x:v>0</x:v>
      </x:c>
      <x:c r="J1392" s="28" t="n">
        <x:v>0</x:v>
      </x:c>
      <x:c r="K1392" s="30" t="n">
        <x:v>0.5</x:v>
      </x:c>
      <x:c r="L1392" s="54" t="n">
        <x:f>IF(M1392=0,0,(E1392+F1392)/2)</x:f>
        <x:v>0</x:v>
      </x:c>
      <x:c r="M1392" t="n">
        <x:v>0</x:v>
      </x:c>
      <x:c r="N1392" t="n">
        <x:v>0</x:v>
      </x:c>
      <x:c r="O1392" t="n">
        <x:v>0</x:v>
      </x:c>
      <x:c r="P1392" s="63" t="str">
        <x:f>IF(M1392=0,"—",M1392&amp;"d"&amp;N1392&amp;IF(O1392=0,""," + "&amp;O1392))</x:f>
        <x:v>—</x:v>
      </x:c>
      <x:c r="Q1392" t="n">
        <x:f>ROUND(INDEX(Catalogue!E$4:E$85,MATCH(A1392,Catalogue!A$4:A$85,0))*(1+'Paramètres'!$B$4*(C1392-1)+'Paramètres'!$B$5*(C1392-1)^2),0)</x:f>
        <x:v>0</x:v>
      </x:c>
      <x:c r="R1392" t="n">
        <x:f>ROUND(INDEX(Catalogue!F$4:F$85,MATCH(A1392,Catalogue!A$4:A$85,0))*(1+'Paramètres'!$B$4*(C1392-1)+'Paramètres'!$B$5*(C1392-1)^2),0)</x:f>
        <x:v>0</x:v>
      </x:c>
      <x:c r="S1392" t="n">
        <x:f>L1392-AVERAGE(Q1392:R1392)</x:f>
        <x:v>0</x:v>
      </x:c>
      <x:c r="T1392" t="str">
        <x:f>IF(M1392=0,IF(AND(N1392=0,O1392=0,E1392=0,F1392=0),"OK","ERREUR"),IF(AND(M1392&gt;=1,M1392&lt;=32,OR(N1392=4,N1392=6,N1392=8,N1392=10,N1392=12,N1392=20),O1392&gt;=0,E1392=M1392+O1392,F1392=M1392*N1392+O1392),"OK","ERREUR"))</x:f>
        <x:v>OK</x:v>
      </x:c>
      <x:c r="U1392" s="86" t="n">
        <x:f>IF(M1392&gt;0,M1392*(N1392+1)/2+O1392,0)</x:f>
        <x:v>0</x:v>
      </x:c>
      <x:c r="V1392" t="str">
        <x:f>IF(ABS(L1392-U1392)&lt;0.001,"OK","ERREUR")</x:f>
        <x:v>OK</x:v>
      </x:c>
    </x:row>
    <x:row r="1393" ht="18" customHeight="1">
      <x:c r="A1393" t="str">
        <x:v>ARM070</x:v>
      </x:c>
      <x:c r="B1393" t="str">
        <x:v>Orbe arcanique</x:v>
      </x:c>
      <x:c r="C1393" t="n">
        <x:v>10</x:v>
      </x:c>
      <x:c r="D1393" t="str">
        <x:v>Focaliseurs</x:v>
      </x:c>
      <x:c r="E1393" s="28" t="n">
        <x:f>IF(M1393=0,0,M1393+O1393)</x:f>
        <x:v>0</x:v>
      </x:c>
      <x:c r="F1393" s="28" t="n">
        <x:f>IF(M1393=0,0,M1393*N1393+O1393)</x:f>
        <x:v>0</x:v>
      </x:c>
      <x:c r="G1393" s="28" t="n">
        <x:f>ROUND(Catalogue!G73*SQRT((1+'Paramètres'!$B$4*(C1393-1)+'Paramètres'!$B$5*(C1393-1)^2)),0)</x:f>
        <x:v>0</x:v>
      </x:c>
      <x:c r="H1393" s="28" t="n">
        <x:f>ROUND(Catalogue!H73*SQRT((1+'Paramètres'!$B$4*(C1393-1)+'Paramètres'!$B$5*(C1393-1)^2)),0)</x:f>
        <x:v>0</x:v>
      </x:c>
      <x:c r="I1393" s="28" t="n">
        <x:v>0</x:v>
      </x:c>
      <x:c r="J1393" s="28" t="n">
        <x:v>0</x:v>
      </x:c>
      <x:c r="K1393" s="30" t="n">
        <x:v>0.5</x:v>
      </x:c>
      <x:c r="L1393" s="54" t="n">
        <x:f>IF(M1393=0,0,(E1393+F1393)/2)</x:f>
        <x:v>0</x:v>
      </x:c>
      <x:c r="M1393" t="n">
        <x:v>0</x:v>
      </x:c>
      <x:c r="N1393" t="n">
        <x:v>0</x:v>
      </x:c>
      <x:c r="O1393" t="n">
        <x:v>0</x:v>
      </x:c>
      <x:c r="P1393" s="63" t="str">
        <x:f>IF(M1393=0,"—",M1393&amp;"d"&amp;N1393&amp;IF(O1393=0,""," + "&amp;O1393))</x:f>
        <x:v>—</x:v>
      </x:c>
      <x:c r="Q1393" t="n">
        <x:f>ROUND(INDEX(Catalogue!E$4:E$85,MATCH(A1393,Catalogue!A$4:A$85,0))*(1+'Paramètres'!$B$4*(C1393-1)+'Paramètres'!$B$5*(C1393-1)^2),0)</x:f>
        <x:v>0</x:v>
      </x:c>
      <x:c r="R1393" t="n">
        <x:f>ROUND(INDEX(Catalogue!F$4:F$85,MATCH(A1393,Catalogue!A$4:A$85,0))*(1+'Paramètres'!$B$4*(C1393-1)+'Paramètres'!$B$5*(C1393-1)^2),0)</x:f>
        <x:v>0</x:v>
      </x:c>
      <x:c r="S1393" t="n">
        <x:f>L1393-AVERAGE(Q1393:R1393)</x:f>
        <x:v>0</x:v>
      </x:c>
      <x:c r="T1393" t="str">
        <x:f>IF(M1393=0,IF(AND(N1393=0,O1393=0,E1393=0,F1393=0),"OK","ERREUR"),IF(AND(M1393&gt;=1,M1393&lt;=32,OR(N1393=4,N1393=6,N1393=8,N1393=10,N1393=12,N1393=20),O1393&gt;=0,E1393=M1393+O1393,F1393=M1393*N1393+O1393),"OK","ERREUR"))</x:f>
        <x:v>OK</x:v>
      </x:c>
      <x:c r="U1393" s="86" t="n">
        <x:f>IF(M1393&gt;0,M1393*(N1393+1)/2+O1393,0)</x:f>
        <x:v>0</x:v>
      </x:c>
      <x:c r="V1393" t="str">
        <x:f>IF(ABS(L1393-U1393)&lt;0.001,"OK","ERREUR")</x:f>
        <x:v>OK</x:v>
      </x:c>
    </x:row>
    <x:row r="1394" ht="18" customHeight="1">
      <x:c r="A1394" t="str">
        <x:v>ARM070</x:v>
      </x:c>
      <x:c r="B1394" t="str">
        <x:v>Orbe arcanique</x:v>
      </x:c>
      <x:c r="C1394" t="n">
        <x:v>11</x:v>
      </x:c>
      <x:c r="D1394" t="str">
        <x:v>Focaliseurs</x:v>
      </x:c>
      <x:c r="E1394" s="28" t="n">
        <x:f>IF(M1394=0,0,M1394+O1394)</x:f>
        <x:v>0</x:v>
      </x:c>
      <x:c r="F1394" s="28" t="n">
        <x:f>IF(M1394=0,0,M1394*N1394+O1394)</x:f>
        <x:v>0</x:v>
      </x:c>
      <x:c r="G1394" s="28" t="n">
        <x:f>ROUND(Catalogue!G73*SQRT((1+'Paramètres'!$B$4*(C1394-1)+'Paramètres'!$B$5*(C1394-1)^2)),0)</x:f>
        <x:v>0</x:v>
      </x:c>
      <x:c r="H1394" s="28" t="n">
        <x:f>ROUND(Catalogue!H73*SQRT((1+'Paramètres'!$B$4*(C1394-1)+'Paramètres'!$B$5*(C1394-1)^2)),0)</x:f>
        <x:v>0</x:v>
      </x:c>
      <x:c r="I1394" s="28" t="n">
        <x:v>0</x:v>
      </x:c>
      <x:c r="J1394" s="28" t="n">
        <x:v>0</x:v>
      </x:c>
      <x:c r="K1394" s="30" t="n">
        <x:v>0.5</x:v>
      </x:c>
      <x:c r="L1394" s="54" t="n">
        <x:f>IF(M1394=0,0,(E1394+F1394)/2)</x:f>
        <x:v>0</x:v>
      </x:c>
      <x:c r="M1394" t="n">
        <x:v>0</x:v>
      </x:c>
      <x:c r="N1394" t="n">
        <x:v>0</x:v>
      </x:c>
      <x:c r="O1394" t="n">
        <x:v>0</x:v>
      </x:c>
      <x:c r="P1394" s="63" t="str">
        <x:f>IF(M1394=0,"—",M1394&amp;"d"&amp;N1394&amp;IF(O1394=0,""," + "&amp;O1394))</x:f>
        <x:v>—</x:v>
      </x:c>
      <x:c r="Q1394" t="n">
        <x:f>ROUND(INDEX(Catalogue!E$4:E$85,MATCH(A1394,Catalogue!A$4:A$85,0))*(1+'Paramètres'!$B$4*(C1394-1)+'Paramètres'!$B$5*(C1394-1)^2),0)</x:f>
        <x:v>0</x:v>
      </x:c>
      <x:c r="R1394" t="n">
        <x:f>ROUND(INDEX(Catalogue!F$4:F$85,MATCH(A1394,Catalogue!A$4:A$85,0))*(1+'Paramètres'!$B$4*(C1394-1)+'Paramètres'!$B$5*(C1394-1)^2),0)</x:f>
        <x:v>0</x:v>
      </x:c>
      <x:c r="S1394" t="n">
        <x:f>L1394-AVERAGE(Q1394:R1394)</x:f>
        <x:v>0</x:v>
      </x:c>
      <x:c r="T1394" t="str">
        <x:f>IF(M1394=0,IF(AND(N1394=0,O1394=0,E1394=0,F1394=0),"OK","ERREUR"),IF(AND(M1394&gt;=1,M1394&lt;=32,OR(N1394=4,N1394=6,N1394=8,N1394=10,N1394=12,N1394=20),O1394&gt;=0,E1394=M1394+O1394,F1394=M1394*N1394+O1394),"OK","ERREUR"))</x:f>
        <x:v>OK</x:v>
      </x:c>
      <x:c r="U1394" s="86" t="n">
        <x:f>IF(M1394&gt;0,M1394*(N1394+1)/2+O1394,0)</x:f>
        <x:v>0</x:v>
      </x:c>
      <x:c r="V1394" t="str">
        <x:f>IF(ABS(L1394-U1394)&lt;0.001,"OK","ERREUR")</x:f>
        <x:v>OK</x:v>
      </x:c>
    </x:row>
    <x:row r="1395" ht="18" customHeight="1">
      <x:c r="A1395" t="str">
        <x:v>ARM070</x:v>
      </x:c>
      <x:c r="B1395" t="str">
        <x:v>Orbe arcanique</x:v>
      </x:c>
      <x:c r="C1395" t="n">
        <x:v>12</x:v>
      </x:c>
      <x:c r="D1395" t="str">
        <x:v>Focaliseurs</x:v>
      </x:c>
      <x:c r="E1395" s="28" t="n">
        <x:f>IF(M1395=0,0,M1395+O1395)</x:f>
        <x:v>0</x:v>
      </x:c>
      <x:c r="F1395" s="28" t="n">
        <x:f>IF(M1395=0,0,M1395*N1395+O1395)</x:f>
        <x:v>0</x:v>
      </x:c>
      <x:c r="G1395" s="28" t="n">
        <x:f>ROUND(Catalogue!G73*SQRT((1+'Paramètres'!$B$4*(C1395-1)+'Paramètres'!$B$5*(C1395-1)^2)),0)</x:f>
        <x:v>0</x:v>
      </x:c>
      <x:c r="H1395" s="28" t="n">
        <x:f>ROUND(Catalogue!H73*SQRT((1+'Paramètres'!$B$4*(C1395-1)+'Paramètres'!$B$5*(C1395-1)^2)),0)</x:f>
        <x:v>0</x:v>
      </x:c>
      <x:c r="I1395" s="28" t="n">
        <x:v>0</x:v>
      </x:c>
      <x:c r="J1395" s="28" t="n">
        <x:v>0</x:v>
      </x:c>
      <x:c r="K1395" s="30" t="n">
        <x:v>0.5</x:v>
      </x:c>
      <x:c r="L1395" s="54" t="n">
        <x:f>IF(M1395=0,0,(E1395+F1395)/2)</x:f>
        <x:v>0</x:v>
      </x:c>
      <x:c r="M1395" t="n">
        <x:v>0</x:v>
      </x:c>
      <x:c r="N1395" t="n">
        <x:v>0</x:v>
      </x:c>
      <x:c r="O1395" t="n">
        <x:v>0</x:v>
      </x:c>
      <x:c r="P1395" s="63" t="str">
        <x:f>IF(M1395=0,"—",M1395&amp;"d"&amp;N1395&amp;IF(O1395=0,""," + "&amp;O1395))</x:f>
        <x:v>—</x:v>
      </x:c>
      <x:c r="Q1395" t="n">
        <x:f>ROUND(INDEX(Catalogue!E$4:E$85,MATCH(A1395,Catalogue!A$4:A$85,0))*(1+'Paramètres'!$B$4*(C1395-1)+'Paramètres'!$B$5*(C1395-1)^2),0)</x:f>
        <x:v>0</x:v>
      </x:c>
      <x:c r="R1395" t="n">
        <x:f>ROUND(INDEX(Catalogue!F$4:F$85,MATCH(A1395,Catalogue!A$4:A$85,0))*(1+'Paramètres'!$B$4*(C1395-1)+'Paramètres'!$B$5*(C1395-1)^2),0)</x:f>
        <x:v>0</x:v>
      </x:c>
      <x:c r="S1395" t="n">
        <x:f>L1395-AVERAGE(Q1395:R1395)</x:f>
        <x:v>0</x:v>
      </x:c>
      <x:c r="T1395" t="str">
        <x:f>IF(M1395=0,IF(AND(N1395=0,O1395=0,E1395=0,F1395=0),"OK","ERREUR"),IF(AND(M1395&gt;=1,M1395&lt;=32,OR(N1395=4,N1395=6,N1395=8,N1395=10,N1395=12,N1395=20),O1395&gt;=0,E1395=M1395+O1395,F1395=M1395*N1395+O1395),"OK","ERREUR"))</x:f>
        <x:v>OK</x:v>
      </x:c>
      <x:c r="U1395" s="86" t="n">
        <x:f>IF(M1395&gt;0,M1395*(N1395+1)/2+O1395,0)</x:f>
        <x:v>0</x:v>
      </x:c>
      <x:c r="V1395" t="str">
        <x:f>IF(ABS(L1395-U1395)&lt;0.001,"OK","ERREUR")</x:f>
        <x:v>OK</x:v>
      </x:c>
    </x:row>
    <x:row r="1396" ht="18" customHeight="1">
      <x:c r="A1396" t="str">
        <x:v>ARM070</x:v>
      </x:c>
      <x:c r="B1396" t="str">
        <x:v>Orbe arcanique</x:v>
      </x:c>
      <x:c r="C1396" t="n">
        <x:v>13</x:v>
      </x:c>
      <x:c r="D1396" t="str">
        <x:v>Focaliseurs</x:v>
      </x:c>
      <x:c r="E1396" s="28" t="n">
        <x:f>IF(M1396=0,0,M1396+O1396)</x:f>
        <x:v>0</x:v>
      </x:c>
      <x:c r="F1396" s="28" t="n">
        <x:f>IF(M1396=0,0,M1396*N1396+O1396)</x:f>
        <x:v>0</x:v>
      </x:c>
      <x:c r="G1396" s="28" t="n">
        <x:f>ROUND(Catalogue!G73*SQRT((1+'Paramètres'!$B$4*(C1396-1)+'Paramètres'!$B$5*(C1396-1)^2)),0)</x:f>
        <x:v>0</x:v>
      </x:c>
      <x:c r="H1396" s="28" t="n">
        <x:f>ROUND(Catalogue!H73*SQRT((1+'Paramètres'!$B$4*(C1396-1)+'Paramètres'!$B$5*(C1396-1)^2)),0)</x:f>
        <x:v>0</x:v>
      </x:c>
      <x:c r="I1396" s="28" t="n">
        <x:v>0</x:v>
      </x:c>
      <x:c r="J1396" s="28" t="n">
        <x:v>0</x:v>
      </x:c>
      <x:c r="K1396" s="30" t="n">
        <x:v>0.5</x:v>
      </x:c>
      <x:c r="L1396" s="54" t="n">
        <x:f>IF(M1396=0,0,(E1396+F1396)/2)</x:f>
        <x:v>0</x:v>
      </x:c>
      <x:c r="M1396" t="n">
        <x:v>0</x:v>
      </x:c>
      <x:c r="N1396" t="n">
        <x:v>0</x:v>
      </x:c>
      <x:c r="O1396" t="n">
        <x:v>0</x:v>
      </x:c>
      <x:c r="P1396" s="63" t="str">
        <x:f>IF(M1396=0,"—",M1396&amp;"d"&amp;N1396&amp;IF(O1396=0,""," + "&amp;O1396))</x:f>
        <x:v>—</x:v>
      </x:c>
      <x:c r="Q1396" t="n">
        <x:f>ROUND(INDEX(Catalogue!E$4:E$85,MATCH(A1396,Catalogue!A$4:A$85,0))*(1+'Paramètres'!$B$4*(C1396-1)+'Paramètres'!$B$5*(C1396-1)^2),0)</x:f>
        <x:v>0</x:v>
      </x:c>
      <x:c r="R1396" t="n">
        <x:f>ROUND(INDEX(Catalogue!F$4:F$85,MATCH(A1396,Catalogue!A$4:A$85,0))*(1+'Paramètres'!$B$4*(C1396-1)+'Paramètres'!$B$5*(C1396-1)^2),0)</x:f>
        <x:v>0</x:v>
      </x:c>
      <x:c r="S1396" t="n">
        <x:f>L1396-AVERAGE(Q1396:R1396)</x:f>
        <x:v>0</x:v>
      </x:c>
      <x:c r="T1396" t="str">
        <x:f>IF(M1396=0,IF(AND(N1396=0,O1396=0,E1396=0,F1396=0),"OK","ERREUR"),IF(AND(M1396&gt;=1,M1396&lt;=32,OR(N1396=4,N1396=6,N1396=8,N1396=10,N1396=12,N1396=20),O1396&gt;=0,E1396=M1396+O1396,F1396=M1396*N1396+O1396),"OK","ERREUR"))</x:f>
        <x:v>OK</x:v>
      </x:c>
      <x:c r="U1396" s="86" t="n">
        <x:f>IF(M1396&gt;0,M1396*(N1396+1)/2+O1396,0)</x:f>
        <x:v>0</x:v>
      </x:c>
      <x:c r="V1396" t="str">
        <x:f>IF(ABS(L1396-U1396)&lt;0.001,"OK","ERREUR")</x:f>
        <x:v>OK</x:v>
      </x:c>
    </x:row>
    <x:row r="1397" ht="18" customHeight="1">
      <x:c r="A1397" t="str">
        <x:v>ARM070</x:v>
      </x:c>
      <x:c r="B1397" t="str">
        <x:v>Orbe arcanique</x:v>
      </x:c>
      <x:c r="C1397" t="n">
        <x:v>14</x:v>
      </x:c>
      <x:c r="D1397" t="str">
        <x:v>Focaliseurs</x:v>
      </x:c>
      <x:c r="E1397" s="28" t="n">
        <x:f>IF(M1397=0,0,M1397+O1397)</x:f>
        <x:v>0</x:v>
      </x:c>
      <x:c r="F1397" s="28" t="n">
        <x:f>IF(M1397=0,0,M1397*N1397+O1397)</x:f>
        <x:v>0</x:v>
      </x:c>
      <x:c r="G1397" s="28" t="n">
        <x:f>ROUND(Catalogue!G73*SQRT((1+'Paramètres'!$B$4*(C1397-1)+'Paramètres'!$B$5*(C1397-1)^2)),0)</x:f>
        <x:v>0</x:v>
      </x:c>
      <x:c r="H1397" s="28" t="n">
        <x:f>ROUND(Catalogue!H73*SQRT((1+'Paramètres'!$B$4*(C1397-1)+'Paramètres'!$B$5*(C1397-1)^2)),0)</x:f>
        <x:v>0</x:v>
      </x:c>
      <x:c r="I1397" s="28" t="n">
        <x:v>0</x:v>
      </x:c>
      <x:c r="J1397" s="28" t="n">
        <x:v>0</x:v>
      </x:c>
      <x:c r="K1397" s="30" t="n">
        <x:v>0.5</x:v>
      </x:c>
      <x:c r="L1397" s="54" t="n">
        <x:f>IF(M1397=0,0,(E1397+F1397)/2)</x:f>
        <x:v>0</x:v>
      </x:c>
      <x:c r="M1397" t="n">
        <x:v>0</x:v>
      </x:c>
      <x:c r="N1397" t="n">
        <x:v>0</x:v>
      </x:c>
      <x:c r="O1397" t="n">
        <x:v>0</x:v>
      </x:c>
      <x:c r="P1397" s="63" t="str">
        <x:f>IF(M1397=0,"—",M1397&amp;"d"&amp;N1397&amp;IF(O1397=0,""," + "&amp;O1397))</x:f>
        <x:v>—</x:v>
      </x:c>
      <x:c r="Q1397" t="n">
        <x:f>ROUND(INDEX(Catalogue!E$4:E$85,MATCH(A1397,Catalogue!A$4:A$85,0))*(1+'Paramètres'!$B$4*(C1397-1)+'Paramètres'!$B$5*(C1397-1)^2),0)</x:f>
        <x:v>0</x:v>
      </x:c>
      <x:c r="R1397" t="n">
        <x:f>ROUND(INDEX(Catalogue!F$4:F$85,MATCH(A1397,Catalogue!A$4:A$85,0))*(1+'Paramètres'!$B$4*(C1397-1)+'Paramètres'!$B$5*(C1397-1)^2),0)</x:f>
        <x:v>0</x:v>
      </x:c>
      <x:c r="S1397" t="n">
        <x:f>L1397-AVERAGE(Q1397:R1397)</x:f>
        <x:v>0</x:v>
      </x:c>
      <x:c r="T1397" t="str">
        <x:f>IF(M1397=0,IF(AND(N1397=0,O1397=0,E1397=0,F1397=0),"OK","ERREUR"),IF(AND(M1397&gt;=1,M1397&lt;=32,OR(N1397=4,N1397=6,N1397=8,N1397=10,N1397=12,N1397=20),O1397&gt;=0,E1397=M1397+O1397,F1397=M1397*N1397+O1397),"OK","ERREUR"))</x:f>
        <x:v>OK</x:v>
      </x:c>
      <x:c r="U1397" s="86" t="n">
        <x:f>IF(M1397&gt;0,M1397*(N1397+1)/2+O1397,0)</x:f>
        <x:v>0</x:v>
      </x:c>
      <x:c r="V1397" t="str">
        <x:f>IF(ABS(L1397-U1397)&lt;0.001,"OK","ERREUR")</x:f>
        <x:v>OK</x:v>
      </x:c>
    </x:row>
    <x:row r="1398" ht="18" customHeight="1">
      <x:c r="A1398" t="str">
        <x:v>ARM070</x:v>
      </x:c>
      <x:c r="B1398" t="str">
        <x:v>Orbe arcanique</x:v>
      </x:c>
      <x:c r="C1398" t="n">
        <x:v>15</x:v>
      </x:c>
      <x:c r="D1398" t="str">
        <x:v>Focaliseurs</x:v>
      </x:c>
      <x:c r="E1398" s="28" t="n">
        <x:f>IF(M1398=0,0,M1398+O1398)</x:f>
        <x:v>0</x:v>
      </x:c>
      <x:c r="F1398" s="28" t="n">
        <x:f>IF(M1398=0,0,M1398*N1398+O1398)</x:f>
        <x:v>0</x:v>
      </x:c>
      <x:c r="G1398" s="28" t="n">
        <x:f>ROUND(Catalogue!G73*SQRT((1+'Paramètres'!$B$4*(C1398-1)+'Paramètres'!$B$5*(C1398-1)^2)),0)</x:f>
        <x:v>0</x:v>
      </x:c>
      <x:c r="H1398" s="28" t="n">
        <x:f>ROUND(Catalogue!H73*SQRT((1+'Paramètres'!$B$4*(C1398-1)+'Paramètres'!$B$5*(C1398-1)^2)),0)</x:f>
        <x:v>0</x:v>
      </x:c>
      <x:c r="I1398" s="28" t="n">
        <x:v>0</x:v>
      </x:c>
      <x:c r="J1398" s="28" t="n">
        <x:v>0</x:v>
      </x:c>
      <x:c r="K1398" s="30" t="n">
        <x:v>0.5</x:v>
      </x:c>
      <x:c r="L1398" s="54" t="n">
        <x:f>IF(M1398=0,0,(E1398+F1398)/2)</x:f>
        <x:v>0</x:v>
      </x:c>
      <x:c r="M1398" t="n">
        <x:v>0</x:v>
      </x:c>
      <x:c r="N1398" t="n">
        <x:v>0</x:v>
      </x:c>
      <x:c r="O1398" t="n">
        <x:v>0</x:v>
      </x:c>
      <x:c r="P1398" s="63" t="str">
        <x:f>IF(M1398=0,"—",M1398&amp;"d"&amp;N1398&amp;IF(O1398=0,""," + "&amp;O1398))</x:f>
        <x:v>—</x:v>
      </x:c>
      <x:c r="Q1398" t="n">
        <x:f>ROUND(INDEX(Catalogue!E$4:E$85,MATCH(A1398,Catalogue!A$4:A$85,0))*(1+'Paramètres'!$B$4*(C1398-1)+'Paramètres'!$B$5*(C1398-1)^2),0)</x:f>
        <x:v>0</x:v>
      </x:c>
      <x:c r="R1398" t="n">
        <x:f>ROUND(INDEX(Catalogue!F$4:F$85,MATCH(A1398,Catalogue!A$4:A$85,0))*(1+'Paramètres'!$B$4*(C1398-1)+'Paramètres'!$B$5*(C1398-1)^2),0)</x:f>
        <x:v>0</x:v>
      </x:c>
      <x:c r="S1398" t="n">
        <x:f>L1398-AVERAGE(Q1398:R1398)</x:f>
        <x:v>0</x:v>
      </x:c>
      <x:c r="T1398" t="str">
        <x:f>IF(M1398=0,IF(AND(N1398=0,O1398=0,E1398=0,F1398=0),"OK","ERREUR"),IF(AND(M1398&gt;=1,M1398&lt;=32,OR(N1398=4,N1398=6,N1398=8,N1398=10,N1398=12,N1398=20),O1398&gt;=0,E1398=M1398+O1398,F1398=M1398*N1398+O1398),"OK","ERREUR"))</x:f>
        <x:v>OK</x:v>
      </x:c>
      <x:c r="U1398" s="86" t="n">
        <x:f>IF(M1398&gt;0,M1398*(N1398+1)/2+O1398,0)</x:f>
        <x:v>0</x:v>
      </x:c>
      <x:c r="V1398" t="str">
        <x:f>IF(ABS(L1398-U1398)&lt;0.001,"OK","ERREUR")</x:f>
        <x:v>OK</x:v>
      </x:c>
    </x:row>
    <x:row r="1399" ht="18" customHeight="1">
      <x:c r="A1399" t="str">
        <x:v>ARM070</x:v>
      </x:c>
      <x:c r="B1399" t="str">
        <x:v>Orbe arcanique</x:v>
      </x:c>
      <x:c r="C1399" t="n">
        <x:v>16</x:v>
      </x:c>
      <x:c r="D1399" t="str">
        <x:v>Focaliseurs</x:v>
      </x:c>
      <x:c r="E1399" s="28" t="n">
        <x:f>IF(M1399=0,0,M1399+O1399)</x:f>
        <x:v>0</x:v>
      </x:c>
      <x:c r="F1399" s="28" t="n">
        <x:f>IF(M1399=0,0,M1399*N1399+O1399)</x:f>
        <x:v>0</x:v>
      </x:c>
      <x:c r="G1399" s="28" t="n">
        <x:f>ROUND(Catalogue!G73*SQRT((1+'Paramètres'!$B$4*(C1399-1)+'Paramètres'!$B$5*(C1399-1)^2)),0)</x:f>
        <x:v>0</x:v>
      </x:c>
      <x:c r="H1399" s="28" t="n">
        <x:f>ROUND(Catalogue!H73*SQRT((1+'Paramètres'!$B$4*(C1399-1)+'Paramètres'!$B$5*(C1399-1)^2)),0)</x:f>
        <x:v>0</x:v>
      </x:c>
      <x:c r="I1399" s="28" t="n">
        <x:v>0</x:v>
      </x:c>
      <x:c r="J1399" s="28" t="n">
        <x:v>0</x:v>
      </x:c>
      <x:c r="K1399" s="30" t="n">
        <x:v>0.5</x:v>
      </x:c>
      <x:c r="L1399" s="54" t="n">
        <x:f>IF(M1399=0,0,(E1399+F1399)/2)</x:f>
        <x:v>0</x:v>
      </x:c>
      <x:c r="M1399" t="n">
        <x:v>0</x:v>
      </x:c>
      <x:c r="N1399" t="n">
        <x:v>0</x:v>
      </x:c>
      <x:c r="O1399" t="n">
        <x:v>0</x:v>
      </x:c>
      <x:c r="P1399" s="63" t="str">
        <x:f>IF(M1399=0,"—",M1399&amp;"d"&amp;N1399&amp;IF(O1399=0,""," + "&amp;O1399))</x:f>
        <x:v>—</x:v>
      </x:c>
      <x:c r="Q1399" t="n">
        <x:f>ROUND(INDEX(Catalogue!E$4:E$85,MATCH(A1399,Catalogue!A$4:A$85,0))*(1+'Paramètres'!$B$4*(C1399-1)+'Paramètres'!$B$5*(C1399-1)^2),0)</x:f>
        <x:v>0</x:v>
      </x:c>
      <x:c r="R1399" t="n">
        <x:f>ROUND(INDEX(Catalogue!F$4:F$85,MATCH(A1399,Catalogue!A$4:A$85,0))*(1+'Paramètres'!$B$4*(C1399-1)+'Paramètres'!$B$5*(C1399-1)^2),0)</x:f>
        <x:v>0</x:v>
      </x:c>
      <x:c r="S1399" t="n">
        <x:f>L1399-AVERAGE(Q1399:R1399)</x:f>
        <x:v>0</x:v>
      </x:c>
      <x:c r="T1399" t="str">
        <x:f>IF(M1399=0,IF(AND(N1399=0,O1399=0,E1399=0,F1399=0),"OK","ERREUR"),IF(AND(M1399&gt;=1,M1399&lt;=32,OR(N1399=4,N1399=6,N1399=8,N1399=10,N1399=12,N1399=20),O1399&gt;=0,E1399=M1399+O1399,F1399=M1399*N1399+O1399),"OK","ERREUR"))</x:f>
        <x:v>OK</x:v>
      </x:c>
      <x:c r="U1399" s="86" t="n">
        <x:f>IF(M1399&gt;0,M1399*(N1399+1)/2+O1399,0)</x:f>
        <x:v>0</x:v>
      </x:c>
      <x:c r="V1399" t="str">
        <x:f>IF(ABS(L1399-U1399)&lt;0.001,"OK","ERREUR")</x:f>
        <x:v>OK</x:v>
      </x:c>
    </x:row>
    <x:row r="1400" ht="18" customHeight="1">
      <x:c r="A1400" t="str">
        <x:v>ARM070</x:v>
      </x:c>
      <x:c r="B1400" t="str">
        <x:v>Orbe arcanique</x:v>
      </x:c>
      <x:c r="C1400" t="n">
        <x:v>17</x:v>
      </x:c>
      <x:c r="D1400" t="str">
        <x:v>Focaliseurs</x:v>
      </x:c>
      <x:c r="E1400" s="28" t="n">
        <x:f>IF(M1400=0,0,M1400+O1400)</x:f>
        <x:v>0</x:v>
      </x:c>
      <x:c r="F1400" s="28" t="n">
        <x:f>IF(M1400=0,0,M1400*N1400+O1400)</x:f>
        <x:v>0</x:v>
      </x:c>
      <x:c r="G1400" s="28" t="n">
        <x:f>ROUND(Catalogue!G73*SQRT((1+'Paramètres'!$B$4*(C1400-1)+'Paramètres'!$B$5*(C1400-1)^2)),0)</x:f>
        <x:v>0</x:v>
      </x:c>
      <x:c r="H1400" s="28" t="n">
        <x:f>ROUND(Catalogue!H73*SQRT((1+'Paramètres'!$B$4*(C1400-1)+'Paramètres'!$B$5*(C1400-1)^2)),0)</x:f>
        <x:v>0</x:v>
      </x:c>
      <x:c r="I1400" s="28" t="n">
        <x:v>0</x:v>
      </x:c>
      <x:c r="J1400" s="28" t="n">
        <x:v>0</x:v>
      </x:c>
      <x:c r="K1400" s="30" t="n">
        <x:v>0.5</x:v>
      </x:c>
      <x:c r="L1400" s="54" t="n">
        <x:f>IF(M1400=0,0,(E1400+F1400)/2)</x:f>
        <x:v>0</x:v>
      </x:c>
      <x:c r="M1400" t="n">
        <x:v>0</x:v>
      </x:c>
      <x:c r="N1400" t="n">
        <x:v>0</x:v>
      </x:c>
      <x:c r="O1400" t="n">
        <x:v>0</x:v>
      </x:c>
      <x:c r="P1400" s="63" t="str">
        <x:f>IF(M1400=0,"—",M1400&amp;"d"&amp;N1400&amp;IF(O1400=0,""," + "&amp;O1400))</x:f>
        <x:v>—</x:v>
      </x:c>
      <x:c r="Q1400" t="n">
        <x:f>ROUND(INDEX(Catalogue!E$4:E$85,MATCH(A1400,Catalogue!A$4:A$85,0))*(1+'Paramètres'!$B$4*(C1400-1)+'Paramètres'!$B$5*(C1400-1)^2),0)</x:f>
        <x:v>0</x:v>
      </x:c>
      <x:c r="R1400" t="n">
        <x:f>ROUND(INDEX(Catalogue!F$4:F$85,MATCH(A1400,Catalogue!A$4:A$85,0))*(1+'Paramètres'!$B$4*(C1400-1)+'Paramètres'!$B$5*(C1400-1)^2),0)</x:f>
        <x:v>0</x:v>
      </x:c>
      <x:c r="S1400" t="n">
        <x:f>L1400-AVERAGE(Q1400:R1400)</x:f>
        <x:v>0</x:v>
      </x:c>
      <x:c r="T1400" t="str">
        <x:f>IF(M1400=0,IF(AND(N1400=0,O1400=0,E1400=0,F1400=0),"OK","ERREUR"),IF(AND(M1400&gt;=1,M1400&lt;=32,OR(N1400=4,N1400=6,N1400=8,N1400=10,N1400=12,N1400=20),O1400&gt;=0,E1400=M1400+O1400,F1400=M1400*N1400+O1400),"OK","ERREUR"))</x:f>
        <x:v>OK</x:v>
      </x:c>
      <x:c r="U1400" s="86" t="n">
        <x:f>IF(M1400&gt;0,M1400*(N1400+1)/2+O1400,0)</x:f>
        <x:v>0</x:v>
      </x:c>
      <x:c r="V1400" t="str">
        <x:f>IF(ABS(L1400-U1400)&lt;0.001,"OK","ERREUR")</x:f>
        <x:v>OK</x:v>
      </x:c>
    </x:row>
    <x:row r="1401" ht="18" customHeight="1">
      <x:c r="A1401" t="str">
        <x:v>ARM070</x:v>
      </x:c>
      <x:c r="B1401" t="str">
        <x:v>Orbe arcanique</x:v>
      </x:c>
      <x:c r="C1401" t="n">
        <x:v>18</x:v>
      </x:c>
      <x:c r="D1401" t="str">
        <x:v>Focaliseurs</x:v>
      </x:c>
      <x:c r="E1401" s="28" t="n">
        <x:f>IF(M1401=0,0,M1401+O1401)</x:f>
        <x:v>0</x:v>
      </x:c>
      <x:c r="F1401" s="28" t="n">
        <x:f>IF(M1401=0,0,M1401*N1401+O1401)</x:f>
        <x:v>0</x:v>
      </x:c>
      <x:c r="G1401" s="28" t="n">
        <x:f>ROUND(Catalogue!G73*SQRT((1+'Paramètres'!$B$4*(C1401-1)+'Paramètres'!$B$5*(C1401-1)^2)),0)</x:f>
        <x:v>0</x:v>
      </x:c>
      <x:c r="H1401" s="28" t="n">
        <x:f>ROUND(Catalogue!H73*SQRT((1+'Paramètres'!$B$4*(C1401-1)+'Paramètres'!$B$5*(C1401-1)^2)),0)</x:f>
        <x:v>0</x:v>
      </x:c>
      <x:c r="I1401" s="28" t="n">
        <x:v>0</x:v>
      </x:c>
      <x:c r="J1401" s="28" t="n">
        <x:v>0</x:v>
      </x:c>
      <x:c r="K1401" s="30" t="n">
        <x:v>0.5</x:v>
      </x:c>
      <x:c r="L1401" s="54" t="n">
        <x:f>IF(M1401=0,0,(E1401+F1401)/2)</x:f>
        <x:v>0</x:v>
      </x:c>
      <x:c r="M1401" t="n">
        <x:v>0</x:v>
      </x:c>
      <x:c r="N1401" t="n">
        <x:v>0</x:v>
      </x:c>
      <x:c r="O1401" t="n">
        <x:v>0</x:v>
      </x:c>
      <x:c r="P1401" s="63" t="str">
        <x:f>IF(M1401=0,"—",M1401&amp;"d"&amp;N1401&amp;IF(O1401=0,""," + "&amp;O1401))</x:f>
        <x:v>—</x:v>
      </x:c>
      <x:c r="Q1401" t="n">
        <x:f>ROUND(INDEX(Catalogue!E$4:E$85,MATCH(A1401,Catalogue!A$4:A$85,0))*(1+'Paramètres'!$B$4*(C1401-1)+'Paramètres'!$B$5*(C1401-1)^2),0)</x:f>
        <x:v>0</x:v>
      </x:c>
      <x:c r="R1401" t="n">
        <x:f>ROUND(INDEX(Catalogue!F$4:F$85,MATCH(A1401,Catalogue!A$4:A$85,0))*(1+'Paramètres'!$B$4*(C1401-1)+'Paramètres'!$B$5*(C1401-1)^2),0)</x:f>
        <x:v>0</x:v>
      </x:c>
      <x:c r="S1401" t="n">
        <x:f>L1401-AVERAGE(Q1401:R1401)</x:f>
        <x:v>0</x:v>
      </x:c>
      <x:c r="T1401" t="str">
        <x:f>IF(M1401=0,IF(AND(N1401=0,O1401=0,E1401=0,F1401=0),"OK","ERREUR"),IF(AND(M1401&gt;=1,M1401&lt;=32,OR(N1401=4,N1401=6,N1401=8,N1401=10,N1401=12,N1401=20),O1401&gt;=0,E1401=M1401+O1401,F1401=M1401*N1401+O1401),"OK","ERREUR"))</x:f>
        <x:v>OK</x:v>
      </x:c>
      <x:c r="U1401" s="86" t="n">
        <x:f>IF(M1401&gt;0,M1401*(N1401+1)/2+O1401,0)</x:f>
        <x:v>0</x:v>
      </x:c>
      <x:c r="V1401" t="str">
        <x:f>IF(ABS(L1401-U1401)&lt;0.001,"OK","ERREUR")</x:f>
        <x:v>OK</x:v>
      </x:c>
    </x:row>
    <x:row r="1402" ht="18" customHeight="1">
      <x:c r="A1402" t="str">
        <x:v>ARM070</x:v>
      </x:c>
      <x:c r="B1402" t="str">
        <x:v>Orbe arcanique</x:v>
      </x:c>
      <x:c r="C1402" t="n">
        <x:v>19</x:v>
      </x:c>
      <x:c r="D1402" t="str">
        <x:v>Focaliseurs</x:v>
      </x:c>
      <x:c r="E1402" s="28" t="n">
        <x:f>IF(M1402=0,0,M1402+O1402)</x:f>
        <x:v>0</x:v>
      </x:c>
      <x:c r="F1402" s="28" t="n">
        <x:f>IF(M1402=0,0,M1402*N1402+O1402)</x:f>
        <x:v>0</x:v>
      </x:c>
      <x:c r="G1402" s="28" t="n">
        <x:f>ROUND(Catalogue!G73*SQRT((1+'Paramètres'!$B$4*(C1402-1)+'Paramètres'!$B$5*(C1402-1)^2)),0)</x:f>
        <x:v>0</x:v>
      </x:c>
      <x:c r="H1402" s="28" t="n">
        <x:f>ROUND(Catalogue!H73*SQRT((1+'Paramètres'!$B$4*(C1402-1)+'Paramètres'!$B$5*(C1402-1)^2)),0)</x:f>
        <x:v>0</x:v>
      </x:c>
      <x:c r="I1402" s="28" t="n">
        <x:v>0</x:v>
      </x:c>
      <x:c r="J1402" s="28" t="n">
        <x:v>0</x:v>
      </x:c>
      <x:c r="K1402" s="30" t="n">
        <x:v>0.5</x:v>
      </x:c>
      <x:c r="L1402" s="54" t="n">
        <x:f>IF(M1402=0,0,(E1402+F1402)/2)</x:f>
        <x:v>0</x:v>
      </x:c>
      <x:c r="M1402" t="n">
        <x:v>0</x:v>
      </x:c>
      <x:c r="N1402" t="n">
        <x:v>0</x:v>
      </x:c>
      <x:c r="O1402" t="n">
        <x:v>0</x:v>
      </x:c>
      <x:c r="P1402" s="63" t="str">
        <x:f>IF(M1402=0,"—",M1402&amp;"d"&amp;N1402&amp;IF(O1402=0,""," + "&amp;O1402))</x:f>
        <x:v>—</x:v>
      </x:c>
      <x:c r="Q1402" t="n">
        <x:f>ROUND(INDEX(Catalogue!E$4:E$85,MATCH(A1402,Catalogue!A$4:A$85,0))*(1+'Paramètres'!$B$4*(C1402-1)+'Paramètres'!$B$5*(C1402-1)^2),0)</x:f>
        <x:v>0</x:v>
      </x:c>
      <x:c r="R1402" t="n">
        <x:f>ROUND(INDEX(Catalogue!F$4:F$85,MATCH(A1402,Catalogue!A$4:A$85,0))*(1+'Paramètres'!$B$4*(C1402-1)+'Paramètres'!$B$5*(C1402-1)^2),0)</x:f>
        <x:v>0</x:v>
      </x:c>
      <x:c r="S1402" t="n">
        <x:f>L1402-AVERAGE(Q1402:R1402)</x:f>
        <x:v>0</x:v>
      </x:c>
      <x:c r="T1402" t="str">
        <x:f>IF(M1402=0,IF(AND(N1402=0,O1402=0,E1402=0,F1402=0),"OK","ERREUR"),IF(AND(M1402&gt;=1,M1402&lt;=32,OR(N1402=4,N1402=6,N1402=8,N1402=10,N1402=12,N1402=20),O1402&gt;=0,E1402=M1402+O1402,F1402=M1402*N1402+O1402),"OK","ERREUR"))</x:f>
        <x:v>OK</x:v>
      </x:c>
      <x:c r="U1402" s="86" t="n">
        <x:f>IF(M1402&gt;0,M1402*(N1402+1)/2+O1402,0)</x:f>
        <x:v>0</x:v>
      </x:c>
      <x:c r="V1402" t="str">
        <x:f>IF(ABS(L1402-U1402)&lt;0.001,"OK","ERREUR")</x:f>
        <x:v>OK</x:v>
      </x:c>
    </x:row>
    <x:row r="1403" ht="18" customHeight="1">
      <x:c r="A1403" t="str">
        <x:v>ARM070</x:v>
      </x:c>
      <x:c r="B1403" t="str">
        <x:v>Orbe arcanique</x:v>
      </x:c>
      <x:c r="C1403" t="n">
        <x:v>20</x:v>
      </x:c>
      <x:c r="D1403" t="str">
        <x:v>Focaliseurs</x:v>
      </x:c>
      <x:c r="E1403" s="28" t="n">
        <x:f>IF(M1403=0,0,M1403+O1403)</x:f>
        <x:v>0</x:v>
      </x:c>
      <x:c r="F1403" s="28" t="n">
        <x:f>IF(M1403=0,0,M1403*N1403+O1403)</x:f>
        <x:v>0</x:v>
      </x:c>
      <x:c r="G1403" s="28" t="n">
        <x:f>ROUND(Catalogue!G73*SQRT((1+'Paramètres'!$B$4*(C1403-1)+'Paramètres'!$B$5*(C1403-1)^2)),0)</x:f>
        <x:v>0</x:v>
      </x:c>
      <x:c r="H1403" s="28" t="n">
        <x:f>ROUND(Catalogue!H73*SQRT((1+'Paramètres'!$B$4*(C1403-1)+'Paramètres'!$B$5*(C1403-1)^2)),0)</x:f>
        <x:v>0</x:v>
      </x:c>
      <x:c r="I1403" s="28" t="n">
        <x:v>0</x:v>
      </x:c>
      <x:c r="J1403" s="28" t="n">
        <x:v>0</x:v>
      </x:c>
      <x:c r="K1403" s="30" t="n">
        <x:v>0.5</x:v>
      </x:c>
      <x:c r="L1403" s="54" t="n">
        <x:f>IF(M1403=0,0,(E1403+F1403)/2)</x:f>
        <x:v>0</x:v>
      </x:c>
      <x:c r="M1403" t="n">
        <x:v>0</x:v>
      </x:c>
      <x:c r="N1403" t="n">
        <x:v>0</x:v>
      </x:c>
      <x:c r="O1403" t="n">
        <x:v>0</x:v>
      </x:c>
      <x:c r="P1403" s="63" t="str">
        <x:f>IF(M1403=0,"—",M1403&amp;"d"&amp;N1403&amp;IF(O1403=0,""," + "&amp;O1403))</x:f>
        <x:v>—</x:v>
      </x:c>
      <x:c r="Q1403" t="n">
        <x:f>ROUND(INDEX(Catalogue!E$4:E$85,MATCH(A1403,Catalogue!A$4:A$85,0))*(1+'Paramètres'!$B$4*(C1403-1)+'Paramètres'!$B$5*(C1403-1)^2),0)</x:f>
        <x:v>0</x:v>
      </x:c>
      <x:c r="R1403" t="n">
        <x:f>ROUND(INDEX(Catalogue!F$4:F$85,MATCH(A1403,Catalogue!A$4:A$85,0))*(1+'Paramètres'!$B$4*(C1403-1)+'Paramètres'!$B$5*(C1403-1)^2),0)</x:f>
        <x:v>0</x:v>
      </x:c>
      <x:c r="S1403" t="n">
        <x:f>L1403-AVERAGE(Q1403:R1403)</x:f>
        <x:v>0</x:v>
      </x:c>
      <x:c r="T1403" t="str">
        <x:f>IF(M1403=0,IF(AND(N1403=0,O1403=0,E1403=0,F1403=0),"OK","ERREUR"),IF(AND(M1403&gt;=1,M1403&lt;=32,OR(N1403=4,N1403=6,N1403=8,N1403=10,N1403=12,N1403=20),O1403&gt;=0,E1403=M1403+O1403,F1403=M1403*N1403+O1403),"OK","ERREUR"))</x:f>
        <x:v>OK</x:v>
      </x:c>
      <x:c r="U1403" s="86" t="n">
        <x:f>IF(M1403&gt;0,M1403*(N1403+1)/2+O1403,0)</x:f>
        <x:v>0</x:v>
      </x:c>
      <x:c r="V1403" t="str">
        <x:f>IF(ABS(L1403-U1403)&lt;0.001,"OK","ERREUR")</x:f>
        <x:v>OK</x:v>
      </x:c>
    </x:row>
    <x:row r="1404" ht="18" customHeight="1">
      <x:c r="A1404" t="str">
        <x:v>ARM071</x:v>
      </x:c>
      <x:c r="B1404" t="str">
        <x:v>Grimoire focaliseur</x:v>
      </x:c>
      <x:c r="C1404" t="n">
        <x:v>1</x:v>
      </x:c>
      <x:c r="D1404" t="str">
        <x:v>Focaliseurs</x:v>
      </x:c>
      <x:c r="E1404" s="28" t="n">
        <x:f>IF(M1404=0,0,M1404+O1404)</x:f>
        <x:v>0</x:v>
      </x:c>
      <x:c r="F1404" s="28" t="n">
        <x:f>IF(M1404=0,0,M1404*N1404+O1404)</x:f>
        <x:v>0</x:v>
      </x:c>
      <x:c r="G1404" s="28" t="n">
        <x:f>ROUND(Catalogue!G74*SQRT((1+'Paramètres'!$B$4*(C1404-1)+'Paramètres'!$B$5*(C1404-1)^2)),0)</x:f>
        <x:v>0</x:v>
      </x:c>
      <x:c r="H1404" s="28" t="n">
        <x:f>ROUND(Catalogue!H74*SQRT((1+'Paramètres'!$B$4*(C1404-1)+'Paramètres'!$B$5*(C1404-1)^2)),0)</x:f>
        <x:v>0</x:v>
      </x:c>
      <x:c r="I1404" s="28" t="n">
        <x:v>0</x:v>
      </x:c>
      <x:c r="J1404" s="28" t="n">
        <x:v>0</x:v>
      </x:c>
      <x:c r="K1404" s="30" t="n">
        <x:v>1.2</x:v>
      </x:c>
      <x:c r="L1404" s="54" t="n">
        <x:f>IF(M1404=0,0,(E1404+F1404)/2)</x:f>
        <x:v>0</x:v>
      </x:c>
      <x:c r="M1404" t="n">
        <x:v>0</x:v>
      </x:c>
      <x:c r="N1404" t="n">
        <x:v>0</x:v>
      </x:c>
      <x:c r="O1404" t="n">
        <x:v>0</x:v>
      </x:c>
      <x:c r="P1404" s="63" t="str">
        <x:f>IF(M1404=0,"—",M1404&amp;"d"&amp;N1404&amp;IF(O1404=0,""," + "&amp;O1404))</x:f>
        <x:v>—</x:v>
      </x:c>
      <x:c r="Q1404" t="n">
        <x:f>ROUND(INDEX(Catalogue!E$4:E$85,MATCH(A1404,Catalogue!A$4:A$85,0))*(1+'Paramètres'!$B$4*(C1404-1)+'Paramètres'!$B$5*(C1404-1)^2),0)</x:f>
        <x:v>0</x:v>
      </x:c>
      <x:c r="R1404" t="n">
        <x:f>ROUND(INDEX(Catalogue!F$4:F$85,MATCH(A1404,Catalogue!A$4:A$85,0))*(1+'Paramètres'!$B$4*(C1404-1)+'Paramètres'!$B$5*(C1404-1)^2),0)</x:f>
        <x:v>0</x:v>
      </x:c>
      <x:c r="S1404" t="n">
        <x:f>L1404-AVERAGE(Q1404:R1404)</x:f>
        <x:v>0</x:v>
      </x:c>
      <x:c r="T1404" t="str">
        <x:f>IF(M1404=0,IF(AND(N1404=0,O1404=0,E1404=0,F1404=0),"OK","ERREUR"),IF(AND(M1404&gt;=1,M1404&lt;=32,OR(N1404=4,N1404=6,N1404=8,N1404=10,N1404=12,N1404=20),O1404&gt;=0,E1404=M1404+O1404,F1404=M1404*N1404+O1404),"OK","ERREUR"))</x:f>
        <x:v>OK</x:v>
      </x:c>
      <x:c r="U1404" s="86" t="n">
        <x:f>IF(M1404&gt;0,M1404*(N1404+1)/2+O1404,0)</x:f>
        <x:v>0</x:v>
      </x:c>
      <x:c r="V1404" t="str">
        <x:f>IF(ABS(L1404-U1404)&lt;0.001,"OK","ERREUR")</x:f>
        <x:v>OK</x:v>
      </x:c>
    </x:row>
    <x:row r="1405" ht="18" customHeight="1">
      <x:c r="A1405" t="str">
        <x:v>ARM071</x:v>
      </x:c>
      <x:c r="B1405" t="str">
        <x:v>Grimoire focaliseur</x:v>
      </x:c>
      <x:c r="C1405" t="n">
        <x:v>2</x:v>
      </x:c>
      <x:c r="D1405" t="str">
        <x:v>Focaliseurs</x:v>
      </x:c>
      <x:c r="E1405" s="28" t="n">
        <x:f>IF(M1405=0,0,M1405+O1405)</x:f>
        <x:v>0</x:v>
      </x:c>
      <x:c r="F1405" s="28" t="n">
        <x:f>IF(M1405=0,0,M1405*N1405+O1405)</x:f>
        <x:v>0</x:v>
      </x:c>
      <x:c r="G1405" s="28" t="n">
        <x:f>ROUND(Catalogue!G74*SQRT((1+'Paramètres'!$B$4*(C1405-1)+'Paramètres'!$B$5*(C1405-1)^2)),0)</x:f>
        <x:v>0</x:v>
      </x:c>
      <x:c r="H1405" s="28" t="n">
        <x:f>ROUND(Catalogue!H74*SQRT((1+'Paramètres'!$B$4*(C1405-1)+'Paramètres'!$B$5*(C1405-1)^2)),0)</x:f>
        <x:v>0</x:v>
      </x:c>
      <x:c r="I1405" s="28" t="n">
        <x:v>0</x:v>
      </x:c>
      <x:c r="J1405" s="28" t="n">
        <x:v>0</x:v>
      </x:c>
      <x:c r="K1405" s="30" t="n">
        <x:v>1.2</x:v>
      </x:c>
      <x:c r="L1405" s="54" t="n">
        <x:f>IF(M1405=0,0,(E1405+F1405)/2)</x:f>
        <x:v>0</x:v>
      </x:c>
      <x:c r="M1405" t="n">
        <x:v>0</x:v>
      </x:c>
      <x:c r="N1405" t="n">
        <x:v>0</x:v>
      </x:c>
      <x:c r="O1405" t="n">
        <x:v>0</x:v>
      </x:c>
      <x:c r="P1405" s="63" t="str">
        <x:f>IF(M1405=0,"—",M1405&amp;"d"&amp;N1405&amp;IF(O1405=0,""," + "&amp;O1405))</x:f>
        <x:v>—</x:v>
      </x:c>
      <x:c r="Q1405" t="n">
        <x:f>ROUND(INDEX(Catalogue!E$4:E$85,MATCH(A1405,Catalogue!A$4:A$85,0))*(1+'Paramètres'!$B$4*(C1405-1)+'Paramètres'!$B$5*(C1405-1)^2),0)</x:f>
        <x:v>0</x:v>
      </x:c>
      <x:c r="R1405" t="n">
        <x:f>ROUND(INDEX(Catalogue!F$4:F$85,MATCH(A1405,Catalogue!A$4:A$85,0))*(1+'Paramètres'!$B$4*(C1405-1)+'Paramètres'!$B$5*(C1405-1)^2),0)</x:f>
        <x:v>0</x:v>
      </x:c>
      <x:c r="S1405" t="n">
        <x:f>L1405-AVERAGE(Q1405:R1405)</x:f>
        <x:v>0</x:v>
      </x:c>
      <x:c r="T1405" t="str">
        <x:f>IF(M1405=0,IF(AND(N1405=0,O1405=0,E1405=0,F1405=0),"OK","ERREUR"),IF(AND(M1405&gt;=1,M1405&lt;=32,OR(N1405=4,N1405=6,N1405=8,N1405=10,N1405=12,N1405=20),O1405&gt;=0,E1405=M1405+O1405,F1405=M1405*N1405+O1405),"OK","ERREUR"))</x:f>
        <x:v>OK</x:v>
      </x:c>
      <x:c r="U1405" s="86" t="n">
        <x:f>IF(M1405&gt;0,M1405*(N1405+1)/2+O1405,0)</x:f>
        <x:v>0</x:v>
      </x:c>
      <x:c r="V1405" t="str">
        <x:f>IF(ABS(L1405-U1405)&lt;0.001,"OK","ERREUR")</x:f>
        <x:v>OK</x:v>
      </x:c>
    </x:row>
    <x:row r="1406" ht="18" customHeight="1">
      <x:c r="A1406" t="str">
        <x:v>ARM071</x:v>
      </x:c>
      <x:c r="B1406" t="str">
        <x:v>Grimoire focaliseur</x:v>
      </x:c>
      <x:c r="C1406" t="n">
        <x:v>3</x:v>
      </x:c>
      <x:c r="D1406" t="str">
        <x:v>Focaliseurs</x:v>
      </x:c>
      <x:c r="E1406" s="28" t="n">
        <x:f>IF(M1406=0,0,M1406+O1406)</x:f>
        <x:v>0</x:v>
      </x:c>
      <x:c r="F1406" s="28" t="n">
        <x:f>IF(M1406=0,0,M1406*N1406+O1406)</x:f>
        <x:v>0</x:v>
      </x:c>
      <x:c r="G1406" s="28" t="n">
        <x:f>ROUND(Catalogue!G74*SQRT((1+'Paramètres'!$B$4*(C1406-1)+'Paramètres'!$B$5*(C1406-1)^2)),0)</x:f>
        <x:v>0</x:v>
      </x:c>
      <x:c r="H1406" s="28" t="n">
        <x:f>ROUND(Catalogue!H74*SQRT((1+'Paramètres'!$B$4*(C1406-1)+'Paramètres'!$B$5*(C1406-1)^2)),0)</x:f>
        <x:v>0</x:v>
      </x:c>
      <x:c r="I1406" s="28" t="n">
        <x:v>0</x:v>
      </x:c>
      <x:c r="J1406" s="28" t="n">
        <x:v>0</x:v>
      </x:c>
      <x:c r="K1406" s="30" t="n">
        <x:v>1.2</x:v>
      </x:c>
      <x:c r="L1406" s="54" t="n">
        <x:f>IF(M1406=0,0,(E1406+F1406)/2)</x:f>
        <x:v>0</x:v>
      </x:c>
      <x:c r="M1406" t="n">
        <x:v>0</x:v>
      </x:c>
      <x:c r="N1406" t="n">
        <x:v>0</x:v>
      </x:c>
      <x:c r="O1406" t="n">
        <x:v>0</x:v>
      </x:c>
      <x:c r="P1406" s="63" t="str">
        <x:f>IF(M1406=0,"—",M1406&amp;"d"&amp;N1406&amp;IF(O1406=0,""," + "&amp;O1406))</x:f>
        <x:v>—</x:v>
      </x:c>
      <x:c r="Q1406" t="n">
        <x:f>ROUND(INDEX(Catalogue!E$4:E$85,MATCH(A1406,Catalogue!A$4:A$85,0))*(1+'Paramètres'!$B$4*(C1406-1)+'Paramètres'!$B$5*(C1406-1)^2),0)</x:f>
        <x:v>0</x:v>
      </x:c>
      <x:c r="R1406" t="n">
        <x:f>ROUND(INDEX(Catalogue!F$4:F$85,MATCH(A1406,Catalogue!A$4:A$85,0))*(1+'Paramètres'!$B$4*(C1406-1)+'Paramètres'!$B$5*(C1406-1)^2),0)</x:f>
        <x:v>0</x:v>
      </x:c>
      <x:c r="S1406" t="n">
        <x:f>L1406-AVERAGE(Q1406:R1406)</x:f>
        <x:v>0</x:v>
      </x:c>
      <x:c r="T1406" t="str">
        <x:f>IF(M1406=0,IF(AND(N1406=0,O1406=0,E1406=0,F1406=0),"OK","ERREUR"),IF(AND(M1406&gt;=1,M1406&lt;=32,OR(N1406=4,N1406=6,N1406=8,N1406=10,N1406=12,N1406=20),O1406&gt;=0,E1406=M1406+O1406,F1406=M1406*N1406+O1406),"OK","ERREUR"))</x:f>
        <x:v>OK</x:v>
      </x:c>
      <x:c r="U1406" s="86" t="n">
        <x:f>IF(M1406&gt;0,M1406*(N1406+1)/2+O1406,0)</x:f>
        <x:v>0</x:v>
      </x:c>
      <x:c r="V1406" t="str">
        <x:f>IF(ABS(L1406-U1406)&lt;0.001,"OK","ERREUR")</x:f>
        <x:v>OK</x:v>
      </x:c>
    </x:row>
    <x:row r="1407" ht="18" customHeight="1">
      <x:c r="A1407" t="str">
        <x:v>ARM071</x:v>
      </x:c>
      <x:c r="B1407" t="str">
        <x:v>Grimoire focaliseur</x:v>
      </x:c>
      <x:c r="C1407" t="n">
        <x:v>4</x:v>
      </x:c>
      <x:c r="D1407" t="str">
        <x:v>Focaliseurs</x:v>
      </x:c>
      <x:c r="E1407" s="28" t="n">
        <x:f>IF(M1407=0,0,M1407+O1407)</x:f>
        <x:v>0</x:v>
      </x:c>
      <x:c r="F1407" s="28" t="n">
        <x:f>IF(M1407=0,0,M1407*N1407+O1407)</x:f>
        <x:v>0</x:v>
      </x:c>
      <x:c r="G1407" s="28" t="n">
        <x:f>ROUND(Catalogue!G74*SQRT((1+'Paramètres'!$B$4*(C1407-1)+'Paramètres'!$B$5*(C1407-1)^2)),0)</x:f>
        <x:v>0</x:v>
      </x:c>
      <x:c r="H1407" s="28" t="n">
        <x:f>ROUND(Catalogue!H74*SQRT((1+'Paramètres'!$B$4*(C1407-1)+'Paramètres'!$B$5*(C1407-1)^2)),0)</x:f>
        <x:v>0</x:v>
      </x:c>
      <x:c r="I1407" s="28" t="n">
        <x:v>0</x:v>
      </x:c>
      <x:c r="J1407" s="28" t="n">
        <x:v>0</x:v>
      </x:c>
      <x:c r="K1407" s="30" t="n">
        <x:v>1.2</x:v>
      </x:c>
      <x:c r="L1407" s="54" t="n">
        <x:f>IF(M1407=0,0,(E1407+F1407)/2)</x:f>
        <x:v>0</x:v>
      </x:c>
      <x:c r="M1407" t="n">
        <x:v>0</x:v>
      </x:c>
      <x:c r="N1407" t="n">
        <x:v>0</x:v>
      </x:c>
      <x:c r="O1407" t="n">
        <x:v>0</x:v>
      </x:c>
      <x:c r="P1407" s="63" t="str">
        <x:f>IF(M1407=0,"—",M1407&amp;"d"&amp;N1407&amp;IF(O1407=0,""," + "&amp;O1407))</x:f>
        <x:v>—</x:v>
      </x:c>
      <x:c r="Q1407" t="n">
        <x:f>ROUND(INDEX(Catalogue!E$4:E$85,MATCH(A1407,Catalogue!A$4:A$85,0))*(1+'Paramètres'!$B$4*(C1407-1)+'Paramètres'!$B$5*(C1407-1)^2),0)</x:f>
        <x:v>0</x:v>
      </x:c>
      <x:c r="R1407" t="n">
        <x:f>ROUND(INDEX(Catalogue!F$4:F$85,MATCH(A1407,Catalogue!A$4:A$85,0))*(1+'Paramètres'!$B$4*(C1407-1)+'Paramètres'!$B$5*(C1407-1)^2),0)</x:f>
        <x:v>0</x:v>
      </x:c>
      <x:c r="S1407" t="n">
        <x:f>L1407-AVERAGE(Q1407:R1407)</x:f>
        <x:v>0</x:v>
      </x:c>
      <x:c r="T1407" t="str">
        <x:f>IF(M1407=0,IF(AND(N1407=0,O1407=0,E1407=0,F1407=0),"OK","ERREUR"),IF(AND(M1407&gt;=1,M1407&lt;=32,OR(N1407=4,N1407=6,N1407=8,N1407=10,N1407=12,N1407=20),O1407&gt;=0,E1407=M1407+O1407,F1407=M1407*N1407+O1407),"OK","ERREUR"))</x:f>
        <x:v>OK</x:v>
      </x:c>
      <x:c r="U1407" s="86" t="n">
        <x:f>IF(M1407&gt;0,M1407*(N1407+1)/2+O1407,0)</x:f>
        <x:v>0</x:v>
      </x:c>
      <x:c r="V1407" t="str">
        <x:f>IF(ABS(L1407-U1407)&lt;0.001,"OK","ERREUR")</x:f>
        <x:v>OK</x:v>
      </x:c>
    </x:row>
    <x:row r="1408" ht="18" customHeight="1">
      <x:c r="A1408" t="str">
        <x:v>ARM071</x:v>
      </x:c>
      <x:c r="B1408" t="str">
        <x:v>Grimoire focaliseur</x:v>
      </x:c>
      <x:c r="C1408" t="n">
        <x:v>5</x:v>
      </x:c>
      <x:c r="D1408" t="str">
        <x:v>Focaliseurs</x:v>
      </x:c>
      <x:c r="E1408" s="28" t="n">
        <x:f>IF(M1408=0,0,M1408+O1408)</x:f>
        <x:v>0</x:v>
      </x:c>
      <x:c r="F1408" s="28" t="n">
        <x:f>IF(M1408=0,0,M1408*N1408+O1408)</x:f>
        <x:v>0</x:v>
      </x:c>
      <x:c r="G1408" s="28" t="n">
        <x:f>ROUND(Catalogue!G74*SQRT((1+'Paramètres'!$B$4*(C1408-1)+'Paramètres'!$B$5*(C1408-1)^2)),0)</x:f>
        <x:v>0</x:v>
      </x:c>
      <x:c r="H1408" s="28" t="n">
        <x:f>ROUND(Catalogue!H74*SQRT((1+'Paramètres'!$B$4*(C1408-1)+'Paramètres'!$B$5*(C1408-1)^2)),0)</x:f>
        <x:v>0</x:v>
      </x:c>
      <x:c r="I1408" s="28" t="n">
        <x:v>0</x:v>
      </x:c>
      <x:c r="J1408" s="28" t="n">
        <x:v>0</x:v>
      </x:c>
      <x:c r="K1408" s="30" t="n">
        <x:v>1.2</x:v>
      </x:c>
      <x:c r="L1408" s="54" t="n">
        <x:f>IF(M1408=0,0,(E1408+F1408)/2)</x:f>
        <x:v>0</x:v>
      </x:c>
      <x:c r="M1408" t="n">
        <x:v>0</x:v>
      </x:c>
      <x:c r="N1408" t="n">
        <x:v>0</x:v>
      </x:c>
      <x:c r="O1408" t="n">
        <x:v>0</x:v>
      </x:c>
      <x:c r="P1408" s="63" t="str">
        <x:f>IF(M1408=0,"—",M1408&amp;"d"&amp;N1408&amp;IF(O1408=0,""," + "&amp;O1408))</x:f>
        <x:v>—</x:v>
      </x:c>
      <x:c r="Q1408" t="n">
        <x:f>ROUND(INDEX(Catalogue!E$4:E$85,MATCH(A1408,Catalogue!A$4:A$85,0))*(1+'Paramètres'!$B$4*(C1408-1)+'Paramètres'!$B$5*(C1408-1)^2),0)</x:f>
        <x:v>0</x:v>
      </x:c>
      <x:c r="R1408" t="n">
        <x:f>ROUND(INDEX(Catalogue!F$4:F$85,MATCH(A1408,Catalogue!A$4:A$85,0))*(1+'Paramètres'!$B$4*(C1408-1)+'Paramètres'!$B$5*(C1408-1)^2),0)</x:f>
        <x:v>0</x:v>
      </x:c>
      <x:c r="S1408" t="n">
        <x:f>L1408-AVERAGE(Q1408:R1408)</x:f>
        <x:v>0</x:v>
      </x:c>
      <x:c r="T1408" t="str">
        <x:f>IF(M1408=0,IF(AND(N1408=0,O1408=0,E1408=0,F1408=0),"OK","ERREUR"),IF(AND(M1408&gt;=1,M1408&lt;=32,OR(N1408=4,N1408=6,N1408=8,N1408=10,N1408=12,N1408=20),O1408&gt;=0,E1408=M1408+O1408,F1408=M1408*N1408+O1408),"OK","ERREUR"))</x:f>
        <x:v>OK</x:v>
      </x:c>
      <x:c r="U1408" s="86" t="n">
        <x:f>IF(M1408&gt;0,M1408*(N1408+1)/2+O1408,0)</x:f>
        <x:v>0</x:v>
      </x:c>
      <x:c r="V1408" t="str">
        <x:f>IF(ABS(L1408-U1408)&lt;0.001,"OK","ERREUR")</x:f>
        <x:v>OK</x:v>
      </x:c>
    </x:row>
    <x:row r="1409" ht="18" customHeight="1">
      <x:c r="A1409" t="str">
        <x:v>ARM071</x:v>
      </x:c>
      <x:c r="B1409" t="str">
        <x:v>Grimoire focaliseur</x:v>
      </x:c>
      <x:c r="C1409" t="n">
        <x:v>6</x:v>
      </x:c>
      <x:c r="D1409" t="str">
        <x:v>Focaliseurs</x:v>
      </x:c>
      <x:c r="E1409" s="28" t="n">
        <x:f>IF(M1409=0,0,M1409+O1409)</x:f>
        <x:v>0</x:v>
      </x:c>
      <x:c r="F1409" s="28" t="n">
        <x:f>IF(M1409=0,0,M1409*N1409+O1409)</x:f>
        <x:v>0</x:v>
      </x:c>
      <x:c r="G1409" s="28" t="n">
        <x:f>ROUND(Catalogue!G74*SQRT((1+'Paramètres'!$B$4*(C1409-1)+'Paramètres'!$B$5*(C1409-1)^2)),0)</x:f>
        <x:v>0</x:v>
      </x:c>
      <x:c r="H1409" s="28" t="n">
        <x:f>ROUND(Catalogue!H74*SQRT((1+'Paramètres'!$B$4*(C1409-1)+'Paramètres'!$B$5*(C1409-1)^2)),0)</x:f>
        <x:v>0</x:v>
      </x:c>
      <x:c r="I1409" s="28" t="n">
        <x:v>0</x:v>
      </x:c>
      <x:c r="J1409" s="28" t="n">
        <x:v>0</x:v>
      </x:c>
      <x:c r="K1409" s="30" t="n">
        <x:v>1.2</x:v>
      </x:c>
      <x:c r="L1409" s="54" t="n">
        <x:f>IF(M1409=0,0,(E1409+F1409)/2)</x:f>
        <x:v>0</x:v>
      </x:c>
      <x:c r="M1409" t="n">
        <x:v>0</x:v>
      </x:c>
      <x:c r="N1409" t="n">
        <x:v>0</x:v>
      </x:c>
      <x:c r="O1409" t="n">
        <x:v>0</x:v>
      </x:c>
      <x:c r="P1409" s="63" t="str">
        <x:f>IF(M1409=0,"—",M1409&amp;"d"&amp;N1409&amp;IF(O1409=0,""," + "&amp;O1409))</x:f>
        <x:v>—</x:v>
      </x:c>
      <x:c r="Q1409" t="n">
        <x:f>ROUND(INDEX(Catalogue!E$4:E$85,MATCH(A1409,Catalogue!A$4:A$85,0))*(1+'Paramètres'!$B$4*(C1409-1)+'Paramètres'!$B$5*(C1409-1)^2),0)</x:f>
        <x:v>0</x:v>
      </x:c>
      <x:c r="R1409" t="n">
        <x:f>ROUND(INDEX(Catalogue!F$4:F$85,MATCH(A1409,Catalogue!A$4:A$85,0))*(1+'Paramètres'!$B$4*(C1409-1)+'Paramètres'!$B$5*(C1409-1)^2),0)</x:f>
        <x:v>0</x:v>
      </x:c>
      <x:c r="S1409" t="n">
        <x:f>L1409-AVERAGE(Q1409:R1409)</x:f>
        <x:v>0</x:v>
      </x:c>
      <x:c r="T1409" t="str">
        <x:f>IF(M1409=0,IF(AND(N1409=0,O1409=0,E1409=0,F1409=0),"OK","ERREUR"),IF(AND(M1409&gt;=1,M1409&lt;=32,OR(N1409=4,N1409=6,N1409=8,N1409=10,N1409=12,N1409=20),O1409&gt;=0,E1409=M1409+O1409,F1409=M1409*N1409+O1409),"OK","ERREUR"))</x:f>
        <x:v>OK</x:v>
      </x:c>
      <x:c r="U1409" s="86" t="n">
        <x:f>IF(M1409&gt;0,M1409*(N1409+1)/2+O1409,0)</x:f>
        <x:v>0</x:v>
      </x:c>
      <x:c r="V1409" t="str">
        <x:f>IF(ABS(L1409-U1409)&lt;0.001,"OK","ERREUR")</x:f>
        <x:v>OK</x:v>
      </x:c>
    </x:row>
    <x:row r="1410" ht="18" customHeight="1">
      <x:c r="A1410" t="str">
        <x:v>ARM071</x:v>
      </x:c>
      <x:c r="B1410" t="str">
        <x:v>Grimoire focaliseur</x:v>
      </x:c>
      <x:c r="C1410" t="n">
        <x:v>7</x:v>
      </x:c>
      <x:c r="D1410" t="str">
        <x:v>Focaliseurs</x:v>
      </x:c>
      <x:c r="E1410" s="28" t="n">
        <x:f>IF(M1410=0,0,M1410+O1410)</x:f>
        <x:v>0</x:v>
      </x:c>
      <x:c r="F1410" s="28" t="n">
        <x:f>IF(M1410=0,0,M1410*N1410+O1410)</x:f>
        <x:v>0</x:v>
      </x:c>
      <x:c r="G1410" s="28" t="n">
        <x:f>ROUND(Catalogue!G74*SQRT((1+'Paramètres'!$B$4*(C1410-1)+'Paramètres'!$B$5*(C1410-1)^2)),0)</x:f>
        <x:v>0</x:v>
      </x:c>
      <x:c r="H1410" s="28" t="n">
        <x:f>ROUND(Catalogue!H74*SQRT((1+'Paramètres'!$B$4*(C1410-1)+'Paramètres'!$B$5*(C1410-1)^2)),0)</x:f>
        <x:v>0</x:v>
      </x:c>
      <x:c r="I1410" s="28" t="n">
        <x:v>0</x:v>
      </x:c>
      <x:c r="J1410" s="28" t="n">
        <x:v>0</x:v>
      </x:c>
      <x:c r="K1410" s="30" t="n">
        <x:v>1.2</x:v>
      </x:c>
      <x:c r="L1410" s="54" t="n">
        <x:f>IF(M1410=0,0,(E1410+F1410)/2)</x:f>
        <x:v>0</x:v>
      </x:c>
      <x:c r="M1410" t="n">
        <x:v>0</x:v>
      </x:c>
      <x:c r="N1410" t="n">
        <x:v>0</x:v>
      </x:c>
      <x:c r="O1410" t="n">
        <x:v>0</x:v>
      </x:c>
      <x:c r="P1410" s="63" t="str">
        <x:f>IF(M1410=0,"—",M1410&amp;"d"&amp;N1410&amp;IF(O1410=0,""," + "&amp;O1410))</x:f>
        <x:v>—</x:v>
      </x:c>
      <x:c r="Q1410" t="n">
        <x:f>ROUND(INDEX(Catalogue!E$4:E$85,MATCH(A1410,Catalogue!A$4:A$85,0))*(1+'Paramètres'!$B$4*(C1410-1)+'Paramètres'!$B$5*(C1410-1)^2),0)</x:f>
        <x:v>0</x:v>
      </x:c>
      <x:c r="R1410" t="n">
        <x:f>ROUND(INDEX(Catalogue!F$4:F$85,MATCH(A1410,Catalogue!A$4:A$85,0))*(1+'Paramètres'!$B$4*(C1410-1)+'Paramètres'!$B$5*(C1410-1)^2),0)</x:f>
        <x:v>0</x:v>
      </x:c>
      <x:c r="S1410" t="n">
        <x:f>L1410-AVERAGE(Q1410:R1410)</x:f>
        <x:v>0</x:v>
      </x:c>
      <x:c r="T1410" t="str">
        <x:f>IF(M1410=0,IF(AND(N1410=0,O1410=0,E1410=0,F1410=0),"OK","ERREUR"),IF(AND(M1410&gt;=1,M1410&lt;=32,OR(N1410=4,N1410=6,N1410=8,N1410=10,N1410=12,N1410=20),O1410&gt;=0,E1410=M1410+O1410,F1410=M1410*N1410+O1410),"OK","ERREUR"))</x:f>
        <x:v>OK</x:v>
      </x:c>
      <x:c r="U1410" s="86" t="n">
        <x:f>IF(M1410&gt;0,M1410*(N1410+1)/2+O1410,0)</x:f>
        <x:v>0</x:v>
      </x:c>
      <x:c r="V1410" t="str">
        <x:f>IF(ABS(L1410-U1410)&lt;0.001,"OK","ERREUR")</x:f>
        <x:v>OK</x:v>
      </x:c>
    </x:row>
    <x:row r="1411" ht="18" customHeight="1">
      <x:c r="A1411" t="str">
        <x:v>ARM071</x:v>
      </x:c>
      <x:c r="B1411" t="str">
        <x:v>Grimoire focaliseur</x:v>
      </x:c>
      <x:c r="C1411" t="n">
        <x:v>8</x:v>
      </x:c>
      <x:c r="D1411" t="str">
        <x:v>Focaliseurs</x:v>
      </x:c>
      <x:c r="E1411" s="28" t="n">
        <x:f>IF(M1411=0,0,M1411+O1411)</x:f>
        <x:v>0</x:v>
      </x:c>
      <x:c r="F1411" s="28" t="n">
        <x:f>IF(M1411=0,0,M1411*N1411+O1411)</x:f>
        <x:v>0</x:v>
      </x:c>
      <x:c r="G1411" s="28" t="n">
        <x:f>ROUND(Catalogue!G74*SQRT((1+'Paramètres'!$B$4*(C1411-1)+'Paramètres'!$B$5*(C1411-1)^2)),0)</x:f>
        <x:v>0</x:v>
      </x:c>
      <x:c r="H1411" s="28" t="n">
        <x:f>ROUND(Catalogue!H74*SQRT((1+'Paramètres'!$B$4*(C1411-1)+'Paramètres'!$B$5*(C1411-1)^2)),0)</x:f>
        <x:v>0</x:v>
      </x:c>
      <x:c r="I1411" s="28" t="n">
        <x:v>0</x:v>
      </x:c>
      <x:c r="J1411" s="28" t="n">
        <x:v>0</x:v>
      </x:c>
      <x:c r="K1411" s="30" t="n">
        <x:v>1.2</x:v>
      </x:c>
      <x:c r="L1411" s="54" t="n">
        <x:f>IF(M1411=0,0,(E1411+F1411)/2)</x:f>
        <x:v>0</x:v>
      </x:c>
      <x:c r="M1411" t="n">
        <x:v>0</x:v>
      </x:c>
      <x:c r="N1411" t="n">
        <x:v>0</x:v>
      </x:c>
      <x:c r="O1411" t="n">
        <x:v>0</x:v>
      </x:c>
      <x:c r="P1411" s="63" t="str">
        <x:f>IF(M1411=0,"—",M1411&amp;"d"&amp;N1411&amp;IF(O1411=0,""," + "&amp;O1411))</x:f>
        <x:v>—</x:v>
      </x:c>
      <x:c r="Q1411" t="n">
        <x:f>ROUND(INDEX(Catalogue!E$4:E$85,MATCH(A1411,Catalogue!A$4:A$85,0))*(1+'Paramètres'!$B$4*(C1411-1)+'Paramètres'!$B$5*(C1411-1)^2),0)</x:f>
        <x:v>0</x:v>
      </x:c>
      <x:c r="R1411" t="n">
        <x:f>ROUND(INDEX(Catalogue!F$4:F$85,MATCH(A1411,Catalogue!A$4:A$85,0))*(1+'Paramètres'!$B$4*(C1411-1)+'Paramètres'!$B$5*(C1411-1)^2),0)</x:f>
        <x:v>0</x:v>
      </x:c>
      <x:c r="S1411" t="n">
        <x:f>L1411-AVERAGE(Q1411:R1411)</x:f>
        <x:v>0</x:v>
      </x:c>
      <x:c r="T1411" t="str">
        <x:f>IF(M1411=0,IF(AND(N1411=0,O1411=0,E1411=0,F1411=0),"OK","ERREUR"),IF(AND(M1411&gt;=1,M1411&lt;=32,OR(N1411=4,N1411=6,N1411=8,N1411=10,N1411=12,N1411=20),O1411&gt;=0,E1411=M1411+O1411,F1411=M1411*N1411+O1411),"OK","ERREUR"))</x:f>
        <x:v>OK</x:v>
      </x:c>
      <x:c r="U1411" s="86" t="n">
        <x:f>IF(M1411&gt;0,M1411*(N1411+1)/2+O1411,0)</x:f>
        <x:v>0</x:v>
      </x:c>
      <x:c r="V1411" t="str">
        <x:f>IF(ABS(L1411-U1411)&lt;0.001,"OK","ERREUR")</x:f>
        <x:v>OK</x:v>
      </x:c>
    </x:row>
    <x:row r="1412" ht="18" customHeight="1">
      <x:c r="A1412" t="str">
        <x:v>ARM071</x:v>
      </x:c>
      <x:c r="B1412" t="str">
        <x:v>Grimoire focaliseur</x:v>
      </x:c>
      <x:c r="C1412" t="n">
        <x:v>9</x:v>
      </x:c>
      <x:c r="D1412" t="str">
        <x:v>Focaliseurs</x:v>
      </x:c>
      <x:c r="E1412" s="28" t="n">
        <x:f>IF(M1412=0,0,M1412+O1412)</x:f>
        <x:v>0</x:v>
      </x:c>
      <x:c r="F1412" s="28" t="n">
        <x:f>IF(M1412=0,0,M1412*N1412+O1412)</x:f>
        <x:v>0</x:v>
      </x:c>
      <x:c r="G1412" s="28" t="n">
        <x:f>ROUND(Catalogue!G74*SQRT((1+'Paramètres'!$B$4*(C1412-1)+'Paramètres'!$B$5*(C1412-1)^2)),0)</x:f>
        <x:v>0</x:v>
      </x:c>
      <x:c r="H1412" s="28" t="n">
        <x:f>ROUND(Catalogue!H74*SQRT((1+'Paramètres'!$B$4*(C1412-1)+'Paramètres'!$B$5*(C1412-1)^2)),0)</x:f>
        <x:v>0</x:v>
      </x:c>
      <x:c r="I1412" s="28" t="n">
        <x:v>0</x:v>
      </x:c>
      <x:c r="J1412" s="28" t="n">
        <x:v>0</x:v>
      </x:c>
      <x:c r="K1412" s="30" t="n">
        <x:v>1.2</x:v>
      </x:c>
      <x:c r="L1412" s="54" t="n">
        <x:f>IF(M1412=0,0,(E1412+F1412)/2)</x:f>
        <x:v>0</x:v>
      </x:c>
      <x:c r="M1412" t="n">
        <x:v>0</x:v>
      </x:c>
      <x:c r="N1412" t="n">
        <x:v>0</x:v>
      </x:c>
      <x:c r="O1412" t="n">
        <x:v>0</x:v>
      </x:c>
      <x:c r="P1412" s="63" t="str">
        <x:f>IF(M1412=0,"—",M1412&amp;"d"&amp;N1412&amp;IF(O1412=0,""," + "&amp;O1412))</x:f>
        <x:v>—</x:v>
      </x:c>
      <x:c r="Q1412" t="n">
        <x:f>ROUND(INDEX(Catalogue!E$4:E$85,MATCH(A1412,Catalogue!A$4:A$85,0))*(1+'Paramètres'!$B$4*(C1412-1)+'Paramètres'!$B$5*(C1412-1)^2),0)</x:f>
        <x:v>0</x:v>
      </x:c>
      <x:c r="R1412" t="n">
        <x:f>ROUND(INDEX(Catalogue!F$4:F$85,MATCH(A1412,Catalogue!A$4:A$85,0))*(1+'Paramètres'!$B$4*(C1412-1)+'Paramètres'!$B$5*(C1412-1)^2),0)</x:f>
        <x:v>0</x:v>
      </x:c>
      <x:c r="S1412" t="n">
        <x:f>L1412-AVERAGE(Q1412:R1412)</x:f>
        <x:v>0</x:v>
      </x:c>
      <x:c r="T1412" t="str">
        <x:f>IF(M1412=0,IF(AND(N1412=0,O1412=0,E1412=0,F1412=0),"OK","ERREUR"),IF(AND(M1412&gt;=1,M1412&lt;=32,OR(N1412=4,N1412=6,N1412=8,N1412=10,N1412=12,N1412=20),O1412&gt;=0,E1412=M1412+O1412,F1412=M1412*N1412+O1412),"OK","ERREUR"))</x:f>
        <x:v>OK</x:v>
      </x:c>
      <x:c r="U1412" s="86" t="n">
        <x:f>IF(M1412&gt;0,M1412*(N1412+1)/2+O1412,0)</x:f>
        <x:v>0</x:v>
      </x:c>
      <x:c r="V1412" t="str">
        <x:f>IF(ABS(L1412-U1412)&lt;0.001,"OK","ERREUR")</x:f>
        <x:v>OK</x:v>
      </x:c>
    </x:row>
    <x:row r="1413" ht="18" customHeight="1">
      <x:c r="A1413" t="str">
        <x:v>ARM071</x:v>
      </x:c>
      <x:c r="B1413" t="str">
        <x:v>Grimoire focaliseur</x:v>
      </x:c>
      <x:c r="C1413" t="n">
        <x:v>10</x:v>
      </x:c>
      <x:c r="D1413" t="str">
        <x:v>Focaliseurs</x:v>
      </x:c>
      <x:c r="E1413" s="28" t="n">
        <x:f>IF(M1413=0,0,M1413+O1413)</x:f>
        <x:v>0</x:v>
      </x:c>
      <x:c r="F1413" s="28" t="n">
        <x:f>IF(M1413=0,0,M1413*N1413+O1413)</x:f>
        <x:v>0</x:v>
      </x:c>
      <x:c r="G1413" s="28" t="n">
        <x:f>ROUND(Catalogue!G74*SQRT((1+'Paramètres'!$B$4*(C1413-1)+'Paramètres'!$B$5*(C1413-1)^2)),0)</x:f>
        <x:v>0</x:v>
      </x:c>
      <x:c r="H1413" s="28" t="n">
        <x:f>ROUND(Catalogue!H74*SQRT((1+'Paramètres'!$B$4*(C1413-1)+'Paramètres'!$B$5*(C1413-1)^2)),0)</x:f>
        <x:v>0</x:v>
      </x:c>
      <x:c r="I1413" s="28" t="n">
        <x:v>0</x:v>
      </x:c>
      <x:c r="J1413" s="28" t="n">
        <x:v>0</x:v>
      </x:c>
      <x:c r="K1413" s="30" t="n">
        <x:v>1.2</x:v>
      </x:c>
      <x:c r="L1413" s="54" t="n">
        <x:f>IF(M1413=0,0,(E1413+F1413)/2)</x:f>
        <x:v>0</x:v>
      </x:c>
      <x:c r="M1413" t="n">
        <x:v>0</x:v>
      </x:c>
      <x:c r="N1413" t="n">
        <x:v>0</x:v>
      </x:c>
      <x:c r="O1413" t="n">
        <x:v>0</x:v>
      </x:c>
      <x:c r="P1413" s="63" t="str">
        <x:f>IF(M1413=0,"—",M1413&amp;"d"&amp;N1413&amp;IF(O1413=0,""," + "&amp;O1413))</x:f>
        <x:v>—</x:v>
      </x:c>
      <x:c r="Q1413" t="n">
        <x:f>ROUND(INDEX(Catalogue!E$4:E$85,MATCH(A1413,Catalogue!A$4:A$85,0))*(1+'Paramètres'!$B$4*(C1413-1)+'Paramètres'!$B$5*(C1413-1)^2),0)</x:f>
        <x:v>0</x:v>
      </x:c>
      <x:c r="R1413" t="n">
        <x:f>ROUND(INDEX(Catalogue!F$4:F$85,MATCH(A1413,Catalogue!A$4:A$85,0))*(1+'Paramètres'!$B$4*(C1413-1)+'Paramètres'!$B$5*(C1413-1)^2),0)</x:f>
        <x:v>0</x:v>
      </x:c>
      <x:c r="S1413" t="n">
        <x:f>L1413-AVERAGE(Q1413:R1413)</x:f>
        <x:v>0</x:v>
      </x:c>
      <x:c r="T1413" t="str">
        <x:f>IF(M1413=0,IF(AND(N1413=0,O1413=0,E1413=0,F1413=0),"OK","ERREUR"),IF(AND(M1413&gt;=1,M1413&lt;=32,OR(N1413=4,N1413=6,N1413=8,N1413=10,N1413=12,N1413=20),O1413&gt;=0,E1413=M1413+O1413,F1413=M1413*N1413+O1413),"OK","ERREUR"))</x:f>
        <x:v>OK</x:v>
      </x:c>
      <x:c r="U1413" s="86" t="n">
        <x:f>IF(M1413&gt;0,M1413*(N1413+1)/2+O1413,0)</x:f>
        <x:v>0</x:v>
      </x:c>
      <x:c r="V1413" t="str">
        <x:f>IF(ABS(L1413-U1413)&lt;0.001,"OK","ERREUR")</x:f>
        <x:v>OK</x:v>
      </x:c>
    </x:row>
    <x:row r="1414" ht="18" customHeight="1">
      <x:c r="A1414" t="str">
        <x:v>ARM071</x:v>
      </x:c>
      <x:c r="B1414" t="str">
        <x:v>Grimoire focaliseur</x:v>
      </x:c>
      <x:c r="C1414" t="n">
        <x:v>11</x:v>
      </x:c>
      <x:c r="D1414" t="str">
        <x:v>Focaliseurs</x:v>
      </x:c>
      <x:c r="E1414" s="28" t="n">
        <x:f>IF(M1414=0,0,M1414+O1414)</x:f>
        <x:v>0</x:v>
      </x:c>
      <x:c r="F1414" s="28" t="n">
        <x:f>IF(M1414=0,0,M1414*N1414+O1414)</x:f>
        <x:v>0</x:v>
      </x:c>
      <x:c r="G1414" s="28" t="n">
        <x:f>ROUND(Catalogue!G74*SQRT((1+'Paramètres'!$B$4*(C1414-1)+'Paramètres'!$B$5*(C1414-1)^2)),0)</x:f>
        <x:v>0</x:v>
      </x:c>
      <x:c r="H1414" s="28" t="n">
        <x:f>ROUND(Catalogue!H74*SQRT((1+'Paramètres'!$B$4*(C1414-1)+'Paramètres'!$B$5*(C1414-1)^2)),0)</x:f>
        <x:v>0</x:v>
      </x:c>
      <x:c r="I1414" s="28" t="n">
        <x:v>0</x:v>
      </x:c>
      <x:c r="J1414" s="28" t="n">
        <x:v>0</x:v>
      </x:c>
      <x:c r="K1414" s="30" t="n">
        <x:v>1.2</x:v>
      </x:c>
      <x:c r="L1414" s="54" t="n">
        <x:f>IF(M1414=0,0,(E1414+F1414)/2)</x:f>
        <x:v>0</x:v>
      </x:c>
      <x:c r="M1414" t="n">
        <x:v>0</x:v>
      </x:c>
      <x:c r="N1414" t="n">
        <x:v>0</x:v>
      </x:c>
      <x:c r="O1414" t="n">
        <x:v>0</x:v>
      </x:c>
      <x:c r="P1414" s="63" t="str">
        <x:f>IF(M1414=0,"—",M1414&amp;"d"&amp;N1414&amp;IF(O1414=0,""," + "&amp;O1414))</x:f>
        <x:v>—</x:v>
      </x:c>
      <x:c r="Q1414" t="n">
        <x:f>ROUND(INDEX(Catalogue!E$4:E$85,MATCH(A1414,Catalogue!A$4:A$85,0))*(1+'Paramètres'!$B$4*(C1414-1)+'Paramètres'!$B$5*(C1414-1)^2),0)</x:f>
        <x:v>0</x:v>
      </x:c>
      <x:c r="R1414" t="n">
        <x:f>ROUND(INDEX(Catalogue!F$4:F$85,MATCH(A1414,Catalogue!A$4:A$85,0))*(1+'Paramètres'!$B$4*(C1414-1)+'Paramètres'!$B$5*(C1414-1)^2),0)</x:f>
        <x:v>0</x:v>
      </x:c>
      <x:c r="S1414" t="n">
        <x:f>L1414-AVERAGE(Q1414:R1414)</x:f>
        <x:v>0</x:v>
      </x:c>
      <x:c r="T1414" t="str">
        <x:f>IF(M1414=0,IF(AND(N1414=0,O1414=0,E1414=0,F1414=0),"OK","ERREUR"),IF(AND(M1414&gt;=1,M1414&lt;=32,OR(N1414=4,N1414=6,N1414=8,N1414=10,N1414=12,N1414=20),O1414&gt;=0,E1414=M1414+O1414,F1414=M1414*N1414+O1414),"OK","ERREUR"))</x:f>
        <x:v>OK</x:v>
      </x:c>
      <x:c r="U1414" s="86" t="n">
        <x:f>IF(M1414&gt;0,M1414*(N1414+1)/2+O1414,0)</x:f>
        <x:v>0</x:v>
      </x:c>
      <x:c r="V1414" t="str">
        <x:f>IF(ABS(L1414-U1414)&lt;0.001,"OK","ERREUR")</x:f>
        <x:v>OK</x:v>
      </x:c>
    </x:row>
    <x:row r="1415" ht="18" customHeight="1">
      <x:c r="A1415" t="str">
        <x:v>ARM071</x:v>
      </x:c>
      <x:c r="B1415" t="str">
        <x:v>Grimoire focaliseur</x:v>
      </x:c>
      <x:c r="C1415" t="n">
        <x:v>12</x:v>
      </x:c>
      <x:c r="D1415" t="str">
        <x:v>Focaliseurs</x:v>
      </x:c>
      <x:c r="E1415" s="28" t="n">
        <x:f>IF(M1415=0,0,M1415+O1415)</x:f>
        <x:v>0</x:v>
      </x:c>
      <x:c r="F1415" s="28" t="n">
        <x:f>IF(M1415=0,0,M1415*N1415+O1415)</x:f>
        <x:v>0</x:v>
      </x:c>
      <x:c r="G1415" s="28" t="n">
        <x:f>ROUND(Catalogue!G74*SQRT((1+'Paramètres'!$B$4*(C1415-1)+'Paramètres'!$B$5*(C1415-1)^2)),0)</x:f>
        <x:v>0</x:v>
      </x:c>
      <x:c r="H1415" s="28" t="n">
        <x:f>ROUND(Catalogue!H74*SQRT((1+'Paramètres'!$B$4*(C1415-1)+'Paramètres'!$B$5*(C1415-1)^2)),0)</x:f>
        <x:v>0</x:v>
      </x:c>
      <x:c r="I1415" s="28" t="n">
        <x:v>0</x:v>
      </x:c>
      <x:c r="J1415" s="28" t="n">
        <x:v>0</x:v>
      </x:c>
      <x:c r="K1415" s="30" t="n">
        <x:v>1.2</x:v>
      </x:c>
      <x:c r="L1415" s="54" t="n">
        <x:f>IF(M1415=0,0,(E1415+F1415)/2)</x:f>
        <x:v>0</x:v>
      </x:c>
      <x:c r="M1415" t="n">
        <x:v>0</x:v>
      </x:c>
      <x:c r="N1415" t="n">
        <x:v>0</x:v>
      </x:c>
      <x:c r="O1415" t="n">
        <x:v>0</x:v>
      </x:c>
      <x:c r="P1415" s="63" t="str">
        <x:f>IF(M1415=0,"—",M1415&amp;"d"&amp;N1415&amp;IF(O1415=0,""," + "&amp;O1415))</x:f>
        <x:v>—</x:v>
      </x:c>
      <x:c r="Q1415" t="n">
        <x:f>ROUND(INDEX(Catalogue!E$4:E$85,MATCH(A1415,Catalogue!A$4:A$85,0))*(1+'Paramètres'!$B$4*(C1415-1)+'Paramètres'!$B$5*(C1415-1)^2),0)</x:f>
        <x:v>0</x:v>
      </x:c>
      <x:c r="R1415" t="n">
        <x:f>ROUND(INDEX(Catalogue!F$4:F$85,MATCH(A1415,Catalogue!A$4:A$85,0))*(1+'Paramètres'!$B$4*(C1415-1)+'Paramètres'!$B$5*(C1415-1)^2),0)</x:f>
        <x:v>0</x:v>
      </x:c>
      <x:c r="S1415" t="n">
        <x:f>L1415-AVERAGE(Q1415:R1415)</x:f>
        <x:v>0</x:v>
      </x:c>
      <x:c r="T1415" t="str">
        <x:f>IF(M1415=0,IF(AND(N1415=0,O1415=0,E1415=0,F1415=0),"OK","ERREUR"),IF(AND(M1415&gt;=1,M1415&lt;=32,OR(N1415=4,N1415=6,N1415=8,N1415=10,N1415=12,N1415=20),O1415&gt;=0,E1415=M1415+O1415,F1415=M1415*N1415+O1415),"OK","ERREUR"))</x:f>
        <x:v>OK</x:v>
      </x:c>
      <x:c r="U1415" s="86" t="n">
        <x:f>IF(M1415&gt;0,M1415*(N1415+1)/2+O1415,0)</x:f>
        <x:v>0</x:v>
      </x:c>
      <x:c r="V1415" t="str">
        <x:f>IF(ABS(L1415-U1415)&lt;0.001,"OK","ERREUR")</x:f>
        <x:v>OK</x:v>
      </x:c>
    </x:row>
    <x:row r="1416" ht="18" customHeight="1">
      <x:c r="A1416" t="str">
        <x:v>ARM071</x:v>
      </x:c>
      <x:c r="B1416" t="str">
        <x:v>Grimoire focaliseur</x:v>
      </x:c>
      <x:c r="C1416" t="n">
        <x:v>13</x:v>
      </x:c>
      <x:c r="D1416" t="str">
        <x:v>Focaliseurs</x:v>
      </x:c>
      <x:c r="E1416" s="28" t="n">
        <x:f>IF(M1416=0,0,M1416+O1416)</x:f>
        <x:v>0</x:v>
      </x:c>
      <x:c r="F1416" s="28" t="n">
        <x:f>IF(M1416=0,0,M1416*N1416+O1416)</x:f>
        <x:v>0</x:v>
      </x:c>
      <x:c r="G1416" s="28" t="n">
        <x:f>ROUND(Catalogue!G74*SQRT((1+'Paramètres'!$B$4*(C1416-1)+'Paramètres'!$B$5*(C1416-1)^2)),0)</x:f>
        <x:v>0</x:v>
      </x:c>
      <x:c r="H1416" s="28" t="n">
        <x:f>ROUND(Catalogue!H74*SQRT((1+'Paramètres'!$B$4*(C1416-1)+'Paramètres'!$B$5*(C1416-1)^2)),0)</x:f>
        <x:v>0</x:v>
      </x:c>
      <x:c r="I1416" s="28" t="n">
        <x:v>0</x:v>
      </x:c>
      <x:c r="J1416" s="28" t="n">
        <x:v>0</x:v>
      </x:c>
      <x:c r="K1416" s="30" t="n">
        <x:v>1.2</x:v>
      </x:c>
      <x:c r="L1416" s="54" t="n">
        <x:f>IF(M1416=0,0,(E1416+F1416)/2)</x:f>
        <x:v>0</x:v>
      </x:c>
      <x:c r="M1416" t="n">
        <x:v>0</x:v>
      </x:c>
      <x:c r="N1416" t="n">
        <x:v>0</x:v>
      </x:c>
      <x:c r="O1416" t="n">
        <x:v>0</x:v>
      </x:c>
      <x:c r="P1416" s="63" t="str">
        <x:f>IF(M1416=0,"—",M1416&amp;"d"&amp;N1416&amp;IF(O1416=0,""," + "&amp;O1416))</x:f>
        <x:v>—</x:v>
      </x:c>
      <x:c r="Q1416" t="n">
        <x:f>ROUND(INDEX(Catalogue!E$4:E$85,MATCH(A1416,Catalogue!A$4:A$85,0))*(1+'Paramètres'!$B$4*(C1416-1)+'Paramètres'!$B$5*(C1416-1)^2),0)</x:f>
        <x:v>0</x:v>
      </x:c>
      <x:c r="R1416" t="n">
        <x:f>ROUND(INDEX(Catalogue!F$4:F$85,MATCH(A1416,Catalogue!A$4:A$85,0))*(1+'Paramètres'!$B$4*(C1416-1)+'Paramètres'!$B$5*(C1416-1)^2),0)</x:f>
        <x:v>0</x:v>
      </x:c>
      <x:c r="S1416" t="n">
        <x:f>L1416-AVERAGE(Q1416:R1416)</x:f>
        <x:v>0</x:v>
      </x:c>
      <x:c r="T1416" t="str">
        <x:f>IF(M1416=0,IF(AND(N1416=0,O1416=0,E1416=0,F1416=0),"OK","ERREUR"),IF(AND(M1416&gt;=1,M1416&lt;=32,OR(N1416=4,N1416=6,N1416=8,N1416=10,N1416=12,N1416=20),O1416&gt;=0,E1416=M1416+O1416,F1416=M1416*N1416+O1416),"OK","ERREUR"))</x:f>
        <x:v>OK</x:v>
      </x:c>
      <x:c r="U1416" s="86" t="n">
        <x:f>IF(M1416&gt;0,M1416*(N1416+1)/2+O1416,0)</x:f>
        <x:v>0</x:v>
      </x:c>
      <x:c r="V1416" t="str">
        <x:f>IF(ABS(L1416-U1416)&lt;0.001,"OK","ERREUR")</x:f>
        <x:v>OK</x:v>
      </x:c>
    </x:row>
    <x:row r="1417" ht="18" customHeight="1">
      <x:c r="A1417" t="str">
        <x:v>ARM071</x:v>
      </x:c>
      <x:c r="B1417" t="str">
        <x:v>Grimoire focaliseur</x:v>
      </x:c>
      <x:c r="C1417" t="n">
        <x:v>14</x:v>
      </x:c>
      <x:c r="D1417" t="str">
        <x:v>Focaliseurs</x:v>
      </x:c>
      <x:c r="E1417" s="28" t="n">
        <x:f>IF(M1417=0,0,M1417+O1417)</x:f>
        <x:v>0</x:v>
      </x:c>
      <x:c r="F1417" s="28" t="n">
        <x:f>IF(M1417=0,0,M1417*N1417+O1417)</x:f>
        <x:v>0</x:v>
      </x:c>
      <x:c r="G1417" s="28" t="n">
        <x:f>ROUND(Catalogue!G74*SQRT((1+'Paramètres'!$B$4*(C1417-1)+'Paramètres'!$B$5*(C1417-1)^2)),0)</x:f>
        <x:v>0</x:v>
      </x:c>
      <x:c r="H1417" s="28" t="n">
        <x:f>ROUND(Catalogue!H74*SQRT((1+'Paramètres'!$B$4*(C1417-1)+'Paramètres'!$B$5*(C1417-1)^2)),0)</x:f>
        <x:v>0</x:v>
      </x:c>
      <x:c r="I1417" s="28" t="n">
        <x:v>0</x:v>
      </x:c>
      <x:c r="J1417" s="28" t="n">
        <x:v>0</x:v>
      </x:c>
      <x:c r="K1417" s="30" t="n">
        <x:v>1.2</x:v>
      </x:c>
      <x:c r="L1417" s="54" t="n">
        <x:f>IF(M1417=0,0,(E1417+F1417)/2)</x:f>
        <x:v>0</x:v>
      </x:c>
      <x:c r="M1417" t="n">
        <x:v>0</x:v>
      </x:c>
      <x:c r="N1417" t="n">
        <x:v>0</x:v>
      </x:c>
      <x:c r="O1417" t="n">
        <x:v>0</x:v>
      </x:c>
      <x:c r="P1417" s="63" t="str">
        <x:f>IF(M1417=0,"—",M1417&amp;"d"&amp;N1417&amp;IF(O1417=0,""," + "&amp;O1417))</x:f>
        <x:v>—</x:v>
      </x:c>
      <x:c r="Q1417" t="n">
        <x:f>ROUND(INDEX(Catalogue!E$4:E$85,MATCH(A1417,Catalogue!A$4:A$85,0))*(1+'Paramètres'!$B$4*(C1417-1)+'Paramètres'!$B$5*(C1417-1)^2),0)</x:f>
        <x:v>0</x:v>
      </x:c>
      <x:c r="R1417" t="n">
        <x:f>ROUND(INDEX(Catalogue!F$4:F$85,MATCH(A1417,Catalogue!A$4:A$85,0))*(1+'Paramètres'!$B$4*(C1417-1)+'Paramètres'!$B$5*(C1417-1)^2),0)</x:f>
        <x:v>0</x:v>
      </x:c>
      <x:c r="S1417" t="n">
        <x:f>L1417-AVERAGE(Q1417:R1417)</x:f>
        <x:v>0</x:v>
      </x:c>
      <x:c r="T1417" t="str">
        <x:f>IF(M1417=0,IF(AND(N1417=0,O1417=0,E1417=0,F1417=0),"OK","ERREUR"),IF(AND(M1417&gt;=1,M1417&lt;=32,OR(N1417=4,N1417=6,N1417=8,N1417=10,N1417=12,N1417=20),O1417&gt;=0,E1417=M1417+O1417,F1417=M1417*N1417+O1417),"OK","ERREUR"))</x:f>
        <x:v>OK</x:v>
      </x:c>
      <x:c r="U1417" s="86" t="n">
        <x:f>IF(M1417&gt;0,M1417*(N1417+1)/2+O1417,0)</x:f>
        <x:v>0</x:v>
      </x:c>
      <x:c r="V1417" t="str">
        <x:f>IF(ABS(L1417-U1417)&lt;0.001,"OK","ERREUR")</x:f>
        <x:v>OK</x:v>
      </x:c>
    </x:row>
    <x:row r="1418" ht="18" customHeight="1">
      <x:c r="A1418" t="str">
        <x:v>ARM071</x:v>
      </x:c>
      <x:c r="B1418" t="str">
        <x:v>Grimoire focaliseur</x:v>
      </x:c>
      <x:c r="C1418" t="n">
        <x:v>15</x:v>
      </x:c>
      <x:c r="D1418" t="str">
        <x:v>Focaliseurs</x:v>
      </x:c>
      <x:c r="E1418" s="28" t="n">
        <x:f>IF(M1418=0,0,M1418+O1418)</x:f>
        <x:v>0</x:v>
      </x:c>
      <x:c r="F1418" s="28" t="n">
        <x:f>IF(M1418=0,0,M1418*N1418+O1418)</x:f>
        <x:v>0</x:v>
      </x:c>
      <x:c r="G1418" s="28" t="n">
        <x:f>ROUND(Catalogue!G74*SQRT((1+'Paramètres'!$B$4*(C1418-1)+'Paramètres'!$B$5*(C1418-1)^2)),0)</x:f>
        <x:v>0</x:v>
      </x:c>
      <x:c r="H1418" s="28" t="n">
        <x:f>ROUND(Catalogue!H74*SQRT((1+'Paramètres'!$B$4*(C1418-1)+'Paramètres'!$B$5*(C1418-1)^2)),0)</x:f>
        <x:v>0</x:v>
      </x:c>
      <x:c r="I1418" s="28" t="n">
        <x:v>0</x:v>
      </x:c>
      <x:c r="J1418" s="28" t="n">
        <x:v>0</x:v>
      </x:c>
      <x:c r="K1418" s="30" t="n">
        <x:v>1.2</x:v>
      </x:c>
      <x:c r="L1418" s="54" t="n">
        <x:f>IF(M1418=0,0,(E1418+F1418)/2)</x:f>
        <x:v>0</x:v>
      </x:c>
      <x:c r="M1418" t="n">
        <x:v>0</x:v>
      </x:c>
      <x:c r="N1418" t="n">
        <x:v>0</x:v>
      </x:c>
      <x:c r="O1418" t="n">
        <x:v>0</x:v>
      </x:c>
      <x:c r="P1418" s="63" t="str">
        <x:f>IF(M1418=0,"—",M1418&amp;"d"&amp;N1418&amp;IF(O1418=0,""," + "&amp;O1418))</x:f>
        <x:v>—</x:v>
      </x:c>
      <x:c r="Q1418" t="n">
        <x:f>ROUND(INDEX(Catalogue!E$4:E$85,MATCH(A1418,Catalogue!A$4:A$85,0))*(1+'Paramètres'!$B$4*(C1418-1)+'Paramètres'!$B$5*(C1418-1)^2),0)</x:f>
        <x:v>0</x:v>
      </x:c>
      <x:c r="R1418" t="n">
        <x:f>ROUND(INDEX(Catalogue!F$4:F$85,MATCH(A1418,Catalogue!A$4:A$85,0))*(1+'Paramètres'!$B$4*(C1418-1)+'Paramètres'!$B$5*(C1418-1)^2),0)</x:f>
        <x:v>0</x:v>
      </x:c>
      <x:c r="S1418" t="n">
        <x:f>L1418-AVERAGE(Q1418:R1418)</x:f>
        <x:v>0</x:v>
      </x:c>
      <x:c r="T1418" t="str">
        <x:f>IF(M1418=0,IF(AND(N1418=0,O1418=0,E1418=0,F1418=0),"OK","ERREUR"),IF(AND(M1418&gt;=1,M1418&lt;=32,OR(N1418=4,N1418=6,N1418=8,N1418=10,N1418=12,N1418=20),O1418&gt;=0,E1418=M1418+O1418,F1418=M1418*N1418+O1418),"OK","ERREUR"))</x:f>
        <x:v>OK</x:v>
      </x:c>
      <x:c r="U1418" s="86" t="n">
        <x:f>IF(M1418&gt;0,M1418*(N1418+1)/2+O1418,0)</x:f>
        <x:v>0</x:v>
      </x:c>
      <x:c r="V1418" t="str">
        <x:f>IF(ABS(L1418-U1418)&lt;0.001,"OK","ERREUR")</x:f>
        <x:v>OK</x:v>
      </x:c>
    </x:row>
    <x:row r="1419" ht="18" customHeight="1">
      <x:c r="A1419" t="str">
        <x:v>ARM071</x:v>
      </x:c>
      <x:c r="B1419" t="str">
        <x:v>Grimoire focaliseur</x:v>
      </x:c>
      <x:c r="C1419" t="n">
        <x:v>16</x:v>
      </x:c>
      <x:c r="D1419" t="str">
        <x:v>Focaliseurs</x:v>
      </x:c>
      <x:c r="E1419" s="28" t="n">
        <x:f>IF(M1419=0,0,M1419+O1419)</x:f>
        <x:v>0</x:v>
      </x:c>
      <x:c r="F1419" s="28" t="n">
        <x:f>IF(M1419=0,0,M1419*N1419+O1419)</x:f>
        <x:v>0</x:v>
      </x:c>
      <x:c r="G1419" s="28" t="n">
        <x:f>ROUND(Catalogue!G74*SQRT((1+'Paramètres'!$B$4*(C1419-1)+'Paramètres'!$B$5*(C1419-1)^2)),0)</x:f>
        <x:v>0</x:v>
      </x:c>
      <x:c r="H1419" s="28" t="n">
        <x:f>ROUND(Catalogue!H74*SQRT((1+'Paramètres'!$B$4*(C1419-1)+'Paramètres'!$B$5*(C1419-1)^2)),0)</x:f>
        <x:v>0</x:v>
      </x:c>
      <x:c r="I1419" s="28" t="n">
        <x:v>0</x:v>
      </x:c>
      <x:c r="J1419" s="28" t="n">
        <x:v>0</x:v>
      </x:c>
      <x:c r="K1419" s="30" t="n">
        <x:v>1.2</x:v>
      </x:c>
      <x:c r="L1419" s="54" t="n">
        <x:f>IF(M1419=0,0,(E1419+F1419)/2)</x:f>
        <x:v>0</x:v>
      </x:c>
      <x:c r="M1419" t="n">
        <x:v>0</x:v>
      </x:c>
      <x:c r="N1419" t="n">
        <x:v>0</x:v>
      </x:c>
      <x:c r="O1419" t="n">
        <x:v>0</x:v>
      </x:c>
      <x:c r="P1419" s="63" t="str">
        <x:f>IF(M1419=0,"—",M1419&amp;"d"&amp;N1419&amp;IF(O1419=0,""," + "&amp;O1419))</x:f>
        <x:v>—</x:v>
      </x:c>
      <x:c r="Q1419" t="n">
        <x:f>ROUND(INDEX(Catalogue!E$4:E$85,MATCH(A1419,Catalogue!A$4:A$85,0))*(1+'Paramètres'!$B$4*(C1419-1)+'Paramètres'!$B$5*(C1419-1)^2),0)</x:f>
        <x:v>0</x:v>
      </x:c>
      <x:c r="R1419" t="n">
        <x:f>ROUND(INDEX(Catalogue!F$4:F$85,MATCH(A1419,Catalogue!A$4:A$85,0))*(1+'Paramètres'!$B$4*(C1419-1)+'Paramètres'!$B$5*(C1419-1)^2),0)</x:f>
        <x:v>0</x:v>
      </x:c>
      <x:c r="S1419" t="n">
        <x:f>L1419-AVERAGE(Q1419:R1419)</x:f>
        <x:v>0</x:v>
      </x:c>
      <x:c r="T1419" t="str">
        <x:f>IF(M1419=0,IF(AND(N1419=0,O1419=0,E1419=0,F1419=0),"OK","ERREUR"),IF(AND(M1419&gt;=1,M1419&lt;=32,OR(N1419=4,N1419=6,N1419=8,N1419=10,N1419=12,N1419=20),O1419&gt;=0,E1419=M1419+O1419,F1419=M1419*N1419+O1419),"OK","ERREUR"))</x:f>
        <x:v>OK</x:v>
      </x:c>
      <x:c r="U1419" s="86" t="n">
        <x:f>IF(M1419&gt;0,M1419*(N1419+1)/2+O1419,0)</x:f>
        <x:v>0</x:v>
      </x:c>
      <x:c r="V1419" t="str">
        <x:f>IF(ABS(L1419-U1419)&lt;0.001,"OK","ERREUR")</x:f>
        <x:v>OK</x:v>
      </x:c>
    </x:row>
    <x:row r="1420" ht="18" customHeight="1">
      <x:c r="A1420" t="str">
        <x:v>ARM071</x:v>
      </x:c>
      <x:c r="B1420" t="str">
        <x:v>Grimoire focaliseur</x:v>
      </x:c>
      <x:c r="C1420" t="n">
        <x:v>17</x:v>
      </x:c>
      <x:c r="D1420" t="str">
        <x:v>Focaliseurs</x:v>
      </x:c>
      <x:c r="E1420" s="28" t="n">
        <x:f>IF(M1420=0,0,M1420+O1420)</x:f>
        <x:v>0</x:v>
      </x:c>
      <x:c r="F1420" s="28" t="n">
        <x:f>IF(M1420=0,0,M1420*N1420+O1420)</x:f>
        <x:v>0</x:v>
      </x:c>
      <x:c r="G1420" s="28" t="n">
        <x:f>ROUND(Catalogue!G74*SQRT((1+'Paramètres'!$B$4*(C1420-1)+'Paramètres'!$B$5*(C1420-1)^2)),0)</x:f>
        <x:v>0</x:v>
      </x:c>
      <x:c r="H1420" s="28" t="n">
        <x:f>ROUND(Catalogue!H74*SQRT((1+'Paramètres'!$B$4*(C1420-1)+'Paramètres'!$B$5*(C1420-1)^2)),0)</x:f>
        <x:v>0</x:v>
      </x:c>
      <x:c r="I1420" s="28" t="n">
        <x:v>0</x:v>
      </x:c>
      <x:c r="J1420" s="28" t="n">
        <x:v>0</x:v>
      </x:c>
      <x:c r="K1420" s="30" t="n">
        <x:v>1.2</x:v>
      </x:c>
      <x:c r="L1420" s="54" t="n">
        <x:f>IF(M1420=0,0,(E1420+F1420)/2)</x:f>
        <x:v>0</x:v>
      </x:c>
      <x:c r="M1420" t="n">
        <x:v>0</x:v>
      </x:c>
      <x:c r="N1420" t="n">
        <x:v>0</x:v>
      </x:c>
      <x:c r="O1420" t="n">
        <x:v>0</x:v>
      </x:c>
      <x:c r="P1420" s="63" t="str">
        <x:f>IF(M1420=0,"—",M1420&amp;"d"&amp;N1420&amp;IF(O1420=0,""," + "&amp;O1420))</x:f>
        <x:v>—</x:v>
      </x:c>
      <x:c r="Q1420" t="n">
        <x:f>ROUND(INDEX(Catalogue!E$4:E$85,MATCH(A1420,Catalogue!A$4:A$85,0))*(1+'Paramètres'!$B$4*(C1420-1)+'Paramètres'!$B$5*(C1420-1)^2),0)</x:f>
        <x:v>0</x:v>
      </x:c>
      <x:c r="R1420" t="n">
        <x:f>ROUND(INDEX(Catalogue!F$4:F$85,MATCH(A1420,Catalogue!A$4:A$85,0))*(1+'Paramètres'!$B$4*(C1420-1)+'Paramètres'!$B$5*(C1420-1)^2),0)</x:f>
        <x:v>0</x:v>
      </x:c>
      <x:c r="S1420" t="n">
        <x:f>L1420-AVERAGE(Q1420:R1420)</x:f>
        <x:v>0</x:v>
      </x:c>
      <x:c r="T1420" t="str">
        <x:f>IF(M1420=0,IF(AND(N1420=0,O1420=0,E1420=0,F1420=0),"OK","ERREUR"),IF(AND(M1420&gt;=1,M1420&lt;=32,OR(N1420=4,N1420=6,N1420=8,N1420=10,N1420=12,N1420=20),O1420&gt;=0,E1420=M1420+O1420,F1420=M1420*N1420+O1420),"OK","ERREUR"))</x:f>
        <x:v>OK</x:v>
      </x:c>
      <x:c r="U1420" s="86" t="n">
        <x:f>IF(M1420&gt;0,M1420*(N1420+1)/2+O1420,0)</x:f>
        <x:v>0</x:v>
      </x:c>
      <x:c r="V1420" t="str">
        <x:f>IF(ABS(L1420-U1420)&lt;0.001,"OK","ERREUR")</x:f>
        <x:v>OK</x:v>
      </x:c>
    </x:row>
    <x:row r="1421" ht="18" customHeight="1">
      <x:c r="A1421" t="str">
        <x:v>ARM071</x:v>
      </x:c>
      <x:c r="B1421" t="str">
        <x:v>Grimoire focaliseur</x:v>
      </x:c>
      <x:c r="C1421" t="n">
        <x:v>18</x:v>
      </x:c>
      <x:c r="D1421" t="str">
        <x:v>Focaliseurs</x:v>
      </x:c>
      <x:c r="E1421" s="28" t="n">
        <x:f>IF(M1421=0,0,M1421+O1421)</x:f>
        <x:v>0</x:v>
      </x:c>
      <x:c r="F1421" s="28" t="n">
        <x:f>IF(M1421=0,0,M1421*N1421+O1421)</x:f>
        <x:v>0</x:v>
      </x:c>
      <x:c r="G1421" s="28" t="n">
        <x:f>ROUND(Catalogue!G74*SQRT((1+'Paramètres'!$B$4*(C1421-1)+'Paramètres'!$B$5*(C1421-1)^2)),0)</x:f>
        <x:v>0</x:v>
      </x:c>
      <x:c r="H1421" s="28" t="n">
        <x:f>ROUND(Catalogue!H74*SQRT((1+'Paramètres'!$B$4*(C1421-1)+'Paramètres'!$B$5*(C1421-1)^2)),0)</x:f>
        <x:v>0</x:v>
      </x:c>
      <x:c r="I1421" s="28" t="n">
        <x:v>0</x:v>
      </x:c>
      <x:c r="J1421" s="28" t="n">
        <x:v>0</x:v>
      </x:c>
      <x:c r="K1421" s="30" t="n">
        <x:v>1.2</x:v>
      </x:c>
      <x:c r="L1421" s="54" t="n">
        <x:f>IF(M1421=0,0,(E1421+F1421)/2)</x:f>
        <x:v>0</x:v>
      </x:c>
      <x:c r="M1421" t="n">
        <x:v>0</x:v>
      </x:c>
      <x:c r="N1421" t="n">
        <x:v>0</x:v>
      </x:c>
      <x:c r="O1421" t="n">
        <x:v>0</x:v>
      </x:c>
      <x:c r="P1421" s="63" t="str">
        <x:f>IF(M1421=0,"—",M1421&amp;"d"&amp;N1421&amp;IF(O1421=0,""," + "&amp;O1421))</x:f>
        <x:v>—</x:v>
      </x:c>
      <x:c r="Q1421" t="n">
        <x:f>ROUND(INDEX(Catalogue!E$4:E$85,MATCH(A1421,Catalogue!A$4:A$85,0))*(1+'Paramètres'!$B$4*(C1421-1)+'Paramètres'!$B$5*(C1421-1)^2),0)</x:f>
        <x:v>0</x:v>
      </x:c>
      <x:c r="R1421" t="n">
        <x:f>ROUND(INDEX(Catalogue!F$4:F$85,MATCH(A1421,Catalogue!A$4:A$85,0))*(1+'Paramètres'!$B$4*(C1421-1)+'Paramètres'!$B$5*(C1421-1)^2),0)</x:f>
        <x:v>0</x:v>
      </x:c>
      <x:c r="S1421" t="n">
        <x:f>L1421-AVERAGE(Q1421:R1421)</x:f>
        <x:v>0</x:v>
      </x:c>
      <x:c r="T1421" t="str">
        <x:f>IF(M1421=0,IF(AND(N1421=0,O1421=0,E1421=0,F1421=0),"OK","ERREUR"),IF(AND(M1421&gt;=1,M1421&lt;=32,OR(N1421=4,N1421=6,N1421=8,N1421=10,N1421=12,N1421=20),O1421&gt;=0,E1421=M1421+O1421,F1421=M1421*N1421+O1421),"OK","ERREUR"))</x:f>
        <x:v>OK</x:v>
      </x:c>
      <x:c r="U1421" s="86" t="n">
        <x:f>IF(M1421&gt;0,M1421*(N1421+1)/2+O1421,0)</x:f>
        <x:v>0</x:v>
      </x:c>
      <x:c r="V1421" t="str">
        <x:f>IF(ABS(L1421-U1421)&lt;0.001,"OK","ERREUR")</x:f>
        <x:v>OK</x:v>
      </x:c>
    </x:row>
    <x:row r="1422" ht="18" customHeight="1">
      <x:c r="A1422" t="str">
        <x:v>ARM071</x:v>
      </x:c>
      <x:c r="B1422" t="str">
        <x:v>Grimoire focaliseur</x:v>
      </x:c>
      <x:c r="C1422" t="n">
        <x:v>19</x:v>
      </x:c>
      <x:c r="D1422" t="str">
        <x:v>Focaliseurs</x:v>
      </x:c>
      <x:c r="E1422" s="28" t="n">
        <x:f>IF(M1422=0,0,M1422+O1422)</x:f>
        <x:v>0</x:v>
      </x:c>
      <x:c r="F1422" s="28" t="n">
        <x:f>IF(M1422=0,0,M1422*N1422+O1422)</x:f>
        <x:v>0</x:v>
      </x:c>
      <x:c r="G1422" s="28" t="n">
        <x:f>ROUND(Catalogue!G74*SQRT((1+'Paramètres'!$B$4*(C1422-1)+'Paramètres'!$B$5*(C1422-1)^2)),0)</x:f>
        <x:v>0</x:v>
      </x:c>
      <x:c r="H1422" s="28" t="n">
        <x:f>ROUND(Catalogue!H74*SQRT((1+'Paramètres'!$B$4*(C1422-1)+'Paramètres'!$B$5*(C1422-1)^2)),0)</x:f>
        <x:v>0</x:v>
      </x:c>
      <x:c r="I1422" s="28" t="n">
        <x:v>0</x:v>
      </x:c>
      <x:c r="J1422" s="28" t="n">
        <x:v>0</x:v>
      </x:c>
      <x:c r="K1422" s="30" t="n">
        <x:v>1.2</x:v>
      </x:c>
      <x:c r="L1422" s="54" t="n">
        <x:f>IF(M1422=0,0,(E1422+F1422)/2)</x:f>
        <x:v>0</x:v>
      </x:c>
      <x:c r="M1422" t="n">
        <x:v>0</x:v>
      </x:c>
      <x:c r="N1422" t="n">
        <x:v>0</x:v>
      </x:c>
      <x:c r="O1422" t="n">
        <x:v>0</x:v>
      </x:c>
      <x:c r="P1422" s="63" t="str">
        <x:f>IF(M1422=0,"—",M1422&amp;"d"&amp;N1422&amp;IF(O1422=0,""," + "&amp;O1422))</x:f>
        <x:v>—</x:v>
      </x:c>
      <x:c r="Q1422" t="n">
        <x:f>ROUND(INDEX(Catalogue!E$4:E$85,MATCH(A1422,Catalogue!A$4:A$85,0))*(1+'Paramètres'!$B$4*(C1422-1)+'Paramètres'!$B$5*(C1422-1)^2),0)</x:f>
        <x:v>0</x:v>
      </x:c>
      <x:c r="R1422" t="n">
        <x:f>ROUND(INDEX(Catalogue!F$4:F$85,MATCH(A1422,Catalogue!A$4:A$85,0))*(1+'Paramètres'!$B$4*(C1422-1)+'Paramètres'!$B$5*(C1422-1)^2),0)</x:f>
        <x:v>0</x:v>
      </x:c>
      <x:c r="S1422" t="n">
        <x:f>L1422-AVERAGE(Q1422:R1422)</x:f>
        <x:v>0</x:v>
      </x:c>
      <x:c r="T1422" t="str">
        <x:f>IF(M1422=0,IF(AND(N1422=0,O1422=0,E1422=0,F1422=0),"OK","ERREUR"),IF(AND(M1422&gt;=1,M1422&lt;=32,OR(N1422=4,N1422=6,N1422=8,N1422=10,N1422=12,N1422=20),O1422&gt;=0,E1422=M1422+O1422,F1422=M1422*N1422+O1422),"OK","ERREUR"))</x:f>
        <x:v>OK</x:v>
      </x:c>
      <x:c r="U1422" s="86" t="n">
        <x:f>IF(M1422&gt;0,M1422*(N1422+1)/2+O1422,0)</x:f>
        <x:v>0</x:v>
      </x:c>
      <x:c r="V1422" t="str">
        <x:f>IF(ABS(L1422-U1422)&lt;0.001,"OK","ERREUR")</x:f>
        <x:v>OK</x:v>
      </x:c>
    </x:row>
    <x:row r="1423" ht="18" customHeight="1">
      <x:c r="A1423" t="str">
        <x:v>ARM071</x:v>
      </x:c>
      <x:c r="B1423" t="str">
        <x:v>Grimoire focaliseur</x:v>
      </x:c>
      <x:c r="C1423" t="n">
        <x:v>20</x:v>
      </x:c>
      <x:c r="D1423" t="str">
        <x:v>Focaliseurs</x:v>
      </x:c>
      <x:c r="E1423" s="28" t="n">
        <x:f>IF(M1423=0,0,M1423+O1423)</x:f>
        <x:v>0</x:v>
      </x:c>
      <x:c r="F1423" s="28" t="n">
        <x:f>IF(M1423=0,0,M1423*N1423+O1423)</x:f>
        <x:v>0</x:v>
      </x:c>
      <x:c r="G1423" s="28" t="n">
        <x:f>ROUND(Catalogue!G74*SQRT((1+'Paramètres'!$B$4*(C1423-1)+'Paramètres'!$B$5*(C1423-1)^2)),0)</x:f>
        <x:v>0</x:v>
      </x:c>
      <x:c r="H1423" s="28" t="n">
        <x:f>ROUND(Catalogue!H74*SQRT((1+'Paramètres'!$B$4*(C1423-1)+'Paramètres'!$B$5*(C1423-1)^2)),0)</x:f>
        <x:v>0</x:v>
      </x:c>
      <x:c r="I1423" s="28" t="n">
        <x:v>0</x:v>
      </x:c>
      <x:c r="J1423" s="28" t="n">
        <x:v>0</x:v>
      </x:c>
      <x:c r="K1423" s="30" t="n">
        <x:v>1.2</x:v>
      </x:c>
      <x:c r="L1423" s="54" t="n">
        <x:f>IF(M1423=0,0,(E1423+F1423)/2)</x:f>
        <x:v>0</x:v>
      </x:c>
      <x:c r="M1423" t="n">
        <x:v>0</x:v>
      </x:c>
      <x:c r="N1423" t="n">
        <x:v>0</x:v>
      </x:c>
      <x:c r="O1423" t="n">
        <x:v>0</x:v>
      </x:c>
      <x:c r="P1423" s="63" t="str">
        <x:f>IF(M1423=0,"—",M1423&amp;"d"&amp;N1423&amp;IF(O1423=0,""," + "&amp;O1423))</x:f>
        <x:v>—</x:v>
      </x:c>
      <x:c r="Q1423" t="n">
        <x:f>ROUND(INDEX(Catalogue!E$4:E$85,MATCH(A1423,Catalogue!A$4:A$85,0))*(1+'Paramètres'!$B$4*(C1423-1)+'Paramètres'!$B$5*(C1423-1)^2),0)</x:f>
        <x:v>0</x:v>
      </x:c>
      <x:c r="R1423" t="n">
        <x:f>ROUND(INDEX(Catalogue!F$4:F$85,MATCH(A1423,Catalogue!A$4:A$85,0))*(1+'Paramètres'!$B$4*(C1423-1)+'Paramètres'!$B$5*(C1423-1)^2),0)</x:f>
        <x:v>0</x:v>
      </x:c>
      <x:c r="S1423" t="n">
        <x:f>L1423-AVERAGE(Q1423:R1423)</x:f>
        <x:v>0</x:v>
      </x:c>
      <x:c r="T1423" t="str">
        <x:f>IF(M1423=0,IF(AND(N1423=0,O1423=0,E1423=0,F1423=0),"OK","ERREUR"),IF(AND(M1423&gt;=1,M1423&lt;=32,OR(N1423=4,N1423=6,N1423=8,N1423=10,N1423=12,N1423=20),O1423&gt;=0,E1423=M1423+O1423,F1423=M1423*N1423+O1423),"OK","ERREUR"))</x:f>
        <x:v>OK</x:v>
      </x:c>
      <x:c r="U1423" s="86" t="n">
        <x:f>IF(M1423&gt;0,M1423*(N1423+1)/2+O1423,0)</x:f>
        <x:v>0</x:v>
      </x:c>
      <x:c r="V1423" t="str">
        <x:f>IF(ABS(L1423-U1423)&lt;0.001,"OK","ERREUR")</x:f>
        <x:v>OK</x:v>
      </x:c>
    </x:row>
    <x:row r="1424" ht="18" customHeight="1">
      <x:c r="A1424" t="str">
        <x:v>ARM072</x:v>
      </x:c>
      <x:c r="B1424" t="str">
        <x:v>Rondache</x:v>
      </x:c>
      <x:c r="C1424" t="n">
        <x:v>1</x:v>
      </x:c>
      <x:c r="D1424" t="str">
        <x:v>Boucliers</x:v>
      </x:c>
      <x:c r="E1424" s="28" t="n">
        <x:f>IF(M1424=0,0,M1424+O1424)</x:f>
        <x:v>0</x:v>
      </x:c>
      <x:c r="F1424" s="28" t="n">
        <x:f>IF(M1424=0,0,M1424*N1424+O1424)</x:f>
        <x:v>0</x:v>
      </x:c>
      <x:c r="G1424" s="28" t="n">
        <x:f>ROUND(Catalogue!G75*SQRT((1+'Paramètres'!$B$4*(C1424-1)+'Paramètres'!$B$5*(C1424-1)^2)),0)</x:f>
        <x:v>2</x:v>
      </x:c>
      <x:c r="H1424" s="28" t="n">
        <x:f>ROUND(Catalogue!H75*SQRT((1+'Paramètres'!$B$4*(C1424-1)+'Paramètres'!$B$5*(C1424-1)^2)),0)</x:f>
        <x:v>0</x:v>
      </x:c>
      <x:c r="I1424" s="28" t="n">
        <x:v>0</x:v>
      </x:c>
      <x:c r="J1424" s="28" t="n">
        <x:v>0</x:v>
      </x:c>
      <x:c r="K1424" s="30" t="n">
        <x:v>1.1</x:v>
      </x:c>
      <x:c r="L1424" s="54" t="n">
        <x:f>IF(M1424=0,0,(E1424+F1424)/2)</x:f>
        <x:v>0</x:v>
      </x:c>
      <x:c r="M1424" t="n">
        <x:v>0</x:v>
      </x:c>
      <x:c r="N1424" t="n">
        <x:v>0</x:v>
      </x:c>
      <x:c r="O1424" t="n">
        <x:v>0</x:v>
      </x:c>
      <x:c r="P1424" s="63" t="str">
        <x:f>IF(M1424=0,"—",M1424&amp;"d"&amp;N1424&amp;IF(O1424=0,""," + "&amp;O1424))</x:f>
        <x:v>—</x:v>
      </x:c>
      <x:c r="Q1424" t="n">
        <x:f>ROUND(INDEX(Catalogue!E$4:E$85,MATCH(A1424,Catalogue!A$4:A$85,0))*(1+'Paramètres'!$B$4*(C1424-1)+'Paramètres'!$B$5*(C1424-1)^2),0)</x:f>
        <x:v>0</x:v>
      </x:c>
      <x:c r="R1424" t="n">
        <x:f>ROUND(INDEX(Catalogue!F$4:F$85,MATCH(A1424,Catalogue!A$4:A$85,0))*(1+'Paramètres'!$B$4*(C1424-1)+'Paramètres'!$B$5*(C1424-1)^2),0)</x:f>
        <x:v>0</x:v>
      </x:c>
      <x:c r="S1424" t="n">
        <x:f>L1424-AVERAGE(Q1424:R1424)</x:f>
        <x:v>0</x:v>
      </x:c>
      <x:c r="T1424" t="str">
        <x:f>IF(M1424=0,IF(AND(N1424=0,O1424=0,E1424=0,F1424=0),"OK","ERREUR"),IF(AND(M1424&gt;=1,M1424&lt;=32,OR(N1424=4,N1424=6,N1424=8,N1424=10,N1424=12,N1424=20),O1424&gt;=0,E1424=M1424+O1424,F1424=M1424*N1424+O1424),"OK","ERREUR"))</x:f>
        <x:v>OK</x:v>
      </x:c>
      <x:c r="U1424" s="86" t="n">
        <x:f>IF(M1424&gt;0,M1424*(N1424+1)/2+O1424,0)</x:f>
        <x:v>0</x:v>
      </x:c>
      <x:c r="V1424" t="str">
        <x:f>IF(ABS(L1424-U1424)&lt;0.001,"OK","ERREUR")</x:f>
        <x:v>OK</x:v>
      </x:c>
    </x:row>
    <x:row r="1425" ht="18" customHeight="1">
      <x:c r="A1425" t="str">
        <x:v>ARM072</x:v>
      </x:c>
      <x:c r="B1425" t="str">
        <x:v>Rondache</x:v>
      </x:c>
      <x:c r="C1425" t="n">
        <x:v>2</x:v>
      </x:c>
      <x:c r="D1425" t="str">
        <x:v>Boucliers</x:v>
      </x:c>
      <x:c r="E1425" s="28" t="n">
        <x:f>IF(M1425=0,0,M1425+O1425)</x:f>
        <x:v>0</x:v>
      </x:c>
      <x:c r="F1425" s="28" t="n">
        <x:f>IF(M1425=0,0,M1425*N1425+O1425)</x:f>
        <x:v>0</x:v>
      </x:c>
      <x:c r="G1425" s="28" t="n">
        <x:f>ROUND(Catalogue!G75*SQRT((1+'Paramètres'!$B$4*(C1425-1)+'Paramètres'!$B$5*(C1425-1)^2)),0)</x:f>
        <x:v>2</x:v>
      </x:c>
      <x:c r="H1425" s="28" t="n">
        <x:f>ROUND(Catalogue!H75*SQRT((1+'Paramètres'!$B$4*(C1425-1)+'Paramètres'!$B$5*(C1425-1)^2)),0)</x:f>
        <x:v>0</x:v>
      </x:c>
      <x:c r="I1425" s="28" t="n">
        <x:v>0</x:v>
      </x:c>
      <x:c r="J1425" s="28" t="n">
        <x:v>0</x:v>
      </x:c>
      <x:c r="K1425" s="30" t="n">
        <x:v>1.1</x:v>
      </x:c>
      <x:c r="L1425" s="54" t="n">
        <x:f>IF(M1425=0,0,(E1425+F1425)/2)</x:f>
        <x:v>0</x:v>
      </x:c>
      <x:c r="M1425" t="n">
        <x:v>0</x:v>
      </x:c>
      <x:c r="N1425" t="n">
        <x:v>0</x:v>
      </x:c>
      <x:c r="O1425" t="n">
        <x:v>0</x:v>
      </x:c>
      <x:c r="P1425" s="63" t="str">
        <x:f>IF(M1425=0,"—",M1425&amp;"d"&amp;N1425&amp;IF(O1425=0,""," + "&amp;O1425))</x:f>
        <x:v>—</x:v>
      </x:c>
      <x:c r="Q1425" t="n">
        <x:f>ROUND(INDEX(Catalogue!E$4:E$85,MATCH(A1425,Catalogue!A$4:A$85,0))*(1+'Paramètres'!$B$4*(C1425-1)+'Paramètres'!$B$5*(C1425-1)^2),0)</x:f>
        <x:v>0</x:v>
      </x:c>
      <x:c r="R1425" t="n">
        <x:f>ROUND(INDEX(Catalogue!F$4:F$85,MATCH(A1425,Catalogue!A$4:A$85,0))*(1+'Paramètres'!$B$4*(C1425-1)+'Paramètres'!$B$5*(C1425-1)^2),0)</x:f>
        <x:v>0</x:v>
      </x:c>
      <x:c r="S1425" t="n">
        <x:f>L1425-AVERAGE(Q1425:R1425)</x:f>
        <x:v>0</x:v>
      </x:c>
      <x:c r="T1425" t="str">
        <x:f>IF(M1425=0,IF(AND(N1425=0,O1425=0,E1425=0,F1425=0),"OK","ERREUR"),IF(AND(M1425&gt;=1,M1425&lt;=32,OR(N1425=4,N1425=6,N1425=8,N1425=10,N1425=12,N1425=20),O1425&gt;=0,E1425=M1425+O1425,F1425=M1425*N1425+O1425),"OK","ERREUR"))</x:f>
        <x:v>OK</x:v>
      </x:c>
      <x:c r="U1425" s="86" t="n">
        <x:f>IF(M1425&gt;0,M1425*(N1425+1)/2+O1425,0)</x:f>
        <x:v>0</x:v>
      </x:c>
      <x:c r="V1425" t="str">
        <x:f>IF(ABS(L1425-U1425)&lt;0.001,"OK","ERREUR")</x:f>
        <x:v>OK</x:v>
      </x:c>
    </x:row>
    <x:row r="1426" ht="18" customHeight="1">
      <x:c r="A1426" t="str">
        <x:v>ARM072</x:v>
      </x:c>
      <x:c r="B1426" t="str">
        <x:v>Rondache</x:v>
      </x:c>
      <x:c r="C1426" t="n">
        <x:v>3</x:v>
      </x:c>
      <x:c r="D1426" t="str">
        <x:v>Boucliers</x:v>
      </x:c>
      <x:c r="E1426" s="28" t="n">
        <x:f>IF(M1426=0,0,M1426+O1426)</x:f>
        <x:v>0</x:v>
      </x:c>
      <x:c r="F1426" s="28" t="n">
        <x:f>IF(M1426=0,0,M1426*N1426+O1426)</x:f>
        <x:v>0</x:v>
      </x:c>
      <x:c r="G1426" s="28" t="n">
        <x:f>ROUND(Catalogue!G75*SQRT((1+'Paramètres'!$B$4*(C1426-1)+'Paramètres'!$B$5*(C1426-1)^2)),0)</x:f>
        <x:v>2</x:v>
      </x:c>
      <x:c r="H1426" s="28" t="n">
        <x:f>ROUND(Catalogue!H75*SQRT((1+'Paramètres'!$B$4*(C1426-1)+'Paramètres'!$B$5*(C1426-1)^2)),0)</x:f>
        <x:v>0</x:v>
      </x:c>
      <x:c r="I1426" s="28" t="n">
        <x:v>0</x:v>
      </x:c>
      <x:c r="J1426" s="28" t="n">
        <x:v>0</x:v>
      </x:c>
      <x:c r="K1426" s="30" t="n">
        <x:v>1.1</x:v>
      </x:c>
      <x:c r="L1426" s="54" t="n">
        <x:f>IF(M1426=0,0,(E1426+F1426)/2)</x:f>
        <x:v>0</x:v>
      </x:c>
      <x:c r="M1426" t="n">
        <x:v>0</x:v>
      </x:c>
      <x:c r="N1426" t="n">
        <x:v>0</x:v>
      </x:c>
      <x:c r="O1426" t="n">
        <x:v>0</x:v>
      </x:c>
      <x:c r="P1426" s="63" t="str">
        <x:f>IF(M1426=0,"—",M1426&amp;"d"&amp;N1426&amp;IF(O1426=0,""," + "&amp;O1426))</x:f>
        <x:v>—</x:v>
      </x:c>
      <x:c r="Q1426" t="n">
        <x:f>ROUND(INDEX(Catalogue!E$4:E$85,MATCH(A1426,Catalogue!A$4:A$85,0))*(1+'Paramètres'!$B$4*(C1426-1)+'Paramètres'!$B$5*(C1426-1)^2),0)</x:f>
        <x:v>0</x:v>
      </x:c>
      <x:c r="R1426" t="n">
        <x:f>ROUND(INDEX(Catalogue!F$4:F$85,MATCH(A1426,Catalogue!A$4:A$85,0))*(1+'Paramètres'!$B$4*(C1426-1)+'Paramètres'!$B$5*(C1426-1)^2),0)</x:f>
        <x:v>0</x:v>
      </x:c>
      <x:c r="S1426" t="n">
        <x:f>L1426-AVERAGE(Q1426:R1426)</x:f>
        <x:v>0</x:v>
      </x:c>
      <x:c r="T1426" t="str">
        <x:f>IF(M1426=0,IF(AND(N1426=0,O1426=0,E1426=0,F1426=0),"OK","ERREUR"),IF(AND(M1426&gt;=1,M1426&lt;=32,OR(N1426=4,N1426=6,N1426=8,N1426=10,N1426=12,N1426=20),O1426&gt;=0,E1426=M1426+O1426,F1426=M1426*N1426+O1426),"OK","ERREUR"))</x:f>
        <x:v>OK</x:v>
      </x:c>
      <x:c r="U1426" s="86" t="n">
        <x:f>IF(M1426&gt;0,M1426*(N1426+1)/2+O1426,0)</x:f>
        <x:v>0</x:v>
      </x:c>
      <x:c r="V1426" t="str">
        <x:f>IF(ABS(L1426-U1426)&lt;0.001,"OK","ERREUR")</x:f>
        <x:v>OK</x:v>
      </x:c>
    </x:row>
    <x:row r="1427" ht="18" customHeight="1">
      <x:c r="A1427" t="str">
        <x:v>ARM072</x:v>
      </x:c>
      <x:c r="B1427" t="str">
        <x:v>Rondache</x:v>
      </x:c>
      <x:c r="C1427" t="n">
        <x:v>4</x:v>
      </x:c>
      <x:c r="D1427" t="str">
        <x:v>Boucliers</x:v>
      </x:c>
      <x:c r="E1427" s="28" t="n">
        <x:f>IF(M1427=0,0,M1427+O1427)</x:f>
        <x:v>0</x:v>
      </x:c>
      <x:c r="F1427" s="28" t="n">
        <x:f>IF(M1427=0,0,M1427*N1427+O1427)</x:f>
        <x:v>0</x:v>
      </x:c>
      <x:c r="G1427" s="28" t="n">
        <x:f>ROUND(Catalogue!G75*SQRT((1+'Paramètres'!$B$4*(C1427-1)+'Paramètres'!$B$5*(C1427-1)^2)),0)</x:f>
        <x:v>2</x:v>
      </x:c>
      <x:c r="H1427" s="28" t="n">
        <x:f>ROUND(Catalogue!H75*SQRT((1+'Paramètres'!$B$4*(C1427-1)+'Paramètres'!$B$5*(C1427-1)^2)),0)</x:f>
        <x:v>0</x:v>
      </x:c>
      <x:c r="I1427" s="28" t="n">
        <x:v>0</x:v>
      </x:c>
      <x:c r="J1427" s="28" t="n">
        <x:v>0</x:v>
      </x:c>
      <x:c r="K1427" s="30" t="n">
        <x:v>1.1</x:v>
      </x:c>
      <x:c r="L1427" s="54" t="n">
        <x:f>IF(M1427=0,0,(E1427+F1427)/2)</x:f>
        <x:v>0</x:v>
      </x:c>
      <x:c r="M1427" t="n">
        <x:v>0</x:v>
      </x:c>
      <x:c r="N1427" t="n">
        <x:v>0</x:v>
      </x:c>
      <x:c r="O1427" t="n">
        <x:v>0</x:v>
      </x:c>
      <x:c r="P1427" s="63" t="str">
        <x:f>IF(M1427=0,"—",M1427&amp;"d"&amp;N1427&amp;IF(O1427=0,""," + "&amp;O1427))</x:f>
        <x:v>—</x:v>
      </x:c>
      <x:c r="Q1427" t="n">
        <x:f>ROUND(INDEX(Catalogue!E$4:E$85,MATCH(A1427,Catalogue!A$4:A$85,0))*(1+'Paramètres'!$B$4*(C1427-1)+'Paramètres'!$B$5*(C1427-1)^2),0)</x:f>
        <x:v>0</x:v>
      </x:c>
      <x:c r="R1427" t="n">
        <x:f>ROUND(INDEX(Catalogue!F$4:F$85,MATCH(A1427,Catalogue!A$4:A$85,0))*(1+'Paramètres'!$B$4*(C1427-1)+'Paramètres'!$B$5*(C1427-1)^2),0)</x:f>
        <x:v>0</x:v>
      </x:c>
      <x:c r="S1427" t="n">
        <x:f>L1427-AVERAGE(Q1427:R1427)</x:f>
        <x:v>0</x:v>
      </x:c>
      <x:c r="T1427" t="str">
        <x:f>IF(M1427=0,IF(AND(N1427=0,O1427=0,E1427=0,F1427=0),"OK","ERREUR"),IF(AND(M1427&gt;=1,M1427&lt;=32,OR(N1427=4,N1427=6,N1427=8,N1427=10,N1427=12,N1427=20),O1427&gt;=0,E1427=M1427+O1427,F1427=M1427*N1427+O1427),"OK","ERREUR"))</x:f>
        <x:v>OK</x:v>
      </x:c>
      <x:c r="U1427" s="86" t="n">
        <x:f>IF(M1427&gt;0,M1427*(N1427+1)/2+O1427,0)</x:f>
        <x:v>0</x:v>
      </x:c>
      <x:c r="V1427" t="str">
        <x:f>IF(ABS(L1427-U1427)&lt;0.001,"OK","ERREUR")</x:f>
        <x:v>OK</x:v>
      </x:c>
    </x:row>
    <x:row r="1428" ht="18" customHeight="1">
      <x:c r="A1428" t="str">
        <x:v>ARM072</x:v>
      </x:c>
      <x:c r="B1428" t="str">
        <x:v>Rondache</x:v>
      </x:c>
      <x:c r="C1428" t="n">
        <x:v>5</x:v>
      </x:c>
      <x:c r="D1428" t="str">
        <x:v>Boucliers</x:v>
      </x:c>
      <x:c r="E1428" s="28" t="n">
        <x:f>IF(M1428=0,0,M1428+O1428)</x:f>
        <x:v>0</x:v>
      </x:c>
      <x:c r="F1428" s="28" t="n">
        <x:f>IF(M1428=0,0,M1428*N1428+O1428)</x:f>
        <x:v>0</x:v>
      </x:c>
      <x:c r="G1428" s="28" t="n">
        <x:f>ROUND(Catalogue!G75*SQRT((1+'Paramètres'!$B$4*(C1428-1)+'Paramètres'!$B$5*(C1428-1)^2)),0)</x:f>
        <x:v>3</x:v>
      </x:c>
      <x:c r="H1428" s="28" t="n">
        <x:f>ROUND(Catalogue!H75*SQRT((1+'Paramètres'!$B$4*(C1428-1)+'Paramètres'!$B$5*(C1428-1)^2)),0)</x:f>
        <x:v>0</x:v>
      </x:c>
      <x:c r="I1428" s="28" t="n">
        <x:v>0</x:v>
      </x:c>
      <x:c r="J1428" s="28" t="n">
        <x:v>0</x:v>
      </x:c>
      <x:c r="K1428" s="30" t="n">
        <x:v>1.1</x:v>
      </x:c>
      <x:c r="L1428" s="54" t="n">
        <x:f>IF(M1428=0,0,(E1428+F1428)/2)</x:f>
        <x:v>0</x:v>
      </x:c>
      <x:c r="M1428" t="n">
        <x:v>0</x:v>
      </x:c>
      <x:c r="N1428" t="n">
        <x:v>0</x:v>
      </x:c>
      <x:c r="O1428" t="n">
        <x:v>0</x:v>
      </x:c>
      <x:c r="P1428" s="63" t="str">
        <x:f>IF(M1428=0,"—",M1428&amp;"d"&amp;N1428&amp;IF(O1428=0,""," + "&amp;O1428))</x:f>
        <x:v>—</x:v>
      </x:c>
      <x:c r="Q1428" t="n">
        <x:f>ROUND(INDEX(Catalogue!E$4:E$85,MATCH(A1428,Catalogue!A$4:A$85,0))*(1+'Paramètres'!$B$4*(C1428-1)+'Paramètres'!$B$5*(C1428-1)^2),0)</x:f>
        <x:v>0</x:v>
      </x:c>
      <x:c r="R1428" t="n">
        <x:f>ROUND(INDEX(Catalogue!F$4:F$85,MATCH(A1428,Catalogue!A$4:A$85,0))*(1+'Paramètres'!$B$4*(C1428-1)+'Paramètres'!$B$5*(C1428-1)^2),0)</x:f>
        <x:v>0</x:v>
      </x:c>
      <x:c r="S1428" t="n">
        <x:f>L1428-AVERAGE(Q1428:R1428)</x:f>
        <x:v>0</x:v>
      </x:c>
      <x:c r="T1428" t="str">
        <x:f>IF(M1428=0,IF(AND(N1428=0,O1428=0,E1428=0,F1428=0),"OK","ERREUR"),IF(AND(M1428&gt;=1,M1428&lt;=32,OR(N1428=4,N1428=6,N1428=8,N1428=10,N1428=12,N1428=20),O1428&gt;=0,E1428=M1428+O1428,F1428=M1428*N1428+O1428),"OK","ERREUR"))</x:f>
        <x:v>OK</x:v>
      </x:c>
      <x:c r="U1428" s="86" t="n">
        <x:f>IF(M1428&gt;0,M1428*(N1428+1)/2+O1428,0)</x:f>
        <x:v>0</x:v>
      </x:c>
      <x:c r="V1428" t="str">
        <x:f>IF(ABS(L1428-U1428)&lt;0.001,"OK","ERREUR")</x:f>
        <x:v>OK</x:v>
      </x:c>
    </x:row>
    <x:row r="1429" ht="18" customHeight="1">
      <x:c r="A1429" t="str">
        <x:v>ARM072</x:v>
      </x:c>
      <x:c r="B1429" t="str">
        <x:v>Rondache</x:v>
      </x:c>
      <x:c r="C1429" t="n">
        <x:v>6</x:v>
      </x:c>
      <x:c r="D1429" t="str">
        <x:v>Boucliers</x:v>
      </x:c>
      <x:c r="E1429" s="28" t="n">
        <x:f>IF(M1429=0,0,M1429+O1429)</x:f>
        <x:v>0</x:v>
      </x:c>
      <x:c r="F1429" s="28" t="n">
        <x:f>IF(M1429=0,0,M1429*N1429+O1429)</x:f>
        <x:v>0</x:v>
      </x:c>
      <x:c r="G1429" s="28" t="n">
        <x:f>ROUND(Catalogue!G75*SQRT((1+'Paramètres'!$B$4*(C1429-1)+'Paramètres'!$B$5*(C1429-1)^2)),0)</x:f>
        <x:v>3</x:v>
      </x:c>
      <x:c r="H1429" s="28" t="n">
        <x:f>ROUND(Catalogue!H75*SQRT((1+'Paramètres'!$B$4*(C1429-1)+'Paramètres'!$B$5*(C1429-1)^2)),0)</x:f>
        <x:v>0</x:v>
      </x:c>
      <x:c r="I1429" s="28" t="n">
        <x:v>0</x:v>
      </x:c>
      <x:c r="J1429" s="28" t="n">
        <x:v>0</x:v>
      </x:c>
      <x:c r="K1429" s="30" t="n">
        <x:v>1.1</x:v>
      </x:c>
      <x:c r="L1429" s="54" t="n">
        <x:f>IF(M1429=0,0,(E1429+F1429)/2)</x:f>
        <x:v>0</x:v>
      </x:c>
      <x:c r="M1429" t="n">
        <x:v>0</x:v>
      </x:c>
      <x:c r="N1429" t="n">
        <x:v>0</x:v>
      </x:c>
      <x:c r="O1429" t="n">
        <x:v>0</x:v>
      </x:c>
      <x:c r="P1429" s="63" t="str">
        <x:f>IF(M1429=0,"—",M1429&amp;"d"&amp;N1429&amp;IF(O1429=0,""," + "&amp;O1429))</x:f>
        <x:v>—</x:v>
      </x:c>
      <x:c r="Q1429" t="n">
        <x:f>ROUND(INDEX(Catalogue!E$4:E$85,MATCH(A1429,Catalogue!A$4:A$85,0))*(1+'Paramètres'!$B$4*(C1429-1)+'Paramètres'!$B$5*(C1429-1)^2),0)</x:f>
        <x:v>0</x:v>
      </x:c>
      <x:c r="R1429" t="n">
        <x:f>ROUND(INDEX(Catalogue!F$4:F$85,MATCH(A1429,Catalogue!A$4:A$85,0))*(1+'Paramètres'!$B$4*(C1429-1)+'Paramètres'!$B$5*(C1429-1)^2),0)</x:f>
        <x:v>0</x:v>
      </x:c>
      <x:c r="S1429" t="n">
        <x:f>L1429-AVERAGE(Q1429:R1429)</x:f>
        <x:v>0</x:v>
      </x:c>
      <x:c r="T1429" t="str">
        <x:f>IF(M1429=0,IF(AND(N1429=0,O1429=0,E1429=0,F1429=0),"OK","ERREUR"),IF(AND(M1429&gt;=1,M1429&lt;=32,OR(N1429=4,N1429=6,N1429=8,N1429=10,N1429=12,N1429=20),O1429&gt;=0,E1429=M1429+O1429,F1429=M1429*N1429+O1429),"OK","ERREUR"))</x:f>
        <x:v>OK</x:v>
      </x:c>
      <x:c r="U1429" s="86" t="n">
        <x:f>IF(M1429&gt;0,M1429*(N1429+1)/2+O1429,0)</x:f>
        <x:v>0</x:v>
      </x:c>
      <x:c r="V1429" t="str">
        <x:f>IF(ABS(L1429-U1429)&lt;0.001,"OK","ERREUR")</x:f>
        <x:v>OK</x:v>
      </x:c>
    </x:row>
    <x:row r="1430" ht="18" customHeight="1">
      <x:c r="A1430" t="str">
        <x:v>ARM072</x:v>
      </x:c>
      <x:c r="B1430" t="str">
        <x:v>Rondache</x:v>
      </x:c>
      <x:c r="C1430" t="n">
        <x:v>7</x:v>
      </x:c>
      <x:c r="D1430" t="str">
        <x:v>Boucliers</x:v>
      </x:c>
      <x:c r="E1430" s="28" t="n">
        <x:f>IF(M1430=0,0,M1430+O1430)</x:f>
        <x:v>0</x:v>
      </x:c>
      <x:c r="F1430" s="28" t="n">
        <x:f>IF(M1430=0,0,M1430*N1430+O1430)</x:f>
        <x:v>0</x:v>
      </x:c>
      <x:c r="G1430" s="28" t="n">
        <x:f>ROUND(Catalogue!G75*SQRT((1+'Paramètres'!$B$4*(C1430-1)+'Paramètres'!$B$5*(C1430-1)^2)),0)</x:f>
        <x:v>3</x:v>
      </x:c>
      <x:c r="H1430" s="28" t="n">
        <x:f>ROUND(Catalogue!H75*SQRT((1+'Paramètres'!$B$4*(C1430-1)+'Paramètres'!$B$5*(C1430-1)^2)),0)</x:f>
        <x:v>0</x:v>
      </x:c>
      <x:c r="I1430" s="28" t="n">
        <x:v>0</x:v>
      </x:c>
      <x:c r="J1430" s="28" t="n">
        <x:v>0</x:v>
      </x:c>
      <x:c r="K1430" s="30" t="n">
        <x:v>1.1</x:v>
      </x:c>
      <x:c r="L1430" s="54" t="n">
        <x:f>IF(M1430=0,0,(E1430+F1430)/2)</x:f>
        <x:v>0</x:v>
      </x:c>
      <x:c r="M1430" t="n">
        <x:v>0</x:v>
      </x:c>
      <x:c r="N1430" t="n">
        <x:v>0</x:v>
      </x:c>
      <x:c r="O1430" t="n">
        <x:v>0</x:v>
      </x:c>
      <x:c r="P1430" s="63" t="str">
        <x:f>IF(M1430=0,"—",M1430&amp;"d"&amp;N1430&amp;IF(O1430=0,""," + "&amp;O1430))</x:f>
        <x:v>—</x:v>
      </x:c>
      <x:c r="Q1430" t="n">
        <x:f>ROUND(INDEX(Catalogue!E$4:E$85,MATCH(A1430,Catalogue!A$4:A$85,0))*(1+'Paramètres'!$B$4*(C1430-1)+'Paramètres'!$B$5*(C1430-1)^2),0)</x:f>
        <x:v>0</x:v>
      </x:c>
      <x:c r="R1430" t="n">
        <x:f>ROUND(INDEX(Catalogue!F$4:F$85,MATCH(A1430,Catalogue!A$4:A$85,0))*(1+'Paramètres'!$B$4*(C1430-1)+'Paramètres'!$B$5*(C1430-1)^2),0)</x:f>
        <x:v>0</x:v>
      </x:c>
      <x:c r="S1430" t="n">
        <x:f>L1430-AVERAGE(Q1430:R1430)</x:f>
        <x:v>0</x:v>
      </x:c>
      <x:c r="T1430" t="str">
        <x:f>IF(M1430=0,IF(AND(N1430=0,O1430=0,E1430=0,F1430=0),"OK","ERREUR"),IF(AND(M1430&gt;=1,M1430&lt;=32,OR(N1430=4,N1430=6,N1430=8,N1430=10,N1430=12,N1430=20),O1430&gt;=0,E1430=M1430+O1430,F1430=M1430*N1430+O1430),"OK","ERREUR"))</x:f>
        <x:v>OK</x:v>
      </x:c>
      <x:c r="U1430" s="86" t="n">
        <x:f>IF(M1430&gt;0,M1430*(N1430+1)/2+O1430,0)</x:f>
        <x:v>0</x:v>
      </x:c>
      <x:c r="V1430" t="str">
        <x:f>IF(ABS(L1430-U1430)&lt;0.001,"OK","ERREUR")</x:f>
        <x:v>OK</x:v>
      </x:c>
    </x:row>
    <x:row r="1431" ht="18" customHeight="1">
      <x:c r="A1431" t="str">
        <x:v>ARM072</x:v>
      </x:c>
      <x:c r="B1431" t="str">
        <x:v>Rondache</x:v>
      </x:c>
      <x:c r="C1431" t="n">
        <x:v>8</x:v>
      </x:c>
      <x:c r="D1431" t="str">
        <x:v>Boucliers</x:v>
      </x:c>
      <x:c r="E1431" s="28" t="n">
        <x:f>IF(M1431=0,0,M1431+O1431)</x:f>
        <x:v>0</x:v>
      </x:c>
      <x:c r="F1431" s="28" t="n">
        <x:f>IF(M1431=0,0,M1431*N1431+O1431)</x:f>
        <x:v>0</x:v>
      </x:c>
      <x:c r="G1431" s="28" t="n">
        <x:f>ROUND(Catalogue!G75*SQRT((1+'Paramètres'!$B$4*(C1431-1)+'Paramètres'!$B$5*(C1431-1)^2)),0)</x:f>
        <x:v>3</x:v>
      </x:c>
      <x:c r="H1431" s="28" t="n">
        <x:f>ROUND(Catalogue!H75*SQRT((1+'Paramètres'!$B$4*(C1431-1)+'Paramètres'!$B$5*(C1431-1)^2)),0)</x:f>
        <x:v>0</x:v>
      </x:c>
      <x:c r="I1431" s="28" t="n">
        <x:v>0</x:v>
      </x:c>
      <x:c r="J1431" s="28" t="n">
        <x:v>0</x:v>
      </x:c>
      <x:c r="K1431" s="30" t="n">
        <x:v>1.1</x:v>
      </x:c>
      <x:c r="L1431" s="54" t="n">
        <x:f>IF(M1431=0,0,(E1431+F1431)/2)</x:f>
        <x:v>0</x:v>
      </x:c>
      <x:c r="M1431" t="n">
        <x:v>0</x:v>
      </x:c>
      <x:c r="N1431" t="n">
        <x:v>0</x:v>
      </x:c>
      <x:c r="O1431" t="n">
        <x:v>0</x:v>
      </x:c>
      <x:c r="P1431" s="63" t="str">
        <x:f>IF(M1431=0,"—",M1431&amp;"d"&amp;N1431&amp;IF(O1431=0,""," + "&amp;O1431))</x:f>
        <x:v>—</x:v>
      </x:c>
      <x:c r="Q1431" t="n">
        <x:f>ROUND(INDEX(Catalogue!E$4:E$85,MATCH(A1431,Catalogue!A$4:A$85,0))*(1+'Paramètres'!$B$4*(C1431-1)+'Paramètres'!$B$5*(C1431-1)^2),0)</x:f>
        <x:v>0</x:v>
      </x:c>
      <x:c r="R1431" t="n">
        <x:f>ROUND(INDEX(Catalogue!F$4:F$85,MATCH(A1431,Catalogue!A$4:A$85,0))*(1+'Paramètres'!$B$4*(C1431-1)+'Paramètres'!$B$5*(C1431-1)^2),0)</x:f>
        <x:v>0</x:v>
      </x:c>
      <x:c r="S1431" t="n">
        <x:f>L1431-AVERAGE(Q1431:R1431)</x:f>
        <x:v>0</x:v>
      </x:c>
      <x:c r="T1431" t="str">
        <x:f>IF(M1431=0,IF(AND(N1431=0,O1431=0,E1431=0,F1431=0),"OK","ERREUR"),IF(AND(M1431&gt;=1,M1431&lt;=32,OR(N1431=4,N1431=6,N1431=8,N1431=10,N1431=12,N1431=20),O1431&gt;=0,E1431=M1431+O1431,F1431=M1431*N1431+O1431),"OK","ERREUR"))</x:f>
        <x:v>OK</x:v>
      </x:c>
      <x:c r="U1431" s="86" t="n">
        <x:f>IF(M1431&gt;0,M1431*(N1431+1)/2+O1431,0)</x:f>
        <x:v>0</x:v>
      </x:c>
      <x:c r="V1431" t="str">
        <x:f>IF(ABS(L1431-U1431)&lt;0.001,"OK","ERREUR")</x:f>
        <x:v>OK</x:v>
      </x:c>
    </x:row>
    <x:row r="1432" ht="18" customHeight="1">
      <x:c r="A1432" t="str">
        <x:v>ARM072</x:v>
      </x:c>
      <x:c r="B1432" t="str">
        <x:v>Rondache</x:v>
      </x:c>
      <x:c r="C1432" t="n">
        <x:v>9</x:v>
      </x:c>
      <x:c r="D1432" t="str">
        <x:v>Boucliers</x:v>
      </x:c>
      <x:c r="E1432" s="28" t="n">
        <x:f>IF(M1432=0,0,M1432+O1432)</x:f>
        <x:v>0</x:v>
      </x:c>
      <x:c r="F1432" s="28" t="n">
        <x:f>IF(M1432=0,0,M1432*N1432+O1432)</x:f>
        <x:v>0</x:v>
      </x:c>
      <x:c r="G1432" s="28" t="n">
        <x:f>ROUND(Catalogue!G75*SQRT((1+'Paramètres'!$B$4*(C1432-1)+'Paramètres'!$B$5*(C1432-1)^2)),0)</x:f>
        <x:v>3</x:v>
      </x:c>
      <x:c r="H1432" s="28" t="n">
        <x:f>ROUND(Catalogue!H75*SQRT((1+'Paramètres'!$B$4*(C1432-1)+'Paramètres'!$B$5*(C1432-1)^2)),0)</x:f>
        <x:v>0</x:v>
      </x:c>
      <x:c r="I1432" s="28" t="n">
        <x:v>0</x:v>
      </x:c>
      <x:c r="J1432" s="28" t="n">
        <x:v>0</x:v>
      </x:c>
      <x:c r="K1432" s="30" t="n">
        <x:v>1.1</x:v>
      </x:c>
      <x:c r="L1432" s="54" t="n">
        <x:f>IF(M1432=0,0,(E1432+F1432)/2)</x:f>
        <x:v>0</x:v>
      </x:c>
      <x:c r="M1432" t="n">
        <x:v>0</x:v>
      </x:c>
      <x:c r="N1432" t="n">
        <x:v>0</x:v>
      </x:c>
      <x:c r="O1432" t="n">
        <x:v>0</x:v>
      </x:c>
      <x:c r="P1432" s="63" t="str">
        <x:f>IF(M1432=0,"—",M1432&amp;"d"&amp;N1432&amp;IF(O1432=0,""," + "&amp;O1432))</x:f>
        <x:v>—</x:v>
      </x:c>
      <x:c r="Q1432" t="n">
        <x:f>ROUND(INDEX(Catalogue!E$4:E$85,MATCH(A1432,Catalogue!A$4:A$85,0))*(1+'Paramètres'!$B$4*(C1432-1)+'Paramètres'!$B$5*(C1432-1)^2),0)</x:f>
        <x:v>0</x:v>
      </x:c>
      <x:c r="R1432" t="n">
        <x:f>ROUND(INDEX(Catalogue!F$4:F$85,MATCH(A1432,Catalogue!A$4:A$85,0))*(1+'Paramètres'!$B$4*(C1432-1)+'Paramètres'!$B$5*(C1432-1)^2),0)</x:f>
        <x:v>0</x:v>
      </x:c>
      <x:c r="S1432" t="n">
        <x:f>L1432-AVERAGE(Q1432:R1432)</x:f>
        <x:v>0</x:v>
      </x:c>
      <x:c r="T1432" t="str">
        <x:f>IF(M1432=0,IF(AND(N1432=0,O1432=0,E1432=0,F1432=0),"OK","ERREUR"),IF(AND(M1432&gt;=1,M1432&lt;=32,OR(N1432=4,N1432=6,N1432=8,N1432=10,N1432=12,N1432=20),O1432&gt;=0,E1432=M1432+O1432,F1432=M1432*N1432+O1432),"OK","ERREUR"))</x:f>
        <x:v>OK</x:v>
      </x:c>
      <x:c r="U1432" s="86" t="n">
        <x:f>IF(M1432&gt;0,M1432*(N1432+1)/2+O1432,0)</x:f>
        <x:v>0</x:v>
      </x:c>
      <x:c r="V1432" t="str">
        <x:f>IF(ABS(L1432-U1432)&lt;0.001,"OK","ERREUR")</x:f>
        <x:v>OK</x:v>
      </x:c>
    </x:row>
    <x:row r="1433" ht="18" customHeight="1">
      <x:c r="A1433" t="str">
        <x:v>ARM072</x:v>
      </x:c>
      <x:c r="B1433" t="str">
        <x:v>Rondache</x:v>
      </x:c>
      <x:c r="C1433" t="n">
        <x:v>10</x:v>
      </x:c>
      <x:c r="D1433" t="str">
        <x:v>Boucliers</x:v>
      </x:c>
      <x:c r="E1433" s="28" t="n">
        <x:f>IF(M1433=0,0,M1433+O1433)</x:f>
        <x:v>0</x:v>
      </x:c>
      <x:c r="F1433" s="28" t="n">
        <x:f>IF(M1433=0,0,M1433*N1433+O1433)</x:f>
        <x:v>0</x:v>
      </x:c>
      <x:c r="G1433" s="28" t="n">
        <x:f>ROUND(Catalogue!G75*SQRT((1+'Paramètres'!$B$4*(C1433-1)+'Paramètres'!$B$5*(C1433-1)^2)),0)</x:f>
        <x:v>4</x:v>
      </x:c>
      <x:c r="H1433" s="28" t="n">
        <x:f>ROUND(Catalogue!H75*SQRT((1+'Paramètres'!$B$4*(C1433-1)+'Paramètres'!$B$5*(C1433-1)^2)),0)</x:f>
        <x:v>0</x:v>
      </x:c>
      <x:c r="I1433" s="28" t="n">
        <x:v>0</x:v>
      </x:c>
      <x:c r="J1433" s="28" t="n">
        <x:v>0</x:v>
      </x:c>
      <x:c r="K1433" s="30" t="n">
        <x:v>1.1</x:v>
      </x:c>
      <x:c r="L1433" s="54" t="n">
        <x:f>IF(M1433=0,0,(E1433+F1433)/2)</x:f>
        <x:v>0</x:v>
      </x:c>
      <x:c r="M1433" t="n">
        <x:v>0</x:v>
      </x:c>
      <x:c r="N1433" t="n">
        <x:v>0</x:v>
      </x:c>
      <x:c r="O1433" t="n">
        <x:v>0</x:v>
      </x:c>
      <x:c r="P1433" s="63" t="str">
        <x:f>IF(M1433=0,"—",M1433&amp;"d"&amp;N1433&amp;IF(O1433=0,""," + "&amp;O1433))</x:f>
        <x:v>—</x:v>
      </x:c>
      <x:c r="Q1433" t="n">
        <x:f>ROUND(INDEX(Catalogue!E$4:E$85,MATCH(A1433,Catalogue!A$4:A$85,0))*(1+'Paramètres'!$B$4*(C1433-1)+'Paramètres'!$B$5*(C1433-1)^2),0)</x:f>
        <x:v>0</x:v>
      </x:c>
      <x:c r="R1433" t="n">
        <x:f>ROUND(INDEX(Catalogue!F$4:F$85,MATCH(A1433,Catalogue!A$4:A$85,0))*(1+'Paramètres'!$B$4*(C1433-1)+'Paramètres'!$B$5*(C1433-1)^2),0)</x:f>
        <x:v>0</x:v>
      </x:c>
      <x:c r="S1433" t="n">
        <x:f>L1433-AVERAGE(Q1433:R1433)</x:f>
        <x:v>0</x:v>
      </x:c>
      <x:c r="T1433" t="str">
        <x:f>IF(M1433=0,IF(AND(N1433=0,O1433=0,E1433=0,F1433=0),"OK","ERREUR"),IF(AND(M1433&gt;=1,M1433&lt;=32,OR(N1433=4,N1433=6,N1433=8,N1433=10,N1433=12,N1433=20),O1433&gt;=0,E1433=M1433+O1433,F1433=M1433*N1433+O1433),"OK","ERREUR"))</x:f>
        <x:v>OK</x:v>
      </x:c>
      <x:c r="U1433" s="86" t="n">
        <x:f>IF(M1433&gt;0,M1433*(N1433+1)/2+O1433,0)</x:f>
        <x:v>0</x:v>
      </x:c>
      <x:c r="V1433" t="str">
        <x:f>IF(ABS(L1433-U1433)&lt;0.001,"OK","ERREUR")</x:f>
        <x:v>OK</x:v>
      </x:c>
    </x:row>
    <x:row r="1434" ht="18" customHeight="1">
      <x:c r="A1434" t="str">
        <x:v>ARM072</x:v>
      </x:c>
      <x:c r="B1434" t="str">
        <x:v>Rondache</x:v>
      </x:c>
      <x:c r="C1434" t="n">
        <x:v>11</x:v>
      </x:c>
      <x:c r="D1434" t="str">
        <x:v>Boucliers</x:v>
      </x:c>
      <x:c r="E1434" s="28" t="n">
        <x:f>IF(M1434=0,0,M1434+O1434)</x:f>
        <x:v>0</x:v>
      </x:c>
      <x:c r="F1434" s="28" t="n">
        <x:f>IF(M1434=0,0,M1434*N1434+O1434)</x:f>
        <x:v>0</x:v>
      </x:c>
      <x:c r="G1434" s="28" t="n">
        <x:f>ROUND(Catalogue!G75*SQRT((1+'Paramètres'!$B$4*(C1434-1)+'Paramètres'!$B$5*(C1434-1)^2)),0)</x:f>
        <x:v>4</x:v>
      </x:c>
      <x:c r="H1434" s="28" t="n">
        <x:f>ROUND(Catalogue!H75*SQRT((1+'Paramètres'!$B$4*(C1434-1)+'Paramètres'!$B$5*(C1434-1)^2)),0)</x:f>
        <x:v>0</x:v>
      </x:c>
      <x:c r="I1434" s="28" t="n">
        <x:v>0</x:v>
      </x:c>
      <x:c r="J1434" s="28" t="n">
        <x:v>0</x:v>
      </x:c>
      <x:c r="K1434" s="30" t="n">
        <x:v>1.1</x:v>
      </x:c>
      <x:c r="L1434" s="54" t="n">
        <x:f>IF(M1434=0,0,(E1434+F1434)/2)</x:f>
        <x:v>0</x:v>
      </x:c>
      <x:c r="M1434" t="n">
        <x:v>0</x:v>
      </x:c>
      <x:c r="N1434" t="n">
        <x:v>0</x:v>
      </x:c>
      <x:c r="O1434" t="n">
        <x:v>0</x:v>
      </x:c>
      <x:c r="P1434" s="63" t="str">
        <x:f>IF(M1434=0,"—",M1434&amp;"d"&amp;N1434&amp;IF(O1434=0,""," + "&amp;O1434))</x:f>
        <x:v>—</x:v>
      </x:c>
      <x:c r="Q1434" t="n">
        <x:f>ROUND(INDEX(Catalogue!E$4:E$85,MATCH(A1434,Catalogue!A$4:A$85,0))*(1+'Paramètres'!$B$4*(C1434-1)+'Paramètres'!$B$5*(C1434-1)^2),0)</x:f>
        <x:v>0</x:v>
      </x:c>
      <x:c r="R1434" t="n">
        <x:f>ROUND(INDEX(Catalogue!F$4:F$85,MATCH(A1434,Catalogue!A$4:A$85,0))*(1+'Paramètres'!$B$4*(C1434-1)+'Paramètres'!$B$5*(C1434-1)^2),0)</x:f>
        <x:v>0</x:v>
      </x:c>
      <x:c r="S1434" t="n">
        <x:f>L1434-AVERAGE(Q1434:R1434)</x:f>
        <x:v>0</x:v>
      </x:c>
      <x:c r="T1434" t="str">
        <x:f>IF(M1434=0,IF(AND(N1434=0,O1434=0,E1434=0,F1434=0),"OK","ERREUR"),IF(AND(M1434&gt;=1,M1434&lt;=32,OR(N1434=4,N1434=6,N1434=8,N1434=10,N1434=12,N1434=20),O1434&gt;=0,E1434=M1434+O1434,F1434=M1434*N1434+O1434),"OK","ERREUR"))</x:f>
        <x:v>OK</x:v>
      </x:c>
      <x:c r="U1434" s="86" t="n">
        <x:f>IF(M1434&gt;0,M1434*(N1434+1)/2+O1434,0)</x:f>
        <x:v>0</x:v>
      </x:c>
      <x:c r="V1434" t="str">
        <x:f>IF(ABS(L1434-U1434)&lt;0.001,"OK","ERREUR")</x:f>
        <x:v>OK</x:v>
      </x:c>
    </x:row>
    <x:row r="1435" ht="18" customHeight="1">
      <x:c r="A1435" t="str">
        <x:v>ARM072</x:v>
      </x:c>
      <x:c r="B1435" t="str">
        <x:v>Rondache</x:v>
      </x:c>
      <x:c r="C1435" t="n">
        <x:v>12</x:v>
      </x:c>
      <x:c r="D1435" t="str">
        <x:v>Boucliers</x:v>
      </x:c>
      <x:c r="E1435" s="28" t="n">
        <x:f>IF(M1435=0,0,M1435+O1435)</x:f>
        <x:v>0</x:v>
      </x:c>
      <x:c r="F1435" s="28" t="n">
        <x:f>IF(M1435=0,0,M1435*N1435+O1435)</x:f>
        <x:v>0</x:v>
      </x:c>
      <x:c r="G1435" s="28" t="n">
        <x:f>ROUND(Catalogue!G75*SQRT((1+'Paramètres'!$B$4*(C1435-1)+'Paramètres'!$B$5*(C1435-1)^2)),0)</x:f>
        <x:v>4</x:v>
      </x:c>
      <x:c r="H1435" s="28" t="n">
        <x:f>ROUND(Catalogue!H75*SQRT((1+'Paramètres'!$B$4*(C1435-1)+'Paramètres'!$B$5*(C1435-1)^2)),0)</x:f>
        <x:v>0</x:v>
      </x:c>
      <x:c r="I1435" s="28" t="n">
        <x:v>0</x:v>
      </x:c>
      <x:c r="J1435" s="28" t="n">
        <x:v>0</x:v>
      </x:c>
      <x:c r="K1435" s="30" t="n">
        <x:v>1.1</x:v>
      </x:c>
      <x:c r="L1435" s="54" t="n">
        <x:f>IF(M1435=0,0,(E1435+F1435)/2)</x:f>
        <x:v>0</x:v>
      </x:c>
      <x:c r="M1435" t="n">
        <x:v>0</x:v>
      </x:c>
      <x:c r="N1435" t="n">
        <x:v>0</x:v>
      </x:c>
      <x:c r="O1435" t="n">
        <x:v>0</x:v>
      </x:c>
      <x:c r="P1435" s="63" t="str">
        <x:f>IF(M1435=0,"—",M1435&amp;"d"&amp;N1435&amp;IF(O1435=0,""," + "&amp;O1435))</x:f>
        <x:v>—</x:v>
      </x:c>
      <x:c r="Q1435" t="n">
        <x:f>ROUND(INDEX(Catalogue!E$4:E$85,MATCH(A1435,Catalogue!A$4:A$85,0))*(1+'Paramètres'!$B$4*(C1435-1)+'Paramètres'!$B$5*(C1435-1)^2),0)</x:f>
        <x:v>0</x:v>
      </x:c>
      <x:c r="R1435" t="n">
        <x:f>ROUND(INDEX(Catalogue!F$4:F$85,MATCH(A1435,Catalogue!A$4:A$85,0))*(1+'Paramètres'!$B$4*(C1435-1)+'Paramètres'!$B$5*(C1435-1)^2),0)</x:f>
        <x:v>0</x:v>
      </x:c>
      <x:c r="S1435" t="n">
        <x:f>L1435-AVERAGE(Q1435:R1435)</x:f>
        <x:v>0</x:v>
      </x:c>
      <x:c r="T1435" t="str">
        <x:f>IF(M1435=0,IF(AND(N1435=0,O1435=0,E1435=0,F1435=0),"OK","ERREUR"),IF(AND(M1435&gt;=1,M1435&lt;=32,OR(N1435=4,N1435=6,N1435=8,N1435=10,N1435=12,N1435=20),O1435&gt;=0,E1435=M1435+O1435,F1435=M1435*N1435+O1435),"OK","ERREUR"))</x:f>
        <x:v>OK</x:v>
      </x:c>
      <x:c r="U1435" s="86" t="n">
        <x:f>IF(M1435&gt;0,M1435*(N1435+1)/2+O1435,0)</x:f>
        <x:v>0</x:v>
      </x:c>
      <x:c r="V1435" t="str">
        <x:f>IF(ABS(L1435-U1435)&lt;0.001,"OK","ERREUR")</x:f>
        <x:v>OK</x:v>
      </x:c>
    </x:row>
    <x:row r="1436" ht="18" customHeight="1">
      <x:c r="A1436" t="str">
        <x:v>ARM072</x:v>
      </x:c>
      <x:c r="B1436" t="str">
        <x:v>Rondache</x:v>
      </x:c>
      <x:c r="C1436" t="n">
        <x:v>13</x:v>
      </x:c>
      <x:c r="D1436" t="str">
        <x:v>Boucliers</x:v>
      </x:c>
      <x:c r="E1436" s="28" t="n">
        <x:f>IF(M1436=0,0,M1436+O1436)</x:f>
        <x:v>0</x:v>
      </x:c>
      <x:c r="F1436" s="28" t="n">
        <x:f>IF(M1436=0,0,M1436*N1436+O1436)</x:f>
        <x:v>0</x:v>
      </x:c>
      <x:c r="G1436" s="28" t="n">
        <x:f>ROUND(Catalogue!G75*SQRT((1+'Paramètres'!$B$4*(C1436-1)+'Paramètres'!$B$5*(C1436-1)^2)),0)</x:f>
        <x:v>4</x:v>
      </x:c>
      <x:c r="H1436" s="28" t="n">
        <x:f>ROUND(Catalogue!H75*SQRT((1+'Paramètres'!$B$4*(C1436-1)+'Paramètres'!$B$5*(C1436-1)^2)),0)</x:f>
        <x:v>0</x:v>
      </x:c>
      <x:c r="I1436" s="28" t="n">
        <x:v>0</x:v>
      </x:c>
      <x:c r="J1436" s="28" t="n">
        <x:v>0</x:v>
      </x:c>
      <x:c r="K1436" s="30" t="n">
        <x:v>1.1</x:v>
      </x:c>
      <x:c r="L1436" s="54" t="n">
        <x:f>IF(M1436=0,0,(E1436+F1436)/2)</x:f>
        <x:v>0</x:v>
      </x:c>
      <x:c r="M1436" t="n">
        <x:v>0</x:v>
      </x:c>
      <x:c r="N1436" t="n">
        <x:v>0</x:v>
      </x:c>
      <x:c r="O1436" t="n">
        <x:v>0</x:v>
      </x:c>
      <x:c r="P1436" s="63" t="str">
        <x:f>IF(M1436=0,"—",M1436&amp;"d"&amp;N1436&amp;IF(O1436=0,""," + "&amp;O1436))</x:f>
        <x:v>—</x:v>
      </x:c>
      <x:c r="Q1436" t="n">
        <x:f>ROUND(INDEX(Catalogue!E$4:E$85,MATCH(A1436,Catalogue!A$4:A$85,0))*(1+'Paramètres'!$B$4*(C1436-1)+'Paramètres'!$B$5*(C1436-1)^2),0)</x:f>
        <x:v>0</x:v>
      </x:c>
      <x:c r="R1436" t="n">
        <x:f>ROUND(INDEX(Catalogue!F$4:F$85,MATCH(A1436,Catalogue!A$4:A$85,0))*(1+'Paramètres'!$B$4*(C1436-1)+'Paramètres'!$B$5*(C1436-1)^2),0)</x:f>
        <x:v>0</x:v>
      </x:c>
      <x:c r="S1436" t="n">
        <x:f>L1436-AVERAGE(Q1436:R1436)</x:f>
        <x:v>0</x:v>
      </x:c>
      <x:c r="T1436" t="str">
        <x:f>IF(M1436=0,IF(AND(N1436=0,O1436=0,E1436=0,F1436=0),"OK","ERREUR"),IF(AND(M1436&gt;=1,M1436&lt;=32,OR(N1436=4,N1436=6,N1436=8,N1436=10,N1436=12,N1436=20),O1436&gt;=0,E1436=M1436+O1436,F1436=M1436*N1436+O1436),"OK","ERREUR"))</x:f>
        <x:v>OK</x:v>
      </x:c>
      <x:c r="U1436" s="86" t="n">
        <x:f>IF(M1436&gt;0,M1436*(N1436+1)/2+O1436,0)</x:f>
        <x:v>0</x:v>
      </x:c>
      <x:c r="V1436" t="str">
        <x:f>IF(ABS(L1436-U1436)&lt;0.001,"OK","ERREUR")</x:f>
        <x:v>OK</x:v>
      </x:c>
    </x:row>
    <x:row r="1437" ht="18" customHeight="1">
      <x:c r="A1437" t="str">
        <x:v>ARM072</x:v>
      </x:c>
      <x:c r="B1437" t="str">
        <x:v>Rondache</x:v>
      </x:c>
      <x:c r="C1437" t="n">
        <x:v>14</x:v>
      </x:c>
      <x:c r="D1437" t="str">
        <x:v>Boucliers</x:v>
      </x:c>
      <x:c r="E1437" s="28" t="n">
        <x:f>IF(M1437=0,0,M1437+O1437)</x:f>
        <x:v>0</x:v>
      </x:c>
      <x:c r="F1437" s="28" t="n">
        <x:f>IF(M1437=0,0,M1437*N1437+O1437)</x:f>
        <x:v>0</x:v>
      </x:c>
      <x:c r="G1437" s="28" t="n">
        <x:f>ROUND(Catalogue!G75*SQRT((1+'Paramètres'!$B$4*(C1437-1)+'Paramètres'!$B$5*(C1437-1)^2)),0)</x:f>
        <x:v>5</x:v>
      </x:c>
      <x:c r="H1437" s="28" t="n">
        <x:f>ROUND(Catalogue!H75*SQRT((1+'Paramètres'!$B$4*(C1437-1)+'Paramètres'!$B$5*(C1437-1)^2)),0)</x:f>
        <x:v>0</x:v>
      </x:c>
      <x:c r="I1437" s="28" t="n">
        <x:v>0</x:v>
      </x:c>
      <x:c r="J1437" s="28" t="n">
        <x:v>0</x:v>
      </x:c>
      <x:c r="K1437" s="30" t="n">
        <x:v>1.1</x:v>
      </x:c>
      <x:c r="L1437" s="54" t="n">
        <x:f>IF(M1437=0,0,(E1437+F1437)/2)</x:f>
        <x:v>0</x:v>
      </x:c>
      <x:c r="M1437" t="n">
        <x:v>0</x:v>
      </x:c>
      <x:c r="N1437" t="n">
        <x:v>0</x:v>
      </x:c>
      <x:c r="O1437" t="n">
        <x:v>0</x:v>
      </x:c>
      <x:c r="P1437" s="63" t="str">
        <x:f>IF(M1437=0,"—",M1437&amp;"d"&amp;N1437&amp;IF(O1437=0,""," + "&amp;O1437))</x:f>
        <x:v>—</x:v>
      </x:c>
      <x:c r="Q1437" t="n">
        <x:f>ROUND(INDEX(Catalogue!E$4:E$85,MATCH(A1437,Catalogue!A$4:A$85,0))*(1+'Paramètres'!$B$4*(C1437-1)+'Paramètres'!$B$5*(C1437-1)^2),0)</x:f>
        <x:v>0</x:v>
      </x:c>
      <x:c r="R1437" t="n">
        <x:f>ROUND(INDEX(Catalogue!F$4:F$85,MATCH(A1437,Catalogue!A$4:A$85,0))*(1+'Paramètres'!$B$4*(C1437-1)+'Paramètres'!$B$5*(C1437-1)^2),0)</x:f>
        <x:v>0</x:v>
      </x:c>
      <x:c r="S1437" t="n">
        <x:f>L1437-AVERAGE(Q1437:R1437)</x:f>
        <x:v>0</x:v>
      </x:c>
      <x:c r="T1437" t="str">
        <x:f>IF(M1437=0,IF(AND(N1437=0,O1437=0,E1437=0,F1437=0),"OK","ERREUR"),IF(AND(M1437&gt;=1,M1437&lt;=32,OR(N1437=4,N1437=6,N1437=8,N1437=10,N1437=12,N1437=20),O1437&gt;=0,E1437=M1437+O1437,F1437=M1437*N1437+O1437),"OK","ERREUR"))</x:f>
        <x:v>OK</x:v>
      </x:c>
      <x:c r="U1437" s="86" t="n">
        <x:f>IF(M1437&gt;0,M1437*(N1437+1)/2+O1437,0)</x:f>
        <x:v>0</x:v>
      </x:c>
      <x:c r="V1437" t="str">
        <x:f>IF(ABS(L1437-U1437)&lt;0.001,"OK","ERREUR")</x:f>
        <x:v>OK</x:v>
      </x:c>
    </x:row>
    <x:row r="1438" ht="18" customHeight="1">
      <x:c r="A1438" t="str">
        <x:v>ARM072</x:v>
      </x:c>
      <x:c r="B1438" t="str">
        <x:v>Rondache</x:v>
      </x:c>
      <x:c r="C1438" t="n">
        <x:v>15</x:v>
      </x:c>
      <x:c r="D1438" t="str">
        <x:v>Boucliers</x:v>
      </x:c>
      <x:c r="E1438" s="28" t="n">
        <x:f>IF(M1438=0,0,M1438+O1438)</x:f>
        <x:v>0</x:v>
      </x:c>
      <x:c r="F1438" s="28" t="n">
        <x:f>IF(M1438=0,0,M1438*N1438+O1438)</x:f>
        <x:v>0</x:v>
      </x:c>
      <x:c r="G1438" s="28" t="n">
        <x:f>ROUND(Catalogue!G75*SQRT((1+'Paramètres'!$B$4*(C1438-1)+'Paramètres'!$B$5*(C1438-1)^2)),0)</x:f>
        <x:v>5</x:v>
      </x:c>
      <x:c r="H1438" s="28" t="n">
        <x:f>ROUND(Catalogue!H75*SQRT((1+'Paramètres'!$B$4*(C1438-1)+'Paramètres'!$B$5*(C1438-1)^2)),0)</x:f>
        <x:v>0</x:v>
      </x:c>
      <x:c r="I1438" s="28" t="n">
        <x:v>0</x:v>
      </x:c>
      <x:c r="J1438" s="28" t="n">
        <x:v>0</x:v>
      </x:c>
      <x:c r="K1438" s="30" t="n">
        <x:v>1.1</x:v>
      </x:c>
      <x:c r="L1438" s="54" t="n">
        <x:f>IF(M1438=0,0,(E1438+F1438)/2)</x:f>
        <x:v>0</x:v>
      </x:c>
      <x:c r="M1438" t="n">
        <x:v>0</x:v>
      </x:c>
      <x:c r="N1438" t="n">
        <x:v>0</x:v>
      </x:c>
      <x:c r="O1438" t="n">
        <x:v>0</x:v>
      </x:c>
      <x:c r="P1438" s="63" t="str">
        <x:f>IF(M1438=0,"—",M1438&amp;"d"&amp;N1438&amp;IF(O1438=0,""," + "&amp;O1438))</x:f>
        <x:v>—</x:v>
      </x:c>
      <x:c r="Q1438" t="n">
        <x:f>ROUND(INDEX(Catalogue!E$4:E$85,MATCH(A1438,Catalogue!A$4:A$85,0))*(1+'Paramètres'!$B$4*(C1438-1)+'Paramètres'!$B$5*(C1438-1)^2),0)</x:f>
        <x:v>0</x:v>
      </x:c>
      <x:c r="R1438" t="n">
        <x:f>ROUND(INDEX(Catalogue!F$4:F$85,MATCH(A1438,Catalogue!A$4:A$85,0))*(1+'Paramètres'!$B$4*(C1438-1)+'Paramètres'!$B$5*(C1438-1)^2),0)</x:f>
        <x:v>0</x:v>
      </x:c>
      <x:c r="S1438" t="n">
        <x:f>L1438-AVERAGE(Q1438:R1438)</x:f>
        <x:v>0</x:v>
      </x:c>
      <x:c r="T1438" t="str">
        <x:f>IF(M1438=0,IF(AND(N1438=0,O1438=0,E1438=0,F1438=0),"OK","ERREUR"),IF(AND(M1438&gt;=1,M1438&lt;=32,OR(N1438=4,N1438=6,N1438=8,N1438=10,N1438=12,N1438=20),O1438&gt;=0,E1438=M1438+O1438,F1438=M1438*N1438+O1438),"OK","ERREUR"))</x:f>
        <x:v>OK</x:v>
      </x:c>
      <x:c r="U1438" s="86" t="n">
        <x:f>IF(M1438&gt;0,M1438*(N1438+1)/2+O1438,0)</x:f>
        <x:v>0</x:v>
      </x:c>
      <x:c r="V1438" t="str">
        <x:f>IF(ABS(L1438-U1438)&lt;0.001,"OK","ERREUR")</x:f>
        <x:v>OK</x:v>
      </x:c>
    </x:row>
    <x:row r="1439" ht="18" customHeight="1">
      <x:c r="A1439" t="str">
        <x:v>ARM072</x:v>
      </x:c>
      <x:c r="B1439" t="str">
        <x:v>Rondache</x:v>
      </x:c>
      <x:c r="C1439" t="n">
        <x:v>16</x:v>
      </x:c>
      <x:c r="D1439" t="str">
        <x:v>Boucliers</x:v>
      </x:c>
      <x:c r="E1439" s="28" t="n">
        <x:f>IF(M1439=0,0,M1439+O1439)</x:f>
        <x:v>0</x:v>
      </x:c>
      <x:c r="F1439" s="28" t="n">
        <x:f>IF(M1439=0,0,M1439*N1439+O1439)</x:f>
        <x:v>0</x:v>
      </x:c>
      <x:c r="G1439" s="28" t="n">
        <x:f>ROUND(Catalogue!G75*SQRT((1+'Paramètres'!$B$4*(C1439-1)+'Paramètres'!$B$5*(C1439-1)^2)),0)</x:f>
        <x:v>5</x:v>
      </x:c>
      <x:c r="H1439" s="28" t="n">
        <x:f>ROUND(Catalogue!H75*SQRT((1+'Paramètres'!$B$4*(C1439-1)+'Paramètres'!$B$5*(C1439-1)^2)),0)</x:f>
        <x:v>0</x:v>
      </x:c>
      <x:c r="I1439" s="28" t="n">
        <x:v>0</x:v>
      </x:c>
      <x:c r="J1439" s="28" t="n">
        <x:v>0</x:v>
      </x:c>
      <x:c r="K1439" s="30" t="n">
        <x:v>1.1</x:v>
      </x:c>
      <x:c r="L1439" s="54" t="n">
        <x:f>IF(M1439=0,0,(E1439+F1439)/2)</x:f>
        <x:v>0</x:v>
      </x:c>
      <x:c r="M1439" t="n">
        <x:v>0</x:v>
      </x:c>
      <x:c r="N1439" t="n">
        <x:v>0</x:v>
      </x:c>
      <x:c r="O1439" t="n">
        <x:v>0</x:v>
      </x:c>
      <x:c r="P1439" s="63" t="str">
        <x:f>IF(M1439=0,"—",M1439&amp;"d"&amp;N1439&amp;IF(O1439=0,""," + "&amp;O1439))</x:f>
        <x:v>—</x:v>
      </x:c>
      <x:c r="Q1439" t="n">
        <x:f>ROUND(INDEX(Catalogue!E$4:E$85,MATCH(A1439,Catalogue!A$4:A$85,0))*(1+'Paramètres'!$B$4*(C1439-1)+'Paramètres'!$B$5*(C1439-1)^2),0)</x:f>
        <x:v>0</x:v>
      </x:c>
      <x:c r="R1439" t="n">
        <x:f>ROUND(INDEX(Catalogue!F$4:F$85,MATCH(A1439,Catalogue!A$4:A$85,0))*(1+'Paramètres'!$B$4*(C1439-1)+'Paramètres'!$B$5*(C1439-1)^2),0)</x:f>
        <x:v>0</x:v>
      </x:c>
      <x:c r="S1439" t="n">
        <x:f>L1439-AVERAGE(Q1439:R1439)</x:f>
        <x:v>0</x:v>
      </x:c>
      <x:c r="T1439" t="str">
        <x:f>IF(M1439=0,IF(AND(N1439=0,O1439=0,E1439=0,F1439=0),"OK","ERREUR"),IF(AND(M1439&gt;=1,M1439&lt;=32,OR(N1439=4,N1439=6,N1439=8,N1439=10,N1439=12,N1439=20),O1439&gt;=0,E1439=M1439+O1439,F1439=M1439*N1439+O1439),"OK","ERREUR"))</x:f>
        <x:v>OK</x:v>
      </x:c>
      <x:c r="U1439" s="86" t="n">
        <x:f>IF(M1439&gt;0,M1439*(N1439+1)/2+O1439,0)</x:f>
        <x:v>0</x:v>
      </x:c>
      <x:c r="V1439" t="str">
        <x:f>IF(ABS(L1439-U1439)&lt;0.001,"OK","ERREUR")</x:f>
        <x:v>OK</x:v>
      </x:c>
    </x:row>
    <x:row r="1440" ht="18" customHeight="1">
      <x:c r="A1440" t="str">
        <x:v>ARM072</x:v>
      </x:c>
      <x:c r="B1440" t="str">
        <x:v>Rondache</x:v>
      </x:c>
      <x:c r="C1440" t="n">
        <x:v>17</x:v>
      </x:c>
      <x:c r="D1440" t="str">
        <x:v>Boucliers</x:v>
      </x:c>
      <x:c r="E1440" s="28" t="n">
        <x:f>IF(M1440=0,0,M1440+O1440)</x:f>
        <x:v>0</x:v>
      </x:c>
      <x:c r="F1440" s="28" t="n">
        <x:f>IF(M1440=0,0,M1440*N1440+O1440)</x:f>
        <x:v>0</x:v>
      </x:c>
      <x:c r="G1440" s="28" t="n">
        <x:f>ROUND(Catalogue!G75*SQRT((1+'Paramètres'!$B$4*(C1440-1)+'Paramètres'!$B$5*(C1440-1)^2)),0)</x:f>
        <x:v>5</x:v>
      </x:c>
      <x:c r="H1440" s="28" t="n">
        <x:f>ROUND(Catalogue!H75*SQRT((1+'Paramètres'!$B$4*(C1440-1)+'Paramètres'!$B$5*(C1440-1)^2)),0)</x:f>
        <x:v>0</x:v>
      </x:c>
      <x:c r="I1440" s="28" t="n">
        <x:v>0</x:v>
      </x:c>
      <x:c r="J1440" s="28" t="n">
        <x:v>0</x:v>
      </x:c>
      <x:c r="K1440" s="30" t="n">
        <x:v>1.1</x:v>
      </x:c>
      <x:c r="L1440" s="54" t="n">
        <x:f>IF(M1440=0,0,(E1440+F1440)/2)</x:f>
        <x:v>0</x:v>
      </x:c>
      <x:c r="M1440" t="n">
        <x:v>0</x:v>
      </x:c>
      <x:c r="N1440" t="n">
        <x:v>0</x:v>
      </x:c>
      <x:c r="O1440" t="n">
        <x:v>0</x:v>
      </x:c>
      <x:c r="P1440" s="63" t="str">
        <x:f>IF(M1440=0,"—",M1440&amp;"d"&amp;N1440&amp;IF(O1440=0,""," + "&amp;O1440))</x:f>
        <x:v>—</x:v>
      </x:c>
      <x:c r="Q1440" t="n">
        <x:f>ROUND(INDEX(Catalogue!E$4:E$85,MATCH(A1440,Catalogue!A$4:A$85,0))*(1+'Paramètres'!$B$4*(C1440-1)+'Paramètres'!$B$5*(C1440-1)^2),0)</x:f>
        <x:v>0</x:v>
      </x:c>
      <x:c r="R1440" t="n">
        <x:f>ROUND(INDEX(Catalogue!F$4:F$85,MATCH(A1440,Catalogue!A$4:A$85,0))*(1+'Paramètres'!$B$4*(C1440-1)+'Paramètres'!$B$5*(C1440-1)^2),0)</x:f>
        <x:v>0</x:v>
      </x:c>
      <x:c r="S1440" t="n">
        <x:f>L1440-AVERAGE(Q1440:R1440)</x:f>
        <x:v>0</x:v>
      </x:c>
      <x:c r="T1440" t="str">
        <x:f>IF(M1440=0,IF(AND(N1440=0,O1440=0,E1440=0,F1440=0),"OK","ERREUR"),IF(AND(M1440&gt;=1,M1440&lt;=32,OR(N1440=4,N1440=6,N1440=8,N1440=10,N1440=12,N1440=20),O1440&gt;=0,E1440=M1440+O1440,F1440=M1440*N1440+O1440),"OK","ERREUR"))</x:f>
        <x:v>OK</x:v>
      </x:c>
      <x:c r="U1440" s="86" t="n">
        <x:f>IF(M1440&gt;0,M1440*(N1440+1)/2+O1440,0)</x:f>
        <x:v>0</x:v>
      </x:c>
      <x:c r="V1440" t="str">
        <x:f>IF(ABS(L1440-U1440)&lt;0.001,"OK","ERREUR")</x:f>
        <x:v>OK</x:v>
      </x:c>
    </x:row>
    <x:row r="1441" ht="18" customHeight="1">
      <x:c r="A1441" t="str">
        <x:v>ARM072</x:v>
      </x:c>
      <x:c r="B1441" t="str">
        <x:v>Rondache</x:v>
      </x:c>
      <x:c r="C1441" t="n">
        <x:v>18</x:v>
      </x:c>
      <x:c r="D1441" t="str">
        <x:v>Boucliers</x:v>
      </x:c>
      <x:c r="E1441" s="28" t="n">
        <x:f>IF(M1441=0,0,M1441+O1441)</x:f>
        <x:v>0</x:v>
      </x:c>
      <x:c r="F1441" s="28" t="n">
        <x:f>IF(M1441=0,0,M1441*N1441+O1441)</x:f>
        <x:v>0</x:v>
      </x:c>
      <x:c r="G1441" s="28" t="n">
        <x:f>ROUND(Catalogue!G75*SQRT((1+'Paramètres'!$B$4*(C1441-1)+'Paramètres'!$B$5*(C1441-1)^2)),0)</x:f>
        <x:v>5</x:v>
      </x:c>
      <x:c r="H1441" s="28" t="n">
        <x:f>ROUND(Catalogue!H75*SQRT((1+'Paramètres'!$B$4*(C1441-1)+'Paramètres'!$B$5*(C1441-1)^2)),0)</x:f>
        <x:v>0</x:v>
      </x:c>
      <x:c r="I1441" s="28" t="n">
        <x:v>0</x:v>
      </x:c>
      <x:c r="J1441" s="28" t="n">
        <x:v>0</x:v>
      </x:c>
      <x:c r="K1441" s="30" t="n">
        <x:v>1.1</x:v>
      </x:c>
      <x:c r="L1441" s="54" t="n">
        <x:f>IF(M1441=0,0,(E1441+F1441)/2)</x:f>
        <x:v>0</x:v>
      </x:c>
      <x:c r="M1441" t="n">
        <x:v>0</x:v>
      </x:c>
      <x:c r="N1441" t="n">
        <x:v>0</x:v>
      </x:c>
      <x:c r="O1441" t="n">
        <x:v>0</x:v>
      </x:c>
      <x:c r="P1441" s="63" t="str">
        <x:f>IF(M1441=0,"—",M1441&amp;"d"&amp;N1441&amp;IF(O1441=0,""," + "&amp;O1441))</x:f>
        <x:v>—</x:v>
      </x:c>
      <x:c r="Q1441" t="n">
        <x:f>ROUND(INDEX(Catalogue!E$4:E$85,MATCH(A1441,Catalogue!A$4:A$85,0))*(1+'Paramètres'!$B$4*(C1441-1)+'Paramètres'!$B$5*(C1441-1)^2),0)</x:f>
        <x:v>0</x:v>
      </x:c>
      <x:c r="R1441" t="n">
        <x:f>ROUND(INDEX(Catalogue!F$4:F$85,MATCH(A1441,Catalogue!A$4:A$85,0))*(1+'Paramètres'!$B$4*(C1441-1)+'Paramètres'!$B$5*(C1441-1)^2),0)</x:f>
        <x:v>0</x:v>
      </x:c>
      <x:c r="S1441" t="n">
        <x:f>L1441-AVERAGE(Q1441:R1441)</x:f>
        <x:v>0</x:v>
      </x:c>
      <x:c r="T1441" t="str">
        <x:f>IF(M1441=0,IF(AND(N1441=0,O1441=0,E1441=0,F1441=0),"OK","ERREUR"),IF(AND(M1441&gt;=1,M1441&lt;=32,OR(N1441=4,N1441=6,N1441=8,N1441=10,N1441=12,N1441=20),O1441&gt;=0,E1441=M1441+O1441,F1441=M1441*N1441+O1441),"OK","ERREUR"))</x:f>
        <x:v>OK</x:v>
      </x:c>
      <x:c r="U1441" s="86" t="n">
        <x:f>IF(M1441&gt;0,M1441*(N1441+1)/2+O1441,0)</x:f>
        <x:v>0</x:v>
      </x:c>
      <x:c r="V1441" t="str">
        <x:f>IF(ABS(L1441-U1441)&lt;0.001,"OK","ERREUR")</x:f>
        <x:v>OK</x:v>
      </x:c>
    </x:row>
    <x:row r="1442" ht="18" customHeight="1">
      <x:c r="A1442" t="str">
        <x:v>ARM072</x:v>
      </x:c>
      <x:c r="B1442" t="str">
        <x:v>Rondache</x:v>
      </x:c>
      <x:c r="C1442" t="n">
        <x:v>19</x:v>
      </x:c>
      <x:c r="D1442" t="str">
        <x:v>Boucliers</x:v>
      </x:c>
      <x:c r="E1442" s="28" t="n">
        <x:f>IF(M1442=0,0,M1442+O1442)</x:f>
        <x:v>0</x:v>
      </x:c>
      <x:c r="F1442" s="28" t="n">
        <x:f>IF(M1442=0,0,M1442*N1442+O1442)</x:f>
        <x:v>0</x:v>
      </x:c>
      <x:c r="G1442" s="28" t="n">
        <x:f>ROUND(Catalogue!G75*SQRT((1+'Paramètres'!$B$4*(C1442-1)+'Paramètres'!$B$5*(C1442-1)^2)),0)</x:f>
        <x:v>6</x:v>
      </x:c>
      <x:c r="H1442" s="28" t="n">
        <x:f>ROUND(Catalogue!H75*SQRT((1+'Paramètres'!$B$4*(C1442-1)+'Paramètres'!$B$5*(C1442-1)^2)),0)</x:f>
        <x:v>0</x:v>
      </x:c>
      <x:c r="I1442" s="28" t="n">
        <x:v>0</x:v>
      </x:c>
      <x:c r="J1442" s="28" t="n">
        <x:v>0</x:v>
      </x:c>
      <x:c r="K1442" s="30" t="n">
        <x:v>1.1</x:v>
      </x:c>
      <x:c r="L1442" s="54" t="n">
        <x:f>IF(M1442=0,0,(E1442+F1442)/2)</x:f>
        <x:v>0</x:v>
      </x:c>
      <x:c r="M1442" t="n">
        <x:v>0</x:v>
      </x:c>
      <x:c r="N1442" t="n">
        <x:v>0</x:v>
      </x:c>
      <x:c r="O1442" t="n">
        <x:v>0</x:v>
      </x:c>
      <x:c r="P1442" s="63" t="str">
        <x:f>IF(M1442=0,"—",M1442&amp;"d"&amp;N1442&amp;IF(O1442=0,""," + "&amp;O1442))</x:f>
        <x:v>—</x:v>
      </x:c>
      <x:c r="Q1442" t="n">
        <x:f>ROUND(INDEX(Catalogue!E$4:E$85,MATCH(A1442,Catalogue!A$4:A$85,0))*(1+'Paramètres'!$B$4*(C1442-1)+'Paramètres'!$B$5*(C1442-1)^2),0)</x:f>
        <x:v>0</x:v>
      </x:c>
      <x:c r="R1442" t="n">
        <x:f>ROUND(INDEX(Catalogue!F$4:F$85,MATCH(A1442,Catalogue!A$4:A$85,0))*(1+'Paramètres'!$B$4*(C1442-1)+'Paramètres'!$B$5*(C1442-1)^2),0)</x:f>
        <x:v>0</x:v>
      </x:c>
      <x:c r="S1442" t="n">
        <x:f>L1442-AVERAGE(Q1442:R1442)</x:f>
        <x:v>0</x:v>
      </x:c>
      <x:c r="T1442" t="str">
        <x:f>IF(M1442=0,IF(AND(N1442=0,O1442=0,E1442=0,F1442=0),"OK","ERREUR"),IF(AND(M1442&gt;=1,M1442&lt;=32,OR(N1442=4,N1442=6,N1442=8,N1442=10,N1442=12,N1442=20),O1442&gt;=0,E1442=M1442+O1442,F1442=M1442*N1442+O1442),"OK","ERREUR"))</x:f>
        <x:v>OK</x:v>
      </x:c>
      <x:c r="U1442" s="86" t="n">
        <x:f>IF(M1442&gt;0,M1442*(N1442+1)/2+O1442,0)</x:f>
        <x:v>0</x:v>
      </x:c>
      <x:c r="V1442" t="str">
        <x:f>IF(ABS(L1442-U1442)&lt;0.001,"OK","ERREUR")</x:f>
        <x:v>OK</x:v>
      </x:c>
    </x:row>
    <x:row r="1443" ht="18" customHeight="1">
      <x:c r="A1443" t="str">
        <x:v>ARM072</x:v>
      </x:c>
      <x:c r="B1443" t="str">
        <x:v>Rondache</x:v>
      </x:c>
      <x:c r="C1443" t="n">
        <x:v>20</x:v>
      </x:c>
      <x:c r="D1443" t="str">
        <x:v>Boucliers</x:v>
      </x:c>
      <x:c r="E1443" s="28" t="n">
        <x:f>IF(M1443=0,0,M1443+O1443)</x:f>
        <x:v>0</x:v>
      </x:c>
      <x:c r="F1443" s="28" t="n">
        <x:f>IF(M1443=0,0,M1443*N1443+O1443)</x:f>
        <x:v>0</x:v>
      </x:c>
      <x:c r="G1443" s="28" t="n">
        <x:f>ROUND(Catalogue!G75*SQRT((1+'Paramètres'!$B$4*(C1443-1)+'Paramètres'!$B$5*(C1443-1)^2)),0)</x:f>
        <x:v>6</x:v>
      </x:c>
      <x:c r="H1443" s="28" t="n">
        <x:f>ROUND(Catalogue!H75*SQRT((1+'Paramètres'!$B$4*(C1443-1)+'Paramètres'!$B$5*(C1443-1)^2)),0)</x:f>
        <x:v>0</x:v>
      </x:c>
      <x:c r="I1443" s="28" t="n">
        <x:v>0</x:v>
      </x:c>
      <x:c r="J1443" s="28" t="n">
        <x:v>0</x:v>
      </x:c>
      <x:c r="K1443" s="30" t="n">
        <x:v>1.1</x:v>
      </x:c>
      <x:c r="L1443" s="54" t="n">
        <x:f>IF(M1443=0,0,(E1443+F1443)/2)</x:f>
        <x:v>0</x:v>
      </x:c>
      <x:c r="M1443" t="n">
        <x:v>0</x:v>
      </x:c>
      <x:c r="N1443" t="n">
        <x:v>0</x:v>
      </x:c>
      <x:c r="O1443" t="n">
        <x:v>0</x:v>
      </x:c>
      <x:c r="P1443" s="63" t="str">
        <x:f>IF(M1443=0,"—",M1443&amp;"d"&amp;N1443&amp;IF(O1443=0,""," + "&amp;O1443))</x:f>
        <x:v>—</x:v>
      </x:c>
      <x:c r="Q1443" t="n">
        <x:f>ROUND(INDEX(Catalogue!E$4:E$85,MATCH(A1443,Catalogue!A$4:A$85,0))*(1+'Paramètres'!$B$4*(C1443-1)+'Paramètres'!$B$5*(C1443-1)^2),0)</x:f>
        <x:v>0</x:v>
      </x:c>
      <x:c r="R1443" t="n">
        <x:f>ROUND(INDEX(Catalogue!F$4:F$85,MATCH(A1443,Catalogue!A$4:A$85,0))*(1+'Paramètres'!$B$4*(C1443-1)+'Paramètres'!$B$5*(C1443-1)^2),0)</x:f>
        <x:v>0</x:v>
      </x:c>
      <x:c r="S1443" t="n">
        <x:f>L1443-AVERAGE(Q1443:R1443)</x:f>
        <x:v>0</x:v>
      </x:c>
      <x:c r="T1443" t="str">
        <x:f>IF(M1443=0,IF(AND(N1443=0,O1443=0,E1443=0,F1443=0),"OK","ERREUR"),IF(AND(M1443&gt;=1,M1443&lt;=32,OR(N1443=4,N1443=6,N1443=8,N1443=10,N1443=12,N1443=20),O1443&gt;=0,E1443=M1443+O1443,F1443=M1443*N1443+O1443),"OK","ERREUR"))</x:f>
        <x:v>OK</x:v>
      </x:c>
      <x:c r="U1443" s="86" t="n">
        <x:f>IF(M1443&gt;0,M1443*(N1443+1)/2+O1443,0)</x:f>
        <x:v>0</x:v>
      </x:c>
      <x:c r="V1443" t="str">
        <x:f>IF(ABS(L1443-U1443)&lt;0.001,"OK","ERREUR")</x:f>
        <x:v>OK</x:v>
      </x:c>
    </x:row>
    <x:row r="1444" ht="18" customHeight="1">
      <x:c r="A1444" t="str">
        <x:v>ARM073</x:v>
      </x:c>
      <x:c r="B1444" t="str">
        <x:v>Targe</x:v>
      </x:c>
      <x:c r="C1444" t="n">
        <x:v>1</x:v>
      </x:c>
      <x:c r="D1444" t="str">
        <x:v>Boucliers</x:v>
      </x:c>
      <x:c r="E1444" s="28" t="n">
        <x:f>IF(M1444=0,0,M1444+O1444)</x:f>
        <x:v>0</x:v>
      </x:c>
      <x:c r="F1444" s="28" t="n">
        <x:f>IF(M1444=0,0,M1444*N1444+O1444)</x:f>
        <x:v>0</x:v>
      </x:c>
      <x:c r="G1444" s="28" t="n">
        <x:f>ROUND(Catalogue!G76*SQRT((1+'Paramètres'!$B$4*(C1444-1)+'Paramètres'!$B$5*(C1444-1)^2)),0)</x:f>
        <x:v>3</x:v>
      </x:c>
      <x:c r="H1444" s="28" t="n">
        <x:f>ROUND(Catalogue!H76*SQRT((1+'Paramètres'!$B$4*(C1444-1)+'Paramètres'!$B$5*(C1444-1)^2)),0)</x:f>
        <x:v>0</x:v>
      </x:c>
      <x:c r="I1444" s="28" t="n">
        <x:v>0</x:v>
      </x:c>
      <x:c r="J1444" s="28" t="n">
        <x:v>0</x:v>
      </x:c>
      <x:c r="K1444" s="30" t="n">
        <x:v>1.5</x:v>
      </x:c>
      <x:c r="L1444" s="54" t="n">
        <x:f>IF(M1444=0,0,(E1444+F1444)/2)</x:f>
        <x:v>0</x:v>
      </x:c>
      <x:c r="M1444" t="n">
        <x:v>0</x:v>
      </x:c>
      <x:c r="N1444" t="n">
        <x:v>0</x:v>
      </x:c>
      <x:c r="O1444" t="n">
        <x:v>0</x:v>
      </x:c>
      <x:c r="P1444" s="63" t="str">
        <x:f>IF(M1444=0,"—",M1444&amp;"d"&amp;N1444&amp;IF(O1444=0,""," + "&amp;O1444))</x:f>
        <x:v>—</x:v>
      </x:c>
      <x:c r="Q1444" t="n">
        <x:f>ROUND(INDEX(Catalogue!E$4:E$85,MATCH(A1444,Catalogue!A$4:A$85,0))*(1+'Paramètres'!$B$4*(C1444-1)+'Paramètres'!$B$5*(C1444-1)^2),0)</x:f>
        <x:v>0</x:v>
      </x:c>
      <x:c r="R1444" t="n">
        <x:f>ROUND(INDEX(Catalogue!F$4:F$85,MATCH(A1444,Catalogue!A$4:A$85,0))*(1+'Paramètres'!$B$4*(C1444-1)+'Paramètres'!$B$5*(C1444-1)^2),0)</x:f>
        <x:v>0</x:v>
      </x:c>
      <x:c r="S1444" t="n">
        <x:f>L1444-AVERAGE(Q1444:R1444)</x:f>
        <x:v>0</x:v>
      </x:c>
      <x:c r="T1444" t="str">
        <x:f>IF(M1444=0,IF(AND(N1444=0,O1444=0,E1444=0,F1444=0),"OK","ERREUR"),IF(AND(M1444&gt;=1,M1444&lt;=32,OR(N1444=4,N1444=6,N1444=8,N1444=10,N1444=12,N1444=20),O1444&gt;=0,E1444=M1444+O1444,F1444=M1444*N1444+O1444),"OK","ERREUR"))</x:f>
        <x:v>OK</x:v>
      </x:c>
      <x:c r="U1444" s="86" t="n">
        <x:f>IF(M1444&gt;0,M1444*(N1444+1)/2+O1444,0)</x:f>
        <x:v>0</x:v>
      </x:c>
      <x:c r="V1444" t="str">
        <x:f>IF(ABS(L1444-U1444)&lt;0.001,"OK","ERREUR")</x:f>
        <x:v>OK</x:v>
      </x:c>
    </x:row>
    <x:row r="1445" ht="18" customHeight="1">
      <x:c r="A1445" t="str">
        <x:v>ARM073</x:v>
      </x:c>
      <x:c r="B1445" t="str">
        <x:v>Targe</x:v>
      </x:c>
      <x:c r="C1445" t="n">
        <x:v>2</x:v>
      </x:c>
      <x:c r="D1445" t="str">
        <x:v>Boucliers</x:v>
      </x:c>
      <x:c r="E1445" s="28" t="n">
        <x:f>IF(M1445=0,0,M1445+O1445)</x:f>
        <x:v>0</x:v>
      </x:c>
      <x:c r="F1445" s="28" t="n">
        <x:f>IF(M1445=0,0,M1445*N1445+O1445)</x:f>
        <x:v>0</x:v>
      </x:c>
      <x:c r="G1445" s="28" t="n">
        <x:f>ROUND(Catalogue!G76*SQRT((1+'Paramètres'!$B$4*(C1445-1)+'Paramètres'!$B$5*(C1445-1)^2)),0)</x:f>
        <x:v>3</x:v>
      </x:c>
      <x:c r="H1445" s="28" t="n">
        <x:f>ROUND(Catalogue!H76*SQRT((1+'Paramètres'!$B$4*(C1445-1)+'Paramètres'!$B$5*(C1445-1)^2)),0)</x:f>
        <x:v>0</x:v>
      </x:c>
      <x:c r="I1445" s="28" t="n">
        <x:v>0</x:v>
      </x:c>
      <x:c r="J1445" s="28" t="n">
        <x:v>0</x:v>
      </x:c>
      <x:c r="K1445" s="30" t="n">
        <x:v>1.5</x:v>
      </x:c>
      <x:c r="L1445" s="54" t="n">
        <x:f>IF(M1445=0,0,(E1445+F1445)/2)</x:f>
        <x:v>0</x:v>
      </x:c>
      <x:c r="M1445" t="n">
        <x:v>0</x:v>
      </x:c>
      <x:c r="N1445" t="n">
        <x:v>0</x:v>
      </x:c>
      <x:c r="O1445" t="n">
        <x:v>0</x:v>
      </x:c>
      <x:c r="P1445" s="63" t="str">
        <x:f>IF(M1445=0,"—",M1445&amp;"d"&amp;N1445&amp;IF(O1445=0,""," + "&amp;O1445))</x:f>
        <x:v>—</x:v>
      </x:c>
      <x:c r="Q1445" t="n">
        <x:f>ROUND(INDEX(Catalogue!E$4:E$85,MATCH(A1445,Catalogue!A$4:A$85,0))*(1+'Paramètres'!$B$4*(C1445-1)+'Paramètres'!$B$5*(C1445-1)^2),0)</x:f>
        <x:v>0</x:v>
      </x:c>
      <x:c r="R1445" t="n">
        <x:f>ROUND(INDEX(Catalogue!F$4:F$85,MATCH(A1445,Catalogue!A$4:A$85,0))*(1+'Paramètres'!$B$4*(C1445-1)+'Paramètres'!$B$5*(C1445-1)^2),0)</x:f>
        <x:v>0</x:v>
      </x:c>
      <x:c r="S1445" t="n">
        <x:f>L1445-AVERAGE(Q1445:R1445)</x:f>
        <x:v>0</x:v>
      </x:c>
      <x:c r="T1445" t="str">
        <x:f>IF(M1445=0,IF(AND(N1445=0,O1445=0,E1445=0,F1445=0),"OK","ERREUR"),IF(AND(M1445&gt;=1,M1445&lt;=32,OR(N1445=4,N1445=6,N1445=8,N1445=10,N1445=12,N1445=20),O1445&gt;=0,E1445=M1445+O1445,F1445=M1445*N1445+O1445),"OK","ERREUR"))</x:f>
        <x:v>OK</x:v>
      </x:c>
      <x:c r="U1445" s="86" t="n">
        <x:f>IF(M1445&gt;0,M1445*(N1445+1)/2+O1445,0)</x:f>
        <x:v>0</x:v>
      </x:c>
      <x:c r="V1445" t="str">
        <x:f>IF(ABS(L1445-U1445)&lt;0.001,"OK","ERREUR")</x:f>
        <x:v>OK</x:v>
      </x:c>
    </x:row>
    <x:row r="1446" ht="18" customHeight="1">
      <x:c r="A1446" t="str">
        <x:v>ARM073</x:v>
      </x:c>
      <x:c r="B1446" t="str">
        <x:v>Targe</x:v>
      </x:c>
      <x:c r="C1446" t="n">
        <x:v>3</x:v>
      </x:c>
      <x:c r="D1446" t="str">
        <x:v>Boucliers</x:v>
      </x:c>
      <x:c r="E1446" s="28" t="n">
        <x:f>IF(M1446=0,0,M1446+O1446)</x:f>
        <x:v>0</x:v>
      </x:c>
      <x:c r="F1446" s="28" t="n">
        <x:f>IF(M1446=0,0,M1446*N1446+O1446)</x:f>
        <x:v>0</x:v>
      </x:c>
      <x:c r="G1446" s="28" t="n">
        <x:f>ROUND(Catalogue!G76*SQRT((1+'Paramètres'!$B$4*(C1446-1)+'Paramètres'!$B$5*(C1446-1)^2)),0)</x:f>
        <x:v>3</x:v>
      </x:c>
      <x:c r="H1446" s="28" t="n">
        <x:f>ROUND(Catalogue!H76*SQRT((1+'Paramètres'!$B$4*(C1446-1)+'Paramètres'!$B$5*(C1446-1)^2)),0)</x:f>
        <x:v>0</x:v>
      </x:c>
      <x:c r="I1446" s="28" t="n">
        <x:v>0</x:v>
      </x:c>
      <x:c r="J1446" s="28" t="n">
        <x:v>0</x:v>
      </x:c>
      <x:c r="K1446" s="30" t="n">
        <x:v>1.5</x:v>
      </x:c>
      <x:c r="L1446" s="54" t="n">
        <x:f>IF(M1446=0,0,(E1446+F1446)/2)</x:f>
        <x:v>0</x:v>
      </x:c>
      <x:c r="M1446" t="n">
        <x:v>0</x:v>
      </x:c>
      <x:c r="N1446" t="n">
        <x:v>0</x:v>
      </x:c>
      <x:c r="O1446" t="n">
        <x:v>0</x:v>
      </x:c>
      <x:c r="P1446" s="63" t="str">
        <x:f>IF(M1446=0,"—",M1446&amp;"d"&amp;N1446&amp;IF(O1446=0,""," + "&amp;O1446))</x:f>
        <x:v>—</x:v>
      </x:c>
      <x:c r="Q1446" t="n">
        <x:f>ROUND(INDEX(Catalogue!E$4:E$85,MATCH(A1446,Catalogue!A$4:A$85,0))*(1+'Paramètres'!$B$4*(C1446-1)+'Paramètres'!$B$5*(C1446-1)^2),0)</x:f>
        <x:v>0</x:v>
      </x:c>
      <x:c r="R1446" t="n">
        <x:f>ROUND(INDEX(Catalogue!F$4:F$85,MATCH(A1446,Catalogue!A$4:A$85,0))*(1+'Paramètres'!$B$4*(C1446-1)+'Paramètres'!$B$5*(C1446-1)^2),0)</x:f>
        <x:v>0</x:v>
      </x:c>
      <x:c r="S1446" t="n">
        <x:f>L1446-AVERAGE(Q1446:R1446)</x:f>
        <x:v>0</x:v>
      </x:c>
      <x:c r="T1446" t="str">
        <x:f>IF(M1446=0,IF(AND(N1446=0,O1446=0,E1446=0,F1446=0),"OK","ERREUR"),IF(AND(M1446&gt;=1,M1446&lt;=32,OR(N1446=4,N1446=6,N1446=8,N1446=10,N1446=12,N1446=20),O1446&gt;=0,E1446=M1446+O1446,F1446=M1446*N1446+O1446),"OK","ERREUR"))</x:f>
        <x:v>OK</x:v>
      </x:c>
      <x:c r="U1446" s="86" t="n">
        <x:f>IF(M1446&gt;0,M1446*(N1446+1)/2+O1446,0)</x:f>
        <x:v>0</x:v>
      </x:c>
      <x:c r="V1446" t="str">
        <x:f>IF(ABS(L1446-U1446)&lt;0.001,"OK","ERREUR")</x:f>
        <x:v>OK</x:v>
      </x:c>
    </x:row>
    <x:row r="1447" ht="18" customHeight="1">
      <x:c r="A1447" t="str">
        <x:v>ARM073</x:v>
      </x:c>
      <x:c r="B1447" t="str">
        <x:v>Targe</x:v>
      </x:c>
      <x:c r="C1447" t="n">
        <x:v>4</x:v>
      </x:c>
      <x:c r="D1447" t="str">
        <x:v>Boucliers</x:v>
      </x:c>
      <x:c r="E1447" s="28" t="n">
        <x:f>IF(M1447=0,0,M1447+O1447)</x:f>
        <x:v>0</x:v>
      </x:c>
      <x:c r="F1447" s="28" t="n">
        <x:f>IF(M1447=0,0,M1447*N1447+O1447)</x:f>
        <x:v>0</x:v>
      </x:c>
      <x:c r="G1447" s="28" t="n">
        <x:f>ROUND(Catalogue!G76*SQRT((1+'Paramètres'!$B$4*(C1447-1)+'Paramètres'!$B$5*(C1447-1)^2)),0)</x:f>
        <x:v>4</x:v>
      </x:c>
      <x:c r="H1447" s="28" t="n">
        <x:f>ROUND(Catalogue!H76*SQRT((1+'Paramètres'!$B$4*(C1447-1)+'Paramètres'!$B$5*(C1447-1)^2)),0)</x:f>
        <x:v>0</x:v>
      </x:c>
      <x:c r="I1447" s="28" t="n">
        <x:v>0</x:v>
      </x:c>
      <x:c r="J1447" s="28" t="n">
        <x:v>0</x:v>
      </x:c>
      <x:c r="K1447" s="30" t="n">
        <x:v>1.5</x:v>
      </x:c>
      <x:c r="L1447" s="54" t="n">
        <x:f>IF(M1447=0,0,(E1447+F1447)/2)</x:f>
        <x:v>0</x:v>
      </x:c>
      <x:c r="M1447" t="n">
        <x:v>0</x:v>
      </x:c>
      <x:c r="N1447" t="n">
        <x:v>0</x:v>
      </x:c>
      <x:c r="O1447" t="n">
        <x:v>0</x:v>
      </x:c>
      <x:c r="P1447" s="63" t="str">
        <x:f>IF(M1447=0,"—",M1447&amp;"d"&amp;N1447&amp;IF(O1447=0,""," + "&amp;O1447))</x:f>
        <x:v>—</x:v>
      </x:c>
      <x:c r="Q1447" t="n">
        <x:f>ROUND(INDEX(Catalogue!E$4:E$85,MATCH(A1447,Catalogue!A$4:A$85,0))*(1+'Paramètres'!$B$4*(C1447-1)+'Paramètres'!$B$5*(C1447-1)^2),0)</x:f>
        <x:v>0</x:v>
      </x:c>
      <x:c r="R1447" t="n">
        <x:f>ROUND(INDEX(Catalogue!F$4:F$85,MATCH(A1447,Catalogue!A$4:A$85,0))*(1+'Paramètres'!$B$4*(C1447-1)+'Paramètres'!$B$5*(C1447-1)^2),0)</x:f>
        <x:v>0</x:v>
      </x:c>
      <x:c r="S1447" t="n">
        <x:f>L1447-AVERAGE(Q1447:R1447)</x:f>
        <x:v>0</x:v>
      </x:c>
      <x:c r="T1447" t="str">
        <x:f>IF(M1447=0,IF(AND(N1447=0,O1447=0,E1447=0,F1447=0),"OK","ERREUR"),IF(AND(M1447&gt;=1,M1447&lt;=32,OR(N1447=4,N1447=6,N1447=8,N1447=10,N1447=12,N1447=20),O1447&gt;=0,E1447=M1447+O1447,F1447=M1447*N1447+O1447),"OK","ERREUR"))</x:f>
        <x:v>OK</x:v>
      </x:c>
      <x:c r="U1447" s="86" t="n">
        <x:f>IF(M1447&gt;0,M1447*(N1447+1)/2+O1447,0)</x:f>
        <x:v>0</x:v>
      </x:c>
      <x:c r="V1447" t="str">
        <x:f>IF(ABS(L1447-U1447)&lt;0.001,"OK","ERREUR")</x:f>
        <x:v>OK</x:v>
      </x:c>
    </x:row>
    <x:row r="1448" ht="18" customHeight="1">
      <x:c r="A1448" t="str">
        <x:v>ARM073</x:v>
      </x:c>
      <x:c r="B1448" t="str">
        <x:v>Targe</x:v>
      </x:c>
      <x:c r="C1448" t="n">
        <x:v>5</x:v>
      </x:c>
      <x:c r="D1448" t="str">
        <x:v>Boucliers</x:v>
      </x:c>
      <x:c r="E1448" s="28" t="n">
        <x:f>IF(M1448=0,0,M1448+O1448)</x:f>
        <x:v>0</x:v>
      </x:c>
      <x:c r="F1448" s="28" t="n">
        <x:f>IF(M1448=0,0,M1448*N1448+O1448)</x:f>
        <x:v>0</x:v>
      </x:c>
      <x:c r="G1448" s="28" t="n">
        <x:f>ROUND(Catalogue!G76*SQRT((1+'Paramètres'!$B$4*(C1448-1)+'Paramètres'!$B$5*(C1448-1)^2)),0)</x:f>
        <x:v>4</x:v>
      </x:c>
      <x:c r="H1448" s="28" t="n">
        <x:f>ROUND(Catalogue!H76*SQRT((1+'Paramètres'!$B$4*(C1448-1)+'Paramètres'!$B$5*(C1448-1)^2)),0)</x:f>
        <x:v>0</x:v>
      </x:c>
      <x:c r="I1448" s="28" t="n">
        <x:v>0</x:v>
      </x:c>
      <x:c r="J1448" s="28" t="n">
        <x:v>0</x:v>
      </x:c>
      <x:c r="K1448" s="30" t="n">
        <x:v>1.5</x:v>
      </x:c>
      <x:c r="L1448" s="54" t="n">
        <x:f>IF(M1448=0,0,(E1448+F1448)/2)</x:f>
        <x:v>0</x:v>
      </x:c>
      <x:c r="M1448" t="n">
        <x:v>0</x:v>
      </x:c>
      <x:c r="N1448" t="n">
        <x:v>0</x:v>
      </x:c>
      <x:c r="O1448" t="n">
        <x:v>0</x:v>
      </x:c>
      <x:c r="P1448" s="63" t="str">
        <x:f>IF(M1448=0,"—",M1448&amp;"d"&amp;N1448&amp;IF(O1448=0,""," + "&amp;O1448))</x:f>
        <x:v>—</x:v>
      </x:c>
      <x:c r="Q1448" t="n">
        <x:f>ROUND(INDEX(Catalogue!E$4:E$85,MATCH(A1448,Catalogue!A$4:A$85,0))*(1+'Paramètres'!$B$4*(C1448-1)+'Paramètres'!$B$5*(C1448-1)^2),0)</x:f>
        <x:v>0</x:v>
      </x:c>
      <x:c r="R1448" t="n">
        <x:f>ROUND(INDEX(Catalogue!F$4:F$85,MATCH(A1448,Catalogue!A$4:A$85,0))*(1+'Paramètres'!$B$4*(C1448-1)+'Paramètres'!$B$5*(C1448-1)^2),0)</x:f>
        <x:v>0</x:v>
      </x:c>
      <x:c r="S1448" t="n">
        <x:f>L1448-AVERAGE(Q1448:R1448)</x:f>
        <x:v>0</x:v>
      </x:c>
      <x:c r="T1448" t="str">
        <x:f>IF(M1448=0,IF(AND(N1448=0,O1448=0,E1448=0,F1448=0),"OK","ERREUR"),IF(AND(M1448&gt;=1,M1448&lt;=32,OR(N1448=4,N1448=6,N1448=8,N1448=10,N1448=12,N1448=20),O1448&gt;=0,E1448=M1448+O1448,F1448=M1448*N1448+O1448),"OK","ERREUR"))</x:f>
        <x:v>OK</x:v>
      </x:c>
      <x:c r="U1448" s="86" t="n">
        <x:f>IF(M1448&gt;0,M1448*(N1448+1)/2+O1448,0)</x:f>
        <x:v>0</x:v>
      </x:c>
      <x:c r="V1448" t="str">
        <x:f>IF(ABS(L1448-U1448)&lt;0.001,"OK","ERREUR")</x:f>
        <x:v>OK</x:v>
      </x:c>
    </x:row>
    <x:row r="1449" ht="18" customHeight="1">
      <x:c r="A1449" t="str">
        <x:v>ARM073</x:v>
      </x:c>
      <x:c r="B1449" t="str">
        <x:v>Targe</x:v>
      </x:c>
      <x:c r="C1449" t="n">
        <x:v>6</x:v>
      </x:c>
      <x:c r="D1449" t="str">
        <x:v>Boucliers</x:v>
      </x:c>
      <x:c r="E1449" s="28" t="n">
        <x:f>IF(M1449=0,0,M1449+O1449)</x:f>
        <x:v>0</x:v>
      </x:c>
      <x:c r="F1449" s="28" t="n">
        <x:f>IF(M1449=0,0,M1449*N1449+O1449)</x:f>
        <x:v>0</x:v>
      </x:c>
      <x:c r="G1449" s="28" t="n">
        <x:f>ROUND(Catalogue!G76*SQRT((1+'Paramètres'!$B$4*(C1449-1)+'Paramètres'!$B$5*(C1449-1)^2)),0)</x:f>
        <x:v>4</x:v>
      </x:c>
      <x:c r="H1449" s="28" t="n">
        <x:f>ROUND(Catalogue!H76*SQRT((1+'Paramètres'!$B$4*(C1449-1)+'Paramètres'!$B$5*(C1449-1)^2)),0)</x:f>
        <x:v>0</x:v>
      </x:c>
      <x:c r="I1449" s="28" t="n">
        <x:v>0</x:v>
      </x:c>
      <x:c r="J1449" s="28" t="n">
        <x:v>0</x:v>
      </x:c>
      <x:c r="K1449" s="30" t="n">
        <x:v>1.5</x:v>
      </x:c>
      <x:c r="L1449" s="54" t="n">
        <x:f>IF(M1449=0,0,(E1449+F1449)/2)</x:f>
        <x:v>0</x:v>
      </x:c>
      <x:c r="M1449" t="n">
        <x:v>0</x:v>
      </x:c>
      <x:c r="N1449" t="n">
        <x:v>0</x:v>
      </x:c>
      <x:c r="O1449" t="n">
        <x:v>0</x:v>
      </x:c>
      <x:c r="P1449" s="63" t="str">
        <x:f>IF(M1449=0,"—",M1449&amp;"d"&amp;N1449&amp;IF(O1449=0,""," + "&amp;O1449))</x:f>
        <x:v>—</x:v>
      </x:c>
      <x:c r="Q1449" t="n">
        <x:f>ROUND(INDEX(Catalogue!E$4:E$85,MATCH(A1449,Catalogue!A$4:A$85,0))*(1+'Paramètres'!$B$4*(C1449-1)+'Paramètres'!$B$5*(C1449-1)^2),0)</x:f>
        <x:v>0</x:v>
      </x:c>
      <x:c r="R1449" t="n">
        <x:f>ROUND(INDEX(Catalogue!F$4:F$85,MATCH(A1449,Catalogue!A$4:A$85,0))*(1+'Paramètres'!$B$4*(C1449-1)+'Paramètres'!$B$5*(C1449-1)^2),0)</x:f>
        <x:v>0</x:v>
      </x:c>
      <x:c r="S1449" t="n">
        <x:f>L1449-AVERAGE(Q1449:R1449)</x:f>
        <x:v>0</x:v>
      </x:c>
      <x:c r="T1449" t="str">
        <x:f>IF(M1449=0,IF(AND(N1449=0,O1449=0,E1449=0,F1449=0),"OK","ERREUR"),IF(AND(M1449&gt;=1,M1449&lt;=32,OR(N1449=4,N1449=6,N1449=8,N1449=10,N1449=12,N1449=20),O1449&gt;=0,E1449=M1449+O1449,F1449=M1449*N1449+O1449),"OK","ERREUR"))</x:f>
        <x:v>OK</x:v>
      </x:c>
      <x:c r="U1449" s="86" t="n">
        <x:f>IF(M1449&gt;0,M1449*(N1449+1)/2+O1449,0)</x:f>
        <x:v>0</x:v>
      </x:c>
      <x:c r="V1449" t="str">
        <x:f>IF(ABS(L1449-U1449)&lt;0.001,"OK","ERREUR")</x:f>
        <x:v>OK</x:v>
      </x:c>
    </x:row>
    <x:row r="1450" ht="18" customHeight="1">
      <x:c r="A1450" t="str">
        <x:v>ARM073</x:v>
      </x:c>
      <x:c r="B1450" t="str">
        <x:v>Targe</x:v>
      </x:c>
      <x:c r="C1450" t="n">
        <x:v>7</x:v>
      </x:c>
      <x:c r="D1450" t="str">
        <x:v>Boucliers</x:v>
      </x:c>
      <x:c r="E1450" s="28" t="n">
        <x:f>IF(M1450=0,0,M1450+O1450)</x:f>
        <x:v>0</x:v>
      </x:c>
      <x:c r="F1450" s="28" t="n">
        <x:f>IF(M1450=0,0,M1450*N1450+O1450)</x:f>
        <x:v>0</x:v>
      </x:c>
      <x:c r="G1450" s="28" t="n">
        <x:f>ROUND(Catalogue!G76*SQRT((1+'Paramètres'!$B$4*(C1450-1)+'Paramètres'!$B$5*(C1450-1)^2)),0)</x:f>
        <x:v>4</x:v>
      </x:c>
      <x:c r="H1450" s="28" t="n">
        <x:f>ROUND(Catalogue!H76*SQRT((1+'Paramètres'!$B$4*(C1450-1)+'Paramètres'!$B$5*(C1450-1)^2)),0)</x:f>
        <x:v>0</x:v>
      </x:c>
      <x:c r="I1450" s="28" t="n">
        <x:v>0</x:v>
      </x:c>
      <x:c r="J1450" s="28" t="n">
        <x:v>0</x:v>
      </x:c>
      <x:c r="K1450" s="30" t="n">
        <x:v>1.5</x:v>
      </x:c>
      <x:c r="L1450" s="54" t="n">
        <x:f>IF(M1450=0,0,(E1450+F1450)/2)</x:f>
        <x:v>0</x:v>
      </x:c>
      <x:c r="M1450" t="n">
        <x:v>0</x:v>
      </x:c>
      <x:c r="N1450" t="n">
        <x:v>0</x:v>
      </x:c>
      <x:c r="O1450" t="n">
        <x:v>0</x:v>
      </x:c>
      <x:c r="P1450" s="63" t="str">
        <x:f>IF(M1450=0,"—",M1450&amp;"d"&amp;N1450&amp;IF(O1450=0,""," + "&amp;O1450))</x:f>
        <x:v>—</x:v>
      </x:c>
      <x:c r="Q1450" t="n">
        <x:f>ROUND(INDEX(Catalogue!E$4:E$85,MATCH(A1450,Catalogue!A$4:A$85,0))*(1+'Paramètres'!$B$4*(C1450-1)+'Paramètres'!$B$5*(C1450-1)^2),0)</x:f>
        <x:v>0</x:v>
      </x:c>
      <x:c r="R1450" t="n">
        <x:f>ROUND(INDEX(Catalogue!F$4:F$85,MATCH(A1450,Catalogue!A$4:A$85,0))*(1+'Paramètres'!$B$4*(C1450-1)+'Paramètres'!$B$5*(C1450-1)^2),0)</x:f>
        <x:v>0</x:v>
      </x:c>
      <x:c r="S1450" t="n">
        <x:f>L1450-AVERAGE(Q1450:R1450)</x:f>
        <x:v>0</x:v>
      </x:c>
      <x:c r="T1450" t="str">
        <x:f>IF(M1450=0,IF(AND(N1450=0,O1450=0,E1450=0,F1450=0),"OK","ERREUR"),IF(AND(M1450&gt;=1,M1450&lt;=32,OR(N1450=4,N1450=6,N1450=8,N1450=10,N1450=12,N1450=20),O1450&gt;=0,E1450=M1450+O1450,F1450=M1450*N1450+O1450),"OK","ERREUR"))</x:f>
        <x:v>OK</x:v>
      </x:c>
      <x:c r="U1450" s="86" t="n">
        <x:f>IF(M1450&gt;0,M1450*(N1450+1)/2+O1450,0)</x:f>
        <x:v>0</x:v>
      </x:c>
      <x:c r="V1450" t="str">
        <x:f>IF(ABS(L1450-U1450)&lt;0.001,"OK","ERREUR")</x:f>
        <x:v>OK</x:v>
      </x:c>
    </x:row>
    <x:row r="1451" ht="18" customHeight="1">
      <x:c r="A1451" t="str">
        <x:v>ARM073</x:v>
      </x:c>
      <x:c r="B1451" t="str">
        <x:v>Targe</x:v>
      </x:c>
      <x:c r="C1451" t="n">
        <x:v>8</x:v>
      </x:c>
      <x:c r="D1451" t="str">
        <x:v>Boucliers</x:v>
      </x:c>
      <x:c r="E1451" s="28" t="n">
        <x:f>IF(M1451=0,0,M1451+O1451)</x:f>
        <x:v>0</x:v>
      </x:c>
      <x:c r="F1451" s="28" t="n">
        <x:f>IF(M1451=0,0,M1451*N1451+O1451)</x:f>
        <x:v>0</x:v>
      </x:c>
      <x:c r="G1451" s="28" t="n">
        <x:f>ROUND(Catalogue!G76*SQRT((1+'Paramètres'!$B$4*(C1451-1)+'Paramètres'!$B$5*(C1451-1)^2)),0)</x:f>
        <x:v>5</x:v>
      </x:c>
      <x:c r="H1451" s="28" t="n">
        <x:f>ROUND(Catalogue!H76*SQRT((1+'Paramètres'!$B$4*(C1451-1)+'Paramètres'!$B$5*(C1451-1)^2)),0)</x:f>
        <x:v>0</x:v>
      </x:c>
      <x:c r="I1451" s="28" t="n">
        <x:v>0</x:v>
      </x:c>
      <x:c r="J1451" s="28" t="n">
        <x:v>0</x:v>
      </x:c>
      <x:c r="K1451" s="30" t="n">
        <x:v>1.5</x:v>
      </x:c>
      <x:c r="L1451" s="54" t="n">
        <x:f>IF(M1451=0,0,(E1451+F1451)/2)</x:f>
        <x:v>0</x:v>
      </x:c>
      <x:c r="M1451" t="n">
        <x:v>0</x:v>
      </x:c>
      <x:c r="N1451" t="n">
        <x:v>0</x:v>
      </x:c>
      <x:c r="O1451" t="n">
        <x:v>0</x:v>
      </x:c>
      <x:c r="P1451" s="63" t="str">
        <x:f>IF(M1451=0,"—",M1451&amp;"d"&amp;N1451&amp;IF(O1451=0,""," + "&amp;O1451))</x:f>
        <x:v>—</x:v>
      </x:c>
      <x:c r="Q1451" t="n">
        <x:f>ROUND(INDEX(Catalogue!E$4:E$85,MATCH(A1451,Catalogue!A$4:A$85,0))*(1+'Paramètres'!$B$4*(C1451-1)+'Paramètres'!$B$5*(C1451-1)^2),0)</x:f>
        <x:v>0</x:v>
      </x:c>
      <x:c r="R1451" t="n">
        <x:f>ROUND(INDEX(Catalogue!F$4:F$85,MATCH(A1451,Catalogue!A$4:A$85,0))*(1+'Paramètres'!$B$4*(C1451-1)+'Paramètres'!$B$5*(C1451-1)^2),0)</x:f>
        <x:v>0</x:v>
      </x:c>
      <x:c r="S1451" t="n">
        <x:f>L1451-AVERAGE(Q1451:R1451)</x:f>
        <x:v>0</x:v>
      </x:c>
      <x:c r="T1451" t="str">
        <x:f>IF(M1451=0,IF(AND(N1451=0,O1451=0,E1451=0,F1451=0),"OK","ERREUR"),IF(AND(M1451&gt;=1,M1451&lt;=32,OR(N1451=4,N1451=6,N1451=8,N1451=10,N1451=12,N1451=20),O1451&gt;=0,E1451=M1451+O1451,F1451=M1451*N1451+O1451),"OK","ERREUR"))</x:f>
        <x:v>OK</x:v>
      </x:c>
      <x:c r="U1451" s="86" t="n">
        <x:f>IF(M1451&gt;0,M1451*(N1451+1)/2+O1451,0)</x:f>
        <x:v>0</x:v>
      </x:c>
      <x:c r="V1451" t="str">
        <x:f>IF(ABS(L1451-U1451)&lt;0.001,"OK","ERREUR")</x:f>
        <x:v>OK</x:v>
      </x:c>
    </x:row>
    <x:row r="1452" ht="18" customHeight="1">
      <x:c r="A1452" t="str">
        <x:v>ARM073</x:v>
      </x:c>
      <x:c r="B1452" t="str">
        <x:v>Targe</x:v>
      </x:c>
      <x:c r="C1452" t="n">
        <x:v>9</x:v>
      </x:c>
      <x:c r="D1452" t="str">
        <x:v>Boucliers</x:v>
      </x:c>
      <x:c r="E1452" s="28" t="n">
        <x:f>IF(M1452=0,0,M1452+O1452)</x:f>
        <x:v>0</x:v>
      </x:c>
      <x:c r="F1452" s="28" t="n">
        <x:f>IF(M1452=0,0,M1452*N1452+O1452)</x:f>
        <x:v>0</x:v>
      </x:c>
      <x:c r="G1452" s="28" t="n">
        <x:f>ROUND(Catalogue!G76*SQRT((1+'Paramètres'!$B$4*(C1452-1)+'Paramètres'!$B$5*(C1452-1)^2)),0)</x:f>
        <x:v>5</x:v>
      </x:c>
      <x:c r="H1452" s="28" t="n">
        <x:f>ROUND(Catalogue!H76*SQRT((1+'Paramètres'!$B$4*(C1452-1)+'Paramètres'!$B$5*(C1452-1)^2)),0)</x:f>
        <x:v>0</x:v>
      </x:c>
      <x:c r="I1452" s="28" t="n">
        <x:v>0</x:v>
      </x:c>
      <x:c r="J1452" s="28" t="n">
        <x:v>0</x:v>
      </x:c>
      <x:c r="K1452" s="30" t="n">
        <x:v>1.5</x:v>
      </x:c>
      <x:c r="L1452" s="54" t="n">
        <x:f>IF(M1452=0,0,(E1452+F1452)/2)</x:f>
        <x:v>0</x:v>
      </x:c>
      <x:c r="M1452" t="n">
        <x:v>0</x:v>
      </x:c>
      <x:c r="N1452" t="n">
        <x:v>0</x:v>
      </x:c>
      <x:c r="O1452" t="n">
        <x:v>0</x:v>
      </x:c>
      <x:c r="P1452" s="63" t="str">
        <x:f>IF(M1452=0,"—",M1452&amp;"d"&amp;N1452&amp;IF(O1452=0,""," + "&amp;O1452))</x:f>
        <x:v>—</x:v>
      </x:c>
      <x:c r="Q1452" t="n">
        <x:f>ROUND(INDEX(Catalogue!E$4:E$85,MATCH(A1452,Catalogue!A$4:A$85,0))*(1+'Paramètres'!$B$4*(C1452-1)+'Paramètres'!$B$5*(C1452-1)^2),0)</x:f>
        <x:v>0</x:v>
      </x:c>
      <x:c r="R1452" t="n">
        <x:f>ROUND(INDEX(Catalogue!F$4:F$85,MATCH(A1452,Catalogue!A$4:A$85,0))*(1+'Paramètres'!$B$4*(C1452-1)+'Paramètres'!$B$5*(C1452-1)^2),0)</x:f>
        <x:v>0</x:v>
      </x:c>
      <x:c r="S1452" t="n">
        <x:f>L1452-AVERAGE(Q1452:R1452)</x:f>
        <x:v>0</x:v>
      </x:c>
      <x:c r="T1452" t="str">
        <x:f>IF(M1452=0,IF(AND(N1452=0,O1452=0,E1452=0,F1452=0),"OK","ERREUR"),IF(AND(M1452&gt;=1,M1452&lt;=32,OR(N1452=4,N1452=6,N1452=8,N1452=10,N1452=12,N1452=20),O1452&gt;=0,E1452=M1452+O1452,F1452=M1452*N1452+O1452),"OK","ERREUR"))</x:f>
        <x:v>OK</x:v>
      </x:c>
      <x:c r="U1452" s="86" t="n">
        <x:f>IF(M1452&gt;0,M1452*(N1452+1)/2+O1452,0)</x:f>
        <x:v>0</x:v>
      </x:c>
      <x:c r="V1452" t="str">
        <x:f>IF(ABS(L1452-U1452)&lt;0.001,"OK","ERREUR")</x:f>
        <x:v>OK</x:v>
      </x:c>
    </x:row>
    <x:row r="1453" ht="18" customHeight="1">
      <x:c r="A1453" t="str">
        <x:v>ARM073</x:v>
      </x:c>
      <x:c r="B1453" t="str">
        <x:v>Targe</x:v>
      </x:c>
      <x:c r="C1453" t="n">
        <x:v>10</x:v>
      </x:c>
      <x:c r="D1453" t="str">
        <x:v>Boucliers</x:v>
      </x:c>
      <x:c r="E1453" s="28" t="n">
        <x:f>IF(M1453=0,0,M1453+O1453)</x:f>
        <x:v>0</x:v>
      </x:c>
      <x:c r="F1453" s="28" t="n">
        <x:f>IF(M1453=0,0,M1453*N1453+O1453)</x:f>
        <x:v>0</x:v>
      </x:c>
      <x:c r="G1453" s="28" t="n">
        <x:f>ROUND(Catalogue!G76*SQRT((1+'Paramètres'!$B$4*(C1453-1)+'Paramètres'!$B$5*(C1453-1)^2)),0)</x:f>
        <x:v>5</x:v>
      </x:c>
      <x:c r="H1453" s="28" t="n">
        <x:f>ROUND(Catalogue!H76*SQRT((1+'Paramètres'!$B$4*(C1453-1)+'Paramètres'!$B$5*(C1453-1)^2)),0)</x:f>
        <x:v>0</x:v>
      </x:c>
      <x:c r="I1453" s="28" t="n">
        <x:v>0</x:v>
      </x:c>
      <x:c r="J1453" s="28" t="n">
        <x:v>0</x:v>
      </x:c>
      <x:c r="K1453" s="30" t="n">
        <x:v>1.5</x:v>
      </x:c>
      <x:c r="L1453" s="54" t="n">
        <x:f>IF(M1453=0,0,(E1453+F1453)/2)</x:f>
        <x:v>0</x:v>
      </x:c>
      <x:c r="M1453" t="n">
        <x:v>0</x:v>
      </x:c>
      <x:c r="N1453" t="n">
        <x:v>0</x:v>
      </x:c>
      <x:c r="O1453" t="n">
        <x:v>0</x:v>
      </x:c>
      <x:c r="P1453" s="63" t="str">
        <x:f>IF(M1453=0,"—",M1453&amp;"d"&amp;N1453&amp;IF(O1453=0,""," + "&amp;O1453))</x:f>
        <x:v>—</x:v>
      </x:c>
      <x:c r="Q1453" t="n">
        <x:f>ROUND(INDEX(Catalogue!E$4:E$85,MATCH(A1453,Catalogue!A$4:A$85,0))*(1+'Paramètres'!$B$4*(C1453-1)+'Paramètres'!$B$5*(C1453-1)^2),0)</x:f>
        <x:v>0</x:v>
      </x:c>
      <x:c r="R1453" t="n">
        <x:f>ROUND(INDEX(Catalogue!F$4:F$85,MATCH(A1453,Catalogue!A$4:A$85,0))*(1+'Paramètres'!$B$4*(C1453-1)+'Paramètres'!$B$5*(C1453-1)^2),0)</x:f>
        <x:v>0</x:v>
      </x:c>
      <x:c r="S1453" t="n">
        <x:f>L1453-AVERAGE(Q1453:R1453)</x:f>
        <x:v>0</x:v>
      </x:c>
      <x:c r="T1453" t="str">
        <x:f>IF(M1453=0,IF(AND(N1453=0,O1453=0,E1453=0,F1453=0),"OK","ERREUR"),IF(AND(M1453&gt;=1,M1453&lt;=32,OR(N1453=4,N1453=6,N1453=8,N1453=10,N1453=12,N1453=20),O1453&gt;=0,E1453=M1453+O1453,F1453=M1453*N1453+O1453),"OK","ERREUR"))</x:f>
        <x:v>OK</x:v>
      </x:c>
      <x:c r="U1453" s="86" t="n">
        <x:f>IF(M1453&gt;0,M1453*(N1453+1)/2+O1453,0)</x:f>
        <x:v>0</x:v>
      </x:c>
      <x:c r="V1453" t="str">
        <x:f>IF(ABS(L1453-U1453)&lt;0.001,"OK","ERREUR")</x:f>
        <x:v>OK</x:v>
      </x:c>
    </x:row>
    <x:row r="1454" ht="18" customHeight="1">
      <x:c r="A1454" t="str">
        <x:v>ARM073</x:v>
      </x:c>
      <x:c r="B1454" t="str">
        <x:v>Targe</x:v>
      </x:c>
      <x:c r="C1454" t="n">
        <x:v>11</x:v>
      </x:c>
      <x:c r="D1454" t="str">
        <x:v>Boucliers</x:v>
      </x:c>
      <x:c r="E1454" s="28" t="n">
        <x:f>IF(M1454=0,0,M1454+O1454)</x:f>
        <x:v>0</x:v>
      </x:c>
      <x:c r="F1454" s="28" t="n">
        <x:f>IF(M1454=0,0,M1454*N1454+O1454)</x:f>
        <x:v>0</x:v>
      </x:c>
      <x:c r="G1454" s="28" t="n">
        <x:f>ROUND(Catalogue!G76*SQRT((1+'Paramètres'!$B$4*(C1454-1)+'Paramètres'!$B$5*(C1454-1)^2)),0)</x:f>
        <x:v>6</x:v>
      </x:c>
      <x:c r="H1454" s="28" t="n">
        <x:f>ROUND(Catalogue!H76*SQRT((1+'Paramètres'!$B$4*(C1454-1)+'Paramètres'!$B$5*(C1454-1)^2)),0)</x:f>
        <x:v>0</x:v>
      </x:c>
      <x:c r="I1454" s="28" t="n">
        <x:v>0</x:v>
      </x:c>
      <x:c r="J1454" s="28" t="n">
        <x:v>0</x:v>
      </x:c>
      <x:c r="K1454" s="30" t="n">
        <x:v>1.5</x:v>
      </x:c>
      <x:c r="L1454" s="54" t="n">
        <x:f>IF(M1454=0,0,(E1454+F1454)/2)</x:f>
        <x:v>0</x:v>
      </x:c>
      <x:c r="M1454" t="n">
        <x:v>0</x:v>
      </x:c>
      <x:c r="N1454" t="n">
        <x:v>0</x:v>
      </x:c>
      <x:c r="O1454" t="n">
        <x:v>0</x:v>
      </x:c>
      <x:c r="P1454" s="63" t="str">
        <x:f>IF(M1454=0,"—",M1454&amp;"d"&amp;N1454&amp;IF(O1454=0,""," + "&amp;O1454))</x:f>
        <x:v>—</x:v>
      </x:c>
      <x:c r="Q1454" t="n">
        <x:f>ROUND(INDEX(Catalogue!E$4:E$85,MATCH(A1454,Catalogue!A$4:A$85,0))*(1+'Paramètres'!$B$4*(C1454-1)+'Paramètres'!$B$5*(C1454-1)^2),0)</x:f>
        <x:v>0</x:v>
      </x:c>
      <x:c r="R1454" t="n">
        <x:f>ROUND(INDEX(Catalogue!F$4:F$85,MATCH(A1454,Catalogue!A$4:A$85,0))*(1+'Paramètres'!$B$4*(C1454-1)+'Paramètres'!$B$5*(C1454-1)^2),0)</x:f>
        <x:v>0</x:v>
      </x:c>
      <x:c r="S1454" t="n">
        <x:f>L1454-AVERAGE(Q1454:R1454)</x:f>
        <x:v>0</x:v>
      </x:c>
      <x:c r="T1454" t="str">
        <x:f>IF(M1454=0,IF(AND(N1454=0,O1454=0,E1454=0,F1454=0),"OK","ERREUR"),IF(AND(M1454&gt;=1,M1454&lt;=32,OR(N1454=4,N1454=6,N1454=8,N1454=10,N1454=12,N1454=20),O1454&gt;=0,E1454=M1454+O1454,F1454=M1454*N1454+O1454),"OK","ERREUR"))</x:f>
        <x:v>OK</x:v>
      </x:c>
      <x:c r="U1454" s="86" t="n">
        <x:f>IF(M1454&gt;0,M1454*(N1454+1)/2+O1454,0)</x:f>
        <x:v>0</x:v>
      </x:c>
      <x:c r="V1454" t="str">
        <x:f>IF(ABS(L1454-U1454)&lt;0.001,"OK","ERREUR")</x:f>
        <x:v>OK</x:v>
      </x:c>
    </x:row>
    <x:row r="1455" ht="18" customHeight="1">
      <x:c r="A1455" t="str">
        <x:v>ARM073</x:v>
      </x:c>
      <x:c r="B1455" t="str">
        <x:v>Targe</x:v>
      </x:c>
      <x:c r="C1455" t="n">
        <x:v>12</x:v>
      </x:c>
      <x:c r="D1455" t="str">
        <x:v>Boucliers</x:v>
      </x:c>
      <x:c r="E1455" s="28" t="n">
        <x:f>IF(M1455=0,0,M1455+O1455)</x:f>
        <x:v>0</x:v>
      </x:c>
      <x:c r="F1455" s="28" t="n">
        <x:f>IF(M1455=0,0,M1455*N1455+O1455)</x:f>
        <x:v>0</x:v>
      </x:c>
      <x:c r="G1455" s="28" t="n">
        <x:f>ROUND(Catalogue!G76*SQRT((1+'Paramètres'!$B$4*(C1455-1)+'Paramètres'!$B$5*(C1455-1)^2)),0)</x:f>
        <x:v>6</x:v>
      </x:c>
      <x:c r="H1455" s="28" t="n">
        <x:f>ROUND(Catalogue!H76*SQRT((1+'Paramètres'!$B$4*(C1455-1)+'Paramètres'!$B$5*(C1455-1)^2)),0)</x:f>
        <x:v>0</x:v>
      </x:c>
      <x:c r="I1455" s="28" t="n">
        <x:v>0</x:v>
      </x:c>
      <x:c r="J1455" s="28" t="n">
        <x:v>0</x:v>
      </x:c>
      <x:c r="K1455" s="30" t="n">
        <x:v>1.5</x:v>
      </x:c>
      <x:c r="L1455" s="54" t="n">
        <x:f>IF(M1455=0,0,(E1455+F1455)/2)</x:f>
        <x:v>0</x:v>
      </x:c>
      <x:c r="M1455" t="n">
        <x:v>0</x:v>
      </x:c>
      <x:c r="N1455" t="n">
        <x:v>0</x:v>
      </x:c>
      <x:c r="O1455" t="n">
        <x:v>0</x:v>
      </x:c>
      <x:c r="P1455" s="63" t="str">
        <x:f>IF(M1455=0,"—",M1455&amp;"d"&amp;N1455&amp;IF(O1455=0,""," + "&amp;O1455))</x:f>
        <x:v>—</x:v>
      </x:c>
      <x:c r="Q1455" t="n">
        <x:f>ROUND(INDEX(Catalogue!E$4:E$85,MATCH(A1455,Catalogue!A$4:A$85,0))*(1+'Paramètres'!$B$4*(C1455-1)+'Paramètres'!$B$5*(C1455-1)^2),0)</x:f>
        <x:v>0</x:v>
      </x:c>
      <x:c r="R1455" t="n">
        <x:f>ROUND(INDEX(Catalogue!F$4:F$85,MATCH(A1455,Catalogue!A$4:A$85,0))*(1+'Paramètres'!$B$4*(C1455-1)+'Paramètres'!$B$5*(C1455-1)^2),0)</x:f>
        <x:v>0</x:v>
      </x:c>
      <x:c r="S1455" t="n">
        <x:f>L1455-AVERAGE(Q1455:R1455)</x:f>
        <x:v>0</x:v>
      </x:c>
      <x:c r="T1455" t="str">
        <x:f>IF(M1455=0,IF(AND(N1455=0,O1455=0,E1455=0,F1455=0),"OK","ERREUR"),IF(AND(M1455&gt;=1,M1455&lt;=32,OR(N1455=4,N1455=6,N1455=8,N1455=10,N1455=12,N1455=20),O1455&gt;=0,E1455=M1455+O1455,F1455=M1455*N1455+O1455),"OK","ERREUR"))</x:f>
        <x:v>OK</x:v>
      </x:c>
      <x:c r="U1455" s="86" t="n">
        <x:f>IF(M1455&gt;0,M1455*(N1455+1)/2+O1455,0)</x:f>
        <x:v>0</x:v>
      </x:c>
      <x:c r="V1455" t="str">
        <x:f>IF(ABS(L1455-U1455)&lt;0.001,"OK","ERREUR")</x:f>
        <x:v>OK</x:v>
      </x:c>
    </x:row>
    <x:row r="1456" ht="18" customHeight="1">
      <x:c r="A1456" t="str">
        <x:v>ARM073</x:v>
      </x:c>
      <x:c r="B1456" t="str">
        <x:v>Targe</x:v>
      </x:c>
      <x:c r="C1456" t="n">
        <x:v>13</x:v>
      </x:c>
      <x:c r="D1456" t="str">
        <x:v>Boucliers</x:v>
      </x:c>
      <x:c r="E1456" s="28" t="n">
        <x:f>IF(M1456=0,0,M1456+O1456)</x:f>
        <x:v>0</x:v>
      </x:c>
      <x:c r="F1456" s="28" t="n">
        <x:f>IF(M1456=0,0,M1456*N1456+O1456)</x:f>
        <x:v>0</x:v>
      </x:c>
      <x:c r="G1456" s="28" t="n">
        <x:f>ROUND(Catalogue!G76*SQRT((1+'Paramètres'!$B$4*(C1456-1)+'Paramètres'!$B$5*(C1456-1)^2)),0)</x:f>
        <x:v>6</x:v>
      </x:c>
      <x:c r="H1456" s="28" t="n">
        <x:f>ROUND(Catalogue!H76*SQRT((1+'Paramètres'!$B$4*(C1456-1)+'Paramètres'!$B$5*(C1456-1)^2)),0)</x:f>
        <x:v>0</x:v>
      </x:c>
      <x:c r="I1456" s="28" t="n">
        <x:v>0</x:v>
      </x:c>
      <x:c r="J1456" s="28" t="n">
        <x:v>0</x:v>
      </x:c>
      <x:c r="K1456" s="30" t="n">
        <x:v>1.5</x:v>
      </x:c>
      <x:c r="L1456" s="54" t="n">
        <x:f>IF(M1456=0,0,(E1456+F1456)/2)</x:f>
        <x:v>0</x:v>
      </x:c>
      <x:c r="M1456" t="n">
        <x:v>0</x:v>
      </x:c>
      <x:c r="N1456" t="n">
        <x:v>0</x:v>
      </x:c>
      <x:c r="O1456" t="n">
        <x:v>0</x:v>
      </x:c>
      <x:c r="P1456" s="63" t="str">
        <x:f>IF(M1456=0,"—",M1456&amp;"d"&amp;N1456&amp;IF(O1456=0,""," + "&amp;O1456))</x:f>
        <x:v>—</x:v>
      </x:c>
      <x:c r="Q1456" t="n">
        <x:f>ROUND(INDEX(Catalogue!E$4:E$85,MATCH(A1456,Catalogue!A$4:A$85,0))*(1+'Paramètres'!$B$4*(C1456-1)+'Paramètres'!$B$5*(C1456-1)^2),0)</x:f>
        <x:v>0</x:v>
      </x:c>
      <x:c r="R1456" t="n">
        <x:f>ROUND(INDEX(Catalogue!F$4:F$85,MATCH(A1456,Catalogue!A$4:A$85,0))*(1+'Paramètres'!$B$4*(C1456-1)+'Paramètres'!$B$5*(C1456-1)^2),0)</x:f>
        <x:v>0</x:v>
      </x:c>
      <x:c r="S1456" t="n">
        <x:f>L1456-AVERAGE(Q1456:R1456)</x:f>
        <x:v>0</x:v>
      </x:c>
      <x:c r="T1456" t="str">
        <x:f>IF(M1456=0,IF(AND(N1456=0,O1456=0,E1456=0,F1456=0),"OK","ERREUR"),IF(AND(M1456&gt;=1,M1456&lt;=32,OR(N1456=4,N1456=6,N1456=8,N1456=10,N1456=12,N1456=20),O1456&gt;=0,E1456=M1456+O1456,F1456=M1456*N1456+O1456),"OK","ERREUR"))</x:f>
        <x:v>OK</x:v>
      </x:c>
      <x:c r="U1456" s="86" t="n">
        <x:f>IF(M1456&gt;0,M1456*(N1456+1)/2+O1456,0)</x:f>
        <x:v>0</x:v>
      </x:c>
      <x:c r="V1456" t="str">
        <x:f>IF(ABS(L1456-U1456)&lt;0.001,"OK","ERREUR")</x:f>
        <x:v>OK</x:v>
      </x:c>
    </x:row>
    <x:row r="1457" ht="18" customHeight="1">
      <x:c r="A1457" t="str">
        <x:v>ARM073</x:v>
      </x:c>
      <x:c r="B1457" t="str">
        <x:v>Targe</x:v>
      </x:c>
      <x:c r="C1457" t="n">
        <x:v>14</x:v>
      </x:c>
      <x:c r="D1457" t="str">
        <x:v>Boucliers</x:v>
      </x:c>
      <x:c r="E1457" s="28" t="n">
        <x:f>IF(M1457=0,0,M1457+O1457)</x:f>
        <x:v>0</x:v>
      </x:c>
      <x:c r="F1457" s="28" t="n">
        <x:f>IF(M1457=0,0,M1457*N1457+O1457)</x:f>
        <x:v>0</x:v>
      </x:c>
      <x:c r="G1457" s="28" t="n">
        <x:f>ROUND(Catalogue!G76*SQRT((1+'Paramètres'!$B$4*(C1457-1)+'Paramètres'!$B$5*(C1457-1)^2)),0)</x:f>
        <x:v>7</x:v>
      </x:c>
      <x:c r="H1457" s="28" t="n">
        <x:f>ROUND(Catalogue!H76*SQRT((1+'Paramètres'!$B$4*(C1457-1)+'Paramètres'!$B$5*(C1457-1)^2)),0)</x:f>
        <x:v>0</x:v>
      </x:c>
      <x:c r="I1457" s="28" t="n">
        <x:v>0</x:v>
      </x:c>
      <x:c r="J1457" s="28" t="n">
        <x:v>0</x:v>
      </x:c>
      <x:c r="K1457" s="30" t="n">
        <x:v>1.5</x:v>
      </x:c>
      <x:c r="L1457" s="54" t="n">
        <x:f>IF(M1457=0,0,(E1457+F1457)/2)</x:f>
        <x:v>0</x:v>
      </x:c>
      <x:c r="M1457" t="n">
        <x:v>0</x:v>
      </x:c>
      <x:c r="N1457" t="n">
        <x:v>0</x:v>
      </x:c>
      <x:c r="O1457" t="n">
        <x:v>0</x:v>
      </x:c>
      <x:c r="P1457" s="63" t="str">
        <x:f>IF(M1457=0,"—",M1457&amp;"d"&amp;N1457&amp;IF(O1457=0,""," + "&amp;O1457))</x:f>
        <x:v>—</x:v>
      </x:c>
      <x:c r="Q1457" t="n">
        <x:f>ROUND(INDEX(Catalogue!E$4:E$85,MATCH(A1457,Catalogue!A$4:A$85,0))*(1+'Paramètres'!$B$4*(C1457-1)+'Paramètres'!$B$5*(C1457-1)^2),0)</x:f>
        <x:v>0</x:v>
      </x:c>
      <x:c r="R1457" t="n">
        <x:f>ROUND(INDEX(Catalogue!F$4:F$85,MATCH(A1457,Catalogue!A$4:A$85,0))*(1+'Paramètres'!$B$4*(C1457-1)+'Paramètres'!$B$5*(C1457-1)^2),0)</x:f>
        <x:v>0</x:v>
      </x:c>
      <x:c r="S1457" t="n">
        <x:f>L1457-AVERAGE(Q1457:R1457)</x:f>
        <x:v>0</x:v>
      </x:c>
      <x:c r="T1457" t="str">
        <x:f>IF(M1457=0,IF(AND(N1457=0,O1457=0,E1457=0,F1457=0),"OK","ERREUR"),IF(AND(M1457&gt;=1,M1457&lt;=32,OR(N1457=4,N1457=6,N1457=8,N1457=10,N1457=12,N1457=20),O1457&gt;=0,E1457=M1457+O1457,F1457=M1457*N1457+O1457),"OK","ERREUR"))</x:f>
        <x:v>OK</x:v>
      </x:c>
      <x:c r="U1457" s="86" t="n">
        <x:f>IF(M1457&gt;0,M1457*(N1457+1)/2+O1457,0)</x:f>
        <x:v>0</x:v>
      </x:c>
      <x:c r="V1457" t="str">
        <x:f>IF(ABS(L1457-U1457)&lt;0.001,"OK","ERREUR")</x:f>
        <x:v>OK</x:v>
      </x:c>
    </x:row>
    <x:row r="1458" ht="18" customHeight="1">
      <x:c r="A1458" t="str">
        <x:v>ARM073</x:v>
      </x:c>
      <x:c r="B1458" t="str">
        <x:v>Targe</x:v>
      </x:c>
      <x:c r="C1458" t="n">
        <x:v>15</x:v>
      </x:c>
      <x:c r="D1458" t="str">
        <x:v>Boucliers</x:v>
      </x:c>
      <x:c r="E1458" s="28" t="n">
        <x:f>IF(M1458=0,0,M1458+O1458)</x:f>
        <x:v>0</x:v>
      </x:c>
      <x:c r="F1458" s="28" t="n">
        <x:f>IF(M1458=0,0,M1458*N1458+O1458)</x:f>
        <x:v>0</x:v>
      </x:c>
      <x:c r="G1458" s="28" t="n">
        <x:f>ROUND(Catalogue!G76*SQRT((1+'Paramètres'!$B$4*(C1458-1)+'Paramètres'!$B$5*(C1458-1)^2)),0)</x:f>
        <x:v>7</x:v>
      </x:c>
      <x:c r="H1458" s="28" t="n">
        <x:f>ROUND(Catalogue!H76*SQRT((1+'Paramètres'!$B$4*(C1458-1)+'Paramètres'!$B$5*(C1458-1)^2)),0)</x:f>
        <x:v>0</x:v>
      </x:c>
      <x:c r="I1458" s="28" t="n">
        <x:v>0</x:v>
      </x:c>
      <x:c r="J1458" s="28" t="n">
        <x:v>0</x:v>
      </x:c>
      <x:c r="K1458" s="30" t="n">
        <x:v>1.5</x:v>
      </x:c>
      <x:c r="L1458" s="54" t="n">
        <x:f>IF(M1458=0,0,(E1458+F1458)/2)</x:f>
        <x:v>0</x:v>
      </x:c>
      <x:c r="M1458" t="n">
        <x:v>0</x:v>
      </x:c>
      <x:c r="N1458" t="n">
        <x:v>0</x:v>
      </x:c>
      <x:c r="O1458" t="n">
        <x:v>0</x:v>
      </x:c>
      <x:c r="P1458" s="63" t="str">
        <x:f>IF(M1458=0,"—",M1458&amp;"d"&amp;N1458&amp;IF(O1458=0,""," + "&amp;O1458))</x:f>
        <x:v>—</x:v>
      </x:c>
      <x:c r="Q1458" t="n">
        <x:f>ROUND(INDEX(Catalogue!E$4:E$85,MATCH(A1458,Catalogue!A$4:A$85,0))*(1+'Paramètres'!$B$4*(C1458-1)+'Paramètres'!$B$5*(C1458-1)^2),0)</x:f>
        <x:v>0</x:v>
      </x:c>
      <x:c r="R1458" t="n">
        <x:f>ROUND(INDEX(Catalogue!F$4:F$85,MATCH(A1458,Catalogue!A$4:A$85,0))*(1+'Paramètres'!$B$4*(C1458-1)+'Paramètres'!$B$5*(C1458-1)^2),0)</x:f>
        <x:v>0</x:v>
      </x:c>
      <x:c r="S1458" t="n">
        <x:f>L1458-AVERAGE(Q1458:R1458)</x:f>
        <x:v>0</x:v>
      </x:c>
      <x:c r="T1458" t="str">
        <x:f>IF(M1458=0,IF(AND(N1458=0,O1458=0,E1458=0,F1458=0),"OK","ERREUR"),IF(AND(M1458&gt;=1,M1458&lt;=32,OR(N1458=4,N1458=6,N1458=8,N1458=10,N1458=12,N1458=20),O1458&gt;=0,E1458=M1458+O1458,F1458=M1458*N1458+O1458),"OK","ERREUR"))</x:f>
        <x:v>OK</x:v>
      </x:c>
      <x:c r="U1458" s="86" t="n">
        <x:f>IF(M1458&gt;0,M1458*(N1458+1)/2+O1458,0)</x:f>
        <x:v>0</x:v>
      </x:c>
      <x:c r="V1458" t="str">
        <x:f>IF(ABS(L1458-U1458)&lt;0.001,"OK","ERREUR")</x:f>
        <x:v>OK</x:v>
      </x:c>
    </x:row>
    <x:row r="1459" ht="18" customHeight="1">
      <x:c r="A1459" t="str">
        <x:v>ARM073</x:v>
      </x:c>
      <x:c r="B1459" t="str">
        <x:v>Targe</x:v>
      </x:c>
      <x:c r="C1459" t="n">
        <x:v>16</x:v>
      </x:c>
      <x:c r="D1459" t="str">
        <x:v>Boucliers</x:v>
      </x:c>
      <x:c r="E1459" s="28" t="n">
        <x:f>IF(M1459=0,0,M1459+O1459)</x:f>
        <x:v>0</x:v>
      </x:c>
      <x:c r="F1459" s="28" t="n">
        <x:f>IF(M1459=0,0,M1459*N1459+O1459)</x:f>
        <x:v>0</x:v>
      </x:c>
      <x:c r="G1459" s="28" t="n">
        <x:f>ROUND(Catalogue!G76*SQRT((1+'Paramètres'!$B$4*(C1459-1)+'Paramètres'!$B$5*(C1459-1)^2)),0)</x:f>
        <x:v>8</x:v>
      </x:c>
      <x:c r="H1459" s="28" t="n">
        <x:f>ROUND(Catalogue!H76*SQRT((1+'Paramètres'!$B$4*(C1459-1)+'Paramètres'!$B$5*(C1459-1)^2)),0)</x:f>
        <x:v>0</x:v>
      </x:c>
      <x:c r="I1459" s="28" t="n">
        <x:v>0</x:v>
      </x:c>
      <x:c r="J1459" s="28" t="n">
        <x:v>0</x:v>
      </x:c>
      <x:c r="K1459" s="30" t="n">
        <x:v>1.5</x:v>
      </x:c>
      <x:c r="L1459" s="54" t="n">
        <x:f>IF(M1459=0,0,(E1459+F1459)/2)</x:f>
        <x:v>0</x:v>
      </x:c>
      <x:c r="M1459" t="n">
        <x:v>0</x:v>
      </x:c>
      <x:c r="N1459" t="n">
        <x:v>0</x:v>
      </x:c>
      <x:c r="O1459" t="n">
        <x:v>0</x:v>
      </x:c>
      <x:c r="P1459" s="63" t="str">
        <x:f>IF(M1459=0,"—",M1459&amp;"d"&amp;N1459&amp;IF(O1459=0,""," + "&amp;O1459))</x:f>
        <x:v>—</x:v>
      </x:c>
      <x:c r="Q1459" t="n">
        <x:f>ROUND(INDEX(Catalogue!E$4:E$85,MATCH(A1459,Catalogue!A$4:A$85,0))*(1+'Paramètres'!$B$4*(C1459-1)+'Paramètres'!$B$5*(C1459-1)^2),0)</x:f>
        <x:v>0</x:v>
      </x:c>
      <x:c r="R1459" t="n">
        <x:f>ROUND(INDEX(Catalogue!F$4:F$85,MATCH(A1459,Catalogue!A$4:A$85,0))*(1+'Paramètres'!$B$4*(C1459-1)+'Paramètres'!$B$5*(C1459-1)^2),0)</x:f>
        <x:v>0</x:v>
      </x:c>
      <x:c r="S1459" t="n">
        <x:f>L1459-AVERAGE(Q1459:R1459)</x:f>
        <x:v>0</x:v>
      </x:c>
      <x:c r="T1459" t="str">
        <x:f>IF(M1459=0,IF(AND(N1459=0,O1459=0,E1459=0,F1459=0),"OK","ERREUR"),IF(AND(M1459&gt;=1,M1459&lt;=32,OR(N1459=4,N1459=6,N1459=8,N1459=10,N1459=12,N1459=20),O1459&gt;=0,E1459=M1459+O1459,F1459=M1459*N1459+O1459),"OK","ERREUR"))</x:f>
        <x:v>OK</x:v>
      </x:c>
      <x:c r="U1459" s="86" t="n">
        <x:f>IF(M1459&gt;0,M1459*(N1459+1)/2+O1459,0)</x:f>
        <x:v>0</x:v>
      </x:c>
      <x:c r="V1459" t="str">
        <x:f>IF(ABS(L1459-U1459)&lt;0.001,"OK","ERREUR")</x:f>
        <x:v>OK</x:v>
      </x:c>
    </x:row>
    <x:row r="1460" ht="18" customHeight="1">
      <x:c r="A1460" t="str">
        <x:v>ARM073</x:v>
      </x:c>
      <x:c r="B1460" t="str">
        <x:v>Targe</x:v>
      </x:c>
      <x:c r="C1460" t="n">
        <x:v>17</x:v>
      </x:c>
      <x:c r="D1460" t="str">
        <x:v>Boucliers</x:v>
      </x:c>
      <x:c r="E1460" s="28" t="n">
        <x:f>IF(M1460=0,0,M1460+O1460)</x:f>
        <x:v>0</x:v>
      </x:c>
      <x:c r="F1460" s="28" t="n">
        <x:f>IF(M1460=0,0,M1460*N1460+O1460)</x:f>
        <x:v>0</x:v>
      </x:c>
      <x:c r="G1460" s="28" t="n">
        <x:f>ROUND(Catalogue!G76*SQRT((1+'Paramètres'!$B$4*(C1460-1)+'Paramètres'!$B$5*(C1460-1)^2)),0)</x:f>
        <x:v>8</x:v>
      </x:c>
      <x:c r="H1460" s="28" t="n">
        <x:f>ROUND(Catalogue!H76*SQRT((1+'Paramètres'!$B$4*(C1460-1)+'Paramètres'!$B$5*(C1460-1)^2)),0)</x:f>
        <x:v>0</x:v>
      </x:c>
      <x:c r="I1460" s="28" t="n">
        <x:v>0</x:v>
      </x:c>
      <x:c r="J1460" s="28" t="n">
        <x:v>0</x:v>
      </x:c>
      <x:c r="K1460" s="30" t="n">
        <x:v>1.5</x:v>
      </x:c>
      <x:c r="L1460" s="54" t="n">
        <x:f>IF(M1460=0,0,(E1460+F1460)/2)</x:f>
        <x:v>0</x:v>
      </x:c>
      <x:c r="M1460" t="n">
        <x:v>0</x:v>
      </x:c>
      <x:c r="N1460" t="n">
        <x:v>0</x:v>
      </x:c>
      <x:c r="O1460" t="n">
        <x:v>0</x:v>
      </x:c>
      <x:c r="P1460" s="63" t="str">
        <x:f>IF(M1460=0,"—",M1460&amp;"d"&amp;N1460&amp;IF(O1460=0,""," + "&amp;O1460))</x:f>
        <x:v>—</x:v>
      </x:c>
      <x:c r="Q1460" t="n">
        <x:f>ROUND(INDEX(Catalogue!E$4:E$85,MATCH(A1460,Catalogue!A$4:A$85,0))*(1+'Paramètres'!$B$4*(C1460-1)+'Paramètres'!$B$5*(C1460-1)^2),0)</x:f>
        <x:v>0</x:v>
      </x:c>
      <x:c r="R1460" t="n">
        <x:f>ROUND(INDEX(Catalogue!F$4:F$85,MATCH(A1460,Catalogue!A$4:A$85,0))*(1+'Paramètres'!$B$4*(C1460-1)+'Paramètres'!$B$5*(C1460-1)^2),0)</x:f>
        <x:v>0</x:v>
      </x:c>
      <x:c r="S1460" t="n">
        <x:f>L1460-AVERAGE(Q1460:R1460)</x:f>
        <x:v>0</x:v>
      </x:c>
      <x:c r="T1460" t="str">
        <x:f>IF(M1460=0,IF(AND(N1460=0,O1460=0,E1460=0,F1460=0),"OK","ERREUR"),IF(AND(M1460&gt;=1,M1460&lt;=32,OR(N1460=4,N1460=6,N1460=8,N1460=10,N1460=12,N1460=20),O1460&gt;=0,E1460=M1460+O1460,F1460=M1460*N1460+O1460),"OK","ERREUR"))</x:f>
        <x:v>OK</x:v>
      </x:c>
      <x:c r="U1460" s="86" t="n">
        <x:f>IF(M1460&gt;0,M1460*(N1460+1)/2+O1460,0)</x:f>
        <x:v>0</x:v>
      </x:c>
      <x:c r="V1460" t="str">
        <x:f>IF(ABS(L1460-U1460)&lt;0.001,"OK","ERREUR")</x:f>
        <x:v>OK</x:v>
      </x:c>
    </x:row>
    <x:row r="1461" ht="18" customHeight="1">
      <x:c r="A1461" t="str">
        <x:v>ARM073</x:v>
      </x:c>
      <x:c r="B1461" t="str">
        <x:v>Targe</x:v>
      </x:c>
      <x:c r="C1461" t="n">
        <x:v>18</x:v>
      </x:c>
      <x:c r="D1461" t="str">
        <x:v>Boucliers</x:v>
      </x:c>
      <x:c r="E1461" s="28" t="n">
        <x:f>IF(M1461=0,0,M1461+O1461)</x:f>
        <x:v>0</x:v>
      </x:c>
      <x:c r="F1461" s="28" t="n">
        <x:f>IF(M1461=0,0,M1461*N1461+O1461)</x:f>
        <x:v>0</x:v>
      </x:c>
      <x:c r="G1461" s="28" t="n">
        <x:f>ROUND(Catalogue!G76*SQRT((1+'Paramètres'!$B$4*(C1461-1)+'Paramètres'!$B$5*(C1461-1)^2)),0)</x:f>
        <x:v>8</x:v>
      </x:c>
      <x:c r="H1461" s="28" t="n">
        <x:f>ROUND(Catalogue!H76*SQRT((1+'Paramètres'!$B$4*(C1461-1)+'Paramètres'!$B$5*(C1461-1)^2)),0)</x:f>
        <x:v>0</x:v>
      </x:c>
      <x:c r="I1461" s="28" t="n">
        <x:v>0</x:v>
      </x:c>
      <x:c r="J1461" s="28" t="n">
        <x:v>0</x:v>
      </x:c>
      <x:c r="K1461" s="30" t="n">
        <x:v>1.5</x:v>
      </x:c>
      <x:c r="L1461" s="54" t="n">
        <x:f>IF(M1461=0,0,(E1461+F1461)/2)</x:f>
        <x:v>0</x:v>
      </x:c>
      <x:c r="M1461" t="n">
        <x:v>0</x:v>
      </x:c>
      <x:c r="N1461" t="n">
        <x:v>0</x:v>
      </x:c>
      <x:c r="O1461" t="n">
        <x:v>0</x:v>
      </x:c>
      <x:c r="P1461" s="63" t="str">
        <x:f>IF(M1461=0,"—",M1461&amp;"d"&amp;N1461&amp;IF(O1461=0,""," + "&amp;O1461))</x:f>
        <x:v>—</x:v>
      </x:c>
      <x:c r="Q1461" t="n">
        <x:f>ROUND(INDEX(Catalogue!E$4:E$85,MATCH(A1461,Catalogue!A$4:A$85,0))*(1+'Paramètres'!$B$4*(C1461-1)+'Paramètres'!$B$5*(C1461-1)^2),0)</x:f>
        <x:v>0</x:v>
      </x:c>
      <x:c r="R1461" t="n">
        <x:f>ROUND(INDEX(Catalogue!F$4:F$85,MATCH(A1461,Catalogue!A$4:A$85,0))*(1+'Paramètres'!$B$4*(C1461-1)+'Paramètres'!$B$5*(C1461-1)^2),0)</x:f>
        <x:v>0</x:v>
      </x:c>
      <x:c r="S1461" t="n">
        <x:f>L1461-AVERAGE(Q1461:R1461)</x:f>
        <x:v>0</x:v>
      </x:c>
      <x:c r="T1461" t="str">
        <x:f>IF(M1461=0,IF(AND(N1461=0,O1461=0,E1461=0,F1461=0),"OK","ERREUR"),IF(AND(M1461&gt;=1,M1461&lt;=32,OR(N1461=4,N1461=6,N1461=8,N1461=10,N1461=12,N1461=20),O1461&gt;=0,E1461=M1461+O1461,F1461=M1461*N1461+O1461),"OK","ERREUR"))</x:f>
        <x:v>OK</x:v>
      </x:c>
      <x:c r="U1461" s="86" t="n">
        <x:f>IF(M1461&gt;0,M1461*(N1461+1)/2+O1461,0)</x:f>
        <x:v>0</x:v>
      </x:c>
      <x:c r="V1461" t="str">
        <x:f>IF(ABS(L1461-U1461)&lt;0.001,"OK","ERREUR")</x:f>
        <x:v>OK</x:v>
      </x:c>
    </x:row>
    <x:row r="1462" ht="18" customHeight="1">
      <x:c r="A1462" t="str">
        <x:v>ARM073</x:v>
      </x:c>
      <x:c r="B1462" t="str">
        <x:v>Targe</x:v>
      </x:c>
      <x:c r="C1462" t="n">
        <x:v>19</x:v>
      </x:c>
      <x:c r="D1462" t="str">
        <x:v>Boucliers</x:v>
      </x:c>
      <x:c r="E1462" s="28" t="n">
        <x:f>IF(M1462=0,0,M1462+O1462)</x:f>
        <x:v>0</x:v>
      </x:c>
      <x:c r="F1462" s="28" t="n">
        <x:f>IF(M1462=0,0,M1462*N1462+O1462)</x:f>
        <x:v>0</x:v>
      </x:c>
      <x:c r="G1462" s="28" t="n">
        <x:f>ROUND(Catalogue!G76*SQRT((1+'Paramètres'!$B$4*(C1462-1)+'Paramètres'!$B$5*(C1462-1)^2)),0)</x:f>
        <x:v>9</x:v>
      </x:c>
      <x:c r="H1462" s="28" t="n">
        <x:f>ROUND(Catalogue!H76*SQRT((1+'Paramètres'!$B$4*(C1462-1)+'Paramètres'!$B$5*(C1462-1)^2)),0)</x:f>
        <x:v>0</x:v>
      </x:c>
      <x:c r="I1462" s="28" t="n">
        <x:v>0</x:v>
      </x:c>
      <x:c r="J1462" s="28" t="n">
        <x:v>0</x:v>
      </x:c>
      <x:c r="K1462" s="30" t="n">
        <x:v>1.5</x:v>
      </x:c>
      <x:c r="L1462" s="54" t="n">
        <x:f>IF(M1462=0,0,(E1462+F1462)/2)</x:f>
        <x:v>0</x:v>
      </x:c>
      <x:c r="M1462" t="n">
        <x:v>0</x:v>
      </x:c>
      <x:c r="N1462" t="n">
        <x:v>0</x:v>
      </x:c>
      <x:c r="O1462" t="n">
        <x:v>0</x:v>
      </x:c>
      <x:c r="P1462" s="63" t="str">
        <x:f>IF(M1462=0,"—",M1462&amp;"d"&amp;N1462&amp;IF(O1462=0,""," + "&amp;O1462))</x:f>
        <x:v>—</x:v>
      </x:c>
      <x:c r="Q1462" t="n">
        <x:f>ROUND(INDEX(Catalogue!E$4:E$85,MATCH(A1462,Catalogue!A$4:A$85,0))*(1+'Paramètres'!$B$4*(C1462-1)+'Paramètres'!$B$5*(C1462-1)^2),0)</x:f>
        <x:v>0</x:v>
      </x:c>
      <x:c r="R1462" t="n">
        <x:f>ROUND(INDEX(Catalogue!F$4:F$85,MATCH(A1462,Catalogue!A$4:A$85,0))*(1+'Paramètres'!$B$4*(C1462-1)+'Paramètres'!$B$5*(C1462-1)^2),0)</x:f>
        <x:v>0</x:v>
      </x:c>
      <x:c r="S1462" t="n">
        <x:f>L1462-AVERAGE(Q1462:R1462)</x:f>
        <x:v>0</x:v>
      </x:c>
      <x:c r="T1462" t="str">
        <x:f>IF(M1462=0,IF(AND(N1462=0,O1462=0,E1462=0,F1462=0),"OK","ERREUR"),IF(AND(M1462&gt;=1,M1462&lt;=32,OR(N1462=4,N1462=6,N1462=8,N1462=10,N1462=12,N1462=20),O1462&gt;=0,E1462=M1462+O1462,F1462=M1462*N1462+O1462),"OK","ERREUR"))</x:f>
        <x:v>OK</x:v>
      </x:c>
      <x:c r="U1462" s="86" t="n">
        <x:f>IF(M1462&gt;0,M1462*(N1462+1)/2+O1462,0)</x:f>
        <x:v>0</x:v>
      </x:c>
      <x:c r="V1462" t="str">
        <x:f>IF(ABS(L1462-U1462)&lt;0.001,"OK","ERREUR")</x:f>
        <x:v>OK</x:v>
      </x:c>
    </x:row>
    <x:row r="1463" ht="18" customHeight="1">
      <x:c r="A1463" t="str">
        <x:v>ARM073</x:v>
      </x:c>
      <x:c r="B1463" t="str">
        <x:v>Targe</x:v>
      </x:c>
      <x:c r="C1463" t="n">
        <x:v>20</x:v>
      </x:c>
      <x:c r="D1463" t="str">
        <x:v>Boucliers</x:v>
      </x:c>
      <x:c r="E1463" s="28" t="n">
        <x:f>IF(M1463=0,0,M1463+O1463)</x:f>
        <x:v>0</x:v>
      </x:c>
      <x:c r="F1463" s="28" t="n">
        <x:f>IF(M1463=0,0,M1463*N1463+O1463)</x:f>
        <x:v>0</x:v>
      </x:c>
      <x:c r="G1463" s="28" t="n">
        <x:f>ROUND(Catalogue!G76*SQRT((1+'Paramètres'!$B$4*(C1463-1)+'Paramètres'!$B$5*(C1463-1)^2)),0)</x:f>
        <x:v>9</x:v>
      </x:c>
      <x:c r="H1463" s="28" t="n">
        <x:f>ROUND(Catalogue!H76*SQRT((1+'Paramètres'!$B$4*(C1463-1)+'Paramètres'!$B$5*(C1463-1)^2)),0)</x:f>
        <x:v>0</x:v>
      </x:c>
      <x:c r="I1463" s="28" t="n">
        <x:v>0</x:v>
      </x:c>
      <x:c r="J1463" s="28" t="n">
        <x:v>0</x:v>
      </x:c>
      <x:c r="K1463" s="30" t="n">
        <x:v>1.5</x:v>
      </x:c>
      <x:c r="L1463" s="54" t="n">
        <x:f>IF(M1463=0,0,(E1463+F1463)/2)</x:f>
        <x:v>0</x:v>
      </x:c>
      <x:c r="M1463" t="n">
        <x:v>0</x:v>
      </x:c>
      <x:c r="N1463" t="n">
        <x:v>0</x:v>
      </x:c>
      <x:c r="O1463" t="n">
        <x:v>0</x:v>
      </x:c>
      <x:c r="P1463" s="63" t="str">
        <x:f>IF(M1463=0,"—",M1463&amp;"d"&amp;N1463&amp;IF(O1463=0,""," + "&amp;O1463))</x:f>
        <x:v>—</x:v>
      </x:c>
      <x:c r="Q1463" t="n">
        <x:f>ROUND(INDEX(Catalogue!E$4:E$85,MATCH(A1463,Catalogue!A$4:A$85,0))*(1+'Paramètres'!$B$4*(C1463-1)+'Paramètres'!$B$5*(C1463-1)^2),0)</x:f>
        <x:v>0</x:v>
      </x:c>
      <x:c r="R1463" t="n">
        <x:f>ROUND(INDEX(Catalogue!F$4:F$85,MATCH(A1463,Catalogue!A$4:A$85,0))*(1+'Paramètres'!$B$4*(C1463-1)+'Paramètres'!$B$5*(C1463-1)^2),0)</x:f>
        <x:v>0</x:v>
      </x:c>
      <x:c r="S1463" t="n">
        <x:f>L1463-AVERAGE(Q1463:R1463)</x:f>
        <x:v>0</x:v>
      </x:c>
      <x:c r="T1463" t="str">
        <x:f>IF(M1463=0,IF(AND(N1463=0,O1463=0,E1463=0,F1463=0),"OK","ERREUR"),IF(AND(M1463&gt;=1,M1463&lt;=32,OR(N1463=4,N1463=6,N1463=8,N1463=10,N1463=12,N1463=20),O1463&gt;=0,E1463=M1463+O1463,F1463=M1463*N1463+O1463),"OK","ERREUR"))</x:f>
        <x:v>OK</x:v>
      </x:c>
      <x:c r="U1463" s="86" t="n">
        <x:f>IF(M1463&gt;0,M1463*(N1463+1)/2+O1463,0)</x:f>
        <x:v>0</x:v>
      </x:c>
      <x:c r="V1463" t="str">
        <x:f>IF(ABS(L1463-U1463)&lt;0.001,"OK","ERREUR")</x:f>
        <x:v>OK</x:v>
      </x:c>
    </x:row>
    <x:row r="1464" ht="18" customHeight="1">
      <x:c r="A1464" t="str">
        <x:v>ARM074</x:v>
      </x:c>
      <x:c r="B1464" t="str">
        <x:v>Bouclier de bois</x:v>
      </x:c>
      <x:c r="C1464" t="n">
        <x:v>1</x:v>
      </x:c>
      <x:c r="D1464" t="str">
        <x:v>Boucliers</x:v>
      </x:c>
      <x:c r="E1464" s="28" t="n">
        <x:f>IF(M1464=0,0,M1464+O1464)</x:f>
        <x:v>0</x:v>
      </x:c>
      <x:c r="F1464" s="28" t="n">
        <x:f>IF(M1464=0,0,M1464*N1464+O1464)</x:f>
        <x:v>0</x:v>
      </x:c>
      <x:c r="G1464" s="28" t="n">
        <x:f>ROUND(Catalogue!G77*SQRT((1+'Paramètres'!$B$4*(C1464-1)+'Paramètres'!$B$5*(C1464-1)^2)),0)</x:f>
        <x:v>4</x:v>
      </x:c>
      <x:c r="H1464" s="28" t="n">
        <x:f>ROUND(Catalogue!H77*SQRT((1+'Paramètres'!$B$4*(C1464-1)+'Paramètres'!$B$5*(C1464-1)^2)),0)</x:f>
        <x:v>0</x:v>
      </x:c>
      <x:c r="I1464" s="28" t="n">
        <x:v>0</x:v>
      </x:c>
      <x:c r="J1464" s="28" t="n">
        <x:v>0</x:v>
      </x:c>
      <x:c r="K1464" s="30" t="n">
        <x:v>2.6</x:v>
      </x:c>
      <x:c r="L1464" s="54" t="n">
        <x:f>IF(M1464=0,0,(E1464+F1464)/2)</x:f>
        <x:v>0</x:v>
      </x:c>
      <x:c r="M1464" t="n">
        <x:v>0</x:v>
      </x:c>
      <x:c r="N1464" t="n">
        <x:v>0</x:v>
      </x:c>
      <x:c r="O1464" t="n">
        <x:v>0</x:v>
      </x:c>
      <x:c r="P1464" s="63" t="str">
        <x:f>IF(M1464=0,"—",M1464&amp;"d"&amp;N1464&amp;IF(O1464=0,""," + "&amp;O1464))</x:f>
        <x:v>—</x:v>
      </x:c>
      <x:c r="Q1464" t="n">
        <x:f>ROUND(INDEX(Catalogue!E$4:E$85,MATCH(A1464,Catalogue!A$4:A$85,0))*(1+'Paramètres'!$B$4*(C1464-1)+'Paramètres'!$B$5*(C1464-1)^2),0)</x:f>
        <x:v>0</x:v>
      </x:c>
      <x:c r="R1464" t="n">
        <x:f>ROUND(INDEX(Catalogue!F$4:F$85,MATCH(A1464,Catalogue!A$4:A$85,0))*(1+'Paramètres'!$B$4*(C1464-1)+'Paramètres'!$B$5*(C1464-1)^2),0)</x:f>
        <x:v>0</x:v>
      </x:c>
      <x:c r="S1464" t="n">
        <x:f>L1464-AVERAGE(Q1464:R1464)</x:f>
        <x:v>0</x:v>
      </x:c>
      <x:c r="T1464" t="str">
        <x:f>IF(M1464=0,IF(AND(N1464=0,O1464=0,E1464=0,F1464=0),"OK","ERREUR"),IF(AND(M1464&gt;=1,M1464&lt;=32,OR(N1464=4,N1464=6,N1464=8,N1464=10,N1464=12,N1464=20),O1464&gt;=0,E1464=M1464+O1464,F1464=M1464*N1464+O1464),"OK","ERREUR"))</x:f>
        <x:v>OK</x:v>
      </x:c>
      <x:c r="U1464" s="86" t="n">
        <x:f>IF(M1464&gt;0,M1464*(N1464+1)/2+O1464,0)</x:f>
        <x:v>0</x:v>
      </x:c>
      <x:c r="V1464" t="str">
        <x:f>IF(ABS(L1464-U1464)&lt;0.001,"OK","ERREUR")</x:f>
        <x:v>OK</x:v>
      </x:c>
    </x:row>
    <x:row r="1465" ht="18" customHeight="1">
      <x:c r="A1465" t="str">
        <x:v>ARM074</x:v>
      </x:c>
      <x:c r="B1465" t="str">
        <x:v>Bouclier de bois</x:v>
      </x:c>
      <x:c r="C1465" t="n">
        <x:v>2</x:v>
      </x:c>
      <x:c r="D1465" t="str">
        <x:v>Boucliers</x:v>
      </x:c>
      <x:c r="E1465" s="28" t="n">
        <x:f>IF(M1465=0,0,M1465+O1465)</x:f>
        <x:v>0</x:v>
      </x:c>
      <x:c r="F1465" s="28" t="n">
        <x:f>IF(M1465=0,0,M1465*N1465+O1465)</x:f>
        <x:v>0</x:v>
      </x:c>
      <x:c r="G1465" s="28" t="n">
        <x:f>ROUND(Catalogue!G77*SQRT((1+'Paramètres'!$B$4*(C1465-1)+'Paramètres'!$B$5*(C1465-1)^2)),0)</x:f>
        <x:v>4</x:v>
      </x:c>
      <x:c r="H1465" s="28" t="n">
        <x:f>ROUND(Catalogue!H77*SQRT((1+'Paramètres'!$B$4*(C1465-1)+'Paramètres'!$B$5*(C1465-1)^2)),0)</x:f>
        <x:v>0</x:v>
      </x:c>
      <x:c r="I1465" s="28" t="n">
        <x:v>0</x:v>
      </x:c>
      <x:c r="J1465" s="28" t="n">
        <x:v>0</x:v>
      </x:c>
      <x:c r="K1465" s="30" t="n">
        <x:v>2.6</x:v>
      </x:c>
      <x:c r="L1465" s="54" t="n">
        <x:f>IF(M1465=0,0,(E1465+F1465)/2)</x:f>
        <x:v>0</x:v>
      </x:c>
      <x:c r="M1465" t="n">
        <x:v>0</x:v>
      </x:c>
      <x:c r="N1465" t="n">
        <x:v>0</x:v>
      </x:c>
      <x:c r="O1465" t="n">
        <x:v>0</x:v>
      </x:c>
      <x:c r="P1465" s="63" t="str">
        <x:f>IF(M1465=0,"—",M1465&amp;"d"&amp;N1465&amp;IF(O1465=0,""," + "&amp;O1465))</x:f>
        <x:v>—</x:v>
      </x:c>
      <x:c r="Q1465" t="n">
        <x:f>ROUND(INDEX(Catalogue!E$4:E$85,MATCH(A1465,Catalogue!A$4:A$85,0))*(1+'Paramètres'!$B$4*(C1465-1)+'Paramètres'!$B$5*(C1465-1)^2),0)</x:f>
        <x:v>0</x:v>
      </x:c>
      <x:c r="R1465" t="n">
        <x:f>ROUND(INDEX(Catalogue!F$4:F$85,MATCH(A1465,Catalogue!A$4:A$85,0))*(1+'Paramètres'!$B$4*(C1465-1)+'Paramètres'!$B$5*(C1465-1)^2),0)</x:f>
        <x:v>0</x:v>
      </x:c>
      <x:c r="S1465" t="n">
        <x:f>L1465-AVERAGE(Q1465:R1465)</x:f>
        <x:v>0</x:v>
      </x:c>
      <x:c r="T1465" t="str">
        <x:f>IF(M1465=0,IF(AND(N1465=0,O1465=0,E1465=0,F1465=0),"OK","ERREUR"),IF(AND(M1465&gt;=1,M1465&lt;=32,OR(N1465=4,N1465=6,N1465=8,N1465=10,N1465=12,N1465=20),O1465&gt;=0,E1465=M1465+O1465,F1465=M1465*N1465+O1465),"OK","ERREUR"))</x:f>
        <x:v>OK</x:v>
      </x:c>
      <x:c r="U1465" s="86" t="n">
        <x:f>IF(M1465&gt;0,M1465*(N1465+1)/2+O1465,0)</x:f>
        <x:v>0</x:v>
      </x:c>
      <x:c r="V1465" t="str">
        <x:f>IF(ABS(L1465-U1465)&lt;0.001,"OK","ERREUR")</x:f>
        <x:v>OK</x:v>
      </x:c>
    </x:row>
    <x:row r="1466" ht="18" customHeight="1">
      <x:c r="A1466" t="str">
        <x:v>ARM074</x:v>
      </x:c>
      <x:c r="B1466" t="str">
        <x:v>Bouclier de bois</x:v>
      </x:c>
      <x:c r="C1466" t="n">
        <x:v>3</x:v>
      </x:c>
      <x:c r="D1466" t="str">
        <x:v>Boucliers</x:v>
      </x:c>
      <x:c r="E1466" s="28" t="n">
        <x:f>IF(M1466=0,0,M1466+O1466)</x:f>
        <x:v>0</x:v>
      </x:c>
      <x:c r="F1466" s="28" t="n">
        <x:f>IF(M1466=0,0,M1466*N1466+O1466)</x:f>
        <x:v>0</x:v>
      </x:c>
      <x:c r="G1466" s="28" t="n">
        <x:f>ROUND(Catalogue!G77*SQRT((1+'Paramètres'!$B$4*(C1466-1)+'Paramètres'!$B$5*(C1466-1)^2)),0)</x:f>
        <x:v>5</x:v>
      </x:c>
      <x:c r="H1466" s="28" t="n">
        <x:f>ROUND(Catalogue!H77*SQRT((1+'Paramètres'!$B$4*(C1466-1)+'Paramètres'!$B$5*(C1466-1)^2)),0)</x:f>
        <x:v>0</x:v>
      </x:c>
      <x:c r="I1466" s="28" t="n">
        <x:v>0</x:v>
      </x:c>
      <x:c r="J1466" s="28" t="n">
        <x:v>0</x:v>
      </x:c>
      <x:c r="K1466" s="30" t="n">
        <x:v>2.6</x:v>
      </x:c>
      <x:c r="L1466" s="54" t="n">
        <x:f>IF(M1466=0,0,(E1466+F1466)/2)</x:f>
        <x:v>0</x:v>
      </x:c>
      <x:c r="M1466" t="n">
        <x:v>0</x:v>
      </x:c>
      <x:c r="N1466" t="n">
        <x:v>0</x:v>
      </x:c>
      <x:c r="O1466" t="n">
        <x:v>0</x:v>
      </x:c>
      <x:c r="P1466" s="63" t="str">
        <x:f>IF(M1466=0,"—",M1466&amp;"d"&amp;N1466&amp;IF(O1466=0,""," + "&amp;O1466))</x:f>
        <x:v>—</x:v>
      </x:c>
      <x:c r="Q1466" t="n">
        <x:f>ROUND(INDEX(Catalogue!E$4:E$85,MATCH(A1466,Catalogue!A$4:A$85,0))*(1+'Paramètres'!$B$4*(C1466-1)+'Paramètres'!$B$5*(C1466-1)^2),0)</x:f>
        <x:v>0</x:v>
      </x:c>
      <x:c r="R1466" t="n">
        <x:f>ROUND(INDEX(Catalogue!F$4:F$85,MATCH(A1466,Catalogue!A$4:A$85,0))*(1+'Paramètres'!$B$4*(C1466-1)+'Paramètres'!$B$5*(C1466-1)^2),0)</x:f>
        <x:v>0</x:v>
      </x:c>
      <x:c r="S1466" t="n">
        <x:f>L1466-AVERAGE(Q1466:R1466)</x:f>
        <x:v>0</x:v>
      </x:c>
      <x:c r="T1466" t="str">
        <x:f>IF(M1466=0,IF(AND(N1466=0,O1466=0,E1466=0,F1466=0),"OK","ERREUR"),IF(AND(M1466&gt;=1,M1466&lt;=32,OR(N1466=4,N1466=6,N1466=8,N1466=10,N1466=12,N1466=20),O1466&gt;=0,E1466=M1466+O1466,F1466=M1466*N1466+O1466),"OK","ERREUR"))</x:f>
        <x:v>OK</x:v>
      </x:c>
      <x:c r="U1466" s="86" t="n">
        <x:f>IF(M1466&gt;0,M1466*(N1466+1)/2+O1466,0)</x:f>
        <x:v>0</x:v>
      </x:c>
      <x:c r="V1466" t="str">
        <x:f>IF(ABS(L1466-U1466)&lt;0.001,"OK","ERREUR")</x:f>
        <x:v>OK</x:v>
      </x:c>
    </x:row>
    <x:row r="1467" ht="18" customHeight="1">
      <x:c r="A1467" t="str">
        <x:v>ARM074</x:v>
      </x:c>
      <x:c r="B1467" t="str">
        <x:v>Bouclier de bois</x:v>
      </x:c>
      <x:c r="C1467" t="n">
        <x:v>4</x:v>
      </x:c>
      <x:c r="D1467" t="str">
        <x:v>Boucliers</x:v>
      </x:c>
      <x:c r="E1467" s="28" t="n">
        <x:f>IF(M1467=0,0,M1467+O1467)</x:f>
        <x:v>0</x:v>
      </x:c>
      <x:c r="F1467" s="28" t="n">
        <x:f>IF(M1467=0,0,M1467*N1467+O1467)</x:f>
        <x:v>0</x:v>
      </x:c>
      <x:c r="G1467" s="28" t="n">
        <x:f>ROUND(Catalogue!G77*SQRT((1+'Paramètres'!$B$4*(C1467-1)+'Paramètres'!$B$5*(C1467-1)^2)),0)</x:f>
        <x:v>5</x:v>
      </x:c>
      <x:c r="H1467" s="28" t="n">
        <x:f>ROUND(Catalogue!H77*SQRT((1+'Paramètres'!$B$4*(C1467-1)+'Paramètres'!$B$5*(C1467-1)^2)),0)</x:f>
        <x:v>0</x:v>
      </x:c>
      <x:c r="I1467" s="28" t="n">
        <x:v>0</x:v>
      </x:c>
      <x:c r="J1467" s="28" t="n">
        <x:v>0</x:v>
      </x:c>
      <x:c r="K1467" s="30" t="n">
        <x:v>2.6</x:v>
      </x:c>
      <x:c r="L1467" s="54" t="n">
        <x:f>IF(M1467=0,0,(E1467+F1467)/2)</x:f>
        <x:v>0</x:v>
      </x:c>
      <x:c r="M1467" t="n">
        <x:v>0</x:v>
      </x:c>
      <x:c r="N1467" t="n">
        <x:v>0</x:v>
      </x:c>
      <x:c r="O1467" t="n">
        <x:v>0</x:v>
      </x:c>
      <x:c r="P1467" s="63" t="str">
        <x:f>IF(M1467=0,"—",M1467&amp;"d"&amp;N1467&amp;IF(O1467=0,""," + "&amp;O1467))</x:f>
        <x:v>—</x:v>
      </x:c>
      <x:c r="Q1467" t="n">
        <x:f>ROUND(INDEX(Catalogue!E$4:E$85,MATCH(A1467,Catalogue!A$4:A$85,0))*(1+'Paramètres'!$B$4*(C1467-1)+'Paramètres'!$B$5*(C1467-1)^2),0)</x:f>
        <x:v>0</x:v>
      </x:c>
      <x:c r="R1467" t="n">
        <x:f>ROUND(INDEX(Catalogue!F$4:F$85,MATCH(A1467,Catalogue!A$4:A$85,0))*(1+'Paramètres'!$B$4*(C1467-1)+'Paramètres'!$B$5*(C1467-1)^2),0)</x:f>
        <x:v>0</x:v>
      </x:c>
      <x:c r="S1467" t="n">
        <x:f>L1467-AVERAGE(Q1467:R1467)</x:f>
        <x:v>0</x:v>
      </x:c>
      <x:c r="T1467" t="str">
        <x:f>IF(M1467=0,IF(AND(N1467=0,O1467=0,E1467=0,F1467=0),"OK","ERREUR"),IF(AND(M1467&gt;=1,M1467&lt;=32,OR(N1467=4,N1467=6,N1467=8,N1467=10,N1467=12,N1467=20),O1467&gt;=0,E1467=M1467+O1467,F1467=M1467*N1467+O1467),"OK","ERREUR"))</x:f>
        <x:v>OK</x:v>
      </x:c>
      <x:c r="U1467" s="86" t="n">
        <x:f>IF(M1467&gt;0,M1467*(N1467+1)/2+O1467,0)</x:f>
        <x:v>0</x:v>
      </x:c>
      <x:c r="V1467" t="str">
        <x:f>IF(ABS(L1467-U1467)&lt;0.001,"OK","ERREUR")</x:f>
        <x:v>OK</x:v>
      </x:c>
    </x:row>
    <x:row r="1468" ht="18" customHeight="1">
      <x:c r="A1468" t="str">
        <x:v>ARM074</x:v>
      </x:c>
      <x:c r="B1468" t="str">
        <x:v>Bouclier de bois</x:v>
      </x:c>
      <x:c r="C1468" t="n">
        <x:v>5</x:v>
      </x:c>
      <x:c r="D1468" t="str">
        <x:v>Boucliers</x:v>
      </x:c>
      <x:c r="E1468" s="28" t="n">
        <x:f>IF(M1468=0,0,M1468+O1468)</x:f>
        <x:v>0</x:v>
      </x:c>
      <x:c r="F1468" s="28" t="n">
        <x:f>IF(M1468=0,0,M1468*N1468+O1468)</x:f>
        <x:v>0</x:v>
      </x:c>
      <x:c r="G1468" s="28" t="n">
        <x:f>ROUND(Catalogue!G77*SQRT((1+'Paramètres'!$B$4*(C1468-1)+'Paramètres'!$B$5*(C1468-1)^2)),0)</x:f>
        <x:v>5</x:v>
      </x:c>
      <x:c r="H1468" s="28" t="n">
        <x:f>ROUND(Catalogue!H77*SQRT((1+'Paramètres'!$B$4*(C1468-1)+'Paramètres'!$B$5*(C1468-1)^2)),0)</x:f>
        <x:v>0</x:v>
      </x:c>
      <x:c r="I1468" s="28" t="n">
        <x:v>0</x:v>
      </x:c>
      <x:c r="J1468" s="28" t="n">
        <x:v>0</x:v>
      </x:c>
      <x:c r="K1468" s="30" t="n">
        <x:v>2.6</x:v>
      </x:c>
      <x:c r="L1468" s="54" t="n">
        <x:f>IF(M1468=0,0,(E1468+F1468)/2)</x:f>
        <x:v>0</x:v>
      </x:c>
      <x:c r="M1468" t="n">
        <x:v>0</x:v>
      </x:c>
      <x:c r="N1468" t="n">
        <x:v>0</x:v>
      </x:c>
      <x:c r="O1468" t="n">
        <x:v>0</x:v>
      </x:c>
      <x:c r="P1468" s="63" t="str">
        <x:f>IF(M1468=0,"—",M1468&amp;"d"&amp;N1468&amp;IF(O1468=0,""," + "&amp;O1468))</x:f>
        <x:v>—</x:v>
      </x:c>
      <x:c r="Q1468" t="n">
        <x:f>ROUND(INDEX(Catalogue!E$4:E$85,MATCH(A1468,Catalogue!A$4:A$85,0))*(1+'Paramètres'!$B$4*(C1468-1)+'Paramètres'!$B$5*(C1468-1)^2),0)</x:f>
        <x:v>0</x:v>
      </x:c>
      <x:c r="R1468" t="n">
        <x:f>ROUND(INDEX(Catalogue!F$4:F$85,MATCH(A1468,Catalogue!A$4:A$85,0))*(1+'Paramètres'!$B$4*(C1468-1)+'Paramètres'!$B$5*(C1468-1)^2),0)</x:f>
        <x:v>0</x:v>
      </x:c>
      <x:c r="S1468" t="n">
        <x:f>L1468-AVERAGE(Q1468:R1468)</x:f>
        <x:v>0</x:v>
      </x:c>
      <x:c r="T1468" t="str">
        <x:f>IF(M1468=0,IF(AND(N1468=0,O1468=0,E1468=0,F1468=0),"OK","ERREUR"),IF(AND(M1468&gt;=1,M1468&lt;=32,OR(N1468=4,N1468=6,N1468=8,N1468=10,N1468=12,N1468=20),O1468&gt;=0,E1468=M1468+O1468,F1468=M1468*N1468+O1468),"OK","ERREUR"))</x:f>
        <x:v>OK</x:v>
      </x:c>
      <x:c r="U1468" s="86" t="n">
        <x:f>IF(M1468&gt;0,M1468*(N1468+1)/2+O1468,0)</x:f>
        <x:v>0</x:v>
      </x:c>
      <x:c r="V1468" t="str">
        <x:f>IF(ABS(L1468-U1468)&lt;0.001,"OK","ERREUR")</x:f>
        <x:v>OK</x:v>
      </x:c>
    </x:row>
    <x:row r="1469" ht="18" customHeight="1">
      <x:c r="A1469" t="str">
        <x:v>ARM074</x:v>
      </x:c>
      <x:c r="B1469" t="str">
        <x:v>Bouclier de bois</x:v>
      </x:c>
      <x:c r="C1469" t="n">
        <x:v>6</x:v>
      </x:c>
      <x:c r="D1469" t="str">
        <x:v>Boucliers</x:v>
      </x:c>
      <x:c r="E1469" s="28" t="n">
        <x:f>IF(M1469=0,0,M1469+O1469)</x:f>
        <x:v>0</x:v>
      </x:c>
      <x:c r="F1469" s="28" t="n">
        <x:f>IF(M1469=0,0,M1469*N1469+O1469)</x:f>
        <x:v>0</x:v>
      </x:c>
      <x:c r="G1469" s="28" t="n">
        <x:f>ROUND(Catalogue!G77*SQRT((1+'Paramètres'!$B$4*(C1469-1)+'Paramètres'!$B$5*(C1469-1)^2)),0)</x:f>
        <x:v>6</x:v>
      </x:c>
      <x:c r="H1469" s="28" t="n">
        <x:f>ROUND(Catalogue!H77*SQRT((1+'Paramètres'!$B$4*(C1469-1)+'Paramètres'!$B$5*(C1469-1)^2)),0)</x:f>
        <x:v>0</x:v>
      </x:c>
      <x:c r="I1469" s="28" t="n">
        <x:v>0</x:v>
      </x:c>
      <x:c r="J1469" s="28" t="n">
        <x:v>0</x:v>
      </x:c>
      <x:c r="K1469" s="30" t="n">
        <x:v>2.6</x:v>
      </x:c>
      <x:c r="L1469" s="54" t="n">
        <x:f>IF(M1469=0,0,(E1469+F1469)/2)</x:f>
        <x:v>0</x:v>
      </x:c>
      <x:c r="M1469" t="n">
        <x:v>0</x:v>
      </x:c>
      <x:c r="N1469" t="n">
        <x:v>0</x:v>
      </x:c>
      <x:c r="O1469" t="n">
        <x:v>0</x:v>
      </x:c>
      <x:c r="P1469" s="63" t="str">
        <x:f>IF(M1469=0,"—",M1469&amp;"d"&amp;N1469&amp;IF(O1469=0,""," + "&amp;O1469))</x:f>
        <x:v>—</x:v>
      </x:c>
      <x:c r="Q1469" t="n">
        <x:f>ROUND(INDEX(Catalogue!E$4:E$85,MATCH(A1469,Catalogue!A$4:A$85,0))*(1+'Paramètres'!$B$4*(C1469-1)+'Paramètres'!$B$5*(C1469-1)^2),0)</x:f>
        <x:v>0</x:v>
      </x:c>
      <x:c r="R1469" t="n">
        <x:f>ROUND(INDEX(Catalogue!F$4:F$85,MATCH(A1469,Catalogue!A$4:A$85,0))*(1+'Paramètres'!$B$4*(C1469-1)+'Paramètres'!$B$5*(C1469-1)^2),0)</x:f>
        <x:v>0</x:v>
      </x:c>
      <x:c r="S1469" t="n">
        <x:f>L1469-AVERAGE(Q1469:R1469)</x:f>
        <x:v>0</x:v>
      </x:c>
      <x:c r="T1469" t="str">
        <x:f>IF(M1469=0,IF(AND(N1469=0,O1469=0,E1469=0,F1469=0),"OK","ERREUR"),IF(AND(M1469&gt;=1,M1469&lt;=32,OR(N1469=4,N1469=6,N1469=8,N1469=10,N1469=12,N1469=20),O1469&gt;=0,E1469=M1469+O1469,F1469=M1469*N1469+O1469),"OK","ERREUR"))</x:f>
        <x:v>OK</x:v>
      </x:c>
      <x:c r="U1469" s="86" t="n">
        <x:f>IF(M1469&gt;0,M1469*(N1469+1)/2+O1469,0)</x:f>
        <x:v>0</x:v>
      </x:c>
      <x:c r="V1469" t="str">
        <x:f>IF(ABS(L1469-U1469)&lt;0.001,"OK","ERREUR")</x:f>
        <x:v>OK</x:v>
      </x:c>
    </x:row>
    <x:row r="1470" ht="18" customHeight="1">
      <x:c r="A1470" t="str">
        <x:v>ARM074</x:v>
      </x:c>
      <x:c r="B1470" t="str">
        <x:v>Bouclier de bois</x:v>
      </x:c>
      <x:c r="C1470" t="n">
        <x:v>7</x:v>
      </x:c>
      <x:c r="D1470" t="str">
        <x:v>Boucliers</x:v>
      </x:c>
      <x:c r="E1470" s="28" t="n">
        <x:f>IF(M1470=0,0,M1470+O1470)</x:f>
        <x:v>0</x:v>
      </x:c>
      <x:c r="F1470" s="28" t="n">
        <x:f>IF(M1470=0,0,M1470*N1470+O1470)</x:f>
        <x:v>0</x:v>
      </x:c>
      <x:c r="G1470" s="28" t="n">
        <x:f>ROUND(Catalogue!G77*SQRT((1+'Paramètres'!$B$4*(C1470-1)+'Paramètres'!$B$5*(C1470-1)^2)),0)</x:f>
        <x:v>6</x:v>
      </x:c>
      <x:c r="H1470" s="28" t="n">
        <x:f>ROUND(Catalogue!H77*SQRT((1+'Paramètres'!$B$4*(C1470-1)+'Paramètres'!$B$5*(C1470-1)^2)),0)</x:f>
        <x:v>0</x:v>
      </x:c>
      <x:c r="I1470" s="28" t="n">
        <x:v>0</x:v>
      </x:c>
      <x:c r="J1470" s="28" t="n">
        <x:v>0</x:v>
      </x:c>
      <x:c r="K1470" s="30" t="n">
        <x:v>2.6</x:v>
      </x:c>
      <x:c r="L1470" s="54" t="n">
        <x:f>IF(M1470=0,0,(E1470+F1470)/2)</x:f>
        <x:v>0</x:v>
      </x:c>
      <x:c r="M1470" t="n">
        <x:v>0</x:v>
      </x:c>
      <x:c r="N1470" t="n">
        <x:v>0</x:v>
      </x:c>
      <x:c r="O1470" t="n">
        <x:v>0</x:v>
      </x:c>
      <x:c r="P1470" s="63" t="str">
        <x:f>IF(M1470=0,"—",M1470&amp;"d"&amp;N1470&amp;IF(O1470=0,""," + "&amp;O1470))</x:f>
        <x:v>—</x:v>
      </x:c>
      <x:c r="Q1470" t="n">
        <x:f>ROUND(INDEX(Catalogue!E$4:E$85,MATCH(A1470,Catalogue!A$4:A$85,0))*(1+'Paramètres'!$B$4*(C1470-1)+'Paramètres'!$B$5*(C1470-1)^2),0)</x:f>
        <x:v>0</x:v>
      </x:c>
      <x:c r="R1470" t="n">
        <x:f>ROUND(INDEX(Catalogue!F$4:F$85,MATCH(A1470,Catalogue!A$4:A$85,0))*(1+'Paramètres'!$B$4*(C1470-1)+'Paramètres'!$B$5*(C1470-1)^2),0)</x:f>
        <x:v>0</x:v>
      </x:c>
      <x:c r="S1470" t="n">
        <x:f>L1470-AVERAGE(Q1470:R1470)</x:f>
        <x:v>0</x:v>
      </x:c>
      <x:c r="T1470" t="str">
        <x:f>IF(M1470=0,IF(AND(N1470=0,O1470=0,E1470=0,F1470=0),"OK","ERREUR"),IF(AND(M1470&gt;=1,M1470&lt;=32,OR(N1470=4,N1470=6,N1470=8,N1470=10,N1470=12,N1470=20),O1470&gt;=0,E1470=M1470+O1470,F1470=M1470*N1470+O1470),"OK","ERREUR"))</x:f>
        <x:v>OK</x:v>
      </x:c>
      <x:c r="U1470" s="86" t="n">
        <x:f>IF(M1470&gt;0,M1470*(N1470+1)/2+O1470,0)</x:f>
        <x:v>0</x:v>
      </x:c>
      <x:c r="V1470" t="str">
        <x:f>IF(ABS(L1470-U1470)&lt;0.001,"OK","ERREUR")</x:f>
        <x:v>OK</x:v>
      </x:c>
    </x:row>
    <x:row r="1471" ht="18" customHeight="1">
      <x:c r="A1471" t="str">
        <x:v>ARM074</x:v>
      </x:c>
      <x:c r="B1471" t="str">
        <x:v>Bouclier de bois</x:v>
      </x:c>
      <x:c r="C1471" t="n">
        <x:v>8</x:v>
      </x:c>
      <x:c r="D1471" t="str">
        <x:v>Boucliers</x:v>
      </x:c>
      <x:c r="E1471" s="28" t="n">
        <x:f>IF(M1471=0,0,M1471+O1471)</x:f>
        <x:v>0</x:v>
      </x:c>
      <x:c r="F1471" s="28" t="n">
        <x:f>IF(M1471=0,0,M1471*N1471+O1471)</x:f>
        <x:v>0</x:v>
      </x:c>
      <x:c r="G1471" s="28" t="n">
        <x:f>ROUND(Catalogue!G77*SQRT((1+'Paramètres'!$B$4*(C1471-1)+'Paramètres'!$B$5*(C1471-1)^2)),0)</x:f>
        <x:v>6</x:v>
      </x:c>
      <x:c r="H1471" s="28" t="n">
        <x:f>ROUND(Catalogue!H77*SQRT((1+'Paramètres'!$B$4*(C1471-1)+'Paramètres'!$B$5*(C1471-1)^2)),0)</x:f>
        <x:v>0</x:v>
      </x:c>
      <x:c r="I1471" s="28" t="n">
        <x:v>0</x:v>
      </x:c>
      <x:c r="J1471" s="28" t="n">
        <x:v>0</x:v>
      </x:c>
      <x:c r="K1471" s="30" t="n">
        <x:v>2.6</x:v>
      </x:c>
      <x:c r="L1471" s="54" t="n">
        <x:f>IF(M1471=0,0,(E1471+F1471)/2)</x:f>
        <x:v>0</x:v>
      </x:c>
      <x:c r="M1471" t="n">
        <x:v>0</x:v>
      </x:c>
      <x:c r="N1471" t="n">
        <x:v>0</x:v>
      </x:c>
      <x:c r="O1471" t="n">
        <x:v>0</x:v>
      </x:c>
      <x:c r="P1471" s="63" t="str">
        <x:f>IF(M1471=0,"—",M1471&amp;"d"&amp;N1471&amp;IF(O1471=0,""," + "&amp;O1471))</x:f>
        <x:v>—</x:v>
      </x:c>
      <x:c r="Q1471" t="n">
        <x:f>ROUND(INDEX(Catalogue!E$4:E$85,MATCH(A1471,Catalogue!A$4:A$85,0))*(1+'Paramètres'!$B$4*(C1471-1)+'Paramètres'!$B$5*(C1471-1)^2),0)</x:f>
        <x:v>0</x:v>
      </x:c>
      <x:c r="R1471" t="n">
        <x:f>ROUND(INDEX(Catalogue!F$4:F$85,MATCH(A1471,Catalogue!A$4:A$85,0))*(1+'Paramètres'!$B$4*(C1471-1)+'Paramètres'!$B$5*(C1471-1)^2),0)</x:f>
        <x:v>0</x:v>
      </x:c>
      <x:c r="S1471" t="n">
        <x:f>L1471-AVERAGE(Q1471:R1471)</x:f>
        <x:v>0</x:v>
      </x:c>
      <x:c r="T1471" t="str">
        <x:f>IF(M1471=0,IF(AND(N1471=0,O1471=0,E1471=0,F1471=0),"OK","ERREUR"),IF(AND(M1471&gt;=1,M1471&lt;=32,OR(N1471=4,N1471=6,N1471=8,N1471=10,N1471=12,N1471=20),O1471&gt;=0,E1471=M1471+O1471,F1471=M1471*N1471+O1471),"OK","ERREUR"))</x:f>
        <x:v>OK</x:v>
      </x:c>
      <x:c r="U1471" s="86" t="n">
        <x:f>IF(M1471&gt;0,M1471*(N1471+1)/2+O1471,0)</x:f>
        <x:v>0</x:v>
      </x:c>
      <x:c r="V1471" t="str">
        <x:f>IF(ABS(L1471-U1471)&lt;0.001,"OK","ERREUR")</x:f>
        <x:v>OK</x:v>
      </x:c>
    </x:row>
    <x:row r="1472" ht="18" customHeight="1">
      <x:c r="A1472" t="str">
        <x:v>ARM074</x:v>
      </x:c>
      <x:c r="B1472" t="str">
        <x:v>Bouclier de bois</x:v>
      </x:c>
      <x:c r="C1472" t="n">
        <x:v>9</x:v>
      </x:c>
      <x:c r="D1472" t="str">
        <x:v>Boucliers</x:v>
      </x:c>
      <x:c r="E1472" s="28" t="n">
        <x:f>IF(M1472=0,0,M1472+O1472)</x:f>
        <x:v>0</x:v>
      </x:c>
      <x:c r="F1472" s="28" t="n">
        <x:f>IF(M1472=0,0,M1472*N1472+O1472)</x:f>
        <x:v>0</x:v>
      </x:c>
      <x:c r="G1472" s="28" t="n">
        <x:f>ROUND(Catalogue!G77*SQRT((1+'Paramètres'!$B$4*(C1472-1)+'Paramètres'!$B$5*(C1472-1)^2)),0)</x:f>
        <x:v>7</x:v>
      </x:c>
      <x:c r="H1472" s="28" t="n">
        <x:f>ROUND(Catalogue!H77*SQRT((1+'Paramètres'!$B$4*(C1472-1)+'Paramètres'!$B$5*(C1472-1)^2)),0)</x:f>
        <x:v>0</x:v>
      </x:c>
      <x:c r="I1472" s="28" t="n">
        <x:v>0</x:v>
      </x:c>
      <x:c r="J1472" s="28" t="n">
        <x:v>0</x:v>
      </x:c>
      <x:c r="K1472" s="30" t="n">
        <x:v>2.6</x:v>
      </x:c>
      <x:c r="L1472" s="54" t="n">
        <x:f>IF(M1472=0,0,(E1472+F1472)/2)</x:f>
        <x:v>0</x:v>
      </x:c>
      <x:c r="M1472" t="n">
        <x:v>0</x:v>
      </x:c>
      <x:c r="N1472" t="n">
        <x:v>0</x:v>
      </x:c>
      <x:c r="O1472" t="n">
        <x:v>0</x:v>
      </x:c>
      <x:c r="P1472" s="63" t="str">
        <x:f>IF(M1472=0,"—",M1472&amp;"d"&amp;N1472&amp;IF(O1472=0,""," + "&amp;O1472))</x:f>
        <x:v>—</x:v>
      </x:c>
      <x:c r="Q1472" t="n">
        <x:f>ROUND(INDEX(Catalogue!E$4:E$85,MATCH(A1472,Catalogue!A$4:A$85,0))*(1+'Paramètres'!$B$4*(C1472-1)+'Paramètres'!$B$5*(C1472-1)^2),0)</x:f>
        <x:v>0</x:v>
      </x:c>
      <x:c r="R1472" t="n">
        <x:f>ROUND(INDEX(Catalogue!F$4:F$85,MATCH(A1472,Catalogue!A$4:A$85,0))*(1+'Paramètres'!$B$4*(C1472-1)+'Paramètres'!$B$5*(C1472-1)^2),0)</x:f>
        <x:v>0</x:v>
      </x:c>
      <x:c r="S1472" t="n">
        <x:f>L1472-AVERAGE(Q1472:R1472)</x:f>
        <x:v>0</x:v>
      </x:c>
      <x:c r="T1472" t="str">
        <x:f>IF(M1472=0,IF(AND(N1472=0,O1472=0,E1472=0,F1472=0),"OK","ERREUR"),IF(AND(M1472&gt;=1,M1472&lt;=32,OR(N1472=4,N1472=6,N1472=8,N1472=10,N1472=12,N1472=20),O1472&gt;=0,E1472=M1472+O1472,F1472=M1472*N1472+O1472),"OK","ERREUR"))</x:f>
        <x:v>OK</x:v>
      </x:c>
      <x:c r="U1472" s="86" t="n">
        <x:f>IF(M1472&gt;0,M1472*(N1472+1)/2+O1472,0)</x:f>
        <x:v>0</x:v>
      </x:c>
      <x:c r="V1472" t="str">
        <x:f>IF(ABS(L1472-U1472)&lt;0.001,"OK","ERREUR")</x:f>
        <x:v>OK</x:v>
      </x:c>
    </x:row>
    <x:row r="1473" ht="18" customHeight="1">
      <x:c r="A1473" t="str">
        <x:v>ARM074</x:v>
      </x:c>
      <x:c r="B1473" t="str">
        <x:v>Bouclier de bois</x:v>
      </x:c>
      <x:c r="C1473" t="n">
        <x:v>10</x:v>
      </x:c>
      <x:c r="D1473" t="str">
        <x:v>Boucliers</x:v>
      </x:c>
      <x:c r="E1473" s="28" t="n">
        <x:f>IF(M1473=0,0,M1473+O1473)</x:f>
        <x:v>0</x:v>
      </x:c>
      <x:c r="F1473" s="28" t="n">
        <x:f>IF(M1473=0,0,M1473*N1473+O1473)</x:f>
        <x:v>0</x:v>
      </x:c>
      <x:c r="G1473" s="28" t="n">
        <x:f>ROUND(Catalogue!G77*SQRT((1+'Paramètres'!$B$4*(C1473-1)+'Paramètres'!$B$5*(C1473-1)^2)),0)</x:f>
        <x:v>7</x:v>
      </x:c>
      <x:c r="H1473" s="28" t="n">
        <x:f>ROUND(Catalogue!H77*SQRT((1+'Paramètres'!$B$4*(C1473-1)+'Paramètres'!$B$5*(C1473-1)^2)),0)</x:f>
        <x:v>0</x:v>
      </x:c>
      <x:c r="I1473" s="28" t="n">
        <x:v>0</x:v>
      </x:c>
      <x:c r="J1473" s="28" t="n">
        <x:v>0</x:v>
      </x:c>
      <x:c r="K1473" s="30" t="n">
        <x:v>2.6</x:v>
      </x:c>
      <x:c r="L1473" s="54" t="n">
        <x:f>IF(M1473=0,0,(E1473+F1473)/2)</x:f>
        <x:v>0</x:v>
      </x:c>
      <x:c r="M1473" t="n">
        <x:v>0</x:v>
      </x:c>
      <x:c r="N1473" t="n">
        <x:v>0</x:v>
      </x:c>
      <x:c r="O1473" t="n">
        <x:v>0</x:v>
      </x:c>
      <x:c r="P1473" s="63" t="str">
        <x:f>IF(M1473=0,"—",M1473&amp;"d"&amp;N1473&amp;IF(O1473=0,""," + "&amp;O1473))</x:f>
        <x:v>—</x:v>
      </x:c>
      <x:c r="Q1473" t="n">
        <x:f>ROUND(INDEX(Catalogue!E$4:E$85,MATCH(A1473,Catalogue!A$4:A$85,0))*(1+'Paramètres'!$B$4*(C1473-1)+'Paramètres'!$B$5*(C1473-1)^2),0)</x:f>
        <x:v>0</x:v>
      </x:c>
      <x:c r="R1473" t="n">
        <x:f>ROUND(INDEX(Catalogue!F$4:F$85,MATCH(A1473,Catalogue!A$4:A$85,0))*(1+'Paramètres'!$B$4*(C1473-1)+'Paramètres'!$B$5*(C1473-1)^2),0)</x:f>
        <x:v>0</x:v>
      </x:c>
      <x:c r="S1473" t="n">
        <x:f>L1473-AVERAGE(Q1473:R1473)</x:f>
        <x:v>0</x:v>
      </x:c>
      <x:c r="T1473" t="str">
        <x:f>IF(M1473=0,IF(AND(N1473=0,O1473=0,E1473=0,F1473=0),"OK","ERREUR"),IF(AND(M1473&gt;=1,M1473&lt;=32,OR(N1473=4,N1473=6,N1473=8,N1473=10,N1473=12,N1473=20),O1473&gt;=0,E1473=M1473+O1473,F1473=M1473*N1473+O1473),"OK","ERREUR"))</x:f>
        <x:v>OK</x:v>
      </x:c>
      <x:c r="U1473" s="86" t="n">
        <x:f>IF(M1473&gt;0,M1473*(N1473+1)/2+O1473,0)</x:f>
        <x:v>0</x:v>
      </x:c>
      <x:c r="V1473" t="str">
        <x:f>IF(ABS(L1473-U1473)&lt;0.001,"OK","ERREUR")</x:f>
        <x:v>OK</x:v>
      </x:c>
    </x:row>
    <x:row r="1474" ht="18" customHeight="1">
      <x:c r="A1474" t="str">
        <x:v>ARM074</x:v>
      </x:c>
      <x:c r="B1474" t="str">
        <x:v>Bouclier de bois</x:v>
      </x:c>
      <x:c r="C1474" t="n">
        <x:v>11</x:v>
      </x:c>
      <x:c r="D1474" t="str">
        <x:v>Boucliers</x:v>
      </x:c>
      <x:c r="E1474" s="28" t="n">
        <x:f>IF(M1474=0,0,M1474+O1474)</x:f>
        <x:v>0</x:v>
      </x:c>
      <x:c r="F1474" s="28" t="n">
        <x:f>IF(M1474=0,0,M1474*N1474+O1474)</x:f>
        <x:v>0</x:v>
      </x:c>
      <x:c r="G1474" s="28" t="n">
        <x:f>ROUND(Catalogue!G77*SQRT((1+'Paramètres'!$B$4*(C1474-1)+'Paramètres'!$B$5*(C1474-1)^2)),0)</x:f>
        <x:v>8</x:v>
      </x:c>
      <x:c r="H1474" s="28" t="n">
        <x:f>ROUND(Catalogue!H77*SQRT((1+'Paramètres'!$B$4*(C1474-1)+'Paramètres'!$B$5*(C1474-1)^2)),0)</x:f>
        <x:v>0</x:v>
      </x:c>
      <x:c r="I1474" s="28" t="n">
        <x:v>0</x:v>
      </x:c>
      <x:c r="J1474" s="28" t="n">
        <x:v>0</x:v>
      </x:c>
      <x:c r="K1474" s="30" t="n">
        <x:v>2.6</x:v>
      </x:c>
      <x:c r="L1474" s="54" t="n">
        <x:f>IF(M1474=0,0,(E1474+F1474)/2)</x:f>
        <x:v>0</x:v>
      </x:c>
      <x:c r="M1474" t="n">
        <x:v>0</x:v>
      </x:c>
      <x:c r="N1474" t="n">
        <x:v>0</x:v>
      </x:c>
      <x:c r="O1474" t="n">
        <x:v>0</x:v>
      </x:c>
      <x:c r="P1474" s="63" t="str">
        <x:f>IF(M1474=0,"—",M1474&amp;"d"&amp;N1474&amp;IF(O1474=0,""," + "&amp;O1474))</x:f>
        <x:v>—</x:v>
      </x:c>
      <x:c r="Q1474" t="n">
        <x:f>ROUND(INDEX(Catalogue!E$4:E$85,MATCH(A1474,Catalogue!A$4:A$85,0))*(1+'Paramètres'!$B$4*(C1474-1)+'Paramètres'!$B$5*(C1474-1)^2),0)</x:f>
        <x:v>0</x:v>
      </x:c>
      <x:c r="R1474" t="n">
        <x:f>ROUND(INDEX(Catalogue!F$4:F$85,MATCH(A1474,Catalogue!A$4:A$85,0))*(1+'Paramètres'!$B$4*(C1474-1)+'Paramètres'!$B$5*(C1474-1)^2),0)</x:f>
        <x:v>0</x:v>
      </x:c>
      <x:c r="S1474" t="n">
        <x:f>L1474-AVERAGE(Q1474:R1474)</x:f>
        <x:v>0</x:v>
      </x:c>
      <x:c r="T1474" t="str">
        <x:f>IF(M1474=0,IF(AND(N1474=0,O1474=0,E1474=0,F1474=0),"OK","ERREUR"),IF(AND(M1474&gt;=1,M1474&lt;=32,OR(N1474=4,N1474=6,N1474=8,N1474=10,N1474=12,N1474=20),O1474&gt;=0,E1474=M1474+O1474,F1474=M1474*N1474+O1474),"OK","ERREUR"))</x:f>
        <x:v>OK</x:v>
      </x:c>
      <x:c r="U1474" s="86" t="n">
        <x:f>IF(M1474&gt;0,M1474*(N1474+1)/2+O1474,0)</x:f>
        <x:v>0</x:v>
      </x:c>
      <x:c r="V1474" t="str">
        <x:f>IF(ABS(L1474-U1474)&lt;0.001,"OK","ERREUR")</x:f>
        <x:v>OK</x:v>
      </x:c>
    </x:row>
    <x:row r="1475" ht="18" customHeight="1">
      <x:c r="A1475" t="str">
        <x:v>ARM074</x:v>
      </x:c>
      <x:c r="B1475" t="str">
        <x:v>Bouclier de bois</x:v>
      </x:c>
      <x:c r="C1475" t="n">
        <x:v>12</x:v>
      </x:c>
      <x:c r="D1475" t="str">
        <x:v>Boucliers</x:v>
      </x:c>
      <x:c r="E1475" s="28" t="n">
        <x:f>IF(M1475=0,0,M1475+O1475)</x:f>
        <x:v>0</x:v>
      </x:c>
      <x:c r="F1475" s="28" t="n">
        <x:f>IF(M1475=0,0,M1475*N1475+O1475)</x:f>
        <x:v>0</x:v>
      </x:c>
      <x:c r="G1475" s="28" t="n">
        <x:f>ROUND(Catalogue!G77*SQRT((1+'Paramètres'!$B$4*(C1475-1)+'Paramètres'!$B$5*(C1475-1)^2)),0)</x:f>
        <x:v>8</x:v>
      </x:c>
      <x:c r="H1475" s="28" t="n">
        <x:f>ROUND(Catalogue!H77*SQRT((1+'Paramètres'!$B$4*(C1475-1)+'Paramètres'!$B$5*(C1475-1)^2)),0)</x:f>
        <x:v>0</x:v>
      </x:c>
      <x:c r="I1475" s="28" t="n">
        <x:v>0</x:v>
      </x:c>
      <x:c r="J1475" s="28" t="n">
        <x:v>0</x:v>
      </x:c>
      <x:c r="K1475" s="30" t="n">
        <x:v>2.6</x:v>
      </x:c>
      <x:c r="L1475" s="54" t="n">
        <x:f>IF(M1475=0,0,(E1475+F1475)/2)</x:f>
        <x:v>0</x:v>
      </x:c>
      <x:c r="M1475" t="n">
        <x:v>0</x:v>
      </x:c>
      <x:c r="N1475" t="n">
        <x:v>0</x:v>
      </x:c>
      <x:c r="O1475" t="n">
        <x:v>0</x:v>
      </x:c>
      <x:c r="P1475" s="63" t="str">
        <x:f>IF(M1475=0,"—",M1475&amp;"d"&amp;N1475&amp;IF(O1475=0,""," + "&amp;O1475))</x:f>
        <x:v>—</x:v>
      </x:c>
      <x:c r="Q1475" t="n">
        <x:f>ROUND(INDEX(Catalogue!E$4:E$85,MATCH(A1475,Catalogue!A$4:A$85,0))*(1+'Paramètres'!$B$4*(C1475-1)+'Paramètres'!$B$5*(C1475-1)^2),0)</x:f>
        <x:v>0</x:v>
      </x:c>
      <x:c r="R1475" t="n">
        <x:f>ROUND(INDEX(Catalogue!F$4:F$85,MATCH(A1475,Catalogue!A$4:A$85,0))*(1+'Paramètres'!$B$4*(C1475-1)+'Paramètres'!$B$5*(C1475-1)^2),0)</x:f>
        <x:v>0</x:v>
      </x:c>
      <x:c r="S1475" t="n">
        <x:f>L1475-AVERAGE(Q1475:R1475)</x:f>
        <x:v>0</x:v>
      </x:c>
      <x:c r="T1475" t="str">
        <x:f>IF(M1475=0,IF(AND(N1475=0,O1475=0,E1475=0,F1475=0),"OK","ERREUR"),IF(AND(M1475&gt;=1,M1475&lt;=32,OR(N1475=4,N1475=6,N1475=8,N1475=10,N1475=12,N1475=20),O1475&gt;=0,E1475=M1475+O1475,F1475=M1475*N1475+O1475),"OK","ERREUR"))</x:f>
        <x:v>OK</x:v>
      </x:c>
      <x:c r="U1475" s="86" t="n">
        <x:f>IF(M1475&gt;0,M1475*(N1475+1)/2+O1475,0)</x:f>
        <x:v>0</x:v>
      </x:c>
      <x:c r="V1475" t="str">
        <x:f>IF(ABS(L1475-U1475)&lt;0.001,"OK","ERREUR")</x:f>
        <x:v>OK</x:v>
      </x:c>
    </x:row>
    <x:row r="1476" ht="18" customHeight="1">
      <x:c r="A1476" t="str">
        <x:v>ARM074</x:v>
      </x:c>
      <x:c r="B1476" t="str">
        <x:v>Bouclier de bois</x:v>
      </x:c>
      <x:c r="C1476" t="n">
        <x:v>13</x:v>
      </x:c>
      <x:c r="D1476" t="str">
        <x:v>Boucliers</x:v>
      </x:c>
      <x:c r="E1476" s="28" t="n">
        <x:f>IF(M1476=0,0,M1476+O1476)</x:f>
        <x:v>0</x:v>
      </x:c>
      <x:c r="F1476" s="28" t="n">
        <x:f>IF(M1476=0,0,M1476*N1476+O1476)</x:f>
        <x:v>0</x:v>
      </x:c>
      <x:c r="G1476" s="28" t="n">
        <x:f>ROUND(Catalogue!G77*SQRT((1+'Paramètres'!$B$4*(C1476-1)+'Paramètres'!$B$5*(C1476-1)^2)),0)</x:f>
        <x:v>9</x:v>
      </x:c>
      <x:c r="H1476" s="28" t="n">
        <x:f>ROUND(Catalogue!H77*SQRT((1+'Paramètres'!$B$4*(C1476-1)+'Paramètres'!$B$5*(C1476-1)^2)),0)</x:f>
        <x:v>0</x:v>
      </x:c>
      <x:c r="I1476" s="28" t="n">
        <x:v>0</x:v>
      </x:c>
      <x:c r="J1476" s="28" t="n">
        <x:v>0</x:v>
      </x:c>
      <x:c r="K1476" s="30" t="n">
        <x:v>2.6</x:v>
      </x:c>
      <x:c r="L1476" s="54" t="n">
        <x:f>IF(M1476=0,0,(E1476+F1476)/2)</x:f>
        <x:v>0</x:v>
      </x:c>
      <x:c r="M1476" t="n">
        <x:v>0</x:v>
      </x:c>
      <x:c r="N1476" t="n">
        <x:v>0</x:v>
      </x:c>
      <x:c r="O1476" t="n">
        <x:v>0</x:v>
      </x:c>
      <x:c r="P1476" s="63" t="str">
        <x:f>IF(M1476=0,"—",M1476&amp;"d"&amp;N1476&amp;IF(O1476=0,""," + "&amp;O1476))</x:f>
        <x:v>—</x:v>
      </x:c>
      <x:c r="Q1476" t="n">
        <x:f>ROUND(INDEX(Catalogue!E$4:E$85,MATCH(A1476,Catalogue!A$4:A$85,0))*(1+'Paramètres'!$B$4*(C1476-1)+'Paramètres'!$B$5*(C1476-1)^2),0)</x:f>
        <x:v>0</x:v>
      </x:c>
      <x:c r="R1476" t="n">
        <x:f>ROUND(INDEX(Catalogue!F$4:F$85,MATCH(A1476,Catalogue!A$4:A$85,0))*(1+'Paramètres'!$B$4*(C1476-1)+'Paramètres'!$B$5*(C1476-1)^2),0)</x:f>
        <x:v>0</x:v>
      </x:c>
      <x:c r="S1476" t="n">
        <x:f>L1476-AVERAGE(Q1476:R1476)</x:f>
        <x:v>0</x:v>
      </x:c>
      <x:c r="T1476" t="str">
        <x:f>IF(M1476=0,IF(AND(N1476=0,O1476=0,E1476=0,F1476=0),"OK","ERREUR"),IF(AND(M1476&gt;=1,M1476&lt;=32,OR(N1476=4,N1476=6,N1476=8,N1476=10,N1476=12,N1476=20),O1476&gt;=0,E1476=M1476+O1476,F1476=M1476*N1476+O1476),"OK","ERREUR"))</x:f>
        <x:v>OK</x:v>
      </x:c>
      <x:c r="U1476" s="86" t="n">
        <x:f>IF(M1476&gt;0,M1476*(N1476+1)/2+O1476,0)</x:f>
        <x:v>0</x:v>
      </x:c>
      <x:c r="V1476" t="str">
        <x:f>IF(ABS(L1476-U1476)&lt;0.001,"OK","ERREUR")</x:f>
        <x:v>OK</x:v>
      </x:c>
    </x:row>
    <x:row r="1477" ht="18" customHeight="1">
      <x:c r="A1477" t="str">
        <x:v>ARM074</x:v>
      </x:c>
      <x:c r="B1477" t="str">
        <x:v>Bouclier de bois</x:v>
      </x:c>
      <x:c r="C1477" t="n">
        <x:v>14</x:v>
      </x:c>
      <x:c r="D1477" t="str">
        <x:v>Boucliers</x:v>
      </x:c>
      <x:c r="E1477" s="28" t="n">
        <x:f>IF(M1477=0,0,M1477+O1477)</x:f>
        <x:v>0</x:v>
      </x:c>
      <x:c r="F1477" s="28" t="n">
        <x:f>IF(M1477=0,0,M1477*N1477+O1477)</x:f>
        <x:v>0</x:v>
      </x:c>
      <x:c r="G1477" s="28" t="n">
        <x:f>ROUND(Catalogue!G77*SQRT((1+'Paramètres'!$B$4*(C1477-1)+'Paramètres'!$B$5*(C1477-1)^2)),0)</x:f>
        <x:v>9</x:v>
      </x:c>
      <x:c r="H1477" s="28" t="n">
        <x:f>ROUND(Catalogue!H77*SQRT((1+'Paramètres'!$B$4*(C1477-1)+'Paramètres'!$B$5*(C1477-1)^2)),0)</x:f>
        <x:v>0</x:v>
      </x:c>
      <x:c r="I1477" s="28" t="n">
        <x:v>0</x:v>
      </x:c>
      <x:c r="J1477" s="28" t="n">
        <x:v>0</x:v>
      </x:c>
      <x:c r="K1477" s="30" t="n">
        <x:v>2.6</x:v>
      </x:c>
      <x:c r="L1477" s="54" t="n">
        <x:f>IF(M1477=0,0,(E1477+F1477)/2)</x:f>
        <x:v>0</x:v>
      </x:c>
      <x:c r="M1477" t="n">
        <x:v>0</x:v>
      </x:c>
      <x:c r="N1477" t="n">
        <x:v>0</x:v>
      </x:c>
      <x:c r="O1477" t="n">
        <x:v>0</x:v>
      </x:c>
      <x:c r="P1477" s="63" t="str">
        <x:f>IF(M1477=0,"—",M1477&amp;"d"&amp;N1477&amp;IF(O1477=0,""," + "&amp;O1477))</x:f>
        <x:v>—</x:v>
      </x:c>
      <x:c r="Q1477" t="n">
        <x:f>ROUND(INDEX(Catalogue!E$4:E$85,MATCH(A1477,Catalogue!A$4:A$85,0))*(1+'Paramètres'!$B$4*(C1477-1)+'Paramètres'!$B$5*(C1477-1)^2),0)</x:f>
        <x:v>0</x:v>
      </x:c>
      <x:c r="R1477" t="n">
        <x:f>ROUND(INDEX(Catalogue!F$4:F$85,MATCH(A1477,Catalogue!A$4:A$85,0))*(1+'Paramètres'!$B$4*(C1477-1)+'Paramètres'!$B$5*(C1477-1)^2),0)</x:f>
        <x:v>0</x:v>
      </x:c>
      <x:c r="S1477" t="n">
        <x:f>L1477-AVERAGE(Q1477:R1477)</x:f>
        <x:v>0</x:v>
      </x:c>
      <x:c r="T1477" t="str">
        <x:f>IF(M1477=0,IF(AND(N1477=0,O1477=0,E1477=0,F1477=0),"OK","ERREUR"),IF(AND(M1477&gt;=1,M1477&lt;=32,OR(N1477=4,N1477=6,N1477=8,N1477=10,N1477=12,N1477=20),O1477&gt;=0,E1477=M1477+O1477,F1477=M1477*N1477+O1477),"OK","ERREUR"))</x:f>
        <x:v>OK</x:v>
      </x:c>
      <x:c r="U1477" s="86" t="n">
        <x:f>IF(M1477&gt;0,M1477*(N1477+1)/2+O1477,0)</x:f>
        <x:v>0</x:v>
      </x:c>
      <x:c r="V1477" t="str">
        <x:f>IF(ABS(L1477-U1477)&lt;0.001,"OK","ERREUR")</x:f>
        <x:v>OK</x:v>
      </x:c>
    </x:row>
    <x:row r="1478" ht="18" customHeight="1">
      <x:c r="A1478" t="str">
        <x:v>ARM074</x:v>
      </x:c>
      <x:c r="B1478" t="str">
        <x:v>Bouclier de bois</x:v>
      </x:c>
      <x:c r="C1478" t="n">
        <x:v>15</x:v>
      </x:c>
      <x:c r="D1478" t="str">
        <x:v>Boucliers</x:v>
      </x:c>
      <x:c r="E1478" s="28" t="n">
        <x:f>IF(M1478=0,0,M1478+O1478)</x:f>
        <x:v>0</x:v>
      </x:c>
      <x:c r="F1478" s="28" t="n">
        <x:f>IF(M1478=0,0,M1478*N1478+O1478)</x:f>
        <x:v>0</x:v>
      </x:c>
      <x:c r="G1478" s="28" t="n">
        <x:f>ROUND(Catalogue!G77*SQRT((1+'Paramètres'!$B$4*(C1478-1)+'Paramètres'!$B$5*(C1478-1)^2)),0)</x:f>
        <x:v>10</x:v>
      </x:c>
      <x:c r="H1478" s="28" t="n">
        <x:f>ROUND(Catalogue!H77*SQRT((1+'Paramètres'!$B$4*(C1478-1)+'Paramètres'!$B$5*(C1478-1)^2)),0)</x:f>
        <x:v>0</x:v>
      </x:c>
      <x:c r="I1478" s="28" t="n">
        <x:v>0</x:v>
      </x:c>
      <x:c r="J1478" s="28" t="n">
        <x:v>0</x:v>
      </x:c>
      <x:c r="K1478" s="30" t="n">
        <x:v>2.6</x:v>
      </x:c>
      <x:c r="L1478" s="54" t="n">
        <x:f>IF(M1478=0,0,(E1478+F1478)/2)</x:f>
        <x:v>0</x:v>
      </x:c>
      <x:c r="M1478" t="n">
        <x:v>0</x:v>
      </x:c>
      <x:c r="N1478" t="n">
        <x:v>0</x:v>
      </x:c>
      <x:c r="O1478" t="n">
        <x:v>0</x:v>
      </x:c>
      <x:c r="P1478" s="63" t="str">
        <x:f>IF(M1478=0,"—",M1478&amp;"d"&amp;N1478&amp;IF(O1478=0,""," + "&amp;O1478))</x:f>
        <x:v>—</x:v>
      </x:c>
      <x:c r="Q1478" t="n">
        <x:f>ROUND(INDEX(Catalogue!E$4:E$85,MATCH(A1478,Catalogue!A$4:A$85,0))*(1+'Paramètres'!$B$4*(C1478-1)+'Paramètres'!$B$5*(C1478-1)^2),0)</x:f>
        <x:v>0</x:v>
      </x:c>
      <x:c r="R1478" t="n">
        <x:f>ROUND(INDEX(Catalogue!F$4:F$85,MATCH(A1478,Catalogue!A$4:A$85,0))*(1+'Paramètres'!$B$4*(C1478-1)+'Paramètres'!$B$5*(C1478-1)^2),0)</x:f>
        <x:v>0</x:v>
      </x:c>
      <x:c r="S1478" t="n">
        <x:f>L1478-AVERAGE(Q1478:R1478)</x:f>
        <x:v>0</x:v>
      </x:c>
      <x:c r="T1478" t="str">
        <x:f>IF(M1478=0,IF(AND(N1478=0,O1478=0,E1478=0,F1478=0),"OK","ERREUR"),IF(AND(M1478&gt;=1,M1478&lt;=32,OR(N1478=4,N1478=6,N1478=8,N1478=10,N1478=12,N1478=20),O1478&gt;=0,E1478=M1478+O1478,F1478=M1478*N1478+O1478),"OK","ERREUR"))</x:f>
        <x:v>OK</x:v>
      </x:c>
      <x:c r="U1478" s="86" t="n">
        <x:f>IF(M1478&gt;0,M1478*(N1478+1)/2+O1478,0)</x:f>
        <x:v>0</x:v>
      </x:c>
      <x:c r="V1478" t="str">
        <x:f>IF(ABS(L1478-U1478)&lt;0.001,"OK","ERREUR")</x:f>
        <x:v>OK</x:v>
      </x:c>
    </x:row>
    <x:row r="1479" ht="18" customHeight="1">
      <x:c r="A1479" t="str">
        <x:v>ARM074</x:v>
      </x:c>
      <x:c r="B1479" t="str">
        <x:v>Bouclier de bois</x:v>
      </x:c>
      <x:c r="C1479" t="n">
        <x:v>16</x:v>
      </x:c>
      <x:c r="D1479" t="str">
        <x:v>Boucliers</x:v>
      </x:c>
      <x:c r="E1479" s="28" t="n">
        <x:f>IF(M1479=0,0,M1479+O1479)</x:f>
        <x:v>0</x:v>
      </x:c>
      <x:c r="F1479" s="28" t="n">
        <x:f>IF(M1479=0,0,M1479*N1479+O1479)</x:f>
        <x:v>0</x:v>
      </x:c>
      <x:c r="G1479" s="28" t="n">
        <x:f>ROUND(Catalogue!G77*SQRT((1+'Paramètres'!$B$4*(C1479-1)+'Paramètres'!$B$5*(C1479-1)^2)),0)</x:f>
        <x:v>10</x:v>
      </x:c>
      <x:c r="H1479" s="28" t="n">
        <x:f>ROUND(Catalogue!H77*SQRT((1+'Paramètres'!$B$4*(C1479-1)+'Paramètres'!$B$5*(C1479-1)^2)),0)</x:f>
        <x:v>0</x:v>
      </x:c>
      <x:c r="I1479" s="28" t="n">
        <x:v>0</x:v>
      </x:c>
      <x:c r="J1479" s="28" t="n">
        <x:v>0</x:v>
      </x:c>
      <x:c r="K1479" s="30" t="n">
        <x:v>2.6</x:v>
      </x:c>
      <x:c r="L1479" s="54" t="n">
        <x:f>IF(M1479=0,0,(E1479+F1479)/2)</x:f>
        <x:v>0</x:v>
      </x:c>
      <x:c r="M1479" t="n">
        <x:v>0</x:v>
      </x:c>
      <x:c r="N1479" t="n">
        <x:v>0</x:v>
      </x:c>
      <x:c r="O1479" t="n">
        <x:v>0</x:v>
      </x:c>
      <x:c r="P1479" s="63" t="str">
        <x:f>IF(M1479=0,"—",M1479&amp;"d"&amp;N1479&amp;IF(O1479=0,""," + "&amp;O1479))</x:f>
        <x:v>—</x:v>
      </x:c>
      <x:c r="Q1479" t="n">
        <x:f>ROUND(INDEX(Catalogue!E$4:E$85,MATCH(A1479,Catalogue!A$4:A$85,0))*(1+'Paramètres'!$B$4*(C1479-1)+'Paramètres'!$B$5*(C1479-1)^2),0)</x:f>
        <x:v>0</x:v>
      </x:c>
      <x:c r="R1479" t="n">
        <x:f>ROUND(INDEX(Catalogue!F$4:F$85,MATCH(A1479,Catalogue!A$4:A$85,0))*(1+'Paramètres'!$B$4*(C1479-1)+'Paramètres'!$B$5*(C1479-1)^2),0)</x:f>
        <x:v>0</x:v>
      </x:c>
      <x:c r="S1479" t="n">
        <x:f>L1479-AVERAGE(Q1479:R1479)</x:f>
        <x:v>0</x:v>
      </x:c>
      <x:c r="T1479" t="str">
        <x:f>IF(M1479=0,IF(AND(N1479=0,O1479=0,E1479=0,F1479=0),"OK","ERREUR"),IF(AND(M1479&gt;=1,M1479&lt;=32,OR(N1479=4,N1479=6,N1479=8,N1479=10,N1479=12,N1479=20),O1479&gt;=0,E1479=M1479+O1479,F1479=M1479*N1479+O1479),"OK","ERREUR"))</x:f>
        <x:v>OK</x:v>
      </x:c>
      <x:c r="U1479" s="86" t="n">
        <x:f>IF(M1479&gt;0,M1479*(N1479+1)/2+O1479,0)</x:f>
        <x:v>0</x:v>
      </x:c>
      <x:c r="V1479" t="str">
        <x:f>IF(ABS(L1479-U1479)&lt;0.001,"OK","ERREUR")</x:f>
        <x:v>OK</x:v>
      </x:c>
    </x:row>
    <x:row r="1480" ht="18" customHeight="1">
      <x:c r="A1480" t="str">
        <x:v>ARM074</x:v>
      </x:c>
      <x:c r="B1480" t="str">
        <x:v>Bouclier de bois</x:v>
      </x:c>
      <x:c r="C1480" t="n">
        <x:v>17</x:v>
      </x:c>
      <x:c r="D1480" t="str">
        <x:v>Boucliers</x:v>
      </x:c>
      <x:c r="E1480" s="28" t="n">
        <x:f>IF(M1480=0,0,M1480+O1480)</x:f>
        <x:v>0</x:v>
      </x:c>
      <x:c r="F1480" s="28" t="n">
        <x:f>IF(M1480=0,0,M1480*N1480+O1480)</x:f>
        <x:v>0</x:v>
      </x:c>
      <x:c r="G1480" s="28" t="n">
        <x:f>ROUND(Catalogue!G77*SQRT((1+'Paramètres'!$B$4*(C1480-1)+'Paramètres'!$B$5*(C1480-1)^2)),0)</x:f>
        <x:v>10</x:v>
      </x:c>
      <x:c r="H1480" s="28" t="n">
        <x:f>ROUND(Catalogue!H77*SQRT((1+'Paramètres'!$B$4*(C1480-1)+'Paramètres'!$B$5*(C1480-1)^2)),0)</x:f>
        <x:v>0</x:v>
      </x:c>
      <x:c r="I1480" s="28" t="n">
        <x:v>0</x:v>
      </x:c>
      <x:c r="J1480" s="28" t="n">
        <x:v>0</x:v>
      </x:c>
      <x:c r="K1480" s="30" t="n">
        <x:v>2.6</x:v>
      </x:c>
      <x:c r="L1480" s="54" t="n">
        <x:f>IF(M1480=0,0,(E1480+F1480)/2)</x:f>
        <x:v>0</x:v>
      </x:c>
      <x:c r="M1480" t="n">
        <x:v>0</x:v>
      </x:c>
      <x:c r="N1480" t="n">
        <x:v>0</x:v>
      </x:c>
      <x:c r="O1480" t="n">
        <x:v>0</x:v>
      </x:c>
      <x:c r="P1480" s="63" t="str">
        <x:f>IF(M1480=0,"—",M1480&amp;"d"&amp;N1480&amp;IF(O1480=0,""," + "&amp;O1480))</x:f>
        <x:v>—</x:v>
      </x:c>
      <x:c r="Q1480" t="n">
        <x:f>ROUND(INDEX(Catalogue!E$4:E$85,MATCH(A1480,Catalogue!A$4:A$85,0))*(1+'Paramètres'!$B$4*(C1480-1)+'Paramètres'!$B$5*(C1480-1)^2),0)</x:f>
        <x:v>0</x:v>
      </x:c>
      <x:c r="R1480" t="n">
        <x:f>ROUND(INDEX(Catalogue!F$4:F$85,MATCH(A1480,Catalogue!A$4:A$85,0))*(1+'Paramètres'!$B$4*(C1480-1)+'Paramètres'!$B$5*(C1480-1)^2),0)</x:f>
        <x:v>0</x:v>
      </x:c>
      <x:c r="S1480" t="n">
        <x:f>L1480-AVERAGE(Q1480:R1480)</x:f>
        <x:v>0</x:v>
      </x:c>
      <x:c r="T1480" t="str">
        <x:f>IF(M1480=0,IF(AND(N1480=0,O1480=0,E1480=0,F1480=0),"OK","ERREUR"),IF(AND(M1480&gt;=1,M1480&lt;=32,OR(N1480=4,N1480=6,N1480=8,N1480=10,N1480=12,N1480=20),O1480&gt;=0,E1480=M1480+O1480,F1480=M1480*N1480+O1480),"OK","ERREUR"))</x:f>
        <x:v>OK</x:v>
      </x:c>
      <x:c r="U1480" s="86" t="n">
        <x:f>IF(M1480&gt;0,M1480*(N1480+1)/2+O1480,0)</x:f>
        <x:v>0</x:v>
      </x:c>
      <x:c r="V1480" t="str">
        <x:f>IF(ABS(L1480-U1480)&lt;0.001,"OK","ERREUR")</x:f>
        <x:v>OK</x:v>
      </x:c>
    </x:row>
    <x:row r="1481" ht="18" customHeight="1">
      <x:c r="A1481" t="str">
        <x:v>ARM074</x:v>
      </x:c>
      <x:c r="B1481" t="str">
        <x:v>Bouclier de bois</x:v>
      </x:c>
      <x:c r="C1481" t="n">
        <x:v>18</x:v>
      </x:c>
      <x:c r="D1481" t="str">
        <x:v>Boucliers</x:v>
      </x:c>
      <x:c r="E1481" s="28" t="n">
        <x:f>IF(M1481=0,0,M1481+O1481)</x:f>
        <x:v>0</x:v>
      </x:c>
      <x:c r="F1481" s="28" t="n">
        <x:f>IF(M1481=0,0,M1481*N1481+O1481)</x:f>
        <x:v>0</x:v>
      </x:c>
      <x:c r="G1481" s="28" t="n">
        <x:f>ROUND(Catalogue!G77*SQRT((1+'Paramètres'!$B$4*(C1481-1)+'Paramètres'!$B$5*(C1481-1)^2)),0)</x:f>
        <x:v>11</x:v>
      </x:c>
      <x:c r="H1481" s="28" t="n">
        <x:f>ROUND(Catalogue!H77*SQRT((1+'Paramètres'!$B$4*(C1481-1)+'Paramètres'!$B$5*(C1481-1)^2)),0)</x:f>
        <x:v>0</x:v>
      </x:c>
      <x:c r="I1481" s="28" t="n">
        <x:v>0</x:v>
      </x:c>
      <x:c r="J1481" s="28" t="n">
        <x:v>0</x:v>
      </x:c>
      <x:c r="K1481" s="30" t="n">
        <x:v>2.6</x:v>
      </x:c>
      <x:c r="L1481" s="54" t="n">
        <x:f>IF(M1481=0,0,(E1481+F1481)/2)</x:f>
        <x:v>0</x:v>
      </x:c>
      <x:c r="M1481" t="n">
        <x:v>0</x:v>
      </x:c>
      <x:c r="N1481" t="n">
        <x:v>0</x:v>
      </x:c>
      <x:c r="O1481" t="n">
        <x:v>0</x:v>
      </x:c>
      <x:c r="P1481" s="63" t="str">
        <x:f>IF(M1481=0,"—",M1481&amp;"d"&amp;N1481&amp;IF(O1481=0,""," + "&amp;O1481))</x:f>
        <x:v>—</x:v>
      </x:c>
      <x:c r="Q1481" t="n">
        <x:f>ROUND(INDEX(Catalogue!E$4:E$85,MATCH(A1481,Catalogue!A$4:A$85,0))*(1+'Paramètres'!$B$4*(C1481-1)+'Paramètres'!$B$5*(C1481-1)^2),0)</x:f>
        <x:v>0</x:v>
      </x:c>
      <x:c r="R1481" t="n">
        <x:f>ROUND(INDEX(Catalogue!F$4:F$85,MATCH(A1481,Catalogue!A$4:A$85,0))*(1+'Paramètres'!$B$4*(C1481-1)+'Paramètres'!$B$5*(C1481-1)^2),0)</x:f>
        <x:v>0</x:v>
      </x:c>
      <x:c r="S1481" t="n">
        <x:f>L1481-AVERAGE(Q1481:R1481)</x:f>
        <x:v>0</x:v>
      </x:c>
      <x:c r="T1481" t="str">
        <x:f>IF(M1481=0,IF(AND(N1481=0,O1481=0,E1481=0,F1481=0),"OK","ERREUR"),IF(AND(M1481&gt;=1,M1481&lt;=32,OR(N1481=4,N1481=6,N1481=8,N1481=10,N1481=12,N1481=20),O1481&gt;=0,E1481=M1481+O1481,F1481=M1481*N1481+O1481),"OK","ERREUR"))</x:f>
        <x:v>OK</x:v>
      </x:c>
      <x:c r="U1481" s="86" t="n">
        <x:f>IF(M1481&gt;0,M1481*(N1481+1)/2+O1481,0)</x:f>
        <x:v>0</x:v>
      </x:c>
      <x:c r="V1481" t="str">
        <x:f>IF(ABS(L1481-U1481)&lt;0.001,"OK","ERREUR")</x:f>
        <x:v>OK</x:v>
      </x:c>
    </x:row>
    <x:row r="1482" ht="18" customHeight="1">
      <x:c r="A1482" t="str">
        <x:v>ARM074</x:v>
      </x:c>
      <x:c r="B1482" t="str">
        <x:v>Bouclier de bois</x:v>
      </x:c>
      <x:c r="C1482" t="n">
        <x:v>19</x:v>
      </x:c>
      <x:c r="D1482" t="str">
        <x:v>Boucliers</x:v>
      </x:c>
      <x:c r="E1482" s="28" t="n">
        <x:f>IF(M1482=0,0,M1482+O1482)</x:f>
        <x:v>0</x:v>
      </x:c>
      <x:c r="F1482" s="28" t="n">
        <x:f>IF(M1482=0,0,M1482*N1482+O1482)</x:f>
        <x:v>0</x:v>
      </x:c>
      <x:c r="G1482" s="28" t="n">
        <x:f>ROUND(Catalogue!G77*SQRT((1+'Paramètres'!$B$4*(C1482-1)+'Paramètres'!$B$5*(C1482-1)^2)),0)</x:f>
        <x:v>11</x:v>
      </x:c>
      <x:c r="H1482" s="28" t="n">
        <x:f>ROUND(Catalogue!H77*SQRT((1+'Paramètres'!$B$4*(C1482-1)+'Paramètres'!$B$5*(C1482-1)^2)),0)</x:f>
        <x:v>0</x:v>
      </x:c>
      <x:c r="I1482" s="28" t="n">
        <x:v>0</x:v>
      </x:c>
      <x:c r="J1482" s="28" t="n">
        <x:v>0</x:v>
      </x:c>
      <x:c r="K1482" s="30" t="n">
        <x:v>2.6</x:v>
      </x:c>
      <x:c r="L1482" s="54" t="n">
        <x:f>IF(M1482=0,0,(E1482+F1482)/2)</x:f>
        <x:v>0</x:v>
      </x:c>
      <x:c r="M1482" t="n">
        <x:v>0</x:v>
      </x:c>
      <x:c r="N1482" t="n">
        <x:v>0</x:v>
      </x:c>
      <x:c r="O1482" t="n">
        <x:v>0</x:v>
      </x:c>
      <x:c r="P1482" s="63" t="str">
        <x:f>IF(M1482=0,"—",M1482&amp;"d"&amp;N1482&amp;IF(O1482=0,""," + "&amp;O1482))</x:f>
        <x:v>—</x:v>
      </x:c>
      <x:c r="Q1482" t="n">
        <x:f>ROUND(INDEX(Catalogue!E$4:E$85,MATCH(A1482,Catalogue!A$4:A$85,0))*(1+'Paramètres'!$B$4*(C1482-1)+'Paramètres'!$B$5*(C1482-1)^2),0)</x:f>
        <x:v>0</x:v>
      </x:c>
      <x:c r="R1482" t="n">
        <x:f>ROUND(INDEX(Catalogue!F$4:F$85,MATCH(A1482,Catalogue!A$4:A$85,0))*(1+'Paramètres'!$B$4*(C1482-1)+'Paramètres'!$B$5*(C1482-1)^2),0)</x:f>
        <x:v>0</x:v>
      </x:c>
      <x:c r="S1482" t="n">
        <x:f>L1482-AVERAGE(Q1482:R1482)</x:f>
        <x:v>0</x:v>
      </x:c>
      <x:c r="T1482" t="str">
        <x:f>IF(M1482=0,IF(AND(N1482=0,O1482=0,E1482=0,F1482=0),"OK","ERREUR"),IF(AND(M1482&gt;=1,M1482&lt;=32,OR(N1482=4,N1482=6,N1482=8,N1482=10,N1482=12,N1482=20),O1482&gt;=0,E1482=M1482+O1482,F1482=M1482*N1482+O1482),"OK","ERREUR"))</x:f>
        <x:v>OK</x:v>
      </x:c>
      <x:c r="U1482" s="86" t="n">
        <x:f>IF(M1482&gt;0,M1482*(N1482+1)/2+O1482,0)</x:f>
        <x:v>0</x:v>
      </x:c>
      <x:c r="V1482" t="str">
        <x:f>IF(ABS(L1482-U1482)&lt;0.001,"OK","ERREUR")</x:f>
        <x:v>OK</x:v>
      </x:c>
    </x:row>
    <x:row r="1483" ht="18" customHeight="1">
      <x:c r="A1483" t="str">
        <x:v>ARM074</x:v>
      </x:c>
      <x:c r="B1483" t="str">
        <x:v>Bouclier de bois</x:v>
      </x:c>
      <x:c r="C1483" t="n">
        <x:v>20</x:v>
      </x:c>
      <x:c r="D1483" t="str">
        <x:v>Boucliers</x:v>
      </x:c>
      <x:c r="E1483" s="28" t="n">
        <x:f>IF(M1483=0,0,M1483+O1483)</x:f>
        <x:v>0</x:v>
      </x:c>
      <x:c r="F1483" s="28" t="n">
        <x:f>IF(M1483=0,0,M1483*N1483+O1483)</x:f>
        <x:v>0</x:v>
      </x:c>
      <x:c r="G1483" s="28" t="n">
        <x:f>ROUND(Catalogue!G77*SQRT((1+'Paramètres'!$B$4*(C1483-1)+'Paramètres'!$B$5*(C1483-1)^2)),0)</x:f>
        <x:v>12</x:v>
      </x:c>
      <x:c r="H1483" s="28" t="n">
        <x:f>ROUND(Catalogue!H77*SQRT((1+'Paramètres'!$B$4*(C1483-1)+'Paramètres'!$B$5*(C1483-1)^2)),0)</x:f>
        <x:v>0</x:v>
      </x:c>
      <x:c r="I1483" s="28" t="n">
        <x:v>0</x:v>
      </x:c>
      <x:c r="J1483" s="28" t="n">
        <x:v>0</x:v>
      </x:c>
      <x:c r="K1483" s="30" t="n">
        <x:v>2.6</x:v>
      </x:c>
      <x:c r="L1483" s="54" t="n">
        <x:f>IF(M1483=0,0,(E1483+F1483)/2)</x:f>
        <x:v>0</x:v>
      </x:c>
      <x:c r="M1483" t="n">
        <x:v>0</x:v>
      </x:c>
      <x:c r="N1483" t="n">
        <x:v>0</x:v>
      </x:c>
      <x:c r="O1483" t="n">
        <x:v>0</x:v>
      </x:c>
      <x:c r="P1483" s="63" t="str">
        <x:f>IF(M1483=0,"—",M1483&amp;"d"&amp;N1483&amp;IF(O1483=0,""," + "&amp;O1483))</x:f>
        <x:v>—</x:v>
      </x:c>
      <x:c r="Q1483" t="n">
        <x:f>ROUND(INDEX(Catalogue!E$4:E$85,MATCH(A1483,Catalogue!A$4:A$85,0))*(1+'Paramètres'!$B$4*(C1483-1)+'Paramètres'!$B$5*(C1483-1)^2),0)</x:f>
        <x:v>0</x:v>
      </x:c>
      <x:c r="R1483" t="n">
        <x:f>ROUND(INDEX(Catalogue!F$4:F$85,MATCH(A1483,Catalogue!A$4:A$85,0))*(1+'Paramètres'!$B$4*(C1483-1)+'Paramètres'!$B$5*(C1483-1)^2),0)</x:f>
        <x:v>0</x:v>
      </x:c>
      <x:c r="S1483" t="n">
        <x:f>L1483-AVERAGE(Q1483:R1483)</x:f>
        <x:v>0</x:v>
      </x:c>
      <x:c r="T1483" t="str">
        <x:f>IF(M1483=0,IF(AND(N1483=0,O1483=0,E1483=0,F1483=0),"OK","ERREUR"),IF(AND(M1483&gt;=1,M1483&lt;=32,OR(N1483=4,N1483=6,N1483=8,N1483=10,N1483=12,N1483=20),O1483&gt;=0,E1483=M1483+O1483,F1483=M1483*N1483+O1483),"OK","ERREUR"))</x:f>
        <x:v>OK</x:v>
      </x:c>
      <x:c r="U1483" s="86" t="n">
        <x:f>IF(M1483&gt;0,M1483*(N1483+1)/2+O1483,0)</x:f>
        <x:v>0</x:v>
      </x:c>
      <x:c r="V1483" t="str">
        <x:f>IF(ABS(L1483-U1483)&lt;0.001,"OK","ERREUR")</x:f>
        <x:v>OK</x:v>
      </x:c>
    </x:row>
    <x:row r="1484" ht="18" customHeight="1">
      <x:c r="A1484" t="str">
        <x:v>ARM075</x:v>
      </x:c>
      <x:c r="B1484" t="str">
        <x:v>Bouclier rond</x:v>
      </x:c>
      <x:c r="C1484" t="n">
        <x:v>1</x:v>
      </x:c>
      <x:c r="D1484" t="str">
        <x:v>Boucliers</x:v>
      </x:c>
      <x:c r="E1484" s="28" t="n">
        <x:f>IF(M1484=0,0,M1484+O1484)</x:f>
        <x:v>0</x:v>
      </x:c>
      <x:c r="F1484" s="28" t="n">
        <x:f>IF(M1484=0,0,M1484*N1484+O1484)</x:f>
        <x:v>0</x:v>
      </x:c>
      <x:c r="G1484" s="28" t="n">
        <x:f>ROUND(Catalogue!G78*SQRT((1+'Paramètres'!$B$4*(C1484-1)+'Paramètres'!$B$5*(C1484-1)^2)),0)</x:f>
        <x:v>5</x:v>
      </x:c>
      <x:c r="H1484" s="28" t="n">
        <x:f>ROUND(Catalogue!H78*SQRT((1+'Paramètres'!$B$4*(C1484-1)+'Paramètres'!$B$5*(C1484-1)^2)),0)</x:f>
        <x:v>0</x:v>
      </x:c>
      <x:c r="I1484" s="28" t="n">
        <x:v>0</x:v>
      </x:c>
      <x:c r="J1484" s="28" t="n">
        <x:v>0</x:v>
      </x:c>
      <x:c r="K1484" s="30" t="n">
        <x:v>2.9</x:v>
      </x:c>
      <x:c r="L1484" s="54" t="n">
        <x:f>IF(M1484=0,0,(E1484+F1484)/2)</x:f>
        <x:v>0</x:v>
      </x:c>
      <x:c r="M1484" t="n">
        <x:v>0</x:v>
      </x:c>
      <x:c r="N1484" t="n">
        <x:v>0</x:v>
      </x:c>
      <x:c r="O1484" t="n">
        <x:v>0</x:v>
      </x:c>
      <x:c r="P1484" s="63" t="str">
        <x:f>IF(M1484=0,"—",M1484&amp;"d"&amp;N1484&amp;IF(O1484=0,""," + "&amp;O1484))</x:f>
        <x:v>—</x:v>
      </x:c>
      <x:c r="Q1484" t="n">
        <x:f>ROUND(INDEX(Catalogue!E$4:E$85,MATCH(A1484,Catalogue!A$4:A$85,0))*(1+'Paramètres'!$B$4*(C1484-1)+'Paramètres'!$B$5*(C1484-1)^2),0)</x:f>
        <x:v>0</x:v>
      </x:c>
      <x:c r="R1484" t="n">
        <x:f>ROUND(INDEX(Catalogue!F$4:F$85,MATCH(A1484,Catalogue!A$4:A$85,0))*(1+'Paramètres'!$B$4*(C1484-1)+'Paramètres'!$B$5*(C1484-1)^2),0)</x:f>
        <x:v>0</x:v>
      </x:c>
      <x:c r="S1484" t="n">
        <x:f>L1484-AVERAGE(Q1484:R1484)</x:f>
        <x:v>0</x:v>
      </x:c>
      <x:c r="T1484" t="str">
        <x:f>IF(M1484=0,IF(AND(N1484=0,O1484=0,E1484=0,F1484=0),"OK","ERREUR"),IF(AND(M1484&gt;=1,M1484&lt;=32,OR(N1484=4,N1484=6,N1484=8,N1484=10,N1484=12,N1484=20),O1484&gt;=0,E1484=M1484+O1484,F1484=M1484*N1484+O1484),"OK","ERREUR"))</x:f>
        <x:v>OK</x:v>
      </x:c>
      <x:c r="U1484" s="86" t="n">
        <x:f>IF(M1484&gt;0,M1484*(N1484+1)/2+O1484,0)</x:f>
        <x:v>0</x:v>
      </x:c>
      <x:c r="V1484" t="str">
        <x:f>IF(ABS(L1484-U1484)&lt;0.001,"OK","ERREUR")</x:f>
        <x:v>OK</x:v>
      </x:c>
    </x:row>
    <x:row r="1485" ht="18" customHeight="1">
      <x:c r="A1485" t="str">
        <x:v>ARM075</x:v>
      </x:c>
      <x:c r="B1485" t="str">
        <x:v>Bouclier rond</x:v>
      </x:c>
      <x:c r="C1485" t="n">
        <x:v>2</x:v>
      </x:c>
      <x:c r="D1485" t="str">
        <x:v>Boucliers</x:v>
      </x:c>
      <x:c r="E1485" s="28" t="n">
        <x:f>IF(M1485=0,0,M1485+O1485)</x:f>
        <x:v>0</x:v>
      </x:c>
      <x:c r="F1485" s="28" t="n">
        <x:f>IF(M1485=0,0,M1485*N1485+O1485)</x:f>
        <x:v>0</x:v>
      </x:c>
      <x:c r="G1485" s="28" t="n">
        <x:f>ROUND(Catalogue!G78*SQRT((1+'Paramètres'!$B$4*(C1485-1)+'Paramètres'!$B$5*(C1485-1)^2)),0)</x:f>
        <x:v>5</x:v>
      </x:c>
      <x:c r="H1485" s="28" t="n">
        <x:f>ROUND(Catalogue!H78*SQRT((1+'Paramètres'!$B$4*(C1485-1)+'Paramètres'!$B$5*(C1485-1)^2)),0)</x:f>
        <x:v>0</x:v>
      </x:c>
      <x:c r="I1485" s="28" t="n">
        <x:v>0</x:v>
      </x:c>
      <x:c r="J1485" s="28" t="n">
        <x:v>0</x:v>
      </x:c>
      <x:c r="K1485" s="30" t="n">
        <x:v>2.9</x:v>
      </x:c>
      <x:c r="L1485" s="54" t="n">
        <x:f>IF(M1485=0,0,(E1485+F1485)/2)</x:f>
        <x:v>0</x:v>
      </x:c>
      <x:c r="M1485" t="n">
        <x:v>0</x:v>
      </x:c>
      <x:c r="N1485" t="n">
        <x:v>0</x:v>
      </x:c>
      <x:c r="O1485" t="n">
        <x:v>0</x:v>
      </x:c>
      <x:c r="P1485" s="63" t="str">
        <x:f>IF(M1485=0,"—",M1485&amp;"d"&amp;N1485&amp;IF(O1485=0,""," + "&amp;O1485))</x:f>
        <x:v>—</x:v>
      </x:c>
      <x:c r="Q1485" t="n">
        <x:f>ROUND(INDEX(Catalogue!E$4:E$85,MATCH(A1485,Catalogue!A$4:A$85,0))*(1+'Paramètres'!$B$4*(C1485-1)+'Paramètres'!$B$5*(C1485-1)^2),0)</x:f>
        <x:v>0</x:v>
      </x:c>
      <x:c r="R1485" t="n">
        <x:f>ROUND(INDEX(Catalogue!F$4:F$85,MATCH(A1485,Catalogue!A$4:A$85,0))*(1+'Paramètres'!$B$4*(C1485-1)+'Paramètres'!$B$5*(C1485-1)^2),0)</x:f>
        <x:v>0</x:v>
      </x:c>
      <x:c r="S1485" t="n">
        <x:f>L1485-AVERAGE(Q1485:R1485)</x:f>
        <x:v>0</x:v>
      </x:c>
      <x:c r="T1485" t="str">
        <x:f>IF(M1485=0,IF(AND(N1485=0,O1485=0,E1485=0,F1485=0),"OK","ERREUR"),IF(AND(M1485&gt;=1,M1485&lt;=32,OR(N1485=4,N1485=6,N1485=8,N1485=10,N1485=12,N1485=20),O1485&gt;=0,E1485=M1485+O1485,F1485=M1485*N1485+O1485),"OK","ERREUR"))</x:f>
        <x:v>OK</x:v>
      </x:c>
      <x:c r="U1485" s="86" t="n">
        <x:f>IF(M1485&gt;0,M1485*(N1485+1)/2+O1485,0)</x:f>
        <x:v>0</x:v>
      </x:c>
      <x:c r="V1485" t="str">
        <x:f>IF(ABS(L1485-U1485)&lt;0.001,"OK","ERREUR")</x:f>
        <x:v>OK</x:v>
      </x:c>
    </x:row>
    <x:row r="1486" ht="18" customHeight="1">
      <x:c r="A1486" t="str">
        <x:v>ARM075</x:v>
      </x:c>
      <x:c r="B1486" t="str">
        <x:v>Bouclier rond</x:v>
      </x:c>
      <x:c r="C1486" t="n">
        <x:v>3</x:v>
      </x:c>
      <x:c r="D1486" t="str">
        <x:v>Boucliers</x:v>
      </x:c>
      <x:c r="E1486" s="28" t="n">
        <x:f>IF(M1486=0,0,M1486+O1486)</x:f>
        <x:v>0</x:v>
      </x:c>
      <x:c r="F1486" s="28" t="n">
        <x:f>IF(M1486=0,0,M1486*N1486+O1486)</x:f>
        <x:v>0</x:v>
      </x:c>
      <x:c r="G1486" s="28" t="n">
        <x:f>ROUND(Catalogue!G78*SQRT((1+'Paramètres'!$B$4*(C1486-1)+'Paramètres'!$B$5*(C1486-1)^2)),0)</x:f>
        <x:v>6</x:v>
      </x:c>
      <x:c r="H1486" s="28" t="n">
        <x:f>ROUND(Catalogue!H78*SQRT((1+'Paramètres'!$B$4*(C1486-1)+'Paramètres'!$B$5*(C1486-1)^2)),0)</x:f>
        <x:v>0</x:v>
      </x:c>
      <x:c r="I1486" s="28" t="n">
        <x:v>0</x:v>
      </x:c>
      <x:c r="J1486" s="28" t="n">
        <x:v>0</x:v>
      </x:c>
      <x:c r="K1486" s="30" t="n">
        <x:v>2.9</x:v>
      </x:c>
      <x:c r="L1486" s="54" t="n">
        <x:f>IF(M1486=0,0,(E1486+F1486)/2)</x:f>
        <x:v>0</x:v>
      </x:c>
      <x:c r="M1486" t="n">
        <x:v>0</x:v>
      </x:c>
      <x:c r="N1486" t="n">
        <x:v>0</x:v>
      </x:c>
      <x:c r="O1486" t="n">
        <x:v>0</x:v>
      </x:c>
      <x:c r="P1486" s="63" t="str">
        <x:f>IF(M1486=0,"—",M1486&amp;"d"&amp;N1486&amp;IF(O1486=0,""," + "&amp;O1486))</x:f>
        <x:v>—</x:v>
      </x:c>
      <x:c r="Q1486" t="n">
        <x:f>ROUND(INDEX(Catalogue!E$4:E$85,MATCH(A1486,Catalogue!A$4:A$85,0))*(1+'Paramètres'!$B$4*(C1486-1)+'Paramètres'!$B$5*(C1486-1)^2),0)</x:f>
        <x:v>0</x:v>
      </x:c>
      <x:c r="R1486" t="n">
        <x:f>ROUND(INDEX(Catalogue!F$4:F$85,MATCH(A1486,Catalogue!A$4:A$85,0))*(1+'Paramètres'!$B$4*(C1486-1)+'Paramètres'!$B$5*(C1486-1)^2),0)</x:f>
        <x:v>0</x:v>
      </x:c>
      <x:c r="S1486" t="n">
        <x:f>L1486-AVERAGE(Q1486:R1486)</x:f>
        <x:v>0</x:v>
      </x:c>
      <x:c r="T1486" t="str">
        <x:f>IF(M1486=0,IF(AND(N1486=0,O1486=0,E1486=0,F1486=0),"OK","ERREUR"),IF(AND(M1486&gt;=1,M1486&lt;=32,OR(N1486=4,N1486=6,N1486=8,N1486=10,N1486=12,N1486=20),O1486&gt;=0,E1486=M1486+O1486,F1486=M1486*N1486+O1486),"OK","ERREUR"))</x:f>
        <x:v>OK</x:v>
      </x:c>
      <x:c r="U1486" s="86" t="n">
        <x:f>IF(M1486&gt;0,M1486*(N1486+1)/2+O1486,0)</x:f>
        <x:v>0</x:v>
      </x:c>
      <x:c r="V1486" t="str">
        <x:f>IF(ABS(L1486-U1486)&lt;0.001,"OK","ERREUR")</x:f>
        <x:v>OK</x:v>
      </x:c>
    </x:row>
    <x:row r="1487" ht="18" customHeight="1">
      <x:c r="A1487" t="str">
        <x:v>ARM075</x:v>
      </x:c>
      <x:c r="B1487" t="str">
        <x:v>Bouclier rond</x:v>
      </x:c>
      <x:c r="C1487" t="n">
        <x:v>4</x:v>
      </x:c>
      <x:c r="D1487" t="str">
        <x:v>Boucliers</x:v>
      </x:c>
      <x:c r="E1487" s="28" t="n">
        <x:f>IF(M1487=0,0,M1487+O1487)</x:f>
        <x:v>0</x:v>
      </x:c>
      <x:c r="F1487" s="28" t="n">
        <x:f>IF(M1487=0,0,M1487*N1487+O1487)</x:f>
        <x:v>0</x:v>
      </x:c>
      <x:c r="G1487" s="28" t="n">
        <x:f>ROUND(Catalogue!G78*SQRT((1+'Paramètres'!$B$4*(C1487-1)+'Paramètres'!$B$5*(C1487-1)^2)),0)</x:f>
        <x:v>6</x:v>
      </x:c>
      <x:c r="H1487" s="28" t="n">
        <x:f>ROUND(Catalogue!H78*SQRT((1+'Paramètres'!$B$4*(C1487-1)+'Paramètres'!$B$5*(C1487-1)^2)),0)</x:f>
        <x:v>0</x:v>
      </x:c>
      <x:c r="I1487" s="28" t="n">
        <x:v>0</x:v>
      </x:c>
      <x:c r="J1487" s="28" t="n">
        <x:v>0</x:v>
      </x:c>
      <x:c r="K1487" s="30" t="n">
        <x:v>2.9</x:v>
      </x:c>
      <x:c r="L1487" s="54" t="n">
        <x:f>IF(M1487=0,0,(E1487+F1487)/2)</x:f>
        <x:v>0</x:v>
      </x:c>
      <x:c r="M1487" t="n">
        <x:v>0</x:v>
      </x:c>
      <x:c r="N1487" t="n">
        <x:v>0</x:v>
      </x:c>
      <x:c r="O1487" t="n">
        <x:v>0</x:v>
      </x:c>
      <x:c r="P1487" s="63" t="str">
        <x:f>IF(M1487=0,"—",M1487&amp;"d"&amp;N1487&amp;IF(O1487=0,""," + "&amp;O1487))</x:f>
        <x:v>—</x:v>
      </x:c>
      <x:c r="Q1487" t="n">
        <x:f>ROUND(INDEX(Catalogue!E$4:E$85,MATCH(A1487,Catalogue!A$4:A$85,0))*(1+'Paramètres'!$B$4*(C1487-1)+'Paramètres'!$B$5*(C1487-1)^2),0)</x:f>
        <x:v>0</x:v>
      </x:c>
      <x:c r="R1487" t="n">
        <x:f>ROUND(INDEX(Catalogue!F$4:F$85,MATCH(A1487,Catalogue!A$4:A$85,0))*(1+'Paramètres'!$B$4*(C1487-1)+'Paramètres'!$B$5*(C1487-1)^2),0)</x:f>
        <x:v>0</x:v>
      </x:c>
      <x:c r="S1487" t="n">
        <x:f>L1487-AVERAGE(Q1487:R1487)</x:f>
        <x:v>0</x:v>
      </x:c>
      <x:c r="T1487" t="str">
        <x:f>IF(M1487=0,IF(AND(N1487=0,O1487=0,E1487=0,F1487=0),"OK","ERREUR"),IF(AND(M1487&gt;=1,M1487&lt;=32,OR(N1487=4,N1487=6,N1487=8,N1487=10,N1487=12,N1487=20),O1487&gt;=0,E1487=M1487+O1487,F1487=M1487*N1487+O1487),"OK","ERREUR"))</x:f>
        <x:v>OK</x:v>
      </x:c>
      <x:c r="U1487" s="86" t="n">
        <x:f>IF(M1487&gt;0,M1487*(N1487+1)/2+O1487,0)</x:f>
        <x:v>0</x:v>
      </x:c>
      <x:c r="V1487" t="str">
        <x:f>IF(ABS(L1487-U1487)&lt;0.001,"OK","ERREUR")</x:f>
        <x:v>OK</x:v>
      </x:c>
    </x:row>
    <x:row r="1488" ht="18" customHeight="1">
      <x:c r="A1488" t="str">
        <x:v>ARM075</x:v>
      </x:c>
      <x:c r="B1488" t="str">
        <x:v>Bouclier rond</x:v>
      </x:c>
      <x:c r="C1488" t="n">
        <x:v>5</x:v>
      </x:c>
      <x:c r="D1488" t="str">
        <x:v>Boucliers</x:v>
      </x:c>
      <x:c r="E1488" s="28" t="n">
        <x:f>IF(M1488=0,0,M1488+O1488)</x:f>
        <x:v>0</x:v>
      </x:c>
      <x:c r="F1488" s="28" t="n">
        <x:f>IF(M1488=0,0,M1488*N1488+O1488)</x:f>
        <x:v>0</x:v>
      </x:c>
      <x:c r="G1488" s="28" t="n">
        <x:f>ROUND(Catalogue!G78*SQRT((1+'Paramètres'!$B$4*(C1488-1)+'Paramètres'!$B$5*(C1488-1)^2)),0)</x:f>
        <x:v>7</x:v>
      </x:c>
      <x:c r="H1488" s="28" t="n">
        <x:f>ROUND(Catalogue!H78*SQRT((1+'Paramètres'!$B$4*(C1488-1)+'Paramètres'!$B$5*(C1488-1)^2)),0)</x:f>
        <x:v>0</x:v>
      </x:c>
      <x:c r="I1488" s="28" t="n">
        <x:v>0</x:v>
      </x:c>
      <x:c r="J1488" s="28" t="n">
        <x:v>0</x:v>
      </x:c>
      <x:c r="K1488" s="30" t="n">
        <x:v>2.9</x:v>
      </x:c>
      <x:c r="L1488" s="54" t="n">
        <x:f>IF(M1488=0,0,(E1488+F1488)/2)</x:f>
        <x:v>0</x:v>
      </x:c>
      <x:c r="M1488" t="n">
        <x:v>0</x:v>
      </x:c>
      <x:c r="N1488" t="n">
        <x:v>0</x:v>
      </x:c>
      <x:c r="O1488" t="n">
        <x:v>0</x:v>
      </x:c>
      <x:c r="P1488" s="63" t="str">
        <x:f>IF(M1488=0,"—",M1488&amp;"d"&amp;N1488&amp;IF(O1488=0,""," + "&amp;O1488))</x:f>
        <x:v>—</x:v>
      </x:c>
      <x:c r="Q1488" t="n">
        <x:f>ROUND(INDEX(Catalogue!E$4:E$85,MATCH(A1488,Catalogue!A$4:A$85,0))*(1+'Paramètres'!$B$4*(C1488-1)+'Paramètres'!$B$5*(C1488-1)^2),0)</x:f>
        <x:v>0</x:v>
      </x:c>
      <x:c r="R1488" t="n">
        <x:f>ROUND(INDEX(Catalogue!F$4:F$85,MATCH(A1488,Catalogue!A$4:A$85,0))*(1+'Paramètres'!$B$4*(C1488-1)+'Paramètres'!$B$5*(C1488-1)^2),0)</x:f>
        <x:v>0</x:v>
      </x:c>
      <x:c r="S1488" t="n">
        <x:f>L1488-AVERAGE(Q1488:R1488)</x:f>
        <x:v>0</x:v>
      </x:c>
      <x:c r="T1488" t="str">
        <x:f>IF(M1488=0,IF(AND(N1488=0,O1488=0,E1488=0,F1488=0),"OK","ERREUR"),IF(AND(M1488&gt;=1,M1488&lt;=32,OR(N1488=4,N1488=6,N1488=8,N1488=10,N1488=12,N1488=20),O1488&gt;=0,E1488=M1488+O1488,F1488=M1488*N1488+O1488),"OK","ERREUR"))</x:f>
        <x:v>OK</x:v>
      </x:c>
      <x:c r="U1488" s="86" t="n">
        <x:f>IF(M1488&gt;0,M1488*(N1488+1)/2+O1488,0)</x:f>
        <x:v>0</x:v>
      </x:c>
      <x:c r="V1488" t="str">
        <x:f>IF(ABS(L1488-U1488)&lt;0.001,"OK","ERREUR")</x:f>
        <x:v>OK</x:v>
      </x:c>
    </x:row>
    <x:row r="1489" ht="18" customHeight="1">
      <x:c r="A1489" t="str">
        <x:v>ARM075</x:v>
      </x:c>
      <x:c r="B1489" t="str">
        <x:v>Bouclier rond</x:v>
      </x:c>
      <x:c r="C1489" t="n">
        <x:v>6</x:v>
      </x:c>
      <x:c r="D1489" t="str">
        <x:v>Boucliers</x:v>
      </x:c>
      <x:c r="E1489" s="28" t="n">
        <x:f>IF(M1489=0,0,M1489+O1489)</x:f>
        <x:v>0</x:v>
      </x:c>
      <x:c r="F1489" s="28" t="n">
        <x:f>IF(M1489=0,0,M1489*N1489+O1489)</x:f>
        <x:v>0</x:v>
      </x:c>
      <x:c r="G1489" s="28" t="n">
        <x:f>ROUND(Catalogue!G78*SQRT((1+'Paramètres'!$B$4*(C1489-1)+'Paramètres'!$B$5*(C1489-1)^2)),0)</x:f>
        <x:v>7</x:v>
      </x:c>
      <x:c r="H1489" s="28" t="n">
        <x:f>ROUND(Catalogue!H78*SQRT((1+'Paramètres'!$B$4*(C1489-1)+'Paramètres'!$B$5*(C1489-1)^2)),0)</x:f>
        <x:v>0</x:v>
      </x:c>
      <x:c r="I1489" s="28" t="n">
        <x:v>0</x:v>
      </x:c>
      <x:c r="J1489" s="28" t="n">
        <x:v>0</x:v>
      </x:c>
      <x:c r="K1489" s="30" t="n">
        <x:v>2.9</x:v>
      </x:c>
      <x:c r="L1489" s="54" t="n">
        <x:f>IF(M1489=0,0,(E1489+F1489)/2)</x:f>
        <x:v>0</x:v>
      </x:c>
      <x:c r="M1489" t="n">
        <x:v>0</x:v>
      </x:c>
      <x:c r="N1489" t="n">
        <x:v>0</x:v>
      </x:c>
      <x:c r="O1489" t="n">
        <x:v>0</x:v>
      </x:c>
      <x:c r="P1489" s="63" t="str">
        <x:f>IF(M1489=0,"—",M1489&amp;"d"&amp;N1489&amp;IF(O1489=0,""," + "&amp;O1489))</x:f>
        <x:v>—</x:v>
      </x:c>
      <x:c r="Q1489" t="n">
        <x:f>ROUND(INDEX(Catalogue!E$4:E$85,MATCH(A1489,Catalogue!A$4:A$85,0))*(1+'Paramètres'!$B$4*(C1489-1)+'Paramètres'!$B$5*(C1489-1)^2),0)</x:f>
        <x:v>0</x:v>
      </x:c>
      <x:c r="R1489" t="n">
        <x:f>ROUND(INDEX(Catalogue!F$4:F$85,MATCH(A1489,Catalogue!A$4:A$85,0))*(1+'Paramètres'!$B$4*(C1489-1)+'Paramètres'!$B$5*(C1489-1)^2),0)</x:f>
        <x:v>0</x:v>
      </x:c>
      <x:c r="S1489" t="n">
        <x:f>L1489-AVERAGE(Q1489:R1489)</x:f>
        <x:v>0</x:v>
      </x:c>
      <x:c r="T1489" t="str">
        <x:f>IF(M1489=0,IF(AND(N1489=0,O1489=0,E1489=0,F1489=0),"OK","ERREUR"),IF(AND(M1489&gt;=1,M1489&lt;=32,OR(N1489=4,N1489=6,N1489=8,N1489=10,N1489=12,N1489=20),O1489&gt;=0,E1489=M1489+O1489,F1489=M1489*N1489+O1489),"OK","ERREUR"))</x:f>
        <x:v>OK</x:v>
      </x:c>
      <x:c r="U1489" s="86" t="n">
        <x:f>IF(M1489&gt;0,M1489*(N1489+1)/2+O1489,0)</x:f>
        <x:v>0</x:v>
      </x:c>
      <x:c r="V1489" t="str">
        <x:f>IF(ABS(L1489-U1489)&lt;0.001,"OK","ERREUR")</x:f>
        <x:v>OK</x:v>
      </x:c>
    </x:row>
    <x:row r="1490" ht="18" customHeight="1">
      <x:c r="A1490" t="str">
        <x:v>ARM075</x:v>
      </x:c>
      <x:c r="B1490" t="str">
        <x:v>Bouclier rond</x:v>
      </x:c>
      <x:c r="C1490" t="n">
        <x:v>7</x:v>
      </x:c>
      <x:c r="D1490" t="str">
        <x:v>Boucliers</x:v>
      </x:c>
      <x:c r="E1490" s="28" t="n">
        <x:f>IF(M1490=0,0,M1490+O1490)</x:f>
        <x:v>0</x:v>
      </x:c>
      <x:c r="F1490" s="28" t="n">
        <x:f>IF(M1490=0,0,M1490*N1490+O1490)</x:f>
        <x:v>0</x:v>
      </x:c>
      <x:c r="G1490" s="28" t="n">
        <x:f>ROUND(Catalogue!G78*SQRT((1+'Paramètres'!$B$4*(C1490-1)+'Paramètres'!$B$5*(C1490-1)^2)),0)</x:f>
        <x:v>7</x:v>
      </x:c>
      <x:c r="H1490" s="28" t="n">
        <x:f>ROUND(Catalogue!H78*SQRT((1+'Paramètres'!$B$4*(C1490-1)+'Paramètres'!$B$5*(C1490-1)^2)),0)</x:f>
        <x:v>0</x:v>
      </x:c>
      <x:c r="I1490" s="28" t="n">
        <x:v>0</x:v>
      </x:c>
      <x:c r="J1490" s="28" t="n">
        <x:v>0</x:v>
      </x:c>
      <x:c r="K1490" s="30" t="n">
        <x:v>2.9</x:v>
      </x:c>
      <x:c r="L1490" s="54" t="n">
        <x:f>IF(M1490=0,0,(E1490+F1490)/2)</x:f>
        <x:v>0</x:v>
      </x:c>
      <x:c r="M1490" t="n">
        <x:v>0</x:v>
      </x:c>
      <x:c r="N1490" t="n">
        <x:v>0</x:v>
      </x:c>
      <x:c r="O1490" t="n">
        <x:v>0</x:v>
      </x:c>
      <x:c r="P1490" s="63" t="str">
        <x:f>IF(M1490=0,"—",M1490&amp;"d"&amp;N1490&amp;IF(O1490=0,""," + "&amp;O1490))</x:f>
        <x:v>—</x:v>
      </x:c>
      <x:c r="Q1490" t="n">
        <x:f>ROUND(INDEX(Catalogue!E$4:E$85,MATCH(A1490,Catalogue!A$4:A$85,0))*(1+'Paramètres'!$B$4*(C1490-1)+'Paramètres'!$B$5*(C1490-1)^2),0)</x:f>
        <x:v>0</x:v>
      </x:c>
      <x:c r="R1490" t="n">
        <x:f>ROUND(INDEX(Catalogue!F$4:F$85,MATCH(A1490,Catalogue!A$4:A$85,0))*(1+'Paramètres'!$B$4*(C1490-1)+'Paramètres'!$B$5*(C1490-1)^2),0)</x:f>
        <x:v>0</x:v>
      </x:c>
      <x:c r="S1490" t="n">
        <x:f>L1490-AVERAGE(Q1490:R1490)</x:f>
        <x:v>0</x:v>
      </x:c>
      <x:c r="T1490" t="str">
        <x:f>IF(M1490=0,IF(AND(N1490=0,O1490=0,E1490=0,F1490=0),"OK","ERREUR"),IF(AND(M1490&gt;=1,M1490&lt;=32,OR(N1490=4,N1490=6,N1490=8,N1490=10,N1490=12,N1490=20),O1490&gt;=0,E1490=M1490+O1490,F1490=M1490*N1490+O1490),"OK","ERREUR"))</x:f>
        <x:v>OK</x:v>
      </x:c>
      <x:c r="U1490" s="86" t="n">
        <x:f>IF(M1490&gt;0,M1490*(N1490+1)/2+O1490,0)</x:f>
        <x:v>0</x:v>
      </x:c>
      <x:c r="V1490" t="str">
        <x:f>IF(ABS(L1490-U1490)&lt;0.001,"OK","ERREUR")</x:f>
        <x:v>OK</x:v>
      </x:c>
    </x:row>
    <x:row r="1491" ht="18" customHeight="1">
      <x:c r="A1491" t="str">
        <x:v>ARM075</x:v>
      </x:c>
      <x:c r="B1491" t="str">
        <x:v>Bouclier rond</x:v>
      </x:c>
      <x:c r="C1491" t="n">
        <x:v>8</x:v>
      </x:c>
      <x:c r="D1491" t="str">
        <x:v>Boucliers</x:v>
      </x:c>
      <x:c r="E1491" s="28" t="n">
        <x:f>IF(M1491=0,0,M1491+O1491)</x:f>
        <x:v>0</x:v>
      </x:c>
      <x:c r="F1491" s="28" t="n">
        <x:f>IF(M1491=0,0,M1491*N1491+O1491)</x:f>
        <x:v>0</x:v>
      </x:c>
      <x:c r="G1491" s="28" t="n">
        <x:f>ROUND(Catalogue!G78*SQRT((1+'Paramètres'!$B$4*(C1491-1)+'Paramètres'!$B$5*(C1491-1)^2)),0)</x:f>
        <x:v>8</x:v>
      </x:c>
      <x:c r="H1491" s="28" t="n">
        <x:f>ROUND(Catalogue!H78*SQRT((1+'Paramètres'!$B$4*(C1491-1)+'Paramètres'!$B$5*(C1491-1)^2)),0)</x:f>
        <x:v>0</x:v>
      </x:c>
      <x:c r="I1491" s="28" t="n">
        <x:v>0</x:v>
      </x:c>
      <x:c r="J1491" s="28" t="n">
        <x:v>0</x:v>
      </x:c>
      <x:c r="K1491" s="30" t="n">
        <x:v>2.9</x:v>
      </x:c>
      <x:c r="L1491" s="54" t="n">
        <x:f>IF(M1491=0,0,(E1491+F1491)/2)</x:f>
        <x:v>0</x:v>
      </x:c>
      <x:c r="M1491" t="n">
        <x:v>0</x:v>
      </x:c>
      <x:c r="N1491" t="n">
        <x:v>0</x:v>
      </x:c>
      <x:c r="O1491" t="n">
        <x:v>0</x:v>
      </x:c>
      <x:c r="P1491" s="63" t="str">
        <x:f>IF(M1491=0,"—",M1491&amp;"d"&amp;N1491&amp;IF(O1491=0,""," + "&amp;O1491))</x:f>
        <x:v>—</x:v>
      </x:c>
      <x:c r="Q1491" t="n">
        <x:f>ROUND(INDEX(Catalogue!E$4:E$85,MATCH(A1491,Catalogue!A$4:A$85,0))*(1+'Paramètres'!$B$4*(C1491-1)+'Paramètres'!$B$5*(C1491-1)^2),0)</x:f>
        <x:v>0</x:v>
      </x:c>
      <x:c r="R1491" t="n">
        <x:f>ROUND(INDEX(Catalogue!F$4:F$85,MATCH(A1491,Catalogue!A$4:A$85,0))*(1+'Paramètres'!$B$4*(C1491-1)+'Paramètres'!$B$5*(C1491-1)^2),0)</x:f>
        <x:v>0</x:v>
      </x:c>
      <x:c r="S1491" t="n">
        <x:f>L1491-AVERAGE(Q1491:R1491)</x:f>
        <x:v>0</x:v>
      </x:c>
      <x:c r="T1491" t="str">
        <x:f>IF(M1491=0,IF(AND(N1491=0,O1491=0,E1491=0,F1491=0),"OK","ERREUR"),IF(AND(M1491&gt;=1,M1491&lt;=32,OR(N1491=4,N1491=6,N1491=8,N1491=10,N1491=12,N1491=20),O1491&gt;=0,E1491=M1491+O1491,F1491=M1491*N1491+O1491),"OK","ERREUR"))</x:f>
        <x:v>OK</x:v>
      </x:c>
      <x:c r="U1491" s="86" t="n">
        <x:f>IF(M1491&gt;0,M1491*(N1491+1)/2+O1491,0)</x:f>
        <x:v>0</x:v>
      </x:c>
      <x:c r="V1491" t="str">
        <x:f>IF(ABS(L1491-U1491)&lt;0.001,"OK","ERREUR")</x:f>
        <x:v>OK</x:v>
      </x:c>
    </x:row>
    <x:row r="1492" ht="18" customHeight="1">
      <x:c r="A1492" t="str">
        <x:v>ARM075</x:v>
      </x:c>
      <x:c r="B1492" t="str">
        <x:v>Bouclier rond</x:v>
      </x:c>
      <x:c r="C1492" t="n">
        <x:v>9</x:v>
      </x:c>
      <x:c r="D1492" t="str">
        <x:v>Boucliers</x:v>
      </x:c>
      <x:c r="E1492" s="28" t="n">
        <x:f>IF(M1492=0,0,M1492+O1492)</x:f>
        <x:v>0</x:v>
      </x:c>
      <x:c r="F1492" s="28" t="n">
        <x:f>IF(M1492=0,0,M1492*N1492+O1492)</x:f>
        <x:v>0</x:v>
      </x:c>
      <x:c r="G1492" s="28" t="n">
        <x:f>ROUND(Catalogue!G78*SQRT((1+'Paramètres'!$B$4*(C1492-1)+'Paramètres'!$B$5*(C1492-1)^2)),0)</x:f>
        <x:v>9</x:v>
      </x:c>
      <x:c r="H1492" s="28" t="n">
        <x:f>ROUND(Catalogue!H78*SQRT((1+'Paramètres'!$B$4*(C1492-1)+'Paramètres'!$B$5*(C1492-1)^2)),0)</x:f>
        <x:v>0</x:v>
      </x:c>
      <x:c r="I1492" s="28" t="n">
        <x:v>0</x:v>
      </x:c>
      <x:c r="J1492" s="28" t="n">
        <x:v>0</x:v>
      </x:c>
      <x:c r="K1492" s="30" t="n">
        <x:v>2.9</x:v>
      </x:c>
      <x:c r="L1492" s="54" t="n">
        <x:f>IF(M1492=0,0,(E1492+F1492)/2)</x:f>
        <x:v>0</x:v>
      </x:c>
      <x:c r="M1492" t="n">
        <x:v>0</x:v>
      </x:c>
      <x:c r="N1492" t="n">
        <x:v>0</x:v>
      </x:c>
      <x:c r="O1492" t="n">
        <x:v>0</x:v>
      </x:c>
      <x:c r="P1492" s="63" t="str">
        <x:f>IF(M1492=0,"—",M1492&amp;"d"&amp;N1492&amp;IF(O1492=0,""," + "&amp;O1492))</x:f>
        <x:v>—</x:v>
      </x:c>
      <x:c r="Q1492" t="n">
        <x:f>ROUND(INDEX(Catalogue!E$4:E$85,MATCH(A1492,Catalogue!A$4:A$85,0))*(1+'Paramètres'!$B$4*(C1492-1)+'Paramètres'!$B$5*(C1492-1)^2),0)</x:f>
        <x:v>0</x:v>
      </x:c>
      <x:c r="R1492" t="n">
        <x:f>ROUND(INDEX(Catalogue!F$4:F$85,MATCH(A1492,Catalogue!A$4:A$85,0))*(1+'Paramètres'!$B$4*(C1492-1)+'Paramètres'!$B$5*(C1492-1)^2),0)</x:f>
        <x:v>0</x:v>
      </x:c>
      <x:c r="S1492" t="n">
        <x:f>L1492-AVERAGE(Q1492:R1492)</x:f>
        <x:v>0</x:v>
      </x:c>
      <x:c r="T1492" t="str">
        <x:f>IF(M1492=0,IF(AND(N1492=0,O1492=0,E1492=0,F1492=0),"OK","ERREUR"),IF(AND(M1492&gt;=1,M1492&lt;=32,OR(N1492=4,N1492=6,N1492=8,N1492=10,N1492=12,N1492=20),O1492&gt;=0,E1492=M1492+O1492,F1492=M1492*N1492+O1492),"OK","ERREUR"))</x:f>
        <x:v>OK</x:v>
      </x:c>
      <x:c r="U1492" s="86" t="n">
        <x:f>IF(M1492&gt;0,M1492*(N1492+1)/2+O1492,0)</x:f>
        <x:v>0</x:v>
      </x:c>
      <x:c r="V1492" t="str">
        <x:f>IF(ABS(L1492-U1492)&lt;0.001,"OK","ERREUR")</x:f>
        <x:v>OK</x:v>
      </x:c>
    </x:row>
    <x:row r="1493" ht="18" customHeight="1">
      <x:c r="A1493" t="str">
        <x:v>ARM075</x:v>
      </x:c>
      <x:c r="B1493" t="str">
        <x:v>Bouclier rond</x:v>
      </x:c>
      <x:c r="C1493" t="n">
        <x:v>10</x:v>
      </x:c>
      <x:c r="D1493" t="str">
        <x:v>Boucliers</x:v>
      </x:c>
      <x:c r="E1493" s="28" t="n">
        <x:f>IF(M1493=0,0,M1493+O1493)</x:f>
        <x:v>0</x:v>
      </x:c>
      <x:c r="F1493" s="28" t="n">
        <x:f>IF(M1493=0,0,M1493*N1493+O1493)</x:f>
        <x:v>0</x:v>
      </x:c>
      <x:c r="G1493" s="28" t="n">
        <x:f>ROUND(Catalogue!G78*SQRT((1+'Paramètres'!$B$4*(C1493-1)+'Paramètres'!$B$5*(C1493-1)^2)),0)</x:f>
        <x:v>9</x:v>
      </x:c>
      <x:c r="H1493" s="28" t="n">
        <x:f>ROUND(Catalogue!H78*SQRT((1+'Paramètres'!$B$4*(C1493-1)+'Paramètres'!$B$5*(C1493-1)^2)),0)</x:f>
        <x:v>0</x:v>
      </x:c>
      <x:c r="I1493" s="28" t="n">
        <x:v>0</x:v>
      </x:c>
      <x:c r="J1493" s="28" t="n">
        <x:v>0</x:v>
      </x:c>
      <x:c r="K1493" s="30" t="n">
        <x:v>2.9</x:v>
      </x:c>
      <x:c r="L1493" s="54" t="n">
        <x:f>IF(M1493=0,0,(E1493+F1493)/2)</x:f>
        <x:v>0</x:v>
      </x:c>
      <x:c r="M1493" t="n">
        <x:v>0</x:v>
      </x:c>
      <x:c r="N1493" t="n">
        <x:v>0</x:v>
      </x:c>
      <x:c r="O1493" t="n">
        <x:v>0</x:v>
      </x:c>
      <x:c r="P1493" s="63" t="str">
        <x:f>IF(M1493=0,"—",M1493&amp;"d"&amp;N1493&amp;IF(O1493=0,""," + "&amp;O1493))</x:f>
        <x:v>—</x:v>
      </x:c>
      <x:c r="Q1493" t="n">
        <x:f>ROUND(INDEX(Catalogue!E$4:E$85,MATCH(A1493,Catalogue!A$4:A$85,0))*(1+'Paramètres'!$B$4*(C1493-1)+'Paramètres'!$B$5*(C1493-1)^2),0)</x:f>
        <x:v>0</x:v>
      </x:c>
      <x:c r="R1493" t="n">
        <x:f>ROUND(INDEX(Catalogue!F$4:F$85,MATCH(A1493,Catalogue!A$4:A$85,0))*(1+'Paramètres'!$B$4*(C1493-1)+'Paramètres'!$B$5*(C1493-1)^2),0)</x:f>
        <x:v>0</x:v>
      </x:c>
      <x:c r="S1493" t="n">
        <x:f>L1493-AVERAGE(Q1493:R1493)</x:f>
        <x:v>0</x:v>
      </x:c>
      <x:c r="T1493" t="str">
        <x:f>IF(M1493=0,IF(AND(N1493=0,O1493=0,E1493=0,F1493=0),"OK","ERREUR"),IF(AND(M1493&gt;=1,M1493&lt;=32,OR(N1493=4,N1493=6,N1493=8,N1493=10,N1493=12,N1493=20),O1493&gt;=0,E1493=M1493+O1493,F1493=M1493*N1493+O1493),"OK","ERREUR"))</x:f>
        <x:v>OK</x:v>
      </x:c>
      <x:c r="U1493" s="86" t="n">
        <x:f>IF(M1493&gt;0,M1493*(N1493+1)/2+O1493,0)</x:f>
        <x:v>0</x:v>
      </x:c>
      <x:c r="V1493" t="str">
        <x:f>IF(ABS(L1493-U1493)&lt;0.001,"OK","ERREUR")</x:f>
        <x:v>OK</x:v>
      </x:c>
    </x:row>
    <x:row r="1494" ht="18" customHeight="1">
      <x:c r="A1494" t="str">
        <x:v>ARM075</x:v>
      </x:c>
      <x:c r="B1494" t="str">
        <x:v>Bouclier rond</x:v>
      </x:c>
      <x:c r="C1494" t="n">
        <x:v>11</x:v>
      </x:c>
      <x:c r="D1494" t="str">
        <x:v>Boucliers</x:v>
      </x:c>
      <x:c r="E1494" s="28" t="n">
        <x:f>IF(M1494=0,0,M1494+O1494)</x:f>
        <x:v>0</x:v>
      </x:c>
      <x:c r="F1494" s="28" t="n">
        <x:f>IF(M1494=0,0,M1494*N1494+O1494)</x:f>
        <x:v>0</x:v>
      </x:c>
      <x:c r="G1494" s="28" t="n">
        <x:f>ROUND(Catalogue!G78*SQRT((1+'Paramètres'!$B$4*(C1494-1)+'Paramètres'!$B$5*(C1494-1)^2)),0)</x:f>
        <x:v>10</x:v>
      </x:c>
      <x:c r="H1494" s="28" t="n">
        <x:f>ROUND(Catalogue!H78*SQRT((1+'Paramètres'!$B$4*(C1494-1)+'Paramètres'!$B$5*(C1494-1)^2)),0)</x:f>
        <x:v>0</x:v>
      </x:c>
      <x:c r="I1494" s="28" t="n">
        <x:v>0</x:v>
      </x:c>
      <x:c r="J1494" s="28" t="n">
        <x:v>0</x:v>
      </x:c>
      <x:c r="K1494" s="30" t="n">
        <x:v>2.9</x:v>
      </x:c>
      <x:c r="L1494" s="54" t="n">
        <x:f>IF(M1494=0,0,(E1494+F1494)/2)</x:f>
        <x:v>0</x:v>
      </x:c>
      <x:c r="M1494" t="n">
        <x:v>0</x:v>
      </x:c>
      <x:c r="N1494" t="n">
        <x:v>0</x:v>
      </x:c>
      <x:c r="O1494" t="n">
        <x:v>0</x:v>
      </x:c>
      <x:c r="P1494" s="63" t="str">
        <x:f>IF(M1494=0,"—",M1494&amp;"d"&amp;N1494&amp;IF(O1494=0,""," + "&amp;O1494))</x:f>
        <x:v>—</x:v>
      </x:c>
      <x:c r="Q1494" t="n">
        <x:f>ROUND(INDEX(Catalogue!E$4:E$85,MATCH(A1494,Catalogue!A$4:A$85,0))*(1+'Paramètres'!$B$4*(C1494-1)+'Paramètres'!$B$5*(C1494-1)^2),0)</x:f>
        <x:v>0</x:v>
      </x:c>
      <x:c r="R1494" t="n">
        <x:f>ROUND(INDEX(Catalogue!F$4:F$85,MATCH(A1494,Catalogue!A$4:A$85,0))*(1+'Paramètres'!$B$4*(C1494-1)+'Paramètres'!$B$5*(C1494-1)^2),0)</x:f>
        <x:v>0</x:v>
      </x:c>
      <x:c r="S1494" t="n">
        <x:f>L1494-AVERAGE(Q1494:R1494)</x:f>
        <x:v>0</x:v>
      </x:c>
      <x:c r="T1494" t="str">
        <x:f>IF(M1494=0,IF(AND(N1494=0,O1494=0,E1494=0,F1494=0),"OK","ERREUR"),IF(AND(M1494&gt;=1,M1494&lt;=32,OR(N1494=4,N1494=6,N1494=8,N1494=10,N1494=12,N1494=20),O1494&gt;=0,E1494=M1494+O1494,F1494=M1494*N1494+O1494),"OK","ERREUR"))</x:f>
        <x:v>OK</x:v>
      </x:c>
      <x:c r="U1494" s="86" t="n">
        <x:f>IF(M1494&gt;0,M1494*(N1494+1)/2+O1494,0)</x:f>
        <x:v>0</x:v>
      </x:c>
      <x:c r="V1494" t="str">
        <x:f>IF(ABS(L1494-U1494)&lt;0.001,"OK","ERREUR")</x:f>
        <x:v>OK</x:v>
      </x:c>
    </x:row>
    <x:row r="1495" ht="18" customHeight="1">
      <x:c r="A1495" t="str">
        <x:v>ARM075</x:v>
      </x:c>
      <x:c r="B1495" t="str">
        <x:v>Bouclier rond</x:v>
      </x:c>
      <x:c r="C1495" t="n">
        <x:v>12</x:v>
      </x:c>
      <x:c r="D1495" t="str">
        <x:v>Boucliers</x:v>
      </x:c>
      <x:c r="E1495" s="28" t="n">
        <x:f>IF(M1495=0,0,M1495+O1495)</x:f>
        <x:v>0</x:v>
      </x:c>
      <x:c r="F1495" s="28" t="n">
        <x:f>IF(M1495=0,0,M1495*N1495+O1495)</x:f>
        <x:v>0</x:v>
      </x:c>
      <x:c r="G1495" s="28" t="n">
        <x:f>ROUND(Catalogue!G78*SQRT((1+'Paramètres'!$B$4*(C1495-1)+'Paramètres'!$B$5*(C1495-1)^2)),0)</x:f>
        <x:v>10</x:v>
      </x:c>
      <x:c r="H1495" s="28" t="n">
        <x:f>ROUND(Catalogue!H78*SQRT((1+'Paramètres'!$B$4*(C1495-1)+'Paramètres'!$B$5*(C1495-1)^2)),0)</x:f>
        <x:v>0</x:v>
      </x:c>
      <x:c r="I1495" s="28" t="n">
        <x:v>0</x:v>
      </x:c>
      <x:c r="J1495" s="28" t="n">
        <x:v>0</x:v>
      </x:c>
      <x:c r="K1495" s="30" t="n">
        <x:v>2.9</x:v>
      </x:c>
      <x:c r="L1495" s="54" t="n">
        <x:f>IF(M1495=0,0,(E1495+F1495)/2)</x:f>
        <x:v>0</x:v>
      </x:c>
      <x:c r="M1495" t="n">
        <x:v>0</x:v>
      </x:c>
      <x:c r="N1495" t="n">
        <x:v>0</x:v>
      </x:c>
      <x:c r="O1495" t="n">
        <x:v>0</x:v>
      </x:c>
      <x:c r="P1495" s="63" t="str">
        <x:f>IF(M1495=0,"—",M1495&amp;"d"&amp;N1495&amp;IF(O1495=0,""," + "&amp;O1495))</x:f>
        <x:v>—</x:v>
      </x:c>
      <x:c r="Q1495" t="n">
        <x:f>ROUND(INDEX(Catalogue!E$4:E$85,MATCH(A1495,Catalogue!A$4:A$85,0))*(1+'Paramètres'!$B$4*(C1495-1)+'Paramètres'!$B$5*(C1495-1)^2),0)</x:f>
        <x:v>0</x:v>
      </x:c>
      <x:c r="R1495" t="n">
        <x:f>ROUND(INDEX(Catalogue!F$4:F$85,MATCH(A1495,Catalogue!A$4:A$85,0))*(1+'Paramètres'!$B$4*(C1495-1)+'Paramètres'!$B$5*(C1495-1)^2),0)</x:f>
        <x:v>0</x:v>
      </x:c>
      <x:c r="S1495" t="n">
        <x:f>L1495-AVERAGE(Q1495:R1495)</x:f>
        <x:v>0</x:v>
      </x:c>
      <x:c r="T1495" t="str">
        <x:f>IF(M1495=0,IF(AND(N1495=0,O1495=0,E1495=0,F1495=0),"OK","ERREUR"),IF(AND(M1495&gt;=1,M1495&lt;=32,OR(N1495=4,N1495=6,N1495=8,N1495=10,N1495=12,N1495=20),O1495&gt;=0,E1495=M1495+O1495,F1495=M1495*N1495+O1495),"OK","ERREUR"))</x:f>
        <x:v>OK</x:v>
      </x:c>
      <x:c r="U1495" s="86" t="n">
        <x:f>IF(M1495&gt;0,M1495*(N1495+1)/2+O1495,0)</x:f>
        <x:v>0</x:v>
      </x:c>
      <x:c r="V1495" t="str">
        <x:f>IF(ABS(L1495-U1495)&lt;0.001,"OK","ERREUR")</x:f>
        <x:v>OK</x:v>
      </x:c>
    </x:row>
    <x:row r="1496" ht="18" customHeight="1">
      <x:c r="A1496" t="str">
        <x:v>ARM075</x:v>
      </x:c>
      <x:c r="B1496" t="str">
        <x:v>Bouclier rond</x:v>
      </x:c>
      <x:c r="C1496" t="n">
        <x:v>13</x:v>
      </x:c>
      <x:c r="D1496" t="str">
        <x:v>Boucliers</x:v>
      </x:c>
      <x:c r="E1496" s="28" t="n">
        <x:f>IF(M1496=0,0,M1496+O1496)</x:f>
        <x:v>0</x:v>
      </x:c>
      <x:c r="F1496" s="28" t="n">
        <x:f>IF(M1496=0,0,M1496*N1496+O1496)</x:f>
        <x:v>0</x:v>
      </x:c>
      <x:c r="G1496" s="28" t="n">
        <x:f>ROUND(Catalogue!G78*SQRT((1+'Paramètres'!$B$4*(C1496-1)+'Paramètres'!$B$5*(C1496-1)^2)),0)</x:f>
        <x:v>11</x:v>
      </x:c>
      <x:c r="H1496" s="28" t="n">
        <x:f>ROUND(Catalogue!H78*SQRT((1+'Paramètres'!$B$4*(C1496-1)+'Paramètres'!$B$5*(C1496-1)^2)),0)</x:f>
        <x:v>0</x:v>
      </x:c>
      <x:c r="I1496" s="28" t="n">
        <x:v>0</x:v>
      </x:c>
      <x:c r="J1496" s="28" t="n">
        <x:v>0</x:v>
      </x:c>
      <x:c r="K1496" s="30" t="n">
        <x:v>2.9</x:v>
      </x:c>
      <x:c r="L1496" s="54" t="n">
        <x:f>IF(M1496=0,0,(E1496+F1496)/2)</x:f>
        <x:v>0</x:v>
      </x:c>
      <x:c r="M1496" t="n">
        <x:v>0</x:v>
      </x:c>
      <x:c r="N1496" t="n">
        <x:v>0</x:v>
      </x:c>
      <x:c r="O1496" t="n">
        <x:v>0</x:v>
      </x:c>
      <x:c r="P1496" s="63" t="str">
        <x:f>IF(M1496=0,"—",M1496&amp;"d"&amp;N1496&amp;IF(O1496=0,""," + "&amp;O1496))</x:f>
        <x:v>—</x:v>
      </x:c>
      <x:c r="Q1496" t="n">
        <x:f>ROUND(INDEX(Catalogue!E$4:E$85,MATCH(A1496,Catalogue!A$4:A$85,0))*(1+'Paramètres'!$B$4*(C1496-1)+'Paramètres'!$B$5*(C1496-1)^2),0)</x:f>
        <x:v>0</x:v>
      </x:c>
      <x:c r="R1496" t="n">
        <x:f>ROUND(INDEX(Catalogue!F$4:F$85,MATCH(A1496,Catalogue!A$4:A$85,0))*(1+'Paramètres'!$B$4*(C1496-1)+'Paramètres'!$B$5*(C1496-1)^2),0)</x:f>
        <x:v>0</x:v>
      </x:c>
      <x:c r="S1496" t="n">
        <x:f>L1496-AVERAGE(Q1496:R1496)</x:f>
        <x:v>0</x:v>
      </x:c>
      <x:c r="T1496" t="str">
        <x:f>IF(M1496=0,IF(AND(N1496=0,O1496=0,E1496=0,F1496=0),"OK","ERREUR"),IF(AND(M1496&gt;=1,M1496&lt;=32,OR(N1496=4,N1496=6,N1496=8,N1496=10,N1496=12,N1496=20),O1496&gt;=0,E1496=M1496+O1496,F1496=M1496*N1496+O1496),"OK","ERREUR"))</x:f>
        <x:v>OK</x:v>
      </x:c>
      <x:c r="U1496" s="86" t="n">
        <x:f>IF(M1496&gt;0,M1496*(N1496+1)/2+O1496,0)</x:f>
        <x:v>0</x:v>
      </x:c>
      <x:c r="V1496" t="str">
        <x:f>IF(ABS(L1496-U1496)&lt;0.001,"OK","ERREUR")</x:f>
        <x:v>OK</x:v>
      </x:c>
    </x:row>
    <x:row r="1497" ht="18" customHeight="1">
      <x:c r="A1497" t="str">
        <x:v>ARM075</x:v>
      </x:c>
      <x:c r="B1497" t="str">
        <x:v>Bouclier rond</x:v>
      </x:c>
      <x:c r="C1497" t="n">
        <x:v>14</x:v>
      </x:c>
      <x:c r="D1497" t="str">
        <x:v>Boucliers</x:v>
      </x:c>
      <x:c r="E1497" s="28" t="n">
        <x:f>IF(M1497=0,0,M1497+O1497)</x:f>
        <x:v>0</x:v>
      </x:c>
      <x:c r="F1497" s="28" t="n">
        <x:f>IF(M1497=0,0,M1497*N1497+O1497)</x:f>
        <x:v>0</x:v>
      </x:c>
      <x:c r="G1497" s="28" t="n">
        <x:f>ROUND(Catalogue!G78*SQRT((1+'Paramètres'!$B$4*(C1497-1)+'Paramètres'!$B$5*(C1497-1)^2)),0)</x:f>
        <x:v>11</x:v>
      </x:c>
      <x:c r="H1497" s="28" t="n">
        <x:f>ROUND(Catalogue!H78*SQRT((1+'Paramètres'!$B$4*(C1497-1)+'Paramètres'!$B$5*(C1497-1)^2)),0)</x:f>
        <x:v>0</x:v>
      </x:c>
      <x:c r="I1497" s="28" t="n">
        <x:v>0</x:v>
      </x:c>
      <x:c r="J1497" s="28" t="n">
        <x:v>0</x:v>
      </x:c>
      <x:c r="K1497" s="30" t="n">
        <x:v>2.9</x:v>
      </x:c>
      <x:c r="L1497" s="54" t="n">
        <x:f>IF(M1497=0,0,(E1497+F1497)/2)</x:f>
        <x:v>0</x:v>
      </x:c>
      <x:c r="M1497" t="n">
        <x:v>0</x:v>
      </x:c>
      <x:c r="N1497" t="n">
        <x:v>0</x:v>
      </x:c>
      <x:c r="O1497" t="n">
        <x:v>0</x:v>
      </x:c>
      <x:c r="P1497" s="63" t="str">
        <x:f>IF(M1497=0,"—",M1497&amp;"d"&amp;N1497&amp;IF(O1497=0,""," + "&amp;O1497))</x:f>
        <x:v>—</x:v>
      </x:c>
      <x:c r="Q1497" t="n">
        <x:f>ROUND(INDEX(Catalogue!E$4:E$85,MATCH(A1497,Catalogue!A$4:A$85,0))*(1+'Paramètres'!$B$4*(C1497-1)+'Paramètres'!$B$5*(C1497-1)^2),0)</x:f>
        <x:v>0</x:v>
      </x:c>
      <x:c r="R1497" t="n">
        <x:f>ROUND(INDEX(Catalogue!F$4:F$85,MATCH(A1497,Catalogue!A$4:A$85,0))*(1+'Paramètres'!$B$4*(C1497-1)+'Paramètres'!$B$5*(C1497-1)^2),0)</x:f>
        <x:v>0</x:v>
      </x:c>
      <x:c r="S1497" t="n">
        <x:f>L1497-AVERAGE(Q1497:R1497)</x:f>
        <x:v>0</x:v>
      </x:c>
      <x:c r="T1497" t="str">
        <x:f>IF(M1497=0,IF(AND(N1497=0,O1497=0,E1497=0,F1497=0),"OK","ERREUR"),IF(AND(M1497&gt;=1,M1497&lt;=32,OR(N1497=4,N1497=6,N1497=8,N1497=10,N1497=12,N1497=20),O1497&gt;=0,E1497=M1497+O1497,F1497=M1497*N1497+O1497),"OK","ERREUR"))</x:f>
        <x:v>OK</x:v>
      </x:c>
      <x:c r="U1497" s="86" t="n">
        <x:f>IF(M1497&gt;0,M1497*(N1497+1)/2+O1497,0)</x:f>
        <x:v>0</x:v>
      </x:c>
      <x:c r="V1497" t="str">
        <x:f>IF(ABS(L1497-U1497)&lt;0.001,"OK","ERREUR")</x:f>
        <x:v>OK</x:v>
      </x:c>
    </x:row>
    <x:row r="1498" ht="18" customHeight="1">
      <x:c r="A1498" t="str">
        <x:v>ARM075</x:v>
      </x:c>
      <x:c r="B1498" t="str">
        <x:v>Bouclier rond</x:v>
      </x:c>
      <x:c r="C1498" t="n">
        <x:v>15</x:v>
      </x:c>
      <x:c r="D1498" t="str">
        <x:v>Boucliers</x:v>
      </x:c>
      <x:c r="E1498" s="28" t="n">
        <x:f>IF(M1498=0,0,M1498+O1498)</x:f>
        <x:v>0</x:v>
      </x:c>
      <x:c r="F1498" s="28" t="n">
        <x:f>IF(M1498=0,0,M1498*N1498+O1498)</x:f>
        <x:v>0</x:v>
      </x:c>
      <x:c r="G1498" s="28" t="n">
        <x:f>ROUND(Catalogue!G78*SQRT((1+'Paramètres'!$B$4*(C1498-1)+'Paramètres'!$B$5*(C1498-1)^2)),0)</x:f>
        <x:v>12</x:v>
      </x:c>
      <x:c r="H1498" s="28" t="n">
        <x:f>ROUND(Catalogue!H78*SQRT((1+'Paramètres'!$B$4*(C1498-1)+'Paramètres'!$B$5*(C1498-1)^2)),0)</x:f>
        <x:v>0</x:v>
      </x:c>
      <x:c r="I1498" s="28" t="n">
        <x:v>0</x:v>
      </x:c>
      <x:c r="J1498" s="28" t="n">
        <x:v>0</x:v>
      </x:c>
      <x:c r="K1498" s="30" t="n">
        <x:v>2.9</x:v>
      </x:c>
      <x:c r="L1498" s="54" t="n">
        <x:f>IF(M1498=0,0,(E1498+F1498)/2)</x:f>
        <x:v>0</x:v>
      </x:c>
      <x:c r="M1498" t="n">
        <x:v>0</x:v>
      </x:c>
      <x:c r="N1498" t="n">
        <x:v>0</x:v>
      </x:c>
      <x:c r="O1498" t="n">
        <x:v>0</x:v>
      </x:c>
      <x:c r="P1498" s="63" t="str">
        <x:f>IF(M1498=0,"—",M1498&amp;"d"&amp;N1498&amp;IF(O1498=0,""," + "&amp;O1498))</x:f>
        <x:v>—</x:v>
      </x:c>
      <x:c r="Q1498" t="n">
        <x:f>ROUND(INDEX(Catalogue!E$4:E$85,MATCH(A1498,Catalogue!A$4:A$85,0))*(1+'Paramètres'!$B$4*(C1498-1)+'Paramètres'!$B$5*(C1498-1)^2),0)</x:f>
        <x:v>0</x:v>
      </x:c>
      <x:c r="R1498" t="n">
        <x:f>ROUND(INDEX(Catalogue!F$4:F$85,MATCH(A1498,Catalogue!A$4:A$85,0))*(1+'Paramètres'!$B$4*(C1498-1)+'Paramètres'!$B$5*(C1498-1)^2),0)</x:f>
        <x:v>0</x:v>
      </x:c>
      <x:c r="S1498" t="n">
        <x:f>L1498-AVERAGE(Q1498:R1498)</x:f>
        <x:v>0</x:v>
      </x:c>
      <x:c r="T1498" t="str">
        <x:f>IF(M1498=0,IF(AND(N1498=0,O1498=0,E1498=0,F1498=0),"OK","ERREUR"),IF(AND(M1498&gt;=1,M1498&lt;=32,OR(N1498=4,N1498=6,N1498=8,N1498=10,N1498=12,N1498=20),O1498&gt;=0,E1498=M1498+O1498,F1498=M1498*N1498+O1498),"OK","ERREUR"))</x:f>
        <x:v>OK</x:v>
      </x:c>
      <x:c r="U1498" s="86" t="n">
        <x:f>IF(M1498&gt;0,M1498*(N1498+1)/2+O1498,0)</x:f>
        <x:v>0</x:v>
      </x:c>
      <x:c r="V1498" t="str">
        <x:f>IF(ABS(L1498-U1498)&lt;0.001,"OK","ERREUR")</x:f>
        <x:v>OK</x:v>
      </x:c>
    </x:row>
    <x:row r="1499" ht="18" customHeight="1">
      <x:c r="A1499" t="str">
        <x:v>ARM075</x:v>
      </x:c>
      <x:c r="B1499" t="str">
        <x:v>Bouclier rond</x:v>
      </x:c>
      <x:c r="C1499" t="n">
        <x:v>16</x:v>
      </x:c>
      <x:c r="D1499" t="str">
        <x:v>Boucliers</x:v>
      </x:c>
      <x:c r="E1499" s="28" t="n">
        <x:f>IF(M1499=0,0,M1499+O1499)</x:f>
        <x:v>0</x:v>
      </x:c>
      <x:c r="F1499" s="28" t="n">
        <x:f>IF(M1499=0,0,M1499*N1499+O1499)</x:f>
        <x:v>0</x:v>
      </x:c>
      <x:c r="G1499" s="28" t="n">
        <x:f>ROUND(Catalogue!G78*SQRT((1+'Paramètres'!$B$4*(C1499-1)+'Paramètres'!$B$5*(C1499-1)^2)),0)</x:f>
        <x:v>13</x:v>
      </x:c>
      <x:c r="H1499" s="28" t="n">
        <x:f>ROUND(Catalogue!H78*SQRT((1+'Paramètres'!$B$4*(C1499-1)+'Paramètres'!$B$5*(C1499-1)^2)),0)</x:f>
        <x:v>0</x:v>
      </x:c>
      <x:c r="I1499" s="28" t="n">
        <x:v>0</x:v>
      </x:c>
      <x:c r="J1499" s="28" t="n">
        <x:v>0</x:v>
      </x:c>
      <x:c r="K1499" s="30" t="n">
        <x:v>2.9</x:v>
      </x:c>
      <x:c r="L1499" s="54" t="n">
        <x:f>IF(M1499=0,0,(E1499+F1499)/2)</x:f>
        <x:v>0</x:v>
      </x:c>
      <x:c r="M1499" t="n">
        <x:v>0</x:v>
      </x:c>
      <x:c r="N1499" t="n">
        <x:v>0</x:v>
      </x:c>
      <x:c r="O1499" t="n">
        <x:v>0</x:v>
      </x:c>
      <x:c r="P1499" s="63" t="str">
        <x:f>IF(M1499=0,"—",M1499&amp;"d"&amp;N1499&amp;IF(O1499=0,""," + "&amp;O1499))</x:f>
        <x:v>—</x:v>
      </x:c>
      <x:c r="Q1499" t="n">
        <x:f>ROUND(INDEX(Catalogue!E$4:E$85,MATCH(A1499,Catalogue!A$4:A$85,0))*(1+'Paramètres'!$B$4*(C1499-1)+'Paramètres'!$B$5*(C1499-1)^2),0)</x:f>
        <x:v>0</x:v>
      </x:c>
      <x:c r="R1499" t="n">
        <x:f>ROUND(INDEX(Catalogue!F$4:F$85,MATCH(A1499,Catalogue!A$4:A$85,0))*(1+'Paramètres'!$B$4*(C1499-1)+'Paramètres'!$B$5*(C1499-1)^2),0)</x:f>
        <x:v>0</x:v>
      </x:c>
      <x:c r="S1499" t="n">
        <x:f>L1499-AVERAGE(Q1499:R1499)</x:f>
        <x:v>0</x:v>
      </x:c>
      <x:c r="T1499" t="str">
        <x:f>IF(M1499=0,IF(AND(N1499=0,O1499=0,E1499=0,F1499=0),"OK","ERREUR"),IF(AND(M1499&gt;=1,M1499&lt;=32,OR(N1499=4,N1499=6,N1499=8,N1499=10,N1499=12,N1499=20),O1499&gt;=0,E1499=M1499+O1499,F1499=M1499*N1499+O1499),"OK","ERREUR"))</x:f>
        <x:v>OK</x:v>
      </x:c>
      <x:c r="U1499" s="86" t="n">
        <x:f>IF(M1499&gt;0,M1499*(N1499+1)/2+O1499,0)</x:f>
        <x:v>0</x:v>
      </x:c>
      <x:c r="V1499" t="str">
        <x:f>IF(ABS(L1499-U1499)&lt;0.001,"OK","ERREUR")</x:f>
        <x:v>OK</x:v>
      </x:c>
    </x:row>
    <x:row r="1500" ht="18" customHeight="1">
      <x:c r="A1500" t="str">
        <x:v>ARM075</x:v>
      </x:c>
      <x:c r="B1500" t="str">
        <x:v>Bouclier rond</x:v>
      </x:c>
      <x:c r="C1500" t="n">
        <x:v>17</x:v>
      </x:c>
      <x:c r="D1500" t="str">
        <x:v>Boucliers</x:v>
      </x:c>
      <x:c r="E1500" s="28" t="n">
        <x:f>IF(M1500=0,0,M1500+O1500)</x:f>
        <x:v>0</x:v>
      </x:c>
      <x:c r="F1500" s="28" t="n">
        <x:f>IF(M1500=0,0,M1500*N1500+O1500)</x:f>
        <x:v>0</x:v>
      </x:c>
      <x:c r="G1500" s="28" t="n">
        <x:f>ROUND(Catalogue!G78*SQRT((1+'Paramètres'!$B$4*(C1500-1)+'Paramètres'!$B$5*(C1500-1)^2)),0)</x:f>
        <x:v>13</x:v>
      </x:c>
      <x:c r="H1500" s="28" t="n">
        <x:f>ROUND(Catalogue!H78*SQRT((1+'Paramètres'!$B$4*(C1500-1)+'Paramètres'!$B$5*(C1500-1)^2)),0)</x:f>
        <x:v>0</x:v>
      </x:c>
      <x:c r="I1500" s="28" t="n">
        <x:v>0</x:v>
      </x:c>
      <x:c r="J1500" s="28" t="n">
        <x:v>0</x:v>
      </x:c>
      <x:c r="K1500" s="30" t="n">
        <x:v>2.9</x:v>
      </x:c>
      <x:c r="L1500" s="54" t="n">
        <x:f>IF(M1500=0,0,(E1500+F1500)/2)</x:f>
        <x:v>0</x:v>
      </x:c>
      <x:c r="M1500" t="n">
        <x:v>0</x:v>
      </x:c>
      <x:c r="N1500" t="n">
        <x:v>0</x:v>
      </x:c>
      <x:c r="O1500" t="n">
        <x:v>0</x:v>
      </x:c>
      <x:c r="P1500" s="63" t="str">
        <x:f>IF(M1500=0,"—",M1500&amp;"d"&amp;N1500&amp;IF(O1500=0,""," + "&amp;O1500))</x:f>
        <x:v>—</x:v>
      </x:c>
      <x:c r="Q1500" t="n">
        <x:f>ROUND(INDEX(Catalogue!E$4:E$85,MATCH(A1500,Catalogue!A$4:A$85,0))*(1+'Paramètres'!$B$4*(C1500-1)+'Paramètres'!$B$5*(C1500-1)^2),0)</x:f>
        <x:v>0</x:v>
      </x:c>
      <x:c r="R1500" t="n">
        <x:f>ROUND(INDEX(Catalogue!F$4:F$85,MATCH(A1500,Catalogue!A$4:A$85,0))*(1+'Paramètres'!$B$4*(C1500-1)+'Paramètres'!$B$5*(C1500-1)^2),0)</x:f>
        <x:v>0</x:v>
      </x:c>
      <x:c r="S1500" t="n">
        <x:f>L1500-AVERAGE(Q1500:R1500)</x:f>
        <x:v>0</x:v>
      </x:c>
      <x:c r="T1500" t="str">
        <x:f>IF(M1500=0,IF(AND(N1500=0,O1500=0,E1500=0,F1500=0),"OK","ERREUR"),IF(AND(M1500&gt;=1,M1500&lt;=32,OR(N1500=4,N1500=6,N1500=8,N1500=10,N1500=12,N1500=20),O1500&gt;=0,E1500=M1500+O1500,F1500=M1500*N1500+O1500),"OK","ERREUR"))</x:f>
        <x:v>OK</x:v>
      </x:c>
      <x:c r="U1500" s="86" t="n">
        <x:f>IF(M1500&gt;0,M1500*(N1500+1)/2+O1500,0)</x:f>
        <x:v>0</x:v>
      </x:c>
      <x:c r="V1500" t="str">
        <x:f>IF(ABS(L1500-U1500)&lt;0.001,"OK","ERREUR")</x:f>
        <x:v>OK</x:v>
      </x:c>
    </x:row>
    <x:row r="1501" ht="18" customHeight="1">
      <x:c r="A1501" t="str">
        <x:v>ARM075</x:v>
      </x:c>
      <x:c r="B1501" t="str">
        <x:v>Bouclier rond</x:v>
      </x:c>
      <x:c r="C1501" t="n">
        <x:v>18</x:v>
      </x:c>
      <x:c r="D1501" t="str">
        <x:v>Boucliers</x:v>
      </x:c>
      <x:c r="E1501" s="28" t="n">
        <x:f>IF(M1501=0,0,M1501+O1501)</x:f>
        <x:v>0</x:v>
      </x:c>
      <x:c r="F1501" s="28" t="n">
        <x:f>IF(M1501=0,0,M1501*N1501+O1501)</x:f>
        <x:v>0</x:v>
      </x:c>
      <x:c r="G1501" s="28" t="n">
        <x:f>ROUND(Catalogue!G78*SQRT((1+'Paramètres'!$B$4*(C1501-1)+'Paramètres'!$B$5*(C1501-1)^2)),0)</x:f>
        <x:v>14</x:v>
      </x:c>
      <x:c r="H1501" s="28" t="n">
        <x:f>ROUND(Catalogue!H78*SQRT((1+'Paramètres'!$B$4*(C1501-1)+'Paramètres'!$B$5*(C1501-1)^2)),0)</x:f>
        <x:v>0</x:v>
      </x:c>
      <x:c r="I1501" s="28" t="n">
        <x:v>0</x:v>
      </x:c>
      <x:c r="J1501" s="28" t="n">
        <x:v>0</x:v>
      </x:c>
      <x:c r="K1501" s="30" t="n">
        <x:v>2.9</x:v>
      </x:c>
      <x:c r="L1501" s="54" t="n">
        <x:f>IF(M1501=0,0,(E1501+F1501)/2)</x:f>
        <x:v>0</x:v>
      </x:c>
      <x:c r="M1501" t="n">
        <x:v>0</x:v>
      </x:c>
      <x:c r="N1501" t="n">
        <x:v>0</x:v>
      </x:c>
      <x:c r="O1501" t="n">
        <x:v>0</x:v>
      </x:c>
      <x:c r="P1501" s="63" t="str">
        <x:f>IF(M1501=0,"—",M1501&amp;"d"&amp;N1501&amp;IF(O1501=0,""," + "&amp;O1501))</x:f>
        <x:v>—</x:v>
      </x:c>
      <x:c r="Q1501" t="n">
        <x:f>ROUND(INDEX(Catalogue!E$4:E$85,MATCH(A1501,Catalogue!A$4:A$85,0))*(1+'Paramètres'!$B$4*(C1501-1)+'Paramètres'!$B$5*(C1501-1)^2),0)</x:f>
        <x:v>0</x:v>
      </x:c>
      <x:c r="R1501" t="n">
        <x:f>ROUND(INDEX(Catalogue!F$4:F$85,MATCH(A1501,Catalogue!A$4:A$85,0))*(1+'Paramètres'!$B$4*(C1501-1)+'Paramètres'!$B$5*(C1501-1)^2),0)</x:f>
        <x:v>0</x:v>
      </x:c>
      <x:c r="S1501" t="n">
        <x:f>L1501-AVERAGE(Q1501:R1501)</x:f>
        <x:v>0</x:v>
      </x:c>
      <x:c r="T1501" t="str">
        <x:f>IF(M1501=0,IF(AND(N1501=0,O1501=0,E1501=0,F1501=0),"OK","ERREUR"),IF(AND(M1501&gt;=1,M1501&lt;=32,OR(N1501=4,N1501=6,N1501=8,N1501=10,N1501=12,N1501=20),O1501&gt;=0,E1501=M1501+O1501,F1501=M1501*N1501+O1501),"OK","ERREUR"))</x:f>
        <x:v>OK</x:v>
      </x:c>
      <x:c r="U1501" s="86" t="n">
        <x:f>IF(M1501&gt;0,M1501*(N1501+1)/2+O1501,0)</x:f>
        <x:v>0</x:v>
      </x:c>
      <x:c r="V1501" t="str">
        <x:f>IF(ABS(L1501-U1501)&lt;0.001,"OK","ERREUR")</x:f>
        <x:v>OK</x:v>
      </x:c>
    </x:row>
    <x:row r="1502" ht="18" customHeight="1">
      <x:c r="A1502" t="str">
        <x:v>ARM075</x:v>
      </x:c>
      <x:c r="B1502" t="str">
        <x:v>Bouclier rond</x:v>
      </x:c>
      <x:c r="C1502" t="n">
        <x:v>19</x:v>
      </x:c>
      <x:c r="D1502" t="str">
        <x:v>Boucliers</x:v>
      </x:c>
      <x:c r="E1502" s="28" t="n">
        <x:f>IF(M1502=0,0,M1502+O1502)</x:f>
        <x:v>0</x:v>
      </x:c>
      <x:c r="F1502" s="28" t="n">
        <x:f>IF(M1502=0,0,M1502*N1502+O1502)</x:f>
        <x:v>0</x:v>
      </x:c>
      <x:c r="G1502" s="28" t="n">
        <x:f>ROUND(Catalogue!G78*SQRT((1+'Paramètres'!$B$4*(C1502-1)+'Paramètres'!$B$5*(C1502-1)^2)),0)</x:f>
        <x:v>14</x:v>
      </x:c>
      <x:c r="H1502" s="28" t="n">
        <x:f>ROUND(Catalogue!H78*SQRT((1+'Paramètres'!$B$4*(C1502-1)+'Paramètres'!$B$5*(C1502-1)^2)),0)</x:f>
        <x:v>0</x:v>
      </x:c>
      <x:c r="I1502" s="28" t="n">
        <x:v>0</x:v>
      </x:c>
      <x:c r="J1502" s="28" t="n">
        <x:v>0</x:v>
      </x:c>
      <x:c r="K1502" s="30" t="n">
        <x:v>2.9</x:v>
      </x:c>
      <x:c r="L1502" s="54" t="n">
        <x:f>IF(M1502=0,0,(E1502+F1502)/2)</x:f>
        <x:v>0</x:v>
      </x:c>
      <x:c r="M1502" t="n">
        <x:v>0</x:v>
      </x:c>
      <x:c r="N1502" t="n">
        <x:v>0</x:v>
      </x:c>
      <x:c r="O1502" t="n">
        <x:v>0</x:v>
      </x:c>
      <x:c r="P1502" s="63" t="str">
        <x:f>IF(M1502=0,"—",M1502&amp;"d"&amp;N1502&amp;IF(O1502=0,""," + "&amp;O1502))</x:f>
        <x:v>—</x:v>
      </x:c>
      <x:c r="Q1502" t="n">
        <x:f>ROUND(INDEX(Catalogue!E$4:E$85,MATCH(A1502,Catalogue!A$4:A$85,0))*(1+'Paramètres'!$B$4*(C1502-1)+'Paramètres'!$B$5*(C1502-1)^2),0)</x:f>
        <x:v>0</x:v>
      </x:c>
      <x:c r="R1502" t="n">
        <x:f>ROUND(INDEX(Catalogue!F$4:F$85,MATCH(A1502,Catalogue!A$4:A$85,0))*(1+'Paramètres'!$B$4*(C1502-1)+'Paramètres'!$B$5*(C1502-1)^2),0)</x:f>
        <x:v>0</x:v>
      </x:c>
      <x:c r="S1502" t="n">
        <x:f>L1502-AVERAGE(Q1502:R1502)</x:f>
        <x:v>0</x:v>
      </x:c>
      <x:c r="T1502" t="str">
        <x:f>IF(M1502=0,IF(AND(N1502=0,O1502=0,E1502=0,F1502=0),"OK","ERREUR"),IF(AND(M1502&gt;=1,M1502&lt;=32,OR(N1502=4,N1502=6,N1502=8,N1502=10,N1502=12,N1502=20),O1502&gt;=0,E1502=M1502+O1502,F1502=M1502*N1502+O1502),"OK","ERREUR"))</x:f>
        <x:v>OK</x:v>
      </x:c>
      <x:c r="U1502" s="86" t="n">
        <x:f>IF(M1502&gt;0,M1502*(N1502+1)/2+O1502,0)</x:f>
        <x:v>0</x:v>
      </x:c>
      <x:c r="V1502" t="str">
        <x:f>IF(ABS(L1502-U1502)&lt;0.001,"OK","ERREUR")</x:f>
        <x:v>OK</x:v>
      </x:c>
    </x:row>
    <x:row r="1503" ht="18" customHeight="1">
      <x:c r="A1503" t="str">
        <x:v>ARM075</x:v>
      </x:c>
      <x:c r="B1503" t="str">
        <x:v>Bouclier rond</x:v>
      </x:c>
      <x:c r="C1503" t="n">
        <x:v>20</x:v>
      </x:c>
      <x:c r="D1503" t="str">
        <x:v>Boucliers</x:v>
      </x:c>
      <x:c r="E1503" s="28" t="n">
        <x:f>IF(M1503=0,0,M1503+O1503)</x:f>
        <x:v>0</x:v>
      </x:c>
      <x:c r="F1503" s="28" t="n">
        <x:f>IF(M1503=0,0,M1503*N1503+O1503)</x:f>
        <x:v>0</x:v>
      </x:c>
      <x:c r="G1503" s="28" t="n">
        <x:f>ROUND(Catalogue!G78*SQRT((1+'Paramètres'!$B$4*(C1503-1)+'Paramètres'!$B$5*(C1503-1)^2)),0)</x:f>
        <x:v>15</x:v>
      </x:c>
      <x:c r="H1503" s="28" t="n">
        <x:f>ROUND(Catalogue!H78*SQRT((1+'Paramètres'!$B$4*(C1503-1)+'Paramètres'!$B$5*(C1503-1)^2)),0)</x:f>
        <x:v>0</x:v>
      </x:c>
      <x:c r="I1503" s="28" t="n">
        <x:v>0</x:v>
      </x:c>
      <x:c r="J1503" s="28" t="n">
        <x:v>0</x:v>
      </x:c>
      <x:c r="K1503" s="30" t="n">
        <x:v>2.9</x:v>
      </x:c>
      <x:c r="L1503" s="54" t="n">
        <x:f>IF(M1503=0,0,(E1503+F1503)/2)</x:f>
        <x:v>0</x:v>
      </x:c>
      <x:c r="M1503" t="n">
        <x:v>0</x:v>
      </x:c>
      <x:c r="N1503" t="n">
        <x:v>0</x:v>
      </x:c>
      <x:c r="O1503" t="n">
        <x:v>0</x:v>
      </x:c>
      <x:c r="P1503" s="63" t="str">
        <x:f>IF(M1503=0,"—",M1503&amp;"d"&amp;N1503&amp;IF(O1503=0,""," + "&amp;O1503))</x:f>
        <x:v>—</x:v>
      </x:c>
      <x:c r="Q1503" t="n">
        <x:f>ROUND(INDEX(Catalogue!E$4:E$85,MATCH(A1503,Catalogue!A$4:A$85,0))*(1+'Paramètres'!$B$4*(C1503-1)+'Paramètres'!$B$5*(C1503-1)^2),0)</x:f>
        <x:v>0</x:v>
      </x:c>
      <x:c r="R1503" t="n">
        <x:f>ROUND(INDEX(Catalogue!F$4:F$85,MATCH(A1503,Catalogue!A$4:A$85,0))*(1+'Paramètres'!$B$4*(C1503-1)+'Paramètres'!$B$5*(C1503-1)^2),0)</x:f>
        <x:v>0</x:v>
      </x:c>
      <x:c r="S1503" t="n">
        <x:f>L1503-AVERAGE(Q1503:R1503)</x:f>
        <x:v>0</x:v>
      </x:c>
      <x:c r="T1503" t="str">
        <x:f>IF(M1503=0,IF(AND(N1503=0,O1503=0,E1503=0,F1503=0),"OK","ERREUR"),IF(AND(M1503&gt;=1,M1503&lt;=32,OR(N1503=4,N1503=6,N1503=8,N1503=10,N1503=12,N1503=20),O1503&gt;=0,E1503=M1503+O1503,F1503=M1503*N1503+O1503),"OK","ERREUR"))</x:f>
        <x:v>OK</x:v>
      </x:c>
      <x:c r="U1503" s="86" t="n">
        <x:f>IF(M1503&gt;0,M1503*(N1503+1)/2+O1503,0)</x:f>
        <x:v>0</x:v>
      </x:c>
      <x:c r="V1503" t="str">
        <x:f>IF(ABS(L1503-U1503)&lt;0.001,"OK","ERREUR")</x:f>
        <x:v>OK</x:v>
      </x:c>
    </x:row>
    <x:row r="1504" ht="18" customHeight="1">
      <x:c r="A1504" t="str">
        <x:v>ARM076</x:v>
      </x:c>
      <x:c r="B1504" t="str">
        <x:v>Écu triangulaire</x:v>
      </x:c>
      <x:c r="C1504" t="n">
        <x:v>1</x:v>
      </x:c>
      <x:c r="D1504" t="str">
        <x:v>Boucliers</x:v>
      </x:c>
      <x:c r="E1504" s="28" t="n">
        <x:f>IF(M1504=0,0,M1504+O1504)</x:f>
        <x:v>0</x:v>
      </x:c>
      <x:c r="F1504" s="28" t="n">
        <x:f>IF(M1504=0,0,M1504*N1504+O1504)</x:f>
        <x:v>0</x:v>
      </x:c>
      <x:c r="G1504" s="28" t="n">
        <x:f>ROUND(Catalogue!G79*SQRT((1+'Paramètres'!$B$4*(C1504-1)+'Paramètres'!$B$5*(C1504-1)^2)),0)</x:f>
        <x:v>6</x:v>
      </x:c>
      <x:c r="H1504" s="28" t="n">
        <x:f>ROUND(Catalogue!H79*SQRT((1+'Paramètres'!$B$4*(C1504-1)+'Paramètres'!$B$5*(C1504-1)^2)),0)</x:f>
        <x:v>0</x:v>
      </x:c>
      <x:c r="I1504" s="28" t="n">
        <x:v>0</x:v>
      </x:c>
      <x:c r="J1504" s="28" t="n">
        <x:v>0</x:v>
      </x:c>
      <x:c r="K1504" s="30" t="n">
        <x:v>3.4</x:v>
      </x:c>
      <x:c r="L1504" s="54" t="n">
        <x:f>IF(M1504=0,0,(E1504+F1504)/2)</x:f>
        <x:v>0</x:v>
      </x:c>
      <x:c r="M1504" t="n">
        <x:v>0</x:v>
      </x:c>
      <x:c r="N1504" t="n">
        <x:v>0</x:v>
      </x:c>
      <x:c r="O1504" t="n">
        <x:v>0</x:v>
      </x:c>
      <x:c r="P1504" s="63" t="str">
        <x:f>IF(M1504=0,"—",M1504&amp;"d"&amp;N1504&amp;IF(O1504=0,""," + "&amp;O1504))</x:f>
        <x:v>—</x:v>
      </x:c>
      <x:c r="Q1504" t="n">
        <x:f>ROUND(INDEX(Catalogue!E$4:E$85,MATCH(A1504,Catalogue!A$4:A$85,0))*(1+'Paramètres'!$B$4*(C1504-1)+'Paramètres'!$B$5*(C1504-1)^2),0)</x:f>
        <x:v>0</x:v>
      </x:c>
      <x:c r="R1504" t="n">
        <x:f>ROUND(INDEX(Catalogue!F$4:F$85,MATCH(A1504,Catalogue!A$4:A$85,0))*(1+'Paramètres'!$B$4*(C1504-1)+'Paramètres'!$B$5*(C1504-1)^2),0)</x:f>
        <x:v>0</x:v>
      </x:c>
      <x:c r="S1504" t="n">
        <x:f>L1504-AVERAGE(Q1504:R1504)</x:f>
        <x:v>0</x:v>
      </x:c>
      <x:c r="T1504" t="str">
        <x:f>IF(M1504=0,IF(AND(N1504=0,O1504=0,E1504=0,F1504=0),"OK","ERREUR"),IF(AND(M1504&gt;=1,M1504&lt;=32,OR(N1504=4,N1504=6,N1504=8,N1504=10,N1504=12,N1504=20),O1504&gt;=0,E1504=M1504+O1504,F1504=M1504*N1504+O1504),"OK","ERREUR"))</x:f>
        <x:v>OK</x:v>
      </x:c>
      <x:c r="U1504" s="86" t="n">
        <x:f>IF(M1504&gt;0,M1504*(N1504+1)/2+O1504,0)</x:f>
        <x:v>0</x:v>
      </x:c>
      <x:c r="V1504" t="str">
        <x:f>IF(ABS(L1504-U1504)&lt;0.001,"OK","ERREUR")</x:f>
        <x:v>OK</x:v>
      </x:c>
    </x:row>
    <x:row r="1505" ht="18" customHeight="1">
      <x:c r="A1505" t="str">
        <x:v>ARM076</x:v>
      </x:c>
      <x:c r="B1505" t="str">
        <x:v>Écu triangulaire</x:v>
      </x:c>
      <x:c r="C1505" t="n">
        <x:v>2</x:v>
      </x:c>
      <x:c r="D1505" t="str">
        <x:v>Boucliers</x:v>
      </x:c>
      <x:c r="E1505" s="28" t="n">
        <x:f>IF(M1505=0,0,M1505+O1505)</x:f>
        <x:v>0</x:v>
      </x:c>
      <x:c r="F1505" s="28" t="n">
        <x:f>IF(M1505=0,0,M1505*N1505+O1505)</x:f>
        <x:v>0</x:v>
      </x:c>
      <x:c r="G1505" s="28" t="n">
        <x:f>ROUND(Catalogue!G79*SQRT((1+'Paramètres'!$B$4*(C1505-1)+'Paramètres'!$B$5*(C1505-1)^2)),0)</x:f>
        <x:v>6</x:v>
      </x:c>
      <x:c r="H1505" s="28" t="n">
        <x:f>ROUND(Catalogue!H79*SQRT((1+'Paramètres'!$B$4*(C1505-1)+'Paramètres'!$B$5*(C1505-1)^2)),0)</x:f>
        <x:v>0</x:v>
      </x:c>
      <x:c r="I1505" s="28" t="n">
        <x:v>0</x:v>
      </x:c>
      <x:c r="J1505" s="28" t="n">
        <x:v>0</x:v>
      </x:c>
      <x:c r="K1505" s="30" t="n">
        <x:v>3.4</x:v>
      </x:c>
      <x:c r="L1505" s="54" t="n">
        <x:f>IF(M1505=0,0,(E1505+F1505)/2)</x:f>
        <x:v>0</x:v>
      </x:c>
      <x:c r="M1505" t="n">
        <x:v>0</x:v>
      </x:c>
      <x:c r="N1505" t="n">
        <x:v>0</x:v>
      </x:c>
      <x:c r="O1505" t="n">
        <x:v>0</x:v>
      </x:c>
      <x:c r="P1505" s="63" t="str">
        <x:f>IF(M1505=0,"—",M1505&amp;"d"&amp;N1505&amp;IF(O1505=0,""," + "&amp;O1505))</x:f>
        <x:v>—</x:v>
      </x:c>
      <x:c r="Q1505" t="n">
        <x:f>ROUND(INDEX(Catalogue!E$4:E$85,MATCH(A1505,Catalogue!A$4:A$85,0))*(1+'Paramètres'!$B$4*(C1505-1)+'Paramètres'!$B$5*(C1505-1)^2),0)</x:f>
        <x:v>0</x:v>
      </x:c>
      <x:c r="R1505" t="n">
        <x:f>ROUND(INDEX(Catalogue!F$4:F$85,MATCH(A1505,Catalogue!A$4:A$85,0))*(1+'Paramètres'!$B$4*(C1505-1)+'Paramètres'!$B$5*(C1505-1)^2),0)</x:f>
        <x:v>0</x:v>
      </x:c>
      <x:c r="S1505" t="n">
        <x:f>L1505-AVERAGE(Q1505:R1505)</x:f>
        <x:v>0</x:v>
      </x:c>
      <x:c r="T1505" t="str">
        <x:f>IF(M1505=0,IF(AND(N1505=0,O1505=0,E1505=0,F1505=0),"OK","ERREUR"),IF(AND(M1505&gt;=1,M1505&lt;=32,OR(N1505=4,N1505=6,N1505=8,N1505=10,N1505=12,N1505=20),O1505&gt;=0,E1505=M1505+O1505,F1505=M1505*N1505+O1505),"OK","ERREUR"))</x:f>
        <x:v>OK</x:v>
      </x:c>
      <x:c r="U1505" s="86" t="n">
        <x:f>IF(M1505&gt;0,M1505*(N1505+1)/2+O1505,0)</x:f>
        <x:v>0</x:v>
      </x:c>
      <x:c r="V1505" t="str">
        <x:f>IF(ABS(L1505-U1505)&lt;0.001,"OK","ERREUR")</x:f>
        <x:v>OK</x:v>
      </x:c>
    </x:row>
    <x:row r="1506" ht="18" customHeight="1">
      <x:c r="A1506" t="str">
        <x:v>ARM076</x:v>
      </x:c>
      <x:c r="B1506" t="str">
        <x:v>Écu triangulaire</x:v>
      </x:c>
      <x:c r="C1506" t="n">
        <x:v>3</x:v>
      </x:c>
      <x:c r="D1506" t="str">
        <x:v>Boucliers</x:v>
      </x:c>
      <x:c r="E1506" s="28" t="n">
        <x:f>IF(M1506=0,0,M1506+O1506)</x:f>
        <x:v>0</x:v>
      </x:c>
      <x:c r="F1506" s="28" t="n">
        <x:f>IF(M1506=0,0,M1506*N1506+O1506)</x:f>
        <x:v>0</x:v>
      </x:c>
      <x:c r="G1506" s="28" t="n">
        <x:f>ROUND(Catalogue!G79*SQRT((1+'Paramètres'!$B$4*(C1506-1)+'Paramètres'!$B$5*(C1506-1)^2)),0)</x:f>
        <x:v>7</x:v>
      </x:c>
      <x:c r="H1506" s="28" t="n">
        <x:f>ROUND(Catalogue!H79*SQRT((1+'Paramètres'!$B$4*(C1506-1)+'Paramètres'!$B$5*(C1506-1)^2)),0)</x:f>
        <x:v>0</x:v>
      </x:c>
      <x:c r="I1506" s="28" t="n">
        <x:v>0</x:v>
      </x:c>
      <x:c r="J1506" s="28" t="n">
        <x:v>0</x:v>
      </x:c>
      <x:c r="K1506" s="30" t="n">
        <x:v>3.4</x:v>
      </x:c>
      <x:c r="L1506" s="54" t="n">
        <x:f>IF(M1506=0,0,(E1506+F1506)/2)</x:f>
        <x:v>0</x:v>
      </x:c>
      <x:c r="M1506" t="n">
        <x:v>0</x:v>
      </x:c>
      <x:c r="N1506" t="n">
        <x:v>0</x:v>
      </x:c>
      <x:c r="O1506" t="n">
        <x:v>0</x:v>
      </x:c>
      <x:c r="P1506" s="63" t="str">
        <x:f>IF(M1506=0,"—",M1506&amp;"d"&amp;N1506&amp;IF(O1506=0,""," + "&amp;O1506))</x:f>
        <x:v>—</x:v>
      </x:c>
      <x:c r="Q1506" t="n">
        <x:f>ROUND(INDEX(Catalogue!E$4:E$85,MATCH(A1506,Catalogue!A$4:A$85,0))*(1+'Paramètres'!$B$4*(C1506-1)+'Paramètres'!$B$5*(C1506-1)^2),0)</x:f>
        <x:v>0</x:v>
      </x:c>
      <x:c r="R1506" t="n">
        <x:f>ROUND(INDEX(Catalogue!F$4:F$85,MATCH(A1506,Catalogue!A$4:A$85,0))*(1+'Paramètres'!$B$4*(C1506-1)+'Paramètres'!$B$5*(C1506-1)^2),0)</x:f>
        <x:v>0</x:v>
      </x:c>
      <x:c r="S1506" t="n">
        <x:f>L1506-AVERAGE(Q1506:R1506)</x:f>
        <x:v>0</x:v>
      </x:c>
      <x:c r="T1506" t="str">
        <x:f>IF(M1506=0,IF(AND(N1506=0,O1506=0,E1506=0,F1506=0),"OK","ERREUR"),IF(AND(M1506&gt;=1,M1506&lt;=32,OR(N1506=4,N1506=6,N1506=8,N1506=10,N1506=12,N1506=20),O1506&gt;=0,E1506=M1506+O1506,F1506=M1506*N1506+O1506),"OK","ERREUR"))</x:f>
        <x:v>OK</x:v>
      </x:c>
      <x:c r="U1506" s="86" t="n">
        <x:f>IF(M1506&gt;0,M1506*(N1506+1)/2+O1506,0)</x:f>
        <x:v>0</x:v>
      </x:c>
      <x:c r="V1506" t="str">
        <x:f>IF(ABS(L1506-U1506)&lt;0.001,"OK","ERREUR")</x:f>
        <x:v>OK</x:v>
      </x:c>
    </x:row>
    <x:row r="1507" ht="18" customHeight="1">
      <x:c r="A1507" t="str">
        <x:v>ARM076</x:v>
      </x:c>
      <x:c r="B1507" t="str">
        <x:v>Écu triangulaire</x:v>
      </x:c>
      <x:c r="C1507" t="n">
        <x:v>4</x:v>
      </x:c>
      <x:c r="D1507" t="str">
        <x:v>Boucliers</x:v>
      </x:c>
      <x:c r="E1507" s="28" t="n">
        <x:f>IF(M1507=0,0,M1507+O1507)</x:f>
        <x:v>0</x:v>
      </x:c>
      <x:c r="F1507" s="28" t="n">
        <x:f>IF(M1507=0,0,M1507*N1507+O1507)</x:f>
        <x:v>0</x:v>
      </x:c>
      <x:c r="G1507" s="28" t="n">
        <x:f>ROUND(Catalogue!G79*SQRT((1+'Paramètres'!$B$4*(C1507-1)+'Paramètres'!$B$5*(C1507-1)^2)),0)</x:f>
        <x:v>7</x:v>
      </x:c>
      <x:c r="H1507" s="28" t="n">
        <x:f>ROUND(Catalogue!H79*SQRT((1+'Paramètres'!$B$4*(C1507-1)+'Paramètres'!$B$5*(C1507-1)^2)),0)</x:f>
        <x:v>0</x:v>
      </x:c>
      <x:c r="I1507" s="28" t="n">
        <x:v>0</x:v>
      </x:c>
      <x:c r="J1507" s="28" t="n">
        <x:v>0</x:v>
      </x:c>
      <x:c r="K1507" s="30" t="n">
        <x:v>3.4</x:v>
      </x:c>
      <x:c r="L1507" s="54" t="n">
        <x:f>IF(M1507=0,0,(E1507+F1507)/2)</x:f>
        <x:v>0</x:v>
      </x:c>
      <x:c r="M1507" t="n">
        <x:v>0</x:v>
      </x:c>
      <x:c r="N1507" t="n">
        <x:v>0</x:v>
      </x:c>
      <x:c r="O1507" t="n">
        <x:v>0</x:v>
      </x:c>
      <x:c r="P1507" s="63" t="str">
        <x:f>IF(M1507=0,"—",M1507&amp;"d"&amp;N1507&amp;IF(O1507=0,""," + "&amp;O1507))</x:f>
        <x:v>—</x:v>
      </x:c>
      <x:c r="Q1507" t="n">
        <x:f>ROUND(INDEX(Catalogue!E$4:E$85,MATCH(A1507,Catalogue!A$4:A$85,0))*(1+'Paramètres'!$B$4*(C1507-1)+'Paramètres'!$B$5*(C1507-1)^2),0)</x:f>
        <x:v>0</x:v>
      </x:c>
      <x:c r="R1507" t="n">
        <x:f>ROUND(INDEX(Catalogue!F$4:F$85,MATCH(A1507,Catalogue!A$4:A$85,0))*(1+'Paramètres'!$B$4*(C1507-1)+'Paramètres'!$B$5*(C1507-1)^2),0)</x:f>
        <x:v>0</x:v>
      </x:c>
      <x:c r="S1507" t="n">
        <x:f>L1507-AVERAGE(Q1507:R1507)</x:f>
        <x:v>0</x:v>
      </x:c>
      <x:c r="T1507" t="str">
        <x:f>IF(M1507=0,IF(AND(N1507=0,O1507=0,E1507=0,F1507=0),"OK","ERREUR"),IF(AND(M1507&gt;=1,M1507&lt;=32,OR(N1507=4,N1507=6,N1507=8,N1507=10,N1507=12,N1507=20),O1507&gt;=0,E1507=M1507+O1507,F1507=M1507*N1507+O1507),"OK","ERREUR"))</x:f>
        <x:v>OK</x:v>
      </x:c>
      <x:c r="U1507" s="86" t="n">
        <x:f>IF(M1507&gt;0,M1507*(N1507+1)/2+O1507,0)</x:f>
        <x:v>0</x:v>
      </x:c>
      <x:c r="V1507" t="str">
        <x:f>IF(ABS(L1507-U1507)&lt;0.001,"OK","ERREUR")</x:f>
        <x:v>OK</x:v>
      </x:c>
    </x:row>
    <x:row r="1508" ht="18" customHeight="1">
      <x:c r="A1508" t="str">
        <x:v>ARM076</x:v>
      </x:c>
      <x:c r="B1508" t="str">
        <x:v>Écu triangulaire</x:v>
      </x:c>
      <x:c r="C1508" t="n">
        <x:v>5</x:v>
      </x:c>
      <x:c r="D1508" t="str">
        <x:v>Boucliers</x:v>
      </x:c>
      <x:c r="E1508" s="28" t="n">
        <x:f>IF(M1508=0,0,M1508+O1508)</x:f>
        <x:v>0</x:v>
      </x:c>
      <x:c r="F1508" s="28" t="n">
        <x:f>IF(M1508=0,0,M1508*N1508+O1508)</x:f>
        <x:v>0</x:v>
      </x:c>
      <x:c r="G1508" s="28" t="n">
        <x:f>ROUND(Catalogue!G79*SQRT((1+'Paramètres'!$B$4*(C1508-1)+'Paramètres'!$B$5*(C1508-1)^2)),0)</x:f>
        <x:v>8</x:v>
      </x:c>
      <x:c r="H1508" s="28" t="n">
        <x:f>ROUND(Catalogue!H79*SQRT((1+'Paramètres'!$B$4*(C1508-1)+'Paramètres'!$B$5*(C1508-1)^2)),0)</x:f>
        <x:v>0</x:v>
      </x:c>
      <x:c r="I1508" s="28" t="n">
        <x:v>0</x:v>
      </x:c>
      <x:c r="J1508" s="28" t="n">
        <x:v>0</x:v>
      </x:c>
      <x:c r="K1508" s="30" t="n">
        <x:v>3.4</x:v>
      </x:c>
      <x:c r="L1508" s="54" t="n">
        <x:f>IF(M1508=0,0,(E1508+F1508)/2)</x:f>
        <x:v>0</x:v>
      </x:c>
      <x:c r="M1508" t="n">
        <x:v>0</x:v>
      </x:c>
      <x:c r="N1508" t="n">
        <x:v>0</x:v>
      </x:c>
      <x:c r="O1508" t="n">
        <x:v>0</x:v>
      </x:c>
      <x:c r="P1508" s="63" t="str">
        <x:f>IF(M1508=0,"—",M1508&amp;"d"&amp;N1508&amp;IF(O1508=0,""," + "&amp;O1508))</x:f>
        <x:v>—</x:v>
      </x:c>
      <x:c r="Q1508" t="n">
        <x:f>ROUND(INDEX(Catalogue!E$4:E$85,MATCH(A1508,Catalogue!A$4:A$85,0))*(1+'Paramètres'!$B$4*(C1508-1)+'Paramètres'!$B$5*(C1508-1)^2),0)</x:f>
        <x:v>0</x:v>
      </x:c>
      <x:c r="R1508" t="n">
        <x:f>ROUND(INDEX(Catalogue!F$4:F$85,MATCH(A1508,Catalogue!A$4:A$85,0))*(1+'Paramètres'!$B$4*(C1508-1)+'Paramètres'!$B$5*(C1508-1)^2),0)</x:f>
        <x:v>0</x:v>
      </x:c>
      <x:c r="S1508" t="n">
        <x:f>L1508-AVERAGE(Q1508:R1508)</x:f>
        <x:v>0</x:v>
      </x:c>
      <x:c r="T1508" t="str">
        <x:f>IF(M1508=0,IF(AND(N1508=0,O1508=0,E1508=0,F1508=0),"OK","ERREUR"),IF(AND(M1508&gt;=1,M1508&lt;=32,OR(N1508=4,N1508=6,N1508=8,N1508=10,N1508=12,N1508=20),O1508&gt;=0,E1508=M1508+O1508,F1508=M1508*N1508+O1508),"OK","ERREUR"))</x:f>
        <x:v>OK</x:v>
      </x:c>
      <x:c r="U1508" s="86" t="n">
        <x:f>IF(M1508&gt;0,M1508*(N1508+1)/2+O1508,0)</x:f>
        <x:v>0</x:v>
      </x:c>
      <x:c r="V1508" t="str">
        <x:f>IF(ABS(L1508-U1508)&lt;0.001,"OK","ERREUR")</x:f>
        <x:v>OK</x:v>
      </x:c>
    </x:row>
    <x:row r="1509" ht="18" customHeight="1">
      <x:c r="A1509" t="str">
        <x:v>ARM076</x:v>
      </x:c>
      <x:c r="B1509" t="str">
        <x:v>Écu triangulaire</x:v>
      </x:c>
      <x:c r="C1509" t="n">
        <x:v>6</x:v>
      </x:c>
      <x:c r="D1509" t="str">
        <x:v>Boucliers</x:v>
      </x:c>
      <x:c r="E1509" s="28" t="n">
        <x:f>IF(M1509=0,0,M1509+O1509)</x:f>
        <x:v>0</x:v>
      </x:c>
      <x:c r="F1509" s="28" t="n">
        <x:f>IF(M1509=0,0,M1509*N1509+O1509)</x:f>
        <x:v>0</x:v>
      </x:c>
      <x:c r="G1509" s="28" t="n">
        <x:f>ROUND(Catalogue!G79*SQRT((1+'Paramètres'!$B$4*(C1509-1)+'Paramètres'!$B$5*(C1509-1)^2)),0)</x:f>
        <x:v>8</x:v>
      </x:c>
      <x:c r="H1509" s="28" t="n">
        <x:f>ROUND(Catalogue!H79*SQRT((1+'Paramètres'!$B$4*(C1509-1)+'Paramètres'!$B$5*(C1509-1)^2)),0)</x:f>
        <x:v>0</x:v>
      </x:c>
      <x:c r="I1509" s="28" t="n">
        <x:v>0</x:v>
      </x:c>
      <x:c r="J1509" s="28" t="n">
        <x:v>0</x:v>
      </x:c>
      <x:c r="K1509" s="30" t="n">
        <x:v>3.4</x:v>
      </x:c>
      <x:c r="L1509" s="54" t="n">
        <x:f>IF(M1509=0,0,(E1509+F1509)/2)</x:f>
        <x:v>0</x:v>
      </x:c>
      <x:c r="M1509" t="n">
        <x:v>0</x:v>
      </x:c>
      <x:c r="N1509" t="n">
        <x:v>0</x:v>
      </x:c>
      <x:c r="O1509" t="n">
        <x:v>0</x:v>
      </x:c>
      <x:c r="P1509" s="63" t="str">
        <x:f>IF(M1509=0,"—",M1509&amp;"d"&amp;N1509&amp;IF(O1509=0,""," + "&amp;O1509))</x:f>
        <x:v>—</x:v>
      </x:c>
      <x:c r="Q1509" t="n">
        <x:f>ROUND(INDEX(Catalogue!E$4:E$85,MATCH(A1509,Catalogue!A$4:A$85,0))*(1+'Paramètres'!$B$4*(C1509-1)+'Paramètres'!$B$5*(C1509-1)^2),0)</x:f>
        <x:v>0</x:v>
      </x:c>
      <x:c r="R1509" t="n">
        <x:f>ROUND(INDEX(Catalogue!F$4:F$85,MATCH(A1509,Catalogue!A$4:A$85,0))*(1+'Paramètres'!$B$4*(C1509-1)+'Paramètres'!$B$5*(C1509-1)^2),0)</x:f>
        <x:v>0</x:v>
      </x:c>
      <x:c r="S1509" t="n">
        <x:f>L1509-AVERAGE(Q1509:R1509)</x:f>
        <x:v>0</x:v>
      </x:c>
      <x:c r="T1509" t="str">
        <x:f>IF(M1509=0,IF(AND(N1509=0,O1509=0,E1509=0,F1509=0),"OK","ERREUR"),IF(AND(M1509&gt;=1,M1509&lt;=32,OR(N1509=4,N1509=6,N1509=8,N1509=10,N1509=12,N1509=20),O1509&gt;=0,E1509=M1509+O1509,F1509=M1509*N1509+O1509),"OK","ERREUR"))</x:f>
        <x:v>OK</x:v>
      </x:c>
      <x:c r="U1509" s="86" t="n">
        <x:f>IF(M1509&gt;0,M1509*(N1509+1)/2+O1509,0)</x:f>
        <x:v>0</x:v>
      </x:c>
      <x:c r="V1509" t="str">
        <x:f>IF(ABS(L1509-U1509)&lt;0.001,"OK","ERREUR")</x:f>
        <x:v>OK</x:v>
      </x:c>
    </x:row>
    <x:row r="1510" ht="18" customHeight="1">
      <x:c r="A1510" t="str">
        <x:v>ARM076</x:v>
      </x:c>
      <x:c r="B1510" t="str">
        <x:v>Écu triangulaire</x:v>
      </x:c>
      <x:c r="C1510" t="n">
        <x:v>7</x:v>
      </x:c>
      <x:c r="D1510" t="str">
        <x:v>Boucliers</x:v>
      </x:c>
      <x:c r="E1510" s="28" t="n">
        <x:f>IF(M1510=0,0,M1510+O1510)</x:f>
        <x:v>0</x:v>
      </x:c>
      <x:c r="F1510" s="28" t="n">
        <x:f>IF(M1510=0,0,M1510*N1510+O1510)</x:f>
        <x:v>0</x:v>
      </x:c>
      <x:c r="G1510" s="28" t="n">
        <x:f>ROUND(Catalogue!G79*SQRT((1+'Paramètres'!$B$4*(C1510-1)+'Paramètres'!$B$5*(C1510-1)^2)),0)</x:f>
        <x:v>9</x:v>
      </x:c>
      <x:c r="H1510" s="28" t="n">
        <x:f>ROUND(Catalogue!H79*SQRT((1+'Paramètres'!$B$4*(C1510-1)+'Paramètres'!$B$5*(C1510-1)^2)),0)</x:f>
        <x:v>0</x:v>
      </x:c>
      <x:c r="I1510" s="28" t="n">
        <x:v>0</x:v>
      </x:c>
      <x:c r="J1510" s="28" t="n">
        <x:v>0</x:v>
      </x:c>
      <x:c r="K1510" s="30" t="n">
        <x:v>3.4</x:v>
      </x:c>
      <x:c r="L1510" s="54" t="n">
        <x:f>IF(M1510=0,0,(E1510+F1510)/2)</x:f>
        <x:v>0</x:v>
      </x:c>
      <x:c r="M1510" t="n">
        <x:v>0</x:v>
      </x:c>
      <x:c r="N1510" t="n">
        <x:v>0</x:v>
      </x:c>
      <x:c r="O1510" t="n">
        <x:v>0</x:v>
      </x:c>
      <x:c r="P1510" s="63" t="str">
        <x:f>IF(M1510=0,"—",M1510&amp;"d"&amp;N1510&amp;IF(O1510=0,""," + "&amp;O1510))</x:f>
        <x:v>—</x:v>
      </x:c>
      <x:c r="Q1510" t="n">
        <x:f>ROUND(INDEX(Catalogue!E$4:E$85,MATCH(A1510,Catalogue!A$4:A$85,0))*(1+'Paramètres'!$B$4*(C1510-1)+'Paramètres'!$B$5*(C1510-1)^2),0)</x:f>
        <x:v>0</x:v>
      </x:c>
      <x:c r="R1510" t="n">
        <x:f>ROUND(INDEX(Catalogue!F$4:F$85,MATCH(A1510,Catalogue!A$4:A$85,0))*(1+'Paramètres'!$B$4*(C1510-1)+'Paramètres'!$B$5*(C1510-1)^2),0)</x:f>
        <x:v>0</x:v>
      </x:c>
      <x:c r="S1510" t="n">
        <x:f>L1510-AVERAGE(Q1510:R1510)</x:f>
        <x:v>0</x:v>
      </x:c>
      <x:c r="T1510" t="str">
        <x:f>IF(M1510=0,IF(AND(N1510=0,O1510=0,E1510=0,F1510=0),"OK","ERREUR"),IF(AND(M1510&gt;=1,M1510&lt;=32,OR(N1510=4,N1510=6,N1510=8,N1510=10,N1510=12,N1510=20),O1510&gt;=0,E1510=M1510+O1510,F1510=M1510*N1510+O1510),"OK","ERREUR"))</x:f>
        <x:v>OK</x:v>
      </x:c>
      <x:c r="U1510" s="86" t="n">
        <x:f>IF(M1510&gt;0,M1510*(N1510+1)/2+O1510,0)</x:f>
        <x:v>0</x:v>
      </x:c>
      <x:c r="V1510" t="str">
        <x:f>IF(ABS(L1510-U1510)&lt;0.001,"OK","ERREUR")</x:f>
        <x:v>OK</x:v>
      </x:c>
    </x:row>
    <x:row r="1511" ht="18" customHeight="1">
      <x:c r="A1511" t="str">
        <x:v>ARM076</x:v>
      </x:c>
      <x:c r="B1511" t="str">
        <x:v>Écu triangulaire</x:v>
      </x:c>
      <x:c r="C1511" t="n">
        <x:v>8</x:v>
      </x:c>
      <x:c r="D1511" t="str">
        <x:v>Boucliers</x:v>
      </x:c>
      <x:c r="E1511" s="28" t="n">
        <x:f>IF(M1511=0,0,M1511+O1511)</x:f>
        <x:v>0</x:v>
      </x:c>
      <x:c r="F1511" s="28" t="n">
        <x:f>IF(M1511=0,0,M1511*N1511+O1511)</x:f>
        <x:v>0</x:v>
      </x:c>
      <x:c r="G1511" s="28" t="n">
        <x:f>ROUND(Catalogue!G79*SQRT((1+'Paramètres'!$B$4*(C1511-1)+'Paramètres'!$B$5*(C1511-1)^2)),0)</x:f>
        <x:v>10</x:v>
      </x:c>
      <x:c r="H1511" s="28" t="n">
        <x:f>ROUND(Catalogue!H79*SQRT((1+'Paramètres'!$B$4*(C1511-1)+'Paramètres'!$B$5*(C1511-1)^2)),0)</x:f>
        <x:v>0</x:v>
      </x:c>
      <x:c r="I1511" s="28" t="n">
        <x:v>0</x:v>
      </x:c>
      <x:c r="J1511" s="28" t="n">
        <x:v>0</x:v>
      </x:c>
      <x:c r="K1511" s="30" t="n">
        <x:v>3.4</x:v>
      </x:c>
      <x:c r="L1511" s="54" t="n">
        <x:f>IF(M1511=0,0,(E1511+F1511)/2)</x:f>
        <x:v>0</x:v>
      </x:c>
      <x:c r="M1511" t="n">
        <x:v>0</x:v>
      </x:c>
      <x:c r="N1511" t="n">
        <x:v>0</x:v>
      </x:c>
      <x:c r="O1511" t="n">
        <x:v>0</x:v>
      </x:c>
      <x:c r="P1511" s="63" t="str">
        <x:f>IF(M1511=0,"—",M1511&amp;"d"&amp;N1511&amp;IF(O1511=0,""," + "&amp;O1511))</x:f>
        <x:v>—</x:v>
      </x:c>
      <x:c r="Q1511" t="n">
        <x:f>ROUND(INDEX(Catalogue!E$4:E$85,MATCH(A1511,Catalogue!A$4:A$85,0))*(1+'Paramètres'!$B$4*(C1511-1)+'Paramètres'!$B$5*(C1511-1)^2),0)</x:f>
        <x:v>0</x:v>
      </x:c>
      <x:c r="R1511" t="n">
        <x:f>ROUND(INDEX(Catalogue!F$4:F$85,MATCH(A1511,Catalogue!A$4:A$85,0))*(1+'Paramètres'!$B$4*(C1511-1)+'Paramètres'!$B$5*(C1511-1)^2),0)</x:f>
        <x:v>0</x:v>
      </x:c>
      <x:c r="S1511" t="n">
        <x:f>L1511-AVERAGE(Q1511:R1511)</x:f>
        <x:v>0</x:v>
      </x:c>
      <x:c r="T1511" t="str">
        <x:f>IF(M1511=0,IF(AND(N1511=0,O1511=0,E1511=0,F1511=0),"OK","ERREUR"),IF(AND(M1511&gt;=1,M1511&lt;=32,OR(N1511=4,N1511=6,N1511=8,N1511=10,N1511=12,N1511=20),O1511&gt;=0,E1511=M1511+O1511,F1511=M1511*N1511+O1511),"OK","ERREUR"))</x:f>
        <x:v>OK</x:v>
      </x:c>
      <x:c r="U1511" s="86" t="n">
        <x:f>IF(M1511&gt;0,M1511*(N1511+1)/2+O1511,0)</x:f>
        <x:v>0</x:v>
      </x:c>
      <x:c r="V1511" t="str">
        <x:f>IF(ABS(L1511-U1511)&lt;0.001,"OK","ERREUR")</x:f>
        <x:v>OK</x:v>
      </x:c>
    </x:row>
    <x:row r="1512" ht="18" customHeight="1">
      <x:c r="A1512" t="str">
        <x:v>ARM076</x:v>
      </x:c>
      <x:c r="B1512" t="str">
        <x:v>Écu triangulaire</x:v>
      </x:c>
      <x:c r="C1512" t="n">
        <x:v>9</x:v>
      </x:c>
      <x:c r="D1512" t="str">
        <x:v>Boucliers</x:v>
      </x:c>
      <x:c r="E1512" s="28" t="n">
        <x:f>IF(M1512=0,0,M1512+O1512)</x:f>
        <x:v>0</x:v>
      </x:c>
      <x:c r="F1512" s="28" t="n">
        <x:f>IF(M1512=0,0,M1512*N1512+O1512)</x:f>
        <x:v>0</x:v>
      </x:c>
      <x:c r="G1512" s="28" t="n">
        <x:f>ROUND(Catalogue!G79*SQRT((1+'Paramètres'!$B$4*(C1512-1)+'Paramètres'!$B$5*(C1512-1)^2)),0)</x:f>
        <x:v>10</x:v>
      </x:c>
      <x:c r="H1512" s="28" t="n">
        <x:f>ROUND(Catalogue!H79*SQRT((1+'Paramètres'!$B$4*(C1512-1)+'Paramètres'!$B$5*(C1512-1)^2)),0)</x:f>
        <x:v>0</x:v>
      </x:c>
      <x:c r="I1512" s="28" t="n">
        <x:v>0</x:v>
      </x:c>
      <x:c r="J1512" s="28" t="n">
        <x:v>0</x:v>
      </x:c>
      <x:c r="K1512" s="30" t="n">
        <x:v>3.4</x:v>
      </x:c>
      <x:c r="L1512" s="54" t="n">
        <x:f>IF(M1512=0,0,(E1512+F1512)/2)</x:f>
        <x:v>0</x:v>
      </x:c>
      <x:c r="M1512" t="n">
        <x:v>0</x:v>
      </x:c>
      <x:c r="N1512" t="n">
        <x:v>0</x:v>
      </x:c>
      <x:c r="O1512" t="n">
        <x:v>0</x:v>
      </x:c>
      <x:c r="P1512" s="63" t="str">
        <x:f>IF(M1512=0,"—",M1512&amp;"d"&amp;N1512&amp;IF(O1512=0,""," + "&amp;O1512))</x:f>
        <x:v>—</x:v>
      </x:c>
      <x:c r="Q1512" t="n">
        <x:f>ROUND(INDEX(Catalogue!E$4:E$85,MATCH(A1512,Catalogue!A$4:A$85,0))*(1+'Paramètres'!$B$4*(C1512-1)+'Paramètres'!$B$5*(C1512-1)^2),0)</x:f>
        <x:v>0</x:v>
      </x:c>
      <x:c r="R1512" t="n">
        <x:f>ROUND(INDEX(Catalogue!F$4:F$85,MATCH(A1512,Catalogue!A$4:A$85,0))*(1+'Paramètres'!$B$4*(C1512-1)+'Paramètres'!$B$5*(C1512-1)^2),0)</x:f>
        <x:v>0</x:v>
      </x:c>
      <x:c r="S1512" t="n">
        <x:f>L1512-AVERAGE(Q1512:R1512)</x:f>
        <x:v>0</x:v>
      </x:c>
      <x:c r="T1512" t="str">
        <x:f>IF(M1512=0,IF(AND(N1512=0,O1512=0,E1512=0,F1512=0),"OK","ERREUR"),IF(AND(M1512&gt;=1,M1512&lt;=32,OR(N1512=4,N1512=6,N1512=8,N1512=10,N1512=12,N1512=20),O1512&gt;=0,E1512=M1512+O1512,F1512=M1512*N1512+O1512),"OK","ERREUR"))</x:f>
        <x:v>OK</x:v>
      </x:c>
      <x:c r="U1512" s="86" t="n">
        <x:f>IF(M1512&gt;0,M1512*(N1512+1)/2+O1512,0)</x:f>
        <x:v>0</x:v>
      </x:c>
      <x:c r="V1512" t="str">
        <x:f>IF(ABS(L1512-U1512)&lt;0.001,"OK","ERREUR")</x:f>
        <x:v>OK</x:v>
      </x:c>
    </x:row>
    <x:row r="1513" ht="18" customHeight="1">
      <x:c r="A1513" t="str">
        <x:v>ARM076</x:v>
      </x:c>
      <x:c r="B1513" t="str">
        <x:v>Écu triangulaire</x:v>
      </x:c>
      <x:c r="C1513" t="n">
        <x:v>10</x:v>
      </x:c>
      <x:c r="D1513" t="str">
        <x:v>Boucliers</x:v>
      </x:c>
      <x:c r="E1513" s="28" t="n">
        <x:f>IF(M1513=0,0,M1513+O1513)</x:f>
        <x:v>0</x:v>
      </x:c>
      <x:c r="F1513" s="28" t="n">
        <x:f>IF(M1513=0,0,M1513*N1513+O1513)</x:f>
        <x:v>0</x:v>
      </x:c>
      <x:c r="G1513" s="28" t="n">
        <x:f>ROUND(Catalogue!G79*SQRT((1+'Paramètres'!$B$4*(C1513-1)+'Paramètres'!$B$5*(C1513-1)^2)),0)</x:f>
        <x:v>11</x:v>
      </x:c>
      <x:c r="H1513" s="28" t="n">
        <x:f>ROUND(Catalogue!H79*SQRT((1+'Paramètres'!$B$4*(C1513-1)+'Paramètres'!$B$5*(C1513-1)^2)),0)</x:f>
        <x:v>0</x:v>
      </x:c>
      <x:c r="I1513" s="28" t="n">
        <x:v>0</x:v>
      </x:c>
      <x:c r="J1513" s="28" t="n">
        <x:v>0</x:v>
      </x:c>
      <x:c r="K1513" s="30" t="n">
        <x:v>3.4</x:v>
      </x:c>
      <x:c r="L1513" s="54" t="n">
        <x:f>IF(M1513=0,0,(E1513+F1513)/2)</x:f>
        <x:v>0</x:v>
      </x:c>
      <x:c r="M1513" t="n">
        <x:v>0</x:v>
      </x:c>
      <x:c r="N1513" t="n">
        <x:v>0</x:v>
      </x:c>
      <x:c r="O1513" t="n">
        <x:v>0</x:v>
      </x:c>
      <x:c r="P1513" s="63" t="str">
        <x:f>IF(M1513=0,"—",M1513&amp;"d"&amp;N1513&amp;IF(O1513=0,""," + "&amp;O1513))</x:f>
        <x:v>—</x:v>
      </x:c>
      <x:c r="Q1513" t="n">
        <x:f>ROUND(INDEX(Catalogue!E$4:E$85,MATCH(A1513,Catalogue!A$4:A$85,0))*(1+'Paramètres'!$B$4*(C1513-1)+'Paramètres'!$B$5*(C1513-1)^2),0)</x:f>
        <x:v>0</x:v>
      </x:c>
      <x:c r="R1513" t="n">
        <x:f>ROUND(INDEX(Catalogue!F$4:F$85,MATCH(A1513,Catalogue!A$4:A$85,0))*(1+'Paramètres'!$B$4*(C1513-1)+'Paramètres'!$B$5*(C1513-1)^2),0)</x:f>
        <x:v>0</x:v>
      </x:c>
      <x:c r="S1513" t="n">
        <x:f>L1513-AVERAGE(Q1513:R1513)</x:f>
        <x:v>0</x:v>
      </x:c>
      <x:c r="T1513" t="str">
        <x:f>IF(M1513=0,IF(AND(N1513=0,O1513=0,E1513=0,F1513=0),"OK","ERREUR"),IF(AND(M1513&gt;=1,M1513&lt;=32,OR(N1513=4,N1513=6,N1513=8,N1513=10,N1513=12,N1513=20),O1513&gt;=0,E1513=M1513+O1513,F1513=M1513*N1513+O1513),"OK","ERREUR"))</x:f>
        <x:v>OK</x:v>
      </x:c>
      <x:c r="U1513" s="86" t="n">
        <x:f>IF(M1513&gt;0,M1513*(N1513+1)/2+O1513,0)</x:f>
        <x:v>0</x:v>
      </x:c>
      <x:c r="V1513" t="str">
        <x:f>IF(ABS(L1513-U1513)&lt;0.001,"OK","ERREUR")</x:f>
        <x:v>OK</x:v>
      </x:c>
    </x:row>
    <x:row r="1514" ht="18" customHeight="1">
      <x:c r="A1514" t="str">
        <x:v>ARM076</x:v>
      </x:c>
      <x:c r="B1514" t="str">
        <x:v>Écu triangulaire</x:v>
      </x:c>
      <x:c r="C1514" t="n">
        <x:v>11</x:v>
      </x:c>
      <x:c r="D1514" t="str">
        <x:v>Boucliers</x:v>
      </x:c>
      <x:c r="E1514" s="28" t="n">
        <x:f>IF(M1514=0,0,M1514+O1514)</x:f>
        <x:v>0</x:v>
      </x:c>
      <x:c r="F1514" s="28" t="n">
        <x:f>IF(M1514=0,0,M1514*N1514+O1514)</x:f>
        <x:v>0</x:v>
      </x:c>
      <x:c r="G1514" s="28" t="n">
        <x:f>ROUND(Catalogue!G79*SQRT((1+'Paramètres'!$B$4*(C1514-1)+'Paramètres'!$B$5*(C1514-1)^2)),0)</x:f>
        <x:v>12</x:v>
      </x:c>
      <x:c r="H1514" s="28" t="n">
        <x:f>ROUND(Catalogue!H79*SQRT((1+'Paramètres'!$B$4*(C1514-1)+'Paramètres'!$B$5*(C1514-1)^2)),0)</x:f>
        <x:v>0</x:v>
      </x:c>
      <x:c r="I1514" s="28" t="n">
        <x:v>0</x:v>
      </x:c>
      <x:c r="J1514" s="28" t="n">
        <x:v>0</x:v>
      </x:c>
      <x:c r="K1514" s="30" t="n">
        <x:v>3.4</x:v>
      </x:c>
      <x:c r="L1514" s="54" t="n">
        <x:f>IF(M1514=0,0,(E1514+F1514)/2)</x:f>
        <x:v>0</x:v>
      </x:c>
      <x:c r="M1514" t="n">
        <x:v>0</x:v>
      </x:c>
      <x:c r="N1514" t="n">
        <x:v>0</x:v>
      </x:c>
      <x:c r="O1514" t="n">
        <x:v>0</x:v>
      </x:c>
      <x:c r="P1514" s="63" t="str">
        <x:f>IF(M1514=0,"—",M1514&amp;"d"&amp;N1514&amp;IF(O1514=0,""," + "&amp;O1514))</x:f>
        <x:v>—</x:v>
      </x:c>
      <x:c r="Q1514" t="n">
        <x:f>ROUND(INDEX(Catalogue!E$4:E$85,MATCH(A1514,Catalogue!A$4:A$85,0))*(1+'Paramètres'!$B$4*(C1514-1)+'Paramètres'!$B$5*(C1514-1)^2),0)</x:f>
        <x:v>0</x:v>
      </x:c>
      <x:c r="R1514" t="n">
        <x:f>ROUND(INDEX(Catalogue!F$4:F$85,MATCH(A1514,Catalogue!A$4:A$85,0))*(1+'Paramètres'!$B$4*(C1514-1)+'Paramètres'!$B$5*(C1514-1)^2),0)</x:f>
        <x:v>0</x:v>
      </x:c>
      <x:c r="S1514" t="n">
        <x:f>L1514-AVERAGE(Q1514:R1514)</x:f>
        <x:v>0</x:v>
      </x:c>
      <x:c r="T1514" t="str">
        <x:f>IF(M1514=0,IF(AND(N1514=0,O1514=0,E1514=0,F1514=0),"OK","ERREUR"),IF(AND(M1514&gt;=1,M1514&lt;=32,OR(N1514=4,N1514=6,N1514=8,N1514=10,N1514=12,N1514=20),O1514&gt;=0,E1514=M1514+O1514,F1514=M1514*N1514+O1514),"OK","ERREUR"))</x:f>
        <x:v>OK</x:v>
      </x:c>
      <x:c r="U1514" s="86" t="n">
        <x:f>IF(M1514&gt;0,M1514*(N1514+1)/2+O1514,0)</x:f>
        <x:v>0</x:v>
      </x:c>
      <x:c r="V1514" t="str">
        <x:f>IF(ABS(L1514-U1514)&lt;0.001,"OK","ERREUR")</x:f>
        <x:v>OK</x:v>
      </x:c>
    </x:row>
    <x:row r="1515" ht="18" customHeight="1">
      <x:c r="A1515" t="str">
        <x:v>ARM076</x:v>
      </x:c>
      <x:c r="B1515" t="str">
        <x:v>Écu triangulaire</x:v>
      </x:c>
      <x:c r="C1515" t="n">
        <x:v>12</x:v>
      </x:c>
      <x:c r="D1515" t="str">
        <x:v>Boucliers</x:v>
      </x:c>
      <x:c r="E1515" s="28" t="n">
        <x:f>IF(M1515=0,0,M1515+O1515)</x:f>
        <x:v>0</x:v>
      </x:c>
      <x:c r="F1515" s="28" t="n">
        <x:f>IF(M1515=0,0,M1515*N1515+O1515)</x:f>
        <x:v>0</x:v>
      </x:c>
      <x:c r="G1515" s="28" t="n">
        <x:f>ROUND(Catalogue!G79*SQRT((1+'Paramètres'!$B$4*(C1515-1)+'Paramètres'!$B$5*(C1515-1)^2)),0)</x:f>
        <x:v>12</x:v>
      </x:c>
      <x:c r="H1515" s="28" t="n">
        <x:f>ROUND(Catalogue!H79*SQRT((1+'Paramètres'!$B$4*(C1515-1)+'Paramètres'!$B$5*(C1515-1)^2)),0)</x:f>
        <x:v>0</x:v>
      </x:c>
      <x:c r="I1515" s="28" t="n">
        <x:v>0</x:v>
      </x:c>
      <x:c r="J1515" s="28" t="n">
        <x:v>0</x:v>
      </x:c>
      <x:c r="K1515" s="30" t="n">
        <x:v>3.4</x:v>
      </x:c>
      <x:c r="L1515" s="54" t="n">
        <x:f>IF(M1515=0,0,(E1515+F1515)/2)</x:f>
        <x:v>0</x:v>
      </x:c>
      <x:c r="M1515" t="n">
        <x:v>0</x:v>
      </x:c>
      <x:c r="N1515" t="n">
        <x:v>0</x:v>
      </x:c>
      <x:c r="O1515" t="n">
        <x:v>0</x:v>
      </x:c>
      <x:c r="P1515" s="63" t="str">
        <x:f>IF(M1515=0,"—",M1515&amp;"d"&amp;N1515&amp;IF(O1515=0,""," + "&amp;O1515))</x:f>
        <x:v>—</x:v>
      </x:c>
      <x:c r="Q1515" t="n">
        <x:f>ROUND(INDEX(Catalogue!E$4:E$85,MATCH(A1515,Catalogue!A$4:A$85,0))*(1+'Paramètres'!$B$4*(C1515-1)+'Paramètres'!$B$5*(C1515-1)^2),0)</x:f>
        <x:v>0</x:v>
      </x:c>
      <x:c r="R1515" t="n">
        <x:f>ROUND(INDEX(Catalogue!F$4:F$85,MATCH(A1515,Catalogue!A$4:A$85,0))*(1+'Paramètres'!$B$4*(C1515-1)+'Paramètres'!$B$5*(C1515-1)^2),0)</x:f>
        <x:v>0</x:v>
      </x:c>
      <x:c r="S1515" t="n">
        <x:f>L1515-AVERAGE(Q1515:R1515)</x:f>
        <x:v>0</x:v>
      </x:c>
      <x:c r="T1515" t="str">
        <x:f>IF(M1515=0,IF(AND(N1515=0,O1515=0,E1515=0,F1515=0),"OK","ERREUR"),IF(AND(M1515&gt;=1,M1515&lt;=32,OR(N1515=4,N1515=6,N1515=8,N1515=10,N1515=12,N1515=20),O1515&gt;=0,E1515=M1515+O1515,F1515=M1515*N1515+O1515),"OK","ERREUR"))</x:f>
        <x:v>OK</x:v>
      </x:c>
      <x:c r="U1515" s="86" t="n">
        <x:f>IF(M1515&gt;0,M1515*(N1515+1)/2+O1515,0)</x:f>
        <x:v>0</x:v>
      </x:c>
      <x:c r="V1515" t="str">
        <x:f>IF(ABS(L1515-U1515)&lt;0.001,"OK","ERREUR")</x:f>
        <x:v>OK</x:v>
      </x:c>
    </x:row>
    <x:row r="1516" ht="18" customHeight="1">
      <x:c r="A1516" t="str">
        <x:v>ARM076</x:v>
      </x:c>
      <x:c r="B1516" t="str">
        <x:v>Écu triangulaire</x:v>
      </x:c>
      <x:c r="C1516" t="n">
        <x:v>13</x:v>
      </x:c>
      <x:c r="D1516" t="str">
        <x:v>Boucliers</x:v>
      </x:c>
      <x:c r="E1516" s="28" t="n">
        <x:f>IF(M1516=0,0,M1516+O1516)</x:f>
        <x:v>0</x:v>
      </x:c>
      <x:c r="F1516" s="28" t="n">
        <x:f>IF(M1516=0,0,M1516*N1516+O1516)</x:f>
        <x:v>0</x:v>
      </x:c>
      <x:c r="G1516" s="28" t="n">
        <x:f>ROUND(Catalogue!G79*SQRT((1+'Paramètres'!$B$4*(C1516-1)+'Paramètres'!$B$5*(C1516-1)^2)),0)</x:f>
        <x:v>13</x:v>
      </x:c>
      <x:c r="H1516" s="28" t="n">
        <x:f>ROUND(Catalogue!H79*SQRT((1+'Paramètres'!$B$4*(C1516-1)+'Paramètres'!$B$5*(C1516-1)^2)),0)</x:f>
        <x:v>0</x:v>
      </x:c>
      <x:c r="I1516" s="28" t="n">
        <x:v>0</x:v>
      </x:c>
      <x:c r="J1516" s="28" t="n">
        <x:v>0</x:v>
      </x:c>
      <x:c r="K1516" s="30" t="n">
        <x:v>3.4</x:v>
      </x:c>
      <x:c r="L1516" s="54" t="n">
        <x:f>IF(M1516=0,0,(E1516+F1516)/2)</x:f>
        <x:v>0</x:v>
      </x:c>
      <x:c r="M1516" t="n">
        <x:v>0</x:v>
      </x:c>
      <x:c r="N1516" t="n">
        <x:v>0</x:v>
      </x:c>
      <x:c r="O1516" t="n">
        <x:v>0</x:v>
      </x:c>
      <x:c r="P1516" s="63" t="str">
        <x:f>IF(M1516=0,"—",M1516&amp;"d"&amp;N1516&amp;IF(O1516=0,""," + "&amp;O1516))</x:f>
        <x:v>—</x:v>
      </x:c>
      <x:c r="Q1516" t="n">
        <x:f>ROUND(INDEX(Catalogue!E$4:E$85,MATCH(A1516,Catalogue!A$4:A$85,0))*(1+'Paramètres'!$B$4*(C1516-1)+'Paramètres'!$B$5*(C1516-1)^2),0)</x:f>
        <x:v>0</x:v>
      </x:c>
      <x:c r="R1516" t="n">
        <x:f>ROUND(INDEX(Catalogue!F$4:F$85,MATCH(A1516,Catalogue!A$4:A$85,0))*(1+'Paramètres'!$B$4*(C1516-1)+'Paramètres'!$B$5*(C1516-1)^2),0)</x:f>
        <x:v>0</x:v>
      </x:c>
      <x:c r="S1516" t="n">
        <x:f>L1516-AVERAGE(Q1516:R1516)</x:f>
        <x:v>0</x:v>
      </x:c>
      <x:c r="T1516" t="str">
        <x:f>IF(M1516=0,IF(AND(N1516=0,O1516=0,E1516=0,F1516=0),"OK","ERREUR"),IF(AND(M1516&gt;=1,M1516&lt;=32,OR(N1516=4,N1516=6,N1516=8,N1516=10,N1516=12,N1516=20),O1516&gt;=0,E1516=M1516+O1516,F1516=M1516*N1516+O1516),"OK","ERREUR"))</x:f>
        <x:v>OK</x:v>
      </x:c>
      <x:c r="U1516" s="86" t="n">
        <x:f>IF(M1516&gt;0,M1516*(N1516+1)/2+O1516,0)</x:f>
        <x:v>0</x:v>
      </x:c>
      <x:c r="V1516" t="str">
        <x:f>IF(ABS(L1516-U1516)&lt;0.001,"OK","ERREUR")</x:f>
        <x:v>OK</x:v>
      </x:c>
    </x:row>
    <x:row r="1517" ht="18" customHeight="1">
      <x:c r="A1517" t="str">
        <x:v>ARM076</x:v>
      </x:c>
      <x:c r="B1517" t="str">
        <x:v>Écu triangulaire</x:v>
      </x:c>
      <x:c r="C1517" t="n">
        <x:v>14</x:v>
      </x:c>
      <x:c r="D1517" t="str">
        <x:v>Boucliers</x:v>
      </x:c>
      <x:c r="E1517" s="28" t="n">
        <x:f>IF(M1517=0,0,M1517+O1517)</x:f>
        <x:v>0</x:v>
      </x:c>
      <x:c r="F1517" s="28" t="n">
        <x:f>IF(M1517=0,0,M1517*N1517+O1517)</x:f>
        <x:v>0</x:v>
      </x:c>
      <x:c r="G1517" s="28" t="n">
        <x:f>ROUND(Catalogue!G79*SQRT((1+'Paramètres'!$B$4*(C1517-1)+'Paramètres'!$B$5*(C1517-1)^2)),0)</x:f>
        <x:v>14</x:v>
      </x:c>
      <x:c r="H1517" s="28" t="n">
        <x:f>ROUND(Catalogue!H79*SQRT((1+'Paramètres'!$B$4*(C1517-1)+'Paramètres'!$B$5*(C1517-1)^2)),0)</x:f>
        <x:v>0</x:v>
      </x:c>
      <x:c r="I1517" s="28" t="n">
        <x:v>0</x:v>
      </x:c>
      <x:c r="J1517" s="28" t="n">
        <x:v>0</x:v>
      </x:c>
      <x:c r="K1517" s="30" t="n">
        <x:v>3.4</x:v>
      </x:c>
      <x:c r="L1517" s="54" t="n">
        <x:f>IF(M1517=0,0,(E1517+F1517)/2)</x:f>
        <x:v>0</x:v>
      </x:c>
      <x:c r="M1517" t="n">
        <x:v>0</x:v>
      </x:c>
      <x:c r="N1517" t="n">
        <x:v>0</x:v>
      </x:c>
      <x:c r="O1517" t="n">
        <x:v>0</x:v>
      </x:c>
      <x:c r="P1517" s="63" t="str">
        <x:f>IF(M1517=0,"—",M1517&amp;"d"&amp;N1517&amp;IF(O1517=0,""," + "&amp;O1517))</x:f>
        <x:v>—</x:v>
      </x:c>
      <x:c r="Q1517" t="n">
        <x:f>ROUND(INDEX(Catalogue!E$4:E$85,MATCH(A1517,Catalogue!A$4:A$85,0))*(1+'Paramètres'!$B$4*(C1517-1)+'Paramètres'!$B$5*(C1517-1)^2),0)</x:f>
        <x:v>0</x:v>
      </x:c>
      <x:c r="R1517" t="n">
        <x:f>ROUND(INDEX(Catalogue!F$4:F$85,MATCH(A1517,Catalogue!A$4:A$85,0))*(1+'Paramètres'!$B$4*(C1517-1)+'Paramètres'!$B$5*(C1517-1)^2),0)</x:f>
        <x:v>0</x:v>
      </x:c>
      <x:c r="S1517" t="n">
        <x:f>L1517-AVERAGE(Q1517:R1517)</x:f>
        <x:v>0</x:v>
      </x:c>
      <x:c r="T1517" t="str">
        <x:f>IF(M1517=0,IF(AND(N1517=0,O1517=0,E1517=0,F1517=0),"OK","ERREUR"),IF(AND(M1517&gt;=1,M1517&lt;=32,OR(N1517=4,N1517=6,N1517=8,N1517=10,N1517=12,N1517=20),O1517&gt;=0,E1517=M1517+O1517,F1517=M1517*N1517+O1517),"OK","ERREUR"))</x:f>
        <x:v>OK</x:v>
      </x:c>
      <x:c r="U1517" s="86" t="n">
        <x:f>IF(M1517&gt;0,M1517*(N1517+1)/2+O1517,0)</x:f>
        <x:v>0</x:v>
      </x:c>
      <x:c r="V1517" t="str">
        <x:f>IF(ABS(L1517-U1517)&lt;0.001,"OK","ERREUR")</x:f>
        <x:v>OK</x:v>
      </x:c>
    </x:row>
    <x:row r="1518" ht="18" customHeight="1">
      <x:c r="A1518" t="str">
        <x:v>ARM076</x:v>
      </x:c>
      <x:c r="B1518" t="str">
        <x:v>Écu triangulaire</x:v>
      </x:c>
      <x:c r="C1518" t="n">
        <x:v>15</x:v>
      </x:c>
      <x:c r="D1518" t="str">
        <x:v>Boucliers</x:v>
      </x:c>
      <x:c r="E1518" s="28" t="n">
        <x:f>IF(M1518=0,0,M1518+O1518)</x:f>
        <x:v>0</x:v>
      </x:c>
      <x:c r="F1518" s="28" t="n">
        <x:f>IF(M1518=0,0,M1518*N1518+O1518)</x:f>
        <x:v>0</x:v>
      </x:c>
      <x:c r="G1518" s="28" t="n">
        <x:f>ROUND(Catalogue!G79*SQRT((1+'Paramètres'!$B$4*(C1518-1)+'Paramètres'!$B$5*(C1518-1)^2)),0)</x:f>
        <x:v>14</x:v>
      </x:c>
      <x:c r="H1518" s="28" t="n">
        <x:f>ROUND(Catalogue!H79*SQRT((1+'Paramètres'!$B$4*(C1518-1)+'Paramètres'!$B$5*(C1518-1)^2)),0)</x:f>
        <x:v>0</x:v>
      </x:c>
      <x:c r="I1518" s="28" t="n">
        <x:v>0</x:v>
      </x:c>
      <x:c r="J1518" s="28" t="n">
        <x:v>0</x:v>
      </x:c>
      <x:c r="K1518" s="30" t="n">
        <x:v>3.4</x:v>
      </x:c>
      <x:c r="L1518" s="54" t="n">
        <x:f>IF(M1518=0,0,(E1518+F1518)/2)</x:f>
        <x:v>0</x:v>
      </x:c>
      <x:c r="M1518" t="n">
        <x:v>0</x:v>
      </x:c>
      <x:c r="N1518" t="n">
        <x:v>0</x:v>
      </x:c>
      <x:c r="O1518" t="n">
        <x:v>0</x:v>
      </x:c>
      <x:c r="P1518" s="63" t="str">
        <x:f>IF(M1518=0,"—",M1518&amp;"d"&amp;N1518&amp;IF(O1518=0,""," + "&amp;O1518))</x:f>
        <x:v>—</x:v>
      </x:c>
      <x:c r="Q1518" t="n">
        <x:f>ROUND(INDEX(Catalogue!E$4:E$85,MATCH(A1518,Catalogue!A$4:A$85,0))*(1+'Paramètres'!$B$4*(C1518-1)+'Paramètres'!$B$5*(C1518-1)^2),0)</x:f>
        <x:v>0</x:v>
      </x:c>
      <x:c r="R1518" t="n">
        <x:f>ROUND(INDEX(Catalogue!F$4:F$85,MATCH(A1518,Catalogue!A$4:A$85,0))*(1+'Paramètres'!$B$4*(C1518-1)+'Paramètres'!$B$5*(C1518-1)^2),0)</x:f>
        <x:v>0</x:v>
      </x:c>
      <x:c r="S1518" t="n">
        <x:f>L1518-AVERAGE(Q1518:R1518)</x:f>
        <x:v>0</x:v>
      </x:c>
      <x:c r="T1518" t="str">
        <x:f>IF(M1518=0,IF(AND(N1518=0,O1518=0,E1518=0,F1518=0),"OK","ERREUR"),IF(AND(M1518&gt;=1,M1518&lt;=32,OR(N1518=4,N1518=6,N1518=8,N1518=10,N1518=12,N1518=20),O1518&gt;=0,E1518=M1518+O1518,F1518=M1518*N1518+O1518),"OK","ERREUR"))</x:f>
        <x:v>OK</x:v>
      </x:c>
      <x:c r="U1518" s="86" t="n">
        <x:f>IF(M1518&gt;0,M1518*(N1518+1)/2+O1518,0)</x:f>
        <x:v>0</x:v>
      </x:c>
      <x:c r="V1518" t="str">
        <x:f>IF(ABS(L1518-U1518)&lt;0.001,"OK","ERREUR")</x:f>
        <x:v>OK</x:v>
      </x:c>
    </x:row>
    <x:row r="1519" ht="18" customHeight="1">
      <x:c r="A1519" t="str">
        <x:v>ARM076</x:v>
      </x:c>
      <x:c r="B1519" t="str">
        <x:v>Écu triangulaire</x:v>
      </x:c>
      <x:c r="C1519" t="n">
        <x:v>16</x:v>
      </x:c>
      <x:c r="D1519" t="str">
        <x:v>Boucliers</x:v>
      </x:c>
      <x:c r="E1519" s="28" t="n">
        <x:f>IF(M1519=0,0,M1519+O1519)</x:f>
        <x:v>0</x:v>
      </x:c>
      <x:c r="F1519" s="28" t="n">
        <x:f>IF(M1519=0,0,M1519*N1519+O1519)</x:f>
        <x:v>0</x:v>
      </x:c>
      <x:c r="G1519" s="28" t="n">
        <x:f>ROUND(Catalogue!G79*SQRT((1+'Paramètres'!$B$4*(C1519-1)+'Paramètres'!$B$5*(C1519-1)^2)),0)</x:f>
        <x:v>15</x:v>
      </x:c>
      <x:c r="H1519" s="28" t="n">
        <x:f>ROUND(Catalogue!H79*SQRT((1+'Paramètres'!$B$4*(C1519-1)+'Paramètres'!$B$5*(C1519-1)^2)),0)</x:f>
        <x:v>0</x:v>
      </x:c>
      <x:c r="I1519" s="28" t="n">
        <x:v>0</x:v>
      </x:c>
      <x:c r="J1519" s="28" t="n">
        <x:v>0</x:v>
      </x:c>
      <x:c r="K1519" s="30" t="n">
        <x:v>3.4</x:v>
      </x:c>
      <x:c r="L1519" s="54" t="n">
        <x:f>IF(M1519=0,0,(E1519+F1519)/2)</x:f>
        <x:v>0</x:v>
      </x:c>
      <x:c r="M1519" t="n">
        <x:v>0</x:v>
      </x:c>
      <x:c r="N1519" t="n">
        <x:v>0</x:v>
      </x:c>
      <x:c r="O1519" t="n">
        <x:v>0</x:v>
      </x:c>
      <x:c r="P1519" s="63" t="str">
        <x:f>IF(M1519=0,"—",M1519&amp;"d"&amp;N1519&amp;IF(O1519=0,""," + "&amp;O1519))</x:f>
        <x:v>—</x:v>
      </x:c>
      <x:c r="Q1519" t="n">
        <x:f>ROUND(INDEX(Catalogue!E$4:E$85,MATCH(A1519,Catalogue!A$4:A$85,0))*(1+'Paramètres'!$B$4*(C1519-1)+'Paramètres'!$B$5*(C1519-1)^2),0)</x:f>
        <x:v>0</x:v>
      </x:c>
      <x:c r="R1519" t="n">
        <x:f>ROUND(INDEX(Catalogue!F$4:F$85,MATCH(A1519,Catalogue!A$4:A$85,0))*(1+'Paramètres'!$B$4*(C1519-1)+'Paramètres'!$B$5*(C1519-1)^2),0)</x:f>
        <x:v>0</x:v>
      </x:c>
      <x:c r="S1519" t="n">
        <x:f>L1519-AVERAGE(Q1519:R1519)</x:f>
        <x:v>0</x:v>
      </x:c>
      <x:c r="T1519" t="str">
        <x:f>IF(M1519=0,IF(AND(N1519=0,O1519=0,E1519=0,F1519=0),"OK","ERREUR"),IF(AND(M1519&gt;=1,M1519&lt;=32,OR(N1519=4,N1519=6,N1519=8,N1519=10,N1519=12,N1519=20),O1519&gt;=0,E1519=M1519+O1519,F1519=M1519*N1519+O1519),"OK","ERREUR"))</x:f>
        <x:v>OK</x:v>
      </x:c>
      <x:c r="U1519" s="86" t="n">
        <x:f>IF(M1519&gt;0,M1519*(N1519+1)/2+O1519,0)</x:f>
        <x:v>0</x:v>
      </x:c>
      <x:c r="V1519" t="str">
        <x:f>IF(ABS(L1519-U1519)&lt;0.001,"OK","ERREUR")</x:f>
        <x:v>OK</x:v>
      </x:c>
    </x:row>
    <x:row r="1520" ht="18" customHeight="1">
      <x:c r="A1520" t="str">
        <x:v>ARM076</x:v>
      </x:c>
      <x:c r="B1520" t="str">
        <x:v>Écu triangulaire</x:v>
      </x:c>
      <x:c r="C1520" t="n">
        <x:v>17</x:v>
      </x:c>
      <x:c r="D1520" t="str">
        <x:v>Boucliers</x:v>
      </x:c>
      <x:c r="E1520" s="28" t="n">
        <x:f>IF(M1520=0,0,M1520+O1520)</x:f>
        <x:v>0</x:v>
      </x:c>
      <x:c r="F1520" s="28" t="n">
        <x:f>IF(M1520=0,0,M1520*N1520+O1520)</x:f>
        <x:v>0</x:v>
      </x:c>
      <x:c r="G1520" s="28" t="n">
        <x:f>ROUND(Catalogue!G79*SQRT((1+'Paramètres'!$B$4*(C1520-1)+'Paramètres'!$B$5*(C1520-1)^2)),0)</x:f>
        <x:v>16</x:v>
      </x:c>
      <x:c r="H1520" s="28" t="n">
        <x:f>ROUND(Catalogue!H79*SQRT((1+'Paramètres'!$B$4*(C1520-1)+'Paramètres'!$B$5*(C1520-1)^2)),0)</x:f>
        <x:v>0</x:v>
      </x:c>
      <x:c r="I1520" s="28" t="n">
        <x:v>0</x:v>
      </x:c>
      <x:c r="J1520" s="28" t="n">
        <x:v>0</x:v>
      </x:c>
      <x:c r="K1520" s="30" t="n">
        <x:v>3.4</x:v>
      </x:c>
      <x:c r="L1520" s="54" t="n">
        <x:f>IF(M1520=0,0,(E1520+F1520)/2)</x:f>
        <x:v>0</x:v>
      </x:c>
      <x:c r="M1520" t="n">
        <x:v>0</x:v>
      </x:c>
      <x:c r="N1520" t="n">
        <x:v>0</x:v>
      </x:c>
      <x:c r="O1520" t="n">
        <x:v>0</x:v>
      </x:c>
      <x:c r="P1520" s="63" t="str">
        <x:f>IF(M1520=0,"—",M1520&amp;"d"&amp;N1520&amp;IF(O1520=0,""," + "&amp;O1520))</x:f>
        <x:v>—</x:v>
      </x:c>
      <x:c r="Q1520" t="n">
        <x:f>ROUND(INDEX(Catalogue!E$4:E$85,MATCH(A1520,Catalogue!A$4:A$85,0))*(1+'Paramètres'!$B$4*(C1520-1)+'Paramètres'!$B$5*(C1520-1)^2),0)</x:f>
        <x:v>0</x:v>
      </x:c>
      <x:c r="R1520" t="n">
        <x:f>ROUND(INDEX(Catalogue!F$4:F$85,MATCH(A1520,Catalogue!A$4:A$85,0))*(1+'Paramètres'!$B$4*(C1520-1)+'Paramètres'!$B$5*(C1520-1)^2),0)</x:f>
        <x:v>0</x:v>
      </x:c>
      <x:c r="S1520" t="n">
        <x:f>L1520-AVERAGE(Q1520:R1520)</x:f>
        <x:v>0</x:v>
      </x:c>
      <x:c r="T1520" t="str">
        <x:f>IF(M1520=0,IF(AND(N1520=0,O1520=0,E1520=0,F1520=0),"OK","ERREUR"),IF(AND(M1520&gt;=1,M1520&lt;=32,OR(N1520=4,N1520=6,N1520=8,N1520=10,N1520=12,N1520=20),O1520&gt;=0,E1520=M1520+O1520,F1520=M1520*N1520+O1520),"OK","ERREUR"))</x:f>
        <x:v>OK</x:v>
      </x:c>
      <x:c r="U1520" s="86" t="n">
        <x:f>IF(M1520&gt;0,M1520*(N1520+1)/2+O1520,0)</x:f>
        <x:v>0</x:v>
      </x:c>
      <x:c r="V1520" t="str">
        <x:f>IF(ABS(L1520-U1520)&lt;0.001,"OK","ERREUR")</x:f>
        <x:v>OK</x:v>
      </x:c>
    </x:row>
    <x:row r="1521" ht="18" customHeight="1">
      <x:c r="A1521" t="str">
        <x:v>ARM076</x:v>
      </x:c>
      <x:c r="B1521" t="str">
        <x:v>Écu triangulaire</x:v>
      </x:c>
      <x:c r="C1521" t="n">
        <x:v>18</x:v>
      </x:c>
      <x:c r="D1521" t="str">
        <x:v>Boucliers</x:v>
      </x:c>
      <x:c r="E1521" s="28" t="n">
        <x:f>IF(M1521=0,0,M1521+O1521)</x:f>
        <x:v>0</x:v>
      </x:c>
      <x:c r="F1521" s="28" t="n">
        <x:f>IF(M1521=0,0,M1521*N1521+O1521)</x:f>
        <x:v>0</x:v>
      </x:c>
      <x:c r="G1521" s="28" t="n">
        <x:f>ROUND(Catalogue!G79*SQRT((1+'Paramètres'!$B$4*(C1521-1)+'Paramètres'!$B$5*(C1521-1)^2)),0)</x:f>
        <x:v>16</x:v>
      </x:c>
      <x:c r="H1521" s="28" t="n">
        <x:f>ROUND(Catalogue!H79*SQRT((1+'Paramètres'!$B$4*(C1521-1)+'Paramètres'!$B$5*(C1521-1)^2)),0)</x:f>
        <x:v>0</x:v>
      </x:c>
      <x:c r="I1521" s="28" t="n">
        <x:v>0</x:v>
      </x:c>
      <x:c r="J1521" s="28" t="n">
        <x:v>0</x:v>
      </x:c>
      <x:c r="K1521" s="30" t="n">
        <x:v>3.4</x:v>
      </x:c>
      <x:c r="L1521" s="54" t="n">
        <x:f>IF(M1521=0,0,(E1521+F1521)/2)</x:f>
        <x:v>0</x:v>
      </x:c>
      <x:c r="M1521" t="n">
        <x:v>0</x:v>
      </x:c>
      <x:c r="N1521" t="n">
        <x:v>0</x:v>
      </x:c>
      <x:c r="O1521" t="n">
        <x:v>0</x:v>
      </x:c>
      <x:c r="P1521" s="63" t="str">
        <x:f>IF(M1521=0,"—",M1521&amp;"d"&amp;N1521&amp;IF(O1521=0,""," + "&amp;O1521))</x:f>
        <x:v>—</x:v>
      </x:c>
      <x:c r="Q1521" t="n">
        <x:f>ROUND(INDEX(Catalogue!E$4:E$85,MATCH(A1521,Catalogue!A$4:A$85,0))*(1+'Paramètres'!$B$4*(C1521-1)+'Paramètres'!$B$5*(C1521-1)^2),0)</x:f>
        <x:v>0</x:v>
      </x:c>
      <x:c r="R1521" t="n">
        <x:f>ROUND(INDEX(Catalogue!F$4:F$85,MATCH(A1521,Catalogue!A$4:A$85,0))*(1+'Paramètres'!$B$4*(C1521-1)+'Paramètres'!$B$5*(C1521-1)^2),0)</x:f>
        <x:v>0</x:v>
      </x:c>
      <x:c r="S1521" t="n">
        <x:f>L1521-AVERAGE(Q1521:R1521)</x:f>
        <x:v>0</x:v>
      </x:c>
      <x:c r="T1521" t="str">
        <x:f>IF(M1521=0,IF(AND(N1521=0,O1521=0,E1521=0,F1521=0),"OK","ERREUR"),IF(AND(M1521&gt;=1,M1521&lt;=32,OR(N1521=4,N1521=6,N1521=8,N1521=10,N1521=12,N1521=20),O1521&gt;=0,E1521=M1521+O1521,F1521=M1521*N1521+O1521),"OK","ERREUR"))</x:f>
        <x:v>OK</x:v>
      </x:c>
      <x:c r="U1521" s="86" t="n">
        <x:f>IF(M1521&gt;0,M1521*(N1521+1)/2+O1521,0)</x:f>
        <x:v>0</x:v>
      </x:c>
      <x:c r="V1521" t="str">
        <x:f>IF(ABS(L1521-U1521)&lt;0.001,"OK","ERREUR")</x:f>
        <x:v>OK</x:v>
      </x:c>
    </x:row>
    <x:row r="1522" ht="18" customHeight="1">
      <x:c r="A1522" t="str">
        <x:v>ARM076</x:v>
      </x:c>
      <x:c r="B1522" t="str">
        <x:v>Écu triangulaire</x:v>
      </x:c>
      <x:c r="C1522" t="n">
        <x:v>19</x:v>
      </x:c>
      <x:c r="D1522" t="str">
        <x:v>Boucliers</x:v>
      </x:c>
      <x:c r="E1522" s="28" t="n">
        <x:f>IF(M1522=0,0,M1522+O1522)</x:f>
        <x:v>0</x:v>
      </x:c>
      <x:c r="F1522" s="28" t="n">
        <x:f>IF(M1522=0,0,M1522*N1522+O1522)</x:f>
        <x:v>0</x:v>
      </x:c>
      <x:c r="G1522" s="28" t="n">
        <x:f>ROUND(Catalogue!G79*SQRT((1+'Paramètres'!$B$4*(C1522-1)+'Paramètres'!$B$5*(C1522-1)^2)),0)</x:f>
        <x:v>17</x:v>
      </x:c>
      <x:c r="H1522" s="28" t="n">
        <x:f>ROUND(Catalogue!H79*SQRT((1+'Paramètres'!$B$4*(C1522-1)+'Paramètres'!$B$5*(C1522-1)^2)),0)</x:f>
        <x:v>0</x:v>
      </x:c>
      <x:c r="I1522" s="28" t="n">
        <x:v>0</x:v>
      </x:c>
      <x:c r="J1522" s="28" t="n">
        <x:v>0</x:v>
      </x:c>
      <x:c r="K1522" s="30" t="n">
        <x:v>3.4</x:v>
      </x:c>
      <x:c r="L1522" s="54" t="n">
        <x:f>IF(M1522=0,0,(E1522+F1522)/2)</x:f>
        <x:v>0</x:v>
      </x:c>
      <x:c r="M1522" t="n">
        <x:v>0</x:v>
      </x:c>
      <x:c r="N1522" t="n">
        <x:v>0</x:v>
      </x:c>
      <x:c r="O1522" t="n">
        <x:v>0</x:v>
      </x:c>
      <x:c r="P1522" s="63" t="str">
        <x:f>IF(M1522=0,"—",M1522&amp;"d"&amp;N1522&amp;IF(O1522=0,""," + "&amp;O1522))</x:f>
        <x:v>—</x:v>
      </x:c>
      <x:c r="Q1522" t="n">
        <x:f>ROUND(INDEX(Catalogue!E$4:E$85,MATCH(A1522,Catalogue!A$4:A$85,0))*(1+'Paramètres'!$B$4*(C1522-1)+'Paramètres'!$B$5*(C1522-1)^2),0)</x:f>
        <x:v>0</x:v>
      </x:c>
      <x:c r="R1522" t="n">
        <x:f>ROUND(INDEX(Catalogue!F$4:F$85,MATCH(A1522,Catalogue!A$4:A$85,0))*(1+'Paramètres'!$B$4*(C1522-1)+'Paramètres'!$B$5*(C1522-1)^2),0)</x:f>
        <x:v>0</x:v>
      </x:c>
      <x:c r="S1522" t="n">
        <x:f>L1522-AVERAGE(Q1522:R1522)</x:f>
        <x:v>0</x:v>
      </x:c>
      <x:c r="T1522" t="str">
        <x:f>IF(M1522=0,IF(AND(N1522=0,O1522=0,E1522=0,F1522=0),"OK","ERREUR"),IF(AND(M1522&gt;=1,M1522&lt;=32,OR(N1522=4,N1522=6,N1522=8,N1522=10,N1522=12,N1522=20),O1522&gt;=0,E1522=M1522+O1522,F1522=M1522*N1522+O1522),"OK","ERREUR"))</x:f>
        <x:v>OK</x:v>
      </x:c>
      <x:c r="U1522" s="86" t="n">
        <x:f>IF(M1522&gt;0,M1522*(N1522+1)/2+O1522,0)</x:f>
        <x:v>0</x:v>
      </x:c>
      <x:c r="V1522" t="str">
        <x:f>IF(ABS(L1522-U1522)&lt;0.001,"OK","ERREUR")</x:f>
        <x:v>OK</x:v>
      </x:c>
    </x:row>
    <x:row r="1523" ht="18" customHeight="1">
      <x:c r="A1523" t="str">
        <x:v>ARM076</x:v>
      </x:c>
      <x:c r="B1523" t="str">
        <x:v>Écu triangulaire</x:v>
      </x:c>
      <x:c r="C1523" t="n">
        <x:v>20</x:v>
      </x:c>
      <x:c r="D1523" t="str">
        <x:v>Boucliers</x:v>
      </x:c>
      <x:c r="E1523" s="28" t="n">
        <x:f>IF(M1523=0,0,M1523+O1523)</x:f>
        <x:v>0</x:v>
      </x:c>
      <x:c r="F1523" s="28" t="n">
        <x:f>IF(M1523=0,0,M1523*N1523+O1523)</x:f>
        <x:v>0</x:v>
      </x:c>
      <x:c r="G1523" s="28" t="n">
        <x:f>ROUND(Catalogue!G79*SQRT((1+'Paramètres'!$B$4*(C1523-1)+'Paramètres'!$B$5*(C1523-1)^2)),0)</x:f>
        <x:v>18</x:v>
      </x:c>
      <x:c r="H1523" s="28" t="n">
        <x:f>ROUND(Catalogue!H79*SQRT((1+'Paramètres'!$B$4*(C1523-1)+'Paramètres'!$B$5*(C1523-1)^2)),0)</x:f>
        <x:v>0</x:v>
      </x:c>
      <x:c r="I1523" s="28" t="n">
        <x:v>0</x:v>
      </x:c>
      <x:c r="J1523" s="28" t="n">
        <x:v>0</x:v>
      </x:c>
      <x:c r="K1523" s="30" t="n">
        <x:v>3.4</x:v>
      </x:c>
      <x:c r="L1523" s="54" t="n">
        <x:f>IF(M1523=0,0,(E1523+F1523)/2)</x:f>
        <x:v>0</x:v>
      </x:c>
      <x:c r="M1523" t="n">
        <x:v>0</x:v>
      </x:c>
      <x:c r="N1523" t="n">
        <x:v>0</x:v>
      </x:c>
      <x:c r="O1523" t="n">
        <x:v>0</x:v>
      </x:c>
      <x:c r="P1523" s="63" t="str">
        <x:f>IF(M1523=0,"—",M1523&amp;"d"&amp;N1523&amp;IF(O1523=0,""," + "&amp;O1523))</x:f>
        <x:v>—</x:v>
      </x:c>
      <x:c r="Q1523" t="n">
        <x:f>ROUND(INDEX(Catalogue!E$4:E$85,MATCH(A1523,Catalogue!A$4:A$85,0))*(1+'Paramètres'!$B$4*(C1523-1)+'Paramètres'!$B$5*(C1523-1)^2),0)</x:f>
        <x:v>0</x:v>
      </x:c>
      <x:c r="R1523" t="n">
        <x:f>ROUND(INDEX(Catalogue!F$4:F$85,MATCH(A1523,Catalogue!A$4:A$85,0))*(1+'Paramètres'!$B$4*(C1523-1)+'Paramètres'!$B$5*(C1523-1)^2),0)</x:f>
        <x:v>0</x:v>
      </x:c>
      <x:c r="S1523" t="n">
        <x:f>L1523-AVERAGE(Q1523:R1523)</x:f>
        <x:v>0</x:v>
      </x:c>
      <x:c r="T1523" t="str">
        <x:f>IF(M1523=0,IF(AND(N1523=0,O1523=0,E1523=0,F1523=0),"OK","ERREUR"),IF(AND(M1523&gt;=1,M1523&lt;=32,OR(N1523=4,N1523=6,N1523=8,N1523=10,N1523=12,N1523=20),O1523&gt;=0,E1523=M1523+O1523,F1523=M1523*N1523+O1523),"OK","ERREUR"))</x:f>
        <x:v>OK</x:v>
      </x:c>
      <x:c r="U1523" s="86" t="n">
        <x:f>IF(M1523&gt;0,M1523*(N1523+1)/2+O1523,0)</x:f>
        <x:v>0</x:v>
      </x:c>
      <x:c r="V1523" t="str">
        <x:f>IF(ABS(L1523-U1523)&lt;0.001,"OK","ERREUR")</x:f>
        <x:v>OK</x:v>
      </x:c>
    </x:row>
    <x:row r="1524" ht="18" customHeight="1">
      <x:c r="A1524" t="str">
        <x:v>ARM077</x:v>
      </x:c>
      <x:c r="B1524" t="str">
        <x:v>Bouclier cerf-volant</x:v>
      </x:c>
      <x:c r="C1524" t="n">
        <x:v>1</x:v>
      </x:c>
      <x:c r="D1524" t="str">
        <x:v>Boucliers</x:v>
      </x:c>
      <x:c r="E1524" s="28" t="n">
        <x:f>IF(M1524=0,0,M1524+O1524)</x:f>
        <x:v>0</x:v>
      </x:c>
      <x:c r="F1524" s="28" t="n">
        <x:f>IF(M1524=0,0,M1524*N1524+O1524)</x:f>
        <x:v>0</x:v>
      </x:c>
      <x:c r="G1524" s="28" t="n">
        <x:f>ROUND(Catalogue!G80*SQRT((1+'Paramètres'!$B$4*(C1524-1)+'Paramètres'!$B$5*(C1524-1)^2)),0)</x:f>
        <x:v>7</x:v>
      </x:c>
      <x:c r="H1524" s="28" t="n">
        <x:f>ROUND(Catalogue!H80*SQRT((1+'Paramètres'!$B$4*(C1524-1)+'Paramètres'!$B$5*(C1524-1)^2)),0)</x:f>
        <x:v>0</x:v>
      </x:c>
      <x:c r="I1524" s="28" t="n">
        <x:v>0</x:v>
      </x:c>
      <x:c r="J1524" s="28" t="n">
        <x:v>0</x:v>
      </x:c>
      <x:c r="K1524" s="30" t="n">
        <x:v>4</x:v>
      </x:c>
      <x:c r="L1524" s="54" t="n">
        <x:f>IF(M1524=0,0,(E1524+F1524)/2)</x:f>
        <x:v>0</x:v>
      </x:c>
      <x:c r="M1524" t="n">
        <x:v>0</x:v>
      </x:c>
      <x:c r="N1524" t="n">
        <x:v>0</x:v>
      </x:c>
      <x:c r="O1524" t="n">
        <x:v>0</x:v>
      </x:c>
      <x:c r="P1524" s="63" t="str">
        <x:f>IF(M1524=0,"—",M1524&amp;"d"&amp;N1524&amp;IF(O1524=0,""," + "&amp;O1524))</x:f>
        <x:v>—</x:v>
      </x:c>
      <x:c r="Q1524" t="n">
        <x:f>ROUND(INDEX(Catalogue!E$4:E$85,MATCH(A1524,Catalogue!A$4:A$85,0))*(1+'Paramètres'!$B$4*(C1524-1)+'Paramètres'!$B$5*(C1524-1)^2),0)</x:f>
        <x:v>0</x:v>
      </x:c>
      <x:c r="R1524" t="n">
        <x:f>ROUND(INDEX(Catalogue!F$4:F$85,MATCH(A1524,Catalogue!A$4:A$85,0))*(1+'Paramètres'!$B$4*(C1524-1)+'Paramètres'!$B$5*(C1524-1)^2),0)</x:f>
        <x:v>0</x:v>
      </x:c>
      <x:c r="S1524" t="n">
        <x:f>L1524-AVERAGE(Q1524:R1524)</x:f>
        <x:v>0</x:v>
      </x:c>
      <x:c r="T1524" t="str">
        <x:f>IF(M1524=0,IF(AND(N1524=0,O1524=0,E1524=0,F1524=0),"OK","ERREUR"),IF(AND(M1524&gt;=1,M1524&lt;=32,OR(N1524=4,N1524=6,N1524=8,N1524=10,N1524=12,N1524=20),O1524&gt;=0,E1524=M1524+O1524,F1524=M1524*N1524+O1524),"OK","ERREUR"))</x:f>
        <x:v>OK</x:v>
      </x:c>
      <x:c r="U1524" s="86" t="n">
        <x:f>IF(M1524&gt;0,M1524*(N1524+1)/2+O1524,0)</x:f>
        <x:v>0</x:v>
      </x:c>
      <x:c r="V1524" t="str">
        <x:f>IF(ABS(L1524-U1524)&lt;0.001,"OK","ERREUR")</x:f>
        <x:v>OK</x:v>
      </x:c>
    </x:row>
    <x:row r="1525" ht="18" customHeight="1">
      <x:c r="A1525" t="str">
        <x:v>ARM077</x:v>
      </x:c>
      <x:c r="B1525" t="str">
        <x:v>Bouclier cerf-volant</x:v>
      </x:c>
      <x:c r="C1525" t="n">
        <x:v>2</x:v>
      </x:c>
      <x:c r="D1525" t="str">
        <x:v>Boucliers</x:v>
      </x:c>
      <x:c r="E1525" s="28" t="n">
        <x:f>IF(M1525=0,0,M1525+O1525)</x:f>
        <x:v>0</x:v>
      </x:c>
      <x:c r="F1525" s="28" t="n">
        <x:f>IF(M1525=0,0,M1525*N1525+O1525)</x:f>
        <x:v>0</x:v>
      </x:c>
      <x:c r="G1525" s="28" t="n">
        <x:f>ROUND(Catalogue!G80*SQRT((1+'Paramètres'!$B$4*(C1525-1)+'Paramètres'!$B$5*(C1525-1)^2)),0)</x:f>
        <x:v>7</x:v>
      </x:c>
      <x:c r="H1525" s="28" t="n">
        <x:f>ROUND(Catalogue!H80*SQRT((1+'Paramètres'!$B$4*(C1525-1)+'Paramètres'!$B$5*(C1525-1)^2)),0)</x:f>
        <x:v>0</x:v>
      </x:c>
      <x:c r="I1525" s="28" t="n">
        <x:v>0</x:v>
      </x:c>
      <x:c r="J1525" s="28" t="n">
        <x:v>0</x:v>
      </x:c>
      <x:c r="K1525" s="30" t="n">
        <x:v>4</x:v>
      </x:c>
      <x:c r="L1525" s="54" t="n">
        <x:f>IF(M1525=0,0,(E1525+F1525)/2)</x:f>
        <x:v>0</x:v>
      </x:c>
      <x:c r="M1525" t="n">
        <x:v>0</x:v>
      </x:c>
      <x:c r="N1525" t="n">
        <x:v>0</x:v>
      </x:c>
      <x:c r="O1525" t="n">
        <x:v>0</x:v>
      </x:c>
      <x:c r="P1525" s="63" t="str">
        <x:f>IF(M1525=0,"—",M1525&amp;"d"&amp;N1525&amp;IF(O1525=0,""," + "&amp;O1525))</x:f>
        <x:v>—</x:v>
      </x:c>
      <x:c r="Q1525" t="n">
        <x:f>ROUND(INDEX(Catalogue!E$4:E$85,MATCH(A1525,Catalogue!A$4:A$85,0))*(1+'Paramètres'!$B$4*(C1525-1)+'Paramètres'!$B$5*(C1525-1)^2),0)</x:f>
        <x:v>0</x:v>
      </x:c>
      <x:c r="R1525" t="n">
        <x:f>ROUND(INDEX(Catalogue!F$4:F$85,MATCH(A1525,Catalogue!A$4:A$85,0))*(1+'Paramètres'!$B$4*(C1525-1)+'Paramètres'!$B$5*(C1525-1)^2),0)</x:f>
        <x:v>0</x:v>
      </x:c>
      <x:c r="S1525" t="n">
        <x:f>L1525-AVERAGE(Q1525:R1525)</x:f>
        <x:v>0</x:v>
      </x:c>
      <x:c r="T1525" t="str">
        <x:f>IF(M1525=0,IF(AND(N1525=0,O1525=0,E1525=0,F1525=0),"OK","ERREUR"),IF(AND(M1525&gt;=1,M1525&lt;=32,OR(N1525=4,N1525=6,N1525=8,N1525=10,N1525=12,N1525=20),O1525&gt;=0,E1525=M1525+O1525,F1525=M1525*N1525+O1525),"OK","ERREUR"))</x:f>
        <x:v>OK</x:v>
      </x:c>
      <x:c r="U1525" s="86" t="n">
        <x:f>IF(M1525&gt;0,M1525*(N1525+1)/2+O1525,0)</x:f>
        <x:v>0</x:v>
      </x:c>
      <x:c r="V1525" t="str">
        <x:f>IF(ABS(L1525-U1525)&lt;0.001,"OK","ERREUR")</x:f>
        <x:v>OK</x:v>
      </x:c>
    </x:row>
    <x:row r="1526" ht="18" customHeight="1">
      <x:c r="A1526" t="str">
        <x:v>ARM077</x:v>
      </x:c>
      <x:c r="B1526" t="str">
        <x:v>Bouclier cerf-volant</x:v>
      </x:c>
      <x:c r="C1526" t="n">
        <x:v>3</x:v>
      </x:c>
      <x:c r="D1526" t="str">
        <x:v>Boucliers</x:v>
      </x:c>
      <x:c r="E1526" s="28" t="n">
        <x:f>IF(M1526=0,0,M1526+O1526)</x:f>
        <x:v>0</x:v>
      </x:c>
      <x:c r="F1526" s="28" t="n">
        <x:f>IF(M1526=0,0,M1526*N1526+O1526)</x:f>
        <x:v>0</x:v>
      </x:c>
      <x:c r="G1526" s="28" t="n">
        <x:f>ROUND(Catalogue!G80*SQRT((1+'Paramètres'!$B$4*(C1526-1)+'Paramètres'!$B$5*(C1526-1)^2)),0)</x:f>
        <x:v>8</x:v>
      </x:c>
      <x:c r="H1526" s="28" t="n">
        <x:f>ROUND(Catalogue!H80*SQRT((1+'Paramètres'!$B$4*(C1526-1)+'Paramètres'!$B$5*(C1526-1)^2)),0)</x:f>
        <x:v>0</x:v>
      </x:c>
      <x:c r="I1526" s="28" t="n">
        <x:v>0</x:v>
      </x:c>
      <x:c r="J1526" s="28" t="n">
        <x:v>0</x:v>
      </x:c>
      <x:c r="K1526" s="30" t="n">
        <x:v>4</x:v>
      </x:c>
      <x:c r="L1526" s="54" t="n">
        <x:f>IF(M1526=0,0,(E1526+F1526)/2)</x:f>
        <x:v>0</x:v>
      </x:c>
      <x:c r="M1526" t="n">
        <x:v>0</x:v>
      </x:c>
      <x:c r="N1526" t="n">
        <x:v>0</x:v>
      </x:c>
      <x:c r="O1526" t="n">
        <x:v>0</x:v>
      </x:c>
      <x:c r="P1526" s="63" t="str">
        <x:f>IF(M1526=0,"—",M1526&amp;"d"&amp;N1526&amp;IF(O1526=0,""," + "&amp;O1526))</x:f>
        <x:v>—</x:v>
      </x:c>
      <x:c r="Q1526" t="n">
        <x:f>ROUND(INDEX(Catalogue!E$4:E$85,MATCH(A1526,Catalogue!A$4:A$85,0))*(1+'Paramètres'!$B$4*(C1526-1)+'Paramètres'!$B$5*(C1526-1)^2),0)</x:f>
        <x:v>0</x:v>
      </x:c>
      <x:c r="R1526" t="n">
        <x:f>ROUND(INDEX(Catalogue!F$4:F$85,MATCH(A1526,Catalogue!A$4:A$85,0))*(1+'Paramètres'!$B$4*(C1526-1)+'Paramètres'!$B$5*(C1526-1)^2),0)</x:f>
        <x:v>0</x:v>
      </x:c>
      <x:c r="S1526" t="n">
        <x:f>L1526-AVERAGE(Q1526:R1526)</x:f>
        <x:v>0</x:v>
      </x:c>
      <x:c r="T1526" t="str">
        <x:f>IF(M1526=0,IF(AND(N1526=0,O1526=0,E1526=0,F1526=0),"OK","ERREUR"),IF(AND(M1526&gt;=1,M1526&lt;=32,OR(N1526=4,N1526=6,N1526=8,N1526=10,N1526=12,N1526=20),O1526&gt;=0,E1526=M1526+O1526,F1526=M1526*N1526+O1526),"OK","ERREUR"))</x:f>
        <x:v>OK</x:v>
      </x:c>
      <x:c r="U1526" s="86" t="n">
        <x:f>IF(M1526&gt;0,M1526*(N1526+1)/2+O1526,0)</x:f>
        <x:v>0</x:v>
      </x:c>
      <x:c r="V1526" t="str">
        <x:f>IF(ABS(L1526-U1526)&lt;0.001,"OK","ERREUR")</x:f>
        <x:v>OK</x:v>
      </x:c>
    </x:row>
    <x:row r="1527" ht="18" customHeight="1">
      <x:c r="A1527" t="str">
        <x:v>ARM077</x:v>
      </x:c>
      <x:c r="B1527" t="str">
        <x:v>Bouclier cerf-volant</x:v>
      </x:c>
      <x:c r="C1527" t="n">
        <x:v>4</x:v>
      </x:c>
      <x:c r="D1527" t="str">
        <x:v>Boucliers</x:v>
      </x:c>
      <x:c r="E1527" s="28" t="n">
        <x:f>IF(M1527=0,0,M1527+O1527)</x:f>
        <x:v>0</x:v>
      </x:c>
      <x:c r="F1527" s="28" t="n">
        <x:f>IF(M1527=0,0,M1527*N1527+O1527)</x:f>
        <x:v>0</x:v>
      </x:c>
      <x:c r="G1527" s="28" t="n">
        <x:f>ROUND(Catalogue!G80*SQRT((1+'Paramètres'!$B$4*(C1527-1)+'Paramètres'!$B$5*(C1527-1)^2)),0)</x:f>
        <x:v>8</x:v>
      </x:c>
      <x:c r="H1527" s="28" t="n">
        <x:f>ROUND(Catalogue!H80*SQRT((1+'Paramètres'!$B$4*(C1527-1)+'Paramètres'!$B$5*(C1527-1)^2)),0)</x:f>
        <x:v>0</x:v>
      </x:c>
      <x:c r="I1527" s="28" t="n">
        <x:v>0</x:v>
      </x:c>
      <x:c r="J1527" s="28" t="n">
        <x:v>0</x:v>
      </x:c>
      <x:c r="K1527" s="30" t="n">
        <x:v>4</x:v>
      </x:c>
      <x:c r="L1527" s="54" t="n">
        <x:f>IF(M1527=0,0,(E1527+F1527)/2)</x:f>
        <x:v>0</x:v>
      </x:c>
      <x:c r="M1527" t="n">
        <x:v>0</x:v>
      </x:c>
      <x:c r="N1527" t="n">
        <x:v>0</x:v>
      </x:c>
      <x:c r="O1527" t="n">
        <x:v>0</x:v>
      </x:c>
      <x:c r="P1527" s="63" t="str">
        <x:f>IF(M1527=0,"—",M1527&amp;"d"&amp;N1527&amp;IF(O1527=0,""," + "&amp;O1527))</x:f>
        <x:v>—</x:v>
      </x:c>
      <x:c r="Q1527" t="n">
        <x:f>ROUND(INDEX(Catalogue!E$4:E$85,MATCH(A1527,Catalogue!A$4:A$85,0))*(1+'Paramètres'!$B$4*(C1527-1)+'Paramètres'!$B$5*(C1527-1)^2),0)</x:f>
        <x:v>0</x:v>
      </x:c>
      <x:c r="R1527" t="n">
        <x:f>ROUND(INDEX(Catalogue!F$4:F$85,MATCH(A1527,Catalogue!A$4:A$85,0))*(1+'Paramètres'!$B$4*(C1527-1)+'Paramètres'!$B$5*(C1527-1)^2),0)</x:f>
        <x:v>0</x:v>
      </x:c>
      <x:c r="S1527" t="n">
        <x:f>L1527-AVERAGE(Q1527:R1527)</x:f>
        <x:v>0</x:v>
      </x:c>
      <x:c r="T1527" t="str">
        <x:f>IF(M1527=0,IF(AND(N1527=0,O1527=0,E1527=0,F1527=0),"OK","ERREUR"),IF(AND(M1527&gt;=1,M1527&lt;=32,OR(N1527=4,N1527=6,N1527=8,N1527=10,N1527=12,N1527=20),O1527&gt;=0,E1527=M1527+O1527,F1527=M1527*N1527+O1527),"OK","ERREUR"))</x:f>
        <x:v>OK</x:v>
      </x:c>
      <x:c r="U1527" s="86" t="n">
        <x:f>IF(M1527&gt;0,M1527*(N1527+1)/2+O1527,0)</x:f>
        <x:v>0</x:v>
      </x:c>
      <x:c r="V1527" t="str">
        <x:f>IF(ABS(L1527-U1527)&lt;0.001,"OK","ERREUR")</x:f>
        <x:v>OK</x:v>
      </x:c>
    </x:row>
    <x:row r="1528" ht="18" customHeight="1">
      <x:c r="A1528" t="str">
        <x:v>ARM077</x:v>
      </x:c>
      <x:c r="B1528" t="str">
        <x:v>Bouclier cerf-volant</x:v>
      </x:c>
      <x:c r="C1528" t="n">
        <x:v>5</x:v>
      </x:c>
      <x:c r="D1528" t="str">
        <x:v>Boucliers</x:v>
      </x:c>
      <x:c r="E1528" s="28" t="n">
        <x:f>IF(M1528=0,0,M1528+O1528)</x:f>
        <x:v>0</x:v>
      </x:c>
      <x:c r="F1528" s="28" t="n">
        <x:f>IF(M1528=0,0,M1528*N1528+O1528)</x:f>
        <x:v>0</x:v>
      </x:c>
      <x:c r="G1528" s="28" t="n">
        <x:f>ROUND(Catalogue!G80*SQRT((1+'Paramètres'!$B$4*(C1528-1)+'Paramètres'!$B$5*(C1528-1)^2)),0)</x:f>
        <x:v>9</x:v>
      </x:c>
      <x:c r="H1528" s="28" t="n">
        <x:f>ROUND(Catalogue!H80*SQRT((1+'Paramètres'!$B$4*(C1528-1)+'Paramètres'!$B$5*(C1528-1)^2)),0)</x:f>
        <x:v>0</x:v>
      </x:c>
      <x:c r="I1528" s="28" t="n">
        <x:v>0</x:v>
      </x:c>
      <x:c r="J1528" s="28" t="n">
        <x:v>0</x:v>
      </x:c>
      <x:c r="K1528" s="30" t="n">
        <x:v>4</x:v>
      </x:c>
      <x:c r="L1528" s="54" t="n">
        <x:f>IF(M1528=0,0,(E1528+F1528)/2)</x:f>
        <x:v>0</x:v>
      </x:c>
      <x:c r="M1528" t="n">
        <x:v>0</x:v>
      </x:c>
      <x:c r="N1528" t="n">
        <x:v>0</x:v>
      </x:c>
      <x:c r="O1528" t="n">
        <x:v>0</x:v>
      </x:c>
      <x:c r="P1528" s="63" t="str">
        <x:f>IF(M1528=0,"—",M1528&amp;"d"&amp;N1528&amp;IF(O1528=0,""," + "&amp;O1528))</x:f>
        <x:v>—</x:v>
      </x:c>
      <x:c r="Q1528" t="n">
        <x:f>ROUND(INDEX(Catalogue!E$4:E$85,MATCH(A1528,Catalogue!A$4:A$85,0))*(1+'Paramètres'!$B$4*(C1528-1)+'Paramètres'!$B$5*(C1528-1)^2),0)</x:f>
        <x:v>0</x:v>
      </x:c>
      <x:c r="R1528" t="n">
        <x:f>ROUND(INDEX(Catalogue!F$4:F$85,MATCH(A1528,Catalogue!A$4:A$85,0))*(1+'Paramètres'!$B$4*(C1528-1)+'Paramètres'!$B$5*(C1528-1)^2),0)</x:f>
        <x:v>0</x:v>
      </x:c>
      <x:c r="S1528" t="n">
        <x:f>L1528-AVERAGE(Q1528:R1528)</x:f>
        <x:v>0</x:v>
      </x:c>
      <x:c r="T1528" t="str">
        <x:f>IF(M1528=0,IF(AND(N1528=0,O1528=0,E1528=0,F1528=0),"OK","ERREUR"),IF(AND(M1528&gt;=1,M1528&lt;=32,OR(N1528=4,N1528=6,N1528=8,N1528=10,N1528=12,N1528=20),O1528&gt;=0,E1528=M1528+O1528,F1528=M1528*N1528+O1528),"OK","ERREUR"))</x:f>
        <x:v>OK</x:v>
      </x:c>
      <x:c r="U1528" s="86" t="n">
        <x:f>IF(M1528&gt;0,M1528*(N1528+1)/2+O1528,0)</x:f>
        <x:v>0</x:v>
      </x:c>
      <x:c r="V1528" t="str">
        <x:f>IF(ABS(L1528-U1528)&lt;0.001,"OK","ERREUR")</x:f>
        <x:v>OK</x:v>
      </x:c>
    </x:row>
    <x:row r="1529" ht="18" customHeight="1">
      <x:c r="A1529" t="str">
        <x:v>ARM077</x:v>
      </x:c>
      <x:c r="B1529" t="str">
        <x:v>Bouclier cerf-volant</x:v>
      </x:c>
      <x:c r="C1529" t="n">
        <x:v>6</x:v>
      </x:c>
      <x:c r="D1529" t="str">
        <x:v>Boucliers</x:v>
      </x:c>
      <x:c r="E1529" s="28" t="n">
        <x:f>IF(M1529=0,0,M1529+O1529)</x:f>
        <x:v>0</x:v>
      </x:c>
      <x:c r="F1529" s="28" t="n">
        <x:f>IF(M1529=0,0,M1529*N1529+O1529)</x:f>
        <x:v>0</x:v>
      </x:c>
      <x:c r="G1529" s="28" t="n">
        <x:f>ROUND(Catalogue!G80*SQRT((1+'Paramètres'!$B$4*(C1529-1)+'Paramètres'!$B$5*(C1529-1)^2)),0)</x:f>
        <x:v>10</x:v>
      </x:c>
      <x:c r="H1529" s="28" t="n">
        <x:f>ROUND(Catalogue!H80*SQRT((1+'Paramètres'!$B$4*(C1529-1)+'Paramètres'!$B$5*(C1529-1)^2)),0)</x:f>
        <x:v>0</x:v>
      </x:c>
      <x:c r="I1529" s="28" t="n">
        <x:v>0</x:v>
      </x:c>
      <x:c r="J1529" s="28" t="n">
        <x:v>0</x:v>
      </x:c>
      <x:c r="K1529" s="30" t="n">
        <x:v>4</x:v>
      </x:c>
      <x:c r="L1529" s="54" t="n">
        <x:f>IF(M1529=0,0,(E1529+F1529)/2)</x:f>
        <x:v>0</x:v>
      </x:c>
      <x:c r="M1529" t="n">
        <x:v>0</x:v>
      </x:c>
      <x:c r="N1529" t="n">
        <x:v>0</x:v>
      </x:c>
      <x:c r="O1529" t="n">
        <x:v>0</x:v>
      </x:c>
      <x:c r="P1529" s="63" t="str">
        <x:f>IF(M1529=0,"—",M1529&amp;"d"&amp;N1529&amp;IF(O1529=0,""," + "&amp;O1529))</x:f>
        <x:v>—</x:v>
      </x:c>
      <x:c r="Q1529" t="n">
        <x:f>ROUND(INDEX(Catalogue!E$4:E$85,MATCH(A1529,Catalogue!A$4:A$85,0))*(1+'Paramètres'!$B$4*(C1529-1)+'Paramètres'!$B$5*(C1529-1)^2),0)</x:f>
        <x:v>0</x:v>
      </x:c>
      <x:c r="R1529" t="n">
        <x:f>ROUND(INDEX(Catalogue!F$4:F$85,MATCH(A1529,Catalogue!A$4:A$85,0))*(1+'Paramètres'!$B$4*(C1529-1)+'Paramètres'!$B$5*(C1529-1)^2),0)</x:f>
        <x:v>0</x:v>
      </x:c>
      <x:c r="S1529" t="n">
        <x:f>L1529-AVERAGE(Q1529:R1529)</x:f>
        <x:v>0</x:v>
      </x:c>
      <x:c r="T1529" t="str">
        <x:f>IF(M1529=0,IF(AND(N1529=0,O1529=0,E1529=0,F1529=0),"OK","ERREUR"),IF(AND(M1529&gt;=1,M1529&lt;=32,OR(N1529=4,N1529=6,N1529=8,N1529=10,N1529=12,N1529=20),O1529&gt;=0,E1529=M1529+O1529,F1529=M1529*N1529+O1529),"OK","ERREUR"))</x:f>
        <x:v>OK</x:v>
      </x:c>
      <x:c r="U1529" s="86" t="n">
        <x:f>IF(M1529&gt;0,M1529*(N1529+1)/2+O1529,0)</x:f>
        <x:v>0</x:v>
      </x:c>
      <x:c r="V1529" t="str">
        <x:f>IF(ABS(L1529-U1529)&lt;0.001,"OK","ERREUR")</x:f>
        <x:v>OK</x:v>
      </x:c>
    </x:row>
    <x:row r="1530" ht="18" customHeight="1">
      <x:c r="A1530" t="str">
        <x:v>ARM077</x:v>
      </x:c>
      <x:c r="B1530" t="str">
        <x:v>Bouclier cerf-volant</x:v>
      </x:c>
      <x:c r="C1530" t="n">
        <x:v>7</x:v>
      </x:c>
      <x:c r="D1530" t="str">
        <x:v>Boucliers</x:v>
      </x:c>
      <x:c r="E1530" s="28" t="n">
        <x:f>IF(M1530=0,0,M1530+O1530)</x:f>
        <x:v>0</x:v>
      </x:c>
      <x:c r="F1530" s="28" t="n">
        <x:f>IF(M1530=0,0,M1530*N1530+O1530)</x:f>
        <x:v>0</x:v>
      </x:c>
      <x:c r="G1530" s="28" t="n">
        <x:f>ROUND(Catalogue!G80*SQRT((1+'Paramètres'!$B$4*(C1530-1)+'Paramètres'!$B$5*(C1530-1)^2)),0)</x:f>
        <x:v>10</x:v>
      </x:c>
      <x:c r="H1530" s="28" t="n">
        <x:f>ROUND(Catalogue!H80*SQRT((1+'Paramètres'!$B$4*(C1530-1)+'Paramètres'!$B$5*(C1530-1)^2)),0)</x:f>
        <x:v>0</x:v>
      </x:c>
      <x:c r="I1530" s="28" t="n">
        <x:v>0</x:v>
      </x:c>
      <x:c r="J1530" s="28" t="n">
        <x:v>0</x:v>
      </x:c>
      <x:c r="K1530" s="30" t="n">
        <x:v>4</x:v>
      </x:c>
      <x:c r="L1530" s="54" t="n">
        <x:f>IF(M1530=0,0,(E1530+F1530)/2)</x:f>
        <x:v>0</x:v>
      </x:c>
      <x:c r="M1530" t="n">
        <x:v>0</x:v>
      </x:c>
      <x:c r="N1530" t="n">
        <x:v>0</x:v>
      </x:c>
      <x:c r="O1530" t="n">
        <x:v>0</x:v>
      </x:c>
      <x:c r="P1530" s="63" t="str">
        <x:f>IF(M1530=0,"—",M1530&amp;"d"&amp;N1530&amp;IF(O1530=0,""," + "&amp;O1530))</x:f>
        <x:v>—</x:v>
      </x:c>
      <x:c r="Q1530" t="n">
        <x:f>ROUND(INDEX(Catalogue!E$4:E$85,MATCH(A1530,Catalogue!A$4:A$85,0))*(1+'Paramètres'!$B$4*(C1530-1)+'Paramètres'!$B$5*(C1530-1)^2),0)</x:f>
        <x:v>0</x:v>
      </x:c>
      <x:c r="R1530" t="n">
        <x:f>ROUND(INDEX(Catalogue!F$4:F$85,MATCH(A1530,Catalogue!A$4:A$85,0))*(1+'Paramètres'!$B$4*(C1530-1)+'Paramètres'!$B$5*(C1530-1)^2),0)</x:f>
        <x:v>0</x:v>
      </x:c>
      <x:c r="S1530" t="n">
        <x:f>L1530-AVERAGE(Q1530:R1530)</x:f>
        <x:v>0</x:v>
      </x:c>
      <x:c r="T1530" t="str">
        <x:f>IF(M1530=0,IF(AND(N1530=0,O1530=0,E1530=0,F1530=0),"OK","ERREUR"),IF(AND(M1530&gt;=1,M1530&lt;=32,OR(N1530=4,N1530=6,N1530=8,N1530=10,N1530=12,N1530=20),O1530&gt;=0,E1530=M1530+O1530,F1530=M1530*N1530+O1530),"OK","ERREUR"))</x:f>
        <x:v>OK</x:v>
      </x:c>
      <x:c r="U1530" s="86" t="n">
        <x:f>IF(M1530&gt;0,M1530*(N1530+1)/2+O1530,0)</x:f>
        <x:v>0</x:v>
      </x:c>
      <x:c r="V1530" t="str">
        <x:f>IF(ABS(L1530-U1530)&lt;0.001,"OK","ERREUR")</x:f>
        <x:v>OK</x:v>
      </x:c>
    </x:row>
    <x:row r="1531" ht="18" customHeight="1">
      <x:c r="A1531" t="str">
        <x:v>ARM077</x:v>
      </x:c>
      <x:c r="B1531" t="str">
        <x:v>Bouclier cerf-volant</x:v>
      </x:c>
      <x:c r="C1531" t="n">
        <x:v>8</x:v>
      </x:c>
      <x:c r="D1531" t="str">
        <x:v>Boucliers</x:v>
      </x:c>
      <x:c r="E1531" s="28" t="n">
        <x:f>IF(M1531=0,0,M1531+O1531)</x:f>
        <x:v>0</x:v>
      </x:c>
      <x:c r="F1531" s="28" t="n">
        <x:f>IF(M1531=0,0,M1531*N1531+O1531)</x:f>
        <x:v>0</x:v>
      </x:c>
      <x:c r="G1531" s="28" t="n">
        <x:f>ROUND(Catalogue!G80*SQRT((1+'Paramètres'!$B$4*(C1531-1)+'Paramètres'!$B$5*(C1531-1)^2)),0)</x:f>
        <x:v>11</x:v>
      </x:c>
      <x:c r="H1531" s="28" t="n">
        <x:f>ROUND(Catalogue!H80*SQRT((1+'Paramètres'!$B$4*(C1531-1)+'Paramètres'!$B$5*(C1531-1)^2)),0)</x:f>
        <x:v>0</x:v>
      </x:c>
      <x:c r="I1531" s="28" t="n">
        <x:v>0</x:v>
      </x:c>
      <x:c r="J1531" s="28" t="n">
        <x:v>0</x:v>
      </x:c>
      <x:c r="K1531" s="30" t="n">
        <x:v>4</x:v>
      </x:c>
      <x:c r="L1531" s="54" t="n">
        <x:f>IF(M1531=0,0,(E1531+F1531)/2)</x:f>
        <x:v>0</x:v>
      </x:c>
      <x:c r="M1531" t="n">
        <x:v>0</x:v>
      </x:c>
      <x:c r="N1531" t="n">
        <x:v>0</x:v>
      </x:c>
      <x:c r="O1531" t="n">
        <x:v>0</x:v>
      </x:c>
      <x:c r="P1531" s="63" t="str">
        <x:f>IF(M1531=0,"—",M1531&amp;"d"&amp;N1531&amp;IF(O1531=0,""," + "&amp;O1531))</x:f>
        <x:v>—</x:v>
      </x:c>
      <x:c r="Q1531" t="n">
        <x:f>ROUND(INDEX(Catalogue!E$4:E$85,MATCH(A1531,Catalogue!A$4:A$85,0))*(1+'Paramètres'!$B$4*(C1531-1)+'Paramètres'!$B$5*(C1531-1)^2),0)</x:f>
        <x:v>0</x:v>
      </x:c>
      <x:c r="R1531" t="n">
        <x:f>ROUND(INDEX(Catalogue!F$4:F$85,MATCH(A1531,Catalogue!A$4:A$85,0))*(1+'Paramètres'!$B$4*(C1531-1)+'Paramètres'!$B$5*(C1531-1)^2),0)</x:f>
        <x:v>0</x:v>
      </x:c>
      <x:c r="S1531" t="n">
        <x:f>L1531-AVERAGE(Q1531:R1531)</x:f>
        <x:v>0</x:v>
      </x:c>
      <x:c r="T1531" t="str">
        <x:f>IF(M1531=0,IF(AND(N1531=0,O1531=0,E1531=0,F1531=0),"OK","ERREUR"),IF(AND(M1531&gt;=1,M1531&lt;=32,OR(N1531=4,N1531=6,N1531=8,N1531=10,N1531=12,N1531=20),O1531&gt;=0,E1531=M1531+O1531,F1531=M1531*N1531+O1531),"OK","ERREUR"))</x:f>
        <x:v>OK</x:v>
      </x:c>
      <x:c r="U1531" s="86" t="n">
        <x:f>IF(M1531&gt;0,M1531*(N1531+1)/2+O1531,0)</x:f>
        <x:v>0</x:v>
      </x:c>
      <x:c r="V1531" t="str">
        <x:f>IF(ABS(L1531-U1531)&lt;0.001,"OK","ERREUR")</x:f>
        <x:v>OK</x:v>
      </x:c>
    </x:row>
    <x:row r="1532" ht="18" customHeight="1">
      <x:c r="A1532" t="str">
        <x:v>ARM077</x:v>
      </x:c>
      <x:c r="B1532" t="str">
        <x:v>Bouclier cerf-volant</x:v>
      </x:c>
      <x:c r="C1532" t="n">
        <x:v>9</x:v>
      </x:c>
      <x:c r="D1532" t="str">
        <x:v>Boucliers</x:v>
      </x:c>
      <x:c r="E1532" s="28" t="n">
        <x:f>IF(M1532=0,0,M1532+O1532)</x:f>
        <x:v>0</x:v>
      </x:c>
      <x:c r="F1532" s="28" t="n">
        <x:f>IF(M1532=0,0,M1532*N1532+O1532)</x:f>
        <x:v>0</x:v>
      </x:c>
      <x:c r="G1532" s="28" t="n">
        <x:f>ROUND(Catalogue!G80*SQRT((1+'Paramètres'!$B$4*(C1532-1)+'Paramètres'!$B$5*(C1532-1)^2)),0)</x:f>
        <x:v>12</x:v>
      </x:c>
      <x:c r="H1532" s="28" t="n">
        <x:f>ROUND(Catalogue!H80*SQRT((1+'Paramètres'!$B$4*(C1532-1)+'Paramètres'!$B$5*(C1532-1)^2)),0)</x:f>
        <x:v>0</x:v>
      </x:c>
      <x:c r="I1532" s="28" t="n">
        <x:v>0</x:v>
      </x:c>
      <x:c r="J1532" s="28" t="n">
        <x:v>0</x:v>
      </x:c>
      <x:c r="K1532" s="30" t="n">
        <x:v>4</x:v>
      </x:c>
      <x:c r="L1532" s="54" t="n">
        <x:f>IF(M1532=0,0,(E1532+F1532)/2)</x:f>
        <x:v>0</x:v>
      </x:c>
      <x:c r="M1532" t="n">
        <x:v>0</x:v>
      </x:c>
      <x:c r="N1532" t="n">
        <x:v>0</x:v>
      </x:c>
      <x:c r="O1532" t="n">
        <x:v>0</x:v>
      </x:c>
      <x:c r="P1532" s="63" t="str">
        <x:f>IF(M1532=0,"—",M1532&amp;"d"&amp;N1532&amp;IF(O1532=0,""," + "&amp;O1532))</x:f>
        <x:v>—</x:v>
      </x:c>
      <x:c r="Q1532" t="n">
        <x:f>ROUND(INDEX(Catalogue!E$4:E$85,MATCH(A1532,Catalogue!A$4:A$85,0))*(1+'Paramètres'!$B$4*(C1532-1)+'Paramètres'!$B$5*(C1532-1)^2),0)</x:f>
        <x:v>0</x:v>
      </x:c>
      <x:c r="R1532" t="n">
        <x:f>ROUND(INDEX(Catalogue!F$4:F$85,MATCH(A1532,Catalogue!A$4:A$85,0))*(1+'Paramètres'!$B$4*(C1532-1)+'Paramètres'!$B$5*(C1532-1)^2),0)</x:f>
        <x:v>0</x:v>
      </x:c>
      <x:c r="S1532" t="n">
        <x:f>L1532-AVERAGE(Q1532:R1532)</x:f>
        <x:v>0</x:v>
      </x:c>
      <x:c r="T1532" t="str">
        <x:f>IF(M1532=0,IF(AND(N1532=0,O1532=0,E1532=0,F1532=0),"OK","ERREUR"),IF(AND(M1532&gt;=1,M1532&lt;=32,OR(N1532=4,N1532=6,N1532=8,N1532=10,N1532=12,N1532=20),O1532&gt;=0,E1532=M1532+O1532,F1532=M1532*N1532+O1532),"OK","ERREUR"))</x:f>
        <x:v>OK</x:v>
      </x:c>
      <x:c r="U1532" s="86" t="n">
        <x:f>IF(M1532&gt;0,M1532*(N1532+1)/2+O1532,0)</x:f>
        <x:v>0</x:v>
      </x:c>
      <x:c r="V1532" t="str">
        <x:f>IF(ABS(L1532-U1532)&lt;0.001,"OK","ERREUR")</x:f>
        <x:v>OK</x:v>
      </x:c>
    </x:row>
    <x:row r="1533" ht="18" customHeight="1">
      <x:c r="A1533" t="str">
        <x:v>ARM077</x:v>
      </x:c>
      <x:c r="B1533" t="str">
        <x:v>Bouclier cerf-volant</x:v>
      </x:c>
      <x:c r="C1533" t="n">
        <x:v>10</x:v>
      </x:c>
      <x:c r="D1533" t="str">
        <x:v>Boucliers</x:v>
      </x:c>
      <x:c r="E1533" s="28" t="n">
        <x:f>IF(M1533=0,0,M1533+O1533)</x:f>
        <x:v>0</x:v>
      </x:c>
      <x:c r="F1533" s="28" t="n">
        <x:f>IF(M1533=0,0,M1533*N1533+O1533)</x:f>
        <x:v>0</x:v>
      </x:c>
      <x:c r="G1533" s="28" t="n">
        <x:f>ROUND(Catalogue!G80*SQRT((1+'Paramètres'!$B$4*(C1533-1)+'Paramètres'!$B$5*(C1533-1)^2)),0)</x:f>
        <x:v>13</x:v>
      </x:c>
      <x:c r="H1533" s="28" t="n">
        <x:f>ROUND(Catalogue!H80*SQRT((1+'Paramètres'!$B$4*(C1533-1)+'Paramètres'!$B$5*(C1533-1)^2)),0)</x:f>
        <x:v>0</x:v>
      </x:c>
      <x:c r="I1533" s="28" t="n">
        <x:v>0</x:v>
      </x:c>
      <x:c r="J1533" s="28" t="n">
        <x:v>0</x:v>
      </x:c>
      <x:c r="K1533" s="30" t="n">
        <x:v>4</x:v>
      </x:c>
      <x:c r="L1533" s="54" t="n">
        <x:f>IF(M1533=0,0,(E1533+F1533)/2)</x:f>
        <x:v>0</x:v>
      </x:c>
      <x:c r="M1533" t="n">
        <x:v>0</x:v>
      </x:c>
      <x:c r="N1533" t="n">
        <x:v>0</x:v>
      </x:c>
      <x:c r="O1533" t="n">
        <x:v>0</x:v>
      </x:c>
      <x:c r="P1533" s="63" t="str">
        <x:f>IF(M1533=0,"—",M1533&amp;"d"&amp;N1533&amp;IF(O1533=0,""," + "&amp;O1533))</x:f>
        <x:v>—</x:v>
      </x:c>
      <x:c r="Q1533" t="n">
        <x:f>ROUND(INDEX(Catalogue!E$4:E$85,MATCH(A1533,Catalogue!A$4:A$85,0))*(1+'Paramètres'!$B$4*(C1533-1)+'Paramètres'!$B$5*(C1533-1)^2),0)</x:f>
        <x:v>0</x:v>
      </x:c>
      <x:c r="R1533" t="n">
        <x:f>ROUND(INDEX(Catalogue!F$4:F$85,MATCH(A1533,Catalogue!A$4:A$85,0))*(1+'Paramètres'!$B$4*(C1533-1)+'Paramètres'!$B$5*(C1533-1)^2),0)</x:f>
        <x:v>0</x:v>
      </x:c>
      <x:c r="S1533" t="n">
        <x:f>L1533-AVERAGE(Q1533:R1533)</x:f>
        <x:v>0</x:v>
      </x:c>
      <x:c r="T1533" t="str">
        <x:f>IF(M1533=0,IF(AND(N1533=0,O1533=0,E1533=0,F1533=0),"OK","ERREUR"),IF(AND(M1533&gt;=1,M1533&lt;=32,OR(N1533=4,N1533=6,N1533=8,N1533=10,N1533=12,N1533=20),O1533&gt;=0,E1533=M1533+O1533,F1533=M1533*N1533+O1533),"OK","ERREUR"))</x:f>
        <x:v>OK</x:v>
      </x:c>
      <x:c r="U1533" s="86" t="n">
        <x:f>IF(M1533&gt;0,M1533*(N1533+1)/2+O1533,0)</x:f>
        <x:v>0</x:v>
      </x:c>
      <x:c r="V1533" t="str">
        <x:f>IF(ABS(L1533-U1533)&lt;0.001,"OK","ERREUR")</x:f>
        <x:v>OK</x:v>
      </x:c>
    </x:row>
    <x:row r="1534" ht="18" customHeight="1">
      <x:c r="A1534" t="str">
        <x:v>ARM077</x:v>
      </x:c>
      <x:c r="B1534" t="str">
        <x:v>Bouclier cerf-volant</x:v>
      </x:c>
      <x:c r="C1534" t="n">
        <x:v>11</x:v>
      </x:c>
      <x:c r="D1534" t="str">
        <x:v>Boucliers</x:v>
      </x:c>
      <x:c r="E1534" s="28" t="n">
        <x:f>IF(M1534=0,0,M1534+O1534)</x:f>
        <x:v>0</x:v>
      </x:c>
      <x:c r="F1534" s="28" t="n">
        <x:f>IF(M1534=0,0,M1534*N1534+O1534)</x:f>
        <x:v>0</x:v>
      </x:c>
      <x:c r="G1534" s="28" t="n">
        <x:f>ROUND(Catalogue!G80*SQRT((1+'Paramètres'!$B$4*(C1534-1)+'Paramètres'!$B$5*(C1534-1)^2)),0)</x:f>
        <x:v>13</x:v>
      </x:c>
      <x:c r="H1534" s="28" t="n">
        <x:f>ROUND(Catalogue!H80*SQRT((1+'Paramètres'!$B$4*(C1534-1)+'Paramètres'!$B$5*(C1534-1)^2)),0)</x:f>
        <x:v>0</x:v>
      </x:c>
      <x:c r="I1534" s="28" t="n">
        <x:v>0</x:v>
      </x:c>
      <x:c r="J1534" s="28" t="n">
        <x:v>0</x:v>
      </x:c>
      <x:c r="K1534" s="30" t="n">
        <x:v>4</x:v>
      </x:c>
      <x:c r="L1534" s="54" t="n">
        <x:f>IF(M1534=0,0,(E1534+F1534)/2)</x:f>
        <x:v>0</x:v>
      </x:c>
      <x:c r="M1534" t="n">
        <x:v>0</x:v>
      </x:c>
      <x:c r="N1534" t="n">
        <x:v>0</x:v>
      </x:c>
      <x:c r="O1534" t="n">
        <x:v>0</x:v>
      </x:c>
      <x:c r="P1534" s="63" t="str">
        <x:f>IF(M1534=0,"—",M1534&amp;"d"&amp;N1534&amp;IF(O1534=0,""," + "&amp;O1534))</x:f>
        <x:v>—</x:v>
      </x:c>
      <x:c r="Q1534" t="n">
        <x:f>ROUND(INDEX(Catalogue!E$4:E$85,MATCH(A1534,Catalogue!A$4:A$85,0))*(1+'Paramètres'!$B$4*(C1534-1)+'Paramètres'!$B$5*(C1534-1)^2),0)</x:f>
        <x:v>0</x:v>
      </x:c>
      <x:c r="R1534" t="n">
        <x:f>ROUND(INDEX(Catalogue!F$4:F$85,MATCH(A1534,Catalogue!A$4:A$85,0))*(1+'Paramètres'!$B$4*(C1534-1)+'Paramètres'!$B$5*(C1534-1)^2),0)</x:f>
        <x:v>0</x:v>
      </x:c>
      <x:c r="S1534" t="n">
        <x:f>L1534-AVERAGE(Q1534:R1534)</x:f>
        <x:v>0</x:v>
      </x:c>
      <x:c r="T1534" t="str">
        <x:f>IF(M1534=0,IF(AND(N1534=0,O1534=0,E1534=0,F1534=0),"OK","ERREUR"),IF(AND(M1534&gt;=1,M1534&lt;=32,OR(N1534=4,N1534=6,N1534=8,N1534=10,N1534=12,N1534=20),O1534&gt;=0,E1534=M1534+O1534,F1534=M1534*N1534+O1534),"OK","ERREUR"))</x:f>
        <x:v>OK</x:v>
      </x:c>
      <x:c r="U1534" s="86" t="n">
        <x:f>IF(M1534&gt;0,M1534*(N1534+1)/2+O1534,0)</x:f>
        <x:v>0</x:v>
      </x:c>
      <x:c r="V1534" t="str">
        <x:f>IF(ABS(L1534-U1534)&lt;0.001,"OK","ERREUR")</x:f>
        <x:v>OK</x:v>
      </x:c>
    </x:row>
    <x:row r="1535" ht="18" customHeight="1">
      <x:c r="A1535" t="str">
        <x:v>ARM077</x:v>
      </x:c>
      <x:c r="B1535" t="str">
        <x:v>Bouclier cerf-volant</x:v>
      </x:c>
      <x:c r="C1535" t="n">
        <x:v>12</x:v>
      </x:c>
      <x:c r="D1535" t="str">
        <x:v>Boucliers</x:v>
      </x:c>
      <x:c r="E1535" s="28" t="n">
        <x:f>IF(M1535=0,0,M1535+O1535)</x:f>
        <x:v>0</x:v>
      </x:c>
      <x:c r="F1535" s="28" t="n">
        <x:f>IF(M1535=0,0,M1535*N1535+O1535)</x:f>
        <x:v>0</x:v>
      </x:c>
      <x:c r="G1535" s="28" t="n">
        <x:f>ROUND(Catalogue!G80*SQRT((1+'Paramètres'!$B$4*(C1535-1)+'Paramètres'!$B$5*(C1535-1)^2)),0)</x:f>
        <x:v>14</x:v>
      </x:c>
      <x:c r="H1535" s="28" t="n">
        <x:f>ROUND(Catalogue!H80*SQRT((1+'Paramètres'!$B$4*(C1535-1)+'Paramètres'!$B$5*(C1535-1)^2)),0)</x:f>
        <x:v>0</x:v>
      </x:c>
      <x:c r="I1535" s="28" t="n">
        <x:v>0</x:v>
      </x:c>
      <x:c r="J1535" s="28" t="n">
        <x:v>0</x:v>
      </x:c>
      <x:c r="K1535" s="30" t="n">
        <x:v>4</x:v>
      </x:c>
      <x:c r="L1535" s="54" t="n">
        <x:f>IF(M1535=0,0,(E1535+F1535)/2)</x:f>
        <x:v>0</x:v>
      </x:c>
      <x:c r="M1535" t="n">
        <x:v>0</x:v>
      </x:c>
      <x:c r="N1535" t="n">
        <x:v>0</x:v>
      </x:c>
      <x:c r="O1535" t="n">
        <x:v>0</x:v>
      </x:c>
      <x:c r="P1535" s="63" t="str">
        <x:f>IF(M1535=0,"—",M1535&amp;"d"&amp;N1535&amp;IF(O1535=0,""," + "&amp;O1535))</x:f>
        <x:v>—</x:v>
      </x:c>
      <x:c r="Q1535" t="n">
        <x:f>ROUND(INDEX(Catalogue!E$4:E$85,MATCH(A1535,Catalogue!A$4:A$85,0))*(1+'Paramètres'!$B$4*(C1535-1)+'Paramètres'!$B$5*(C1535-1)^2),0)</x:f>
        <x:v>0</x:v>
      </x:c>
      <x:c r="R1535" t="n">
        <x:f>ROUND(INDEX(Catalogue!F$4:F$85,MATCH(A1535,Catalogue!A$4:A$85,0))*(1+'Paramètres'!$B$4*(C1535-1)+'Paramètres'!$B$5*(C1535-1)^2),0)</x:f>
        <x:v>0</x:v>
      </x:c>
      <x:c r="S1535" t="n">
        <x:f>L1535-AVERAGE(Q1535:R1535)</x:f>
        <x:v>0</x:v>
      </x:c>
      <x:c r="T1535" t="str">
        <x:f>IF(M1535=0,IF(AND(N1535=0,O1535=0,E1535=0,F1535=0),"OK","ERREUR"),IF(AND(M1535&gt;=1,M1535&lt;=32,OR(N1535=4,N1535=6,N1535=8,N1535=10,N1535=12,N1535=20),O1535&gt;=0,E1535=M1535+O1535,F1535=M1535*N1535+O1535),"OK","ERREUR"))</x:f>
        <x:v>OK</x:v>
      </x:c>
      <x:c r="U1535" s="86" t="n">
        <x:f>IF(M1535&gt;0,M1535*(N1535+1)/2+O1535,0)</x:f>
        <x:v>0</x:v>
      </x:c>
      <x:c r="V1535" t="str">
        <x:f>IF(ABS(L1535-U1535)&lt;0.001,"OK","ERREUR")</x:f>
        <x:v>OK</x:v>
      </x:c>
    </x:row>
    <x:row r="1536" ht="18" customHeight="1">
      <x:c r="A1536" t="str">
        <x:v>ARM077</x:v>
      </x:c>
      <x:c r="B1536" t="str">
        <x:v>Bouclier cerf-volant</x:v>
      </x:c>
      <x:c r="C1536" t="n">
        <x:v>13</x:v>
      </x:c>
      <x:c r="D1536" t="str">
        <x:v>Boucliers</x:v>
      </x:c>
      <x:c r="E1536" s="28" t="n">
        <x:f>IF(M1536=0,0,M1536+O1536)</x:f>
        <x:v>0</x:v>
      </x:c>
      <x:c r="F1536" s="28" t="n">
        <x:f>IF(M1536=0,0,M1536*N1536+O1536)</x:f>
        <x:v>0</x:v>
      </x:c>
      <x:c r="G1536" s="28" t="n">
        <x:f>ROUND(Catalogue!G80*SQRT((1+'Paramètres'!$B$4*(C1536-1)+'Paramètres'!$B$5*(C1536-1)^2)),0)</x:f>
        <x:v>15</x:v>
      </x:c>
      <x:c r="H1536" s="28" t="n">
        <x:f>ROUND(Catalogue!H80*SQRT((1+'Paramètres'!$B$4*(C1536-1)+'Paramètres'!$B$5*(C1536-1)^2)),0)</x:f>
        <x:v>0</x:v>
      </x:c>
      <x:c r="I1536" s="28" t="n">
        <x:v>0</x:v>
      </x:c>
      <x:c r="J1536" s="28" t="n">
        <x:v>0</x:v>
      </x:c>
      <x:c r="K1536" s="30" t="n">
        <x:v>4</x:v>
      </x:c>
      <x:c r="L1536" s="54" t="n">
        <x:f>IF(M1536=0,0,(E1536+F1536)/2)</x:f>
        <x:v>0</x:v>
      </x:c>
      <x:c r="M1536" t="n">
        <x:v>0</x:v>
      </x:c>
      <x:c r="N1536" t="n">
        <x:v>0</x:v>
      </x:c>
      <x:c r="O1536" t="n">
        <x:v>0</x:v>
      </x:c>
      <x:c r="P1536" s="63" t="str">
        <x:f>IF(M1536=0,"—",M1536&amp;"d"&amp;N1536&amp;IF(O1536=0,""," + "&amp;O1536))</x:f>
        <x:v>—</x:v>
      </x:c>
      <x:c r="Q1536" t="n">
        <x:f>ROUND(INDEX(Catalogue!E$4:E$85,MATCH(A1536,Catalogue!A$4:A$85,0))*(1+'Paramètres'!$B$4*(C1536-1)+'Paramètres'!$B$5*(C1536-1)^2),0)</x:f>
        <x:v>0</x:v>
      </x:c>
      <x:c r="R1536" t="n">
        <x:f>ROUND(INDEX(Catalogue!F$4:F$85,MATCH(A1536,Catalogue!A$4:A$85,0))*(1+'Paramètres'!$B$4*(C1536-1)+'Paramètres'!$B$5*(C1536-1)^2),0)</x:f>
        <x:v>0</x:v>
      </x:c>
      <x:c r="S1536" t="n">
        <x:f>L1536-AVERAGE(Q1536:R1536)</x:f>
        <x:v>0</x:v>
      </x:c>
      <x:c r="T1536" t="str">
        <x:f>IF(M1536=0,IF(AND(N1536=0,O1536=0,E1536=0,F1536=0),"OK","ERREUR"),IF(AND(M1536&gt;=1,M1536&lt;=32,OR(N1536=4,N1536=6,N1536=8,N1536=10,N1536=12,N1536=20),O1536&gt;=0,E1536=M1536+O1536,F1536=M1536*N1536+O1536),"OK","ERREUR"))</x:f>
        <x:v>OK</x:v>
      </x:c>
      <x:c r="U1536" s="86" t="n">
        <x:f>IF(M1536&gt;0,M1536*(N1536+1)/2+O1536,0)</x:f>
        <x:v>0</x:v>
      </x:c>
      <x:c r="V1536" t="str">
        <x:f>IF(ABS(L1536-U1536)&lt;0.001,"OK","ERREUR")</x:f>
        <x:v>OK</x:v>
      </x:c>
    </x:row>
    <x:row r="1537" ht="18" customHeight="1">
      <x:c r="A1537" t="str">
        <x:v>ARM077</x:v>
      </x:c>
      <x:c r="B1537" t="str">
        <x:v>Bouclier cerf-volant</x:v>
      </x:c>
      <x:c r="C1537" t="n">
        <x:v>14</x:v>
      </x:c>
      <x:c r="D1537" t="str">
        <x:v>Boucliers</x:v>
      </x:c>
      <x:c r="E1537" s="28" t="n">
        <x:f>IF(M1537=0,0,M1537+O1537)</x:f>
        <x:v>0</x:v>
      </x:c>
      <x:c r="F1537" s="28" t="n">
        <x:f>IF(M1537=0,0,M1537*N1537+O1537)</x:f>
        <x:v>0</x:v>
      </x:c>
      <x:c r="G1537" s="28" t="n">
        <x:f>ROUND(Catalogue!G80*SQRT((1+'Paramètres'!$B$4*(C1537-1)+'Paramètres'!$B$5*(C1537-1)^2)),0)</x:f>
        <x:v>16</x:v>
      </x:c>
      <x:c r="H1537" s="28" t="n">
        <x:f>ROUND(Catalogue!H80*SQRT((1+'Paramètres'!$B$4*(C1537-1)+'Paramètres'!$B$5*(C1537-1)^2)),0)</x:f>
        <x:v>0</x:v>
      </x:c>
      <x:c r="I1537" s="28" t="n">
        <x:v>0</x:v>
      </x:c>
      <x:c r="J1537" s="28" t="n">
        <x:v>0</x:v>
      </x:c>
      <x:c r="K1537" s="30" t="n">
        <x:v>4</x:v>
      </x:c>
      <x:c r="L1537" s="54" t="n">
        <x:f>IF(M1537=0,0,(E1537+F1537)/2)</x:f>
        <x:v>0</x:v>
      </x:c>
      <x:c r="M1537" t="n">
        <x:v>0</x:v>
      </x:c>
      <x:c r="N1537" t="n">
        <x:v>0</x:v>
      </x:c>
      <x:c r="O1537" t="n">
        <x:v>0</x:v>
      </x:c>
      <x:c r="P1537" s="63" t="str">
        <x:f>IF(M1537=0,"—",M1537&amp;"d"&amp;N1537&amp;IF(O1537=0,""," + "&amp;O1537))</x:f>
        <x:v>—</x:v>
      </x:c>
      <x:c r="Q1537" t="n">
        <x:f>ROUND(INDEX(Catalogue!E$4:E$85,MATCH(A1537,Catalogue!A$4:A$85,0))*(1+'Paramètres'!$B$4*(C1537-1)+'Paramètres'!$B$5*(C1537-1)^2),0)</x:f>
        <x:v>0</x:v>
      </x:c>
      <x:c r="R1537" t="n">
        <x:f>ROUND(INDEX(Catalogue!F$4:F$85,MATCH(A1537,Catalogue!A$4:A$85,0))*(1+'Paramètres'!$B$4*(C1537-1)+'Paramètres'!$B$5*(C1537-1)^2),0)</x:f>
        <x:v>0</x:v>
      </x:c>
      <x:c r="S1537" t="n">
        <x:f>L1537-AVERAGE(Q1537:R1537)</x:f>
        <x:v>0</x:v>
      </x:c>
      <x:c r="T1537" t="str">
        <x:f>IF(M1537=0,IF(AND(N1537=0,O1537=0,E1537=0,F1537=0),"OK","ERREUR"),IF(AND(M1537&gt;=1,M1537&lt;=32,OR(N1537=4,N1537=6,N1537=8,N1537=10,N1537=12,N1537=20),O1537&gt;=0,E1537=M1537+O1537,F1537=M1537*N1537+O1537),"OK","ERREUR"))</x:f>
        <x:v>OK</x:v>
      </x:c>
      <x:c r="U1537" s="86" t="n">
        <x:f>IF(M1537&gt;0,M1537*(N1537+1)/2+O1537,0)</x:f>
        <x:v>0</x:v>
      </x:c>
      <x:c r="V1537" t="str">
        <x:f>IF(ABS(L1537-U1537)&lt;0.001,"OK","ERREUR")</x:f>
        <x:v>OK</x:v>
      </x:c>
    </x:row>
    <x:row r="1538" ht="18" customHeight="1">
      <x:c r="A1538" t="str">
        <x:v>ARM077</x:v>
      </x:c>
      <x:c r="B1538" t="str">
        <x:v>Bouclier cerf-volant</x:v>
      </x:c>
      <x:c r="C1538" t="n">
        <x:v>15</x:v>
      </x:c>
      <x:c r="D1538" t="str">
        <x:v>Boucliers</x:v>
      </x:c>
      <x:c r="E1538" s="28" t="n">
        <x:f>IF(M1538=0,0,M1538+O1538)</x:f>
        <x:v>0</x:v>
      </x:c>
      <x:c r="F1538" s="28" t="n">
        <x:f>IF(M1538=0,0,M1538*N1538+O1538)</x:f>
        <x:v>0</x:v>
      </x:c>
      <x:c r="G1538" s="28" t="n">
        <x:f>ROUND(Catalogue!G80*SQRT((1+'Paramètres'!$B$4*(C1538-1)+'Paramètres'!$B$5*(C1538-1)^2)),0)</x:f>
        <x:v>17</x:v>
      </x:c>
      <x:c r="H1538" s="28" t="n">
        <x:f>ROUND(Catalogue!H80*SQRT((1+'Paramètres'!$B$4*(C1538-1)+'Paramètres'!$B$5*(C1538-1)^2)),0)</x:f>
        <x:v>0</x:v>
      </x:c>
      <x:c r="I1538" s="28" t="n">
        <x:v>0</x:v>
      </x:c>
      <x:c r="J1538" s="28" t="n">
        <x:v>0</x:v>
      </x:c>
      <x:c r="K1538" s="30" t="n">
        <x:v>4</x:v>
      </x:c>
      <x:c r="L1538" s="54" t="n">
        <x:f>IF(M1538=0,0,(E1538+F1538)/2)</x:f>
        <x:v>0</x:v>
      </x:c>
      <x:c r="M1538" t="n">
        <x:v>0</x:v>
      </x:c>
      <x:c r="N1538" t="n">
        <x:v>0</x:v>
      </x:c>
      <x:c r="O1538" t="n">
        <x:v>0</x:v>
      </x:c>
      <x:c r="P1538" s="63" t="str">
        <x:f>IF(M1538=0,"—",M1538&amp;"d"&amp;N1538&amp;IF(O1538=0,""," + "&amp;O1538))</x:f>
        <x:v>—</x:v>
      </x:c>
      <x:c r="Q1538" t="n">
        <x:f>ROUND(INDEX(Catalogue!E$4:E$85,MATCH(A1538,Catalogue!A$4:A$85,0))*(1+'Paramètres'!$B$4*(C1538-1)+'Paramètres'!$B$5*(C1538-1)^2),0)</x:f>
        <x:v>0</x:v>
      </x:c>
      <x:c r="R1538" t="n">
        <x:f>ROUND(INDEX(Catalogue!F$4:F$85,MATCH(A1538,Catalogue!A$4:A$85,0))*(1+'Paramètres'!$B$4*(C1538-1)+'Paramètres'!$B$5*(C1538-1)^2),0)</x:f>
        <x:v>0</x:v>
      </x:c>
      <x:c r="S1538" t="n">
        <x:f>L1538-AVERAGE(Q1538:R1538)</x:f>
        <x:v>0</x:v>
      </x:c>
      <x:c r="T1538" t="str">
        <x:f>IF(M1538=0,IF(AND(N1538=0,O1538=0,E1538=0,F1538=0),"OK","ERREUR"),IF(AND(M1538&gt;=1,M1538&lt;=32,OR(N1538=4,N1538=6,N1538=8,N1538=10,N1538=12,N1538=20),O1538&gt;=0,E1538=M1538+O1538,F1538=M1538*N1538+O1538),"OK","ERREUR"))</x:f>
        <x:v>OK</x:v>
      </x:c>
      <x:c r="U1538" s="86" t="n">
        <x:f>IF(M1538&gt;0,M1538*(N1538+1)/2+O1538,0)</x:f>
        <x:v>0</x:v>
      </x:c>
      <x:c r="V1538" t="str">
        <x:f>IF(ABS(L1538-U1538)&lt;0.001,"OK","ERREUR")</x:f>
        <x:v>OK</x:v>
      </x:c>
    </x:row>
    <x:row r="1539" ht="18" customHeight="1">
      <x:c r="A1539" t="str">
        <x:v>ARM077</x:v>
      </x:c>
      <x:c r="B1539" t="str">
        <x:v>Bouclier cerf-volant</x:v>
      </x:c>
      <x:c r="C1539" t="n">
        <x:v>16</x:v>
      </x:c>
      <x:c r="D1539" t="str">
        <x:v>Boucliers</x:v>
      </x:c>
      <x:c r="E1539" s="28" t="n">
        <x:f>IF(M1539=0,0,M1539+O1539)</x:f>
        <x:v>0</x:v>
      </x:c>
      <x:c r="F1539" s="28" t="n">
        <x:f>IF(M1539=0,0,M1539*N1539+O1539)</x:f>
        <x:v>0</x:v>
      </x:c>
      <x:c r="G1539" s="28" t="n">
        <x:f>ROUND(Catalogue!G80*SQRT((1+'Paramètres'!$B$4*(C1539-1)+'Paramètres'!$B$5*(C1539-1)^2)),0)</x:f>
        <x:v>18</x:v>
      </x:c>
      <x:c r="H1539" s="28" t="n">
        <x:f>ROUND(Catalogue!H80*SQRT((1+'Paramètres'!$B$4*(C1539-1)+'Paramètres'!$B$5*(C1539-1)^2)),0)</x:f>
        <x:v>0</x:v>
      </x:c>
      <x:c r="I1539" s="28" t="n">
        <x:v>0</x:v>
      </x:c>
      <x:c r="J1539" s="28" t="n">
        <x:v>0</x:v>
      </x:c>
      <x:c r="K1539" s="30" t="n">
        <x:v>4</x:v>
      </x:c>
      <x:c r="L1539" s="54" t="n">
        <x:f>IF(M1539=0,0,(E1539+F1539)/2)</x:f>
        <x:v>0</x:v>
      </x:c>
      <x:c r="M1539" t="n">
        <x:v>0</x:v>
      </x:c>
      <x:c r="N1539" t="n">
        <x:v>0</x:v>
      </x:c>
      <x:c r="O1539" t="n">
        <x:v>0</x:v>
      </x:c>
      <x:c r="P1539" s="63" t="str">
        <x:f>IF(M1539=0,"—",M1539&amp;"d"&amp;N1539&amp;IF(O1539=0,""," + "&amp;O1539))</x:f>
        <x:v>—</x:v>
      </x:c>
      <x:c r="Q1539" t="n">
        <x:f>ROUND(INDEX(Catalogue!E$4:E$85,MATCH(A1539,Catalogue!A$4:A$85,0))*(1+'Paramètres'!$B$4*(C1539-1)+'Paramètres'!$B$5*(C1539-1)^2),0)</x:f>
        <x:v>0</x:v>
      </x:c>
      <x:c r="R1539" t="n">
        <x:f>ROUND(INDEX(Catalogue!F$4:F$85,MATCH(A1539,Catalogue!A$4:A$85,0))*(1+'Paramètres'!$B$4*(C1539-1)+'Paramètres'!$B$5*(C1539-1)^2),0)</x:f>
        <x:v>0</x:v>
      </x:c>
      <x:c r="S1539" t="n">
        <x:f>L1539-AVERAGE(Q1539:R1539)</x:f>
        <x:v>0</x:v>
      </x:c>
      <x:c r="T1539" t="str">
        <x:f>IF(M1539=0,IF(AND(N1539=0,O1539=0,E1539=0,F1539=0),"OK","ERREUR"),IF(AND(M1539&gt;=1,M1539&lt;=32,OR(N1539=4,N1539=6,N1539=8,N1539=10,N1539=12,N1539=20),O1539&gt;=0,E1539=M1539+O1539,F1539=M1539*N1539+O1539),"OK","ERREUR"))</x:f>
        <x:v>OK</x:v>
      </x:c>
      <x:c r="U1539" s="86" t="n">
        <x:f>IF(M1539&gt;0,M1539*(N1539+1)/2+O1539,0)</x:f>
        <x:v>0</x:v>
      </x:c>
      <x:c r="V1539" t="str">
        <x:f>IF(ABS(L1539-U1539)&lt;0.001,"OK","ERREUR")</x:f>
        <x:v>OK</x:v>
      </x:c>
    </x:row>
    <x:row r="1540" ht="18" customHeight="1">
      <x:c r="A1540" t="str">
        <x:v>ARM077</x:v>
      </x:c>
      <x:c r="B1540" t="str">
        <x:v>Bouclier cerf-volant</x:v>
      </x:c>
      <x:c r="C1540" t="n">
        <x:v>17</x:v>
      </x:c>
      <x:c r="D1540" t="str">
        <x:v>Boucliers</x:v>
      </x:c>
      <x:c r="E1540" s="28" t="n">
        <x:f>IF(M1540=0,0,M1540+O1540)</x:f>
        <x:v>0</x:v>
      </x:c>
      <x:c r="F1540" s="28" t="n">
        <x:f>IF(M1540=0,0,M1540*N1540+O1540)</x:f>
        <x:v>0</x:v>
      </x:c>
      <x:c r="G1540" s="28" t="n">
        <x:f>ROUND(Catalogue!G80*SQRT((1+'Paramètres'!$B$4*(C1540-1)+'Paramètres'!$B$5*(C1540-1)^2)),0)</x:f>
        <x:v>18</x:v>
      </x:c>
      <x:c r="H1540" s="28" t="n">
        <x:f>ROUND(Catalogue!H80*SQRT((1+'Paramètres'!$B$4*(C1540-1)+'Paramètres'!$B$5*(C1540-1)^2)),0)</x:f>
        <x:v>0</x:v>
      </x:c>
      <x:c r="I1540" s="28" t="n">
        <x:v>0</x:v>
      </x:c>
      <x:c r="J1540" s="28" t="n">
        <x:v>0</x:v>
      </x:c>
      <x:c r="K1540" s="30" t="n">
        <x:v>4</x:v>
      </x:c>
      <x:c r="L1540" s="54" t="n">
        <x:f>IF(M1540=0,0,(E1540+F1540)/2)</x:f>
        <x:v>0</x:v>
      </x:c>
      <x:c r="M1540" t="n">
        <x:v>0</x:v>
      </x:c>
      <x:c r="N1540" t="n">
        <x:v>0</x:v>
      </x:c>
      <x:c r="O1540" t="n">
        <x:v>0</x:v>
      </x:c>
      <x:c r="P1540" s="63" t="str">
        <x:f>IF(M1540=0,"—",M1540&amp;"d"&amp;N1540&amp;IF(O1540=0,""," + "&amp;O1540))</x:f>
        <x:v>—</x:v>
      </x:c>
      <x:c r="Q1540" t="n">
        <x:f>ROUND(INDEX(Catalogue!E$4:E$85,MATCH(A1540,Catalogue!A$4:A$85,0))*(1+'Paramètres'!$B$4*(C1540-1)+'Paramètres'!$B$5*(C1540-1)^2),0)</x:f>
        <x:v>0</x:v>
      </x:c>
      <x:c r="R1540" t="n">
        <x:f>ROUND(INDEX(Catalogue!F$4:F$85,MATCH(A1540,Catalogue!A$4:A$85,0))*(1+'Paramètres'!$B$4*(C1540-1)+'Paramètres'!$B$5*(C1540-1)^2),0)</x:f>
        <x:v>0</x:v>
      </x:c>
      <x:c r="S1540" t="n">
        <x:f>L1540-AVERAGE(Q1540:R1540)</x:f>
        <x:v>0</x:v>
      </x:c>
      <x:c r="T1540" t="str">
        <x:f>IF(M1540=0,IF(AND(N1540=0,O1540=0,E1540=0,F1540=0),"OK","ERREUR"),IF(AND(M1540&gt;=1,M1540&lt;=32,OR(N1540=4,N1540=6,N1540=8,N1540=10,N1540=12,N1540=20),O1540&gt;=0,E1540=M1540+O1540,F1540=M1540*N1540+O1540),"OK","ERREUR"))</x:f>
        <x:v>OK</x:v>
      </x:c>
      <x:c r="U1540" s="86" t="n">
        <x:f>IF(M1540&gt;0,M1540*(N1540+1)/2+O1540,0)</x:f>
        <x:v>0</x:v>
      </x:c>
      <x:c r="V1540" t="str">
        <x:f>IF(ABS(L1540-U1540)&lt;0.001,"OK","ERREUR")</x:f>
        <x:v>OK</x:v>
      </x:c>
    </x:row>
    <x:row r="1541" ht="18" customHeight="1">
      <x:c r="A1541" t="str">
        <x:v>ARM077</x:v>
      </x:c>
      <x:c r="B1541" t="str">
        <x:v>Bouclier cerf-volant</x:v>
      </x:c>
      <x:c r="C1541" t="n">
        <x:v>18</x:v>
      </x:c>
      <x:c r="D1541" t="str">
        <x:v>Boucliers</x:v>
      </x:c>
      <x:c r="E1541" s="28" t="n">
        <x:f>IF(M1541=0,0,M1541+O1541)</x:f>
        <x:v>0</x:v>
      </x:c>
      <x:c r="F1541" s="28" t="n">
        <x:f>IF(M1541=0,0,M1541*N1541+O1541)</x:f>
        <x:v>0</x:v>
      </x:c>
      <x:c r="G1541" s="28" t="n">
        <x:f>ROUND(Catalogue!G80*SQRT((1+'Paramètres'!$B$4*(C1541-1)+'Paramètres'!$B$5*(C1541-1)^2)),0)</x:f>
        <x:v>19</x:v>
      </x:c>
      <x:c r="H1541" s="28" t="n">
        <x:f>ROUND(Catalogue!H80*SQRT((1+'Paramètres'!$B$4*(C1541-1)+'Paramètres'!$B$5*(C1541-1)^2)),0)</x:f>
        <x:v>0</x:v>
      </x:c>
      <x:c r="I1541" s="28" t="n">
        <x:v>0</x:v>
      </x:c>
      <x:c r="J1541" s="28" t="n">
        <x:v>0</x:v>
      </x:c>
      <x:c r="K1541" s="30" t="n">
        <x:v>4</x:v>
      </x:c>
      <x:c r="L1541" s="54" t="n">
        <x:f>IF(M1541=0,0,(E1541+F1541)/2)</x:f>
        <x:v>0</x:v>
      </x:c>
      <x:c r="M1541" t="n">
        <x:v>0</x:v>
      </x:c>
      <x:c r="N1541" t="n">
        <x:v>0</x:v>
      </x:c>
      <x:c r="O1541" t="n">
        <x:v>0</x:v>
      </x:c>
      <x:c r="P1541" s="63" t="str">
        <x:f>IF(M1541=0,"—",M1541&amp;"d"&amp;N1541&amp;IF(O1541=0,""," + "&amp;O1541))</x:f>
        <x:v>—</x:v>
      </x:c>
      <x:c r="Q1541" t="n">
        <x:f>ROUND(INDEX(Catalogue!E$4:E$85,MATCH(A1541,Catalogue!A$4:A$85,0))*(1+'Paramètres'!$B$4*(C1541-1)+'Paramètres'!$B$5*(C1541-1)^2),0)</x:f>
        <x:v>0</x:v>
      </x:c>
      <x:c r="R1541" t="n">
        <x:f>ROUND(INDEX(Catalogue!F$4:F$85,MATCH(A1541,Catalogue!A$4:A$85,0))*(1+'Paramètres'!$B$4*(C1541-1)+'Paramètres'!$B$5*(C1541-1)^2),0)</x:f>
        <x:v>0</x:v>
      </x:c>
      <x:c r="S1541" t="n">
        <x:f>L1541-AVERAGE(Q1541:R1541)</x:f>
        <x:v>0</x:v>
      </x:c>
      <x:c r="T1541" t="str">
        <x:f>IF(M1541=0,IF(AND(N1541=0,O1541=0,E1541=0,F1541=0),"OK","ERREUR"),IF(AND(M1541&gt;=1,M1541&lt;=32,OR(N1541=4,N1541=6,N1541=8,N1541=10,N1541=12,N1541=20),O1541&gt;=0,E1541=M1541+O1541,F1541=M1541*N1541+O1541),"OK","ERREUR"))</x:f>
        <x:v>OK</x:v>
      </x:c>
      <x:c r="U1541" s="86" t="n">
        <x:f>IF(M1541&gt;0,M1541*(N1541+1)/2+O1541,0)</x:f>
        <x:v>0</x:v>
      </x:c>
      <x:c r="V1541" t="str">
        <x:f>IF(ABS(L1541-U1541)&lt;0.001,"OK","ERREUR")</x:f>
        <x:v>OK</x:v>
      </x:c>
    </x:row>
    <x:row r="1542" ht="18" customHeight="1">
      <x:c r="A1542" t="str">
        <x:v>ARM077</x:v>
      </x:c>
      <x:c r="B1542" t="str">
        <x:v>Bouclier cerf-volant</x:v>
      </x:c>
      <x:c r="C1542" t="n">
        <x:v>19</x:v>
      </x:c>
      <x:c r="D1542" t="str">
        <x:v>Boucliers</x:v>
      </x:c>
      <x:c r="E1542" s="28" t="n">
        <x:f>IF(M1542=0,0,M1542+O1542)</x:f>
        <x:v>0</x:v>
      </x:c>
      <x:c r="F1542" s="28" t="n">
        <x:f>IF(M1542=0,0,M1542*N1542+O1542)</x:f>
        <x:v>0</x:v>
      </x:c>
      <x:c r="G1542" s="28" t="n">
        <x:f>ROUND(Catalogue!G80*SQRT((1+'Paramètres'!$B$4*(C1542-1)+'Paramètres'!$B$5*(C1542-1)^2)),0)</x:f>
        <x:v>20</x:v>
      </x:c>
      <x:c r="H1542" s="28" t="n">
        <x:f>ROUND(Catalogue!H80*SQRT((1+'Paramètres'!$B$4*(C1542-1)+'Paramètres'!$B$5*(C1542-1)^2)),0)</x:f>
        <x:v>0</x:v>
      </x:c>
      <x:c r="I1542" s="28" t="n">
        <x:v>0</x:v>
      </x:c>
      <x:c r="J1542" s="28" t="n">
        <x:v>0</x:v>
      </x:c>
      <x:c r="K1542" s="30" t="n">
        <x:v>4</x:v>
      </x:c>
      <x:c r="L1542" s="54" t="n">
        <x:f>IF(M1542=0,0,(E1542+F1542)/2)</x:f>
        <x:v>0</x:v>
      </x:c>
      <x:c r="M1542" t="n">
        <x:v>0</x:v>
      </x:c>
      <x:c r="N1542" t="n">
        <x:v>0</x:v>
      </x:c>
      <x:c r="O1542" t="n">
        <x:v>0</x:v>
      </x:c>
      <x:c r="P1542" s="63" t="str">
        <x:f>IF(M1542=0,"—",M1542&amp;"d"&amp;N1542&amp;IF(O1542=0,""," + "&amp;O1542))</x:f>
        <x:v>—</x:v>
      </x:c>
      <x:c r="Q1542" t="n">
        <x:f>ROUND(INDEX(Catalogue!E$4:E$85,MATCH(A1542,Catalogue!A$4:A$85,0))*(1+'Paramètres'!$B$4*(C1542-1)+'Paramètres'!$B$5*(C1542-1)^2),0)</x:f>
        <x:v>0</x:v>
      </x:c>
      <x:c r="R1542" t="n">
        <x:f>ROUND(INDEX(Catalogue!F$4:F$85,MATCH(A1542,Catalogue!A$4:A$85,0))*(1+'Paramètres'!$B$4*(C1542-1)+'Paramètres'!$B$5*(C1542-1)^2),0)</x:f>
        <x:v>0</x:v>
      </x:c>
      <x:c r="S1542" t="n">
        <x:f>L1542-AVERAGE(Q1542:R1542)</x:f>
        <x:v>0</x:v>
      </x:c>
      <x:c r="T1542" t="str">
        <x:f>IF(M1542=0,IF(AND(N1542=0,O1542=0,E1542=0,F1542=0),"OK","ERREUR"),IF(AND(M1542&gt;=1,M1542&lt;=32,OR(N1542=4,N1542=6,N1542=8,N1542=10,N1542=12,N1542=20),O1542&gt;=0,E1542=M1542+O1542,F1542=M1542*N1542+O1542),"OK","ERREUR"))</x:f>
        <x:v>OK</x:v>
      </x:c>
      <x:c r="U1542" s="86" t="n">
        <x:f>IF(M1542&gt;0,M1542*(N1542+1)/2+O1542,0)</x:f>
        <x:v>0</x:v>
      </x:c>
      <x:c r="V1542" t="str">
        <x:f>IF(ABS(L1542-U1542)&lt;0.001,"OK","ERREUR")</x:f>
        <x:v>OK</x:v>
      </x:c>
    </x:row>
    <x:row r="1543" ht="18" customHeight="1">
      <x:c r="A1543" t="str">
        <x:v>ARM077</x:v>
      </x:c>
      <x:c r="B1543" t="str">
        <x:v>Bouclier cerf-volant</x:v>
      </x:c>
      <x:c r="C1543" t="n">
        <x:v>20</x:v>
      </x:c>
      <x:c r="D1543" t="str">
        <x:v>Boucliers</x:v>
      </x:c>
      <x:c r="E1543" s="28" t="n">
        <x:f>IF(M1543=0,0,M1543+O1543)</x:f>
        <x:v>0</x:v>
      </x:c>
      <x:c r="F1543" s="28" t="n">
        <x:f>IF(M1543=0,0,M1543*N1543+O1543)</x:f>
        <x:v>0</x:v>
      </x:c>
      <x:c r="G1543" s="28" t="n">
        <x:f>ROUND(Catalogue!G80*SQRT((1+'Paramètres'!$B$4*(C1543-1)+'Paramètres'!$B$5*(C1543-1)^2)),0)</x:f>
        <x:v>21</x:v>
      </x:c>
      <x:c r="H1543" s="28" t="n">
        <x:f>ROUND(Catalogue!H80*SQRT((1+'Paramètres'!$B$4*(C1543-1)+'Paramètres'!$B$5*(C1543-1)^2)),0)</x:f>
        <x:v>0</x:v>
      </x:c>
      <x:c r="I1543" s="28" t="n">
        <x:v>0</x:v>
      </x:c>
      <x:c r="J1543" s="28" t="n">
        <x:v>0</x:v>
      </x:c>
      <x:c r="K1543" s="30" t="n">
        <x:v>4</x:v>
      </x:c>
      <x:c r="L1543" s="54" t="n">
        <x:f>IF(M1543=0,0,(E1543+F1543)/2)</x:f>
        <x:v>0</x:v>
      </x:c>
      <x:c r="M1543" t="n">
        <x:v>0</x:v>
      </x:c>
      <x:c r="N1543" t="n">
        <x:v>0</x:v>
      </x:c>
      <x:c r="O1543" t="n">
        <x:v>0</x:v>
      </x:c>
      <x:c r="P1543" s="63" t="str">
        <x:f>IF(M1543=0,"—",M1543&amp;"d"&amp;N1543&amp;IF(O1543=0,""," + "&amp;O1543))</x:f>
        <x:v>—</x:v>
      </x:c>
      <x:c r="Q1543" t="n">
        <x:f>ROUND(INDEX(Catalogue!E$4:E$85,MATCH(A1543,Catalogue!A$4:A$85,0))*(1+'Paramètres'!$B$4*(C1543-1)+'Paramètres'!$B$5*(C1543-1)^2),0)</x:f>
        <x:v>0</x:v>
      </x:c>
      <x:c r="R1543" t="n">
        <x:f>ROUND(INDEX(Catalogue!F$4:F$85,MATCH(A1543,Catalogue!A$4:A$85,0))*(1+'Paramètres'!$B$4*(C1543-1)+'Paramètres'!$B$5*(C1543-1)^2),0)</x:f>
        <x:v>0</x:v>
      </x:c>
      <x:c r="S1543" t="n">
        <x:f>L1543-AVERAGE(Q1543:R1543)</x:f>
        <x:v>0</x:v>
      </x:c>
      <x:c r="T1543" t="str">
        <x:f>IF(M1543=0,IF(AND(N1543=0,O1543=0,E1543=0,F1543=0),"OK","ERREUR"),IF(AND(M1543&gt;=1,M1543&lt;=32,OR(N1543=4,N1543=6,N1543=8,N1543=10,N1543=12,N1543=20),O1543&gt;=0,E1543=M1543+O1543,F1543=M1543*N1543+O1543),"OK","ERREUR"))</x:f>
        <x:v>OK</x:v>
      </x:c>
      <x:c r="U1543" s="86" t="n">
        <x:f>IF(M1543&gt;0,M1543*(N1543+1)/2+O1543,0)</x:f>
        <x:v>0</x:v>
      </x:c>
      <x:c r="V1543" t="str">
        <x:f>IF(ABS(L1543-U1543)&lt;0.001,"OK","ERREUR")</x:f>
        <x:v>OK</x:v>
      </x:c>
    </x:row>
    <x:row r="1544" ht="18" customHeight="1">
      <x:c r="A1544" t="str">
        <x:v>ARM078</x:v>
      </x:c>
      <x:c r="B1544" t="str">
        <x:v>Bouclier d'acier</x:v>
      </x:c>
      <x:c r="C1544" t="n">
        <x:v>1</x:v>
      </x:c>
      <x:c r="D1544" t="str">
        <x:v>Boucliers</x:v>
      </x:c>
      <x:c r="E1544" s="28" t="n">
        <x:f>IF(M1544=0,0,M1544+O1544)</x:f>
        <x:v>0</x:v>
      </x:c>
      <x:c r="F1544" s="28" t="n">
        <x:f>IF(M1544=0,0,M1544*N1544+O1544)</x:f>
        <x:v>0</x:v>
      </x:c>
      <x:c r="G1544" s="28" t="n">
        <x:f>ROUND(Catalogue!G81*SQRT((1+'Paramètres'!$B$4*(C1544-1)+'Paramètres'!$B$5*(C1544-1)^2)),0)</x:f>
        <x:v>8</x:v>
      </x:c>
      <x:c r="H1544" s="28" t="n">
        <x:f>ROUND(Catalogue!H81*SQRT((1+'Paramètres'!$B$4*(C1544-1)+'Paramètres'!$B$5*(C1544-1)^2)),0)</x:f>
        <x:v>0</x:v>
      </x:c>
      <x:c r="I1544" s="28" t="n">
        <x:v>0</x:v>
      </x:c>
      <x:c r="J1544" s="28" t="n">
        <x:v>0</x:v>
      </x:c>
      <x:c r="K1544" s="30" t="n">
        <x:v>4.6</x:v>
      </x:c>
      <x:c r="L1544" s="54" t="n">
        <x:f>IF(M1544=0,0,(E1544+F1544)/2)</x:f>
        <x:v>0</x:v>
      </x:c>
      <x:c r="M1544" t="n">
        <x:v>0</x:v>
      </x:c>
      <x:c r="N1544" t="n">
        <x:v>0</x:v>
      </x:c>
      <x:c r="O1544" t="n">
        <x:v>0</x:v>
      </x:c>
      <x:c r="P1544" s="63" t="str">
        <x:f>IF(M1544=0,"—",M1544&amp;"d"&amp;N1544&amp;IF(O1544=0,""," + "&amp;O1544))</x:f>
        <x:v>—</x:v>
      </x:c>
      <x:c r="Q1544" t="n">
        <x:f>ROUND(INDEX(Catalogue!E$4:E$85,MATCH(A1544,Catalogue!A$4:A$85,0))*(1+'Paramètres'!$B$4*(C1544-1)+'Paramètres'!$B$5*(C1544-1)^2),0)</x:f>
        <x:v>0</x:v>
      </x:c>
      <x:c r="R1544" t="n">
        <x:f>ROUND(INDEX(Catalogue!F$4:F$85,MATCH(A1544,Catalogue!A$4:A$85,0))*(1+'Paramètres'!$B$4*(C1544-1)+'Paramètres'!$B$5*(C1544-1)^2),0)</x:f>
        <x:v>0</x:v>
      </x:c>
      <x:c r="S1544" t="n">
        <x:f>L1544-AVERAGE(Q1544:R1544)</x:f>
        <x:v>0</x:v>
      </x:c>
      <x:c r="T1544" t="str">
        <x:f>IF(M1544=0,IF(AND(N1544=0,O1544=0,E1544=0,F1544=0),"OK","ERREUR"),IF(AND(M1544&gt;=1,M1544&lt;=32,OR(N1544=4,N1544=6,N1544=8,N1544=10,N1544=12,N1544=20),O1544&gt;=0,E1544=M1544+O1544,F1544=M1544*N1544+O1544),"OK","ERREUR"))</x:f>
        <x:v>OK</x:v>
      </x:c>
      <x:c r="U1544" s="86" t="n">
        <x:f>IF(M1544&gt;0,M1544*(N1544+1)/2+O1544,0)</x:f>
        <x:v>0</x:v>
      </x:c>
      <x:c r="V1544" t="str">
        <x:f>IF(ABS(L1544-U1544)&lt;0.001,"OK","ERREUR")</x:f>
        <x:v>OK</x:v>
      </x:c>
    </x:row>
    <x:row r="1545" ht="18" customHeight="1">
      <x:c r="A1545" t="str">
        <x:v>ARM078</x:v>
      </x:c>
      <x:c r="B1545" t="str">
        <x:v>Bouclier d'acier</x:v>
      </x:c>
      <x:c r="C1545" t="n">
        <x:v>2</x:v>
      </x:c>
      <x:c r="D1545" t="str">
        <x:v>Boucliers</x:v>
      </x:c>
      <x:c r="E1545" s="28" t="n">
        <x:f>IF(M1545=0,0,M1545+O1545)</x:f>
        <x:v>0</x:v>
      </x:c>
      <x:c r="F1545" s="28" t="n">
        <x:f>IF(M1545=0,0,M1545*N1545+O1545)</x:f>
        <x:v>0</x:v>
      </x:c>
      <x:c r="G1545" s="28" t="n">
        <x:f>ROUND(Catalogue!G81*SQRT((1+'Paramètres'!$B$4*(C1545-1)+'Paramètres'!$B$5*(C1545-1)^2)),0)</x:f>
        <x:v>8</x:v>
      </x:c>
      <x:c r="H1545" s="28" t="n">
        <x:f>ROUND(Catalogue!H81*SQRT((1+'Paramètres'!$B$4*(C1545-1)+'Paramètres'!$B$5*(C1545-1)^2)),0)</x:f>
        <x:v>0</x:v>
      </x:c>
      <x:c r="I1545" s="28" t="n">
        <x:v>0</x:v>
      </x:c>
      <x:c r="J1545" s="28" t="n">
        <x:v>0</x:v>
      </x:c>
      <x:c r="K1545" s="30" t="n">
        <x:v>4.6</x:v>
      </x:c>
      <x:c r="L1545" s="54" t="n">
        <x:f>IF(M1545=0,0,(E1545+F1545)/2)</x:f>
        <x:v>0</x:v>
      </x:c>
      <x:c r="M1545" t="n">
        <x:v>0</x:v>
      </x:c>
      <x:c r="N1545" t="n">
        <x:v>0</x:v>
      </x:c>
      <x:c r="O1545" t="n">
        <x:v>0</x:v>
      </x:c>
      <x:c r="P1545" s="63" t="str">
        <x:f>IF(M1545=0,"—",M1545&amp;"d"&amp;N1545&amp;IF(O1545=0,""," + "&amp;O1545))</x:f>
        <x:v>—</x:v>
      </x:c>
      <x:c r="Q1545" t="n">
        <x:f>ROUND(INDEX(Catalogue!E$4:E$85,MATCH(A1545,Catalogue!A$4:A$85,0))*(1+'Paramètres'!$B$4*(C1545-1)+'Paramètres'!$B$5*(C1545-1)^2),0)</x:f>
        <x:v>0</x:v>
      </x:c>
      <x:c r="R1545" t="n">
        <x:f>ROUND(INDEX(Catalogue!F$4:F$85,MATCH(A1545,Catalogue!A$4:A$85,0))*(1+'Paramètres'!$B$4*(C1545-1)+'Paramètres'!$B$5*(C1545-1)^2),0)</x:f>
        <x:v>0</x:v>
      </x:c>
      <x:c r="S1545" t="n">
        <x:f>L1545-AVERAGE(Q1545:R1545)</x:f>
        <x:v>0</x:v>
      </x:c>
      <x:c r="T1545" t="str">
        <x:f>IF(M1545=0,IF(AND(N1545=0,O1545=0,E1545=0,F1545=0),"OK","ERREUR"),IF(AND(M1545&gt;=1,M1545&lt;=32,OR(N1545=4,N1545=6,N1545=8,N1545=10,N1545=12,N1545=20),O1545&gt;=0,E1545=M1545+O1545,F1545=M1545*N1545+O1545),"OK","ERREUR"))</x:f>
        <x:v>OK</x:v>
      </x:c>
      <x:c r="U1545" s="86" t="n">
        <x:f>IF(M1545&gt;0,M1545*(N1545+1)/2+O1545,0)</x:f>
        <x:v>0</x:v>
      </x:c>
      <x:c r="V1545" t="str">
        <x:f>IF(ABS(L1545-U1545)&lt;0.001,"OK","ERREUR")</x:f>
        <x:v>OK</x:v>
      </x:c>
    </x:row>
    <x:row r="1546" ht="18" customHeight="1">
      <x:c r="A1546" t="str">
        <x:v>ARM078</x:v>
      </x:c>
      <x:c r="B1546" t="str">
        <x:v>Bouclier d'acier</x:v>
      </x:c>
      <x:c r="C1546" t="n">
        <x:v>3</x:v>
      </x:c>
      <x:c r="D1546" t="str">
        <x:v>Boucliers</x:v>
      </x:c>
      <x:c r="E1546" s="28" t="n">
        <x:f>IF(M1546=0,0,M1546+O1546)</x:f>
        <x:v>0</x:v>
      </x:c>
      <x:c r="F1546" s="28" t="n">
        <x:f>IF(M1546=0,0,M1546*N1546+O1546)</x:f>
        <x:v>0</x:v>
      </x:c>
      <x:c r="G1546" s="28" t="n">
        <x:f>ROUND(Catalogue!G81*SQRT((1+'Paramètres'!$B$4*(C1546-1)+'Paramètres'!$B$5*(C1546-1)^2)),0)</x:f>
        <x:v>9</x:v>
      </x:c>
      <x:c r="H1546" s="28" t="n">
        <x:f>ROUND(Catalogue!H81*SQRT((1+'Paramètres'!$B$4*(C1546-1)+'Paramètres'!$B$5*(C1546-1)^2)),0)</x:f>
        <x:v>0</x:v>
      </x:c>
      <x:c r="I1546" s="28" t="n">
        <x:v>0</x:v>
      </x:c>
      <x:c r="J1546" s="28" t="n">
        <x:v>0</x:v>
      </x:c>
      <x:c r="K1546" s="30" t="n">
        <x:v>4.6</x:v>
      </x:c>
      <x:c r="L1546" s="54" t="n">
        <x:f>IF(M1546=0,0,(E1546+F1546)/2)</x:f>
        <x:v>0</x:v>
      </x:c>
      <x:c r="M1546" t="n">
        <x:v>0</x:v>
      </x:c>
      <x:c r="N1546" t="n">
        <x:v>0</x:v>
      </x:c>
      <x:c r="O1546" t="n">
        <x:v>0</x:v>
      </x:c>
      <x:c r="P1546" s="63" t="str">
        <x:f>IF(M1546=0,"—",M1546&amp;"d"&amp;N1546&amp;IF(O1546=0,""," + "&amp;O1546))</x:f>
        <x:v>—</x:v>
      </x:c>
      <x:c r="Q1546" t="n">
        <x:f>ROUND(INDEX(Catalogue!E$4:E$85,MATCH(A1546,Catalogue!A$4:A$85,0))*(1+'Paramètres'!$B$4*(C1546-1)+'Paramètres'!$B$5*(C1546-1)^2),0)</x:f>
        <x:v>0</x:v>
      </x:c>
      <x:c r="R1546" t="n">
        <x:f>ROUND(INDEX(Catalogue!F$4:F$85,MATCH(A1546,Catalogue!A$4:A$85,0))*(1+'Paramètres'!$B$4*(C1546-1)+'Paramètres'!$B$5*(C1546-1)^2),0)</x:f>
        <x:v>0</x:v>
      </x:c>
      <x:c r="S1546" t="n">
        <x:f>L1546-AVERAGE(Q1546:R1546)</x:f>
        <x:v>0</x:v>
      </x:c>
      <x:c r="T1546" t="str">
        <x:f>IF(M1546=0,IF(AND(N1546=0,O1546=0,E1546=0,F1546=0),"OK","ERREUR"),IF(AND(M1546&gt;=1,M1546&lt;=32,OR(N1546=4,N1546=6,N1546=8,N1546=10,N1546=12,N1546=20),O1546&gt;=0,E1546=M1546+O1546,F1546=M1546*N1546+O1546),"OK","ERREUR"))</x:f>
        <x:v>OK</x:v>
      </x:c>
      <x:c r="U1546" s="86" t="n">
        <x:f>IF(M1546&gt;0,M1546*(N1546+1)/2+O1546,0)</x:f>
        <x:v>0</x:v>
      </x:c>
      <x:c r="V1546" t="str">
        <x:f>IF(ABS(L1546-U1546)&lt;0.001,"OK","ERREUR")</x:f>
        <x:v>OK</x:v>
      </x:c>
    </x:row>
    <x:row r="1547" ht="18" customHeight="1">
      <x:c r="A1547" t="str">
        <x:v>ARM078</x:v>
      </x:c>
      <x:c r="B1547" t="str">
        <x:v>Bouclier d'acier</x:v>
      </x:c>
      <x:c r="C1547" t="n">
        <x:v>4</x:v>
      </x:c>
      <x:c r="D1547" t="str">
        <x:v>Boucliers</x:v>
      </x:c>
      <x:c r="E1547" s="28" t="n">
        <x:f>IF(M1547=0,0,M1547+O1547)</x:f>
        <x:v>0</x:v>
      </x:c>
      <x:c r="F1547" s="28" t="n">
        <x:f>IF(M1547=0,0,M1547*N1547+O1547)</x:f>
        <x:v>0</x:v>
      </x:c>
      <x:c r="G1547" s="28" t="n">
        <x:f>ROUND(Catalogue!G81*SQRT((1+'Paramètres'!$B$4*(C1547-1)+'Paramètres'!$B$5*(C1547-1)^2)),0)</x:f>
        <x:v>10</x:v>
      </x:c>
      <x:c r="H1547" s="28" t="n">
        <x:f>ROUND(Catalogue!H81*SQRT((1+'Paramètres'!$B$4*(C1547-1)+'Paramètres'!$B$5*(C1547-1)^2)),0)</x:f>
        <x:v>0</x:v>
      </x:c>
      <x:c r="I1547" s="28" t="n">
        <x:v>0</x:v>
      </x:c>
      <x:c r="J1547" s="28" t="n">
        <x:v>0</x:v>
      </x:c>
      <x:c r="K1547" s="30" t="n">
        <x:v>4.6</x:v>
      </x:c>
      <x:c r="L1547" s="54" t="n">
        <x:f>IF(M1547=0,0,(E1547+F1547)/2)</x:f>
        <x:v>0</x:v>
      </x:c>
      <x:c r="M1547" t="n">
        <x:v>0</x:v>
      </x:c>
      <x:c r="N1547" t="n">
        <x:v>0</x:v>
      </x:c>
      <x:c r="O1547" t="n">
        <x:v>0</x:v>
      </x:c>
      <x:c r="P1547" s="63" t="str">
        <x:f>IF(M1547=0,"—",M1547&amp;"d"&amp;N1547&amp;IF(O1547=0,""," + "&amp;O1547))</x:f>
        <x:v>—</x:v>
      </x:c>
      <x:c r="Q1547" t="n">
        <x:f>ROUND(INDEX(Catalogue!E$4:E$85,MATCH(A1547,Catalogue!A$4:A$85,0))*(1+'Paramètres'!$B$4*(C1547-1)+'Paramètres'!$B$5*(C1547-1)^2),0)</x:f>
        <x:v>0</x:v>
      </x:c>
      <x:c r="R1547" t="n">
        <x:f>ROUND(INDEX(Catalogue!F$4:F$85,MATCH(A1547,Catalogue!A$4:A$85,0))*(1+'Paramètres'!$B$4*(C1547-1)+'Paramètres'!$B$5*(C1547-1)^2),0)</x:f>
        <x:v>0</x:v>
      </x:c>
      <x:c r="S1547" t="n">
        <x:f>L1547-AVERAGE(Q1547:R1547)</x:f>
        <x:v>0</x:v>
      </x:c>
      <x:c r="T1547" t="str">
        <x:f>IF(M1547=0,IF(AND(N1547=0,O1547=0,E1547=0,F1547=0),"OK","ERREUR"),IF(AND(M1547&gt;=1,M1547&lt;=32,OR(N1547=4,N1547=6,N1547=8,N1547=10,N1547=12,N1547=20),O1547&gt;=0,E1547=M1547+O1547,F1547=M1547*N1547+O1547),"OK","ERREUR"))</x:f>
        <x:v>OK</x:v>
      </x:c>
      <x:c r="U1547" s="86" t="n">
        <x:f>IF(M1547&gt;0,M1547*(N1547+1)/2+O1547,0)</x:f>
        <x:v>0</x:v>
      </x:c>
      <x:c r="V1547" t="str">
        <x:f>IF(ABS(L1547-U1547)&lt;0.001,"OK","ERREUR")</x:f>
        <x:v>OK</x:v>
      </x:c>
    </x:row>
    <x:row r="1548" ht="18" customHeight="1">
      <x:c r="A1548" t="str">
        <x:v>ARM078</x:v>
      </x:c>
      <x:c r="B1548" t="str">
        <x:v>Bouclier d'acier</x:v>
      </x:c>
      <x:c r="C1548" t="n">
        <x:v>5</x:v>
      </x:c>
      <x:c r="D1548" t="str">
        <x:v>Boucliers</x:v>
      </x:c>
      <x:c r="E1548" s="28" t="n">
        <x:f>IF(M1548=0,0,M1548+O1548)</x:f>
        <x:v>0</x:v>
      </x:c>
      <x:c r="F1548" s="28" t="n">
        <x:f>IF(M1548=0,0,M1548*N1548+O1548)</x:f>
        <x:v>0</x:v>
      </x:c>
      <x:c r="G1548" s="28" t="n">
        <x:f>ROUND(Catalogue!G81*SQRT((1+'Paramètres'!$B$4*(C1548-1)+'Paramètres'!$B$5*(C1548-1)^2)),0)</x:f>
        <x:v>10</x:v>
      </x:c>
      <x:c r="H1548" s="28" t="n">
        <x:f>ROUND(Catalogue!H81*SQRT((1+'Paramètres'!$B$4*(C1548-1)+'Paramètres'!$B$5*(C1548-1)^2)),0)</x:f>
        <x:v>0</x:v>
      </x:c>
      <x:c r="I1548" s="28" t="n">
        <x:v>0</x:v>
      </x:c>
      <x:c r="J1548" s="28" t="n">
        <x:v>0</x:v>
      </x:c>
      <x:c r="K1548" s="30" t="n">
        <x:v>4.6</x:v>
      </x:c>
      <x:c r="L1548" s="54" t="n">
        <x:f>IF(M1548=0,0,(E1548+F1548)/2)</x:f>
        <x:v>0</x:v>
      </x:c>
      <x:c r="M1548" t="n">
        <x:v>0</x:v>
      </x:c>
      <x:c r="N1548" t="n">
        <x:v>0</x:v>
      </x:c>
      <x:c r="O1548" t="n">
        <x:v>0</x:v>
      </x:c>
      <x:c r="P1548" s="63" t="str">
        <x:f>IF(M1548=0,"—",M1548&amp;"d"&amp;N1548&amp;IF(O1548=0,""," + "&amp;O1548))</x:f>
        <x:v>—</x:v>
      </x:c>
      <x:c r="Q1548" t="n">
        <x:f>ROUND(INDEX(Catalogue!E$4:E$85,MATCH(A1548,Catalogue!A$4:A$85,0))*(1+'Paramètres'!$B$4*(C1548-1)+'Paramètres'!$B$5*(C1548-1)^2),0)</x:f>
        <x:v>0</x:v>
      </x:c>
      <x:c r="R1548" t="n">
        <x:f>ROUND(INDEX(Catalogue!F$4:F$85,MATCH(A1548,Catalogue!A$4:A$85,0))*(1+'Paramètres'!$B$4*(C1548-1)+'Paramètres'!$B$5*(C1548-1)^2),0)</x:f>
        <x:v>0</x:v>
      </x:c>
      <x:c r="S1548" t="n">
        <x:f>L1548-AVERAGE(Q1548:R1548)</x:f>
        <x:v>0</x:v>
      </x:c>
      <x:c r="T1548" t="str">
        <x:f>IF(M1548=0,IF(AND(N1548=0,O1548=0,E1548=0,F1548=0),"OK","ERREUR"),IF(AND(M1548&gt;=1,M1548&lt;=32,OR(N1548=4,N1548=6,N1548=8,N1548=10,N1548=12,N1548=20),O1548&gt;=0,E1548=M1548+O1548,F1548=M1548*N1548+O1548),"OK","ERREUR"))</x:f>
        <x:v>OK</x:v>
      </x:c>
      <x:c r="U1548" s="86" t="n">
        <x:f>IF(M1548&gt;0,M1548*(N1548+1)/2+O1548,0)</x:f>
        <x:v>0</x:v>
      </x:c>
      <x:c r="V1548" t="str">
        <x:f>IF(ABS(L1548-U1548)&lt;0.001,"OK","ERREUR")</x:f>
        <x:v>OK</x:v>
      </x:c>
    </x:row>
    <x:row r="1549" ht="18" customHeight="1">
      <x:c r="A1549" t="str">
        <x:v>ARM078</x:v>
      </x:c>
      <x:c r="B1549" t="str">
        <x:v>Bouclier d'acier</x:v>
      </x:c>
      <x:c r="C1549" t="n">
        <x:v>6</x:v>
      </x:c>
      <x:c r="D1549" t="str">
        <x:v>Boucliers</x:v>
      </x:c>
      <x:c r="E1549" s="28" t="n">
        <x:f>IF(M1549=0,0,M1549+O1549)</x:f>
        <x:v>0</x:v>
      </x:c>
      <x:c r="F1549" s="28" t="n">
        <x:f>IF(M1549=0,0,M1549*N1549+O1549)</x:f>
        <x:v>0</x:v>
      </x:c>
      <x:c r="G1549" s="28" t="n">
        <x:f>ROUND(Catalogue!G81*SQRT((1+'Paramètres'!$B$4*(C1549-1)+'Paramètres'!$B$5*(C1549-1)^2)),0)</x:f>
        <x:v>11</x:v>
      </x:c>
      <x:c r="H1549" s="28" t="n">
        <x:f>ROUND(Catalogue!H81*SQRT((1+'Paramètres'!$B$4*(C1549-1)+'Paramètres'!$B$5*(C1549-1)^2)),0)</x:f>
        <x:v>0</x:v>
      </x:c>
      <x:c r="I1549" s="28" t="n">
        <x:v>0</x:v>
      </x:c>
      <x:c r="J1549" s="28" t="n">
        <x:v>0</x:v>
      </x:c>
      <x:c r="K1549" s="30" t="n">
        <x:v>4.6</x:v>
      </x:c>
      <x:c r="L1549" s="54" t="n">
        <x:f>IF(M1549=0,0,(E1549+F1549)/2)</x:f>
        <x:v>0</x:v>
      </x:c>
      <x:c r="M1549" t="n">
        <x:v>0</x:v>
      </x:c>
      <x:c r="N1549" t="n">
        <x:v>0</x:v>
      </x:c>
      <x:c r="O1549" t="n">
        <x:v>0</x:v>
      </x:c>
      <x:c r="P1549" s="63" t="str">
        <x:f>IF(M1549=0,"—",M1549&amp;"d"&amp;N1549&amp;IF(O1549=0,""," + "&amp;O1549))</x:f>
        <x:v>—</x:v>
      </x:c>
      <x:c r="Q1549" t="n">
        <x:f>ROUND(INDEX(Catalogue!E$4:E$85,MATCH(A1549,Catalogue!A$4:A$85,0))*(1+'Paramètres'!$B$4*(C1549-1)+'Paramètres'!$B$5*(C1549-1)^2),0)</x:f>
        <x:v>0</x:v>
      </x:c>
      <x:c r="R1549" t="n">
        <x:f>ROUND(INDEX(Catalogue!F$4:F$85,MATCH(A1549,Catalogue!A$4:A$85,0))*(1+'Paramètres'!$B$4*(C1549-1)+'Paramètres'!$B$5*(C1549-1)^2),0)</x:f>
        <x:v>0</x:v>
      </x:c>
      <x:c r="S1549" t="n">
        <x:f>L1549-AVERAGE(Q1549:R1549)</x:f>
        <x:v>0</x:v>
      </x:c>
      <x:c r="T1549" t="str">
        <x:f>IF(M1549=0,IF(AND(N1549=0,O1549=0,E1549=0,F1549=0),"OK","ERREUR"),IF(AND(M1549&gt;=1,M1549&lt;=32,OR(N1549=4,N1549=6,N1549=8,N1549=10,N1549=12,N1549=20),O1549&gt;=0,E1549=M1549+O1549,F1549=M1549*N1549+O1549),"OK","ERREUR"))</x:f>
        <x:v>OK</x:v>
      </x:c>
      <x:c r="U1549" s="86" t="n">
        <x:f>IF(M1549&gt;0,M1549*(N1549+1)/2+O1549,0)</x:f>
        <x:v>0</x:v>
      </x:c>
      <x:c r="V1549" t="str">
        <x:f>IF(ABS(L1549-U1549)&lt;0.001,"OK","ERREUR")</x:f>
        <x:v>OK</x:v>
      </x:c>
    </x:row>
    <x:row r="1550" ht="18" customHeight="1">
      <x:c r="A1550" t="str">
        <x:v>ARM078</x:v>
      </x:c>
      <x:c r="B1550" t="str">
        <x:v>Bouclier d'acier</x:v>
      </x:c>
      <x:c r="C1550" t="n">
        <x:v>7</x:v>
      </x:c>
      <x:c r="D1550" t="str">
        <x:v>Boucliers</x:v>
      </x:c>
      <x:c r="E1550" s="28" t="n">
        <x:f>IF(M1550=0,0,M1550+O1550)</x:f>
        <x:v>0</x:v>
      </x:c>
      <x:c r="F1550" s="28" t="n">
        <x:f>IF(M1550=0,0,M1550*N1550+O1550)</x:f>
        <x:v>0</x:v>
      </x:c>
      <x:c r="G1550" s="28" t="n">
        <x:f>ROUND(Catalogue!G81*SQRT((1+'Paramètres'!$B$4*(C1550-1)+'Paramètres'!$B$5*(C1550-1)^2)),0)</x:f>
        <x:v>12</x:v>
      </x:c>
      <x:c r="H1550" s="28" t="n">
        <x:f>ROUND(Catalogue!H81*SQRT((1+'Paramètres'!$B$4*(C1550-1)+'Paramètres'!$B$5*(C1550-1)^2)),0)</x:f>
        <x:v>0</x:v>
      </x:c>
      <x:c r="I1550" s="28" t="n">
        <x:v>0</x:v>
      </x:c>
      <x:c r="J1550" s="28" t="n">
        <x:v>0</x:v>
      </x:c>
      <x:c r="K1550" s="30" t="n">
        <x:v>4.6</x:v>
      </x:c>
      <x:c r="L1550" s="54" t="n">
        <x:f>IF(M1550=0,0,(E1550+F1550)/2)</x:f>
        <x:v>0</x:v>
      </x:c>
      <x:c r="M1550" t="n">
        <x:v>0</x:v>
      </x:c>
      <x:c r="N1550" t="n">
        <x:v>0</x:v>
      </x:c>
      <x:c r="O1550" t="n">
        <x:v>0</x:v>
      </x:c>
      <x:c r="P1550" s="63" t="str">
        <x:f>IF(M1550=0,"—",M1550&amp;"d"&amp;N1550&amp;IF(O1550=0,""," + "&amp;O1550))</x:f>
        <x:v>—</x:v>
      </x:c>
      <x:c r="Q1550" t="n">
        <x:f>ROUND(INDEX(Catalogue!E$4:E$85,MATCH(A1550,Catalogue!A$4:A$85,0))*(1+'Paramètres'!$B$4*(C1550-1)+'Paramètres'!$B$5*(C1550-1)^2),0)</x:f>
        <x:v>0</x:v>
      </x:c>
      <x:c r="R1550" t="n">
        <x:f>ROUND(INDEX(Catalogue!F$4:F$85,MATCH(A1550,Catalogue!A$4:A$85,0))*(1+'Paramètres'!$B$4*(C1550-1)+'Paramètres'!$B$5*(C1550-1)^2),0)</x:f>
        <x:v>0</x:v>
      </x:c>
      <x:c r="S1550" t="n">
        <x:f>L1550-AVERAGE(Q1550:R1550)</x:f>
        <x:v>0</x:v>
      </x:c>
      <x:c r="T1550" t="str">
        <x:f>IF(M1550=0,IF(AND(N1550=0,O1550=0,E1550=0,F1550=0),"OK","ERREUR"),IF(AND(M1550&gt;=1,M1550&lt;=32,OR(N1550=4,N1550=6,N1550=8,N1550=10,N1550=12,N1550=20),O1550&gt;=0,E1550=M1550+O1550,F1550=M1550*N1550+O1550),"OK","ERREUR"))</x:f>
        <x:v>OK</x:v>
      </x:c>
      <x:c r="U1550" s="86" t="n">
        <x:f>IF(M1550&gt;0,M1550*(N1550+1)/2+O1550,0)</x:f>
        <x:v>0</x:v>
      </x:c>
      <x:c r="V1550" t="str">
        <x:f>IF(ABS(L1550-U1550)&lt;0.001,"OK","ERREUR")</x:f>
        <x:v>OK</x:v>
      </x:c>
    </x:row>
    <x:row r="1551" ht="18" customHeight="1">
      <x:c r="A1551" t="str">
        <x:v>ARM078</x:v>
      </x:c>
      <x:c r="B1551" t="str">
        <x:v>Bouclier d'acier</x:v>
      </x:c>
      <x:c r="C1551" t="n">
        <x:v>8</x:v>
      </x:c>
      <x:c r="D1551" t="str">
        <x:v>Boucliers</x:v>
      </x:c>
      <x:c r="E1551" s="28" t="n">
        <x:f>IF(M1551=0,0,M1551+O1551)</x:f>
        <x:v>0</x:v>
      </x:c>
      <x:c r="F1551" s="28" t="n">
        <x:f>IF(M1551=0,0,M1551*N1551+O1551)</x:f>
        <x:v>0</x:v>
      </x:c>
      <x:c r="G1551" s="28" t="n">
        <x:f>ROUND(Catalogue!G81*SQRT((1+'Paramètres'!$B$4*(C1551-1)+'Paramètres'!$B$5*(C1551-1)^2)),0)</x:f>
        <x:v>13</x:v>
      </x:c>
      <x:c r="H1551" s="28" t="n">
        <x:f>ROUND(Catalogue!H81*SQRT((1+'Paramètres'!$B$4*(C1551-1)+'Paramètres'!$B$5*(C1551-1)^2)),0)</x:f>
        <x:v>0</x:v>
      </x:c>
      <x:c r="I1551" s="28" t="n">
        <x:v>0</x:v>
      </x:c>
      <x:c r="J1551" s="28" t="n">
        <x:v>0</x:v>
      </x:c>
      <x:c r="K1551" s="30" t="n">
        <x:v>4.6</x:v>
      </x:c>
      <x:c r="L1551" s="54" t="n">
        <x:f>IF(M1551=0,0,(E1551+F1551)/2)</x:f>
        <x:v>0</x:v>
      </x:c>
      <x:c r="M1551" t="n">
        <x:v>0</x:v>
      </x:c>
      <x:c r="N1551" t="n">
        <x:v>0</x:v>
      </x:c>
      <x:c r="O1551" t="n">
        <x:v>0</x:v>
      </x:c>
      <x:c r="P1551" s="63" t="str">
        <x:f>IF(M1551=0,"—",M1551&amp;"d"&amp;N1551&amp;IF(O1551=0,""," + "&amp;O1551))</x:f>
        <x:v>—</x:v>
      </x:c>
      <x:c r="Q1551" t="n">
        <x:f>ROUND(INDEX(Catalogue!E$4:E$85,MATCH(A1551,Catalogue!A$4:A$85,0))*(1+'Paramètres'!$B$4*(C1551-1)+'Paramètres'!$B$5*(C1551-1)^2),0)</x:f>
        <x:v>0</x:v>
      </x:c>
      <x:c r="R1551" t="n">
        <x:f>ROUND(INDEX(Catalogue!F$4:F$85,MATCH(A1551,Catalogue!A$4:A$85,0))*(1+'Paramètres'!$B$4*(C1551-1)+'Paramètres'!$B$5*(C1551-1)^2),0)</x:f>
        <x:v>0</x:v>
      </x:c>
      <x:c r="S1551" t="n">
        <x:f>L1551-AVERAGE(Q1551:R1551)</x:f>
        <x:v>0</x:v>
      </x:c>
      <x:c r="T1551" t="str">
        <x:f>IF(M1551=0,IF(AND(N1551=0,O1551=0,E1551=0,F1551=0),"OK","ERREUR"),IF(AND(M1551&gt;=1,M1551&lt;=32,OR(N1551=4,N1551=6,N1551=8,N1551=10,N1551=12,N1551=20),O1551&gt;=0,E1551=M1551+O1551,F1551=M1551*N1551+O1551),"OK","ERREUR"))</x:f>
        <x:v>OK</x:v>
      </x:c>
      <x:c r="U1551" s="86" t="n">
        <x:f>IF(M1551&gt;0,M1551*(N1551+1)/2+O1551,0)</x:f>
        <x:v>0</x:v>
      </x:c>
      <x:c r="V1551" t="str">
        <x:f>IF(ABS(L1551-U1551)&lt;0.001,"OK","ERREUR")</x:f>
        <x:v>OK</x:v>
      </x:c>
    </x:row>
    <x:row r="1552" ht="18" customHeight="1">
      <x:c r="A1552" t="str">
        <x:v>ARM078</x:v>
      </x:c>
      <x:c r="B1552" t="str">
        <x:v>Bouclier d'acier</x:v>
      </x:c>
      <x:c r="C1552" t="n">
        <x:v>9</x:v>
      </x:c>
      <x:c r="D1552" t="str">
        <x:v>Boucliers</x:v>
      </x:c>
      <x:c r="E1552" s="28" t="n">
        <x:f>IF(M1552=0,0,M1552+O1552)</x:f>
        <x:v>0</x:v>
      </x:c>
      <x:c r="F1552" s="28" t="n">
        <x:f>IF(M1552=0,0,M1552*N1552+O1552)</x:f>
        <x:v>0</x:v>
      </x:c>
      <x:c r="G1552" s="28" t="n">
        <x:f>ROUND(Catalogue!G81*SQRT((1+'Paramètres'!$B$4*(C1552-1)+'Paramètres'!$B$5*(C1552-1)^2)),0)</x:f>
        <x:v>14</x:v>
      </x:c>
      <x:c r="H1552" s="28" t="n">
        <x:f>ROUND(Catalogue!H81*SQRT((1+'Paramètres'!$B$4*(C1552-1)+'Paramètres'!$B$5*(C1552-1)^2)),0)</x:f>
        <x:v>0</x:v>
      </x:c>
      <x:c r="I1552" s="28" t="n">
        <x:v>0</x:v>
      </x:c>
      <x:c r="J1552" s="28" t="n">
        <x:v>0</x:v>
      </x:c>
      <x:c r="K1552" s="30" t="n">
        <x:v>4.6</x:v>
      </x:c>
      <x:c r="L1552" s="54" t="n">
        <x:f>IF(M1552=0,0,(E1552+F1552)/2)</x:f>
        <x:v>0</x:v>
      </x:c>
      <x:c r="M1552" t="n">
        <x:v>0</x:v>
      </x:c>
      <x:c r="N1552" t="n">
        <x:v>0</x:v>
      </x:c>
      <x:c r="O1552" t="n">
        <x:v>0</x:v>
      </x:c>
      <x:c r="P1552" s="63" t="str">
        <x:f>IF(M1552=0,"—",M1552&amp;"d"&amp;N1552&amp;IF(O1552=0,""," + "&amp;O1552))</x:f>
        <x:v>—</x:v>
      </x:c>
      <x:c r="Q1552" t="n">
        <x:f>ROUND(INDEX(Catalogue!E$4:E$85,MATCH(A1552,Catalogue!A$4:A$85,0))*(1+'Paramètres'!$B$4*(C1552-1)+'Paramètres'!$B$5*(C1552-1)^2),0)</x:f>
        <x:v>0</x:v>
      </x:c>
      <x:c r="R1552" t="n">
        <x:f>ROUND(INDEX(Catalogue!F$4:F$85,MATCH(A1552,Catalogue!A$4:A$85,0))*(1+'Paramètres'!$B$4*(C1552-1)+'Paramètres'!$B$5*(C1552-1)^2),0)</x:f>
        <x:v>0</x:v>
      </x:c>
      <x:c r="S1552" t="n">
        <x:f>L1552-AVERAGE(Q1552:R1552)</x:f>
        <x:v>0</x:v>
      </x:c>
      <x:c r="T1552" t="str">
        <x:f>IF(M1552=0,IF(AND(N1552=0,O1552=0,E1552=0,F1552=0),"OK","ERREUR"),IF(AND(M1552&gt;=1,M1552&lt;=32,OR(N1552=4,N1552=6,N1552=8,N1552=10,N1552=12,N1552=20),O1552&gt;=0,E1552=M1552+O1552,F1552=M1552*N1552+O1552),"OK","ERREUR"))</x:f>
        <x:v>OK</x:v>
      </x:c>
      <x:c r="U1552" s="86" t="n">
        <x:f>IF(M1552&gt;0,M1552*(N1552+1)/2+O1552,0)</x:f>
        <x:v>0</x:v>
      </x:c>
      <x:c r="V1552" t="str">
        <x:f>IF(ABS(L1552-U1552)&lt;0.001,"OK","ERREUR")</x:f>
        <x:v>OK</x:v>
      </x:c>
    </x:row>
    <x:row r="1553" ht="18" customHeight="1">
      <x:c r="A1553" t="str">
        <x:v>ARM078</x:v>
      </x:c>
      <x:c r="B1553" t="str">
        <x:v>Bouclier d'acier</x:v>
      </x:c>
      <x:c r="C1553" t="n">
        <x:v>10</x:v>
      </x:c>
      <x:c r="D1553" t="str">
        <x:v>Boucliers</x:v>
      </x:c>
      <x:c r="E1553" s="28" t="n">
        <x:f>IF(M1553=0,0,M1553+O1553)</x:f>
        <x:v>0</x:v>
      </x:c>
      <x:c r="F1553" s="28" t="n">
        <x:f>IF(M1553=0,0,M1553*N1553+O1553)</x:f>
        <x:v>0</x:v>
      </x:c>
      <x:c r="G1553" s="28" t="n">
        <x:f>ROUND(Catalogue!G81*SQRT((1+'Paramètres'!$B$4*(C1553-1)+'Paramètres'!$B$5*(C1553-1)^2)),0)</x:f>
        <x:v>15</x:v>
      </x:c>
      <x:c r="H1553" s="28" t="n">
        <x:f>ROUND(Catalogue!H81*SQRT((1+'Paramètres'!$B$4*(C1553-1)+'Paramètres'!$B$5*(C1553-1)^2)),0)</x:f>
        <x:v>0</x:v>
      </x:c>
      <x:c r="I1553" s="28" t="n">
        <x:v>0</x:v>
      </x:c>
      <x:c r="J1553" s="28" t="n">
        <x:v>0</x:v>
      </x:c>
      <x:c r="K1553" s="30" t="n">
        <x:v>4.6</x:v>
      </x:c>
      <x:c r="L1553" s="54" t="n">
        <x:f>IF(M1553=0,0,(E1553+F1553)/2)</x:f>
        <x:v>0</x:v>
      </x:c>
      <x:c r="M1553" t="n">
        <x:v>0</x:v>
      </x:c>
      <x:c r="N1553" t="n">
        <x:v>0</x:v>
      </x:c>
      <x:c r="O1553" t="n">
        <x:v>0</x:v>
      </x:c>
      <x:c r="P1553" s="63" t="str">
        <x:f>IF(M1553=0,"—",M1553&amp;"d"&amp;N1553&amp;IF(O1553=0,""," + "&amp;O1553))</x:f>
        <x:v>—</x:v>
      </x:c>
      <x:c r="Q1553" t="n">
        <x:f>ROUND(INDEX(Catalogue!E$4:E$85,MATCH(A1553,Catalogue!A$4:A$85,0))*(1+'Paramètres'!$B$4*(C1553-1)+'Paramètres'!$B$5*(C1553-1)^2),0)</x:f>
        <x:v>0</x:v>
      </x:c>
      <x:c r="R1553" t="n">
        <x:f>ROUND(INDEX(Catalogue!F$4:F$85,MATCH(A1553,Catalogue!A$4:A$85,0))*(1+'Paramètres'!$B$4*(C1553-1)+'Paramètres'!$B$5*(C1553-1)^2),0)</x:f>
        <x:v>0</x:v>
      </x:c>
      <x:c r="S1553" t="n">
        <x:f>L1553-AVERAGE(Q1553:R1553)</x:f>
        <x:v>0</x:v>
      </x:c>
      <x:c r="T1553" t="str">
        <x:f>IF(M1553=0,IF(AND(N1553=0,O1553=0,E1553=0,F1553=0),"OK","ERREUR"),IF(AND(M1553&gt;=1,M1553&lt;=32,OR(N1553=4,N1553=6,N1553=8,N1553=10,N1553=12,N1553=20),O1553&gt;=0,E1553=M1553+O1553,F1553=M1553*N1553+O1553),"OK","ERREUR"))</x:f>
        <x:v>OK</x:v>
      </x:c>
      <x:c r="U1553" s="86" t="n">
        <x:f>IF(M1553&gt;0,M1553*(N1553+1)/2+O1553,0)</x:f>
        <x:v>0</x:v>
      </x:c>
      <x:c r="V1553" t="str">
        <x:f>IF(ABS(L1553-U1553)&lt;0.001,"OK","ERREUR")</x:f>
        <x:v>OK</x:v>
      </x:c>
    </x:row>
    <x:row r="1554" ht="18" customHeight="1">
      <x:c r="A1554" t="str">
        <x:v>ARM078</x:v>
      </x:c>
      <x:c r="B1554" t="str">
        <x:v>Bouclier d'acier</x:v>
      </x:c>
      <x:c r="C1554" t="n">
        <x:v>11</x:v>
      </x:c>
      <x:c r="D1554" t="str">
        <x:v>Boucliers</x:v>
      </x:c>
      <x:c r="E1554" s="28" t="n">
        <x:f>IF(M1554=0,0,M1554+O1554)</x:f>
        <x:v>0</x:v>
      </x:c>
      <x:c r="F1554" s="28" t="n">
        <x:f>IF(M1554=0,0,M1554*N1554+O1554)</x:f>
        <x:v>0</x:v>
      </x:c>
      <x:c r="G1554" s="28" t="n">
        <x:f>ROUND(Catalogue!G81*SQRT((1+'Paramètres'!$B$4*(C1554-1)+'Paramètres'!$B$5*(C1554-1)^2)),0)</x:f>
        <x:v>15</x:v>
      </x:c>
      <x:c r="H1554" s="28" t="n">
        <x:f>ROUND(Catalogue!H81*SQRT((1+'Paramètres'!$B$4*(C1554-1)+'Paramètres'!$B$5*(C1554-1)^2)),0)</x:f>
        <x:v>0</x:v>
      </x:c>
      <x:c r="I1554" s="28" t="n">
        <x:v>0</x:v>
      </x:c>
      <x:c r="J1554" s="28" t="n">
        <x:v>0</x:v>
      </x:c>
      <x:c r="K1554" s="30" t="n">
        <x:v>4.6</x:v>
      </x:c>
      <x:c r="L1554" s="54" t="n">
        <x:f>IF(M1554=0,0,(E1554+F1554)/2)</x:f>
        <x:v>0</x:v>
      </x:c>
      <x:c r="M1554" t="n">
        <x:v>0</x:v>
      </x:c>
      <x:c r="N1554" t="n">
        <x:v>0</x:v>
      </x:c>
      <x:c r="O1554" t="n">
        <x:v>0</x:v>
      </x:c>
      <x:c r="P1554" s="63" t="str">
        <x:f>IF(M1554=0,"—",M1554&amp;"d"&amp;N1554&amp;IF(O1554=0,""," + "&amp;O1554))</x:f>
        <x:v>—</x:v>
      </x:c>
      <x:c r="Q1554" t="n">
        <x:f>ROUND(INDEX(Catalogue!E$4:E$85,MATCH(A1554,Catalogue!A$4:A$85,0))*(1+'Paramètres'!$B$4*(C1554-1)+'Paramètres'!$B$5*(C1554-1)^2),0)</x:f>
        <x:v>0</x:v>
      </x:c>
      <x:c r="R1554" t="n">
        <x:f>ROUND(INDEX(Catalogue!F$4:F$85,MATCH(A1554,Catalogue!A$4:A$85,0))*(1+'Paramètres'!$B$4*(C1554-1)+'Paramètres'!$B$5*(C1554-1)^2),0)</x:f>
        <x:v>0</x:v>
      </x:c>
      <x:c r="S1554" t="n">
        <x:f>L1554-AVERAGE(Q1554:R1554)</x:f>
        <x:v>0</x:v>
      </x:c>
      <x:c r="T1554" t="str">
        <x:f>IF(M1554=0,IF(AND(N1554=0,O1554=0,E1554=0,F1554=0),"OK","ERREUR"),IF(AND(M1554&gt;=1,M1554&lt;=32,OR(N1554=4,N1554=6,N1554=8,N1554=10,N1554=12,N1554=20),O1554&gt;=0,E1554=M1554+O1554,F1554=M1554*N1554+O1554),"OK","ERREUR"))</x:f>
        <x:v>OK</x:v>
      </x:c>
      <x:c r="U1554" s="86" t="n">
        <x:f>IF(M1554&gt;0,M1554*(N1554+1)/2+O1554,0)</x:f>
        <x:v>0</x:v>
      </x:c>
      <x:c r="V1554" t="str">
        <x:f>IF(ABS(L1554-U1554)&lt;0.001,"OK","ERREUR")</x:f>
        <x:v>OK</x:v>
      </x:c>
    </x:row>
    <x:row r="1555" ht="18" customHeight="1">
      <x:c r="A1555" t="str">
        <x:v>ARM078</x:v>
      </x:c>
      <x:c r="B1555" t="str">
        <x:v>Bouclier d'acier</x:v>
      </x:c>
      <x:c r="C1555" t="n">
        <x:v>12</x:v>
      </x:c>
      <x:c r="D1555" t="str">
        <x:v>Boucliers</x:v>
      </x:c>
      <x:c r="E1555" s="28" t="n">
        <x:f>IF(M1555=0,0,M1555+O1555)</x:f>
        <x:v>0</x:v>
      </x:c>
      <x:c r="F1555" s="28" t="n">
        <x:f>IF(M1555=0,0,M1555*N1555+O1555)</x:f>
        <x:v>0</x:v>
      </x:c>
      <x:c r="G1555" s="28" t="n">
        <x:f>ROUND(Catalogue!G81*SQRT((1+'Paramètres'!$B$4*(C1555-1)+'Paramètres'!$B$5*(C1555-1)^2)),0)</x:f>
        <x:v>16</x:v>
      </x:c>
      <x:c r="H1555" s="28" t="n">
        <x:f>ROUND(Catalogue!H81*SQRT((1+'Paramètres'!$B$4*(C1555-1)+'Paramètres'!$B$5*(C1555-1)^2)),0)</x:f>
        <x:v>0</x:v>
      </x:c>
      <x:c r="I1555" s="28" t="n">
        <x:v>0</x:v>
      </x:c>
      <x:c r="J1555" s="28" t="n">
        <x:v>0</x:v>
      </x:c>
      <x:c r="K1555" s="30" t="n">
        <x:v>4.6</x:v>
      </x:c>
      <x:c r="L1555" s="54" t="n">
        <x:f>IF(M1555=0,0,(E1555+F1555)/2)</x:f>
        <x:v>0</x:v>
      </x:c>
      <x:c r="M1555" t="n">
        <x:v>0</x:v>
      </x:c>
      <x:c r="N1555" t="n">
        <x:v>0</x:v>
      </x:c>
      <x:c r="O1555" t="n">
        <x:v>0</x:v>
      </x:c>
      <x:c r="P1555" s="63" t="str">
        <x:f>IF(M1555=0,"—",M1555&amp;"d"&amp;N1555&amp;IF(O1555=0,""," + "&amp;O1555))</x:f>
        <x:v>—</x:v>
      </x:c>
      <x:c r="Q1555" t="n">
        <x:f>ROUND(INDEX(Catalogue!E$4:E$85,MATCH(A1555,Catalogue!A$4:A$85,0))*(1+'Paramètres'!$B$4*(C1555-1)+'Paramètres'!$B$5*(C1555-1)^2),0)</x:f>
        <x:v>0</x:v>
      </x:c>
      <x:c r="R1555" t="n">
        <x:f>ROUND(INDEX(Catalogue!F$4:F$85,MATCH(A1555,Catalogue!A$4:A$85,0))*(1+'Paramètres'!$B$4*(C1555-1)+'Paramètres'!$B$5*(C1555-1)^2),0)</x:f>
        <x:v>0</x:v>
      </x:c>
      <x:c r="S1555" t="n">
        <x:f>L1555-AVERAGE(Q1555:R1555)</x:f>
        <x:v>0</x:v>
      </x:c>
      <x:c r="T1555" t="str">
        <x:f>IF(M1555=0,IF(AND(N1555=0,O1555=0,E1555=0,F1555=0),"OK","ERREUR"),IF(AND(M1555&gt;=1,M1555&lt;=32,OR(N1555=4,N1555=6,N1555=8,N1555=10,N1555=12,N1555=20),O1555&gt;=0,E1555=M1555+O1555,F1555=M1555*N1555+O1555),"OK","ERREUR"))</x:f>
        <x:v>OK</x:v>
      </x:c>
      <x:c r="U1555" s="86" t="n">
        <x:f>IF(M1555&gt;0,M1555*(N1555+1)/2+O1555,0)</x:f>
        <x:v>0</x:v>
      </x:c>
      <x:c r="V1555" t="str">
        <x:f>IF(ABS(L1555-U1555)&lt;0.001,"OK","ERREUR")</x:f>
        <x:v>OK</x:v>
      </x:c>
    </x:row>
    <x:row r="1556" ht="18" customHeight="1">
      <x:c r="A1556" t="str">
        <x:v>ARM078</x:v>
      </x:c>
      <x:c r="B1556" t="str">
        <x:v>Bouclier d'acier</x:v>
      </x:c>
      <x:c r="C1556" t="n">
        <x:v>13</x:v>
      </x:c>
      <x:c r="D1556" t="str">
        <x:v>Boucliers</x:v>
      </x:c>
      <x:c r="E1556" s="28" t="n">
        <x:f>IF(M1556=0,0,M1556+O1556)</x:f>
        <x:v>0</x:v>
      </x:c>
      <x:c r="F1556" s="28" t="n">
        <x:f>IF(M1556=0,0,M1556*N1556+O1556)</x:f>
        <x:v>0</x:v>
      </x:c>
      <x:c r="G1556" s="28" t="n">
        <x:f>ROUND(Catalogue!G81*SQRT((1+'Paramètres'!$B$4*(C1556-1)+'Paramètres'!$B$5*(C1556-1)^2)),0)</x:f>
        <x:v>17</x:v>
      </x:c>
      <x:c r="H1556" s="28" t="n">
        <x:f>ROUND(Catalogue!H81*SQRT((1+'Paramètres'!$B$4*(C1556-1)+'Paramètres'!$B$5*(C1556-1)^2)),0)</x:f>
        <x:v>0</x:v>
      </x:c>
      <x:c r="I1556" s="28" t="n">
        <x:v>0</x:v>
      </x:c>
      <x:c r="J1556" s="28" t="n">
        <x:v>0</x:v>
      </x:c>
      <x:c r="K1556" s="30" t="n">
        <x:v>4.6</x:v>
      </x:c>
      <x:c r="L1556" s="54" t="n">
        <x:f>IF(M1556=0,0,(E1556+F1556)/2)</x:f>
        <x:v>0</x:v>
      </x:c>
      <x:c r="M1556" t="n">
        <x:v>0</x:v>
      </x:c>
      <x:c r="N1556" t="n">
        <x:v>0</x:v>
      </x:c>
      <x:c r="O1556" t="n">
        <x:v>0</x:v>
      </x:c>
      <x:c r="P1556" s="63" t="str">
        <x:f>IF(M1556=0,"—",M1556&amp;"d"&amp;N1556&amp;IF(O1556=0,""," + "&amp;O1556))</x:f>
        <x:v>—</x:v>
      </x:c>
      <x:c r="Q1556" t="n">
        <x:f>ROUND(INDEX(Catalogue!E$4:E$85,MATCH(A1556,Catalogue!A$4:A$85,0))*(1+'Paramètres'!$B$4*(C1556-1)+'Paramètres'!$B$5*(C1556-1)^2),0)</x:f>
        <x:v>0</x:v>
      </x:c>
      <x:c r="R1556" t="n">
        <x:f>ROUND(INDEX(Catalogue!F$4:F$85,MATCH(A1556,Catalogue!A$4:A$85,0))*(1+'Paramètres'!$B$4*(C1556-1)+'Paramètres'!$B$5*(C1556-1)^2),0)</x:f>
        <x:v>0</x:v>
      </x:c>
      <x:c r="S1556" t="n">
        <x:f>L1556-AVERAGE(Q1556:R1556)</x:f>
        <x:v>0</x:v>
      </x:c>
      <x:c r="T1556" t="str">
        <x:f>IF(M1556=0,IF(AND(N1556=0,O1556=0,E1556=0,F1556=0),"OK","ERREUR"),IF(AND(M1556&gt;=1,M1556&lt;=32,OR(N1556=4,N1556=6,N1556=8,N1556=10,N1556=12,N1556=20),O1556&gt;=0,E1556=M1556+O1556,F1556=M1556*N1556+O1556),"OK","ERREUR"))</x:f>
        <x:v>OK</x:v>
      </x:c>
      <x:c r="U1556" s="86" t="n">
        <x:f>IF(M1556&gt;0,M1556*(N1556+1)/2+O1556,0)</x:f>
        <x:v>0</x:v>
      </x:c>
      <x:c r="V1556" t="str">
        <x:f>IF(ABS(L1556-U1556)&lt;0.001,"OK","ERREUR")</x:f>
        <x:v>OK</x:v>
      </x:c>
    </x:row>
    <x:row r="1557" ht="18" customHeight="1">
      <x:c r="A1557" t="str">
        <x:v>ARM078</x:v>
      </x:c>
      <x:c r="B1557" t="str">
        <x:v>Bouclier d'acier</x:v>
      </x:c>
      <x:c r="C1557" t="n">
        <x:v>14</x:v>
      </x:c>
      <x:c r="D1557" t="str">
        <x:v>Boucliers</x:v>
      </x:c>
      <x:c r="E1557" s="28" t="n">
        <x:f>IF(M1557=0,0,M1557+O1557)</x:f>
        <x:v>0</x:v>
      </x:c>
      <x:c r="F1557" s="28" t="n">
        <x:f>IF(M1557=0,0,M1557*N1557+O1557)</x:f>
        <x:v>0</x:v>
      </x:c>
      <x:c r="G1557" s="28" t="n">
        <x:f>ROUND(Catalogue!G81*SQRT((1+'Paramètres'!$B$4*(C1557-1)+'Paramètres'!$B$5*(C1557-1)^2)),0)</x:f>
        <x:v>18</x:v>
      </x:c>
      <x:c r="H1557" s="28" t="n">
        <x:f>ROUND(Catalogue!H81*SQRT((1+'Paramètres'!$B$4*(C1557-1)+'Paramètres'!$B$5*(C1557-1)^2)),0)</x:f>
        <x:v>0</x:v>
      </x:c>
      <x:c r="I1557" s="28" t="n">
        <x:v>0</x:v>
      </x:c>
      <x:c r="J1557" s="28" t="n">
        <x:v>0</x:v>
      </x:c>
      <x:c r="K1557" s="30" t="n">
        <x:v>4.6</x:v>
      </x:c>
      <x:c r="L1557" s="54" t="n">
        <x:f>IF(M1557=0,0,(E1557+F1557)/2)</x:f>
        <x:v>0</x:v>
      </x:c>
      <x:c r="M1557" t="n">
        <x:v>0</x:v>
      </x:c>
      <x:c r="N1557" t="n">
        <x:v>0</x:v>
      </x:c>
      <x:c r="O1557" t="n">
        <x:v>0</x:v>
      </x:c>
      <x:c r="P1557" s="63" t="str">
        <x:f>IF(M1557=0,"—",M1557&amp;"d"&amp;N1557&amp;IF(O1557=0,""," + "&amp;O1557))</x:f>
        <x:v>—</x:v>
      </x:c>
      <x:c r="Q1557" t="n">
        <x:f>ROUND(INDEX(Catalogue!E$4:E$85,MATCH(A1557,Catalogue!A$4:A$85,0))*(1+'Paramètres'!$B$4*(C1557-1)+'Paramètres'!$B$5*(C1557-1)^2),0)</x:f>
        <x:v>0</x:v>
      </x:c>
      <x:c r="R1557" t="n">
        <x:f>ROUND(INDEX(Catalogue!F$4:F$85,MATCH(A1557,Catalogue!A$4:A$85,0))*(1+'Paramètres'!$B$4*(C1557-1)+'Paramètres'!$B$5*(C1557-1)^2),0)</x:f>
        <x:v>0</x:v>
      </x:c>
      <x:c r="S1557" t="n">
        <x:f>L1557-AVERAGE(Q1557:R1557)</x:f>
        <x:v>0</x:v>
      </x:c>
      <x:c r="T1557" t="str">
        <x:f>IF(M1557=0,IF(AND(N1557=0,O1557=0,E1557=0,F1557=0),"OK","ERREUR"),IF(AND(M1557&gt;=1,M1557&lt;=32,OR(N1557=4,N1557=6,N1557=8,N1557=10,N1557=12,N1557=20),O1557&gt;=0,E1557=M1557+O1557,F1557=M1557*N1557+O1557),"OK","ERREUR"))</x:f>
        <x:v>OK</x:v>
      </x:c>
      <x:c r="U1557" s="86" t="n">
        <x:f>IF(M1557&gt;0,M1557*(N1557+1)/2+O1557,0)</x:f>
        <x:v>0</x:v>
      </x:c>
      <x:c r="V1557" t="str">
        <x:f>IF(ABS(L1557-U1557)&lt;0.001,"OK","ERREUR")</x:f>
        <x:v>OK</x:v>
      </x:c>
    </x:row>
    <x:row r="1558" ht="18" customHeight="1">
      <x:c r="A1558" t="str">
        <x:v>ARM078</x:v>
      </x:c>
      <x:c r="B1558" t="str">
        <x:v>Bouclier d'acier</x:v>
      </x:c>
      <x:c r="C1558" t="n">
        <x:v>15</x:v>
      </x:c>
      <x:c r="D1558" t="str">
        <x:v>Boucliers</x:v>
      </x:c>
      <x:c r="E1558" s="28" t="n">
        <x:f>IF(M1558=0,0,M1558+O1558)</x:f>
        <x:v>0</x:v>
      </x:c>
      <x:c r="F1558" s="28" t="n">
        <x:f>IF(M1558=0,0,M1558*N1558+O1558)</x:f>
        <x:v>0</x:v>
      </x:c>
      <x:c r="G1558" s="28" t="n">
        <x:f>ROUND(Catalogue!G81*SQRT((1+'Paramètres'!$B$4*(C1558-1)+'Paramètres'!$B$5*(C1558-1)^2)),0)</x:f>
        <x:v>19</x:v>
      </x:c>
      <x:c r="H1558" s="28" t="n">
        <x:f>ROUND(Catalogue!H81*SQRT((1+'Paramètres'!$B$4*(C1558-1)+'Paramètres'!$B$5*(C1558-1)^2)),0)</x:f>
        <x:v>0</x:v>
      </x:c>
      <x:c r="I1558" s="28" t="n">
        <x:v>0</x:v>
      </x:c>
      <x:c r="J1558" s="28" t="n">
        <x:v>0</x:v>
      </x:c>
      <x:c r="K1558" s="30" t="n">
        <x:v>4.6</x:v>
      </x:c>
      <x:c r="L1558" s="54" t="n">
        <x:f>IF(M1558=0,0,(E1558+F1558)/2)</x:f>
        <x:v>0</x:v>
      </x:c>
      <x:c r="M1558" t="n">
        <x:v>0</x:v>
      </x:c>
      <x:c r="N1558" t="n">
        <x:v>0</x:v>
      </x:c>
      <x:c r="O1558" t="n">
        <x:v>0</x:v>
      </x:c>
      <x:c r="P1558" s="63" t="str">
        <x:f>IF(M1558=0,"—",M1558&amp;"d"&amp;N1558&amp;IF(O1558=0,""," + "&amp;O1558))</x:f>
        <x:v>—</x:v>
      </x:c>
      <x:c r="Q1558" t="n">
        <x:f>ROUND(INDEX(Catalogue!E$4:E$85,MATCH(A1558,Catalogue!A$4:A$85,0))*(1+'Paramètres'!$B$4*(C1558-1)+'Paramètres'!$B$5*(C1558-1)^2),0)</x:f>
        <x:v>0</x:v>
      </x:c>
      <x:c r="R1558" t="n">
        <x:f>ROUND(INDEX(Catalogue!F$4:F$85,MATCH(A1558,Catalogue!A$4:A$85,0))*(1+'Paramètres'!$B$4*(C1558-1)+'Paramètres'!$B$5*(C1558-1)^2),0)</x:f>
        <x:v>0</x:v>
      </x:c>
      <x:c r="S1558" t="n">
        <x:f>L1558-AVERAGE(Q1558:R1558)</x:f>
        <x:v>0</x:v>
      </x:c>
      <x:c r="T1558" t="str">
        <x:f>IF(M1558=0,IF(AND(N1558=0,O1558=0,E1558=0,F1558=0),"OK","ERREUR"),IF(AND(M1558&gt;=1,M1558&lt;=32,OR(N1558=4,N1558=6,N1558=8,N1558=10,N1558=12,N1558=20),O1558&gt;=0,E1558=M1558+O1558,F1558=M1558*N1558+O1558),"OK","ERREUR"))</x:f>
        <x:v>OK</x:v>
      </x:c>
      <x:c r="U1558" s="86" t="n">
        <x:f>IF(M1558&gt;0,M1558*(N1558+1)/2+O1558,0)</x:f>
        <x:v>0</x:v>
      </x:c>
      <x:c r="V1558" t="str">
        <x:f>IF(ABS(L1558-U1558)&lt;0.001,"OK","ERREUR")</x:f>
        <x:v>OK</x:v>
      </x:c>
    </x:row>
    <x:row r="1559" ht="18" customHeight="1">
      <x:c r="A1559" t="str">
        <x:v>ARM078</x:v>
      </x:c>
      <x:c r="B1559" t="str">
        <x:v>Bouclier d'acier</x:v>
      </x:c>
      <x:c r="C1559" t="n">
        <x:v>16</x:v>
      </x:c>
      <x:c r="D1559" t="str">
        <x:v>Boucliers</x:v>
      </x:c>
      <x:c r="E1559" s="28" t="n">
        <x:f>IF(M1559=0,0,M1559+O1559)</x:f>
        <x:v>0</x:v>
      </x:c>
      <x:c r="F1559" s="28" t="n">
        <x:f>IF(M1559=0,0,M1559*N1559+O1559)</x:f>
        <x:v>0</x:v>
      </x:c>
      <x:c r="G1559" s="28" t="n">
        <x:f>ROUND(Catalogue!G81*SQRT((1+'Paramètres'!$B$4*(C1559-1)+'Paramètres'!$B$5*(C1559-1)^2)),0)</x:f>
        <x:v>20</x:v>
      </x:c>
      <x:c r="H1559" s="28" t="n">
        <x:f>ROUND(Catalogue!H81*SQRT((1+'Paramètres'!$B$4*(C1559-1)+'Paramètres'!$B$5*(C1559-1)^2)),0)</x:f>
        <x:v>0</x:v>
      </x:c>
      <x:c r="I1559" s="28" t="n">
        <x:v>0</x:v>
      </x:c>
      <x:c r="J1559" s="28" t="n">
        <x:v>0</x:v>
      </x:c>
      <x:c r="K1559" s="30" t="n">
        <x:v>4.6</x:v>
      </x:c>
      <x:c r="L1559" s="54" t="n">
        <x:f>IF(M1559=0,0,(E1559+F1559)/2)</x:f>
        <x:v>0</x:v>
      </x:c>
      <x:c r="M1559" t="n">
        <x:v>0</x:v>
      </x:c>
      <x:c r="N1559" t="n">
        <x:v>0</x:v>
      </x:c>
      <x:c r="O1559" t="n">
        <x:v>0</x:v>
      </x:c>
      <x:c r="P1559" s="63" t="str">
        <x:f>IF(M1559=0,"—",M1559&amp;"d"&amp;N1559&amp;IF(O1559=0,""," + "&amp;O1559))</x:f>
        <x:v>—</x:v>
      </x:c>
      <x:c r="Q1559" t="n">
        <x:f>ROUND(INDEX(Catalogue!E$4:E$85,MATCH(A1559,Catalogue!A$4:A$85,0))*(1+'Paramètres'!$B$4*(C1559-1)+'Paramètres'!$B$5*(C1559-1)^2),0)</x:f>
        <x:v>0</x:v>
      </x:c>
      <x:c r="R1559" t="n">
        <x:f>ROUND(INDEX(Catalogue!F$4:F$85,MATCH(A1559,Catalogue!A$4:A$85,0))*(1+'Paramètres'!$B$4*(C1559-1)+'Paramètres'!$B$5*(C1559-1)^2),0)</x:f>
        <x:v>0</x:v>
      </x:c>
      <x:c r="S1559" t="n">
        <x:f>L1559-AVERAGE(Q1559:R1559)</x:f>
        <x:v>0</x:v>
      </x:c>
      <x:c r="T1559" t="str">
        <x:f>IF(M1559=0,IF(AND(N1559=0,O1559=0,E1559=0,F1559=0),"OK","ERREUR"),IF(AND(M1559&gt;=1,M1559&lt;=32,OR(N1559=4,N1559=6,N1559=8,N1559=10,N1559=12,N1559=20),O1559&gt;=0,E1559=M1559+O1559,F1559=M1559*N1559+O1559),"OK","ERREUR"))</x:f>
        <x:v>OK</x:v>
      </x:c>
      <x:c r="U1559" s="86" t="n">
        <x:f>IF(M1559&gt;0,M1559*(N1559+1)/2+O1559,0)</x:f>
        <x:v>0</x:v>
      </x:c>
      <x:c r="V1559" t="str">
        <x:f>IF(ABS(L1559-U1559)&lt;0.001,"OK","ERREUR")</x:f>
        <x:v>OK</x:v>
      </x:c>
    </x:row>
    <x:row r="1560" ht="18" customHeight="1">
      <x:c r="A1560" t="str">
        <x:v>ARM078</x:v>
      </x:c>
      <x:c r="B1560" t="str">
        <x:v>Bouclier d'acier</x:v>
      </x:c>
      <x:c r="C1560" t="n">
        <x:v>17</x:v>
      </x:c>
      <x:c r="D1560" t="str">
        <x:v>Boucliers</x:v>
      </x:c>
      <x:c r="E1560" s="28" t="n">
        <x:f>IF(M1560=0,0,M1560+O1560)</x:f>
        <x:v>0</x:v>
      </x:c>
      <x:c r="F1560" s="28" t="n">
        <x:f>IF(M1560=0,0,M1560*N1560+O1560)</x:f>
        <x:v>0</x:v>
      </x:c>
      <x:c r="G1560" s="28" t="n">
        <x:f>ROUND(Catalogue!G81*SQRT((1+'Paramètres'!$B$4*(C1560-1)+'Paramètres'!$B$5*(C1560-1)^2)),0)</x:f>
        <x:v>21</x:v>
      </x:c>
      <x:c r="H1560" s="28" t="n">
        <x:f>ROUND(Catalogue!H81*SQRT((1+'Paramètres'!$B$4*(C1560-1)+'Paramètres'!$B$5*(C1560-1)^2)),0)</x:f>
        <x:v>0</x:v>
      </x:c>
      <x:c r="I1560" s="28" t="n">
        <x:v>0</x:v>
      </x:c>
      <x:c r="J1560" s="28" t="n">
        <x:v>0</x:v>
      </x:c>
      <x:c r="K1560" s="30" t="n">
        <x:v>4.6</x:v>
      </x:c>
      <x:c r="L1560" s="54" t="n">
        <x:f>IF(M1560=0,0,(E1560+F1560)/2)</x:f>
        <x:v>0</x:v>
      </x:c>
      <x:c r="M1560" t="n">
        <x:v>0</x:v>
      </x:c>
      <x:c r="N1560" t="n">
        <x:v>0</x:v>
      </x:c>
      <x:c r="O1560" t="n">
        <x:v>0</x:v>
      </x:c>
      <x:c r="P1560" s="63" t="str">
        <x:f>IF(M1560=0,"—",M1560&amp;"d"&amp;N1560&amp;IF(O1560=0,""," + "&amp;O1560))</x:f>
        <x:v>—</x:v>
      </x:c>
      <x:c r="Q1560" t="n">
        <x:f>ROUND(INDEX(Catalogue!E$4:E$85,MATCH(A1560,Catalogue!A$4:A$85,0))*(1+'Paramètres'!$B$4*(C1560-1)+'Paramètres'!$B$5*(C1560-1)^2),0)</x:f>
        <x:v>0</x:v>
      </x:c>
      <x:c r="R1560" t="n">
        <x:f>ROUND(INDEX(Catalogue!F$4:F$85,MATCH(A1560,Catalogue!A$4:A$85,0))*(1+'Paramètres'!$B$4*(C1560-1)+'Paramètres'!$B$5*(C1560-1)^2),0)</x:f>
        <x:v>0</x:v>
      </x:c>
      <x:c r="S1560" t="n">
        <x:f>L1560-AVERAGE(Q1560:R1560)</x:f>
        <x:v>0</x:v>
      </x:c>
      <x:c r="T1560" t="str">
        <x:f>IF(M1560=0,IF(AND(N1560=0,O1560=0,E1560=0,F1560=0),"OK","ERREUR"),IF(AND(M1560&gt;=1,M1560&lt;=32,OR(N1560=4,N1560=6,N1560=8,N1560=10,N1560=12,N1560=20),O1560&gt;=0,E1560=M1560+O1560,F1560=M1560*N1560+O1560),"OK","ERREUR"))</x:f>
        <x:v>OK</x:v>
      </x:c>
      <x:c r="U1560" s="86" t="n">
        <x:f>IF(M1560&gt;0,M1560*(N1560+1)/2+O1560,0)</x:f>
        <x:v>0</x:v>
      </x:c>
      <x:c r="V1560" t="str">
        <x:f>IF(ABS(L1560-U1560)&lt;0.001,"OK","ERREUR")</x:f>
        <x:v>OK</x:v>
      </x:c>
    </x:row>
    <x:row r="1561" ht="18" customHeight="1">
      <x:c r="A1561" t="str">
        <x:v>ARM078</x:v>
      </x:c>
      <x:c r="B1561" t="str">
        <x:v>Bouclier d'acier</x:v>
      </x:c>
      <x:c r="C1561" t="n">
        <x:v>18</x:v>
      </x:c>
      <x:c r="D1561" t="str">
        <x:v>Boucliers</x:v>
      </x:c>
      <x:c r="E1561" s="28" t="n">
        <x:f>IF(M1561=0,0,M1561+O1561)</x:f>
        <x:v>0</x:v>
      </x:c>
      <x:c r="F1561" s="28" t="n">
        <x:f>IF(M1561=0,0,M1561*N1561+O1561)</x:f>
        <x:v>0</x:v>
      </x:c>
      <x:c r="G1561" s="28" t="n">
        <x:f>ROUND(Catalogue!G81*SQRT((1+'Paramètres'!$B$4*(C1561-1)+'Paramètres'!$B$5*(C1561-1)^2)),0)</x:f>
        <x:v>22</x:v>
      </x:c>
      <x:c r="H1561" s="28" t="n">
        <x:f>ROUND(Catalogue!H81*SQRT((1+'Paramètres'!$B$4*(C1561-1)+'Paramètres'!$B$5*(C1561-1)^2)),0)</x:f>
        <x:v>0</x:v>
      </x:c>
      <x:c r="I1561" s="28" t="n">
        <x:v>0</x:v>
      </x:c>
      <x:c r="J1561" s="28" t="n">
        <x:v>0</x:v>
      </x:c>
      <x:c r="K1561" s="30" t="n">
        <x:v>4.6</x:v>
      </x:c>
      <x:c r="L1561" s="54" t="n">
        <x:f>IF(M1561=0,0,(E1561+F1561)/2)</x:f>
        <x:v>0</x:v>
      </x:c>
      <x:c r="M1561" t="n">
        <x:v>0</x:v>
      </x:c>
      <x:c r="N1561" t="n">
        <x:v>0</x:v>
      </x:c>
      <x:c r="O1561" t="n">
        <x:v>0</x:v>
      </x:c>
      <x:c r="P1561" s="63" t="str">
        <x:f>IF(M1561=0,"—",M1561&amp;"d"&amp;N1561&amp;IF(O1561=0,""," + "&amp;O1561))</x:f>
        <x:v>—</x:v>
      </x:c>
      <x:c r="Q1561" t="n">
        <x:f>ROUND(INDEX(Catalogue!E$4:E$85,MATCH(A1561,Catalogue!A$4:A$85,0))*(1+'Paramètres'!$B$4*(C1561-1)+'Paramètres'!$B$5*(C1561-1)^2),0)</x:f>
        <x:v>0</x:v>
      </x:c>
      <x:c r="R1561" t="n">
        <x:f>ROUND(INDEX(Catalogue!F$4:F$85,MATCH(A1561,Catalogue!A$4:A$85,0))*(1+'Paramètres'!$B$4*(C1561-1)+'Paramètres'!$B$5*(C1561-1)^2),0)</x:f>
        <x:v>0</x:v>
      </x:c>
      <x:c r="S1561" t="n">
        <x:f>L1561-AVERAGE(Q1561:R1561)</x:f>
        <x:v>0</x:v>
      </x:c>
      <x:c r="T1561" t="str">
        <x:f>IF(M1561=0,IF(AND(N1561=0,O1561=0,E1561=0,F1561=0),"OK","ERREUR"),IF(AND(M1561&gt;=1,M1561&lt;=32,OR(N1561=4,N1561=6,N1561=8,N1561=10,N1561=12,N1561=20),O1561&gt;=0,E1561=M1561+O1561,F1561=M1561*N1561+O1561),"OK","ERREUR"))</x:f>
        <x:v>OK</x:v>
      </x:c>
      <x:c r="U1561" s="86" t="n">
        <x:f>IF(M1561&gt;0,M1561*(N1561+1)/2+O1561,0)</x:f>
        <x:v>0</x:v>
      </x:c>
      <x:c r="V1561" t="str">
        <x:f>IF(ABS(L1561-U1561)&lt;0.001,"OK","ERREUR")</x:f>
        <x:v>OK</x:v>
      </x:c>
    </x:row>
    <x:row r="1562" ht="18" customHeight="1">
      <x:c r="A1562" t="str">
        <x:v>ARM078</x:v>
      </x:c>
      <x:c r="B1562" t="str">
        <x:v>Bouclier d'acier</x:v>
      </x:c>
      <x:c r="C1562" t="n">
        <x:v>19</x:v>
      </x:c>
      <x:c r="D1562" t="str">
        <x:v>Boucliers</x:v>
      </x:c>
      <x:c r="E1562" s="28" t="n">
        <x:f>IF(M1562=0,0,M1562+O1562)</x:f>
        <x:v>0</x:v>
      </x:c>
      <x:c r="F1562" s="28" t="n">
        <x:f>IF(M1562=0,0,M1562*N1562+O1562)</x:f>
        <x:v>0</x:v>
      </x:c>
      <x:c r="G1562" s="28" t="n">
        <x:f>ROUND(Catalogue!G81*SQRT((1+'Paramètres'!$B$4*(C1562-1)+'Paramètres'!$B$5*(C1562-1)^2)),0)</x:f>
        <x:v>23</x:v>
      </x:c>
      <x:c r="H1562" s="28" t="n">
        <x:f>ROUND(Catalogue!H81*SQRT((1+'Paramètres'!$B$4*(C1562-1)+'Paramètres'!$B$5*(C1562-1)^2)),0)</x:f>
        <x:v>0</x:v>
      </x:c>
      <x:c r="I1562" s="28" t="n">
        <x:v>0</x:v>
      </x:c>
      <x:c r="J1562" s="28" t="n">
        <x:v>0</x:v>
      </x:c>
      <x:c r="K1562" s="30" t="n">
        <x:v>4.6</x:v>
      </x:c>
      <x:c r="L1562" s="54" t="n">
        <x:f>IF(M1562=0,0,(E1562+F1562)/2)</x:f>
        <x:v>0</x:v>
      </x:c>
      <x:c r="M1562" t="n">
        <x:v>0</x:v>
      </x:c>
      <x:c r="N1562" t="n">
        <x:v>0</x:v>
      </x:c>
      <x:c r="O1562" t="n">
        <x:v>0</x:v>
      </x:c>
      <x:c r="P1562" s="63" t="str">
        <x:f>IF(M1562=0,"—",M1562&amp;"d"&amp;N1562&amp;IF(O1562=0,""," + "&amp;O1562))</x:f>
        <x:v>—</x:v>
      </x:c>
      <x:c r="Q1562" t="n">
        <x:f>ROUND(INDEX(Catalogue!E$4:E$85,MATCH(A1562,Catalogue!A$4:A$85,0))*(1+'Paramètres'!$B$4*(C1562-1)+'Paramètres'!$B$5*(C1562-1)^2),0)</x:f>
        <x:v>0</x:v>
      </x:c>
      <x:c r="R1562" t="n">
        <x:f>ROUND(INDEX(Catalogue!F$4:F$85,MATCH(A1562,Catalogue!A$4:A$85,0))*(1+'Paramètres'!$B$4*(C1562-1)+'Paramètres'!$B$5*(C1562-1)^2),0)</x:f>
        <x:v>0</x:v>
      </x:c>
      <x:c r="S1562" t="n">
        <x:f>L1562-AVERAGE(Q1562:R1562)</x:f>
        <x:v>0</x:v>
      </x:c>
      <x:c r="T1562" t="str">
        <x:f>IF(M1562=0,IF(AND(N1562=0,O1562=0,E1562=0,F1562=0),"OK","ERREUR"),IF(AND(M1562&gt;=1,M1562&lt;=32,OR(N1562=4,N1562=6,N1562=8,N1562=10,N1562=12,N1562=20),O1562&gt;=0,E1562=M1562+O1562,F1562=M1562*N1562+O1562),"OK","ERREUR"))</x:f>
        <x:v>OK</x:v>
      </x:c>
      <x:c r="U1562" s="86" t="n">
        <x:f>IF(M1562&gt;0,M1562*(N1562+1)/2+O1562,0)</x:f>
        <x:v>0</x:v>
      </x:c>
      <x:c r="V1562" t="str">
        <x:f>IF(ABS(L1562-U1562)&lt;0.001,"OK","ERREUR")</x:f>
        <x:v>OK</x:v>
      </x:c>
    </x:row>
    <x:row r="1563" ht="18" customHeight="1">
      <x:c r="A1563" t="str">
        <x:v>ARM078</x:v>
      </x:c>
      <x:c r="B1563" t="str">
        <x:v>Bouclier d'acier</x:v>
      </x:c>
      <x:c r="C1563" t="n">
        <x:v>20</x:v>
      </x:c>
      <x:c r="D1563" t="str">
        <x:v>Boucliers</x:v>
      </x:c>
      <x:c r="E1563" s="28" t="n">
        <x:f>IF(M1563=0,0,M1563+O1563)</x:f>
        <x:v>0</x:v>
      </x:c>
      <x:c r="F1563" s="28" t="n">
        <x:f>IF(M1563=0,0,M1563*N1563+O1563)</x:f>
        <x:v>0</x:v>
      </x:c>
      <x:c r="G1563" s="28" t="n">
        <x:f>ROUND(Catalogue!G81*SQRT((1+'Paramètres'!$B$4*(C1563-1)+'Paramètres'!$B$5*(C1563-1)^2)),0)</x:f>
        <x:v>24</x:v>
      </x:c>
      <x:c r="H1563" s="28" t="n">
        <x:f>ROUND(Catalogue!H81*SQRT((1+'Paramètres'!$B$4*(C1563-1)+'Paramètres'!$B$5*(C1563-1)^2)),0)</x:f>
        <x:v>0</x:v>
      </x:c>
      <x:c r="I1563" s="28" t="n">
        <x:v>0</x:v>
      </x:c>
      <x:c r="J1563" s="28" t="n">
        <x:v>0</x:v>
      </x:c>
      <x:c r="K1563" s="30" t="n">
        <x:v>4.6</x:v>
      </x:c>
      <x:c r="L1563" s="54" t="n">
        <x:f>IF(M1563=0,0,(E1563+F1563)/2)</x:f>
        <x:v>0</x:v>
      </x:c>
      <x:c r="M1563" t="n">
        <x:v>0</x:v>
      </x:c>
      <x:c r="N1563" t="n">
        <x:v>0</x:v>
      </x:c>
      <x:c r="O1563" t="n">
        <x:v>0</x:v>
      </x:c>
      <x:c r="P1563" s="63" t="str">
        <x:f>IF(M1563=0,"—",M1563&amp;"d"&amp;N1563&amp;IF(O1563=0,""," + "&amp;O1563))</x:f>
        <x:v>—</x:v>
      </x:c>
      <x:c r="Q1563" t="n">
        <x:f>ROUND(INDEX(Catalogue!E$4:E$85,MATCH(A1563,Catalogue!A$4:A$85,0))*(1+'Paramètres'!$B$4*(C1563-1)+'Paramètres'!$B$5*(C1563-1)^2),0)</x:f>
        <x:v>0</x:v>
      </x:c>
      <x:c r="R1563" t="n">
        <x:f>ROUND(INDEX(Catalogue!F$4:F$85,MATCH(A1563,Catalogue!A$4:A$85,0))*(1+'Paramètres'!$B$4*(C1563-1)+'Paramètres'!$B$5*(C1563-1)^2),0)</x:f>
        <x:v>0</x:v>
      </x:c>
      <x:c r="S1563" t="n">
        <x:f>L1563-AVERAGE(Q1563:R1563)</x:f>
        <x:v>0</x:v>
      </x:c>
      <x:c r="T1563" t="str">
        <x:f>IF(M1563=0,IF(AND(N1563=0,O1563=0,E1563=0,F1563=0),"OK","ERREUR"),IF(AND(M1563&gt;=1,M1563&lt;=32,OR(N1563=4,N1563=6,N1563=8,N1563=10,N1563=12,N1563=20),O1563&gt;=0,E1563=M1563+O1563,F1563=M1563*N1563+O1563),"OK","ERREUR"))</x:f>
        <x:v>OK</x:v>
      </x:c>
      <x:c r="U1563" s="86" t="n">
        <x:f>IF(M1563&gt;0,M1563*(N1563+1)/2+O1563,0)</x:f>
        <x:v>0</x:v>
      </x:c>
      <x:c r="V1563" t="str">
        <x:f>IF(ABS(L1563-U1563)&lt;0.001,"OK","ERREUR")</x:f>
        <x:v>OK</x:v>
      </x:c>
    </x:row>
    <x:row r="1564" ht="18" customHeight="1">
      <x:c r="A1564" t="str">
        <x:v>ARM079</x:v>
      </x:c>
      <x:c r="B1564" t="str">
        <x:v>Pavois</x:v>
      </x:c>
      <x:c r="C1564" t="n">
        <x:v>1</x:v>
      </x:c>
      <x:c r="D1564" t="str">
        <x:v>Boucliers</x:v>
      </x:c>
      <x:c r="E1564" s="28" t="n">
        <x:f>IF(M1564=0,0,M1564+O1564)</x:f>
        <x:v>0</x:v>
      </x:c>
      <x:c r="F1564" s="28" t="n">
        <x:f>IF(M1564=0,0,M1564*N1564+O1564)</x:f>
        <x:v>0</x:v>
      </x:c>
      <x:c r="G1564" s="28" t="n">
        <x:f>ROUND(Catalogue!G82*SQRT((1+'Paramètres'!$B$4*(C1564-1)+'Paramètres'!$B$5*(C1564-1)^2)),0)</x:f>
        <x:v>9</x:v>
      </x:c>
      <x:c r="H1564" s="28" t="n">
        <x:f>ROUND(Catalogue!H82*SQRT((1+'Paramètres'!$B$4*(C1564-1)+'Paramètres'!$B$5*(C1564-1)^2)),0)</x:f>
        <x:v>0</x:v>
      </x:c>
      <x:c r="I1564" s="28" t="n">
        <x:v>0</x:v>
      </x:c>
      <x:c r="J1564" s="28" t="n">
        <x:v>0</x:v>
      </x:c>
      <x:c r="K1564" s="30" t="n">
        <x:v>6.3</x:v>
      </x:c>
      <x:c r="L1564" s="54" t="n">
        <x:f>IF(M1564=0,0,(E1564+F1564)/2)</x:f>
        <x:v>0</x:v>
      </x:c>
      <x:c r="M1564" t="n">
        <x:v>0</x:v>
      </x:c>
      <x:c r="N1564" t="n">
        <x:v>0</x:v>
      </x:c>
      <x:c r="O1564" t="n">
        <x:v>0</x:v>
      </x:c>
      <x:c r="P1564" s="63" t="str">
        <x:f>IF(M1564=0,"—",M1564&amp;"d"&amp;N1564&amp;IF(O1564=0,""," + "&amp;O1564))</x:f>
        <x:v>—</x:v>
      </x:c>
      <x:c r="Q1564" t="n">
        <x:f>ROUND(INDEX(Catalogue!E$4:E$85,MATCH(A1564,Catalogue!A$4:A$85,0))*(1+'Paramètres'!$B$4*(C1564-1)+'Paramètres'!$B$5*(C1564-1)^2),0)</x:f>
        <x:v>0</x:v>
      </x:c>
      <x:c r="R1564" t="n">
        <x:f>ROUND(INDEX(Catalogue!F$4:F$85,MATCH(A1564,Catalogue!A$4:A$85,0))*(1+'Paramètres'!$B$4*(C1564-1)+'Paramètres'!$B$5*(C1564-1)^2),0)</x:f>
        <x:v>0</x:v>
      </x:c>
      <x:c r="S1564" t="n">
        <x:f>L1564-AVERAGE(Q1564:R1564)</x:f>
        <x:v>0</x:v>
      </x:c>
      <x:c r="T1564" t="str">
        <x:f>IF(M1564=0,IF(AND(N1564=0,O1564=0,E1564=0,F1564=0),"OK","ERREUR"),IF(AND(M1564&gt;=1,M1564&lt;=32,OR(N1564=4,N1564=6,N1564=8,N1564=10,N1564=12,N1564=20),O1564&gt;=0,E1564=M1564+O1564,F1564=M1564*N1564+O1564),"OK","ERREUR"))</x:f>
        <x:v>OK</x:v>
      </x:c>
      <x:c r="U1564" s="86" t="n">
        <x:f>IF(M1564&gt;0,M1564*(N1564+1)/2+O1564,0)</x:f>
        <x:v>0</x:v>
      </x:c>
      <x:c r="V1564" t="str">
        <x:f>IF(ABS(L1564-U1564)&lt;0.001,"OK","ERREUR")</x:f>
        <x:v>OK</x:v>
      </x:c>
    </x:row>
    <x:row r="1565" ht="18" customHeight="1">
      <x:c r="A1565" t="str">
        <x:v>ARM079</x:v>
      </x:c>
      <x:c r="B1565" t="str">
        <x:v>Pavois</x:v>
      </x:c>
      <x:c r="C1565" t="n">
        <x:v>2</x:v>
      </x:c>
      <x:c r="D1565" t="str">
        <x:v>Boucliers</x:v>
      </x:c>
      <x:c r="E1565" s="28" t="n">
        <x:f>IF(M1565=0,0,M1565+O1565)</x:f>
        <x:v>0</x:v>
      </x:c>
      <x:c r="F1565" s="28" t="n">
        <x:f>IF(M1565=0,0,M1565*N1565+O1565)</x:f>
        <x:v>0</x:v>
      </x:c>
      <x:c r="G1565" s="28" t="n">
        <x:f>ROUND(Catalogue!G82*SQRT((1+'Paramètres'!$B$4*(C1565-1)+'Paramètres'!$B$5*(C1565-1)^2)),0)</x:f>
        <x:v>10</x:v>
      </x:c>
      <x:c r="H1565" s="28" t="n">
        <x:f>ROUND(Catalogue!H82*SQRT((1+'Paramètres'!$B$4*(C1565-1)+'Paramètres'!$B$5*(C1565-1)^2)),0)</x:f>
        <x:v>0</x:v>
      </x:c>
      <x:c r="I1565" s="28" t="n">
        <x:v>0</x:v>
      </x:c>
      <x:c r="J1565" s="28" t="n">
        <x:v>0</x:v>
      </x:c>
      <x:c r="K1565" s="30" t="n">
        <x:v>6.3</x:v>
      </x:c>
      <x:c r="L1565" s="54" t="n">
        <x:f>IF(M1565=0,0,(E1565+F1565)/2)</x:f>
        <x:v>0</x:v>
      </x:c>
      <x:c r="M1565" t="n">
        <x:v>0</x:v>
      </x:c>
      <x:c r="N1565" t="n">
        <x:v>0</x:v>
      </x:c>
      <x:c r="O1565" t="n">
        <x:v>0</x:v>
      </x:c>
      <x:c r="P1565" s="63" t="str">
        <x:f>IF(M1565=0,"—",M1565&amp;"d"&amp;N1565&amp;IF(O1565=0,""," + "&amp;O1565))</x:f>
        <x:v>—</x:v>
      </x:c>
      <x:c r="Q1565" t="n">
        <x:f>ROUND(INDEX(Catalogue!E$4:E$85,MATCH(A1565,Catalogue!A$4:A$85,0))*(1+'Paramètres'!$B$4*(C1565-1)+'Paramètres'!$B$5*(C1565-1)^2),0)</x:f>
        <x:v>0</x:v>
      </x:c>
      <x:c r="R1565" t="n">
        <x:f>ROUND(INDEX(Catalogue!F$4:F$85,MATCH(A1565,Catalogue!A$4:A$85,0))*(1+'Paramètres'!$B$4*(C1565-1)+'Paramètres'!$B$5*(C1565-1)^2),0)</x:f>
        <x:v>0</x:v>
      </x:c>
      <x:c r="S1565" t="n">
        <x:f>L1565-AVERAGE(Q1565:R1565)</x:f>
        <x:v>0</x:v>
      </x:c>
      <x:c r="T1565" t="str">
        <x:f>IF(M1565=0,IF(AND(N1565=0,O1565=0,E1565=0,F1565=0),"OK","ERREUR"),IF(AND(M1565&gt;=1,M1565&lt;=32,OR(N1565=4,N1565=6,N1565=8,N1565=10,N1565=12,N1565=20),O1565&gt;=0,E1565=M1565+O1565,F1565=M1565*N1565+O1565),"OK","ERREUR"))</x:f>
        <x:v>OK</x:v>
      </x:c>
      <x:c r="U1565" s="86" t="n">
        <x:f>IF(M1565&gt;0,M1565*(N1565+1)/2+O1565,0)</x:f>
        <x:v>0</x:v>
      </x:c>
      <x:c r="V1565" t="str">
        <x:f>IF(ABS(L1565-U1565)&lt;0.001,"OK","ERREUR")</x:f>
        <x:v>OK</x:v>
      </x:c>
    </x:row>
    <x:row r="1566" ht="18" customHeight="1">
      <x:c r="A1566" t="str">
        <x:v>ARM079</x:v>
      </x:c>
      <x:c r="B1566" t="str">
        <x:v>Pavois</x:v>
      </x:c>
      <x:c r="C1566" t="n">
        <x:v>3</x:v>
      </x:c>
      <x:c r="D1566" t="str">
        <x:v>Boucliers</x:v>
      </x:c>
      <x:c r="E1566" s="28" t="n">
        <x:f>IF(M1566=0,0,M1566+O1566)</x:f>
        <x:v>0</x:v>
      </x:c>
      <x:c r="F1566" s="28" t="n">
        <x:f>IF(M1566=0,0,M1566*N1566+O1566)</x:f>
        <x:v>0</x:v>
      </x:c>
      <x:c r="G1566" s="28" t="n">
        <x:f>ROUND(Catalogue!G82*SQRT((1+'Paramètres'!$B$4*(C1566-1)+'Paramètres'!$B$5*(C1566-1)^2)),0)</x:f>
        <x:v>10</x:v>
      </x:c>
      <x:c r="H1566" s="28" t="n">
        <x:f>ROUND(Catalogue!H82*SQRT((1+'Paramètres'!$B$4*(C1566-1)+'Paramètres'!$B$5*(C1566-1)^2)),0)</x:f>
        <x:v>0</x:v>
      </x:c>
      <x:c r="I1566" s="28" t="n">
        <x:v>0</x:v>
      </x:c>
      <x:c r="J1566" s="28" t="n">
        <x:v>0</x:v>
      </x:c>
      <x:c r="K1566" s="30" t="n">
        <x:v>6.3</x:v>
      </x:c>
      <x:c r="L1566" s="54" t="n">
        <x:f>IF(M1566=0,0,(E1566+F1566)/2)</x:f>
        <x:v>0</x:v>
      </x:c>
      <x:c r="M1566" t="n">
        <x:v>0</x:v>
      </x:c>
      <x:c r="N1566" t="n">
        <x:v>0</x:v>
      </x:c>
      <x:c r="O1566" t="n">
        <x:v>0</x:v>
      </x:c>
      <x:c r="P1566" s="63" t="str">
        <x:f>IF(M1566=0,"—",M1566&amp;"d"&amp;N1566&amp;IF(O1566=0,""," + "&amp;O1566))</x:f>
        <x:v>—</x:v>
      </x:c>
      <x:c r="Q1566" t="n">
        <x:f>ROUND(INDEX(Catalogue!E$4:E$85,MATCH(A1566,Catalogue!A$4:A$85,0))*(1+'Paramètres'!$B$4*(C1566-1)+'Paramètres'!$B$5*(C1566-1)^2),0)</x:f>
        <x:v>0</x:v>
      </x:c>
      <x:c r="R1566" t="n">
        <x:f>ROUND(INDEX(Catalogue!F$4:F$85,MATCH(A1566,Catalogue!A$4:A$85,0))*(1+'Paramètres'!$B$4*(C1566-1)+'Paramètres'!$B$5*(C1566-1)^2),0)</x:f>
        <x:v>0</x:v>
      </x:c>
      <x:c r="S1566" t="n">
        <x:f>L1566-AVERAGE(Q1566:R1566)</x:f>
        <x:v>0</x:v>
      </x:c>
      <x:c r="T1566" t="str">
        <x:f>IF(M1566=0,IF(AND(N1566=0,O1566=0,E1566=0,F1566=0),"OK","ERREUR"),IF(AND(M1566&gt;=1,M1566&lt;=32,OR(N1566=4,N1566=6,N1566=8,N1566=10,N1566=12,N1566=20),O1566&gt;=0,E1566=M1566+O1566,F1566=M1566*N1566+O1566),"OK","ERREUR"))</x:f>
        <x:v>OK</x:v>
      </x:c>
      <x:c r="U1566" s="86" t="n">
        <x:f>IF(M1566&gt;0,M1566*(N1566+1)/2+O1566,0)</x:f>
        <x:v>0</x:v>
      </x:c>
      <x:c r="V1566" t="str">
        <x:f>IF(ABS(L1566-U1566)&lt;0.001,"OK","ERREUR")</x:f>
        <x:v>OK</x:v>
      </x:c>
    </x:row>
    <x:row r="1567" ht="18" customHeight="1">
      <x:c r="A1567" t="str">
        <x:v>ARM079</x:v>
      </x:c>
      <x:c r="B1567" t="str">
        <x:v>Pavois</x:v>
      </x:c>
      <x:c r="C1567" t="n">
        <x:v>4</x:v>
      </x:c>
      <x:c r="D1567" t="str">
        <x:v>Boucliers</x:v>
      </x:c>
      <x:c r="E1567" s="28" t="n">
        <x:f>IF(M1567=0,0,M1567+O1567)</x:f>
        <x:v>0</x:v>
      </x:c>
      <x:c r="F1567" s="28" t="n">
        <x:f>IF(M1567=0,0,M1567*N1567+O1567)</x:f>
        <x:v>0</x:v>
      </x:c>
      <x:c r="G1567" s="28" t="n">
        <x:f>ROUND(Catalogue!G82*SQRT((1+'Paramètres'!$B$4*(C1567-1)+'Paramètres'!$B$5*(C1567-1)^2)),0)</x:f>
        <x:v>11</x:v>
      </x:c>
      <x:c r="H1567" s="28" t="n">
        <x:f>ROUND(Catalogue!H82*SQRT((1+'Paramètres'!$B$4*(C1567-1)+'Paramètres'!$B$5*(C1567-1)^2)),0)</x:f>
        <x:v>0</x:v>
      </x:c>
      <x:c r="I1567" s="28" t="n">
        <x:v>0</x:v>
      </x:c>
      <x:c r="J1567" s="28" t="n">
        <x:v>0</x:v>
      </x:c>
      <x:c r="K1567" s="30" t="n">
        <x:v>6.3</x:v>
      </x:c>
      <x:c r="L1567" s="54" t="n">
        <x:f>IF(M1567=0,0,(E1567+F1567)/2)</x:f>
        <x:v>0</x:v>
      </x:c>
      <x:c r="M1567" t="n">
        <x:v>0</x:v>
      </x:c>
      <x:c r="N1567" t="n">
        <x:v>0</x:v>
      </x:c>
      <x:c r="O1567" t="n">
        <x:v>0</x:v>
      </x:c>
      <x:c r="P1567" s="63" t="str">
        <x:f>IF(M1567=0,"—",M1567&amp;"d"&amp;N1567&amp;IF(O1567=0,""," + "&amp;O1567))</x:f>
        <x:v>—</x:v>
      </x:c>
      <x:c r="Q1567" t="n">
        <x:f>ROUND(INDEX(Catalogue!E$4:E$85,MATCH(A1567,Catalogue!A$4:A$85,0))*(1+'Paramètres'!$B$4*(C1567-1)+'Paramètres'!$B$5*(C1567-1)^2),0)</x:f>
        <x:v>0</x:v>
      </x:c>
      <x:c r="R1567" t="n">
        <x:f>ROUND(INDEX(Catalogue!F$4:F$85,MATCH(A1567,Catalogue!A$4:A$85,0))*(1+'Paramètres'!$B$4*(C1567-1)+'Paramètres'!$B$5*(C1567-1)^2),0)</x:f>
        <x:v>0</x:v>
      </x:c>
      <x:c r="S1567" t="n">
        <x:f>L1567-AVERAGE(Q1567:R1567)</x:f>
        <x:v>0</x:v>
      </x:c>
      <x:c r="T1567" t="str">
        <x:f>IF(M1567=0,IF(AND(N1567=0,O1567=0,E1567=0,F1567=0),"OK","ERREUR"),IF(AND(M1567&gt;=1,M1567&lt;=32,OR(N1567=4,N1567=6,N1567=8,N1567=10,N1567=12,N1567=20),O1567&gt;=0,E1567=M1567+O1567,F1567=M1567*N1567+O1567),"OK","ERREUR"))</x:f>
        <x:v>OK</x:v>
      </x:c>
      <x:c r="U1567" s="86" t="n">
        <x:f>IF(M1567&gt;0,M1567*(N1567+1)/2+O1567,0)</x:f>
        <x:v>0</x:v>
      </x:c>
      <x:c r="V1567" t="str">
        <x:f>IF(ABS(L1567-U1567)&lt;0.001,"OK","ERREUR")</x:f>
        <x:v>OK</x:v>
      </x:c>
    </x:row>
    <x:row r="1568" ht="18" customHeight="1">
      <x:c r="A1568" t="str">
        <x:v>ARM079</x:v>
      </x:c>
      <x:c r="B1568" t="str">
        <x:v>Pavois</x:v>
      </x:c>
      <x:c r="C1568" t="n">
        <x:v>5</x:v>
      </x:c>
      <x:c r="D1568" t="str">
        <x:v>Boucliers</x:v>
      </x:c>
      <x:c r="E1568" s="28" t="n">
        <x:f>IF(M1568=0,0,M1568+O1568)</x:f>
        <x:v>0</x:v>
      </x:c>
      <x:c r="F1568" s="28" t="n">
        <x:f>IF(M1568=0,0,M1568*N1568+O1568)</x:f>
        <x:v>0</x:v>
      </x:c>
      <x:c r="G1568" s="28" t="n">
        <x:f>ROUND(Catalogue!G82*SQRT((1+'Paramètres'!$B$4*(C1568-1)+'Paramètres'!$B$5*(C1568-1)^2)),0)</x:f>
        <x:v>12</x:v>
      </x:c>
      <x:c r="H1568" s="28" t="n">
        <x:f>ROUND(Catalogue!H82*SQRT((1+'Paramètres'!$B$4*(C1568-1)+'Paramètres'!$B$5*(C1568-1)^2)),0)</x:f>
        <x:v>0</x:v>
      </x:c>
      <x:c r="I1568" s="28" t="n">
        <x:v>0</x:v>
      </x:c>
      <x:c r="J1568" s="28" t="n">
        <x:v>0</x:v>
      </x:c>
      <x:c r="K1568" s="30" t="n">
        <x:v>6.3</x:v>
      </x:c>
      <x:c r="L1568" s="54" t="n">
        <x:f>IF(M1568=0,0,(E1568+F1568)/2)</x:f>
        <x:v>0</x:v>
      </x:c>
      <x:c r="M1568" t="n">
        <x:v>0</x:v>
      </x:c>
      <x:c r="N1568" t="n">
        <x:v>0</x:v>
      </x:c>
      <x:c r="O1568" t="n">
        <x:v>0</x:v>
      </x:c>
      <x:c r="P1568" s="63" t="str">
        <x:f>IF(M1568=0,"—",M1568&amp;"d"&amp;N1568&amp;IF(O1568=0,""," + "&amp;O1568))</x:f>
        <x:v>—</x:v>
      </x:c>
      <x:c r="Q1568" t="n">
        <x:f>ROUND(INDEX(Catalogue!E$4:E$85,MATCH(A1568,Catalogue!A$4:A$85,0))*(1+'Paramètres'!$B$4*(C1568-1)+'Paramètres'!$B$5*(C1568-1)^2),0)</x:f>
        <x:v>0</x:v>
      </x:c>
      <x:c r="R1568" t="n">
        <x:f>ROUND(INDEX(Catalogue!F$4:F$85,MATCH(A1568,Catalogue!A$4:A$85,0))*(1+'Paramètres'!$B$4*(C1568-1)+'Paramètres'!$B$5*(C1568-1)^2),0)</x:f>
        <x:v>0</x:v>
      </x:c>
      <x:c r="S1568" t="n">
        <x:f>L1568-AVERAGE(Q1568:R1568)</x:f>
        <x:v>0</x:v>
      </x:c>
      <x:c r="T1568" t="str">
        <x:f>IF(M1568=0,IF(AND(N1568=0,O1568=0,E1568=0,F1568=0),"OK","ERREUR"),IF(AND(M1568&gt;=1,M1568&lt;=32,OR(N1568=4,N1568=6,N1568=8,N1568=10,N1568=12,N1568=20),O1568&gt;=0,E1568=M1568+O1568,F1568=M1568*N1568+O1568),"OK","ERREUR"))</x:f>
        <x:v>OK</x:v>
      </x:c>
      <x:c r="U1568" s="86" t="n">
        <x:f>IF(M1568&gt;0,M1568*(N1568+1)/2+O1568,0)</x:f>
        <x:v>0</x:v>
      </x:c>
      <x:c r="V1568" t="str">
        <x:f>IF(ABS(L1568-U1568)&lt;0.001,"OK","ERREUR")</x:f>
        <x:v>OK</x:v>
      </x:c>
    </x:row>
    <x:row r="1569" ht="18" customHeight="1">
      <x:c r="A1569" t="str">
        <x:v>ARM079</x:v>
      </x:c>
      <x:c r="B1569" t="str">
        <x:v>Pavois</x:v>
      </x:c>
      <x:c r="C1569" t="n">
        <x:v>6</x:v>
      </x:c>
      <x:c r="D1569" t="str">
        <x:v>Boucliers</x:v>
      </x:c>
      <x:c r="E1569" s="28" t="n">
        <x:f>IF(M1569=0,0,M1569+O1569)</x:f>
        <x:v>0</x:v>
      </x:c>
      <x:c r="F1569" s="28" t="n">
        <x:f>IF(M1569=0,0,M1569*N1569+O1569)</x:f>
        <x:v>0</x:v>
      </x:c>
      <x:c r="G1569" s="28" t="n">
        <x:f>ROUND(Catalogue!G82*SQRT((1+'Paramètres'!$B$4*(C1569-1)+'Paramètres'!$B$5*(C1569-1)^2)),0)</x:f>
        <x:v>13</x:v>
      </x:c>
      <x:c r="H1569" s="28" t="n">
        <x:f>ROUND(Catalogue!H82*SQRT((1+'Paramètres'!$B$4*(C1569-1)+'Paramètres'!$B$5*(C1569-1)^2)),0)</x:f>
        <x:v>0</x:v>
      </x:c>
      <x:c r="I1569" s="28" t="n">
        <x:v>0</x:v>
      </x:c>
      <x:c r="J1569" s="28" t="n">
        <x:v>0</x:v>
      </x:c>
      <x:c r="K1569" s="30" t="n">
        <x:v>6.3</x:v>
      </x:c>
      <x:c r="L1569" s="54" t="n">
        <x:f>IF(M1569=0,0,(E1569+F1569)/2)</x:f>
        <x:v>0</x:v>
      </x:c>
      <x:c r="M1569" t="n">
        <x:v>0</x:v>
      </x:c>
      <x:c r="N1569" t="n">
        <x:v>0</x:v>
      </x:c>
      <x:c r="O1569" t="n">
        <x:v>0</x:v>
      </x:c>
      <x:c r="P1569" s="63" t="str">
        <x:f>IF(M1569=0,"—",M1569&amp;"d"&amp;N1569&amp;IF(O1569=0,""," + "&amp;O1569))</x:f>
        <x:v>—</x:v>
      </x:c>
      <x:c r="Q1569" t="n">
        <x:f>ROUND(INDEX(Catalogue!E$4:E$85,MATCH(A1569,Catalogue!A$4:A$85,0))*(1+'Paramètres'!$B$4*(C1569-1)+'Paramètres'!$B$5*(C1569-1)^2),0)</x:f>
        <x:v>0</x:v>
      </x:c>
      <x:c r="R1569" t="n">
        <x:f>ROUND(INDEX(Catalogue!F$4:F$85,MATCH(A1569,Catalogue!A$4:A$85,0))*(1+'Paramètres'!$B$4*(C1569-1)+'Paramètres'!$B$5*(C1569-1)^2),0)</x:f>
        <x:v>0</x:v>
      </x:c>
      <x:c r="S1569" t="n">
        <x:f>L1569-AVERAGE(Q1569:R1569)</x:f>
        <x:v>0</x:v>
      </x:c>
      <x:c r="T1569" t="str">
        <x:f>IF(M1569=0,IF(AND(N1569=0,O1569=0,E1569=0,F1569=0),"OK","ERREUR"),IF(AND(M1569&gt;=1,M1569&lt;=32,OR(N1569=4,N1569=6,N1569=8,N1569=10,N1569=12,N1569=20),O1569&gt;=0,E1569=M1569+O1569,F1569=M1569*N1569+O1569),"OK","ERREUR"))</x:f>
        <x:v>OK</x:v>
      </x:c>
      <x:c r="U1569" s="86" t="n">
        <x:f>IF(M1569&gt;0,M1569*(N1569+1)/2+O1569,0)</x:f>
        <x:v>0</x:v>
      </x:c>
      <x:c r="V1569" t="str">
        <x:f>IF(ABS(L1569-U1569)&lt;0.001,"OK","ERREUR")</x:f>
        <x:v>OK</x:v>
      </x:c>
    </x:row>
    <x:row r="1570" ht="18" customHeight="1">
      <x:c r="A1570" t="str">
        <x:v>ARM079</x:v>
      </x:c>
      <x:c r="B1570" t="str">
        <x:v>Pavois</x:v>
      </x:c>
      <x:c r="C1570" t="n">
        <x:v>7</x:v>
      </x:c>
      <x:c r="D1570" t="str">
        <x:v>Boucliers</x:v>
      </x:c>
      <x:c r="E1570" s="28" t="n">
        <x:f>IF(M1570=0,0,M1570+O1570)</x:f>
        <x:v>0</x:v>
      </x:c>
      <x:c r="F1570" s="28" t="n">
        <x:f>IF(M1570=0,0,M1570*N1570+O1570)</x:f>
        <x:v>0</x:v>
      </x:c>
      <x:c r="G1570" s="28" t="n">
        <x:f>ROUND(Catalogue!G82*SQRT((1+'Paramètres'!$B$4*(C1570-1)+'Paramètres'!$B$5*(C1570-1)^2)),0)</x:f>
        <x:v>13</x:v>
      </x:c>
      <x:c r="H1570" s="28" t="n">
        <x:f>ROUND(Catalogue!H82*SQRT((1+'Paramètres'!$B$4*(C1570-1)+'Paramètres'!$B$5*(C1570-1)^2)),0)</x:f>
        <x:v>0</x:v>
      </x:c>
      <x:c r="I1570" s="28" t="n">
        <x:v>0</x:v>
      </x:c>
      <x:c r="J1570" s="28" t="n">
        <x:v>0</x:v>
      </x:c>
      <x:c r="K1570" s="30" t="n">
        <x:v>6.3</x:v>
      </x:c>
      <x:c r="L1570" s="54" t="n">
        <x:f>IF(M1570=0,0,(E1570+F1570)/2)</x:f>
        <x:v>0</x:v>
      </x:c>
      <x:c r="M1570" t="n">
        <x:v>0</x:v>
      </x:c>
      <x:c r="N1570" t="n">
        <x:v>0</x:v>
      </x:c>
      <x:c r="O1570" t="n">
        <x:v>0</x:v>
      </x:c>
      <x:c r="P1570" s="63" t="str">
        <x:f>IF(M1570=0,"—",M1570&amp;"d"&amp;N1570&amp;IF(O1570=0,""," + "&amp;O1570))</x:f>
        <x:v>—</x:v>
      </x:c>
      <x:c r="Q1570" t="n">
        <x:f>ROUND(INDEX(Catalogue!E$4:E$85,MATCH(A1570,Catalogue!A$4:A$85,0))*(1+'Paramètres'!$B$4*(C1570-1)+'Paramètres'!$B$5*(C1570-1)^2),0)</x:f>
        <x:v>0</x:v>
      </x:c>
      <x:c r="R1570" t="n">
        <x:f>ROUND(INDEX(Catalogue!F$4:F$85,MATCH(A1570,Catalogue!A$4:A$85,0))*(1+'Paramètres'!$B$4*(C1570-1)+'Paramètres'!$B$5*(C1570-1)^2),0)</x:f>
        <x:v>0</x:v>
      </x:c>
      <x:c r="S1570" t="n">
        <x:f>L1570-AVERAGE(Q1570:R1570)</x:f>
        <x:v>0</x:v>
      </x:c>
      <x:c r="T1570" t="str">
        <x:f>IF(M1570=0,IF(AND(N1570=0,O1570=0,E1570=0,F1570=0),"OK","ERREUR"),IF(AND(M1570&gt;=1,M1570&lt;=32,OR(N1570=4,N1570=6,N1570=8,N1570=10,N1570=12,N1570=20),O1570&gt;=0,E1570=M1570+O1570,F1570=M1570*N1570+O1570),"OK","ERREUR"))</x:f>
        <x:v>OK</x:v>
      </x:c>
      <x:c r="U1570" s="86" t="n">
        <x:f>IF(M1570&gt;0,M1570*(N1570+1)/2+O1570,0)</x:f>
        <x:v>0</x:v>
      </x:c>
      <x:c r="V1570" t="str">
        <x:f>IF(ABS(L1570-U1570)&lt;0.001,"OK","ERREUR")</x:f>
        <x:v>OK</x:v>
      </x:c>
    </x:row>
    <x:row r="1571" ht="18" customHeight="1">
      <x:c r="A1571" t="str">
        <x:v>ARM079</x:v>
      </x:c>
      <x:c r="B1571" t="str">
        <x:v>Pavois</x:v>
      </x:c>
      <x:c r="C1571" t="n">
        <x:v>8</x:v>
      </x:c>
      <x:c r="D1571" t="str">
        <x:v>Boucliers</x:v>
      </x:c>
      <x:c r="E1571" s="28" t="n">
        <x:f>IF(M1571=0,0,M1571+O1571)</x:f>
        <x:v>0</x:v>
      </x:c>
      <x:c r="F1571" s="28" t="n">
        <x:f>IF(M1571=0,0,M1571*N1571+O1571)</x:f>
        <x:v>0</x:v>
      </x:c>
      <x:c r="G1571" s="28" t="n">
        <x:f>ROUND(Catalogue!G82*SQRT((1+'Paramètres'!$B$4*(C1571-1)+'Paramètres'!$B$5*(C1571-1)^2)),0)</x:f>
        <x:v>14</x:v>
      </x:c>
      <x:c r="H1571" s="28" t="n">
        <x:f>ROUND(Catalogue!H82*SQRT((1+'Paramètres'!$B$4*(C1571-1)+'Paramètres'!$B$5*(C1571-1)^2)),0)</x:f>
        <x:v>0</x:v>
      </x:c>
      <x:c r="I1571" s="28" t="n">
        <x:v>0</x:v>
      </x:c>
      <x:c r="J1571" s="28" t="n">
        <x:v>0</x:v>
      </x:c>
      <x:c r="K1571" s="30" t="n">
        <x:v>6.3</x:v>
      </x:c>
      <x:c r="L1571" s="54" t="n">
        <x:f>IF(M1571=0,0,(E1571+F1571)/2)</x:f>
        <x:v>0</x:v>
      </x:c>
      <x:c r="M1571" t="n">
        <x:v>0</x:v>
      </x:c>
      <x:c r="N1571" t="n">
        <x:v>0</x:v>
      </x:c>
      <x:c r="O1571" t="n">
        <x:v>0</x:v>
      </x:c>
      <x:c r="P1571" s="63" t="str">
        <x:f>IF(M1571=0,"—",M1571&amp;"d"&amp;N1571&amp;IF(O1571=0,""," + "&amp;O1571))</x:f>
        <x:v>—</x:v>
      </x:c>
      <x:c r="Q1571" t="n">
        <x:f>ROUND(INDEX(Catalogue!E$4:E$85,MATCH(A1571,Catalogue!A$4:A$85,0))*(1+'Paramètres'!$B$4*(C1571-1)+'Paramètres'!$B$5*(C1571-1)^2),0)</x:f>
        <x:v>0</x:v>
      </x:c>
      <x:c r="R1571" t="n">
        <x:f>ROUND(INDEX(Catalogue!F$4:F$85,MATCH(A1571,Catalogue!A$4:A$85,0))*(1+'Paramètres'!$B$4*(C1571-1)+'Paramètres'!$B$5*(C1571-1)^2),0)</x:f>
        <x:v>0</x:v>
      </x:c>
      <x:c r="S1571" t="n">
        <x:f>L1571-AVERAGE(Q1571:R1571)</x:f>
        <x:v>0</x:v>
      </x:c>
      <x:c r="T1571" t="str">
        <x:f>IF(M1571=0,IF(AND(N1571=0,O1571=0,E1571=0,F1571=0),"OK","ERREUR"),IF(AND(M1571&gt;=1,M1571&lt;=32,OR(N1571=4,N1571=6,N1571=8,N1571=10,N1571=12,N1571=20),O1571&gt;=0,E1571=M1571+O1571,F1571=M1571*N1571+O1571),"OK","ERREUR"))</x:f>
        <x:v>OK</x:v>
      </x:c>
      <x:c r="U1571" s="86" t="n">
        <x:f>IF(M1571&gt;0,M1571*(N1571+1)/2+O1571,0)</x:f>
        <x:v>0</x:v>
      </x:c>
      <x:c r="V1571" t="str">
        <x:f>IF(ABS(L1571-U1571)&lt;0.001,"OK","ERREUR")</x:f>
        <x:v>OK</x:v>
      </x:c>
    </x:row>
    <x:row r="1572" ht="18" customHeight="1">
      <x:c r="A1572" t="str">
        <x:v>ARM079</x:v>
      </x:c>
      <x:c r="B1572" t="str">
        <x:v>Pavois</x:v>
      </x:c>
      <x:c r="C1572" t="n">
        <x:v>9</x:v>
      </x:c>
      <x:c r="D1572" t="str">
        <x:v>Boucliers</x:v>
      </x:c>
      <x:c r="E1572" s="28" t="n">
        <x:f>IF(M1572=0,0,M1572+O1572)</x:f>
        <x:v>0</x:v>
      </x:c>
      <x:c r="F1572" s="28" t="n">
        <x:f>IF(M1572=0,0,M1572*N1572+O1572)</x:f>
        <x:v>0</x:v>
      </x:c>
      <x:c r="G1572" s="28" t="n">
        <x:f>ROUND(Catalogue!G82*SQRT((1+'Paramètres'!$B$4*(C1572-1)+'Paramètres'!$B$5*(C1572-1)^2)),0)</x:f>
        <x:v>15</x:v>
      </x:c>
      <x:c r="H1572" s="28" t="n">
        <x:f>ROUND(Catalogue!H82*SQRT((1+'Paramètres'!$B$4*(C1572-1)+'Paramètres'!$B$5*(C1572-1)^2)),0)</x:f>
        <x:v>0</x:v>
      </x:c>
      <x:c r="I1572" s="28" t="n">
        <x:v>0</x:v>
      </x:c>
      <x:c r="J1572" s="28" t="n">
        <x:v>0</x:v>
      </x:c>
      <x:c r="K1572" s="30" t="n">
        <x:v>6.3</x:v>
      </x:c>
      <x:c r="L1572" s="54" t="n">
        <x:f>IF(M1572=0,0,(E1572+F1572)/2)</x:f>
        <x:v>0</x:v>
      </x:c>
      <x:c r="M1572" t="n">
        <x:v>0</x:v>
      </x:c>
      <x:c r="N1572" t="n">
        <x:v>0</x:v>
      </x:c>
      <x:c r="O1572" t="n">
        <x:v>0</x:v>
      </x:c>
      <x:c r="P1572" s="63" t="str">
        <x:f>IF(M1572=0,"—",M1572&amp;"d"&amp;N1572&amp;IF(O1572=0,""," + "&amp;O1572))</x:f>
        <x:v>—</x:v>
      </x:c>
      <x:c r="Q1572" t="n">
        <x:f>ROUND(INDEX(Catalogue!E$4:E$85,MATCH(A1572,Catalogue!A$4:A$85,0))*(1+'Paramètres'!$B$4*(C1572-1)+'Paramètres'!$B$5*(C1572-1)^2),0)</x:f>
        <x:v>0</x:v>
      </x:c>
      <x:c r="R1572" t="n">
        <x:f>ROUND(INDEX(Catalogue!F$4:F$85,MATCH(A1572,Catalogue!A$4:A$85,0))*(1+'Paramètres'!$B$4*(C1572-1)+'Paramètres'!$B$5*(C1572-1)^2),0)</x:f>
        <x:v>0</x:v>
      </x:c>
      <x:c r="S1572" t="n">
        <x:f>L1572-AVERAGE(Q1572:R1572)</x:f>
        <x:v>0</x:v>
      </x:c>
      <x:c r="T1572" t="str">
        <x:f>IF(M1572=0,IF(AND(N1572=0,O1572=0,E1572=0,F1572=0),"OK","ERREUR"),IF(AND(M1572&gt;=1,M1572&lt;=32,OR(N1572=4,N1572=6,N1572=8,N1572=10,N1572=12,N1572=20),O1572&gt;=0,E1572=M1572+O1572,F1572=M1572*N1572+O1572),"OK","ERREUR"))</x:f>
        <x:v>OK</x:v>
      </x:c>
      <x:c r="U1572" s="86" t="n">
        <x:f>IF(M1572&gt;0,M1572*(N1572+1)/2+O1572,0)</x:f>
        <x:v>0</x:v>
      </x:c>
      <x:c r="V1572" t="str">
        <x:f>IF(ABS(L1572-U1572)&lt;0.001,"OK","ERREUR")</x:f>
        <x:v>OK</x:v>
      </x:c>
    </x:row>
    <x:row r="1573" ht="18" customHeight="1">
      <x:c r="A1573" t="str">
        <x:v>ARM079</x:v>
      </x:c>
      <x:c r="B1573" t="str">
        <x:v>Pavois</x:v>
      </x:c>
      <x:c r="C1573" t="n">
        <x:v>10</x:v>
      </x:c>
      <x:c r="D1573" t="str">
        <x:v>Boucliers</x:v>
      </x:c>
      <x:c r="E1573" s="28" t="n">
        <x:f>IF(M1573=0,0,M1573+O1573)</x:f>
        <x:v>0</x:v>
      </x:c>
      <x:c r="F1573" s="28" t="n">
        <x:f>IF(M1573=0,0,M1573*N1573+O1573)</x:f>
        <x:v>0</x:v>
      </x:c>
      <x:c r="G1573" s="28" t="n">
        <x:f>ROUND(Catalogue!G82*SQRT((1+'Paramètres'!$B$4*(C1573-1)+'Paramètres'!$B$5*(C1573-1)^2)),0)</x:f>
        <x:v>16</x:v>
      </x:c>
      <x:c r="H1573" s="28" t="n">
        <x:f>ROUND(Catalogue!H82*SQRT((1+'Paramètres'!$B$4*(C1573-1)+'Paramètres'!$B$5*(C1573-1)^2)),0)</x:f>
        <x:v>0</x:v>
      </x:c>
      <x:c r="I1573" s="28" t="n">
        <x:v>0</x:v>
      </x:c>
      <x:c r="J1573" s="28" t="n">
        <x:v>0</x:v>
      </x:c>
      <x:c r="K1573" s="30" t="n">
        <x:v>6.3</x:v>
      </x:c>
      <x:c r="L1573" s="54" t="n">
        <x:f>IF(M1573=0,0,(E1573+F1573)/2)</x:f>
        <x:v>0</x:v>
      </x:c>
      <x:c r="M1573" t="n">
        <x:v>0</x:v>
      </x:c>
      <x:c r="N1573" t="n">
        <x:v>0</x:v>
      </x:c>
      <x:c r="O1573" t="n">
        <x:v>0</x:v>
      </x:c>
      <x:c r="P1573" s="63" t="str">
        <x:f>IF(M1573=0,"—",M1573&amp;"d"&amp;N1573&amp;IF(O1573=0,""," + "&amp;O1573))</x:f>
        <x:v>—</x:v>
      </x:c>
      <x:c r="Q1573" t="n">
        <x:f>ROUND(INDEX(Catalogue!E$4:E$85,MATCH(A1573,Catalogue!A$4:A$85,0))*(1+'Paramètres'!$B$4*(C1573-1)+'Paramètres'!$B$5*(C1573-1)^2),0)</x:f>
        <x:v>0</x:v>
      </x:c>
      <x:c r="R1573" t="n">
        <x:f>ROUND(INDEX(Catalogue!F$4:F$85,MATCH(A1573,Catalogue!A$4:A$85,0))*(1+'Paramètres'!$B$4*(C1573-1)+'Paramètres'!$B$5*(C1573-1)^2),0)</x:f>
        <x:v>0</x:v>
      </x:c>
      <x:c r="S1573" t="n">
        <x:f>L1573-AVERAGE(Q1573:R1573)</x:f>
        <x:v>0</x:v>
      </x:c>
      <x:c r="T1573" t="str">
        <x:f>IF(M1573=0,IF(AND(N1573=0,O1573=0,E1573=0,F1573=0),"OK","ERREUR"),IF(AND(M1573&gt;=1,M1573&lt;=32,OR(N1573=4,N1573=6,N1573=8,N1573=10,N1573=12,N1573=20),O1573&gt;=0,E1573=M1573+O1573,F1573=M1573*N1573+O1573),"OK","ERREUR"))</x:f>
        <x:v>OK</x:v>
      </x:c>
      <x:c r="U1573" s="86" t="n">
        <x:f>IF(M1573&gt;0,M1573*(N1573+1)/2+O1573,0)</x:f>
        <x:v>0</x:v>
      </x:c>
      <x:c r="V1573" t="str">
        <x:f>IF(ABS(L1573-U1573)&lt;0.001,"OK","ERREUR")</x:f>
        <x:v>OK</x:v>
      </x:c>
    </x:row>
    <x:row r="1574" ht="18" customHeight="1">
      <x:c r="A1574" t="str">
        <x:v>ARM079</x:v>
      </x:c>
      <x:c r="B1574" t="str">
        <x:v>Pavois</x:v>
      </x:c>
      <x:c r="C1574" t="n">
        <x:v>11</x:v>
      </x:c>
      <x:c r="D1574" t="str">
        <x:v>Boucliers</x:v>
      </x:c>
      <x:c r="E1574" s="28" t="n">
        <x:f>IF(M1574=0,0,M1574+O1574)</x:f>
        <x:v>0</x:v>
      </x:c>
      <x:c r="F1574" s="28" t="n">
        <x:f>IF(M1574=0,0,M1574*N1574+O1574)</x:f>
        <x:v>0</x:v>
      </x:c>
      <x:c r="G1574" s="28" t="n">
        <x:f>ROUND(Catalogue!G82*SQRT((1+'Paramètres'!$B$4*(C1574-1)+'Paramètres'!$B$5*(C1574-1)^2)),0)</x:f>
        <x:v>17</x:v>
      </x:c>
      <x:c r="H1574" s="28" t="n">
        <x:f>ROUND(Catalogue!H82*SQRT((1+'Paramètres'!$B$4*(C1574-1)+'Paramètres'!$B$5*(C1574-1)^2)),0)</x:f>
        <x:v>0</x:v>
      </x:c>
      <x:c r="I1574" s="28" t="n">
        <x:v>0</x:v>
      </x:c>
      <x:c r="J1574" s="28" t="n">
        <x:v>0</x:v>
      </x:c>
      <x:c r="K1574" s="30" t="n">
        <x:v>6.3</x:v>
      </x:c>
      <x:c r="L1574" s="54" t="n">
        <x:f>IF(M1574=0,0,(E1574+F1574)/2)</x:f>
        <x:v>0</x:v>
      </x:c>
      <x:c r="M1574" t="n">
        <x:v>0</x:v>
      </x:c>
      <x:c r="N1574" t="n">
        <x:v>0</x:v>
      </x:c>
      <x:c r="O1574" t="n">
        <x:v>0</x:v>
      </x:c>
      <x:c r="P1574" s="63" t="str">
        <x:f>IF(M1574=0,"—",M1574&amp;"d"&amp;N1574&amp;IF(O1574=0,""," + "&amp;O1574))</x:f>
        <x:v>—</x:v>
      </x:c>
      <x:c r="Q1574" t="n">
        <x:f>ROUND(INDEX(Catalogue!E$4:E$85,MATCH(A1574,Catalogue!A$4:A$85,0))*(1+'Paramètres'!$B$4*(C1574-1)+'Paramètres'!$B$5*(C1574-1)^2),0)</x:f>
        <x:v>0</x:v>
      </x:c>
      <x:c r="R1574" t="n">
        <x:f>ROUND(INDEX(Catalogue!F$4:F$85,MATCH(A1574,Catalogue!A$4:A$85,0))*(1+'Paramètres'!$B$4*(C1574-1)+'Paramètres'!$B$5*(C1574-1)^2),0)</x:f>
        <x:v>0</x:v>
      </x:c>
      <x:c r="S1574" t="n">
        <x:f>L1574-AVERAGE(Q1574:R1574)</x:f>
        <x:v>0</x:v>
      </x:c>
      <x:c r="T1574" t="str">
        <x:f>IF(M1574=0,IF(AND(N1574=0,O1574=0,E1574=0,F1574=0),"OK","ERREUR"),IF(AND(M1574&gt;=1,M1574&lt;=32,OR(N1574=4,N1574=6,N1574=8,N1574=10,N1574=12,N1574=20),O1574&gt;=0,E1574=M1574+O1574,F1574=M1574*N1574+O1574),"OK","ERREUR"))</x:f>
        <x:v>OK</x:v>
      </x:c>
      <x:c r="U1574" s="86" t="n">
        <x:f>IF(M1574&gt;0,M1574*(N1574+1)/2+O1574,0)</x:f>
        <x:v>0</x:v>
      </x:c>
      <x:c r="V1574" t="str">
        <x:f>IF(ABS(L1574-U1574)&lt;0.001,"OK","ERREUR")</x:f>
        <x:v>OK</x:v>
      </x:c>
    </x:row>
    <x:row r="1575" ht="18" customHeight="1">
      <x:c r="A1575" t="str">
        <x:v>ARM079</x:v>
      </x:c>
      <x:c r="B1575" t="str">
        <x:v>Pavois</x:v>
      </x:c>
      <x:c r="C1575" t="n">
        <x:v>12</x:v>
      </x:c>
      <x:c r="D1575" t="str">
        <x:v>Boucliers</x:v>
      </x:c>
      <x:c r="E1575" s="28" t="n">
        <x:f>IF(M1575=0,0,M1575+O1575)</x:f>
        <x:v>0</x:v>
      </x:c>
      <x:c r="F1575" s="28" t="n">
        <x:f>IF(M1575=0,0,M1575*N1575+O1575)</x:f>
        <x:v>0</x:v>
      </x:c>
      <x:c r="G1575" s="28" t="n">
        <x:f>ROUND(Catalogue!G82*SQRT((1+'Paramètres'!$B$4*(C1575-1)+'Paramètres'!$B$5*(C1575-1)^2)),0)</x:f>
        <x:v>18</x:v>
      </x:c>
      <x:c r="H1575" s="28" t="n">
        <x:f>ROUND(Catalogue!H82*SQRT((1+'Paramètres'!$B$4*(C1575-1)+'Paramètres'!$B$5*(C1575-1)^2)),0)</x:f>
        <x:v>0</x:v>
      </x:c>
      <x:c r="I1575" s="28" t="n">
        <x:v>0</x:v>
      </x:c>
      <x:c r="J1575" s="28" t="n">
        <x:v>0</x:v>
      </x:c>
      <x:c r="K1575" s="30" t="n">
        <x:v>6.3</x:v>
      </x:c>
      <x:c r="L1575" s="54" t="n">
        <x:f>IF(M1575=0,0,(E1575+F1575)/2)</x:f>
        <x:v>0</x:v>
      </x:c>
      <x:c r="M1575" t="n">
        <x:v>0</x:v>
      </x:c>
      <x:c r="N1575" t="n">
        <x:v>0</x:v>
      </x:c>
      <x:c r="O1575" t="n">
        <x:v>0</x:v>
      </x:c>
      <x:c r="P1575" s="63" t="str">
        <x:f>IF(M1575=0,"—",M1575&amp;"d"&amp;N1575&amp;IF(O1575=0,""," + "&amp;O1575))</x:f>
        <x:v>—</x:v>
      </x:c>
      <x:c r="Q1575" t="n">
        <x:f>ROUND(INDEX(Catalogue!E$4:E$85,MATCH(A1575,Catalogue!A$4:A$85,0))*(1+'Paramètres'!$B$4*(C1575-1)+'Paramètres'!$B$5*(C1575-1)^2),0)</x:f>
        <x:v>0</x:v>
      </x:c>
      <x:c r="R1575" t="n">
        <x:f>ROUND(INDEX(Catalogue!F$4:F$85,MATCH(A1575,Catalogue!A$4:A$85,0))*(1+'Paramètres'!$B$4*(C1575-1)+'Paramètres'!$B$5*(C1575-1)^2),0)</x:f>
        <x:v>0</x:v>
      </x:c>
      <x:c r="S1575" t="n">
        <x:f>L1575-AVERAGE(Q1575:R1575)</x:f>
        <x:v>0</x:v>
      </x:c>
      <x:c r="T1575" t="str">
        <x:f>IF(M1575=0,IF(AND(N1575=0,O1575=0,E1575=0,F1575=0),"OK","ERREUR"),IF(AND(M1575&gt;=1,M1575&lt;=32,OR(N1575=4,N1575=6,N1575=8,N1575=10,N1575=12,N1575=20),O1575&gt;=0,E1575=M1575+O1575,F1575=M1575*N1575+O1575),"OK","ERREUR"))</x:f>
        <x:v>OK</x:v>
      </x:c>
      <x:c r="U1575" s="86" t="n">
        <x:f>IF(M1575&gt;0,M1575*(N1575+1)/2+O1575,0)</x:f>
        <x:v>0</x:v>
      </x:c>
      <x:c r="V1575" t="str">
        <x:f>IF(ABS(L1575-U1575)&lt;0.001,"OK","ERREUR")</x:f>
        <x:v>OK</x:v>
      </x:c>
    </x:row>
    <x:row r="1576" ht="18" customHeight="1">
      <x:c r="A1576" t="str">
        <x:v>ARM079</x:v>
      </x:c>
      <x:c r="B1576" t="str">
        <x:v>Pavois</x:v>
      </x:c>
      <x:c r="C1576" t="n">
        <x:v>13</x:v>
      </x:c>
      <x:c r="D1576" t="str">
        <x:v>Boucliers</x:v>
      </x:c>
      <x:c r="E1576" s="28" t="n">
        <x:f>IF(M1576=0,0,M1576+O1576)</x:f>
        <x:v>0</x:v>
      </x:c>
      <x:c r="F1576" s="28" t="n">
        <x:f>IF(M1576=0,0,M1576*N1576+O1576)</x:f>
        <x:v>0</x:v>
      </x:c>
      <x:c r="G1576" s="28" t="n">
        <x:f>ROUND(Catalogue!G82*SQRT((1+'Paramètres'!$B$4*(C1576-1)+'Paramètres'!$B$5*(C1576-1)^2)),0)</x:f>
        <x:v>19</x:v>
      </x:c>
      <x:c r="H1576" s="28" t="n">
        <x:f>ROUND(Catalogue!H82*SQRT((1+'Paramètres'!$B$4*(C1576-1)+'Paramètres'!$B$5*(C1576-1)^2)),0)</x:f>
        <x:v>0</x:v>
      </x:c>
      <x:c r="I1576" s="28" t="n">
        <x:v>0</x:v>
      </x:c>
      <x:c r="J1576" s="28" t="n">
        <x:v>0</x:v>
      </x:c>
      <x:c r="K1576" s="30" t="n">
        <x:v>6.3</x:v>
      </x:c>
      <x:c r="L1576" s="54" t="n">
        <x:f>IF(M1576=0,0,(E1576+F1576)/2)</x:f>
        <x:v>0</x:v>
      </x:c>
      <x:c r="M1576" t="n">
        <x:v>0</x:v>
      </x:c>
      <x:c r="N1576" t="n">
        <x:v>0</x:v>
      </x:c>
      <x:c r="O1576" t="n">
        <x:v>0</x:v>
      </x:c>
      <x:c r="P1576" s="63" t="str">
        <x:f>IF(M1576=0,"—",M1576&amp;"d"&amp;N1576&amp;IF(O1576=0,""," + "&amp;O1576))</x:f>
        <x:v>—</x:v>
      </x:c>
      <x:c r="Q1576" t="n">
        <x:f>ROUND(INDEX(Catalogue!E$4:E$85,MATCH(A1576,Catalogue!A$4:A$85,0))*(1+'Paramètres'!$B$4*(C1576-1)+'Paramètres'!$B$5*(C1576-1)^2),0)</x:f>
        <x:v>0</x:v>
      </x:c>
      <x:c r="R1576" t="n">
        <x:f>ROUND(INDEX(Catalogue!F$4:F$85,MATCH(A1576,Catalogue!A$4:A$85,0))*(1+'Paramètres'!$B$4*(C1576-1)+'Paramètres'!$B$5*(C1576-1)^2),0)</x:f>
        <x:v>0</x:v>
      </x:c>
      <x:c r="S1576" t="n">
        <x:f>L1576-AVERAGE(Q1576:R1576)</x:f>
        <x:v>0</x:v>
      </x:c>
      <x:c r="T1576" t="str">
        <x:f>IF(M1576=0,IF(AND(N1576=0,O1576=0,E1576=0,F1576=0),"OK","ERREUR"),IF(AND(M1576&gt;=1,M1576&lt;=32,OR(N1576=4,N1576=6,N1576=8,N1576=10,N1576=12,N1576=20),O1576&gt;=0,E1576=M1576+O1576,F1576=M1576*N1576+O1576),"OK","ERREUR"))</x:f>
        <x:v>OK</x:v>
      </x:c>
      <x:c r="U1576" s="86" t="n">
        <x:f>IF(M1576&gt;0,M1576*(N1576+1)/2+O1576,0)</x:f>
        <x:v>0</x:v>
      </x:c>
      <x:c r="V1576" t="str">
        <x:f>IF(ABS(L1576-U1576)&lt;0.001,"OK","ERREUR")</x:f>
        <x:v>OK</x:v>
      </x:c>
    </x:row>
    <x:row r="1577" ht="18" customHeight="1">
      <x:c r="A1577" t="str">
        <x:v>ARM079</x:v>
      </x:c>
      <x:c r="B1577" t="str">
        <x:v>Pavois</x:v>
      </x:c>
      <x:c r="C1577" t="n">
        <x:v>14</x:v>
      </x:c>
      <x:c r="D1577" t="str">
        <x:v>Boucliers</x:v>
      </x:c>
      <x:c r="E1577" s="28" t="n">
        <x:f>IF(M1577=0,0,M1577+O1577)</x:f>
        <x:v>0</x:v>
      </x:c>
      <x:c r="F1577" s="28" t="n">
        <x:f>IF(M1577=0,0,M1577*N1577+O1577)</x:f>
        <x:v>0</x:v>
      </x:c>
      <x:c r="G1577" s="28" t="n">
        <x:f>ROUND(Catalogue!G82*SQRT((1+'Paramètres'!$B$4*(C1577-1)+'Paramètres'!$B$5*(C1577-1)^2)),0)</x:f>
        <x:v>20</x:v>
      </x:c>
      <x:c r="H1577" s="28" t="n">
        <x:f>ROUND(Catalogue!H82*SQRT((1+'Paramètres'!$B$4*(C1577-1)+'Paramètres'!$B$5*(C1577-1)^2)),0)</x:f>
        <x:v>0</x:v>
      </x:c>
      <x:c r="I1577" s="28" t="n">
        <x:v>0</x:v>
      </x:c>
      <x:c r="J1577" s="28" t="n">
        <x:v>0</x:v>
      </x:c>
      <x:c r="K1577" s="30" t="n">
        <x:v>6.3</x:v>
      </x:c>
      <x:c r="L1577" s="54" t="n">
        <x:f>IF(M1577=0,0,(E1577+F1577)/2)</x:f>
        <x:v>0</x:v>
      </x:c>
      <x:c r="M1577" t="n">
        <x:v>0</x:v>
      </x:c>
      <x:c r="N1577" t="n">
        <x:v>0</x:v>
      </x:c>
      <x:c r="O1577" t="n">
        <x:v>0</x:v>
      </x:c>
      <x:c r="P1577" s="63" t="str">
        <x:f>IF(M1577=0,"—",M1577&amp;"d"&amp;N1577&amp;IF(O1577=0,""," + "&amp;O1577))</x:f>
        <x:v>—</x:v>
      </x:c>
      <x:c r="Q1577" t="n">
        <x:f>ROUND(INDEX(Catalogue!E$4:E$85,MATCH(A1577,Catalogue!A$4:A$85,0))*(1+'Paramètres'!$B$4*(C1577-1)+'Paramètres'!$B$5*(C1577-1)^2),0)</x:f>
        <x:v>0</x:v>
      </x:c>
      <x:c r="R1577" t="n">
        <x:f>ROUND(INDEX(Catalogue!F$4:F$85,MATCH(A1577,Catalogue!A$4:A$85,0))*(1+'Paramètres'!$B$4*(C1577-1)+'Paramètres'!$B$5*(C1577-1)^2),0)</x:f>
        <x:v>0</x:v>
      </x:c>
      <x:c r="S1577" t="n">
        <x:f>L1577-AVERAGE(Q1577:R1577)</x:f>
        <x:v>0</x:v>
      </x:c>
      <x:c r="T1577" t="str">
        <x:f>IF(M1577=0,IF(AND(N1577=0,O1577=0,E1577=0,F1577=0),"OK","ERREUR"),IF(AND(M1577&gt;=1,M1577&lt;=32,OR(N1577=4,N1577=6,N1577=8,N1577=10,N1577=12,N1577=20),O1577&gt;=0,E1577=M1577+O1577,F1577=M1577*N1577+O1577),"OK","ERREUR"))</x:f>
        <x:v>OK</x:v>
      </x:c>
      <x:c r="U1577" s="86" t="n">
        <x:f>IF(M1577&gt;0,M1577*(N1577+1)/2+O1577,0)</x:f>
        <x:v>0</x:v>
      </x:c>
      <x:c r="V1577" t="str">
        <x:f>IF(ABS(L1577-U1577)&lt;0.001,"OK","ERREUR")</x:f>
        <x:v>OK</x:v>
      </x:c>
    </x:row>
    <x:row r="1578" ht="18" customHeight="1">
      <x:c r="A1578" t="str">
        <x:v>ARM079</x:v>
      </x:c>
      <x:c r="B1578" t="str">
        <x:v>Pavois</x:v>
      </x:c>
      <x:c r="C1578" t="n">
        <x:v>15</x:v>
      </x:c>
      <x:c r="D1578" t="str">
        <x:v>Boucliers</x:v>
      </x:c>
      <x:c r="E1578" s="28" t="n">
        <x:f>IF(M1578=0,0,M1578+O1578)</x:f>
        <x:v>0</x:v>
      </x:c>
      <x:c r="F1578" s="28" t="n">
        <x:f>IF(M1578=0,0,M1578*N1578+O1578)</x:f>
        <x:v>0</x:v>
      </x:c>
      <x:c r="G1578" s="28" t="n">
        <x:f>ROUND(Catalogue!G82*SQRT((1+'Paramètres'!$B$4*(C1578-1)+'Paramètres'!$B$5*(C1578-1)^2)),0)</x:f>
        <x:v>21</x:v>
      </x:c>
      <x:c r="H1578" s="28" t="n">
        <x:f>ROUND(Catalogue!H82*SQRT((1+'Paramètres'!$B$4*(C1578-1)+'Paramètres'!$B$5*(C1578-1)^2)),0)</x:f>
        <x:v>0</x:v>
      </x:c>
      <x:c r="I1578" s="28" t="n">
        <x:v>0</x:v>
      </x:c>
      <x:c r="J1578" s="28" t="n">
        <x:v>0</x:v>
      </x:c>
      <x:c r="K1578" s="30" t="n">
        <x:v>6.3</x:v>
      </x:c>
      <x:c r="L1578" s="54" t="n">
        <x:f>IF(M1578=0,0,(E1578+F1578)/2)</x:f>
        <x:v>0</x:v>
      </x:c>
      <x:c r="M1578" t="n">
        <x:v>0</x:v>
      </x:c>
      <x:c r="N1578" t="n">
        <x:v>0</x:v>
      </x:c>
      <x:c r="O1578" t="n">
        <x:v>0</x:v>
      </x:c>
      <x:c r="P1578" s="63" t="str">
        <x:f>IF(M1578=0,"—",M1578&amp;"d"&amp;N1578&amp;IF(O1578=0,""," + "&amp;O1578))</x:f>
        <x:v>—</x:v>
      </x:c>
      <x:c r="Q1578" t="n">
        <x:f>ROUND(INDEX(Catalogue!E$4:E$85,MATCH(A1578,Catalogue!A$4:A$85,0))*(1+'Paramètres'!$B$4*(C1578-1)+'Paramètres'!$B$5*(C1578-1)^2),0)</x:f>
        <x:v>0</x:v>
      </x:c>
      <x:c r="R1578" t="n">
        <x:f>ROUND(INDEX(Catalogue!F$4:F$85,MATCH(A1578,Catalogue!A$4:A$85,0))*(1+'Paramètres'!$B$4*(C1578-1)+'Paramètres'!$B$5*(C1578-1)^2),0)</x:f>
        <x:v>0</x:v>
      </x:c>
      <x:c r="S1578" t="n">
        <x:f>L1578-AVERAGE(Q1578:R1578)</x:f>
        <x:v>0</x:v>
      </x:c>
      <x:c r="T1578" t="str">
        <x:f>IF(M1578=0,IF(AND(N1578=0,O1578=0,E1578=0,F1578=0),"OK","ERREUR"),IF(AND(M1578&gt;=1,M1578&lt;=32,OR(N1578=4,N1578=6,N1578=8,N1578=10,N1578=12,N1578=20),O1578&gt;=0,E1578=M1578+O1578,F1578=M1578*N1578+O1578),"OK","ERREUR"))</x:f>
        <x:v>OK</x:v>
      </x:c>
      <x:c r="U1578" s="86" t="n">
        <x:f>IF(M1578&gt;0,M1578*(N1578+1)/2+O1578,0)</x:f>
        <x:v>0</x:v>
      </x:c>
      <x:c r="V1578" t="str">
        <x:f>IF(ABS(L1578-U1578)&lt;0.001,"OK","ERREUR")</x:f>
        <x:v>OK</x:v>
      </x:c>
    </x:row>
    <x:row r="1579" ht="18" customHeight="1">
      <x:c r="A1579" t="str">
        <x:v>ARM079</x:v>
      </x:c>
      <x:c r="B1579" t="str">
        <x:v>Pavois</x:v>
      </x:c>
      <x:c r="C1579" t="n">
        <x:v>16</x:v>
      </x:c>
      <x:c r="D1579" t="str">
        <x:v>Boucliers</x:v>
      </x:c>
      <x:c r="E1579" s="28" t="n">
        <x:f>IF(M1579=0,0,M1579+O1579)</x:f>
        <x:v>0</x:v>
      </x:c>
      <x:c r="F1579" s="28" t="n">
        <x:f>IF(M1579=0,0,M1579*N1579+O1579)</x:f>
        <x:v>0</x:v>
      </x:c>
      <x:c r="G1579" s="28" t="n">
        <x:f>ROUND(Catalogue!G82*SQRT((1+'Paramètres'!$B$4*(C1579-1)+'Paramètres'!$B$5*(C1579-1)^2)),0)</x:f>
        <x:v>23</x:v>
      </x:c>
      <x:c r="H1579" s="28" t="n">
        <x:f>ROUND(Catalogue!H82*SQRT((1+'Paramètres'!$B$4*(C1579-1)+'Paramètres'!$B$5*(C1579-1)^2)),0)</x:f>
        <x:v>0</x:v>
      </x:c>
      <x:c r="I1579" s="28" t="n">
        <x:v>0</x:v>
      </x:c>
      <x:c r="J1579" s="28" t="n">
        <x:v>0</x:v>
      </x:c>
      <x:c r="K1579" s="30" t="n">
        <x:v>6.3</x:v>
      </x:c>
      <x:c r="L1579" s="54" t="n">
        <x:f>IF(M1579=0,0,(E1579+F1579)/2)</x:f>
        <x:v>0</x:v>
      </x:c>
      <x:c r="M1579" t="n">
        <x:v>0</x:v>
      </x:c>
      <x:c r="N1579" t="n">
        <x:v>0</x:v>
      </x:c>
      <x:c r="O1579" t="n">
        <x:v>0</x:v>
      </x:c>
      <x:c r="P1579" s="63" t="str">
        <x:f>IF(M1579=0,"—",M1579&amp;"d"&amp;N1579&amp;IF(O1579=0,""," + "&amp;O1579))</x:f>
        <x:v>—</x:v>
      </x:c>
      <x:c r="Q1579" t="n">
        <x:f>ROUND(INDEX(Catalogue!E$4:E$85,MATCH(A1579,Catalogue!A$4:A$85,0))*(1+'Paramètres'!$B$4*(C1579-1)+'Paramètres'!$B$5*(C1579-1)^2),0)</x:f>
        <x:v>0</x:v>
      </x:c>
      <x:c r="R1579" t="n">
        <x:f>ROUND(INDEX(Catalogue!F$4:F$85,MATCH(A1579,Catalogue!A$4:A$85,0))*(1+'Paramètres'!$B$4*(C1579-1)+'Paramètres'!$B$5*(C1579-1)^2),0)</x:f>
        <x:v>0</x:v>
      </x:c>
      <x:c r="S1579" t="n">
        <x:f>L1579-AVERAGE(Q1579:R1579)</x:f>
        <x:v>0</x:v>
      </x:c>
      <x:c r="T1579" t="str">
        <x:f>IF(M1579=0,IF(AND(N1579=0,O1579=0,E1579=0,F1579=0),"OK","ERREUR"),IF(AND(M1579&gt;=1,M1579&lt;=32,OR(N1579=4,N1579=6,N1579=8,N1579=10,N1579=12,N1579=20),O1579&gt;=0,E1579=M1579+O1579,F1579=M1579*N1579+O1579),"OK","ERREUR"))</x:f>
        <x:v>OK</x:v>
      </x:c>
      <x:c r="U1579" s="86" t="n">
        <x:f>IF(M1579&gt;0,M1579*(N1579+1)/2+O1579,0)</x:f>
        <x:v>0</x:v>
      </x:c>
      <x:c r="V1579" t="str">
        <x:f>IF(ABS(L1579-U1579)&lt;0.001,"OK","ERREUR")</x:f>
        <x:v>OK</x:v>
      </x:c>
    </x:row>
    <x:row r="1580" ht="18" customHeight="1">
      <x:c r="A1580" t="str">
        <x:v>ARM079</x:v>
      </x:c>
      <x:c r="B1580" t="str">
        <x:v>Pavois</x:v>
      </x:c>
      <x:c r="C1580" t="n">
        <x:v>17</x:v>
      </x:c>
      <x:c r="D1580" t="str">
        <x:v>Boucliers</x:v>
      </x:c>
      <x:c r="E1580" s="28" t="n">
        <x:f>IF(M1580=0,0,M1580+O1580)</x:f>
        <x:v>0</x:v>
      </x:c>
      <x:c r="F1580" s="28" t="n">
        <x:f>IF(M1580=0,0,M1580*N1580+O1580)</x:f>
        <x:v>0</x:v>
      </x:c>
      <x:c r="G1580" s="28" t="n">
        <x:f>ROUND(Catalogue!G82*SQRT((1+'Paramètres'!$B$4*(C1580-1)+'Paramètres'!$B$5*(C1580-1)^2)),0)</x:f>
        <x:v>24</x:v>
      </x:c>
      <x:c r="H1580" s="28" t="n">
        <x:f>ROUND(Catalogue!H82*SQRT((1+'Paramètres'!$B$4*(C1580-1)+'Paramètres'!$B$5*(C1580-1)^2)),0)</x:f>
        <x:v>0</x:v>
      </x:c>
      <x:c r="I1580" s="28" t="n">
        <x:v>0</x:v>
      </x:c>
      <x:c r="J1580" s="28" t="n">
        <x:v>0</x:v>
      </x:c>
      <x:c r="K1580" s="30" t="n">
        <x:v>6.3</x:v>
      </x:c>
      <x:c r="L1580" s="54" t="n">
        <x:f>IF(M1580=0,0,(E1580+F1580)/2)</x:f>
        <x:v>0</x:v>
      </x:c>
      <x:c r="M1580" t="n">
        <x:v>0</x:v>
      </x:c>
      <x:c r="N1580" t="n">
        <x:v>0</x:v>
      </x:c>
      <x:c r="O1580" t="n">
        <x:v>0</x:v>
      </x:c>
      <x:c r="P1580" s="63" t="str">
        <x:f>IF(M1580=0,"—",M1580&amp;"d"&amp;N1580&amp;IF(O1580=0,""," + "&amp;O1580))</x:f>
        <x:v>—</x:v>
      </x:c>
      <x:c r="Q1580" t="n">
        <x:f>ROUND(INDEX(Catalogue!E$4:E$85,MATCH(A1580,Catalogue!A$4:A$85,0))*(1+'Paramètres'!$B$4*(C1580-1)+'Paramètres'!$B$5*(C1580-1)^2),0)</x:f>
        <x:v>0</x:v>
      </x:c>
      <x:c r="R1580" t="n">
        <x:f>ROUND(INDEX(Catalogue!F$4:F$85,MATCH(A1580,Catalogue!A$4:A$85,0))*(1+'Paramètres'!$B$4*(C1580-1)+'Paramètres'!$B$5*(C1580-1)^2),0)</x:f>
        <x:v>0</x:v>
      </x:c>
      <x:c r="S1580" t="n">
        <x:f>L1580-AVERAGE(Q1580:R1580)</x:f>
        <x:v>0</x:v>
      </x:c>
      <x:c r="T1580" t="str">
        <x:f>IF(M1580=0,IF(AND(N1580=0,O1580=0,E1580=0,F1580=0),"OK","ERREUR"),IF(AND(M1580&gt;=1,M1580&lt;=32,OR(N1580=4,N1580=6,N1580=8,N1580=10,N1580=12,N1580=20),O1580&gt;=0,E1580=M1580+O1580,F1580=M1580*N1580+O1580),"OK","ERREUR"))</x:f>
        <x:v>OK</x:v>
      </x:c>
      <x:c r="U1580" s="86" t="n">
        <x:f>IF(M1580&gt;0,M1580*(N1580+1)/2+O1580,0)</x:f>
        <x:v>0</x:v>
      </x:c>
      <x:c r="V1580" t="str">
        <x:f>IF(ABS(L1580-U1580)&lt;0.001,"OK","ERREUR")</x:f>
        <x:v>OK</x:v>
      </x:c>
    </x:row>
    <x:row r="1581" ht="18" customHeight="1">
      <x:c r="A1581" t="str">
        <x:v>ARM079</x:v>
      </x:c>
      <x:c r="B1581" t="str">
        <x:v>Pavois</x:v>
      </x:c>
      <x:c r="C1581" t="n">
        <x:v>18</x:v>
      </x:c>
      <x:c r="D1581" t="str">
        <x:v>Boucliers</x:v>
      </x:c>
      <x:c r="E1581" s="28" t="n">
        <x:f>IF(M1581=0,0,M1581+O1581)</x:f>
        <x:v>0</x:v>
      </x:c>
      <x:c r="F1581" s="28" t="n">
        <x:f>IF(M1581=0,0,M1581*N1581+O1581)</x:f>
        <x:v>0</x:v>
      </x:c>
      <x:c r="G1581" s="28" t="n">
        <x:f>ROUND(Catalogue!G82*SQRT((1+'Paramètres'!$B$4*(C1581-1)+'Paramètres'!$B$5*(C1581-1)^2)),0)</x:f>
        <x:v>25</x:v>
      </x:c>
      <x:c r="H1581" s="28" t="n">
        <x:f>ROUND(Catalogue!H82*SQRT((1+'Paramètres'!$B$4*(C1581-1)+'Paramètres'!$B$5*(C1581-1)^2)),0)</x:f>
        <x:v>0</x:v>
      </x:c>
      <x:c r="I1581" s="28" t="n">
        <x:v>0</x:v>
      </x:c>
      <x:c r="J1581" s="28" t="n">
        <x:v>0</x:v>
      </x:c>
      <x:c r="K1581" s="30" t="n">
        <x:v>6.3</x:v>
      </x:c>
      <x:c r="L1581" s="54" t="n">
        <x:f>IF(M1581=0,0,(E1581+F1581)/2)</x:f>
        <x:v>0</x:v>
      </x:c>
      <x:c r="M1581" t="n">
        <x:v>0</x:v>
      </x:c>
      <x:c r="N1581" t="n">
        <x:v>0</x:v>
      </x:c>
      <x:c r="O1581" t="n">
        <x:v>0</x:v>
      </x:c>
      <x:c r="P1581" s="63" t="str">
        <x:f>IF(M1581=0,"—",M1581&amp;"d"&amp;N1581&amp;IF(O1581=0,""," + "&amp;O1581))</x:f>
        <x:v>—</x:v>
      </x:c>
      <x:c r="Q1581" t="n">
        <x:f>ROUND(INDEX(Catalogue!E$4:E$85,MATCH(A1581,Catalogue!A$4:A$85,0))*(1+'Paramètres'!$B$4*(C1581-1)+'Paramètres'!$B$5*(C1581-1)^2),0)</x:f>
        <x:v>0</x:v>
      </x:c>
      <x:c r="R1581" t="n">
        <x:f>ROUND(INDEX(Catalogue!F$4:F$85,MATCH(A1581,Catalogue!A$4:A$85,0))*(1+'Paramètres'!$B$4*(C1581-1)+'Paramètres'!$B$5*(C1581-1)^2),0)</x:f>
        <x:v>0</x:v>
      </x:c>
      <x:c r="S1581" t="n">
        <x:f>L1581-AVERAGE(Q1581:R1581)</x:f>
        <x:v>0</x:v>
      </x:c>
      <x:c r="T1581" t="str">
        <x:f>IF(M1581=0,IF(AND(N1581=0,O1581=0,E1581=0,F1581=0),"OK","ERREUR"),IF(AND(M1581&gt;=1,M1581&lt;=32,OR(N1581=4,N1581=6,N1581=8,N1581=10,N1581=12,N1581=20),O1581&gt;=0,E1581=M1581+O1581,F1581=M1581*N1581+O1581),"OK","ERREUR"))</x:f>
        <x:v>OK</x:v>
      </x:c>
      <x:c r="U1581" s="86" t="n">
        <x:f>IF(M1581&gt;0,M1581*(N1581+1)/2+O1581,0)</x:f>
        <x:v>0</x:v>
      </x:c>
      <x:c r="V1581" t="str">
        <x:f>IF(ABS(L1581-U1581)&lt;0.001,"OK","ERREUR")</x:f>
        <x:v>OK</x:v>
      </x:c>
    </x:row>
    <x:row r="1582" ht="18" customHeight="1">
      <x:c r="A1582" t="str">
        <x:v>ARM079</x:v>
      </x:c>
      <x:c r="B1582" t="str">
        <x:v>Pavois</x:v>
      </x:c>
      <x:c r="C1582" t="n">
        <x:v>19</x:v>
      </x:c>
      <x:c r="D1582" t="str">
        <x:v>Boucliers</x:v>
      </x:c>
      <x:c r="E1582" s="28" t="n">
        <x:f>IF(M1582=0,0,M1582+O1582)</x:f>
        <x:v>0</x:v>
      </x:c>
      <x:c r="F1582" s="28" t="n">
        <x:f>IF(M1582=0,0,M1582*N1582+O1582)</x:f>
        <x:v>0</x:v>
      </x:c>
      <x:c r="G1582" s="28" t="n">
        <x:f>ROUND(Catalogue!G82*SQRT((1+'Paramètres'!$B$4*(C1582-1)+'Paramètres'!$B$5*(C1582-1)^2)),0)</x:f>
        <x:v>26</x:v>
      </x:c>
      <x:c r="H1582" s="28" t="n">
        <x:f>ROUND(Catalogue!H82*SQRT((1+'Paramètres'!$B$4*(C1582-1)+'Paramètres'!$B$5*(C1582-1)^2)),0)</x:f>
        <x:v>0</x:v>
      </x:c>
      <x:c r="I1582" s="28" t="n">
        <x:v>0</x:v>
      </x:c>
      <x:c r="J1582" s="28" t="n">
        <x:v>0</x:v>
      </x:c>
      <x:c r="K1582" s="30" t="n">
        <x:v>6.3</x:v>
      </x:c>
      <x:c r="L1582" s="54" t="n">
        <x:f>IF(M1582=0,0,(E1582+F1582)/2)</x:f>
        <x:v>0</x:v>
      </x:c>
      <x:c r="M1582" t="n">
        <x:v>0</x:v>
      </x:c>
      <x:c r="N1582" t="n">
        <x:v>0</x:v>
      </x:c>
      <x:c r="O1582" t="n">
        <x:v>0</x:v>
      </x:c>
      <x:c r="P1582" s="63" t="str">
        <x:f>IF(M1582=0,"—",M1582&amp;"d"&amp;N1582&amp;IF(O1582=0,""," + "&amp;O1582))</x:f>
        <x:v>—</x:v>
      </x:c>
      <x:c r="Q1582" t="n">
        <x:f>ROUND(INDEX(Catalogue!E$4:E$85,MATCH(A1582,Catalogue!A$4:A$85,0))*(1+'Paramètres'!$B$4*(C1582-1)+'Paramètres'!$B$5*(C1582-1)^2),0)</x:f>
        <x:v>0</x:v>
      </x:c>
      <x:c r="R1582" t="n">
        <x:f>ROUND(INDEX(Catalogue!F$4:F$85,MATCH(A1582,Catalogue!A$4:A$85,0))*(1+'Paramètres'!$B$4*(C1582-1)+'Paramètres'!$B$5*(C1582-1)^2),0)</x:f>
        <x:v>0</x:v>
      </x:c>
      <x:c r="S1582" t="n">
        <x:f>L1582-AVERAGE(Q1582:R1582)</x:f>
        <x:v>0</x:v>
      </x:c>
      <x:c r="T1582" t="str">
        <x:f>IF(M1582=0,IF(AND(N1582=0,O1582=0,E1582=0,F1582=0),"OK","ERREUR"),IF(AND(M1582&gt;=1,M1582&lt;=32,OR(N1582=4,N1582=6,N1582=8,N1582=10,N1582=12,N1582=20),O1582&gt;=0,E1582=M1582+O1582,F1582=M1582*N1582+O1582),"OK","ERREUR"))</x:f>
        <x:v>OK</x:v>
      </x:c>
      <x:c r="U1582" s="86" t="n">
        <x:f>IF(M1582&gt;0,M1582*(N1582+1)/2+O1582,0)</x:f>
        <x:v>0</x:v>
      </x:c>
      <x:c r="V1582" t="str">
        <x:f>IF(ABS(L1582-U1582)&lt;0.001,"OK","ERREUR")</x:f>
        <x:v>OK</x:v>
      </x:c>
    </x:row>
    <x:row r="1583" ht="18" customHeight="1">
      <x:c r="A1583" t="str">
        <x:v>ARM079</x:v>
      </x:c>
      <x:c r="B1583" t="str">
        <x:v>Pavois</x:v>
      </x:c>
      <x:c r="C1583" t="n">
        <x:v>20</x:v>
      </x:c>
      <x:c r="D1583" t="str">
        <x:v>Boucliers</x:v>
      </x:c>
      <x:c r="E1583" s="28" t="n">
        <x:f>IF(M1583=0,0,M1583+O1583)</x:f>
        <x:v>0</x:v>
      </x:c>
      <x:c r="F1583" s="28" t="n">
        <x:f>IF(M1583=0,0,M1583*N1583+O1583)</x:f>
        <x:v>0</x:v>
      </x:c>
      <x:c r="G1583" s="28" t="n">
        <x:f>ROUND(Catalogue!G82*SQRT((1+'Paramètres'!$B$4*(C1583-1)+'Paramètres'!$B$5*(C1583-1)^2)),0)</x:f>
        <x:v>27</x:v>
      </x:c>
      <x:c r="H1583" s="28" t="n">
        <x:f>ROUND(Catalogue!H82*SQRT((1+'Paramètres'!$B$4*(C1583-1)+'Paramètres'!$B$5*(C1583-1)^2)),0)</x:f>
        <x:v>0</x:v>
      </x:c>
      <x:c r="I1583" s="28" t="n">
        <x:v>0</x:v>
      </x:c>
      <x:c r="J1583" s="28" t="n">
        <x:v>0</x:v>
      </x:c>
      <x:c r="K1583" s="30" t="n">
        <x:v>6.3</x:v>
      </x:c>
      <x:c r="L1583" s="54" t="n">
        <x:f>IF(M1583=0,0,(E1583+F1583)/2)</x:f>
        <x:v>0</x:v>
      </x:c>
      <x:c r="M1583" t="n">
        <x:v>0</x:v>
      </x:c>
      <x:c r="N1583" t="n">
        <x:v>0</x:v>
      </x:c>
      <x:c r="O1583" t="n">
        <x:v>0</x:v>
      </x:c>
      <x:c r="P1583" s="63" t="str">
        <x:f>IF(M1583=0,"—",M1583&amp;"d"&amp;N1583&amp;IF(O1583=0,""," + "&amp;O1583))</x:f>
        <x:v>—</x:v>
      </x:c>
      <x:c r="Q1583" t="n">
        <x:f>ROUND(INDEX(Catalogue!E$4:E$85,MATCH(A1583,Catalogue!A$4:A$85,0))*(1+'Paramètres'!$B$4*(C1583-1)+'Paramètres'!$B$5*(C1583-1)^2),0)</x:f>
        <x:v>0</x:v>
      </x:c>
      <x:c r="R1583" t="n">
        <x:f>ROUND(INDEX(Catalogue!F$4:F$85,MATCH(A1583,Catalogue!A$4:A$85,0))*(1+'Paramètres'!$B$4*(C1583-1)+'Paramètres'!$B$5*(C1583-1)^2),0)</x:f>
        <x:v>0</x:v>
      </x:c>
      <x:c r="S1583" t="n">
        <x:f>L1583-AVERAGE(Q1583:R1583)</x:f>
        <x:v>0</x:v>
      </x:c>
      <x:c r="T1583" t="str">
        <x:f>IF(M1583=0,IF(AND(N1583=0,O1583=0,E1583=0,F1583=0),"OK","ERREUR"),IF(AND(M1583&gt;=1,M1583&lt;=32,OR(N1583=4,N1583=6,N1583=8,N1583=10,N1583=12,N1583=20),O1583&gt;=0,E1583=M1583+O1583,F1583=M1583*N1583+O1583),"OK","ERREUR"))</x:f>
        <x:v>OK</x:v>
      </x:c>
      <x:c r="U1583" s="86" t="n">
        <x:f>IF(M1583&gt;0,M1583*(N1583+1)/2+O1583,0)</x:f>
        <x:v>0</x:v>
      </x:c>
      <x:c r="V1583" t="str">
        <x:f>IF(ABS(L1583-U1583)&lt;0.001,"OK","ERREUR")</x:f>
        <x:v>OK</x:v>
      </x:c>
    </x:row>
    <x:row r="1584" ht="18" customHeight="1">
      <x:c r="A1584" t="str">
        <x:v>ARM080</x:v>
      </x:c>
      <x:c r="B1584" t="str">
        <x:v>Bouclier-tour</x:v>
      </x:c>
      <x:c r="C1584" t="n">
        <x:v>1</x:v>
      </x:c>
      <x:c r="D1584" t="str">
        <x:v>Boucliers</x:v>
      </x:c>
      <x:c r="E1584" s="28" t="n">
        <x:f>IF(M1584=0,0,M1584+O1584)</x:f>
        <x:v>0</x:v>
      </x:c>
      <x:c r="F1584" s="28" t="n">
        <x:f>IF(M1584=0,0,M1584*N1584+O1584)</x:f>
        <x:v>0</x:v>
      </x:c>
      <x:c r="G1584" s="28" t="n">
        <x:f>ROUND(Catalogue!G83*SQRT((1+'Paramètres'!$B$4*(C1584-1)+'Paramètres'!$B$5*(C1584-1)^2)),0)</x:f>
        <x:v>11</x:v>
      </x:c>
      <x:c r="H1584" s="28" t="n">
        <x:f>ROUND(Catalogue!H83*SQRT((1+'Paramètres'!$B$4*(C1584-1)+'Paramètres'!$B$5*(C1584-1)^2)),0)</x:f>
        <x:v>0</x:v>
      </x:c>
      <x:c r="I1584" s="28" t="n">
        <x:v>0</x:v>
      </x:c>
      <x:c r="J1584" s="28" t="n">
        <x:v>0</x:v>
      </x:c>
      <x:c r="K1584" s="30" t="n">
        <x:v>7.8</x:v>
      </x:c>
      <x:c r="L1584" s="54" t="n">
        <x:f>IF(M1584=0,0,(E1584+F1584)/2)</x:f>
        <x:v>0</x:v>
      </x:c>
      <x:c r="M1584" t="n">
        <x:v>0</x:v>
      </x:c>
      <x:c r="N1584" t="n">
        <x:v>0</x:v>
      </x:c>
      <x:c r="O1584" t="n">
        <x:v>0</x:v>
      </x:c>
      <x:c r="P1584" s="63" t="str">
        <x:f>IF(M1584=0,"—",M1584&amp;"d"&amp;N1584&amp;IF(O1584=0,""," + "&amp;O1584))</x:f>
        <x:v>—</x:v>
      </x:c>
      <x:c r="Q1584" t="n">
        <x:f>ROUND(INDEX(Catalogue!E$4:E$85,MATCH(A1584,Catalogue!A$4:A$85,0))*(1+'Paramètres'!$B$4*(C1584-1)+'Paramètres'!$B$5*(C1584-1)^2),0)</x:f>
        <x:v>0</x:v>
      </x:c>
      <x:c r="R1584" t="n">
        <x:f>ROUND(INDEX(Catalogue!F$4:F$85,MATCH(A1584,Catalogue!A$4:A$85,0))*(1+'Paramètres'!$B$4*(C1584-1)+'Paramètres'!$B$5*(C1584-1)^2),0)</x:f>
        <x:v>0</x:v>
      </x:c>
      <x:c r="S1584" t="n">
        <x:f>L1584-AVERAGE(Q1584:R1584)</x:f>
        <x:v>0</x:v>
      </x:c>
      <x:c r="T1584" t="str">
        <x:f>IF(M1584=0,IF(AND(N1584=0,O1584=0,E1584=0,F1584=0),"OK","ERREUR"),IF(AND(M1584&gt;=1,M1584&lt;=32,OR(N1584=4,N1584=6,N1584=8,N1584=10,N1584=12,N1584=20),O1584&gt;=0,E1584=M1584+O1584,F1584=M1584*N1584+O1584),"OK","ERREUR"))</x:f>
        <x:v>OK</x:v>
      </x:c>
      <x:c r="U1584" s="86" t="n">
        <x:f>IF(M1584&gt;0,M1584*(N1584+1)/2+O1584,0)</x:f>
        <x:v>0</x:v>
      </x:c>
      <x:c r="V1584" t="str">
        <x:f>IF(ABS(L1584-U1584)&lt;0.001,"OK","ERREUR")</x:f>
        <x:v>OK</x:v>
      </x:c>
    </x:row>
    <x:row r="1585" ht="18" customHeight="1">
      <x:c r="A1585" t="str">
        <x:v>ARM080</x:v>
      </x:c>
      <x:c r="B1585" t="str">
        <x:v>Bouclier-tour</x:v>
      </x:c>
      <x:c r="C1585" t="n">
        <x:v>2</x:v>
      </x:c>
      <x:c r="D1585" t="str">
        <x:v>Boucliers</x:v>
      </x:c>
      <x:c r="E1585" s="28" t="n">
        <x:f>IF(M1585=0,0,M1585+O1585)</x:f>
        <x:v>0</x:v>
      </x:c>
      <x:c r="F1585" s="28" t="n">
        <x:f>IF(M1585=0,0,M1585*N1585+O1585)</x:f>
        <x:v>0</x:v>
      </x:c>
      <x:c r="G1585" s="28" t="n">
        <x:f>ROUND(Catalogue!G83*SQRT((1+'Paramètres'!$B$4*(C1585-1)+'Paramètres'!$B$5*(C1585-1)^2)),0)</x:f>
        <x:v>12</x:v>
      </x:c>
      <x:c r="H1585" s="28" t="n">
        <x:f>ROUND(Catalogue!H83*SQRT((1+'Paramètres'!$B$4*(C1585-1)+'Paramètres'!$B$5*(C1585-1)^2)),0)</x:f>
        <x:v>0</x:v>
      </x:c>
      <x:c r="I1585" s="28" t="n">
        <x:v>0</x:v>
      </x:c>
      <x:c r="J1585" s="28" t="n">
        <x:v>0</x:v>
      </x:c>
      <x:c r="K1585" s="30" t="n">
        <x:v>7.8</x:v>
      </x:c>
      <x:c r="L1585" s="54" t="n">
        <x:f>IF(M1585=0,0,(E1585+F1585)/2)</x:f>
        <x:v>0</x:v>
      </x:c>
      <x:c r="M1585" t="n">
        <x:v>0</x:v>
      </x:c>
      <x:c r="N1585" t="n">
        <x:v>0</x:v>
      </x:c>
      <x:c r="O1585" t="n">
        <x:v>0</x:v>
      </x:c>
      <x:c r="P1585" s="63" t="str">
        <x:f>IF(M1585=0,"—",M1585&amp;"d"&amp;N1585&amp;IF(O1585=0,""," + "&amp;O1585))</x:f>
        <x:v>—</x:v>
      </x:c>
      <x:c r="Q1585" t="n">
        <x:f>ROUND(INDEX(Catalogue!E$4:E$85,MATCH(A1585,Catalogue!A$4:A$85,0))*(1+'Paramètres'!$B$4*(C1585-1)+'Paramètres'!$B$5*(C1585-1)^2),0)</x:f>
        <x:v>0</x:v>
      </x:c>
      <x:c r="R1585" t="n">
        <x:f>ROUND(INDEX(Catalogue!F$4:F$85,MATCH(A1585,Catalogue!A$4:A$85,0))*(1+'Paramètres'!$B$4*(C1585-1)+'Paramètres'!$B$5*(C1585-1)^2),0)</x:f>
        <x:v>0</x:v>
      </x:c>
      <x:c r="S1585" t="n">
        <x:f>L1585-AVERAGE(Q1585:R1585)</x:f>
        <x:v>0</x:v>
      </x:c>
      <x:c r="T1585" t="str">
        <x:f>IF(M1585=0,IF(AND(N1585=0,O1585=0,E1585=0,F1585=0),"OK","ERREUR"),IF(AND(M1585&gt;=1,M1585&lt;=32,OR(N1585=4,N1585=6,N1585=8,N1585=10,N1585=12,N1585=20),O1585&gt;=0,E1585=M1585+O1585,F1585=M1585*N1585+O1585),"OK","ERREUR"))</x:f>
        <x:v>OK</x:v>
      </x:c>
      <x:c r="U1585" s="86" t="n">
        <x:f>IF(M1585&gt;0,M1585*(N1585+1)/2+O1585,0)</x:f>
        <x:v>0</x:v>
      </x:c>
      <x:c r="V1585" t="str">
        <x:f>IF(ABS(L1585-U1585)&lt;0.001,"OK","ERREUR")</x:f>
        <x:v>OK</x:v>
      </x:c>
    </x:row>
    <x:row r="1586" ht="18" customHeight="1">
      <x:c r="A1586" t="str">
        <x:v>ARM080</x:v>
      </x:c>
      <x:c r="B1586" t="str">
        <x:v>Bouclier-tour</x:v>
      </x:c>
      <x:c r="C1586" t="n">
        <x:v>3</x:v>
      </x:c>
      <x:c r="D1586" t="str">
        <x:v>Boucliers</x:v>
      </x:c>
      <x:c r="E1586" s="28" t="n">
        <x:f>IF(M1586=0,0,M1586+O1586)</x:f>
        <x:v>0</x:v>
      </x:c>
      <x:c r="F1586" s="28" t="n">
        <x:f>IF(M1586=0,0,M1586*N1586+O1586)</x:f>
        <x:v>0</x:v>
      </x:c>
      <x:c r="G1586" s="28" t="n">
        <x:f>ROUND(Catalogue!G83*SQRT((1+'Paramètres'!$B$4*(C1586-1)+'Paramètres'!$B$5*(C1586-1)^2)),0)</x:f>
        <x:v>12</x:v>
      </x:c>
      <x:c r="H1586" s="28" t="n">
        <x:f>ROUND(Catalogue!H83*SQRT((1+'Paramètres'!$B$4*(C1586-1)+'Paramètres'!$B$5*(C1586-1)^2)),0)</x:f>
        <x:v>0</x:v>
      </x:c>
      <x:c r="I1586" s="28" t="n">
        <x:v>0</x:v>
      </x:c>
      <x:c r="J1586" s="28" t="n">
        <x:v>0</x:v>
      </x:c>
      <x:c r="K1586" s="30" t="n">
        <x:v>7.8</x:v>
      </x:c>
      <x:c r="L1586" s="54" t="n">
        <x:f>IF(M1586=0,0,(E1586+F1586)/2)</x:f>
        <x:v>0</x:v>
      </x:c>
      <x:c r="M1586" t="n">
        <x:v>0</x:v>
      </x:c>
      <x:c r="N1586" t="n">
        <x:v>0</x:v>
      </x:c>
      <x:c r="O1586" t="n">
        <x:v>0</x:v>
      </x:c>
      <x:c r="P1586" s="63" t="str">
        <x:f>IF(M1586=0,"—",M1586&amp;"d"&amp;N1586&amp;IF(O1586=0,""," + "&amp;O1586))</x:f>
        <x:v>—</x:v>
      </x:c>
      <x:c r="Q1586" t="n">
        <x:f>ROUND(INDEX(Catalogue!E$4:E$85,MATCH(A1586,Catalogue!A$4:A$85,0))*(1+'Paramètres'!$B$4*(C1586-1)+'Paramètres'!$B$5*(C1586-1)^2),0)</x:f>
        <x:v>0</x:v>
      </x:c>
      <x:c r="R1586" t="n">
        <x:f>ROUND(INDEX(Catalogue!F$4:F$85,MATCH(A1586,Catalogue!A$4:A$85,0))*(1+'Paramètres'!$B$4*(C1586-1)+'Paramètres'!$B$5*(C1586-1)^2),0)</x:f>
        <x:v>0</x:v>
      </x:c>
      <x:c r="S1586" t="n">
        <x:f>L1586-AVERAGE(Q1586:R1586)</x:f>
        <x:v>0</x:v>
      </x:c>
      <x:c r="T1586" t="str">
        <x:f>IF(M1586=0,IF(AND(N1586=0,O1586=0,E1586=0,F1586=0),"OK","ERREUR"),IF(AND(M1586&gt;=1,M1586&lt;=32,OR(N1586=4,N1586=6,N1586=8,N1586=10,N1586=12,N1586=20),O1586&gt;=0,E1586=M1586+O1586,F1586=M1586*N1586+O1586),"OK","ERREUR"))</x:f>
        <x:v>OK</x:v>
      </x:c>
      <x:c r="U1586" s="86" t="n">
        <x:f>IF(M1586&gt;0,M1586*(N1586+1)/2+O1586,0)</x:f>
        <x:v>0</x:v>
      </x:c>
      <x:c r="V1586" t="str">
        <x:f>IF(ABS(L1586-U1586)&lt;0.001,"OK","ERREUR")</x:f>
        <x:v>OK</x:v>
      </x:c>
    </x:row>
    <x:row r="1587" ht="18" customHeight="1">
      <x:c r="A1587" t="str">
        <x:v>ARM080</x:v>
      </x:c>
      <x:c r="B1587" t="str">
        <x:v>Bouclier-tour</x:v>
      </x:c>
      <x:c r="C1587" t="n">
        <x:v>4</x:v>
      </x:c>
      <x:c r="D1587" t="str">
        <x:v>Boucliers</x:v>
      </x:c>
      <x:c r="E1587" s="28" t="n">
        <x:f>IF(M1587=0,0,M1587+O1587)</x:f>
        <x:v>0</x:v>
      </x:c>
      <x:c r="F1587" s="28" t="n">
        <x:f>IF(M1587=0,0,M1587*N1587+O1587)</x:f>
        <x:v>0</x:v>
      </x:c>
      <x:c r="G1587" s="28" t="n">
        <x:f>ROUND(Catalogue!G83*SQRT((1+'Paramètres'!$B$4*(C1587-1)+'Paramètres'!$B$5*(C1587-1)^2)),0)</x:f>
        <x:v>13</x:v>
      </x:c>
      <x:c r="H1587" s="28" t="n">
        <x:f>ROUND(Catalogue!H83*SQRT((1+'Paramètres'!$B$4*(C1587-1)+'Paramètres'!$B$5*(C1587-1)^2)),0)</x:f>
        <x:v>0</x:v>
      </x:c>
      <x:c r="I1587" s="28" t="n">
        <x:v>0</x:v>
      </x:c>
      <x:c r="J1587" s="28" t="n">
        <x:v>0</x:v>
      </x:c>
      <x:c r="K1587" s="30" t="n">
        <x:v>7.8</x:v>
      </x:c>
      <x:c r="L1587" s="54" t="n">
        <x:f>IF(M1587=0,0,(E1587+F1587)/2)</x:f>
        <x:v>0</x:v>
      </x:c>
      <x:c r="M1587" t="n">
        <x:v>0</x:v>
      </x:c>
      <x:c r="N1587" t="n">
        <x:v>0</x:v>
      </x:c>
      <x:c r="O1587" t="n">
        <x:v>0</x:v>
      </x:c>
      <x:c r="P1587" s="63" t="str">
        <x:f>IF(M1587=0,"—",M1587&amp;"d"&amp;N1587&amp;IF(O1587=0,""," + "&amp;O1587))</x:f>
        <x:v>—</x:v>
      </x:c>
      <x:c r="Q1587" t="n">
        <x:f>ROUND(INDEX(Catalogue!E$4:E$85,MATCH(A1587,Catalogue!A$4:A$85,0))*(1+'Paramètres'!$B$4*(C1587-1)+'Paramètres'!$B$5*(C1587-1)^2),0)</x:f>
        <x:v>0</x:v>
      </x:c>
      <x:c r="R1587" t="n">
        <x:f>ROUND(INDEX(Catalogue!F$4:F$85,MATCH(A1587,Catalogue!A$4:A$85,0))*(1+'Paramètres'!$B$4*(C1587-1)+'Paramètres'!$B$5*(C1587-1)^2),0)</x:f>
        <x:v>0</x:v>
      </x:c>
      <x:c r="S1587" t="n">
        <x:f>L1587-AVERAGE(Q1587:R1587)</x:f>
        <x:v>0</x:v>
      </x:c>
      <x:c r="T1587" t="str">
        <x:f>IF(M1587=0,IF(AND(N1587=0,O1587=0,E1587=0,F1587=0),"OK","ERREUR"),IF(AND(M1587&gt;=1,M1587&lt;=32,OR(N1587=4,N1587=6,N1587=8,N1587=10,N1587=12,N1587=20),O1587&gt;=0,E1587=M1587+O1587,F1587=M1587*N1587+O1587),"OK","ERREUR"))</x:f>
        <x:v>OK</x:v>
      </x:c>
      <x:c r="U1587" s="86" t="n">
        <x:f>IF(M1587&gt;0,M1587*(N1587+1)/2+O1587,0)</x:f>
        <x:v>0</x:v>
      </x:c>
      <x:c r="V1587" t="str">
        <x:f>IF(ABS(L1587-U1587)&lt;0.001,"OK","ERREUR")</x:f>
        <x:v>OK</x:v>
      </x:c>
    </x:row>
    <x:row r="1588" ht="18" customHeight="1">
      <x:c r="A1588" t="str">
        <x:v>ARM080</x:v>
      </x:c>
      <x:c r="B1588" t="str">
        <x:v>Bouclier-tour</x:v>
      </x:c>
      <x:c r="C1588" t="n">
        <x:v>5</x:v>
      </x:c>
      <x:c r="D1588" t="str">
        <x:v>Boucliers</x:v>
      </x:c>
      <x:c r="E1588" s="28" t="n">
        <x:f>IF(M1588=0,0,M1588+O1588)</x:f>
        <x:v>0</x:v>
      </x:c>
      <x:c r="F1588" s="28" t="n">
        <x:f>IF(M1588=0,0,M1588*N1588+O1588)</x:f>
        <x:v>0</x:v>
      </x:c>
      <x:c r="G1588" s="28" t="n">
        <x:f>ROUND(Catalogue!G83*SQRT((1+'Paramètres'!$B$4*(C1588-1)+'Paramètres'!$B$5*(C1588-1)^2)),0)</x:f>
        <x:v>14</x:v>
      </x:c>
      <x:c r="H1588" s="28" t="n">
        <x:f>ROUND(Catalogue!H83*SQRT((1+'Paramètres'!$B$4*(C1588-1)+'Paramètres'!$B$5*(C1588-1)^2)),0)</x:f>
        <x:v>0</x:v>
      </x:c>
      <x:c r="I1588" s="28" t="n">
        <x:v>0</x:v>
      </x:c>
      <x:c r="J1588" s="28" t="n">
        <x:v>0</x:v>
      </x:c>
      <x:c r="K1588" s="30" t="n">
        <x:v>7.8</x:v>
      </x:c>
      <x:c r="L1588" s="54" t="n">
        <x:f>IF(M1588=0,0,(E1588+F1588)/2)</x:f>
        <x:v>0</x:v>
      </x:c>
      <x:c r="M1588" t="n">
        <x:v>0</x:v>
      </x:c>
      <x:c r="N1588" t="n">
        <x:v>0</x:v>
      </x:c>
      <x:c r="O1588" t="n">
        <x:v>0</x:v>
      </x:c>
      <x:c r="P1588" s="63" t="str">
        <x:f>IF(M1588=0,"—",M1588&amp;"d"&amp;N1588&amp;IF(O1588=0,""," + "&amp;O1588))</x:f>
        <x:v>—</x:v>
      </x:c>
      <x:c r="Q1588" t="n">
        <x:f>ROUND(INDEX(Catalogue!E$4:E$85,MATCH(A1588,Catalogue!A$4:A$85,0))*(1+'Paramètres'!$B$4*(C1588-1)+'Paramètres'!$B$5*(C1588-1)^2),0)</x:f>
        <x:v>0</x:v>
      </x:c>
      <x:c r="R1588" t="n">
        <x:f>ROUND(INDEX(Catalogue!F$4:F$85,MATCH(A1588,Catalogue!A$4:A$85,0))*(1+'Paramètres'!$B$4*(C1588-1)+'Paramètres'!$B$5*(C1588-1)^2),0)</x:f>
        <x:v>0</x:v>
      </x:c>
      <x:c r="S1588" t="n">
        <x:f>L1588-AVERAGE(Q1588:R1588)</x:f>
        <x:v>0</x:v>
      </x:c>
      <x:c r="T1588" t="str">
        <x:f>IF(M1588=0,IF(AND(N1588=0,O1588=0,E1588=0,F1588=0),"OK","ERREUR"),IF(AND(M1588&gt;=1,M1588&lt;=32,OR(N1588=4,N1588=6,N1588=8,N1588=10,N1588=12,N1588=20),O1588&gt;=0,E1588=M1588+O1588,F1588=M1588*N1588+O1588),"OK","ERREUR"))</x:f>
        <x:v>OK</x:v>
      </x:c>
      <x:c r="U1588" s="86" t="n">
        <x:f>IF(M1588&gt;0,M1588*(N1588+1)/2+O1588,0)</x:f>
        <x:v>0</x:v>
      </x:c>
      <x:c r="V1588" t="str">
        <x:f>IF(ABS(L1588-U1588)&lt;0.001,"OK","ERREUR")</x:f>
        <x:v>OK</x:v>
      </x:c>
    </x:row>
    <x:row r="1589" ht="18" customHeight="1">
      <x:c r="A1589" t="str">
        <x:v>ARM080</x:v>
      </x:c>
      <x:c r="B1589" t="str">
        <x:v>Bouclier-tour</x:v>
      </x:c>
      <x:c r="C1589" t="n">
        <x:v>6</x:v>
      </x:c>
      <x:c r="D1589" t="str">
        <x:v>Boucliers</x:v>
      </x:c>
      <x:c r="E1589" s="28" t="n">
        <x:f>IF(M1589=0,0,M1589+O1589)</x:f>
        <x:v>0</x:v>
      </x:c>
      <x:c r="F1589" s="28" t="n">
        <x:f>IF(M1589=0,0,M1589*N1589+O1589)</x:f>
        <x:v>0</x:v>
      </x:c>
      <x:c r="G1589" s="28" t="n">
        <x:f>ROUND(Catalogue!G83*SQRT((1+'Paramètres'!$B$4*(C1589-1)+'Paramètres'!$B$5*(C1589-1)^2)),0)</x:f>
        <x:v>15</x:v>
      </x:c>
      <x:c r="H1589" s="28" t="n">
        <x:f>ROUND(Catalogue!H83*SQRT((1+'Paramètres'!$B$4*(C1589-1)+'Paramètres'!$B$5*(C1589-1)^2)),0)</x:f>
        <x:v>0</x:v>
      </x:c>
      <x:c r="I1589" s="28" t="n">
        <x:v>0</x:v>
      </x:c>
      <x:c r="J1589" s="28" t="n">
        <x:v>0</x:v>
      </x:c>
      <x:c r="K1589" s="30" t="n">
        <x:v>7.8</x:v>
      </x:c>
      <x:c r="L1589" s="54" t="n">
        <x:f>IF(M1589=0,0,(E1589+F1589)/2)</x:f>
        <x:v>0</x:v>
      </x:c>
      <x:c r="M1589" t="n">
        <x:v>0</x:v>
      </x:c>
      <x:c r="N1589" t="n">
        <x:v>0</x:v>
      </x:c>
      <x:c r="O1589" t="n">
        <x:v>0</x:v>
      </x:c>
      <x:c r="P1589" s="63" t="str">
        <x:f>IF(M1589=0,"—",M1589&amp;"d"&amp;N1589&amp;IF(O1589=0,""," + "&amp;O1589))</x:f>
        <x:v>—</x:v>
      </x:c>
      <x:c r="Q1589" t="n">
        <x:f>ROUND(INDEX(Catalogue!E$4:E$85,MATCH(A1589,Catalogue!A$4:A$85,0))*(1+'Paramètres'!$B$4*(C1589-1)+'Paramètres'!$B$5*(C1589-1)^2),0)</x:f>
        <x:v>0</x:v>
      </x:c>
      <x:c r="R1589" t="n">
        <x:f>ROUND(INDEX(Catalogue!F$4:F$85,MATCH(A1589,Catalogue!A$4:A$85,0))*(1+'Paramètres'!$B$4*(C1589-1)+'Paramètres'!$B$5*(C1589-1)^2),0)</x:f>
        <x:v>0</x:v>
      </x:c>
      <x:c r="S1589" t="n">
        <x:f>L1589-AVERAGE(Q1589:R1589)</x:f>
        <x:v>0</x:v>
      </x:c>
      <x:c r="T1589" t="str">
        <x:f>IF(M1589=0,IF(AND(N1589=0,O1589=0,E1589=0,F1589=0),"OK","ERREUR"),IF(AND(M1589&gt;=1,M1589&lt;=32,OR(N1589=4,N1589=6,N1589=8,N1589=10,N1589=12,N1589=20),O1589&gt;=0,E1589=M1589+O1589,F1589=M1589*N1589+O1589),"OK","ERREUR"))</x:f>
        <x:v>OK</x:v>
      </x:c>
      <x:c r="U1589" s="86" t="n">
        <x:f>IF(M1589&gt;0,M1589*(N1589+1)/2+O1589,0)</x:f>
        <x:v>0</x:v>
      </x:c>
      <x:c r="V1589" t="str">
        <x:f>IF(ABS(L1589-U1589)&lt;0.001,"OK","ERREUR")</x:f>
        <x:v>OK</x:v>
      </x:c>
    </x:row>
    <x:row r="1590" ht="18" customHeight="1">
      <x:c r="A1590" t="str">
        <x:v>ARM080</x:v>
      </x:c>
      <x:c r="B1590" t="str">
        <x:v>Bouclier-tour</x:v>
      </x:c>
      <x:c r="C1590" t="n">
        <x:v>7</x:v>
      </x:c>
      <x:c r="D1590" t="str">
        <x:v>Boucliers</x:v>
      </x:c>
      <x:c r="E1590" s="28" t="n">
        <x:f>IF(M1590=0,0,M1590+O1590)</x:f>
        <x:v>0</x:v>
      </x:c>
      <x:c r="F1590" s="28" t="n">
        <x:f>IF(M1590=0,0,M1590*N1590+O1590)</x:f>
        <x:v>0</x:v>
      </x:c>
      <x:c r="G1590" s="28" t="n">
        <x:f>ROUND(Catalogue!G83*SQRT((1+'Paramètres'!$B$4*(C1590-1)+'Paramètres'!$B$5*(C1590-1)^2)),0)</x:f>
        <x:v>16</x:v>
      </x:c>
      <x:c r="H1590" s="28" t="n">
        <x:f>ROUND(Catalogue!H83*SQRT((1+'Paramètres'!$B$4*(C1590-1)+'Paramètres'!$B$5*(C1590-1)^2)),0)</x:f>
        <x:v>0</x:v>
      </x:c>
      <x:c r="I1590" s="28" t="n">
        <x:v>0</x:v>
      </x:c>
      <x:c r="J1590" s="28" t="n">
        <x:v>0</x:v>
      </x:c>
      <x:c r="K1590" s="30" t="n">
        <x:v>7.8</x:v>
      </x:c>
      <x:c r="L1590" s="54" t="n">
        <x:f>IF(M1590=0,0,(E1590+F1590)/2)</x:f>
        <x:v>0</x:v>
      </x:c>
      <x:c r="M1590" t="n">
        <x:v>0</x:v>
      </x:c>
      <x:c r="N1590" t="n">
        <x:v>0</x:v>
      </x:c>
      <x:c r="O1590" t="n">
        <x:v>0</x:v>
      </x:c>
      <x:c r="P1590" s="63" t="str">
        <x:f>IF(M1590=0,"—",M1590&amp;"d"&amp;N1590&amp;IF(O1590=0,""," + "&amp;O1590))</x:f>
        <x:v>—</x:v>
      </x:c>
      <x:c r="Q1590" t="n">
        <x:f>ROUND(INDEX(Catalogue!E$4:E$85,MATCH(A1590,Catalogue!A$4:A$85,0))*(1+'Paramètres'!$B$4*(C1590-1)+'Paramètres'!$B$5*(C1590-1)^2),0)</x:f>
        <x:v>0</x:v>
      </x:c>
      <x:c r="R1590" t="n">
        <x:f>ROUND(INDEX(Catalogue!F$4:F$85,MATCH(A1590,Catalogue!A$4:A$85,0))*(1+'Paramètres'!$B$4*(C1590-1)+'Paramètres'!$B$5*(C1590-1)^2),0)</x:f>
        <x:v>0</x:v>
      </x:c>
      <x:c r="S1590" t="n">
        <x:f>L1590-AVERAGE(Q1590:R1590)</x:f>
        <x:v>0</x:v>
      </x:c>
      <x:c r="T1590" t="str">
        <x:f>IF(M1590=0,IF(AND(N1590=0,O1590=0,E1590=0,F1590=0),"OK","ERREUR"),IF(AND(M1590&gt;=1,M1590&lt;=32,OR(N1590=4,N1590=6,N1590=8,N1590=10,N1590=12,N1590=20),O1590&gt;=0,E1590=M1590+O1590,F1590=M1590*N1590+O1590),"OK","ERREUR"))</x:f>
        <x:v>OK</x:v>
      </x:c>
      <x:c r="U1590" s="86" t="n">
        <x:f>IF(M1590&gt;0,M1590*(N1590+1)/2+O1590,0)</x:f>
        <x:v>0</x:v>
      </x:c>
      <x:c r="V1590" t="str">
        <x:f>IF(ABS(L1590-U1590)&lt;0.001,"OK","ERREUR")</x:f>
        <x:v>OK</x:v>
      </x:c>
    </x:row>
    <x:row r="1591" ht="18" customHeight="1">
      <x:c r="A1591" t="str">
        <x:v>ARM080</x:v>
      </x:c>
      <x:c r="B1591" t="str">
        <x:v>Bouclier-tour</x:v>
      </x:c>
      <x:c r="C1591" t="n">
        <x:v>8</x:v>
      </x:c>
      <x:c r="D1591" t="str">
        <x:v>Boucliers</x:v>
      </x:c>
      <x:c r="E1591" s="28" t="n">
        <x:f>IF(M1591=0,0,M1591+O1591)</x:f>
        <x:v>0</x:v>
      </x:c>
      <x:c r="F1591" s="28" t="n">
        <x:f>IF(M1591=0,0,M1591*N1591+O1591)</x:f>
        <x:v>0</x:v>
      </x:c>
      <x:c r="G1591" s="28" t="n">
        <x:f>ROUND(Catalogue!G83*SQRT((1+'Paramètres'!$B$4*(C1591-1)+'Paramètres'!$B$5*(C1591-1)^2)),0)</x:f>
        <x:v>18</x:v>
      </x:c>
      <x:c r="H1591" s="28" t="n">
        <x:f>ROUND(Catalogue!H83*SQRT((1+'Paramètres'!$B$4*(C1591-1)+'Paramètres'!$B$5*(C1591-1)^2)),0)</x:f>
        <x:v>0</x:v>
      </x:c>
      <x:c r="I1591" s="28" t="n">
        <x:v>0</x:v>
      </x:c>
      <x:c r="J1591" s="28" t="n">
        <x:v>0</x:v>
      </x:c>
      <x:c r="K1591" s="30" t="n">
        <x:v>7.8</x:v>
      </x:c>
      <x:c r="L1591" s="54" t="n">
        <x:f>IF(M1591=0,0,(E1591+F1591)/2)</x:f>
        <x:v>0</x:v>
      </x:c>
      <x:c r="M1591" t="n">
        <x:v>0</x:v>
      </x:c>
      <x:c r="N1591" t="n">
        <x:v>0</x:v>
      </x:c>
      <x:c r="O1591" t="n">
        <x:v>0</x:v>
      </x:c>
      <x:c r="P1591" s="63" t="str">
        <x:f>IF(M1591=0,"—",M1591&amp;"d"&amp;N1591&amp;IF(O1591=0,""," + "&amp;O1591))</x:f>
        <x:v>—</x:v>
      </x:c>
      <x:c r="Q1591" t="n">
        <x:f>ROUND(INDEX(Catalogue!E$4:E$85,MATCH(A1591,Catalogue!A$4:A$85,0))*(1+'Paramètres'!$B$4*(C1591-1)+'Paramètres'!$B$5*(C1591-1)^2),0)</x:f>
        <x:v>0</x:v>
      </x:c>
      <x:c r="R1591" t="n">
        <x:f>ROUND(INDEX(Catalogue!F$4:F$85,MATCH(A1591,Catalogue!A$4:A$85,0))*(1+'Paramètres'!$B$4*(C1591-1)+'Paramètres'!$B$5*(C1591-1)^2),0)</x:f>
        <x:v>0</x:v>
      </x:c>
      <x:c r="S1591" t="n">
        <x:f>L1591-AVERAGE(Q1591:R1591)</x:f>
        <x:v>0</x:v>
      </x:c>
      <x:c r="T1591" t="str">
        <x:f>IF(M1591=0,IF(AND(N1591=0,O1591=0,E1591=0,F1591=0),"OK","ERREUR"),IF(AND(M1591&gt;=1,M1591&lt;=32,OR(N1591=4,N1591=6,N1591=8,N1591=10,N1591=12,N1591=20),O1591&gt;=0,E1591=M1591+O1591,F1591=M1591*N1591+O1591),"OK","ERREUR"))</x:f>
        <x:v>OK</x:v>
      </x:c>
      <x:c r="U1591" s="86" t="n">
        <x:f>IF(M1591&gt;0,M1591*(N1591+1)/2+O1591,0)</x:f>
        <x:v>0</x:v>
      </x:c>
      <x:c r="V1591" t="str">
        <x:f>IF(ABS(L1591-U1591)&lt;0.001,"OK","ERREUR")</x:f>
        <x:v>OK</x:v>
      </x:c>
    </x:row>
    <x:row r="1592" ht="18" customHeight="1">
      <x:c r="A1592" t="str">
        <x:v>ARM080</x:v>
      </x:c>
      <x:c r="B1592" t="str">
        <x:v>Bouclier-tour</x:v>
      </x:c>
      <x:c r="C1592" t="n">
        <x:v>9</x:v>
      </x:c>
      <x:c r="D1592" t="str">
        <x:v>Boucliers</x:v>
      </x:c>
      <x:c r="E1592" s="28" t="n">
        <x:f>IF(M1592=0,0,M1592+O1592)</x:f>
        <x:v>0</x:v>
      </x:c>
      <x:c r="F1592" s="28" t="n">
        <x:f>IF(M1592=0,0,M1592*N1592+O1592)</x:f>
        <x:v>0</x:v>
      </x:c>
      <x:c r="G1592" s="28" t="n">
        <x:f>ROUND(Catalogue!G83*SQRT((1+'Paramètres'!$B$4*(C1592-1)+'Paramètres'!$B$5*(C1592-1)^2)),0)</x:f>
        <x:v>19</x:v>
      </x:c>
      <x:c r="H1592" s="28" t="n">
        <x:f>ROUND(Catalogue!H83*SQRT((1+'Paramètres'!$B$4*(C1592-1)+'Paramètres'!$B$5*(C1592-1)^2)),0)</x:f>
        <x:v>0</x:v>
      </x:c>
      <x:c r="I1592" s="28" t="n">
        <x:v>0</x:v>
      </x:c>
      <x:c r="J1592" s="28" t="n">
        <x:v>0</x:v>
      </x:c>
      <x:c r="K1592" s="30" t="n">
        <x:v>7.8</x:v>
      </x:c>
      <x:c r="L1592" s="54" t="n">
        <x:f>IF(M1592=0,0,(E1592+F1592)/2)</x:f>
        <x:v>0</x:v>
      </x:c>
      <x:c r="M1592" t="n">
        <x:v>0</x:v>
      </x:c>
      <x:c r="N1592" t="n">
        <x:v>0</x:v>
      </x:c>
      <x:c r="O1592" t="n">
        <x:v>0</x:v>
      </x:c>
      <x:c r="P1592" s="63" t="str">
        <x:f>IF(M1592=0,"—",M1592&amp;"d"&amp;N1592&amp;IF(O1592=0,""," + "&amp;O1592))</x:f>
        <x:v>—</x:v>
      </x:c>
      <x:c r="Q1592" t="n">
        <x:f>ROUND(INDEX(Catalogue!E$4:E$85,MATCH(A1592,Catalogue!A$4:A$85,0))*(1+'Paramètres'!$B$4*(C1592-1)+'Paramètres'!$B$5*(C1592-1)^2),0)</x:f>
        <x:v>0</x:v>
      </x:c>
      <x:c r="R1592" t="n">
        <x:f>ROUND(INDEX(Catalogue!F$4:F$85,MATCH(A1592,Catalogue!A$4:A$85,0))*(1+'Paramètres'!$B$4*(C1592-1)+'Paramètres'!$B$5*(C1592-1)^2),0)</x:f>
        <x:v>0</x:v>
      </x:c>
      <x:c r="S1592" t="n">
        <x:f>L1592-AVERAGE(Q1592:R1592)</x:f>
        <x:v>0</x:v>
      </x:c>
      <x:c r="T1592" t="str">
        <x:f>IF(M1592=0,IF(AND(N1592=0,O1592=0,E1592=0,F1592=0),"OK","ERREUR"),IF(AND(M1592&gt;=1,M1592&lt;=32,OR(N1592=4,N1592=6,N1592=8,N1592=10,N1592=12,N1592=20),O1592&gt;=0,E1592=M1592+O1592,F1592=M1592*N1592+O1592),"OK","ERREUR"))</x:f>
        <x:v>OK</x:v>
      </x:c>
      <x:c r="U1592" s="86" t="n">
        <x:f>IF(M1592&gt;0,M1592*(N1592+1)/2+O1592,0)</x:f>
        <x:v>0</x:v>
      </x:c>
      <x:c r="V1592" t="str">
        <x:f>IF(ABS(L1592-U1592)&lt;0.001,"OK","ERREUR")</x:f>
        <x:v>OK</x:v>
      </x:c>
    </x:row>
    <x:row r="1593" ht="18" customHeight="1">
      <x:c r="A1593" t="str">
        <x:v>ARM080</x:v>
      </x:c>
      <x:c r="B1593" t="str">
        <x:v>Bouclier-tour</x:v>
      </x:c>
      <x:c r="C1593" t="n">
        <x:v>10</x:v>
      </x:c>
      <x:c r="D1593" t="str">
        <x:v>Boucliers</x:v>
      </x:c>
      <x:c r="E1593" s="28" t="n">
        <x:f>IF(M1593=0,0,M1593+O1593)</x:f>
        <x:v>0</x:v>
      </x:c>
      <x:c r="F1593" s="28" t="n">
        <x:f>IF(M1593=0,0,M1593*N1593+O1593)</x:f>
        <x:v>0</x:v>
      </x:c>
      <x:c r="G1593" s="28" t="n">
        <x:f>ROUND(Catalogue!G83*SQRT((1+'Paramètres'!$B$4*(C1593-1)+'Paramètres'!$B$5*(C1593-1)^2)),0)</x:f>
        <x:v>20</x:v>
      </x:c>
      <x:c r="H1593" s="28" t="n">
        <x:f>ROUND(Catalogue!H83*SQRT((1+'Paramètres'!$B$4*(C1593-1)+'Paramètres'!$B$5*(C1593-1)^2)),0)</x:f>
        <x:v>0</x:v>
      </x:c>
      <x:c r="I1593" s="28" t="n">
        <x:v>0</x:v>
      </x:c>
      <x:c r="J1593" s="28" t="n">
        <x:v>0</x:v>
      </x:c>
      <x:c r="K1593" s="30" t="n">
        <x:v>7.8</x:v>
      </x:c>
      <x:c r="L1593" s="54" t="n">
        <x:f>IF(M1593=0,0,(E1593+F1593)/2)</x:f>
        <x:v>0</x:v>
      </x:c>
      <x:c r="M1593" t="n">
        <x:v>0</x:v>
      </x:c>
      <x:c r="N1593" t="n">
        <x:v>0</x:v>
      </x:c>
      <x:c r="O1593" t="n">
        <x:v>0</x:v>
      </x:c>
      <x:c r="P1593" s="63" t="str">
        <x:f>IF(M1593=0,"—",M1593&amp;"d"&amp;N1593&amp;IF(O1593=0,""," + "&amp;O1593))</x:f>
        <x:v>—</x:v>
      </x:c>
      <x:c r="Q1593" t="n">
        <x:f>ROUND(INDEX(Catalogue!E$4:E$85,MATCH(A1593,Catalogue!A$4:A$85,0))*(1+'Paramètres'!$B$4*(C1593-1)+'Paramètres'!$B$5*(C1593-1)^2),0)</x:f>
        <x:v>0</x:v>
      </x:c>
      <x:c r="R1593" t="n">
        <x:f>ROUND(INDEX(Catalogue!F$4:F$85,MATCH(A1593,Catalogue!A$4:A$85,0))*(1+'Paramètres'!$B$4*(C1593-1)+'Paramètres'!$B$5*(C1593-1)^2),0)</x:f>
        <x:v>0</x:v>
      </x:c>
      <x:c r="S1593" t="n">
        <x:f>L1593-AVERAGE(Q1593:R1593)</x:f>
        <x:v>0</x:v>
      </x:c>
      <x:c r="T1593" t="str">
        <x:f>IF(M1593=0,IF(AND(N1593=0,O1593=0,E1593=0,F1593=0),"OK","ERREUR"),IF(AND(M1593&gt;=1,M1593&lt;=32,OR(N1593=4,N1593=6,N1593=8,N1593=10,N1593=12,N1593=20),O1593&gt;=0,E1593=M1593+O1593,F1593=M1593*N1593+O1593),"OK","ERREUR"))</x:f>
        <x:v>OK</x:v>
      </x:c>
      <x:c r="U1593" s="86" t="n">
        <x:f>IF(M1593&gt;0,M1593*(N1593+1)/2+O1593,0)</x:f>
        <x:v>0</x:v>
      </x:c>
      <x:c r="V1593" t="str">
        <x:f>IF(ABS(L1593-U1593)&lt;0.001,"OK","ERREUR")</x:f>
        <x:v>OK</x:v>
      </x:c>
    </x:row>
    <x:row r="1594" ht="18" customHeight="1">
      <x:c r="A1594" t="str">
        <x:v>ARM080</x:v>
      </x:c>
      <x:c r="B1594" t="str">
        <x:v>Bouclier-tour</x:v>
      </x:c>
      <x:c r="C1594" t="n">
        <x:v>11</x:v>
      </x:c>
      <x:c r="D1594" t="str">
        <x:v>Boucliers</x:v>
      </x:c>
      <x:c r="E1594" s="28" t="n">
        <x:f>IF(M1594=0,0,M1594+O1594)</x:f>
        <x:v>0</x:v>
      </x:c>
      <x:c r="F1594" s="28" t="n">
        <x:f>IF(M1594=0,0,M1594*N1594+O1594)</x:f>
        <x:v>0</x:v>
      </x:c>
      <x:c r="G1594" s="28" t="n">
        <x:f>ROUND(Catalogue!G83*SQRT((1+'Paramètres'!$B$4*(C1594-1)+'Paramètres'!$B$5*(C1594-1)^2)),0)</x:f>
        <x:v>21</x:v>
      </x:c>
      <x:c r="H1594" s="28" t="n">
        <x:f>ROUND(Catalogue!H83*SQRT((1+'Paramètres'!$B$4*(C1594-1)+'Paramètres'!$B$5*(C1594-1)^2)),0)</x:f>
        <x:v>0</x:v>
      </x:c>
      <x:c r="I1594" s="28" t="n">
        <x:v>0</x:v>
      </x:c>
      <x:c r="J1594" s="28" t="n">
        <x:v>0</x:v>
      </x:c>
      <x:c r="K1594" s="30" t="n">
        <x:v>7.8</x:v>
      </x:c>
      <x:c r="L1594" s="54" t="n">
        <x:f>IF(M1594=0,0,(E1594+F1594)/2)</x:f>
        <x:v>0</x:v>
      </x:c>
      <x:c r="M1594" t="n">
        <x:v>0</x:v>
      </x:c>
      <x:c r="N1594" t="n">
        <x:v>0</x:v>
      </x:c>
      <x:c r="O1594" t="n">
        <x:v>0</x:v>
      </x:c>
      <x:c r="P1594" s="63" t="str">
        <x:f>IF(M1594=0,"—",M1594&amp;"d"&amp;N1594&amp;IF(O1594=0,""," + "&amp;O1594))</x:f>
        <x:v>—</x:v>
      </x:c>
      <x:c r="Q1594" t="n">
        <x:f>ROUND(INDEX(Catalogue!E$4:E$85,MATCH(A1594,Catalogue!A$4:A$85,0))*(1+'Paramètres'!$B$4*(C1594-1)+'Paramètres'!$B$5*(C1594-1)^2),0)</x:f>
        <x:v>0</x:v>
      </x:c>
      <x:c r="R1594" t="n">
        <x:f>ROUND(INDEX(Catalogue!F$4:F$85,MATCH(A1594,Catalogue!A$4:A$85,0))*(1+'Paramètres'!$B$4*(C1594-1)+'Paramètres'!$B$5*(C1594-1)^2),0)</x:f>
        <x:v>0</x:v>
      </x:c>
      <x:c r="S1594" t="n">
        <x:f>L1594-AVERAGE(Q1594:R1594)</x:f>
        <x:v>0</x:v>
      </x:c>
      <x:c r="T1594" t="str">
        <x:f>IF(M1594=0,IF(AND(N1594=0,O1594=0,E1594=0,F1594=0),"OK","ERREUR"),IF(AND(M1594&gt;=1,M1594&lt;=32,OR(N1594=4,N1594=6,N1594=8,N1594=10,N1594=12,N1594=20),O1594&gt;=0,E1594=M1594+O1594,F1594=M1594*N1594+O1594),"OK","ERREUR"))</x:f>
        <x:v>OK</x:v>
      </x:c>
      <x:c r="U1594" s="86" t="n">
        <x:f>IF(M1594&gt;0,M1594*(N1594+1)/2+O1594,0)</x:f>
        <x:v>0</x:v>
      </x:c>
      <x:c r="V1594" t="str">
        <x:f>IF(ABS(L1594-U1594)&lt;0.001,"OK","ERREUR")</x:f>
        <x:v>OK</x:v>
      </x:c>
    </x:row>
    <x:row r="1595" ht="18" customHeight="1">
      <x:c r="A1595" t="str">
        <x:v>ARM080</x:v>
      </x:c>
      <x:c r="B1595" t="str">
        <x:v>Bouclier-tour</x:v>
      </x:c>
      <x:c r="C1595" t="n">
        <x:v>12</x:v>
      </x:c>
      <x:c r="D1595" t="str">
        <x:v>Boucliers</x:v>
      </x:c>
      <x:c r="E1595" s="28" t="n">
        <x:f>IF(M1595=0,0,M1595+O1595)</x:f>
        <x:v>0</x:v>
      </x:c>
      <x:c r="F1595" s="28" t="n">
        <x:f>IF(M1595=0,0,M1595*N1595+O1595)</x:f>
        <x:v>0</x:v>
      </x:c>
      <x:c r="G1595" s="28" t="n">
        <x:f>ROUND(Catalogue!G83*SQRT((1+'Paramètres'!$B$4*(C1595-1)+'Paramètres'!$B$5*(C1595-1)^2)),0)</x:f>
        <x:v>22</x:v>
      </x:c>
      <x:c r="H1595" s="28" t="n">
        <x:f>ROUND(Catalogue!H83*SQRT((1+'Paramètres'!$B$4*(C1595-1)+'Paramètres'!$B$5*(C1595-1)^2)),0)</x:f>
        <x:v>0</x:v>
      </x:c>
      <x:c r="I1595" s="28" t="n">
        <x:v>0</x:v>
      </x:c>
      <x:c r="J1595" s="28" t="n">
        <x:v>0</x:v>
      </x:c>
      <x:c r="K1595" s="30" t="n">
        <x:v>7.8</x:v>
      </x:c>
      <x:c r="L1595" s="54" t="n">
        <x:f>IF(M1595=0,0,(E1595+F1595)/2)</x:f>
        <x:v>0</x:v>
      </x:c>
      <x:c r="M1595" t="n">
        <x:v>0</x:v>
      </x:c>
      <x:c r="N1595" t="n">
        <x:v>0</x:v>
      </x:c>
      <x:c r="O1595" t="n">
        <x:v>0</x:v>
      </x:c>
      <x:c r="P1595" s="63" t="str">
        <x:f>IF(M1595=0,"—",M1595&amp;"d"&amp;N1595&amp;IF(O1595=0,""," + "&amp;O1595))</x:f>
        <x:v>—</x:v>
      </x:c>
      <x:c r="Q1595" t="n">
        <x:f>ROUND(INDEX(Catalogue!E$4:E$85,MATCH(A1595,Catalogue!A$4:A$85,0))*(1+'Paramètres'!$B$4*(C1595-1)+'Paramètres'!$B$5*(C1595-1)^2),0)</x:f>
        <x:v>0</x:v>
      </x:c>
      <x:c r="R1595" t="n">
        <x:f>ROUND(INDEX(Catalogue!F$4:F$85,MATCH(A1595,Catalogue!A$4:A$85,0))*(1+'Paramètres'!$B$4*(C1595-1)+'Paramètres'!$B$5*(C1595-1)^2),0)</x:f>
        <x:v>0</x:v>
      </x:c>
      <x:c r="S1595" t="n">
        <x:f>L1595-AVERAGE(Q1595:R1595)</x:f>
        <x:v>0</x:v>
      </x:c>
      <x:c r="T1595" t="str">
        <x:f>IF(M1595=0,IF(AND(N1595=0,O1595=0,E1595=0,F1595=0),"OK","ERREUR"),IF(AND(M1595&gt;=1,M1595&lt;=32,OR(N1595=4,N1595=6,N1595=8,N1595=10,N1595=12,N1595=20),O1595&gt;=0,E1595=M1595+O1595,F1595=M1595*N1595+O1595),"OK","ERREUR"))</x:f>
        <x:v>OK</x:v>
      </x:c>
      <x:c r="U1595" s="86" t="n">
        <x:f>IF(M1595&gt;0,M1595*(N1595+1)/2+O1595,0)</x:f>
        <x:v>0</x:v>
      </x:c>
      <x:c r="V1595" t="str">
        <x:f>IF(ABS(L1595-U1595)&lt;0.001,"OK","ERREUR")</x:f>
        <x:v>OK</x:v>
      </x:c>
    </x:row>
    <x:row r="1596" ht="18" customHeight="1">
      <x:c r="A1596" t="str">
        <x:v>ARM080</x:v>
      </x:c>
      <x:c r="B1596" t="str">
        <x:v>Bouclier-tour</x:v>
      </x:c>
      <x:c r="C1596" t="n">
        <x:v>13</x:v>
      </x:c>
      <x:c r="D1596" t="str">
        <x:v>Boucliers</x:v>
      </x:c>
      <x:c r="E1596" s="28" t="n">
        <x:f>IF(M1596=0,0,M1596+O1596)</x:f>
        <x:v>0</x:v>
      </x:c>
      <x:c r="F1596" s="28" t="n">
        <x:f>IF(M1596=0,0,M1596*N1596+O1596)</x:f>
        <x:v>0</x:v>
      </x:c>
      <x:c r="G1596" s="28" t="n">
        <x:f>ROUND(Catalogue!G83*SQRT((1+'Paramètres'!$B$4*(C1596-1)+'Paramètres'!$B$5*(C1596-1)^2)),0)</x:f>
        <x:v>24</x:v>
      </x:c>
      <x:c r="H1596" s="28" t="n">
        <x:f>ROUND(Catalogue!H83*SQRT((1+'Paramètres'!$B$4*(C1596-1)+'Paramètres'!$B$5*(C1596-1)^2)),0)</x:f>
        <x:v>0</x:v>
      </x:c>
      <x:c r="I1596" s="28" t="n">
        <x:v>0</x:v>
      </x:c>
      <x:c r="J1596" s="28" t="n">
        <x:v>0</x:v>
      </x:c>
      <x:c r="K1596" s="30" t="n">
        <x:v>7.8</x:v>
      </x:c>
      <x:c r="L1596" s="54" t="n">
        <x:f>IF(M1596=0,0,(E1596+F1596)/2)</x:f>
        <x:v>0</x:v>
      </x:c>
      <x:c r="M1596" t="n">
        <x:v>0</x:v>
      </x:c>
      <x:c r="N1596" t="n">
        <x:v>0</x:v>
      </x:c>
      <x:c r="O1596" t="n">
        <x:v>0</x:v>
      </x:c>
      <x:c r="P1596" s="63" t="str">
        <x:f>IF(M1596=0,"—",M1596&amp;"d"&amp;N1596&amp;IF(O1596=0,""," + "&amp;O1596))</x:f>
        <x:v>—</x:v>
      </x:c>
      <x:c r="Q1596" t="n">
        <x:f>ROUND(INDEX(Catalogue!E$4:E$85,MATCH(A1596,Catalogue!A$4:A$85,0))*(1+'Paramètres'!$B$4*(C1596-1)+'Paramètres'!$B$5*(C1596-1)^2),0)</x:f>
        <x:v>0</x:v>
      </x:c>
      <x:c r="R1596" t="n">
        <x:f>ROUND(INDEX(Catalogue!F$4:F$85,MATCH(A1596,Catalogue!A$4:A$85,0))*(1+'Paramètres'!$B$4*(C1596-1)+'Paramètres'!$B$5*(C1596-1)^2),0)</x:f>
        <x:v>0</x:v>
      </x:c>
      <x:c r="S1596" t="n">
        <x:f>L1596-AVERAGE(Q1596:R1596)</x:f>
        <x:v>0</x:v>
      </x:c>
      <x:c r="T1596" t="str">
        <x:f>IF(M1596=0,IF(AND(N1596=0,O1596=0,E1596=0,F1596=0),"OK","ERREUR"),IF(AND(M1596&gt;=1,M1596&lt;=32,OR(N1596=4,N1596=6,N1596=8,N1596=10,N1596=12,N1596=20),O1596&gt;=0,E1596=M1596+O1596,F1596=M1596*N1596+O1596),"OK","ERREUR"))</x:f>
        <x:v>OK</x:v>
      </x:c>
      <x:c r="U1596" s="86" t="n">
        <x:f>IF(M1596&gt;0,M1596*(N1596+1)/2+O1596,0)</x:f>
        <x:v>0</x:v>
      </x:c>
      <x:c r="V1596" t="str">
        <x:f>IF(ABS(L1596-U1596)&lt;0.001,"OK","ERREUR")</x:f>
        <x:v>OK</x:v>
      </x:c>
    </x:row>
    <x:row r="1597" ht="18" customHeight="1">
      <x:c r="A1597" t="str">
        <x:v>ARM080</x:v>
      </x:c>
      <x:c r="B1597" t="str">
        <x:v>Bouclier-tour</x:v>
      </x:c>
      <x:c r="C1597" t="n">
        <x:v>14</x:v>
      </x:c>
      <x:c r="D1597" t="str">
        <x:v>Boucliers</x:v>
      </x:c>
      <x:c r="E1597" s="28" t="n">
        <x:f>IF(M1597=0,0,M1597+O1597)</x:f>
        <x:v>0</x:v>
      </x:c>
      <x:c r="F1597" s="28" t="n">
        <x:f>IF(M1597=0,0,M1597*N1597+O1597)</x:f>
        <x:v>0</x:v>
      </x:c>
      <x:c r="G1597" s="28" t="n">
        <x:f>ROUND(Catalogue!G83*SQRT((1+'Paramètres'!$B$4*(C1597-1)+'Paramètres'!$B$5*(C1597-1)^2)),0)</x:f>
        <x:v>25</x:v>
      </x:c>
      <x:c r="H1597" s="28" t="n">
        <x:f>ROUND(Catalogue!H83*SQRT((1+'Paramètres'!$B$4*(C1597-1)+'Paramètres'!$B$5*(C1597-1)^2)),0)</x:f>
        <x:v>0</x:v>
      </x:c>
      <x:c r="I1597" s="28" t="n">
        <x:v>0</x:v>
      </x:c>
      <x:c r="J1597" s="28" t="n">
        <x:v>0</x:v>
      </x:c>
      <x:c r="K1597" s="30" t="n">
        <x:v>7.8</x:v>
      </x:c>
      <x:c r="L1597" s="54" t="n">
        <x:f>IF(M1597=0,0,(E1597+F1597)/2)</x:f>
        <x:v>0</x:v>
      </x:c>
      <x:c r="M1597" t="n">
        <x:v>0</x:v>
      </x:c>
      <x:c r="N1597" t="n">
        <x:v>0</x:v>
      </x:c>
      <x:c r="O1597" t="n">
        <x:v>0</x:v>
      </x:c>
      <x:c r="P1597" s="63" t="str">
        <x:f>IF(M1597=0,"—",M1597&amp;"d"&amp;N1597&amp;IF(O1597=0,""," + "&amp;O1597))</x:f>
        <x:v>—</x:v>
      </x:c>
      <x:c r="Q1597" t="n">
        <x:f>ROUND(INDEX(Catalogue!E$4:E$85,MATCH(A1597,Catalogue!A$4:A$85,0))*(1+'Paramètres'!$B$4*(C1597-1)+'Paramètres'!$B$5*(C1597-1)^2),0)</x:f>
        <x:v>0</x:v>
      </x:c>
      <x:c r="R1597" t="n">
        <x:f>ROUND(INDEX(Catalogue!F$4:F$85,MATCH(A1597,Catalogue!A$4:A$85,0))*(1+'Paramètres'!$B$4*(C1597-1)+'Paramètres'!$B$5*(C1597-1)^2),0)</x:f>
        <x:v>0</x:v>
      </x:c>
      <x:c r="S1597" t="n">
        <x:f>L1597-AVERAGE(Q1597:R1597)</x:f>
        <x:v>0</x:v>
      </x:c>
      <x:c r="T1597" t="str">
        <x:f>IF(M1597=0,IF(AND(N1597=0,O1597=0,E1597=0,F1597=0),"OK","ERREUR"),IF(AND(M1597&gt;=1,M1597&lt;=32,OR(N1597=4,N1597=6,N1597=8,N1597=10,N1597=12,N1597=20),O1597&gt;=0,E1597=M1597+O1597,F1597=M1597*N1597+O1597),"OK","ERREUR"))</x:f>
        <x:v>OK</x:v>
      </x:c>
      <x:c r="U1597" s="86" t="n">
        <x:f>IF(M1597&gt;0,M1597*(N1597+1)/2+O1597,0)</x:f>
        <x:v>0</x:v>
      </x:c>
      <x:c r="V1597" t="str">
        <x:f>IF(ABS(L1597-U1597)&lt;0.001,"OK","ERREUR")</x:f>
        <x:v>OK</x:v>
      </x:c>
    </x:row>
    <x:row r="1598" ht="18" customHeight="1">
      <x:c r="A1598" t="str">
        <x:v>ARM080</x:v>
      </x:c>
      <x:c r="B1598" t="str">
        <x:v>Bouclier-tour</x:v>
      </x:c>
      <x:c r="C1598" t="n">
        <x:v>15</x:v>
      </x:c>
      <x:c r="D1598" t="str">
        <x:v>Boucliers</x:v>
      </x:c>
      <x:c r="E1598" s="28" t="n">
        <x:f>IF(M1598=0,0,M1598+O1598)</x:f>
        <x:v>0</x:v>
      </x:c>
      <x:c r="F1598" s="28" t="n">
        <x:f>IF(M1598=0,0,M1598*N1598+O1598)</x:f>
        <x:v>0</x:v>
      </x:c>
      <x:c r="G1598" s="28" t="n">
        <x:f>ROUND(Catalogue!G83*SQRT((1+'Paramètres'!$B$4*(C1598-1)+'Paramètres'!$B$5*(C1598-1)^2)),0)</x:f>
        <x:v>26</x:v>
      </x:c>
      <x:c r="H1598" s="28" t="n">
        <x:f>ROUND(Catalogue!H83*SQRT((1+'Paramètres'!$B$4*(C1598-1)+'Paramètres'!$B$5*(C1598-1)^2)),0)</x:f>
        <x:v>0</x:v>
      </x:c>
      <x:c r="I1598" s="28" t="n">
        <x:v>0</x:v>
      </x:c>
      <x:c r="J1598" s="28" t="n">
        <x:v>0</x:v>
      </x:c>
      <x:c r="K1598" s="30" t="n">
        <x:v>7.8</x:v>
      </x:c>
      <x:c r="L1598" s="54" t="n">
        <x:f>IF(M1598=0,0,(E1598+F1598)/2)</x:f>
        <x:v>0</x:v>
      </x:c>
      <x:c r="M1598" t="n">
        <x:v>0</x:v>
      </x:c>
      <x:c r="N1598" t="n">
        <x:v>0</x:v>
      </x:c>
      <x:c r="O1598" t="n">
        <x:v>0</x:v>
      </x:c>
      <x:c r="P1598" s="63" t="str">
        <x:f>IF(M1598=0,"—",M1598&amp;"d"&amp;N1598&amp;IF(O1598=0,""," + "&amp;O1598))</x:f>
        <x:v>—</x:v>
      </x:c>
      <x:c r="Q1598" t="n">
        <x:f>ROUND(INDEX(Catalogue!E$4:E$85,MATCH(A1598,Catalogue!A$4:A$85,0))*(1+'Paramètres'!$B$4*(C1598-1)+'Paramètres'!$B$5*(C1598-1)^2),0)</x:f>
        <x:v>0</x:v>
      </x:c>
      <x:c r="R1598" t="n">
        <x:f>ROUND(INDEX(Catalogue!F$4:F$85,MATCH(A1598,Catalogue!A$4:A$85,0))*(1+'Paramètres'!$B$4*(C1598-1)+'Paramètres'!$B$5*(C1598-1)^2),0)</x:f>
        <x:v>0</x:v>
      </x:c>
      <x:c r="S1598" t="n">
        <x:f>L1598-AVERAGE(Q1598:R1598)</x:f>
        <x:v>0</x:v>
      </x:c>
      <x:c r="T1598" t="str">
        <x:f>IF(M1598=0,IF(AND(N1598=0,O1598=0,E1598=0,F1598=0),"OK","ERREUR"),IF(AND(M1598&gt;=1,M1598&lt;=32,OR(N1598=4,N1598=6,N1598=8,N1598=10,N1598=12,N1598=20),O1598&gt;=0,E1598=M1598+O1598,F1598=M1598*N1598+O1598),"OK","ERREUR"))</x:f>
        <x:v>OK</x:v>
      </x:c>
      <x:c r="U1598" s="86" t="n">
        <x:f>IF(M1598&gt;0,M1598*(N1598+1)/2+O1598,0)</x:f>
        <x:v>0</x:v>
      </x:c>
      <x:c r="V1598" t="str">
        <x:f>IF(ABS(L1598-U1598)&lt;0.001,"OK","ERREUR")</x:f>
        <x:v>OK</x:v>
      </x:c>
    </x:row>
    <x:row r="1599" ht="18" customHeight="1">
      <x:c r="A1599" t="str">
        <x:v>ARM080</x:v>
      </x:c>
      <x:c r="B1599" t="str">
        <x:v>Bouclier-tour</x:v>
      </x:c>
      <x:c r="C1599" t="n">
        <x:v>16</x:v>
      </x:c>
      <x:c r="D1599" t="str">
        <x:v>Boucliers</x:v>
      </x:c>
      <x:c r="E1599" s="28" t="n">
        <x:f>IF(M1599=0,0,M1599+O1599)</x:f>
        <x:v>0</x:v>
      </x:c>
      <x:c r="F1599" s="28" t="n">
        <x:f>IF(M1599=0,0,M1599*N1599+O1599)</x:f>
        <x:v>0</x:v>
      </x:c>
      <x:c r="G1599" s="28" t="n">
        <x:f>ROUND(Catalogue!G83*SQRT((1+'Paramètres'!$B$4*(C1599-1)+'Paramètres'!$B$5*(C1599-1)^2)),0)</x:f>
        <x:v>28</x:v>
      </x:c>
      <x:c r="H1599" s="28" t="n">
        <x:f>ROUND(Catalogue!H83*SQRT((1+'Paramètres'!$B$4*(C1599-1)+'Paramètres'!$B$5*(C1599-1)^2)),0)</x:f>
        <x:v>0</x:v>
      </x:c>
      <x:c r="I1599" s="28" t="n">
        <x:v>0</x:v>
      </x:c>
      <x:c r="J1599" s="28" t="n">
        <x:v>0</x:v>
      </x:c>
      <x:c r="K1599" s="30" t="n">
        <x:v>7.8</x:v>
      </x:c>
      <x:c r="L1599" s="54" t="n">
        <x:f>IF(M1599=0,0,(E1599+F1599)/2)</x:f>
        <x:v>0</x:v>
      </x:c>
      <x:c r="M1599" t="n">
        <x:v>0</x:v>
      </x:c>
      <x:c r="N1599" t="n">
        <x:v>0</x:v>
      </x:c>
      <x:c r="O1599" t="n">
        <x:v>0</x:v>
      </x:c>
      <x:c r="P1599" s="63" t="str">
        <x:f>IF(M1599=0,"—",M1599&amp;"d"&amp;N1599&amp;IF(O1599=0,""," + "&amp;O1599))</x:f>
        <x:v>—</x:v>
      </x:c>
      <x:c r="Q1599" t="n">
        <x:f>ROUND(INDEX(Catalogue!E$4:E$85,MATCH(A1599,Catalogue!A$4:A$85,0))*(1+'Paramètres'!$B$4*(C1599-1)+'Paramètres'!$B$5*(C1599-1)^2),0)</x:f>
        <x:v>0</x:v>
      </x:c>
      <x:c r="R1599" t="n">
        <x:f>ROUND(INDEX(Catalogue!F$4:F$85,MATCH(A1599,Catalogue!A$4:A$85,0))*(1+'Paramètres'!$B$4*(C1599-1)+'Paramètres'!$B$5*(C1599-1)^2),0)</x:f>
        <x:v>0</x:v>
      </x:c>
      <x:c r="S1599" t="n">
        <x:f>L1599-AVERAGE(Q1599:R1599)</x:f>
        <x:v>0</x:v>
      </x:c>
      <x:c r="T1599" t="str">
        <x:f>IF(M1599=0,IF(AND(N1599=0,O1599=0,E1599=0,F1599=0),"OK","ERREUR"),IF(AND(M1599&gt;=1,M1599&lt;=32,OR(N1599=4,N1599=6,N1599=8,N1599=10,N1599=12,N1599=20),O1599&gt;=0,E1599=M1599+O1599,F1599=M1599*N1599+O1599),"OK","ERREUR"))</x:f>
        <x:v>OK</x:v>
      </x:c>
      <x:c r="U1599" s="86" t="n">
        <x:f>IF(M1599&gt;0,M1599*(N1599+1)/2+O1599,0)</x:f>
        <x:v>0</x:v>
      </x:c>
      <x:c r="V1599" t="str">
        <x:f>IF(ABS(L1599-U1599)&lt;0.001,"OK","ERREUR")</x:f>
        <x:v>OK</x:v>
      </x:c>
    </x:row>
    <x:row r="1600" ht="18" customHeight="1">
      <x:c r="A1600" t="str">
        <x:v>ARM080</x:v>
      </x:c>
      <x:c r="B1600" t="str">
        <x:v>Bouclier-tour</x:v>
      </x:c>
      <x:c r="C1600" t="n">
        <x:v>17</x:v>
      </x:c>
      <x:c r="D1600" t="str">
        <x:v>Boucliers</x:v>
      </x:c>
      <x:c r="E1600" s="28" t="n">
        <x:f>IF(M1600=0,0,M1600+O1600)</x:f>
        <x:v>0</x:v>
      </x:c>
      <x:c r="F1600" s="28" t="n">
        <x:f>IF(M1600=0,0,M1600*N1600+O1600)</x:f>
        <x:v>0</x:v>
      </x:c>
      <x:c r="G1600" s="28" t="n">
        <x:f>ROUND(Catalogue!G83*SQRT((1+'Paramètres'!$B$4*(C1600-1)+'Paramètres'!$B$5*(C1600-1)^2)),0)</x:f>
        <x:v>29</x:v>
      </x:c>
      <x:c r="H1600" s="28" t="n">
        <x:f>ROUND(Catalogue!H83*SQRT((1+'Paramètres'!$B$4*(C1600-1)+'Paramètres'!$B$5*(C1600-1)^2)),0)</x:f>
        <x:v>0</x:v>
      </x:c>
      <x:c r="I1600" s="28" t="n">
        <x:v>0</x:v>
      </x:c>
      <x:c r="J1600" s="28" t="n">
        <x:v>0</x:v>
      </x:c>
      <x:c r="K1600" s="30" t="n">
        <x:v>7.8</x:v>
      </x:c>
      <x:c r="L1600" s="54" t="n">
        <x:f>IF(M1600=0,0,(E1600+F1600)/2)</x:f>
        <x:v>0</x:v>
      </x:c>
      <x:c r="M1600" t="n">
        <x:v>0</x:v>
      </x:c>
      <x:c r="N1600" t="n">
        <x:v>0</x:v>
      </x:c>
      <x:c r="O1600" t="n">
        <x:v>0</x:v>
      </x:c>
      <x:c r="P1600" s="63" t="str">
        <x:f>IF(M1600=0,"—",M1600&amp;"d"&amp;N1600&amp;IF(O1600=0,""," + "&amp;O1600))</x:f>
        <x:v>—</x:v>
      </x:c>
      <x:c r="Q1600" t="n">
        <x:f>ROUND(INDEX(Catalogue!E$4:E$85,MATCH(A1600,Catalogue!A$4:A$85,0))*(1+'Paramètres'!$B$4*(C1600-1)+'Paramètres'!$B$5*(C1600-1)^2),0)</x:f>
        <x:v>0</x:v>
      </x:c>
      <x:c r="R1600" t="n">
        <x:f>ROUND(INDEX(Catalogue!F$4:F$85,MATCH(A1600,Catalogue!A$4:A$85,0))*(1+'Paramètres'!$B$4*(C1600-1)+'Paramètres'!$B$5*(C1600-1)^2),0)</x:f>
        <x:v>0</x:v>
      </x:c>
      <x:c r="S1600" t="n">
        <x:f>L1600-AVERAGE(Q1600:R1600)</x:f>
        <x:v>0</x:v>
      </x:c>
      <x:c r="T1600" t="str">
        <x:f>IF(M1600=0,IF(AND(N1600=0,O1600=0,E1600=0,F1600=0),"OK","ERREUR"),IF(AND(M1600&gt;=1,M1600&lt;=32,OR(N1600=4,N1600=6,N1600=8,N1600=10,N1600=12,N1600=20),O1600&gt;=0,E1600=M1600+O1600,F1600=M1600*N1600+O1600),"OK","ERREUR"))</x:f>
        <x:v>OK</x:v>
      </x:c>
      <x:c r="U1600" s="86" t="n">
        <x:f>IF(M1600&gt;0,M1600*(N1600+1)/2+O1600,0)</x:f>
        <x:v>0</x:v>
      </x:c>
      <x:c r="V1600" t="str">
        <x:f>IF(ABS(L1600-U1600)&lt;0.001,"OK","ERREUR")</x:f>
        <x:v>OK</x:v>
      </x:c>
    </x:row>
    <x:row r="1601" ht="18" customHeight="1">
      <x:c r="A1601" t="str">
        <x:v>ARM080</x:v>
      </x:c>
      <x:c r="B1601" t="str">
        <x:v>Bouclier-tour</x:v>
      </x:c>
      <x:c r="C1601" t="n">
        <x:v>18</x:v>
      </x:c>
      <x:c r="D1601" t="str">
        <x:v>Boucliers</x:v>
      </x:c>
      <x:c r="E1601" s="28" t="n">
        <x:f>IF(M1601=0,0,M1601+O1601)</x:f>
        <x:v>0</x:v>
      </x:c>
      <x:c r="F1601" s="28" t="n">
        <x:f>IF(M1601=0,0,M1601*N1601+O1601)</x:f>
        <x:v>0</x:v>
      </x:c>
      <x:c r="G1601" s="28" t="n">
        <x:f>ROUND(Catalogue!G83*SQRT((1+'Paramètres'!$B$4*(C1601-1)+'Paramètres'!$B$5*(C1601-1)^2)),0)</x:f>
        <x:v>30</x:v>
      </x:c>
      <x:c r="H1601" s="28" t="n">
        <x:f>ROUND(Catalogue!H83*SQRT((1+'Paramètres'!$B$4*(C1601-1)+'Paramètres'!$B$5*(C1601-1)^2)),0)</x:f>
        <x:v>0</x:v>
      </x:c>
      <x:c r="I1601" s="28" t="n">
        <x:v>0</x:v>
      </x:c>
      <x:c r="J1601" s="28" t="n">
        <x:v>0</x:v>
      </x:c>
      <x:c r="K1601" s="30" t="n">
        <x:v>7.8</x:v>
      </x:c>
      <x:c r="L1601" s="54" t="n">
        <x:f>IF(M1601=0,0,(E1601+F1601)/2)</x:f>
        <x:v>0</x:v>
      </x:c>
      <x:c r="M1601" t="n">
        <x:v>0</x:v>
      </x:c>
      <x:c r="N1601" t="n">
        <x:v>0</x:v>
      </x:c>
      <x:c r="O1601" t="n">
        <x:v>0</x:v>
      </x:c>
      <x:c r="P1601" s="63" t="str">
        <x:f>IF(M1601=0,"—",M1601&amp;"d"&amp;N1601&amp;IF(O1601=0,""," + "&amp;O1601))</x:f>
        <x:v>—</x:v>
      </x:c>
      <x:c r="Q1601" t="n">
        <x:f>ROUND(INDEX(Catalogue!E$4:E$85,MATCH(A1601,Catalogue!A$4:A$85,0))*(1+'Paramètres'!$B$4*(C1601-1)+'Paramètres'!$B$5*(C1601-1)^2),0)</x:f>
        <x:v>0</x:v>
      </x:c>
      <x:c r="R1601" t="n">
        <x:f>ROUND(INDEX(Catalogue!F$4:F$85,MATCH(A1601,Catalogue!A$4:A$85,0))*(1+'Paramètres'!$B$4*(C1601-1)+'Paramètres'!$B$5*(C1601-1)^2),0)</x:f>
        <x:v>0</x:v>
      </x:c>
      <x:c r="S1601" t="n">
        <x:f>L1601-AVERAGE(Q1601:R1601)</x:f>
        <x:v>0</x:v>
      </x:c>
      <x:c r="T1601" t="str">
        <x:f>IF(M1601=0,IF(AND(N1601=0,O1601=0,E1601=0,F1601=0),"OK","ERREUR"),IF(AND(M1601&gt;=1,M1601&lt;=32,OR(N1601=4,N1601=6,N1601=8,N1601=10,N1601=12,N1601=20),O1601&gt;=0,E1601=M1601+O1601,F1601=M1601*N1601+O1601),"OK","ERREUR"))</x:f>
        <x:v>OK</x:v>
      </x:c>
      <x:c r="U1601" s="86" t="n">
        <x:f>IF(M1601&gt;0,M1601*(N1601+1)/2+O1601,0)</x:f>
        <x:v>0</x:v>
      </x:c>
      <x:c r="V1601" t="str">
        <x:f>IF(ABS(L1601-U1601)&lt;0.001,"OK","ERREUR")</x:f>
        <x:v>OK</x:v>
      </x:c>
    </x:row>
    <x:row r="1602" ht="18" customHeight="1">
      <x:c r="A1602" t="str">
        <x:v>ARM080</x:v>
      </x:c>
      <x:c r="B1602" t="str">
        <x:v>Bouclier-tour</x:v>
      </x:c>
      <x:c r="C1602" t="n">
        <x:v>19</x:v>
      </x:c>
      <x:c r="D1602" t="str">
        <x:v>Boucliers</x:v>
      </x:c>
      <x:c r="E1602" s="28" t="n">
        <x:f>IF(M1602=0,0,M1602+O1602)</x:f>
        <x:v>0</x:v>
      </x:c>
      <x:c r="F1602" s="28" t="n">
        <x:f>IF(M1602=0,0,M1602*N1602+O1602)</x:f>
        <x:v>0</x:v>
      </x:c>
      <x:c r="G1602" s="28" t="n">
        <x:f>ROUND(Catalogue!G83*SQRT((1+'Paramètres'!$B$4*(C1602-1)+'Paramètres'!$B$5*(C1602-1)^2)),0)</x:f>
        <x:v>31</x:v>
      </x:c>
      <x:c r="H1602" s="28" t="n">
        <x:f>ROUND(Catalogue!H83*SQRT((1+'Paramètres'!$B$4*(C1602-1)+'Paramètres'!$B$5*(C1602-1)^2)),0)</x:f>
        <x:v>0</x:v>
      </x:c>
      <x:c r="I1602" s="28" t="n">
        <x:v>0</x:v>
      </x:c>
      <x:c r="J1602" s="28" t="n">
        <x:v>0</x:v>
      </x:c>
      <x:c r="K1602" s="30" t="n">
        <x:v>7.8</x:v>
      </x:c>
      <x:c r="L1602" s="54" t="n">
        <x:f>IF(M1602=0,0,(E1602+F1602)/2)</x:f>
        <x:v>0</x:v>
      </x:c>
      <x:c r="M1602" t="n">
        <x:v>0</x:v>
      </x:c>
      <x:c r="N1602" t="n">
        <x:v>0</x:v>
      </x:c>
      <x:c r="O1602" t="n">
        <x:v>0</x:v>
      </x:c>
      <x:c r="P1602" s="63" t="str">
        <x:f>IF(M1602=0,"—",M1602&amp;"d"&amp;N1602&amp;IF(O1602=0,""," + "&amp;O1602))</x:f>
        <x:v>—</x:v>
      </x:c>
      <x:c r="Q1602" t="n">
        <x:f>ROUND(INDEX(Catalogue!E$4:E$85,MATCH(A1602,Catalogue!A$4:A$85,0))*(1+'Paramètres'!$B$4*(C1602-1)+'Paramètres'!$B$5*(C1602-1)^2),0)</x:f>
        <x:v>0</x:v>
      </x:c>
      <x:c r="R1602" t="n">
        <x:f>ROUND(INDEX(Catalogue!F$4:F$85,MATCH(A1602,Catalogue!A$4:A$85,0))*(1+'Paramètres'!$B$4*(C1602-1)+'Paramètres'!$B$5*(C1602-1)^2),0)</x:f>
        <x:v>0</x:v>
      </x:c>
      <x:c r="S1602" t="n">
        <x:f>L1602-AVERAGE(Q1602:R1602)</x:f>
        <x:v>0</x:v>
      </x:c>
      <x:c r="T1602" t="str">
        <x:f>IF(M1602=0,IF(AND(N1602=0,O1602=0,E1602=0,F1602=0),"OK","ERREUR"),IF(AND(M1602&gt;=1,M1602&lt;=32,OR(N1602=4,N1602=6,N1602=8,N1602=10,N1602=12,N1602=20),O1602&gt;=0,E1602=M1602+O1602,F1602=M1602*N1602+O1602),"OK","ERREUR"))</x:f>
        <x:v>OK</x:v>
      </x:c>
      <x:c r="U1602" s="86" t="n">
        <x:f>IF(M1602&gt;0,M1602*(N1602+1)/2+O1602,0)</x:f>
        <x:v>0</x:v>
      </x:c>
      <x:c r="V1602" t="str">
        <x:f>IF(ABS(L1602-U1602)&lt;0.001,"OK","ERREUR")</x:f>
        <x:v>OK</x:v>
      </x:c>
    </x:row>
    <x:row r="1603" ht="18" customHeight="1">
      <x:c r="A1603" t="str">
        <x:v>ARM080</x:v>
      </x:c>
      <x:c r="B1603" t="str">
        <x:v>Bouclier-tour</x:v>
      </x:c>
      <x:c r="C1603" t="n">
        <x:v>20</x:v>
      </x:c>
      <x:c r="D1603" t="str">
        <x:v>Boucliers</x:v>
      </x:c>
      <x:c r="E1603" s="28" t="n">
        <x:f>IF(M1603=0,0,M1603+O1603)</x:f>
        <x:v>0</x:v>
      </x:c>
      <x:c r="F1603" s="28" t="n">
        <x:f>IF(M1603=0,0,M1603*N1603+O1603)</x:f>
        <x:v>0</x:v>
      </x:c>
      <x:c r="G1603" s="28" t="n">
        <x:f>ROUND(Catalogue!G83*SQRT((1+'Paramètres'!$B$4*(C1603-1)+'Paramètres'!$B$5*(C1603-1)^2)),0)</x:f>
        <x:v>33</x:v>
      </x:c>
      <x:c r="H1603" s="28" t="n">
        <x:f>ROUND(Catalogue!H83*SQRT((1+'Paramètres'!$B$4*(C1603-1)+'Paramètres'!$B$5*(C1603-1)^2)),0)</x:f>
        <x:v>0</x:v>
      </x:c>
      <x:c r="I1603" s="28" t="n">
        <x:v>0</x:v>
      </x:c>
      <x:c r="J1603" s="28" t="n">
        <x:v>0</x:v>
      </x:c>
      <x:c r="K1603" s="30" t="n">
        <x:v>7.8</x:v>
      </x:c>
      <x:c r="L1603" s="54" t="n">
        <x:f>IF(M1603=0,0,(E1603+F1603)/2)</x:f>
        <x:v>0</x:v>
      </x:c>
      <x:c r="M1603" t="n">
        <x:v>0</x:v>
      </x:c>
      <x:c r="N1603" t="n">
        <x:v>0</x:v>
      </x:c>
      <x:c r="O1603" t="n">
        <x:v>0</x:v>
      </x:c>
      <x:c r="P1603" s="63" t="str">
        <x:f>IF(M1603=0,"—",M1603&amp;"d"&amp;N1603&amp;IF(O1603=0,""," + "&amp;O1603))</x:f>
        <x:v>—</x:v>
      </x:c>
      <x:c r="Q1603" t="n">
        <x:f>ROUND(INDEX(Catalogue!E$4:E$85,MATCH(A1603,Catalogue!A$4:A$85,0))*(1+'Paramètres'!$B$4*(C1603-1)+'Paramètres'!$B$5*(C1603-1)^2),0)</x:f>
        <x:v>0</x:v>
      </x:c>
      <x:c r="R1603" t="n">
        <x:f>ROUND(INDEX(Catalogue!F$4:F$85,MATCH(A1603,Catalogue!A$4:A$85,0))*(1+'Paramètres'!$B$4*(C1603-1)+'Paramètres'!$B$5*(C1603-1)^2),0)</x:f>
        <x:v>0</x:v>
      </x:c>
      <x:c r="S1603" t="n">
        <x:f>L1603-AVERAGE(Q1603:R1603)</x:f>
        <x:v>0</x:v>
      </x:c>
      <x:c r="T1603" t="str">
        <x:f>IF(M1603=0,IF(AND(N1603=0,O1603=0,E1603=0,F1603=0),"OK","ERREUR"),IF(AND(M1603&gt;=1,M1603&lt;=32,OR(N1603=4,N1603=6,N1603=8,N1603=10,N1603=12,N1603=20),O1603&gt;=0,E1603=M1603+O1603,F1603=M1603*N1603+O1603),"OK","ERREUR"))</x:f>
        <x:v>OK</x:v>
      </x:c>
      <x:c r="U1603" s="86" t="n">
        <x:f>IF(M1603&gt;0,M1603*(N1603+1)/2+O1603,0)</x:f>
        <x:v>0</x:v>
      </x:c>
      <x:c r="V1603" t="str">
        <x:f>IF(ABS(L1603-U1603)&lt;0.001,"OK","ERREUR")</x:f>
        <x:v>OK</x:v>
      </x:c>
    </x:row>
    <x:row r="1604" ht="18" customHeight="1">
      <x:c r="A1604" t="str">
        <x:v>ARM081</x:v>
      </x:c>
      <x:c r="B1604" t="str">
        <x:v>Égide sacrée</x:v>
      </x:c>
      <x:c r="C1604" t="n">
        <x:v>1</x:v>
      </x:c>
      <x:c r="D1604" t="str">
        <x:v>Boucliers</x:v>
      </x:c>
      <x:c r="E1604" s="28" t="n">
        <x:f>IF(M1604=0,0,M1604+O1604)</x:f>
        <x:v>0</x:v>
      </x:c>
      <x:c r="F1604" s="28" t="n">
        <x:f>IF(M1604=0,0,M1604*N1604+O1604)</x:f>
        <x:v>0</x:v>
      </x:c>
      <x:c r="G1604" s="28" t="n">
        <x:f>ROUND(Catalogue!G84*SQRT((1+'Paramètres'!$B$4*(C1604-1)+'Paramètres'!$B$5*(C1604-1)^2)),0)</x:f>
        <x:v>5</x:v>
      </x:c>
      <x:c r="H1604" s="28" t="n">
        <x:f>ROUND(Catalogue!H84*SQRT((1+'Paramètres'!$B$4*(C1604-1)+'Paramètres'!$B$5*(C1604-1)^2)),0)</x:f>
        <x:v>3</x:v>
      </x:c>
      <x:c r="I1604" s="28" t="n">
        <x:v>0</x:v>
      </x:c>
      <x:c r="J1604" s="28" t="n">
        <x:v>0</x:v>
      </x:c>
      <x:c r="K1604" s="30" t="n">
        <x:v>3.7</x:v>
      </x:c>
      <x:c r="L1604" s="54" t="n">
        <x:f>IF(M1604=0,0,(E1604+F1604)/2)</x:f>
        <x:v>0</x:v>
      </x:c>
      <x:c r="M1604" t="n">
        <x:v>0</x:v>
      </x:c>
      <x:c r="N1604" t="n">
        <x:v>0</x:v>
      </x:c>
      <x:c r="O1604" t="n">
        <x:v>0</x:v>
      </x:c>
      <x:c r="P1604" s="63" t="str">
        <x:f>IF(M1604=0,"—",M1604&amp;"d"&amp;N1604&amp;IF(O1604=0,""," + "&amp;O1604))</x:f>
        <x:v>—</x:v>
      </x:c>
      <x:c r="Q1604" t="n">
        <x:f>ROUND(INDEX(Catalogue!E$4:E$85,MATCH(A1604,Catalogue!A$4:A$85,0))*(1+'Paramètres'!$B$4*(C1604-1)+'Paramètres'!$B$5*(C1604-1)^2),0)</x:f>
        <x:v>0</x:v>
      </x:c>
      <x:c r="R1604" t="n">
        <x:f>ROUND(INDEX(Catalogue!F$4:F$85,MATCH(A1604,Catalogue!A$4:A$85,0))*(1+'Paramètres'!$B$4*(C1604-1)+'Paramètres'!$B$5*(C1604-1)^2),0)</x:f>
        <x:v>0</x:v>
      </x:c>
      <x:c r="S1604" t="n">
        <x:f>L1604-AVERAGE(Q1604:R1604)</x:f>
        <x:v>0</x:v>
      </x:c>
      <x:c r="T1604" t="str">
        <x:f>IF(M1604=0,IF(AND(N1604=0,O1604=0,E1604=0,F1604=0),"OK","ERREUR"),IF(AND(M1604&gt;=1,M1604&lt;=32,OR(N1604=4,N1604=6,N1604=8,N1604=10,N1604=12,N1604=20),O1604&gt;=0,E1604=M1604+O1604,F1604=M1604*N1604+O1604),"OK","ERREUR"))</x:f>
        <x:v>OK</x:v>
      </x:c>
      <x:c r="U1604" s="86" t="n">
        <x:f>IF(M1604&gt;0,M1604*(N1604+1)/2+O1604,0)</x:f>
        <x:v>0</x:v>
      </x:c>
      <x:c r="V1604" t="str">
        <x:f>IF(ABS(L1604-U1604)&lt;0.001,"OK","ERREUR")</x:f>
        <x:v>OK</x:v>
      </x:c>
    </x:row>
    <x:row r="1605" ht="18" customHeight="1">
      <x:c r="A1605" t="str">
        <x:v>ARM081</x:v>
      </x:c>
      <x:c r="B1605" t="str">
        <x:v>Égide sacrée</x:v>
      </x:c>
      <x:c r="C1605" t="n">
        <x:v>2</x:v>
      </x:c>
      <x:c r="D1605" t="str">
        <x:v>Boucliers</x:v>
      </x:c>
      <x:c r="E1605" s="28" t="n">
        <x:f>IF(M1605=0,0,M1605+O1605)</x:f>
        <x:v>0</x:v>
      </x:c>
      <x:c r="F1605" s="28" t="n">
        <x:f>IF(M1605=0,0,M1605*N1605+O1605)</x:f>
        <x:v>0</x:v>
      </x:c>
      <x:c r="G1605" s="28" t="n">
        <x:f>ROUND(Catalogue!G84*SQRT((1+'Paramètres'!$B$4*(C1605-1)+'Paramètres'!$B$5*(C1605-1)^2)),0)</x:f>
        <x:v>5</x:v>
      </x:c>
      <x:c r="H1605" s="28" t="n">
        <x:f>ROUND(Catalogue!H84*SQRT((1+'Paramètres'!$B$4*(C1605-1)+'Paramètres'!$B$5*(C1605-1)^2)),0)</x:f>
        <x:v>3</x:v>
      </x:c>
      <x:c r="I1605" s="28" t="n">
        <x:v>0</x:v>
      </x:c>
      <x:c r="J1605" s="28" t="n">
        <x:v>0</x:v>
      </x:c>
      <x:c r="K1605" s="30" t="n">
        <x:v>3.7</x:v>
      </x:c>
      <x:c r="L1605" s="54" t="n">
        <x:f>IF(M1605=0,0,(E1605+F1605)/2)</x:f>
        <x:v>0</x:v>
      </x:c>
      <x:c r="M1605" t="n">
        <x:v>0</x:v>
      </x:c>
      <x:c r="N1605" t="n">
        <x:v>0</x:v>
      </x:c>
      <x:c r="O1605" t="n">
        <x:v>0</x:v>
      </x:c>
      <x:c r="P1605" s="63" t="str">
        <x:f>IF(M1605=0,"—",M1605&amp;"d"&amp;N1605&amp;IF(O1605=0,""," + "&amp;O1605))</x:f>
        <x:v>—</x:v>
      </x:c>
      <x:c r="Q1605" t="n">
        <x:f>ROUND(INDEX(Catalogue!E$4:E$85,MATCH(A1605,Catalogue!A$4:A$85,0))*(1+'Paramètres'!$B$4*(C1605-1)+'Paramètres'!$B$5*(C1605-1)^2),0)</x:f>
        <x:v>0</x:v>
      </x:c>
      <x:c r="R1605" t="n">
        <x:f>ROUND(INDEX(Catalogue!F$4:F$85,MATCH(A1605,Catalogue!A$4:A$85,0))*(1+'Paramètres'!$B$4*(C1605-1)+'Paramètres'!$B$5*(C1605-1)^2),0)</x:f>
        <x:v>0</x:v>
      </x:c>
      <x:c r="S1605" t="n">
        <x:f>L1605-AVERAGE(Q1605:R1605)</x:f>
        <x:v>0</x:v>
      </x:c>
      <x:c r="T1605" t="str">
        <x:f>IF(M1605=0,IF(AND(N1605=0,O1605=0,E1605=0,F1605=0),"OK","ERREUR"),IF(AND(M1605&gt;=1,M1605&lt;=32,OR(N1605=4,N1605=6,N1605=8,N1605=10,N1605=12,N1605=20),O1605&gt;=0,E1605=M1605+O1605,F1605=M1605*N1605+O1605),"OK","ERREUR"))</x:f>
        <x:v>OK</x:v>
      </x:c>
      <x:c r="U1605" s="86" t="n">
        <x:f>IF(M1605&gt;0,M1605*(N1605+1)/2+O1605,0)</x:f>
        <x:v>0</x:v>
      </x:c>
      <x:c r="V1605" t="str">
        <x:f>IF(ABS(L1605-U1605)&lt;0.001,"OK","ERREUR")</x:f>
        <x:v>OK</x:v>
      </x:c>
    </x:row>
    <x:row r="1606" ht="18" customHeight="1">
      <x:c r="A1606" t="str">
        <x:v>ARM081</x:v>
      </x:c>
      <x:c r="B1606" t="str">
        <x:v>Égide sacrée</x:v>
      </x:c>
      <x:c r="C1606" t="n">
        <x:v>3</x:v>
      </x:c>
      <x:c r="D1606" t="str">
        <x:v>Boucliers</x:v>
      </x:c>
      <x:c r="E1606" s="28" t="n">
        <x:f>IF(M1606=0,0,M1606+O1606)</x:f>
        <x:v>0</x:v>
      </x:c>
      <x:c r="F1606" s="28" t="n">
        <x:f>IF(M1606=0,0,M1606*N1606+O1606)</x:f>
        <x:v>0</x:v>
      </x:c>
      <x:c r="G1606" s="28" t="n">
        <x:f>ROUND(Catalogue!G84*SQRT((1+'Paramètres'!$B$4*(C1606-1)+'Paramètres'!$B$5*(C1606-1)^2)),0)</x:f>
        <x:v>6</x:v>
      </x:c>
      <x:c r="H1606" s="28" t="n">
        <x:f>ROUND(Catalogue!H84*SQRT((1+'Paramètres'!$B$4*(C1606-1)+'Paramètres'!$B$5*(C1606-1)^2)),0)</x:f>
        <x:v>3</x:v>
      </x:c>
      <x:c r="I1606" s="28" t="n">
        <x:v>0</x:v>
      </x:c>
      <x:c r="J1606" s="28" t="n">
        <x:v>0</x:v>
      </x:c>
      <x:c r="K1606" s="30" t="n">
        <x:v>3.7</x:v>
      </x:c>
      <x:c r="L1606" s="54" t="n">
        <x:f>IF(M1606=0,0,(E1606+F1606)/2)</x:f>
        <x:v>0</x:v>
      </x:c>
      <x:c r="M1606" t="n">
        <x:v>0</x:v>
      </x:c>
      <x:c r="N1606" t="n">
        <x:v>0</x:v>
      </x:c>
      <x:c r="O1606" t="n">
        <x:v>0</x:v>
      </x:c>
      <x:c r="P1606" s="63" t="str">
        <x:f>IF(M1606=0,"—",M1606&amp;"d"&amp;N1606&amp;IF(O1606=0,""," + "&amp;O1606))</x:f>
        <x:v>—</x:v>
      </x:c>
      <x:c r="Q1606" t="n">
        <x:f>ROUND(INDEX(Catalogue!E$4:E$85,MATCH(A1606,Catalogue!A$4:A$85,0))*(1+'Paramètres'!$B$4*(C1606-1)+'Paramètres'!$B$5*(C1606-1)^2),0)</x:f>
        <x:v>0</x:v>
      </x:c>
      <x:c r="R1606" t="n">
        <x:f>ROUND(INDEX(Catalogue!F$4:F$85,MATCH(A1606,Catalogue!A$4:A$85,0))*(1+'Paramètres'!$B$4*(C1606-1)+'Paramètres'!$B$5*(C1606-1)^2),0)</x:f>
        <x:v>0</x:v>
      </x:c>
      <x:c r="S1606" t="n">
        <x:f>L1606-AVERAGE(Q1606:R1606)</x:f>
        <x:v>0</x:v>
      </x:c>
      <x:c r="T1606" t="str">
        <x:f>IF(M1606=0,IF(AND(N1606=0,O1606=0,E1606=0,F1606=0),"OK","ERREUR"),IF(AND(M1606&gt;=1,M1606&lt;=32,OR(N1606=4,N1606=6,N1606=8,N1606=10,N1606=12,N1606=20),O1606&gt;=0,E1606=M1606+O1606,F1606=M1606*N1606+O1606),"OK","ERREUR"))</x:f>
        <x:v>OK</x:v>
      </x:c>
      <x:c r="U1606" s="86" t="n">
        <x:f>IF(M1606&gt;0,M1606*(N1606+1)/2+O1606,0)</x:f>
        <x:v>0</x:v>
      </x:c>
      <x:c r="V1606" t="str">
        <x:f>IF(ABS(L1606-U1606)&lt;0.001,"OK","ERREUR")</x:f>
        <x:v>OK</x:v>
      </x:c>
    </x:row>
    <x:row r="1607" ht="18" customHeight="1">
      <x:c r="A1607" t="str">
        <x:v>ARM081</x:v>
      </x:c>
      <x:c r="B1607" t="str">
        <x:v>Égide sacrée</x:v>
      </x:c>
      <x:c r="C1607" t="n">
        <x:v>4</x:v>
      </x:c>
      <x:c r="D1607" t="str">
        <x:v>Boucliers</x:v>
      </x:c>
      <x:c r="E1607" s="28" t="n">
        <x:f>IF(M1607=0,0,M1607+O1607)</x:f>
        <x:v>0</x:v>
      </x:c>
      <x:c r="F1607" s="28" t="n">
        <x:f>IF(M1607=0,0,M1607*N1607+O1607)</x:f>
        <x:v>0</x:v>
      </x:c>
      <x:c r="G1607" s="28" t="n">
        <x:f>ROUND(Catalogue!G84*SQRT((1+'Paramètres'!$B$4*(C1607-1)+'Paramètres'!$B$5*(C1607-1)^2)),0)</x:f>
        <x:v>6</x:v>
      </x:c>
      <x:c r="H1607" s="28" t="n">
        <x:f>ROUND(Catalogue!H84*SQRT((1+'Paramètres'!$B$4*(C1607-1)+'Paramètres'!$B$5*(C1607-1)^2)),0)</x:f>
        <x:v>4</x:v>
      </x:c>
      <x:c r="I1607" s="28" t="n">
        <x:v>0</x:v>
      </x:c>
      <x:c r="J1607" s="28" t="n">
        <x:v>0</x:v>
      </x:c>
      <x:c r="K1607" s="30" t="n">
        <x:v>3.7</x:v>
      </x:c>
      <x:c r="L1607" s="54" t="n">
        <x:f>IF(M1607=0,0,(E1607+F1607)/2)</x:f>
        <x:v>0</x:v>
      </x:c>
      <x:c r="M1607" t="n">
        <x:v>0</x:v>
      </x:c>
      <x:c r="N1607" t="n">
        <x:v>0</x:v>
      </x:c>
      <x:c r="O1607" t="n">
        <x:v>0</x:v>
      </x:c>
      <x:c r="P1607" s="63" t="str">
        <x:f>IF(M1607=0,"—",M1607&amp;"d"&amp;N1607&amp;IF(O1607=0,""," + "&amp;O1607))</x:f>
        <x:v>—</x:v>
      </x:c>
      <x:c r="Q1607" t="n">
        <x:f>ROUND(INDEX(Catalogue!E$4:E$85,MATCH(A1607,Catalogue!A$4:A$85,0))*(1+'Paramètres'!$B$4*(C1607-1)+'Paramètres'!$B$5*(C1607-1)^2),0)</x:f>
        <x:v>0</x:v>
      </x:c>
      <x:c r="R1607" t="n">
        <x:f>ROUND(INDEX(Catalogue!F$4:F$85,MATCH(A1607,Catalogue!A$4:A$85,0))*(1+'Paramètres'!$B$4*(C1607-1)+'Paramètres'!$B$5*(C1607-1)^2),0)</x:f>
        <x:v>0</x:v>
      </x:c>
      <x:c r="S1607" t="n">
        <x:f>L1607-AVERAGE(Q1607:R1607)</x:f>
        <x:v>0</x:v>
      </x:c>
      <x:c r="T1607" t="str">
        <x:f>IF(M1607=0,IF(AND(N1607=0,O1607=0,E1607=0,F1607=0),"OK","ERREUR"),IF(AND(M1607&gt;=1,M1607&lt;=32,OR(N1607=4,N1607=6,N1607=8,N1607=10,N1607=12,N1607=20),O1607&gt;=0,E1607=M1607+O1607,F1607=M1607*N1607+O1607),"OK","ERREUR"))</x:f>
        <x:v>OK</x:v>
      </x:c>
      <x:c r="U1607" s="86" t="n">
        <x:f>IF(M1607&gt;0,M1607*(N1607+1)/2+O1607,0)</x:f>
        <x:v>0</x:v>
      </x:c>
      <x:c r="V1607" t="str">
        <x:f>IF(ABS(L1607-U1607)&lt;0.001,"OK","ERREUR")</x:f>
        <x:v>OK</x:v>
      </x:c>
    </x:row>
    <x:row r="1608" ht="18" customHeight="1">
      <x:c r="A1608" t="str">
        <x:v>ARM081</x:v>
      </x:c>
      <x:c r="B1608" t="str">
        <x:v>Égide sacrée</x:v>
      </x:c>
      <x:c r="C1608" t="n">
        <x:v>5</x:v>
      </x:c>
      <x:c r="D1608" t="str">
        <x:v>Boucliers</x:v>
      </x:c>
      <x:c r="E1608" s="28" t="n">
        <x:f>IF(M1608=0,0,M1608+O1608)</x:f>
        <x:v>0</x:v>
      </x:c>
      <x:c r="F1608" s="28" t="n">
        <x:f>IF(M1608=0,0,M1608*N1608+O1608)</x:f>
        <x:v>0</x:v>
      </x:c>
      <x:c r="G1608" s="28" t="n">
        <x:f>ROUND(Catalogue!G84*SQRT((1+'Paramètres'!$B$4*(C1608-1)+'Paramètres'!$B$5*(C1608-1)^2)),0)</x:f>
        <x:v>7</x:v>
      </x:c>
      <x:c r="H1608" s="28" t="n">
        <x:f>ROUND(Catalogue!H84*SQRT((1+'Paramètres'!$B$4*(C1608-1)+'Paramètres'!$B$5*(C1608-1)^2)),0)</x:f>
        <x:v>4</x:v>
      </x:c>
      <x:c r="I1608" s="28" t="n">
        <x:v>0</x:v>
      </x:c>
      <x:c r="J1608" s="28" t="n">
        <x:v>0</x:v>
      </x:c>
      <x:c r="K1608" s="30" t="n">
        <x:v>3.7</x:v>
      </x:c>
      <x:c r="L1608" s="54" t="n">
        <x:f>IF(M1608=0,0,(E1608+F1608)/2)</x:f>
        <x:v>0</x:v>
      </x:c>
      <x:c r="M1608" t="n">
        <x:v>0</x:v>
      </x:c>
      <x:c r="N1608" t="n">
        <x:v>0</x:v>
      </x:c>
      <x:c r="O1608" t="n">
        <x:v>0</x:v>
      </x:c>
      <x:c r="P1608" s="63" t="str">
        <x:f>IF(M1608=0,"—",M1608&amp;"d"&amp;N1608&amp;IF(O1608=0,""," + "&amp;O1608))</x:f>
        <x:v>—</x:v>
      </x:c>
      <x:c r="Q1608" t="n">
        <x:f>ROUND(INDEX(Catalogue!E$4:E$85,MATCH(A1608,Catalogue!A$4:A$85,0))*(1+'Paramètres'!$B$4*(C1608-1)+'Paramètres'!$B$5*(C1608-1)^2),0)</x:f>
        <x:v>0</x:v>
      </x:c>
      <x:c r="R1608" t="n">
        <x:f>ROUND(INDEX(Catalogue!F$4:F$85,MATCH(A1608,Catalogue!A$4:A$85,0))*(1+'Paramètres'!$B$4*(C1608-1)+'Paramètres'!$B$5*(C1608-1)^2),0)</x:f>
        <x:v>0</x:v>
      </x:c>
      <x:c r="S1608" t="n">
        <x:f>L1608-AVERAGE(Q1608:R1608)</x:f>
        <x:v>0</x:v>
      </x:c>
      <x:c r="T1608" t="str">
        <x:f>IF(M1608=0,IF(AND(N1608=0,O1608=0,E1608=0,F1608=0),"OK","ERREUR"),IF(AND(M1608&gt;=1,M1608&lt;=32,OR(N1608=4,N1608=6,N1608=8,N1608=10,N1608=12,N1608=20),O1608&gt;=0,E1608=M1608+O1608,F1608=M1608*N1608+O1608),"OK","ERREUR"))</x:f>
        <x:v>OK</x:v>
      </x:c>
      <x:c r="U1608" s="86" t="n">
        <x:f>IF(M1608&gt;0,M1608*(N1608+1)/2+O1608,0)</x:f>
        <x:v>0</x:v>
      </x:c>
      <x:c r="V1608" t="str">
        <x:f>IF(ABS(L1608-U1608)&lt;0.001,"OK","ERREUR")</x:f>
        <x:v>OK</x:v>
      </x:c>
    </x:row>
    <x:row r="1609" ht="18" customHeight="1">
      <x:c r="A1609" t="str">
        <x:v>ARM081</x:v>
      </x:c>
      <x:c r="B1609" t="str">
        <x:v>Égide sacrée</x:v>
      </x:c>
      <x:c r="C1609" t="n">
        <x:v>6</x:v>
      </x:c>
      <x:c r="D1609" t="str">
        <x:v>Boucliers</x:v>
      </x:c>
      <x:c r="E1609" s="28" t="n">
        <x:f>IF(M1609=0,0,M1609+O1609)</x:f>
        <x:v>0</x:v>
      </x:c>
      <x:c r="F1609" s="28" t="n">
        <x:f>IF(M1609=0,0,M1609*N1609+O1609)</x:f>
        <x:v>0</x:v>
      </x:c>
      <x:c r="G1609" s="28" t="n">
        <x:f>ROUND(Catalogue!G84*SQRT((1+'Paramètres'!$B$4*(C1609-1)+'Paramètres'!$B$5*(C1609-1)^2)),0)</x:f>
        <x:v>7</x:v>
      </x:c>
      <x:c r="H1609" s="28" t="n">
        <x:f>ROUND(Catalogue!H84*SQRT((1+'Paramètres'!$B$4*(C1609-1)+'Paramètres'!$B$5*(C1609-1)^2)),0)</x:f>
        <x:v>4</x:v>
      </x:c>
      <x:c r="I1609" s="28" t="n">
        <x:v>0</x:v>
      </x:c>
      <x:c r="J1609" s="28" t="n">
        <x:v>0</x:v>
      </x:c>
      <x:c r="K1609" s="30" t="n">
        <x:v>3.7</x:v>
      </x:c>
      <x:c r="L1609" s="54" t="n">
        <x:f>IF(M1609=0,0,(E1609+F1609)/2)</x:f>
        <x:v>0</x:v>
      </x:c>
      <x:c r="M1609" t="n">
        <x:v>0</x:v>
      </x:c>
      <x:c r="N1609" t="n">
        <x:v>0</x:v>
      </x:c>
      <x:c r="O1609" t="n">
        <x:v>0</x:v>
      </x:c>
      <x:c r="P1609" s="63" t="str">
        <x:f>IF(M1609=0,"—",M1609&amp;"d"&amp;N1609&amp;IF(O1609=0,""," + "&amp;O1609))</x:f>
        <x:v>—</x:v>
      </x:c>
      <x:c r="Q1609" t="n">
        <x:f>ROUND(INDEX(Catalogue!E$4:E$85,MATCH(A1609,Catalogue!A$4:A$85,0))*(1+'Paramètres'!$B$4*(C1609-1)+'Paramètres'!$B$5*(C1609-1)^2),0)</x:f>
        <x:v>0</x:v>
      </x:c>
      <x:c r="R1609" t="n">
        <x:f>ROUND(INDEX(Catalogue!F$4:F$85,MATCH(A1609,Catalogue!A$4:A$85,0))*(1+'Paramètres'!$B$4*(C1609-1)+'Paramètres'!$B$5*(C1609-1)^2),0)</x:f>
        <x:v>0</x:v>
      </x:c>
      <x:c r="S1609" t="n">
        <x:f>L1609-AVERAGE(Q1609:R1609)</x:f>
        <x:v>0</x:v>
      </x:c>
      <x:c r="T1609" t="str">
        <x:f>IF(M1609=0,IF(AND(N1609=0,O1609=0,E1609=0,F1609=0),"OK","ERREUR"),IF(AND(M1609&gt;=1,M1609&lt;=32,OR(N1609=4,N1609=6,N1609=8,N1609=10,N1609=12,N1609=20),O1609&gt;=0,E1609=M1609+O1609,F1609=M1609*N1609+O1609),"OK","ERREUR"))</x:f>
        <x:v>OK</x:v>
      </x:c>
      <x:c r="U1609" s="86" t="n">
        <x:f>IF(M1609&gt;0,M1609*(N1609+1)/2+O1609,0)</x:f>
        <x:v>0</x:v>
      </x:c>
      <x:c r="V1609" t="str">
        <x:f>IF(ABS(L1609-U1609)&lt;0.001,"OK","ERREUR")</x:f>
        <x:v>OK</x:v>
      </x:c>
    </x:row>
    <x:row r="1610" ht="18" customHeight="1">
      <x:c r="A1610" t="str">
        <x:v>ARM081</x:v>
      </x:c>
      <x:c r="B1610" t="str">
        <x:v>Égide sacrée</x:v>
      </x:c>
      <x:c r="C1610" t="n">
        <x:v>7</x:v>
      </x:c>
      <x:c r="D1610" t="str">
        <x:v>Boucliers</x:v>
      </x:c>
      <x:c r="E1610" s="28" t="n">
        <x:f>IF(M1610=0,0,M1610+O1610)</x:f>
        <x:v>0</x:v>
      </x:c>
      <x:c r="F1610" s="28" t="n">
        <x:f>IF(M1610=0,0,M1610*N1610+O1610)</x:f>
        <x:v>0</x:v>
      </x:c>
      <x:c r="G1610" s="28" t="n">
        <x:f>ROUND(Catalogue!G84*SQRT((1+'Paramètres'!$B$4*(C1610-1)+'Paramètres'!$B$5*(C1610-1)^2)),0)</x:f>
        <x:v>7</x:v>
      </x:c>
      <x:c r="H1610" s="28" t="n">
        <x:f>ROUND(Catalogue!H84*SQRT((1+'Paramètres'!$B$4*(C1610-1)+'Paramètres'!$B$5*(C1610-1)^2)),0)</x:f>
        <x:v>4</x:v>
      </x:c>
      <x:c r="I1610" s="28" t="n">
        <x:v>0</x:v>
      </x:c>
      <x:c r="J1610" s="28" t="n">
        <x:v>0</x:v>
      </x:c>
      <x:c r="K1610" s="30" t="n">
        <x:v>3.7</x:v>
      </x:c>
      <x:c r="L1610" s="54" t="n">
        <x:f>IF(M1610=0,0,(E1610+F1610)/2)</x:f>
        <x:v>0</x:v>
      </x:c>
      <x:c r="M1610" t="n">
        <x:v>0</x:v>
      </x:c>
      <x:c r="N1610" t="n">
        <x:v>0</x:v>
      </x:c>
      <x:c r="O1610" t="n">
        <x:v>0</x:v>
      </x:c>
      <x:c r="P1610" s="63" t="str">
        <x:f>IF(M1610=0,"—",M1610&amp;"d"&amp;N1610&amp;IF(O1610=0,""," + "&amp;O1610))</x:f>
        <x:v>—</x:v>
      </x:c>
      <x:c r="Q1610" t="n">
        <x:f>ROUND(INDEX(Catalogue!E$4:E$85,MATCH(A1610,Catalogue!A$4:A$85,0))*(1+'Paramètres'!$B$4*(C1610-1)+'Paramètres'!$B$5*(C1610-1)^2),0)</x:f>
        <x:v>0</x:v>
      </x:c>
      <x:c r="R1610" t="n">
        <x:f>ROUND(INDEX(Catalogue!F$4:F$85,MATCH(A1610,Catalogue!A$4:A$85,0))*(1+'Paramètres'!$B$4*(C1610-1)+'Paramètres'!$B$5*(C1610-1)^2),0)</x:f>
        <x:v>0</x:v>
      </x:c>
      <x:c r="S1610" t="n">
        <x:f>L1610-AVERAGE(Q1610:R1610)</x:f>
        <x:v>0</x:v>
      </x:c>
      <x:c r="T1610" t="str">
        <x:f>IF(M1610=0,IF(AND(N1610=0,O1610=0,E1610=0,F1610=0),"OK","ERREUR"),IF(AND(M1610&gt;=1,M1610&lt;=32,OR(N1610=4,N1610=6,N1610=8,N1610=10,N1610=12,N1610=20),O1610&gt;=0,E1610=M1610+O1610,F1610=M1610*N1610+O1610),"OK","ERREUR"))</x:f>
        <x:v>OK</x:v>
      </x:c>
      <x:c r="U1610" s="86" t="n">
        <x:f>IF(M1610&gt;0,M1610*(N1610+1)/2+O1610,0)</x:f>
        <x:v>0</x:v>
      </x:c>
      <x:c r="V1610" t="str">
        <x:f>IF(ABS(L1610-U1610)&lt;0.001,"OK","ERREUR")</x:f>
        <x:v>OK</x:v>
      </x:c>
    </x:row>
    <x:row r="1611" ht="18" customHeight="1">
      <x:c r="A1611" t="str">
        <x:v>ARM081</x:v>
      </x:c>
      <x:c r="B1611" t="str">
        <x:v>Égide sacrée</x:v>
      </x:c>
      <x:c r="C1611" t="n">
        <x:v>8</x:v>
      </x:c>
      <x:c r="D1611" t="str">
        <x:v>Boucliers</x:v>
      </x:c>
      <x:c r="E1611" s="28" t="n">
        <x:f>IF(M1611=0,0,M1611+O1611)</x:f>
        <x:v>0</x:v>
      </x:c>
      <x:c r="F1611" s="28" t="n">
        <x:f>IF(M1611=0,0,M1611*N1611+O1611)</x:f>
        <x:v>0</x:v>
      </x:c>
      <x:c r="G1611" s="28" t="n">
        <x:f>ROUND(Catalogue!G84*SQRT((1+'Paramètres'!$B$4*(C1611-1)+'Paramètres'!$B$5*(C1611-1)^2)),0)</x:f>
        <x:v>8</x:v>
      </x:c>
      <x:c r="H1611" s="28" t="n">
        <x:f>ROUND(Catalogue!H84*SQRT((1+'Paramètres'!$B$4*(C1611-1)+'Paramètres'!$B$5*(C1611-1)^2)),0)</x:f>
        <x:v>5</x:v>
      </x:c>
      <x:c r="I1611" s="28" t="n">
        <x:v>0</x:v>
      </x:c>
      <x:c r="J1611" s="28" t="n">
        <x:v>0</x:v>
      </x:c>
      <x:c r="K1611" s="30" t="n">
        <x:v>3.7</x:v>
      </x:c>
      <x:c r="L1611" s="54" t="n">
        <x:f>IF(M1611=0,0,(E1611+F1611)/2)</x:f>
        <x:v>0</x:v>
      </x:c>
      <x:c r="M1611" t="n">
        <x:v>0</x:v>
      </x:c>
      <x:c r="N1611" t="n">
        <x:v>0</x:v>
      </x:c>
      <x:c r="O1611" t="n">
        <x:v>0</x:v>
      </x:c>
      <x:c r="P1611" s="63" t="str">
        <x:f>IF(M1611=0,"—",M1611&amp;"d"&amp;N1611&amp;IF(O1611=0,""," + "&amp;O1611))</x:f>
        <x:v>—</x:v>
      </x:c>
      <x:c r="Q1611" t="n">
        <x:f>ROUND(INDEX(Catalogue!E$4:E$85,MATCH(A1611,Catalogue!A$4:A$85,0))*(1+'Paramètres'!$B$4*(C1611-1)+'Paramètres'!$B$5*(C1611-1)^2),0)</x:f>
        <x:v>0</x:v>
      </x:c>
      <x:c r="R1611" t="n">
        <x:f>ROUND(INDEX(Catalogue!F$4:F$85,MATCH(A1611,Catalogue!A$4:A$85,0))*(1+'Paramètres'!$B$4*(C1611-1)+'Paramètres'!$B$5*(C1611-1)^2),0)</x:f>
        <x:v>0</x:v>
      </x:c>
      <x:c r="S1611" t="n">
        <x:f>L1611-AVERAGE(Q1611:R1611)</x:f>
        <x:v>0</x:v>
      </x:c>
      <x:c r="T1611" t="str">
        <x:f>IF(M1611=0,IF(AND(N1611=0,O1611=0,E1611=0,F1611=0),"OK","ERREUR"),IF(AND(M1611&gt;=1,M1611&lt;=32,OR(N1611=4,N1611=6,N1611=8,N1611=10,N1611=12,N1611=20),O1611&gt;=0,E1611=M1611+O1611,F1611=M1611*N1611+O1611),"OK","ERREUR"))</x:f>
        <x:v>OK</x:v>
      </x:c>
      <x:c r="U1611" s="86" t="n">
        <x:f>IF(M1611&gt;0,M1611*(N1611+1)/2+O1611,0)</x:f>
        <x:v>0</x:v>
      </x:c>
      <x:c r="V1611" t="str">
        <x:f>IF(ABS(L1611-U1611)&lt;0.001,"OK","ERREUR")</x:f>
        <x:v>OK</x:v>
      </x:c>
    </x:row>
    <x:row r="1612" ht="18" customHeight="1">
      <x:c r="A1612" t="str">
        <x:v>ARM081</x:v>
      </x:c>
      <x:c r="B1612" t="str">
        <x:v>Égide sacrée</x:v>
      </x:c>
      <x:c r="C1612" t="n">
        <x:v>9</x:v>
      </x:c>
      <x:c r="D1612" t="str">
        <x:v>Boucliers</x:v>
      </x:c>
      <x:c r="E1612" s="28" t="n">
        <x:f>IF(M1612=0,0,M1612+O1612)</x:f>
        <x:v>0</x:v>
      </x:c>
      <x:c r="F1612" s="28" t="n">
        <x:f>IF(M1612=0,0,M1612*N1612+O1612)</x:f>
        <x:v>0</x:v>
      </x:c>
      <x:c r="G1612" s="28" t="n">
        <x:f>ROUND(Catalogue!G84*SQRT((1+'Paramètres'!$B$4*(C1612-1)+'Paramètres'!$B$5*(C1612-1)^2)),0)</x:f>
        <x:v>9</x:v>
      </x:c>
      <x:c r="H1612" s="28" t="n">
        <x:f>ROUND(Catalogue!H84*SQRT((1+'Paramètres'!$B$4*(C1612-1)+'Paramètres'!$B$5*(C1612-1)^2)),0)</x:f>
        <x:v>5</x:v>
      </x:c>
      <x:c r="I1612" s="28" t="n">
        <x:v>0</x:v>
      </x:c>
      <x:c r="J1612" s="28" t="n">
        <x:v>0</x:v>
      </x:c>
      <x:c r="K1612" s="30" t="n">
        <x:v>3.7</x:v>
      </x:c>
      <x:c r="L1612" s="54" t="n">
        <x:f>IF(M1612=0,0,(E1612+F1612)/2)</x:f>
        <x:v>0</x:v>
      </x:c>
      <x:c r="M1612" t="n">
        <x:v>0</x:v>
      </x:c>
      <x:c r="N1612" t="n">
        <x:v>0</x:v>
      </x:c>
      <x:c r="O1612" t="n">
        <x:v>0</x:v>
      </x:c>
      <x:c r="P1612" s="63" t="str">
        <x:f>IF(M1612=0,"—",M1612&amp;"d"&amp;N1612&amp;IF(O1612=0,""," + "&amp;O1612))</x:f>
        <x:v>—</x:v>
      </x:c>
      <x:c r="Q1612" t="n">
        <x:f>ROUND(INDEX(Catalogue!E$4:E$85,MATCH(A1612,Catalogue!A$4:A$85,0))*(1+'Paramètres'!$B$4*(C1612-1)+'Paramètres'!$B$5*(C1612-1)^2),0)</x:f>
        <x:v>0</x:v>
      </x:c>
      <x:c r="R1612" t="n">
        <x:f>ROUND(INDEX(Catalogue!F$4:F$85,MATCH(A1612,Catalogue!A$4:A$85,0))*(1+'Paramètres'!$B$4*(C1612-1)+'Paramètres'!$B$5*(C1612-1)^2),0)</x:f>
        <x:v>0</x:v>
      </x:c>
      <x:c r="S1612" t="n">
        <x:f>L1612-AVERAGE(Q1612:R1612)</x:f>
        <x:v>0</x:v>
      </x:c>
      <x:c r="T1612" t="str">
        <x:f>IF(M1612=0,IF(AND(N1612=0,O1612=0,E1612=0,F1612=0),"OK","ERREUR"),IF(AND(M1612&gt;=1,M1612&lt;=32,OR(N1612=4,N1612=6,N1612=8,N1612=10,N1612=12,N1612=20),O1612&gt;=0,E1612=M1612+O1612,F1612=M1612*N1612+O1612),"OK","ERREUR"))</x:f>
        <x:v>OK</x:v>
      </x:c>
      <x:c r="U1612" s="86" t="n">
        <x:f>IF(M1612&gt;0,M1612*(N1612+1)/2+O1612,0)</x:f>
        <x:v>0</x:v>
      </x:c>
      <x:c r="V1612" t="str">
        <x:f>IF(ABS(L1612-U1612)&lt;0.001,"OK","ERREUR")</x:f>
        <x:v>OK</x:v>
      </x:c>
    </x:row>
    <x:row r="1613" ht="18" customHeight="1">
      <x:c r="A1613" t="str">
        <x:v>ARM081</x:v>
      </x:c>
      <x:c r="B1613" t="str">
        <x:v>Égide sacrée</x:v>
      </x:c>
      <x:c r="C1613" t="n">
        <x:v>10</x:v>
      </x:c>
      <x:c r="D1613" t="str">
        <x:v>Boucliers</x:v>
      </x:c>
      <x:c r="E1613" s="28" t="n">
        <x:f>IF(M1613=0,0,M1613+O1613)</x:f>
        <x:v>0</x:v>
      </x:c>
      <x:c r="F1613" s="28" t="n">
        <x:f>IF(M1613=0,0,M1613*N1613+O1613)</x:f>
        <x:v>0</x:v>
      </x:c>
      <x:c r="G1613" s="28" t="n">
        <x:f>ROUND(Catalogue!G84*SQRT((1+'Paramètres'!$B$4*(C1613-1)+'Paramètres'!$B$5*(C1613-1)^2)),0)</x:f>
        <x:v>9</x:v>
      </x:c>
      <x:c r="H1613" s="28" t="n">
        <x:f>ROUND(Catalogue!H84*SQRT((1+'Paramètres'!$B$4*(C1613-1)+'Paramètres'!$B$5*(C1613-1)^2)),0)</x:f>
        <x:v>5</x:v>
      </x:c>
      <x:c r="I1613" s="28" t="n">
        <x:v>0</x:v>
      </x:c>
      <x:c r="J1613" s="28" t="n">
        <x:v>0</x:v>
      </x:c>
      <x:c r="K1613" s="30" t="n">
        <x:v>3.7</x:v>
      </x:c>
      <x:c r="L1613" s="54" t="n">
        <x:f>IF(M1613=0,0,(E1613+F1613)/2)</x:f>
        <x:v>0</x:v>
      </x:c>
      <x:c r="M1613" t="n">
        <x:v>0</x:v>
      </x:c>
      <x:c r="N1613" t="n">
        <x:v>0</x:v>
      </x:c>
      <x:c r="O1613" t="n">
        <x:v>0</x:v>
      </x:c>
      <x:c r="P1613" s="63" t="str">
        <x:f>IF(M1613=0,"—",M1613&amp;"d"&amp;N1613&amp;IF(O1613=0,""," + "&amp;O1613))</x:f>
        <x:v>—</x:v>
      </x:c>
      <x:c r="Q1613" t="n">
        <x:f>ROUND(INDEX(Catalogue!E$4:E$85,MATCH(A1613,Catalogue!A$4:A$85,0))*(1+'Paramètres'!$B$4*(C1613-1)+'Paramètres'!$B$5*(C1613-1)^2),0)</x:f>
        <x:v>0</x:v>
      </x:c>
      <x:c r="R1613" t="n">
        <x:f>ROUND(INDEX(Catalogue!F$4:F$85,MATCH(A1613,Catalogue!A$4:A$85,0))*(1+'Paramètres'!$B$4*(C1613-1)+'Paramètres'!$B$5*(C1613-1)^2),0)</x:f>
        <x:v>0</x:v>
      </x:c>
      <x:c r="S1613" t="n">
        <x:f>L1613-AVERAGE(Q1613:R1613)</x:f>
        <x:v>0</x:v>
      </x:c>
      <x:c r="T1613" t="str">
        <x:f>IF(M1613=0,IF(AND(N1613=0,O1613=0,E1613=0,F1613=0),"OK","ERREUR"),IF(AND(M1613&gt;=1,M1613&lt;=32,OR(N1613=4,N1613=6,N1613=8,N1613=10,N1613=12,N1613=20),O1613&gt;=0,E1613=M1613+O1613,F1613=M1613*N1613+O1613),"OK","ERREUR"))</x:f>
        <x:v>OK</x:v>
      </x:c>
      <x:c r="U1613" s="86" t="n">
        <x:f>IF(M1613&gt;0,M1613*(N1613+1)/2+O1613,0)</x:f>
        <x:v>0</x:v>
      </x:c>
      <x:c r="V1613" t="str">
        <x:f>IF(ABS(L1613-U1613)&lt;0.001,"OK","ERREUR")</x:f>
        <x:v>OK</x:v>
      </x:c>
    </x:row>
    <x:row r="1614" ht="18" customHeight="1">
      <x:c r="A1614" t="str">
        <x:v>ARM081</x:v>
      </x:c>
      <x:c r="B1614" t="str">
        <x:v>Égide sacrée</x:v>
      </x:c>
      <x:c r="C1614" t="n">
        <x:v>11</x:v>
      </x:c>
      <x:c r="D1614" t="str">
        <x:v>Boucliers</x:v>
      </x:c>
      <x:c r="E1614" s="28" t="n">
        <x:f>IF(M1614=0,0,M1614+O1614)</x:f>
        <x:v>0</x:v>
      </x:c>
      <x:c r="F1614" s="28" t="n">
        <x:f>IF(M1614=0,0,M1614*N1614+O1614)</x:f>
        <x:v>0</x:v>
      </x:c>
      <x:c r="G1614" s="28" t="n">
        <x:f>ROUND(Catalogue!G84*SQRT((1+'Paramètres'!$B$4*(C1614-1)+'Paramètres'!$B$5*(C1614-1)^2)),0)</x:f>
        <x:v>10</x:v>
      </x:c>
      <x:c r="H1614" s="28" t="n">
        <x:f>ROUND(Catalogue!H84*SQRT((1+'Paramètres'!$B$4*(C1614-1)+'Paramètres'!$B$5*(C1614-1)^2)),0)</x:f>
        <x:v>6</x:v>
      </x:c>
      <x:c r="I1614" s="28" t="n">
        <x:v>0</x:v>
      </x:c>
      <x:c r="J1614" s="28" t="n">
        <x:v>0</x:v>
      </x:c>
      <x:c r="K1614" s="30" t="n">
        <x:v>3.7</x:v>
      </x:c>
      <x:c r="L1614" s="54" t="n">
        <x:f>IF(M1614=0,0,(E1614+F1614)/2)</x:f>
        <x:v>0</x:v>
      </x:c>
      <x:c r="M1614" t="n">
        <x:v>0</x:v>
      </x:c>
      <x:c r="N1614" t="n">
        <x:v>0</x:v>
      </x:c>
      <x:c r="O1614" t="n">
        <x:v>0</x:v>
      </x:c>
      <x:c r="P1614" s="63" t="str">
        <x:f>IF(M1614=0,"—",M1614&amp;"d"&amp;N1614&amp;IF(O1614=0,""," + "&amp;O1614))</x:f>
        <x:v>—</x:v>
      </x:c>
      <x:c r="Q1614" t="n">
        <x:f>ROUND(INDEX(Catalogue!E$4:E$85,MATCH(A1614,Catalogue!A$4:A$85,0))*(1+'Paramètres'!$B$4*(C1614-1)+'Paramètres'!$B$5*(C1614-1)^2),0)</x:f>
        <x:v>0</x:v>
      </x:c>
      <x:c r="R1614" t="n">
        <x:f>ROUND(INDEX(Catalogue!F$4:F$85,MATCH(A1614,Catalogue!A$4:A$85,0))*(1+'Paramètres'!$B$4*(C1614-1)+'Paramètres'!$B$5*(C1614-1)^2),0)</x:f>
        <x:v>0</x:v>
      </x:c>
      <x:c r="S1614" t="n">
        <x:f>L1614-AVERAGE(Q1614:R1614)</x:f>
        <x:v>0</x:v>
      </x:c>
      <x:c r="T1614" t="str">
        <x:f>IF(M1614=0,IF(AND(N1614=0,O1614=0,E1614=0,F1614=0),"OK","ERREUR"),IF(AND(M1614&gt;=1,M1614&lt;=32,OR(N1614=4,N1614=6,N1614=8,N1614=10,N1614=12,N1614=20),O1614&gt;=0,E1614=M1614+O1614,F1614=M1614*N1614+O1614),"OK","ERREUR"))</x:f>
        <x:v>OK</x:v>
      </x:c>
      <x:c r="U1614" s="86" t="n">
        <x:f>IF(M1614&gt;0,M1614*(N1614+1)/2+O1614,0)</x:f>
        <x:v>0</x:v>
      </x:c>
      <x:c r="V1614" t="str">
        <x:f>IF(ABS(L1614-U1614)&lt;0.001,"OK","ERREUR")</x:f>
        <x:v>OK</x:v>
      </x:c>
    </x:row>
    <x:row r="1615" ht="18" customHeight="1">
      <x:c r="A1615" t="str">
        <x:v>ARM081</x:v>
      </x:c>
      <x:c r="B1615" t="str">
        <x:v>Égide sacrée</x:v>
      </x:c>
      <x:c r="C1615" t="n">
        <x:v>12</x:v>
      </x:c>
      <x:c r="D1615" t="str">
        <x:v>Boucliers</x:v>
      </x:c>
      <x:c r="E1615" s="28" t="n">
        <x:f>IF(M1615=0,0,M1615+O1615)</x:f>
        <x:v>0</x:v>
      </x:c>
      <x:c r="F1615" s="28" t="n">
        <x:f>IF(M1615=0,0,M1615*N1615+O1615)</x:f>
        <x:v>0</x:v>
      </x:c>
      <x:c r="G1615" s="28" t="n">
        <x:f>ROUND(Catalogue!G84*SQRT((1+'Paramètres'!$B$4*(C1615-1)+'Paramètres'!$B$5*(C1615-1)^2)),0)</x:f>
        <x:v>10</x:v>
      </x:c>
      <x:c r="H1615" s="28" t="n">
        <x:f>ROUND(Catalogue!H84*SQRT((1+'Paramètres'!$B$4*(C1615-1)+'Paramètres'!$B$5*(C1615-1)^2)),0)</x:f>
        <x:v>6</x:v>
      </x:c>
      <x:c r="I1615" s="28" t="n">
        <x:v>0</x:v>
      </x:c>
      <x:c r="J1615" s="28" t="n">
        <x:v>0</x:v>
      </x:c>
      <x:c r="K1615" s="30" t="n">
        <x:v>3.7</x:v>
      </x:c>
      <x:c r="L1615" s="54" t="n">
        <x:f>IF(M1615=0,0,(E1615+F1615)/2)</x:f>
        <x:v>0</x:v>
      </x:c>
      <x:c r="M1615" t="n">
        <x:v>0</x:v>
      </x:c>
      <x:c r="N1615" t="n">
        <x:v>0</x:v>
      </x:c>
      <x:c r="O1615" t="n">
        <x:v>0</x:v>
      </x:c>
      <x:c r="P1615" s="63" t="str">
        <x:f>IF(M1615=0,"—",M1615&amp;"d"&amp;N1615&amp;IF(O1615=0,""," + "&amp;O1615))</x:f>
        <x:v>—</x:v>
      </x:c>
      <x:c r="Q1615" t="n">
        <x:f>ROUND(INDEX(Catalogue!E$4:E$85,MATCH(A1615,Catalogue!A$4:A$85,0))*(1+'Paramètres'!$B$4*(C1615-1)+'Paramètres'!$B$5*(C1615-1)^2),0)</x:f>
        <x:v>0</x:v>
      </x:c>
      <x:c r="R1615" t="n">
        <x:f>ROUND(INDEX(Catalogue!F$4:F$85,MATCH(A1615,Catalogue!A$4:A$85,0))*(1+'Paramètres'!$B$4*(C1615-1)+'Paramètres'!$B$5*(C1615-1)^2),0)</x:f>
        <x:v>0</x:v>
      </x:c>
      <x:c r="S1615" t="n">
        <x:f>L1615-AVERAGE(Q1615:R1615)</x:f>
        <x:v>0</x:v>
      </x:c>
      <x:c r="T1615" t="str">
        <x:f>IF(M1615=0,IF(AND(N1615=0,O1615=0,E1615=0,F1615=0),"OK","ERREUR"),IF(AND(M1615&gt;=1,M1615&lt;=32,OR(N1615=4,N1615=6,N1615=8,N1615=10,N1615=12,N1615=20),O1615&gt;=0,E1615=M1615+O1615,F1615=M1615*N1615+O1615),"OK","ERREUR"))</x:f>
        <x:v>OK</x:v>
      </x:c>
      <x:c r="U1615" s="86" t="n">
        <x:f>IF(M1615&gt;0,M1615*(N1615+1)/2+O1615,0)</x:f>
        <x:v>0</x:v>
      </x:c>
      <x:c r="V1615" t="str">
        <x:f>IF(ABS(L1615-U1615)&lt;0.001,"OK","ERREUR")</x:f>
        <x:v>OK</x:v>
      </x:c>
    </x:row>
    <x:row r="1616" ht="18" customHeight="1">
      <x:c r="A1616" t="str">
        <x:v>ARM081</x:v>
      </x:c>
      <x:c r="B1616" t="str">
        <x:v>Égide sacrée</x:v>
      </x:c>
      <x:c r="C1616" t="n">
        <x:v>13</x:v>
      </x:c>
      <x:c r="D1616" t="str">
        <x:v>Boucliers</x:v>
      </x:c>
      <x:c r="E1616" s="28" t="n">
        <x:f>IF(M1616=0,0,M1616+O1616)</x:f>
        <x:v>0</x:v>
      </x:c>
      <x:c r="F1616" s="28" t="n">
        <x:f>IF(M1616=0,0,M1616*N1616+O1616)</x:f>
        <x:v>0</x:v>
      </x:c>
      <x:c r="G1616" s="28" t="n">
        <x:f>ROUND(Catalogue!G84*SQRT((1+'Paramètres'!$B$4*(C1616-1)+'Paramètres'!$B$5*(C1616-1)^2)),0)</x:f>
        <x:v>11</x:v>
      </x:c>
      <x:c r="H1616" s="28" t="n">
        <x:f>ROUND(Catalogue!H84*SQRT((1+'Paramètres'!$B$4*(C1616-1)+'Paramètres'!$B$5*(C1616-1)^2)),0)</x:f>
        <x:v>6</x:v>
      </x:c>
      <x:c r="I1616" s="28" t="n">
        <x:v>0</x:v>
      </x:c>
      <x:c r="J1616" s="28" t="n">
        <x:v>0</x:v>
      </x:c>
      <x:c r="K1616" s="30" t="n">
        <x:v>3.7</x:v>
      </x:c>
      <x:c r="L1616" s="54" t="n">
        <x:f>IF(M1616=0,0,(E1616+F1616)/2)</x:f>
        <x:v>0</x:v>
      </x:c>
      <x:c r="M1616" t="n">
        <x:v>0</x:v>
      </x:c>
      <x:c r="N1616" t="n">
        <x:v>0</x:v>
      </x:c>
      <x:c r="O1616" t="n">
        <x:v>0</x:v>
      </x:c>
      <x:c r="P1616" s="63" t="str">
        <x:f>IF(M1616=0,"—",M1616&amp;"d"&amp;N1616&amp;IF(O1616=0,""," + "&amp;O1616))</x:f>
        <x:v>—</x:v>
      </x:c>
      <x:c r="Q1616" t="n">
        <x:f>ROUND(INDEX(Catalogue!E$4:E$85,MATCH(A1616,Catalogue!A$4:A$85,0))*(1+'Paramètres'!$B$4*(C1616-1)+'Paramètres'!$B$5*(C1616-1)^2),0)</x:f>
        <x:v>0</x:v>
      </x:c>
      <x:c r="R1616" t="n">
        <x:f>ROUND(INDEX(Catalogue!F$4:F$85,MATCH(A1616,Catalogue!A$4:A$85,0))*(1+'Paramètres'!$B$4*(C1616-1)+'Paramètres'!$B$5*(C1616-1)^2),0)</x:f>
        <x:v>0</x:v>
      </x:c>
      <x:c r="S1616" t="n">
        <x:f>L1616-AVERAGE(Q1616:R1616)</x:f>
        <x:v>0</x:v>
      </x:c>
      <x:c r="T1616" t="str">
        <x:f>IF(M1616=0,IF(AND(N1616=0,O1616=0,E1616=0,F1616=0),"OK","ERREUR"),IF(AND(M1616&gt;=1,M1616&lt;=32,OR(N1616=4,N1616=6,N1616=8,N1616=10,N1616=12,N1616=20),O1616&gt;=0,E1616=M1616+O1616,F1616=M1616*N1616+O1616),"OK","ERREUR"))</x:f>
        <x:v>OK</x:v>
      </x:c>
      <x:c r="U1616" s="86" t="n">
        <x:f>IF(M1616&gt;0,M1616*(N1616+1)/2+O1616,0)</x:f>
        <x:v>0</x:v>
      </x:c>
      <x:c r="V1616" t="str">
        <x:f>IF(ABS(L1616-U1616)&lt;0.001,"OK","ERREUR")</x:f>
        <x:v>OK</x:v>
      </x:c>
    </x:row>
    <x:row r="1617" ht="18" customHeight="1">
      <x:c r="A1617" t="str">
        <x:v>ARM081</x:v>
      </x:c>
      <x:c r="B1617" t="str">
        <x:v>Égide sacrée</x:v>
      </x:c>
      <x:c r="C1617" t="n">
        <x:v>14</x:v>
      </x:c>
      <x:c r="D1617" t="str">
        <x:v>Boucliers</x:v>
      </x:c>
      <x:c r="E1617" s="28" t="n">
        <x:f>IF(M1617=0,0,M1617+O1617)</x:f>
        <x:v>0</x:v>
      </x:c>
      <x:c r="F1617" s="28" t="n">
        <x:f>IF(M1617=0,0,M1617*N1617+O1617)</x:f>
        <x:v>0</x:v>
      </x:c>
      <x:c r="G1617" s="28" t="n">
        <x:f>ROUND(Catalogue!G84*SQRT((1+'Paramètres'!$B$4*(C1617-1)+'Paramètres'!$B$5*(C1617-1)^2)),0)</x:f>
        <x:v>11</x:v>
      </x:c>
      <x:c r="H1617" s="28" t="n">
        <x:f>ROUND(Catalogue!H84*SQRT((1+'Paramètres'!$B$4*(C1617-1)+'Paramètres'!$B$5*(C1617-1)^2)),0)</x:f>
        <x:v>7</x:v>
      </x:c>
      <x:c r="I1617" s="28" t="n">
        <x:v>0</x:v>
      </x:c>
      <x:c r="J1617" s="28" t="n">
        <x:v>0</x:v>
      </x:c>
      <x:c r="K1617" s="30" t="n">
        <x:v>3.7</x:v>
      </x:c>
      <x:c r="L1617" s="54" t="n">
        <x:f>IF(M1617=0,0,(E1617+F1617)/2)</x:f>
        <x:v>0</x:v>
      </x:c>
      <x:c r="M1617" t="n">
        <x:v>0</x:v>
      </x:c>
      <x:c r="N1617" t="n">
        <x:v>0</x:v>
      </x:c>
      <x:c r="O1617" t="n">
        <x:v>0</x:v>
      </x:c>
      <x:c r="P1617" s="63" t="str">
        <x:f>IF(M1617=0,"—",M1617&amp;"d"&amp;N1617&amp;IF(O1617=0,""," + "&amp;O1617))</x:f>
        <x:v>—</x:v>
      </x:c>
      <x:c r="Q1617" t="n">
        <x:f>ROUND(INDEX(Catalogue!E$4:E$85,MATCH(A1617,Catalogue!A$4:A$85,0))*(1+'Paramètres'!$B$4*(C1617-1)+'Paramètres'!$B$5*(C1617-1)^2),0)</x:f>
        <x:v>0</x:v>
      </x:c>
      <x:c r="R1617" t="n">
        <x:f>ROUND(INDEX(Catalogue!F$4:F$85,MATCH(A1617,Catalogue!A$4:A$85,0))*(1+'Paramètres'!$B$4*(C1617-1)+'Paramètres'!$B$5*(C1617-1)^2),0)</x:f>
        <x:v>0</x:v>
      </x:c>
      <x:c r="S1617" t="n">
        <x:f>L1617-AVERAGE(Q1617:R1617)</x:f>
        <x:v>0</x:v>
      </x:c>
      <x:c r="T1617" t="str">
        <x:f>IF(M1617=0,IF(AND(N1617=0,O1617=0,E1617=0,F1617=0),"OK","ERREUR"),IF(AND(M1617&gt;=1,M1617&lt;=32,OR(N1617=4,N1617=6,N1617=8,N1617=10,N1617=12,N1617=20),O1617&gt;=0,E1617=M1617+O1617,F1617=M1617*N1617+O1617),"OK","ERREUR"))</x:f>
        <x:v>OK</x:v>
      </x:c>
      <x:c r="U1617" s="86" t="n">
        <x:f>IF(M1617&gt;0,M1617*(N1617+1)/2+O1617,0)</x:f>
        <x:v>0</x:v>
      </x:c>
      <x:c r="V1617" t="str">
        <x:f>IF(ABS(L1617-U1617)&lt;0.001,"OK","ERREUR")</x:f>
        <x:v>OK</x:v>
      </x:c>
    </x:row>
    <x:row r="1618" ht="18" customHeight="1">
      <x:c r="A1618" t="str">
        <x:v>ARM081</x:v>
      </x:c>
      <x:c r="B1618" t="str">
        <x:v>Égide sacrée</x:v>
      </x:c>
      <x:c r="C1618" t="n">
        <x:v>15</x:v>
      </x:c>
      <x:c r="D1618" t="str">
        <x:v>Boucliers</x:v>
      </x:c>
      <x:c r="E1618" s="28" t="n">
        <x:f>IF(M1618=0,0,M1618+O1618)</x:f>
        <x:v>0</x:v>
      </x:c>
      <x:c r="F1618" s="28" t="n">
        <x:f>IF(M1618=0,0,M1618*N1618+O1618)</x:f>
        <x:v>0</x:v>
      </x:c>
      <x:c r="G1618" s="28" t="n">
        <x:f>ROUND(Catalogue!G84*SQRT((1+'Paramètres'!$B$4*(C1618-1)+'Paramètres'!$B$5*(C1618-1)^2)),0)</x:f>
        <x:v>12</x:v>
      </x:c>
      <x:c r="H1618" s="28" t="n">
        <x:f>ROUND(Catalogue!H84*SQRT((1+'Paramètres'!$B$4*(C1618-1)+'Paramètres'!$B$5*(C1618-1)^2)),0)</x:f>
        <x:v>7</x:v>
      </x:c>
      <x:c r="I1618" s="28" t="n">
        <x:v>0</x:v>
      </x:c>
      <x:c r="J1618" s="28" t="n">
        <x:v>0</x:v>
      </x:c>
      <x:c r="K1618" s="30" t="n">
        <x:v>3.7</x:v>
      </x:c>
      <x:c r="L1618" s="54" t="n">
        <x:f>IF(M1618=0,0,(E1618+F1618)/2)</x:f>
        <x:v>0</x:v>
      </x:c>
      <x:c r="M1618" t="n">
        <x:v>0</x:v>
      </x:c>
      <x:c r="N1618" t="n">
        <x:v>0</x:v>
      </x:c>
      <x:c r="O1618" t="n">
        <x:v>0</x:v>
      </x:c>
      <x:c r="P1618" s="63" t="str">
        <x:f>IF(M1618=0,"—",M1618&amp;"d"&amp;N1618&amp;IF(O1618=0,""," + "&amp;O1618))</x:f>
        <x:v>—</x:v>
      </x:c>
      <x:c r="Q1618" t="n">
        <x:f>ROUND(INDEX(Catalogue!E$4:E$85,MATCH(A1618,Catalogue!A$4:A$85,0))*(1+'Paramètres'!$B$4*(C1618-1)+'Paramètres'!$B$5*(C1618-1)^2),0)</x:f>
        <x:v>0</x:v>
      </x:c>
      <x:c r="R1618" t="n">
        <x:f>ROUND(INDEX(Catalogue!F$4:F$85,MATCH(A1618,Catalogue!A$4:A$85,0))*(1+'Paramètres'!$B$4*(C1618-1)+'Paramètres'!$B$5*(C1618-1)^2),0)</x:f>
        <x:v>0</x:v>
      </x:c>
      <x:c r="S1618" t="n">
        <x:f>L1618-AVERAGE(Q1618:R1618)</x:f>
        <x:v>0</x:v>
      </x:c>
      <x:c r="T1618" t="str">
        <x:f>IF(M1618=0,IF(AND(N1618=0,O1618=0,E1618=0,F1618=0),"OK","ERREUR"),IF(AND(M1618&gt;=1,M1618&lt;=32,OR(N1618=4,N1618=6,N1618=8,N1618=10,N1618=12,N1618=20),O1618&gt;=0,E1618=M1618+O1618,F1618=M1618*N1618+O1618),"OK","ERREUR"))</x:f>
        <x:v>OK</x:v>
      </x:c>
      <x:c r="U1618" s="86" t="n">
        <x:f>IF(M1618&gt;0,M1618*(N1618+1)/2+O1618,0)</x:f>
        <x:v>0</x:v>
      </x:c>
      <x:c r="V1618" t="str">
        <x:f>IF(ABS(L1618-U1618)&lt;0.001,"OK","ERREUR")</x:f>
        <x:v>OK</x:v>
      </x:c>
    </x:row>
    <x:row r="1619" ht="18" customHeight="1">
      <x:c r="A1619" t="str">
        <x:v>ARM081</x:v>
      </x:c>
      <x:c r="B1619" t="str">
        <x:v>Égide sacrée</x:v>
      </x:c>
      <x:c r="C1619" t="n">
        <x:v>16</x:v>
      </x:c>
      <x:c r="D1619" t="str">
        <x:v>Boucliers</x:v>
      </x:c>
      <x:c r="E1619" s="28" t="n">
        <x:f>IF(M1619=0,0,M1619+O1619)</x:f>
        <x:v>0</x:v>
      </x:c>
      <x:c r="F1619" s="28" t="n">
        <x:f>IF(M1619=0,0,M1619*N1619+O1619)</x:f>
        <x:v>0</x:v>
      </x:c>
      <x:c r="G1619" s="28" t="n">
        <x:f>ROUND(Catalogue!G84*SQRT((1+'Paramètres'!$B$4*(C1619-1)+'Paramètres'!$B$5*(C1619-1)^2)),0)</x:f>
        <x:v>13</x:v>
      </x:c>
      <x:c r="H1619" s="28" t="n">
        <x:f>ROUND(Catalogue!H84*SQRT((1+'Paramètres'!$B$4*(C1619-1)+'Paramètres'!$B$5*(C1619-1)^2)),0)</x:f>
        <x:v>8</x:v>
      </x:c>
      <x:c r="I1619" s="28" t="n">
        <x:v>0</x:v>
      </x:c>
      <x:c r="J1619" s="28" t="n">
        <x:v>0</x:v>
      </x:c>
      <x:c r="K1619" s="30" t="n">
        <x:v>3.7</x:v>
      </x:c>
      <x:c r="L1619" s="54" t="n">
        <x:f>IF(M1619=0,0,(E1619+F1619)/2)</x:f>
        <x:v>0</x:v>
      </x:c>
      <x:c r="M1619" t="n">
        <x:v>0</x:v>
      </x:c>
      <x:c r="N1619" t="n">
        <x:v>0</x:v>
      </x:c>
      <x:c r="O1619" t="n">
        <x:v>0</x:v>
      </x:c>
      <x:c r="P1619" s="63" t="str">
        <x:f>IF(M1619=0,"—",M1619&amp;"d"&amp;N1619&amp;IF(O1619=0,""," + "&amp;O1619))</x:f>
        <x:v>—</x:v>
      </x:c>
      <x:c r="Q1619" t="n">
        <x:f>ROUND(INDEX(Catalogue!E$4:E$85,MATCH(A1619,Catalogue!A$4:A$85,0))*(1+'Paramètres'!$B$4*(C1619-1)+'Paramètres'!$B$5*(C1619-1)^2),0)</x:f>
        <x:v>0</x:v>
      </x:c>
      <x:c r="R1619" t="n">
        <x:f>ROUND(INDEX(Catalogue!F$4:F$85,MATCH(A1619,Catalogue!A$4:A$85,0))*(1+'Paramètres'!$B$4*(C1619-1)+'Paramètres'!$B$5*(C1619-1)^2),0)</x:f>
        <x:v>0</x:v>
      </x:c>
      <x:c r="S1619" t="n">
        <x:f>L1619-AVERAGE(Q1619:R1619)</x:f>
        <x:v>0</x:v>
      </x:c>
      <x:c r="T1619" t="str">
        <x:f>IF(M1619=0,IF(AND(N1619=0,O1619=0,E1619=0,F1619=0),"OK","ERREUR"),IF(AND(M1619&gt;=1,M1619&lt;=32,OR(N1619=4,N1619=6,N1619=8,N1619=10,N1619=12,N1619=20),O1619&gt;=0,E1619=M1619+O1619,F1619=M1619*N1619+O1619),"OK","ERREUR"))</x:f>
        <x:v>OK</x:v>
      </x:c>
      <x:c r="U1619" s="86" t="n">
        <x:f>IF(M1619&gt;0,M1619*(N1619+1)/2+O1619,0)</x:f>
        <x:v>0</x:v>
      </x:c>
      <x:c r="V1619" t="str">
        <x:f>IF(ABS(L1619-U1619)&lt;0.001,"OK","ERREUR")</x:f>
        <x:v>OK</x:v>
      </x:c>
    </x:row>
    <x:row r="1620" ht="18" customHeight="1">
      <x:c r="A1620" t="str">
        <x:v>ARM081</x:v>
      </x:c>
      <x:c r="B1620" t="str">
        <x:v>Égide sacrée</x:v>
      </x:c>
      <x:c r="C1620" t="n">
        <x:v>17</x:v>
      </x:c>
      <x:c r="D1620" t="str">
        <x:v>Boucliers</x:v>
      </x:c>
      <x:c r="E1620" s="28" t="n">
        <x:f>IF(M1620=0,0,M1620+O1620)</x:f>
        <x:v>0</x:v>
      </x:c>
      <x:c r="F1620" s="28" t="n">
        <x:f>IF(M1620=0,0,M1620*N1620+O1620)</x:f>
        <x:v>0</x:v>
      </x:c>
      <x:c r="G1620" s="28" t="n">
        <x:f>ROUND(Catalogue!G84*SQRT((1+'Paramètres'!$B$4*(C1620-1)+'Paramètres'!$B$5*(C1620-1)^2)),0)</x:f>
        <x:v>13</x:v>
      </x:c>
      <x:c r="H1620" s="28" t="n">
        <x:f>ROUND(Catalogue!H84*SQRT((1+'Paramètres'!$B$4*(C1620-1)+'Paramètres'!$B$5*(C1620-1)^2)),0)</x:f>
        <x:v>8</x:v>
      </x:c>
      <x:c r="I1620" s="28" t="n">
        <x:v>0</x:v>
      </x:c>
      <x:c r="J1620" s="28" t="n">
        <x:v>0</x:v>
      </x:c>
      <x:c r="K1620" s="30" t="n">
        <x:v>3.7</x:v>
      </x:c>
      <x:c r="L1620" s="54" t="n">
        <x:f>IF(M1620=0,0,(E1620+F1620)/2)</x:f>
        <x:v>0</x:v>
      </x:c>
      <x:c r="M1620" t="n">
        <x:v>0</x:v>
      </x:c>
      <x:c r="N1620" t="n">
        <x:v>0</x:v>
      </x:c>
      <x:c r="O1620" t="n">
        <x:v>0</x:v>
      </x:c>
      <x:c r="P1620" s="63" t="str">
        <x:f>IF(M1620=0,"—",M1620&amp;"d"&amp;N1620&amp;IF(O1620=0,""," + "&amp;O1620))</x:f>
        <x:v>—</x:v>
      </x:c>
      <x:c r="Q1620" t="n">
        <x:f>ROUND(INDEX(Catalogue!E$4:E$85,MATCH(A1620,Catalogue!A$4:A$85,0))*(1+'Paramètres'!$B$4*(C1620-1)+'Paramètres'!$B$5*(C1620-1)^2),0)</x:f>
        <x:v>0</x:v>
      </x:c>
      <x:c r="R1620" t="n">
        <x:f>ROUND(INDEX(Catalogue!F$4:F$85,MATCH(A1620,Catalogue!A$4:A$85,0))*(1+'Paramètres'!$B$4*(C1620-1)+'Paramètres'!$B$5*(C1620-1)^2),0)</x:f>
        <x:v>0</x:v>
      </x:c>
      <x:c r="S1620" t="n">
        <x:f>L1620-AVERAGE(Q1620:R1620)</x:f>
        <x:v>0</x:v>
      </x:c>
      <x:c r="T1620" t="str">
        <x:f>IF(M1620=0,IF(AND(N1620=0,O1620=0,E1620=0,F1620=0),"OK","ERREUR"),IF(AND(M1620&gt;=1,M1620&lt;=32,OR(N1620=4,N1620=6,N1620=8,N1620=10,N1620=12,N1620=20),O1620&gt;=0,E1620=M1620+O1620,F1620=M1620*N1620+O1620),"OK","ERREUR"))</x:f>
        <x:v>OK</x:v>
      </x:c>
      <x:c r="U1620" s="86" t="n">
        <x:f>IF(M1620&gt;0,M1620*(N1620+1)/2+O1620,0)</x:f>
        <x:v>0</x:v>
      </x:c>
      <x:c r="V1620" t="str">
        <x:f>IF(ABS(L1620-U1620)&lt;0.001,"OK","ERREUR")</x:f>
        <x:v>OK</x:v>
      </x:c>
    </x:row>
    <x:row r="1621" ht="18" customHeight="1">
      <x:c r="A1621" t="str">
        <x:v>ARM081</x:v>
      </x:c>
      <x:c r="B1621" t="str">
        <x:v>Égide sacrée</x:v>
      </x:c>
      <x:c r="C1621" t="n">
        <x:v>18</x:v>
      </x:c>
      <x:c r="D1621" t="str">
        <x:v>Boucliers</x:v>
      </x:c>
      <x:c r="E1621" s="28" t="n">
        <x:f>IF(M1621=0,0,M1621+O1621)</x:f>
        <x:v>0</x:v>
      </x:c>
      <x:c r="F1621" s="28" t="n">
        <x:f>IF(M1621=0,0,M1621*N1621+O1621)</x:f>
        <x:v>0</x:v>
      </x:c>
      <x:c r="G1621" s="28" t="n">
        <x:f>ROUND(Catalogue!G84*SQRT((1+'Paramètres'!$B$4*(C1621-1)+'Paramètres'!$B$5*(C1621-1)^2)),0)</x:f>
        <x:v>14</x:v>
      </x:c>
      <x:c r="H1621" s="28" t="n">
        <x:f>ROUND(Catalogue!H84*SQRT((1+'Paramètres'!$B$4*(C1621-1)+'Paramètres'!$B$5*(C1621-1)^2)),0)</x:f>
        <x:v>8</x:v>
      </x:c>
      <x:c r="I1621" s="28" t="n">
        <x:v>0</x:v>
      </x:c>
      <x:c r="J1621" s="28" t="n">
        <x:v>0</x:v>
      </x:c>
      <x:c r="K1621" s="30" t="n">
        <x:v>3.7</x:v>
      </x:c>
      <x:c r="L1621" s="54" t="n">
        <x:f>IF(M1621=0,0,(E1621+F1621)/2)</x:f>
        <x:v>0</x:v>
      </x:c>
      <x:c r="M1621" t="n">
        <x:v>0</x:v>
      </x:c>
      <x:c r="N1621" t="n">
        <x:v>0</x:v>
      </x:c>
      <x:c r="O1621" t="n">
        <x:v>0</x:v>
      </x:c>
      <x:c r="P1621" s="63" t="str">
        <x:f>IF(M1621=0,"—",M1621&amp;"d"&amp;N1621&amp;IF(O1621=0,""," + "&amp;O1621))</x:f>
        <x:v>—</x:v>
      </x:c>
      <x:c r="Q1621" t="n">
        <x:f>ROUND(INDEX(Catalogue!E$4:E$85,MATCH(A1621,Catalogue!A$4:A$85,0))*(1+'Paramètres'!$B$4*(C1621-1)+'Paramètres'!$B$5*(C1621-1)^2),0)</x:f>
        <x:v>0</x:v>
      </x:c>
      <x:c r="R1621" t="n">
        <x:f>ROUND(INDEX(Catalogue!F$4:F$85,MATCH(A1621,Catalogue!A$4:A$85,0))*(1+'Paramètres'!$B$4*(C1621-1)+'Paramètres'!$B$5*(C1621-1)^2),0)</x:f>
        <x:v>0</x:v>
      </x:c>
      <x:c r="S1621" t="n">
        <x:f>L1621-AVERAGE(Q1621:R1621)</x:f>
        <x:v>0</x:v>
      </x:c>
      <x:c r="T1621" t="str">
        <x:f>IF(M1621=0,IF(AND(N1621=0,O1621=0,E1621=0,F1621=0),"OK","ERREUR"),IF(AND(M1621&gt;=1,M1621&lt;=32,OR(N1621=4,N1621=6,N1621=8,N1621=10,N1621=12,N1621=20),O1621&gt;=0,E1621=M1621+O1621,F1621=M1621*N1621+O1621),"OK","ERREUR"))</x:f>
        <x:v>OK</x:v>
      </x:c>
      <x:c r="U1621" s="86" t="n">
        <x:f>IF(M1621&gt;0,M1621*(N1621+1)/2+O1621,0)</x:f>
        <x:v>0</x:v>
      </x:c>
      <x:c r="V1621" t="str">
        <x:f>IF(ABS(L1621-U1621)&lt;0.001,"OK","ERREUR")</x:f>
        <x:v>OK</x:v>
      </x:c>
    </x:row>
    <x:row r="1622" ht="18" customHeight="1">
      <x:c r="A1622" t="str">
        <x:v>ARM081</x:v>
      </x:c>
      <x:c r="B1622" t="str">
        <x:v>Égide sacrée</x:v>
      </x:c>
      <x:c r="C1622" t="n">
        <x:v>19</x:v>
      </x:c>
      <x:c r="D1622" t="str">
        <x:v>Boucliers</x:v>
      </x:c>
      <x:c r="E1622" s="28" t="n">
        <x:f>IF(M1622=0,0,M1622+O1622)</x:f>
        <x:v>0</x:v>
      </x:c>
      <x:c r="F1622" s="28" t="n">
        <x:f>IF(M1622=0,0,M1622*N1622+O1622)</x:f>
        <x:v>0</x:v>
      </x:c>
      <x:c r="G1622" s="28" t="n">
        <x:f>ROUND(Catalogue!G84*SQRT((1+'Paramètres'!$B$4*(C1622-1)+'Paramètres'!$B$5*(C1622-1)^2)),0)</x:f>
        <x:v>14</x:v>
      </x:c>
      <x:c r="H1622" s="28" t="n">
        <x:f>ROUND(Catalogue!H84*SQRT((1+'Paramètres'!$B$4*(C1622-1)+'Paramètres'!$B$5*(C1622-1)^2)),0)</x:f>
        <x:v>9</x:v>
      </x:c>
      <x:c r="I1622" s="28" t="n">
        <x:v>0</x:v>
      </x:c>
      <x:c r="J1622" s="28" t="n">
        <x:v>0</x:v>
      </x:c>
      <x:c r="K1622" s="30" t="n">
        <x:v>3.7</x:v>
      </x:c>
      <x:c r="L1622" s="54" t="n">
        <x:f>IF(M1622=0,0,(E1622+F1622)/2)</x:f>
        <x:v>0</x:v>
      </x:c>
      <x:c r="M1622" t="n">
        <x:v>0</x:v>
      </x:c>
      <x:c r="N1622" t="n">
        <x:v>0</x:v>
      </x:c>
      <x:c r="O1622" t="n">
        <x:v>0</x:v>
      </x:c>
      <x:c r="P1622" s="63" t="str">
        <x:f>IF(M1622=0,"—",M1622&amp;"d"&amp;N1622&amp;IF(O1622=0,""," + "&amp;O1622))</x:f>
        <x:v>—</x:v>
      </x:c>
      <x:c r="Q1622" t="n">
        <x:f>ROUND(INDEX(Catalogue!E$4:E$85,MATCH(A1622,Catalogue!A$4:A$85,0))*(1+'Paramètres'!$B$4*(C1622-1)+'Paramètres'!$B$5*(C1622-1)^2),0)</x:f>
        <x:v>0</x:v>
      </x:c>
      <x:c r="R1622" t="n">
        <x:f>ROUND(INDEX(Catalogue!F$4:F$85,MATCH(A1622,Catalogue!A$4:A$85,0))*(1+'Paramètres'!$B$4*(C1622-1)+'Paramètres'!$B$5*(C1622-1)^2),0)</x:f>
        <x:v>0</x:v>
      </x:c>
      <x:c r="S1622" t="n">
        <x:f>L1622-AVERAGE(Q1622:R1622)</x:f>
        <x:v>0</x:v>
      </x:c>
      <x:c r="T1622" t="str">
        <x:f>IF(M1622=0,IF(AND(N1622=0,O1622=0,E1622=0,F1622=0),"OK","ERREUR"),IF(AND(M1622&gt;=1,M1622&lt;=32,OR(N1622=4,N1622=6,N1622=8,N1622=10,N1622=12,N1622=20),O1622&gt;=0,E1622=M1622+O1622,F1622=M1622*N1622+O1622),"OK","ERREUR"))</x:f>
        <x:v>OK</x:v>
      </x:c>
      <x:c r="U1622" s="86" t="n">
        <x:f>IF(M1622&gt;0,M1622*(N1622+1)/2+O1622,0)</x:f>
        <x:v>0</x:v>
      </x:c>
      <x:c r="V1622" t="str">
        <x:f>IF(ABS(L1622-U1622)&lt;0.001,"OK","ERREUR")</x:f>
        <x:v>OK</x:v>
      </x:c>
    </x:row>
    <x:row r="1623" ht="18" customHeight="1">
      <x:c r="A1623" t="str">
        <x:v>ARM081</x:v>
      </x:c>
      <x:c r="B1623" t="str">
        <x:v>Égide sacrée</x:v>
      </x:c>
      <x:c r="C1623" t="n">
        <x:v>20</x:v>
      </x:c>
      <x:c r="D1623" t="str">
        <x:v>Boucliers</x:v>
      </x:c>
      <x:c r="E1623" s="28" t="n">
        <x:f>IF(M1623=0,0,M1623+O1623)</x:f>
        <x:v>0</x:v>
      </x:c>
      <x:c r="F1623" s="28" t="n">
        <x:f>IF(M1623=0,0,M1623*N1623+O1623)</x:f>
        <x:v>0</x:v>
      </x:c>
      <x:c r="G1623" s="28" t="n">
        <x:f>ROUND(Catalogue!G84*SQRT((1+'Paramètres'!$B$4*(C1623-1)+'Paramètres'!$B$5*(C1623-1)^2)),0)</x:f>
        <x:v>15</x:v>
      </x:c>
      <x:c r="H1623" s="28" t="n">
        <x:f>ROUND(Catalogue!H84*SQRT((1+'Paramètres'!$B$4*(C1623-1)+'Paramètres'!$B$5*(C1623-1)^2)),0)</x:f>
        <x:v>9</x:v>
      </x:c>
      <x:c r="I1623" s="28" t="n">
        <x:v>0</x:v>
      </x:c>
      <x:c r="J1623" s="28" t="n">
        <x:v>0</x:v>
      </x:c>
      <x:c r="K1623" s="30" t="n">
        <x:v>3.7</x:v>
      </x:c>
      <x:c r="L1623" s="54" t="n">
        <x:f>IF(M1623=0,0,(E1623+F1623)/2)</x:f>
        <x:v>0</x:v>
      </x:c>
      <x:c r="M1623" t="n">
        <x:v>0</x:v>
      </x:c>
      <x:c r="N1623" t="n">
        <x:v>0</x:v>
      </x:c>
      <x:c r="O1623" t="n">
        <x:v>0</x:v>
      </x:c>
      <x:c r="P1623" s="63" t="str">
        <x:f>IF(M1623=0,"—",M1623&amp;"d"&amp;N1623&amp;IF(O1623=0,""," + "&amp;O1623))</x:f>
        <x:v>—</x:v>
      </x:c>
      <x:c r="Q1623" t="n">
        <x:f>ROUND(INDEX(Catalogue!E$4:E$85,MATCH(A1623,Catalogue!A$4:A$85,0))*(1+'Paramètres'!$B$4*(C1623-1)+'Paramètres'!$B$5*(C1623-1)^2),0)</x:f>
        <x:v>0</x:v>
      </x:c>
      <x:c r="R1623" t="n">
        <x:f>ROUND(INDEX(Catalogue!F$4:F$85,MATCH(A1623,Catalogue!A$4:A$85,0))*(1+'Paramètres'!$B$4*(C1623-1)+'Paramètres'!$B$5*(C1623-1)^2),0)</x:f>
        <x:v>0</x:v>
      </x:c>
      <x:c r="S1623" t="n">
        <x:f>L1623-AVERAGE(Q1623:R1623)</x:f>
        <x:v>0</x:v>
      </x:c>
      <x:c r="T1623" t="str">
        <x:f>IF(M1623=0,IF(AND(N1623=0,O1623=0,E1623=0,F1623=0),"OK","ERREUR"),IF(AND(M1623&gt;=1,M1623&lt;=32,OR(N1623=4,N1623=6,N1623=8,N1623=10,N1623=12,N1623=20),O1623&gt;=0,E1623=M1623+O1623,F1623=M1623*N1623+O1623),"OK","ERREUR"))</x:f>
        <x:v>OK</x:v>
      </x:c>
      <x:c r="U1623" s="86" t="n">
        <x:f>IF(M1623&gt;0,M1623*(N1623+1)/2+O1623,0)</x:f>
        <x:v>0</x:v>
      </x:c>
      <x:c r="V1623" t="str">
        <x:f>IF(ABS(L1623-U1623)&lt;0.001,"OK","ERREUR")</x:f>
        <x:v>OK</x:v>
      </x:c>
    </x:row>
    <x:row r="1624" ht="18" customHeight="1">
      <x:c r="A1624" t="str">
        <x:v>ARM082</x:v>
      </x:c>
      <x:c r="B1624" t="str">
        <x:v>Bouclier runique</x:v>
      </x:c>
      <x:c r="C1624" t="n">
        <x:v>1</x:v>
      </x:c>
      <x:c r="D1624" t="str">
        <x:v>Boucliers</x:v>
      </x:c>
      <x:c r="E1624" s="28" t="n">
        <x:f>IF(M1624=0,0,M1624+O1624)</x:f>
        <x:v>0</x:v>
      </x:c>
      <x:c r="F1624" s="28" t="n">
        <x:f>IF(M1624=0,0,M1624*N1624+O1624)</x:f>
        <x:v>0</x:v>
      </x:c>
      <x:c r="G1624" s="28" t="n">
        <x:f>ROUND(Catalogue!G85*SQRT((1+'Paramètres'!$B$4*(C1624-1)+'Paramètres'!$B$5*(C1624-1)^2)),0)</x:f>
        <x:v>4</x:v>
      </x:c>
      <x:c r="H1624" s="28" t="n">
        <x:f>ROUND(Catalogue!H85*SQRT((1+'Paramètres'!$B$4*(C1624-1)+'Paramètres'!$B$5*(C1624-1)^2)),0)</x:f>
        <x:v>4</x:v>
      </x:c>
      <x:c r="I1624" s="28" t="n">
        <x:v>0</x:v>
      </x:c>
      <x:c r="J1624" s="28" t="n">
        <x:v>0</x:v>
      </x:c>
      <x:c r="K1624" s="30" t="n">
        <x:v>3.5</x:v>
      </x:c>
      <x:c r="L1624" s="54" t="n">
        <x:f>IF(M1624=0,0,(E1624+F1624)/2)</x:f>
        <x:v>0</x:v>
      </x:c>
      <x:c r="M1624" t="n">
        <x:v>0</x:v>
      </x:c>
      <x:c r="N1624" t="n">
        <x:v>0</x:v>
      </x:c>
      <x:c r="O1624" t="n">
        <x:v>0</x:v>
      </x:c>
      <x:c r="P1624" s="63" t="str">
        <x:f>IF(M1624=0,"—",M1624&amp;"d"&amp;N1624&amp;IF(O1624=0,""," + "&amp;O1624))</x:f>
        <x:v>—</x:v>
      </x:c>
      <x:c r="Q1624" t="n">
        <x:f>ROUND(INDEX(Catalogue!E$4:E$85,MATCH(A1624,Catalogue!A$4:A$85,0))*(1+'Paramètres'!$B$4*(C1624-1)+'Paramètres'!$B$5*(C1624-1)^2),0)</x:f>
        <x:v>0</x:v>
      </x:c>
      <x:c r="R1624" t="n">
        <x:f>ROUND(INDEX(Catalogue!F$4:F$85,MATCH(A1624,Catalogue!A$4:A$85,0))*(1+'Paramètres'!$B$4*(C1624-1)+'Paramètres'!$B$5*(C1624-1)^2),0)</x:f>
        <x:v>0</x:v>
      </x:c>
      <x:c r="S1624" t="n">
        <x:f>L1624-AVERAGE(Q1624:R1624)</x:f>
        <x:v>0</x:v>
      </x:c>
      <x:c r="T1624" t="str">
        <x:f>IF(M1624=0,IF(AND(N1624=0,O1624=0,E1624=0,F1624=0),"OK","ERREUR"),IF(AND(M1624&gt;=1,M1624&lt;=32,OR(N1624=4,N1624=6,N1624=8,N1624=10,N1624=12,N1624=20),O1624&gt;=0,E1624=M1624+O1624,F1624=M1624*N1624+O1624),"OK","ERREUR"))</x:f>
        <x:v>OK</x:v>
      </x:c>
      <x:c r="U1624" s="86" t="n">
        <x:f>IF(M1624&gt;0,M1624*(N1624+1)/2+O1624,0)</x:f>
        <x:v>0</x:v>
      </x:c>
      <x:c r="V1624" t="str">
        <x:f>IF(ABS(L1624-U1624)&lt;0.001,"OK","ERREUR")</x:f>
        <x:v>OK</x:v>
      </x:c>
    </x:row>
    <x:row r="1625" ht="18" customHeight="1">
      <x:c r="A1625" t="str">
        <x:v>ARM082</x:v>
      </x:c>
      <x:c r="B1625" t="str">
        <x:v>Bouclier runique</x:v>
      </x:c>
      <x:c r="C1625" t="n">
        <x:v>2</x:v>
      </x:c>
      <x:c r="D1625" t="str">
        <x:v>Boucliers</x:v>
      </x:c>
      <x:c r="E1625" s="28" t="n">
        <x:f>IF(M1625=0,0,M1625+O1625)</x:f>
        <x:v>0</x:v>
      </x:c>
      <x:c r="F1625" s="28" t="n">
        <x:f>IF(M1625=0,0,M1625*N1625+O1625)</x:f>
        <x:v>0</x:v>
      </x:c>
      <x:c r="G1625" s="28" t="n">
        <x:f>ROUND(Catalogue!G85*SQRT((1+'Paramètres'!$B$4*(C1625-1)+'Paramètres'!$B$5*(C1625-1)^2)),0)</x:f>
        <x:v>4</x:v>
      </x:c>
      <x:c r="H1625" s="28" t="n">
        <x:f>ROUND(Catalogue!H85*SQRT((1+'Paramètres'!$B$4*(C1625-1)+'Paramètres'!$B$5*(C1625-1)^2)),0)</x:f>
        <x:v>4</x:v>
      </x:c>
      <x:c r="I1625" s="28" t="n">
        <x:v>0</x:v>
      </x:c>
      <x:c r="J1625" s="28" t="n">
        <x:v>0</x:v>
      </x:c>
      <x:c r="K1625" s="30" t="n">
        <x:v>3.5</x:v>
      </x:c>
      <x:c r="L1625" s="54" t="n">
        <x:f>IF(M1625=0,0,(E1625+F1625)/2)</x:f>
        <x:v>0</x:v>
      </x:c>
      <x:c r="M1625" t="n">
        <x:v>0</x:v>
      </x:c>
      <x:c r="N1625" t="n">
        <x:v>0</x:v>
      </x:c>
      <x:c r="O1625" t="n">
        <x:v>0</x:v>
      </x:c>
      <x:c r="P1625" s="63" t="str">
        <x:f>IF(M1625=0,"—",M1625&amp;"d"&amp;N1625&amp;IF(O1625=0,""," + "&amp;O1625))</x:f>
        <x:v>—</x:v>
      </x:c>
      <x:c r="Q1625" t="n">
        <x:f>ROUND(INDEX(Catalogue!E$4:E$85,MATCH(A1625,Catalogue!A$4:A$85,0))*(1+'Paramètres'!$B$4*(C1625-1)+'Paramètres'!$B$5*(C1625-1)^2),0)</x:f>
        <x:v>0</x:v>
      </x:c>
      <x:c r="R1625" t="n">
        <x:f>ROUND(INDEX(Catalogue!F$4:F$85,MATCH(A1625,Catalogue!A$4:A$85,0))*(1+'Paramètres'!$B$4*(C1625-1)+'Paramètres'!$B$5*(C1625-1)^2),0)</x:f>
        <x:v>0</x:v>
      </x:c>
      <x:c r="S1625" t="n">
        <x:f>L1625-AVERAGE(Q1625:R1625)</x:f>
        <x:v>0</x:v>
      </x:c>
      <x:c r="T1625" t="str">
        <x:f>IF(M1625=0,IF(AND(N1625=0,O1625=0,E1625=0,F1625=0),"OK","ERREUR"),IF(AND(M1625&gt;=1,M1625&lt;=32,OR(N1625=4,N1625=6,N1625=8,N1625=10,N1625=12,N1625=20),O1625&gt;=0,E1625=M1625+O1625,F1625=M1625*N1625+O1625),"OK","ERREUR"))</x:f>
        <x:v>OK</x:v>
      </x:c>
      <x:c r="U1625" s="86" t="n">
        <x:f>IF(M1625&gt;0,M1625*(N1625+1)/2+O1625,0)</x:f>
        <x:v>0</x:v>
      </x:c>
      <x:c r="V1625" t="str">
        <x:f>IF(ABS(L1625-U1625)&lt;0.001,"OK","ERREUR")</x:f>
        <x:v>OK</x:v>
      </x:c>
    </x:row>
    <x:row r="1626" ht="18" customHeight="1">
      <x:c r="A1626" t="str">
        <x:v>ARM082</x:v>
      </x:c>
      <x:c r="B1626" t="str">
        <x:v>Bouclier runique</x:v>
      </x:c>
      <x:c r="C1626" t="n">
        <x:v>3</x:v>
      </x:c>
      <x:c r="D1626" t="str">
        <x:v>Boucliers</x:v>
      </x:c>
      <x:c r="E1626" s="28" t="n">
        <x:f>IF(M1626=0,0,M1626+O1626)</x:f>
        <x:v>0</x:v>
      </x:c>
      <x:c r="F1626" s="28" t="n">
        <x:f>IF(M1626=0,0,M1626*N1626+O1626)</x:f>
        <x:v>0</x:v>
      </x:c>
      <x:c r="G1626" s="28" t="n">
        <x:f>ROUND(Catalogue!G85*SQRT((1+'Paramètres'!$B$4*(C1626-1)+'Paramètres'!$B$5*(C1626-1)^2)),0)</x:f>
        <x:v>5</x:v>
      </x:c>
      <x:c r="H1626" s="28" t="n">
        <x:f>ROUND(Catalogue!H85*SQRT((1+'Paramètres'!$B$4*(C1626-1)+'Paramètres'!$B$5*(C1626-1)^2)),0)</x:f>
        <x:v>5</x:v>
      </x:c>
      <x:c r="I1626" s="28" t="n">
        <x:v>0</x:v>
      </x:c>
      <x:c r="J1626" s="28" t="n">
        <x:v>0</x:v>
      </x:c>
      <x:c r="K1626" s="30" t="n">
        <x:v>3.5</x:v>
      </x:c>
      <x:c r="L1626" s="54" t="n">
        <x:f>IF(M1626=0,0,(E1626+F1626)/2)</x:f>
        <x:v>0</x:v>
      </x:c>
      <x:c r="M1626" t="n">
        <x:v>0</x:v>
      </x:c>
      <x:c r="N1626" t="n">
        <x:v>0</x:v>
      </x:c>
      <x:c r="O1626" t="n">
        <x:v>0</x:v>
      </x:c>
      <x:c r="P1626" s="63" t="str">
        <x:f>IF(M1626=0,"—",M1626&amp;"d"&amp;N1626&amp;IF(O1626=0,""," + "&amp;O1626))</x:f>
        <x:v>—</x:v>
      </x:c>
      <x:c r="Q1626" t="n">
        <x:f>ROUND(INDEX(Catalogue!E$4:E$85,MATCH(A1626,Catalogue!A$4:A$85,0))*(1+'Paramètres'!$B$4*(C1626-1)+'Paramètres'!$B$5*(C1626-1)^2),0)</x:f>
        <x:v>0</x:v>
      </x:c>
      <x:c r="R1626" t="n">
        <x:f>ROUND(INDEX(Catalogue!F$4:F$85,MATCH(A1626,Catalogue!A$4:A$85,0))*(1+'Paramètres'!$B$4*(C1626-1)+'Paramètres'!$B$5*(C1626-1)^2),0)</x:f>
        <x:v>0</x:v>
      </x:c>
      <x:c r="S1626" t="n">
        <x:f>L1626-AVERAGE(Q1626:R1626)</x:f>
        <x:v>0</x:v>
      </x:c>
      <x:c r="T1626" t="str">
        <x:f>IF(M1626=0,IF(AND(N1626=0,O1626=0,E1626=0,F1626=0),"OK","ERREUR"),IF(AND(M1626&gt;=1,M1626&lt;=32,OR(N1626=4,N1626=6,N1626=8,N1626=10,N1626=12,N1626=20),O1626&gt;=0,E1626=M1626+O1626,F1626=M1626*N1626+O1626),"OK","ERREUR"))</x:f>
        <x:v>OK</x:v>
      </x:c>
      <x:c r="U1626" s="86" t="n">
        <x:f>IF(M1626&gt;0,M1626*(N1626+1)/2+O1626,0)</x:f>
        <x:v>0</x:v>
      </x:c>
      <x:c r="V1626" t="str">
        <x:f>IF(ABS(L1626-U1626)&lt;0.001,"OK","ERREUR")</x:f>
        <x:v>OK</x:v>
      </x:c>
    </x:row>
    <x:row r="1627" ht="18" customHeight="1">
      <x:c r="A1627" t="str">
        <x:v>ARM082</x:v>
      </x:c>
      <x:c r="B1627" t="str">
        <x:v>Bouclier runique</x:v>
      </x:c>
      <x:c r="C1627" t="n">
        <x:v>4</x:v>
      </x:c>
      <x:c r="D1627" t="str">
        <x:v>Boucliers</x:v>
      </x:c>
      <x:c r="E1627" s="28" t="n">
        <x:f>IF(M1627=0,0,M1627+O1627)</x:f>
        <x:v>0</x:v>
      </x:c>
      <x:c r="F1627" s="28" t="n">
        <x:f>IF(M1627=0,0,M1627*N1627+O1627)</x:f>
        <x:v>0</x:v>
      </x:c>
      <x:c r="G1627" s="28" t="n">
        <x:f>ROUND(Catalogue!G85*SQRT((1+'Paramètres'!$B$4*(C1627-1)+'Paramètres'!$B$5*(C1627-1)^2)),0)</x:f>
        <x:v>5</x:v>
      </x:c>
      <x:c r="H1627" s="28" t="n">
        <x:f>ROUND(Catalogue!H85*SQRT((1+'Paramètres'!$B$4*(C1627-1)+'Paramètres'!$B$5*(C1627-1)^2)),0)</x:f>
        <x:v>5</x:v>
      </x:c>
      <x:c r="I1627" s="28" t="n">
        <x:v>0</x:v>
      </x:c>
      <x:c r="J1627" s="28" t="n">
        <x:v>0</x:v>
      </x:c>
      <x:c r="K1627" s="30" t="n">
        <x:v>3.5</x:v>
      </x:c>
      <x:c r="L1627" s="54" t="n">
        <x:f>IF(M1627=0,0,(E1627+F1627)/2)</x:f>
        <x:v>0</x:v>
      </x:c>
      <x:c r="M1627" t="n">
        <x:v>0</x:v>
      </x:c>
      <x:c r="N1627" t="n">
        <x:v>0</x:v>
      </x:c>
      <x:c r="O1627" t="n">
        <x:v>0</x:v>
      </x:c>
      <x:c r="P1627" s="63" t="str">
        <x:f>IF(M1627=0,"—",M1627&amp;"d"&amp;N1627&amp;IF(O1627=0,""," + "&amp;O1627))</x:f>
        <x:v>—</x:v>
      </x:c>
      <x:c r="Q1627" t="n">
        <x:f>ROUND(INDEX(Catalogue!E$4:E$85,MATCH(A1627,Catalogue!A$4:A$85,0))*(1+'Paramètres'!$B$4*(C1627-1)+'Paramètres'!$B$5*(C1627-1)^2),0)</x:f>
        <x:v>0</x:v>
      </x:c>
      <x:c r="R1627" t="n">
        <x:f>ROUND(INDEX(Catalogue!F$4:F$85,MATCH(A1627,Catalogue!A$4:A$85,0))*(1+'Paramètres'!$B$4*(C1627-1)+'Paramètres'!$B$5*(C1627-1)^2),0)</x:f>
        <x:v>0</x:v>
      </x:c>
      <x:c r="S1627" t="n">
        <x:f>L1627-AVERAGE(Q1627:R1627)</x:f>
        <x:v>0</x:v>
      </x:c>
      <x:c r="T1627" t="str">
        <x:f>IF(M1627=0,IF(AND(N1627=0,O1627=0,E1627=0,F1627=0),"OK","ERREUR"),IF(AND(M1627&gt;=1,M1627&lt;=32,OR(N1627=4,N1627=6,N1627=8,N1627=10,N1627=12,N1627=20),O1627&gt;=0,E1627=M1627+O1627,F1627=M1627*N1627+O1627),"OK","ERREUR"))</x:f>
        <x:v>OK</x:v>
      </x:c>
      <x:c r="U1627" s="86" t="n">
        <x:f>IF(M1627&gt;0,M1627*(N1627+1)/2+O1627,0)</x:f>
        <x:v>0</x:v>
      </x:c>
      <x:c r="V1627" t="str">
        <x:f>IF(ABS(L1627-U1627)&lt;0.001,"OK","ERREUR")</x:f>
        <x:v>OK</x:v>
      </x:c>
    </x:row>
    <x:row r="1628" ht="18" customHeight="1">
      <x:c r="A1628" t="str">
        <x:v>ARM082</x:v>
      </x:c>
      <x:c r="B1628" t="str">
        <x:v>Bouclier runique</x:v>
      </x:c>
      <x:c r="C1628" t="n">
        <x:v>5</x:v>
      </x:c>
      <x:c r="D1628" t="str">
        <x:v>Boucliers</x:v>
      </x:c>
      <x:c r="E1628" s="28" t="n">
        <x:f>IF(M1628=0,0,M1628+O1628)</x:f>
        <x:v>0</x:v>
      </x:c>
      <x:c r="F1628" s="28" t="n">
        <x:f>IF(M1628=0,0,M1628*N1628+O1628)</x:f>
        <x:v>0</x:v>
      </x:c>
      <x:c r="G1628" s="28" t="n">
        <x:f>ROUND(Catalogue!G85*SQRT((1+'Paramètres'!$B$4*(C1628-1)+'Paramètres'!$B$5*(C1628-1)^2)),0)</x:f>
        <x:v>5</x:v>
      </x:c>
      <x:c r="H1628" s="28" t="n">
        <x:f>ROUND(Catalogue!H85*SQRT((1+'Paramètres'!$B$4*(C1628-1)+'Paramètres'!$B$5*(C1628-1)^2)),0)</x:f>
        <x:v>5</x:v>
      </x:c>
      <x:c r="I1628" s="28" t="n">
        <x:v>0</x:v>
      </x:c>
      <x:c r="J1628" s="28" t="n">
        <x:v>0</x:v>
      </x:c>
      <x:c r="K1628" s="30" t="n">
        <x:v>3.5</x:v>
      </x:c>
      <x:c r="L1628" s="54" t="n">
        <x:f>IF(M1628=0,0,(E1628+F1628)/2)</x:f>
        <x:v>0</x:v>
      </x:c>
      <x:c r="M1628" t="n">
        <x:v>0</x:v>
      </x:c>
      <x:c r="N1628" t="n">
        <x:v>0</x:v>
      </x:c>
      <x:c r="O1628" t="n">
        <x:v>0</x:v>
      </x:c>
      <x:c r="P1628" s="63" t="str">
        <x:f>IF(M1628=0,"—",M1628&amp;"d"&amp;N1628&amp;IF(O1628=0,""," + "&amp;O1628))</x:f>
        <x:v>—</x:v>
      </x:c>
      <x:c r="Q1628" t="n">
        <x:f>ROUND(INDEX(Catalogue!E$4:E$85,MATCH(A1628,Catalogue!A$4:A$85,0))*(1+'Paramètres'!$B$4*(C1628-1)+'Paramètres'!$B$5*(C1628-1)^2),0)</x:f>
        <x:v>0</x:v>
      </x:c>
      <x:c r="R1628" t="n">
        <x:f>ROUND(INDEX(Catalogue!F$4:F$85,MATCH(A1628,Catalogue!A$4:A$85,0))*(1+'Paramètres'!$B$4*(C1628-1)+'Paramètres'!$B$5*(C1628-1)^2),0)</x:f>
        <x:v>0</x:v>
      </x:c>
      <x:c r="S1628" t="n">
        <x:f>L1628-AVERAGE(Q1628:R1628)</x:f>
        <x:v>0</x:v>
      </x:c>
      <x:c r="T1628" t="str">
        <x:f>IF(M1628=0,IF(AND(N1628=0,O1628=0,E1628=0,F1628=0),"OK","ERREUR"),IF(AND(M1628&gt;=1,M1628&lt;=32,OR(N1628=4,N1628=6,N1628=8,N1628=10,N1628=12,N1628=20),O1628&gt;=0,E1628=M1628+O1628,F1628=M1628*N1628+O1628),"OK","ERREUR"))</x:f>
        <x:v>OK</x:v>
      </x:c>
      <x:c r="U1628" s="86" t="n">
        <x:f>IF(M1628&gt;0,M1628*(N1628+1)/2+O1628,0)</x:f>
        <x:v>0</x:v>
      </x:c>
      <x:c r="V1628" t="str">
        <x:f>IF(ABS(L1628-U1628)&lt;0.001,"OK","ERREUR")</x:f>
        <x:v>OK</x:v>
      </x:c>
    </x:row>
    <x:row r="1629" ht="18" customHeight="1">
      <x:c r="A1629" t="str">
        <x:v>ARM082</x:v>
      </x:c>
      <x:c r="B1629" t="str">
        <x:v>Bouclier runique</x:v>
      </x:c>
      <x:c r="C1629" t="n">
        <x:v>6</x:v>
      </x:c>
      <x:c r="D1629" t="str">
        <x:v>Boucliers</x:v>
      </x:c>
      <x:c r="E1629" s="28" t="n">
        <x:f>IF(M1629=0,0,M1629+O1629)</x:f>
        <x:v>0</x:v>
      </x:c>
      <x:c r="F1629" s="28" t="n">
        <x:f>IF(M1629=0,0,M1629*N1629+O1629)</x:f>
        <x:v>0</x:v>
      </x:c>
      <x:c r="G1629" s="28" t="n">
        <x:f>ROUND(Catalogue!G85*SQRT((1+'Paramètres'!$B$4*(C1629-1)+'Paramètres'!$B$5*(C1629-1)^2)),0)</x:f>
        <x:v>6</x:v>
      </x:c>
      <x:c r="H1629" s="28" t="n">
        <x:f>ROUND(Catalogue!H85*SQRT((1+'Paramètres'!$B$4*(C1629-1)+'Paramètres'!$B$5*(C1629-1)^2)),0)</x:f>
        <x:v>6</x:v>
      </x:c>
      <x:c r="I1629" s="28" t="n">
        <x:v>0</x:v>
      </x:c>
      <x:c r="J1629" s="28" t="n">
        <x:v>0</x:v>
      </x:c>
      <x:c r="K1629" s="30" t="n">
        <x:v>3.5</x:v>
      </x:c>
      <x:c r="L1629" s="54" t="n">
        <x:f>IF(M1629=0,0,(E1629+F1629)/2)</x:f>
        <x:v>0</x:v>
      </x:c>
      <x:c r="M1629" t="n">
        <x:v>0</x:v>
      </x:c>
      <x:c r="N1629" t="n">
        <x:v>0</x:v>
      </x:c>
      <x:c r="O1629" t="n">
        <x:v>0</x:v>
      </x:c>
      <x:c r="P1629" s="63" t="str">
        <x:f>IF(M1629=0,"—",M1629&amp;"d"&amp;N1629&amp;IF(O1629=0,""," + "&amp;O1629))</x:f>
        <x:v>—</x:v>
      </x:c>
      <x:c r="Q1629" t="n">
        <x:f>ROUND(INDEX(Catalogue!E$4:E$85,MATCH(A1629,Catalogue!A$4:A$85,0))*(1+'Paramètres'!$B$4*(C1629-1)+'Paramètres'!$B$5*(C1629-1)^2),0)</x:f>
        <x:v>0</x:v>
      </x:c>
      <x:c r="R1629" t="n">
        <x:f>ROUND(INDEX(Catalogue!F$4:F$85,MATCH(A1629,Catalogue!A$4:A$85,0))*(1+'Paramètres'!$B$4*(C1629-1)+'Paramètres'!$B$5*(C1629-1)^2),0)</x:f>
        <x:v>0</x:v>
      </x:c>
      <x:c r="S1629" t="n">
        <x:f>L1629-AVERAGE(Q1629:R1629)</x:f>
        <x:v>0</x:v>
      </x:c>
      <x:c r="T1629" t="str">
        <x:f>IF(M1629=0,IF(AND(N1629=0,O1629=0,E1629=0,F1629=0),"OK","ERREUR"),IF(AND(M1629&gt;=1,M1629&lt;=32,OR(N1629=4,N1629=6,N1629=8,N1629=10,N1629=12,N1629=20),O1629&gt;=0,E1629=M1629+O1629,F1629=M1629*N1629+O1629),"OK","ERREUR"))</x:f>
        <x:v>OK</x:v>
      </x:c>
      <x:c r="U1629" s="86" t="n">
        <x:f>IF(M1629&gt;0,M1629*(N1629+1)/2+O1629,0)</x:f>
        <x:v>0</x:v>
      </x:c>
      <x:c r="V1629" t="str">
        <x:f>IF(ABS(L1629-U1629)&lt;0.001,"OK","ERREUR")</x:f>
        <x:v>OK</x:v>
      </x:c>
    </x:row>
    <x:row r="1630" ht="18" customHeight="1">
      <x:c r="A1630" t="str">
        <x:v>ARM082</x:v>
      </x:c>
      <x:c r="B1630" t="str">
        <x:v>Bouclier runique</x:v>
      </x:c>
      <x:c r="C1630" t="n">
        <x:v>7</x:v>
      </x:c>
      <x:c r="D1630" t="str">
        <x:v>Boucliers</x:v>
      </x:c>
      <x:c r="E1630" s="28" t="n">
        <x:f>IF(M1630=0,0,M1630+O1630)</x:f>
        <x:v>0</x:v>
      </x:c>
      <x:c r="F1630" s="28" t="n">
        <x:f>IF(M1630=0,0,M1630*N1630+O1630)</x:f>
        <x:v>0</x:v>
      </x:c>
      <x:c r="G1630" s="28" t="n">
        <x:f>ROUND(Catalogue!G85*SQRT((1+'Paramètres'!$B$4*(C1630-1)+'Paramètres'!$B$5*(C1630-1)^2)),0)</x:f>
        <x:v>6</x:v>
      </x:c>
      <x:c r="H1630" s="28" t="n">
        <x:f>ROUND(Catalogue!H85*SQRT((1+'Paramètres'!$B$4*(C1630-1)+'Paramètres'!$B$5*(C1630-1)^2)),0)</x:f>
        <x:v>6</x:v>
      </x:c>
      <x:c r="I1630" s="28" t="n">
        <x:v>0</x:v>
      </x:c>
      <x:c r="J1630" s="28" t="n">
        <x:v>0</x:v>
      </x:c>
      <x:c r="K1630" s="30" t="n">
        <x:v>3.5</x:v>
      </x:c>
      <x:c r="L1630" s="54" t="n">
        <x:f>IF(M1630=0,0,(E1630+F1630)/2)</x:f>
        <x:v>0</x:v>
      </x:c>
      <x:c r="M1630" t="n">
        <x:v>0</x:v>
      </x:c>
      <x:c r="N1630" t="n">
        <x:v>0</x:v>
      </x:c>
      <x:c r="O1630" t="n">
        <x:v>0</x:v>
      </x:c>
      <x:c r="P1630" s="63" t="str">
        <x:f>IF(M1630=0,"—",M1630&amp;"d"&amp;N1630&amp;IF(O1630=0,""," + "&amp;O1630))</x:f>
        <x:v>—</x:v>
      </x:c>
      <x:c r="Q1630" t="n">
        <x:f>ROUND(INDEX(Catalogue!E$4:E$85,MATCH(A1630,Catalogue!A$4:A$85,0))*(1+'Paramètres'!$B$4*(C1630-1)+'Paramètres'!$B$5*(C1630-1)^2),0)</x:f>
        <x:v>0</x:v>
      </x:c>
      <x:c r="R1630" t="n">
        <x:f>ROUND(INDEX(Catalogue!F$4:F$85,MATCH(A1630,Catalogue!A$4:A$85,0))*(1+'Paramètres'!$B$4*(C1630-1)+'Paramètres'!$B$5*(C1630-1)^2),0)</x:f>
        <x:v>0</x:v>
      </x:c>
      <x:c r="S1630" t="n">
        <x:f>L1630-AVERAGE(Q1630:R1630)</x:f>
        <x:v>0</x:v>
      </x:c>
      <x:c r="T1630" t="str">
        <x:f>IF(M1630=0,IF(AND(N1630=0,O1630=0,E1630=0,F1630=0),"OK","ERREUR"),IF(AND(M1630&gt;=1,M1630&lt;=32,OR(N1630=4,N1630=6,N1630=8,N1630=10,N1630=12,N1630=20),O1630&gt;=0,E1630=M1630+O1630,F1630=M1630*N1630+O1630),"OK","ERREUR"))</x:f>
        <x:v>OK</x:v>
      </x:c>
      <x:c r="U1630" s="86" t="n">
        <x:f>IF(M1630&gt;0,M1630*(N1630+1)/2+O1630,0)</x:f>
        <x:v>0</x:v>
      </x:c>
      <x:c r="V1630" t="str">
        <x:f>IF(ABS(L1630-U1630)&lt;0.001,"OK","ERREUR")</x:f>
        <x:v>OK</x:v>
      </x:c>
    </x:row>
    <x:row r="1631" ht="18" customHeight="1">
      <x:c r="A1631" t="str">
        <x:v>ARM082</x:v>
      </x:c>
      <x:c r="B1631" t="str">
        <x:v>Bouclier runique</x:v>
      </x:c>
      <x:c r="C1631" t="n">
        <x:v>8</x:v>
      </x:c>
      <x:c r="D1631" t="str">
        <x:v>Boucliers</x:v>
      </x:c>
      <x:c r="E1631" s="28" t="n">
        <x:f>IF(M1631=0,0,M1631+O1631)</x:f>
        <x:v>0</x:v>
      </x:c>
      <x:c r="F1631" s="28" t="n">
        <x:f>IF(M1631=0,0,M1631*N1631+O1631)</x:f>
        <x:v>0</x:v>
      </x:c>
      <x:c r="G1631" s="28" t="n">
        <x:f>ROUND(Catalogue!G85*SQRT((1+'Paramètres'!$B$4*(C1631-1)+'Paramètres'!$B$5*(C1631-1)^2)),0)</x:f>
        <x:v>6</x:v>
      </x:c>
      <x:c r="H1631" s="28" t="n">
        <x:f>ROUND(Catalogue!H85*SQRT((1+'Paramètres'!$B$4*(C1631-1)+'Paramètres'!$B$5*(C1631-1)^2)),0)</x:f>
        <x:v>6</x:v>
      </x:c>
      <x:c r="I1631" s="28" t="n">
        <x:v>0</x:v>
      </x:c>
      <x:c r="J1631" s="28" t="n">
        <x:v>0</x:v>
      </x:c>
      <x:c r="K1631" s="30" t="n">
        <x:v>3.5</x:v>
      </x:c>
      <x:c r="L1631" s="54" t="n">
        <x:f>IF(M1631=0,0,(E1631+F1631)/2)</x:f>
        <x:v>0</x:v>
      </x:c>
      <x:c r="M1631" t="n">
        <x:v>0</x:v>
      </x:c>
      <x:c r="N1631" t="n">
        <x:v>0</x:v>
      </x:c>
      <x:c r="O1631" t="n">
        <x:v>0</x:v>
      </x:c>
      <x:c r="P1631" s="63" t="str">
        <x:f>IF(M1631=0,"—",M1631&amp;"d"&amp;N1631&amp;IF(O1631=0,""," + "&amp;O1631))</x:f>
        <x:v>—</x:v>
      </x:c>
      <x:c r="Q1631" t="n">
        <x:f>ROUND(INDEX(Catalogue!E$4:E$85,MATCH(A1631,Catalogue!A$4:A$85,0))*(1+'Paramètres'!$B$4*(C1631-1)+'Paramètres'!$B$5*(C1631-1)^2),0)</x:f>
        <x:v>0</x:v>
      </x:c>
      <x:c r="R1631" t="n">
        <x:f>ROUND(INDEX(Catalogue!F$4:F$85,MATCH(A1631,Catalogue!A$4:A$85,0))*(1+'Paramètres'!$B$4*(C1631-1)+'Paramètres'!$B$5*(C1631-1)^2),0)</x:f>
        <x:v>0</x:v>
      </x:c>
      <x:c r="S1631" t="n">
        <x:f>L1631-AVERAGE(Q1631:R1631)</x:f>
        <x:v>0</x:v>
      </x:c>
      <x:c r="T1631" t="str">
        <x:f>IF(M1631=0,IF(AND(N1631=0,O1631=0,E1631=0,F1631=0),"OK","ERREUR"),IF(AND(M1631&gt;=1,M1631&lt;=32,OR(N1631=4,N1631=6,N1631=8,N1631=10,N1631=12,N1631=20),O1631&gt;=0,E1631=M1631+O1631,F1631=M1631*N1631+O1631),"OK","ERREUR"))</x:f>
        <x:v>OK</x:v>
      </x:c>
      <x:c r="U1631" s="86" t="n">
        <x:f>IF(M1631&gt;0,M1631*(N1631+1)/2+O1631,0)</x:f>
        <x:v>0</x:v>
      </x:c>
      <x:c r="V1631" t="str">
        <x:f>IF(ABS(L1631-U1631)&lt;0.001,"OK","ERREUR")</x:f>
        <x:v>OK</x:v>
      </x:c>
    </x:row>
    <x:row r="1632" ht="18" customHeight="1">
      <x:c r="A1632" t="str">
        <x:v>ARM082</x:v>
      </x:c>
      <x:c r="B1632" t="str">
        <x:v>Bouclier runique</x:v>
      </x:c>
      <x:c r="C1632" t="n">
        <x:v>9</x:v>
      </x:c>
      <x:c r="D1632" t="str">
        <x:v>Boucliers</x:v>
      </x:c>
      <x:c r="E1632" s="28" t="n">
        <x:f>IF(M1632=0,0,M1632+O1632)</x:f>
        <x:v>0</x:v>
      </x:c>
      <x:c r="F1632" s="28" t="n">
        <x:f>IF(M1632=0,0,M1632*N1632+O1632)</x:f>
        <x:v>0</x:v>
      </x:c>
      <x:c r="G1632" s="28" t="n">
        <x:f>ROUND(Catalogue!G85*SQRT((1+'Paramètres'!$B$4*(C1632-1)+'Paramètres'!$B$5*(C1632-1)^2)),0)</x:f>
        <x:v>7</x:v>
      </x:c>
      <x:c r="H1632" s="28" t="n">
        <x:f>ROUND(Catalogue!H85*SQRT((1+'Paramètres'!$B$4*(C1632-1)+'Paramètres'!$B$5*(C1632-1)^2)),0)</x:f>
        <x:v>7</x:v>
      </x:c>
      <x:c r="I1632" s="28" t="n">
        <x:v>0</x:v>
      </x:c>
      <x:c r="J1632" s="28" t="n">
        <x:v>0</x:v>
      </x:c>
      <x:c r="K1632" s="30" t="n">
        <x:v>3.5</x:v>
      </x:c>
      <x:c r="L1632" s="54" t="n">
        <x:f>IF(M1632=0,0,(E1632+F1632)/2)</x:f>
        <x:v>0</x:v>
      </x:c>
      <x:c r="M1632" t="n">
        <x:v>0</x:v>
      </x:c>
      <x:c r="N1632" t="n">
        <x:v>0</x:v>
      </x:c>
      <x:c r="O1632" t="n">
        <x:v>0</x:v>
      </x:c>
      <x:c r="P1632" s="63" t="str">
        <x:f>IF(M1632=0,"—",M1632&amp;"d"&amp;N1632&amp;IF(O1632=0,""," + "&amp;O1632))</x:f>
        <x:v>—</x:v>
      </x:c>
      <x:c r="Q1632" t="n">
        <x:f>ROUND(INDEX(Catalogue!E$4:E$85,MATCH(A1632,Catalogue!A$4:A$85,0))*(1+'Paramètres'!$B$4*(C1632-1)+'Paramètres'!$B$5*(C1632-1)^2),0)</x:f>
        <x:v>0</x:v>
      </x:c>
      <x:c r="R1632" t="n">
        <x:f>ROUND(INDEX(Catalogue!F$4:F$85,MATCH(A1632,Catalogue!A$4:A$85,0))*(1+'Paramètres'!$B$4*(C1632-1)+'Paramètres'!$B$5*(C1632-1)^2),0)</x:f>
        <x:v>0</x:v>
      </x:c>
      <x:c r="S1632" t="n">
        <x:f>L1632-AVERAGE(Q1632:R1632)</x:f>
        <x:v>0</x:v>
      </x:c>
      <x:c r="T1632" t="str">
        <x:f>IF(M1632=0,IF(AND(N1632=0,O1632=0,E1632=0,F1632=0),"OK","ERREUR"),IF(AND(M1632&gt;=1,M1632&lt;=32,OR(N1632=4,N1632=6,N1632=8,N1632=10,N1632=12,N1632=20),O1632&gt;=0,E1632=M1632+O1632,F1632=M1632*N1632+O1632),"OK","ERREUR"))</x:f>
        <x:v>OK</x:v>
      </x:c>
      <x:c r="U1632" s="86" t="n">
        <x:f>IF(M1632&gt;0,M1632*(N1632+1)/2+O1632,0)</x:f>
        <x:v>0</x:v>
      </x:c>
      <x:c r="V1632" t="str">
        <x:f>IF(ABS(L1632-U1632)&lt;0.001,"OK","ERREUR")</x:f>
        <x:v>OK</x:v>
      </x:c>
    </x:row>
    <x:row r="1633" ht="18" customHeight="1">
      <x:c r="A1633" t="str">
        <x:v>ARM082</x:v>
      </x:c>
      <x:c r="B1633" t="str">
        <x:v>Bouclier runique</x:v>
      </x:c>
      <x:c r="C1633" t="n">
        <x:v>10</x:v>
      </x:c>
      <x:c r="D1633" t="str">
        <x:v>Boucliers</x:v>
      </x:c>
      <x:c r="E1633" s="28" t="n">
        <x:f>IF(M1633=0,0,M1633+O1633)</x:f>
        <x:v>0</x:v>
      </x:c>
      <x:c r="F1633" s="28" t="n">
        <x:f>IF(M1633=0,0,M1633*N1633+O1633)</x:f>
        <x:v>0</x:v>
      </x:c>
      <x:c r="G1633" s="28" t="n">
        <x:f>ROUND(Catalogue!G85*SQRT((1+'Paramètres'!$B$4*(C1633-1)+'Paramètres'!$B$5*(C1633-1)^2)),0)</x:f>
        <x:v>7</x:v>
      </x:c>
      <x:c r="H1633" s="28" t="n">
        <x:f>ROUND(Catalogue!H85*SQRT((1+'Paramètres'!$B$4*(C1633-1)+'Paramètres'!$B$5*(C1633-1)^2)),0)</x:f>
        <x:v>7</x:v>
      </x:c>
      <x:c r="I1633" s="28" t="n">
        <x:v>0</x:v>
      </x:c>
      <x:c r="J1633" s="28" t="n">
        <x:v>0</x:v>
      </x:c>
      <x:c r="K1633" s="30" t="n">
        <x:v>3.5</x:v>
      </x:c>
      <x:c r="L1633" s="54" t="n">
        <x:f>IF(M1633=0,0,(E1633+F1633)/2)</x:f>
        <x:v>0</x:v>
      </x:c>
      <x:c r="M1633" t="n">
        <x:v>0</x:v>
      </x:c>
      <x:c r="N1633" t="n">
        <x:v>0</x:v>
      </x:c>
      <x:c r="O1633" t="n">
        <x:v>0</x:v>
      </x:c>
      <x:c r="P1633" s="63" t="str">
        <x:f>IF(M1633=0,"—",M1633&amp;"d"&amp;N1633&amp;IF(O1633=0,""," + "&amp;O1633))</x:f>
        <x:v>—</x:v>
      </x:c>
      <x:c r="Q1633" t="n">
        <x:f>ROUND(INDEX(Catalogue!E$4:E$85,MATCH(A1633,Catalogue!A$4:A$85,0))*(1+'Paramètres'!$B$4*(C1633-1)+'Paramètres'!$B$5*(C1633-1)^2),0)</x:f>
        <x:v>0</x:v>
      </x:c>
      <x:c r="R1633" t="n">
        <x:f>ROUND(INDEX(Catalogue!F$4:F$85,MATCH(A1633,Catalogue!A$4:A$85,0))*(1+'Paramètres'!$B$4*(C1633-1)+'Paramètres'!$B$5*(C1633-1)^2),0)</x:f>
        <x:v>0</x:v>
      </x:c>
      <x:c r="S1633" t="n">
        <x:f>L1633-AVERAGE(Q1633:R1633)</x:f>
        <x:v>0</x:v>
      </x:c>
      <x:c r="T1633" t="str">
        <x:f>IF(M1633=0,IF(AND(N1633=0,O1633=0,E1633=0,F1633=0),"OK","ERREUR"),IF(AND(M1633&gt;=1,M1633&lt;=32,OR(N1633=4,N1633=6,N1633=8,N1633=10,N1633=12,N1633=20),O1633&gt;=0,E1633=M1633+O1633,F1633=M1633*N1633+O1633),"OK","ERREUR"))</x:f>
        <x:v>OK</x:v>
      </x:c>
      <x:c r="U1633" s="86" t="n">
        <x:f>IF(M1633&gt;0,M1633*(N1633+1)/2+O1633,0)</x:f>
        <x:v>0</x:v>
      </x:c>
      <x:c r="V1633" t="str">
        <x:f>IF(ABS(L1633-U1633)&lt;0.001,"OK","ERREUR")</x:f>
        <x:v>OK</x:v>
      </x:c>
    </x:row>
    <x:row r="1634" ht="18" customHeight="1">
      <x:c r="A1634" t="str">
        <x:v>ARM082</x:v>
      </x:c>
      <x:c r="B1634" t="str">
        <x:v>Bouclier runique</x:v>
      </x:c>
      <x:c r="C1634" t="n">
        <x:v>11</x:v>
      </x:c>
      <x:c r="D1634" t="str">
        <x:v>Boucliers</x:v>
      </x:c>
      <x:c r="E1634" s="28" t="n">
        <x:f>IF(M1634=0,0,M1634+O1634)</x:f>
        <x:v>0</x:v>
      </x:c>
      <x:c r="F1634" s="28" t="n">
        <x:f>IF(M1634=0,0,M1634*N1634+O1634)</x:f>
        <x:v>0</x:v>
      </x:c>
      <x:c r="G1634" s="28" t="n">
        <x:f>ROUND(Catalogue!G85*SQRT((1+'Paramètres'!$B$4*(C1634-1)+'Paramètres'!$B$5*(C1634-1)^2)),0)</x:f>
        <x:v>8</x:v>
      </x:c>
      <x:c r="H1634" s="28" t="n">
        <x:f>ROUND(Catalogue!H85*SQRT((1+'Paramètres'!$B$4*(C1634-1)+'Paramètres'!$B$5*(C1634-1)^2)),0)</x:f>
        <x:v>8</x:v>
      </x:c>
      <x:c r="I1634" s="28" t="n">
        <x:v>0</x:v>
      </x:c>
      <x:c r="J1634" s="28" t="n">
        <x:v>0</x:v>
      </x:c>
      <x:c r="K1634" s="30" t="n">
        <x:v>3.5</x:v>
      </x:c>
      <x:c r="L1634" s="54" t="n">
        <x:f>IF(M1634=0,0,(E1634+F1634)/2)</x:f>
        <x:v>0</x:v>
      </x:c>
      <x:c r="M1634" t="n">
        <x:v>0</x:v>
      </x:c>
      <x:c r="N1634" t="n">
        <x:v>0</x:v>
      </x:c>
      <x:c r="O1634" t="n">
        <x:v>0</x:v>
      </x:c>
      <x:c r="P1634" s="63" t="str">
        <x:f>IF(M1634=0,"—",M1634&amp;"d"&amp;N1634&amp;IF(O1634=0,""," + "&amp;O1634))</x:f>
        <x:v>—</x:v>
      </x:c>
      <x:c r="Q1634" t="n">
        <x:f>ROUND(INDEX(Catalogue!E$4:E$85,MATCH(A1634,Catalogue!A$4:A$85,0))*(1+'Paramètres'!$B$4*(C1634-1)+'Paramètres'!$B$5*(C1634-1)^2),0)</x:f>
        <x:v>0</x:v>
      </x:c>
      <x:c r="R1634" t="n">
        <x:f>ROUND(INDEX(Catalogue!F$4:F$85,MATCH(A1634,Catalogue!A$4:A$85,0))*(1+'Paramètres'!$B$4*(C1634-1)+'Paramètres'!$B$5*(C1634-1)^2),0)</x:f>
        <x:v>0</x:v>
      </x:c>
      <x:c r="S1634" t="n">
        <x:f>L1634-AVERAGE(Q1634:R1634)</x:f>
        <x:v>0</x:v>
      </x:c>
      <x:c r="T1634" t="str">
        <x:f>IF(M1634=0,IF(AND(N1634=0,O1634=0,E1634=0,F1634=0),"OK","ERREUR"),IF(AND(M1634&gt;=1,M1634&lt;=32,OR(N1634=4,N1634=6,N1634=8,N1634=10,N1634=12,N1634=20),O1634&gt;=0,E1634=M1634+O1634,F1634=M1634*N1634+O1634),"OK","ERREUR"))</x:f>
        <x:v>OK</x:v>
      </x:c>
      <x:c r="U1634" s="86" t="n">
        <x:f>IF(M1634&gt;0,M1634*(N1634+1)/2+O1634,0)</x:f>
        <x:v>0</x:v>
      </x:c>
      <x:c r="V1634" t="str">
        <x:f>IF(ABS(L1634-U1634)&lt;0.001,"OK","ERREUR")</x:f>
        <x:v>OK</x:v>
      </x:c>
    </x:row>
    <x:row r="1635" ht="18" customHeight="1">
      <x:c r="A1635" t="str">
        <x:v>ARM082</x:v>
      </x:c>
      <x:c r="B1635" t="str">
        <x:v>Bouclier runique</x:v>
      </x:c>
      <x:c r="C1635" t="n">
        <x:v>12</x:v>
      </x:c>
      <x:c r="D1635" t="str">
        <x:v>Boucliers</x:v>
      </x:c>
      <x:c r="E1635" s="28" t="n">
        <x:f>IF(M1635=0,0,M1635+O1635)</x:f>
        <x:v>0</x:v>
      </x:c>
      <x:c r="F1635" s="28" t="n">
        <x:f>IF(M1635=0,0,M1635*N1635+O1635)</x:f>
        <x:v>0</x:v>
      </x:c>
      <x:c r="G1635" s="28" t="n">
        <x:f>ROUND(Catalogue!G85*SQRT((1+'Paramètres'!$B$4*(C1635-1)+'Paramètres'!$B$5*(C1635-1)^2)),0)</x:f>
        <x:v>8</x:v>
      </x:c>
      <x:c r="H1635" s="28" t="n">
        <x:f>ROUND(Catalogue!H85*SQRT((1+'Paramètres'!$B$4*(C1635-1)+'Paramètres'!$B$5*(C1635-1)^2)),0)</x:f>
        <x:v>8</x:v>
      </x:c>
      <x:c r="I1635" s="28" t="n">
        <x:v>0</x:v>
      </x:c>
      <x:c r="J1635" s="28" t="n">
        <x:v>0</x:v>
      </x:c>
      <x:c r="K1635" s="30" t="n">
        <x:v>3.5</x:v>
      </x:c>
      <x:c r="L1635" s="54" t="n">
        <x:f>IF(M1635=0,0,(E1635+F1635)/2)</x:f>
        <x:v>0</x:v>
      </x:c>
      <x:c r="M1635" t="n">
        <x:v>0</x:v>
      </x:c>
      <x:c r="N1635" t="n">
        <x:v>0</x:v>
      </x:c>
      <x:c r="O1635" t="n">
        <x:v>0</x:v>
      </x:c>
      <x:c r="P1635" s="63" t="str">
        <x:f>IF(M1635=0,"—",M1635&amp;"d"&amp;N1635&amp;IF(O1635=0,""," + "&amp;O1635))</x:f>
        <x:v>—</x:v>
      </x:c>
      <x:c r="Q1635" t="n">
        <x:f>ROUND(INDEX(Catalogue!E$4:E$85,MATCH(A1635,Catalogue!A$4:A$85,0))*(1+'Paramètres'!$B$4*(C1635-1)+'Paramètres'!$B$5*(C1635-1)^2),0)</x:f>
        <x:v>0</x:v>
      </x:c>
      <x:c r="R1635" t="n">
        <x:f>ROUND(INDEX(Catalogue!F$4:F$85,MATCH(A1635,Catalogue!A$4:A$85,0))*(1+'Paramètres'!$B$4*(C1635-1)+'Paramètres'!$B$5*(C1635-1)^2),0)</x:f>
        <x:v>0</x:v>
      </x:c>
      <x:c r="S1635" t="n">
        <x:f>L1635-AVERAGE(Q1635:R1635)</x:f>
        <x:v>0</x:v>
      </x:c>
      <x:c r="T1635" t="str">
        <x:f>IF(M1635=0,IF(AND(N1635=0,O1635=0,E1635=0,F1635=0),"OK","ERREUR"),IF(AND(M1635&gt;=1,M1635&lt;=32,OR(N1635=4,N1635=6,N1635=8,N1635=10,N1635=12,N1635=20),O1635&gt;=0,E1635=M1635+O1635,F1635=M1635*N1635+O1635),"OK","ERREUR"))</x:f>
        <x:v>OK</x:v>
      </x:c>
      <x:c r="U1635" s="86" t="n">
        <x:f>IF(M1635&gt;0,M1635*(N1635+1)/2+O1635,0)</x:f>
        <x:v>0</x:v>
      </x:c>
      <x:c r="V1635" t="str">
        <x:f>IF(ABS(L1635-U1635)&lt;0.001,"OK","ERREUR")</x:f>
        <x:v>OK</x:v>
      </x:c>
    </x:row>
    <x:row r="1636" ht="18" customHeight="1">
      <x:c r="A1636" t="str">
        <x:v>ARM082</x:v>
      </x:c>
      <x:c r="B1636" t="str">
        <x:v>Bouclier runique</x:v>
      </x:c>
      <x:c r="C1636" t="n">
        <x:v>13</x:v>
      </x:c>
      <x:c r="D1636" t="str">
        <x:v>Boucliers</x:v>
      </x:c>
      <x:c r="E1636" s="28" t="n">
        <x:f>IF(M1636=0,0,M1636+O1636)</x:f>
        <x:v>0</x:v>
      </x:c>
      <x:c r="F1636" s="28" t="n">
        <x:f>IF(M1636=0,0,M1636*N1636+O1636)</x:f>
        <x:v>0</x:v>
      </x:c>
      <x:c r="G1636" s="28" t="n">
        <x:f>ROUND(Catalogue!G85*SQRT((1+'Paramètres'!$B$4*(C1636-1)+'Paramètres'!$B$5*(C1636-1)^2)),0)</x:f>
        <x:v>9</x:v>
      </x:c>
      <x:c r="H1636" s="28" t="n">
        <x:f>ROUND(Catalogue!H85*SQRT((1+'Paramètres'!$B$4*(C1636-1)+'Paramètres'!$B$5*(C1636-1)^2)),0)</x:f>
        <x:v>9</x:v>
      </x:c>
      <x:c r="I1636" s="28" t="n">
        <x:v>0</x:v>
      </x:c>
      <x:c r="J1636" s="28" t="n">
        <x:v>0</x:v>
      </x:c>
      <x:c r="K1636" s="30" t="n">
        <x:v>3.5</x:v>
      </x:c>
      <x:c r="L1636" s="54" t="n">
        <x:f>IF(M1636=0,0,(E1636+F1636)/2)</x:f>
        <x:v>0</x:v>
      </x:c>
      <x:c r="M1636" t="n">
        <x:v>0</x:v>
      </x:c>
      <x:c r="N1636" t="n">
        <x:v>0</x:v>
      </x:c>
      <x:c r="O1636" t="n">
        <x:v>0</x:v>
      </x:c>
      <x:c r="P1636" s="63" t="str">
        <x:f>IF(M1636=0,"—",M1636&amp;"d"&amp;N1636&amp;IF(O1636=0,""," + "&amp;O1636))</x:f>
        <x:v>—</x:v>
      </x:c>
      <x:c r="Q1636" t="n">
        <x:f>ROUND(INDEX(Catalogue!E$4:E$85,MATCH(A1636,Catalogue!A$4:A$85,0))*(1+'Paramètres'!$B$4*(C1636-1)+'Paramètres'!$B$5*(C1636-1)^2),0)</x:f>
        <x:v>0</x:v>
      </x:c>
      <x:c r="R1636" t="n">
        <x:f>ROUND(INDEX(Catalogue!F$4:F$85,MATCH(A1636,Catalogue!A$4:A$85,0))*(1+'Paramètres'!$B$4*(C1636-1)+'Paramètres'!$B$5*(C1636-1)^2),0)</x:f>
        <x:v>0</x:v>
      </x:c>
      <x:c r="S1636" t="n">
        <x:f>L1636-AVERAGE(Q1636:R1636)</x:f>
        <x:v>0</x:v>
      </x:c>
      <x:c r="T1636" t="str">
        <x:f>IF(M1636=0,IF(AND(N1636=0,O1636=0,E1636=0,F1636=0),"OK","ERREUR"),IF(AND(M1636&gt;=1,M1636&lt;=32,OR(N1636=4,N1636=6,N1636=8,N1636=10,N1636=12,N1636=20),O1636&gt;=0,E1636=M1636+O1636,F1636=M1636*N1636+O1636),"OK","ERREUR"))</x:f>
        <x:v>OK</x:v>
      </x:c>
      <x:c r="U1636" s="86" t="n">
        <x:f>IF(M1636&gt;0,M1636*(N1636+1)/2+O1636,0)</x:f>
        <x:v>0</x:v>
      </x:c>
      <x:c r="V1636" t="str">
        <x:f>IF(ABS(L1636-U1636)&lt;0.001,"OK","ERREUR")</x:f>
        <x:v>OK</x:v>
      </x:c>
    </x:row>
    <x:row r="1637" ht="18" customHeight="1">
      <x:c r="A1637" t="str">
        <x:v>ARM082</x:v>
      </x:c>
      <x:c r="B1637" t="str">
        <x:v>Bouclier runique</x:v>
      </x:c>
      <x:c r="C1637" t="n">
        <x:v>14</x:v>
      </x:c>
      <x:c r="D1637" t="str">
        <x:v>Boucliers</x:v>
      </x:c>
      <x:c r="E1637" s="28" t="n">
        <x:f>IF(M1637=0,0,M1637+O1637)</x:f>
        <x:v>0</x:v>
      </x:c>
      <x:c r="F1637" s="28" t="n">
        <x:f>IF(M1637=0,0,M1637*N1637+O1637)</x:f>
        <x:v>0</x:v>
      </x:c>
      <x:c r="G1637" s="28" t="n">
        <x:f>ROUND(Catalogue!G85*SQRT((1+'Paramètres'!$B$4*(C1637-1)+'Paramètres'!$B$5*(C1637-1)^2)),0)</x:f>
        <x:v>9</x:v>
      </x:c>
      <x:c r="H1637" s="28" t="n">
        <x:f>ROUND(Catalogue!H85*SQRT((1+'Paramètres'!$B$4*(C1637-1)+'Paramètres'!$B$5*(C1637-1)^2)),0)</x:f>
        <x:v>9</x:v>
      </x:c>
      <x:c r="I1637" s="28" t="n">
        <x:v>0</x:v>
      </x:c>
      <x:c r="J1637" s="28" t="n">
        <x:v>0</x:v>
      </x:c>
      <x:c r="K1637" s="30" t="n">
        <x:v>3.5</x:v>
      </x:c>
      <x:c r="L1637" s="54" t="n">
        <x:f>IF(M1637=0,0,(E1637+F1637)/2)</x:f>
        <x:v>0</x:v>
      </x:c>
      <x:c r="M1637" t="n">
        <x:v>0</x:v>
      </x:c>
      <x:c r="N1637" t="n">
        <x:v>0</x:v>
      </x:c>
      <x:c r="O1637" t="n">
        <x:v>0</x:v>
      </x:c>
      <x:c r="P1637" s="63" t="str">
        <x:f>IF(M1637=0,"—",M1637&amp;"d"&amp;N1637&amp;IF(O1637=0,""," + "&amp;O1637))</x:f>
        <x:v>—</x:v>
      </x:c>
      <x:c r="Q1637" t="n">
        <x:f>ROUND(INDEX(Catalogue!E$4:E$85,MATCH(A1637,Catalogue!A$4:A$85,0))*(1+'Paramètres'!$B$4*(C1637-1)+'Paramètres'!$B$5*(C1637-1)^2),0)</x:f>
        <x:v>0</x:v>
      </x:c>
      <x:c r="R1637" t="n">
        <x:f>ROUND(INDEX(Catalogue!F$4:F$85,MATCH(A1637,Catalogue!A$4:A$85,0))*(1+'Paramètres'!$B$4*(C1637-1)+'Paramètres'!$B$5*(C1637-1)^2),0)</x:f>
        <x:v>0</x:v>
      </x:c>
      <x:c r="S1637" t="n">
        <x:f>L1637-AVERAGE(Q1637:R1637)</x:f>
        <x:v>0</x:v>
      </x:c>
      <x:c r="T1637" t="str">
        <x:f>IF(M1637=0,IF(AND(N1637=0,O1637=0,E1637=0,F1637=0),"OK","ERREUR"),IF(AND(M1637&gt;=1,M1637&lt;=32,OR(N1637=4,N1637=6,N1637=8,N1637=10,N1637=12,N1637=20),O1637&gt;=0,E1637=M1637+O1637,F1637=M1637*N1637+O1637),"OK","ERREUR"))</x:f>
        <x:v>OK</x:v>
      </x:c>
      <x:c r="U1637" s="86" t="n">
        <x:f>IF(M1637&gt;0,M1637*(N1637+1)/2+O1637,0)</x:f>
        <x:v>0</x:v>
      </x:c>
      <x:c r="V1637" t="str">
        <x:f>IF(ABS(L1637-U1637)&lt;0.001,"OK","ERREUR")</x:f>
        <x:v>OK</x:v>
      </x:c>
    </x:row>
    <x:row r="1638" ht="18" customHeight="1">
      <x:c r="A1638" t="str">
        <x:v>ARM082</x:v>
      </x:c>
      <x:c r="B1638" t="str">
        <x:v>Bouclier runique</x:v>
      </x:c>
      <x:c r="C1638" t="n">
        <x:v>15</x:v>
      </x:c>
      <x:c r="D1638" t="str">
        <x:v>Boucliers</x:v>
      </x:c>
      <x:c r="E1638" s="28" t="n">
        <x:f>IF(M1638=0,0,M1638+O1638)</x:f>
        <x:v>0</x:v>
      </x:c>
      <x:c r="F1638" s="28" t="n">
        <x:f>IF(M1638=0,0,M1638*N1638+O1638)</x:f>
        <x:v>0</x:v>
      </x:c>
      <x:c r="G1638" s="28" t="n">
        <x:f>ROUND(Catalogue!G85*SQRT((1+'Paramètres'!$B$4*(C1638-1)+'Paramètres'!$B$5*(C1638-1)^2)),0)</x:f>
        <x:v>10</x:v>
      </x:c>
      <x:c r="H1638" s="28" t="n">
        <x:f>ROUND(Catalogue!H85*SQRT((1+'Paramètres'!$B$4*(C1638-1)+'Paramètres'!$B$5*(C1638-1)^2)),0)</x:f>
        <x:v>10</x:v>
      </x:c>
      <x:c r="I1638" s="28" t="n">
        <x:v>0</x:v>
      </x:c>
      <x:c r="J1638" s="28" t="n">
        <x:v>0</x:v>
      </x:c>
      <x:c r="K1638" s="30" t="n">
        <x:v>3.5</x:v>
      </x:c>
      <x:c r="L1638" s="54" t="n">
        <x:f>IF(M1638=0,0,(E1638+F1638)/2)</x:f>
        <x:v>0</x:v>
      </x:c>
      <x:c r="M1638" t="n">
        <x:v>0</x:v>
      </x:c>
      <x:c r="N1638" t="n">
        <x:v>0</x:v>
      </x:c>
      <x:c r="O1638" t="n">
        <x:v>0</x:v>
      </x:c>
      <x:c r="P1638" s="63" t="str">
        <x:f>IF(M1638=0,"—",M1638&amp;"d"&amp;N1638&amp;IF(O1638=0,""," + "&amp;O1638))</x:f>
        <x:v>—</x:v>
      </x:c>
      <x:c r="Q1638" t="n">
        <x:f>ROUND(INDEX(Catalogue!E$4:E$85,MATCH(A1638,Catalogue!A$4:A$85,0))*(1+'Paramètres'!$B$4*(C1638-1)+'Paramètres'!$B$5*(C1638-1)^2),0)</x:f>
        <x:v>0</x:v>
      </x:c>
      <x:c r="R1638" t="n">
        <x:f>ROUND(INDEX(Catalogue!F$4:F$85,MATCH(A1638,Catalogue!A$4:A$85,0))*(1+'Paramètres'!$B$4*(C1638-1)+'Paramètres'!$B$5*(C1638-1)^2),0)</x:f>
        <x:v>0</x:v>
      </x:c>
      <x:c r="S1638" t="n">
        <x:f>L1638-AVERAGE(Q1638:R1638)</x:f>
        <x:v>0</x:v>
      </x:c>
      <x:c r="T1638" t="str">
        <x:f>IF(M1638=0,IF(AND(N1638=0,O1638=0,E1638=0,F1638=0),"OK","ERREUR"),IF(AND(M1638&gt;=1,M1638&lt;=32,OR(N1638=4,N1638=6,N1638=8,N1638=10,N1638=12,N1638=20),O1638&gt;=0,E1638=M1638+O1638,F1638=M1638*N1638+O1638),"OK","ERREUR"))</x:f>
        <x:v>OK</x:v>
      </x:c>
      <x:c r="U1638" s="86" t="n">
        <x:f>IF(M1638&gt;0,M1638*(N1638+1)/2+O1638,0)</x:f>
        <x:v>0</x:v>
      </x:c>
      <x:c r="V1638" t="str">
        <x:f>IF(ABS(L1638-U1638)&lt;0.001,"OK","ERREUR")</x:f>
        <x:v>OK</x:v>
      </x:c>
    </x:row>
    <x:row r="1639" ht="18" customHeight="1">
      <x:c r="A1639" t="str">
        <x:v>ARM082</x:v>
      </x:c>
      <x:c r="B1639" t="str">
        <x:v>Bouclier runique</x:v>
      </x:c>
      <x:c r="C1639" t="n">
        <x:v>16</x:v>
      </x:c>
      <x:c r="D1639" t="str">
        <x:v>Boucliers</x:v>
      </x:c>
      <x:c r="E1639" s="28" t="n">
        <x:f>IF(M1639=0,0,M1639+O1639)</x:f>
        <x:v>0</x:v>
      </x:c>
      <x:c r="F1639" s="28" t="n">
        <x:f>IF(M1639=0,0,M1639*N1639+O1639)</x:f>
        <x:v>0</x:v>
      </x:c>
      <x:c r="G1639" s="28" t="n">
        <x:f>ROUND(Catalogue!G85*SQRT((1+'Paramètres'!$B$4*(C1639-1)+'Paramètres'!$B$5*(C1639-1)^2)),0)</x:f>
        <x:v>10</x:v>
      </x:c>
      <x:c r="H1639" s="28" t="n">
        <x:f>ROUND(Catalogue!H85*SQRT((1+'Paramètres'!$B$4*(C1639-1)+'Paramètres'!$B$5*(C1639-1)^2)),0)</x:f>
        <x:v>10</x:v>
      </x:c>
      <x:c r="I1639" s="28" t="n">
        <x:v>0</x:v>
      </x:c>
      <x:c r="J1639" s="28" t="n">
        <x:v>0</x:v>
      </x:c>
      <x:c r="K1639" s="30" t="n">
        <x:v>3.5</x:v>
      </x:c>
      <x:c r="L1639" s="54" t="n">
        <x:f>IF(M1639=0,0,(E1639+F1639)/2)</x:f>
        <x:v>0</x:v>
      </x:c>
      <x:c r="M1639" t="n">
        <x:v>0</x:v>
      </x:c>
      <x:c r="N1639" t="n">
        <x:v>0</x:v>
      </x:c>
      <x:c r="O1639" t="n">
        <x:v>0</x:v>
      </x:c>
      <x:c r="P1639" s="63" t="str">
        <x:f>IF(M1639=0,"—",M1639&amp;"d"&amp;N1639&amp;IF(O1639=0,""," + "&amp;O1639))</x:f>
        <x:v>—</x:v>
      </x:c>
      <x:c r="Q1639" t="n">
        <x:f>ROUND(INDEX(Catalogue!E$4:E$85,MATCH(A1639,Catalogue!A$4:A$85,0))*(1+'Paramètres'!$B$4*(C1639-1)+'Paramètres'!$B$5*(C1639-1)^2),0)</x:f>
        <x:v>0</x:v>
      </x:c>
      <x:c r="R1639" t="n">
        <x:f>ROUND(INDEX(Catalogue!F$4:F$85,MATCH(A1639,Catalogue!A$4:A$85,0))*(1+'Paramètres'!$B$4*(C1639-1)+'Paramètres'!$B$5*(C1639-1)^2),0)</x:f>
        <x:v>0</x:v>
      </x:c>
      <x:c r="S1639" t="n">
        <x:f>L1639-AVERAGE(Q1639:R1639)</x:f>
        <x:v>0</x:v>
      </x:c>
      <x:c r="T1639" t="str">
        <x:f>IF(M1639=0,IF(AND(N1639=0,O1639=0,E1639=0,F1639=0),"OK","ERREUR"),IF(AND(M1639&gt;=1,M1639&lt;=32,OR(N1639=4,N1639=6,N1639=8,N1639=10,N1639=12,N1639=20),O1639&gt;=0,E1639=M1639+O1639,F1639=M1639*N1639+O1639),"OK","ERREUR"))</x:f>
        <x:v>OK</x:v>
      </x:c>
      <x:c r="U1639" s="86" t="n">
        <x:f>IF(M1639&gt;0,M1639*(N1639+1)/2+O1639,0)</x:f>
        <x:v>0</x:v>
      </x:c>
      <x:c r="V1639" t="str">
        <x:f>IF(ABS(L1639-U1639)&lt;0.001,"OK","ERREUR")</x:f>
        <x:v>OK</x:v>
      </x:c>
    </x:row>
    <x:row r="1640" ht="18" customHeight="1">
      <x:c r="A1640" t="str">
        <x:v>ARM082</x:v>
      </x:c>
      <x:c r="B1640" t="str">
        <x:v>Bouclier runique</x:v>
      </x:c>
      <x:c r="C1640" t="n">
        <x:v>17</x:v>
      </x:c>
      <x:c r="D1640" t="str">
        <x:v>Boucliers</x:v>
      </x:c>
      <x:c r="E1640" s="28" t="n">
        <x:f>IF(M1640=0,0,M1640+O1640)</x:f>
        <x:v>0</x:v>
      </x:c>
      <x:c r="F1640" s="28" t="n">
        <x:f>IF(M1640=0,0,M1640*N1640+O1640)</x:f>
        <x:v>0</x:v>
      </x:c>
      <x:c r="G1640" s="28" t="n">
        <x:f>ROUND(Catalogue!G85*SQRT((1+'Paramètres'!$B$4*(C1640-1)+'Paramètres'!$B$5*(C1640-1)^2)),0)</x:f>
        <x:v>10</x:v>
      </x:c>
      <x:c r="H1640" s="28" t="n">
        <x:f>ROUND(Catalogue!H85*SQRT((1+'Paramètres'!$B$4*(C1640-1)+'Paramètres'!$B$5*(C1640-1)^2)),0)</x:f>
        <x:v>10</x:v>
      </x:c>
      <x:c r="I1640" s="28" t="n">
        <x:v>0</x:v>
      </x:c>
      <x:c r="J1640" s="28" t="n">
        <x:v>0</x:v>
      </x:c>
      <x:c r="K1640" s="30" t="n">
        <x:v>3.5</x:v>
      </x:c>
      <x:c r="L1640" s="54" t="n">
        <x:f>IF(M1640=0,0,(E1640+F1640)/2)</x:f>
        <x:v>0</x:v>
      </x:c>
      <x:c r="M1640" t="n">
        <x:v>0</x:v>
      </x:c>
      <x:c r="N1640" t="n">
        <x:v>0</x:v>
      </x:c>
      <x:c r="O1640" t="n">
        <x:v>0</x:v>
      </x:c>
      <x:c r="P1640" s="63" t="str">
        <x:f>IF(M1640=0,"—",M1640&amp;"d"&amp;N1640&amp;IF(O1640=0,""," + "&amp;O1640))</x:f>
        <x:v>—</x:v>
      </x:c>
      <x:c r="Q1640" t="n">
        <x:f>ROUND(INDEX(Catalogue!E$4:E$85,MATCH(A1640,Catalogue!A$4:A$85,0))*(1+'Paramètres'!$B$4*(C1640-1)+'Paramètres'!$B$5*(C1640-1)^2),0)</x:f>
        <x:v>0</x:v>
      </x:c>
      <x:c r="R1640" t="n">
        <x:f>ROUND(INDEX(Catalogue!F$4:F$85,MATCH(A1640,Catalogue!A$4:A$85,0))*(1+'Paramètres'!$B$4*(C1640-1)+'Paramètres'!$B$5*(C1640-1)^2),0)</x:f>
        <x:v>0</x:v>
      </x:c>
      <x:c r="S1640" t="n">
        <x:f>L1640-AVERAGE(Q1640:R1640)</x:f>
        <x:v>0</x:v>
      </x:c>
      <x:c r="T1640" t="str">
        <x:f>IF(M1640=0,IF(AND(N1640=0,O1640=0,E1640=0,F1640=0),"OK","ERREUR"),IF(AND(M1640&gt;=1,M1640&lt;=32,OR(N1640=4,N1640=6,N1640=8,N1640=10,N1640=12,N1640=20),O1640&gt;=0,E1640=M1640+O1640,F1640=M1640*N1640+O1640),"OK","ERREUR"))</x:f>
        <x:v>OK</x:v>
      </x:c>
      <x:c r="U1640" s="86" t="n">
        <x:f>IF(M1640&gt;0,M1640*(N1640+1)/2+O1640,0)</x:f>
        <x:v>0</x:v>
      </x:c>
      <x:c r="V1640" t="str">
        <x:f>IF(ABS(L1640-U1640)&lt;0.001,"OK","ERREUR")</x:f>
        <x:v>OK</x:v>
      </x:c>
    </x:row>
    <x:row r="1641" ht="18" customHeight="1">
      <x:c r="A1641" t="str">
        <x:v>ARM082</x:v>
      </x:c>
      <x:c r="B1641" t="str">
        <x:v>Bouclier runique</x:v>
      </x:c>
      <x:c r="C1641" t="n">
        <x:v>18</x:v>
      </x:c>
      <x:c r="D1641" t="str">
        <x:v>Boucliers</x:v>
      </x:c>
      <x:c r="E1641" s="28" t="n">
        <x:f>IF(M1641=0,0,M1641+O1641)</x:f>
        <x:v>0</x:v>
      </x:c>
      <x:c r="F1641" s="28" t="n">
        <x:f>IF(M1641=0,0,M1641*N1641+O1641)</x:f>
        <x:v>0</x:v>
      </x:c>
      <x:c r="G1641" s="28" t="n">
        <x:f>ROUND(Catalogue!G85*SQRT((1+'Paramètres'!$B$4*(C1641-1)+'Paramètres'!$B$5*(C1641-1)^2)),0)</x:f>
        <x:v>11</x:v>
      </x:c>
      <x:c r="H1641" s="28" t="n">
        <x:f>ROUND(Catalogue!H85*SQRT((1+'Paramètres'!$B$4*(C1641-1)+'Paramètres'!$B$5*(C1641-1)^2)),0)</x:f>
        <x:v>11</x:v>
      </x:c>
      <x:c r="I1641" s="28" t="n">
        <x:v>0</x:v>
      </x:c>
      <x:c r="J1641" s="28" t="n">
        <x:v>0</x:v>
      </x:c>
      <x:c r="K1641" s="30" t="n">
        <x:v>3.5</x:v>
      </x:c>
      <x:c r="L1641" s="54" t="n">
        <x:f>IF(M1641=0,0,(E1641+F1641)/2)</x:f>
        <x:v>0</x:v>
      </x:c>
      <x:c r="M1641" t="n">
        <x:v>0</x:v>
      </x:c>
      <x:c r="N1641" t="n">
        <x:v>0</x:v>
      </x:c>
      <x:c r="O1641" t="n">
        <x:v>0</x:v>
      </x:c>
      <x:c r="P1641" s="63" t="str">
        <x:f>IF(M1641=0,"—",M1641&amp;"d"&amp;N1641&amp;IF(O1641=0,""," + "&amp;O1641))</x:f>
        <x:v>—</x:v>
      </x:c>
      <x:c r="Q1641" t="n">
        <x:f>ROUND(INDEX(Catalogue!E$4:E$85,MATCH(A1641,Catalogue!A$4:A$85,0))*(1+'Paramètres'!$B$4*(C1641-1)+'Paramètres'!$B$5*(C1641-1)^2),0)</x:f>
        <x:v>0</x:v>
      </x:c>
      <x:c r="R1641" t="n">
        <x:f>ROUND(INDEX(Catalogue!F$4:F$85,MATCH(A1641,Catalogue!A$4:A$85,0))*(1+'Paramètres'!$B$4*(C1641-1)+'Paramètres'!$B$5*(C1641-1)^2),0)</x:f>
        <x:v>0</x:v>
      </x:c>
      <x:c r="S1641" t="n">
        <x:f>L1641-AVERAGE(Q1641:R1641)</x:f>
        <x:v>0</x:v>
      </x:c>
      <x:c r="T1641" t="str">
        <x:f>IF(M1641=0,IF(AND(N1641=0,O1641=0,E1641=0,F1641=0),"OK","ERREUR"),IF(AND(M1641&gt;=1,M1641&lt;=32,OR(N1641=4,N1641=6,N1641=8,N1641=10,N1641=12,N1641=20),O1641&gt;=0,E1641=M1641+O1641,F1641=M1641*N1641+O1641),"OK","ERREUR"))</x:f>
        <x:v>OK</x:v>
      </x:c>
      <x:c r="U1641" s="86" t="n">
        <x:f>IF(M1641&gt;0,M1641*(N1641+1)/2+O1641,0)</x:f>
        <x:v>0</x:v>
      </x:c>
      <x:c r="V1641" t="str">
        <x:f>IF(ABS(L1641-U1641)&lt;0.001,"OK","ERREUR")</x:f>
        <x:v>OK</x:v>
      </x:c>
    </x:row>
    <x:row r="1642" ht="18" customHeight="1">
      <x:c r="A1642" t="str">
        <x:v>ARM082</x:v>
      </x:c>
      <x:c r="B1642" t="str">
        <x:v>Bouclier runique</x:v>
      </x:c>
      <x:c r="C1642" t="n">
        <x:v>19</x:v>
      </x:c>
      <x:c r="D1642" t="str">
        <x:v>Boucliers</x:v>
      </x:c>
      <x:c r="E1642" s="28" t="n">
        <x:f>IF(M1642=0,0,M1642+O1642)</x:f>
        <x:v>0</x:v>
      </x:c>
      <x:c r="F1642" s="28" t="n">
        <x:f>IF(M1642=0,0,M1642*N1642+O1642)</x:f>
        <x:v>0</x:v>
      </x:c>
      <x:c r="G1642" s="28" t="n">
        <x:f>ROUND(Catalogue!G85*SQRT((1+'Paramètres'!$B$4*(C1642-1)+'Paramètres'!$B$5*(C1642-1)^2)),0)</x:f>
        <x:v>11</x:v>
      </x:c>
      <x:c r="H1642" s="28" t="n">
        <x:f>ROUND(Catalogue!H85*SQRT((1+'Paramètres'!$B$4*(C1642-1)+'Paramètres'!$B$5*(C1642-1)^2)),0)</x:f>
        <x:v>11</x:v>
      </x:c>
      <x:c r="I1642" s="28" t="n">
        <x:v>0</x:v>
      </x:c>
      <x:c r="J1642" s="28" t="n">
        <x:v>0</x:v>
      </x:c>
      <x:c r="K1642" s="30" t="n">
        <x:v>3.5</x:v>
      </x:c>
      <x:c r="L1642" s="54" t="n">
        <x:f>IF(M1642=0,0,(E1642+F1642)/2)</x:f>
        <x:v>0</x:v>
      </x:c>
      <x:c r="M1642" t="n">
        <x:v>0</x:v>
      </x:c>
      <x:c r="N1642" t="n">
        <x:v>0</x:v>
      </x:c>
      <x:c r="O1642" t="n">
        <x:v>0</x:v>
      </x:c>
      <x:c r="P1642" s="63" t="str">
        <x:f>IF(M1642=0,"—",M1642&amp;"d"&amp;N1642&amp;IF(O1642=0,""," + "&amp;O1642))</x:f>
        <x:v>—</x:v>
      </x:c>
      <x:c r="Q1642" t="n">
        <x:f>ROUND(INDEX(Catalogue!E$4:E$85,MATCH(A1642,Catalogue!A$4:A$85,0))*(1+'Paramètres'!$B$4*(C1642-1)+'Paramètres'!$B$5*(C1642-1)^2),0)</x:f>
        <x:v>0</x:v>
      </x:c>
      <x:c r="R1642" t="n">
        <x:f>ROUND(INDEX(Catalogue!F$4:F$85,MATCH(A1642,Catalogue!A$4:A$85,0))*(1+'Paramètres'!$B$4*(C1642-1)+'Paramètres'!$B$5*(C1642-1)^2),0)</x:f>
        <x:v>0</x:v>
      </x:c>
      <x:c r="S1642" t="n">
        <x:f>L1642-AVERAGE(Q1642:R1642)</x:f>
        <x:v>0</x:v>
      </x:c>
      <x:c r="T1642" t="str">
        <x:f>IF(M1642=0,IF(AND(N1642=0,O1642=0,E1642=0,F1642=0),"OK","ERREUR"),IF(AND(M1642&gt;=1,M1642&lt;=32,OR(N1642=4,N1642=6,N1642=8,N1642=10,N1642=12,N1642=20),O1642&gt;=0,E1642=M1642+O1642,F1642=M1642*N1642+O1642),"OK","ERREUR"))</x:f>
        <x:v>OK</x:v>
      </x:c>
      <x:c r="U1642" s="86" t="n">
        <x:f>IF(M1642&gt;0,M1642*(N1642+1)/2+O1642,0)</x:f>
        <x:v>0</x:v>
      </x:c>
      <x:c r="V1642" t="str">
        <x:f>IF(ABS(L1642-U1642)&lt;0.001,"OK","ERREUR")</x:f>
        <x:v>OK</x:v>
      </x:c>
    </x:row>
    <x:row r="1643" ht="18" customHeight="1">
      <x:c r="A1643" t="str">
        <x:v>ARM082</x:v>
      </x:c>
      <x:c r="B1643" t="str">
        <x:v>Bouclier runique</x:v>
      </x:c>
      <x:c r="C1643" t="n">
        <x:v>20</x:v>
      </x:c>
      <x:c r="D1643" t="str">
        <x:v>Boucliers</x:v>
      </x:c>
      <x:c r="E1643" s="28" t="n">
        <x:f>IF(M1643=0,0,M1643+O1643)</x:f>
        <x:v>0</x:v>
      </x:c>
      <x:c r="F1643" s="28" t="n">
        <x:f>IF(M1643=0,0,M1643*N1643+O1643)</x:f>
        <x:v>0</x:v>
      </x:c>
      <x:c r="G1643" s="28" t="n">
        <x:f>ROUND(Catalogue!G85*SQRT((1+'Paramètres'!$B$4*(C1643-1)+'Paramètres'!$B$5*(C1643-1)^2)),0)</x:f>
        <x:v>12</x:v>
      </x:c>
      <x:c r="H1643" s="28" t="n">
        <x:f>ROUND(Catalogue!H85*SQRT((1+'Paramètres'!$B$4*(C1643-1)+'Paramètres'!$B$5*(C1643-1)^2)),0)</x:f>
        <x:v>12</x:v>
      </x:c>
      <x:c r="I1643" s="28" t="n">
        <x:v>0</x:v>
      </x:c>
      <x:c r="J1643" s="28" t="n">
        <x:v>0</x:v>
      </x:c>
      <x:c r="K1643" s="30" t="n">
        <x:v>3.5</x:v>
      </x:c>
      <x:c r="L1643" s="54" t="n">
        <x:f>IF(M1643=0,0,(E1643+F1643)/2)</x:f>
        <x:v>0</x:v>
      </x:c>
      <x:c r="M1643" t="n">
        <x:v>0</x:v>
      </x:c>
      <x:c r="N1643" t="n">
        <x:v>0</x:v>
      </x:c>
      <x:c r="O1643" t="n">
        <x:v>0</x:v>
      </x:c>
      <x:c r="P1643" s="63" t="str">
        <x:f>IF(M1643=0,"—",M1643&amp;"d"&amp;N1643&amp;IF(O1643=0,""," + "&amp;O1643))</x:f>
        <x:v>—</x:v>
      </x:c>
      <x:c r="Q1643" t="n">
        <x:f>ROUND(INDEX(Catalogue!E$4:E$85,MATCH(A1643,Catalogue!A$4:A$85,0))*(1+'Paramètres'!$B$4*(C1643-1)+'Paramètres'!$B$5*(C1643-1)^2),0)</x:f>
        <x:v>0</x:v>
      </x:c>
      <x:c r="R1643" t="n">
        <x:f>ROUND(INDEX(Catalogue!F$4:F$85,MATCH(A1643,Catalogue!A$4:A$85,0))*(1+'Paramètres'!$B$4*(C1643-1)+'Paramètres'!$B$5*(C1643-1)^2),0)</x:f>
        <x:v>0</x:v>
      </x:c>
      <x:c r="S1643" t="n">
        <x:f>L1643-AVERAGE(Q1643:R1643)</x:f>
        <x:v>0</x:v>
      </x:c>
      <x:c r="T1643" t="str">
        <x:f>IF(M1643=0,IF(AND(N1643=0,O1643=0,E1643=0,F1643=0),"OK","ERREUR"),IF(AND(M1643&gt;=1,M1643&lt;=32,OR(N1643=4,N1643=6,N1643=8,N1643=10,N1643=12,N1643=20),O1643&gt;=0,E1643=M1643+O1643,F1643=M1643*N1643+O1643),"OK","ERREUR"))</x:f>
        <x:v>OK</x:v>
      </x:c>
      <x:c r="U1643" s="86" t="n">
        <x:f>IF(M1643&gt;0,M1643*(N1643+1)/2+O1643,0)</x:f>
        <x:v>0</x:v>
      </x:c>
      <x:c r="V1643" t="str">
        <x:f>IF(ABS(L1643-U1643)&lt;0.001,"OK","ERREUR")</x:f>
        <x:v>OK</x:v>
      </x:c>
    </x:row>
  </x:sheetData>
  <x:mergeCells>
    <x:mergeCell ref="A1:L1"/>
    <x:mergeCell ref="A2:L2"/>
  </x:mergeCells>
  <x:conditionalFormatting sqref="T4:T1643">
    <x:cfRule type="expression" dxfId="0" priority="1">
      <x:formula>T4="ERREUR"</x:formula>
    </x:cfRule>
  </x:conditionalFormatting>
  <x:conditionalFormatting sqref="V4:V1643">
    <x:cfRule type="expression" dxfId="1" priority="2">
      <x:formula>V4="ERREUR"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1" hidden="0" customWidth="1"/>
    <x:col min="4" max="4" width="16" hidden="0" customWidth="1"/>
    <x:col min="5" max="5" width="17" hidden="0" customWidth="1"/>
    <x:col min="6" max="6" width="20" hidden="0" customWidth="1"/>
    <x:col min="7" max="7" width="22" hidden="0" customWidth="1"/>
    <x:col min="8" max="8" width="58" hidden="0" customWidth="1"/>
  </x:cols>
  <x:sheetData>
    <x:row r="1" ht="35" customHeight="1">
      <x:c r="A1" s="3" t="str">
        <x:v>Raretés et codes couleurs</x:v>
      </x:c>
      <x:c r="B1" s="3"/>
      <x:c r="C1" s="3"/>
      <x:c r="D1" s="3"/>
      <x:c r="E1" s="3"/>
      <x:c r="F1" s="3"/>
      <x:c r="G1" s="3"/>
      <x:c r="H1" s="3"/>
    </x:row>
    <x:row r="2" ht="26" customHeight="1">
      <x:c r="A2" s="7" t="str">
        <x:v>Niveau d'objet immuable. Les couleurs expriment la rareté; affixes/runes portent la diversité, sans multiplication WD automatique.</x:v>
      </x:c>
      <x:c r="B2" s="7"/>
      <x:c r="C2" s="7"/>
      <x:c r="D2" s="7"/>
      <x:c r="E2" s="7"/>
      <x:c r="F2" s="7"/>
      <x:c r="G2" s="7"/>
      <x:c r="H2" s="7"/>
    </x:row>
    <x:row r="3" ht="30" customHeight="1">
      <x:c r="A3" s="18" t="str">
        <x:v>Rareté</x:v>
      </x:c>
      <x:c r="B3" s="18" t="str">
        <x:v>HEX</x:v>
      </x:c>
      <x:c r="C3" s="18" t="str">
        <x:v>WD de rareté (proposé)</x:v>
      </x:c>
      <x:c r="D3" s="18" t="str">
        <x:v>Nb affixes</x:v>
      </x:c>
      <x:c r="E3" s="18" t="str">
        <x:v>Chasses de rune</x:v>
      </x:c>
      <x:c r="F3" s="18" t="str">
        <x:v>Propriété</x:v>
      </x:c>
      <x:c r="G3" s="18" t="str">
        <x:v>Origine</x:v>
      </x:c>
      <x:c r="H3" s="18" t="str">
        <x:v>Contraintes</x:v>
      </x:c>
    </x:row>
    <x:row r="4" ht="30" customHeight="1">
      <x:c r="A4" s="77" t="str">
        <x:v>Commun</x:v>
      </x:c>
      <x:c r="B4" s="77" t="str">
        <x:v>#92999F</x:v>
      </x:c>
      <x:c r="C4" s="52" t="n">
        <x:v>1</x:v>
      </x:c>
      <x:c r="D4" t="n">
        <x:v>0</x:v>
      </x:c>
      <x:c r="E4" t="n">
        <x:v>0</x:v>
      </x:c>
      <x:c r="F4" s="14" t="str">
        <x:v>Aucun affixe standard</x:v>
      </x:c>
      <x:c r="G4" s="14" t="str">
        <x:v>Butin courant</x:v>
      </x:c>
      <x:c r="H4" s="14" t="str">
        <x:v>Niveau fixe, dégâts par dés</x:v>
      </x:c>
    </x:row>
    <x:row r="5" ht="30" customHeight="1">
      <x:c r="A5" s="78" t="str">
        <x:v>Rare</x:v>
      </x:c>
      <x:c r="B5" s="78" t="str">
        <x:v>#42A75B</x:v>
      </x:c>
      <x:c r="C5" s="52" t="n">
        <x:v>1</x:v>
      </x:c>
      <x:c r="D5" t="n">
        <x:v>1</x:v>
      </x:c>
      <x:c r="E5" t="n">
        <x:v>1</x:v>
      </x:c>
      <x:c r="F5" s="14" t="str">
        <x:v>1 affixe</x:v>
      </x:c>
      <x:c r="G5" s="14" t="str">
        <x:v>Butin peu fréquent</x:v>
      </x:c>
      <x:c r="H5" s="14" t="str">
        <x:v>Rune optionnelle; dégâts sans multiplicateur automatique</x:v>
      </x:c>
    </x:row>
    <x:row r="6" ht="30" customHeight="1">
      <x:c r="A6" s="79" t="str">
        <x:v>Épique</x:v>
      </x:c>
      <x:c r="B6" s="79" t="str">
        <x:v>#368DDF</x:v>
      </x:c>
      <x:c r="C6" s="52" t="n">
        <x:v>1</x:v>
      </x:c>
      <x:c r="D6" t="n">
        <x:v>2</x:v>
      </x:c>
      <x:c r="E6" t="n">
        <x:v>1</x:v>
      </x:c>
      <x:c r="F6" s="14" t="str">
        <x:v>2 affixes</x:v>
      </x:c>
      <x:c r="G6" s="14" t="str">
        <x:v>Butin exceptionnel</x:v>
      </x:c>
      <x:c r="H6" s="14" t="str">
        <x:v>Affixes sans effet cumulé excessif</x:v>
      </x:c>
    </x:row>
    <x:row r="7" ht="30" customHeight="1">
      <x:c r="A7" s="80" t="str">
        <x:v>Légendaire</x:v>
      </x:c>
      <x:c r="B7" s="80" t="str">
        <x:v>#9B59D0</x:v>
      </x:c>
      <x:c r="C7" s="52" t="n">
        <x:v>1</x:v>
      </x:c>
      <x:c r="D7" t="n">
        <x:v>3</x:v>
      </x:c>
      <x:c r="E7" t="n">
        <x:v>2</x:v>
      </x:c>
      <x:c r="F7" s="14" t="str">
        <x:v>3 affixes</x:v>
      </x:c>
      <x:c r="G7" s="14" t="str">
        <x:v>Butin très rare</x:v>
      </x:c>
      <x:c r="H7" s="14" t="str">
        <x:v>2 runes maximum</x:v>
      </x:c>
    </x:row>
    <x:row r="8" ht="30" customHeight="1">
      <x:c r="A8" s="82" t="str">
        <x:v>Unique</x:v>
      </x:c>
      <x:c r="B8" s="82" t="str">
        <x:v>#D4A23A</x:v>
      </x:c>
      <x:c r="C8" s="52" t="n">
        <x:v>1</x:v>
      </x:c>
      <x:c r="D8" t="n">
        <x:v>0</x:v>
      </x:c>
      <x:c r="E8" t="n">
        <x:v>0</x:v>
      </x:c>
      <x:c r="F8" s="14" t="str">
        <x:v>Propriétés fixes / définies par objet</x:v>
      </x:c>
      <x:c r="G8" s="14" t="str">
        <x:v>Quête ou boss</x:v>
      </x:c>
      <x:c r="H8" s="14" t="str">
        <x:v>Rareté narrative, puissance non garantie</x:v>
      </x:c>
    </x:row>
    <x:row r="11">
      <x:c r="A11" t="str">
        <x:v>Principes</x:v>
      </x:c>
      <x:c r="B11" t="str"/>
    </x:row>
    <x:row r="12">
      <x:c r="A12" t="str">
        <x:v>Rareté≠niveau</x:v>
      </x:c>
      <x:c r="B12" t="str">
        <x:v>Une arme Rare N4 ne gagne jamais de niveau ; le porteur peut s'équiper d'un objet &gt; son niveau avec malus.</x:v>
      </x:c>
    </x:row>
    <x:row r="13">
      <x:c r="A13" t="str">
        <x:v>Unique≠suprême</x:v>
      </x:c>
      <x:c r="B13" t="str">
        <x:v>Le mécanisme narratif prévaut; certains objets uniques sont de niveau bas.</x:v>
      </x:c>
    </x:row>
    <x:row r="14">
      <x:c r="A14" t="str">
        <x:v>Affixes</x:v>
      </x:c>
      <x:c r="B14" t="str">
        <x:v>Petits bonus de précision, résistance, stats, mana, critique, statut conditionnel.</x:v>
      </x:c>
    </x:row>
    <x:row r="15">
      <x:c r="A15" t="str">
        <x:v>Raretés demandées</x:v>
      </x:c>
      <x:c r="B15" t="str">
        <x:v>Aucun palier « Peu commun » dans cette version; peut être ajouté sans rompre les IDs.</x:v>
      </x:c>
    </x:row>
    <x:row r="16">
      <x:c r="A16" t="str">
        <x:v>Production</x:v>
      </x:c>
      <x:c r="B16" t="str">
        <x:v>Couleurs et slots sont PROPOSÉS, pas une fonctionnalité déjà confirmée du jeu.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47" hidden="0" customWidth="1"/>
    <x:col min="3" max="3" width="63" hidden="0" customWidth="1"/>
    <x:col min="4" max="4" width="45" hidden="0" customWidth="1"/>
    <x:col min="5" max="5" width="33" hidden="0" customWidth="1"/>
    <x:col min="6" max="6" width="28" hidden="0" customWidth="1"/>
    <x:col min="7" max="7" width="49" hidden="0" customWidth="1"/>
  </x:cols>
  <x:sheetData>
    <x:row r="1" ht="35" customHeight="1">
      <x:c r="A1" s="3" t="str">
        <x:v>Affinités des six classes</x:v>
      </x:c>
      <x:c r="B1" s="3"/>
      <x:c r="C1" s="3"/>
      <x:c r="D1" s="3"/>
      <x:c r="E1" s="3"/>
      <x:c r="F1" s="3"/>
      <x:c r="G1" s="3"/>
    </x:row>
    <x:row r="2" ht="26" customHeight="1">
      <x:c r="A2" s="7" t="str">
        <x:v>Les préférences guident les talents, l'équilibrage et les drops — aucune interdiction rigide de classe proposée.</x:v>
      </x:c>
      <x:c r="B2" s="7"/>
      <x:c r="C2" s="7"/>
      <x:c r="D2" s="7"/>
      <x:c r="E2" s="7"/>
      <x:c r="F2" s="7"/>
      <x:c r="G2" s="7"/>
    </x:row>
    <x:row r="3" ht="30" customHeight="1">
      <x:c r="A3" s="18" t="str">
        <x:v>Classe</x:v>
      </x:c>
      <x:c r="B3" s="18" t="str">
        <x:v>Branches canoniques</x:v>
      </x:c>
      <x:c r="C3" s="18" t="str">
        <x:v>Armement prioritaire</x:v>
      </x:c>
      <x:c r="D3" s="18" t="str">
        <x:v>Exemples emblématiques</x:v>
      </x:c>
      <x:c r="E3" s="18" t="str">
        <x:v>Alternatives</x:v>
      </x:c>
      <x:c r="F3" s="18" t="str">
        <x:v>Attributs dominants</x:v>
      </x:c>
      <x:c r="G3" s="18" t="str">
        <x:v>Synergies</x:v>
      </x:c>
    </x:row>
    <x:row r="4" ht="55" customHeight="1">
      <x:c r="A4" s="14" t="str">
        <x:v>Guerrier</x:v>
      </x:c>
      <x:c r="B4" s="14" t="str">
        <x:v>Gardien / Brise-ligne / Maître d'armes</x:v>
      </x:c>
      <x:c r="C4" s="14" t="str">
        <x:v>Épée+écu, masse+écu, grande hache, hallebarde</x:v>
      </x:c>
      <x:c r="D4" s="14" t="str">
        <x:v>Épée longue, marteau à deux mains</x:v>
      </x:c>
      <x:c r="E4" s="14" t="str">
        <x:v>Lances, arbalète légère</x:v>
      </x:c>
      <x:c r="F4" s="14" t="str">
        <x:v>Force; Constitution</x:v>
      </x:c>
      <x:c r="G4" s="14" t="str">
        <x:v>Garde/contre-attaque/puissance WD</x:v>
      </x:c>
    </x:row>
    <x:row r="5" ht="55" customHeight="1">
      <x:c r="A5" s="14" t="str">
        <x:v>Voleur</x:v>
      </x:c>
      <x:c r="B5" s="14" t="str">
        <x:v>Assassin / Ombre / Saboteur</x:v>
      </x:c>
      <x:c r="C5" s="14" t="str">
        <x:v>Deux dagues, stylet, rapière, couteau de jet</x:v>
      </x:c>
      <x:c r="D5" s="14" t="str">
        <x:v>Poignard d'assassin, main-gauche</x:v>
      </x:c>
      <x:c r="E5" s="14" t="str">
        <x:v>Arc court, arbalète légère</x:v>
      </x:c>
      <x:c r="F5" s="14" t="str">
        <x:v>Dextérité</x:v>
      </x:c>
      <x:c r="G5" s="14" t="str">
        <x:v>Critique positionnel, saignement, discrétion</x:v>
      </x:c>
    </x:row>
    <x:row r="6" ht="55" customHeight="1">
      <x:c r="A6" s="14" t="str">
        <x:v>Rôdeur</x:v>
      </x:c>
      <x:c r="B6" s="14" t="str">
        <x:v>Tireur / Chasseur / Éclaireur</x:v>
      </x:c>
      <x:c r="C6" s="14" t="str">
        <x:v>Arc long/composite, arbalète, lance, javelot</x:v>
      </x:c>
      <x:c r="D6" s="14" t="str">
        <x:v>Arc recourbé, épée courte</x:v>
      </x:c>
      <x:c r="E6" s="14" t="str">
        <x:v>Rapière, fronde, poignard</x:v>
      </x:c>
      <x:c r="F6" s="14" t="str">
        <x:v>Dextérité; Force optionnelle</x:v>
      </x:c>
      <x:c r="G6" s="14" t="str">
        <x:v>Portée/LOS/mobilité/ennemi juré</x:v>
      </x:c>
    </x:row>
    <x:row r="7" ht="55" customHeight="1">
      <x:c r="A7" s="14" t="str">
        <x:v>Mage</x:v>
      </x:c>
      <x:c r="B7" s="14" t="str">
        <x:v>Évocateur / Arcaniste / Tisseur de surfaces</x:v>
      </x:c>
      <x:c r="C7" s="14" t="str">
        <x:v>Baguettes élémentaires, bâtons arcaniques, orbe</x:v>
      </x:c>
      <x:c r="D7" s="14" t="str">
        <x:v>Bâton élémentaire, baguette+orbe</x:v>
      </x:c>
      <x:c r="E7" s="14" t="str">
        <x:v>Dague légère de secours</x:v>
      </x:c>
      <x:c r="F7" s="14" t="str">
        <x:v>Intelligence</x:v>
      </x:c>
      <x:c r="G7" s="14" t="str">
        <x:v>Affinité élémentaire/surfaces/mana</x:v>
      </x:c>
    </x:row>
    <x:row r="8" ht="55" customHeight="1">
      <x:c r="A8" s="14" t="str">
        <x:v>Prêtre</x:v>
      </x:c>
      <x:c r="B8" s="14" t="str">
        <x:v>Restauration / Protection / Exorcisme</x:v>
      </x:c>
      <x:c r="C8" s="14" t="str">
        <x:v>Masse+égide, marteau, sceptre sacré, bouclier runique</x:v>
      </x:c>
      <x:c r="D8" s="14" t="str">
        <x:v>Masse d'armes, sceptre sacré</x:v>
      </x:c>
      <x:c r="E8" s="14" t="str">
        <x:v>Bâton rituel, arbalète légère</x:v>
      </x:c>
      <x:c r="F8" s="14" t="str">
        <x:v>Sagesse; Force optionnelle</x:v>
      </x:c>
      <x:c r="G8" s="14" t="str">
        <x:v>Protection/soins/contre morts-vivants</x:v>
      </x:c>
    </x:row>
    <x:row r="9" ht="55" customHeight="1">
      <x:c r="A9" s="14" t="str">
        <x:v>Alchimiste</x:v>
      </x:c>
      <x:c r="B9" s="14" t="str">
        <x:v>Grenadier / Apothicaire / Transmutateur</x:v>
      </x:c>
      <x:c r="C9" s="14" t="str">
        <x:v>Arbalète légère, dards, couteau, focus secondaire</x:v>
      </x:c>
      <x:c r="D9" s="14" t="str">
        <x:v>Sarbacane, arbalète légère, hachette</x:v>
      </x:c>
      <x:c r="E9" s="14" t="str">
        <x:v>Dague de jet, bâton rituel</x:v>
      </x:c>
      <x:c r="F9" s="14" t="str">
        <x:v>Dextérité; Intelligence</x:v>
      </x:c>
      <x:c r="G9" s="14" t="str">
        <x:v>Huiles/poisons/bombes/recettes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33" hidden="0" customWidth="1"/>
    <x:col min="4" max="4" width="16" hidden="0" customWidth="1"/>
    <x:col min="5" max="5" width="46" hidden="0" customWidth="1"/>
    <x:col min="6" max="6" width="32" hidden="0" customWidth="1"/>
    <x:col min="7" max="7" width="48" hidden="0" customWidth="1"/>
    <x:col min="8" max="8" width="12" hidden="0" customWidth="1"/>
    <x:col min="9" max="9" width="55" hidden="0" customWidth="1"/>
    <x:col min="10" max="10" width="47" hidden="0" customWidth="1"/>
  </x:cols>
  <x:sheetData>
    <x:row r="1" ht="35" customHeight="1">
      <x:c r="A1" s="3" t="str">
        <x:v>Forge · Alchimie · Runes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Règle ARM-001 : aucune recette ne modifie ItemLevel. Les améliorations changent uniquement les propriétés/bonus d'une instance.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0" customHeight="1">
      <x:c r="A3" s="18" t="str">
        <x:v>Code</x:v>
      </x:c>
      <x:c r="B3" s="18" t="str">
        <x:v>Discipline</x:v>
      </x:c>
      <x:c r="C3" s="18" t="str">
        <x:v>Recette</x:v>
      </x:c>
      <x:c r="D3" s="18" t="str">
        <x:v>Durée</x:v>
      </x:c>
      <x:c r="E3" s="18" t="str">
        <x:v>Effet</x:v>
      </x:c>
      <x:c r="F3" s="18" t="str">
        <x:v>Cibles</x:v>
      </x:c>
      <x:c r="G3" s="18" t="str">
        <x:v>Ingrédients conceptuels</x:v>
      </x:c>
      <x:c r="H3" s="18" t="str">
        <x:v>Palier</x:v>
      </x:c>
      <x:c r="I3" s="18" t="str">
        <x:v>Limites / exclusions</x:v>
      </x:c>
      <x:c r="J3" s="18" t="str">
        <x:v>Compatibilité runtime</x:v>
      </x:c>
    </x:row>
    <x:row r="4" ht="46" customHeight="1">
      <x:c r="A4" s="14" t="str">
        <x:v>FOR01</x:v>
      </x:c>
      <x:c r="B4" s="14" t="str">
        <x:v>Forge</x:v>
      </x:c>
      <x:c r="C4" s="14" t="str">
        <x:v>Affûtage de lame</x:v>
      </x:c>
      <x:c r="D4" s="14" t="str">
        <x:v>Permanent</x:v>
      </x:c>
      <x:c r="E4" s="14" t="str">
        <x:v>+1 précision (une seule fois)</x:v>
      </x:c>
      <x:c r="F4" s="14" t="str">
        <x:v>Lame tranchante/perforante</x:v>
      </x:c>
      <x:c r="G4" s="14" t="str">
        <x:v>Pierre d'aiguisage + fer</x:v>
      </x:c>
      <x:c r="H4" s="14" t="str">
        <x:v>N1+</x:v>
      </x:c>
      <x:c r="I4" s="14" t="str">
        <x:v>1 modification d'affûtage par arme</x:v>
      </x:c>
      <x:c r="J4" s="14" t="str">
        <x:v>Ne change pas Min/Max</x:v>
      </x:c>
    </x:row>
    <x:row r="5" ht="46" customHeight="1">
      <x:c r="A5" s="14" t="str">
        <x:v>FOR02</x:v>
      </x:c>
      <x:c r="B5" s="14" t="str">
        <x:v>Forge</x:v>
      </x:c>
      <x:c r="C5" s="14" t="str">
        <x:v>Trempe simple</x:v>
      </x:c>
      <x:c r="D5" s="14" t="str">
        <x:v>Permanent</x:v>
      </x:c>
      <x:c r="E5" s="14" t="str">
        <x:v>+1 dégâts plats (sans changement de niveau)</x:v>
      </x:c>
      <x:c r="F5" s="14" t="str">
        <x:v>Armes métalliques</x:v>
      </x:c>
      <x:c r="G5" s="14" t="str">
        <x:v>Minerai de fer + charbon + essence de forge</x:v>
      </x:c>
      <x:c r="H5" s="14" t="str">
        <x:v>N1+</x:v>
      </x:c>
      <x:c r="I5" s="14" t="str">
        <x:v>Non cumulable ; remplacée par Trempe supérieure</x:v>
      </x:c>
      <x:c r="J5" s="14" t="str">
        <x:v>Ajoute +1 au FlatDamageBonus effectif</x:v>
      </x:c>
    </x:row>
    <x:row r="6" ht="46" customHeight="1">
      <x:c r="A6" s="14" t="str">
        <x:v>FOR03</x:v>
      </x:c>
      <x:c r="B6" s="14" t="str">
        <x:v>Forge</x:v>
      </x:c>
      <x:c r="C6" s="14" t="str">
        <x:v>Trempe supérieure</x:v>
      </x:c>
      <x:c r="D6" s="14" t="str">
        <x:v>Permanent</x:v>
      </x:c>
      <x:c r="E6" s="14" t="str">
        <x:v>+2 dégâts plats ; remplace Trempe simple</x:v>
      </x:c>
      <x:c r="F6" s="14" t="str">
        <x:v>Armes métalliques</x:v>
      </x:c>
      <x:c r="G6" s="14" t="str">
        <x:v>Acier raffiné + cœur incandescent</x:v>
      </x:c>
      <x:c r="H6" s="14" t="str">
        <x:v>N8+</x:v>
      </x:c>
      <x:c r="I6" s="14" t="str">
        <x:v>Une seule trempe active par objet</x:v>
      </x:c>
      <x:c r="J6" s="14" t="str">
        <x:v>Ajoute +2 au FlatDamageBonus, pas de level-up</x:v>
      </x:c>
    </x:row>
    <x:row r="7" ht="46" customHeight="1">
      <x:c r="A7" s="14" t="str">
        <x:v>FOR04</x:v>
      </x:c>
      <x:c r="B7" s="14" t="str">
        <x:v>Forge</x:v>
      </x:c>
      <x:c r="C7" s="14" t="str">
        <x:v>Renforcement d'écu</x:v>
      </x:c>
      <x:c r="D7" s="14" t="str">
        <x:v>Permanent</x:v>
      </x:c>
      <x:c r="E7" s="14" t="str">
        <x:v>+5% armure physique</x:v>
      </x:c>
      <x:c r="F7" s="14" t="str">
        <x:v>Boucliers</x:v>
      </x:c>
      <x:c r="G7" s="14" t="str">
        <x:v>Rivets + plaque acier</x:v>
      </x:c>
      <x:c r="H7" s="14" t="str">
        <x:v>N3+</x:v>
      </x:c>
      <x:c r="I7" s="14" t="str">
        <x:v>Un seul renforcement</x:v>
      </x:c>
      <x:c r="J7" s="14" t="str">
        <x:v>Sur protection finale de l'écu</x:v>
      </x:c>
    </x:row>
    <x:row r="8" ht="46" customHeight="1">
      <x:c r="A8" s="14" t="str">
        <x:v>FOR05</x:v>
      </x:c>
      <x:c r="B8" s="14" t="str">
        <x:v>Forge</x:v>
      </x:c>
      <x:c r="C8" s="14" t="str">
        <x:v>Bordure runique</x:v>
      </x:c>
      <x:c r="D8" s="14" t="str">
        <x:v>Permanent</x:v>
      </x:c>
      <x:c r="E8" s="14" t="str">
        <x:v>Ajoute 1 chasse dans limite de rareté</x:v>
      </x:c>
      <x:c r="F8" s="14" t="str">
        <x:v>Rare/Épique/Légendaire uniquement</x:v>
      </x:c>
      <x:c r="G8" s="14" t="str">
        <x:v>Poudre de rune + métal lunaire</x:v>
      </x:c>
      <x:c r="H8" s="14" t="str">
        <x:v>N8+</x:v>
      </x:c>
      <x:c r="I8" s="14" t="str">
        <x:v>Max 1/1/2 chasses selon rareté</x:v>
      </x:c>
      <x:c r="J8" s="14" t="str">
        <x:v>Pas de chasses supplémentaires sur Commun</x:v>
      </x:c>
    </x:row>
    <x:row r="9" ht="46" customHeight="1">
      <x:c r="A9" s="14" t="str">
        <x:v>FOR06</x:v>
      </x:c>
      <x:c r="B9" s="14" t="str">
        <x:v>Forge</x:v>
      </x:c>
      <x:c r="C9" s="14" t="str">
        <x:v>Rééquilibrage d'arme</x:v>
      </x:c>
      <x:c r="D9" s="14" t="str">
        <x:v>Permanent</x:v>
      </x:c>
      <x:c r="E9" s="14" t="str">
        <x:v>+1 précision / -5% dégâts théoriques</x:v>
      </x:c>
      <x:c r="F9" s="14" t="str">
        <x:v>Armes lourdes</x:v>
      </x:c>
      <x:c r="G9" s="14" t="str">
        <x:v>Contrepoids + lingot</x:v>
      </x:c>
      <x:c r="H9" s="14" t="str">
        <x:v>N5+</x:v>
      </x:c>
      <x:c r="I9" s="14" t="str">
        <x:v>Exclusif de garde renforcée</x:v>
      </x:c>
      <x:c r="J9" s="14" t="str">
        <x:v>Choix, pas bonus gratuit</x:v>
      </x:c>
    </x:row>
    <x:row r="10" ht="46" customHeight="1">
      <x:c r="A10" s="14" t="str">
        <x:v>ALC01</x:v>
      </x:c>
      <x:c r="B10" s="14" t="str">
        <x:v>Alchimie</x:v>
      </x:c>
      <x:c r="C10" s="14" t="str">
        <x:v>Huile d'affûtage</x:v>
      </x:c>
      <x:c r="D10" s="14" t="str">
        <x:v>Temporaire</x:v>
      </x:c>
      <x:c r="E10" s="14" t="str">
        <x:v>+5% dégâts tranchants</x:v>
      </x:c>
      <x:c r="F10" s="14" t="str">
        <x:v>Armes tranchantes</x:v>
      </x:c>
      <x:c r="G10" s="14" t="str">
        <x:v>Huile claire + pierre pilée</x:v>
      </x:c>
      <x:c r="H10" s="14" t="str">
        <x:v>N1+</x:v>
      </x:c>
      <x:c r="I10" s="14" t="str">
        <x:v>3 combats ou 10 coups réussis</x:v>
      </x:c>
      <x:c r="J10" s="14" t="str">
        <x:v>Une huile active par arme</x:v>
      </x:c>
    </x:row>
    <x:row r="11" ht="46" customHeight="1">
      <x:c r="A11" s="14" t="str">
        <x:v>ALC02</x:v>
      </x:c>
      <x:c r="B11" s="14" t="str">
        <x:v>Alchimie</x:v>
      </x:c>
      <x:c r="C11" s="14" t="str">
        <x:v>Huile perforante</x:v>
      </x:c>
      <x:c r="D11" s="14" t="str">
        <x:v>Temporaire</x:v>
      </x:c>
      <x:c r="E11" s="14" t="str">
        <x:v>+5% dégâts perforants</x:v>
      </x:c>
      <x:c r="F11" s="14" t="str">
        <x:v>Armes perforantes</x:v>
      </x:c>
      <x:c r="G11" s="14" t="str">
        <x:v>Huile claire + épine de fer</x:v>
      </x:c>
      <x:c r="H11" s="14" t="str">
        <x:v>N3+</x:v>
      </x:c>
      <x:c r="I11" s="14" t="str">
        <x:v>3 combats ou 10 coups réussis</x:v>
      </x:c>
      <x:c r="J11" s="14" t="str">
        <x:v>Une huile active par arme</x:v>
      </x:c>
    </x:row>
    <x:row r="12" ht="46" customHeight="1">
      <x:c r="A12" s="14" t="str">
        <x:v>ALC03</x:v>
      </x:c>
      <x:c r="B12" s="14" t="str">
        <x:v>Alchimie</x:v>
      </x:c>
      <x:c r="C12" s="14" t="str">
        <x:v>Pâte de percussion</x:v>
      </x:c>
      <x:c r="D12" s="14" t="str">
        <x:v>Temporaire</x:v>
      </x:c>
      <x:c r="E12" s="14" t="str">
        <x:v>+5% dégâts contondants</x:v>
      </x:c>
      <x:c r="F12" s="14" t="str">
        <x:v>Armes contondantes</x:v>
      </x:c>
      <x:c r="G12" s="14" t="str">
        <x:v>Graisse + poudre de quartz</x:v>
      </x:c>
      <x:c r="H12" s="14" t="str">
        <x:v>N3+</x:v>
      </x:c>
      <x:c r="I12" s="14" t="str">
        <x:v>3 combats ou 10 coups réussis</x:v>
      </x:c>
      <x:c r="J12" s="14" t="str">
        <x:v>Une huile active par arme</x:v>
      </x:c>
    </x:row>
    <x:row r="13" ht="46" customHeight="1">
      <x:c r="A13" s="14" t="str">
        <x:v>ALC04</x:v>
      </x:c>
      <x:c r="B13" s="14" t="str">
        <x:v>Alchimie</x:v>
      </x:c>
      <x:c r="C13" s="14" t="str">
        <x:v>Poison de lame</x:v>
      </x:c>
      <x:c r="D13" s="14" t="str">
        <x:v>Temporaire</x:v>
      </x:c>
      <x:c r="E13" s="14" t="str">
        <x:v>Chance limitée d'appliquer Poison</x:v>
      </x:c>
      <x:c r="F13" s="14" t="str">
        <x:v>Lames/dards</x:v>
      </x:c>
      <x:c r="G13" s="14" t="str">
        <x:v>Venin + distillat végétal</x:v>
      </x:c>
      <x:c r="H13" s="14" t="str">
        <x:v>N2+</x:v>
      </x:c>
      <x:c r="I13" s="14" t="str">
        <x:v>3 combats ou 10 coups réussis</x:v>
      </x:c>
      <x:c r="J13" s="14" t="str">
        <x:v>Passe par statuts et ArmorGate existants</x:v>
      </x:c>
    </x:row>
    <x:row r="14" ht="46" customHeight="1">
      <x:c r="A14" s="14" t="str">
        <x:v>ALC05</x:v>
      </x:c>
      <x:c r="B14" s="14" t="str">
        <x:v>Alchimie</x:v>
      </x:c>
      <x:c r="C14" s="14" t="str">
        <x:v>Résine incendiaire</x:v>
      </x:c>
      <x:c r="D14" s="14" t="str">
        <x:v>Temporaire</x:v>
      </x:c>
      <x:c r="E14" s="14" t="str">
        <x:v>Dégâts de Feu additionnels faibles</x:v>
      </x:c>
      <x:c r="F14" s="14" t="str">
        <x:v>Arme compatible</x:v>
      </x:c>
      <x:c r="G14" s="14" t="str">
        <x:v>Résine + soufre</x:v>
      </x:c>
      <x:c r="H14" s="14" t="str">
        <x:v>N5+</x:v>
      </x:c>
      <x:c r="I14" s="14" t="str">
        <x:v>3 combats ou 10 coups réussis</x:v>
      </x:c>
      <x:c r="J14" s="14" t="str">
        <x:v>Ne change pas le DamageType principal</x:v>
      </x:c>
    </x:row>
    <x:row r="15" ht="46" customHeight="1">
      <x:c r="A15" s="14" t="str">
        <x:v>ALC06</x:v>
      </x:c>
      <x:c r="B15" s="14" t="str">
        <x:v>Alchimie</x:v>
      </x:c>
      <x:c r="C15" s="14" t="str">
        <x:v>Baume cryogène</x:v>
      </x:c>
      <x:c r="D15" s="14" t="str">
        <x:v>Temporaire</x:v>
      </x:c>
      <x:c r="E15" s="14" t="str">
        <x:v>Dégâts de Glace additionnels faibles</x:v>
      </x:c>
      <x:c r="F15" s="14" t="str">
        <x:v>Arme compatible</x:v>
      </x:c>
      <x:c r="G15" s="14" t="str">
        <x:v>Cristal froid + huile</x:v>
      </x:c>
      <x:c r="H15" s="14" t="str">
        <x:v>N6+</x:v>
      </x:c>
      <x:c r="I15" s="14" t="str">
        <x:v>3 combats ou 10 coups réussis</x:v>
      </x:c>
      <x:c r="J15" s="14" t="str">
        <x:v>Une huile active par arme</x:v>
      </x:c>
    </x:row>
    <x:row r="16" ht="46" customHeight="1">
      <x:c r="A16" s="14" t="str">
        <x:v>ALC07</x:v>
      </x:c>
      <x:c r="B16" s="14" t="str">
        <x:v>Alchimie</x:v>
      </x:c>
      <x:c r="C16" s="14" t="str">
        <x:v>Revêtement conducteur</x:v>
      </x:c>
      <x:c r="D16" s="14" t="str">
        <x:v>Temporaire</x:v>
      </x:c>
      <x:c r="E16" s="14" t="str">
        <x:v>Dégâts de Foudre additionnels faibles</x:v>
      </x:c>
      <x:c r="F16" s="14" t="str">
        <x:v>Arme compatible</x:v>
      </x:c>
      <x:c r="G16" s="14" t="str">
        <x:v>Poudre cuivrée + essence</x:v>
      </x:c>
      <x:c r="H16" s="14" t="str">
        <x:v>N6+</x:v>
      </x:c>
      <x:c r="I16" s="14" t="str">
        <x:v>3 combats ou 10 coups réussis</x:v>
      </x:c>
      <x:c r="J16" s="14" t="str">
        <x:v>Une huile active par arme</x:v>
      </x:c>
    </x:row>
    <x:row r="17" ht="46" customHeight="1">
      <x:c r="A17" s="14" t="str">
        <x:v>RUN01</x:v>
      </x:c>
      <x:c r="B17" s="14" t="str">
        <x:v>Runes</x:v>
      </x:c>
      <x:c r="C17" s="14" t="str">
        <x:v>Rune de feu</x:v>
      </x:c>
      <x:c r="D17" s="14" t="str">
        <x:v>Permanent</x:v>
      </x:c>
      <x:c r="E17" s="14" t="str">
        <x:v>Proc feu conditionnel; pas de conversion totale</x:v>
      </x:c>
      <x:c r="F17" s="14" t="str">
        <x:v>Arme à chasse</x:v>
      </x:c>
      <x:c r="G17" s="14" t="str">
        <x:v>Rune vierge + essence de feu</x:v>
      </x:c>
      <x:c r="H17" s="14" t="str">
        <x:v>N4+</x:v>
      </x:c>
      <x:c r="I17" s="14" t="str">
        <x:v>Une rune par chasse; mêmes types non cumulés</x:v>
      </x:c>
      <x:c r="J17" s="14" t="str">
        <x:v>Affinité élémentaire Feu</x:v>
      </x:c>
    </x:row>
    <x:row r="18" ht="46" customHeight="1">
      <x:c r="A18" s="14" t="str">
        <x:v>RUN02</x:v>
      </x:c>
      <x:c r="B18" s="14" t="str">
        <x:v>Runes</x:v>
      </x:c>
      <x:c r="C18" s="14" t="str">
        <x:v>Rune de givre</x:v>
      </x:c>
      <x:c r="D18" s="14" t="str">
        <x:v>Permanent</x:v>
      </x:c>
      <x:c r="E18" s="14" t="str">
        <x:v>Proc glace conditionnel</x:v>
      </x:c>
      <x:c r="F18" s="14" t="str">
        <x:v>Arme à chasse</x:v>
      </x:c>
      <x:c r="G18" s="14" t="str">
        <x:v>Rune vierge + essence de glace</x:v>
      </x:c>
      <x:c r="H18" s="14" t="str">
        <x:v>N4+</x:v>
      </x:c>
      <x:c r="I18" s="14" t="str">
        <x:v>Exclut rune Feu sur même objet</x:v>
      </x:c>
      <x:c r="J18" s="14" t="str">
        <x:v>Affinité élémentaire Glace</x:v>
      </x:c>
    </x:row>
    <x:row r="19" ht="46" customHeight="1">
      <x:c r="A19" s="14" t="str">
        <x:v>RUN03</x:v>
      </x:c>
      <x:c r="B19" s="14" t="str">
        <x:v>Runes</x:v>
      </x:c>
      <x:c r="C19" s="14" t="str">
        <x:v>Rune de foudre</x:v>
      </x:c>
      <x:c r="D19" s="14" t="str">
        <x:v>Permanent</x:v>
      </x:c>
      <x:c r="E19" s="14" t="str">
        <x:v>Proc foudre conditionnel</x:v>
      </x:c>
      <x:c r="F19" s="14" t="str">
        <x:v>Arme à chasse</x:v>
      </x:c>
      <x:c r="G19" s="14" t="str">
        <x:v>Rune vierge + essence de foudre</x:v>
      </x:c>
      <x:c r="H19" s="14" t="str">
        <x:v>N4+</x:v>
      </x:c>
      <x:c r="I19" s="14" t="str">
        <x:v>Proc limité à une fois par action</x:v>
      </x:c>
      <x:c r="J19" s="14" t="str">
        <x:v>Affinité élémentaire Foudre</x:v>
      </x:c>
    </x:row>
    <x:row r="20" ht="46" customHeight="1">
      <x:c r="A20" s="14" t="str">
        <x:v>RUN04</x:v>
      </x:c>
      <x:c r="B20" s="14" t="str">
        <x:v>Runes</x:v>
      </x:c>
      <x:c r="C20" s="14" t="str">
        <x:v>Rune de protection</x:v>
      </x:c>
      <x:c r="D20" s="14" t="str">
        <x:v>Permanent</x:v>
      </x:c>
      <x:c r="E20" s="14" t="str">
        <x:v>+2–6% résistance typée selon niveau</x:v>
      </x:c>
      <x:c r="F20" s="14" t="str">
        <x:v>Bouclier à chasse</x:v>
      </x:c>
      <x:c r="G20" s="14" t="str">
        <x:v>Rune vierge + cristaux de garde</x:v>
      </x:c>
      <x:c r="H20" s="14" t="str">
        <x:v>N6+</x:v>
      </x:c>
      <x:c r="I20" s="14" t="str">
        <x:v>Plafond résistance totale à définir</x:v>
      </x:c>
      <x:c r="J20" s="14" t="str">
        <x:v>Protection</x:v>
      </x:c>
    </x:row>
    <x:row r="21" ht="46" customHeight="1">
      <x:c r="A21" s="14" t="str">
        <x:v>RUN05</x:v>
      </x:c>
      <x:c r="B21" s="14" t="str">
        <x:v>Runes</x:v>
      </x:c>
      <x:c r="C21" s="14" t="str">
        <x:v>Rune de vigueur</x:v>
      </x:c>
      <x:c r="D21" s="14" t="str">
        <x:v>Permanent</x:v>
      </x:c>
      <x:c r="E21" s="14" t="str">
        <x:v>+PV fixes modestes</x:v>
      </x:c>
      <x:c r="F21" s="14" t="str">
        <x:v>Arme ou bouclier à chasse</x:v>
      </x:c>
      <x:c r="G21" s="14" t="str">
        <x:v>Rune vierge + sève vitale</x:v>
      </x:c>
      <x:c r="H21" s="14" t="str">
        <x:v>N7+</x:v>
      </x:c>
      <x:c r="I21" s="14" t="str">
        <x:v>Exclusif d'une rune de mana sur même objet</x:v>
      </x:c>
      <x:c r="J21" s="14" t="str">
        <x:v>Stat d'équipement existante</x:v>
      </x:c>
    </x:row>
    <x:row r="22" ht="46" customHeight="1">
      <x:c r="A22" s="14" t="str">
        <x:v>RUN06</x:v>
      </x:c>
      <x:c r="B22" s="14" t="str">
        <x:v>Runes</x:v>
      </x:c>
      <x:c r="C22" s="14" t="str">
        <x:v>Rune d'esprit</x:v>
      </x:c>
      <x:c r="D22" s="14" t="str">
        <x:v>Permanent</x:v>
      </x:c>
      <x:c r="E22" s="14" t="str">
        <x:v>+mana fixe modeste</x:v>
      </x:c>
      <x:c r="F22" s="14" t="str">
        <x:v>Focaliseur ou bouclier à chasse</x:v>
      </x:c>
      <x:c r="G22" s="14" t="str">
        <x:v>Rune vierge + poussière astrale</x:v>
      </x:c>
      <x:c r="H22" s="14" t="str">
        <x:v>N7+</x:v>
      </x:c>
      <x:c r="I22" s="14" t="str">
        <x:v>Exclusif d'une rune de vigueur sur même objet</x:v>
      </x:c>
      <x:c r="J22" s="14" t="str">
        <x:v>Stat d'équipement existante</x:v>
      </x:c>
    </x:row>
    <x:row r="23" ht="46" customHeight="1">
      <x:c r="A23" s="14" t="str">
        <x:v>ALC08</x:v>
      </x:c>
      <x:c r="B23" s="14" t="str">
        <x:v>Alchimie</x:v>
      </x:c>
      <x:c r="C23" s="14" t="str">
        <x:v>Solvant de désenchantement</x:v>
      </x:c>
      <x:c r="D23" s="14" t="str">
        <x:v>Consommable</x:v>
      </x:c>
      <x:c r="E23" s="14" t="str">
        <x:v>Retire une huile active</x:v>
      </x:c>
      <x:c r="F23" s="14" t="str">
        <x:v>Objet enduit</x:v>
      </x:c>
      <x:c r="G23" s="14" t="str">
        <x:v>Solvant + sel alcalin</x:v>
      </x:c>
      <x:c r="H23" s="14" t="str">
        <x:v>N1+</x:v>
      </x:c>
      <x:c r="I23" s="14" t="str">
        <x:v>Ne détruit pas les runes ni les affixes</x:v>
      </x:c>
      <x:c r="J23" s="14" t="str">
        <x:v>Qualité de vie</x:v>
      </x:c>
    </x:row>
    <x:row r="24" ht="46" customHeight="1">
      <x:c r="A24" s="14" t="str">
        <x:v>FOR07</x:v>
      </x:c>
      <x:c r="B24" s="14" t="str">
        <x:v>Forge</x:v>
      </x:c>
      <x:c r="C24" s="14" t="str">
        <x:v>Reforge d'artefact unique</x:v>
      </x:c>
      <x:c r="D24" s="14" t="str">
        <x:v>Permanent</x:v>
      </x:c>
      <x:c r="E24" s="14" t="str">
        <x:v>Effet spécifique prédéfini ; niveau inchangé</x:v>
      </x:c>
      <x:c r="F24" s="14" t="str">
        <x:v>Unique scénarisé</x:v>
      </x:c>
      <x:c r="G24" s="14" t="str">
        <x:v>Fragment de relique + métal ancien</x:v>
      </x:c>
      <x:c r="H24" s="14" t="str">
        <x:v>N12+</x:v>
      </x:c>
      <x:c r="I24" s="14" t="str">
        <x:v>Un effet de reforge par artefact, défini à l'authoring</x:v>
      </x:c>
      <x:c r="J24" s="14" t="str">
        <x:v>Ne modifie pas ItemLevel ni l'identité Unique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29" hidden="0" customWidth="1"/>
    <x:col min="4" max="4" width="15" hidden="0" customWidth="1"/>
    <x:col min="5" max="5" width="18" hidden="0" customWidth="1"/>
    <x:col min="6" max="6" width="45" hidden="0" customWidth="1"/>
    <x:col min="7" max="7" width="72" hidden="0" customWidth="1"/>
    <x:col min="8" max="8" width="35" hidden="0" customWidth="1"/>
    <x:col min="9" max="9" width="22" hidden="0" customWidth="1"/>
  </x:cols>
  <x:sheetData>
    <x:row r="1" ht="35" customHeight="1">
      <x:c r="A1" s="3" t="str">
        <x:v>Douze objets uniques nommés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7" t="str">
        <x:v>Concepts narratifs : propriétés fixes, non tirées aléatoirement. Les statuts et dégâts doivent réutiliser le moteur de combat.</x:v>
      </x:c>
      <x:c r="B2" s="7"/>
      <x:c r="C2" s="7"/>
      <x:c r="D2" s="7"/>
      <x:c r="E2" s="7"/>
      <x:c r="F2" s="7"/>
      <x:c r="G2" s="7"/>
      <x:c r="H2" s="7"/>
      <x:c r="I2" s="7"/>
    </x:row>
    <x:row r="3" ht="30" customHeight="1">
      <x:c r="A3" s="18" t="str">
        <x:v>ID</x:v>
      </x:c>
      <x:c r="B3" s="18" t="str">
        <x:v>Nom propre</x:v>
      </x:c>
      <x:c r="C3" s="18" t="str">
        <x:v>Archétype de base</x:v>
      </x:c>
      <x:c r="D3" s="18" t="str">
        <x:v>Niveau natif</x:v>
      </x:c>
      <x:c r="E3" s="18" t="str">
        <x:v>Classe signature</x:v>
      </x:c>
      <x:c r="F3" s="18" t="str">
        <x:v>Identité</x:v>
      </x:c>
      <x:c r="G3" s="18" t="str">
        <x:v>Pouvoir spécifique proposé</x:v>
      </x:c>
      <x:c r="H3" s="18" t="str">
        <x:v>Acquisition</x:v>
      </x:c>
      <x:c r="I3" s="18" t="str">
        <x:v>Chasses proposées</x:v>
      </x:c>
    </x:row>
    <x:row r="4" ht="45" customHeight="1">
      <x:c r="A4" s="14" t="str">
        <x:v>UNI001</x:v>
      </x:c>
      <x:c r="B4" s="14" t="str">
        <x:v>Lame des Veilleurs</x:v>
      </x:c>
      <x:c r="C4" s="14" t="str">
        <x:v>Épée droite</x:v>
      </x:c>
      <x:c r="D4" s="14" t="n">
        <x:v>5</x:v>
      </x:c>
      <x:c r="E4" s="14" t="str">
        <x:v>Guerrier</x:v>
      </x:c>
      <x:c r="F4" s="14" t="str">
        <x:v>Rarement portée par les sentinelles</x:v>
      </x:c>
      <x:c r="G4" s="14" t="str">
        <x:v>Sur parade réussie, bonus de garde pour 1 tour</x:v>
      </x:c>
      <x:c r="H4" s="14" t="str">
        <x:v>Bastion oublié</x:v>
      </x:c>
      <x:c r="I4" s="14" t="n">
        <x:v>1</x:v>
      </x:c>
    </x:row>
    <x:row r="5" ht="45" customHeight="1">
      <x:c r="A5" s="14" t="str">
        <x:v>UNI002</x:v>
      </x:c>
      <x:c r="B5" s="14" t="str">
        <x:v>Brise-Sceau</x:v>
      </x:c>
      <x:c r="C5" s="14" t="str">
        <x:v>Marteau à deux mains</x:v>
      </x:c>
      <x:c r="D5" s="14" t="n">
        <x:v>11</x:v>
      </x:c>
      <x:c r="E5" s="14" t="str">
        <x:v>Guerrier</x:v>
      </x:c>
      <x:c r="F5" s="14" t="str">
        <x:v>Perce les anciennes protections</x:v>
      </x:c>
      <x:c r="G5" s="14" t="str">
        <x:v>Bonus contre armure physique (effect séparé)</x:v>
      </x:c>
      <x:c r="H5" s="14" t="str">
        <x:v>Boss du gardien</x:v>
      </x:c>
      <x:c r="I5" s="14" t="n">
        <x:v>0</x:v>
      </x:c>
    </x:row>
    <x:row r="6" ht="45" customHeight="1">
      <x:c r="A6" s="14" t="str">
        <x:v>UNI003</x:v>
      </x:c>
      <x:c r="B6" s="14" t="str">
        <x:v>Murmure des Ombres</x:v>
      </x:c>
      <x:c r="C6" s="14" t="str">
        <x:v>Poignard d'assassin</x:v>
      </x:c>
      <x:c r="D6" s="14" t="n">
        <x:v>7</x:v>
      </x:c>
      <x:c r="E6" s="14" t="str">
        <x:v>Voleur</x:v>
      </x:c>
      <x:c r="F6" s="14" t="str">
        <x:v>Lame silencieuse</x:v>
      </x:c>
      <x:c r="G6" s="14" t="str">
        <x:v>Premier coup depuis Caché : chance de saignement</x:v>
      </x:c>
      <x:c r="H6" s="14" t="str">
        <x:v>Crypte du voleur</x:v>
      </x:c>
      <x:c r="I6" s="14" t="n">
        <x:v>1</x:v>
      </x:c>
    </x:row>
    <x:row r="7" ht="45" customHeight="1">
      <x:c r="A7" s="14" t="str">
        <x:v>UNI004</x:v>
      </x:c>
      <x:c r="B7" s="14" t="str">
        <x:v>Dernier Mot</x:v>
      </x:c>
      <x:c r="C7" s="14" t="str">
        <x:v>Main-gauche</x:v>
      </x:c>
      <x:c r="D7" s="14" t="n">
        <x:v>12</x:v>
      </x:c>
      <x:c r="E7" s="14" t="str">
        <x:v>Voleur</x:v>
      </x:c>
      <x:c r="F7" s="14" t="str">
        <x:v>Dague de contre-attaque</x:v>
      </x:c>
      <x:c r="G7" s="14" t="str">
        <x:v>Parade/riposte conditionnelle si talent actif</x:v>
      </x:c>
      <x:c r="H7" s="14" t="str">
        <x:v>Énigme des miroirs</x:v>
      </x:c>
      <x:c r="I7" s="14" t="n">
        <x:v>0</x:v>
      </x:c>
    </x:row>
    <x:row r="8" ht="45" customHeight="1">
      <x:c r="A8" s="14" t="str">
        <x:v>UNI005</x:v>
      </x:c>
      <x:c r="B8" s="14" t="str">
        <x:v>Corde de l'Horizon</x:v>
      </x:c>
      <x:c r="C8" s="14" t="str">
        <x:v>Arc long</x:v>
      </x:c>
      <x:c r="D8" s="14" t="n">
        <x:v>9</x:v>
      </x:c>
      <x:c r="E8" s="14" t="str">
        <x:v>Rôdeur</x:v>
      </x:c>
      <x:c r="F8" s="14" t="str">
        <x:v>Arc de forêt ancienne</x:v>
      </x:c>
      <x:c r="G8" s="14" t="str">
        <x:v>Bonus de précision au-delà de 3 cases</x:v>
      </x:c>
      <x:c r="H8" s="14" t="str">
        <x:v>Autel des pisteurs</x:v>
      </x:c>
      <x:c r="I8" s="14" t="n">
        <x:v>1</x:v>
      </x:c>
    </x:row>
    <x:row r="9" ht="45" customHeight="1">
      <x:c r="A9" s="14" t="str">
        <x:v>UNI006</x:v>
      </x:c>
      <x:c r="B9" s="14" t="str">
        <x:v>Serre de la Chasse</x:v>
      </x:c>
      <x:c r="C9" s="14" t="str">
        <x:v>Javelot</x:v>
      </x:c>
      <x:c r="D9" s="14" t="n">
        <x:v>14</x:v>
      </x:c>
      <x:c r="E9" s="14" t="str">
        <x:v>Rôdeur</x:v>
      </x:c>
      <x:c r="F9" s="14" t="str">
        <x:v>Javelot des grands chasseurs</x:v>
      </x:c>
      <x:c r="G9" s="14" t="str">
        <x:v>Bonus contre ennemi juré</x:v>
      </x:c>
      <x:c r="H9" s="14" t="str">
        <x:v>Chasse légendaire</x:v>
      </x:c>
      <x:c r="I9" s="14" t="n">
        <x:v>1</x:v>
      </x:c>
    </x:row>
    <x:row r="10" ht="45" customHeight="1">
      <x:c r="A10" s="14" t="str">
        <x:v>UNI007</x:v>
      </x:c>
      <x:c r="B10" s="14" t="str">
        <x:v>Cendre-Mémoire</x:v>
      </x:c>
      <x:c r="C10" s="14" t="str">
        <x:v>Bâton élémentaire</x:v>
      </x:c>
      <x:c r="D10" s="14" t="n">
        <x:v>10</x:v>
      </x:c>
      <x:c r="E10" s="14" t="str">
        <x:v>Mage</x:v>
      </x:c>
      <x:c r="F10" s="14" t="str">
        <x:v>Bâton à rune instable</x:v>
      </x:c>
      <x:c r="G10" s="14" t="str">
        <x:v>Un seul élément d'affinité choisi de façon persistante</x:v>
      </x:c>
      <x:c r="H10" s="14" t="str">
        <x:v>Bibliothèque scellée</x:v>
      </x:c>
      <x:c r="I10" s="14" t="n">
        <x:v>1</x:v>
      </x:c>
    </x:row>
    <x:row r="11" ht="45" customHeight="1">
      <x:c r="A11" s="14" t="str">
        <x:v>UNI008</x:v>
      </x:c>
      <x:c r="B11" s="14" t="str">
        <x:v>Œil d'Azur</x:v>
      </x:c>
      <x:c r="C11" s="14" t="str">
        <x:v>Orbe arcanique</x:v>
      </x:c>
      <x:c r="D11" s="14" t="n">
        <x:v>16</x:v>
      </x:c>
      <x:c r="E11" s="14" t="str">
        <x:v>Mage</x:v>
      </x:c>
      <x:c r="F11" s="14" t="str">
        <x:v>Orbe de concentration</x:v>
      </x:c>
      <x:c r="G11" s="14" t="str">
        <x:v>Bonus de mana et contrôle des surfaces</x:v>
      </x:c>
      <x:c r="H11" s="14" t="str">
        <x:v>Sanctuaire arcanique</x:v>
      </x:c>
      <x:c r="I11" s="14" t="n">
        <x:v>0</x:v>
      </x:c>
    </x:row>
    <x:row r="12" ht="45" customHeight="1">
      <x:c r="A12" s="14" t="str">
        <x:v>UNI009</x:v>
      </x:c>
      <x:c r="B12" s="14" t="str">
        <x:v>Aube Silencieuse</x:v>
      </x:c>
      <x:c r="C12" s="14" t="str">
        <x:v>Sceptre sacré</x:v>
      </x:c>
      <x:c r="D12" s="14" t="n">
        <x:v>12</x:v>
      </x:c>
      <x:c r="E12" s="14" t="str">
        <x:v>Prêtre</x:v>
      </x:c>
      <x:c r="F12" s="14" t="str">
        <x:v>Reliquaire des exorcistes</x:v>
      </x:c>
      <x:c r="G12" s="14" t="str">
        <x:v>Contre morts-vivants : effet Holy conditionnel</x:v>
      </x:c>
      <x:c r="H12" s="14" t="str">
        <x:v>Temple enfoui</x:v>
      </x:c>
      <x:c r="I12" s="14" t="n">
        <x:v>1</x:v>
      </x:c>
    </x:row>
    <x:row r="13" ht="45" customHeight="1">
      <x:c r="A13" s="14" t="str">
        <x:v>UNI010</x:v>
      </x:c>
      <x:c r="B13" s="14" t="str">
        <x:v>Rempart des Justes</x:v>
      </x:c>
      <x:c r="C13" s="14" t="str">
        <x:v>Égide sacrée</x:v>
      </x:c>
      <x:c r="D13" s="14" t="n">
        <x:v>17</x:v>
      </x:c>
      <x:c r="E13" s="14" t="str">
        <x:v>Prêtre</x:v>
      </x:c>
      <x:c r="F13" s="14" t="str">
        <x:v>Bouclier votif</x:v>
      </x:c>
      <x:c r="G13" s="14" t="str">
        <x:v>Bonus de résistance sacrée au groupe (talent requis)</x:v>
      </x:c>
      <x:c r="H13" s="14" t="str">
        <x:v>Boss du temple</x:v>
      </x:c>
      <x:c r="I13" s="14" t="n">
        <x:v>1</x:v>
      </x:c>
    </x:row>
    <x:row r="14" ht="45" customHeight="1">
      <x:c r="A14" s="14" t="str">
        <x:v>UNI011</x:v>
      </x:c>
      <x:c r="B14" s="14" t="str">
        <x:v>Catalyseur d'Argent</x:v>
      </x:c>
      <x:c r="C14" s="14" t="str">
        <x:v>Arbalète légère</x:v>
      </x:c>
      <x:c r="D14" s="14" t="n">
        <x:v>8</x:v>
      </x:c>
      <x:c r="E14" s="14" t="str">
        <x:v>Alchimiste</x:v>
      </x:c>
      <x:c r="F14" s="14" t="str">
        <x:v>Arbalète alchimique</x:v>
      </x:c>
      <x:c r="G14" s="14" t="str">
        <x:v>Effet temporaire amplifié des huiles appliquées</x:v>
      </x:c>
      <x:c r="H14" s="14" t="str">
        <x:v>Laboratoire secret</x:v>
      </x:c>
      <x:c r="I14" s="14" t="n">
        <x:v>1</x:v>
      </x:c>
    </x:row>
    <x:row r="15" ht="45" customHeight="1">
      <x:c r="A15" s="14" t="str">
        <x:v>UNI012</x:v>
      </x:c>
      <x:c r="B15" s="14" t="str">
        <x:v>L'Alambic Gris</x:v>
      </x:c>
      <x:c r="C15" s="14" t="str">
        <x:v>Grimoire focaliseur</x:v>
      </x:c>
      <x:c r="D15" s="14" t="n">
        <x:v>15</x:v>
      </x:c>
      <x:c r="E15" s="14" t="str">
        <x:v>Alchimiste</x:v>
      </x:c>
      <x:c r="F15" s="14" t="str">
        <x:v>Carnet de transmutation</x:v>
      </x:c>
      <x:c r="G15" s="14" t="str">
        <x:v>Bonus à certaines recettes, sans attaque propre</x:v>
      </x:c>
      <x:c r="H15" s="14" t="str">
        <x:v>Quête du maître alchimiste</x:v>
      </x:c>
      <x:c r="I15" s="14" t="n">
        <x:v>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6" hidden="0" customWidth="1"/>
    <x:col min="3" max="3" width="75" hidden="0" customWidth="1"/>
  </x:cols>
  <x:sheetData>
    <x:row r="1" ht="35" customHeight="1">
      <x:c r="A1" s="3" t="str">
        <x:v>ARMEMENT01 — Cibles d'équilibrage (dés fixes au butin)</x:v>
      </x:c>
      <x:c r="B1" s="3"/>
      <x:c r="C1" s="3"/>
      <x:c r="D1" s="3"/>
      <x:c r="E1" s="3"/>
      <x:c r="F1" s="3"/>
    </x:row>
    <x:row r="2" ht="26" customHeight="1">
      <x:c r="A2" s="7" t="str">
        <x:v>La courbe de progression sert à choisir les profils ; la formule de dés M:N:O est la source réelle des dégâts. Modifier k1/k2 ne change pas automatiquement les dés.</x:v>
      </x:c>
      <x:c r="B2" s="7"/>
      <x:c r="C2" s="7"/>
      <x:c r="D2" s="7"/>
      <x:c r="E2" s="7"/>
      <x:c r="F2" s="7"/>
    </x:row>
    <x:row r="3" ht="30" customHeight="1">
      <x:c r="A3" s="18" t="str">
        <x:v>Paramètre</x:v>
      </x:c>
      <x:c r="B3" s="18" t="str">
        <x:v>Valeur</x:v>
      </x:c>
      <x:c r="C3" s="18" t="str">
        <x:v>Rôle</x:v>
      </x:c>
    </x:row>
    <x:row r="4" ht="27" customHeight="1">
      <x:c r="A4" t="str">
        <x:v>Croissance par niveau d'OBJET k1</x:v>
      </x:c>
      <x:c r="B4" s="23" t="n">
        <x:v>0.11</x:v>
      </x:c>
      <x:c r="C4" s="14" t="str">
        <x:v>Coefficient par niveau</x:v>
      </x:c>
    </x:row>
    <x:row r="5" ht="27" customHeight="1">
      <x:c r="A5" t="str">
        <x:v>Accélération par niveau d'OBJET k2</x:v>
      </x:c>
      <x:c r="B5" s="23" t="n">
        <x:v>0.016</x:v>
      </x:c>
      <x:c r="C5" s="14" t="str">
        <x:v>Accélération modérée des dégâts</x:v>
      </x:c>
    </x:row>
    <x:row r="6" ht="27" customHeight="1">
      <x:c r="A6" t="str">
        <x:v>Niveau maximum</x:v>
      </x:c>
      <x:c r="B6" t="n">
        <x:v>20</x:v>
      </x:c>
      <x:c r="C6" s="14" t="str">
        <x:v>Plafond de progression</x:v>
      </x:c>
    </x:row>
    <x:row r="7" ht="27" customHeight="1">
      <x:c r="A7" t="str">
        <x:v>PA par personnage / tour</x:v>
      </x:c>
      <x:c r="B7" t="n">
        <x:v>4</x:v>
      </x:c>
      <x:c r="C7" s="14" t="str">
        <x:v>Autorité existante du projet, rappel</x:v>
      </x:c>
    </x:row>
    <x:row r="8" ht="27" customHeight="1">
      <x:c r="A8" t="str">
        <x:v>Poids d'arme</x:v>
      </x:c>
      <x:c r="B8" t="str">
        <x:v>kg</x:v>
      </x:c>
      <x:c r="C8" s="14" t="str">
        <x:v>Poids catalogue conservé, ne dépend pas du niveau</x:v>
      </x:c>
    </x:row>
    <x:row r="9" ht="27" customHeight="1">
      <x:c r="A9" t="str">
        <x:v>Attributs / rareté / qualité de forge</x:v>
      </x:c>
      <x:c r="B9" t="str">
        <x:v>Hors formule</x:v>
      </x:c>
      <x:c r="C9" s="14" t="str">
        <x:v>Affixes, précision et effets conditionnels restent séparés du WD.</x:v>
      </x:c>
    </x:row>
    <x:row r="10">
      <x:c r="A10" t="str">
        <x:v>Malus de précision / niveau manquant</x:v>
      </x:c>
      <x:c r="B10" s="65" t="n">
        <x:v>2</x:v>
      </x:c>
      <x:c r="C10" t="str">
        <x:v>−2 précision par niveau d'objet au-dessus du porteur, plafond B13 (proposé)</x:v>
      </x:c>
    </x:row>
    <x:row r="11">
      <x:c r="A11" t="str">
        <x:v>Perte de puissance / niveau manquant</x:v>
      </x:c>
      <x:c r="B11" s="66" t="n">
        <x:v>0.1</x:v>
      </x:c>
      <x:c r="C11" t="str">
        <x:v>−10% WD + protection pour chaque niveau manquant (proposé)</x:v>
      </x:c>
    </x:row>
    <x:row r="12">
      <x:c r="A12" t="str">
        <x:v>Puissance et protection minimum</x:v>
      </x:c>
      <x:c r="B12" s="66" t="n">
        <x:v>0.5</x:v>
      </x:c>
      <x:c r="C12" t="str">
        <x:v>Plancher 50% (proposé)</x:v>
      </x:c>
    </x:row>
    <x:row r="13">
      <x:c r="A13" t="str">
        <x:v>Malus de précision maximal</x:v>
      </x:c>
      <x:c r="B13" s="65" t="n">
        <x:v>10</x:v>
      </x:c>
      <x:c r="C13" t="str">
        <x:v>Malus plafonné à −10 (proposé)</x:v>
      </x:c>
    </x:row>
    <x:row r="14">
      <x:c r="A14" t="str">
        <x:v>Écart maximum équipable (proposé)</x:v>
      </x:c>
      <x:c r="B14" s="65" t="n">
        <x:v>3</x:v>
      </x:c>
      <x:c r="C14" t="str">
        <x:v>Au-delà : équipement refusé, sous réserve de validation (anti-abus)</x:v>
      </x:c>
    </x:row>
    <x:row r="15">
      <x:c r="A15" t="str">
        <x:v>Niveau d'objet fixe</x:v>
      </x:c>
      <x:c r="B15" t="str">
        <x:v>OUI</x:v>
      </x:c>
      <x:c r="C15" t="str">
        <x:v>Aucune forge/rune/huile ne modifie ItemLevel</x:v>
      </x:c>
    </x:row>
    <x:row r="16">
      <x:c r="A16" t="str">
        <x:v>Dés autorisés</x:v>
      </x:c>
      <x:c r="B16" t="str">
        <x:v>d4, d6, d8, d10, d12, d20</x:v>
      </x:c>
      <x:c r="C16" t="str">
        <x:v>Sommer NdM lancers indépendants + K; ne pas substituer RandRange(Min,Max).</x:v>
      </x:c>
    </x:row>
    <x:row r="17">
      <x:c r="A17" t="str">
        <x:v>Rareté et dégâts</x:v>
      </x:c>
      <x:c r="B17" t="str">
        <x:v>Aucun multiplicateur automatique</x:v>
      </x:c>
      <x:c r="C17" t="str">
        <x:v>Les affixes/runes agissent via modificateurs et statuts identifiés.</x:v>
      </x:c>
    </x:row>
    <x:row r="18">
      <x:c r="A18" t="str">
        <x:v>Source des dés</x:v>
      </x:c>
      <x:c r="B18" t="str">
        <x:v>Niveaux 1-20 : M/N/O</x:v>
      </x:c>
      <x:c r="C18" t="str">
        <x:v>Les colonnes Q/R/S montrent les cibles historiques (non autoritaires).</x:v>
      </x:c>
    </x:row>
    <x:row r="19">
      <x:c r="A19" t="str">
        <x:v>Mode Dice (contrat ARMEMENT01.2)</x:v>
      </x:c>
      <x:c r="B19" t="str">
        <x:v>Opt-in non implémenté</x:v>
      </x:c>
      <x:c r="C19" t="str">
        <x:v>Activer explicitement uniquement sur une attaque convertie; les profils legacy restent uniformes.</x:v>
      </x:c>
    </x:row>
    <x:row r="20">
      <x:c r="A20" t="str">
        <x:v>Nb de dés max proposé</x:v>
      </x:c>
      <x:c r="B20" t="n">
        <x:v>32</x:v>
      </x:c>
      <x:c r="C20" t="str">
        <x:v>Protection contre abus de données. Le catalogue v0.3 utilise au plus 6 dés.</x:v>
      </x:c>
    </x:row>
    <x:row r="21">
      <x:c r="A21" t="str">
        <x:v>Bonus K inclus</x:v>
      </x:c>
      <x:c r="B21" t="str">
        <x:v>OUI</x:v>
      </x:c>
      <x:c r="C21" t="str">
        <x:v>Ne jamais dupliquer la constante des dés dans FlatDamageBonus ou SourceDamageBonus.</x:v>
      </x:c>
    </x:row>
    <x:row r="22">
      <x:c r="A22" t="str">
        <x:v>Validation données</x:v>
      </x:c>
      <x:c r="B22" t="str">
        <x:v>Niveaux 1-20!T:V</x:v>
      </x:c>
      <x:c r="C22" t="str">
        <x:v>Vérifications calculées pour les 1640 profils.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6" hidden="0" customWidth="1"/>
    <x:col min="3" max="3" width="91" hidden="0" customWidth="1"/>
    <x:col min="4" max="4" width="89" hidden="0" customWidth="1"/>
  </x:cols>
  <x:sheetData>
    <x:row r="1" ht="35" customHeight="1">
      <x:c r="A1" s="3" t="str">
        <x:v>Intégration Unreal Engine 5.5.4</x:v>
      </x:c>
      <x:c r="B1" s="3"/>
      <x:c r="C1" s="3"/>
      <x:c r="D1" s="3"/>
    </x:row>
    <x:row r="2" ht="26" customHeight="1">
      <x:c r="A2" s="7" t="str">
        <x:v>ARMEMENT01.2 — schéma multi-dés opt-in, sans modification du moteur UE5 dans ce jalon.</x:v>
      </x:c>
      <x:c r="B2" s="7"/>
      <x:c r="C2" s="7"/>
      <x:c r="D2" s="7"/>
    </x:row>
    <x:row r="3" ht="30" customHeight="1">
      <x:c r="A3" s="18" t="str">
        <x:v>Statut</x:v>
      </x:c>
      <x:c r="B3" s="18" t="str">
        <x:v>Point d'extension</x:v>
      </x:c>
      <x:c r="C3" s="18" t="str">
        <x:v>Contrat</x:v>
      </x:c>
      <x:c r="D3" s="18" t="str">
        <x:v>Décision d'architecture</x:v>
      </x:c>
    </x:row>
    <x:row r="4" ht="55" customHeight="1">
      <x:c r="A4" s="14" t="str">
        <x:v>Existant confirmé</x:v>
      </x:c>
      <x:c r="B4" s="14" t="str">
        <x:v>FGridAttackDefinition</x:v>
      </x:c>
      <x:c r="C4" s="14" t="str">
        <x:v>MinDamage, MaxDamage, AccuracyBonus, DamageType, PhysicalSubtype</x:v>
      </x:c>
      <x:c r="D4" s="14" t="str">
        <x:v>Actuel uniforme inclusif ; dX multiples exigent une évolution.</x:v>
      </x:c>
    </x:row>
    <x:row r="5" ht="55" customHeight="1">
      <x:c r="A5" s="14" t="str">
        <x:v>Existant confirmé</x:v>
      </x:c>
      <x:c r="B5" s="14" t="str">
        <x:v>FGridCombatRollTrace</x:v>
      </x:c>
      <x:c r="C5" s="14" t="str">
        <x:v>Kind=Die|Range, DiceCount, DiceSides, IndividualRolls, FinalValue</x:v>
      </x:c>
      <x:c r="D5" s="14" t="str">
        <x:v>À enrichir pour le K de la formule et conserver la présentation des jets legacy.</x:v>
      </x:c>
    </x:row>
    <x:row r="6" ht="55" customHeight="1">
      <x:c r="A6" s="14" t="str">
        <x:v>Existant confirmé</x:v>
      </x:c>
      <x:c r="B6" s="14" t="str">
        <x:v>FGridOffensiveEquipmentProfile</x:v>
      </x:c>
      <x:c r="C6" s="14" t="str">
        <x:v>AttackDefinition, FlatDamageBonus, DamageScalingAttribute, RangeCells</x:v>
      </x:c>
      <x:c r="D6" s="14" t="str">
        <x:v>Permet de convertir les valeurs calculées en profils d'attaques.</x:v>
      </x:c>
    </x:row>
    <x:row r="7" ht="55" customHeight="1">
      <x:c r="A7" s="14" t="str">
        <x:v>Existant confirmé</x:v>
      </x:c>
      <x:c r="B7" s="14" t="str">
        <x:v>FGridCombatWeaponAttackProfile</x:v>
      </x:c>
      <x:c r="C7" s="14" t="str">
        <x:v>WeaponDamagePercent, bUseEquippedWeapon, RequiredItemTags, bUseWeaponRange</x:v>
      </x:c>
      <x:c r="D7" s="14" t="str">
        <x:v>Les talents gardent autorité sur WD; pas de duplication.</x:v>
      </x:c>
    </x:row>
    <x:row r="8" ht="55" customHeight="1">
      <x:c r="A8" s="14" t="str">
        <x:v>Existant confirmé</x:v>
      </x:c>
      <x:c r="B8" s="14" t="str">
        <x:v>FGridItemInstance</x:v>
      </x:c>
      <x:c r="C8" s="14" t="str">
        <x:v>RuntimeObjectId, ItemDefinitionId, Quantity, WorldTransform, équipement</x:v>
      </x:c>
      <x:c r="D8" s="14" t="str">
        <x:v>Ne contient pas encore à lui seul la rareté/forge/runes (constat sur en-tête consulté).</x:v>
      </x:c>
    </x:row>
    <x:row r="9" ht="55" customHeight="1">
      <x:c r="A9" s="14" t="str">
        <x:v>Évolution proposée</x:v>
      </x:c>
      <x:c r="B9" s="14" t="str">
        <x:v>FGridItemInstance (SaveGame)</x:v>
      </x:c>
      <x:c r="C9" s="14" t="str">
        <x:v>ItemLevel (création seulement), Rarity, AffixIds, RuneIds, ForgeRank et enduit</x:v>
      </x:c>
      <x:c r="D9" s="14" t="str">
        <x:v>Séparer niveau IMMUTABLE de la finition ; sauvegarder instance</x:v>
      </x:c>
    </x:row>
    <x:row r="10" ht="55" customHeight="1">
      <x:c r="A10" s="14" t="str">
        <x:v>Évolution proposée</x:v>
      </x:c>
      <x:c r="B10" s="14" t="str">
        <x:v>Authoring des versions de butin</x:v>
      </x:c>
      <x:c r="C10" s="14" t="str">
        <x:v>ArchetypeId + ItemLevel immuable -&gt; profil NdM+K explicite</x:v>
      </x:c>
      <x:c r="D10" s="14" t="str">
        <x:v>La courbe k1/k2 sert à l'équilibrage seulement, jamais au tirage runtime.</x:v>
      </x:c>
    </x:row>
    <x:row r="11" ht="55" customHeight="1">
      <x:c r="A11" s="14" t="str">
        <x:v>Évolution proposée</x:v>
      </x:c>
      <x:c r="B11" s="14" t="str">
        <x:v>Weapon stat resolver</x:v>
      </x:c>
      <x:c r="C11" s="14" t="str">
        <x:v>Lire niveau fixe + rareté + améliorations, calculer le profil sans mutation du niveau</x:v>
      </x:c>
      <x:c r="D11" s="14" t="str">
        <x:v>Même projection C++ pour combat, tooltip et examen</x:v>
      </x:c>
    </x:row>
    <x:row r="12" ht="55" customHeight="1">
      <x:c r="A12" s="14" t="str">
        <x:v>À retirer lors de la migration ARMEMENT</x:v>
      </x:c>
      <x:c r="B12" s="14" t="str">
        <x:v>Conversion Min/Max en dé virtuel</x:v>
      </x:c>
      <x:c r="C12" s="14" t="str">
        <x:v>Interdite pour les nouvelles armes : d5/d7... non autorisés</x:v>
      </x:c>
      <x:c r="D12" s="14" t="str">
        <x:v>Conserver exclusivement comme représentation éventuelle des profils legacy étrangers au nouveau catalogue.</x:v>
      </x:c>
    </x:row>
    <x:row r="13" ht="55" customHeight="1">
      <x:c r="A13" s="14" t="str">
        <x:v>Évolution proposée</x:v>
      </x:c>
      <x:c r="B13" s="14" t="str">
        <x:v>FGridWeaponLevelPenalty</x:v>
      </x:c>
      <x:c r="C13" s="14" t="str">
        <x:v>d = max(0, ItemLevel - CharacterLevel), malus précision et puissance/protection ; seuil max proposé d=3</x:v>
      </x:c>
      <x:c r="D13" s="14" t="str">
        <x:v>−2 précision / niveau, −10% WD / niveau, blocage d&gt;3 à valider</x:v>
      </x:c>
    </x:row>
    <x:row r="14" ht="55" customHeight="1">
      <x:c r="A14" s="14" t="str">
        <x:v>Évolution proposée</x:v>
      </x:c>
      <x:c r="B14" s="14" t="str">
        <x:v>Crafting transaction service</x:v>
      </x:c>
      <x:c r="C14" s="14" t="str">
        <x:v>Consommation ingrédients, ForgeRank, runes et enduit ; ZERO changement ItemLevel</x:v>
      </x:c>
      <x:c r="D14" s="14" t="str">
        <x:v>Validation atomique et rollback en cas d'échec</x:v>
      </x:c>
    </x:row>
    <x:row r="15">
      <x:c r="A15" t="str">
        <x:v>Tests nécessaires</x:v>
      </x:c>
      <x:c r="B15" t="str">
        <x:v>Grimrock.RPG.ARMEMENT01.*</x:v>
      </x:c>
      <x:c r="C15" t="str">
        <x:v>immutabilité, dés, sous-niveau, save/load, compatibilité WD et buffs</x:v>
      </x:c>
      <x:c r="D15" t="str">
        <x:v>Statut : à implémenter ; validation TD04.2 par logs</x:v>
      </x:c>
    </x:row>
    <x:row r="16">
      <x:c r="A16" s="56" t="str">
        <x:v>Références dépôt</x:v>
      </x:c>
      <x:c r="B16" s="56" t="str">
        <x:v>URL</x:v>
      </x:c>
    </x:row>
    <x:row r="17">
      <x:c r="A17" t="str">
        <x:v>C++ items</x:v>
      </x:c>
      <x:c r="B17" t="str">
        <x:v>https://github.com/PhilippeMartin1964/GrimrockPrototype/blob/master/Source/GrimrockPrototype/Public/Runtime/GridItemDefinitionAsset.h</x:v>
      </x:c>
    </x:row>
    <x:row r="18">
      <x:c r="A18" t="str">
        <x:v>Inventaire</x:v>
      </x:c>
      <x:c r="B18" t="str">
        <x:v>https://github.com/PhilippeMartin1964/GrimrockPrototype/blob/master/Source/GrimrockPrototype/Public/Runtime/GridInventoryTypes.h</x:v>
      </x:c>
    </x:row>
    <x:row r="19">
      <x:c r="A19" t="str">
        <x:v>Profils combats</x:v>
      </x:c>
      <x:c r="B19" t="str">
        <x:v>https://github.com/PhilippeMartin1964/GrimrockPrototype/blob/master/Source/GrimrockPrototype/Public/Runtime/Combat/GridCombatTypes.h</x:v>
      </x:c>
    </x:row>
    <x:row r="20">
      <x:c r="A20" t="str">
        <x:v>RPG03.9.0</x:v>
      </x:c>
      <x:c r="B20" t="str">
        <x:v>https://github.com/PhilippeMartin1964/GrimrockPrototype/blob/master/docs/Design/RPG03_9_0_WEAPON_BASED_TALENT_ATTACKS.md</x:v>
      </x:c>
    </x:row>
    <x:row r="21">
      <x:c r="A21" t="str">
        <x:v>Sources inspirantes</x:v>
      </x:c>
      <x:c r="B21" t="str">
        <x:v>https://divinity.fandom.com/wiki/Original_Sin_2_Weapons</x:v>
      </x:c>
    </x:row>
    <x:row r="22">
      <x:c r="A22" t="str">
        <x:v>Référence univers</x:v>
      </x:c>
      <x:c r="B22" t="str">
        <x:v>https://www.rpgsoluce.com/soluces/ps4/dos2/guides/uniques.htm</x:v>
      </x:c>
    </x:row>
    <x:row r="23">
      <x:c r="A23" t="str">
        <x:v>Évolution proposée</x:v>
      </x:c>
      <x:c r="B23" t="str">
        <x:v>FGridCombatRollTrace / Format combat</x:v>
      </x:c>
      <x:c r="C23" t="str">
        <x:v>DiceCount, DiceSides, IndividualRolls, DiceFlatBonus, FinalValue</x:v>
      </x:c>
      <x:c r="D23" t="str">
        <x:v>Seule source de vérité ; formatter les dés réels, aucune relance UMG.</x:v>
      </x:c>
    </x:row>
    <x:row r="24">
      <x:c r="A24" t="str">
        <x:v>Validation requise</x:v>
      </x:c>
      <x:c r="B24" t="str">
        <x:v>Compatibilité RPG03.9.0</x:v>
      </x:c>
      <x:c r="C24" t="str">
        <x:v>WD reste basé sur une seule attaque équipée</x:v>
      </x:c>
      <x:c r="D24" t="str">
        <x:v>Pas de double bonus, pas de second resolver.</x:v>
      </x:c>
    </x:row>
    <x:row r="25">
      <x:c r="A25" t="str">
        <x:v>ARMEMENT01.2</x:v>
      </x:c>
      <x:c r="B25" t="str">
        <x:v>FGridDamageDiceProfile (proposé)</x:v>
      </x:c>
      <x:c r="C25" t="str">
        <x:v>bEnabled ; DiceCount ; DiceSides ; FlatBonus</x:v>
      </x:c>
      <x:c r="D25" t="str">
        <x:v>Profil opt-in dans FGridAttackDefinition, non destructif des Min/Max legacy.</x:v>
      </x:c>
    </x:row>
    <x:row r="26">
      <x:c r="A26" t="str">
        <x:v>ARMEMENT01.2</x:v>
      </x:c>
      <x:c r="B26" t="str">
        <x:v>FGridAttackDefinition::IsValid</x:v>
      </x:c>
      <x:c r="C26" t="str">
        <x:v>Si bEnabled : d4/d6/d8/d10/d12/d20 ; bornes recalculées</x:v>
      </x:c>
      <x:c r="D26" t="str">
        <x:v>Interdire incohérences entre profil canonique et bornes Min/Max exposées.</x:v>
      </x:c>
    </x:row>
    <x:row r="27">
      <x:c r="A27" t="str">
        <x:v>ARMEMENT01.2</x:v>
      </x:c>
      <x:c r="B27" t="str">
        <x:v>FGridCombatResolver::ResolveAttack</x:v>
      </x:c>
      <x:c r="C27" t="str">
        <x:v>Legacy inchangé si bEnabled=false ; sinon N vrais tirages indépendants</x:v>
      </x:c>
      <x:c r="D27" t="str">
        <x:v>Utiliser le FRandomStream fourni, sans un second RNG ou resolver.</x:v>
      </x:c>
    </x:row>
    <x:row r="28">
      <x:c r="A28" t="str">
        <x:v>ARMEMENT01.2</x:v>
      </x:c>
      <x:c r="B28" t="str">
        <x:v>ResolveAttackFromDiceRolls (proposé)</x:v>
      </x:c>
      <x:c r="C28" t="str">
        <x:v>Injection d'un d20 et TArray&lt;int32&gt; des résultats de dés</x:v>
      </x:c>
      <x:c r="D28" t="str">
        <x:v>Rendre les tests des vrais dés déterministes sans supprimer ResolveAttackFromRolls.</x:v>
      </x:c>
    </x:row>
    <x:row r="29">
      <x:c r="A29" t="str">
        <x:v>ARMEMENT01.2</x:v>
      </x:c>
      <x:c r="B29" t="str">
        <x:v>Ordre RNG et ratés</x:v>
      </x:c>
      <x:c r="C29" t="str">
        <x:v>d20 avant dégâts ; préserver les tirages legacy même sur raté</x:v>
      </x:c>
      <x:c r="D29" t="str">
        <x:v>Pour multi-dés, documenter consommation N tirages et masquer résolution en cas de raté.</x:v>
      </x:c>
    </x:row>
    <x:row r="30">
      <x:c r="A30" t="str">
        <x:v>ARMEMENT01.2</x:v>
      </x:c>
      <x:c r="B30" t="str">
        <x:v>FGridCombatRollTrace::DiceFlatBonus</x:v>
      </x:c>
      <x:c r="C30" t="str">
        <x:v>K séparé des dés et de SourceDamageBonus</x:v>
      </x:c>
      <x:c r="D30" t="str">
        <x:v>FinalValue = somme(IndividualRolls)+K ; chaque élément 1..DiceSides.</x:v>
      </x:c>
    </x:row>
    <x:row r="31">
      <x:c r="A31" t="str">
        <x:v>ARMEMENT01.2</x:v>
      </x:c>
      <x:c r="B31" t="str">
        <x:v>GridCombatEventFeedFormatter</x:v>
      </x:c>
      <x:c r="C31" t="str">
        <x:v>Préserver la branche Range ; Die multi avec K affiché</x:v>
      </x:c>
      <x:c r="D31" t="str">
        <x:v>Exemple : 2d8 (3 + 7) + 4 = 14 ; aucun d5 virtuel pour armes nouvelles.</x:v>
      </x:c>
    </x:row>
    <x:row r="32">
      <x:c r="A32" t="str">
        <x:v>ARMEMENT01.2</x:v>
      </x:c>
      <x:c r="B32" t="str">
        <x:v>RPG03.9.0, WeaponAttackProfile</x:v>
      </x:c>
      <x:c r="C32" t="str">
        <x:v>WD applique une seule fois le total jet+K+bonus plats+attributs</x:v>
      </x:c>
      <x:c r="D32" t="str">
        <x:v>L'algorithme critique/armure/résistance reste inchangé.</x:v>
      </x:c>
    </x:row>
    <x:row r="33">
      <x:c r="A33" t="str">
        <x:v>ARMEMENT01.2</x:v>
      </x:c>
      <x:c r="B33" t="str">
        <x:v>Monstres / sortilèges legacy</x:v>
      </x:c>
      <x:c r="C33" t="str">
        <x:v>Ne pas convertir implicitement les attaques Min/Max existantes</x:v>
      </x:c>
      <x:c r="D33" t="str">
        <x:v>Aucun changement de probabilités des ennemis avant une migration dédiée.</x:v>
      </x:c>
    </x:row>
    <x:row r="34">
      <x:c r="A34" t="str">
        <x:v>ARMEMENT01.2</x:v>
      </x:c>
      <x:c r="B34" t="str">
        <x:v>Invariants SaveGame</x:v>
      </x:c>
      <x:c r="C34" t="str">
        <x:v>ItemLevel, rareté et améliorations séparés (jalons ultérieurs)</x:v>
      </x:c>
      <x:c r="D34" t="str">
        <x:v>Ne jamais randomiser le profil à la restauration; RNG uniquement à l'attaque.</x:v>
      </x:c>
    </x:row>
    <x:row r="35">
      <x:c r="A35" t="str">
        <x:v>ARMEMENT01.2</x:v>
      </x:c>
      <x:c r="B35" t="str">
        <x:v>Tests de validation</x:v>
      </x:c>
      <x:c r="C35" t="str">
        <x:v>Validation dés + statistiques exactes + déterminisme + traces + legacy</x:v>
      </x:c>
      <x:c r="D35" t="str">
        <x:v>Filtre proposé : Grimrock.RPG.ARMEMENT01.2</x:v>
      </x:c>
    </x:row>
    <x:row r="36">
      <x:c r="A36" t="str">
        <x:v>ARMEMENT01.2</x:v>
      </x:c>
      <x:c r="B36" t="str">
        <x:v>Statut</x:v>
      </x:c>
      <x:c r="C36" t="str">
        <x:v>CONTRAT RÉDIGÉ — CODE NON IMPLÉMENTÉ</x:v>
      </x:c>
      <x:c r="D36" t="str">
        <x:v>Build et Automation UE nécessitent exécution locale TD04.2 et logs utilisateur.</x:v>
      </x:c>
    </x:row>
    <x:row r="37">
      <x:c r="A37" t="str">
        <x:v>ARMEMENT01.2</x:v>
      </x:c>
      <x:c r="B37" t="str">
        <x:v>Dépendance balance</x:v>
      </x:c>
      <x:c r="C37" t="str">
        <x:v>Dégâts/PA, multi-dés vs variance, PV/armures et progression ennemis</x:v>
      </x:c>
      <x:c r="D37" t="str">
        <x:v>Pas de chiffres déclarés définitifs sans tests réels.</x:v>
      </x:c>
    </x:row>
    <x:row r="38">
      <x:c r="A38" t="str">
        <x:v>ARMEMENT01.2</x:v>
      </x:c>
      <x:c r="B38" t="str">
        <x:v>Compatibilité boucliers</x:v>
      </x:c>
      <x:c r="C38" t="str">
        <x:v>Armure fixe ; aucun dé passif, sauf action Shield Bash explicite</x:v>
      </x:c>
      <x:c r="D38" t="str">
        <x:v>Pas de modif automatique des protections par le moteur de dés.</x:v>
      </x:c>
    </x:row>
    <x:row r="39">
      <x:c r="A39" t="str">
        <x:v>ARMEMENT01.2</x:v>
      </x:c>
      <x:c r="B39" t="str">
        <x:v>Compatibilité éclairs/poisons</x:v>
      </x:c>
      <x:c r="C39" t="str">
        <x:v>Effets élémentaires futurs = jets séparés si explicitement spécifiés</x:v>
      </x:c>
      <x:c r="D39" t="str">
        <x:v>Le dé de la base ne devient pas une deuxième attaque.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6" hidden="0" customWidth="1"/>
    <x:col min="4" max="4" width="46" hidden="0" customWidth="1"/>
    <x:col min="5" max="5" width="22" hidden="0" customWidth="1"/>
    <x:col min="6" max="6" width="22" hidden="0" customWidth="1"/>
    <x:col min="7" max="7" width="22" hidden="0" customWidth="1"/>
    <x:col min="8" max="8" width="49" hidden="0" customWidth="1"/>
  </x:cols>
  <x:sheetData>
    <x:row r="1" ht="35" customHeight="1">
      <x:c r="A1" s="3" t="str">
        <x:v>Banque d'affixes — propositions</x:v>
      </x:c>
      <x:c r="B1" s="3"/>
      <x:c r="C1" s="3"/>
      <x:c r="D1" s="3"/>
      <x:c r="E1" s="3"/>
      <x:c r="F1" s="3"/>
      <x:c r="G1" s="3"/>
      <x:c r="H1" s="3"/>
    </x:row>
    <x:row r="2" ht="26" customHeight="1">
      <x:c r="A2" s="7" t="str">
        <x:v>Les affixes modifient préférences et tactique sans multiplier inutilement les dégâts. Proc = effet déclenché selon une condition.</x:v>
      </x:c>
      <x:c r="B2" s="7"/>
      <x:c r="C2" s="7"/>
      <x:c r="D2" s="7"/>
      <x:c r="E2" s="7"/>
      <x:c r="F2" s="7"/>
      <x:c r="G2" s="7"/>
      <x:c r="H2" s="7"/>
    </x:row>
    <x:row r="3" ht="30" customHeight="1">
      <x:c r="A3" s="18" t="str">
        <x:v>Code</x:v>
      </x:c>
      <x:c r="B3" s="18" t="str">
        <x:v>Nom</x:v>
      </x:c>
      <x:c r="C3" s="18" t="str">
        <x:v>Cible</x:v>
      </x:c>
      <x:c r="D3" s="18" t="str">
        <x:v>Effet recommandé</x:v>
      </x:c>
      <x:c r="E3" s="18" t="str">
        <x:v>Rare</x:v>
      </x:c>
      <x:c r="F3" s="18" t="str">
        <x:v>Épique</x:v>
      </x:c>
      <x:c r="G3" s="18" t="str">
        <x:v>Légendaire</x:v>
      </x:c>
      <x:c r="H3" s="18" t="str">
        <x:v>Limite d'équilibrage</x:v>
      </x:c>
    </x:row>
    <x:row r="4" ht="34" customHeight="1">
      <x:c r="A4" s="14" t="str">
        <x:v>AFX01</x:v>
      </x:c>
      <x:c r="B4" s="14" t="str">
        <x:v>Précis</x:v>
      </x:c>
      <x:c r="C4" s="14" t="str">
        <x:v>Arme</x:v>
      </x:c>
      <x:c r="D4" s="14" t="str">
        <x:v>+ précision</x:v>
      </x:c>
      <x:c r="E4" s="14" t="str">
        <x:v>+1</x:v>
      </x:c>
      <x:c r="F4" s="14" t="str">
        <x:v>+1 à +2</x:v>
      </x:c>
      <x:c r="G4" s="14" t="str">
        <x:v>+2</x:v>
      </x:c>
      <x:c r="H4" s="14" t="str">
        <x:v>≤ +2 hors Unique</x:v>
      </x:c>
    </x:row>
    <x:row r="5" ht="34" customHeight="1">
      <x:c r="A5" s="14" t="str">
        <x:v>AFX02</x:v>
      </x:c>
      <x:c r="B5" s="14" t="str">
        <x:v>Féroce</x:v>
      </x:c>
      <x:c r="C5" s="14" t="str">
        <x:v>Arme</x:v>
      </x:c>
      <x:c r="D5" s="14" t="str">
        <x:v>+ dégâts critiques</x:v>
      </x:c>
      <x:c r="E5" s="14" t="str">
        <x:v>—</x:v>
      </x:c>
      <x:c r="F5" s="14" t="str">
        <x:v>+5 %</x:v>
      </x:c>
      <x:c r="G5" s="14" t="str">
        <x:v>+10 %</x:v>
      </x:c>
      <x:c r="H5" s="14" t="str">
        <x:v>Ne pas augmenter les attaques de base</x:v>
      </x:c>
    </x:row>
    <x:row r="6" ht="34" customHeight="1">
      <x:c r="A6" s="14" t="str">
        <x:v>AFX03</x:v>
      </x:c>
      <x:c r="B6" s="14" t="str">
        <x:v>Affûté</x:v>
      </x:c>
      <x:c r="C6" s="14" t="str">
        <x:v>Tranchant</x:v>
      </x:c>
      <x:c r="D6" s="14" t="str">
        <x:v>+ dégâts WD</x:v>
      </x:c>
      <x:c r="E6" s="14" t="str">
        <x:v>—</x:v>
      </x:c>
      <x:c r="F6" s="14" t="str">
        <x:v>+3 %</x:v>
      </x:c>
      <x:c r="G6" s="14" t="str">
        <x:v>+5 %</x:v>
      </x:c>
      <x:c r="H6" s="14" t="str">
        <x:v>Non cumulable avec autre affixe WD</x:v>
      </x:c>
    </x:row>
    <x:row r="7" ht="34" customHeight="1">
      <x:c r="A7" s="14" t="str">
        <x:v>AFX04</x:v>
      </x:c>
      <x:c r="B7" s="14" t="str">
        <x:v>Percuteur</x:v>
      </x:c>
      <x:c r="C7" s="14" t="str">
        <x:v>Contondant</x:v>
      </x:c>
      <x:c r="D7" s="14" t="str">
        <x:v>+ dégâts sur armure physique</x:v>
      </x:c>
      <x:c r="E7" s="14" t="str">
        <x:v>—</x:v>
      </x:c>
      <x:c r="F7" s="14" t="str">
        <x:v>+4 %</x:v>
      </x:c>
      <x:c r="G7" s="14" t="str">
        <x:v>+6 %</x:v>
      </x:c>
      <x:c r="H7" s="14" t="str">
        <x:v>Pas de bypass armure</x:v>
      </x:c>
    </x:row>
    <x:row r="8" ht="34" customHeight="1">
      <x:c r="A8" s="14" t="str">
        <x:v>AFX05</x:v>
      </x:c>
      <x:c r="B8" s="14" t="str">
        <x:v>Perce-garde</x:v>
      </x:c>
      <x:c r="C8" s="14" t="str">
        <x:v>Perforant</x:v>
      </x:c>
      <x:c r="D8" s="14" t="str">
        <x:v>Bonus conditionnel cible protégée</x:v>
      </x:c>
      <x:c r="E8" s="14" t="str">
        <x:v>Effet mineur</x:v>
      </x:c>
      <x:c r="F8" s="14" t="str">
        <x:v>+5 %</x:v>
      </x:c>
      <x:c r="G8" s="14" t="str">
        <x:v>+7 %</x:v>
      </x:c>
      <x:c r="H8" s="14" t="str">
        <x:v>Dépend d'une cible valide</x:v>
      </x:c>
    </x:row>
    <x:row r="9" ht="34" customHeight="1">
      <x:c r="A9" s="14" t="str">
        <x:v>AFX06</x:v>
      </x:c>
      <x:c r="B9" s="14" t="str">
        <x:v>Équilibré</x:v>
      </x:c>
      <x:c r="C9" s="14" t="str">
        <x:v>Armes lourdes</x:v>
      </x:c>
      <x:c r="D9" s="14" t="str">
        <x:v>Réduction malus précision</x:v>
      </x:c>
      <x:c r="E9" s="14" t="str">
        <x:v>+1</x:v>
      </x:c>
      <x:c r="F9" s="14" t="str">
        <x:v>+1</x:v>
      </x:c>
      <x:c r="G9" s="14" t="str">
        <x:v>+2</x:v>
      </x:c>
      <x:c r="H9" s="14" t="str">
        <x:v>Pas de réduction du coût PA</x:v>
      </x:c>
    </x:row>
    <x:row r="10" ht="34" customHeight="1">
      <x:c r="A10" s="14" t="str">
        <x:v>AFX07</x:v>
      </x:c>
      <x:c r="B10" s="14" t="str">
        <x:v>Robuste</x:v>
      </x:c>
      <x:c r="C10" s="14" t="str">
        <x:v>Bouclier</x:v>
      </x:c>
      <x:c r="D10" s="14" t="str">
        <x:v>+ armure physique</x:v>
      </x:c>
      <x:c r="E10" s="14" t="str">
        <x:v>+3 %</x:v>
      </x:c>
      <x:c r="F10" s="14" t="str">
        <x:v>+5 %</x:v>
      </x:c>
      <x:c r="G10" s="14" t="str">
        <x:v>+8 %</x:v>
      </x:c>
      <x:c r="H10" s="14" t="str">
        <x:v>Bonus sur bouclier seulement</x:v>
      </x:c>
    </x:row>
    <x:row r="11" ht="34" customHeight="1">
      <x:c r="A11" s="14" t="str">
        <x:v>AFX08</x:v>
      </x:c>
      <x:c r="B11" s="14" t="str">
        <x:v>Réfléchissant</x:v>
      </x:c>
      <x:c r="C11" s="14" t="str">
        <x:v>Bouclier</x:v>
      </x:c>
      <x:c r="D11" s="14" t="str">
        <x:v>+ résistance magique typée</x:v>
      </x:c>
      <x:c r="E11" s="14" t="str">
        <x:v>+2 %</x:v>
      </x:c>
      <x:c r="F11" s="14" t="str">
        <x:v>+4 %</x:v>
      </x:c>
      <x:c r="G11" s="14" t="str">
        <x:v>+6 %</x:v>
      </x:c>
      <x:c r="H11" s="14" t="str">
        <x:v>Résistance typée pas cumul générique</x:v>
      </x:c>
    </x:row>
    <x:row r="12" ht="34" customHeight="1">
      <x:c r="A12" s="14" t="str">
        <x:v>AFX09</x:v>
      </x:c>
      <x:c r="B12" s="14" t="str">
        <x:v>Vital</x:v>
      </x:c>
      <x:c r="C12" s="14" t="str">
        <x:v>Tout équipement</x:v>
      </x:c>
      <x:c r="D12" s="14" t="str">
        <x:v>+ santé maximale</x:v>
      </x:c>
      <x:c r="E12" s="14" t="str">
        <x:v>+3</x:v>
      </x:c>
      <x:c r="F12" s="14" t="str">
        <x:v>+6</x:v>
      </x:c>
      <x:c r="G12" s="14" t="str">
        <x:v>+10</x:v>
      </x:c>
      <x:c r="H12" s="14" t="str">
        <x:v>Ne soigne pas automatiquement</x:v>
      </x:c>
    </x:row>
    <x:row r="13" ht="34" customHeight="1">
      <x:c r="A13" s="14" t="str">
        <x:v>AFX10</x:v>
      </x:c>
      <x:c r="B13" s="14" t="str">
        <x:v>Savant</x:v>
      </x:c>
      <x:c r="C13" s="14" t="str">
        <x:v>Focaliseur</x:v>
      </x:c>
      <x:c r="D13" s="14" t="str">
        <x:v>+ mana maximale</x:v>
      </x:c>
      <x:c r="E13" s="14" t="str">
        <x:v>+3</x:v>
      </x:c>
      <x:c r="F13" s="14" t="str">
        <x:v>+6</x:v>
      </x:c>
      <x:c r="G13" s="14" t="str">
        <x:v>+10</x:v>
      </x:c>
      <x:c r="H13" s="14" t="str">
        <x:v>Ne régénère pas gratuitement</x:v>
      </x:c>
    </x:row>
    <x:row r="14" ht="34" customHeight="1">
      <x:c r="A14" s="14" t="str">
        <x:v>AFX11</x:v>
      </x:c>
      <x:c r="B14" s="14" t="str">
        <x:v>Exorciste</x:v>
      </x:c>
      <x:c r="C14" s="14" t="str">
        <x:v>Sacré</x:v>
      </x:c>
      <x:c r="D14" s="14" t="str">
        <x:v>Bonus contre morts-vivants</x:v>
      </x:c>
      <x:c r="E14" s="14" t="str">
        <x:v>Mineur</x:v>
      </x:c>
      <x:c r="F14" s="14" t="str">
        <x:v>Modéré</x:v>
      </x:c>
      <x:c r="G14" s="14" t="str">
        <x:v>Fort</x:v>
      </x:c>
      <x:c r="H14" s="14" t="str">
        <x:v>Tag de monstre exigé</x:v>
      </x:c>
    </x:row>
    <x:row r="15" ht="34" customHeight="1">
      <x:c r="A15" s="14" t="str">
        <x:v>AFX12</x:v>
      </x:c>
      <x:c r="B15" s="14" t="str">
        <x:v>Venimeux</x:v>
      </x:c>
      <x:c r="C15" s="14" t="str">
        <x:v>Arme compatible</x:v>
      </x:c>
      <x:c r="D15" s="14" t="str">
        <x:v>Applique Poison selon probabilité</x:v>
      </x:c>
      <x:c r="E15" s="14" t="str">
        <x:v>5 %</x:v>
      </x:c>
      <x:c r="F15" s="14" t="str">
        <x:v>8 %</x:v>
      </x:c>
      <x:c r="G15" s="14" t="str">
        <x:v>12 %</x:v>
      </x:c>
      <x:c r="H15" s="14" t="str">
        <x:v>ArmorGate et résistance pris en compte</x:v>
      </x:c>
    </x:row>
    <x:row r="16" ht="34" customHeight="1">
      <x:c r="A16" s="14" t="str">
        <x:v>AFX13</x:v>
      </x:c>
      <x:c r="B16" s="14" t="str">
        <x:v>Incandescent</x:v>
      </x:c>
      <x:c r="C16" s="14" t="str">
        <x:v>Arme compatible</x:v>
      </x:c>
      <x:c r="D16" s="14" t="str">
        <x:v>Proc de Feu</x:v>
      </x:c>
      <x:c r="E16" s="14" t="str">
        <x:v>5 %</x:v>
      </x:c>
      <x:c r="F16" s="14" t="str">
        <x:v>8 %</x:v>
      </x:c>
      <x:c r="G16" s="14" t="str">
        <x:v>10 %</x:v>
      </x:c>
      <x:c r="H16" s="14" t="str">
        <x:v>Un proc par action</x:v>
      </x:c>
    </x:row>
    <x:row r="17" ht="34" customHeight="1">
      <x:c r="A17" s="14" t="str">
        <x:v>AFX14</x:v>
      </x:c>
      <x:c r="B17" s="14" t="str">
        <x:v>Gelant</x:v>
      </x:c>
      <x:c r="C17" s="14" t="str">
        <x:v>Arme compatible</x:v>
      </x:c>
      <x:c r="D17" s="14" t="str">
        <x:v>Proc de Glace</x:v>
      </x:c>
      <x:c r="E17" s="14" t="str">
        <x:v>5 %</x:v>
      </x:c>
      <x:c r="F17" s="14" t="str">
        <x:v>8 %</x:v>
      </x:c>
      <x:c r="G17" s="14" t="str">
        <x:v>10 %</x:v>
      </x:c>
      <x:c r="H17" s="14" t="str">
        <x:v>Pas de gel automatique</x:v>
      </x:c>
    </x:row>
    <x:row r="18" ht="34" customHeight="1">
      <x:c r="A18" s="14" t="str">
        <x:v>AFX15</x:v>
      </x:c>
      <x:c r="B18" s="14" t="str">
        <x:v>Conducteur</x:v>
      </x:c>
      <x:c r="C18" s="14" t="str">
        <x:v>Arme compatible</x:v>
      </x:c>
      <x:c r="D18" s="14" t="str">
        <x:v>Proc de Foudre</x:v>
      </x:c>
      <x:c r="E18" s="14" t="str">
        <x:v>5 %</x:v>
      </x:c>
      <x:c r="F18" s="14" t="str">
        <x:v>8 %</x:v>
      </x:c>
      <x:c r="G18" s="14" t="str">
        <x:v>10 %</x:v>
      </x:c>
      <x:c r="H18" s="14" t="str">
        <x:v>Pas de paralysie automatique</x:v>
      </x:c>
    </x:row>
    <x:row r="19" ht="34" customHeight="1">
      <x:c r="A19" s="14" t="str">
        <x:v>AFX16</x:v>
      </x:c>
      <x:c r="B19" s="14" t="str">
        <x:v>Vigilant</x:v>
      </x:c>
      <x:c r="C19" s="14" t="str">
        <x:v>Bouclier</x:v>
      </x:c>
      <x:c r="D19" s="14" t="str">
        <x:v>Bonus contre attaque de dos</x:v>
      </x:c>
      <x:c r="E19" s="14" t="str">
        <x:v>+1 protection</x:v>
      </x:c>
      <x:c r="F19" s="14" t="str">
        <x:v>+2 protection</x:v>
      </x:c>
      <x:c r="G19" s="14" t="str">
        <x:v>+3 protection</x:v>
      </x:c>
      <x:c r="H19" s="14" t="str">
        <x:v>Nécessite condition directionnelle</x:v>
      </x:c>
    </x:row>
    <x:row r="20" ht="34" customHeight="1">
      <x:c r="A20" s="14" t="str">
        <x:v>AFX17</x:v>
      </x:c>
      <x:c r="B20" s="14" t="str">
        <x:v>Souple</x:v>
      </x:c>
      <x:c r="C20" s="14" t="str">
        <x:v>Arme légère</x:v>
      </x:c>
      <x:c r="D20" s="14" t="str">
        <x:v>Bonus esquive conditionnel</x:v>
      </x:c>
      <x:c r="E20" s="14" t="str">
        <x:v>+1</x:v>
      </x:c>
      <x:c r="F20" s="14" t="str">
        <x:v>+1</x:v>
      </x:c>
      <x:c r="G20" s="14" t="str">
        <x:v>+2</x:v>
      </x:c>
      <x:c r="H20" s="14" t="str">
        <x:v>Pendant garde / talent</x:v>
      </x:c>
    </x:row>
    <x:row r="21" ht="34" customHeight="1">
      <x:c r="A21" s="14" t="str">
        <x:v>AFX18</x:v>
      </x:c>
      <x:c r="B21" s="14" t="str">
        <x:v>Econome</x:v>
      </x:c>
      <x:c r="C21" s="14" t="str">
        <x:v>Armes à charge / focus</x:v>
      </x:c>
      <x:c r="D21" s="14" t="str">
        <x:v>Réduction coût mana conditionnelle</x:v>
      </x:c>
      <x:c r="E21" s="14" t="str">
        <x:v>—</x:v>
      </x:c>
      <x:c r="F21" s="14" t="str">
        <x:v>Faible</x:v>
      </x:c>
      <x:c r="G21" s="14" t="str">
        <x:v>Modérée</x:v>
      </x:c>
      <x:c r="H21" s="14" t="str">
        <x:v>Jamais en dessous du plancher fixé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9" hidden="0" customWidth="1"/>
    <x:col min="7" max="7" width="19" hidden="0" customWidth="1"/>
    <x:col min="8" max="8" width="28" hidden="0" customWidth="1"/>
  </x:cols>
  <x:sheetData>
    <x:row r="1" ht="37" customHeight="1">
      <x:c r="A1" s="69" t="str">
        <x:v>ARMEMENT01 — Maniement d'un équipement trop élevé</x:v>
      </x:c>
      <x:c r="B1" s="69"/>
      <x:c r="C1" s="69"/>
      <x:c r="D1" s="69"/>
      <x:c r="E1" s="69"/>
      <x:c r="F1" s="69"/>
      <x:c r="G1" s="69"/>
      <x:c r="H1" s="69"/>
    </x:row>
    <x:row r="2" ht="30" customHeight="1">
      <x:c r="A2" s="71" t="str">
        <x:v>PROPOSITION À VALIDER — niveau d'objet toujours inchangé ; le malus disparaît quand le personnage gagne des niveaux.</x:v>
      </x:c>
      <x:c r="B2" s="71"/>
      <x:c r="C2" s="71"/>
      <x:c r="D2" s="71"/>
      <x:c r="E2" s="71"/>
      <x:c r="F2" s="71"/>
      <x:c r="G2" s="71"/>
      <x:c r="H2" s="71"/>
    </x:row>
    <x:row r="3" ht="28" customHeight="1">
      <x:c r="A3" s="60" t="str">
        <x:v>Scénario</x:v>
      </x:c>
      <x:c r="B3" s="60" t="str">
        <x:v>Niv. personnage</x:v>
      </x:c>
      <x:c r="C3" s="60" t="str">
        <x:v>Niv. objet</x:v>
      </x:c>
      <x:c r="D3" s="60" t="str">
        <x:v>Écart (obj-pers.)</x:v>
      </x:c>
      <x:c r="E3" s="60" t="str">
        <x:v>Précision</x:v>
      </x:c>
      <x:c r="F3" s="60" t="str">
        <x:v>Puissance arme</x:v>
      </x:c>
      <x:c r="G3" s="60" t="str">
        <x:v>Protection écu</x:v>
      </x:c>
      <x:c r="H3" s="60" t="str">
        <x:v>État</x:v>
      </x:c>
    </x:row>
    <x:row r="4" ht="25" customHeight="1">
      <x:c r="A4" t="str">
        <x:v>Même niveau</x:v>
      </x:c>
      <x:c r="B4" t="n">
        <x:v>4</x:v>
      </x:c>
      <x:c r="C4" t="n">
        <x:v>4</x:v>
      </x:c>
      <x:c r="D4" t="n">
        <x:f>MAX(0,C4-B4)</x:f>
        <x:v>0</x:v>
      </x:c>
      <x:c r="E4" s="72" t="n">
        <x:f>IF(D4&gt;'Paramètres'!$B$14,"—",-MIN('Paramètres'!$B$13,D4*'Paramètres'!$B$10))</x:f>
        <x:v>0</x:v>
      </x:c>
      <x:c r="F4" s="73" t="n">
        <x:f>IF(D4&gt;'Paramètres'!$B$14,"—",MAX('Paramètres'!$B$12,1-D4*'Paramètres'!$B$11))</x:f>
        <x:v>1</x:v>
      </x:c>
      <x:c r="G4" s="73" t="n">
        <x:f>IF(D4&gt;'Paramètres'!$B$14,"—",MAX('Paramètres'!$B$12,1-D4*'Paramètres'!$B$11))</x:f>
        <x:v>1</x:v>
      </x:c>
      <x:c r="H4" t="str">
        <x:f>IF(D4&gt;'Paramètres'!$B$14,"Non équipable (proposé)",IF(D4=0,"Aucun malus","Malus de niveau"))</x:f>
        <x:v>Aucun malus</x:v>
      </x:c>
    </x:row>
    <x:row r="5" ht="25" customHeight="1">
      <x:c r="A5" t="str">
        <x:v>1 niveau d'écart</x:v>
      </x:c>
      <x:c r="B5" t="n">
        <x:v>4</x:v>
      </x:c>
      <x:c r="C5" t="n">
        <x:v>5</x:v>
      </x:c>
      <x:c r="D5" t="n">
        <x:f>MAX(0,C5-B5)</x:f>
        <x:v>1</x:v>
      </x:c>
      <x:c r="E5" s="72" t="n">
        <x:f>IF(D5&gt;'Paramètres'!$B$14,"—",-MIN('Paramètres'!$B$13,D5*'Paramètres'!$B$10))</x:f>
        <x:v>-2</x:v>
      </x:c>
      <x:c r="F5" s="73" t="n">
        <x:f>IF(D5&gt;'Paramètres'!$B$14,"—",MAX('Paramètres'!$B$12,1-D5*'Paramètres'!$B$11))</x:f>
        <x:v>0.9</x:v>
      </x:c>
      <x:c r="G5" s="73" t="n">
        <x:f>IF(D5&gt;'Paramètres'!$B$14,"—",MAX('Paramètres'!$B$12,1-D5*'Paramètres'!$B$11))</x:f>
        <x:v>0.9</x:v>
      </x:c>
      <x:c r="H5" t="str">
        <x:f>IF(D5&gt;'Paramètres'!$B$14,"Non équipable (proposé)",IF(D5=0,"Aucun malus","Malus de niveau"))</x:f>
        <x:v>Malus de niveau</x:v>
      </x:c>
    </x:row>
    <x:row r="6" ht="25" customHeight="1">
      <x:c r="A6" t="str">
        <x:v>Exemple demandé — N6</x:v>
      </x:c>
      <x:c r="B6" t="n">
        <x:v>4</x:v>
      </x:c>
      <x:c r="C6" t="n">
        <x:v>6</x:v>
      </x:c>
      <x:c r="D6" t="n">
        <x:f>MAX(0,C6-B6)</x:f>
        <x:v>2</x:v>
      </x:c>
      <x:c r="E6" s="72" t="n">
        <x:f>IF(D6&gt;'Paramètres'!$B$14,"—",-MIN('Paramètres'!$B$13,D6*'Paramètres'!$B$10))</x:f>
        <x:v>-4</x:v>
      </x:c>
      <x:c r="F6" s="73" t="n">
        <x:f>IF(D6&gt;'Paramètres'!$B$14,"—",MAX('Paramètres'!$B$12,1-D6*'Paramètres'!$B$11))</x:f>
        <x:v>0.8</x:v>
      </x:c>
      <x:c r="G6" s="73" t="n">
        <x:f>IF(D6&gt;'Paramètres'!$B$14,"—",MAX('Paramètres'!$B$12,1-D6*'Paramètres'!$B$11))</x:f>
        <x:v>0.8</x:v>
      </x:c>
      <x:c r="H6" t="str">
        <x:f>IF(D6&gt;'Paramètres'!$B$14,"Non équipable (proposé)",IF(D6=0,"Aucun malus","Malus de niveau"))</x:f>
        <x:v>Malus de niveau</x:v>
      </x:c>
    </x:row>
    <x:row r="7" ht="25" customHeight="1">
      <x:c r="A7" t="str">
        <x:v>Exemple demandé — N7</x:v>
      </x:c>
      <x:c r="B7" t="n">
        <x:v>4</x:v>
      </x:c>
      <x:c r="C7" t="n">
        <x:v>7</x:v>
      </x:c>
      <x:c r="D7" t="n">
        <x:f>MAX(0,C7-B7)</x:f>
        <x:v>3</x:v>
      </x:c>
      <x:c r="E7" s="72" t="n">
        <x:f>IF(D7&gt;'Paramètres'!$B$14,"—",-MIN('Paramètres'!$B$13,D7*'Paramètres'!$B$10))</x:f>
        <x:v>-6</x:v>
      </x:c>
      <x:c r="F7" s="73" t="n">
        <x:f>IF(D7&gt;'Paramètres'!$B$14,"—",MAX('Paramètres'!$B$12,1-D7*'Paramètres'!$B$11))</x:f>
        <x:v>0.7</x:v>
      </x:c>
      <x:c r="G7" s="73" t="n">
        <x:f>IF(D7&gt;'Paramètres'!$B$14,"—",MAX('Paramètres'!$B$12,1-D7*'Paramètres'!$B$11))</x:f>
        <x:v>0.7</x:v>
      </x:c>
      <x:c r="H7" t="str">
        <x:f>IF(D7&gt;'Paramètres'!$B$14,"Non équipable (proposé)",IF(D7=0,"Aucun malus","Malus de niveau"))</x:f>
        <x:v>Malus de niveau</x:v>
      </x:c>
    </x:row>
    <x:row r="8" ht="25" customHeight="1">
      <x:c r="A8" t="str">
        <x:v>Écart important</x:v>
      </x:c>
      <x:c r="B8" t="n">
        <x:v>4</x:v>
      </x:c>
      <x:c r="C8" t="n">
        <x:v>9</x:v>
      </x:c>
      <x:c r="D8" t="n">
        <x:f>MAX(0,C8-B8)</x:f>
        <x:v>5</x:v>
      </x:c>
      <x:c r="E8" s="72" t="str">
        <x:f>IF(D8&gt;'Paramètres'!$B$14,"—",-MIN('Paramètres'!$B$13,D8*'Paramètres'!$B$10))</x:f>
        <x:v>—</x:v>
      </x:c>
      <x:c r="F8" s="73" t="str">
        <x:f>IF(D8&gt;'Paramètres'!$B$14,"—",MAX('Paramètres'!$B$12,1-D8*'Paramètres'!$B$11))</x:f>
        <x:v>—</x:v>
      </x:c>
      <x:c r="G8" s="73" t="str">
        <x:f>IF(D8&gt;'Paramètres'!$B$14,"—",MAX('Paramètres'!$B$12,1-D8*'Paramètres'!$B$11))</x:f>
        <x:v>—</x:v>
      </x:c>
      <x:c r="H8" t="str">
        <x:f>IF(D8&gt;'Paramètres'!$B$14,"Non équipable (proposé)",IF(D8=0,"Aucun malus","Malus de niveau"))</x:f>
        <x:v>Non équipable (proposé)</x:v>
      </x:c>
    </x:row>
    <x:row r="9" ht="25" customHeight="1">
      <x:c r="A9" t="str">
        <x:v>Objet N20, personnage N4</x:v>
      </x:c>
      <x:c r="B9" t="n">
        <x:v>4</x:v>
      </x:c>
      <x:c r="C9" t="n">
        <x:v>20</x:v>
      </x:c>
      <x:c r="D9" t="n">
        <x:f>MAX(0,C9-B9)</x:f>
        <x:v>16</x:v>
      </x:c>
      <x:c r="E9" s="72" t="str">
        <x:f>IF(D9&gt;'Paramètres'!$B$14,"—",-MIN('Paramètres'!$B$13,D9*'Paramètres'!$B$10))</x:f>
        <x:v>—</x:v>
      </x:c>
      <x:c r="F9" s="73" t="str">
        <x:f>IF(D9&gt;'Paramètres'!$B$14,"—",MAX('Paramètres'!$B$12,1-D9*'Paramètres'!$B$11))</x:f>
        <x:v>—</x:v>
      </x:c>
      <x:c r="G9" s="73" t="str">
        <x:f>IF(D9&gt;'Paramètres'!$B$14,"—",MAX('Paramètres'!$B$12,1-D9*'Paramètres'!$B$11))</x:f>
        <x:v>—</x:v>
      </x:c>
      <x:c r="H9" t="str">
        <x:f>IF(D9&gt;'Paramètres'!$B$14,"Non équipable (proposé)",IF(D9=0,"Aucun malus","Malus de niveau"))</x:f>
        <x:v>Non équipable (proposé)</x:v>
      </x:c>
    </x:row>
    <x:row r="10" ht="25" customHeight="1">
      <x:c r="A10" t="str">
        <x:v>Personnage devenu N7</x:v>
      </x:c>
      <x:c r="B10" t="n">
        <x:v>7</x:v>
      </x:c>
      <x:c r="C10" t="n">
        <x:v>7</x:v>
      </x:c>
      <x:c r="D10" t="n">
        <x:f>MAX(0,C10-B10)</x:f>
        <x:v>0</x:v>
      </x:c>
      <x:c r="E10" s="72" t="n">
        <x:f>IF(D10&gt;'Paramètres'!$B$14,"—",-MIN('Paramètres'!$B$13,D10*'Paramètres'!$B$10))</x:f>
        <x:v>0</x:v>
      </x:c>
      <x:c r="F10" s="73" t="n">
        <x:f>IF(D10&gt;'Paramètres'!$B$14,"—",MAX('Paramètres'!$B$12,1-D10*'Paramètres'!$B$11))</x:f>
        <x:v>1</x:v>
      </x:c>
      <x:c r="G10" s="73" t="n">
        <x:f>IF(D10&gt;'Paramètres'!$B$14,"—",MAX('Paramètres'!$B$12,1-D10*'Paramètres'!$B$11))</x:f>
        <x:v>1</x:v>
      </x:c>
      <x:c r="H10" t="str">
        <x:f>IF(D10&gt;'Paramètres'!$B$14,"Non équipable (proposé)",IF(D10=0,"Aucun malus","Malus de niveau"))</x:f>
        <x:v>Aucun malus</x:v>
      </x:c>
    </x:row>
    <x:row r="12">
      <x:c r="A12" t="str">
        <x:v>Exemple de dague N7 (4–9 = 1d6 + 3) tenue par personnage N4 : −6 précision ; 70% WD après jet.</x:v>
      </x:c>
    </x:row>
    <x:row r="13">
      <x:c r="A13" t="str">
        <x:v>Jet 6 → 4 après facteur 70%, avant autres modificateurs ; le dé 1d6 + 3 et le niveau 7 restent INCHANGÉS.</x:v>
      </x:c>
    </x:row>
    <x:row r="15">
      <x:c r="A15" t="str">
        <x:v>Écart maximal proposé = 3 ; un équipement N9 pour personnage N4 est marqué non équipable (anti-abus à valider).</x:v>
      </x:c>
    </x:row>
  </x:sheetData>
  <x:mergeCells>
    <x:mergeCell ref="A1:H1"/>
    <x:mergeCell ref="A2:H2"/>
    <x:mergeCell ref="A12:H12"/>
    <x:mergeCell ref="A13:H13"/>
    <x:mergeCell ref="A15:H15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43" hidden="0" customWidth="1"/>
    <x:col min="3" max="3" width="39" hidden="0" customWidth="1"/>
    <x:col min="4" max="4" width="47" hidden="0" customWidth="1"/>
  </x:cols>
  <x:sheetData>
    <x:row r="1" ht="37" customHeight="1">
      <x:c r="A1" s="68" t="str">
        <x:v>ARMEMENT01 — v0.3 + contrat technique ARMEMENT01.2 (sans changement des règles de design)</x:v>
      </x:c>
      <x:c r="B1" s="68"/>
      <x:c r="C1" s="68"/>
      <x:c r="D1" s="68"/>
    </x:row>
    <x:row r="2" ht="29" customHeight="1">
      <x:c r="A2" s="71" t="str">
        <x:v>Statut : contrat proposé, pas encore accepté ni implémenté dans le dépôt Unreal.</x:v>
      </x:c>
      <x:c r="B2" s="71"/>
      <x:c r="C2" s="71"/>
      <x:c r="D2" s="71"/>
    </x:row>
    <x:row r="4" ht="28" customHeight="1">
      <x:c r="A4" s="76" t="str">
        <x:v>ID</x:v>
      </x:c>
      <x:c r="B4" s="76" t="str">
        <x:v>Règle</x:v>
      </x:c>
      <x:c r="C4" s="76" t="str">
        <x:v>Illustration</x:v>
      </x:c>
      <x:c r="D4" s="76" t="str">
        <x:v>Conséquence technique</x:v>
      </x:c>
    </x:row>
    <x:row r="5" ht="42" customHeight="1">
      <x:c r="A5" s="14" t="str">
        <x:v>ARM-001</x:v>
      </x:c>
      <x:c r="B5" s="14" t="str">
        <x:v>ItemLevel fixe et immuable (1–20)</x:v>
      </x:c>
      <x:c r="C5" s="14" t="str">
        <x:v>Une épée N7 demeure N7 après une trempe.</x:v>
      </x:c>
      <x:c r="D5" s="14" t="str">
        <x:v>ItemLevel sauvegardé, sans évolution par recette.</x:v>
      </x:c>
    </x:row>
    <x:row r="6" ht="42" customHeight="1">
      <x:c r="A6" s="14" t="str">
        <x:v>ARM-002</x:v>
      </x:c>
      <x:c r="B6" s="14" t="str">
        <x:v>Uniquement les d4, d6, d8, d10, d12, d20 pour dégâts</x:v>
      </x:c>
      <x:c r="C6" s="14" t="str">
        <x:v>Pas de d5 ni de d15.</x:v>
      </x:c>
      <x:c r="D6" s="14" t="str">
        <x:v>Validation des faces autorisées.</x:v>
      </x:c>
    </x:row>
    <x:row r="7" ht="42" customHeight="1">
      <x:c r="A7" s="14" t="str">
        <x:v>ARM-003</x:v>
      </x:c>
      <x:c r="B7" s="14" t="str">
        <x:v>Jet réel : N dés indépendants + K</x:v>
      </x:c>
      <x:c r="C7" s="14" t="str">
        <x:v>2d8 + 4 ; deux tirages, somme puis +4.</x:v>
      </x:c>
      <x:c r="D7" s="14" t="str">
        <x:v>Résolveur multi-dés et traces de tirage.</x:v>
      </x:c>
    </x:row>
    <x:row r="8" ht="42" customHeight="1">
      <x:c r="A8" s="14" t="str">
        <x:v>ARM-004</x:v>
      </x:c>
      <x:c r="B8" s="14" t="str">
        <x:v>Min = N + K ; Max = N*M + K</x:v>
      </x:c>
      <x:c r="C8" s="14" t="str">
        <x:v>2d8+4 =&gt; 6–20 ; moyenne 13.</x:v>
      </x:c>
      <x:c r="D8" s="14" t="str">
        <x:v>Min/Max dérivés, pas une autorité de hasard.</x:v>
      </x:c>
    </x:row>
    <x:row r="9" ht="42" customHeight="1">
      <x:c r="A9" s="14" t="str">
        <x:v>ARM-005</x:v>
      </x:c>
      <x:c r="B9" s="14" t="str">
        <x:v>Une expression multi-dés n'est PAS uniforme</x:v>
      </x:c>
      <x:c r="C9" s="14" t="str">
        <x:v>2d8+4 : 13 plus fréquent que 6.</x:v>
      </x:c>
      <x:c r="D9" s="14" t="str">
        <x:v>Ne pas utiliser RandRange(6,20).</x:v>
      </x:c>
    </x:row>
    <x:row r="10" ht="42" customHeight="1">
      <x:c r="A10" s="14" t="str">
        <x:v>ARM-006</x:v>
      </x:c>
      <x:c r="B10" s="14" t="str">
        <x:v>Niveau du porteur insuffisant : pénalités (proposées)</x:v>
      </x:c>
      <x:c r="C10" s="14" t="str">
        <x:v>N4 + arme N7 : −6 précision, WD ×0,70.</x:v>
      </x:c>
      <x:c r="D10" s="14" t="str">
        <x:v>Tests de maîtrise, pas de mutation de l'objet.</x:v>
      </x:c>
    </x:row>
    <x:row r="11" ht="42" customHeight="1">
      <x:c r="A11" s="14" t="str">
        <x:v>ARM-007</x:v>
      </x:c>
      <x:c r="B11" s="14" t="str">
        <x:v>Écart maximum équipable 3 (à valider)</x:v>
      </x:c>
      <x:c r="C11" s="14" t="str">
        <x:v>N4 + arme N9 : refus proposé.</x:v>
      </x:c>
      <x:c r="D11" s="14" t="str">
        <x:v>Doit être expressément validé.</x:v>
      </x:c>
    </x:row>
    <x:row r="12" ht="42" customHeight="1">
      <x:c r="A12" s="14" t="str">
        <x:v>ARM-008</x:v>
      </x:c>
      <x:c r="B12" s="14" t="str">
        <x:v>Pas de tirage de dégâts passif pour les boucliers</x:v>
      </x:c>
      <x:c r="C12" s="14" t="str">
        <x:v>Protection fixe sans dés.</x:v>
      </x:c>
      <x:c r="D12" s="14" t="str">
        <x:v>ShieldBash = action offensive séparée.</x:v>
      </x:c>
    </x:row>
    <x:row r="13" ht="42" customHeight="1">
      <x:c r="A13" s="14" t="str">
        <x:v>ARM-009</x:v>
      </x:c>
      <x:c r="B13" s="14" t="str">
        <x:v>Rareté : gris/vert/bleu/violet/doré</x:v>
      </x:c>
      <x:c r="C13" s="14" t="str">
        <x:v>Commun, Rare, Épique, Légendaire, Unique.</x:v>
      </x:c>
      <x:c r="D13" s="14" t="str">
        <x:v>UMG = présentation, rareté indépend. du niveau.</x:v>
      </x:c>
    </x:row>
    <x:row r="14" ht="40" customHeight="1">
      <x:c r="A14" t="str">
        <x:v>ARM-010</x:v>
      </x:c>
      <x:c r="B14" s="14" t="str">
        <x:v>Pas de WD multiplié automatiquement par la rareté</x:v>
      </x:c>
      <x:c r="C14" s="14" t="str">
        <x:v>Épique = affixes, pas +8% implicite.</x:v>
      </x:c>
      <x:c r="D14" s="14" t="str">
        <x:v>Affixes et runes sont explicites.</x:v>
      </x:c>
    </x:row>
    <x:row r="15">
      <x:c r="A15" t="str">
        <x:v>ARM-011</x:v>
      </x:c>
      <x:c r="B15" s="14" t="str">
        <x:v>Forge, alchimie et runes sans level-up</x:v>
      </x:c>
      <x:c r="C15" s="14" t="str">
        <x:v>Trempe +2 dégâts plats, ItemLevel inchangé.</x:v>
      </x:c>
      <x:c r="D15" s="14" t="str">
        <x:v>Bonus séparés de K initial, une application.</x:v>
      </x:c>
    </x:row>
    <x:row r="16">
      <x:c r="A16" t="str">
        <x:v>ARM-012</x:v>
      </x:c>
      <x:c r="B16" s="14" t="str">
        <x:v>Ordre WD et critique existant conservé</x:v>
      </x:c>
      <x:c r="C16" s="14" t="str">
        <x:v>Jet de dés -&gt; bonus -&gt; WD talent -&gt; critique.</x:v>
      </x:c>
      <x:c r="D16" s="14" t="str">
        <x:v>Ne pas dupliquer le résolveur RPG03.9.0.</x:v>
      </x:c>
    </x:row>
    <x:row r="17">
      <x:c r="A17" t="str">
        <x:v>ARM-013</x:v>
      </x:c>
      <x:c r="B17" s="14" t="str">
        <x:v>RNG déterministe et traces visibles</x:v>
      </x:c>
      <x:c r="C17" s="14" t="str">
        <x:v>2d8=[3,7] +4 =&gt;14.</x:v>
      </x:c>
      <x:c r="D17" s="14" t="str">
        <x:v>Lancer une fois, même valeur partout.</x:v>
      </x:c>
    </x:row>
    <x:row r="18">
      <x:c r="A18" t="str">
        <x:v>ARM-014</x:v>
      </x:c>
      <x:c r="B18" s="14" t="str">
        <x:v>Source profil fixe par instance, non recalculée</x:v>
      </x:c>
      <x:c r="C18" s="14" t="str">
        <x:v>Une arme N7 conserve son NdM+K au chargement.</x:v>
      </x:c>
      <x:c r="D18" s="14" t="str">
        <x:v>Profil sauvegardé/restauré sans reroll.</x:v>
      </x:c>
    </x:row>
    <x:row r="19">
      <x:c r="A19" t="str">
        <x:v>Contrats détaillés : ARMEMENT01_Contrat_Armement_v0_3.md + ARMEMENT01_2_CONTRAT_TECHNIQUE_MULTIDES.md.</x:v>
      </x:c>
    </x:row>
    <x:row r="20">
      <x:c r="A20" t="str">
        <x:v>ARM2-01</x:v>
      </x:c>
      <x:c r="B20" t="str">
        <x:v>Compatibilité explicite</x:v>
      </x:c>
      <x:c r="C20" t="str">
        <x:v>Mode Legacy=Min..Max uniforme; mode Dice=NdM+K.</x:v>
      </x:c>
      <x:c r="D20" t="str">
        <x:v>Pas de conversion automatique du mode legacy.</x:v>
      </x:c>
    </x:row>
    <x:row r="21">
      <x:c r="A21" t="str">
        <x:v>ARM2-02</x:v>
      </x:c>
      <x:c r="B21" t="str">
        <x:v>Bornes dérivées</x:v>
      </x:c>
      <x:c r="C21" t="str">
        <x:v>Min = N+K, Max=N*M+K.</x:v>
      </x:c>
      <x:c r="D21" t="str">
        <x:v>Valider lors de l'authoring et runtime.</x:v>
      </x:c>
    </x:row>
    <x:row r="22">
      <x:c r="A22" t="str">
        <x:v>ARM2-03</x:v>
      </x:c>
      <x:c r="B22" t="str">
        <x:v>Résolution RNG unique</x:v>
      </x:c>
      <x:c r="C22" t="str">
        <x:v>2d8+4, tirages 3 et 7, résultat 14.</x:v>
      </x:c>
      <x:c r="D22" t="str">
        <x:v>FRandomStream; une seule attaque, aucun tirage UI.</x:v>
      </x:c>
    </x:row>
    <x:row r="23">
      <x:c r="A23" t="str">
        <x:v>ARM2-04</x:v>
      </x:c>
      <x:c r="B23" t="str">
        <x:v>Traces complètes</x:v>
      </x:c>
      <x:c r="C23" t="str">
        <x:v>Kind=Die, IndividualRolls=[3,7], K=4, Total=14.</x:v>
      </x:c>
      <x:c r="D23" t="str">
        <x:v>Étendre trace avec DiceFlatBonus.</x:v>
      </x:c>
    </x:row>
    <x:row r="24">
      <x:c r="A24" t="str">
        <x:v>ARM2-05</x:v>
      </x:c>
      <x:c r="B24" t="str">
        <x:v>Régression obligatoire</x:v>
      </x:c>
      <x:c r="C24" t="str">
        <x:v>D20 de toucher, WD talents, critiques, monstres legacy.</x:v>
      </x:c>
      <x:c r="D24" t="str">
        <x:v>Ne pas casser le moteur existant.</x:v>
      </x:c>
    </x:row>
    <x:row r="25">
      <x:c r="A25" t="str">
        <x:v>ARM2-06</x:v>
      </x:c>
      <x:c r="B25" t="str">
        <x:v>Pénalités de niveau toujours proposées</x:v>
      </x:c>
      <x:c r="C25" t="str">
        <x:v>N4 vs N6/N7, règles à valider séparément.</x:v>
      </x:c>
      <x:c r="D25" t="str">
        <x:v>Ne pas implémenter dans ARMEMENT01.2.</x:v>
      </x:c>
    </x:row>
    <x:row r="26">
      <x:c r="A26" t="str">
        <x:v>ARM2-07</x:v>
      </x:c>
      <x:c r="B26" t="str">
        <x:v>Structure du classeur préservée</x:v>
      </x:c>
      <x:c r="C26" t="str">
        <x:v>12 onglets historiques, aucune suppression.</x:v>
      </x:c>
      <x:c r="D26" t="str">
        <x:v>Colonnes T:V de validation supplémentaires.</x:v>
      </x:c>
    </x:row>
  </x:sheetData>
  <x:mergeCells>
    <x:mergeCell ref="A1:D1"/>
    <x:mergeCell ref="A2:D2"/>
    <x:mergeCell ref="A15:D15"/>
  </x:mergeCells>
  <x:pageMargins left="0.7" right="0.7" top="0.75" bottom="0.75" header="0.3" footer="0.3"/>
</x:worksheet>
</file>