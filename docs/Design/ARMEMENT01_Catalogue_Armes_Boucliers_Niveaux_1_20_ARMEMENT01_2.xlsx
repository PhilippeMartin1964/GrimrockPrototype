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velopment\GrimrockPrototype\docs\Design\"/>
    </mc:Choice>
  </mc:AlternateContent>
  <xr:revisionPtr revIDLastSave="0" documentId="13_ncr:1_{478C5B76-9443-4846-A706-549D17E5BD16}" xr6:coauthVersionLast="47" xr6:coauthVersionMax="47" xr10:uidLastSave="{00000000-0000-0000-0000-000000000000}"/>
  <bookViews>
    <workbookView xWindow="8835" yWindow="4845" windowWidth="36945" windowHeight="23520" xr2:uid="{00000000-000D-0000-FFFF-FFFF00000000}"/>
  </bookViews>
  <sheets>
    <sheet name="Lisez-moi" sheetId="1" r:id="rId1"/>
    <sheet name="Catalogue" sheetId="2" r:id="rId2"/>
    <sheet name="Niveaux 1-20" sheetId="3" r:id="rId3"/>
    <sheet name="Raretés" sheetId="4" r:id="rId4"/>
    <sheet name="Classes" sheetId="5" r:id="rId5"/>
    <sheet name="Améliorations" sheetId="6" r:id="rId6"/>
    <sheet name="Uniques" sheetId="7" r:id="rId7"/>
    <sheet name="Paramètres" sheetId="8" r:id="rId8"/>
    <sheet name="Implémentation UE5" sheetId="9" r:id="rId9"/>
    <sheet name="Affixes" sheetId="10" r:id="rId10"/>
    <sheet name="Pénalités de niveau" sheetId="11" r:id="rId11"/>
    <sheet name="Contrat synthèse" sheetId="12" r:id="rId12"/>
    <sheet name="Narratif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1" l="1"/>
  <c r="D9" i="11"/>
  <c r="D8" i="11"/>
  <c r="D7" i="11"/>
  <c r="D6" i="11"/>
  <c r="D5" i="11"/>
  <c r="D4" i="11"/>
  <c r="U1643" i="3"/>
  <c r="R1643" i="3"/>
  <c r="Q1643" i="3"/>
  <c r="P1643" i="3"/>
  <c r="L1643" i="3"/>
  <c r="H1643" i="3"/>
  <c r="G1643" i="3"/>
  <c r="F1643" i="3"/>
  <c r="E1643" i="3"/>
  <c r="T1643" i="3" s="1"/>
  <c r="U1642" i="3"/>
  <c r="R1642" i="3"/>
  <c r="Q1642" i="3"/>
  <c r="P1642" i="3"/>
  <c r="L1642" i="3"/>
  <c r="H1642" i="3"/>
  <c r="G1642" i="3"/>
  <c r="F1642" i="3"/>
  <c r="E1642" i="3"/>
  <c r="T1642" i="3" s="1"/>
  <c r="U1641" i="3"/>
  <c r="R1641" i="3"/>
  <c r="Q1641" i="3"/>
  <c r="P1641" i="3"/>
  <c r="L1641" i="3"/>
  <c r="H1641" i="3"/>
  <c r="G1641" i="3"/>
  <c r="F1641" i="3"/>
  <c r="E1641" i="3"/>
  <c r="T1641" i="3" s="1"/>
  <c r="U1640" i="3"/>
  <c r="R1640" i="3"/>
  <c r="Q1640" i="3"/>
  <c r="P1640" i="3"/>
  <c r="L1640" i="3"/>
  <c r="H1640" i="3"/>
  <c r="G1640" i="3"/>
  <c r="F1640" i="3"/>
  <c r="E1640" i="3"/>
  <c r="T1640" i="3" s="1"/>
  <c r="U1639" i="3"/>
  <c r="R1639" i="3"/>
  <c r="Q1639" i="3"/>
  <c r="P1639" i="3"/>
  <c r="L1639" i="3"/>
  <c r="H1639" i="3"/>
  <c r="G1639" i="3"/>
  <c r="F1639" i="3"/>
  <c r="E1639" i="3"/>
  <c r="T1639" i="3" s="1"/>
  <c r="U1638" i="3"/>
  <c r="R1638" i="3"/>
  <c r="Q1638" i="3"/>
  <c r="P1638" i="3"/>
  <c r="L1638" i="3"/>
  <c r="H1638" i="3"/>
  <c r="G1638" i="3"/>
  <c r="F1638" i="3"/>
  <c r="E1638" i="3"/>
  <c r="T1638" i="3" s="1"/>
  <c r="U1637" i="3"/>
  <c r="R1637" i="3"/>
  <c r="Q1637" i="3"/>
  <c r="P1637" i="3"/>
  <c r="L1637" i="3"/>
  <c r="H1637" i="3"/>
  <c r="G1637" i="3"/>
  <c r="F1637" i="3"/>
  <c r="E1637" i="3"/>
  <c r="T1637" i="3" s="1"/>
  <c r="U1636" i="3"/>
  <c r="R1636" i="3"/>
  <c r="Q1636" i="3"/>
  <c r="P1636" i="3"/>
  <c r="L1636" i="3"/>
  <c r="H1636" i="3"/>
  <c r="G1636" i="3"/>
  <c r="F1636" i="3"/>
  <c r="E1636" i="3"/>
  <c r="T1636" i="3" s="1"/>
  <c r="U1635" i="3"/>
  <c r="R1635" i="3"/>
  <c r="Q1635" i="3"/>
  <c r="P1635" i="3"/>
  <c r="L1635" i="3"/>
  <c r="H1635" i="3"/>
  <c r="G1635" i="3"/>
  <c r="F1635" i="3"/>
  <c r="E1635" i="3"/>
  <c r="T1635" i="3" s="1"/>
  <c r="U1634" i="3"/>
  <c r="R1634" i="3"/>
  <c r="Q1634" i="3"/>
  <c r="P1634" i="3"/>
  <c r="L1634" i="3"/>
  <c r="H1634" i="3"/>
  <c r="G1634" i="3"/>
  <c r="F1634" i="3"/>
  <c r="E1634" i="3"/>
  <c r="T1634" i="3" s="1"/>
  <c r="U1633" i="3"/>
  <c r="R1633" i="3"/>
  <c r="Q1633" i="3"/>
  <c r="P1633" i="3"/>
  <c r="L1633" i="3"/>
  <c r="H1633" i="3"/>
  <c r="G1633" i="3"/>
  <c r="F1633" i="3"/>
  <c r="E1633" i="3"/>
  <c r="T1633" i="3" s="1"/>
  <c r="U1632" i="3"/>
  <c r="R1632" i="3"/>
  <c r="Q1632" i="3"/>
  <c r="P1632" i="3"/>
  <c r="L1632" i="3"/>
  <c r="H1632" i="3"/>
  <c r="G1632" i="3"/>
  <c r="F1632" i="3"/>
  <c r="E1632" i="3"/>
  <c r="T1632" i="3" s="1"/>
  <c r="U1631" i="3"/>
  <c r="R1631" i="3"/>
  <c r="Q1631" i="3"/>
  <c r="P1631" i="3"/>
  <c r="L1631" i="3"/>
  <c r="H1631" i="3"/>
  <c r="G1631" i="3"/>
  <c r="F1631" i="3"/>
  <c r="E1631" i="3"/>
  <c r="T1631" i="3" s="1"/>
  <c r="U1630" i="3"/>
  <c r="R1630" i="3"/>
  <c r="Q1630" i="3"/>
  <c r="P1630" i="3"/>
  <c r="L1630" i="3"/>
  <c r="H1630" i="3"/>
  <c r="G1630" i="3"/>
  <c r="F1630" i="3"/>
  <c r="E1630" i="3"/>
  <c r="T1630" i="3" s="1"/>
  <c r="U1629" i="3"/>
  <c r="R1629" i="3"/>
  <c r="Q1629" i="3"/>
  <c r="P1629" i="3"/>
  <c r="L1629" i="3"/>
  <c r="H1629" i="3"/>
  <c r="G1629" i="3"/>
  <c r="F1629" i="3"/>
  <c r="E1629" i="3"/>
  <c r="T1629" i="3" s="1"/>
  <c r="U1628" i="3"/>
  <c r="R1628" i="3"/>
  <c r="Q1628" i="3"/>
  <c r="P1628" i="3"/>
  <c r="L1628" i="3"/>
  <c r="H1628" i="3"/>
  <c r="G1628" i="3"/>
  <c r="F1628" i="3"/>
  <c r="E1628" i="3"/>
  <c r="T1628" i="3" s="1"/>
  <c r="U1627" i="3"/>
  <c r="R1627" i="3"/>
  <c r="Q1627" i="3"/>
  <c r="P1627" i="3"/>
  <c r="L1627" i="3"/>
  <c r="H1627" i="3"/>
  <c r="G1627" i="3"/>
  <c r="F1627" i="3"/>
  <c r="E1627" i="3"/>
  <c r="T1627" i="3" s="1"/>
  <c r="U1626" i="3"/>
  <c r="R1626" i="3"/>
  <c r="Q1626" i="3"/>
  <c r="P1626" i="3"/>
  <c r="L1626" i="3"/>
  <c r="H1626" i="3"/>
  <c r="G1626" i="3"/>
  <c r="F1626" i="3"/>
  <c r="E1626" i="3"/>
  <c r="T1626" i="3" s="1"/>
  <c r="U1625" i="3"/>
  <c r="R1625" i="3"/>
  <c r="Q1625" i="3"/>
  <c r="P1625" i="3"/>
  <c r="L1625" i="3"/>
  <c r="H1625" i="3"/>
  <c r="G1625" i="3"/>
  <c r="F1625" i="3"/>
  <c r="E1625" i="3"/>
  <c r="T1625" i="3" s="1"/>
  <c r="U1624" i="3"/>
  <c r="R1624" i="3"/>
  <c r="Q1624" i="3"/>
  <c r="P1624" i="3"/>
  <c r="L1624" i="3"/>
  <c r="H1624" i="3"/>
  <c r="G1624" i="3"/>
  <c r="F1624" i="3"/>
  <c r="E1624" i="3"/>
  <c r="T1624" i="3" s="1"/>
  <c r="U1623" i="3"/>
  <c r="R1623" i="3"/>
  <c r="Q1623" i="3"/>
  <c r="P1623" i="3"/>
  <c r="L1623" i="3"/>
  <c r="H1623" i="3"/>
  <c r="G1623" i="3"/>
  <c r="F1623" i="3"/>
  <c r="E1623" i="3"/>
  <c r="T1623" i="3" s="1"/>
  <c r="U1622" i="3"/>
  <c r="R1622" i="3"/>
  <c r="Q1622" i="3"/>
  <c r="P1622" i="3"/>
  <c r="L1622" i="3"/>
  <c r="H1622" i="3"/>
  <c r="G1622" i="3"/>
  <c r="F1622" i="3"/>
  <c r="E1622" i="3"/>
  <c r="T1622" i="3" s="1"/>
  <c r="U1621" i="3"/>
  <c r="R1621" i="3"/>
  <c r="Q1621" i="3"/>
  <c r="P1621" i="3"/>
  <c r="L1621" i="3"/>
  <c r="H1621" i="3"/>
  <c r="G1621" i="3"/>
  <c r="F1621" i="3"/>
  <c r="E1621" i="3"/>
  <c r="T1621" i="3" s="1"/>
  <c r="U1620" i="3"/>
  <c r="R1620" i="3"/>
  <c r="Q1620" i="3"/>
  <c r="P1620" i="3"/>
  <c r="L1620" i="3"/>
  <c r="H1620" i="3"/>
  <c r="G1620" i="3"/>
  <c r="F1620" i="3"/>
  <c r="E1620" i="3"/>
  <c r="T1620" i="3" s="1"/>
  <c r="U1619" i="3"/>
  <c r="R1619" i="3"/>
  <c r="Q1619" i="3"/>
  <c r="P1619" i="3"/>
  <c r="L1619" i="3"/>
  <c r="H1619" i="3"/>
  <c r="G1619" i="3"/>
  <c r="F1619" i="3"/>
  <c r="E1619" i="3"/>
  <c r="T1619" i="3" s="1"/>
  <c r="U1618" i="3"/>
  <c r="R1618" i="3"/>
  <c r="Q1618" i="3"/>
  <c r="P1618" i="3"/>
  <c r="L1618" i="3"/>
  <c r="H1618" i="3"/>
  <c r="G1618" i="3"/>
  <c r="F1618" i="3"/>
  <c r="E1618" i="3"/>
  <c r="T1618" i="3" s="1"/>
  <c r="U1617" i="3"/>
  <c r="R1617" i="3"/>
  <c r="Q1617" i="3"/>
  <c r="P1617" i="3"/>
  <c r="L1617" i="3"/>
  <c r="H1617" i="3"/>
  <c r="G1617" i="3"/>
  <c r="F1617" i="3"/>
  <c r="E1617" i="3"/>
  <c r="T1617" i="3" s="1"/>
  <c r="U1616" i="3"/>
  <c r="R1616" i="3"/>
  <c r="Q1616" i="3"/>
  <c r="P1616" i="3"/>
  <c r="L1616" i="3"/>
  <c r="H1616" i="3"/>
  <c r="G1616" i="3"/>
  <c r="F1616" i="3"/>
  <c r="E1616" i="3"/>
  <c r="T1616" i="3" s="1"/>
  <c r="U1615" i="3"/>
  <c r="R1615" i="3"/>
  <c r="Q1615" i="3"/>
  <c r="P1615" i="3"/>
  <c r="L1615" i="3"/>
  <c r="H1615" i="3"/>
  <c r="G1615" i="3"/>
  <c r="F1615" i="3"/>
  <c r="E1615" i="3"/>
  <c r="T1615" i="3" s="1"/>
  <c r="U1614" i="3"/>
  <c r="R1614" i="3"/>
  <c r="Q1614" i="3"/>
  <c r="P1614" i="3"/>
  <c r="L1614" i="3"/>
  <c r="H1614" i="3"/>
  <c r="G1614" i="3"/>
  <c r="F1614" i="3"/>
  <c r="E1614" i="3"/>
  <c r="T1614" i="3" s="1"/>
  <c r="U1613" i="3"/>
  <c r="R1613" i="3"/>
  <c r="Q1613" i="3"/>
  <c r="P1613" i="3"/>
  <c r="L1613" i="3"/>
  <c r="H1613" i="3"/>
  <c r="G1613" i="3"/>
  <c r="F1613" i="3"/>
  <c r="E1613" i="3"/>
  <c r="T1613" i="3" s="1"/>
  <c r="U1612" i="3"/>
  <c r="R1612" i="3"/>
  <c r="Q1612" i="3"/>
  <c r="P1612" i="3"/>
  <c r="L1612" i="3"/>
  <c r="H1612" i="3"/>
  <c r="G1612" i="3"/>
  <c r="F1612" i="3"/>
  <c r="E1612" i="3"/>
  <c r="T1612" i="3" s="1"/>
  <c r="U1611" i="3"/>
  <c r="R1611" i="3"/>
  <c r="Q1611" i="3"/>
  <c r="P1611" i="3"/>
  <c r="L1611" i="3"/>
  <c r="H1611" i="3"/>
  <c r="G1611" i="3"/>
  <c r="F1611" i="3"/>
  <c r="E1611" i="3"/>
  <c r="T1611" i="3" s="1"/>
  <c r="U1610" i="3"/>
  <c r="R1610" i="3"/>
  <c r="Q1610" i="3"/>
  <c r="P1610" i="3"/>
  <c r="L1610" i="3"/>
  <c r="H1610" i="3"/>
  <c r="G1610" i="3"/>
  <c r="F1610" i="3"/>
  <c r="E1610" i="3"/>
  <c r="T1610" i="3" s="1"/>
  <c r="U1609" i="3"/>
  <c r="R1609" i="3"/>
  <c r="Q1609" i="3"/>
  <c r="P1609" i="3"/>
  <c r="L1609" i="3"/>
  <c r="H1609" i="3"/>
  <c r="G1609" i="3"/>
  <c r="F1609" i="3"/>
  <c r="E1609" i="3"/>
  <c r="T1609" i="3" s="1"/>
  <c r="U1608" i="3"/>
  <c r="R1608" i="3"/>
  <c r="Q1608" i="3"/>
  <c r="P1608" i="3"/>
  <c r="L1608" i="3"/>
  <c r="H1608" i="3"/>
  <c r="G1608" i="3"/>
  <c r="F1608" i="3"/>
  <c r="E1608" i="3"/>
  <c r="T1608" i="3" s="1"/>
  <c r="U1607" i="3"/>
  <c r="R1607" i="3"/>
  <c r="Q1607" i="3"/>
  <c r="P1607" i="3"/>
  <c r="L1607" i="3"/>
  <c r="H1607" i="3"/>
  <c r="G1607" i="3"/>
  <c r="F1607" i="3"/>
  <c r="E1607" i="3"/>
  <c r="T1607" i="3" s="1"/>
  <c r="U1606" i="3"/>
  <c r="R1606" i="3"/>
  <c r="Q1606" i="3"/>
  <c r="P1606" i="3"/>
  <c r="L1606" i="3"/>
  <c r="H1606" i="3"/>
  <c r="G1606" i="3"/>
  <c r="F1606" i="3"/>
  <c r="E1606" i="3"/>
  <c r="T1606" i="3" s="1"/>
  <c r="U1605" i="3"/>
  <c r="R1605" i="3"/>
  <c r="Q1605" i="3"/>
  <c r="P1605" i="3"/>
  <c r="L1605" i="3"/>
  <c r="H1605" i="3"/>
  <c r="G1605" i="3"/>
  <c r="F1605" i="3"/>
  <c r="E1605" i="3"/>
  <c r="T1605" i="3" s="1"/>
  <c r="U1604" i="3"/>
  <c r="R1604" i="3"/>
  <c r="Q1604" i="3"/>
  <c r="P1604" i="3"/>
  <c r="L1604" i="3"/>
  <c r="H1604" i="3"/>
  <c r="G1604" i="3"/>
  <c r="F1604" i="3"/>
  <c r="E1604" i="3"/>
  <c r="T1604" i="3" s="1"/>
  <c r="U1603" i="3"/>
  <c r="R1603" i="3"/>
  <c r="Q1603" i="3"/>
  <c r="P1603" i="3"/>
  <c r="L1603" i="3"/>
  <c r="H1603" i="3"/>
  <c r="G1603" i="3"/>
  <c r="F1603" i="3"/>
  <c r="E1603" i="3"/>
  <c r="T1603" i="3" s="1"/>
  <c r="U1602" i="3"/>
  <c r="R1602" i="3"/>
  <c r="Q1602" i="3"/>
  <c r="P1602" i="3"/>
  <c r="L1602" i="3"/>
  <c r="H1602" i="3"/>
  <c r="G1602" i="3"/>
  <c r="F1602" i="3"/>
  <c r="E1602" i="3"/>
  <c r="T1602" i="3" s="1"/>
  <c r="U1601" i="3"/>
  <c r="R1601" i="3"/>
  <c r="Q1601" i="3"/>
  <c r="P1601" i="3"/>
  <c r="L1601" i="3"/>
  <c r="H1601" i="3"/>
  <c r="G1601" i="3"/>
  <c r="F1601" i="3"/>
  <c r="E1601" i="3"/>
  <c r="T1601" i="3" s="1"/>
  <c r="U1600" i="3"/>
  <c r="R1600" i="3"/>
  <c r="Q1600" i="3"/>
  <c r="P1600" i="3"/>
  <c r="L1600" i="3"/>
  <c r="H1600" i="3"/>
  <c r="G1600" i="3"/>
  <c r="F1600" i="3"/>
  <c r="E1600" i="3"/>
  <c r="T1600" i="3" s="1"/>
  <c r="U1599" i="3"/>
  <c r="R1599" i="3"/>
  <c r="Q1599" i="3"/>
  <c r="P1599" i="3"/>
  <c r="L1599" i="3"/>
  <c r="H1599" i="3"/>
  <c r="G1599" i="3"/>
  <c r="F1599" i="3"/>
  <c r="E1599" i="3"/>
  <c r="T1599" i="3" s="1"/>
  <c r="U1598" i="3"/>
  <c r="R1598" i="3"/>
  <c r="Q1598" i="3"/>
  <c r="P1598" i="3"/>
  <c r="L1598" i="3"/>
  <c r="H1598" i="3"/>
  <c r="G1598" i="3"/>
  <c r="F1598" i="3"/>
  <c r="E1598" i="3"/>
  <c r="T1598" i="3" s="1"/>
  <c r="U1597" i="3"/>
  <c r="R1597" i="3"/>
  <c r="Q1597" i="3"/>
  <c r="P1597" i="3"/>
  <c r="L1597" i="3"/>
  <c r="H1597" i="3"/>
  <c r="G1597" i="3"/>
  <c r="F1597" i="3"/>
  <c r="E1597" i="3"/>
  <c r="T1597" i="3" s="1"/>
  <c r="U1596" i="3"/>
  <c r="R1596" i="3"/>
  <c r="Q1596" i="3"/>
  <c r="P1596" i="3"/>
  <c r="L1596" i="3"/>
  <c r="H1596" i="3"/>
  <c r="G1596" i="3"/>
  <c r="F1596" i="3"/>
  <c r="E1596" i="3"/>
  <c r="T1596" i="3" s="1"/>
  <c r="U1595" i="3"/>
  <c r="R1595" i="3"/>
  <c r="Q1595" i="3"/>
  <c r="P1595" i="3"/>
  <c r="L1595" i="3"/>
  <c r="H1595" i="3"/>
  <c r="G1595" i="3"/>
  <c r="F1595" i="3"/>
  <c r="E1595" i="3"/>
  <c r="T1595" i="3" s="1"/>
  <c r="U1594" i="3"/>
  <c r="R1594" i="3"/>
  <c r="Q1594" i="3"/>
  <c r="P1594" i="3"/>
  <c r="L1594" i="3"/>
  <c r="H1594" i="3"/>
  <c r="G1594" i="3"/>
  <c r="F1594" i="3"/>
  <c r="E1594" i="3"/>
  <c r="T1594" i="3" s="1"/>
  <c r="U1593" i="3"/>
  <c r="R1593" i="3"/>
  <c r="Q1593" i="3"/>
  <c r="P1593" i="3"/>
  <c r="L1593" i="3"/>
  <c r="H1593" i="3"/>
  <c r="G1593" i="3"/>
  <c r="F1593" i="3"/>
  <c r="E1593" i="3"/>
  <c r="T1593" i="3" s="1"/>
  <c r="U1592" i="3"/>
  <c r="R1592" i="3"/>
  <c r="Q1592" i="3"/>
  <c r="P1592" i="3"/>
  <c r="L1592" i="3"/>
  <c r="H1592" i="3"/>
  <c r="G1592" i="3"/>
  <c r="F1592" i="3"/>
  <c r="E1592" i="3"/>
  <c r="T1592" i="3" s="1"/>
  <c r="U1591" i="3"/>
  <c r="R1591" i="3"/>
  <c r="Q1591" i="3"/>
  <c r="P1591" i="3"/>
  <c r="L1591" i="3"/>
  <c r="H1591" i="3"/>
  <c r="G1591" i="3"/>
  <c r="F1591" i="3"/>
  <c r="E1591" i="3"/>
  <c r="T1591" i="3" s="1"/>
  <c r="U1590" i="3"/>
  <c r="R1590" i="3"/>
  <c r="Q1590" i="3"/>
  <c r="P1590" i="3"/>
  <c r="L1590" i="3"/>
  <c r="H1590" i="3"/>
  <c r="G1590" i="3"/>
  <c r="F1590" i="3"/>
  <c r="E1590" i="3"/>
  <c r="T1590" i="3" s="1"/>
  <c r="U1589" i="3"/>
  <c r="R1589" i="3"/>
  <c r="Q1589" i="3"/>
  <c r="P1589" i="3"/>
  <c r="L1589" i="3"/>
  <c r="H1589" i="3"/>
  <c r="G1589" i="3"/>
  <c r="F1589" i="3"/>
  <c r="E1589" i="3"/>
  <c r="T1589" i="3" s="1"/>
  <c r="U1588" i="3"/>
  <c r="R1588" i="3"/>
  <c r="Q1588" i="3"/>
  <c r="P1588" i="3"/>
  <c r="L1588" i="3"/>
  <c r="H1588" i="3"/>
  <c r="G1588" i="3"/>
  <c r="F1588" i="3"/>
  <c r="E1588" i="3"/>
  <c r="T1588" i="3" s="1"/>
  <c r="U1587" i="3"/>
  <c r="R1587" i="3"/>
  <c r="Q1587" i="3"/>
  <c r="P1587" i="3"/>
  <c r="L1587" i="3"/>
  <c r="H1587" i="3"/>
  <c r="G1587" i="3"/>
  <c r="F1587" i="3"/>
  <c r="E1587" i="3"/>
  <c r="T1587" i="3" s="1"/>
  <c r="U1586" i="3"/>
  <c r="R1586" i="3"/>
  <c r="Q1586" i="3"/>
  <c r="P1586" i="3"/>
  <c r="L1586" i="3"/>
  <c r="H1586" i="3"/>
  <c r="G1586" i="3"/>
  <c r="F1586" i="3"/>
  <c r="E1586" i="3"/>
  <c r="T1586" i="3" s="1"/>
  <c r="U1585" i="3"/>
  <c r="R1585" i="3"/>
  <c r="Q1585" i="3"/>
  <c r="P1585" i="3"/>
  <c r="L1585" i="3"/>
  <c r="H1585" i="3"/>
  <c r="G1585" i="3"/>
  <c r="F1585" i="3"/>
  <c r="E1585" i="3"/>
  <c r="T1585" i="3" s="1"/>
  <c r="U1584" i="3"/>
  <c r="R1584" i="3"/>
  <c r="Q1584" i="3"/>
  <c r="P1584" i="3"/>
  <c r="L1584" i="3"/>
  <c r="H1584" i="3"/>
  <c r="G1584" i="3"/>
  <c r="F1584" i="3"/>
  <c r="E1584" i="3"/>
  <c r="T1584" i="3" s="1"/>
  <c r="U1583" i="3"/>
  <c r="S1583" i="3"/>
  <c r="R1583" i="3"/>
  <c r="Q1583" i="3"/>
  <c r="P1583" i="3"/>
  <c r="L1583" i="3"/>
  <c r="V1583" i="3" s="1"/>
  <c r="H1583" i="3"/>
  <c r="G1583" i="3"/>
  <c r="F1583" i="3"/>
  <c r="E1583" i="3"/>
  <c r="T1583" i="3" s="1"/>
  <c r="U1582" i="3"/>
  <c r="R1582" i="3"/>
  <c r="Q1582" i="3"/>
  <c r="P1582" i="3"/>
  <c r="L1582" i="3"/>
  <c r="H1582" i="3"/>
  <c r="G1582" i="3"/>
  <c r="F1582" i="3"/>
  <c r="E1582" i="3"/>
  <c r="T1582" i="3" s="1"/>
  <c r="U1581" i="3"/>
  <c r="R1581" i="3"/>
  <c r="Q1581" i="3"/>
  <c r="P1581" i="3"/>
  <c r="L1581" i="3"/>
  <c r="H1581" i="3"/>
  <c r="G1581" i="3"/>
  <c r="F1581" i="3"/>
  <c r="E1581" i="3"/>
  <c r="T1581" i="3" s="1"/>
  <c r="U1580" i="3"/>
  <c r="R1580" i="3"/>
  <c r="Q1580" i="3"/>
  <c r="P1580" i="3"/>
  <c r="L1580" i="3"/>
  <c r="H1580" i="3"/>
  <c r="G1580" i="3"/>
  <c r="F1580" i="3"/>
  <c r="E1580" i="3"/>
  <c r="T1580" i="3" s="1"/>
  <c r="U1579" i="3"/>
  <c r="R1579" i="3"/>
  <c r="Q1579" i="3"/>
  <c r="P1579" i="3"/>
  <c r="L1579" i="3"/>
  <c r="H1579" i="3"/>
  <c r="G1579" i="3"/>
  <c r="F1579" i="3"/>
  <c r="E1579" i="3"/>
  <c r="T1579" i="3" s="1"/>
  <c r="U1578" i="3"/>
  <c r="R1578" i="3"/>
  <c r="Q1578" i="3"/>
  <c r="P1578" i="3"/>
  <c r="L1578" i="3"/>
  <c r="H1578" i="3"/>
  <c r="G1578" i="3"/>
  <c r="F1578" i="3"/>
  <c r="E1578" i="3"/>
  <c r="T1578" i="3" s="1"/>
  <c r="U1577" i="3"/>
  <c r="R1577" i="3"/>
  <c r="Q1577" i="3"/>
  <c r="P1577" i="3"/>
  <c r="L1577" i="3"/>
  <c r="H1577" i="3"/>
  <c r="G1577" i="3"/>
  <c r="F1577" i="3"/>
  <c r="E1577" i="3"/>
  <c r="T1577" i="3" s="1"/>
  <c r="U1576" i="3"/>
  <c r="R1576" i="3"/>
  <c r="Q1576" i="3"/>
  <c r="P1576" i="3"/>
  <c r="L1576" i="3"/>
  <c r="H1576" i="3"/>
  <c r="G1576" i="3"/>
  <c r="F1576" i="3"/>
  <c r="E1576" i="3"/>
  <c r="T1576" i="3" s="1"/>
  <c r="U1575" i="3"/>
  <c r="R1575" i="3"/>
  <c r="Q1575" i="3"/>
  <c r="P1575" i="3"/>
  <c r="L1575" i="3"/>
  <c r="H1575" i="3"/>
  <c r="G1575" i="3"/>
  <c r="F1575" i="3"/>
  <c r="E1575" i="3"/>
  <c r="T1575" i="3" s="1"/>
  <c r="U1574" i="3"/>
  <c r="R1574" i="3"/>
  <c r="Q1574" i="3"/>
  <c r="P1574" i="3"/>
  <c r="L1574" i="3"/>
  <c r="H1574" i="3"/>
  <c r="G1574" i="3"/>
  <c r="F1574" i="3"/>
  <c r="E1574" i="3"/>
  <c r="T1574" i="3" s="1"/>
  <c r="U1573" i="3"/>
  <c r="R1573" i="3"/>
  <c r="Q1573" i="3"/>
  <c r="P1573" i="3"/>
  <c r="L1573" i="3"/>
  <c r="H1573" i="3"/>
  <c r="G1573" i="3"/>
  <c r="F1573" i="3"/>
  <c r="E1573" i="3"/>
  <c r="T1573" i="3" s="1"/>
  <c r="U1572" i="3"/>
  <c r="R1572" i="3"/>
  <c r="Q1572" i="3"/>
  <c r="P1572" i="3"/>
  <c r="L1572" i="3"/>
  <c r="H1572" i="3"/>
  <c r="G1572" i="3"/>
  <c r="F1572" i="3"/>
  <c r="E1572" i="3"/>
  <c r="T1572" i="3" s="1"/>
  <c r="U1571" i="3"/>
  <c r="R1571" i="3"/>
  <c r="Q1571" i="3"/>
  <c r="P1571" i="3"/>
  <c r="L1571" i="3"/>
  <c r="H1571" i="3"/>
  <c r="G1571" i="3"/>
  <c r="F1571" i="3"/>
  <c r="E1571" i="3"/>
  <c r="T1571" i="3" s="1"/>
  <c r="U1570" i="3"/>
  <c r="R1570" i="3"/>
  <c r="Q1570" i="3"/>
  <c r="P1570" i="3"/>
  <c r="L1570" i="3"/>
  <c r="H1570" i="3"/>
  <c r="G1570" i="3"/>
  <c r="F1570" i="3"/>
  <c r="E1570" i="3"/>
  <c r="T1570" i="3" s="1"/>
  <c r="U1569" i="3"/>
  <c r="R1569" i="3"/>
  <c r="Q1569" i="3"/>
  <c r="P1569" i="3"/>
  <c r="L1569" i="3"/>
  <c r="H1569" i="3"/>
  <c r="G1569" i="3"/>
  <c r="F1569" i="3"/>
  <c r="E1569" i="3"/>
  <c r="T1569" i="3" s="1"/>
  <c r="U1568" i="3"/>
  <c r="R1568" i="3"/>
  <c r="Q1568" i="3"/>
  <c r="P1568" i="3"/>
  <c r="L1568" i="3"/>
  <c r="H1568" i="3"/>
  <c r="G1568" i="3"/>
  <c r="F1568" i="3"/>
  <c r="E1568" i="3"/>
  <c r="T1568" i="3" s="1"/>
  <c r="U1567" i="3"/>
  <c r="R1567" i="3"/>
  <c r="Q1567" i="3"/>
  <c r="P1567" i="3"/>
  <c r="L1567" i="3"/>
  <c r="H1567" i="3"/>
  <c r="G1567" i="3"/>
  <c r="F1567" i="3"/>
  <c r="E1567" i="3"/>
  <c r="T1567" i="3" s="1"/>
  <c r="U1566" i="3"/>
  <c r="R1566" i="3"/>
  <c r="Q1566" i="3"/>
  <c r="P1566" i="3"/>
  <c r="L1566" i="3"/>
  <c r="H1566" i="3"/>
  <c r="G1566" i="3"/>
  <c r="F1566" i="3"/>
  <c r="E1566" i="3"/>
  <c r="T1566" i="3" s="1"/>
  <c r="U1565" i="3"/>
  <c r="R1565" i="3"/>
  <c r="Q1565" i="3"/>
  <c r="P1565" i="3"/>
  <c r="L1565" i="3"/>
  <c r="H1565" i="3"/>
  <c r="G1565" i="3"/>
  <c r="F1565" i="3"/>
  <c r="E1565" i="3"/>
  <c r="T1565" i="3" s="1"/>
  <c r="U1564" i="3"/>
  <c r="R1564" i="3"/>
  <c r="Q1564" i="3"/>
  <c r="P1564" i="3"/>
  <c r="L1564" i="3"/>
  <c r="H1564" i="3"/>
  <c r="G1564" i="3"/>
  <c r="F1564" i="3"/>
  <c r="E1564" i="3"/>
  <c r="T1564" i="3" s="1"/>
  <c r="U1563" i="3"/>
  <c r="R1563" i="3"/>
  <c r="Q1563" i="3"/>
  <c r="P1563" i="3"/>
  <c r="L1563" i="3"/>
  <c r="H1563" i="3"/>
  <c r="G1563" i="3"/>
  <c r="F1563" i="3"/>
  <c r="E1563" i="3"/>
  <c r="T1563" i="3" s="1"/>
  <c r="U1562" i="3"/>
  <c r="R1562" i="3"/>
  <c r="Q1562" i="3"/>
  <c r="P1562" i="3"/>
  <c r="L1562" i="3"/>
  <c r="H1562" i="3"/>
  <c r="G1562" i="3"/>
  <c r="F1562" i="3"/>
  <c r="E1562" i="3"/>
  <c r="T1562" i="3" s="1"/>
  <c r="U1561" i="3"/>
  <c r="R1561" i="3"/>
  <c r="Q1561" i="3"/>
  <c r="P1561" i="3"/>
  <c r="L1561" i="3"/>
  <c r="H1561" i="3"/>
  <c r="G1561" i="3"/>
  <c r="F1561" i="3"/>
  <c r="E1561" i="3"/>
  <c r="T1561" i="3" s="1"/>
  <c r="U1560" i="3"/>
  <c r="R1560" i="3"/>
  <c r="Q1560" i="3"/>
  <c r="P1560" i="3"/>
  <c r="L1560" i="3"/>
  <c r="H1560" i="3"/>
  <c r="G1560" i="3"/>
  <c r="F1560" i="3"/>
  <c r="E1560" i="3"/>
  <c r="T1560" i="3" s="1"/>
  <c r="U1559" i="3"/>
  <c r="R1559" i="3"/>
  <c r="Q1559" i="3"/>
  <c r="P1559" i="3"/>
  <c r="L1559" i="3"/>
  <c r="H1559" i="3"/>
  <c r="G1559" i="3"/>
  <c r="F1559" i="3"/>
  <c r="E1559" i="3"/>
  <c r="T1559" i="3" s="1"/>
  <c r="U1558" i="3"/>
  <c r="R1558" i="3"/>
  <c r="Q1558" i="3"/>
  <c r="P1558" i="3"/>
  <c r="L1558" i="3"/>
  <c r="H1558" i="3"/>
  <c r="G1558" i="3"/>
  <c r="F1558" i="3"/>
  <c r="E1558" i="3"/>
  <c r="T1558" i="3" s="1"/>
  <c r="U1557" i="3"/>
  <c r="R1557" i="3"/>
  <c r="Q1557" i="3"/>
  <c r="P1557" i="3"/>
  <c r="L1557" i="3"/>
  <c r="H1557" i="3"/>
  <c r="G1557" i="3"/>
  <c r="F1557" i="3"/>
  <c r="E1557" i="3"/>
  <c r="T1557" i="3" s="1"/>
  <c r="U1556" i="3"/>
  <c r="R1556" i="3"/>
  <c r="Q1556" i="3"/>
  <c r="P1556" i="3"/>
  <c r="L1556" i="3"/>
  <c r="H1556" i="3"/>
  <c r="G1556" i="3"/>
  <c r="F1556" i="3"/>
  <c r="E1556" i="3"/>
  <c r="T1556" i="3" s="1"/>
  <c r="U1555" i="3"/>
  <c r="R1555" i="3"/>
  <c r="Q1555" i="3"/>
  <c r="P1555" i="3"/>
  <c r="L1555" i="3"/>
  <c r="H1555" i="3"/>
  <c r="G1555" i="3"/>
  <c r="F1555" i="3"/>
  <c r="E1555" i="3"/>
  <c r="T1555" i="3" s="1"/>
  <c r="U1554" i="3"/>
  <c r="R1554" i="3"/>
  <c r="Q1554" i="3"/>
  <c r="P1554" i="3"/>
  <c r="L1554" i="3"/>
  <c r="H1554" i="3"/>
  <c r="G1554" i="3"/>
  <c r="F1554" i="3"/>
  <c r="E1554" i="3"/>
  <c r="T1554" i="3" s="1"/>
  <c r="U1553" i="3"/>
  <c r="R1553" i="3"/>
  <c r="Q1553" i="3"/>
  <c r="P1553" i="3"/>
  <c r="L1553" i="3"/>
  <c r="H1553" i="3"/>
  <c r="G1553" i="3"/>
  <c r="F1553" i="3"/>
  <c r="E1553" i="3"/>
  <c r="T1553" i="3" s="1"/>
  <c r="U1552" i="3"/>
  <c r="R1552" i="3"/>
  <c r="Q1552" i="3"/>
  <c r="P1552" i="3"/>
  <c r="L1552" i="3"/>
  <c r="H1552" i="3"/>
  <c r="G1552" i="3"/>
  <c r="F1552" i="3"/>
  <c r="E1552" i="3"/>
  <c r="T1552" i="3" s="1"/>
  <c r="U1551" i="3"/>
  <c r="R1551" i="3"/>
  <c r="Q1551" i="3"/>
  <c r="P1551" i="3"/>
  <c r="L1551" i="3"/>
  <c r="H1551" i="3"/>
  <c r="G1551" i="3"/>
  <c r="F1551" i="3"/>
  <c r="E1551" i="3"/>
  <c r="T1551" i="3" s="1"/>
  <c r="U1550" i="3"/>
  <c r="R1550" i="3"/>
  <c r="Q1550" i="3"/>
  <c r="P1550" i="3"/>
  <c r="L1550" i="3"/>
  <c r="H1550" i="3"/>
  <c r="G1550" i="3"/>
  <c r="F1550" i="3"/>
  <c r="E1550" i="3"/>
  <c r="T1550" i="3" s="1"/>
  <c r="U1549" i="3"/>
  <c r="R1549" i="3"/>
  <c r="Q1549" i="3"/>
  <c r="P1549" i="3"/>
  <c r="L1549" i="3"/>
  <c r="H1549" i="3"/>
  <c r="G1549" i="3"/>
  <c r="F1549" i="3"/>
  <c r="E1549" i="3"/>
  <c r="T1549" i="3" s="1"/>
  <c r="U1548" i="3"/>
  <c r="R1548" i="3"/>
  <c r="Q1548" i="3"/>
  <c r="P1548" i="3"/>
  <c r="L1548" i="3"/>
  <c r="H1548" i="3"/>
  <c r="G1548" i="3"/>
  <c r="F1548" i="3"/>
  <c r="E1548" i="3"/>
  <c r="T1548" i="3" s="1"/>
  <c r="U1547" i="3"/>
  <c r="R1547" i="3"/>
  <c r="Q1547" i="3"/>
  <c r="P1547" i="3"/>
  <c r="L1547" i="3"/>
  <c r="H1547" i="3"/>
  <c r="G1547" i="3"/>
  <c r="F1547" i="3"/>
  <c r="E1547" i="3"/>
  <c r="T1547" i="3" s="1"/>
  <c r="U1546" i="3"/>
  <c r="R1546" i="3"/>
  <c r="Q1546" i="3"/>
  <c r="P1546" i="3"/>
  <c r="L1546" i="3"/>
  <c r="H1546" i="3"/>
  <c r="G1546" i="3"/>
  <c r="F1546" i="3"/>
  <c r="E1546" i="3"/>
  <c r="T1546" i="3" s="1"/>
  <c r="U1545" i="3"/>
  <c r="R1545" i="3"/>
  <c r="Q1545" i="3"/>
  <c r="P1545" i="3"/>
  <c r="L1545" i="3"/>
  <c r="H1545" i="3"/>
  <c r="G1545" i="3"/>
  <c r="F1545" i="3"/>
  <c r="E1545" i="3"/>
  <c r="T1545" i="3" s="1"/>
  <c r="U1544" i="3"/>
  <c r="T1544" i="3"/>
  <c r="R1544" i="3"/>
  <c r="Q1544" i="3"/>
  <c r="P1544" i="3"/>
  <c r="L1544" i="3"/>
  <c r="H1544" i="3"/>
  <c r="G1544" i="3"/>
  <c r="F1544" i="3"/>
  <c r="E1544" i="3"/>
  <c r="U1543" i="3"/>
  <c r="R1543" i="3"/>
  <c r="Q1543" i="3"/>
  <c r="P1543" i="3"/>
  <c r="L1543" i="3"/>
  <c r="H1543" i="3"/>
  <c r="G1543" i="3"/>
  <c r="F1543" i="3"/>
  <c r="E1543" i="3"/>
  <c r="T1543" i="3" s="1"/>
  <c r="U1542" i="3"/>
  <c r="R1542" i="3"/>
  <c r="Q1542" i="3"/>
  <c r="P1542" i="3"/>
  <c r="L1542" i="3"/>
  <c r="H1542" i="3"/>
  <c r="G1542" i="3"/>
  <c r="F1542" i="3"/>
  <c r="E1542" i="3"/>
  <c r="T1542" i="3" s="1"/>
  <c r="U1541" i="3"/>
  <c r="R1541" i="3"/>
  <c r="Q1541" i="3"/>
  <c r="P1541" i="3"/>
  <c r="L1541" i="3"/>
  <c r="H1541" i="3"/>
  <c r="G1541" i="3"/>
  <c r="F1541" i="3"/>
  <c r="E1541" i="3"/>
  <c r="T1541" i="3" s="1"/>
  <c r="U1540" i="3"/>
  <c r="R1540" i="3"/>
  <c r="Q1540" i="3"/>
  <c r="P1540" i="3"/>
  <c r="L1540" i="3"/>
  <c r="H1540" i="3"/>
  <c r="G1540" i="3"/>
  <c r="F1540" i="3"/>
  <c r="E1540" i="3"/>
  <c r="T1540" i="3" s="1"/>
  <c r="U1539" i="3"/>
  <c r="R1539" i="3"/>
  <c r="Q1539" i="3"/>
  <c r="P1539" i="3"/>
  <c r="L1539" i="3"/>
  <c r="H1539" i="3"/>
  <c r="G1539" i="3"/>
  <c r="F1539" i="3"/>
  <c r="E1539" i="3"/>
  <c r="T1539" i="3" s="1"/>
  <c r="U1538" i="3"/>
  <c r="R1538" i="3"/>
  <c r="Q1538" i="3"/>
  <c r="P1538" i="3"/>
  <c r="L1538" i="3"/>
  <c r="H1538" i="3"/>
  <c r="G1538" i="3"/>
  <c r="F1538" i="3"/>
  <c r="E1538" i="3"/>
  <c r="T1538" i="3" s="1"/>
  <c r="U1537" i="3"/>
  <c r="R1537" i="3"/>
  <c r="Q1537" i="3"/>
  <c r="P1537" i="3"/>
  <c r="L1537" i="3"/>
  <c r="H1537" i="3"/>
  <c r="G1537" i="3"/>
  <c r="F1537" i="3"/>
  <c r="E1537" i="3"/>
  <c r="T1537" i="3" s="1"/>
  <c r="U1536" i="3"/>
  <c r="R1536" i="3"/>
  <c r="Q1536" i="3"/>
  <c r="P1536" i="3"/>
  <c r="L1536" i="3"/>
  <c r="H1536" i="3"/>
  <c r="G1536" i="3"/>
  <c r="F1536" i="3"/>
  <c r="E1536" i="3"/>
  <c r="T1536" i="3" s="1"/>
  <c r="U1535" i="3"/>
  <c r="R1535" i="3"/>
  <c r="Q1535" i="3"/>
  <c r="P1535" i="3"/>
  <c r="L1535" i="3"/>
  <c r="H1535" i="3"/>
  <c r="G1535" i="3"/>
  <c r="F1535" i="3"/>
  <c r="E1535" i="3"/>
  <c r="T1535" i="3" s="1"/>
  <c r="U1534" i="3"/>
  <c r="R1534" i="3"/>
  <c r="Q1534" i="3"/>
  <c r="P1534" i="3"/>
  <c r="L1534" i="3"/>
  <c r="H1534" i="3"/>
  <c r="G1534" i="3"/>
  <c r="F1534" i="3"/>
  <c r="E1534" i="3"/>
  <c r="T1534" i="3" s="1"/>
  <c r="U1533" i="3"/>
  <c r="R1533" i="3"/>
  <c r="Q1533" i="3"/>
  <c r="P1533" i="3"/>
  <c r="L1533" i="3"/>
  <c r="H1533" i="3"/>
  <c r="G1533" i="3"/>
  <c r="F1533" i="3"/>
  <c r="E1533" i="3"/>
  <c r="T1533" i="3" s="1"/>
  <c r="U1532" i="3"/>
  <c r="R1532" i="3"/>
  <c r="Q1532" i="3"/>
  <c r="P1532" i="3"/>
  <c r="L1532" i="3"/>
  <c r="H1532" i="3"/>
  <c r="G1532" i="3"/>
  <c r="F1532" i="3"/>
  <c r="E1532" i="3"/>
  <c r="T1532" i="3" s="1"/>
  <c r="U1531" i="3"/>
  <c r="R1531" i="3"/>
  <c r="Q1531" i="3"/>
  <c r="P1531" i="3"/>
  <c r="L1531" i="3"/>
  <c r="H1531" i="3"/>
  <c r="G1531" i="3"/>
  <c r="F1531" i="3"/>
  <c r="E1531" i="3"/>
  <c r="T1531" i="3" s="1"/>
  <c r="U1530" i="3"/>
  <c r="R1530" i="3"/>
  <c r="Q1530" i="3"/>
  <c r="P1530" i="3"/>
  <c r="L1530" i="3"/>
  <c r="H1530" i="3"/>
  <c r="G1530" i="3"/>
  <c r="F1530" i="3"/>
  <c r="E1530" i="3"/>
  <c r="T1530" i="3" s="1"/>
  <c r="U1529" i="3"/>
  <c r="R1529" i="3"/>
  <c r="Q1529" i="3"/>
  <c r="P1529" i="3"/>
  <c r="L1529" i="3"/>
  <c r="H1529" i="3"/>
  <c r="G1529" i="3"/>
  <c r="F1529" i="3"/>
  <c r="E1529" i="3"/>
  <c r="T1529" i="3" s="1"/>
  <c r="U1528" i="3"/>
  <c r="R1528" i="3"/>
  <c r="Q1528" i="3"/>
  <c r="P1528" i="3"/>
  <c r="L1528" i="3"/>
  <c r="H1528" i="3"/>
  <c r="G1528" i="3"/>
  <c r="F1528" i="3"/>
  <c r="E1528" i="3"/>
  <c r="T1528" i="3" s="1"/>
  <c r="U1527" i="3"/>
  <c r="R1527" i="3"/>
  <c r="Q1527" i="3"/>
  <c r="P1527" i="3"/>
  <c r="L1527" i="3"/>
  <c r="H1527" i="3"/>
  <c r="G1527" i="3"/>
  <c r="F1527" i="3"/>
  <c r="E1527" i="3"/>
  <c r="T1527" i="3" s="1"/>
  <c r="U1526" i="3"/>
  <c r="R1526" i="3"/>
  <c r="Q1526" i="3"/>
  <c r="P1526" i="3"/>
  <c r="L1526" i="3"/>
  <c r="H1526" i="3"/>
  <c r="G1526" i="3"/>
  <c r="F1526" i="3"/>
  <c r="E1526" i="3"/>
  <c r="T1526" i="3" s="1"/>
  <c r="U1525" i="3"/>
  <c r="R1525" i="3"/>
  <c r="Q1525" i="3"/>
  <c r="P1525" i="3"/>
  <c r="L1525" i="3"/>
  <c r="H1525" i="3"/>
  <c r="G1525" i="3"/>
  <c r="F1525" i="3"/>
  <c r="E1525" i="3"/>
  <c r="T1525" i="3" s="1"/>
  <c r="U1524" i="3"/>
  <c r="R1524" i="3"/>
  <c r="Q1524" i="3"/>
  <c r="P1524" i="3"/>
  <c r="L1524" i="3"/>
  <c r="H1524" i="3"/>
  <c r="G1524" i="3"/>
  <c r="F1524" i="3"/>
  <c r="E1524" i="3"/>
  <c r="T1524" i="3" s="1"/>
  <c r="U1523" i="3"/>
  <c r="R1523" i="3"/>
  <c r="Q1523" i="3"/>
  <c r="P1523" i="3"/>
  <c r="L1523" i="3"/>
  <c r="H1523" i="3"/>
  <c r="G1523" i="3"/>
  <c r="F1523" i="3"/>
  <c r="E1523" i="3"/>
  <c r="T1523" i="3" s="1"/>
  <c r="U1522" i="3"/>
  <c r="R1522" i="3"/>
  <c r="Q1522" i="3"/>
  <c r="P1522" i="3"/>
  <c r="L1522" i="3"/>
  <c r="H1522" i="3"/>
  <c r="G1522" i="3"/>
  <c r="F1522" i="3"/>
  <c r="E1522" i="3"/>
  <c r="T1522" i="3" s="1"/>
  <c r="U1521" i="3"/>
  <c r="R1521" i="3"/>
  <c r="Q1521" i="3"/>
  <c r="P1521" i="3"/>
  <c r="L1521" i="3"/>
  <c r="H1521" i="3"/>
  <c r="G1521" i="3"/>
  <c r="F1521" i="3"/>
  <c r="E1521" i="3"/>
  <c r="T1521" i="3" s="1"/>
  <c r="U1520" i="3"/>
  <c r="R1520" i="3"/>
  <c r="Q1520" i="3"/>
  <c r="P1520" i="3"/>
  <c r="L1520" i="3"/>
  <c r="H1520" i="3"/>
  <c r="G1520" i="3"/>
  <c r="F1520" i="3"/>
  <c r="E1520" i="3"/>
  <c r="T1520" i="3" s="1"/>
  <c r="U1519" i="3"/>
  <c r="R1519" i="3"/>
  <c r="Q1519" i="3"/>
  <c r="P1519" i="3"/>
  <c r="L1519" i="3"/>
  <c r="H1519" i="3"/>
  <c r="G1519" i="3"/>
  <c r="F1519" i="3"/>
  <c r="E1519" i="3"/>
  <c r="T1519" i="3" s="1"/>
  <c r="U1518" i="3"/>
  <c r="R1518" i="3"/>
  <c r="Q1518" i="3"/>
  <c r="P1518" i="3"/>
  <c r="L1518" i="3"/>
  <c r="H1518" i="3"/>
  <c r="G1518" i="3"/>
  <c r="F1518" i="3"/>
  <c r="E1518" i="3"/>
  <c r="T1518" i="3" s="1"/>
  <c r="U1517" i="3"/>
  <c r="R1517" i="3"/>
  <c r="Q1517" i="3"/>
  <c r="P1517" i="3"/>
  <c r="L1517" i="3"/>
  <c r="H1517" i="3"/>
  <c r="G1517" i="3"/>
  <c r="F1517" i="3"/>
  <c r="E1517" i="3"/>
  <c r="T1517" i="3" s="1"/>
  <c r="U1516" i="3"/>
  <c r="R1516" i="3"/>
  <c r="Q1516" i="3"/>
  <c r="P1516" i="3"/>
  <c r="L1516" i="3"/>
  <c r="H1516" i="3"/>
  <c r="G1516" i="3"/>
  <c r="F1516" i="3"/>
  <c r="E1516" i="3"/>
  <c r="T1516" i="3" s="1"/>
  <c r="U1515" i="3"/>
  <c r="R1515" i="3"/>
  <c r="Q1515" i="3"/>
  <c r="P1515" i="3"/>
  <c r="L1515" i="3"/>
  <c r="H1515" i="3"/>
  <c r="G1515" i="3"/>
  <c r="F1515" i="3"/>
  <c r="E1515" i="3"/>
  <c r="T1515" i="3" s="1"/>
  <c r="U1514" i="3"/>
  <c r="R1514" i="3"/>
  <c r="Q1514" i="3"/>
  <c r="P1514" i="3"/>
  <c r="L1514" i="3"/>
  <c r="H1514" i="3"/>
  <c r="G1514" i="3"/>
  <c r="F1514" i="3"/>
  <c r="E1514" i="3"/>
  <c r="T1514" i="3" s="1"/>
  <c r="U1513" i="3"/>
  <c r="R1513" i="3"/>
  <c r="Q1513" i="3"/>
  <c r="P1513" i="3"/>
  <c r="L1513" i="3"/>
  <c r="H1513" i="3"/>
  <c r="G1513" i="3"/>
  <c r="F1513" i="3"/>
  <c r="E1513" i="3"/>
  <c r="T1513" i="3" s="1"/>
  <c r="U1512" i="3"/>
  <c r="R1512" i="3"/>
  <c r="Q1512" i="3"/>
  <c r="P1512" i="3"/>
  <c r="L1512" i="3"/>
  <c r="H1512" i="3"/>
  <c r="G1512" i="3"/>
  <c r="F1512" i="3"/>
  <c r="E1512" i="3"/>
  <c r="T1512" i="3" s="1"/>
  <c r="U1511" i="3"/>
  <c r="R1511" i="3"/>
  <c r="Q1511" i="3"/>
  <c r="P1511" i="3"/>
  <c r="L1511" i="3"/>
  <c r="H1511" i="3"/>
  <c r="G1511" i="3"/>
  <c r="F1511" i="3"/>
  <c r="E1511" i="3"/>
  <c r="T1511" i="3" s="1"/>
  <c r="U1510" i="3"/>
  <c r="R1510" i="3"/>
  <c r="Q1510" i="3"/>
  <c r="P1510" i="3"/>
  <c r="L1510" i="3"/>
  <c r="H1510" i="3"/>
  <c r="G1510" i="3"/>
  <c r="F1510" i="3"/>
  <c r="E1510" i="3"/>
  <c r="T1510" i="3" s="1"/>
  <c r="U1509" i="3"/>
  <c r="R1509" i="3"/>
  <c r="Q1509" i="3"/>
  <c r="P1509" i="3"/>
  <c r="L1509" i="3"/>
  <c r="H1509" i="3"/>
  <c r="G1509" i="3"/>
  <c r="F1509" i="3"/>
  <c r="E1509" i="3"/>
  <c r="T1509" i="3" s="1"/>
  <c r="U1508" i="3"/>
  <c r="R1508" i="3"/>
  <c r="Q1508" i="3"/>
  <c r="P1508" i="3"/>
  <c r="L1508" i="3"/>
  <c r="H1508" i="3"/>
  <c r="G1508" i="3"/>
  <c r="F1508" i="3"/>
  <c r="E1508" i="3"/>
  <c r="T1508" i="3" s="1"/>
  <c r="U1507" i="3"/>
  <c r="R1507" i="3"/>
  <c r="Q1507" i="3"/>
  <c r="P1507" i="3"/>
  <c r="L1507" i="3"/>
  <c r="H1507" i="3"/>
  <c r="G1507" i="3"/>
  <c r="F1507" i="3"/>
  <c r="E1507" i="3"/>
  <c r="T1507" i="3" s="1"/>
  <c r="U1506" i="3"/>
  <c r="R1506" i="3"/>
  <c r="Q1506" i="3"/>
  <c r="P1506" i="3"/>
  <c r="L1506" i="3"/>
  <c r="H1506" i="3"/>
  <c r="G1506" i="3"/>
  <c r="F1506" i="3"/>
  <c r="E1506" i="3"/>
  <c r="T1506" i="3" s="1"/>
  <c r="U1505" i="3"/>
  <c r="R1505" i="3"/>
  <c r="Q1505" i="3"/>
  <c r="P1505" i="3"/>
  <c r="L1505" i="3"/>
  <c r="H1505" i="3"/>
  <c r="G1505" i="3"/>
  <c r="F1505" i="3"/>
  <c r="E1505" i="3"/>
  <c r="T1505" i="3" s="1"/>
  <c r="U1504" i="3"/>
  <c r="R1504" i="3"/>
  <c r="Q1504" i="3"/>
  <c r="P1504" i="3"/>
  <c r="L1504" i="3"/>
  <c r="H1504" i="3"/>
  <c r="G1504" i="3"/>
  <c r="F1504" i="3"/>
  <c r="E1504" i="3"/>
  <c r="T1504" i="3" s="1"/>
  <c r="U1503" i="3"/>
  <c r="R1503" i="3"/>
  <c r="Q1503" i="3"/>
  <c r="P1503" i="3"/>
  <c r="L1503" i="3"/>
  <c r="H1503" i="3"/>
  <c r="G1503" i="3"/>
  <c r="F1503" i="3"/>
  <c r="E1503" i="3"/>
  <c r="T1503" i="3" s="1"/>
  <c r="U1502" i="3"/>
  <c r="R1502" i="3"/>
  <c r="Q1502" i="3"/>
  <c r="P1502" i="3"/>
  <c r="L1502" i="3"/>
  <c r="H1502" i="3"/>
  <c r="G1502" i="3"/>
  <c r="F1502" i="3"/>
  <c r="E1502" i="3"/>
  <c r="T1502" i="3" s="1"/>
  <c r="U1501" i="3"/>
  <c r="R1501" i="3"/>
  <c r="Q1501" i="3"/>
  <c r="P1501" i="3"/>
  <c r="L1501" i="3"/>
  <c r="H1501" i="3"/>
  <c r="G1501" i="3"/>
  <c r="F1501" i="3"/>
  <c r="E1501" i="3"/>
  <c r="T1501" i="3" s="1"/>
  <c r="U1500" i="3"/>
  <c r="R1500" i="3"/>
  <c r="Q1500" i="3"/>
  <c r="P1500" i="3"/>
  <c r="L1500" i="3"/>
  <c r="H1500" i="3"/>
  <c r="G1500" i="3"/>
  <c r="F1500" i="3"/>
  <c r="E1500" i="3"/>
  <c r="T1500" i="3" s="1"/>
  <c r="U1499" i="3"/>
  <c r="R1499" i="3"/>
  <c r="Q1499" i="3"/>
  <c r="P1499" i="3"/>
  <c r="L1499" i="3"/>
  <c r="H1499" i="3"/>
  <c r="G1499" i="3"/>
  <c r="F1499" i="3"/>
  <c r="E1499" i="3"/>
  <c r="T1499" i="3" s="1"/>
  <c r="U1498" i="3"/>
  <c r="R1498" i="3"/>
  <c r="Q1498" i="3"/>
  <c r="P1498" i="3"/>
  <c r="L1498" i="3"/>
  <c r="H1498" i="3"/>
  <c r="G1498" i="3"/>
  <c r="F1498" i="3"/>
  <c r="E1498" i="3"/>
  <c r="T1498" i="3" s="1"/>
  <c r="U1497" i="3"/>
  <c r="R1497" i="3"/>
  <c r="Q1497" i="3"/>
  <c r="P1497" i="3"/>
  <c r="L1497" i="3"/>
  <c r="H1497" i="3"/>
  <c r="G1497" i="3"/>
  <c r="F1497" i="3"/>
  <c r="E1497" i="3"/>
  <c r="T1497" i="3" s="1"/>
  <c r="U1496" i="3"/>
  <c r="R1496" i="3"/>
  <c r="Q1496" i="3"/>
  <c r="P1496" i="3"/>
  <c r="L1496" i="3"/>
  <c r="H1496" i="3"/>
  <c r="G1496" i="3"/>
  <c r="F1496" i="3"/>
  <c r="E1496" i="3"/>
  <c r="T1496" i="3" s="1"/>
  <c r="U1495" i="3"/>
  <c r="R1495" i="3"/>
  <c r="Q1495" i="3"/>
  <c r="P1495" i="3"/>
  <c r="L1495" i="3"/>
  <c r="H1495" i="3"/>
  <c r="G1495" i="3"/>
  <c r="F1495" i="3"/>
  <c r="E1495" i="3"/>
  <c r="T1495" i="3" s="1"/>
  <c r="U1494" i="3"/>
  <c r="R1494" i="3"/>
  <c r="Q1494" i="3"/>
  <c r="P1494" i="3"/>
  <c r="L1494" i="3"/>
  <c r="H1494" i="3"/>
  <c r="G1494" i="3"/>
  <c r="F1494" i="3"/>
  <c r="E1494" i="3"/>
  <c r="T1494" i="3" s="1"/>
  <c r="U1493" i="3"/>
  <c r="R1493" i="3"/>
  <c r="Q1493" i="3"/>
  <c r="P1493" i="3"/>
  <c r="L1493" i="3"/>
  <c r="H1493" i="3"/>
  <c r="G1493" i="3"/>
  <c r="F1493" i="3"/>
  <c r="E1493" i="3"/>
  <c r="T1493" i="3" s="1"/>
  <c r="U1492" i="3"/>
  <c r="R1492" i="3"/>
  <c r="Q1492" i="3"/>
  <c r="P1492" i="3"/>
  <c r="L1492" i="3"/>
  <c r="H1492" i="3"/>
  <c r="G1492" i="3"/>
  <c r="F1492" i="3"/>
  <c r="E1492" i="3"/>
  <c r="T1492" i="3" s="1"/>
  <c r="U1491" i="3"/>
  <c r="R1491" i="3"/>
  <c r="Q1491" i="3"/>
  <c r="P1491" i="3"/>
  <c r="L1491" i="3"/>
  <c r="H1491" i="3"/>
  <c r="G1491" i="3"/>
  <c r="F1491" i="3"/>
  <c r="E1491" i="3"/>
  <c r="T1491" i="3" s="1"/>
  <c r="U1490" i="3"/>
  <c r="R1490" i="3"/>
  <c r="Q1490" i="3"/>
  <c r="P1490" i="3"/>
  <c r="L1490" i="3"/>
  <c r="H1490" i="3"/>
  <c r="G1490" i="3"/>
  <c r="F1490" i="3"/>
  <c r="E1490" i="3"/>
  <c r="T1490" i="3" s="1"/>
  <c r="U1489" i="3"/>
  <c r="R1489" i="3"/>
  <c r="Q1489" i="3"/>
  <c r="P1489" i="3"/>
  <c r="L1489" i="3"/>
  <c r="H1489" i="3"/>
  <c r="G1489" i="3"/>
  <c r="F1489" i="3"/>
  <c r="E1489" i="3"/>
  <c r="T1489" i="3" s="1"/>
  <c r="U1488" i="3"/>
  <c r="R1488" i="3"/>
  <c r="Q1488" i="3"/>
  <c r="P1488" i="3"/>
  <c r="L1488" i="3"/>
  <c r="H1488" i="3"/>
  <c r="G1488" i="3"/>
  <c r="F1488" i="3"/>
  <c r="E1488" i="3"/>
  <c r="T1488" i="3" s="1"/>
  <c r="U1487" i="3"/>
  <c r="R1487" i="3"/>
  <c r="Q1487" i="3"/>
  <c r="P1487" i="3"/>
  <c r="L1487" i="3"/>
  <c r="H1487" i="3"/>
  <c r="G1487" i="3"/>
  <c r="F1487" i="3"/>
  <c r="E1487" i="3"/>
  <c r="T1487" i="3" s="1"/>
  <c r="U1486" i="3"/>
  <c r="R1486" i="3"/>
  <c r="Q1486" i="3"/>
  <c r="P1486" i="3"/>
  <c r="L1486" i="3"/>
  <c r="H1486" i="3"/>
  <c r="G1486" i="3"/>
  <c r="F1486" i="3"/>
  <c r="E1486" i="3"/>
  <c r="T1486" i="3" s="1"/>
  <c r="U1485" i="3"/>
  <c r="R1485" i="3"/>
  <c r="Q1485" i="3"/>
  <c r="P1485" i="3"/>
  <c r="L1485" i="3"/>
  <c r="H1485" i="3"/>
  <c r="G1485" i="3"/>
  <c r="F1485" i="3"/>
  <c r="E1485" i="3"/>
  <c r="T1485" i="3" s="1"/>
  <c r="U1484" i="3"/>
  <c r="R1484" i="3"/>
  <c r="Q1484" i="3"/>
  <c r="P1484" i="3"/>
  <c r="L1484" i="3"/>
  <c r="H1484" i="3"/>
  <c r="G1484" i="3"/>
  <c r="F1484" i="3"/>
  <c r="E1484" i="3"/>
  <c r="T1484" i="3" s="1"/>
  <c r="U1483" i="3"/>
  <c r="R1483" i="3"/>
  <c r="Q1483" i="3"/>
  <c r="P1483" i="3"/>
  <c r="L1483" i="3"/>
  <c r="H1483" i="3"/>
  <c r="G1483" i="3"/>
  <c r="F1483" i="3"/>
  <c r="E1483" i="3"/>
  <c r="T1483" i="3" s="1"/>
  <c r="U1482" i="3"/>
  <c r="R1482" i="3"/>
  <c r="Q1482" i="3"/>
  <c r="P1482" i="3"/>
  <c r="L1482" i="3"/>
  <c r="H1482" i="3"/>
  <c r="G1482" i="3"/>
  <c r="F1482" i="3"/>
  <c r="E1482" i="3"/>
  <c r="T1482" i="3" s="1"/>
  <c r="U1481" i="3"/>
  <c r="R1481" i="3"/>
  <c r="Q1481" i="3"/>
  <c r="P1481" i="3"/>
  <c r="L1481" i="3"/>
  <c r="H1481" i="3"/>
  <c r="G1481" i="3"/>
  <c r="F1481" i="3"/>
  <c r="E1481" i="3"/>
  <c r="T1481" i="3" s="1"/>
  <c r="U1480" i="3"/>
  <c r="R1480" i="3"/>
  <c r="Q1480" i="3"/>
  <c r="P1480" i="3"/>
  <c r="L1480" i="3"/>
  <c r="H1480" i="3"/>
  <c r="G1480" i="3"/>
  <c r="F1480" i="3"/>
  <c r="E1480" i="3"/>
  <c r="T1480" i="3" s="1"/>
  <c r="U1479" i="3"/>
  <c r="R1479" i="3"/>
  <c r="Q1479" i="3"/>
  <c r="P1479" i="3"/>
  <c r="L1479" i="3"/>
  <c r="H1479" i="3"/>
  <c r="G1479" i="3"/>
  <c r="F1479" i="3"/>
  <c r="E1479" i="3"/>
  <c r="T1479" i="3" s="1"/>
  <c r="U1478" i="3"/>
  <c r="R1478" i="3"/>
  <c r="Q1478" i="3"/>
  <c r="P1478" i="3"/>
  <c r="L1478" i="3"/>
  <c r="H1478" i="3"/>
  <c r="G1478" i="3"/>
  <c r="F1478" i="3"/>
  <c r="E1478" i="3"/>
  <c r="T1478" i="3" s="1"/>
  <c r="U1477" i="3"/>
  <c r="R1477" i="3"/>
  <c r="Q1477" i="3"/>
  <c r="P1477" i="3"/>
  <c r="L1477" i="3"/>
  <c r="H1477" i="3"/>
  <c r="G1477" i="3"/>
  <c r="F1477" i="3"/>
  <c r="E1477" i="3"/>
  <c r="T1477" i="3" s="1"/>
  <c r="U1476" i="3"/>
  <c r="R1476" i="3"/>
  <c r="Q1476" i="3"/>
  <c r="P1476" i="3"/>
  <c r="L1476" i="3"/>
  <c r="H1476" i="3"/>
  <c r="G1476" i="3"/>
  <c r="F1476" i="3"/>
  <c r="E1476" i="3"/>
  <c r="T1476" i="3" s="1"/>
  <c r="U1475" i="3"/>
  <c r="R1475" i="3"/>
  <c r="Q1475" i="3"/>
  <c r="P1475" i="3"/>
  <c r="L1475" i="3"/>
  <c r="H1475" i="3"/>
  <c r="G1475" i="3"/>
  <c r="F1475" i="3"/>
  <c r="E1475" i="3"/>
  <c r="T1475" i="3" s="1"/>
  <c r="U1474" i="3"/>
  <c r="R1474" i="3"/>
  <c r="Q1474" i="3"/>
  <c r="P1474" i="3"/>
  <c r="L1474" i="3"/>
  <c r="H1474" i="3"/>
  <c r="G1474" i="3"/>
  <c r="F1474" i="3"/>
  <c r="E1474" i="3"/>
  <c r="T1474" i="3" s="1"/>
  <c r="U1473" i="3"/>
  <c r="R1473" i="3"/>
  <c r="Q1473" i="3"/>
  <c r="P1473" i="3"/>
  <c r="L1473" i="3"/>
  <c r="H1473" i="3"/>
  <c r="G1473" i="3"/>
  <c r="F1473" i="3"/>
  <c r="E1473" i="3"/>
  <c r="T1473" i="3" s="1"/>
  <c r="U1472" i="3"/>
  <c r="R1472" i="3"/>
  <c r="Q1472" i="3"/>
  <c r="P1472" i="3"/>
  <c r="L1472" i="3"/>
  <c r="H1472" i="3"/>
  <c r="G1472" i="3"/>
  <c r="F1472" i="3"/>
  <c r="E1472" i="3"/>
  <c r="T1472" i="3" s="1"/>
  <c r="U1471" i="3"/>
  <c r="R1471" i="3"/>
  <c r="Q1471" i="3"/>
  <c r="P1471" i="3"/>
  <c r="L1471" i="3"/>
  <c r="H1471" i="3"/>
  <c r="G1471" i="3"/>
  <c r="F1471" i="3"/>
  <c r="E1471" i="3"/>
  <c r="T1471" i="3" s="1"/>
  <c r="U1470" i="3"/>
  <c r="R1470" i="3"/>
  <c r="Q1470" i="3"/>
  <c r="P1470" i="3"/>
  <c r="L1470" i="3"/>
  <c r="H1470" i="3"/>
  <c r="G1470" i="3"/>
  <c r="F1470" i="3"/>
  <c r="E1470" i="3"/>
  <c r="T1470" i="3" s="1"/>
  <c r="U1469" i="3"/>
  <c r="R1469" i="3"/>
  <c r="Q1469" i="3"/>
  <c r="P1469" i="3"/>
  <c r="L1469" i="3"/>
  <c r="H1469" i="3"/>
  <c r="G1469" i="3"/>
  <c r="F1469" i="3"/>
  <c r="E1469" i="3"/>
  <c r="T1469" i="3" s="1"/>
  <c r="U1468" i="3"/>
  <c r="R1468" i="3"/>
  <c r="Q1468" i="3"/>
  <c r="P1468" i="3"/>
  <c r="L1468" i="3"/>
  <c r="H1468" i="3"/>
  <c r="G1468" i="3"/>
  <c r="F1468" i="3"/>
  <c r="E1468" i="3"/>
  <c r="T1468" i="3" s="1"/>
  <c r="U1467" i="3"/>
  <c r="R1467" i="3"/>
  <c r="Q1467" i="3"/>
  <c r="P1467" i="3"/>
  <c r="L1467" i="3"/>
  <c r="H1467" i="3"/>
  <c r="G1467" i="3"/>
  <c r="F1467" i="3"/>
  <c r="E1467" i="3"/>
  <c r="T1467" i="3" s="1"/>
  <c r="U1466" i="3"/>
  <c r="R1466" i="3"/>
  <c r="Q1466" i="3"/>
  <c r="P1466" i="3"/>
  <c r="L1466" i="3"/>
  <c r="H1466" i="3"/>
  <c r="G1466" i="3"/>
  <c r="F1466" i="3"/>
  <c r="E1466" i="3"/>
  <c r="T1466" i="3" s="1"/>
  <c r="U1465" i="3"/>
  <c r="R1465" i="3"/>
  <c r="Q1465" i="3"/>
  <c r="P1465" i="3"/>
  <c r="L1465" i="3"/>
  <c r="H1465" i="3"/>
  <c r="G1465" i="3"/>
  <c r="F1465" i="3"/>
  <c r="E1465" i="3"/>
  <c r="T1465" i="3" s="1"/>
  <c r="U1464" i="3"/>
  <c r="R1464" i="3"/>
  <c r="Q1464" i="3"/>
  <c r="P1464" i="3"/>
  <c r="L1464" i="3"/>
  <c r="H1464" i="3"/>
  <c r="G1464" i="3"/>
  <c r="F1464" i="3"/>
  <c r="E1464" i="3"/>
  <c r="T1464" i="3" s="1"/>
  <c r="U1463" i="3"/>
  <c r="R1463" i="3"/>
  <c r="Q1463" i="3"/>
  <c r="P1463" i="3"/>
  <c r="L1463" i="3"/>
  <c r="H1463" i="3"/>
  <c r="G1463" i="3"/>
  <c r="F1463" i="3"/>
  <c r="E1463" i="3"/>
  <c r="T1463" i="3" s="1"/>
  <c r="U1462" i="3"/>
  <c r="R1462" i="3"/>
  <c r="Q1462" i="3"/>
  <c r="P1462" i="3"/>
  <c r="L1462" i="3"/>
  <c r="H1462" i="3"/>
  <c r="G1462" i="3"/>
  <c r="F1462" i="3"/>
  <c r="E1462" i="3"/>
  <c r="T1462" i="3" s="1"/>
  <c r="U1461" i="3"/>
  <c r="R1461" i="3"/>
  <c r="Q1461" i="3"/>
  <c r="P1461" i="3"/>
  <c r="L1461" i="3"/>
  <c r="H1461" i="3"/>
  <c r="G1461" i="3"/>
  <c r="F1461" i="3"/>
  <c r="E1461" i="3"/>
  <c r="T1461" i="3" s="1"/>
  <c r="U1460" i="3"/>
  <c r="R1460" i="3"/>
  <c r="Q1460" i="3"/>
  <c r="P1460" i="3"/>
  <c r="L1460" i="3"/>
  <c r="H1460" i="3"/>
  <c r="G1460" i="3"/>
  <c r="F1460" i="3"/>
  <c r="E1460" i="3"/>
  <c r="T1460" i="3" s="1"/>
  <c r="U1459" i="3"/>
  <c r="R1459" i="3"/>
  <c r="Q1459" i="3"/>
  <c r="P1459" i="3"/>
  <c r="L1459" i="3"/>
  <c r="H1459" i="3"/>
  <c r="G1459" i="3"/>
  <c r="F1459" i="3"/>
  <c r="E1459" i="3"/>
  <c r="T1459" i="3" s="1"/>
  <c r="U1458" i="3"/>
  <c r="R1458" i="3"/>
  <c r="Q1458" i="3"/>
  <c r="P1458" i="3"/>
  <c r="L1458" i="3"/>
  <c r="H1458" i="3"/>
  <c r="G1458" i="3"/>
  <c r="F1458" i="3"/>
  <c r="E1458" i="3"/>
  <c r="T1458" i="3" s="1"/>
  <c r="U1457" i="3"/>
  <c r="R1457" i="3"/>
  <c r="Q1457" i="3"/>
  <c r="P1457" i="3"/>
  <c r="L1457" i="3"/>
  <c r="H1457" i="3"/>
  <c r="G1457" i="3"/>
  <c r="F1457" i="3"/>
  <c r="E1457" i="3"/>
  <c r="T1457" i="3" s="1"/>
  <c r="U1456" i="3"/>
  <c r="R1456" i="3"/>
  <c r="Q1456" i="3"/>
  <c r="P1456" i="3"/>
  <c r="L1456" i="3"/>
  <c r="H1456" i="3"/>
  <c r="G1456" i="3"/>
  <c r="F1456" i="3"/>
  <c r="E1456" i="3"/>
  <c r="T1456" i="3" s="1"/>
  <c r="U1455" i="3"/>
  <c r="R1455" i="3"/>
  <c r="Q1455" i="3"/>
  <c r="P1455" i="3"/>
  <c r="L1455" i="3"/>
  <c r="H1455" i="3"/>
  <c r="G1455" i="3"/>
  <c r="F1455" i="3"/>
  <c r="E1455" i="3"/>
  <c r="T1455" i="3" s="1"/>
  <c r="U1454" i="3"/>
  <c r="R1454" i="3"/>
  <c r="Q1454" i="3"/>
  <c r="P1454" i="3"/>
  <c r="L1454" i="3"/>
  <c r="H1454" i="3"/>
  <c r="G1454" i="3"/>
  <c r="F1454" i="3"/>
  <c r="E1454" i="3"/>
  <c r="T1454" i="3" s="1"/>
  <c r="U1453" i="3"/>
  <c r="R1453" i="3"/>
  <c r="Q1453" i="3"/>
  <c r="P1453" i="3"/>
  <c r="L1453" i="3"/>
  <c r="H1453" i="3"/>
  <c r="G1453" i="3"/>
  <c r="F1453" i="3"/>
  <c r="E1453" i="3"/>
  <c r="T1453" i="3" s="1"/>
  <c r="U1452" i="3"/>
  <c r="R1452" i="3"/>
  <c r="Q1452" i="3"/>
  <c r="P1452" i="3"/>
  <c r="L1452" i="3"/>
  <c r="H1452" i="3"/>
  <c r="G1452" i="3"/>
  <c r="F1452" i="3"/>
  <c r="E1452" i="3"/>
  <c r="T1452" i="3" s="1"/>
  <c r="U1451" i="3"/>
  <c r="R1451" i="3"/>
  <c r="Q1451" i="3"/>
  <c r="P1451" i="3"/>
  <c r="L1451" i="3"/>
  <c r="H1451" i="3"/>
  <c r="G1451" i="3"/>
  <c r="F1451" i="3"/>
  <c r="E1451" i="3"/>
  <c r="T1451" i="3" s="1"/>
  <c r="U1450" i="3"/>
  <c r="T1450" i="3"/>
  <c r="R1450" i="3"/>
  <c r="Q1450" i="3"/>
  <c r="P1450" i="3"/>
  <c r="L1450" i="3"/>
  <c r="H1450" i="3"/>
  <c r="G1450" i="3"/>
  <c r="F1450" i="3"/>
  <c r="E1450" i="3"/>
  <c r="U1449" i="3"/>
  <c r="R1449" i="3"/>
  <c r="Q1449" i="3"/>
  <c r="P1449" i="3"/>
  <c r="L1449" i="3"/>
  <c r="H1449" i="3"/>
  <c r="G1449" i="3"/>
  <c r="F1449" i="3"/>
  <c r="E1449" i="3"/>
  <c r="T1449" i="3" s="1"/>
  <c r="U1448" i="3"/>
  <c r="R1448" i="3"/>
  <c r="Q1448" i="3"/>
  <c r="P1448" i="3"/>
  <c r="L1448" i="3"/>
  <c r="H1448" i="3"/>
  <c r="G1448" i="3"/>
  <c r="F1448" i="3"/>
  <c r="E1448" i="3"/>
  <c r="T1448" i="3" s="1"/>
  <c r="U1447" i="3"/>
  <c r="R1447" i="3"/>
  <c r="Q1447" i="3"/>
  <c r="P1447" i="3"/>
  <c r="L1447" i="3"/>
  <c r="H1447" i="3"/>
  <c r="G1447" i="3"/>
  <c r="F1447" i="3"/>
  <c r="E1447" i="3"/>
  <c r="T1447" i="3" s="1"/>
  <c r="U1446" i="3"/>
  <c r="R1446" i="3"/>
  <c r="Q1446" i="3"/>
  <c r="P1446" i="3"/>
  <c r="L1446" i="3"/>
  <c r="H1446" i="3"/>
  <c r="G1446" i="3"/>
  <c r="F1446" i="3"/>
  <c r="E1446" i="3"/>
  <c r="T1446" i="3" s="1"/>
  <c r="U1445" i="3"/>
  <c r="R1445" i="3"/>
  <c r="Q1445" i="3"/>
  <c r="P1445" i="3"/>
  <c r="L1445" i="3"/>
  <c r="H1445" i="3"/>
  <c r="G1445" i="3"/>
  <c r="F1445" i="3"/>
  <c r="E1445" i="3"/>
  <c r="T1445" i="3" s="1"/>
  <c r="U1444" i="3"/>
  <c r="R1444" i="3"/>
  <c r="Q1444" i="3"/>
  <c r="P1444" i="3"/>
  <c r="L1444" i="3"/>
  <c r="H1444" i="3"/>
  <c r="G1444" i="3"/>
  <c r="F1444" i="3"/>
  <c r="E1444" i="3"/>
  <c r="T1444" i="3" s="1"/>
  <c r="U1443" i="3"/>
  <c r="R1443" i="3"/>
  <c r="Q1443" i="3"/>
  <c r="P1443" i="3"/>
  <c r="L1443" i="3"/>
  <c r="H1443" i="3"/>
  <c r="G1443" i="3"/>
  <c r="F1443" i="3"/>
  <c r="E1443" i="3"/>
  <c r="T1443" i="3" s="1"/>
  <c r="U1442" i="3"/>
  <c r="R1442" i="3"/>
  <c r="Q1442" i="3"/>
  <c r="P1442" i="3"/>
  <c r="L1442" i="3"/>
  <c r="H1442" i="3"/>
  <c r="G1442" i="3"/>
  <c r="F1442" i="3"/>
  <c r="E1442" i="3"/>
  <c r="T1442" i="3" s="1"/>
  <c r="U1441" i="3"/>
  <c r="V1441" i="3" s="1"/>
  <c r="T1441" i="3"/>
  <c r="R1441" i="3"/>
  <c r="S1441" i="3" s="1"/>
  <c r="Q1441" i="3"/>
  <c r="P1441" i="3"/>
  <c r="L1441" i="3"/>
  <c r="H1441" i="3"/>
  <c r="G1441" i="3"/>
  <c r="F1441" i="3"/>
  <c r="E1441" i="3"/>
  <c r="U1440" i="3"/>
  <c r="R1440" i="3"/>
  <c r="Q1440" i="3"/>
  <c r="P1440" i="3"/>
  <c r="L1440" i="3"/>
  <c r="H1440" i="3"/>
  <c r="G1440" i="3"/>
  <c r="F1440" i="3"/>
  <c r="E1440" i="3"/>
  <c r="T1440" i="3" s="1"/>
  <c r="U1439" i="3"/>
  <c r="R1439" i="3"/>
  <c r="Q1439" i="3"/>
  <c r="P1439" i="3"/>
  <c r="L1439" i="3"/>
  <c r="H1439" i="3"/>
  <c r="G1439" i="3"/>
  <c r="F1439" i="3"/>
  <c r="E1439" i="3"/>
  <c r="T1439" i="3" s="1"/>
  <c r="U1438" i="3"/>
  <c r="R1438" i="3"/>
  <c r="Q1438" i="3"/>
  <c r="P1438" i="3"/>
  <c r="L1438" i="3"/>
  <c r="H1438" i="3"/>
  <c r="G1438" i="3"/>
  <c r="F1438" i="3"/>
  <c r="E1438" i="3"/>
  <c r="T1438" i="3" s="1"/>
  <c r="U1437" i="3"/>
  <c r="R1437" i="3"/>
  <c r="Q1437" i="3"/>
  <c r="P1437" i="3"/>
  <c r="L1437" i="3"/>
  <c r="H1437" i="3"/>
  <c r="G1437" i="3"/>
  <c r="F1437" i="3"/>
  <c r="E1437" i="3"/>
  <c r="T1437" i="3" s="1"/>
  <c r="U1436" i="3"/>
  <c r="R1436" i="3"/>
  <c r="Q1436" i="3"/>
  <c r="P1436" i="3"/>
  <c r="L1436" i="3"/>
  <c r="H1436" i="3"/>
  <c r="G1436" i="3"/>
  <c r="F1436" i="3"/>
  <c r="E1436" i="3"/>
  <c r="T1436" i="3" s="1"/>
  <c r="U1435" i="3"/>
  <c r="R1435" i="3"/>
  <c r="Q1435" i="3"/>
  <c r="P1435" i="3"/>
  <c r="L1435" i="3"/>
  <c r="H1435" i="3"/>
  <c r="G1435" i="3"/>
  <c r="F1435" i="3"/>
  <c r="E1435" i="3"/>
  <c r="T1435" i="3" s="1"/>
  <c r="U1434" i="3"/>
  <c r="R1434" i="3"/>
  <c r="Q1434" i="3"/>
  <c r="P1434" i="3"/>
  <c r="L1434" i="3"/>
  <c r="H1434" i="3"/>
  <c r="G1434" i="3"/>
  <c r="F1434" i="3"/>
  <c r="E1434" i="3"/>
  <c r="T1434" i="3" s="1"/>
  <c r="U1433" i="3"/>
  <c r="R1433" i="3"/>
  <c r="Q1433" i="3"/>
  <c r="P1433" i="3"/>
  <c r="L1433" i="3"/>
  <c r="H1433" i="3"/>
  <c r="G1433" i="3"/>
  <c r="F1433" i="3"/>
  <c r="E1433" i="3"/>
  <c r="T1433" i="3" s="1"/>
  <c r="U1432" i="3"/>
  <c r="R1432" i="3"/>
  <c r="Q1432" i="3"/>
  <c r="P1432" i="3"/>
  <c r="L1432" i="3"/>
  <c r="H1432" i="3"/>
  <c r="G1432" i="3"/>
  <c r="F1432" i="3"/>
  <c r="E1432" i="3"/>
  <c r="T1432" i="3" s="1"/>
  <c r="U1431" i="3"/>
  <c r="R1431" i="3"/>
  <c r="Q1431" i="3"/>
  <c r="P1431" i="3"/>
  <c r="L1431" i="3"/>
  <c r="H1431" i="3"/>
  <c r="G1431" i="3"/>
  <c r="F1431" i="3"/>
  <c r="E1431" i="3"/>
  <c r="T1431" i="3" s="1"/>
  <c r="U1430" i="3"/>
  <c r="R1430" i="3"/>
  <c r="Q1430" i="3"/>
  <c r="P1430" i="3"/>
  <c r="L1430" i="3"/>
  <c r="H1430" i="3"/>
  <c r="G1430" i="3"/>
  <c r="F1430" i="3"/>
  <c r="E1430" i="3"/>
  <c r="T1430" i="3" s="1"/>
  <c r="U1429" i="3"/>
  <c r="R1429" i="3"/>
  <c r="Q1429" i="3"/>
  <c r="P1429" i="3"/>
  <c r="L1429" i="3"/>
  <c r="H1429" i="3"/>
  <c r="G1429" i="3"/>
  <c r="F1429" i="3"/>
  <c r="E1429" i="3"/>
  <c r="T1429" i="3" s="1"/>
  <c r="U1428" i="3"/>
  <c r="R1428" i="3"/>
  <c r="Q1428" i="3"/>
  <c r="P1428" i="3"/>
  <c r="L1428" i="3"/>
  <c r="H1428" i="3"/>
  <c r="G1428" i="3"/>
  <c r="F1428" i="3"/>
  <c r="E1428" i="3"/>
  <c r="T1428" i="3" s="1"/>
  <c r="U1427" i="3"/>
  <c r="R1427" i="3"/>
  <c r="Q1427" i="3"/>
  <c r="P1427" i="3"/>
  <c r="L1427" i="3"/>
  <c r="H1427" i="3"/>
  <c r="G1427" i="3"/>
  <c r="F1427" i="3"/>
  <c r="E1427" i="3"/>
  <c r="T1427" i="3" s="1"/>
  <c r="U1426" i="3"/>
  <c r="R1426" i="3"/>
  <c r="Q1426" i="3"/>
  <c r="P1426" i="3"/>
  <c r="L1426" i="3"/>
  <c r="H1426" i="3"/>
  <c r="G1426" i="3"/>
  <c r="F1426" i="3"/>
  <c r="E1426" i="3"/>
  <c r="T1426" i="3" s="1"/>
  <c r="U1425" i="3"/>
  <c r="R1425" i="3"/>
  <c r="Q1425" i="3"/>
  <c r="P1425" i="3"/>
  <c r="L1425" i="3"/>
  <c r="H1425" i="3"/>
  <c r="G1425" i="3"/>
  <c r="F1425" i="3"/>
  <c r="E1425" i="3"/>
  <c r="T1425" i="3" s="1"/>
  <c r="U1424" i="3"/>
  <c r="R1424" i="3"/>
  <c r="Q1424" i="3"/>
  <c r="P1424" i="3"/>
  <c r="L1424" i="3"/>
  <c r="H1424" i="3"/>
  <c r="G1424" i="3"/>
  <c r="F1424" i="3"/>
  <c r="E1424" i="3"/>
  <c r="T1424" i="3" s="1"/>
  <c r="U1423" i="3"/>
  <c r="R1423" i="3"/>
  <c r="Q1423" i="3"/>
  <c r="P1423" i="3"/>
  <c r="L1423" i="3"/>
  <c r="H1423" i="3"/>
  <c r="G1423" i="3"/>
  <c r="F1423" i="3"/>
  <c r="E1423" i="3"/>
  <c r="T1423" i="3" s="1"/>
  <c r="U1422" i="3"/>
  <c r="R1422" i="3"/>
  <c r="Q1422" i="3"/>
  <c r="P1422" i="3"/>
  <c r="L1422" i="3"/>
  <c r="H1422" i="3"/>
  <c r="G1422" i="3"/>
  <c r="F1422" i="3"/>
  <c r="E1422" i="3"/>
  <c r="T1422" i="3" s="1"/>
  <c r="U1421" i="3"/>
  <c r="R1421" i="3"/>
  <c r="Q1421" i="3"/>
  <c r="P1421" i="3"/>
  <c r="L1421" i="3"/>
  <c r="H1421" i="3"/>
  <c r="G1421" i="3"/>
  <c r="F1421" i="3"/>
  <c r="E1421" i="3"/>
  <c r="T1421" i="3" s="1"/>
  <c r="U1420" i="3"/>
  <c r="R1420" i="3"/>
  <c r="Q1420" i="3"/>
  <c r="P1420" i="3"/>
  <c r="L1420" i="3"/>
  <c r="H1420" i="3"/>
  <c r="G1420" i="3"/>
  <c r="F1420" i="3"/>
  <c r="E1420" i="3"/>
  <c r="T1420" i="3" s="1"/>
  <c r="U1419" i="3"/>
  <c r="R1419" i="3"/>
  <c r="Q1419" i="3"/>
  <c r="P1419" i="3"/>
  <c r="L1419" i="3"/>
  <c r="H1419" i="3"/>
  <c r="G1419" i="3"/>
  <c r="F1419" i="3"/>
  <c r="E1419" i="3"/>
  <c r="T1419" i="3" s="1"/>
  <c r="U1418" i="3"/>
  <c r="R1418" i="3"/>
  <c r="Q1418" i="3"/>
  <c r="P1418" i="3"/>
  <c r="L1418" i="3"/>
  <c r="H1418" i="3"/>
  <c r="G1418" i="3"/>
  <c r="F1418" i="3"/>
  <c r="E1418" i="3"/>
  <c r="T1418" i="3" s="1"/>
  <c r="U1417" i="3"/>
  <c r="R1417" i="3"/>
  <c r="Q1417" i="3"/>
  <c r="P1417" i="3"/>
  <c r="L1417" i="3"/>
  <c r="H1417" i="3"/>
  <c r="G1417" i="3"/>
  <c r="F1417" i="3"/>
  <c r="E1417" i="3"/>
  <c r="T1417" i="3" s="1"/>
  <c r="U1416" i="3"/>
  <c r="R1416" i="3"/>
  <c r="Q1416" i="3"/>
  <c r="P1416" i="3"/>
  <c r="L1416" i="3"/>
  <c r="H1416" i="3"/>
  <c r="G1416" i="3"/>
  <c r="F1416" i="3"/>
  <c r="E1416" i="3"/>
  <c r="T1416" i="3" s="1"/>
  <c r="U1415" i="3"/>
  <c r="R1415" i="3"/>
  <c r="Q1415" i="3"/>
  <c r="P1415" i="3"/>
  <c r="L1415" i="3"/>
  <c r="H1415" i="3"/>
  <c r="G1415" i="3"/>
  <c r="F1415" i="3"/>
  <c r="E1415" i="3"/>
  <c r="T1415" i="3" s="1"/>
  <c r="U1414" i="3"/>
  <c r="R1414" i="3"/>
  <c r="Q1414" i="3"/>
  <c r="P1414" i="3"/>
  <c r="L1414" i="3"/>
  <c r="H1414" i="3"/>
  <c r="G1414" i="3"/>
  <c r="F1414" i="3"/>
  <c r="E1414" i="3"/>
  <c r="T1414" i="3" s="1"/>
  <c r="U1413" i="3"/>
  <c r="R1413" i="3"/>
  <c r="Q1413" i="3"/>
  <c r="P1413" i="3"/>
  <c r="L1413" i="3"/>
  <c r="H1413" i="3"/>
  <c r="G1413" i="3"/>
  <c r="F1413" i="3"/>
  <c r="E1413" i="3"/>
  <c r="T1413" i="3" s="1"/>
  <c r="U1412" i="3"/>
  <c r="R1412" i="3"/>
  <c r="Q1412" i="3"/>
  <c r="P1412" i="3"/>
  <c r="L1412" i="3"/>
  <c r="H1412" i="3"/>
  <c r="G1412" i="3"/>
  <c r="F1412" i="3"/>
  <c r="E1412" i="3"/>
  <c r="T1412" i="3" s="1"/>
  <c r="U1411" i="3"/>
  <c r="R1411" i="3"/>
  <c r="Q1411" i="3"/>
  <c r="P1411" i="3"/>
  <c r="L1411" i="3"/>
  <c r="H1411" i="3"/>
  <c r="G1411" i="3"/>
  <c r="F1411" i="3"/>
  <c r="E1411" i="3"/>
  <c r="T1411" i="3" s="1"/>
  <c r="U1410" i="3"/>
  <c r="R1410" i="3"/>
  <c r="Q1410" i="3"/>
  <c r="P1410" i="3"/>
  <c r="L1410" i="3"/>
  <c r="H1410" i="3"/>
  <c r="G1410" i="3"/>
  <c r="F1410" i="3"/>
  <c r="E1410" i="3"/>
  <c r="T1410" i="3" s="1"/>
  <c r="U1409" i="3"/>
  <c r="R1409" i="3"/>
  <c r="Q1409" i="3"/>
  <c r="P1409" i="3"/>
  <c r="L1409" i="3"/>
  <c r="H1409" i="3"/>
  <c r="G1409" i="3"/>
  <c r="F1409" i="3"/>
  <c r="E1409" i="3"/>
  <c r="T1409" i="3" s="1"/>
  <c r="U1408" i="3"/>
  <c r="R1408" i="3"/>
  <c r="Q1408" i="3"/>
  <c r="P1408" i="3"/>
  <c r="L1408" i="3"/>
  <c r="H1408" i="3"/>
  <c r="G1408" i="3"/>
  <c r="F1408" i="3"/>
  <c r="E1408" i="3"/>
  <c r="T1408" i="3" s="1"/>
  <c r="U1407" i="3"/>
  <c r="R1407" i="3"/>
  <c r="Q1407" i="3"/>
  <c r="P1407" i="3"/>
  <c r="L1407" i="3"/>
  <c r="H1407" i="3"/>
  <c r="G1407" i="3"/>
  <c r="F1407" i="3"/>
  <c r="E1407" i="3"/>
  <c r="T1407" i="3" s="1"/>
  <c r="U1406" i="3"/>
  <c r="R1406" i="3"/>
  <c r="Q1406" i="3"/>
  <c r="P1406" i="3"/>
  <c r="L1406" i="3"/>
  <c r="H1406" i="3"/>
  <c r="G1406" i="3"/>
  <c r="F1406" i="3"/>
  <c r="E1406" i="3"/>
  <c r="T1406" i="3" s="1"/>
  <c r="U1405" i="3"/>
  <c r="R1405" i="3"/>
  <c r="Q1405" i="3"/>
  <c r="P1405" i="3"/>
  <c r="L1405" i="3"/>
  <c r="H1405" i="3"/>
  <c r="G1405" i="3"/>
  <c r="F1405" i="3"/>
  <c r="E1405" i="3"/>
  <c r="T1405" i="3" s="1"/>
  <c r="U1404" i="3"/>
  <c r="R1404" i="3"/>
  <c r="Q1404" i="3"/>
  <c r="P1404" i="3"/>
  <c r="L1404" i="3"/>
  <c r="H1404" i="3"/>
  <c r="G1404" i="3"/>
  <c r="F1404" i="3"/>
  <c r="E1404" i="3"/>
  <c r="T1404" i="3" s="1"/>
  <c r="U1403" i="3"/>
  <c r="R1403" i="3"/>
  <c r="Q1403" i="3"/>
  <c r="P1403" i="3"/>
  <c r="L1403" i="3"/>
  <c r="H1403" i="3"/>
  <c r="G1403" i="3"/>
  <c r="F1403" i="3"/>
  <c r="E1403" i="3"/>
  <c r="T1403" i="3" s="1"/>
  <c r="U1402" i="3"/>
  <c r="R1402" i="3"/>
  <c r="Q1402" i="3"/>
  <c r="P1402" i="3"/>
  <c r="L1402" i="3"/>
  <c r="H1402" i="3"/>
  <c r="G1402" i="3"/>
  <c r="F1402" i="3"/>
  <c r="E1402" i="3"/>
  <c r="T1402" i="3" s="1"/>
  <c r="U1401" i="3"/>
  <c r="R1401" i="3"/>
  <c r="Q1401" i="3"/>
  <c r="P1401" i="3"/>
  <c r="L1401" i="3"/>
  <c r="H1401" i="3"/>
  <c r="G1401" i="3"/>
  <c r="F1401" i="3"/>
  <c r="E1401" i="3"/>
  <c r="T1401" i="3" s="1"/>
  <c r="U1400" i="3"/>
  <c r="R1400" i="3"/>
  <c r="Q1400" i="3"/>
  <c r="P1400" i="3"/>
  <c r="L1400" i="3"/>
  <c r="H1400" i="3"/>
  <c r="G1400" i="3"/>
  <c r="F1400" i="3"/>
  <c r="E1400" i="3"/>
  <c r="T1400" i="3" s="1"/>
  <c r="U1399" i="3"/>
  <c r="R1399" i="3"/>
  <c r="Q1399" i="3"/>
  <c r="P1399" i="3"/>
  <c r="L1399" i="3"/>
  <c r="H1399" i="3"/>
  <c r="G1399" i="3"/>
  <c r="F1399" i="3"/>
  <c r="E1399" i="3"/>
  <c r="T1399" i="3" s="1"/>
  <c r="U1398" i="3"/>
  <c r="R1398" i="3"/>
  <c r="Q1398" i="3"/>
  <c r="P1398" i="3"/>
  <c r="L1398" i="3"/>
  <c r="H1398" i="3"/>
  <c r="G1398" i="3"/>
  <c r="F1398" i="3"/>
  <c r="E1398" i="3"/>
  <c r="T1398" i="3" s="1"/>
  <c r="U1397" i="3"/>
  <c r="R1397" i="3"/>
  <c r="Q1397" i="3"/>
  <c r="P1397" i="3"/>
  <c r="L1397" i="3"/>
  <c r="H1397" i="3"/>
  <c r="G1397" i="3"/>
  <c r="F1397" i="3"/>
  <c r="E1397" i="3"/>
  <c r="T1397" i="3" s="1"/>
  <c r="U1396" i="3"/>
  <c r="R1396" i="3"/>
  <c r="Q1396" i="3"/>
  <c r="P1396" i="3"/>
  <c r="L1396" i="3"/>
  <c r="H1396" i="3"/>
  <c r="G1396" i="3"/>
  <c r="F1396" i="3"/>
  <c r="E1396" i="3"/>
  <c r="T1396" i="3" s="1"/>
  <c r="U1395" i="3"/>
  <c r="R1395" i="3"/>
  <c r="Q1395" i="3"/>
  <c r="P1395" i="3"/>
  <c r="L1395" i="3"/>
  <c r="H1395" i="3"/>
  <c r="G1395" i="3"/>
  <c r="F1395" i="3"/>
  <c r="E1395" i="3"/>
  <c r="T1395" i="3" s="1"/>
  <c r="U1394" i="3"/>
  <c r="R1394" i="3"/>
  <c r="Q1394" i="3"/>
  <c r="P1394" i="3"/>
  <c r="L1394" i="3"/>
  <c r="H1394" i="3"/>
  <c r="G1394" i="3"/>
  <c r="F1394" i="3"/>
  <c r="E1394" i="3"/>
  <c r="T1394" i="3" s="1"/>
  <c r="U1393" i="3"/>
  <c r="R1393" i="3"/>
  <c r="Q1393" i="3"/>
  <c r="P1393" i="3"/>
  <c r="L1393" i="3"/>
  <c r="H1393" i="3"/>
  <c r="G1393" i="3"/>
  <c r="F1393" i="3"/>
  <c r="E1393" i="3"/>
  <c r="T1393" i="3" s="1"/>
  <c r="U1392" i="3"/>
  <c r="R1392" i="3"/>
  <c r="Q1392" i="3"/>
  <c r="P1392" i="3"/>
  <c r="L1392" i="3"/>
  <c r="H1392" i="3"/>
  <c r="G1392" i="3"/>
  <c r="F1392" i="3"/>
  <c r="E1392" i="3"/>
  <c r="T1392" i="3" s="1"/>
  <c r="U1391" i="3"/>
  <c r="R1391" i="3"/>
  <c r="Q1391" i="3"/>
  <c r="P1391" i="3"/>
  <c r="L1391" i="3"/>
  <c r="H1391" i="3"/>
  <c r="G1391" i="3"/>
  <c r="F1391" i="3"/>
  <c r="E1391" i="3"/>
  <c r="T1391" i="3" s="1"/>
  <c r="U1390" i="3"/>
  <c r="R1390" i="3"/>
  <c r="Q1390" i="3"/>
  <c r="P1390" i="3"/>
  <c r="L1390" i="3"/>
  <c r="H1390" i="3"/>
  <c r="G1390" i="3"/>
  <c r="F1390" i="3"/>
  <c r="E1390" i="3"/>
  <c r="T1390" i="3" s="1"/>
  <c r="U1389" i="3"/>
  <c r="R1389" i="3"/>
  <c r="Q1389" i="3"/>
  <c r="P1389" i="3"/>
  <c r="L1389" i="3"/>
  <c r="H1389" i="3"/>
  <c r="G1389" i="3"/>
  <c r="F1389" i="3"/>
  <c r="E1389" i="3"/>
  <c r="T1389" i="3" s="1"/>
  <c r="U1388" i="3"/>
  <c r="R1388" i="3"/>
  <c r="Q1388" i="3"/>
  <c r="P1388" i="3"/>
  <c r="L1388" i="3"/>
  <c r="H1388" i="3"/>
  <c r="G1388" i="3"/>
  <c r="F1388" i="3"/>
  <c r="E1388" i="3"/>
  <c r="T1388" i="3" s="1"/>
  <c r="U1387" i="3"/>
  <c r="R1387" i="3"/>
  <c r="Q1387" i="3"/>
  <c r="P1387" i="3"/>
  <c r="L1387" i="3"/>
  <c r="H1387" i="3"/>
  <c r="G1387" i="3"/>
  <c r="F1387" i="3"/>
  <c r="E1387" i="3"/>
  <c r="T1387" i="3" s="1"/>
  <c r="U1386" i="3"/>
  <c r="R1386" i="3"/>
  <c r="Q1386" i="3"/>
  <c r="P1386" i="3"/>
  <c r="L1386" i="3"/>
  <c r="H1386" i="3"/>
  <c r="G1386" i="3"/>
  <c r="F1386" i="3"/>
  <c r="E1386" i="3"/>
  <c r="T1386" i="3" s="1"/>
  <c r="U1385" i="3"/>
  <c r="R1385" i="3"/>
  <c r="Q1385" i="3"/>
  <c r="P1385" i="3"/>
  <c r="L1385" i="3"/>
  <c r="H1385" i="3"/>
  <c r="G1385" i="3"/>
  <c r="F1385" i="3"/>
  <c r="E1385" i="3"/>
  <c r="T1385" i="3" s="1"/>
  <c r="U1384" i="3"/>
  <c r="R1384" i="3"/>
  <c r="Q1384" i="3"/>
  <c r="P1384" i="3"/>
  <c r="L1384" i="3"/>
  <c r="H1384" i="3"/>
  <c r="G1384" i="3"/>
  <c r="F1384" i="3"/>
  <c r="E1384" i="3"/>
  <c r="T1384" i="3" s="1"/>
  <c r="U1383" i="3"/>
  <c r="R1383" i="3"/>
  <c r="Q1383" i="3"/>
  <c r="P1383" i="3"/>
  <c r="H1383" i="3"/>
  <c r="G1383" i="3"/>
  <c r="F1383" i="3"/>
  <c r="E1383" i="3"/>
  <c r="U1382" i="3"/>
  <c r="R1382" i="3"/>
  <c r="Q1382" i="3"/>
  <c r="P1382" i="3"/>
  <c r="H1382" i="3"/>
  <c r="G1382" i="3"/>
  <c r="F1382" i="3"/>
  <c r="E1382" i="3"/>
  <c r="U1381" i="3"/>
  <c r="R1381" i="3"/>
  <c r="Q1381" i="3"/>
  <c r="P1381" i="3"/>
  <c r="H1381" i="3"/>
  <c r="G1381" i="3"/>
  <c r="F1381" i="3"/>
  <c r="E1381" i="3"/>
  <c r="U1380" i="3"/>
  <c r="R1380" i="3"/>
  <c r="Q1380" i="3"/>
  <c r="P1380" i="3"/>
  <c r="H1380" i="3"/>
  <c r="G1380" i="3"/>
  <c r="F1380" i="3"/>
  <c r="E1380" i="3"/>
  <c r="U1379" i="3"/>
  <c r="R1379" i="3"/>
  <c r="Q1379" i="3"/>
  <c r="P1379" i="3"/>
  <c r="H1379" i="3"/>
  <c r="G1379" i="3"/>
  <c r="F1379" i="3"/>
  <c r="E1379" i="3"/>
  <c r="U1378" i="3"/>
  <c r="R1378" i="3"/>
  <c r="Q1378" i="3"/>
  <c r="P1378" i="3"/>
  <c r="H1378" i="3"/>
  <c r="G1378" i="3"/>
  <c r="F1378" i="3"/>
  <c r="E1378" i="3"/>
  <c r="U1377" i="3"/>
  <c r="R1377" i="3"/>
  <c r="Q1377" i="3"/>
  <c r="P1377" i="3"/>
  <c r="H1377" i="3"/>
  <c r="G1377" i="3"/>
  <c r="F1377" i="3"/>
  <c r="E1377" i="3"/>
  <c r="U1376" i="3"/>
  <c r="R1376" i="3"/>
  <c r="Q1376" i="3"/>
  <c r="P1376" i="3"/>
  <c r="H1376" i="3"/>
  <c r="G1376" i="3"/>
  <c r="F1376" i="3"/>
  <c r="E1376" i="3"/>
  <c r="U1375" i="3"/>
  <c r="R1375" i="3"/>
  <c r="Q1375" i="3"/>
  <c r="P1375" i="3"/>
  <c r="H1375" i="3"/>
  <c r="G1375" i="3"/>
  <c r="F1375" i="3"/>
  <c r="E1375" i="3"/>
  <c r="U1374" i="3"/>
  <c r="R1374" i="3"/>
  <c r="Q1374" i="3"/>
  <c r="P1374" i="3"/>
  <c r="H1374" i="3"/>
  <c r="G1374" i="3"/>
  <c r="F1374" i="3"/>
  <c r="E1374" i="3"/>
  <c r="U1373" i="3"/>
  <c r="R1373" i="3"/>
  <c r="Q1373" i="3"/>
  <c r="P1373" i="3"/>
  <c r="H1373" i="3"/>
  <c r="G1373" i="3"/>
  <c r="F1373" i="3"/>
  <c r="E1373" i="3"/>
  <c r="U1372" i="3"/>
  <c r="R1372" i="3"/>
  <c r="Q1372" i="3"/>
  <c r="P1372" i="3"/>
  <c r="H1372" i="3"/>
  <c r="G1372" i="3"/>
  <c r="F1372" i="3"/>
  <c r="E1372" i="3"/>
  <c r="U1371" i="3"/>
  <c r="R1371" i="3"/>
  <c r="Q1371" i="3"/>
  <c r="P1371" i="3"/>
  <c r="H1371" i="3"/>
  <c r="G1371" i="3"/>
  <c r="F1371" i="3"/>
  <c r="E1371" i="3"/>
  <c r="U1370" i="3"/>
  <c r="R1370" i="3"/>
  <c r="Q1370" i="3"/>
  <c r="P1370" i="3"/>
  <c r="H1370" i="3"/>
  <c r="G1370" i="3"/>
  <c r="F1370" i="3"/>
  <c r="E1370" i="3"/>
  <c r="U1369" i="3"/>
  <c r="R1369" i="3"/>
  <c r="Q1369" i="3"/>
  <c r="P1369" i="3"/>
  <c r="H1369" i="3"/>
  <c r="G1369" i="3"/>
  <c r="F1369" i="3"/>
  <c r="E1369" i="3"/>
  <c r="U1368" i="3"/>
  <c r="R1368" i="3"/>
  <c r="Q1368" i="3"/>
  <c r="P1368" i="3"/>
  <c r="H1368" i="3"/>
  <c r="G1368" i="3"/>
  <c r="F1368" i="3"/>
  <c r="E1368" i="3"/>
  <c r="U1367" i="3"/>
  <c r="R1367" i="3"/>
  <c r="Q1367" i="3"/>
  <c r="P1367" i="3"/>
  <c r="H1367" i="3"/>
  <c r="G1367" i="3"/>
  <c r="F1367" i="3"/>
  <c r="E1367" i="3"/>
  <c r="U1366" i="3"/>
  <c r="R1366" i="3"/>
  <c r="Q1366" i="3"/>
  <c r="P1366" i="3"/>
  <c r="H1366" i="3"/>
  <c r="G1366" i="3"/>
  <c r="F1366" i="3"/>
  <c r="E1366" i="3"/>
  <c r="U1365" i="3"/>
  <c r="R1365" i="3"/>
  <c r="Q1365" i="3"/>
  <c r="P1365" i="3"/>
  <c r="H1365" i="3"/>
  <c r="G1365" i="3"/>
  <c r="F1365" i="3"/>
  <c r="E1365" i="3"/>
  <c r="U1364" i="3"/>
  <c r="R1364" i="3"/>
  <c r="Q1364" i="3"/>
  <c r="P1364" i="3"/>
  <c r="H1364" i="3"/>
  <c r="G1364" i="3"/>
  <c r="F1364" i="3"/>
  <c r="E1364" i="3"/>
  <c r="U1363" i="3"/>
  <c r="R1363" i="3"/>
  <c r="Q1363" i="3"/>
  <c r="P1363" i="3"/>
  <c r="H1363" i="3"/>
  <c r="G1363" i="3"/>
  <c r="F1363" i="3"/>
  <c r="E1363" i="3"/>
  <c r="U1362" i="3"/>
  <c r="R1362" i="3"/>
  <c r="Q1362" i="3"/>
  <c r="P1362" i="3"/>
  <c r="H1362" i="3"/>
  <c r="G1362" i="3"/>
  <c r="F1362" i="3"/>
  <c r="E1362" i="3"/>
  <c r="U1361" i="3"/>
  <c r="R1361" i="3"/>
  <c r="Q1361" i="3"/>
  <c r="P1361" i="3"/>
  <c r="H1361" i="3"/>
  <c r="G1361" i="3"/>
  <c r="F1361" i="3"/>
  <c r="E1361" i="3"/>
  <c r="U1360" i="3"/>
  <c r="R1360" i="3"/>
  <c r="Q1360" i="3"/>
  <c r="P1360" i="3"/>
  <c r="H1360" i="3"/>
  <c r="G1360" i="3"/>
  <c r="F1360" i="3"/>
  <c r="E1360" i="3"/>
  <c r="U1359" i="3"/>
  <c r="R1359" i="3"/>
  <c r="Q1359" i="3"/>
  <c r="P1359" i="3"/>
  <c r="H1359" i="3"/>
  <c r="G1359" i="3"/>
  <c r="F1359" i="3"/>
  <c r="E1359" i="3"/>
  <c r="U1358" i="3"/>
  <c r="R1358" i="3"/>
  <c r="Q1358" i="3"/>
  <c r="P1358" i="3"/>
  <c r="H1358" i="3"/>
  <c r="G1358" i="3"/>
  <c r="F1358" i="3"/>
  <c r="E1358" i="3"/>
  <c r="U1357" i="3"/>
  <c r="R1357" i="3"/>
  <c r="Q1357" i="3"/>
  <c r="P1357" i="3"/>
  <c r="H1357" i="3"/>
  <c r="G1357" i="3"/>
  <c r="F1357" i="3"/>
  <c r="E1357" i="3"/>
  <c r="U1356" i="3"/>
  <c r="R1356" i="3"/>
  <c r="Q1356" i="3"/>
  <c r="P1356" i="3"/>
  <c r="H1356" i="3"/>
  <c r="G1356" i="3"/>
  <c r="F1356" i="3"/>
  <c r="E1356" i="3"/>
  <c r="U1355" i="3"/>
  <c r="R1355" i="3"/>
  <c r="Q1355" i="3"/>
  <c r="P1355" i="3"/>
  <c r="H1355" i="3"/>
  <c r="G1355" i="3"/>
  <c r="F1355" i="3"/>
  <c r="E1355" i="3"/>
  <c r="U1354" i="3"/>
  <c r="R1354" i="3"/>
  <c r="Q1354" i="3"/>
  <c r="P1354" i="3"/>
  <c r="H1354" i="3"/>
  <c r="G1354" i="3"/>
  <c r="F1354" i="3"/>
  <c r="E1354" i="3"/>
  <c r="U1353" i="3"/>
  <c r="R1353" i="3"/>
  <c r="Q1353" i="3"/>
  <c r="P1353" i="3"/>
  <c r="H1353" i="3"/>
  <c r="G1353" i="3"/>
  <c r="F1353" i="3"/>
  <c r="E1353" i="3"/>
  <c r="U1352" i="3"/>
  <c r="R1352" i="3"/>
  <c r="Q1352" i="3"/>
  <c r="P1352" i="3"/>
  <c r="H1352" i="3"/>
  <c r="G1352" i="3"/>
  <c r="F1352" i="3"/>
  <c r="E1352" i="3"/>
  <c r="U1351" i="3"/>
  <c r="R1351" i="3"/>
  <c r="Q1351" i="3"/>
  <c r="P1351" i="3"/>
  <c r="H1351" i="3"/>
  <c r="G1351" i="3"/>
  <c r="F1351" i="3"/>
  <c r="E1351" i="3"/>
  <c r="U1350" i="3"/>
  <c r="R1350" i="3"/>
  <c r="Q1350" i="3"/>
  <c r="P1350" i="3"/>
  <c r="H1350" i="3"/>
  <c r="G1350" i="3"/>
  <c r="F1350" i="3"/>
  <c r="E1350" i="3"/>
  <c r="U1349" i="3"/>
  <c r="R1349" i="3"/>
  <c r="Q1349" i="3"/>
  <c r="P1349" i="3"/>
  <c r="H1349" i="3"/>
  <c r="G1349" i="3"/>
  <c r="F1349" i="3"/>
  <c r="E1349" i="3"/>
  <c r="U1348" i="3"/>
  <c r="R1348" i="3"/>
  <c r="Q1348" i="3"/>
  <c r="P1348" i="3"/>
  <c r="H1348" i="3"/>
  <c r="G1348" i="3"/>
  <c r="F1348" i="3"/>
  <c r="E1348" i="3"/>
  <c r="U1347" i="3"/>
  <c r="R1347" i="3"/>
  <c r="Q1347" i="3"/>
  <c r="P1347" i="3"/>
  <c r="H1347" i="3"/>
  <c r="G1347" i="3"/>
  <c r="F1347" i="3"/>
  <c r="E1347" i="3"/>
  <c r="U1346" i="3"/>
  <c r="R1346" i="3"/>
  <c r="Q1346" i="3"/>
  <c r="P1346" i="3"/>
  <c r="H1346" i="3"/>
  <c r="G1346" i="3"/>
  <c r="F1346" i="3"/>
  <c r="E1346" i="3"/>
  <c r="U1345" i="3"/>
  <c r="R1345" i="3"/>
  <c r="Q1345" i="3"/>
  <c r="P1345" i="3"/>
  <c r="H1345" i="3"/>
  <c r="G1345" i="3"/>
  <c r="F1345" i="3"/>
  <c r="E1345" i="3"/>
  <c r="U1344" i="3"/>
  <c r="R1344" i="3"/>
  <c r="Q1344" i="3"/>
  <c r="P1344" i="3"/>
  <c r="H1344" i="3"/>
  <c r="G1344" i="3"/>
  <c r="F1344" i="3"/>
  <c r="E1344" i="3"/>
  <c r="U1343" i="3"/>
  <c r="R1343" i="3"/>
  <c r="Q1343" i="3"/>
  <c r="P1343" i="3"/>
  <c r="H1343" i="3"/>
  <c r="G1343" i="3"/>
  <c r="F1343" i="3"/>
  <c r="E1343" i="3"/>
  <c r="U1342" i="3"/>
  <c r="R1342" i="3"/>
  <c r="Q1342" i="3"/>
  <c r="P1342" i="3"/>
  <c r="H1342" i="3"/>
  <c r="G1342" i="3"/>
  <c r="F1342" i="3"/>
  <c r="E1342" i="3"/>
  <c r="U1341" i="3"/>
  <c r="R1341" i="3"/>
  <c r="Q1341" i="3"/>
  <c r="P1341" i="3"/>
  <c r="H1341" i="3"/>
  <c r="G1341" i="3"/>
  <c r="F1341" i="3"/>
  <c r="E1341" i="3"/>
  <c r="U1340" i="3"/>
  <c r="R1340" i="3"/>
  <c r="Q1340" i="3"/>
  <c r="P1340" i="3"/>
  <c r="H1340" i="3"/>
  <c r="G1340" i="3"/>
  <c r="F1340" i="3"/>
  <c r="E1340" i="3"/>
  <c r="U1339" i="3"/>
  <c r="R1339" i="3"/>
  <c r="Q1339" i="3"/>
  <c r="P1339" i="3"/>
  <c r="H1339" i="3"/>
  <c r="G1339" i="3"/>
  <c r="F1339" i="3"/>
  <c r="E1339" i="3"/>
  <c r="U1338" i="3"/>
  <c r="R1338" i="3"/>
  <c r="Q1338" i="3"/>
  <c r="P1338" i="3"/>
  <c r="H1338" i="3"/>
  <c r="G1338" i="3"/>
  <c r="F1338" i="3"/>
  <c r="E1338" i="3"/>
  <c r="U1337" i="3"/>
  <c r="R1337" i="3"/>
  <c r="Q1337" i="3"/>
  <c r="P1337" i="3"/>
  <c r="H1337" i="3"/>
  <c r="G1337" i="3"/>
  <c r="F1337" i="3"/>
  <c r="E1337" i="3"/>
  <c r="U1336" i="3"/>
  <c r="R1336" i="3"/>
  <c r="Q1336" i="3"/>
  <c r="P1336" i="3"/>
  <c r="H1336" i="3"/>
  <c r="G1336" i="3"/>
  <c r="F1336" i="3"/>
  <c r="E1336" i="3"/>
  <c r="U1335" i="3"/>
  <c r="R1335" i="3"/>
  <c r="Q1335" i="3"/>
  <c r="P1335" i="3"/>
  <c r="H1335" i="3"/>
  <c r="G1335" i="3"/>
  <c r="F1335" i="3"/>
  <c r="E1335" i="3"/>
  <c r="U1334" i="3"/>
  <c r="R1334" i="3"/>
  <c r="Q1334" i="3"/>
  <c r="P1334" i="3"/>
  <c r="H1334" i="3"/>
  <c r="G1334" i="3"/>
  <c r="F1334" i="3"/>
  <c r="E1334" i="3"/>
  <c r="U1333" i="3"/>
  <c r="R1333" i="3"/>
  <c r="Q1333" i="3"/>
  <c r="P1333" i="3"/>
  <c r="H1333" i="3"/>
  <c r="G1333" i="3"/>
  <c r="F1333" i="3"/>
  <c r="E1333" i="3"/>
  <c r="U1332" i="3"/>
  <c r="R1332" i="3"/>
  <c r="Q1332" i="3"/>
  <c r="P1332" i="3"/>
  <c r="H1332" i="3"/>
  <c r="G1332" i="3"/>
  <c r="F1332" i="3"/>
  <c r="E1332" i="3"/>
  <c r="U1331" i="3"/>
  <c r="R1331" i="3"/>
  <c r="Q1331" i="3"/>
  <c r="P1331" i="3"/>
  <c r="H1331" i="3"/>
  <c r="G1331" i="3"/>
  <c r="F1331" i="3"/>
  <c r="E1331" i="3"/>
  <c r="U1330" i="3"/>
  <c r="R1330" i="3"/>
  <c r="Q1330" i="3"/>
  <c r="P1330" i="3"/>
  <c r="H1330" i="3"/>
  <c r="G1330" i="3"/>
  <c r="F1330" i="3"/>
  <c r="E1330" i="3"/>
  <c r="U1329" i="3"/>
  <c r="R1329" i="3"/>
  <c r="Q1329" i="3"/>
  <c r="P1329" i="3"/>
  <c r="H1329" i="3"/>
  <c r="G1329" i="3"/>
  <c r="F1329" i="3"/>
  <c r="E1329" i="3"/>
  <c r="U1328" i="3"/>
  <c r="R1328" i="3"/>
  <c r="Q1328" i="3"/>
  <c r="P1328" i="3"/>
  <c r="H1328" i="3"/>
  <c r="G1328" i="3"/>
  <c r="F1328" i="3"/>
  <c r="E1328" i="3"/>
  <c r="U1327" i="3"/>
  <c r="R1327" i="3"/>
  <c r="Q1327" i="3"/>
  <c r="P1327" i="3"/>
  <c r="H1327" i="3"/>
  <c r="G1327" i="3"/>
  <c r="F1327" i="3"/>
  <c r="E1327" i="3"/>
  <c r="U1326" i="3"/>
  <c r="R1326" i="3"/>
  <c r="Q1326" i="3"/>
  <c r="P1326" i="3"/>
  <c r="H1326" i="3"/>
  <c r="G1326" i="3"/>
  <c r="F1326" i="3"/>
  <c r="E1326" i="3"/>
  <c r="U1325" i="3"/>
  <c r="R1325" i="3"/>
  <c r="Q1325" i="3"/>
  <c r="P1325" i="3"/>
  <c r="H1325" i="3"/>
  <c r="G1325" i="3"/>
  <c r="F1325" i="3"/>
  <c r="E1325" i="3"/>
  <c r="U1324" i="3"/>
  <c r="R1324" i="3"/>
  <c r="Q1324" i="3"/>
  <c r="P1324" i="3"/>
  <c r="H1324" i="3"/>
  <c r="G1324" i="3"/>
  <c r="F1324" i="3"/>
  <c r="E1324" i="3"/>
  <c r="U1323" i="3"/>
  <c r="R1323" i="3"/>
  <c r="Q1323" i="3"/>
  <c r="P1323" i="3"/>
  <c r="H1323" i="3"/>
  <c r="G1323" i="3"/>
  <c r="F1323" i="3"/>
  <c r="E1323" i="3"/>
  <c r="U1322" i="3"/>
  <c r="R1322" i="3"/>
  <c r="Q1322" i="3"/>
  <c r="P1322" i="3"/>
  <c r="H1322" i="3"/>
  <c r="G1322" i="3"/>
  <c r="F1322" i="3"/>
  <c r="E1322" i="3"/>
  <c r="U1321" i="3"/>
  <c r="R1321" i="3"/>
  <c r="Q1321" i="3"/>
  <c r="P1321" i="3"/>
  <c r="H1321" i="3"/>
  <c r="G1321" i="3"/>
  <c r="F1321" i="3"/>
  <c r="E1321" i="3"/>
  <c r="U1320" i="3"/>
  <c r="R1320" i="3"/>
  <c r="Q1320" i="3"/>
  <c r="P1320" i="3"/>
  <c r="H1320" i="3"/>
  <c r="G1320" i="3"/>
  <c r="F1320" i="3"/>
  <c r="E1320" i="3"/>
  <c r="U1319" i="3"/>
  <c r="R1319" i="3"/>
  <c r="Q1319" i="3"/>
  <c r="P1319" i="3"/>
  <c r="H1319" i="3"/>
  <c r="G1319" i="3"/>
  <c r="F1319" i="3"/>
  <c r="E1319" i="3"/>
  <c r="U1318" i="3"/>
  <c r="R1318" i="3"/>
  <c r="Q1318" i="3"/>
  <c r="P1318" i="3"/>
  <c r="H1318" i="3"/>
  <c r="G1318" i="3"/>
  <c r="F1318" i="3"/>
  <c r="E1318" i="3"/>
  <c r="U1317" i="3"/>
  <c r="R1317" i="3"/>
  <c r="Q1317" i="3"/>
  <c r="P1317" i="3"/>
  <c r="H1317" i="3"/>
  <c r="G1317" i="3"/>
  <c r="F1317" i="3"/>
  <c r="E1317" i="3"/>
  <c r="U1316" i="3"/>
  <c r="R1316" i="3"/>
  <c r="Q1316" i="3"/>
  <c r="P1316" i="3"/>
  <c r="H1316" i="3"/>
  <c r="G1316" i="3"/>
  <c r="F1316" i="3"/>
  <c r="E1316" i="3"/>
  <c r="U1315" i="3"/>
  <c r="R1315" i="3"/>
  <c r="Q1315" i="3"/>
  <c r="P1315" i="3"/>
  <c r="H1315" i="3"/>
  <c r="G1315" i="3"/>
  <c r="F1315" i="3"/>
  <c r="E1315" i="3"/>
  <c r="U1314" i="3"/>
  <c r="R1314" i="3"/>
  <c r="Q1314" i="3"/>
  <c r="P1314" i="3"/>
  <c r="H1314" i="3"/>
  <c r="G1314" i="3"/>
  <c r="F1314" i="3"/>
  <c r="E1314" i="3"/>
  <c r="U1313" i="3"/>
  <c r="R1313" i="3"/>
  <c r="Q1313" i="3"/>
  <c r="P1313" i="3"/>
  <c r="H1313" i="3"/>
  <c r="G1313" i="3"/>
  <c r="F1313" i="3"/>
  <c r="E1313" i="3"/>
  <c r="U1312" i="3"/>
  <c r="R1312" i="3"/>
  <c r="Q1312" i="3"/>
  <c r="P1312" i="3"/>
  <c r="H1312" i="3"/>
  <c r="G1312" i="3"/>
  <c r="F1312" i="3"/>
  <c r="E1312" i="3"/>
  <c r="U1311" i="3"/>
  <c r="R1311" i="3"/>
  <c r="Q1311" i="3"/>
  <c r="P1311" i="3"/>
  <c r="H1311" i="3"/>
  <c r="G1311" i="3"/>
  <c r="F1311" i="3"/>
  <c r="E1311" i="3"/>
  <c r="U1310" i="3"/>
  <c r="R1310" i="3"/>
  <c r="Q1310" i="3"/>
  <c r="P1310" i="3"/>
  <c r="H1310" i="3"/>
  <c r="G1310" i="3"/>
  <c r="F1310" i="3"/>
  <c r="E1310" i="3"/>
  <c r="U1309" i="3"/>
  <c r="R1309" i="3"/>
  <c r="Q1309" i="3"/>
  <c r="P1309" i="3"/>
  <c r="H1309" i="3"/>
  <c r="G1309" i="3"/>
  <c r="F1309" i="3"/>
  <c r="E1309" i="3"/>
  <c r="U1308" i="3"/>
  <c r="R1308" i="3"/>
  <c r="Q1308" i="3"/>
  <c r="P1308" i="3"/>
  <c r="H1308" i="3"/>
  <c r="G1308" i="3"/>
  <c r="F1308" i="3"/>
  <c r="E1308" i="3"/>
  <c r="U1307" i="3"/>
  <c r="R1307" i="3"/>
  <c r="Q1307" i="3"/>
  <c r="P1307" i="3"/>
  <c r="H1307" i="3"/>
  <c r="G1307" i="3"/>
  <c r="F1307" i="3"/>
  <c r="E1307" i="3"/>
  <c r="U1306" i="3"/>
  <c r="R1306" i="3"/>
  <c r="Q1306" i="3"/>
  <c r="P1306" i="3"/>
  <c r="H1306" i="3"/>
  <c r="G1306" i="3"/>
  <c r="F1306" i="3"/>
  <c r="E1306" i="3"/>
  <c r="U1305" i="3"/>
  <c r="R1305" i="3"/>
  <c r="Q1305" i="3"/>
  <c r="P1305" i="3"/>
  <c r="H1305" i="3"/>
  <c r="G1305" i="3"/>
  <c r="F1305" i="3"/>
  <c r="E1305" i="3"/>
  <c r="U1304" i="3"/>
  <c r="R1304" i="3"/>
  <c r="Q1304" i="3"/>
  <c r="P1304" i="3"/>
  <c r="H1304" i="3"/>
  <c r="G1304" i="3"/>
  <c r="F1304" i="3"/>
  <c r="E1304" i="3"/>
  <c r="U1303" i="3"/>
  <c r="R1303" i="3"/>
  <c r="Q1303" i="3"/>
  <c r="P1303" i="3"/>
  <c r="H1303" i="3"/>
  <c r="G1303" i="3"/>
  <c r="F1303" i="3"/>
  <c r="E1303" i="3"/>
  <c r="U1302" i="3"/>
  <c r="R1302" i="3"/>
  <c r="Q1302" i="3"/>
  <c r="P1302" i="3"/>
  <c r="H1302" i="3"/>
  <c r="G1302" i="3"/>
  <c r="F1302" i="3"/>
  <c r="E1302" i="3"/>
  <c r="U1301" i="3"/>
  <c r="R1301" i="3"/>
  <c r="Q1301" i="3"/>
  <c r="P1301" i="3"/>
  <c r="H1301" i="3"/>
  <c r="G1301" i="3"/>
  <c r="F1301" i="3"/>
  <c r="E1301" i="3"/>
  <c r="U1300" i="3"/>
  <c r="R1300" i="3"/>
  <c r="Q1300" i="3"/>
  <c r="P1300" i="3"/>
  <c r="H1300" i="3"/>
  <c r="G1300" i="3"/>
  <c r="F1300" i="3"/>
  <c r="E1300" i="3"/>
  <c r="U1299" i="3"/>
  <c r="R1299" i="3"/>
  <c r="Q1299" i="3"/>
  <c r="P1299" i="3"/>
  <c r="H1299" i="3"/>
  <c r="G1299" i="3"/>
  <c r="F1299" i="3"/>
  <c r="E1299" i="3"/>
  <c r="U1298" i="3"/>
  <c r="R1298" i="3"/>
  <c r="Q1298" i="3"/>
  <c r="P1298" i="3"/>
  <c r="H1298" i="3"/>
  <c r="G1298" i="3"/>
  <c r="F1298" i="3"/>
  <c r="E1298" i="3"/>
  <c r="U1297" i="3"/>
  <c r="R1297" i="3"/>
  <c r="Q1297" i="3"/>
  <c r="P1297" i="3"/>
  <c r="H1297" i="3"/>
  <c r="G1297" i="3"/>
  <c r="F1297" i="3"/>
  <c r="E1297" i="3"/>
  <c r="U1296" i="3"/>
  <c r="R1296" i="3"/>
  <c r="Q1296" i="3"/>
  <c r="P1296" i="3"/>
  <c r="H1296" i="3"/>
  <c r="G1296" i="3"/>
  <c r="F1296" i="3"/>
  <c r="E1296" i="3"/>
  <c r="U1295" i="3"/>
  <c r="R1295" i="3"/>
  <c r="Q1295" i="3"/>
  <c r="P1295" i="3"/>
  <c r="H1295" i="3"/>
  <c r="G1295" i="3"/>
  <c r="F1295" i="3"/>
  <c r="E1295" i="3"/>
  <c r="U1294" i="3"/>
  <c r="R1294" i="3"/>
  <c r="Q1294" i="3"/>
  <c r="P1294" i="3"/>
  <c r="H1294" i="3"/>
  <c r="G1294" i="3"/>
  <c r="F1294" i="3"/>
  <c r="E1294" i="3"/>
  <c r="U1293" i="3"/>
  <c r="R1293" i="3"/>
  <c r="Q1293" i="3"/>
  <c r="P1293" i="3"/>
  <c r="H1293" i="3"/>
  <c r="G1293" i="3"/>
  <c r="F1293" i="3"/>
  <c r="E1293" i="3"/>
  <c r="U1292" i="3"/>
  <c r="R1292" i="3"/>
  <c r="Q1292" i="3"/>
  <c r="P1292" i="3"/>
  <c r="H1292" i="3"/>
  <c r="G1292" i="3"/>
  <c r="F1292" i="3"/>
  <c r="E1292" i="3"/>
  <c r="U1291" i="3"/>
  <c r="R1291" i="3"/>
  <c r="Q1291" i="3"/>
  <c r="P1291" i="3"/>
  <c r="H1291" i="3"/>
  <c r="G1291" i="3"/>
  <c r="F1291" i="3"/>
  <c r="E1291" i="3"/>
  <c r="U1290" i="3"/>
  <c r="R1290" i="3"/>
  <c r="Q1290" i="3"/>
  <c r="P1290" i="3"/>
  <c r="H1290" i="3"/>
  <c r="G1290" i="3"/>
  <c r="F1290" i="3"/>
  <c r="E1290" i="3"/>
  <c r="U1289" i="3"/>
  <c r="R1289" i="3"/>
  <c r="Q1289" i="3"/>
  <c r="P1289" i="3"/>
  <c r="H1289" i="3"/>
  <c r="G1289" i="3"/>
  <c r="F1289" i="3"/>
  <c r="E1289" i="3"/>
  <c r="U1288" i="3"/>
  <c r="R1288" i="3"/>
  <c r="Q1288" i="3"/>
  <c r="P1288" i="3"/>
  <c r="H1288" i="3"/>
  <c r="G1288" i="3"/>
  <c r="F1288" i="3"/>
  <c r="E1288" i="3"/>
  <c r="U1287" i="3"/>
  <c r="R1287" i="3"/>
  <c r="Q1287" i="3"/>
  <c r="P1287" i="3"/>
  <c r="H1287" i="3"/>
  <c r="G1287" i="3"/>
  <c r="F1287" i="3"/>
  <c r="E1287" i="3"/>
  <c r="U1286" i="3"/>
  <c r="R1286" i="3"/>
  <c r="Q1286" i="3"/>
  <c r="P1286" i="3"/>
  <c r="H1286" i="3"/>
  <c r="G1286" i="3"/>
  <c r="F1286" i="3"/>
  <c r="E1286" i="3"/>
  <c r="U1285" i="3"/>
  <c r="R1285" i="3"/>
  <c r="Q1285" i="3"/>
  <c r="P1285" i="3"/>
  <c r="H1285" i="3"/>
  <c r="G1285" i="3"/>
  <c r="F1285" i="3"/>
  <c r="E1285" i="3"/>
  <c r="U1284" i="3"/>
  <c r="R1284" i="3"/>
  <c r="Q1284" i="3"/>
  <c r="P1284" i="3"/>
  <c r="H1284" i="3"/>
  <c r="G1284" i="3"/>
  <c r="F1284" i="3"/>
  <c r="E1284" i="3"/>
  <c r="U1283" i="3"/>
  <c r="R1283" i="3"/>
  <c r="Q1283" i="3"/>
  <c r="P1283" i="3"/>
  <c r="H1283" i="3"/>
  <c r="G1283" i="3"/>
  <c r="F1283" i="3"/>
  <c r="E1283" i="3"/>
  <c r="U1282" i="3"/>
  <c r="R1282" i="3"/>
  <c r="Q1282" i="3"/>
  <c r="P1282" i="3"/>
  <c r="H1282" i="3"/>
  <c r="G1282" i="3"/>
  <c r="F1282" i="3"/>
  <c r="E1282" i="3"/>
  <c r="U1281" i="3"/>
  <c r="R1281" i="3"/>
  <c r="Q1281" i="3"/>
  <c r="P1281" i="3"/>
  <c r="H1281" i="3"/>
  <c r="G1281" i="3"/>
  <c r="F1281" i="3"/>
  <c r="E1281" i="3"/>
  <c r="U1280" i="3"/>
  <c r="R1280" i="3"/>
  <c r="Q1280" i="3"/>
  <c r="P1280" i="3"/>
  <c r="H1280" i="3"/>
  <c r="G1280" i="3"/>
  <c r="F1280" i="3"/>
  <c r="E1280" i="3"/>
  <c r="U1279" i="3"/>
  <c r="R1279" i="3"/>
  <c r="Q1279" i="3"/>
  <c r="P1279" i="3"/>
  <c r="H1279" i="3"/>
  <c r="G1279" i="3"/>
  <c r="F1279" i="3"/>
  <c r="E1279" i="3"/>
  <c r="U1278" i="3"/>
  <c r="R1278" i="3"/>
  <c r="Q1278" i="3"/>
  <c r="P1278" i="3"/>
  <c r="H1278" i="3"/>
  <c r="G1278" i="3"/>
  <c r="F1278" i="3"/>
  <c r="E1278" i="3"/>
  <c r="U1277" i="3"/>
  <c r="R1277" i="3"/>
  <c r="Q1277" i="3"/>
  <c r="P1277" i="3"/>
  <c r="H1277" i="3"/>
  <c r="G1277" i="3"/>
  <c r="F1277" i="3"/>
  <c r="E1277" i="3"/>
  <c r="U1276" i="3"/>
  <c r="R1276" i="3"/>
  <c r="Q1276" i="3"/>
  <c r="P1276" i="3"/>
  <c r="H1276" i="3"/>
  <c r="G1276" i="3"/>
  <c r="F1276" i="3"/>
  <c r="E1276" i="3"/>
  <c r="U1275" i="3"/>
  <c r="R1275" i="3"/>
  <c r="Q1275" i="3"/>
  <c r="P1275" i="3"/>
  <c r="H1275" i="3"/>
  <c r="G1275" i="3"/>
  <c r="F1275" i="3"/>
  <c r="E1275" i="3"/>
  <c r="U1274" i="3"/>
  <c r="R1274" i="3"/>
  <c r="Q1274" i="3"/>
  <c r="P1274" i="3"/>
  <c r="H1274" i="3"/>
  <c r="G1274" i="3"/>
  <c r="F1274" i="3"/>
  <c r="E1274" i="3"/>
  <c r="U1273" i="3"/>
  <c r="R1273" i="3"/>
  <c r="Q1273" i="3"/>
  <c r="P1273" i="3"/>
  <c r="H1273" i="3"/>
  <c r="G1273" i="3"/>
  <c r="F1273" i="3"/>
  <c r="E1273" i="3"/>
  <c r="U1272" i="3"/>
  <c r="R1272" i="3"/>
  <c r="Q1272" i="3"/>
  <c r="P1272" i="3"/>
  <c r="H1272" i="3"/>
  <c r="G1272" i="3"/>
  <c r="F1272" i="3"/>
  <c r="E1272" i="3"/>
  <c r="U1271" i="3"/>
  <c r="R1271" i="3"/>
  <c r="Q1271" i="3"/>
  <c r="P1271" i="3"/>
  <c r="H1271" i="3"/>
  <c r="G1271" i="3"/>
  <c r="F1271" i="3"/>
  <c r="E1271" i="3"/>
  <c r="U1270" i="3"/>
  <c r="R1270" i="3"/>
  <c r="Q1270" i="3"/>
  <c r="P1270" i="3"/>
  <c r="H1270" i="3"/>
  <c r="G1270" i="3"/>
  <c r="F1270" i="3"/>
  <c r="E1270" i="3"/>
  <c r="U1269" i="3"/>
  <c r="R1269" i="3"/>
  <c r="Q1269" i="3"/>
  <c r="P1269" i="3"/>
  <c r="H1269" i="3"/>
  <c r="G1269" i="3"/>
  <c r="F1269" i="3"/>
  <c r="E1269" i="3"/>
  <c r="U1268" i="3"/>
  <c r="R1268" i="3"/>
  <c r="Q1268" i="3"/>
  <c r="P1268" i="3"/>
  <c r="H1268" i="3"/>
  <c r="G1268" i="3"/>
  <c r="F1268" i="3"/>
  <c r="E1268" i="3"/>
  <c r="U1267" i="3"/>
  <c r="R1267" i="3"/>
  <c r="Q1267" i="3"/>
  <c r="P1267" i="3"/>
  <c r="H1267" i="3"/>
  <c r="G1267" i="3"/>
  <c r="F1267" i="3"/>
  <c r="E1267" i="3"/>
  <c r="U1266" i="3"/>
  <c r="R1266" i="3"/>
  <c r="Q1266" i="3"/>
  <c r="P1266" i="3"/>
  <c r="H1266" i="3"/>
  <c r="G1266" i="3"/>
  <c r="F1266" i="3"/>
  <c r="E1266" i="3"/>
  <c r="U1265" i="3"/>
  <c r="R1265" i="3"/>
  <c r="Q1265" i="3"/>
  <c r="P1265" i="3"/>
  <c r="H1265" i="3"/>
  <c r="G1265" i="3"/>
  <c r="F1265" i="3"/>
  <c r="E1265" i="3"/>
  <c r="U1264" i="3"/>
  <c r="R1264" i="3"/>
  <c r="Q1264" i="3"/>
  <c r="P1264" i="3"/>
  <c r="H1264" i="3"/>
  <c r="G1264" i="3"/>
  <c r="F1264" i="3"/>
  <c r="E1264" i="3"/>
  <c r="U1263" i="3"/>
  <c r="R1263" i="3"/>
  <c r="Q1263" i="3"/>
  <c r="P1263" i="3"/>
  <c r="H1263" i="3"/>
  <c r="G1263" i="3"/>
  <c r="F1263" i="3"/>
  <c r="E1263" i="3"/>
  <c r="U1262" i="3"/>
  <c r="R1262" i="3"/>
  <c r="Q1262" i="3"/>
  <c r="P1262" i="3"/>
  <c r="H1262" i="3"/>
  <c r="G1262" i="3"/>
  <c r="F1262" i="3"/>
  <c r="E1262" i="3"/>
  <c r="U1261" i="3"/>
  <c r="R1261" i="3"/>
  <c r="Q1261" i="3"/>
  <c r="P1261" i="3"/>
  <c r="H1261" i="3"/>
  <c r="G1261" i="3"/>
  <c r="F1261" i="3"/>
  <c r="E1261" i="3"/>
  <c r="U1260" i="3"/>
  <c r="R1260" i="3"/>
  <c r="Q1260" i="3"/>
  <c r="P1260" i="3"/>
  <c r="H1260" i="3"/>
  <c r="G1260" i="3"/>
  <c r="F1260" i="3"/>
  <c r="E1260" i="3"/>
  <c r="U1259" i="3"/>
  <c r="R1259" i="3"/>
  <c r="Q1259" i="3"/>
  <c r="P1259" i="3"/>
  <c r="H1259" i="3"/>
  <c r="G1259" i="3"/>
  <c r="F1259" i="3"/>
  <c r="E1259" i="3"/>
  <c r="U1258" i="3"/>
  <c r="R1258" i="3"/>
  <c r="Q1258" i="3"/>
  <c r="P1258" i="3"/>
  <c r="H1258" i="3"/>
  <c r="G1258" i="3"/>
  <c r="F1258" i="3"/>
  <c r="E1258" i="3"/>
  <c r="U1257" i="3"/>
  <c r="R1257" i="3"/>
  <c r="Q1257" i="3"/>
  <c r="P1257" i="3"/>
  <c r="H1257" i="3"/>
  <c r="G1257" i="3"/>
  <c r="F1257" i="3"/>
  <c r="E1257" i="3"/>
  <c r="U1256" i="3"/>
  <c r="R1256" i="3"/>
  <c r="Q1256" i="3"/>
  <c r="P1256" i="3"/>
  <c r="H1256" i="3"/>
  <c r="G1256" i="3"/>
  <c r="F1256" i="3"/>
  <c r="E1256" i="3"/>
  <c r="U1255" i="3"/>
  <c r="R1255" i="3"/>
  <c r="Q1255" i="3"/>
  <c r="P1255" i="3"/>
  <c r="H1255" i="3"/>
  <c r="G1255" i="3"/>
  <c r="F1255" i="3"/>
  <c r="E1255" i="3"/>
  <c r="U1254" i="3"/>
  <c r="R1254" i="3"/>
  <c r="Q1254" i="3"/>
  <c r="P1254" i="3"/>
  <c r="H1254" i="3"/>
  <c r="G1254" i="3"/>
  <c r="F1254" i="3"/>
  <c r="E1254" i="3"/>
  <c r="U1253" i="3"/>
  <c r="R1253" i="3"/>
  <c r="Q1253" i="3"/>
  <c r="P1253" i="3"/>
  <c r="H1253" i="3"/>
  <c r="G1253" i="3"/>
  <c r="F1253" i="3"/>
  <c r="E1253" i="3"/>
  <c r="U1252" i="3"/>
  <c r="R1252" i="3"/>
  <c r="Q1252" i="3"/>
  <c r="P1252" i="3"/>
  <c r="H1252" i="3"/>
  <c r="G1252" i="3"/>
  <c r="F1252" i="3"/>
  <c r="E1252" i="3"/>
  <c r="U1251" i="3"/>
  <c r="R1251" i="3"/>
  <c r="Q1251" i="3"/>
  <c r="P1251" i="3"/>
  <c r="H1251" i="3"/>
  <c r="G1251" i="3"/>
  <c r="F1251" i="3"/>
  <c r="E1251" i="3"/>
  <c r="U1250" i="3"/>
  <c r="R1250" i="3"/>
  <c r="Q1250" i="3"/>
  <c r="P1250" i="3"/>
  <c r="H1250" i="3"/>
  <c r="G1250" i="3"/>
  <c r="F1250" i="3"/>
  <c r="E1250" i="3"/>
  <c r="U1249" i="3"/>
  <c r="R1249" i="3"/>
  <c r="Q1249" i="3"/>
  <c r="P1249" i="3"/>
  <c r="H1249" i="3"/>
  <c r="G1249" i="3"/>
  <c r="F1249" i="3"/>
  <c r="E1249" i="3"/>
  <c r="U1248" i="3"/>
  <c r="R1248" i="3"/>
  <c r="Q1248" i="3"/>
  <c r="P1248" i="3"/>
  <c r="H1248" i="3"/>
  <c r="G1248" i="3"/>
  <c r="F1248" i="3"/>
  <c r="E1248" i="3"/>
  <c r="U1247" i="3"/>
  <c r="R1247" i="3"/>
  <c r="Q1247" i="3"/>
  <c r="P1247" i="3"/>
  <c r="H1247" i="3"/>
  <c r="G1247" i="3"/>
  <c r="F1247" i="3"/>
  <c r="E1247" i="3"/>
  <c r="U1246" i="3"/>
  <c r="R1246" i="3"/>
  <c r="Q1246" i="3"/>
  <c r="P1246" i="3"/>
  <c r="H1246" i="3"/>
  <c r="G1246" i="3"/>
  <c r="F1246" i="3"/>
  <c r="E1246" i="3"/>
  <c r="U1245" i="3"/>
  <c r="R1245" i="3"/>
  <c r="Q1245" i="3"/>
  <c r="P1245" i="3"/>
  <c r="H1245" i="3"/>
  <c r="G1245" i="3"/>
  <c r="F1245" i="3"/>
  <c r="E1245" i="3"/>
  <c r="U1244" i="3"/>
  <c r="R1244" i="3"/>
  <c r="Q1244" i="3"/>
  <c r="P1244" i="3"/>
  <c r="H1244" i="3"/>
  <c r="G1244" i="3"/>
  <c r="F1244" i="3"/>
  <c r="E1244" i="3"/>
  <c r="U1243" i="3"/>
  <c r="R1243" i="3"/>
  <c r="Q1243" i="3"/>
  <c r="P1243" i="3"/>
  <c r="H1243" i="3"/>
  <c r="G1243" i="3"/>
  <c r="F1243" i="3"/>
  <c r="E1243" i="3"/>
  <c r="U1242" i="3"/>
  <c r="R1242" i="3"/>
  <c r="Q1242" i="3"/>
  <c r="P1242" i="3"/>
  <c r="H1242" i="3"/>
  <c r="G1242" i="3"/>
  <c r="F1242" i="3"/>
  <c r="E1242" i="3"/>
  <c r="U1241" i="3"/>
  <c r="R1241" i="3"/>
  <c r="Q1241" i="3"/>
  <c r="P1241" i="3"/>
  <c r="H1241" i="3"/>
  <c r="G1241" i="3"/>
  <c r="F1241" i="3"/>
  <c r="E1241" i="3"/>
  <c r="U1240" i="3"/>
  <c r="R1240" i="3"/>
  <c r="Q1240" i="3"/>
  <c r="P1240" i="3"/>
  <c r="H1240" i="3"/>
  <c r="G1240" i="3"/>
  <c r="F1240" i="3"/>
  <c r="E1240" i="3"/>
  <c r="U1239" i="3"/>
  <c r="R1239" i="3"/>
  <c r="Q1239" i="3"/>
  <c r="P1239" i="3"/>
  <c r="H1239" i="3"/>
  <c r="G1239" i="3"/>
  <c r="F1239" i="3"/>
  <c r="E1239" i="3"/>
  <c r="U1238" i="3"/>
  <c r="R1238" i="3"/>
  <c r="Q1238" i="3"/>
  <c r="P1238" i="3"/>
  <c r="H1238" i="3"/>
  <c r="G1238" i="3"/>
  <c r="F1238" i="3"/>
  <c r="E1238" i="3"/>
  <c r="U1237" i="3"/>
  <c r="R1237" i="3"/>
  <c r="Q1237" i="3"/>
  <c r="P1237" i="3"/>
  <c r="H1237" i="3"/>
  <c r="G1237" i="3"/>
  <c r="F1237" i="3"/>
  <c r="E1237" i="3"/>
  <c r="U1236" i="3"/>
  <c r="T1236" i="3"/>
  <c r="R1236" i="3"/>
  <c r="Q1236" i="3"/>
  <c r="P1236" i="3"/>
  <c r="L1236" i="3"/>
  <c r="H1236" i="3"/>
  <c r="G1236" i="3"/>
  <c r="F1236" i="3"/>
  <c r="E1236" i="3"/>
  <c r="U1235" i="3"/>
  <c r="R1235" i="3"/>
  <c r="Q1235" i="3"/>
  <c r="P1235" i="3"/>
  <c r="H1235" i="3"/>
  <c r="G1235" i="3"/>
  <c r="F1235" i="3"/>
  <c r="E1235" i="3"/>
  <c r="U1234" i="3"/>
  <c r="R1234" i="3"/>
  <c r="Q1234" i="3"/>
  <c r="P1234" i="3"/>
  <c r="H1234" i="3"/>
  <c r="G1234" i="3"/>
  <c r="F1234" i="3"/>
  <c r="E1234" i="3"/>
  <c r="U1233" i="3"/>
  <c r="R1233" i="3"/>
  <c r="Q1233" i="3"/>
  <c r="P1233" i="3"/>
  <c r="H1233" i="3"/>
  <c r="G1233" i="3"/>
  <c r="F1233" i="3"/>
  <c r="E1233" i="3"/>
  <c r="U1232" i="3"/>
  <c r="R1232" i="3"/>
  <c r="Q1232" i="3"/>
  <c r="P1232" i="3"/>
  <c r="H1232" i="3"/>
  <c r="G1232" i="3"/>
  <c r="F1232" i="3"/>
  <c r="E1232" i="3"/>
  <c r="U1231" i="3"/>
  <c r="R1231" i="3"/>
  <c r="Q1231" i="3"/>
  <c r="P1231" i="3"/>
  <c r="H1231" i="3"/>
  <c r="G1231" i="3"/>
  <c r="F1231" i="3"/>
  <c r="E1231" i="3"/>
  <c r="U1230" i="3"/>
  <c r="R1230" i="3"/>
  <c r="Q1230" i="3"/>
  <c r="P1230" i="3"/>
  <c r="H1230" i="3"/>
  <c r="G1230" i="3"/>
  <c r="F1230" i="3"/>
  <c r="E1230" i="3"/>
  <c r="U1229" i="3"/>
  <c r="R1229" i="3"/>
  <c r="Q1229" i="3"/>
  <c r="P1229" i="3"/>
  <c r="H1229" i="3"/>
  <c r="G1229" i="3"/>
  <c r="F1229" i="3"/>
  <c r="E1229" i="3"/>
  <c r="U1228" i="3"/>
  <c r="R1228" i="3"/>
  <c r="Q1228" i="3"/>
  <c r="P1228" i="3"/>
  <c r="H1228" i="3"/>
  <c r="G1228" i="3"/>
  <c r="F1228" i="3"/>
  <c r="E1228" i="3"/>
  <c r="U1227" i="3"/>
  <c r="R1227" i="3"/>
  <c r="Q1227" i="3"/>
  <c r="P1227" i="3"/>
  <c r="H1227" i="3"/>
  <c r="G1227" i="3"/>
  <c r="F1227" i="3"/>
  <c r="E1227" i="3"/>
  <c r="U1226" i="3"/>
  <c r="R1226" i="3"/>
  <c r="Q1226" i="3"/>
  <c r="P1226" i="3"/>
  <c r="H1226" i="3"/>
  <c r="G1226" i="3"/>
  <c r="F1226" i="3"/>
  <c r="E1226" i="3"/>
  <c r="U1225" i="3"/>
  <c r="R1225" i="3"/>
  <c r="Q1225" i="3"/>
  <c r="P1225" i="3"/>
  <c r="H1225" i="3"/>
  <c r="G1225" i="3"/>
  <c r="F1225" i="3"/>
  <c r="E1225" i="3"/>
  <c r="U1224" i="3"/>
  <c r="R1224" i="3"/>
  <c r="Q1224" i="3"/>
  <c r="P1224" i="3"/>
  <c r="H1224" i="3"/>
  <c r="G1224" i="3"/>
  <c r="F1224" i="3"/>
  <c r="E1224" i="3"/>
  <c r="U1223" i="3"/>
  <c r="R1223" i="3"/>
  <c r="Q1223" i="3"/>
  <c r="P1223" i="3"/>
  <c r="H1223" i="3"/>
  <c r="G1223" i="3"/>
  <c r="F1223" i="3"/>
  <c r="E1223" i="3"/>
  <c r="U1222" i="3"/>
  <c r="R1222" i="3"/>
  <c r="Q1222" i="3"/>
  <c r="P1222" i="3"/>
  <c r="H1222" i="3"/>
  <c r="G1222" i="3"/>
  <c r="F1222" i="3"/>
  <c r="E1222" i="3"/>
  <c r="U1221" i="3"/>
  <c r="R1221" i="3"/>
  <c r="Q1221" i="3"/>
  <c r="P1221" i="3"/>
  <c r="H1221" i="3"/>
  <c r="G1221" i="3"/>
  <c r="F1221" i="3"/>
  <c r="E1221" i="3"/>
  <c r="U1220" i="3"/>
  <c r="R1220" i="3"/>
  <c r="Q1220" i="3"/>
  <c r="P1220" i="3"/>
  <c r="H1220" i="3"/>
  <c r="G1220" i="3"/>
  <c r="F1220" i="3"/>
  <c r="E1220" i="3"/>
  <c r="U1219" i="3"/>
  <c r="R1219" i="3"/>
  <c r="Q1219" i="3"/>
  <c r="P1219" i="3"/>
  <c r="H1219" i="3"/>
  <c r="G1219" i="3"/>
  <c r="F1219" i="3"/>
  <c r="E1219" i="3"/>
  <c r="U1218" i="3"/>
  <c r="R1218" i="3"/>
  <c r="Q1218" i="3"/>
  <c r="P1218" i="3"/>
  <c r="H1218" i="3"/>
  <c r="G1218" i="3"/>
  <c r="F1218" i="3"/>
  <c r="E1218" i="3"/>
  <c r="U1217" i="3"/>
  <c r="R1217" i="3"/>
  <c r="Q1217" i="3"/>
  <c r="P1217" i="3"/>
  <c r="H1217" i="3"/>
  <c r="G1217" i="3"/>
  <c r="F1217" i="3"/>
  <c r="E1217" i="3"/>
  <c r="U1216" i="3"/>
  <c r="R1216" i="3"/>
  <c r="Q1216" i="3"/>
  <c r="P1216" i="3"/>
  <c r="H1216" i="3"/>
  <c r="G1216" i="3"/>
  <c r="F1216" i="3"/>
  <c r="E1216" i="3"/>
  <c r="U1215" i="3"/>
  <c r="R1215" i="3"/>
  <c r="Q1215" i="3"/>
  <c r="P1215" i="3"/>
  <c r="H1215" i="3"/>
  <c r="G1215" i="3"/>
  <c r="F1215" i="3"/>
  <c r="E1215" i="3"/>
  <c r="U1214" i="3"/>
  <c r="R1214" i="3"/>
  <c r="Q1214" i="3"/>
  <c r="P1214" i="3"/>
  <c r="H1214" i="3"/>
  <c r="G1214" i="3"/>
  <c r="F1214" i="3"/>
  <c r="E1214" i="3"/>
  <c r="U1213" i="3"/>
  <c r="R1213" i="3"/>
  <c r="Q1213" i="3"/>
  <c r="P1213" i="3"/>
  <c r="H1213" i="3"/>
  <c r="G1213" i="3"/>
  <c r="F1213" i="3"/>
  <c r="E1213" i="3"/>
  <c r="U1212" i="3"/>
  <c r="R1212" i="3"/>
  <c r="Q1212" i="3"/>
  <c r="P1212" i="3"/>
  <c r="H1212" i="3"/>
  <c r="G1212" i="3"/>
  <c r="F1212" i="3"/>
  <c r="E1212" i="3"/>
  <c r="U1211" i="3"/>
  <c r="R1211" i="3"/>
  <c r="Q1211" i="3"/>
  <c r="P1211" i="3"/>
  <c r="H1211" i="3"/>
  <c r="G1211" i="3"/>
  <c r="F1211" i="3"/>
  <c r="E1211" i="3"/>
  <c r="U1210" i="3"/>
  <c r="R1210" i="3"/>
  <c r="Q1210" i="3"/>
  <c r="P1210" i="3"/>
  <c r="H1210" i="3"/>
  <c r="G1210" i="3"/>
  <c r="F1210" i="3"/>
  <c r="E1210" i="3"/>
  <c r="U1209" i="3"/>
  <c r="R1209" i="3"/>
  <c r="Q1209" i="3"/>
  <c r="P1209" i="3"/>
  <c r="H1209" i="3"/>
  <c r="G1209" i="3"/>
  <c r="F1209" i="3"/>
  <c r="E1209" i="3"/>
  <c r="U1208" i="3"/>
  <c r="R1208" i="3"/>
  <c r="Q1208" i="3"/>
  <c r="P1208" i="3"/>
  <c r="H1208" i="3"/>
  <c r="G1208" i="3"/>
  <c r="F1208" i="3"/>
  <c r="E1208" i="3"/>
  <c r="U1207" i="3"/>
  <c r="R1207" i="3"/>
  <c r="Q1207" i="3"/>
  <c r="P1207" i="3"/>
  <c r="H1207" i="3"/>
  <c r="G1207" i="3"/>
  <c r="F1207" i="3"/>
  <c r="E1207" i="3"/>
  <c r="U1206" i="3"/>
  <c r="R1206" i="3"/>
  <c r="Q1206" i="3"/>
  <c r="P1206" i="3"/>
  <c r="H1206" i="3"/>
  <c r="G1206" i="3"/>
  <c r="F1206" i="3"/>
  <c r="E1206" i="3"/>
  <c r="U1205" i="3"/>
  <c r="R1205" i="3"/>
  <c r="Q1205" i="3"/>
  <c r="P1205" i="3"/>
  <c r="H1205" i="3"/>
  <c r="G1205" i="3"/>
  <c r="F1205" i="3"/>
  <c r="E1205" i="3"/>
  <c r="U1204" i="3"/>
  <c r="R1204" i="3"/>
  <c r="Q1204" i="3"/>
  <c r="P1204" i="3"/>
  <c r="H1204" i="3"/>
  <c r="G1204" i="3"/>
  <c r="F1204" i="3"/>
  <c r="E1204" i="3"/>
  <c r="U1203" i="3"/>
  <c r="R1203" i="3"/>
  <c r="Q1203" i="3"/>
  <c r="P1203" i="3"/>
  <c r="H1203" i="3"/>
  <c r="G1203" i="3"/>
  <c r="F1203" i="3"/>
  <c r="E1203" i="3"/>
  <c r="U1202" i="3"/>
  <c r="R1202" i="3"/>
  <c r="Q1202" i="3"/>
  <c r="P1202" i="3"/>
  <c r="H1202" i="3"/>
  <c r="G1202" i="3"/>
  <c r="F1202" i="3"/>
  <c r="E1202" i="3"/>
  <c r="U1201" i="3"/>
  <c r="R1201" i="3"/>
  <c r="Q1201" i="3"/>
  <c r="P1201" i="3"/>
  <c r="H1201" i="3"/>
  <c r="G1201" i="3"/>
  <c r="F1201" i="3"/>
  <c r="E1201" i="3"/>
  <c r="U1200" i="3"/>
  <c r="R1200" i="3"/>
  <c r="Q1200" i="3"/>
  <c r="P1200" i="3"/>
  <c r="H1200" i="3"/>
  <c r="G1200" i="3"/>
  <c r="F1200" i="3"/>
  <c r="E1200" i="3"/>
  <c r="U1199" i="3"/>
  <c r="R1199" i="3"/>
  <c r="Q1199" i="3"/>
  <c r="P1199" i="3"/>
  <c r="H1199" i="3"/>
  <c r="G1199" i="3"/>
  <c r="F1199" i="3"/>
  <c r="E1199" i="3"/>
  <c r="U1198" i="3"/>
  <c r="R1198" i="3"/>
  <c r="Q1198" i="3"/>
  <c r="P1198" i="3"/>
  <c r="H1198" i="3"/>
  <c r="G1198" i="3"/>
  <c r="F1198" i="3"/>
  <c r="E1198" i="3"/>
  <c r="U1197" i="3"/>
  <c r="R1197" i="3"/>
  <c r="Q1197" i="3"/>
  <c r="P1197" i="3"/>
  <c r="H1197" i="3"/>
  <c r="G1197" i="3"/>
  <c r="F1197" i="3"/>
  <c r="E1197" i="3"/>
  <c r="U1196" i="3"/>
  <c r="R1196" i="3"/>
  <c r="Q1196" i="3"/>
  <c r="P1196" i="3"/>
  <c r="H1196" i="3"/>
  <c r="G1196" i="3"/>
  <c r="F1196" i="3"/>
  <c r="E1196" i="3"/>
  <c r="U1195" i="3"/>
  <c r="R1195" i="3"/>
  <c r="Q1195" i="3"/>
  <c r="P1195" i="3"/>
  <c r="H1195" i="3"/>
  <c r="G1195" i="3"/>
  <c r="F1195" i="3"/>
  <c r="E1195" i="3"/>
  <c r="U1194" i="3"/>
  <c r="R1194" i="3"/>
  <c r="Q1194" i="3"/>
  <c r="P1194" i="3"/>
  <c r="H1194" i="3"/>
  <c r="G1194" i="3"/>
  <c r="F1194" i="3"/>
  <c r="E1194" i="3"/>
  <c r="U1193" i="3"/>
  <c r="R1193" i="3"/>
  <c r="Q1193" i="3"/>
  <c r="P1193" i="3"/>
  <c r="H1193" i="3"/>
  <c r="G1193" i="3"/>
  <c r="F1193" i="3"/>
  <c r="E1193" i="3"/>
  <c r="U1192" i="3"/>
  <c r="R1192" i="3"/>
  <c r="Q1192" i="3"/>
  <c r="P1192" i="3"/>
  <c r="H1192" i="3"/>
  <c r="G1192" i="3"/>
  <c r="F1192" i="3"/>
  <c r="E1192" i="3"/>
  <c r="U1191" i="3"/>
  <c r="R1191" i="3"/>
  <c r="Q1191" i="3"/>
  <c r="P1191" i="3"/>
  <c r="H1191" i="3"/>
  <c r="G1191" i="3"/>
  <c r="F1191" i="3"/>
  <c r="E1191" i="3"/>
  <c r="U1190" i="3"/>
  <c r="R1190" i="3"/>
  <c r="Q1190" i="3"/>
  <c r="P1190" i="3"/>
  <c r="H1190" i="3"/>
  <c r="G1190" i="3"/>
  <c r="F1190" i="3"/>
  <c r="E1190" i="3"/>
  <c r="U1189" i="3"/>
  <c r="R1189" i="3"/>
  <c r="Q1189" i="3"/>
  <c r="P1189" i="3"/>
  <c r="H1189" i="3"/>
  <c r="G1189" i="3"/>
  <c r="F1189" i="3"/>
  <c r="E1189" i="3"/>
  <c r="U1188" i="3"/>
  <c r="R1188" i="3"/>
  <c r="Q1188" i="3"/>
  <c r="P1188" i="3"/>
  <c r="H1188" i="3"/>
  <c r="G1188" i="3"/>
  <c r="F1188" i="3"/>
  <c r="E1188" i="3"/>
  <c r="U1187" i="3"/>
  <c r="R1187" i="3"/>
  <c r="Q1187" i="3"/>
  <c r="P1187" i="3"/>
  <c r="H1187" i="3"/>
  <c r="G1187" i="3"/>
  <c r="F1187" i="3"/>
  <c r="E1187" i="3"/>
  <c r="U1186" i="3"/>
  <c r="R1186" i="3"/>
  <c r="Q1186" i="3"/>
  <c r="P1186" i="3"/>
  <c r="H1186" i="3"/>
  <c r="G1186" i="3"/>
  <c r="F1186" i="3"/>
  <c r="E1186" i="3"/>
  <c r="U1185" i="3"/>
  <c r="R1185" i="3"/>
  <c r="Q1185" i="3"/>
  <c r="P1185" i="3"/>
  <c r="H1185" i="3"/>
  <c r="G1185" i="3"/>
  <c r="F1185" i="3"/>
  <c r="E1185" i="3"/>
  <c r="U1184" i="3"/>
  <c r="R1184" i="3"/>
  <c r="Q1184" i="3"/>
  <c r="P1184" i="3"/>
  <c r="H1184" i="3"/>
  <c r="G1184" i="3"/>
  <c r="F1184" i="3"/>
  <c r="E1184" i="3"/>
  <c r="U1183" i="3"/>
  <c r="R1183" i="3"/>
  <c r="Q1183" i="3"/>
  <c r="P1183" i="3"/>
  <c r="H1183" i="3"/>
  <c r="G1183" i="3"/>
  <c r="F1183" i="3"/>
  <c r="E1183" i="3"/>
  <c r="U1182" i="3"/>
  <c r="R1182" i="3"/>
  <c r="Q1182" i="3"/>
  <c r="P1182" i="3"/>
  <c r="H1182" i="3"/>
  <c r="G1182" i="3"/>
  <c r="F1182" i="3"/>
  <c r="E1182" i="3"/>
  <c r="U1181" i="3"/>
  <c r="R1181" i="3"/>
  <c r="Q1181" i="3"/>
  <c r="P1181" i="3"/>
  <c r="H1181" i="3"/>
  <c r="G1181" i="3"/>
  <c r="F1181" i="3"/>
  <c r="E1181" i="3"/>
  <c r="U1180" i="3"/>
  <c r="R1180" i="3"/>
  <c r="Q1180" i="3"/>
  <c r="P1180" i="3"/>
  <c r="H1180" i="3"/>
  <c r="G1180" i="3"/>
  <c r="F1180" i="3"/>
  <c r="E1180" i="3"/>
  <c r="U1179" i="3"/>
  <c r="R1179" i="3"/>
  <c r="Q1179" i="3"/>
  <c r="P1179" i="3"/>
  <c r="H1179" i="3"/>
  <c r="G1179" i="3"/>
  <c r="F1179" i="3"/>
  <c r="E1179" i="3"/>
  <c r="U1178" i="3"/>
  <c r="R1178" i="3"/>
  <c r="Q1178" i="3"/>
  <c r="P1178" i="3"/>
  <c r="H1178" i="3"/>
  <c r="G1178" i="3"/>
  <c r="F1178" i="3"/>
  <c r="E1178" i="3"/>
  <c r="U1177" i="3"/>
  <c r="R1177" i="3"/>
  <c r="Q1177" i="3"/>
  <c r="P1177" i="3"/>
  <c r="H1177" i="3"/>
  <c r="G1177" i="3"/>
  <c r="F1177" i="3"/>
  <c r="E1177" i="3"/>
  <c r="U1176" i="3"/>
  <c r="R1176" i="3"/>
  <c r="Q1176" i="3"/>
  <c r="P1176" i="3"/>
  <c r="H1176" i="3"/>
  <c r="G1176" i="3"/>
  <c r="F1176" i="3"/>
  <c r="E1176" i="3"/>
  <c r="U1175" i="3"/>
  <c r="R1175" i="3"/>
  <c r="Q1175" i="3"/>
  <c r="P1175" i="3"/>
  <c r="H1175" i="3"/>
  <c r="G1175" i="3"/>
  <c r="F1175" i="3"/>
  <c r="E1175" i="3"/>
  <c r="U1174" i="3"/>
  <c r="R1174" i="3"/>
  <c r="Q1174" i="3"/>
  <c r="P1174" i="3"/>
  <c r="H1174" i="3"/>
  <c r="G1174" i="3"/>
  <c r="F1174" i="3"/>
  <c r="E1174" i="3"/>
  <c r="U1173" i="3"/>
  <c r="R1173" i="3"/>
  <c r="Q1173" i="3"/>
  <c r="P1173" i="3"/>
  <c r="H1173" i="3"/>
  <c r="G1173" i="3"/>
  <c r="F1173" i="3"/>
  <c r="E1173" i="3"/>
  <c r="U1172" i="3"/>
  <c r="R1172" i="3"/>
  <c r="Q1172" i="3"/>
  <c r="P1172" i="3"/>
  <c r="H1172" i="3"/>
  <c r="G1172" i="3"/>
  <c r="F1172" i="3"/>
  <c r="E1172" i="3"/>
  <c r="U1171" i="3"/>
  <c r="R1171" i="3"/>
  <c r="Q1171" i="3"/>
  <c r="P1171" i="3"/>
  <c r="H1171" i="3"/>
  <c r="G1171" i="3"/>
  <c r="F1171" i="3"/>
  <c r="E1171" i="3"/>
  <c r="U1170" i="3"/>
  <c r="R1170" i="3"/>
  <c r="Q1170" i="3"/>
  <c r="P1170" i="3"/>
  <c r="H1170" i="3"/>
  <c r="G1170" i="3"/>
  <c r="F1170" i="3"/>
  <c r="E1170" i="3"/>
  <c r="U1169" i="3"/>
  <c r="R1169" i="3"/>
  <c r="Q1169" i="3"/>
  <c r="P1169" i="3"/>
  <c r="H1169" i="3"/>
  <c r="G1169" i="3"/>
  <c r="F1169" i="3"/>
  <c r="E1169" i="3"/>
  <c r="U1168" i="3"/>
  <c r="R1168" i="3"/>
  <c r="Q1168" i="3"/>
  <c r="P1168" i="3"/>
  <c r="H1168" i="3"/>
  <c r="G1168" i="3"/>
  <c r="F1168" i="3"/>
  <c r="E1168" i="3"/>
  <c r="U1167" i="3"/>
  <c r="R1167" i="3"/>
  <c r="Q1167" i="3"/>
  <c r="P1167" i="3"/>
  <c r="H1167" i="3"/>
  <c r="G1167" i="3"/>
  <c r="F1167" i="3"/>
  <c r="E1167" i="3"/>
  <c r="U1166" i="3"/>
  <c r="R1166" i="3"/>
  <c r="Q1166" i="3"/>
  <c r="P1166" i="3"/>
  <c r="H1166" i="3"/>
  <c r="G1166" i="3"/>
  <c r="F1166" i="3"/>
  <c r="E1166" i="3"/>
  <c r="U1165" i="3"/>
  <c r="R1165" i="3"/>
  <c r="Q1165" i="3"/>
  <c r="P1165" i="3"/>
  <c r="H1165" i="3"/>
  <c r="G1165" i="3"/>
  <c r="F1165" i="3"/>
  <c r="E1165" i="3"/>
  <c r="U1164" i="3"/>
  <c r="R1164" i="3"/>
  <c r="Q1164" i="3"/>
  <c r="P1164" i="3"/>
  <c r="H1164" i="3"/>
  <c r="G1164" i="3"/>
  <c r="F1164" i="3"/>
  <c r="E1164" i="3"/>
  <c r="U1163" i="3"/>
  <c r="R1163" i="3"/>
  <c r="Q1163" i="3"/>
  <c r="P1163" i="3"/>
  <c r="H1163" i="3"/>
  <c r="G1163" i="3"/>
  <c r="F1163" i="3"/>
  <c r="E1163" i="3"/>
  <c r="U1162" i="3"/>
  <c r="R1162" i="3"/>
  <c r="Q1162" i="3"/>
  <c r="P1162" i="3"/>
  <c r="H1162" i="3"/>
  <c r="G1162" i="3"/>
  <c r="F1162" i="3"/>
  <c r="E1162" i="3"/>
  <c r="U1161" i="3"/>
  <c r="R1161" i="3"/>
  <c r="Q1161" i="3"/>
  <c r="P1161" i="3"/>
  <c r="H1161" i="3"/>
  <c r="G1161" i="3"/>
  <c r="F1161" i="3"/>
  <c r="E1161" i="3"/>
  <c r="U1160" i="3"/>
  <c r="R1160" i="3"/>
  <c r="Q1160" i="3"/>
  <c r="P1160" i="3"/>
  <c r="H1160" i="3"/>
  <c r="G1160" i="3"/>
  <c r="F1160" i="3"/>
  <c r="E1160" i="3"/>
  <c r="U1159" i="3"/>
  <c r="R1159" i="3"/>
  <c r="Q1159" i="3"/>
  <c r="P1159" i="3"/>
  <c r="H1159" i="3"/>
  <c r="G1159" i="3"/>
  <c r="F1159" i="3"/>
  <c r="E1159" i="3"/>
  <c r="U1158" i="3"/>
  <c r="R1158" i="3"/>
  <c r="Q1158" i="3"/>
  <c r="P1158" i="3"/>
  <c r="H1158" i="3"/>
  <c r="G1158" i="3"/>
  <c r="F1158" i="3"/>
  <c r="E1158" i="3"/>
  <c r="U1157" i="3"/>
  <c r="R1157" i="3"/>
  <c r="Q1157" i="3"/>
  <c r="P1157" i="3"/>
  <c r="H1157" i="3"/>
  <c r="G1157" i="3"/>
  <c r="F1157" i="3"/>
  <c r="E1157" i="3"/>
  <c r="U1156" i="3"/>
  <c r="R1156" i="3"/>
  <c r="Q1156" i="3"/>
  <c r="P1156" i="3"/>
  <c r="H1156" i="3"/>
  <c r="G1156" i="3"/>
  <c r="F1156" i="3"/>
  <c r="E1156" i="3"/>
  <c r="U1155" i="3"/>
  <c r="R1155" i="3"/>
  <c r="Q1155" i="3"/>
  <c r="P1155" i="3"/>
  <c r="H1155" i="3"/>
  <c r="G1155" i="3"/>
  <c r="F1155" i="3"/>
  <c r="E1155" i="3"/>
  <c r="U1154" i="3"/>
  <c r="R1154" i="3"/>
  <c r="Q1154" i="3"/>
  <c r="P1154" i="3"/>
  <c r="H1154" i="3"/>
  <c r="G1154" i="3"/>
  <c r="F1154" i="3"/>
  <c r="E1154" i="3"/>
  <c r="U1153" i="3"/>
  <c r="R1153" i="3"/>
  <c r="Q1153" i="3"/>
  <c r="P1153" i="3"/>
  <c r="H1153" i="3"/>
  <c r="G1153" i="3"/>
  <c r="F1153" i="3"/>
  <c r="E1153" i="3"/>
  <c r="U1152" i="3"/>
  <c r="R1152" i="3"/>
  <c r="Q1152" i="3"/>
  <c r="P1152" i="3"/>
  <c r="H1152" i="3"/>
  <c r="G1152" i="3"/>
  <c r="F1152" i="3"/>
  <c r="E1152" i="3"/>
  <c r="U1151" i="3"/>
  <c r="R1151" i="3"/>
  <c r="Q1151" i="3"/>
  <c r="P1151" i="3"/>
  <c r="H1151" i="3"/>
  <c r="G1151" i="3"/>
  <c r="F1151" i="3"/>
  <c r="E1151" i="3"/>
  <c r="U1150" i="3"/>
  <c r="R1150" i="3"/>
  <c r="Q1150" i="3"/>
  <c r="P1150" i="3"/>
  <c r="H1150" i="3"/>
  <c r="G1150" i="3"/>
  <c r="F1150" i="3"/>
  <c r="E1150" i="3"/>
  <c r="U1149" i="3"/>
  <c r="R1149" i="3"/>
  <c r="Q1149" i="3"/>
  <c r="P1149" i="3"/>
  <c r="H1149" i="3"/>
  <c r="G1149" i="3"/>
  <c r="F1149" i="3"/>
  <c r="E1149" i="3"/>
  <c r="U1148" i="3"/>
  <c r="R1148" i="3"/>
  <c r="Q1148" i="3"/>
  <c r="P1148" i="3"/>
  <c r="H1148" i="3"/>
  <c r="G1148" i="3"/>
  <c r="F1148" i="3"/>
  <c r="E1148" i="3"/>
  <c r="U1147" i="3"/>
  <c r="R1147" i="3"/>
  <c r="Q1147" i="3"/>
  <c r="P1147" i="3"/>
  <c r="H1147" i="3"/>
  <c r="G1147" i="3"/>
  <c r="F1147" i="3"/>
  <c r="E1147" i="3"/>
  <c r="U1146" i="3"/>
  <c r="R1146" i="3"/>
  <c r="Q1146" i="3"/>
  <c r="P1146" i="3"/>
  <c r="H1146" i="3"/>
  <c r="G1146" i="3"/>
  <c r="F1146" i="3"/>
  <c r="E1146" i="3"/>
  <c r="U1145" i="3"/>
  <c r="R1145" i="3"/>
  <c r="Q1145" i="3"/>
  <c r="P1145" i="3"/>
  <c r="H1145" i="3"/>
  <c r="G1145" i="3"/>
  <c r="F1145" i="3"/>
  <c r="E1145" i="3"/>
  <c r="U1144" i="3"/>
  <c r="R1144" i="3"/>
  <c r="Q1144" i="3"/>
  <c r="P1144" i="3"/>
  <c r="H1144" i="3"/>
  <c r="G1144" i="3"/>
  <c r="F1144" i="3"/>
  <c r="E1144" i="3"/>
  <c r="U1143" i="3"/>
  <c r="R1143" i="3"/>
  <c r="Q1143" i="3"/>
  <c r="P1143" i="3"/>
  <c r="H1143" i="3"/>
  <c r="G1143" i="3"/>
  <c r="F1143" i="3"/>
  <c r="E1143" i="3"/>
  <c r="U1142" i="3"/>
  <c r="R1142" i="3"/>
  <c r="Q1142" i="3"/>
  <c r="P1142" i="3"/>
  <c r="H1142" i="3"/>
  <c r="G1142" i="3"/>
  <c r="F1142" i="3"/>
  <c r="E1142" i="3"/>
  <c r="U1141" i="3"/>
  <c r="R1141" i="3"/>
  <c r="Q1141" i="3"/>
  <c r="P1141" i="3"/>
  <c r="H1141" i="3"/>
  <c r="G1141" i="3"/>
  <c r="F1141" i="3"/>
  <c r="E1141" i="3"/>
  <c r="U1140" i="3"/>
  <c r="R1140" i="3"/>
  <c r="Q1140" i="3"/>
  <c r="P1140" i="3"/>
  <c r="H1140" i="3"/>
  <c r="G1140" i="3"/>
  <c r="F1140" i="3"/>
  <c r="E1140" i="3"/>
  <c r="U1139" i="3"/>
  <c r="R1139" i="3"/>
  <c r="Q1139" i="3"/>
  <c r="P1139" i="3"/>
  <c r="H1139" i="3"/>
  <c r="G1139" i="3"/>
  <c r="F1139" i="3"/>
  <c r="E1139" i="3"/>
  <c r="U1138" i="3"/>
  <c r="R1138" i="3"/>
  <c r="Q1138" i="3"/>
  <c r="P1138" i="3"/>
  <c r="H1138" i="3"/>
  <c r="G1138" i="3"/>
  <c r="F1138" i="3"/>
  <c r="E1138" i="3"/>
  <c r="U1137" i="3"/>
  <c r="R1137" i="3"/>
  <c r="Q1137" i="3"/>
  <c r="P1137" i="3"/>
  <c r="H1137" i="3"/>
  <c r="G1137" i="3"/>
  <c r="F1137" i="3"/>
  <c r="E1137" i="3"/>
  <c r="U1136" i="3"/>
  <c r="R1136" i="3"/>
  <c r="Q1136" i="3"/>
  <c r="P1136" i="3"/>
  <c r="H1136" i="3"/>
  <c r="G1136" i="3"/>
  <c r="F1136" i="3"/>
  <c r="E1136" i="3"/>
  <c r="U1135" i="3"/>
  <c r="R1135" i="3"/>
  <c r="Q1135" i="3"/>
  <c r="P1135" i="3"/>
  <c r="H1135" i="3"/>
  <c r="G1135" i="3"/>
  <c r="F1135" i="3"/>
  <c r="E1135" i="3"/>
  <c r="U1134" i="3"/>
  <c r="R1134" i="3"/>
  <c r="Q1134" i="3"/>
  <c r="P1134" i="3"/>
  <c r="H1134" i="3"/>
  <c r="G1134" i="3"/>
  <c r="F1134" i="3"/>
  <c r="E1134" i="3"/>
  <c r="U1133" i="3"/>
  <c r="T1133" i="3"/>
  <c r="R1133" i="3"/>
  <c r="Q1133" i="3"/>
  <c r="P1133" i="3"/>
  <c r="H1133" i="3"/>
  <c r="G1133" i="3"/>
  <c r="F1133" i="3"/>
  <c r="E1133" i="3"/>
  <c r="L1133" i="3" s="1"/>
  <c r="U1132" i="3"/>
  <c r="R1132" i="3"/>
  <c r="Q1132" i="3"/>
  <c r="P1132" i="3"/>
  <c r="H1132" i="3"/>
  <c r="G1132" i="3"/>
  <c r="F1132" i="3"/>
  <c r="E1132" i="3"/>
  <c r="U1131" i="3"/>
  <c r="R1131" i="3"/>
  <c r="Q1131" i="3"/>
  <c r="P1131" i="3"/>
  <c r="H1131" i="3"/>
  <c r="G1131" i="3"/>
  <c r="F1131" i="3"/>
  <c r="E1131" i="3"/>
  <c r="U1130" i="3"/>
  <c r="R1130" i="3"/>
  <c r="Q1130" i="3"/>
  <c r="P1130" i="3"/>
  <c r="H1130" i="3"/>
  <c r="G1130" i="3"/>
  <c r="F1130" i="3"/>
  <c r="E1130" i="3"/>
  <c r="U1129" i="3"/>
  <c r="R1129" i="3"/>
  <c r="Q1129" i="3"/>
  <c r="P1129" i="3"/>
  <c r="H1129" i="3"/>
  <c r="G1129" i="3"/>
  <c r="F1129" i="3"/>
  <c r="E1129" i="3"/>
  <c r="U1128" i="3"/>
  <c r="R1128" i="3"/>
  <c r="Q1128" i="3"/>
  <c r="P1128" i="3"/>
  <c r="H1128" i="3"/>
  <c r="G1128" i="3"/>
  <c r="F1128" i="3"/>
  <c r="E1128" i="3"/>
  <c r="U1127" i="3"/>
  <c r="R1127" i="3"/>
  <c r="Q1127" i="3"/>
  <c r="P1127" i="3"/>
  <c r="H1127" i="3"/>
  <c r="G1127" i="3"/>
  <c r="F1127" i="3"/>
  <c r="E1127" i="3"/>
  <c r="U1126" i="3"/>
  <c r="R1126" i="3"/>
  <c r="Q1126" i="3"/>
  <c r="P1126" i="3"/>
  <c r="H1126" i="3"/>
  <c r="G1126" i="3"/>
  <c r="F1126" i="3"/>
  <c r="E1126" i="3"/>
  <c r="U1125" i="3"/>
  <c r="R1125" i="3"/>
  <c r="Q1125" i="3"/>
  <c r="P1125" i="3"/>
  <c r="H1125" i="3"/>
  <c r="G1125" i="3"/>
  <c r="F1125" i="3"/>
  <c r="E1125" i="3"/>
  <c r="U1124" i="3"/>
  <c r="R1124" i="3"/>
  <c r="Q1124" i="3"/>
  <c r="P1124" i="3"/>
  <c r="H1124" i="3"/>
  <c r="G1124" i="3"/>
  <c r="F1124" i="3"/>
  <c r="E1124" i="3"/>
  <c r="U1123" i="3"/>
  <c r="R1123" i="3"/>
  <c r="Q1123" i="3"/>
  <c r="P1123" i="3"/>
  <c r="H1123" i="3"/>
  <c r="G1123" i="3"/>
  <c r="F1123" i="3"/>
  <c r="E1123" i="3"/>
  <c r="U1122" i="3"/>
  <c r="R1122" i="3"/>
  <c r="Q1122" i="3"/>
  <c r="P1122" i="3"/>
  <c r="H1122" i="3"/>
  <c r="G1122" i="3"/>
  <c r="F1122" i="3"/>
  <c r="E1122" i="3"/>
  <c r="U1121" i="3"/>
  <c r="R1121" i="3"/>
  <c r="Q1121" i="3"/>
  <c r="P1121" i="3"/>
  <c r="H1121" i="3"/>
  <c r="G1121" i="3"/>
  <c r="F1121" i="3"/>
  <c r="E1121" i="3"/>
  <c r="U1120" i="3"/>
  <c r="R1120" i="3"/>
  <c r="Q1120" i="3"/>
  <c r="P1120" i="3"/>
  <c r="H1120" i="3"/>
  <c r="G1120" i="3"/>
  <c r="F1120" i="3"/>
  <c r="E1120" i="3"/>
  <c r="U1119" i="3"/>
  <c r="R1119" i="3"/>
  <c r="Q1119" i="3"/>
  <c r="P1119" i="3"/>
  <c r="H1119" i="3"/>
  <c r="G1119" i="3"/>
  <c r="F1119" i="3"/>
  <c r="E1119" i="3"/>
  <c r="U1118" i="3"/>
  <c r="R1118" i="3"/>
  <c r="Q1118" i="3"/>
  <c r="P1118" i="3"/>
  <c r="H1118" i="3"/>
  <c r="G1118" i="3"/>
  <c r="F1118" i="3"/>
  <c r="E1118" i="3"/>
  <c r="U1117" i="3"/>
  <c r="R1117" i="3"/>
  <c r="Q1117" i="3"/>
  <c r="P1117" i="3"/>
  <c r="H1117" i="3"/>
  <c r="G1117" i="3"/>
  <c r="F1117" i="3"/>
  <c r="E1117" i="3"/>
  <c r="U1116" i="3"/>
  <c r="R1116" i="3"/>
  <c r="Q1116" i="3"/>
  <c r="P1116" i="3"/>
  <c r="H1116" i="3"/>
  <c r="G1116" i="3"/>
  <c r="F1116" i="3"/>
  <c r="E1116" i="3"/>
  <c r="U1115" i="3"/>
  <c r="R1115" i="3"/>
  <c r="Q1115" i="3"/>
  <c r="P1115" i="3"/>
  <c r="H1115" i="3"/>
  <c r="G1115" i="3"/>
  <c r="F1115" i="3"/>
  <c r="E1115" i="3"/>
  <c r="U1114" i="3"/>
  <c r="R1114" i="3"/>
  <c r="Q1114" i="3"/>
  <c r="P1114" i="3"/>
  <c r="H1114" i="3"/>
  <c r="G1114" i="3"/>
  <c r="F1114" i="3"/>
  <c r="E1114" i="3"/>
  <c r="U1113" i="3"/>
  <c r="R1113" i="3"/>
  <c r="Q1113" i="3"/>
  <c r="P1113" i="3"/>
  <c r="H1113" i="3"/>
  <c r="G1113" i="3"/>
  <c r="F1113" i="3"/>
  <c r="E1113" i="3"/>
  <c r="U1112" i="3"/>
  <c r="R1112" i="3"/>
  <c r="Q1112" i="3"/>
  <c r="P1112" i="3"/>
  <c r="H1112" i="3"/>
  <c r="G1112" i="3"/>
  <c r="F1112" i="3"/>
  <c r="E1112" i="3"/>
  <c r="U1111" i="3"/>
  <c r="R1111" i="3"/>
  <c r="Q1111" i="3"/>
  <c r="P1111" i="3"/>
  <c r="H1111" i="3"/>
  <c r="G1111" i="3"/>
  <c r="F1111" i="3"/>
  <c r="E1111" i="3"/>
  <c r="U1110" i="3"/>
  <c r="R1110" i="3"/>
  <c r="Q1110" i="3"/>
  <c r="P1110" i="3"/>
  <c r="H1110" i="3"/>
  <c r="G1110" i="3"/>
  <c r="F1110" i="3"/>
  <c r="E1110" i="3"/>
  <c r="U1109" i="3"/>
  <c r="R1109" i="3"/>
  <c r="Q1109" i="3"/>
  <c r="P1109" i="3"/>
  <c r="H1109" i="3"/>
  <c r="G1109" i="3"/>
  <c r="F1109" i="3"/>
  <c r="E1109" i="3"/>
  <c r="U1108" i="3"/>
  <c r="R1108" i="3"/>
  <c r="Q1108" i="3"/>
  <c r="P1108" i="3"/>
  <c r="H1108" i="3"/>
  <c r="G1108" i="3"/>
  <c r="F1108" i="3"/>
  <c r="E1108" i="3"/>
  <c r="U1107" i="3"/>
  <c r="R1107" i="3"/>
  <c r="Q1107" i="3"/>
  <c r="P1107" i="3"/>
  <c r="H1107" i="3"/>
  <c r="G1107" i="3"/>
  <c r="F1107" i="3"/>
  <c r="E1107" i="3"/>
  <c r="U1106" i="3"/>
  <c r="R1106" i="3"/>
  <c r="Q1106" i="3"/>
  <c r="P1106" i="3"/>
  <c r="H1106" i="3"/>
  <c r="G1106" i="3"/>
  <c r="F1106" i="3"/>
  <c r="E1106" i="3"/>
  <c r="U1105" i="3"/>
  <c r="R1105" i="3"/>
  <c r="Q1105" i="3"/>
  <c r="P1105" i="3"/>
  <c r="H1105" i="3"/>
  <c r="G1105" i="3"/>
  <c r="F1105" i="3"/>
  <c r="E1105" i="3"/>
  <c r="U1104" i="3"/>
  <c r="R1104" i="3"/>
  <c r="Q1104" i="3"/>
  <c r="P1104" i="3"/>
  <c r="H1104" i="3"/>
  <c r="G1104" i="3"/>
  <c r="F1104" i="3"/>
  <c r="E1104" i="3"/>
  <c r="U1103" i="3"/>
  <c r="R1103" i="3"/>
  <c r="Q1103" i="3"/>
  <c r="P1103" i="3"/>
  <c r="H1103" i="3"/>
  <c r="G1103" i="3"/>
  <c r="F1103" i="3"/>
  <c r="E1103" i="3"/>
  <c r="U1102" i="3"/>
  <c r="R1102" i="3"/>
  <c r="Q1102" i="3"/>
  <c r="P1102" i="3"/>
  <c r="H1102" i="3"/>
  <c r="G1102" i="3"/>
  <c r="F1102" i="3"/>
  <c r="E1102" i="3"/>
  <c r="U1101" i="3"/>
  <c r="R1101" i="3"/>
  <c r="Q1101" i="3"/>
  <c r="P1101" i="3"/>
  <c r="H1101" i="3"/>
  <c r="G1101" i="3"/>
  <c r="F1101" i="3"/>
  <c r="E1101" i="3"/>
  <c r="U1100" i="3"/>
  <c r="R1100" i="3"/>
  <c r="Q1100" i="3"/>
  <c r="P1100" i="3"/>
  <c r="H1100" i="3"/>
  <c r="G1100" i="3"/>
  <c r="F1100" i="3"/>
  <c r="E1100" i="3"/>
  <c r="U1099" i="3"/>
  <c r="R1099" i="3"/>
  <c r="Q1099" i="3"/>
  <c r="P1099" i="3"/>
  <c r="H1099" i="3"/>
  <c r="G1099" i="3"/>
  <c r="F1099" i="3"/>
  <c r="E1099" i="3"/>
  <c r="U1098" i="3"/>
  <c r="R1098" i="3"/>
  <c r="Q1098" i="3"/>
  <c r="P1098" i="3"/>
  <c r="H1098" i="3"/>
  <c r="G1098" i="3"/>
  <c r="F1098" i="3"/>
  <c r="E1098" i="3"/>
  <c r="U1097" i="3"/>
  <c r="R1097" i="3"/>
  <c r="Q1097" i="3"/>
  <c r="P1097" i="3"/>
  <c r="H1097" i="3"/>
  <c r="G1097" i="3"/>
  <c r="F1097" i="3"/>
  <c r="E1097" i="3"/>
  <c r="U1096" i="3"/>
  <c r="R1096" i="3"/>
  <c r="Q1096" i="3"/>
  <c r="P1096" i="3"/>
  <c r="H1096" i="3"/>
  <c r="G1096" i="3"/>
  <c r="F1096" i="3"/>
  <c r="E1096" i="3"/>
  <c r="U1095" i="3"/>
  <c r="R1095" i="3"/>
  <c r="Q1095" i="3"/>
  <c r="P1095" i="3"/>
  <c r="H1095" i="3"/>
  <c r="G1095" i="3"/>
  <c r="F1095" i="3"/>
  <c r="E1095" i="3"/>
  <c r="U1094" i="3"/>
  <c r="R1094" i="3"/>
  <c r="Q1094" i="3"/>
  <c r="P1094" i="3"/>
  <c r="H1094" i="3"/>
  <c r="G1094" i="3"/>
  <c r="F1094" i="3"/>
  <c r="E1094" i="3"/>
  <c r="U1093" i="3"/>
  <c r="R1093" i="3"/>
  <c r="Q1093" i="3"/>
  <c r="P1093" i="3"/>
  <c r="H1093" i="3"/>
  <c r="G1093" i="3"/>
  <c r="F1093" i="3"/>
  <c r="E1093" i="3"/>
  <c r="U1092" i="3"/>
  <c r="R1092" i="3"/>
  <c r="Q1092" i="3"/>
  <c r="P1092" i="3"/>
  <c r="H1092" i="3"/>
  <c r="G1092" i="3"/>
  <c r="F1092" i="3"/>
  <c r="E1092" i="3"/>
  <c r="U1091" i="3"/>
  <c r="R1091" i="3"/>
  <c r="Q1091" i="3"/>
  <c r="P1091" i="3"/>
  <c r="H1091" i="3"/>
  <c r="G1091" i="3"/>
  <c r="F1091" i="3"/>
  <c r="E1091" i="3"/>
  <c r="U1090" i="3"/>
  <c r="R1090" i="3"/>
  <c r="Q1090" i="3"/>
  <c r="P1090" i="3"/>
  <c r="H1090" i="3"/>
  <c r="G1090" i="3"/>
  <c r="F1090" i="3"/>
  <c r="E1090" i="3"/>
  <c r="U1089" i="3"/>
  <c r="R1089" i="3"/>
  <c r="Q1089" i="3"/>
  <c r="P1089" i="3"/>
  <c r="H1089" i="3"/>
  <c r="G1089" i="3"/>
  <c r="F1089" i="3"/>
  <c r="E1089" i="3"/>
  <c r="U1088" i="3"/>
  <c r="R1088" i="3"/>
  <c r="Q1088" i="3"/>
  <c r="P1088" i="3"/>
  <c r="H1088" i="3"/>
  <c r="G1088" i="3"/>
  <c r="F1088" i="3"/>
  <c r="E1088" i="3"/>
  <c r="U1087" i="3"/>
  <c r="R1087" i="3"/>
  <c r="Q1087" i="3"/>
  <c r="P1087" i="3"/>
  <c r="H1087" i="3"/>
  <c r="G1087" i="3"/>
  <c r="F1087" i="3"/>
  <c r="E1087" i="3"/>
  <c r="U1086" i="3"/>
  <c r="R1086" i="3"/>
  <c r="Q1086" i="3"/>
  <c r="P1086" i="3"/>
  <c r="H1086" i="3"/>
  <c r="G1086" i="3"/>
  <c r="F1086" i="3"/>
  <c r="E1086" i="3"/>
  <c r="U1085" i="3"/>
  <c r="R1085" i="3"/>
  <c r="Q1085" i="3"/>
  <c r="P1085" i="3"/>
  <c r="H1085" i="3"/>
  <c r="G1085" i="3"/>
  <c r="F1085" i="3"/>
  <c r="E1085" i="3"/>
  <c r="U1084" i="3"/>
  <c r="R1084" i="3"/>
  <c r="Q1084" i="3"/>
  <c r="P1084" i="3"/>
  <c r="H1084" i="3"/>
  <c r="G1084" i="3"/>
  <c r="F1084" i="3"/>
  <c r="E1084" i="3"/>
  <c r="U1083" i="3"/>
  <c r="R1083" i="3"/>
  <c r="Q1083" i="3"/>
  <c r="P1083" i="3"/>
  <c r="H1083" i="3"/>
  <c r="G1083" i="3"/>
  <c r="F1083" i="3"/>
  <c r="E1083" i="3"/>
  <c r="U1082" i="3"/>
  <c r="R1082" i="3"/>
  <c r="Q1082" i="3"/>
  <c r="P1082" i="3"/>
  <c r="H1082" i="3"/>
  <c r="G1082" i="3"/>
  <c r="F1082" i="3"/>
  <c r="E1082" i="3"/>
  <c r="U1081" i="3"/>
  <c r="R1081" i="3"/>
  <c r="Q1081" i="3"/>
  <c r="P1081" i="3"/>
  <c r="H1081" i="3"/>
  <c r="G1081" i="3"/>
  <c r="F1081" i="3"/>
  <c r="E1081" i="3"/>
  <c r="U1080" i="3"/>
  <c r="R1080" i="3"/>
  <c r="Q1080" i="3"/>
  <c r="P1080" i="3"/>
  <c r="H1080" i="3"/>
  <c r="G1080" i="3"/>
  <c r="F1080" i="3"/>
  <c r="E1080" i="3"/>
  <c r="U1079" i="3"/>
  <c r="R1079" i="3"/>
  <c r="Q1079" i="3"/>
  <c r="P1079" i="3"/>
  <c r="H1079" i="3"/>
  <c r="G1079" i="3"/>
  <c r="F1079" i="3"/>
  <c r="E1079" i="3"/>
  <c r="U1078" i="3"/>
  <c r="R1078" i="3"/>
  <c r="Q1078" i="3"/>
  <c r="P1078" i="3"/>
  <c r="H1078" i="3"/>
  <c r="G1078" i="3"/>
  <c r="F1078" i="3"/>
  <c r="E1078" i="3"/>
  <c r="U1077" i="3"/>
  <c r="R1077" i="3"/>
  <c r="Q1077" i="3"/>
  <c r="P1077" i="3"/>
  <c r="H1077" i="3"/>
  <c r="G1077" i="3"/>
  <c r="F1077" i="3"/>
  <c r="E1077" i="3"/>
  <c r="U1076" i="3"/>
  <c r="R1076" i="3"/>
  <c r="Q1076" i="3"/>
  <c r="P1076" i="3"/>
  <c r="H1076" i="3"/>
  <c r="G1076" i="3"/>
  <c r="F1076" i="3"/>
  <c r="E1076" i="3"/>
  <c r="U1075" i="3"/>
  <c r="R1075" i="3"/>
  <c r="Q1075" i="3"/>
  <c r="P1075" i="3"/>
  <c r="H1075" i="3"/>
  <c r="G1075" i="3"/>
  <c r="F1075" i="3"/>
  <c r="E1075" i="3"/>
  <c r="U1074" i="3"/>
  <c r="R1074" i="3"/>
  <c r="Q1074" i="3"/>
  <c r="P1074" i="3"/>
  <c r="H1074" i="3"/>
  <c r="G1074" i="3"/>
  <c r="F1074" i="3"/>
  <c r="E1074" i="3"/>
  <c r="U1073" i="3"/>
  <c r="R1073" i="3"/>
  <c r="Q1073" i="3"/>
  <c r="P1073" i="3"/>
  <c r="H1073" i="3"/>
  <c r="G1073" i="3"/>
  <c r="F1073" i="3"/>
  <c r="E1073" i="3"/>
  <c r="U1072" i="3"/>
  <c r="R1072" i="3"/>
  <c r="Q1072" i="3"/>
  <c r="P1072" i="3"/>
  <c r="H1072" i="3"/>
  <c r="G1072" i="3"/>
  <c r="F1072" i="3"/>
  <c r="E1072" i="3"/>
  <c r="U1071" i="3"/>
  <c r="R1071" i="3"/>
  <c r="Q1071" i="3"/>
  <c r="P1071" i="3"/>
  <c r="H1071" i="3"/>
  <c r="G1071" i="3"/>
  <c r="F1071" i="3"/>
  <c r="E1071" i="3"/>
  <c r="U1070" i="3"/>
  <c r="R1070" i="3"/>
  <c r="Q1070" i="3"/>
  <c r="P1070" i="3"/>
  <c r="H1070" i="3"/>
  <c r="G1070" i="3"/>
  <c r="F1070" i="3"/>
  <c r="E1070" i="3"/>
  <c r="U1069" i="3"/>
  <c r="R1069" i="3"/>
  <c r="Q1069" i="3"/>
  <c r="P1069" i="3"/>
  <c r="H1069" i="3"/>
  <c r="G1069" i="3"/>
  <c r="F1069" i="3"/>
  <c r="E1069" i="3"/>
  <c r="U1068" i="3"/>
  <c r="R1068" i="3"/>
  <c r="Q1068" i="3"/>
  <c r="P1068" i="3"/>
  <c r="H1068" i="3"/>
  <c r="G1068" i="3"/>
  <c r="F1068" i="3"/>
  <c r="E1068" i="3"/>
  <c r="U1067" i="3"/>
  <c r="R1067" i="3"/>
  <c r="Q1067" i="3"/>
  <c r="P1067" i="3"/>
  <c r="H1067" i="3"/>
  <c r="G1067" i="3"/>
  <c r="F1067" i="3"/>
  <c r="E1067" i="3"/>
  <c r="U1066" i="3"/>
  <c r="R1066" i="3"/>
  <c r="Q1066" i="3"/>
  <c r="P1066" i="3"/>
  <c r="H1066" i="3"/>
  <c r="G1066" i="3"/>
  <c r="F1066" i="3"/>
  <c r="E1066" i="3"/>
  <c r="U1065" i="3"/>
  <c r="R1065" i="3"/>
  <c r="Q1065" i="3"/>
  <c r="P1065" i="3"/>
  <c r="H1065" i="3"/>
  <c r="G1065" i="3"/>
  <c r="F1065" i="3"/>
  <c r="E1065" i="3"/>
  <c r="U1064" i="3"/>
  <c r="R1064" i="3"/>
  <c r="Q1064" i="3"/>
  <c r="P1064" i="3"/>
  <c r="H1064" i="3"/>
  <c r="G1064" i="3"/>
  <c r="F1064" i="3"/>
  <c r="E1064" i="3"/>
  <c r="U1063" i="3"/>
  <c r="R1063" i="3"/>
  <c r="Q1063" i="3"/>
  <c r="P1063" i="3"/>
  <c r="H1063" i="3"/>
  <c r="G1063" i="3"/>
  <c r="F1063" i="3"/>
  <c r="E1063" i="3"/>
  <c r="U1062" i="3"/>
  <c r="R1062" i="3"/>
  <c r="Q1062" i="3"/>
  <c r="P1062" i="3"/>
  <c r="H1062" i="3"/>
  <c r="G1062" i="3"/>
  <c r="F1062" i="3"/>
  <c r="E1062" i="3"/>
  <c r="U1061" i="3"/>
  <c r="R1061" i="3"/>
  <c r="Q1061" i="3"/>
  <c r="P1061" i="3"/>
  <c r="H1061" i="3"/>
  <c r="G1061" i="3"/>
  <c r="F1061" i="3"/>
  <c r="E1061" i="3"/>
  <c r="U1060" i="3"/>
  <c r="R1060" i="3"/>
  <c r="Q1060" i="3"/>
  <c r="P1060" i="3"/>
  <c r="H1060" i="3"/>
  <c r="G1060" i="3"/>
  <c r="F1060" i="3"/>
  <c r="E1060" i="3"/>
  <c r="U1059" i="3"/>
  <c r="R1059" i="3"/>
  <c r="Q1059" i="3"/>
  <c r="P1059" i="3"/>
  <c r="H1059" i="3"/>
  <c r="G1059" i="3"/>
  <c r="F1059" i="3"/>
  <c r="E1059" i="3"/>
  <c r="U1058" i="3"/>
  <c r="R1058" i="3"/>
  <c r="Q1058" i="3"/>
  <c r="P1058" i="3"/>
  <c r="H1058" i="3"/>
  <c r="G1058" i="3"/>
  <c r="F1058" i="3"/>
  <c r="E1058" i="3"/>
  <c r="U1057" i="3"/>
  <c r="R1057" i="3"/>
  <c r="Q1057" i="3"/>
  <c r="P1057" i="3"/>
  <c r="H1057" i="3"/>
  <c r="G1057" i="3"/>
  <c r="F1057" i="3"/>
  <c r="E1057" i="3"/>
  <c r="U1056" i="3"/>
  <c r="R1056" i="3"/>
  <c r="Q1056" i="3"/>
  <c r="P1056" i="3"/>
  <c r="H1056" i="3"/>
  <c r="G1056" i="3"/>
  <c r="F1056" i="3"/>
  <c r="E1056" i="3"/>
  <c r="U1055" i="3"/>
  <c r="R1055" i="3"/>
  <c r="Q1055" i="3"/>
  <c r="P1055" i="3"/>
  <c r="H1055" i="3"/>
  <c r="G1055" i="3"/>
  <c r="F1055" i="3"/>
  <c r="E1055" i="3"/>
  <c r="U1054" i="3"/>
  <c r="R1054" i="3"/>
  <c r="Q1054" i="3"/>
  <c r="P1054" i="3"/>
  <c r="H1054" i="3"/>
  <c r="G1054" i="3"/>
  <c r="F1054" i="3"/>
  <c r="E1054" i="3"/>
  <c r="U1053" i="3"/>
  <c r="R1053" i="3"/>
  <c r="Q1053" i="3"/>
  <c r="P1053" i="3"/>
  <c r="H1053" i="3"/>
  <c r="G1053" i="3"/>
  <c r="F1053" i="3"/>
  <c r="E1053" i="3"/>
  <c r="U1052" i="3"/>
  <c r="R1052" i="3"/>
  <c r="Q1052" i="3"/>
  <c r="P1052" i="3"/>
  <c r="H1052" i="3"/>
  <c r="G1052" i="3"/>
  <c r="F1052" i="3"/>
  <c r="E1052" i="3"/>
  <c r="U1051" i="3"/>
  <c r="R1051" i="3"/>
  <c r="Q1051" i="3"/>
  <c r="P1051" i="3"/>
  <c r="H1051" i="3"/>
  <c r="G1051" i="3"/>
  <c r="F1051" i="3"/>
  <c r="E1051" i="3"/>
  <c r="U1050" i="3"/>
  <c r="R1050" i="3"/>
  <c r="Q1050" i="3"/>
  <c r="P1050" i="3"/>
  <c r="H1050" i="3"/>
  <c r="G1050" i="3"/>
  <c r="F1050" i="3"/>
  <c r="E1050" i="3"/>
  <c r="U1049" i="3"/>
  <c r="R1049" i="3"/>
  <c r="Q1049" i="3"/>
  <c r="P1049" i="3"/>
  <c r="H1049" i="3"/>
  <c r="G1049" i="3"/>
  <c r="F1049" i="3"/>
  <c r="E1049" i="3"/>
  <c r="U1048" i="3"/>
  <c r="R1048" i="3"/>
  <c r="Q1048" i="3"/>
  <c r="P1048" i="3"/>
  <c r="H1048" i="3"/>
  <c r="G1048" i="3"/>
  <c r="F1048" i="3"/>
  <c r="E1048" i="3"/>
  <c r="U1047" i="3"/>
  <c r="R1047" i="3"/>
  <c r="Q1047" i="3"/>
  <c r="P1047" i="3"/>
  <c r="H1047" i="3"/>
  <c r="G1047" i="3"/>
  <c r="F1047" i="3"/>
  <c r="E1047" i="3"/>
  <c r="U1046" i="3"/>
  <c r="R1046" i="3"/>
  <c r="Q1046" i="3"/>
  <c r="P1046" i="3"/>
  <c r="H1046" i="3"/>
  <c r="G1046" i="3"/>
  <c r="F1046" i="3"/>
  <c r="E1046" i="3"/>
  <c r="U1045" i="3"/>
  <c r="R1045" i="3"/>
  <c r="Q1045" i="3"/>
  <c r="P1045" i="3"/>
  <c r="H1045" i="3"/>
  <c r="G1045" i="3"/>
  <c r="F1045" i="3"/>
  <c r="E1045" i="3"/>
  <c r="U1044" i="3"/>
  <c r="R1044" i="3"/>
  <c r="Q1044" i="3"/>
  <c r="P1044" i="3"/>
  <c r="H1044" i="3"/>
  <c r="G1044" i="3"/>
  <c r="F1044" i="3"/>
  <c r="E1044" i="3"/>
  <c r="U1043" i="3"/>
  <c r="R1043" i="3"/>
  <c r="Q1043" i="3"/>
  <c r="P1043" i="3"/>
  <c r="H1043" i="3"/>
  <c r="G1043" i="3"/>
  <c r="F1043" i="3"/>
  <c r="E1043" i="3"/>
  <c r="U1042" i="3"/>
  <c r="R1042" i="3"/>
  <c r="Q1042" i="3"/>
  <c r="P1042" i="3"/>
  <c r="H1042" i="3"/>
  <c r="G1042" i="3"/>
  <c r="F1042" i="3"/>
  <c r="E1042" i="3"/>
  <c r="U1041" i="3"/>
  <c r="R1041" i="3"/>
  <c r="Q1041" i="3"/>
  <c r="P1041" i="3"/>
  <c r="H1041" i="3"/>
  <c r="G1041" i="3"/>
  <c r="F1041" i="3"/>
  <c r="E1041" i="3"/>
  <c r="U1040" i="3"/>
  <c r="R1040" i="3"/>
  <c r="Q1040" i="3"/>
  <c r="P1040" i="3"/>
  <c r="H1040" i="3"/>
  <c r="G1040" i="3"/>
  <c r="F1040" i="3"/>
  <c r="E1040" i="3"/>
  <c r="U1039" i="3"/>
  <c r="R1039" i="3"/>
  <c r="Q1039" i="3"/>
  <c r="P1039" i="3"/>
  <c r="H1039" i="3"/>
  <c r="G1039" i="3"/>
  <c r="F1039" i="3"/>
  <c r="E1039" i="3"/>
  <c r="U1038" i="3"/>
  <c r="R1038" i="3"/>
  <c r="Q1038" i="3"/>
  <c r="P1038" i="3"/>
  <c r="H1038" i="3"/>
  <c r="G1038" i="3"/>
  <c r="F1038" i="3"/>
  <c r="E1038" i="3"/>
  <c r="U1037" i="3"/>
  <c r="R1037" i="3"/>
  <c r="Q1037" i="3"/>
  <c r="P1037" i="3"/>
  <c r="L1037" i="3"/>
  <c r="H1037" i="3"/>
  <c r="G1037" i="3"/>
  <c r="F1037" i="3"/>
  <c r="E1037" i="3"/>
  <c r="T1037" i="3" s="1"/>
  <c r="U1036" i="3"/>
  <c r="R1036" i="3"/>
  <c r="Q1036" i="3"/>
  <c r="P1036" i="3"/>
  <c r="H1036" i="3"/>
  <c r="G1036" i="3"/>
  <c r="F1036" i="3"/>
  <c r="E1036" i="3"/>
  <c r="U1035" i="3"/>
  <c r="R1035" i="3"/>
  <c r="Q1035" i="3"/>
  <c r="P1035" i="3"/>
  <c r="H1035" i="3"/>
  <c r="G1035" i="3"/>
  <c r="F1035" i="3"/>
  <c r="E1035" i="3"/>
  <c r="U1034" i="3"/>
  <c r="R1034" i="3"/>
  <c r="Q1034" i="3"/>
  <c r="P1034" i="3"/>
  <c r="H1034" i="3"/>
  <c r="G1034" i="3"/>
  <c r="F1034" i="3"/>
  <c r="E1034" i="3"/>
  <c r="U1033" i="3"/>
  <c r="R1033" i="3"/>
  <c r="Q1033" i="3"/>
  <c r="P1033" i="3"/>
  <c r="H1033" i="3"/>
  <c r="G1033" i="3"/>
  <c r="F1033" i="3"/>
  <c r="E1033" i="3"/>
  <c r="U1032" i="3"/>
  <c r="R1032" i="3"/>
  <c r="Q1032" i="3"/>
  <c r="P1032" i="3"/>
  <c r="H1032" i="3"/>
  <c r="G1032" i="3"/>
  <c r="F1032" i="3"/>
  <c r="E1032" i="3"/>
  <c r="U1031" i="3"/>
  <c r="R1031" i="3"/>
  <c r="Q1031" i="3"/>
  <c r="P1031" i="3"/>
  <c r="H1031" i="3"/>
  <c r="G1031" i="3"/>
  <c r="F1031" i="3"/>
  <c r="E1031" i="3"/>
  <c r="U1030" i="3"/>
  <c r="R1030" i="3"/>
  <c r="Q1030" i="3"/>
  <c r="P1030" i="3"/>
  <c r="H1030" i="3"/>
  <c r="G1030" i="3"/>
  <c r="F1030" i="3"/>
  <c r="E1030" i="3"/>
  <c r="U1029" i="3"/>
  <c r="R1029" i="3"/>
  <c r="Q1029" i="3"/>
  <c r="P1029" i="3"/>
  <c r="H1029" i="3"/>
  <c r="G1029" i="3"/>
  <c r="F1029" i="3"/>
  <c r="E1029" i="3"/>
  <c r="U1028" i="3"/>
  <c r="R1028" i="3"/>
  <c r="Q1028" i="3"/>
  <c r="P1028" i="3"/>
  <c r="H1028" i="3"/>
  <c r="G1028" i="3"/>
  <c r="F1028" i="3"/>
  <c r="E1028" i="3"/>
  <c r="U1027" i="3"/>
  <c r="R1027" i="3"/>
  <c r="Q1027" i="3"/>
  <c r="P1027" i="3"/>
  <c r="H1027" i="3"/>
  <c r="G1027" i="3"/>
  <c r="F1027" i="3"/>
  <c r="E1027" i="3"/>
  <c r="U1026" i="3"/>
  <c r="R1026" i="3"/>
  <c r="Q1026" i="3"/>
  <c r="P1026" i="3"/>
  <c r="H1026" i="3"/>
  <c r="G1026" i="3"/>
  <c r="F1026" i="3"/>
  <c r="E1026" i="3"/>
  <c r="U1025" i="3"/>
  <c r="R1025" i="3"/>
  <c r="Q1025" i="3"/>
  <c r="P1025" i="3"/>
  <c r="H1025" i="3"/>
  <c r="G1025" i="3"/>
  <c r="F1025" i="3"/>
  <c r="E1025" i="3"/>
  <c r="U1024" i="3"/>
  <c r="R1024" i="3"/>
  <c r="Q1024" i="3"/>
  <c r="P1024" i="3"/>
  <c r="H1024" i="3"/>
  <c r="G1024" i="3"/>
  <c r="F1024" i="3"/>
  <c r="E1024" i="3"/>
  <c r="U1023" i="3"/>
  <c r="R1023" i="3"/>
  <c r="Q1023" i="3"/>
  <c r="P1023" i="3"/>
  <c r="H1023" i="3"/>
  <c r="G1023" i="3"/>
  <c r="F1023" i="3"/>
  <c r="E1023" i="3"/>
  <c r="U1022" i="3"/>
  <c r="R1022" i="3"/>
  <c r="Q1022" i="3"/>
  <c r="P1022" i="3"/>
  <c r="H1022" i="3"/>
  <c r="G1022" i="3"/>
  <c r="F1022" i="3"/>
  <c r="E1022" i="3"/>
  <c r="U1021" i="3"/>
  <c r="R1021" i="3"/>
  <c r="Q1021" i="3"/>
  <c r="P1021" i="3"/>
  <c r="H1021" i="3"/>
  <c r="G1021" i="3"/>
  <c r="F1021" i="3"/>
  <c r="E1021" i="3"/>
  <c r="U1020" i="3"/>
  <c r="R1020" i="3"/>
  <c r="Q1020" i="3"/>
  <c r="P1020" i="3"/>
  <c r="H1020" i="3"/>
  <c r="G1020" i="3"/>
  <c r="F1020" i="3"/>
  <c r="E1020" i="3"/>
  <c r="U1019" i="3"/>
  <c r="R1019" i="3"/>
  <c r="Q1019" i="3"/>
  <c r="P1019" i="3"/>
  <c r="H1019" i="3"/>
  <c r="G1019" i="3"/>
  <c r="F1019" i="3"/>
  <c r="E1019" i="3"/>
  <c r="U1018" i="3"/>
  <c r="R1018" i="3"/>
  <c r="Q1018" i="3"/>
  <c r="P1018" i="3"/>
  <c r="H1018" i="3"/>
  <c r="G1018" i="3"/>
  <c r="F1018" i="3"/>
  <c r="E1018" i="3"/>
  <c r="U1017" i="3"/>
  <c r="R1017" i="3"/>
  <c r="Q1017" i="3"/>
  <c r="P1017" i="3"/>
  <c r="H1017" i="3"/>
  <c r="G1017" i="3"/>
  <c r="F1017" i="3"/>
  <c r="E1017" i="3"/>
  <c r="U1016" i="3"/>
  <c r="R1016" i="3"/>
  <c r="Q1016" i="3"/>
  <c r="P1016" i="3"/>
  <c r="H1016" i="3"/>
  <c r="G1016" i="3"/>
  <c r="F1016" i="3"/>
  <c r="E1016" i="3"/>
  <c r="U1015" i="3"/>
  <c r="R1015" i="3"/>
  <c r="Q1015" i="3"/>
  <c r="P1015" i="3"/>
  <c r="H1015" i="3"/>
  <c r="G1015" i="3"/>
  <c r="F1015" i="3"/>
  <c r="E1015" i="3"/>
  <c r="U1014" i="3"/>
  <c r="R1014" i="3"/>
  <c r="Q1014" i="3"/>
  <c r="P1014" i="3"/>
  <c r="H1014" i="3"/>
  <c r="G1014" i="3"/>
  <c r="F1014" i="3"/>
  <c r="E1014" i="3"/>
  <c r="U1013" i="3"/>
  <c r="R1013" i="3"/>
  <c r="Q1013" i="3"/>
  <c r="P1013" i="3"/>
  <c r="H1013" i="3"/>
  <c r="G1013" i="3"/>
  <c r="F1013" i="3"/>
  <c r="E1013" i="3"/>
  <c r="U1012" i="3"/>
  <c r="R1012" i="3"/>
  <c r="Q1012" i="3"/>
  <c r="P1012" i="3"/>
  <c r="H1012" i="3"/>
  <c r="G1012" i="3"/>
  <c r="F1012" i="3"/>
  <c r="E1012" i="3"/>
  <c r="U1011" i="3"/>
  <c r="R1011" i="3"/>
  <c r="Q1011" i="3"/>
  <c r="P1011" i="3"/>
  <c r="H1011" i="3"/>
  <c r="G1011" i="3"/>
  <c r="F1011" i="3"/>
  <c r="E1011" i="3"/>
  <c r="U1010" i="3"/>
  <c r="R1010" i="3"/>
  <c r="Q1010" i="3"/>
  <c r="P1010" i="3"/>
  <c r="H1010" i="3"/>
  <c r="G1010" i="3"/>
  <c r="F1010" i="3"/>
  <c r="E1010" i="3"/>
  <c r="U1009" i="3"/>
  <c r="R1009" i="3"/>
  <c r="Q1009" i="3"/>
  <c r="P1009" i="3"/>
  <c r="H1009" i="3"/>
  <c r="G1009" i="3"/>
  <c r="F1009" i="3"/>
  <c r="E1009" i="3"/>
  <c r="U1008" i="3"/>
  <c r="R1008" i="3"/>
  <c r="Q1008" i="3"/>
  <c r="P1008" i="3"/>
  <c r="H1008" i="3"/>
  <c r="G1008" i="3"/>
  <c r="F1008" i="3"/>
  <c r="E1008" i="3"/>
  <c r="U1007" i="3"/>
  <c r="R1007" i="3"/>
  <c r="Q1007" i="3"/>
  <c r="P1007" i="3"/>
  <c r="H1007" i="3"/>
  <c r="G1007" i="3"/>
  <c r="F1007" i="3"/>
  <c r="E1007" i="3"/>
  <c r="U1006" i="3"/>
  <c r="R1006" i="3"/>
  <c r="Q1006" i="3"/>
  <c r="P1006" i="3"/>
  <c r="H1006" i="3"/>
  <c r="G1006" i="3"/>
  <c r="F1006" i="3"/>
  <c r="E1006" i="3"/>
  <c r="U1005" i="3"/>
  <c r="R1005" i="3"/>
  <c r="Q1005" i="3"/>
  <c r="P1005" i="3"/>
  <c r="H1005" i="3"/>
  <c r="G1005" i="3"/>
  <c r="F1005" i="3"/>
  <c r="E1005" i="3"/>
  <c r="U1004" i="3"/>
  <c r="R1004" i="3"/>
  <c r="Q1004" i="3"/>
  <c r="P1004" i="3"/>
  <c r="H1004" i="3"/>
  <c r="G1004" i="3"/>
  <c r="F1004" i="3"/>
  <c r="E1004" i="3"/>
  <c r="U1003" i="3"/>
  <c r="R1003" i="3"/>
  <c r="Q1003" i="3"/>
  <c r="P1003" i="3"/>
  <c r="H1003" i="3"/>
  <c r="G1003" i="3"/>
  <c r="F1003" i="3"/>
  <c r="E1003" i="3"/>
  <c r="U1002" i="3"/>
  <c r="R1002" i="3"/>
  <c r="Q1002" i="3"/>
  <c r="P1002" i="3"/>
  <c r="H1002" i="3"/>
  <c r="G1002" i="3"/>
  <c r="F1002" i="3"/>
  <c r="E1002" i="3"/>
  <c r="U1001" i="3"/>
  <c r="R1001" i="3"/>
  <c r="Q1001" i="3"/>
  <c r="P1001" i="3"/>
  <c r="H1001" i="3"/>
  <c r="G1001" i="3"/>
  <c r="F1001" i="3"/>
  <c r="E1001" i="3"/>
  <c r="U1000" i="3"/>
  <c r="R1000" i="3"/>
  <c r="Q1000" i="3"/>
  <c r="P1000" i="3"/>
  <c r="H1000" i="3"/>
  <c r="G1000" i="3"/>
  <c r="F1000" i="3"/>
  <c r="E1000" i="3"/>
  <c r="U999" i="3"/>
  <c r="R999" i="3"/>
  <c r="Q999" i="3"/>
  <c r="P999" i="3"/>
  <c r="H999" i="3"/>
  <c r="G999" i="3"/>
  <c r="F999" i="3"/>
  <c r="E999" i="3"/>
  <c r="U998" i="3"/>
  <c r="R998" i="3"/>
  <c r="Q998" i="3"/>
  <c r="P998" i="3"/>
  <c r="H998" i="3"/>
  <c r="G998" i="3"/>
  <c r="F998" i="3"/>
  <c r="E998" i="3"/>
  <c r="U997" i="3"/>
  <c r="R997" i="3"/>
  <c r="Q997" i="3"/>
  <c r="P997" i="3"/>
  <c r="H997" i="3"/>
  <c r="G997" i="3"/>
  <c r="F997" i="3"/>
  <c r="E997" i="3"/>
  <c r="U996" i="3"/>
  <c r="R996" i="3"/>
  <c r="Q996" i="3"/>
  <c r="P996" i="3"/>
  <c r="H996" i="3"/>
  <c r="G996" i="3"/>
  <c r="F996" i="3"/>
  <c r="E996" i="3"/>
  <c r="U995" i="3"/>
  <c r="R995" i="3"/>
  <c r="Q995" i="3"/>
  <c r="P995" i="3"/>
  <c r="H995" i="3"/>
  <c r="G995" i="3"/>
  <c r="F995" i="3"/>
  <c r="E995" i="3"/>
  <c r="U994" i="3"/>
  <c r="R994" i="3"/>
  <c r="Q994" i="3"/>
  <c r="P994" i="3"/>
  <c r="H994" i="3"/>
  <c r="G994" i="3"/>
  <c r="F994" i="3"/>
  <c r="E994" i="3"/>
  <c r="U993" i="3"/>
  <c r="R993" i="3"/>
  <c r="Q993" i="3"/>
  <c r="P993" i="3"/>
  <c r="H993" i="3"/>
  <c r="G993" i="3"/>
  <c r="F993" i="3"/>
  <c r="E993" i="3"/>
  <c r="U992" i="3"/>
  <c r="R992" i="3"/>
  <c r="Q992" i="3"/>
  <c r="P992" i="3"/>
  <c r="H992" i="3"/>
  <c r="G992" i="3"/>
  <c r="F992" i="3"/>
  <c r="E992" i="3"/>
  <c r="U991" i="3"/>
  <c r="R991" i="3"/>
  <c r="Q991" i="3"/>
  <c r="P991" i="3"/>
  <c r="H991" i="3"/>
  <c r="G991" i="3"/>
  <c r="F991" i="3"/>
  <c r="E991" i="3"/>
  <c r="U990" i="3"/>
  <c r="R990" i="3"/>
  <c r="Q990" i="3"/>
  <c r="P990" i="3"/>
  <c r="H990" i="3"/>
  <c r="G990" i="3"/>
  <c r="F990" i="3"/>
  <c r="E990" i="3"/>
  <c r="U989" i="3"/>
  <c r="R989" i="3"/>
  <c r="Q989" i="3"/>
  <c r="P989" i="3"/>
  <c r="H989" i="3"/>
  <c r="G989" i="3"/>
  <c r="F989" i="3"/>
  <c r="E989" i="3"/>
  <c r="U988" i="3"/>
  <c r="R988" i="3"/>
  <c r="Q988" i="3"/>
  <c r="P988" i="3"/>
  <c r="H988" i="3"/>
  <c r="G988" i="3"/>
  <c r="F988" i="3"/>
  <c r="E988" i="3"/>
  <c r="U987" i="3"/>
  <c r="R987" i="3"/>
  <c r="Q987" i="3"/>
  <c r="P987" i="3"/>
  <c r="H987" i="3"/>
  <c r="G987" i="3"/>
  <c r="F987" i="3"/>
  <c r="E987" i="3"/>
  <c r="U986" i="3"/>
  <c r="R986" i="3"/>
  <c r="Q986" i="3"/>
  <c r="P986" i="3"/>
  <c r="H986" i="3"/>
  <c r="G986" i="3"/>
  <c r="F986" i="3"/>
  <c r="E986" i="3"/>
  <c r="U985" i="3"/>
  <c r="R985" i="3"/>
  <c r="Q985" i="3"/>
  <c r="P985" i="3"/>
  <c r="H985" i="3"/>
  <c r="G985" i="3"/>
  <c r="F985" i="3"/>
  <c r="E985" i="3"/>
  <c r="U984" i="3"/>
  <c r="R984" i="3"/>
  <c r="Q984" i="3"/>
  <c r="P984" i="3"/>
  <c r="H984" i="3"/>
  <c r="G984" i="3"/>
  <c r="F984" i="3"/>
  <c r="E984" i="3"/>
  <c r="U983" i="3"/>
  <c r="R983" i="3"/>
  <c r="Q983" i="3"/>
  <c r="P983" i="3"/>
  <c r="H983" i="3"/>
  <c r="G983" i="3"/>
  <c r="F983" i="3"/>
  <c r="E983" i="3"/>
  <c r="U982" i="3"/>
  <c r="R982" i="3"/>
  <c r="Q982" i="3"/>
  <c r="P982" i="3"/>
  <c r="H982" i="3"/>
  <c r="G982" i="3"/>
  <c r="F982" i="3"/>
  <c r="E982" i="3"/>
  <c r="U981" i="3"/>
  <c r="R981" i="3"/>
  <c r="Q981" i="3"/>
  <c r="P981" i="3"/>
  <c r="H981" i="3"/>
  <c r="G981" i="3"/>
  <c r="F981" i="3"/>
  <c r="E981" i="3"/>
  <c r="U980" i="3"/>
  <c r="R980" i="3"/>
  <c r="Q980" i="3"/>
  <c r="P980" i="3"/>
  <c r="H980" i="3"/>
  <c r="G980" i="3"/>
  <c r="F980" i="3"/>
  <c r="E980" i="3"/>
  <c r="U979" i="3"/>
  <c r="R979" i="3"/>
  <c r="Q979" i="3"/>
  <c r="P979" i="3"/>
  <c r="H979" i="3"/>
  <c r="G979" i="3"/>
  <c r="F979" i="3"/>
  <c r="E979" i="3"/>
  <c r="U978" i="3"/>
  <c r="R978" i="3"/>
  <c r="Q978" i="3"/>
  <c r="P978" i="3"/>
  <c r="H978" i="3"/>
  <c r="G978" i="3"/>
  <c r="F978" i="3"/>
  <c r="E978" i="3"/>
  <c r="U977" i="3"/>
  <c r="R977" i="3"/>
  <c r="Q977" i="3"/>
  <c r="P977" i="3"/>
  <c r="H977" i="3"/>
  <c r="G977" i="3"/>
  <c r="F977" i="3"/>
  <c r="E977" i="3"/>
  <c r="U976" i="3"/>
  <c r="R976" i="3"/>
  <c r="Q976" i="3"/>
  <c r="P976" i="3"/>
  <c r="H976" i="3"/>
  <c r="G976" i="3"/>
  <c r="F976" i="3"/>
  <c r="E976" i="3"/>
  <c r="U975" i="3"/>
  <c r="R975" i="3"/>
  <c r="Q975" i="3"/>
  <c r="P975" i="3"/>
  <c r="H975" i="3"/>
  <c r="G975" i="3"/>
  <c r="F975" i="3"/>
  <c r="E975" i="3"/>
  <c r="U974" i="3"/>
  <c r="R974" i="3"/>
  <c r="Q974" i="3"/>
  <c r="P974" i="3"/>
  <c r="H974" i="3"/>
  <c r="G974" i="3"/>
  <c r="F974" i="3"/>
  <c r="E974" i="3"/>
  <c r="U973" i="3"/>
  <c r="R973" i="3"/>
  <c r="Q973" i="3"/>
  <c r="P973" i="3"/>
  <c r="H973" i="3"/>
  <c r="G973" i="3"/>
  <c r="F973" i="3"/>
  <c r="E973" i="3"/>
  <c r="U972" i="3"/>
  <c r="R972" i="3"/>
  <c r="Q972" i="3"/>
  <c r="P972" i="3"/>
  <c r="H972" i="3"/>
  <c r="G972" i="3"/>
  <c r="F972" i="3"/>
  <c r="E972" i="3"/>
  <c r="U971" i="3"/>
  <c r="R971" i="3"/>
  <c r="Q971" i="3"/>
  <c r="P971" i="3"/>
  <c r="H971" i="3"/>
  <c r="G971" i="3"/>
  <c r="F971" i="3"/>
  <c r="E971" i="3"/>
  <c r="U970" i="3"/>
  <c r="R970" i="3"/>
  <c r="Q970" i="3"/>
  <c r="P970" i="3"/>
  <c r="H970" i="3"/>
  <c r="G970" i="3"/>
  <c r="F970" i="3"/>
  <c r="E970" i="3"/>
  <c r="U969" i="3"/>
  <c r="R969" i="3"/>
  <c r="Q969" i="3"/>
  <c r="P969" i="3"/>
  <c r="H969" i="3"/>
  <c r="G969" i="3"/>
  <c r="F969" i="3"/>
  <c r="E969" i="3"/>
  <c r="U968" i="3"/>
  <c r="R968" i="3"/>
  <c r="Q968" i="3"/>
  <c r="P968" i="3"/>
  <c r="H968" i="3"/>
  <c r="G968" i="3"/>
  <c r="F968" i="3"/>
  <c r="E968" i="3"/>
  <c r="U967" i="3"/>
  <c r="R967" i="3"/>
  <c r="Q967" i="3"/>
  <c r="P967" i="3"/>
  <c r="H967" i="3"/>
  <c r="G967" i="3"/>
  <c r="F967" i="3"/>
  <c r="E967" i="3"/>
  <c r="U966" i="3"/>
  <c r="R966" i="3"/>
  <c r="Q966" i="3"/>
  <c r="P966" i="3"/>
  <c r="H966" i="3"/>
  <c r="G966" i="3"/>
  <c r="F966" i="3"/>
  <c r="E966" i="3"/>
  <c r="U965" i="3"/>
  <c r="R965" i="3"/>
  <c r="Q965" i="3"/>
  <c r="P965" i="3"/>
  <c r="H965" i="3"/>
  <c r="G965" i="3"/>
  <c r="F965" i="3"/>
  <c r="E965" i="3"/>
  <c r="U964" i="3"/>
  <c r="R964" i="3"/>
  <c r="Q964" i="3"/>
  <c r="P964" i="3"/>
  <c r="H964" i="3"/>
  <c r="G964" i="3"/>
  <c r="F964" i="3"/>
  <c r="E964" i="3"/>
  <c r="U963" i="3"/>
  <c r="R963" i="3"/>
  <c r="Q963" i="3"/>
  <c r="P963" i="3"/>
  <c r="H963" i="3"/>
  <c r="G963" i="3"/>
  <c r="F963" i="3"/>
  <c r="E963" i="3"/>
  <c r="U962" i="3"/>
  <c r="R962" i="3"/>
  <c r="Q962" i="3"/>
  <c r="P962" i="3"/>
  <c r="H962" i="3"/>
  <c r="G962" i="3"/>
  <c r="F962" i="3"/>
  <c r="E962" i="3"/>
  <c r="U961" i="3"/>
  <c r="R961" i="3"/>
  <c r="Q961" i="3"/>
  <c r="P961" i="3"/>
  <c r="H961" i="3"/>
  <c r="G961" i="3"/>
  <c r="F961" i="3"/>
  <c r="E961" i="3"/>
  <c r="U960" i="3"/>
  <c r="R960" i="3"/>
  <c r="Q960" i="3"/>
  <c r="P960" i="3"/>
  <c r="H960" i="3"/>
  <c r="G960" i="3"/>
  <c r="F960" i="3"/>
  <c r="E960" i="3"/>
  <c r="U959" i="3"/>
  <c r="R959" i="3"/>
  <c r="Q959" i="3"/>
  <c r="P959" i="3"/>
  <c r="H959" i="3"/>
  <c r="G959" i="3"/>
  <c r="F959" i="3"/>
  <c r="E959" i="3"/>
  <c r="U958" i="3"/>
  <c r="R958" i="3"/>
  <c r="Q958" i="3"/>
  <c r="P958" i="3"/>
  <c r="H958" i="3"/>
  <c r="G958" i="3"/>
  <c r="F958" i="3"/>
  <c r="E958" i="3"/>
  <c r="U957" i="3"/>
  <c r="R957" i="3"/>
  <c r="Q957" i="3"/>
  <c r="P957" i="3"/>
  <c r="H957" i="3"/>
  <c r="G957" i="3"/>
  <c r="F957" i="3"/>
  <c r="E957" i="3"/>
  <c r="U956" i="3"/>
  <c r="R956" i="3"/>
  <c r="Q956" i="3"/>
  <c r="P956" i="3"/>
  <c r="H956" i="3"/>
  <c r="G956" i="3"/>
  <c r="F956" i="3"/>
  <c r="E956" i="3"/>
  <c r="U955" i="3"/>
  <c r="R955" i="3"/>
  <c r="Q955" i="3"/>
  <c r="P955" i="3"/>
  <c r="H955" i="3"/>
  <c r="G955" i="3"/>
  <c r="F955" i="3"/>
  <c r="E955" i="3"/>
  <c r="U954" i="3"/>
  <c r="R954" i="3"/>
  <c r="Q954" i="3"/>
  <c r="P954" i="3"/>
  <c r="H954" i="3"/>
  <c r="G954" i="3"/>
  <c r="F954" i="3"/>
  <c r="E954" i="3"/>
  <c r="U953" i="3"/>
  <c r="R953" i="3"/>
  <c r="Q953" i="3"/>
  <c r="P953" i="3"/>
  <c r="H953" i="3"/>
  <c r="G953" i="3"/>
  <c r="F953" i="3"/>
  <c r="E953" i="3"/>
  <c r="U952" i="3"/>
  <c r="R952" i="3"/>
  <c r="Q952" i="3"/>
  <c r="P952" i="3"/>
  <c r="H952" i="3"/>
  <c r="G952" i="3"/>
  <c r="F952" i="3"/>
  <c r="E952" i="3"/>
  <c r="U951" i="3"/>
  <c r="R951" i="3"/>
  <c r="Q951" i="3"/>
  <c r="P951" i="3"/>
  <c r="H951" i="3"/>
  <c r="G951" i="3"/>
  <c r="F951" i="3"/>
  <c r="E951" i="3"/>
  <c r="U950" i="3"/>
  <c r="R950" i="3"/>
  <c r="Q950" i="3"/>
  <c r="P950" i="3"/>
  <c r="H950" i="3"/>
  <c r="G950" i="3"/>
  <c r="F950" i="3"/>
  <c r="E950" i="3"/>
  <c r="U949" i="3"/>
  <c r="R949" i="3"/>
  <c r="Q949" i="3"/>
  <c r="P949" i="3"/>
  <c r="H949" i="3"/>
  <c r="G949" i="3"/>
  <c r="F949" i="3"/>
  <c r="E949" i="3"/>
  <c r="U948" i="3"/>
  <c r="R948" i="3"/>
  <c r="Q948" i="3"/>
  <c r="P948" i="3"/>
  <c r="H948" i="3"/>
  <c r="G948" i="3"/>
  <c r="F948" i="3"/>
  <c r="E948" i="3"/>
  <c r="U947" i="3"/>
  <c r="R947" i="3"/>
  <c r="Q947" i="3"/>
  <c r="P947" i="3"/>
  <c r="H947" i="3"/>
  <c r="G947" i="3"/>
  <c r="F947" i="3"/>
  <c r="E947" i="3"/>
  <c r="U946" i="3"/>
  <c r="R946" i="3"/>
  <c r="Q946" i="3"/>
  <c r="P946" i="3"/>
  <c r="H946" i="3"/>
  <c r="G946" i="3"/>
  <c r="F946" i="3"/>
  <c r="E946" i="3"/>
  <c r="U945" i="3"/>
  <c r="R945" i="3"/>
  <c r="Q945" i="3"/>
  <c r="P945" i="3"/>
  <c r="H945" i="3"/>
  <c r="G945" i="3"/>
  <c r="F945" i="3"/>
  <c r="E945" i="3"/>
  <c r="U944" i="3"/>
  <c r="R944" i="3"/>
  <c r="Q944" i="3"/>
  <c r="P944" i="3"/>
  <c r="H944" i="3"/>
  <c r="G944" i="3"/>
  <c r="F944" i="3"/>
  <c r="E944" i="3"/>
  <c r="U943" i="3"/>
  <c r="R943" i="3"/>
  <c r="Q943" i="3"/>
  <c r="P943" i="3"/>
  <c r="H943" i="3"/>
  <c r="G943" i="3"/>
  <c r="F943" i="3"/>
  <c r="E943" i="3"/>
  <c r="U942" i="3"/>
  <c r="R942" i="3"/>
  <c r="Q942" i="3"/>
  <c r="P942" i="3"/>
  <c r="H942" i="3"/>
  <c r="G942" i="3"/>
  <c r="F942" i="3"/>
  <c r="E942" i="3"/>
  <c r="U941" i="3"/>
  <c r="R941" i="3"/>
  <c r="Q941" i="3"/>
  <c r="P941" i="3"/>
  <c r="H941" i="3"/>
  <c r="G941" i="3"/>
  <c r="F941" i="3"/>
  <c r="E941" i="3"/>
  <c r="U940" i="3"/>
  <c r="R940" i="3"/>
  <c r="Q940" i="3"/>
  <c r="P940" i="3"/>
  <c r="H940" i="3"/>
  <c r="G940" i="3"/>
  <c r="F940" i="3"/>
  <c r="E940" i="3"/>
  <c r="U939" i="3"/>
  <c r="R939" i="3"/>
  <c r="Q939" i="3"/>
  <c r="P939" i="3"/>
  <c r="H939" i="3"/>
  <c r="G939" i="3"/>
  <c r="F939" i="3"/>
  <c r="E939" i="3"/>
  <c r="U938" i="3"/>
  <c r="R938" i="3"/>
  <c r="Q938" i="3"/>
  <c r="P938" i="3"/>
  <c r="H938" i="3"/>
  <c r="G938" i="3"/>
  <c r="F938" i="3"/>
  <c r="E938" i="3"/>
  <c r="U937" i="3"/>
  <c r="R937" i="3"/>
  <c r="Q937" i="3"/>
  <c r="P937" i="3"/>
  <c r="H937" i="3"/>
  <c r="G937" i="3"/>
  <c r="F937" i="3"/>
  <c r="E937" i="3"/>
  <c r="U936" i="3"/>
  <c r="R936" i="3"/>
  <c r="Q936" i="3"/>
  <c r="P936" i="3"/>
  <c r="H936" i="3"/>
  <c r="G936" i="3"/>
  <c r="F936" i="3"/>
  <c r="E936" i="3"/>
  <c r="U935" i="3"/>
  <c r="R935" i="3"/>
  <c r="Q935" i="3"/>
  <c r="P935" i="3"/>
  <c r="H935" i="3"/>
  <c r="G935" i="3"/>
  <c r="F935" i="3"/>
  <c r="E935" i="3"/>
  <c r="U934" i="3"/>
  <c r="R934" i="3"/>
  <c r="Q934" i="3"/>
  <c r="P934" i="3"/>
  <c r="H934" i="3"/>
  <c r="G934" i="3"/>
  <c r="F934" i="3"/>
  <c r="E934" i="3"/>
  <c r="U933" i="3"/>
  <c r="R933" i="3"/>
  <c r="Q933" i="3"/>
  <c r="P933" i="3"/>
  <c r="H933" i="3"/>
  <c r="G933" i="3"/>
  <c r="F933" i="3"/>
  <c r="E933" i="3"/>
  <c r="U932" i="3"/>
  <c r="R932" i="3"/>
  <c r="Q932" i="3"/>
  <c r="P932" i="3"/>
  <c r="H932" i="3"/>
  <c r="G932" i="3"/>
  <c r="F932" i="3"/>
  <c r="E932" i="3"/>
  <c r="U931" i="3"/>
  <c r="R931" i="3"/>
  <c r="Q931" i="3"/>
  <c r="P931" i="3"/>
  <c r="H931" i="3"/>
  <c r="G931" i="3"/>
  <c r="F931" i="3"/>
  <c r="E931" i="3"/>
  <c r="U930" i="3"/>
  <c r="R930" i="3"/>
  <c r="Q930" i="3"/>
  <c r="P930" i="3"/>
  <c r="H930" i="3"/>
  <c r="G930" i="3"/>
  <c r="F930" i="3"/>
  <c r="E930" i="3"/>
  <c r="U929" i="3"/>
  <c r="R929" i="3"/>
  <c r="Q929" i="3"/>
  <c r="P929" i="3"/>
  <c r="H929" i="3"/>
  <c r="G929" i="3"/>
  <c r="F929" i="3"/>
  <c r="E929" i="3"/>
  <c r="U928" i="3"/>
  <c r="T928" i="3"/>
  <c r="R928" i="3"/>
  <c r="Q928" i="3"/>
  <c r="P928" i="3"/>
  <c r="L928" i="3"/>
  <c r="H928" i="3"/>
  <c r="G928" i="3"/>
  <c r="F928" i="3"/>
  <c r="E928" i="3"/>
  <c r="U927" i="3"/>
  <c r="R927" i="3"/>
  <c r="Q927" i="3"/>
  <c r="P927" i="3"/>
  <c r="H927" i="3"/>
  <c r="G927" i="3"/>
  <c r="F927" i="3"/>
  <c r="E927" i="3"/>
  <c r="U926" i="3"/>
  <c r="R926" i="3"/>
  <c r="Q926" i="3"/>
  <c r="P926" i="3"/>
  <c r="H926" i="3"/>
  <c r="G926" i="3"/>
  <c r="F926" i="3"/>
  <c r="E926" i="3"/>
  <c r="U925" i="3"/>
  <c r="R925" i="3"/>
  <c r="Q925" i="3"/>
  <c r="P925" i="3"/>
  <c r="H925" i="3"/>
  <c r="G925" i="3"/>
  <c r="F925" i="3"/>
  <c r="E925" i="3"/>
  <c r="U924" i="3"/>
  <c r="R924" i="3"/>
  <c r="Q924" i="3"/>
  <c r="P924" i="3"/>
  <c r="H924" i="3"/>
  <c r="G924" i="3"/>
  <c r="F924" i="3"/>
  <c r="E924" i="3"/>
  <c r="U923" i="3"/>
  <c r="R923" i="3"/>
  <c r="Q923" i="3"/>
  <c r="P923" i="3"/>
  <c r="H923" i="3"/>
  <c r="G923" i="3"/>
  <c r="F923" i="3"/>
  <c r="E923" i="3"/>
  <c r="U922" i="3"/>
  <c r="R922" i="3"/>
  <c r="Q922" i="3"/>
  <c r="P922" i="3"/>
  <c r="H922" i="3"/>
  <c r="G922" i="3"/>
  <c r="F922" i="3"/>
  <c r="E922" i="3"/>
  <c r="U921" i="3"/>
  <c r="R921" i="3"/>
  <c r="Q921" i="3"/>
  <c r="P921" i="3"/>
  <c r="H921" i="3"/>
  <c r="G921" i="3"/>
  <c r="F921" i="3"/>
  <c r="E921" i="3"/>
  <c r="U920" i="3"/>
  <c r="R920" i="3"/>
  <c r="Q920" i="3"/>
  <c r="P920" i="3"/>
  <c r="H920" i="3"/>
  <c r="G920" i="3"/>
  <c r="F920" i="3"/>
  <c r="E920" i="3"/>
  <c r="U919" i="3"/>
  <c r="R919" i="3"/>
  <c r="Q919" i="3"/>
  <c r="P919" i="3"/>
  <c r="H919" i="3"/>
  <c r="G919" i="3"/>
  <c r="F919" i="3"/>
  <c r="E919" i="3"/>
  <c r="U918" i="3"/>
  <c r="R918" i="3"/>
  <c r="Q918" i="3"/>
  <c r="P918" i="3"/>
  <c r="H918" i="3"/>
  <c r="G918" i="3"/>
  <c r="F918" i="3"/>
  <c r="E918" i="3"/>
  <c r="U917" i="3"/>
  <c r="R917" i="3"/>
  <c r="Q917" i="3"/>
  <c r="P917" i="3"/>
  <c r="H917" i="3"/>
  <c r="G917" i="3"/>
  <c r="F917" i="3"/>
  <c r="E917" i="3"/>
  <c r="U916" i="3"/>
  <c r="R916" i="3"/>
  <c r="Q916" i="3"/>
  <c r="P916" i="3"/>
  <c r="H916" i="3"/>
  <c r="G916" i="3"/>
  <c r="F916" i="3"/>
  <c r="E916" i="3"/>
  <c r="U915" i="3"/>
  <c r="R915" i="3"/>
  <c r="Q915" i="3"/>
  <c r="P915" i="3"/>
  <c r="H915" i="3"/>
  <c r="G915" i="3"/>
  <c r="F915" i="3"/>
  <c r="E915" i="3"/>
  <c r="U914" i="3"/>
  <c r="R914" i="3"/>
  <c r="Q914" i="3"/>
  <c r="P914" i="3"/>
  <c r="H914" i="3"/>
  <c r="G914" i="3"/>
  <c r="F914" i="3"/>
  <c r="E914" i="3"/>
  <c r="U913" i="3"/>
  <c r="R913" i="3"/>
  <c r="Q913" i="3"/>
  <c r="P913" i="3"/>
  <c r="H913" i="3"/>
  <c r="G913" i="3"/>
  <c r="F913" i="3"/>
  <c r="E913" i="3"/>
  <c r="U912" i="3"/>
  <c r="R912" i="3"/>
  <c r="Q912" i="3"/>
  <c r="P912" i="3"/>
  <c r="H912" i="3"/>
  <c r="G912" i="3"/>
  <c r="F912" i="3"/>
  <c r="E912" i="3"/>
  <c r="U911" i="3"/>
  <c r="R911" i="3"/>
  <c r="Q911" i="3"/>
  <c r="P911" i="3"/>
  <c r="H911" i="3"/>
  <c r="G911" i="3"/>
  <c r="F911" i="3"/>
  <c r="E911" i="3"/>
  <c r="U910" i="3"/>
  <c r="R910" i="3"/>
  <c r="Q910" i="3"/>
  <c r="P910" i="3"/>
  <c r="H910" i="3"/>
  <c r="G910" i="3"/>
  <c r="F910" i="3"/>
  <c r="E910" i="3"/>
  <c r="U909" i="3"/>
  <c r="R909" i="3"/>
  <c r="Q909" i="3"/>
  <c r="P909" i="3"/>
  <c r="H909" i="3"/>
  <c r="G909" i="3"/>
  <c r="F909" i="3"/>
  <c r="E909" i="3"/>
  <c r="U908" i="3"/>
  <c r="R908" i="3"/>
  <c r="Q908" i="3"/>
  <c r="P908" i="3"/>
  <c r="H908" i="3"/>
  <c r="G908" i="3"/>
  <c r="F908" i="3"/>
  <c r="E908" i="3"/>
  <c r="U907" i="3"/>
  <c r="R907" i="3"/>
  <c r="Q907" i="3"/>
  <c r="P907" i="3"/>
  <c r="H907" i="3"/>
  <c r="G907" i="3"/>
  <c r="F907" i="3"/>
  <c r="E907" i="3"/>
  <c r="U906" i="3"/>
  <c r="R906" i="3"/>
  <c r="Q906" i="3"/>
  <c r="P906" i="3"/>
  <c r="H906" i="3"/>
  <c r="G906" i="3"/>
  <c r="F906" i="3"/>
  <c r="E906" i="3"/>
  <c r="U905" i="3"/>
  <c r="R905" i="3"/>
  <c r="Q905" i="3"/>
  <c r="P905" i="3"/>
  <c r="H905" i="3"/>
  <c r="G905" i="3"/>
  <c r="F905" i="3"/>
  <c r="E905" i="3"/>
  <c r="U904" i="3"/>
  <c r="R904" i="3"/>
  <c r="Q904" i="3"/>
  <c r="P904" i="3"/>
  <c r="H904" i="3"/>
  <c r="G904" i="3"/>
  <c r="F904" i="3"/>
  <c r="E904" i="3"/>
  <c r="U903" i="3"/>
  <c r="R903" i="3"/>
  <c r="Q903" i="3"/>
  <c r="P903" i="3"/>
  <c r="H903" i="3"/>
  <c r="G903" i="3"/>
  <c r="F903" i="3"/>
  <c r="E903" i="3"/>
  <c r="U902" i="3"/>
  <c r="R902" i="3"/>
  <c r="Q902" i="3"/>
  <c r="P902" i="3"/>
  <c r="H902" i="3"/>
  <c r="G902" i="3"/>
  <c r="F902" i="3"/>
  <c r="E902" i="3"/>
  <c r="U901" i="3"/>
  <c r="R901" i="3"/>
  <c r="Q901" i="3"/>
  <c r="P901" i="3"/>
  <c r="H901" i="3"/>
  <c r="G901" i="3"/>
  <c r="F901" i="3"/>
  <c r="E901" i="3"/>
  <c r="U900" i="3"/>
  <c r="R900" i="3"/>
  <c r="Q900" i="3"/>
  <c r="P900" i="3"/>
  <c r="H900" i="3"/>
  <c r="G900" i="3"/>
  <c r="F900" i="3"/>
  <c r="E900" i="3"/>
  <c r="U899" i="3"/>
  <c r="R899" i="3"/>
  <c r="Q899" i="3"/>
  <c r="P899" i="3"/>
  <c r="H899" i="3"/>
  <c r="G899" i="3"/>
  <c r="F899" i="3"/>
  <c r="E899" i="3"/>
  <c r="U898" i="3"/>
  <c r="R898" i="3"/>
  <c r="Q898" i="3"/>
  <c r="P898" i="3"/>
  <c r="H898" i="3"/>
  <c r="G898" i="3"/>
  <c r="F898" i="3"/>
  <c r="E898" i="3"/>
  <c r="U897" i="3"/>
  <c r="R897" i="3"/>
  <c r="Q897" i="3"/>
  <c r="P897" i="3"/>
  <c r="H897" i="3"/>
  <c r="G897" i="3"/>
  <c r="F897" i="3"/>
  <c r="E897" i="3"/>
  <c r="U896" i="3"/>
  <c r="R896" i="3"/>
  <c r="Q896" i="3"/>
  <c r="P896" i="3"/>
  <c r="H896" i="3"/>
  <c r="G896" i="3"/>
  <c r="F896" i="3"/>
  <c r="E896" i="3"/>
  <c r="U895" i="3"/>
  <c r="R895" i="3"/>
  <c r="Q895" i="3"/>
  <c r="P895" i="3"/>
  <c r="H895" i="3"/>
  <c r="G895" i="3"/>
  <c r="F895" i="3"/>
  <c r="E895" i="3"/>
  <c r="U894" i="3"/>
  <c r="R894" i="3"/>
  <c r="Q894" i="3"/>
  <c r="P894" i="3"/>
  <c r="H894" i="3"/>
  <c r="G894" i="3"/>
  <c r="F894" i="3"/>
  <c r="E894" i="3"/>
  <c r="U893" i="3"/>
  <c r="R893" i="3"/>
  <c r="Q893" i="3"/>
  <c r="P893" i="3"/>
  <c r="H893" i="3"/>
  <c r="G893" i="3"/>
  <c r="F893" i="3"/>
  <c r="E893" i="3"/>
  <c r="U892" i="3"/>
  <c r="R892" i="3"/>
  <c r="Q892" i="3"/>
  <c r="P892" i="3"/>
  <c r="H892" i="3"/>
  <c r="G892" i="3"/>
  <c r="F892" i="3"/>
  <c r="E892" i="3"/>
  <c r="U891" i="3"/>
  <c r="R891" i="3"/>
  <c r="Q891" i="3"/>
  <c r="P891" i="3"/>
  <c r="H891" i="3"/>
  <c r="G891" i="3"/>
  <c r="F891" i="3"/>
  <c r="E891" i="3"/>
  <c r="U890" i="3"/>
  <c r="R890" i="3"/>
  <c r="Q890" i="3"/>
  <c r="P890" i="3"/>
  <c r="H890" i="3"/>
  <c r="G890" i="3"/>
  <c r="F890" i="3"/>
  <c r="E890" i="3"/>
  <c r="U889" i="3"/>
  <c r="R889" i="3"/>
  <c r="Q889" i="3"/>
  <c r="P889" i="3"/>
  <c r="H889" i="3"/>
  <c r="G889" i="3"/>
  <c r="F889" i="3"/>
  <c r="E889" i="3"/>
  <c r="U888" i="3"/>
  <c r="R888" i="3"/>
  <c r="Q888" i="3"/>
  <c r="P888" i="3"/>
  <c r="H888" i="3"/>
  <c r="G888" i="3"/>
  <c r="F888" i="3"/>
  <c r="E888" i="3"/>
  <c r="U887" i="3"/>
  <c r="R887" i="3"/>
  <c r="Q887" i="3"/>
  <c r="P887" i="3"/>
  <c r="H887" i="3"/>
  <c r="G887" i="3"/>
  <c r="F887" i="3"/>
  <c r="E887" i="3"/>
  <c r="U886" i="3"/>
  <c r="R886" i="3"/>
  <c r="Q886" i="3"/>
  <c r="P886" i="3"/>
  <c r="H886" i="3"/>
  <c r="G886" i="3"/>
  <c r="F886" i="3"/>
  <c r="E886" i="3"/>
  <c r="U885" i="3"/>
  <c r="R885" i="3"/>
  <c r="Q885" i="3"/>
  <c r="P885" i="3"/>
  <c r="H885" i="3"/>
  <c r="G885" i="3"/>
  <c r="F885" i="3"/>
  <c r="E885" i="3"/>
  <c r="U884" i="3"/>
  <c r="R884" i="3"/>
  <c r="Q884" i="3"/>
  <c r="P884" i="3"/>
  <c r="H884" i="3"/>
  <c r="G884" i="3"/>
  <c r="F884" i="3"/>
  <c r="E884" i="3"/>
  <c r="U883" i="3"/>
  <c r="R883" i="3"/>
  <c r="Q883" i="3"/>
  <c r="P883" i="3"/>
  <c r="H883" i="3"/>
  <c r="G883" i="3"/>
  <c r="F883" i="3"/>
  <c r="E883" i="3"/>
  <c r="U882" i="3"/>
  <c r="R882" i="3"/>
  <c r="Q882" i="3"/>
  <c r="P882" i="3"/>
  <c r="H882" i="3"/>
  <c r="G882" i="3"/>
  <c r="F882" i="3"/>
  <c r="E882" i="3"/>
  <c r="U881" i="3"/>
  <c r="R881" i="3"/>
  <c r="Q881" i="3"/>
  <c r="P881" i="3"/>
  <c r="H881" i="3"/>
  <c r="G881" i="3"/>
  <c r="F881" i="3"/>
  <c r="E881" i="3"/>
  <c r="U880" i="3"/>
  <c r="R880" i="3"/>
  <c r="Q880" i="3"/>
  <c r="P880" i="3"/>
  <c r="H880" i="3"/>
  <c r="G880" i="3"/>
  <c r="F880" i="3"/>
  <c r="E880" i="3"/>
  <c r="U879" i="3"/>
  <c r="R879" i="3"/>
  <c r="Q879" i="3"/>
  <c r="P879" i="3"/>
  <c r="H879" i="3"/>
  <c r="G879" i="3"/>
  <c r="F879" i="3"/>
  <c r="E879" i="3"/>
  <c r="U878" i="3"/>
  <c r="R878" i="3"/>
  <c r="Q878" i="3"/>
  <c r="P878" i="3"/>
  <c r="H878" i="3"/>
  <c r="G878" i="3"/>
  <c r="F878" i="3"/>
  <c r="E878" i="3"/>
  <c r="U877" i="3"/>
  <c r="R877" i="3"/>
  <c r="Q877" i="3"/>
  <c r="P877" i="3"/>
  <c r="H877" i="3"/>
  <c r="G877" i="3"/>
  <c r="F877" i="3"/>
  <c r="E877" i="3"/>
  <c r="U876" i="3"/>
  <c r="R876" i="3"/>
  <c r="Q876" i="3"/>
  <c r="P876" i="3"/>
  <c r="H876" i="3"/>
  <c r="G876" i="3"/>
  <c r="F876" i="3"/>
  <c r="E876" i="3"/>
  <c r="U875" i="3"/>
  <c r="R875" i="3"/>
  <c r="Q875" i="3"/>
  <c r="P875" i="3"/>
  <c r="H875" i="3"/>
  <c r="G875" i="3"/>
  <c r="F875" i="3"/>
  <c r="E875" i="3"/>
  <c r="U874" i="3"/>
  <c r="R874" i="3"/>
  <c r="Q874" i="3"/>
  <c r="P874" i="3"/>
  <c r="H874" i="3"/>
  <c r="G874" i="3"/>
  <c r="F874" i="3"/>
  <c r="E874" i="3"/>
  <c r="U873" i="3"/>
  <c r="R873" i="3"/>
  <c r="Q873" i="3"/>
  <c r="P873" i="3"/>
  <c r="H873" i="3"/>
  <c r="G873" i="3"/>
  <c r="F873" i="3"/>
  <c r="E873" i="3"/>
  <c r="U872" i="3"/>
  <c r="R872" i="3"/>
  <c r="Q872" i="3"/>
  <c r="P872" i="3"/>
  <c r="H872" i="3"/>
  <c r="G872" i="3"/>
  <c r="F872" i="3"/>
  <c r="E872" i="3"/>
  <c r="U871" i="3"/>
  <c r="R871" i="3"/>
  <c r="Q871" i="3"/>
  <c r="P871" i="3"/>
  <c r="H871" i="3"/>
  <c r="G871" i="3"/>
  <c r="F871" i="3"/>
  <c r="E871" i="3"/>
  <c r="U870" i="3"/>
  <c r="R870" i="3"/>
  <c r="Q870" i="3"/>
  <c r="P870" i="3"/>
  <c r="H870" i="3"/>
  <c r="G870" i="3"/>
  <c r="F870" i="3"/>
  <c r="E870" i="3"/>
  <c r="U869" i="3"/>
  <c r="R869" i="3"/>
  <c r="Q869" i="3"/>
  <c r="P869" i="3"/>
  <c r="H869" i="3"/>
  <c r="G869" i="3"/>
  <c r="F869" i="3"/>
  <c r="E869" i="3"/>
  <c r="U868" i="3"/>
  <c r="R868" i="3"/>
  <c r="Q868" i="3"/>
  <c r="P868" i="3"/>
  <c r="H868" i="3"/>
  <c r="G868" i="3"/>
  <c r="F868" i="3"/>
  <c r="E868" i="3"/>
  <c r="U867" i="3"/>
  <c r="R867" i="3"/>
  <c r="Q867" i="3"/>
  <c r="P867" i="3"/>
  <c r="H867" i="3"/>
  <c r="G867" i="3"/>
  <c r="F867" i="3"/>
  <c r="E867" i="3"/>
  <c r="U866" i="3"/>
  <c r="R866" i="3"/>
  <c r="Q866" i="3"/>
  <c r="P866" i="3"/>
  <c r="H866" i="3"/>
  <c r="G866" i="3"/>
  <c r="F866" i="3"/>
  <c r="E866" i="3"/>
  <c r="U865" i="3"/>
  <c r="R865" i="3"/>
  <c r="Q865" i="3"/>
  <c r="P865" i="3"/>
  <c r="H865" i="3"/>
  <c r="G865" i="3"/>
  <c r="F865" i="3"/>
  <c r="E865" i="3"/>
  <c r="U864" i="3"/>
  <c r="R864" i="3"/>
  <c r="Q864" i="3"/>
  <c r="P864" i="3"/>
  <c r="H864" i="3"/>
  <c r="G864" i="3"/>
  <c r="F864" i="3"/>
  <c r="E864" i="3"/>
  <c r="U863" i="3"/>
  <c r="R863" i="3"/>
  <c r="Q863" i="3"/>
  <c r="P863" i="3"/>
  <c r="H863" i="3"/>
  <c r="G863" i="3"/>
  <c r="F863" i="3"/>
  <c r="E863" i="3"/>
  <c r="U862" i="3"/>
  <c r="R862" i="3"/>
  <c r="Q862" i="3"/>
  <c r="P862" i="3"/>
  <c r="H862" i="3"/>
  <c r="G862" i="3"/>
  <c r="F862" i="3"/>
  <c r="E862" i="3"/>
  <c r="U861" i="3"/>
  <c r="R861" i="3"/>
  <c r="Q861" i="3"/>
  <c r="P861" i="3"/>
  <c r="H861" i="3"/>
  <c r="G861" i="3"/>
  <c r="F861" i="3"/>
  <c r="E861" i="3"/>
  <c r="U860" i="3"/>
  <c r="R860" i="3"/>
  <c r="Q860" i="3"/>
  <c r="P860" i="3"/>
  <c r="H860" i="3"/>
  <c r="G860" i="3"/>
  <c r="F860" i="3"/>
  <c r="E860" i="3"/>
  <c r="U859" i="3"/>
  <c r="R859" i="3"/>
  <c r="Q859" i="3"/>
  <c r="P859" i="3"/>
  <c r="H859" i="3"/>
  <c r="G859" i="3"/>
  <c r="F859" i="3"/>
  <c r="E859" i="3"/>
  <c r="U858" i="3"/>
  <c r="R858" i="3"/>
  <c r="Q858" i="3"/>
  <c r="P858" i="3"/>
  <c r="H858" i="3"/>
  <c r="G858" i="3"/>
  <c r="F858" i="3"/>
  <c r="E858" i="3"/>
  <c r="U857" i="3"/>
  <c r="R857" i="3"/>
  <c r="Q857" i="3"/>
  <c r="P857" i="3"/>
  <c r="H857" i="3"/>
  <c r="G857" i="3"/>
  <c r="F857" i="3"/>
  <c r="E857" i="3"/>
  <c r="U856" i="3"/>
  <c r="R856" i="3"/>
  <c r="Q856" i="3"/>
  <c r="P856" i="3"/>
  <c r="H856" i="3"/>
  <c r="G856" i="3"/>
  <c r="F856" i="3"/>
  <c r="E856" i="3"/>
  <c r="U855" i="3"/>
  <c r="R855" i="3"/>
  <c r="Q855" i="3"/>
  <c r="P855" i="3"/>
  <c r="H855" i="3"/>
  <c r="G855" i="3"/>
  <c r="F855" i="3"/>
  <c r="E855" i="3"/>
  <c r="U854" i="3"/>
  <c r="R854" i="3"/>
  <c r="Q854" i="3"/>
  <c r="P854" i="3"/>
  <c r="H854" i="3"/>
  <c r="G854" i="3"/>
  <c r="F854" i="3"/>
  <c r="E854" i="3"/>
  <c r="U853" i="3"/>
  <c r="R853" i="3"/>
  <c r="Q853" i="3"/>
  <c r="P853" i="3"/>
  <c r="H853" i="3"/>
  <c r="G853" i="3"/>
  <c r="F853" i="3"/>
  <c r="E853" i="3"/>
  <c r="U852" i="3"/>
  <c r="R852" i="3"/>
  <c r="Q852" i="3"/>
  <c r="P852" i="3"/>
  <c r="H852" i="3"/>
  <c r="G852" i="3"/>
  <c r="F852" i="3"/>
  <c r="E852" i="3"/>
  <c r="U851" i="3"/>
  <c r="R851" i="3"/>
  <c r="Q851" i="3"/>
  <c r="P851" i="3"/>
  <c r="H851" i="3"/>
  <c r="G851" i="3"/>
  <c r="F851" i="3"/>
  <c r="E851" i="3"/>
  <c r="U850" i="3"/>
  <c r="R850" i="3"/>
  <c r="Q850" i="3"/>
  <c r="P850" i="3"/>
  <c r="H850" i="3"/>
  <c r="G850" i="3"/>
  <c r="F850" i="3"/>
  <c r="E850" i="3"/>
  <c r="U849" i="3"/>
  <c r="R849" i="3"/>
  <c r="Q849" i="3"/>
  <c r="P849" i="3"/>
  <c r="H849" i="3"/>
  <c r="G849" i="3"/>
  <c r="F849" i="3"/>
  <c r="E849" i="3"/>
  <c r="U848" i="3"/>
  <c r="R848" i="3"/>
  <c r="Q848" i="3"/>
  <c r="P848" i="3"/>
  <c r="H848" i="3"/>
  <c r="G848" i="3"/>
  <c r="F848" i="3"/>
  <c r="E848" i="3"/>
  <c r="U847" i="3"/>
  <c r="R847" i="3"/>
  <c r="Q847" i="3"/>
  <c r="P847" i="3"/>
  <c r="H847" i="3"/>
  <c r="G847" i="3"/>
  <c r="F847" i="3"/>
  <c r="E847" i="3"/>
  <c r="U846" i="3"/>
  <c r="R846" i="3"/>
  <c r="Q846" i="3"/>
  <c r="P846" i="3"/>
  <c r="H846" i="3"/>
  <c r="G846" i="3"/>
  <c r="F846" i="3"/>
  <c r="E846" i="3"/>
  <c r="U845" i="3"/>
  <c r="R845" i="3"/>
  <c r="Q845" i="3"/>
  <c r="P845" i="3"/>
  <c r="H845" i="3"/>
  <c r="G845" i="3"/>
  <c r="F845" i="3"/>
  <c r="E845" i="3"/>
  <c r="U844" i="3"/>
  <c r="R844" i="3"/>
  <c r="Q844" i="3"/>
  <c r="P844" i="3"/>
  <c r="H844" i="3"/>
  <c r="G844" i="3"/>
  <c r="F844" i="3"/>
  <c r="E844" i="3"/>
  <c r="U843" i="3"/>
  <c r="R843" i="3"/>
  <c r="Q843" i="3"/>
  <c r="P843" i="3"/>
  <c r="H843" i="3"/>
  <c r="G843" i="3"/>
  <c r="F843" i="3"/>
  <c r="E843" i="3"/>
  <c r="U842" i="3"/>
  <c r="R842" i="3"/>
  <c r="Q842" i="3"/>
  <c r="P842" i="3"/>
  <c r="H842" i="3"/>
  <c r="G842" i="3"/>
  <c r="F842" i="3"/>
  <c r="E842" i="3"/>
  <c r="U841" i="3"/>
  <c r="R841" i="3"/>
  <c r="Q841" i="3"/>
  <c r="P841" i="3"/>
  <c r="H841" i="3"/>
  <c r="G841" i="3"/>
  <c r="F841" i="3"/>
  <c r="E841" i="3"/>
  <c r="U840" i="3"/>
  <c r="R840" i="3"/>
  <c r="Q840" i="3"/>
  <c r="P840" i="3"/>
  <c r="H840" i="3"/>
  <c r="G840" i="3"/>
  <c r="F840" i="3"/>
  <c r="E840" i="3"/>
  <c r="U839" i="3"/>
  <c r="R839" i="3"/>
  <c r="Q839" i="3"/>
  <c r="P839" i="3"/>
  <c r="H839" i="3"/>
  <c r="G839" i="3"/>
  <c r="F839" i="3"/>
  <c r="E839" i="3"/>
  <c r="U838" i="3"/>
  <c r="R838" i="3"/>
  <c r="Q838" i="3"/>
  <c r="P838" i="3"/>
  <c r="H838" i="3"/>
  <c r="G838" i="3"/>
  <c r="F838" i="3"/>
  <c r="E838" i="3"/>
  <c r="U837" i="3"/>
  <c r="R837" i="3"/>
  <c r="Q837" i="3"/>
  <c r="P837" i="3"/>
  <c r="H837" i="3"/>
  <c r="G837" i="3"/>
  <c r="F837" i="3"/>
  <c r="E837" i="3"/>
  <c r="U836" i="3"/>
  <c r="R836" i="3"/>
  <c r="Q836" i="3"/>
  <c r="P836" i="3"/>
  <c r="H836" i="3"/>
  <c r="G836" i="3"/>
  <c r="F836" i="3"/>
  <c r="E836" i="3"/>
  <c r="U835" i="3"/>
  <c r="R835" i="3"/>
  <c r="Q835" i="3"/>
  <c r="P835" i="3"/>
  <c r="H835" i="3"/>
  <c r="G835" i="3"/>
  <c r="F835" i="3"/>
  <c r="E835" i="3"/>
  <c r="U834" i="3"/>
  <c r="R834" i="3"/>
  <c r="Q834" i="3"/>
  <c r="P834" i="3"/>
  <c r="H834" i="3"/>
  <c r="G834" i="3"/>
  <c r="F834" i="3"/>
  <c r="E834" i="3"/>
  <c r="U833" i="3"/>
  <c r="R833" i="3"/>
  <c r="Q833" i="3"/>
  <c r="P833" i="3"/>
  <c r="H833" i="3"/>
  <c r="G833" i="3"/>
  <c r="F833" i="3"/>
  <c r="E833" i="3"/>
  <c r="U832" i="3"/>
  <c r="R832" i="3"/>
  <c r="Q832" i="3"/>
  <c r="P832" i="3"/>
  <c r="H832" i="3"/>
  <c r="G832" i="3"/>
  <c r="F832" i="3"/>
  <c r="E832" i="3"/>
  <c r="U831" i="3"/>
  <c r="R831" i="3"/>
  <c r="Q831" i="3"/>
  <c r="P831" i="3"/>
  <c r="H831" i="3"/>
  <c r="G831" i="3"/>
  <c r="F831" i="3"/>
  <c r="E831" i="3"/>
  <c r="U830" i="3"/>
  <c r="R830" i="3"/>
  <c r="Q830" i="3"/>
  <c r="P830" i="3"/>
  <c r="H830" i="3"/>
  <c r="G830" i="3"/>
  <c r="F830" i="3"/>
  <c r="E830" i="3"/>
  <c r="U829" i="3"/>
  <c r="R829" i="3"/>
  <c r="Q829" i="3"/>
  <c r="P829" i="3"/>
  <c r="H829" i="3"/>
  <c r="G829" i="3"/>
  <c r="F829" i="3"/>
  <c r="E829" i="3"/>
  <c r="U828" i="3"/>
  <c r="R828" i="3"/>
  <c r="Q828" i="3"/>
  <c r="P828" i="3"/>
  <c r="H828" i="3"/>
  <c r="G828" i="3"/>
  <c r="F828" i="3"/>
  <c r="E828" i="3"/>
  <c r="U827" i="3"/>
  <c r="R827" i="3"/>
  <c r="Q827" i="3"/>
  <c r="P827" i="3"/>
  <c r="H827" i="3"/>
  <c r="G827" i="3"/>
  <c r="F827" i="3"/>
  <c r="E827" i="3"/>
  <c r="U826" i="3"/>
  <c r="R826" i="3"/>
  <c r="Q826" i="3"/>
  <c r="P826" i="3"/>
  <c r="H826" i="3"/>
  <c r="G826" i="3"/>
  <c r="F826" i="3"/>
  <c r="E826" i="3"/>
  <c r="U825" i="3"/>
  <c r="T825" i="3"/>
  <c r="R825" i="3"/>
  <c r="Q825" i="3"/>
  <c r="P825" i="3"/>
  <c r="H825" i="3"/>
  <c r="G825" i="3"/>
  <c r="F825" i="3"/>
  <c r="E825" i="3"/>
  <c r="L825" i="3" s="1"/>
  <c r="U824" i="3"/>
  <c r="R824" i="3"/>
  <c r="Q824" i="3"/>
  <c r="P824" i="3"/>
  <c r="H824" i="3"/>
  <c r="G824" i="3"/>
  <c r="F824" i="3"/>
  <c r="E824" i="3"/>
  <c r="U823" i="3"/>
  <c r="R823" i="3"/>
  <c r="Q823" i="3"/>
  <c r="P823" i="3"/>
  <c r="H823" i="3"/>
  <c r="G823" i="3"/>
  <c r="F823" i="3"/>
  <c r="E823" i="3"/>
  <c r="U822" i="3"/>
  <c r="R822" i="3"/>
  <c r="Q822" i="3"/>
  <c r="P822" i="3"/>
  <c r="H822" i="3"/>
  <c r="G822" i="3"/>
  <c r="F822" i="3"/>
  <c r="E822" i="3"/>
  <c r="U821" i="3"/>
  <c r="R821" i="3"/>
  <c r="Q821" i="3"/>
  <c r="P821" i="3"/>
  <c r="H821" i="3"/>
  <c r="G821" i="3"/>
  <c r="F821" i="3"/>
  <c r="E821" i="3"/>
  <c r="U820" i="3"/>
  <c r="R820" i="3"/>
  <c r="Q820" i="3"/>
  <c r="P820" i="3"/>
  <c r="H820" i="3"/>
  <c r="G820" i="3"/>
  <c r="F820" i="3"/>
  <c r="E820" i="3"/>
  <c r="U819" i="3"/>
  <c r="R819" i="3"/>
  <c r="Q819" i="3"/>
  <c r="P819" i="3"/>
  <c r="H819" i="3"/>
  <c r="G819" i="3"/>
  <c r="F819" i="3"/>
  <c r="E819" i="3"/>
  <c r="U818" i="3"/>
  <c r="R818" i="3"/>
  <c r="Q818" i="3"/>
  <c r="P818" i="3"/>
  <c r="H818" i="3"/>
  <c r="G818" i="3"/>
  <c r="F818" i="3"/>
  <c r="E818" i="3"/>
  <c r="U817" i="3"/>
  <c r="R817" i="3"/>
  <c r="Q817" i="3"/>
  <c r="P817" i="3"/>
  <c r="H817" i="3"/>
  <c r="G817" i="3"/>
  <c r="F817" i="3"/>
  <c r="E817" i="3"/>
  <c r="U816" i="3"/>
  <c r="R816" i="3"/>
  <c r="Q816" i="3"/>
  <c r="P816" i="3"/>
  <c r="H816" i="3"/>
  <c r="G816" i="3"/>
  <c r="F816" i="3"/>
  <c r="E816" i="3"/>
  <c r="U815" i="3"/>
  <c r="R815" i="3"/>
  <c r="Q815" i="3"/>
  <c r="P815" i="3"/>
  <c r="H815" i="3"/>
  <c r="G815" i="3"/>
  <c r="F815" i="3"/>
  <c r="E815" i="3"/>
  <c r="U814" i="3"/>
  <c r="R814" i="3"/>
  <c r="Q814" i="3"/>
  <c r="P814" i="3"/>
  <c r="H814" i="3"/>
  <c r="G814" i="3"/>
  <c r="F814" i="3"/>
  <c r="E814" i="3"/>
  <c r="U813" i="3"/>
  <c r="R813" i="3"/>
  <c r="Q813" i="3"/>
  <c r="P813" i="3"/>
  <c r="H813" i="3"/>
  <c r="G813" i="3"/>
  <c r="F813" i="3"/>
  <c r="E813" i="3"/>
  <c r="U812" i="3"/>
  <c r="R812" i="3"/>
  <c r="Q812" i="3"/>
  <c r="P812" i="3"/>
  <c r="H812" i="3"/>
  <c r="G812" i="3"/>
  <c r="F812" i="3"/>
  <c r="E812" i="3"/>
  <c r="U811" i="3"/>
  <c r="R811" i="3"/>
  <c r="Q811" i="3"/>
  <c r="P811" i="3"/>
  <c r="H811" i="3"/>
  <c r="G811" i="3"/>
  <c r="F811" i="3"/>
  <c r="E811" i="3"/>
  <c r="U810" i="3"/>
  <c r="R810" i="3"/>
  <c r="Q810" i="3"/>
  <c r="P810" i="3"/>
  <c r="H810" i="3"/>
  <c r="G810" i="3"/>
  <c r="F810" i="3"/>
  <c r="E810" i="3"/>
  <c r="U809" i="3"/>
  <c r="R809" i="3"/>
  <c r="Q809" i="3"/>
  <c r="P809" i="3"/>
  <c r="H809" i="3"/>
  <c r="G809" i="3"/>
  <c r="F809" i="3"/>
  <c r="E809" i="3"/>
  <c r="U808" i="3"/>
  <c r="R808" i="3"/>
  <c r="Q808" i="3"/>
  <c r="P808" i="3"/>
  <c r="H808" i="3"/>
  <c r="G808" i="3"/>
  <c r="F808" i="3"/>
  <c r="E808" i="3"/>
  <c r="U807" i="3"/>
  <c r="R807" i="3"/>
  <c r="Q807" i="3"/>
  <c r="P807" i="3"/>
  <c r="H807" i="3"/>
  <c r="G807" i="3"/>
  <c r="F807" i="3"/>
  <c r="E807" i="3"/>
  <c r="U806" i="3"/>
  <c r="R806" i="3"/>
  <c r="Q806" i="3"/>
  <c r="P806" i="3"/>
  <c r="H806" i="3"/>
  <c r="G806" i="3"/>
  <c r="F806" i="3"/>
  <c r="E806" i="3"/>
  <c r="U805" i="3"/>
  <c r="R805" i="3"/>
  <c r="Q805" i="3"/>
  <c r="P805" i="3"/>
  <c r="H805" i="3"/>
  <c r="G805" i="3"/>
  <c r="F805" i="3"/>
  <c r="E805" i="3"/>
  <c r="U804" i="3"/>
  <c r="R804" i="3"/>
  <c r="Q804" i="3"/>
  <c r="P804" i="3"/>
  <c r="H804" i="3"/>
  <c r="G804" i="3"/>
  <c r="F804" i="3"/>
  <c r="E804" i="3"/>
  <c r="U803" i="3"/>
  <c r="R803" i="3"/>
  <c r="Q803" i="3"/>
  <c r="P803" i="3"/>
  <c r="H803" i="3"/>
  <c r="G803" i="3"/>
  <c r="F803" i="3"/>
  <c r="E803" i="3"/>
  <c r="U802" i="3"/>
  <c r="R802" i="3"/>
  <c r="Q802" i="3"/>
  <c r="P802" i="3"/>
  <c r="H802" i="3"/>
  <c r="G802" i="3"/>
  <c r="F802" i="3"/>
  <c r="E802" i="3"/>
  <c r="U801" i="3"/>
  <c r="R801" i="3"/>
  <c r="Q801" i="3"/>
  <c r="P801" i="3"/>
  <c r="H801" i="3"/>
  <c r="G801" i="3"/>
  <c r="F801" i="3"/>
  <c r="E801" i="3"/>
  <c r="U800" i="3"/>
  <c r="R800" i="3"/>
  <c r="Q800" i="3"/>
  <c r="P800" i="3"/>
  <c r="H800" i="3"/>
  <c r="G800" i="3"/>
  <c r="F800" i="3"/>
  <c r="E800" i="3"/>
  <c r="U799" i="3"/>
  <c r="R799" i="3"/>
  <c r="Q799" i="3"/>
  <c r="P799" i="3"/>
  <c r="H799" i="3"/>
  <c r="G799" i="3"/>
  <c r="F799" i="3"/>
  <c r="E799" i="3"/>
  <c r="U798" i="3"/>
  <c r="R798" i="3"/>
  <c r="Q798" i="3"/>
  <c r="P798" i="3"/>
  <c r="H798" i="3"/>
  <c r="G798" i="3"/>
  <c r="F798" i="3"/>
  <c r="E798" i="3"/>
  <c r="U797" i="3"/>
  <c r="R797" i="3"/>
  <c r="Q797" i="3"/>
  <c r="P797" i="3"/>
  <c r="H797" i="3"/>
  <c r="G797" i="3"/>
  <c r="F797" i="3"/>
  <c r="E797" i="3"/>
  <c r="U796" i="3"/>
  <c r="R796" i="3"/>
  <c r="Q796" i="3"/>
  <c r="P796" i="3"/>
  <c r="H796" i="3"/>
  <c r="G796" i="3"/>
  <c r="F796" i="3"/>
  <c r="E796" i="3"/>
  <c r="U795" i="3"/>
  <c r="R795" i="3"/>
  <c r="Q795" i="3"/>
  <c r="P795" i="3"/>
  <c r="H795" i="3"/>
  <c r="G795" i="3"/>
  <c r="F795" i="3"/>
  <c r="E795" i="3"/>
  <c r="U794" i="3"/>
  <c r="R794" i="3"/>
  <c r="Q794" i="3"/>
  <c r="P794" i="3"/>
  <c r="H794" i="3"/>
  <c r="G794" i="3"/>
  <c r="F794" i="3"/>
  <c r="E794" i="3"/>
  <c r="U793" i="3"/>
  <c r="R793" i="3"/>
  <c r="Q793" i="3"/>
  <c r="P793" i="3"/>
  <c r="H793" i="3"/>
  <c r="G793" i="3"/>
  <c r="F793" i="3"/>
  <c r="E793" i="3"/>
  <c r="U792" i="3"/>
  <c r="R792" i="3"/>
  <c r="Q792" i="3"/>
  <c r="P792" i="3"/>
  <c r="H792" i="3"/>
  <c r="G792" i="3"/>
  <c r="F792" i="3"/>
  <c r="E792" i="3"/>
  <c r="U791" i="3"/>
  <c r="R791" i="3"/>
  <c r="Q791" i="3"/>
  <c r="P791" i="3"/>
  <c r="H791" i="3"/>
  <c r="G791" i="3"/>
  <c r="F791" i="3"/>
  <c r="E791" i="3"/>
  <c r="U790" i="3"/>
  <c r="R790" i="3"/>
  <c r="Q790" i="3"/>
  <c r="P790" i="3"/>
  <c r="H790" i="3"/>
  <c r="G790" i="3"/>
  <c r="F790" i="3"/>
  <c r="E790" i="3"/>
  <c r="U789" i="3"/>
  <c r="R789" i="3"/>
  <c r="Q789" i="3"/>
  <c r="P789" i="3"/>
  <c r="H789" i="3"/>
  <c r="G789" i="3"/>
  <c r="F789" i="3"/>
  <c r="E789" i="3"/>
  <c r="U788" i="3"/>
  <c r="R788" i="3"/>
  <c r="Q788" i="3"/>
  <c r="P788" i="3"/>
  <c r="H788" i="3"/>
  <c r="G788" i="3"/>
  <c r="F788" i="3"/>
  <c r="E788" i="3"/>
  <c r="U787" i="3"/>
  <c r="R787" i="3"/>
  <c r="Q787" i="3"/>
  <c r="P787" i="3"/>
  <c r="H787" i="3"/>
  <c r="G787" i="3"/>
  <c r="F787" i="3"/>
  <c r="E787" i="3"/>
  <c r="U786" i="3"/>
  <c r="R786" i="3"/>
  <c r="Q786" i="3"/>
  <c r="P786" i="3"/>
  <c r="H786" i="3"/>
  <c r="G786" i="3"/>
  <c r="F786" i="3"/>
  <c r="E786" i="3"/>
  <c r="U785" i="3"/>
  <c r="R785" i="3"/>
  <c r="Q785" i="3"/>
  <c r="P785" i="3"/>
  <c r="H785" i="3"/>
  <c r="G785" i="3"/>
  <c r="F785" i="3"/>
  <c r="E785" i="3"/>
  <c r="U784" i="3"/>
  <c r="R784" i="3"/>
  <c r="Q784" i="3"/>
  <c r="P784" i="3"/>
  <c r="H784" i="3"/>
  <c r="G784" i="3"/>
  <c r="F784" i="3"/>
  <c r="E784" i="3"/>
  <c r="U783" i="3"/>
  <c r="R783" i="3"/>
  <c r="Q783" i="3"/>
  <c r="P783" i="3"/>
  <c r="H783" i="3"/>
  <c r="G783" i="3"/>
  <c r="F783" i="3"/>
  <c r="E783" i="3"/>
  <c r="U782" i="3"/>
  <c r="R782" i="3"/>
  <c r="Q782" i="3"/>
  <c r="P782" i="3"/>
  <c r="H782" i="3"/>
  <c r="G782" i="3"/>
  <c r="F782" i="3"/>
  <c r="E782" i="3"/>
  <c r="U781" i="3"/>
  <c r="R781" i="3"/>
  <c r="Q781" i="3"/>
  <c r="P781" i="3"/>
  <c r="H781" i="3"/>
  <c r="G781" i="3"/>
  <c r="F781" i="3"/>
  <c r="E781" i="3"/>
  <c r="U780" i="3"/>
  <c r="R780" i="3"/>
  <c r="Q780" i="3"/>
  <c r="P780" i="3"/>
  <c r="H780" i="3"/>
  <c r="G780" i="3"/>
  <c r="F780" i="3"/>
  <c r="E780" i="3"/>
  <c r="U779" i="3"/>
  <c r="R779" i="3"/>
  <c r="Q779" i="3"/>
  <c r="P779" i="3"/>
  <c r="H779" i="3"/>
  <c r="G779" i="3"/>
  <c r="F779" i="3"/>
  <c r="E779" i="3"/>
  <c r="U778" i="3"/>
  <c r="R778" i="3"/>
  <c r="Q778" i="3"/>
  <c r="P778" i="3"/>
  <c r="H778" i="3"/>
  <c r="G778" i="3"/>
  <c r="F778" i="3"/>
  <c r="E778" i="3"/>
  <c r="U777" i="3"/>
  <c r="R777" i="3"/>
  <c r="Q777" i="3"/>
  <c r="P777" i="3"/>
  <c r="H777" i="3"/>
  <c r="G777" i="3"/>
  <c r="F777" i="3"/>
  <c r="E777" i="3"/>
  <c r="U776" i="3"/>
  <c r="R776" i="3"/>
  <c r="Q776" i="3"/>
  <c r="P776" i="3"/>
  <c r="H776" i="3"/>
  <c r="G776" i="3"/>
  <c r="F776" i="3"/>
  <c r="E776" i="3"/>
  <c r="U775" i="3"/>
  <c r="R775" i="3"/>
  <c r="Q775" i="3"/>
  <c r="P775" i="3"/>
  <c r="H775" i="3"/>
  <c r="G775" i="3"/>
  <c r="F775" i="3"/>
  <c r="E775" i="3"/>
  <c r="U774" i="3"/>
  <c r="R774" i="3"/>
  <c r="Q774" i="3"/>
  <c r="P774" i="3"/>
  <c r="H774" i="3"/>
  <c r="G774" i="3"/>
  <c r="F774" i="3"/>
  <c r="E774" i="3"/>
  <c r="U773" i="3"/>
  <c r="R773" i="3"/>
  <c r="Q773" i="3"/>
  <c r="P773" i="3"/>
  <c r="H773" i="3"/>
  <c r="G773" i="3"/>
  <c r="F773" i="3"/>
  <c r="E773" i="3"/>
  <c r="U772" i="3"/>
  <c r="R772" i="3"/>
  <c r="Q772" i="3"/>
  <c r="P772" i="3"/>
  <c r="H772" i="3"/>
  <c r="G772" i="3"/>
  <c r="F772" i="3"/>
  <c r="E772" i="3"/>
  <c r="U771" i="3"/>
  <c r="R771" i="3"/>
  <c r="Q771" i="3"/>
  <c r="P771" i="3"/>
  <c r="H771" i="3"/>
  <c r="G771" i="3"/>
  <c r="F771" i="3"/>
  <c r="E771" i="3"/>
  <c r="U770" i="3"/>
  <c r="R770" i="3"/>
  <c r="Q770" i="3"/>
  <c r="P770" i="3"/>
  <c r="H770" i="3"/>
  <c r="G770" i="3"/>
  <c r="F770" i="3"/>
  <c r="E770" i="3"/>
  <c r="U769" i="3"/>
  <c r="R769" i="3"/>
  <c r="Q769" i="3"/>
  <c r="P769" i="3"/>
  <c r="H769" i="3"/>
  <c r="G769" i="3"/>
  <c r="F769" i="3"/>
  <c r="E769" i="3"/>
  <c r="U768" i="3"/>
  <c r="R768" i="3"/>
  <c r="Q768" i="3"/>
  <c r="P768" i="3"/>
  <c r="H768" i="3"/>
  <c r="G768" i="3"/>
  <c r="F768" i="3"/>
  <c r="E768" i="3"/>
  <c r="U767" i="3"/>
  <c r="R767" i="3"/>
  <c r="Q767" i="3"/>
  <c r="P767" i="3"/>
  <c r="H767" i="3"/>
  <c r="G767" i="3"/>
  <c r="F767" i="3"/>
  <c r="E767" i="3"/>
  <c r="U766" i="3"/>
  <c r="R766" i="3"/>
  <c r="Q766" i="3"/>
  <c r="P766" i="3"/>
  <c r="H766" i="3"/>
  <c r="G766" i="3"/>
  <c r="F766" i="3"/>
  <c r="E766" i="3"/>
  <c r="U765" i="3"/>
  <c r="R765" i="3"/>
  <c r="Q765" i="3"/>
  <c r="P765" i="3"/>
  <c r="H765" i="3"/>
  <c r="G765" i="3"/>
  <c r="F765" i="3"/>
  <c r="E765" i="3"/>
  <c r="U764" i="3"/>
  <c r="R764" i="3"/>
  <c r="Q764" i="3"/>
  <c r="P764" i="3"/>
  <c r="H764" i="3"/>
  <c r="G764" i="3"/>
  <c r="F764" i="3"/>
  <c r="E764" i="3"/>
  <c r="U763" i="3"/>
  <c r="R763" i="3"/>
  <c r="Q763" i="3"/>
  <c r="P763" i="3"/>
  <c r="H763" i="3"/>
  <c r="G763" i="3"/>
  <c r="F763" i="3"/>
  <c r="E763" i="3"/>
  <c r="U762" i="3"/>
  <c r="R762" i="3"/>
  <c r="Q762" i="3"/>
  <c r="P762" i="3"/>
  <c r="H762" i="3"/>
  <c r="G762" i="3"/>
  <c r="F762" i="3"/>
  <c r="E762" i="3"/>
  <c r="U761" i="3"/>
  <c r="R761" i="3"/>
  <c r="Q761" i="3"/>
  <c r="P761" i="3"/>
  <c r="H761" i="3"/>
  <c r="G761" i="3"/>
  <c r="F761" i="3"/>
  <c r="E761" i="3"/>
  <c r="U760" i="3"/>
  <c r="R760" i="3"/>
  <c r="Q760" i="3"/>
  <c r="P760" i="3"/>
  <c r="H760" i="3"/>
  <c r="G760" i="3"/>
  <c r="F760" i="3"/>
  <c r="E760" i="3"/>
  <c r="U759" i="3"/>
  <c r="R759" i="3"/>
  <c r="Q759" i="3"/>
  <c r="P759" i="3"/>
  <c r="H759" i="3"/>
  <c r="G759" i="3"/>
  <c r="F759" i="3"/>
  <c r="E759" i="3"/>
  <c r="U758" i="3"/>
  <c r="R758" i="3"/>
  <c r="Q758" i="3"/>
  <c r="P758" i="3"/>
  <c r="H758" i="3"/>
  <c r="G758" i="3"/>
  <c r="F758" i="3"/>
  <c r="E758" i="3"/>
  <c r="U757" i="3"/>
  <c r="R757" i="3"/>
  <c r="Q757" i="3"/>
  <c r="P757" i="3"/>
  <c r="H757" i="3"/>
  <c r="G757" i="3"/>
  <c r="F757" i="3"/>
  <c r="E757" i="3"/>
  <c r="U756" i="3"/>
  <c r="R756" i="3"/>
  <c r="Q756" i="3"/>
  <c r="P756" i="3"/>
  <c r="H756" i="3"/>
  <c r="G756" i="3"/>
  <c r="F756" i="3"/>
  <c r="E756" i="3"/>
  <c r="U755" i="3"/>
  <c r="R755" i="3"/>
  <c r="Q755" i="3"/>
  <c r="P755" i="3"/>
  <c r="H755" i="3"/>
  <c r="G755" i="3"/>
  <c r="F755" i="3"/>
  <c r="E755" i="3"/>
  <c r="U754" i="3"/>
  <c r="R754" i="3"/>
  <c r="Q754" i="3"/>
  <c r="P754" i="3"/>
  <c r="H754" i="3"/>
  <c r="G754" i="3"/>
  <c r="F754" i="3"/>
  <c r="E754" i="3"/>
  <c r="U753" i="3"/>
  <c r="R753" i="3"/>
  <c r="Q753" i="3"/>
  <c r="P753" i="3"/>
  <c r="H753" i="3"/>
  <c r="G753" i="3"/>
  <c r="F753" i="3"/>
  <c r="E753" i="3"/>
  <c r="U752" i="3"/>
  <c r="R752" i="3"/>
  <c r="Q752" i="3"/>
  <c r="P752" i="3"/>
  <c r="H752" i="3"/>
  <c r="G752" i="3"/>
  <c r="F752" i="3"/>
  <c r="E752" i="3"/>
  <c r="U751" i="3"/>
  <c r="R751" i="3"/>
  <c r="Q751" i="3"/>
  <c r="P751" i="3"/>
  <c r="H751" i="3"/>
  <c r="G751" i="3"/>
  <c r="F751" i="3"/>
  <c r="E751" i="3"/>
  <c r="U750" i="3"/>
  <c r="R750" i="3"/>
  <c r="Q750" i="3"/>
  <c r="P750" i="3"/>
  <c r="H750" i="3"/>
  <c r="G750" i="3"/>
  <c r="F750" i="3"/>
  <c r="E750" i="3"/>
  <c r="U749" i="3"/>
  <c r="R749" i="3"/>
  <c r="Q749" i="3"/>
  <c r="P749" i="3"/>
  <c r="H749" i="3"/>
  <c r="G749" i="3"/>
  <c r="F749" i="3"/>
  <c r="E749" i="3"/>
  <c r="U748" i="3"/>
  <c r="R748" i="3"/>
  <c r="Q748" i="3"/>
  <c r="P748" i="3"/>
  <c r="H748" i="3"/>
  <c r="G748" i="3"/>
  <c r="F748" i="3"/>
  <c r="E748" i="3"/>
  <c r="U747" i="3"/>
  <c r="R747" i="3"/>
  <c r="Q747" i="3"/>
  <c r="P747" i="3"/>
  <c r="H747" i="3"/>
  <c r="G747" i="3"/>
  <c r="F747" i="3"/>
  <c r="E747" i="3"/>
  <c r="U746" i="3"/>
  <c r="R746" i="3"/>
  <c r="Q746" i="3"/>
  <c r="P746" i="3"/>
  <c r="H746" i="3"/>
  <c r="G746" i="3"/>
  <c r="F746" i="3"/>
  <c r="E746" i="3"/>
  <c r="U745" i="3"/>
  <c r="R745" i="3"/>
  <c r="Q745" i="3"/>
  <c r="P745" i="3"/>
  <c r="H745" i="3"/>
  <c r="G745" i="3"/>
  <c r="F745" i="3"/>
  <c r="E745" i="3"/>
  <c r="U744" i="3"/>
  <c r="R744" i="3"/>
  <c r="Q744" i="3"/>
  <c r="P744" i="3"/>
  <c r="H744" i="3"/>
  <c r="G744" i="3"/>
  <c r="F744" i="3"/>
  <c r="E744" i="3"/>
  <c r="U743" i="3"/>
  <c r="R743" i="3"/>
  <c r="Q743" i="3"/>
  <c r="P743" i="3"/>
  <c r="H743" i="3"/>
  <c r="G743" i="3"/>
  <c r="F743" i="3"/>
  <c r="E743" i="3"/>
  <c r="U742" i="3"/>
  <c r="R742" i="3"/>
  <c r="Q742" i="3"/>
  <c r="P742" i="3"/>
  <c r="H742" i="3"/>
  <c r="G742" i="3"/>
  <c r="F742" i="3"/>
  <c r="E742" i="3"/>
  <c r="U741" i="3"/>
  <c r="R741" i="3"/>
  <c r="Q741" i="3"/>
  <c r="P741" i="3"/>
  <c r="H741" i="3"/>
  <c r="G741" i="3"/>
  <c r="F741" i="3"/>
  <c r="E741" i="3"/>
  <c r="U740" i="3"/>
  <c r="R740" i="3"/>
  <c r="Q740" i="3"/>
  <c r="P740" i="3"/>
  <c r="H740" i="3"/>
  <c r="G740" i="3"/>
  <c r="F740" i="3"/>
  <c r="E740" i="3"/>
  <c r="U739" i="3"/>
  <c r="R739" i="3"/>
  <c r="Q739" i="3"/>
  <c r="P739" i="3"/>
  <c r="H739" i="3"/>
  <c r="G739" i="3"/>
  <c r="F739" i="3"/>
  <c r="E739" i="3"/>
  <c r="U738" i="3"/>
  <c r="R738" i="3"/>
  <c r="Q738" i="3"/>
  <c r="P738" i="3"/>
  <c r="H738" i="3"/>
  <c r="G738" i="3"/>
  <c r="F738" i="3"/>
  <c r="E738" i="3"/>
  <c r="U737" i="3"/>
  <c r="R737" i="3"/>
  <c r="Q737" i="3"/>
  <c r="P737" i="3"/>
  <c r="H737" i="3"/>
  <c r="G737" i="3"/>
  <c r="F737" i="3"/>
  <c r="E737" i="3"/>
  <c r="U736" i="3"/>
  <c r="R736" i="3"/>
  <c r="Q736" i="3"/>
  <c r="P736" i="3"/>
  <c r="H736" i="3"/>
  <c r="G736" i="3"/>
  <c r="F736" i="3"/>
  <c r="E736" i="3"/>
  <c r="U735" i="3"/>
  <c r="R735" i="3"/>
  <c r="Q735" i="3"/>
  <c r="P735" i="3"/>
  <c r="H735" i="3"/>
  <c r="G735" i="3"/>
  <c r="F735" i="3"/>
  <c r="E735" i="3"/>
  <c r="U734" i="3"/>
  <c r="R734" i="3"/>
  <c r="Q734" i="3"/>
  <c r="P734" i="3"/>
  <c r="H734" i="3"/>
  <c r="G734" i="3"/>
  <c r="F734" i="3"/>
  <c r="E734" i="3"/>
  <c r="U733" i="3"/>
  <c r="R733" i="3"/>
  <c r="Q733" i="3"/>
  <c r="P733" i="3"/>
  <c r="H733" i="3"/>
  <c r="G733" i="3"/>
  <c r="F733" i="3"/>
  <c r="E733" i="3"/>
  <c r="U732" i="3"/>
  <c r="R732" i="3"/>
  <c r="Q732" i="3"/>
  <c r="P732" i="3"/>
  <c r="H732" i="3"/>
  <c r="G732" i="3"/>
  <c r="F732" i="3"/>
  <c r="E732" i="3"/>
  <c r="U731" i="3"/>
  <c r="R731" i="3"/>
  <c r="Q731" i="3"/>
  <c r="P731" i="3"/>
  <c r="H731" i="3"/>
  <c r="G731" i="3"/>
  <c r="F731" i="3"/>
  <c r="E731" i="3"/>
  <c r="U730" i="3"/>
  <c r="R730" i="3"/>
  <c r="Q730" i="3"/>
  <c r="P730" i="3"/>
  <c r="H730" i="3"/>
  <c r="G730" i="3"/>
  <c r="F730" i="3"/>
  <c r="E730" i="3"/>
  <c r="U729" i="3"/>
  <c r="R729" i="3"/>
  <c r="Q729" i="3"/>
  <c r="P729" i="3"/>
  <c r="H729" i="3"/>
  <c r="G729" i="3"/>
  <c r="F729" i="3"/>
  <c r="E729" i="3"/>
  <c r="U728" i="3"/>
  <c r="R728" i="3"/>
  <c r="Q728" i="3"/>
  <c r="P728" i="3"/>
  <c r="H728" i="3"/>
  <c r="G728" i="3"/>
  <c r="F728" i="3"/>
  <c r="E728" i="3"/>
  <c r="U727" i="3"/>
  <c r="R727" i="3"/>
  <c r="Q727" i="3"/>
  <c r="P727" i="3"/>
  <c r="H727" i="3"/>
  <c r="G727" i="3"/>
  <c r="F727" i="3"/>
  <c r="E727" i="3"/>
  <c r="U726" i="3"/>
  <c r="R726" i="3"/>
  <c r="Q726" i="3"/>
  <c r="P726" i="3"/>
  <c r="H726" i="3"/>
  <c r="G726" i="3"/>
  <c r="F726" i="3"/>
  <c r="E726" i="3"/>
  <c r="U725" i="3"/>
  <c r="R725" i="3"/>
  <c r="Q725" i="3"/>
  <c r="P725" i="3"/>
  <c r="H725" i="3"/>
  <c r="G725" i="3"/>
  <c r="F725" i="3"/>
  <c r="E725" i="3"/>
  <c r="U724" i="3"/>
  <c r="R724" i="3"/>
  <c r="Q724" i="3"/>
  <c r="P724" i="3"/>
  <c r="H724" i="3"/>
  <c r="G724" i="3"/>
  <c r="F724" i="3"/>
  <c r="E724" i="3"/>
  <c r="U723" i="3"/>
  <c r="R723" i="3"/>
  <c r="Q723" i="3"/>
  <c r="P723" i="3"/>
  <c r="H723" i="3"/>
  <c r="G723" i="3"/>
  <c r="F723" i="3"/>
  <c r="E723" i="3"/>
  <c r="U722" i="3"/>
  <c r="R722" i="3"/>
  <c r="Q722" i="3"/>
  <c r="P722" i="3"/>
  <c r="H722" i="3"/>
  <c r="G722" i="3"/>
  <c r="F722" i="3"/>
  <c r="E722" i="3"/>
  <c r="U721" i="3"/>
  <c r="R721" i="3"/>
  <c r="Q721" i="3"/>
  <c r="P721" i="3"/>
  <c r="H721" i="3"/>
  <c r="G721" i="3"/>
  <c r="F721" i="3"/>
  <c r="E721" i="3"/>
  <c r="U720" i="3"/>
  <c r="R720" i="3"/>
  <c r="Q720" i="3"/>
  <c r="P720" i="3"/>
  <c r="H720" i="3"/>
  <c r="G720" i="3"/>
  <c r="F720" i="3"/>
  <c r="E720" i="3"/>
  <c r="U719" i="3"/>
  <c r="R719" i="3"/>
  <c r="Q719" i="3"/>
  <c r="P719" i="3"/>
  <c r="H719" i="3"/>
  <c r="G719" i="3"/>
  <c r="F719" i="3"/>
  <c r="E719" i="3"/>
  <c r="U718" i="3"/>
  <c r="R718" i="3"/>
  <c r="Q718" i="3"/>
  <c r="P718" i="3"/>
  <c r="H718" i="3"/>
  <c r="G718" i="3"/>
  <c r="F718" i="3"/>
  <c r="E718" i="3"/>
  <c r="U717" i="3"/>
  <c r="R717" i="3"/>
  <c r="Q717" i="3"/>
  <c r="P717" i="3"/>
  <c r="H717" i="3"/>
  <c r="G717" i="3"/>
  <c r="F717" i="3"/>
  <c r="E717" i="3"/>
  <c r="U716" i="3"/>
  <c r="R716" i="3"/>
  <c r="Q716" i="3"/>
  <c r="P716" i="3"/>
  <c r="H716" i="3"/>
  <c r="G716" i="3"/>
  <c r="F716" i="3"/>
  <c r="E716" i="3"/>
  <c r="U715" i="3"/>
  <c r="R715" i="3"/>
  <c r="Q715" i="3"/>
  <c r="P715" i="3"/>
  <c r="H715" i="3"/>
  <c r="G715" i="3"/>
  <c r="F715" i="3"/>
  <c r="E715" i="3"/>
  <c r="U714" i="3"/>
  <c r="R714" i="3"/>
  <c r="Q714" i="3"/>
  <c r="P714" i="3"/>
  <c r="H714" i="3"/>
  <c r="G714" i="3"/>
  <c r="F714" i="3"/>
  <c r="E714" i="3"/>
  <c r="U713" i="3"/>
  <c r="R713" i="3"/>
  <c r="Q713" i="3"/>
  <c r="P713" i="3"/>
  <c r="H713" i="3"/>
  <c r="G713" i="3"/>
  <c r="F713" i="3"/>
  <c r="E713" i="3"/>
  <c r="U712" i="3"/>
  <c r="R712" i="3"/>
  <c r="Q712" i="3"/>
  <c r="P712" i="3"/>
  <c r="H712" i="3"/>
  <c r="G712" i="3"/>
  <c r="F712" i="3"/>
  <c r="E712" i="3"/>
  <c r="U711" i="3"/>
  <c r="R711" i="3"/>
  <c r="Q711" i="3"/>
  <c r="P711" i="3"/>
  <c r="H711" i="3"/>
  <c r="G711" i="3"/>
  <c r="F711" i="3"/>
  <c r="E711" i="3"/>
  <c r="U710" i="3"/>
  <c r="R710" i="3"/>
  <c r="Q710" i="3"/>
  <c r="P710" i="3"/>
  <c r="H710" i="3"/>
  <c r="G710" i="3"/>
  <c r="F710" i="3"/>
  <c r="E710" i="3"/>
  <c r="U709" i="3"/>
  <c r="R709" i="3"/>
  <c r="Q709" i="3"/>
  <c r="P709" i="3"/>
  <c r="H709" i="3"/>
  <c r="G709" i="3"/>
  <c r="F709" i="3"/>
  <c r="E709" i="3"/>
  <c r="U708" i="3"/>
  <c r="R708" i="3"/>
  <c r="Q708" i="3"/>
  <c r="P708" i="3"/>
  <c r="H708" i="3"/>
  <c r="G708" i="3"/>
  <c r="F708" i="3"/>
  <c r="E708" i="3"/>
  <c r="U707" i="3"/>
  <c r="R707" i="3"/>
  <c r="Q707" i="3"/>
  <c r="P707" i="3"/>
  <c r="H707" i="3"/>
  <c r="G707" i="3"/>
  <c r="F707" i="3"/>
  <c r="E707" i="3"/>
  <c r="U706" i="3"/>
  <c r="R706" i="3"/>
  <c r="Q706" i="3"/>
  <c r="P706" i="3"/>
  <c r="H706" i="3"/>
  <c r="G706" i="3"/>
  <c r="F706" i="3"/>
  <c r="E706" i="3"/>
  <c r="U705" i="3"/>
  <c r="R705" i="3"/>
  <c r="Q705" i="3"/>
  <c r="P705" i="3"/>
  <c r="H705" i="3"/>
  <c r="G705" i="3"/>
  <c r="F705" i="3"/>
  <c r="E705" i="3"/>
  <c r="U704" i="3"/>
  <c r="R704" i="3"/>
  <c r="Q704" i="3"/>
  <c r="P704" i="3"/>
  <c r="H704" i="3"/>
  <c r="G704" i="3"/>
  <c r="F704" i="3"/>
  <c r="E704" i="3"/>
  <c r="U703" i="3"/>
  <c r="R703" i="3"/>
  <c r="Q703" i="3"/>
  <c r="P703" i="3"/>
  <c r="H703" i="3"/>
  <c r="G703" i="3"/>
  <c r="F703" i="3"/>
  <c r="E703" i="3"/>
  <c r="U702" i="3"/>
  <c r="R702" i="3"/>
  <c r="Q702" i="3"/>
  <c r="P702" i="3"/>
  <c r="H702" i="3"/>
  <c r="G702" i="3"/>
  <c r="F702" i="3"/>
  <c r="E702" i="3"/>
  <c r="U701" i="3"/>
  <c r="R701" i="3"/>
  <c r="Q701" i="3"/>
  <c r="P701" i="3"/>
  <c r="H701" i="3"/>
  <c r="G701" i="3"/>
  <c r="F701" i="3"/>
  <c r="E701" i="3"/>
  <c r="U700" i="3"/>
  <c r="R700" i="3"/>
  <c r="Q700" i="3"/>
  <c r="P700" i="3"/>
  <c r="H700" i="3"/>
  <c r="G700" i="3"/>
  <c r="F700" i="3"/>
  <c r="E700" i="3"/>
  <c r="U699" i="3"/>
  <c r="R699" i="3"/>
  <c r="Q699" i="3"/>
  <c r="P699" i="3"/>
  <c r="H699" i="3"/>
  <c r="G699" i="3"/>
  <c r="F699" i="3"/>
  <c r="E699" i="3"/>
  <c r="U698" i="3"/>
  <c r="R698" i="3"/>
  <c r="Q698" i="3"/>
  <c r="P698" i="3"/>
  <c r="H698" i="3"/>
  <c r="G698" i="3"/>
  <c r="F698" i="3"/>
  <c r="E698" i="3"/>
  <c r="U697" i="3"/>
  <c r="R697" i="3"/>
  <c r="Q697" i="3"/>
  <c r="P697" i="3"/>
  <c r="H697" i="3"/>
  <c r="G697" i="3"/>
  <c r="F697" i="3"/>
  <c r="E697" i="3"/>
  <c r="U696" i="3"/>
  <c r="R696" i="3"/>
  <c r="Q696" i="3"/>
  <c r="P696" i="3"/>
  <c r="H696" i="3"/>
  <c r="G696" i="3"/>
  <c r="F696" i="3"/>
  <c r="E696" i="3"/>
  <c r="U695" i="3"/>
  <c r="R695" i="3"/>
  <c r="Q695" i="3"/>
  <c r="P695" i="3"/>
  <c r="H695" i="3"/>
  <c r="G695" i="3"/>
  <c r="F695" i="3"/>
  <c r="E695" i="3"/>
  <c r="U694" i="3"/>
  <c r="R694" i="3"/>
  <c r="Q694" i="3"/>
  <c r="P694" i="3"/>
  <c r="H694" i="3"/>
  <c r="G694" i="3"/>
  <c r="F694" i="3"/>
  <c r="E694" i="3"/>
  <c r="U693" i="3"/>
  <c r="R693" i="3"/>
  <c r="Q693" i="3"/>
  <c r="P693" i="3"/>
  <c r="H693" i="3"/>
  <c r="G693" i="3"/>
  <c r="F693" i="3"/>
  <c r="E693" i="3"/>
  <c r="U692" i="3"/>
  <c r="R692" i="3"/>
  <c r="Q692" i="3"/>
  <c r="P692" i="3"/>
  <c r="H692" i="3"/>
  <c r="G692" i="3"/>
  <c r="F692" i="3"/>
  <c r="E692" i="3"/>
  <c r="U691" i="3"/>
  <c r="R691" i="3"/>
  <c r="Q691" i="3"/>
  <c r="P691" i="3"/>
  <c r="H691" i="3"/>
  <c r="G691" i="3"/>
  <c r="F691" i="3"/>
  <c r="E691" i="3"/>
  <c r="U690" i="3"/>
  <c r="R690" i="3"/>
  <c r="Q690" i="3"/>
  <c r="P690" i="3"/>
  <c r="H690" i="3"/>
  <c r="G690" i="3"/>
  <c r="F690" i="3"/>
  <c r="E690" i="3"/>
  <c r="U689" i="3"/>
  <c r="R689" i="3"/>
  <c r="Q689" i="3"/>
  <c r="P689" i="3"/>
  <c r="H689" i="3"/>
  <c r="G689" i="3"/>
  <c r="F689" i="3"/>
  <c r="E689" i="3"/>
  <c r="U688" i="3"/>
  <c r="R688" i="3"/>
  <c r="Q688" i="3"/>
  <c r="P688" i="3"/>
  <c r="H688" i="3"/>
  <c r="G688" i="3"/>
  <c r="F688" i="3"/>
  <c r="E688" i="3"/>
  <c r="U687" i="3"/>
  <c r="R687" i="3"/>
  <c r="Q687" i="3"/>
  <c r="P687" i="3"/>
  <c r="H687" i="3"/>
  <c r="G687" i="3"/>
  <c r="F687" i="3"/>
  <c r="E687" i="3"/>
  <c r="U686" i="3"/>
  <c r="R686" i="3"/>
  <c r="Q686" i="3"/>
  <c r="P686" i="3"/>
  <c r="H686" i="3"/>
  <c r="G686" i="3"/>
  <c r="F686" i="3"/>
  <c r="E686" i="3"/>
  <c r="U685" i="3"/>
  <c r="R685" i="3"/>
  <c r="Q685" i="3"/>
  <c r="P685" i="3"/>
  <c r="H685" i="3"/>
  <c r="G685" i="3"/>
  <c r="F685" i="3"/>
  <c r="E685" i="3"/>
  <c r="U684" i="3"/>
  <c r="R684" i="3"/>
  <c r="Q684" i="3"/>
  <c r="P684" i="3"/>
  <c r="H684" i="3"/>
  <c r="G684" i="3"/>
  <c r="F684" i="3"/>
  <c r="E684" i="3"/>
  <c r="U683" i="3"/>
  <c r="R683" i="3"/>
  <c r="Q683" i="3"/>
  <c r="P683" i="3"/>
  <c r="H683" i="3"/>
  <c r="G683" i="3"/>
  <c r="F683" i="3"/>
  <c r="E683" i="3"/>
  <c r="U682" i="3"/>
  <c r="R682" i="3"/>
  <c r="Q682" i="3"/>
  <c r="P682" i="3"/>
  <c r="H682" i="3"/>
  <c r="G682" i="3"/>
  <c r="F682" i="3"/>
  <c r="E682" i="3"/>
  <c r="U681" i="3"/>
  <c r="R681" i="3"/>
  <c r="Q681" i="3"/>
  <c r="P681" i="3"/>
  <c r="H681" i="3"/>
  <c r="G681" i="3"/>
  <c r="F681" i="3"/>
  <c r="E681" i="3"/>
  <c r="U680" i="3"/>
  <c r="R680" i="3"/>
  <c r="Q680" i="3"/>
  <c r="P680" i="3"/>
  <c r="H680" i="3"/>
  <c r="G680" i="3"/>
  <c r="F680" i="3"/>
  <c r="E680" i="3"/>
  <c r="U679" i="3"/>
  <c r="R679" i="3"/>
  <c r="Q679" i="3"/>
  <c r="P679" i="3"/>
  <c r="H679" i="3"/>
  <c r="G679" i="3"/>
  <c r="F679" i="3"/>
  <c r="E679" i="3"/>
  <c r="U678" i="3"/>
  <c r="R678" i="3"/>
  <c r="Q678" i="3"/>
  <c r="P678" i="3"/>
  <c r="H678" i="3"/>
  <c r="G678" i="3"/>
  <c r="F678" i="3"/>
  <c r="E678" i="3"/>
  <c r="U677" i="3"/>
  <c r="R677" i="3"/>
  <c r="Q677" i="3"/>
  <c r="P677" i="3"/>
  <c r="H677" i="3"/>
  <c r="G677" i="3"/>
  <c r="F677" i="3"/>
  <c r="E677" i="3"/>
  <c r="U676" i="3"/>
  <c r="R676" i="3"/>
  <c r="Q676" i="3"/>
  <c r="P676" i="3"/>
  <c r="H676" i="3"/>
  <c r="G676" i="3"/>
  <c r="F676" i="3"/>
  <c r="E676" i="3"/>
  <c r="U675" i="3"/>
  <c r="R675" i="3"/>
  <c r="Q675" i="3"/>
  <c r="P675" i="3"/>
  <c r="H675" i="3"/>
  <c r="G675" i="3"/>
  <c r="F675" i="3"/>
  <c r="E675" i="3"/>
  <c r="U674" i="3"/>
  <c r="R674" i="3"/>
  <c r="Q674" i="3"/>
  <c r="P674" i="3"/>
  <c r="H674" i="3"/>
  <c r="G674" i="3"/>
  <c r="F674" i="3"/>
  <c r="E674" i="3"/>
  <c r="U673" i="3"/>
  <c r="R673" i="3"/>
  <c r="Q673" i="3"/>
  <c r="P673" i="3"/>
  <c r="H673" i="3"/>
  <c r="G673" i="3"/>
  <c r="F673" i="3"/>
  <c r="E673" i="3"/>
  <c r="U672" i="3"/>
  <c r="R672" i="3"/>
  <c r="Q672" i="3"/>
  <c r="P672" i="3"/>
  <c r="H672" i="3"/>
  <c r="G672" i="3"/>
  <c r="F672" i="3"/>
  <c r="E672" i="3"/>
  <c r="U671" i="3"/>
  <c r="R671" i="3"/>
  <c r="Q671" i="3"/>
  <c r="P671" i="3"/>
  <c r="H671" i="3"/>
  <c r="G671" i="3"/>
  <c r="F671" i="3"/>
  <c r="E671" i="3"/>
  <c r="U670" i="3"/>
  <c r="R670" i="3"/>
  <c r="Q670" i="3"/>
  <c r="P670" i="3"/>
  <c r="H670" i="3"/>
  <c r="G670" i="3"/>
  <c r="F670" i="3"/>
  <c r="E670" i="3"/>
  <c r="U669" i="3"/>
  <c r="R669" i="3"/>
  <c r="Q669" i="3"/>
  <c r="P669" i="3"/>
  <c r="H669" i="3"/>
  <c r="G669" i="3"/>
  <c r="F669" i="3"/>
  <c r="E669" i="3"/>
  <c r="U668" i="3"/>
  <c r="R668" i="3"/>
  <c r="Q668" i="3"/>
  <c r="P668" i="3"/>
  <c r="H668" i="3"/>
  <c r="G668" i="3"/>
  <c r="F668" i="3"/>
  <c r="E668" i="3"/>
  <c r="U667" i="3"/>
  <c r="R667" i="3"/>
  <c r="Q667" i="3"/>
  <c r="P667" i="3"/>
  <c r="H667" i="3"/>
  <c r="G667" i="3"/>
  <c r="F667" i="3"/>
  <c r="E667" i="3"/>
  <c r="U666" i="3"/>
  <c r="R666" i="3"/>
  <c r="Q666" i="3"/>
  <c r="P666" i="3"/>
  <c r="H666" i="3"/>
  <c r="G666" i="3"/>
  <c r="F666" i="3"/>
  <c r="E666" i="3"/>
  <c r="U665" i="3"/>
  <c r="R665" i="3"/>
  <c r="Q665" i="3"/>
  <c r="P665" i="3"/>
  <c r="H665" i="3"/>
  <c r="G665" i="3"/>
  <c r="F665" i="3"/>
  <c r="E665" i="3"/>
  <c r="U664" i="3"/>
  <c r="R664" i="3"/>
  <c r="Q664" i="3"/>
  <c r="P664" i="3"/>
  <c r="H664" i="3"/>
  <c r="G664" i="3"/>
  <c r="F664" i="3"/>
  <c r="E664" i="3"/>
  <c r="U663" i="3"/>
  <c r="R663" i="3"/>
  <c r="Q663" i="3"/>
  <c r="P663" i="3"/>
  <c r="H663" i="3"/>
  <c r="G663" i="3"/>
  <c r="F663" i="3"/>
  <c r="E663" i="3"/>
  <c r="U662" i="3"/>
  <c r="R662" i="3"/>
  <c r="Q662" i="3"/>
  <c r="P662" i="3"/>
  <c r="H662" i="3"/>
  <c r="G662" i="3"/>
  <c r="F662" i="3"/>
  <c r="E662" i="3"/>
  <c r="U661" i="3"/>
  <c r="R661" i="3"/>
  <c r="Q661" i="3"/>
  <c r="P661" i="3"/>
  <c r="H661" i="3"/>
  <c r="G661" i="3"/>
  <c r="F661" i="3"/>
  <c r="E661" i="3"/>
  <c r="U660" i="3"/>
  <c r="R660" i="3"/>
  <c r="Q660" i="3"/>
  <c r="P660" i="3"/>
  <c r="H660" i="3"/>
  <c r="G660" i="3"/>
  <c r="F660" i="3"/>
  <c r="E660" i="3"/>
  <c r="U659" i="3"/>
  <c r="R659" i="3"/>
  <c r="Q659" i="3"/>
  <c r="P659" i="3"/>
  <c r="H659" i="3"/>
  <c r="G659" i="3"/>
  <c r="F659" i="3"/>
  <c r="E659" i="3"/>
  <c r="U658" i="3"/>
  <c r="R658" i="3"/>
  <c r="Q658" i="3"/>
  <c r="P658" i="3"/>
  <c r="H658" i="3"/>
  <c r="G658" i="3"/>
  <c r="F658" i="3"/>
  <c r="E658" i="3"/>
  <c r="U657" i="3"/>
  <c r="R657" i="3"/>
  <c r="Q657" i="3"/>
  <c r="P657" i="3"/>
  <c r="H657" i="3"/>
  <c r="G657" i="3"/>
  <c r="F657" i="3"/>
  <c r="E657" i="3"/>
  <c r="U656" i="3"/>
  <c r="R656" i="3"/>
  <c r="Q656" i="3"/>
  <c r="P656" i="3"/>
  <c r="H656" i="3"/>
  <c r="G656" i="3"/>
  <c r="F656" i="3"/>
  <c r="E656" i="3"/>
  <c r="U655" i="3"/>
  <c r="R655" i="3"/>
  <c r="Q655" i="3"/>
  <c r="P655" i="3"/>
  <c r="H655" i="3"/>
  <c r="G655" i="3"/>
  <c r="F655" i="3"/>
  <c r="E655" i="3"/>
  <c r="U654" i="3"/>
  <c r="R654" i="3"/>
  <c r="Q654" i="3"/>
  <c r="P654" i="3"/>
  <c r="H654" i="3"/>
  <c r="G654" i="3"/>
  <c r="F654" i="3"/>
  <c r="E654" i="3"/>
  <c r="U653" i="3"/>
  <c r="R653" i="3"/>
  <c r="Q653" i="3"/>
  <c r="P653" i="3"/>
  <c r="H653" i="3"/>
  <c r="G653" i="3"/>
  <c r="F653" i="3"/>
  <c r="E653" i="3"/>
  <c r="U652" i="3"/>
  <c r="R652" i="3"/>
  <c r="Q652" i="3"/>
  <c r="P652" i="3"/>
  <c r="H652" i="3"/>
  <c r="G652" i="3"/>
  <c r="F652" i="3"/>
  <c r="E652" i="3"/>
  <c r="U651" i="3"/>
  <c r="R651" i="3"/>
  <c r="Q651" i="3"/>
  <c r="P651" i="3"/>
  <c r="H651" i="3"/>
  <c r="G651" i="3"/>
  <c r="F651" i="3"/>
  <c r="E651" i="3"/>
  <c r="U650" i="3"/>
  <c r="R650" i="3"/>
  <c r="Q650" i="3"/>
  <c r="P650" i="3"/>
  <c r="H650" i="3"/>
  <c r="G650" i="3"/>
  <c r="F650" i="3"/>
  <c r="E650" i="3"/>
  <c r="U649" i="3"/>
  <c r="R649" i="3"/>
  <c r="Q649" i="3"/>
  <c r="P649" i="3"/>
  <c r="H649" i="3"/>
  <c r="G649" i="3"/>
  <c r="F649" i="3"/>
  <c r="E649" i="3"/>
  <c r="U648" i="3"/>
  <c r="R648" i="3"/>
  <c r="Q648" i="3"/>
  <c r="P648" i="3"/>
  <c r="H648" i="3"/>
  <c r="G648" i="3"/>
  <c r="F648" i="3"/>
  <c r="E648" i="3"/>
  <c r="U647" i="3"/>
  <c r="R647" i="3"/>
  <c r="Q647" i="3"/>
  <c r="P647" i="3"/>
  <c r="H647" i="3"/>
  <c r="G647" i="3"/>
  <c r="F647" i="3"/>
  <c r="E647" i="3"/>
  <c r="U646" i="3"/>
  <c r="R646" i="3"/>
  <c r="Q646" i="3"/>
  <c r="P646" i="3"/>
  <c r="H646" i="3"/>
  <c r="G646" i="3"/>
  <c r="F646" i="3"/>
  <c r="E646" i="3"/>
  <c r="U645" i="3"/>
  <c r="R645" i="3"/>
  <c r="Q645" i="3"/>
  <c r="P645" i="3"/>
  <c r="H645" i="3"/>
  <c r="G645" i="3"/>
  <c r="F645" i="3"/>
  <c r="E645" i="3"/>
  <c r="U644" i="3"/>
  <c r="R644" i="3"/>
  <c r="Q644" i="3"/>
  <c r="P644" i="3"/>
  <c r="H644" i="3"/>
  <c r="G644" i="3"/>
  <c r="F644" i="3"/>
  <c r="E644" i="3"/>
  <c r="U643" i="3"/>
  <c r="R643" i="3"/>
  <c r="Q643" i="3"/>
  <c r="P643" i="3"/>
  <c r="H643" i="3"/>
  <c r="G643" i="3"/>
  <c r="F643" i="3"/>
  <c r="E643" i="3"/>
  <c r="U642" i="3"/>
  <c r="R642" i="3"/>
  <c r="Q642" i="3"/>
  <c r="P642" i="3"/>
  <c r="H642" i="3"/>
  <c r="G642" i="3"/>
  <c r="F642" i="3"/>
  <c r="E642" i="3"/>
  <c r="U641" i="3"/>
  <c r="R641" i="3"/>
  <c r="Q641" i="3"/>
  <c r="P641" i="3"/>
  <c r="H641" i="3"/>
  <c r="G641" i="3"/>
  <c r="F641" i="3"/>
  <c r="E641" i="3"/>
  <c r="U640" i="3"/>
  <c r="R640" i="3"/>
  <c r="Q640" i="3"/>
  <c r="P640" i="3"/>
  <c r="H640" i="3"/>
  <c r="G640" i="3"/>
  <c r="F640" i="3"/>
  <c r="E640" i="3"/>
  <c r="U639" i="3"/>
  <c r="R639" i="3"/>
  <c r="Q639" i="3"/>
  <c r="P639" i="3"/>
  <c r="H639" i="3"/>
  <c r="G639" i="3"/>
  <c r="F639" i="3"/>
  <c r="E639" i="3"/>
  <c r="U638" i="3"/>
  <c r="R638" i="3"/>
  <c r="Q638" i="3"/>
  <c r="P638" i="3"/>
  <c r="H638" i="3"/>
  <c r="G638" i="3"/>
  <c r="F638" i="3"/>
  <c r="E638" i="3"/>
  <c r="U637" i="3"/>
  <c r="R637" i="3"/>
  <c r="Q637" i="3"/>
  <c r="P637" i="3"/>
  <c r="H637" i="3"/>
  <c r="G637" i="3"/>
  <c r="F637" i="3"/>
  <c r="E637" i="3"/>
  <c r="U636" i="3"/>
  <c r="R636" i="3"/>
  <c r="Q636" i="3"/>
  <c r="P636" i="3"/>
  <c r="H636" i="3"/>
  <c r="G636" i="3"/>
  <c r="F636" i="3"/>
  <c r="E636" i="3"/>
  <c r="U635" i="3"/>
  <c r="R635" i="3"/>
  <c r="Q635" i="3"/>
  <c r="P635" i="3"/>
  <c r="H635" i="3"/>
  <c r="G635" i="3"/>
  <c r="F635" i="3"/>
  <c r="E635" i="3"/>
  <c r="U634" i="3"/>
  <c r="R634" i="3"/>
  <c r="Q634" i="3"/>
  <c r="P634" i="3"/>
  <c r="H634" i="3"/>
  <c r="G634" i="3"/>
  <c r="F634" i="3"/>
  <c r="E634" i="3"/>
  <c r="U633" i="3"/>
  <c r="R633" i="3"/>
  <c r="Q633" i="3"/>
  <c r="P633" i="3"/>
  <c r="H633" i="3"/>
  <c r="G633" i="3"/>
  <c r="F633" i="3"/>
  <c r="E633" i="3"/>
  <c r="U632" i="3"/>
  <c r="R632" i="3"/>
  <c r="Q632" i="3"/>
  <c r="P632" i="3"/>
  <c r="H632" i="3"/>
  <c r="G632" i="3"/>
  <c r="F632" i="3"/>
  <c r="E632" i="3"/>
  <c r="U631" i="3"/>
  <c r="R631" i="3"/>
  <c r="Q631" i="3"/>
  <c r="P631" i="3"/>
  <c r="H631" i="3"/>
  <c r="G631" i="3"/>
  <c r="F631" i="3"/>
  <c r="E631" i="3"/>
  <c r="U630" i="3"/>
  <c r="R630" i="3"/>
  <c r="Q630" i="3"/>
  <c r="P630" i="3"/>
  <c r="H630" i="3"/>
  <c r="G630" i="3"/>
  <c r="F630" i="3"/>
  <c r="E630" i="3"/>
  <c r="U629" i="3"/>
  <c r="R629" i="3"/>
  <c r="Q629" i="3"/>
  <c r="P629" i="3"/>
  <c r="H629" i="3"/>
  <c r="G629" i="3"/>
  <c r="F629" i="3"/>
  <c r="E629" i="3"/>
  <c r="U628" i="3"/>
  <c r="R628" i="3"/>
  <c r="Q628" i="3"/>
  <c r="P628" i="3"/>
  <c r="H628" i="3"/>
  <c r="G628" i="3"/>
  <c r="F628" i="3"/>
  <c r="E628" i="3"/>
  <c r="U627" i="3"/>
  <c r="R627" i="3"/>
  <c r="Q627" i="3"/>
  <c r="P627" i="3"/>
  <c r="H627" i="3"/>
  <c r="G627" i="3"/>
  <c r="F627" i="3"/>
  <c r="E627" i="3"/>
  <c r="U626" i="3"/>
  <c r="R626" i="3"/>
  <c r="Q626" i="3"/>
  <c r="P626" i="3"/>
  <c r="H626" i="3"/>
  <c r="G626" i="3"/>
  <c r="F626" i="3"/>
  <c r="E626" i="3"/>
  <c r="U625" i="3"/>
  <c r="R625" i="3"/>
  <c r="Q625" i="3"/>
  <c r="P625" i="3"/>
  <c r="H625" i="3"/>
  <c r="G625" i="3"/>
  <c r="F625" i="3"/>
  <c r="E625" i="3"/>
  <c r="U624" i="3"/>
  <c r="R624" i="3"/>
  <c r="Q624" i="3"/>
  <c r="P624" i="3"/>
  <c r="H624" i="3"/>
  <c r="G624" i="3"/>
  <c r="F624" i="3"/>
  <c r="E624" i="3"/>
  <c r="U623" i="3"/>
  <c r="R623" i="3"/>
  <c r="Q623" i="3"/>
  <c r="P623" i="3"/>
  <c r="H623" i="3"/>
  <c r="G623" i="3"/>
  <c r="F623" i="3"/>
  <c r="E623" i="3"/>
  <c r="U622" i="3"/>
  <c r="R622" i="3"/>
  <c r="Q622" i="3"/>
  <c r="P622" i="3"/>
  <c r="H622" i="3"/>
  <c r="G622" i="3"/>
  <c r="F622" i="3"/>
  <c r="E622" i="3"/>
  <c r="U621" i="3"/>
  <c r="R621" i="3"/>
  <c r="Q621" i="3"/>
  <c r="P621" i="3"/>
  <c r="H621" i="3"/>
  <c r="G621" i="3"/>
  <c r="F621" i="3"/>
  <c r="E621" i="3"/>
  <c r="U620" i="3"/>
  <c r="T620" i="3"/>
  <c r="R620" i="3"/>
  <c r="Q620" i="3"/>
  <c r="P620" i="3"/>
  <c r="L620" i="3"/>
  <c r="H620" i="3"/>
  <c r="G620" i="3"/>
  <c r="F620" i="3"/>
  <c r="E620" i="3"/>
  <c r="U619" i="3"/>
  <c r="R619" i="3"/>
  <c r="Q619" i="3"/>
  <c r="P619" i="3"/>
  <c r="H619" i="3"/>
  <c r="G619" i="3"/>
  <c r="F619" i="3"/>
  <c r="E619" i="3"/>
  <c r="U618" i="3"/>
  <c r="R618" i="3"/>
  <c r="Q618" i="3"/>
  <c r="P618" i="3"/>
  <c r="H618" i="3"/>
  <c r="G618" i="3"/>
  <c r="F618" i="3"/>
  <c r="E618" i="3"/>
  <c r="U617" i="3"/>
  <c r="R617" i="3"/>
  <c r="Q617" i="3"/>
  <c r="P617" i="3"/>
  <c r="H617" i="3"/>
  <c r="G617" i="3"/>
  <c r="F617" i="3"/>
  <c r="E617" i="3"/>
  <c r="U616" i="3"/>
  <c r="R616" i="3"/>
  <c r="Q616" i="3"/>
  <c r="P616" i="3"/>
  <c r="H616" i="3"/>
  <c r="G616" i="3"/>
  <c r="F616" i="3"/>
  <c r="E616" i="3"/>
  <c r="U615" i="3"/>
  <c r="R615" i="3"/>
  <c r="Q615" i="3"/>
  <c r="P615" i="3"/>
  <c r="H615" i="3"/>
  <c r="G615" i="3"/>
  <c r="F615" i="3"/>
  <c r="E615" i="3"/>
  <c r="U614" i="3"/>
  <c r="R614" i="3"/>
  <c r="Q614" i="3"/>
  <c r="P614" i="3"/>
  <c r="H614" i="3"/>
  <c r="G614" i="3"/>
  <c r="F614" i="3"/>
  <c r="E614" i="3"/>
  <c r="U613" i="3"/>
  <c r="R613" i="3"/>
  <c r="Q613" i="3"/>
  <c r="P613" i="3"/>
  <c r="H613" i="3"/>
  <c r="G613" i="3"/>
  <c r="F613" i="3"/>
  <c r="E613" i="3"/>
  <c r="U612" i="3"/>
  <c r="R612" i="3"/>
  <c r="Q612" i="3"/>
  <c r="P612" i="3"/>
  <c r="H612" i="3"/>
  <c r="G612" i="3"/>
  <c r="F612" i="3"/>
  <c r="E612" i="3"/>
  <c r="U611" i="3"/>
  <c r="R611" i="3"/>
  <c r="Q611" i="3"/>
  <c r="P611" i="3"/>
  <c r="H611" i="3"/>
  <c r="G611" i="3"/>
  <c r="F611" i="3"/>
  <c r="E611" i="3"/>
  <c r="U610" i="3"/>
  <c r="R610" i="3"/>
  <c r="Q610" i="3"/>
  <c r="P610" i="3"/>
  <c r="H610" i="3"/>
  <c r="G610" i="3"/>
  <c r="F610" i="3"/>
  <c r="E610" i="3"/>
  <c r="U609" i="3"/>
  <c r="R609" i="3"/>
  <c r="Q609" i="3"/>
  <c r="P609" i="3"/>
  <c r="H609" i="3"/>
  <c r="G609" i="3"/>
  <c r="F609" i="3"/>
  <c r="E609" i="3"/>
  <c r="U608" i="3"/>
  <c r="R608" i="3"/>
  <c r="Q608" i="3"/>
  <c r="P608" i="3"/>
  <c r="H608" i="3"/>
  <c r="G608" i="3"/>
  <c r="F608" i="3"/>
  <c r="E608" i="3"/>
  <c r="U607" i="3"/>
  <c r="R607" i="3"/>
  <c r="Q607" i="3"/>
  <c r="P607" i="3"/>
  <c r="H607" i="3"/>
  <c r="G607" i="3"/>
  <c r="F607" i="3"/>
  <c r="E607" i="3"/>
  <c r="U606" i="3"/>
  <c r="R606" i="3"/>
  <c r="Q606" i="3"/>
  <c r="P606" i="3"/>
  <c r="H606" i="3"/>
  <c r="G606" i="3"/>
  <c r="F606" i="3"/>
  <c r="E606" i="3"/>
  <c r="U605" i="3"/>
  <c r="R605" i="3"/>
  <c r="Q605" i="3"/>
  <c r="P605" i="3"/>
  <c r="H605" i="3"/>
  <c r="G605" i="3"/>
  <c r="F605" i="3"/>
  <c r="E605" i="3"/>
  <c r="U604" i="3"/>
  <c r="R604" i="3"/>
  <c r="Q604" i="3"/>
  <c r="P604" i="3"/>
  <c r="H604" i="3"/>
  <c r="G604" i="3"/>
  <c r="F604" i="3"/>
  <c r="E604" i="3"/>
  <c r="U603" i="3"/>
  <c r="R603" i="3"/>
  <c r="Q603" i="3"/>
  <c r="P603" i="3"/>
  <c r="H603" i="3"/>
  <c r="G603" i="3"/>
  <c r="F603" i="3"/>
  <c r="E603" i="3"/>
  <c r="U602" i="3"/>
  <c r="R602" i="3"/>
  <c r="Q602" i="3"/>
  <c r="P602" i="3"/>
  <c r="H602" i="3"/>
  <c r="G602" i="3"/>
  <c r="F602" i="3"/>
  <c r="E602" i="3"/>
  <c r="U601" i="3"/>
  <c r="R601" i="3"/>
  <c r="Q601" i="3"/>
  <c r="P601" i="3"/>
  <c r="H601" i="3"/>
  <c r="G601" i="3"/>
  <c r="F601" i="3"/>
  <c r="E601" i="3"/>
  <c r="U600" i="3"/>
  <c r="R600" i="3"/>
  <c r="Q600" i="3"/>
  <c r="P600" i="3"/>
  <c r="H600" i="3"/>
  <c r="G600" i="3"/>
  <c r="F600" i="3"/>
  <c r="E600" i="3"/>
  <c r="U599" i="3"/>
  <c r="R599" i="3"/>
  <c r="Q599" i="3"/>
  <c r="P599" i="3"/>
  <c r="H599" i="3"/>
  <c r="G599" i="3"/>
  <c r="F599" i="3"/>
  <c r="E599" i="3"/>
  <c r="U598" i="3"/>
  <c r="R598" i="3"/>
  <c r="Q598" i="3"/>
  <c r="P598" i="3"/>
  <c r="H598" i="3"/>
  <c r="G598" i="3"/>
  <c r="F598" i="3"/>
  <c r="E598" i="3"/>
  <c r="U597" i="3"/>
  <c r="R597" i="3"/>
  <c r="Q597" i="3"/>
  <c r="P597" i="3"/>
  <c r="H597" i="3"/>
  <c r="G597" i="3"/>
  <c r="F597" i="3"/>
  <c r="E597" i="3"/>
  <c r="U596" i="3"/>
  <c r="R596" i="3"/>
  <c r="Q596" i="3"/>
  <c r="P596" i="3"/>
  <c r="H596" i="3"/>
  <c r="G596" i="3"/>
  <c r="F596" i="3"/>
  <c r="E596" i="3"/>
  <c r="U595" i="3"/>
  <c r="R595" i="3"/>
  <c r="Q595" i="3"/>
  <c r="P595" i="3"/>
  <c r="H595" i="3"/>
  <c r="G595" i="3"/>
  <c r="F595" i="3"/>
  <c r="E595" i="3"/>
  <c r="U594" i="3"/>
  <c r="R594" i="3"/>
  <c r="Q594" i="3"/>
  <c r="P594" i="3"/>
  <c r="H594" i="3"/>
  <c r="G594" i="3"/>
  <c r="F594" i="3"/>
  <c r="E594" i="3"/>
  <c r="U593" i="3"/>
  <c r="R593" i="3"/>
  <c r="Q593" i="3"/>
  <c r="P593" i="3"/>
  <c r="H593" i="3"/>
  <c r="G593" i="3"/>
  <c r="F593" i="3"/>
  <c r="E593" i="3"/>
  <c r="U592" i="3"/>
  <c r="R592" i="3"/>
  <c r="Q592" i="3"/>
  <c r="P592" i="3"/>
  <c r="H592" i="3"/>
  <c r="G592" i="3"/>
  <c r="F592" i="3"/>
  <c r="E592" i="3"/>
  <c r="U591" i="3"/>
  <c r="R591" i="3"/>
  <c r="Q591" i="3"/>
  <c r="P591" i="3"/>
  <c r="H591" i="3"/>
  <c r="G591" i="3"/>
  <c r="F591" i="3"/>
  <c r="E591" i="3"/>
  <c r="U590" i="3"/>
  <c r="R590" i="3"/>
  <c r="Q590" i="3"/>
  <c r="P590" i="3"/>
  <c r="H590" i="3"/>
  <c r="G590" i="3"/>
  <c r="F590" i="3"/>
  <c r="E590" i="3"/>
  <c r="U589" i="3"/>
  <c r="R589" i="3"/>
  <c r="Q589" i="3"/>
  <c r="P589" i="3"/>
  <c r="H589" i="3"/>
  <c r="G589" i="3"/>
  <c r="F589" i="3"/>
  <c r="E589" i="3"/>
  <c r="U588" i="3"/>
  <c r="R588" i="3"/>
  <c r="Q588" i="3"/>
  <c r="P588" i="3"/>
  <c r="H588" i="3"/>
  <c r="G588" i="3"/>
  <c r="F588" i="3"/>
  <c r="E588" i="3"/>
  <c r="U587" i="3"/>
  <c r="R587" i="3"/>
  <c r="Q587" i="3"/>
  <c r="P587" i="3"/>
  <c r="H587" i="3"/>
  <c r="G587" i="3"/>
  <c r="F587" i="3"/>
  <c r="E587" i="3"/>
  <c r="U586" i="3"/>
  <c r="R586" i="3"/>
  <c r="Q586" i="3"/>
  <c r="P586" i="3"/>
  <c r="H586" i="3"/>
  <c r="G586" i="3"/>
  <c r="F586" i="3"/>
  <c r="E586" i="3"/>
  <c r="U585" i="3"/>
  <c r="R585" i="3"/>
  <c r="Q585" i="3"/>
  <c r="P585" i="3"/>
  <c r="H585" i="3"/>
  <c r="G585" i="3"/>
  <c r="F585" i="3"/>
  <c r="E585" i="3"/>
  <c r="U584" i="3"/>
  <c r="R584" i="3"/>
  <c r="Q584" i="3"/>
  <c r="P584" i="3"/>
  <c r="H584" i="3"/>
  <c r="G584" i="3"/>
  <c r="F584" i="3"/>
  <c r="E584" i="3"/>
  <c r="U583" i="3"/>
  <c r="R583" i="3"/>
  <c r="Q583" i="3"/>
  <c r="P583" i="3"/>
  <c r="H583" i="3"/>
  <c r="G583" i="3"/>
  <c r="F583" i="3"/>
  <c r="E583" i="3"/>
  <c r="U582" i="3"/>
  <c r="R582" i="3"/>
  <c r="Q582" i="3"/>
  <c r="P582" i="3"/>
  <c r="H582" i="3"/>
  <c r="G582" i="3"/>
  <c r="F582" i="3"/>
  <c r="E582" i="3"/>
  <c r="U581" i="3"/>
  <c r="R581" i="3"/>
  <c r="Q581" i="3"/>
  <c r="P581" i="3"/>
  <c r="H581" i="3"/>
  <c r="G581" i="3"/>
  <c r="F581" i="3"/>
  <c r="E581" i="3"/>
  <c r="U580" i="3"/>
  <c r="R580" i="3"/>
  <c r="Q580" i="3"/>
  <c r="P580" i="3"/>
  <c r="H580" i="3"/>
  <c r="G580" i="3"/>
  <c r="F580" i="3"/>
  <c r="E580" i="3"/>
  <c r="U579" i="3"/>
  <c r="R579" i="3"/>
  <c r="Q579" i="3"/>
  <c r="P579" i="3"/>
  <c r="H579" i="3"/>
  <c r="G579" i="3"/>
  <c r="F579" i="3"/>
  <c r="E579" i="3"/>
  <c r="U578" i="3"/>
  <c r="R578" i="3"/>
  <c r="Q578" i="3"/>
  <c r="P578" i="3"/>
  <c r="H578" i="3"/>
  <c r="G578" i="3"/>
  <c r="F578" i="3"/>
  <c r="E578" i="3"/>
  <c r="U577" i="3"/>
  <c r="R577" i="3"/>
  <c r="Q577" i="3"/>
  <c r="P577" i="3"/>
  <c r="H577" i="3"/>
  <c r="G577" i="3"/>
  <c r="F577" i="3"/>
  <c r="E577" i="3"/>
  <c r="U576" i="3"/>
  <c r="R576" i="3"/>
  <c r="Q576" i="3"/>
  <c r="P576" i="3"/>
  <c r="H576" i="3"/>
  <c r="G576" i="3"/>
  <c r="F576" i="3"/>
  <c r="E576" i="3"/>
  <c r="U575" i="3"/>
  <c r="R575" i="3"/>
  <c r="Q575" i="3"/>
  <c r="P575" i="3"/>
  <c r="H575" i="3"/>
  <c r="G575" i="3"/>
  <c r="F575" i="3"/>
  <c r="E575" i="3"/>
  <c r="U574" i="3"/>
  <c r="R574" i="3"/>
  <c r="Q574" i="3"/>
  <c r="P574" i="3"/>
  <c r="H574" i="3"/>
  <c r="G574" i="3"/>
  <c r="F574" i="3"/>
  <c r="E574" i="3"/>
  <c r="U573" i="3"/>
  <c r="R573" i="3"/>
  <c r="Q573" i="3"/>
  <c r="P573" i="3"/>
  <c r="H573" i="3"/>
  <c r="G573" i="3"/>
  <c r="F573" i="3"/>
  <c r="E573" i="3"/>
  <c r="U572" i="3"/>
  <c r="R572" i="3"/>
  <c r="Q572" i="3"/>
  <c r="P572" i="3"/>
  <c r="H572" i="3"/>
  <c r="G572" i="3"/>
  <c r="F572" i="3"/>
  <c r="E572" i="3"/>
  <c r="U571" i="3"/>
  <c r="R571" i="3"/>
  <c r="Q571" i="3"/>
  <c r="P571" i="3"/>
  <c r="H571" i="3"/>
  <c r="G571" i="3"/>
  <c r="F571" i="3"/>
  <c r="E571" i="3"/>
  <c r="U570" i="3"/>
  <c r="R570" i="3"/>
  <c r="Q570" i="3"/>
  <c r="P570" i="3"/>
  <c r="H570" i="3"/>
  <c r="G570" i="3"/>
  <c r="F570" i="3"/>
  <c r="E570" i="3"/>
  <c r="U569" i="3"/>
  <c r="R569" i="3"/>
  <c r="Q569" i="3"/>
  <c r="P569" i="3"/>
  <c r="H569" i="3"/>
  <c r="G569" i="3"/>
  <c r="F569" i="3"/>
  <c r="E569" i="3"/>
  <c r="U568" i="3"/>
  <c r="R568" i="3"/>
  <c r="Q568" i="3"/>
  <c r="P568" i="3"/>
  <c r="H568" i="3"/>
  <c r="G568" i="3"/>
  <c r="F568" i="3"/>
  <c r="E568" i="3"/>
  <c r="U567" i="3"/>
  <c r="R567" i="3"/>
  <c r="Q567" i="3"/>
  <c r="P567" i="3"/>
  <c r="H567" i="3"/>
  <c r="G567" i="3"/>
  <c r="F567" i="3"/>
  <c r="E567" i="3"/>
  <c r="U566" i="3"/>
  <c r="R566" i="3"/>
  <c r="Q566" i="3"/>
  <c r="P566" i="3"/>
  <c r="H566" i="3"/>
  <c r="G566" i="3"/>
  <c r="F566" i="3"/>
  <c r="E566" i="3"/>
  <c r="U565" i="3"/>
  <c r="R565" i="3"/>
  <c r="Q565" i="3"/>
  <c r="P565" i="3"/>
  <c r="H565" i="3"/>
  <c r="G565" i="3"/>
  <c r="F565" i="3"/>
  <c r="E565" i="3"/>
  <c r="U564" i="3"/>
  <c r="R564" i="3"/>
  <c r="Q564" i="3"/>
  <c r="P564" i="3"/>
  <c r="H564" i="3"/>
  <c r="G564" i="3"/>
  <c r="F564" i="3"/>
  <c r="E564" i="3"/>
  <c r="U563" i="3"/>
  <c r="R563" i="3"/>
  <c r="Q563" i="3"/>
  <c r="P563" i="3"/>
  <c r="H563" i="3"/>
  <c r="G563" i="3"/>
  <c r="F563" i="3"/>
  <c r="E563" i="3"/>
  <c r="U562" i="3"/>
  <c r="R562" i="3"/>
  <c r="Q562" i="3"/>
  <c r="P562" i="3"/>
  <c r="H562" i="3"/>
  <c r="G562" i="3"/>
  <c r="F562" i="3"/>
  <c r="E562" i="3"/>
  <c r="U561" i="3"/>
  <c r="R561" i="3"/>
  <c r="Q561" i="3"/>
  <c r="P561" i="3"/>
  <c r="H561" i="3"/>
  <c r="G561" i="3"/>
  <c r="F561" i="3"/>
  <c r="E561" i="3"/>
  <c r="U560" i="3"/>
  <c r="R560" i="3"/>
  <c r="Q560" i="3"/>
  <c r="P560" i="3"/>
  <c r="H560" i="3"/>
  <c r="G560" i="3"/>
  <c r="F560" i="3"/>
  <c r="E560" i="3"/>
  <c r="U559" i="3"/>
  <c r="R559" i="3"/>
  <c r="Q559" i="3"/>
  <c r="P559" i="3"/>
  <c r="H559" i="3"/>
  <c r="G559" i="3"/>
  <c r="F559" i="3"/>
  <c r="E559" i="3"/>
  <c r="U558" i="3"/>
  <c r="R558" i="3"/>
  <c r="Q558" i="3"/>
  <c r="P558" i="3"/>
  <c r="H558" i="3"/>
  <c r="G558" i="3"/>
  <c r="F558" i="3"/>
  <c r="E558" i="3"/>
  <c r="U557" i="3"/>
  <c r="R557" i="3"/>
  <c r="Q557" i="3"/>
  <c r="P557" i="3"/>
  <c r="H557" i="3"/>
  <c r="G557" i="3"/>
  <c r="F557" i="3"/>
  <c r="E557" i="3"/>
  <c r="U556" i="3"/>
  <c r="R556" i="3"/>
  <c r="Q556" i="3"/>
  <c r="P556" i="3"/>
  <c r="H556" i="3"/>
  <c r="G556" i="3"/>
  <c r="F556" i="3"/>
  <c r="E556" i="3"/>
  <c r="U555" i="3"/>
  <c r="R555" i="3"/>
  <c r="Q555" i="3"/>
  <c r="P555" i="3"/>
  <c r="H555" i="3"/>
  <c r="G555" i="3"/>
  <c r="F555" i="3"/>
  <c r="E555" i="3"/>
  <c r="U554" i="3"/>
  <c r="R554" i="3"/>
  <c r="Q554" i="3"/>
  <c r="P554" i="3"/>
  <c r="H554" i="3"/>
  <c r="G554" i="3"/>
  <c r="F554" i="3"/>
  <c r="E554" i="3"/>
  <c r="U553" i="3"/>
  <c r="R553" i="3"/>
  <c r="Q553" i="3"/>
  <c r="P553" i="3"/>
  <c r="H553" i="3"/>
  <c r="G553" i="3"/>
  <c r="F553" i="3"/>
  <c r="E553" i="3"/>
  <c r="U552" i="3"/>
  <c r="R552" i="3"/>
  <c r="Q552" i="3"/>
  <c r="P552" i="3"/>
  <c r="H552" i="3"/>
  <c r="G552" i="3"/>
  <c r="F552" i="3"/>
  <c r="E552" i="3"/>
  <c r="U551" i="3"/>
  <c r="R551" i="3"/>
  <c r="Q551" i="3"/>
  <c r="P551" i="3"/>
  <c r="H551" i="3"/>
  <c r="G551" i="3"/>
  <c r="F551" i="3"/>
  <c r="E551" i="3"/>
  <c r="U550" i="3"/>
  <c r="R550" i="3"/>
  <c r="Q550" i="3"/>
  <c r="P550" i="3"/>
  <c r="H550" i="3"/>
  <c r="G550" i="3"/>
  <c r="F550" i="3"/>
  <c r="E550" i="3"/>
  <c r="U549" i="3"/>
  <c r="R549" i="3"/>
  <c r="Q549" i="3"/>
  <c r="P549" i="3"/>
  <c r="H549" i="3"/>
  <c r="G549" i="3"/>
  <c r="F549" i="3"/>
  <c r="E549" i="3"/>
  <c r="U548" i="3"/>
  <c r="R548" i="3"/>
  <c r="Q548" i="3"/>
  <c r="P548" i="3"/>
  <c r="H548" i="3"/>
  <c r="G548" i="3"/>
  <c r="F548" i="3"/>
  <c r="E548" i="3"/>
  <c r="U547" i="3"/>
  <c r="R547" i="3"/>
  <c r="Q547" i="3"/>
  <c r="P547" i="3"/>
  <c r="H547" i="3"/>
  <c r="G547" i="3"/>
  <c r="F547" i="3"/>
  <c r="E547" i="3"/>
  <c r="U546" i="3"/>
  <c r="R546" i="3"/>
  <c r="Q546" i="3"/>
  <c r="P546" i="3"/>
  <c r="H546" i="3"/>
  <c r="G546" i="3"/>
  <c r="F546" i="3"/>
  <c r="E546" i="3"/>
  <c r="U545" i="3"/>
  <c r="R545" i="3"/>
  <c r="Q545" i="3"/>
  <c r="P545" i="3"/>
  <c r="H545" i="3"/>
  <c r="G545" i="3"/>
  <c r="F545" i="3"/>
  <c r="E545" i="3"/>
  <c r="U544" i="3"/>
  <c r="R544" i="3"/>
  <c r="Q544" i="3"/>
  <c r="P544" i="3"/>
  <c r="H544" i="3"/>
  <c r="G544" i="3"/>
  <c r="F544" i="3"/>
  <c r="E544" i="3"/>
  <c r="U543" i="3"/>
  <c r="R543" i="3"/>
  <c r="Q543" i="3"/>
  <c r="P543" i="3"/>
  <c r="H543" i="3"/>
  <c r="G543" i="3"/>
  <c r="F543" i="3"/>
  <c r="E543" i="3"/>
  <c r="U542" i="3"/>
  <c r="R542" i="3"/>
  <c r="Q542" i="3"/>
  <c r="P542" i="3"/>
  <c r="H542" i="3"/>
  <c r="G542" i="3"/>
  <c r="F542" i="3"/>
  <c r="E542" i="3"/>
  <c r="U541" i="3"/>
  <c r="R541" i="3"/>
  <c r="Q541" i="3"/>
  <c r="P541" i="3"/>
  <c r="H541" i="3"/>
  <c r="G541" i="3"/>
  <c r="F541" i="3"/>
  <c r="E541" i="3"/>
  <c r="U540" i="3"/>
  <c r="R540" i="3"/>
  <c r="Q540" i="3"/>
  <c r="P540" i="3"/>
  <c r="H540" i="3"/>
  <c r="G540" i="3"/>
  <c r="F540" i="3"/>
  <c r="E540" i="3"/>
  <c r="U539" i="3"/>
  <c r="R539" i="3"/>
  <c r="Q539" i="3"/>
  <c r="P539" i="3"/>
  <c r="H539" i="3"/>
  <c r="G539" i="3"/>
  <c r="F539" i="3"/>
  <c r="E539" i="3"/>
  <c r="U538" i="3"/>
  <c r="R538" i="3"/>
  <c r="Q538" i="3"/>
  <c r="P538" i="3"/>
  <c r="H538" i="3"/>
  <c r="G538" i="3"/>
  <c r="F538" i="3"/>
  <c r="E538" i="3"/>
  <c r="U537" i="3"/>
  <c r="R537" i="3"/>
  <c r="Q537" i="3"/>
  <c r="P537" i="3"/>
  <c r="H537" i="3"/>
  <c r="G537" i="3"/>
  <c r="F537" i="3"/>
  <c r="E537" i="3"/>
  <c r="U536" i="3"/>
  <c r="R536" i="3"/>
  <c r="Q536" i="3"/>
  <c r="P536" i="3"/>
  <c r="H536" i="3"/>
  <c r="G536" i="3"/>
  <c r="F536" i="3"/>
  <c r="E536" i="3"/>
  <c r="U535" i="3"/>
  <c r="R535" i="3"/>
  <c r="Q535" i="3"/>
  <c r="P535" i="3"/>
  <c r="H535" i="3"/>
  <c r="G535" i="3"/>
  <c r="F535" i="3"/>
  <c r="E535" i="3"/>
  <c r="U534" i="3"/>
  <c r="R534" i="3"/>
  <c r="Q534" i="3"/>
  <c r="P534" i="3"/>
  <c r="H534" i="3"/>
  <c r="G534" i="3"/>
  <c r="F534" i="3"/>
  <c r="E534" i="3"/>
  <c r="U533" i="3"/>
  <c r="R533" i="3"/>
  <c r="Q533" i="3"/>
  <c r="P533" i="3"/>
  <c r="H533" i="3"/>
  <c r="G533" i="3"/>
  <c r="F533" i="3"/>
  <c r="E533" i="3"/>
  <c r="U532" i="3"/>
  <c r="R532" i="3"/>
  <c r="Q532" i="3"/>
  <c r="P532" i="3"/>
  <c r="H532" i="3"/>
  <c r="G532" i="3"/>
  <c r="F532" i="3"/>
  <c r="E532" i="3"/>
  <c r="U531" i="3"/>
  <c r="R531" i="3"/>
  <c r="Q531" i="3"/>
  <c r="P531" i="3"/>
  <c r="H531" i="3"/>
  <c r="G531" i="3"/>
  <c r="F531" i="3"/>
  <c r="E531" i="3"/>
  <c r="U530" i="3"/>
  <c r="R530" i="3"/>
  <c r="Q530" i="3"/>
  <c r="P530" i="3"/>
  <c r="H530" i="3"/>
  <c r="G530" i="3"/>
  <c r="F530" i="3"/>
  <c r="E530" i="3"/>
  <c r="U529" i="3"/>
  <c r="R529" i="3"/>
  <c r="Q529" i="3"/>
  <c r="P529" i="3"/>
  <c r="H529" i="3"/>
  <c r="G529" i="3"/>
  <c r="F529" i="3"/>
  <c r="E529" i="3"/>
  <c r="U528" i="3"/>
  <c r="R528" i="3"/>
  <c r="Q528" i="3"/>
  <c r="P528" i="3"/>
  <c r="H528" i="3"/>
  <c r="G528" i="3"/>
  <c r="F528" i="3"/>
  <c r="E528" i="3"/>
  <c r="U527" i="3"/>
  <c r="R527" i="3"/>
  <c r="Q527" i="3"/>
  <c r="P527" i="3"/>
  <c r="H527" i="3"/>
  <c r="G527" i="3"/>
  <c r="F527" i="3"/>
  <c r="E527" i="3"/>
  <c r="U526" i="3"/>
  <c r="R526" i="3"/>
  <c r="Q526" i="3"/>
  <c r="P526" i="3"/>
  <c r="H526" i="3"/>
  <c r="G526" i="3"/>
  <c r="F526" i="3"/>
  <c r="E526" i="3"/>
  <c r="U525" i="3"/>
  <c r="R525" i="3"/>
  <c r="Q525" i="3"/>
  <c r="P525" i="3"/>
  <c r="H525" i="3"/>
  <c r="G525" i="3"/>
  <c r="F525" i="3"/>
  <c r="E525" i="3"/>
  <c r="U524" i="3"/>
  <c r="R524" i="3"/>
  <c r="Q524" i="3"/>
  <c r="P524" i="3"/>
  <c r="H524" i="3"/>
  <c r="G524" i="3"/>
  <c r="F524" i="3"/>
  <c r="E524" i="3"/>
  <c r="U523" i="3"/>
  <c r="R523" i="3"/>
  <c r="Q523" i="3"/>
  <c r="P523" i="3"/>
  <c r="H523" i="3"/>
  <c r="G523" i="3"/>
  <c r="F523" i="3"/>
  <c r="E523" i="3"/>
  <c r="U522" i="3"/>
  <c r="R522" i="3"/>
  <c r="Q522" i="3"/>
  <c r="P522" i="3"/>
  <c r="H522" i="3"/>
  <c r="G522" i="3"/>
  <c r="F522" i="3"/>
  <c r="E522" i="3"/>
  <c r="U521" i="3"/>
  <c r="R521" i="3"/>
  <c r="Q521" i="3"/>
  <c r="P521" i="3"/>
  <c r="H521" i="3"/>
  <c r="G521" i="3"/>
  <c r="F521" i="3"/>
  <c r="E521" i="3"/>
  <c r="U520" i="3"/>
  <c r="R520" i="3"/>
  <c r="Q520" i="3"/>
  <c r="P520" i="3"/>
  <c r="H520" i="3"/>
  <c r="G520" i="3"/>
  <c r="F520" i="3"/>
  <c r="E520" i="3"/>
  <c r="U519" i="3"/>
  <c r="R519" i="3"/>
  <c r="Q519" i="3"/>
  <c r="P519" i="3"/>
  <c r="H519" i="3"/>
  <c r="G519" i="3"/>
  <c r="F519" i="3"/>
  <c r="E519" i="3"/>
  <c r="U518" i="3"/>
  <c r="R518" i="3"/>
  <c r="Q518" i="3"/>
  <c r="P518" i="3"/>
  <c r="H518" i="3"/>
  <c r="G518" i="3"/>
  <c r="F518" i="3"/>
  <c r="E518" i="3"/>
  <c r="U517" i="3"/>
  <c r="T517" i="3"/>
  <c r="R517" i="3"/>
  <c r="Q517" i="3"/>
  <c r="P517" i="3"/>
  <c r="H517" i="3"/>
  <c r="G517" i="3"/>
  <c r="F517" i="3"/>
  <c r="E517" i="3"/>
  <c r="L517" i="3" s="1"/>
  <c r="U516" i="3"/>
  <c r="R516" i="3"/>
  <c r="Q516" i="3"/>
  <c r="P516" i="3"/>
  <c r="H516" i="3"/>
  <c r="G516" i="3"/>
  <c r="F516" i="3"/>
  <c r="E516" i="3"/>
  <c r="U515" i="3"/>
  <c r="R515" i="3"/>
  <c r="Q515" i="3"/>
  <c r="P515" i="3"/>
  <c r="H515" i="3"/>
  <c r="G515" i="3"/>
  <c r="F515" i="3"/>
  <c r="E515" i="3"/>
  <c r="U514" i="3"/>
  <c r="R514" i="3"/>
  <c r="Q514" i="3"/>
  <c r="P514" i="3"/>
  <c r="H514" i="3"/>
  <c r="G514" i="3"/>
  <c r="F514" i="3"/>
  <c r="E514" i="3"/>
  <c r="U513" i="3"/>
  <c r="R513" i="3"/>
  <c r="Q513" i="3"/>
  <c r="P513" i="3"/>
  <c r="H513" i="3"/>
  <c r="G513" i="3"/>
  <c r="F513" i="3"/>
  <c r="E513" i="3"/>
  <c r="U512" i="3"/>
  <c r="R512" i="3"/>
  <c r="Q512" i="3"/>
  <c r="P512" i="3"/>
  <c r="H512" i="3"/>
  <c r="G512" i="3"/>
  <c r="F512" i="3"/>
  <c r="E512" i="3"/>
  <c r="U511" i="3"/>
  <c r="R511" i="3"/>
  <c r="Q511" i="3"/>
  <c r="P511" i="3"/>
  <c r="H511" i="3"/>
  <c r="G511" i="3"/>
  <c r="F511" i="3"/>
  <c r="E511" i="3"/>
  <c r="U510" i="3"/>
  <c r="R510" i="3"/>
  <c r="Q510" i="3"/>
  <c r="P510" i="3"/>
  <c r="H510" i="3"/>
  <c r="G510" i="3"/>
  <c r="F510" i="3"/>
  <c r="E510" i="3"/>
  <c r="U509" i="3"/>
  <c r="R509" i="3"/>
  <c r="Q509" i="3"/>
  <c r="P509" i="3"/>
  <c r="H509" i="3"/>
  <c r="G509" i="3"/>
  <c r="F509" i="3"/>
  <c r="E509" i="3"/>
  <c r="U508" i="3"/>
  <c r="R508" i="3"/>
  <c r="Q508" i="3"/>
  <c r="P508" i="3"/>
  <c r="H508" i="3"/>
  <c r="G508" i="3"/>
  <c r="F508" i="3"/>
  <c r="E508" i="3"/>
  <c r="U507" i="3"/>
  <c r="R507" i="3"/>
  <c r="Q507" i="3"/>
  <c r="P507" i="3"/>
  <c r="H507" i="3"/>
  <c r="G507" i="3"/>
  <c r="F507" i="3"/>
  <c r="E507" i="3"/>
  <c r="U506" i="3"/>
  <c r="R506" i="3"/>
  <c r="Q506" i="3"/>
  <c r="P506" i="3"/>
  <c r="H506" i="3"/>
  <c r="G506" i="3"/>
  <c r="F506" i="3"/>
  <c r="E506" i="3"/>
  <c r="U505" i="3"/>
  <c r="R505" i="3"/>
  <c r="Q505" i="3"/>
  <c r="P505" i="3"/>
  <c r="H505" i="3"/>
  <c r="G505" i="3"/>
  <c r="F505" i="3"/>
  <c r="E505" i="3"/>
  <c r="U504" i="3"/>
  <c r="R504" i="3"/>
  <c r="Q504" i="3"/>
  <c r="P504" i="3"/>
  <c r="H504" i="3"/>
  <c r="G504" i="3"/>
  <c r="F504" i="3"/>
  <c r="E504" i="3"/>
  <c r="U503" i="3"/>
  <c r="R503" i="3"/>
  <c r="Q503" i="3"/>
  <c r="P503" i="3"/>
  <c r="H503" i="3"/>
  <c r="G503" i="3"/>
  <c r="F503" i="3"/>
  <c r="E503" i="3"/>
  <c r="U502" i="3"/>
  <c r="R502" i="3"/>
  <c r="Q502" i="3"/>
  <c r="P502" i="3"/>
  <c r="H502" i="3"/>
  <c r="G502" i="3"/>
  <c r="F502" i="3"/>
  <c r="E502" i="3"/>
  <c r="U501" i="3"/>
  <c r="R501" i="3"/>
  <c r="Q501" i="3"/>
  <c r="P501" i="3"/>
  <c r="H501" i="3"/>
  <c r="G501" i="3"/>
  <c r="F501" i="3"/>
  <c r="E501" i="3"/>
  <c r="U500" i="3"/>
  <c r="R500" i="3"/>
  <c r="Q500" i="3"/>
  <c r="P500" i="3"/>
  <c r="H500" i="3"/>
  <c r="G500" i="3"/>
  <c r="F500" i="3"/>
  <c r="E500" i="3"/>
  <c r="U499" i="3"/>
  <c r="R499" i="3"/>
  <c r="Q499" i="3"/>
  <c r="P499" i="3"/>
  <c r="H499" i="3"/>
  <c r="G499" i="3"/>
  <c r="F499" i="3"/>
  <c r="E499" i="3"/>
  <c r="U498" i="3"/>
  <c r="R498" i="3"/>
  <c r="Q498" i="3"/>
  <c r="P498" i="3"/>
  <c r="H498" i="3"/>
  <c r="G498" i="3"/>
  <c r="F498" i="3"/>
  <c r="E498" i="3"/>
  <c r="U497" i="3"/>
  <c r="R497" i="3"/>
  <c r="Q497" i="3"/>
  <c r="P497" i="3"/>
  <c r="H497" i="3"/>
  <c r="G497" i="3"/>
  <c r="F497" i="3"/>
  <c r="E497" i="3"/>
  <c r="U496" i="3"/>
  <c r="R496" i="3"/>
  <c r="Q496" i="3"/>
  <c r="P496" i="3"/>
  <c r="H496" i="3"/>
  <c r="G496" i="3"/>
  <c r="F496" i="3"/>
  <c r="E496" i="3"/>
  <c r="U495" i="3"/>
  <c r="R495" i="3"/>
  <c r="Q495" i="3"/>
  <c r="P495" i="3"/>
  <c r="H495" i="3"/>
  <c r="G495" i="3"/>
  <c r="F495" i="3"/>
  <c r="E495" i="3"/>
  <c r="U494" i="3"/>
  <c r="R494" i="3"/>
  <c r="Q494" i="3"/>
  <c r="P494" i="3"/>
  <c r="H494" i="3"/>
  <c r="G494" i="3"/>
  <c r="F494" i="3"/>
  <c r="E494" i="3"/>
  <c r="U493" i="3"/>
  <c r="R493" i="3"/>
  <c r="Q493" i="3"/>
  <c r="P493" i="3"/>
  <c r="H493" i="3"/>
  <c r="G493" i="3"/>
  <c r="F493" i="3"/>
  <c r="E493" i="3"/>
  <c r="U492" i="3"/>
  <c r="R492" i="3"/>
  <c r="Q492" i="3"/>
  <c r="P492" i="3"/>
  <c r="H492" i="3"/>
  <c r="G492" i="3"/>
  <c r="F492" i="3"/>
  <c r="E492" i="3"/>
  <c r="U491" i="3"/>
  <c r="R491" i="3"/>
  <c r="Q491" i="3"/>
  <c r="P491" i="3"/>
  <c r="H491" i="3"/>
  <c r="G491" i="3"/>
  <c r="F491" i="3"/>
  <c r="E491" i="3"/>
  <c r="U490" i="3"/>
  <c r="R490" i="3"/>
  <c r="Q490" i="3"/>
  <c r="P490" i="3"/>
  <c r="H490" i="3"/>
  <c r="G490" i="3"/>
  <c r="F490" i="3"/>
  <c r="E490" i="3"/>
  <c r="U489" i="3"/>
  <c r="R489" i="3"/>
  <c r="Q489" i="3"/>
  <c r="P489" i="3"/>
  <c r="H489" i="3"/>
  <c r="G489" i="3"/>
  <c r="F489" i="3"/>
  <c r="E489" i="3"/>
  <c r="U488" i="3"/>
  <c r="R488" i="3"/>
  <c r="Q488" i="3"/>
  <c r="P488" i="3"/>
  <c r="H488" i="3"/>
  <c r="G488" i="3"/>
  <c r="F488" i="3"/>
  <c r="E488" i="3"/>
  <c r="U487" i="3"/>
  <c r="R487" i="3"/>
  <c r="Q487" i="3"/>
  <c r="P487" i="3"/>
  <c r="H487" i="3"/>
  <c r="G487" i="3"/>
  <c r="F487" i="3"/>
  <c r="E487" i="3"/>
  <c r="U486" i="3"/>
  <c r="R486" i="3"/>
  <c r="Q486" i="3"/>
  <c r="P486" i="3"/>
  <c r="H486" i="3"/>
  <c r="G486" i="3"/>
  <c r="F486" i="3"/>
  <c r="E486" i="3"/>
  <c r="U485" i="3"/>
  <c r="R485" i="3"/>
  <c r="Q485" i="3"/>
  <c r="P485" i="3"/>
  <c r="H485" i="3"/>
  <c r="G485" i="3"/>
  <c r="F485" i="3"/>
  <c r="E485" i="3"/>
  <c r="U484" i="3"/>
  <c r="R484" i="3"/>
  <c r="Q484" i="3"/>
  <c r="P484" i="3"/>
  <c r="H484" i="3"/>
  <c r="G484" i="3"/>
  <c r="F484" i="3"/>
  <c r="E484" i="3"/>
  <c r="U483" i="3"/>
  <c r="R483" i="3"/>
  <c r="Q483" i="3"/>
  <c r="P483" i="3"/>
  <c r="H483" i="3"/>
  <c r="G483" i="3"/>
  <c r="F483" i="3"/>
  <c r="E483" i="3"/>
  <c r="U482" i="3"/>
  <c r="R482" i="3"/>
  <c r="Q482" i="3"/>
  <c r="P482" i="3"/>
  <c r="H482" i="3"/>
  <c r="G482" i="3"/>
  <c r="F482" i="3"/>
  <c r="E482" i="3"/>
  <c r="U481" i="3"/>
  <c r="R481" i="3"/>
  <c r="Q481" i="3"/>
  <c r="P481" i="3"/>
  <c r="H481" i="3"/>
  <c r="G481" i="3"/>
  <c r="F481" i="3"/>
  <c r="E481" i="3"/>
  <c r="U480" i="3"/>
  <c r="R480" i="3"/>
  <c r="Q480" i="3"/>
  <c r="P480" i="3"/>
  <c r="H480" i="3"/>
  <c r="G480" i="3"/>
  <c r="F480" i="3"/>
  <c r="E480" i="3"/>
  <c r="U479" i="3"/>
  <c r="R479" i="3"/>
  <c r="Q479" i="3"/>
  <c r="P479" i="3"/>
  <c r="H479" i="3"/>
  <c r="G479" i="3"/>
  <c r="F479" i="3"/>
  <c r="E479" i="3"/>
  <c r="U478" i="3"/>
  <c r="R478" i="3"/>
  <c r="Q478" i="3"/>
  <c r="P478" i="3"/>
  <c r="H478" i="3"/>
  <c r="G478" i="3"/>
  <c r="F478" i="3"/>
  <c r="E478" i="3"/>
  <c r="U477" i="3"/>
  <c r="R477" i="3"/>
  <c r="Q477" i="3"/>
  <c r="P477" i="3"/>
  <c r="H477" i="3"/>
  <c r="G477" i="3"/>
  <c r="F477" i="3"/>
  <c r="E477" i="3"/>
  <c r="U476" i="3"/>
  <c r="R476" i="3"/>
  <c r="Q476" i="3"/>
  <c r="P476" i="3"/>
  <c r="H476" i="3"/>
  <c r="G476" i="3"/>
  <c r="F476" i="3"/>
  <c r="E476" i="3"/>
  <c r="U475" i="3"/>
  <c r="R475" i="3"/>
  <c r="Q475" i="3"/>
  <c r="P475" i="3"/>
  <c r="H475" i="3"/>
  <c r="G475" i="3"/>
  <c r="F475" i="3"/>
  <c r="E475" i="3"/>
  <c r="U474" i="3"/>
  <c r="R474" i="3"/>
  <c r="Q474" i="3"/>
  <c r="P474" i="3"/>
  <c r="H474" i="3"/>
  <c r="G474" i="3"/>
  <c r="F474" i="3"/>
  <c r="E474" i="3"/>
  <c r="U473" i="3"/>
  <c r="R473" i="3"/>
  <c r="Q473" i="3"/>
  <c r="P473" i="3"/>
  <c r="H473" i="3"/>
  <c r="G473" i="3"/>
  <c r="F473" i="3"/>
  <c r="E473" i="3"/>
  <c r="U472" i="3"/>
  <c r="R472" i="3"/>
  <c r="Q472" i="3"/>
  <c r="P472" i="3"/>
  <c r="H472" i="3"/>
  <c r="G472" i="3"/>
  <c r="F472" i="3"/>
  <c r="E472" i="3"/>
  <c r="U471" i="3"/>
  <c r="R471" i="3"/>
  <c r="Q471" i="3"/>
  <c r="P471" i="3"/>
  <c r="H471" i="3"/>
  <c r="G471" i="3"/>
  <c r="F471" i="3"/>
  <c r="E471" i="3"/>
  <c r="U470" i="3"/>
  <c r="R470" i="3"/>
  <c r="Q470" i="3"/>
  <c r="P470" i="3"/>
  <c r="H470" i="3"/>
  <c r="G470" i="3"/>
  <c r="F470" i="3"/>
  <c r="E470" i="3"/>
  <c r="U469" i="3"/>
  <c r="R469" i="3"/>
  <c r="Q469" i="3"/>
  <c r="P469" i="3"/>
  <c r="H469" i="3"/>
  <c r="G469" i="3"/>
  <c r="F469" i="3"/>
  <c r="E469" i="3"/>
  <c r="U468" i="3"/>
  <c r="R468" i="3"/>
  <c r="Q468" i="3"/>
  <c r="P468" i="3"/>
  <c r="H468" i="3"/>
  <c r="G468" i="3"/>
  <c r="F468" i="3"/>
  <c r="E468" i="3"/>
  <c r="U467" i="3"/>
  <c r="R467" i="3"/>
  <c r="Q467" i="3"/>
  <c r="P467" i="3"/>
  <c r="H467" i="3"/>
  <c r="G467" i="3"/>
  <c r="F467" i="3"/>
  <c r="E467" i="3"/>
  <c r="U466" i="3"/>
  <c r="R466" i="3"/>
  <c r="Q466" i="3"/>
  <c r="P466" i="3"/>
  <c r="H466" i="3"/>
  <c r="G466" i="3"/>
  <c r="F466" i="3"/>
  <c r="E466" i="3"/>
  <c r="U465" i="3"/>
  <c r="R465" i="3"/>
  <c r="Q465" i="3"/>
  <c r="P465" i="3"/>
  <c r="H465" i="3"/>
  <c r="G465" i="3"/>
  <c r="F465" i="3"/>
  <c r="E465" i="3"/>
  <c r="U464" i="3"/>
  <c r="R464" i="3"/>
  <c r="Q464" i="3"/>
  <c r="P464" i="3"/>
  <c r="H464" i="3"/>
  <c r="G464" i="3"/>
  <c r="F464" i="3"/>
  <c r="E464" i="3"/>
  <c r="U463" i="3"/>
  <c r="R463" i="3"/>
  <c r="Q463" i="3"/>
  <c r="P463" i="3"/>
  <c r="H463" i="3"/>
  <c r="G463" i="3"/>
  <c r="F463" i="3"/>
  <c r="E463" i="3"/>
  <c r="U462" i="3"/>
  <c r="R462" i="3"/>
  <c r="Q462" i="3"/>
  <c r="P462" i="3"/>
  <c r="H462" i="3"/>
  <c r="G462" i="3"/>
  <c r="F462" i="3"/>
  <c r="E462" i="3"/>
  <c r="U461" i="3"/>
  <c r="R461" i="3"/>
  <c r="Q461" i="3"/>
  <c r="P461" i="3"/>
  <c r="H461" i="3"/>
  <c r="G461" i="3"/>
  <c r="F461" i="3"/>
  <c r="E461" i="3"/>
  <c r="U460" i="3"/>
  <c r="R460" i="3"/>
  <c r="Q460" i="3"/>
  <c r="P460" i="3"/>
  <c r="H460" i="3"/>
  <c r="G460" i="3"/>
  <c r="F460" i="3"/>
  <c r="E460" i="3"/>
  <c r="U459" i="3"/>
  <c r="R459" i="3"/>
  <c r="Q459" i="3"/>
  <c r="P459" i="3"/>
  <c r="H459" i="3"/>
  <c r="G459" i="3"/>
  <c r="F459" i="3"/>
  <c r="E459" i="3"/>
  <c r="U458" i="3"/>
  <c r="R458" i="3"/>
  <c r="Q458" i="3"/>
  <c r="P458" i="3"/>
  <c r="H458" i="3"/>
  <c r="G458" i="3"/>
  <c r="F458" i="3"/>
  <c r="E458" i="3"/>
  <c r="U457" i="3"/>
  <c r="R457" i="3"/>
  <c r="Q457" i="3"/>
  <c r="P457" i="3"/>
  <c r="H457" i="3"/>
  <c r="G457" i="3"/>
  <c r="F457" i="3"/>
  <c r="E457" i="3"/>
  <c r="U456" i="3"/>
  <c r="R456" i="3"/>
  <c r="Q456" i="3"/>
  <c r="P456" i="3"/>
  <c r="H456" i="3"/>
  <c r="G456" i="3"/>
  <c r="F456" i="3"/>
  <c r="E456" i="3"/>
  <c r="U455" i="3"/>
  <c r="R455" i="3"/>
  <c r="Q455" i="3"/>
  <c r="P455" i="3"/>
  <c r="H455" i="3"/>
  <c r="G455" i="3"/>
  <c r="F455" i="3"/>
  <c r="E455" i="3"/>
  <c r="U454" i="3"/>
  <c r="R454" i="3"/>
  <c r="Q454" i="3"/>
  <c r="P454" i="3"/>
  <c r="H454" i="3"/>
  <c r="G454" i="3"/>
  <c r="F454" i="3"/>
  <c r="E454" i="3"/>
  <c r="U453" i="3"/>
  <c r="R453" i="3"/>
  <c r="Q453" i="3"/>
  <c r="P453" i="3"/>
  <c r="H453" i="3"/>
  <c r="G453" i="3"/>
  <c r="F453" i="3"/>
  <c r="E453" i="3"/>
  <c r="U452" i="3"/>
  <c r="R452" i="3"/>
  <c r="Q452" i="3"/>
  <c r="P452" i="3"/>
  <c r="H452" i="3"/>
  <c r="G452" i="3"/>
  <c r="F452" i="3"/>
  <c r="E452" i="3"/>
  <c r="U451" i="3"/>
  <c r="R451" i="3"/>
  <c r="Q451" i="3"/>
  <c r="P451" i="3"/>
  <c r="H451" i="3"/>
  <c r="G451" i="3"/>
  <c r="F451" i="3"/>
  <c r="E451" i="3"/>
  <c r="U450" i="3"/>
  <c r="R450" i="3"/>
  <c r="Q450" i="3"/>
  <c r="P450" i="3"/>
  <c r="H450" i="3"/>
  <c r="G450" i="3"/>
  <c r="F450" i="3"/>
  <c r="E450" i="3"/>
  <c r="U449" i="3"/>
  <c r="R449" i="3"/>
  <c r="Q449" i="3"/>
  <c r="P449" i="3"/>
  <c r="H449" i="3"/>
  <c r="G449" i="3"/>
  <c r="F449" i="3"/>
  <c r="E449" i="3"/>
  <c r="U448" i="3"/>
  <c r="R448" i="3"/>
  <c r="Q448" i="3"/>
  <c r="P448" i="3"/>
  <c r="H448" i="3"/>
  <c r="G448" i="3"/>
  <c r="F448" i="3"/>
  <c r="E448" i="3"/>
  <c r="U447" i="3"/>
  <c r="R447" i="3"/>
  <c r="Q447" i="3"/>
  <c r="P447" i="3"/>
  <c r="H447" i="3"/>
  <c r="G447" i="3"/>
  <c r="F447" i="3"/>
  <c r="E447" i="3"/>
  <c r="U446" i="3"/>
  <c r="R446" i="3"/>
  <c r="Q446" i="3"/>
  <c r="P446" i="3"/>
  <c r="H446" i="3"/>
  <c r="G446" i="3"/>
  <c r="F446" i="3"/>
  <c r="E446" i="3"/>
  <c r="U445" i="3"/>
  <c r="R445" i="3"/>
  <c r="Q445" i="3"/>
  <c r="P445" i="3"/>
  <c r="H445" i="3"/>
  <c r="G445" i="3"/>
  <c r="F445" i="3"/>
  <c r="E445" i="3"/>
  <c r="U444" i="3"/>
  <c r="R444" i="3"/>
  <c r="Q444" i="3"/>
  <c r="P444" i="3"/>
  <c r="H444" i="3"/>
  <c r="G444" i="3"/>
  <c r="F444" i="3"/>
  <c r="E444" i="3"/>
  <c r="U443" i="3"/>
  <c r="R443" i="3"/>
  <c r="Q443" i="3"/>
  <c r="P443" i="3"/>
  <c r="H443" i="3"/>
  <c r="G443" i="3"/>
  <c r="F443" i="3"/>
  <c r="E443" i="3"/>
  <c r="U442" i="3"/>
  <c r="R442" i="3"/>
  <c r="Q442" i="3"/>
  <c r="P442" i="3"/>
  <c r="H442" i="3"/>
  <c r="G442" i="3"/>
  <c r="F442" i="3"/>
  <c r="E442" i="3"/>
  <c r="U441" i="3"/>
  <c r="R441" i="3"/>
  <c r="Q441" i="3"/>
  <c r="P441" i="3"/>
  <c r="H441" i="3"/>
  <c r="G441" i="3"/>
  <c r="F441" i="3"/>
  <c r="E441" i="3"/>
  <c r="U440" i="3"/>
  <c r="R440" i="3"/>
  <c r="Q440" i="3"/>
  <c r="P440" i="3"/>
  <c r="H440" i="3"/>
  <c r="G440" i="3"/>
  <c r="F440" i="3"/>
  <c r="E440" i="3"/>
  <c r="U439" i="3"/>
  <c r="R439" i="3"/>
  <c r="Q439" i="3"/>
  <c r="P439" i="3"/>
  <c r="H439" i="3"/>
  <c r="G439" i="3"/>
  <c r="F439" i="3"/>
  <c r="E439" i="3"/>
  <c r="U438" i="3"/>
  <c r="R438" i="3"/>
  <c r="Q438" i="3"/>
  <c r="P438" i="3"/>
  <c r="H438" i="3"/>
  <c r="G438" i="3"/>
  <c r="F438" i="3"/>
  <c r="E438" i="3"/>
  <c r="U437" i="3"/>
  <c r="R437" i="3"/>
  <c r="Q437" i="3"/>
  <c r="P437" i="3"/>
  <c r="H437" i="3"/>
  <c r="G437" i="3"/>
  <c r="F437" i="3"/>
  <c r="E437" i="3"/>
  <c r="U436" i="3"/>
  <c r="R436" i="3"/>
  <c r="Q436" i="3"/>
  <c r="P436" i="3"/>
  <c r="H436" i="3"/>
  <c r="G436" i="3"/>
  <c r="F436" i="3"/>
  <c r="E436" i="3"/>
  <c r="U435" i="3"/>
  <c r="R435" i="3"/>
  <c r="Q435" i="3"/>
  <c r="P435" i="3"/>
  <c r="H435" i="3"/>
  <c r="G435" i="3"/>
  <c r="F435" i="3"/>
  <c r="E435" i="3"/>
  <c r="U434" i="3"/>
  <c r="R434" i="3"/>
  <c r="Q434" i="3"/>
  <c r="P434" i="3"/>
  <c r="H434" i="3"/>
  <c r="G434" i="3"/>
  <c r="F434" i="3"/>
  <c r="E434" i="3"/>
  <c r="U433" i="3"/>
  <c r="R433" i="3"/>
  <c r="Q433" i="3"/>
  <c r="P433" i="3"/>
  <c r="H433" i="3"/>
  <c r="G433" i="3"/>
  <c r="F433" i="3"/>
  <c r="E433" i="3"/>
  <c r="U432" i="3"/>
  <c r="R432" i="3"/>
  <c r="Q432" i="3"/>
  <c r="P432" i="3"/>
  <c r="H432" i="3"/>
  <c r="G432" i="3"/>
  <c r="F432" i="3"/>
  <c r="E432" i="3"/>
  <c r="U431" i="3"/>
  <c r="R431" i="3"/>
  <c r="Q431" i="3"/>
  <c r="P431" i="3"/>
  <c r="H431" i="3"/>
  <c r="G431" i="3"/>
  <c r="F431" i="3"/>
  <c r="E431" i="3"/>
  <c r="U430" i="3"/>
  <c r="R430" i="3"/>
  <c r="Q430" i="3"/>
  <c r="P430" i="3"/>
  <c r="H430" i="3"/>
  <c r="G430" i="3"/>
  <c r="F430" i="3"/>
  <c r="E430" i="3"/>
  <c r="U429" i="3"/>
  <c r="R429" i="3"/>
  <c r="Q429" i="3"/>
  <c r="P429" i="3"/>
  <c r="H429" i="3"/>
  <c r="G429" i="3"/>
  <c r="F429" i="3"/>
  <c r="E429" i="3"/>
  <c r="U428" i="3"/>
  <c r="R428" i="3"/>
  <c r="Q428" i="3"/>
  <c r="P428" i="3"/>
  <c r="H428" i="3"/>
  <c r="G428" i="3"/>
  <c r="F428" i="3"/>
  <c r="E428" i="3"/>
  <c r="U427" i="3"/>
  <c r="R427" i="3"/>
  <c r="Q427" i="3"/>
  <c r="P427" i="3"/>
  <c r="H427" i="3"/>
  <c r="G427" i="3"/>
  <c r="F427" i="3"/>
  <c r="E427" i="3"/>
  <c r="U426" i="3"/>
  <c r="R426" i="3"/>
  <c r="Q426" i="3"/>
  <c r="P426" i="3"/>
  <c r="H426" i="3"/>
  <c r="G426" i="3"/>
  <c r="F426" i="3"/>
  <c r="E426" i="3"/>
  <c r="U425" i="3"/>
  <c r="R425" i="3"/>
  <c r="Q425" i="3"/>
  <c r="P425" i="3"/>
  <c r="H425" i="3"/>
  <c r="G425" i="3"/>
  <c r="F425" i="3"/>
  <c r="E425" i="3"/>
  <c r="U424" i="3"/>
  <c r="R424" i="3"/>
  <c r="Q424" i="3"/>
  <c r="P424" i="3"/>
  <c r="H424" i="3"/>
  <c r="G424" i="3"/>
  <c r="F424" i="3"/>
  <c r="E424" i="3"/>
  <c r="U423" i="3"/>
  <c r="R423" i="3"/>
  <c r="Q423" i="3"/>
  <c r="P423" i="3"/>
  <c r="H423" i="3"/>
  <c r="G423" i="3"/>
  <c r="F423" i="3"/>
  <c r="E423" i="3"/>
  <c r="U422" i="3"/>
  <c r="R422" i="3"/>
  <c r="Q422" i="3"/>
  <c r="P422" i="3"/>
  <c r="H422" i="3"/>
  <c r="G422" i="3"/>
  <c r="F422" i="3"/>
  <c r="E422" i="3"/>
  <c r="U421" i="3"/>
  <c r="R421" i="3"/>
  <c r="Q421" i="3"/>
  <c r="P421" i="3"/>
  <c r="H421" i="3"/>
  <c r="G421" i="3"/>
  <c r="F421" i="3"/>
  <c r="E421" i="3"/>
  <c r="U420" i="3"/>
  <c r="R420" i="3"/>
  <c r="Q420" i="3"/>
  <c r="P420" i="3"/>
  <c r="H420" i="3"/>
  <c r="G420" i="3"/>
  <c r="F420" i="3"/>
  <c r="E420" i="3"/>
  <c r="U419" i="3"/>
  <c r="R419" i="3"/>
  <c r="Q419" i="3"/>
  <c r="P419" i="3"/>
  <c r="H419" i="3"/>
  <c r="G419" i="3"/>
  <c r="F419" i="3"/>
  <c r="E419" i="3"/>
  <c r="U418" i="3"/>
  <c r="R418" i="3"/>
  <c r="Q418" i="3"/>
  <c r="P418" i="3"/>
  <c r="H418" i="3"/>
  <c r="G418" i="3"/>
  <c r="F418" i="3"/>
  <c r="E418" i="3"/>
  <c r="U417" i="3"/>
  <c r="R417" i="3"/>
  <c r="Q417" i="3"/>
  <c r="P417" i="3"/>
  <c r="H417" i="3"/>
  <c r="G417" i="3"/>
  <c r="F417" i="3"/>
  <c r="E417" i="3"/>
  <c r="U416" i="3"/>
  <c r="R416" i="3"/>
  <c r="Q416" i="3"/>
  <c r="P416" i="3"/>
  <c r="H416" i="3"/>
  <c r="G416" i="3"/>
  <c r="F416" i="3"/>
  <c r="E416" i="3"/>
  <c r="U415" i="3"/>
  <c r="R415" i="3"/>
  <c r="Q415" i="3"/>
  <c r="P415" i="3"/>
  <c r="H415" i="3"/>
  <c r="G415" i="3"/>
  <c r="F415" i="3"/>
  <c r="E415" i="3"/>
  <c r="U414" i="3"/>
  <c r="T414" i="3"/>
  <c r="R414" i="3"/>
  <c r="Q414" i="3"/>
  <c r="P414" i="3"/>
  <c r="H414" i="3"/>
  <c r="G414" i="3"/>
  <c r="F414" i="3"/>
  <c r="E414" i="3"/>
  <c r="L414" i="3" s="1"/>
  <c r="U413" i="3"/>
  <c r="R413" i="3"/>
  <c r="Q413" i="3"/>
  <c r="P413" i="3"/>
  <c r="H413" i="3"/>
  <c r="G413" i="3"/>
  <c r="F413" i="3"/>
  <c r="E413" i="3"/>
  <c r="U412" i="3"/>
  <c r="R412" i="3"/>
  <c r="Q412" i="3"/>
  <c r="P412" i="3"/>
  <c r="H412" i="3"/>
  <c r="G412" i="3"/>
  <c r="F412" i="3"/>
  <c r="E412" i="3"/>
  <c r="U411" i="3"/>
  <c r="R411" i="3"/>
  <c r="Q411" i="3"/>
  <c r="P411" i="3"/>
  <c r="H411" i="3"/>
  <c r="G411" i="3"/>
  <c r="F411" i="3"/>
  <c r="E411" i="3"/>
  <c r="U410" i="3"/>
  <c r="R410" i="3"/>
  <c r="Q410" i="3"/>
  <c r="P410" i="3"/>
  <c r="H410" i="3"/>
  <c r="G410" i="3"/>
  <c r="F410" i="3"/>
  <c r="E410" i="3"/>
  <c r="U409" i="3"/>
  <c r="R409" i="3"/>
  <c r="Q409" i="3"/>
  <c r="P409" i="3"/>
  <c r="H409" i="3"/>
  <c r="G409" i="3"/>
  <c r="F409" i="3"/>
  <c r="E409" i="3"/>
  <c r="U408" i="3"/>
  <c r="R408" i="3"/>
  <c r="Q408" i="3"/>
  <c r="P408" i="3"/>
  <c r="H408" i="3"/>
  <c r="G408" i="3"/>
  <c r="F408" i="3"/>
  <c r="E408" i="3"/>
  <c r="U407" i="3"/>
  <c r="R407" i="3"/>
  <c r="Q407" i="3"/>
  <c r="P407" i="3"/>
  <c r="H407" i="3"/>
  <c r="G407" i="3"/>
  <c r="F407" i="3"/>
  <c r="E407" i="3"/>
  <c r="U406" i="3"/>
  <c r="R406" i="3"/>
  <c r="Q406" i="3"/>
  <c r="P406" i="3"/>
  <c r="H406" i="3"/>
  <c r="G406" i="3"/>
  <c r="F406" i="3"/>
  <c r="E406" i="3"/>
  <c r="U405" i="3"/>
  <c r="R405" i="3"/>
  <c r="Q405" i="3"/>
  <c r="P405" i="3"/>
  <c r="H405" i="3"/>
  <c r="G405" i="3"/>
  <c r="F405" i="3"/>
  <c r="E405" i="3"/>
  <c r="U404" i="3"/>
  <c r="R404" i="3"/>
  <c r="Q404" i="3"/>
  <c r="P404" i="3"/>
  <c r="H404" i="3"/>
  <c r="G404" i="3"/>
  <c r="F404" i="3"/>
  <c r="E404" i="3"/>
  <c r="U403" i="3"/>
  <c r="R403" i="3"/>
  <c r="Q403" i="3"/>
  <c r="P403" i="3"/>
  <c r="H403" i="3"/>
  <c r="G403" i="3"/>
  <c r="F403" i="3"/>
  <c r="E403" i="3"/>
  <c r="U402" i="3"/>
  <c r="R402" i="3"/>
  <c r="Q402" i="3"/>
  <c r="P402" i="3"/>
  <c r="H402" i="3"/>
  <c r="G402" i="3"/>
  <c r="F402" i="3"/>
  <c r="E402" i="3"/>
  <c r="U401" i="3"/>
  <c r="R401" i="3"/>
  <c r="Q401" i="3"/>
  <c r="P401" i="3"/>
  <c r="H401" i="3"/>
  <c r="G401" i="3"/>
  <c r="F401" i="3"/>
  <c r="E401" i="3"/>
  <c r="U400" i="3"/>
  <c r="R400" i="3"/>
  <c r="Q400" i="3"/>
  <c r="P400" i="3"/>
  <c r="H400" i="3"/>
  <c r="G400" i="3"/>
  <c r="F400" i="3"/>
  <c r="E400" i="3"/>
  <c r="U399" i="3"/>
  <c r="R399" i="3"/>
  <c r="Q399" i="3"/>
  <c r="P399" i="3"/>
  <c r="H399" i="3"/>
  <c r="G399" i="3"/>
  <c r="F399" i="3"/>
  <c r="E399" i="3"/>
  <c r="U398" i="3"/>
  <c r="R398" i="3"/>
  <c r="Q398" i="3"/>
  <c r="P398" i="3"/>
  <c r="H398" i="3"/>
  <c r="G398" i="3"/>
  <c r="F398" i="3"/>
  <c r="E398" i="3"/>
  <c r="U397" i="3"/>
  <c r="R397" i="3"/>
  <c r="Q397" i="3"/>
  <c r="P397" i="3"/>
  <c r="H397" i="3"/>
  <c r="G397" i="3"/>
  <c r="F397" i="3"/>
  <c r="E397" i="3"/>
  <c r="U396" i="3"/>
  <c r="R396" i="3"/>
  <c r="Q396" i="3"/>
  <c r="P396" i="3"/>
  <c r="H396" i="3"/>
  <c r="G396" i="3"/>
  <c r="F396" i="3"/>
  <c r="E396" i="3"/>
  <c r="U395" i="3"/>
  <c r="R395" i="3"/>
  <c r="Q395" i="3"/>
  <c r="P395" i="3"/>
  <c r="H395" i="3"/>
  <c r="G395" i="3"/>
  <c r="F395" i="3"/>
  <c r="E395" i="3"/>
  <c r="U394" i="3"/>
  <c r="R394" i="3"/>
  <c r="Q394" i="3"/>
  <c r="P394" i="3"/>
  <c r="H394" i="3"/>
  <c r="G394" i="3"/>
  <c r="F394" i="3"/>
  <c r="E394" i="3"/>
  <c r="U393" i="3"/>
  <c r="R393" i="3"/>
  <c r="Q393" i="3"/>
  <c r="P393" i="3"/>
  <c r="H393" i="3"/>
  <c r="G393" i="3"/>
  <c r="F393" i="3"/>
  <c r="E393" i="3"/>
  <c r="U392" i="3"/>
  <c r="R392" i="3"/>
  <c r="Q392" i="3"/>
  <c r="P392" i="3"/>
  <c r="H392" i="3"/>
  <c r="G392" i="3"/>
  <c r="F392" i="3"/>
  <c r="E392" i="3"/>
  <c r="U391" i="3"/>
  <c r="R391" i="3"/>
  <c r="Q391" i="3"/>
  <c r="P391" i="3"/>
  <c r="H391" i="3"/>
  <c r="G391" i="3"/>
  <c r="F391" i="3"/>
  <c r="E391" i="3"/>
  <c r="U390" i="3"/>
  <c r="R390" i="3"/>
  <c r="Q390" i="3"/>
  <c r="P390" i="3"/>
  <c r="H390" i="3"/>
  <c r="G390" i="3"/>
  <c r="F390" i="3"/>
  <c r="E390" i="3"/>
  <c r="U389" i="3"/>
  <c r="R389" i="3"/>
  <c r="Q389" i="3"/>
  <c r="P389" i="3"/>
  <c r="H389" i="3"/>
  <c r="G389" i="3"/>
  <c r="F389" i="3"/>
  <c r="E389" i="3"/>
  <c r="U388" i="3"/>
  <c r="R388" i="3"/>
  <c r="Q388" i="3"/>
  <c r="P388" i="3"/>
  <c r="H388" i="3"/>
  <c r="G388" i="3"/>
  <c r="F388" i="3"/>
  <c r="E388" i="3"/>
  <c r="U387" i="3"/>
  <c r="R387" i="3"/>
  <c r="Q387" i="3"/>
  <c r="P387" i="3"/>
  <c r="H387" i="3"/>
  <c r="G387" i="3"/>
  <c r="F387" i="3"/>
  <c r="E387" i="3"/>
  <c r="U386" i="3"/>
  <c r="R386" i="3"/>
  <c r="Q386" i="3"/>
  <c r="P386" i="3"/>
  <c r="H386" i="3"/>
  <c r="G386" i="3"/>
  <c r="F386" i="3"/>
  <c r="E386" i="3"/>
  <c r="U385" i="3"/>
  <c r="R385" i="3"/>
  <c r="Q385" i="3"/>
  <c r="P385" i="3"/>
  <c r="H385" i="3"/>
  <c r="G385" i="3"/>
  <c r="F385" i="3"/>
  <c r="E385" i="3"/>
  <c r="U384" i="3"/>
  <c r="R384" i="3"/>
  <c r="Q384" i="3"/>
  <c r="P384" i="3"/>
  <c r="H384" i="3"/>
  <c r="G384" i="3"/>
  <c r="F384" i="3"/>
  <c r="E384" i="3"/>
  <c r="U383" i="3"/>
  <c r="R383" i="3"/>
  <c r="Q383" i="3"/>
  <c r="P383" i="3"/>
  <c r="H383" i="3"/>
  <c r="G383" i="3"/>
  <c r="F383" i="3"/>
  <c r="E383" i="3"/>
  <c r="U382" i="3"/>
  <c r="R382" i="3"/>
  <c r="Q382" i="3"/>
  <c r="P382" i="3"/>
  <c r="H382" i="3"/>
  <c r="G382" i="3"/>
  <c r="F382" i="3"/>
  <c r="E382" i="3"/>
  <c r="U381" i="3"/>
  <c r="R381" i="3"/>
  <c r="Q381" i="3"/>
  <c r="P381" i="3"/>
  <c r="H381" i="3"/>
  <c r="G381" i="3"/>
  <c r="F381" i="3"/>
  <c r="E381" i="3"/>
  <c r="U380" i="3"/>
  <c r="R380" i="3"/>
  <c r="Q380" i="3"/>
  <c r="P380" i="3"/>
  <c r="H380" i="3"/>
  <c r="G380" i="3"/>
  <c r="F380" i="3"/>
  <c r="E380" i="3"/>
  <c r="U379" i="3"/>
  <c r="R379" i="3"/>
  <c r="Q379" i="3"/>
  <c r="P379" i="3"/>
  <c r="H379" i="3"/>
  <c r="G379" i="3"/>
  <c r="F379" i="3"/>
  <c r="E379" i="3"/>
  <c r="U378" i="3"/>
  <c r="R378" i="3"/>
  <c r="Q378" i="3"/>
  <c r="P378" i="3"/>
  <c r="H378" i="3"/>
  <c r="G378" i="3"/>
  <c r="F378" i="3"/>
  <c r="E378" i="3"/>
  <c r="U377" i="3"/>
  <c r="R377" i="3"/>
  <c r="Q377" i="3"/>
  <c r="P377" i="3"/>
  <c r="H377" i="3"/>
  <c r="G377" i="3"/>
  <c r="F377" i="3"/>
  <c r="E377" i="3"/>
  <c r="U376" i="3"/>
  <c r="R376" i="3"/>
  <c r="Q376" i="3"/>
  <c r="P376" i="3"/>
  <c r="H376" i="3"/>
  <c r="G376" i="3"/>
  <c r="F376" i="3"/>
  <c r="E376" i="3"/>
  <c r="U375" i="3"/>
  <c r="R375" i="3"/>
  <c r="Q375" i="3"/>
  <c r="P375" i="3"/>
  <c r="H375" i="3"/>
  <c r="G375" i="3"/>
  <c r="F375" i="3"/>
  <c r="E375" i="3"/>
  <c r="U374" i="3"/>
  <c r="R374" i="3"/>
  <c r="Q374" i="3"/>
  <c r="P374" i="3"/>
  <c r="H374" i="3"/>
  <c r="G374" i="3"/>
  <c r="F374" i="3"/>
  <c r="E374" i="3"/>
  <c r="U373" i="3"/>
  <c r="R373" i="3"/>
  <c r="Q373" i="3"/>
  <c r="P373" i="3"/>
  <c r="H373" i="3"/>
  <c r="G373" i="3"/>
  <c r="F373" i="3"/>
  <c r="E373" i="3"/>
  <c r="U372" i="3"/>
  <c r="R372" i="3"/>
  <c r="Q372" i="3"/>
  <c r="P372" i="3"/>
  <c r="H372" i="3"/>
  <c r="G372" i="3"/>
  <c r="F372" i="3"/>
  <c r="E372" i="3"/>
  <c r="U371" i="3"/>
  <c r="R371" i="3"/>
  <c r="Q371" i="3"/>
  <c r="P371" i="3"/>
  <c r="H371" i="3"/>
  <c r="G371" i="3"/>
  <c r="F371" i="3"/>
  <c r="E371" i="3"/>
  <c r="U370" i="3"/>
  <c r="R370" i="3"/>
  <c r="Q370" i="3"/>
  <c r="P370" i="3"/>
  <c r="H370" i="3"/>
  <c r="G370" i="3"/>
  <c r="F370" i="3"/>
  <c r="E370" i="3"/>
  <c r="U369" i="3"/>
  <c r="R369" i="3"/>
  <c r="Q369" i="3"/>
  <c r="P369" i="3"/>
  <c r="H369" i="3"/>
  <c r="G369" i="3"/>
  <c r="F369" i="3"/>
  <c r="E369" i="3"/>
  <c r="U368" i="3"/>
  <c r="R368" i="3"/>
  <c r="Q368" i="3"/>
  <c r="P368" i="3"/>
  <c r="H368" i="3"/>
  <c r="G368" i="3"/>
  <c r="F368" i="3"/>
  <c r="E368" i="3"/>
  <c r="U367" i="3"/>
  <c r="R367" i="3"/>
  <c r="Q367" i="3"/>
  <c r="P367" i="3"/>
  <c r="H367" i="3"/>
  <c r="G367" i="3"/>
  <c r="F367" i="3"/>
  <c r="E367" i="3"/>
  <c r="U366" i="3"/>
  <c r="R366" i="3"/>
  <c r="Q366" i="3"/>
  <c r="P366" i="3"/>
  <c r="H366" i="3"/>
  <c r="G366" i="3"/>
  <c r="F366" i="3"/>
  <c r="E366" i="3"/>
  <c r="U365" i="3"/>
  <c r="R365" i="3"/>
  <c r="Q365" i="3"/>
  <c r="P365" i="3"/>
  <c r="H365" i="3"/>
  <c r="G365" i="3"/>
  <c r="F365" i="3"/>
  <c r="E365" i="3"/>
  <c r="U364" i="3"/>
  <c r="R364" i="3"/>
  <c r="Q364" i="3"/>
  <c r="P364" i="3"/>
  <c r="H364" i="3"/>
  <c r="G364" i="3"/>
  <c r="F364" i="3"/>
  <c r="E364" i="3"/>
  <c r="U363" i="3"/>
  <c r="R363" i="3"/>
  <c r="Q363" i="3"/>
  <c r="P363" i="3"/>
  <c r="H363" i="3"/>
  <c r="G363" i="3"/>
  <c r="F363" i="3"/>
  <c r="E363" i="3"/>
  <c r="U362" i="3"/>
  <c r="R362" i="3"/>
  <c r="Q362" i="3"/>
  <c r="P362" i="3"/>
  <c r="H362" i="3"/>
  <c r="G362" i="3"/>
  <c r="F362" i="3"/>
  <c r="E362" i="3"/>
  <c r="U361" i="3"/>
  <c r="R361" i="3"/>
  <c r="Q361" i="3"/>
  <c r="P361" i="3"/>
  <c r="H361" i="3"/>
  <c r="G361" i="3"/>
  <c r="F361" i="3"/>
  <c r="E361" i="3"/>
  <c r="U360" i="3"/>
  <c r="R360" i="3"/>
  <c r="Q360" i="3"/>
  <c r="P360" i="3"/>
  <c r="H360" i="3"/>
  <c r="G360" i="3"/>
  <c r="F360" i="3"/>
  <c r="E360" i="3"/>
  <c r="U359" i="3"/>
  <c r="R359" i="3"/>
  <c r="Q359" i="3"/>
  <c r="P359" i="3"/>
  <c r="H359" i="3"/>
  <c r="G359" i="3"/>
  <c r="F359" i="3"/>
  <c r="E359" i="3"/>
  <c r="U358" i="3"/>
  <c r="R358" i="3"/>
  <c r="Q358" i="3"/>
  <c r="P358" i="3"/>
  <c r="H358" i="3"/>
  <c r="G358" i="3"/>
  <c r="F358" i="3"/>
  <c r="E358" i="3"/>
  <c r="U357" i="3"/>
  <c r="R357" i="3"/>
  <c r="Q357" i="3"/>
  <c r="P357" i="3"/>
  <c r="H357" i="3"/>
  <c r="G357" i="3"/>
  <c r="F357" i="3"/>
  <c r="E357" i="3"/>
  <c r="U356" i="3"/>
  <c r="R356" i="3"/>
  <c r="Q356" i="3"/>
  <c r="P356" i="3"/>
  <c r="H356" i="3"/>
  <c r="G356" i="3"/>
  <c r="F356" i="3"/>
  <c r="E356" i="3"/>
  <c r="U355" i="3"/>
  <c r="R355" i="3"/>
  <c r="Q355" i="3"/>
  <c r="P355" i="3"/>
  <c r="H355" i="3"/>
  <c r="G355" i="3"/>
  <c r="F355" i="3"/>
  <c r="E355" i="3"/>
  <c r="U354" i="3"/>
  <c r="R354" i="3"/>
  <c r="Q354" i="3"/>
  <c r="P354" i="3"/>
  <c r="H354" i="3"/>
  <c r="G354" i="3"/>
  <c r="F354" i="3"/>
  <c r="E354" i="3"/>
  <c r="U353" i="3"/>
  <c r="R353" i="3"/>
  <c r="Q353" i="3"/>
  <c r="P353" i="3"/>
  <c r="H353" i="3"/>
  <c r="G353" i="3"/>
  <c r="F353" i="3"/>
  <c r="E353" i="3"/>
  <c r="U352" i="3"/>
  <c r="R352" i="3"/>
  <c r="Q352" i="3"/>
  <c r="P352" i="3"/>
  <c r="H352" i="3"/>
  <c r="G352" i="3"/>
  <c r="F352" i="3"/>
  <c r="E352" i="3"/>
  <c r="U351" i="3"/>
  <c r="R351" i="3"/>
  <c r="Q351" i="3"/>
  <c r="P351" i="3"/>
  <c r="H351" i="3"/>
  <c r="G351" i="3"/>
  <c r="F351" i="3"/>
  <c r="E351" i="3"/>
  <c r="U350" i="3"/>
  <c r="R350" i="3"/>
  <c r="Q350" i="3"/>
  <c r="P350" i="3"/>
  <c r="H350" i="3"/>
  <c r="G350" i="3"/>
  <c r="F350" i="3"/>
  <c r="E350" i="3"/>
  <c r="U349" i="3"/>
  <c r="R349" i="3"/>
  <c r="Q349" i="3"/>
  <c r="P349" i="3"/>
  <c r="H349" i="3"/>
  <c r="G349" i="3"/>
  <c r="F349" i="3"/>
  <c r="E349" i="3"/>
  <c r="U348" i="3"/>
  <c r="R348" i="3"/>
  <c r="Q348" i="3"/>
  <c r="P348" i="3"/>
  <c r="H348" i="3"/>
  <c r="G348" i="3"/>
  <c r="F348" i="3"/>
  <c r="E348" i="3"/>
  <c r="U347" i="3"/>
  <c r="R347" i="3"/>
  <c r="Q347" i="3"/>
  <c r="P347" i="3"/>
  <c r="H347" i="3"/>
  <c r="G347" i="3"/>
  <c r="F347" i="3"/>
  <c r="E347" i="3"/>
  <c r="U346" i="3"/>
  <c r="R346" i="3"/>
  <c r="Q346" i="3"/>
  <c r="P346" i="3"/>
  <c r="H346" i="3"/>
  <c r="G346" i="3"/>
  <c r="F346" i="3"/>
  <c r="E346" i="3"/>
  <c r="U345" i="3"/>
  <c r="R345" i="3"/>
  <c r="Q345" i="3"/>
  <c r="P345" i="3"/>
  <c r="H345" i="3"/>
  <c r="G345" i="3"/>
  <c r="F345" i="3"/>
  <c r="E345" i="3"/>
  <c r="U344" i="3"/>
  <c r="R344" i="3"/>
  <c r="Q344" i="3"/>
  <c r="P344" i="3"/>
  <c r="H344" i="3"/>
  <c r="G344" i="3"/>
  <c r="F344" i="3"/>
  <c r="E344" i="3"/>
  <c r="U343" i="3"/>
  <c r="R343" i="3"/>
  <c r="Q343" i="3"/>
  <c r="P343" i="3"/>
  <c r="H343" i="3"/>
  <c r="G343" i="3"/>
  <c r="F343" i="3"/>
  <c r="E343" i="3"/>
  <c r="U342" i="3"/>
  <c r="R342" i="3"/>
  <c r="Q342" i="3"/>
  <c r="P342" i="3"/>
  <c r="H342" i="3"/>
  <c r="G342" i="3"/>
  <c r="F342" i="3"/>
  <c r="E342" i="3"/>
  <c r="U341" i="3"/>
  <c r="R341" i="3"/>
  <c r="Q341" i="3"/>
  <c r="P341" i="3"/>
  <c r="H341" i="3"/>
  <c r="G341" i="3"/>
  <c r="F341" i="3"/>
  <c r="E341" i="3"/>
  <c r="U340" i="3"/>
  <c r="R340" i="3"/>
  <c r="Q340" i="3"/>
  <c r="P340" i="3"/>
  <c r="H340" i="3"/>
  <c r="G340" i="3"/>
  <c r="F340" i="3"/>
  <c r="E340" i="3"/>
  <c r="U339" i="3"/>
  <c r="R339" i="3"/>
  <c r="Q339" i="3"/>
  <c r="P339" i="3"/>
  <c r="H339" i="3"/>
  <c r="G339" i="3"/>
  <c r="F339" i="3"/>
  <c r="E339" i="3"/>
  <c r="U338" i="3"/>
  <c r="R338" i="3"/>
  <c r="Q338" i="3"/>
  <c r="P338" i="3"/>
  <c r="H338" i="3"/>
  <c r="G338" i="3"/>
  <c r="F338" i="3"/>
  <c r="E338" i="3"/>
  <c r="U337" i="3"/>
  <c r="R337" i="3"/>
  <c r="Q337" i="3"/>
  <c r="P337" i="3"/>
  <c r="H337" i="3"/>
  <c r="G337" i="3"/>
  <c r="F337" i="3"/>
  <c r="E337" i="3"/>
  <c r="U336" i="3"/>
  <c r="R336" i="3"/>
  <c r="Q336" i="3"/>
  <c r="P336" i="3"/>
  <c r="H336" i="3"/>
  <c r="G336" i="3"/>
  <c r="F336" i="3"/>
  <c r="E336" i="3"/>
  <c r="U335" i="3"/>
  <c r="R335" i="3"/>
  <c r="Q335" i="3"/>
  <c r="P335" i="3"/>
  <c r="H335" i="3"/>
  <c r="G335" i="3"/>
  <c r="F335" i="3"/>
  <c r="E335" i="3"/>
  <c r="U334" i="3"/>
  <c r="R334" i="3"/>
  <c r="Q334" i="3"/>
  <c r="P334" i="3"/>
  <c r="H334" i="3"/>
  <c r="G334" i="3"/>
  <c r="F334" i="3"/>
  <c r="E334" i="3"/>
  <c r="U333" i="3"/>
  <c r="R333" i="3"/>
  <c r="Q333" i="3"/>
  <c r="P333" i="3"/>
  <c r="H333" i="3"/>
  <c r="G333" i="3"/>
  <c r="F333" i="3"/>
  <c r="E333" i="3"/>
  <c r="U332" i="3"/>
  <c r="R332" i="3"/>
  <c r="Q332" i="3"/>
  <c r="P332" i="3"/>
  <c r="H332" i="3"/>
  <c r="G332" i="3"/>
  <c r="F332" i="3"/>
  <c r="E332" i="3"/>
  <c r="U331" i="3"/>
  <c r="R331" i="3"/>
  <c r="Q331" i="3"/>
  <c r="P331" i="3"/>
  <c r="H331" i="3"/>
  <c r="G331" i="3"/>
  <c r="F331" i="3"/>
  <c r="E331" i="3"/>
  <c r="U330" i="3"/>
  <c r="R330" i="3"/>
  <c r="Q330" i="3"/>
  <c r="P330" i="3"/>
  <c r="H330" i="3"/>
  <c r="G330" i="3"/>
  <c r="F330" i="3"/>
  <c r="E330" i="3"/>
  <c r="U329" i="3"/>
  <c r="R329" i="3"/>
  <c r="Q329" i="3"/>
  <c r="P329" i="3"/>
  <c r="H329" i="3"/>
  <c r="G329" i="3"/>
  <c r="F329" i="3"/>
  <c r="E329" i="3"/>
  <c r="U328" i="3"/>
  <c r="R328" i="3"/>
  <c r="Q328" i="3"/>
  <c r="P328" i="3"/>
  <c r="H328" i="3"/>
  <c r="G328" i="3"/>
  <c r="F328" i="3"/>
  <c r="E328" i="3"/>
  <c r="U327" i="3"/>
  <c r="R327" i="3"/>
  <c r="Q327" i="3"/>
  <c r="P327" i="3"/>
  <c r="H327" i="3"/>
  <c r="G327" i="3"/>
  <c r="F327" i="3"/>
  <c r="E327" i="3"/>
  <c r="U326" i="3"/>
  <c r="R326" i="3"/>
  <c r="Q326" i="3"/>
  <c r="P326" i="3"/>
  <c r="H326" i="3"/>
  <c r="G326" i="3"/>
  <c r="F326" i="3"/>
  <c r="E326" i="3"/>
  <c r="U325" i="3"/>
  <c r="R325" i="3"/>
  <c r="Q325" i="3"/>
  <c r="P325" i="3"/>
  <c r="H325" i="3"/>
  <c r="G325" i="3"/>
  <c r="F325" i="3"/>
  <c r="E325" i="3"/>
  <c r="U324" i="3"/>
  <c r="R324" i="3"/>
  <c r="Q324" i="3"/>
  <c r="P324" i="3"/>
  <c r="H324" i="3"/>
  <c r="G324" i="3"/>
  <c r="F324" i="3"/>
  <c r="E324" i="3"/>
  <c r="U323" i="3"/>
  <c r="R323" i="3"/>
  <c r="Q323" i="3"/>
  <c r="P323" i="3"/>
  <c r="H323" i="3"/>
  <c r="G323" i="3"/>
  <c r="F323" i="3"/>
  <c r="E323" i="3"/>
  <c r="U322" i="3"/>
  <c r="R322" i="3"/>
  <c r="Q322" i="3"/>
  <c r="P322" i="3"/>
  <c r="H322" i="3"/>
  <c r="G322" i="3"/>
  <c r="F322" i="3"/>
  <c r="E322" i="3"/>
  <c r="U321" i="3"/>
  <c r="R321" i="3"/>
  <c r="Q321" i="3"/>
  <c r="P321" i="3"/>
  <c r="H321" i="3"/>
  <c r="G321" i="3"/>
  <c r="F321" i="3"/>
  <c r="E321" i="3"/>
  <c r="U320" i="3"/>
  <c r="R320" i="3"/>
  <c r="Q320" i="3"/>
  <c r="P320" i="3"/>
  <c r="H320" i="3"/>
  <c r="G320" i="3"/>
  <c r="F320" i="3"/>
  <c r="E320" i="3"/>
  <c r="U319" i="3"/>
  <c r="R319" i="3"/>
  <c r="Q319" i="3"/>
  <c r="P319" i="3"/>
  <c r="H319" i="3"/>
  <c r="G319" i="3"/>
  <c r="F319" i="3"/>
  <c r="E319" i="3"/>
  <c r="U318" i="3"/>
  <c r="R318" i="3"/>
  <c r="Q318" i="3"/>
  <c r="P318" i="3"/>
  <c r="H318" i="3"/>
  <c r="G318" i="3"/>
  <c r="F318" i="3"/>
  <c r="E318" i="3"/>
  <c r="U317" i="3"/>
  <c r="R317" i="3"/>
  <c r="Q317" i="3"/>
  <c r="P317" i="3"/>
  <c r="H317" i="3"/>
  <c r="G317" i="3"/>
  <c r="F317" i="3"/>
  <c r="E317" i="3"/>
  <c r="U316" i="3"/>
  <c r="R316" i="3"/>
  <c r="Q316" i="3"/>
  <c r="P316" i="3"/>
  <c r="H316" i="3"/>
  <c r="G316" i="3"/>
  <c r="F316" i="3"/>
  <c r="E316" i="3"/>
  <c r="U315" i="3"/>
  <c r="R315" i="3"/>
  <c r="Q315" i="3"/>
  <c r="P315" i="3"/>
  <c r="H315" i="3"/>
  <c r="G315" i="3"/>
  <c r="F315" i="3"/>
  <c r="E315" i="3"/>
  <c r="U314" i="3"/>
  <c r="R314" i="3"/>
  <c r="Q314" i="3"/>
  <c r="P314" i="3"/>
  <c r="H314" i="3"/>
  <c r="G314" i="3"/>
  <c r="F314" i="3"/>
  <c r="E314" i="3"/>
  <c r="U313" i="3"/>
  <c r="R313" i="3"/>
  <c r="Q313" i="3"/>
  <c r="P313" i="3"/>
  <c r="H313" i="3"/>
  <c r="G313" i="3"/>
  <c r="F313" i="3"/>
  <c r="E313" i="3"/>
  <c r="U312" i="3"/>
  <c r="R312" i="3"/>
  <c r="Q312" i="3"/>
  <c r="P312" i="3"/>
  <c r="H312" i="3"/>
  <c r="G312" i="3"/>
  <c r="F312" i="3"/>
  <c r="E312" i="3"/>
  <c r="U311" i="3"/>
  <c r="R311" i="3"/>
  <c r="Q311" i="3"/>
  <c r="P311" i="3"/>
  <c r="H311" i="3"/>
  <c r="G311" i="3"/>
  <c r="F311" i="3"/>
  <c r="E311" i="3"/>
  <c r="U310" i="3"/>
  <c r="R310" i="3"/>
  <c r="Q310" i="3"/>
  <c r="P310" i="3"/>
  <c r="H310" i="3"/>
  <c r="G310" i="3"/>
  <c r="F310" i="3"/>
  <c r="E310" i="3"/>
  <c r="U309" i="3"/>
  <c r="R309" i="3"/>
  <c r="Q309" i="3"/>
  <c r="P309" i="3"/>
  <c r="H309" i="3"/>
  <c r="G309" i="3"/>
  <c r="F309" i="3"/>
  <c r="E309" i="3"/>
  <c r="U308" i="3"/>
  <c r="R308" i="3"/>
  <c r="Q308" i="3"/>
  <c r="P308" i="3"/>
  <c r="H308" i="3"/>
  <c r="G308" i="3"/>
  <c r="F308" i="3"/>
  <c r="E308" i="3"/>
  <c r="U307" i="3"/>
  <c r="R307" i="3"/>
  <c r="Q307" i="3"/>
  <c r="P307" i="3"/>
  <c r="H307" i="3"/>
  <c r="G307" i="3"/>
  <c r="F307" i="3"/>
  <c r="E307" i="3"/>
  <c r="U306" i="3"/>
  <c r="R306" i="3"/>
  <c r="Q306" i="3"/>
  <c r="P306" i="3"/>
  <c r="H306" i="3"/>
  <c r="G306" i="3"/>
  <c r="F306" i="3"/>
  <c r="E306" i="3"/>
  <c r="U305" i="3"/>
  <c r="R305" i="3"/>
  <c r="Q305" i="3"/>
  <c r="P305" i="3"/>
  <c r="H305" i="3"/>
  <c r="G305" i="3"/>
  <c r="F305" i="3"/>
  <c r="E305" i="3"/>
  <c r="U304" i="3"/>
  <c r="R304" i="3"/>
  <c r="Q304" i="3"/>
  <c r="P304" i="3"/>
  <c r="H304" i="3"/>
  <c r="G304" i="3"/>
  <c r="F304" i="3"/>
  <c r="E304" i="3"/>
  <c r="U303" i="3"/>
  <c r="R303" i="3"/>
  <c r="Q303" i="3"/>
  <c r="P303" i="3"/>
  <c r="H303" i="3"/>
  <c r="G303" i="3"/>
  <c r="F303" i="3"/>
  <c r="E303" i="3"/>
  <c r="U302" i="3"/>
  <c r="R302" i="3"/>
  <c r="Q302" i="3"/>
  <c r="P302" i="3"/>
  <c r="H302" i="3"/>
  <c r="G302" i="3"/>
  <c r="F302" i="3"/>
  <c r="E302" i="3"/>
  <c r="U301" i="3"/>
  <c r="R301" i="3"/>
  <c r="Q301" i="3"/>
  <c r="P301" i="3"/>
  <c r="H301" i="3"/>
  <c r="G301" i="3"/>
  <c r="F301" i="3"/>
  <c r="E301" i="3"/>
  <c r="U300" i="3"/>
  <c r="R300" i="3"/>
  <c r="Q300" i="3"/>
  <c r="P300" i="3"/>
  <c r="H300" i="3"/>
  <c r="G300" i="3"/>
  <c r="F300" i="3"/>
  <c r="E300" i="3"/>
  <c r="U299" i="3"/>
  <c r="R299" i="3"/>
  <c r="Q299" i="3"/>
  <c r="P299" i="3"/>
  <c r="H299" i="3"/>
  <c r="G299" i="3"/>
  <c r="F299" i="3"/>
  <c r="E299" i="3"/>
  <c r="U298" i="3"/>
  <c r="R298" i="3"/>
  <c r="Q298" i="3"/>
  <c r="P298" i="3"/>
  <c r="H298" i="3"/>
  <c r="G298" i="3"/>
  <c r="F298" i="3"/>
  <c r="E298" i="3"/>
  <c r="U297" i="3"/>
  <c r="R297" i="3"/>
  <c r="Q297" i="3"/>
  <c r="P297" i="3"/>
  <c r="H297" i="3"/>
  <c r="G297" i="3"/>
  <c r="F297" i="3"/>
  <c r="E297" i="3"/>
  <c r="U296" i="3"/>
  <c r="R296" i="3"/>
  <c r="Q296" i="3"/>
  <c r="P296" i="3"/>
  <c r="H296" i="3"/>
  <c r="G296" i="3"/>
  <c r="F296" i="3"/>
  <c r="E296" i="3"/>
  <c r="U295" i="3"/>
  <c r="R295" i="3"/>
  <c r="Q295" i="3"/>
  <c r="P295" i="3"/>
  <c r="H295" i="3"/>
  <c r="G295" i="3"/>
  <c r="F295" i="3"/>
  <c r="E295" i="3"/>
  <c r="U294" i="3"/>
  <c r="R294" i="3"/>
  <c r="Q294" i="3"/>
  <c r="P294" i="3"/>
  <c r="H294" i="3"/>
  <c r="G294" i="3"/>
  <c r="F294" i="3"/>
  <c r="E294" i="3"/>
  <c r="U293" i="3"/>
  <c r="R293" i="3"/>
  <c r="Q293" i="3"/>
  <c r="P293" i="3"/>
  <c r="H293" i="3"/>
  <c r="G293" i="3"/>
  <c r="F293" i="3"/>
  <c r="E293" i="3"/>
  <c r="U292" i="3"/>
  <c r="R292" i="3"/>
  <c r="Q292" i="3"/>
  <c r="P292" i="3"/>
  <c r="H292" i="3"/>
  <c r="G292" i="3"/>
  <c r="F292" i="3"/>
  <c r="E292" i="3"/>
  <c r="U291" i="3"/>
  <c r="R291" i="3"/>
  <c r="Q291" i="3"/>
  <c r="P291" i="3"/>
  <c r="H291" i="3"/>
  <c r="G291" i="3"/>
  <c r="F291" i="3"/>
  <c r="E291" i="3"/>
  <c r="U290" i="3"/>
  <c r="R290" i="3"/>
  <c r="Q290" i="3"/>
  <c r="P290" i="3"/>
  <c r="H290" i="3"/>
  <c r="G290" i="3"/>
  <c r="F290" i="3"/>
  <c r="E290" i="3"/>
  <c r="U289" i="3"/>
  <c r="R289" i="3"/>
  <c r="Q289" i="3"/>
  <c r="P289" i="3"/>
  <c r="H289" i="3"/>
  <c r="G289" i="3"/>
  <c r="F289" i="3"/>
  <c r="E289" i="3"/>
  <c r="U288" i="3"/>
  <c r="R288" i="3"/>
  <c r="Q288" i="3"/>
  <c r="P288" i="3"/>
  <c r="H288" i="3"/>
  <c r="G288" i="3"/>
  <c r="F288" i="3"/>
  <c r="E288" i="3"/>
  <c r="U287" i="3"/>
  <c r="R287" i="3"/>
  <c r="Q287" i="3"/>
  <c r="P287" i="3"/>
  <c r="H287" i="3"/>
  <c r="G287" i="3"/>
  <c r="F287" i="3"/>
  <c r="E287" i="3"/>
  <c r="U286" i="3"/>
  <c r="R286" i="3"/>
  <c r="Q286" i="3"/>
  <c r="P286" i="3"/>
  <c r="H286" i="3"/>
  <c r="G286" i="3"/>
  <c r="F286" i="3"/>
  <c r="E286" i="3"/>
  <c r="U285" i="3"/>
  <c r="R285" i="3"/>
  <c r="Q285" i="3"/>
  <c r="P285" i="3"/>
  <c r="H285" i="3"/>
  <c r="G285" i="3"/>
  <c r="F285" i="3"/>
  <c r="E285" i="3"/>
  <c r="U284" i="3"/>
  <c r="R284" i="3"/>
  <c r="Q284" i="3"/>
  <c r="P284" i="3"/>
  <c r="H284" i="3"/>
  <c r="G284" i="3"/>
  <c r="F284" i="3"/>
  <c r="E284" i="3"/>
  <c r="U283" i="3"/>
  <c r="R283" i="3"/>
  <c r="Q283" i="3"/>
  <c r="P283" i="3"/>
  <c r="H283" i="3"/>
  <c r="G283" i="3"/>
  <c r="F283" i="3"/>
  <c r="E283" i="3"/>
  <c r="U282" i="3"/>
  <c r="R282" i="3"/>
  <c r="Q282" i="3"/>
  <c r="P282" i="3"/>
  <c r="H282" i="3"/>
  <c r="G282" i="3"/>
  <c r="F282" i="3"/>
  <c r="E282" i="3"/>
  <c r="U281" i="3"/>
  <c r="R281" i="3"/>
  <c r="Q281" i="3"/>
  <c r="P281" i="3"/>
  <c r="H281" i="3"/>
  <c r="G281" i="3"/>
  <c r="F281" i="3"/>
  <c r="E281" i="3"/>
  <c r="U280" i="3"/>
  <c r="R280" i="3"/>
  <c r="Q280" i="3"/>
  <c r="P280" i="3"/>
  <c r="H280" i="3"/>
  <c r="G280" i="3"/>
  <c r="F280" i="3"/>
  <c r="E280" i="3"/>
  <c r="U279" i="3"/>
  <c r="R279" i="3"/>
  <c r="Q279" i="3"/>
  <c r="P279" i="3"/>
  <c r="H279" i="3"/>
  <c r="G279" i="3"/>
  <c r="F279" i="3"/>
  <c r="E279" i="3"/>
  <c r="U278" i="3"/>
  <c r="R278" i="3"/>
  <c r="Q278" i="3"/>
  <c r="P278" i="3"/>
  <c r="H278" i="3"/>
  <c r="G278" i="3"/>
  <c r="F278" i="3"/>
  <c r="E278" i="3"/>
  <c r="U277" i="3"/>
  <c r="R277" i="3"/>
  <c r="Q277" i="3"/>
  <c r="P277" i="3"/>
  <c r="H277" i="3"/>
  <c r="G277" i="3"/>
  <c r="F277" i="3"/>
  <c r="E277" i="3"/>
  <c r="U276" i="3"/>
  <c r="R276" i="3"/>
  <c r="Q276" i="3"/>
  <c r="P276" i="3"/>
  <c r="H276" i="3"/>
  <c r="G276" i="3"/>
  <c r="F276" i="3"/>
  <c r="E276" i="3"/>
  <c r="U275" i="3"/>
  <c r="R275" i="3"/>
  <c r="Q275" i="3"/>
  <c r="P275" i="3"/>
  <c r="H275" i="3"/>
  <c r="G275" i="3"/>
  <c r="F275" i="3"/>
  <c r="E275" i="3"/>
  <c r="U274" i="3"/>
  <c r="R274" i="3"/>
  <c r="Q274" i="3"/>
  <c r="P274" i="3"/>
  <c r="H274" i="3"/>
  <c r="G274" i="3"/>
  <c r="F274" i="3"/>
  <c r="E274" i="3"/>
  <c r="U273" i="3"/>
  <c r="R273" i="3"/>
  <c r="Q273" i="3"/>
  <c r="P273" i="3"/>
  <c r="H273" i="3"/>
  <c r="G273" i="3"/>
  <c r="F273" i="3"/>
  <c r="E273" i="3"/>
  <c r="U272" i="3"/>
  <c r="R272" i="3"/>
  <c r="Q272" i="3"/>
  <c r="P272" i="3"/>
  <c r="H272" i="3"/>
  <c r="G272" i="3"/>
  <c r="F272" i="3"/>
  <c r="E272" i="3"/>
  <c r="U271" i="3"/>
  <c r="R271" i="3"/>
  <c r="Q271" i="3"/>
  <c r="P271" i="3"/>
  <c r="H271" i="3"/>
  <c r="G271" i="3"/>
  <c r="F271" i="3"/>
  <c r="E271" i="3"/>
  <c r="U270" i="3"/>
  <c r="R270" i="3"/>
  <c r="Q270" i="3"/>
  <c r="P270" i="3"/>
  <c r="H270" i="3"/>
  <c r="G270" i="3"/>
  <c r="F270" i="3"/>
  <c r="E270" i="3"/>
  <c r="U269" i="3"/>
  <c r="R269" i="3"/>
  <c r="Q269" i="3"/>
  <c r="P269" i="3"/>
  <c r="H269" i="3"/>
  <c r="G269" i="3"/>
  <c r="F269" i="3"/>
  <c r="E269" i="3"/>
  <c r="U268" i="3"/>
  <c r="R268" i="3"/>
  <c r="Q268" i="3"/>
  <c r="P268" i="3"/>
  <c r="H268" i="3"/>
  <c r="G268" i="3"/>
  <c r="F268" i="3"/>
  <c r="E268" i="3"/>
  <c r="U267" i="3"/>
  <c r="R267" i="3"/>
  <c r="Q267" i="3"/>
  <c r="P267" i="3"/>
  <c r="H267" i="3"/>
  <c r="G267" i="3"/>
  <c r="F267" i="3"/>
  <c r="E267" i="3"/>
  <c r="U266" i="3"/>
  <c r="R266" i="3"/>
  <c r="Q266" i="3"/>
  <c r="P266" i="3"/>
  <c r="H266" i="3"/>
  <c r="G266" i="3"/>
  <c r="F266" i="3"/>
  <c r="E266" i="3"/>
  <c r="U265" i="3"/>
  <c r="R265" i="3"/>
  <c r="Q265" i="3"/>
  <c r="P265" i="3"/>
  <c r="H265" i="3"/>
  <c r="G265" i="3"/>
  <c r="F265" i="3"/>
  <c r="E265" i="3"/>
  <c r="U264" i="3"/>
  <c r="R264" i="3"/>
  <c r="Q264" i="3"/>
  <c r="P264" i="3"/>
  <c r="H264" i="3"/>
  <c r="G264" i="3"/>
  <c r="F264" i="3"/>
  <c r="E264" i="3"/>
  <c r="U263" i="3"/>
  <c r="R263" i="3"/>
  <c r="Q263" i="3"/>
  <c r="P263" i="3"/>
  <c r="H263" i="3"/>
  <c r="G263" i="3"/>
  <c r="F263" i="3"/>
  <c r="E263" i="3"/>
  <c r="U262" i="3"/>
  <c r="R262" i="3"/>
  <c r="Q262" i="3"/>
  <c r="P262" i="3"/>
  <c r="H262" i="3"/>
  <c r="G262" i="3"/>
  <c r="F262" i="3"/>
  <c r="E262" i="3"/>
  <c r="U261" i="3"/>
  <c r="R261" i="3"/>
  <c r="Q261" i="3"/>
  <c r="P261" i="3"/>
  <c r="H261" i="3"/>
  <c r="G261" i="3"/>
  <c r="F261" i="3"/>
  <c r="E261" i="3"/>
  <c r="U260" i="3"/>
  <c r="R260" i="3"/>
  <c r="Q260" i="3"/>
  <c r="P260" i="3"/>
  <c r="H260" i="3"/>
  <c r="G260" i="3"/>
  <c r="F260" i="3"/>
  <c r="E260" i="3"/>
  <c r="U259" i="3"/>
  <c r="R259" i="3"/>
  <c r="Q259" i="3"/>
  <c r="P259" i="3"/>
  <c r="H259" i="3"/>
  <c r="G259" i="3"/>
  <c r="F259" i="3"/>
  <c r="E259" i="3"/>
  <c r="U258" i="3"/>
  <c r="R258" i="3"/>
  <c r="Q258" i="3"/>
  <c r="P258" i="3"/>
  <c r="H258" i="3"/>
  <c r="G258" i="3"/>
  <c r="F258" i="3"/>
  <c r="E258" i="3"/>
  <c r="U257" i="3"/>
  <c r="R257" i="3"/>
  <c r="Q257" i="3"/>
  <c r="P257" i="3"/>
  <c r="H257" i="3"/>
  <c r="G257" i="3"/>
  <c r="F257" i="3"/>
  <c r="E257" i="3"/>
  <c r="U256" i="3"/>
  <c r="R256" i="3"/>
  <c r="Q256" i="3"/>
  <c r="P256" i="3"/>
  <c r="H256" i="3"/>
  <c r="G256" i="3"/>
  <c r="F256" i="3"/>
  <c r="E256" i="3"/>
  <c r="U255" i="3"/>
  <c r="R255" i="3"/>
  <c r="Q255" i="3"/>
  <c r="P255" i="3"/>
  <c r="H255" i="3"/>
  <c r="G255" i="3"/>
  <c r="F255" i="3"/>
  <c r="E255" i="3"/>
  <c r="U254" i="3"/>
  <c r="R254" i="3"/>
  <c r="Q254" i="3"/>
  <c r="P254" i="3"/>
  <c r="H254" i="3"/>
  <c r="G254" i="3"/>
  <c r="F254" i="3"/>
  <c r="E254" i="3"/>
  <c r="U253" i="3"/>
  <c r="R253" i="3"/>
  <c r="Q253" i="3"/>
  <c r="P253" i="3"/>
  <c r="H253" i="3"/>
  <c r="G253" i="3"/>
  <c r="F253" i="3"/>
  <c r="E253" i="3"/>
  <c r="U252" i="3"/>
  <c r="R252" i="3"/>
  <c r="Q252" i="3"/>
  <c r="P252" i="3"/>
  <c r="H252" i="3"/>
  <c r="G252" i="3"/>
  <c r="F252" i="3"/>
  <c r="E252" i="3"/>
  <c r="U251" i="3"/>
  <c r="R251" i="3"/>
  <c r="Q251" i="3"/>
  <c r="P251" i="3"/>
  <c r="H251" i="3"/>
  <c r="G251" i="3"/>
  <c r="F251" i="3"/>
  <c r="E251" i="3"/>
  <c r="U250" i="3"/>
  <c r="R250" i="3"/>
  <c r="Q250" i="3"/>
  <c r="P250" i="3"/>
  <c r="H250" i="3"/>
  <c r="G250" i="3"/>
  <c r="F250" i="3"/>
  <c r="E250" i="3"/>
  <c r="U249" i="3"/>
  <c r="R249" i="3"/>
  <c r="Q249" i="3"/>
  <c r="P249" i="3"/>
  <c r="H249" i="3"/>
  <c r="G249" i="3"/>
  <c r="F249" i="3"/>
  <c r="E249" i="3"/>
  <c r="U248" i="3"/>
  <c r="R248" i="3"/>
  <c r="Q248" i="3"/>
  <c r="P248" i="3"/>
  <c r="H248" i="3"/>
  <c r="G248" i="3"/>
  <c r="F248" i="3"/>
  <c r="E248" i="3"/>
  <c r="U247" i="3"/>
  <c r="R247" i="3"/>
  <c r="Q247" i="3"/>
  <c r="P247" i="3"/>
  <c r="H247" i="3"/>
  <c r="G247" i="3"/>
  <c r="F247" i="3"/>
  <c r="E247" i="3"/>
  <c r="U246" i="3"/>
  <c r="R246" i="3"/>
  <c r="Q246" i="3"/>
  <c r="P246" i="3"/>
  <c r="H246" i="3"/>
  <c r="G246" i="3"/>
  <c r="F246" i="3"/>
  <c r="E246" i="3"/>
  <c r="U245" i="3"/>
  <c r="R245" i="3"/>
  <c r="Q245" i="3"/>
  <c r="P245" i="3"/>
  <c r="H245" i="3"/>
  <c r="G245" i="3"/>
  <c r="F245" i="3"/>
  <c r="E245" i="3"/>
  <c r="U244" i="3"/>
  <c r="R244" i="3"/>
  <c r="Q244" i="3"/>
  <c r="P244" i="3"/>
  <c r="H244" i="3"/>
  <c r="G244" i="3"/>
  <c r="F244" i="3"/>
  <c r="E244" i="3"/>
  <c r="U243" i="3"/>
  <c r="R243" i="3"/>
  <c r="Q243" i="3"/>
  <c r="P243" i="3"/>
  <c r="H243" i="3"/>
  <c r="G243" i="3"/>
  <c r="F243" i="3"/>
  <c r="E243" i="3"/>
  <c r="U242" i="3"/>
  <c r="R242" i="3"/>
  <c r="Q242" i="3"/>
  <c r="P242" i="3"/>
  <c r="H242" i="3"/>
  <c r="G242" i="3"/>
  <c r="F242" i="3"/>
  <c r="E242" i="3"/>
  <c r="U241" i="3"/>
  <c r="R241" i="3"/>
  <c r="Q241" i="3"/>
  <c r="P241" i="3"/>
  <c r="H241" i="3"/>
  <c r="G241" i="3"/>
  <c r="F241" i="3"/>
  <c r="E241" i="3"/>
  <c r="U240" i="3"/>
  <c r="R240" i="3"/>
  <c r="Q240" i="3"/>
  <c r="P240" i="3"/>
  <c r="H240" i="3"/>
  <c r="G240" i="3"/>
  <c r="F240" i="3"/>
  <c r="E240" i="3"/>
  <c r="U239" i="3"/>
  <c r="R239" i="3"/>
  <c r="Q239" i="3"/>
  <c r="P239" i="3"/>
  <c r="H239" i="3"/>
  <c r="G239" i="3"/>
  <c r="F239" i="3"/>
  <c r="E239" i="3"/>
  <c r="U238" i="3"/>
  <c r="R238" i="3"/>
  <c r="Q238" i="3"/>
  <c r="P238" i="3"/>
  <c r="H238" i="3"/>
  <c r="G238" i="3"/>
  <c r="F238" i="3"/>
  <c r="E238" i="3"/>
  <c r="U237" i="3"/>
  <c r="R237" i="3"/>
  <c r="Q237" i="3"/>
  <c r="P237" i="3"/>
  <c r="H237" i="3"/>
  <c r="G237" i="3"/>
  <c r="F237" i="3"/>
  <c r="E237" i="3"/>
  <c r="U236" i="3"/>
  <c r="R236" i="3"/>
  <c r="Q236" i="3"/>
  <c r="P236" i="3"/>
  <c r="H236" i="3"/>
  <c r="G236" i="3"/>
  <c r="F236" i="3"/>
  <c r="E236" i="3"/>
  <c r="U235" i="3"/>
  <c r="R235" i="3"/>
  <c r="Q235" i="3"/>
  <c r="P235" i="3"/>
  <c r="H235" i="3"/>
  <c r="G235" i="3"/>
  <c r="F235" i="3"/>
  <c r="E235" i="3"/>
  <c r="U234" i="3"/>
  <c r="R234" i="3"/>
  <c r="Q234" i="3"/>
  <c r="P234" i="3"/>
  <c r="H234" i="3"/>
  <c r="G234" i="3"/>
  <c r="F234" i="3"/>
  <c r="E234" i="3"/>
  <c r="U233" i="3"/>
  <c r="R233" i="3"/>
  <c r="Q233" i="3"/>
  <c r="P233" i="3"/>
  <c r="H233" i="3"/>
  <c r="G233" i="3"/>
  <c r="F233" i="3"/>
  <c r="E233" i="3"/>
  <c r="U232" i="3"/>
  <c r="R232" i="3"/>
  <c r="Q232" i="3"/>
  <c r="P232" i="3"/>
  <c r="H232" i="3"/>
  <c r="G232" i="3"/>
  <c r="F232" i="3"/>
  <c r="E232" i="3"/>
  <c r="U231" i="3"/>
  <c r="R231" i="3"/>
  <c r="Q231" i="3"/>
  <c r="P231" i="3"/>
  <c r="H231" i="3"/>
  <c r="G231" i="3"/>
  <c r="F231" i="3"/>
  <c r="E231" i="3"/>
  <c r="U230" i="3"/>
  <c r="R230" i="3"/>
  <c r="Q230" i="3"/>
  <c r="P230" i="3"/>
  <c r="H230" i="3"/>
  <c r="G230" i="3"/>
  <c r="F230" i="3"/>
  <c r="E230" i="3"/>
  <c r="U229" i="3"/>
  <c r="R229" i="3"/>
  <c r="Q229" i="3"/>
  <c r="P229" i="3"/>
  <c r="H229" i="3"/>
  <c r="G229" i="3"/>
  <c r="F229" i="3"/>
  <c r="E229" i="3"/>
  <c r="U228" i="3"/>
  <c r="R228" i="3"/>
  <c r="Q228" i="3"/>
  <c r="P228" i="3"/>
  <c r="H228" i="3"/>
  <c r="G228" i="3"/>
  <c r="F228" i="3"/>
  <c r="E228" i="3"/>
  <c r="U227" i="3"/>
  <c r="R227" i="3"/>
  <c r="Q227" i="3"/>
  <c r="P227" i="3"/>
  <c r="H227" i="3"/>
  <c r="G227" i="3"/>
  <c r="F227" i="3"/>
  <c r="E227" i="3"/>
  <c r="U226" i="3"/>
  <c r="R226" i="3"/>
  <c r="Q226" i="3"/>
  <c r="P226" i="3"/>
  <c r="H226" i="3"/>
  <c r="G226" i="3"/>
  <c r="F226" i="3"/>
  <c r="E226" i="3"/>
  <c r="U225" i="3"/>
  <c r="R225" i="3"/>
  <c r="Q225" i="3"/>
  <c r="P225" i="3"/>
  <c r="H225" i="3"/>
  <c r="G225" i="3"/>
  <c r="F225" i="3"/>
  <c r="E225" i="3"/>
  <c r="U224" i="3"/>
  <c r="R224" i="3"/>
  <c r="Q224" i="3"/>
  <c r="P224" i="3"/>
  <c r="H224" i="3"/>
  <c r="G224" i="3"/>
  <c r="F224" i="3"/>
  <c r="E224" i="3"/>
  <c r="U223" i="3"/>
  <c r="R223" i="3"/>
  <c r="Q223" i="3"/>
  <c r="P223" i="3"/>
  <c r="H223" i="3"/>
  <c r="G223" i="3"/>
  <c r="F223" i="3"/>
  <c r="E223" i="3"/>
  <c r="U222" i="3"/>
  <c r="R222" i="3"/>
  <c r="Q222" i="3"/>
  <c r="P222" i="3"/>
  <c r="H222" i="3"/>
  <c r="G222" i="3"/>
  <c r="F222" i="3"/>
  <c r="E222" i="3"/>
  <c r="U221" i="3"/>
  <c r="R221" i="3"/>
  <c r="Q221" i="3"/>
  <c r="P221" i="3"/>
  <c r="H221" i="3"/>
  <c r="G221" i="3"/>
  <c r="F221" i="3"/>
  <c r="E221" i="3"/>
  <c r="U220" i="3"/>
  <c r="R220" i="3"/>
  <c r="Q220" i="3"/>
  <c r="P220" i="3"/>
  <c r="H220" i="3"/>
  <c r="G220" i="3"/>
  <c r="F220" i="3"/>
  <c r="E220" i="3"/>
  <c r="U219" i="3"/>
  <c r="R219" i="3"/>
  <c r="Q219" i="3"/>
  <c r="P219" i="3"/>
  <c r="H219" i="3"/>
  <c r="G219" i="3"/>
  <c r="F219" i="3"/>
  <c r="E219" i="3"/>
  <c r="U218" i="3"/>
  <c r="R218" i="3"/>
  <c r="Q218" i="3"/>
  <c r="P218" i="3"/>
  <c r="H218" i="3"/>
  <c r="G218" i="3"/>
  <c r="F218" i="3"/>
  <c r="E218" i="3"/>
  <c r="U217" i="3"/>
  <c r="R217" i="3"/>
  <c r="Q217" i="3"/>
  <c r="P217" i="3"/>
  <c r="H217" i="3"/>
  <c r="G217" i="3"/>
  <c r="F217" i="3"/>
  <c r="E217" i="3"/>
  <c r="U216" i="3"/>
  <c r="R216" i="3"/>
  <c r="Q216" i="3"/>
  <c r="P216" i="3"/>
  <c r="H216" i="3"/>
  <c r="G216" i="3"/>
  <c r="F216" i="3"/>
  <c r="E216" i="3"/>
  <c r="U215" i="3"/>
  <c r="R215" i="3"/>
  <c r="Q215" i="3"/>
  <c r="P215" i="3"/>
  <c r="H215" i="3"/>
  <c r="G215" i="3"/>
  <c r="F215" i="3"/>
  <c r="E215" i="3"/>
  <c r="U214" i="3"/>
  <c r="R214" i="3"/>
  <c r="Q214" i="3"/>
  <c r="P214" i="3"/>
  <c r="H214" i="3"/>
  <c r="G214" i="3"/>
  <c r="F214" i="3"/>
  <c r="E214" i="3"/>
  <c r="U213" i="3"/>
  <c r="R213" i="3"/>
  <c r="Q213" i="3"/>
  <c r="P213" i="3"/>
  <c r="H213" i="3"/>
  <c r="G213" i="3"/>
  <c r="F213" i="3"/>
  <c r="E213" i="3"/>
  <c r="U212" i="3"/>
  <c r="R212" i="3"/>
  <c r="Q212" i="3"/>
  <c r="P212" i="3"/>
  <c r="H212" i="3"/>
  <c r="G212" i="3"/>
  <c r="F212" i="3"/>
  <c r="E212" i="3"/>
  <c r="U211" i="3"/>
  <c r="R211" i="3"/>
  <c r="Q211" i="3"/>
  <c r="P211" i="3"/>
  <c r="H211" i="3"/>
  <c r="G211" i="3"/>
  <c r="F211" i="3"/>
  <c r="E211" i="3"/>
  <c r="U210" i="3"/>
  <c r="R210" i="3"/>
  <c r="Q210" i="3"/>
  <c r="P210" i="3"/>
  <c r="H210" i="3"/>
  <c r="G210" i="3"/>
  <c r="F210" i="3"/>
  <c r="E210" i="3"/>
  <c r="U209" i="3"/>
  <c r="T209" i="3"/>
  <c r="R209" i="3"/>
  <c r="Q209" i="3"/>
  <c r="P209" i="3"/>
  <c r="H209" i="3"/>
  <c r="G209" i="3"/>
  <c r="F209" i="3"/>
  <c r="E209" i="3"/>
  <c r="L209" i="3" s="1"/>
  <c r="U208" i="3"/>
  <c r="R208" i="3"/>
  <c r="Q208" i="3"/>
  <c r="P208" i="3"/>
  <c r="H208" i="3"/>
  <c r="G208" i="3"/>
  <c r="F208" i="3"/>
  <c r="E208" i="3"/>
  <c r="U207" i="3"/>
  <c r="R207" i="3"/>
  <c r="Q207" i="3"/>
  <c r="P207" i="3"/>
  <c r="H207" i="3"/>
  <c r="G207" i="3"/>
  <c r="F207" i="3"/>
  <c r="E207" i="3"/>
  <c r="U206" i="3"/>
  <c r="R206" i="3"/>
  <c r="Q206" i="3"/>
  <c r="P206" i="3"/>
  <c r="H206" i="3"/>
  <c r="G206" i="3"/>
  <c r="F206" i="3"/>
  <c r="E206" i="3"/>
  <c r="U205" i="3"/>
  <c r="R205" i="3"/>
  <c r="Q205" i="3"/>
  <c r="P205" i="3"/>
  <c r="H205" i="3"/>
  <c r="G205" i="3"/>
  <c r="F205" i="3"/>
  <c r="E205" i="3"/>
  <c r="U204" i="3"/>
  <c r="R204" i="3"/>
  <c r="Q204" i="3"/>
  <c r="P204" i="3"/>
  <c r="H204" i="3"/>
  <c r="G204" i="3"/>
  <c r="F204" i="3"/>
  <c r="E204" i="3"/>
  <c r="U203" i="3"/>
  <c r="R203" i="3"/>
  <c r="Q203" i="3"/>
  <c r="P203" i="3"/>
  <c r="H203" i="3"/>
  <c r="G203" i="3"/>
  <c r="F203" i="3"/>
  <c r="E203" i="3"/>
  <c r="U202" i="3"/>
  <c r="R202" i="3"/>
  <c r="Q202" i="3"/>
  <c r="P202" i="3"/>
  <c r="H202" i="3"/>
  <c r="G202" i="3"/>
  <c r="F202" i="3"/>
  <c r="E202" i="3"/>
  <c r="U201" i="3"/>
  <c r="R201" i="3"/>
  <c r="Q201" i="3"/>
  <c r="P201" i="3"/>
  <c r="H201" i="3"/>
  <c r="G201" i="3"/>
  <c r="F201" i="3"/>
  <c r="E201" i="3"/>
  <c r="U200" i="3"/>
  <c r="R200" i="3"/>
  <c r="Q200" i="3"/>
  <c r="P200" i="3"/>
  <c r="H200" i="3"/>
  <c r="G200" i="3"/>
  <c r="F200" i="3"/>
  <c r="E200" i="3"/>
  <c r="U199" i="3"/>
  <c r="R199" i="3"/>
  <c r="Q199" i="3"/>
  <c r="P199" i="3"/>
  <c r="H199" i="3"/>
  <c r="G199" i="3"/>
  <c r="F199" i="3"/>
  <c r="E199" i="3"/>
  <c r="U198" i="3"/>
  <c r="R198" i="3"/>
  <c r="Q198" i="3"/>
  <c r="P198" i="3"/>
  <c r="H198" i="3"/>
  <c r="G198" i="3"/>
  <c r="F198" i="3"/>
  <c r="E198" i="3"/>
  <c r="U197" i="3"/>
  <c r="R197" i="3"/>
  <c r="Q197" i="3"/>
  <c r="P197" i="3"/>
  <c r="H197" i="3"/>
  <c r="G197" i="3"/>
  <c r="F197" i="3"/>
  <c r="E197" i="3"/>
  <c r="U196" i="3"/>
  <c r="R196" i="3"/>
  <c r="Q196" i="3"/>
  <c r="P196" i="3"/>
  <c r="H196" i="3"/>
  <c r="G196" i="3"/>
  <c r="F196" i="3"/>
  <c r="E196" i="3"/>
  <c r="U195" i="3"/>
  <c r="R195" i="3"/>
  <c r="Q195" i="3"/>
  <c r="P195" i="3"/>
  <c r="H195" i="3"/>
  <c r="G195" i="3"/>
  <c r="F195" i="3"/>
  <c r="E195" i="3"/>
  <c r="U194" i="3"/>
  <c r="R194" i="3"/>
  <c r="Q194" i="3"/>
  <c r="P194" i="3"/>
  <c r="H194" i="3"/>
  <c r="G194" i="3"/>
  <c r="F194" i="3"/>
  <c r="E194" i="3"/>
  <c r="U193" i="3"/>
  <c r="R193" i="3"/>
  <c r="Q193" i="3"/>
  <c r="P193" i="3"/>
  <c r="H193" i="3"/>
  <c r="G193" i="3"/>
  <c r="F193" i="3"/>
  <c r="E193" i="3"/>
  <c r="U192" i="3"/>
  <c r="R192" i="3"/>
  <c r="Q192" i="3"/>
  <c r="P192" i="3"/>
  <c r="H192" i="3"/>
  <c r="G192" i="3"/>
  <c r="F192" i="3"/>
  <c r="E192" i="3"/>
  <c r="U191" i="3"/>
  <c r="R191" i="3"/>
  <c r="Q191" i="3"/>
  <c r="P191" i="3"/>
  <c r="H191" i="3"/>
  <c r="G191" i="3"/>
  <c r="F191" i="3"/>
  <c r="E191" i="3"/>
  <c r="U190" i="3"/>
  <c r="R190" i="3"/>
  <c r="Q190" i="3"/>
  <c r="P190" i="3"/>
  <c r="H190" i="3"/>
  <c r="G190" i="3"/>
  <c r="F190" i="3"/>
  <c r="E190" i="3"/>
  <c r="U189" i="3"/>
  <c r="R189" i="3"/>
  <c r="Q189" i="3"/>
  <c r="P189" i="3"/>
  <c r="H189" i="3"/>
  <c r="G189" i="3"/>
  <c r="F189" i="3"/>
  <c r="E189" i="3"/>
  <c r="U188" i="3"/>
  <c r="R188" i="3"/>
  <c r="Q188" i="3"/>
  <c r="P188" i="3"/>
  <c r="H188" i="3"/>
  <c r="G188" i="3"/>
  <c r="F188" i="3"/>
  <c r="E188" i="3"/>
  <c r="U187" i="3"/>
  <c r="R187" i="3"/>
  <c r="Q187" i="3"/>
  <c r="P187" i="3"/>
  <c r="H187" i="3"/>
  <c r="G187" i="3"/>
  <c r="F187" i="3"/>
  <c r="E187" i="3"/>
  <c r="U186" i="3"/>
  <c r="R186" i="3"/>
  <c r="Q186" i="3"/>
  <c r="P186" i="3"/>
  <c r="H186" i="3"/>
  <c r="G186" i="3"/>
  <c r="F186" i="3"/>
  <c r="E186" i="3"/>
  <c r="U185" i="3"/>
  <c r="R185" i="3"/>
  <c r="Q185" i="3"/>
  <c r="P185" i="3"/>
  <c r="H185" i="3"/>
  <c r="G185" i="3"/>
  <c r="F185" i="3"/>
  <c r="E185" i="3"/>
  <c r="U184" i="3"/>
  <c r="R184" i="3"/>
  <c r="Q184" i="3"/>
  <c r="P184" i="3"/>
  <c r="H184" i="3"/>
  <c r="G184" i="3"/>
  <c r="F184" i="3"/>
  <c r="E184" i="3"/>
  <c r="U183" i="3"/>
  <c r="R183" i="3"/>
  <c r="Q183" i="3"/>
  <c r="P183" i="3"/>
  <c r="H183" i="3"/>
  <c r="G183" i="3"/>
  <c r="F183" i="3"/>
  <c r="E183" i="3"/>
  <c r="U182" i="3"/>
  <c r="R182" i="3"/>
  <c r="Q182" i="3"/>
  <c r="P182" i="3"/>
  <c r="H182" i="3"/>
  <c r="G182" i="3"/>
  <c r="F182" i="3"/>
  <c r="E182" i="3"/>
  <c r="U181" i="3"/>
  <c r="R181" i="3"/>
  <c r="Q181" i="3"/>
  <c r="P181" i="3"/>
  <c r="H181" i="3"/>
  <c r="G181" i="3"/>
  <c r="F181" i="3"/>
  <c r="E181" i="3"/>
  <c r="U180" i="3"/>
  <c r="R180" i="3"/>
  <c r="Q180" i="3"/>
  <c r="P180" i="3"/>
  <c r="H180" i="3"/>
  <c r="G180" i="3"/>
  <c r="F180" i="3"/>
  <c r="E180" i="3"/>
  <c r="U179" i="3"/>
  <c r="R179" i="3"/>
  <c r="Q179" i="3"/>
  <c r="P179" i="3"/>
  <c r="H179" i="3"/>
  <c r="G179" i="3"/>
  <c r="F179" i="3"/>
  <c r="E179" i="3"/>
  <c r="U178" i="3"/>
  <c r="R178" i="3"/>
  <c r="Q178" i="3"/>
  <c r="P178" i="3"/>
  <c r="H178" i="3"/>
  <c r="G178" i="3"/>
  <c r="F178" i="3"/>
  <c r="E178" i="3"/>
  <c r="U177" i="3"/>
  <c r="R177" i="3"/>
  <c r="Q177" i="3"/>
  <c r="P177" i="3"/>
  <c r="H177" i="3"/>
  <c r="G177" i="3"/>
  <c r="F177" i="3"/>
  <c r="E177" i="3"/>
  <c r="U176" i="3"/>
  <c r="R176" i="3"/>
  <c r="Q176" i="3"/>
  <c r="P176" i="3"/>
  <c r="H176" i="3"/>
  <c r="G176" i="3"/>
  <c r="F176" i="3"/>
  <c r="E176" i="3"/>
  <c r="U175" i="3"/>
  <c r="R175" i="3"/>
  <c r="Q175" i="3"/>
  <c r="P175" i="3"/>
  <c r="H175" i="3"/>
  <c r="G175" i="3"/>
  <c r="F175" i="3"/>
  <c r="E175" i="3"/>
  <c r="U174" i="3"/>
  <c r="R174" i="3"/>
  <c r="Q174" i="3"/>
  <c r="P174" i="3"/>
  <c r="H174" i="3"/>
  <c r="G174" i="3"/>
  <c r="F174" i="3"/>
  <c r="E174" i="3"/>
  <c r="U173" i="3"/>
  <c r="R173" i="3"/>
  <c r="Q173" i="3"/>
  <c r="P173" i="3"/>
  <c r="H173" i="3"/>
  <c r="G173" i="3"/>
  <c r="F173" i="3"/>
  <c r="E173" i="3"/>
  <c r="U172" i="3"/>
  <c r="R172" i="3"/>
  <c r="Q172" i="3"/>
  <c r="P172" i="3"/>
  <c r="H172" i="3"/>
  <c r="G172" i="3"/>
  <c r="F172" i="3"/>
  <c r="E172" i="3"/>
  <c r="U171" i="3"/>
  <c r="R171" i="3"/>
  <c r="Q171" i="3"/>
  <c r="P171" i="3"/>
  <c r="H171" i="3"/>
  <c r="G171" i="3"/>
  <c r="F171" i="3"/>
  <c r="E171" i="3"/>
  <c r="U170" i="3"/>
  <c r="R170" i="3"/>
  <c r="Q170" i="3"/>
  <c r="P170" i="3"/>
  <c r="H170" i="3"/>
  <c r="G170" i="3"/>
  <c r="F170" i="3"/>
  <c r="E170" i="3"/>
  <c r="U169" i="3"/>
  <c r="R169" i="3"/>
  <c r="Q169" i="3"/>
  <c r="P169" i="3"/>
  <c r="H169" i="3"/>
  <c r="G169" i="3"/>
  <c r="F169" i="3"/>
  <c r="E169" i="3"/>
  <c r="U168" i="3"/>
  <c r="R168" i="3"/>
  <c r="Q168" i="3"/>
  <c r="P168" i="3"/>
  <c r="H168" i="3"/>
  <c r="G168" i="3"/>
  <c r="F168" i="3"/>
  <c r="E168" i="3"/>
  <c r="U167" i="3"/>
  <c r="R167" i="3"/>
  <c r="Q167" i="3"/>
  <c r="P167" i="3"/>
  <c r="H167" i="3"/>
  <c r="G167" i="3"/>
  <c r="F167" i="3"/>
  <c r="E167" i="3"/>
  <c r="U166" i="3"/>
  <c r="R166" i="3"/>
  <c r="Q166" i="3"/>
  <c r="P166" i="3"/>
  <c r="H166" i="3"/>
  <c r="G166" i="3"/>
  <c r="F166" i="3"/>
  <c r="E166" i="3"/>
  <c r="U165" i="3"/>
  <c r="R165" i="3"/>
  <c r="Q165" i="3"/>
  <c r="P165" i="3"/>
  <c r="H165" i="3"/>
  <c r="G165" i="3"/>
  <c r="F165" i="3"/>
  <c r="E165" i="3"/>
  <c r="U164" i="3"/>
  <c r="R164" i="3"/>
  <c r="Q164" i="3"/>
  <c r="P164" i="3"/>
  <c r="H164" i="3"/>
  <c r="G164" i="3"/>
  <c r="F164" i="3"/>
  <c r="E164" i="3"/>
  <c r="U163" i="3"/>
  <c r="R163" i="3"/>
  <c r="Q163" i="3"/>
  <c r="P163" i="3"/>
  <c r="H163" i="3"/>
  <c r="G163" i="3"/>
  <c r="F163" i="3"/>
  <c r="E163" i="3"/>
  <c r="U162" i="3"/>
  <c r="R162" i="3"/>
  <c r="Q162" i="3"/>
  <c r="P162" i="3"/>
  <c r="H162" i="3"/>
  <c r="G162" i="3"/>
  <c r="F162" i="3"/>
  <c r="E162" i="3"/>
  <c r="U161" i="3"/>
  <c r="R161" i="3"/>
  <c r="Q161" i="3"/>
  <c r="P161" i="3"/>
  <c r="H161" i="3"/>
  <c r="G161" i="3"/>
  <c r="F161" i="3"/>
  <c r="E161" i="3"/>
  <c r="U160" i="3"/>
  <c r="R160" i="3"/>
  <c r="Q160" i="3"/>
  <c r="P160" i="3"/>
  <c r="H160" i="3"/>
  <c r="G160" i="3"/>
  <c r="F160" i="3"/>
  <c r="E160" i="3"/>
  <c r="U159" i="3"/>
  <c r="R159" i="3"/>
  <c r="Q159" i="3"/>
  <c r="P159" i="3"/>
  <c r="H159" i="3"/>
  <c r="G159" i="3"/>
  <c r="F159" i="3"/>
  <c r="E159" i="3"/>
  <c r="U158" i="3"/>
  <c r="R158" i="3"/>
  <c r="Q158" i="3"/>
  <c r="P158" i="3"/>
  <c r="H158" i="3"/>
  <c r="G158" i="3"/>
  <c r="F158" i="3"/>
  <c r="E158" i="3"/>
  <c r="U157" i="3"/>
  <c r="R157" i="3"/>
  <c r="Q157" i="3"/>
  <c r="P157" i="3"/>
  <c r="H157" i="3"/>
  <c r="G157" i="3"/>
  <c r="F157" i="3"/>
  <c r="E157" i="3"/>
  <c r="U156" i="3"/>
  <c r="R156" i="3"/>
  <c r="Q156" i="3"/>
  <c r="P156" i="3"/>
  <c r="H156" i="3"/>
  <c r="G156" i="3"/>
  <c r="F156" i="3"/>
  <c r="E156" i="3"/>
  <c r="U155" i="3"/>
  <c r="R155" i="3"/>
  <c r="Q155" i="3"/>
  <c r="P155" i="3"/>
  <c r="H155" i="3"/>
  <c r="G155" i="3"/>
  <c r="F155" i="3"/>
  <c r="E155" i="3"/>
  <c r="U154" i="3"/>
  <c r="R154" i="3"/>
  <c r="Q154" i="3"/>
  <c r="P154" i="3"/>
  <c r="H154" i="3"/>
  <c r="G154" i="3"/>
  <c r="F154" i="3"/>
  <c r="E154" i="3"/>
  <c r="U153" i="3"/>
  <c r="R153" i="3"/>
  <c r="Q153" i="3"/>
  <c r="P153" i="3"/>
  <c r="H153" i="3"/>
  <c r="G153" i="3"/>
  <c r="F153" i="3"/>
  <c r="E153" i="3"/>
  <c r="U152" i="3"/>
  <c r="R152" i="3"/>
  <c r="Q152" i="3"/>
  <c r="P152" i="3"/>
  <c r="H152" i="3"/>
  <c r="G152" i="3"/>
  <c r="F152" i="3"/>
  <c r="E152" i="3"/>
  <c r="U151" i="3"/>
  <c r="R151" i="3"/>
  <c r="Q151" i="3"/>
  <c r="P151" i="3"/>
  <c r="H151" i="3"/>
  <c r="G151" i="3"/>
  <c r="F151" i="3"/>
  <c r="E151" i="3"/>
  <c r="U150" i="3"/>
  <c r="R150" i="3"/>
  <c r="Q150" i="3"/>
  <c r="P150" i="3"/>
  <c r="H150" i="3"/>
  <c r="G150" i="3"/>
  <c r="F150" i="3"/>
  <c r="E150" i="3"/>
  <c r="U149" i="3"/>
  <c r="R149" i="3"/>
  <c r="Q149" i="3"/>
  <c r="P149" i="3"/>
  <c r="H149" i="3"/>
  <c r="G149" i="3"/>
  <c r="F149" i="3"/>
  <c r="E149" i="3"/>
  <c r="U148" i="3"/>
  <c r="R148" i="3"/>
  <c r="Q148" i="3"/>
  <c r="P148" i="3"/>
  <c r="H148" i="3"/>
  <c r="G148" i="3"/>
  <c r="F148" i="3"/>
  <c r="E148" i="3"/>
  <c r="U147" i="3"/>
  <c r="R147" i="3"/>
  <c r="Q147" i="3"/>
  <c r="P147" i="3"/>
  <c r="H147" i="3"/>
  <c r="G147" i="3"/>
  <c r="F147" i="3"/>
  <c r="E147" i="3"/>
  <c r="U146" i="3"/>
  <c r="R146" i="3"/>
  <c r="Q146" i="3"/>
  <c r="P146" i="3"/>
  <c r="H146" i="3"/>
  <c r="G146" i="3"/>
  <c r="F146" i="3"/>
  <c r="E146" i="3"/>
  <c r="U145" i="3"/>
  <c r="R145" i="3"/>
  <c r="Q145" i="3"/>
  <c r="P145" i="3"/>
  <c r="H145" i="3"/>
  <c r="G145" i="3"/>
  <c r="F145" i="3"/>
  <c r="E145" i="3"/>
  <c r="U144" i="3"/>
  <c r="R144" i="3"/>
  <c r="Q144" i="3"/>
  <c r="P144" i="3"/>
  <c r="H144" i="3"/>
  <c r="G144" i="3"/>
  <c r="F144" i="3"/>
  <c r="E144" i="3"/>
  <c r="U143" i="3"/>
  <c r="R143" i="3"/>
  <c r="Q143" i="3"/>
  <c r="P143" i="3"/>
  <c r="H143" i="3"/>
  <c r="G143" i="3"/>
  <c r="F143" i="3"/>
  <c r="E143" i="3"/>
  <c r="U142" i="3"/>
  <c r="R142" i="3"/>
  <c r="Q142" i="3"/>
  <c r="P142" i="3"/>
  <c r="H142" i="3"/>
  <c r="G142" i="3"/>
  <c r="F142" i="3"/>
  <c r="E142" i="3"/>
  <c r="U141" i="3"/>
  <c r="R141" i="3"/>
  <c r="Q141" i="3"/>
  <c r="P141" i="3"/>
  <c r="H141" i="3"/>
  <c r="G141" i="3"/>
  <c r="F141" i="3"/>
  <c r="E141" i="3"/>
  <c r="U140" i="3"/>
  <c r="R140" i="3"/>
  <c r="Q140" i="3"/>
  <c r="P140" i="3"/>
  <c r="H140" i="3"/>
  <c r="G140" i="3"/>
  <c r="F140" i="3"/>
  <c r="E140" i="3"/>
  <c r="U139" i="3"/>
  <c r="R139" i="3"/>
  <c r="Q139" i="3"/>
  <c r="P139" i="3"/>
  <c r="H139" i="3"/>
  <c r="G139" i="3"/>
  <c r="F139" i="3"/>
  <c r="E139" i="3"/>
  <c r="U138" i="3"/>
  <c r="R138" i="3"/>
  <c r="Q138" i="3"/>
  <c r="P138" i="3"/>
  <c r="H138" i="3"/>
  <c r="G138" i="3"/>
  <c r="F138" i="3"/>
  <c r="E138" i="3"/>
  <c r="U137" i="3"/>
  <c r="R137" i="3"/>
  <c r="Q137" i="3"/>
  <c r="P137" i="3"/>
  <c r="H137" i="3"/>
  <c r="G137" i="3"/>
  <c r="F137" i="3"/>
  <c r="E137" i="3"/>
  <c r="U136" i="3"/>
  <c r="R136" i="3"/>
  <c r="Q136" i="3"/>
  <c r="P136" i="3"/>
  <c r="H136" i="3"/>
  <c r="G136" i="3"/>
  <c r="F136" i="3"/>
  <c r="E136" i="3"/>
  <c r="U135" i="3"/>
  <c r="R135" i="3"/>
  <c r="Q135" i="3"/>
  <c r="P135" i="3"/>
  <c r="H135" i="3"/>
  <c r="G135" i="3"/>
  <c r="F135" i="3"/>
  <c r="E135" i="3"/>
  <c r="U134" i="3"/>
  <c r="R134" i="3"/>
  <c r="Q134" i="3"/>
  <c r="P134" i="3"/>
  <c r="H134" i="3"/>
  <c r="G134" i="3"/>
  <c r="F134" i="3"/>
  <c r="E134" i="3"/>
  <c r="U133" i="3"/>
  <c r="R133" i="3"/>
  <c r="Q133" i="3"/>
  <c r="P133" i="3"/>
  <c r="H133" i="3"/>
  <c r="G133" i="3"/>
  <c r="F133" i="3"/>
  <c r="E133" i="3"/>
  <c r="U132" i="3"/>
  <c r="R132" i="3"/>
  <c r="Q132" i="3"/>
  <c r="P132" i="3"/>
  <c r="H132" i="3"/>
  <c r="G132" i="3"/>
  <c r="F132" i="3"/>
  <c r="E132" i="3"/>
  <c r="U131" i="3"/>
  <c r="R131" i="3"/>
  <c r="Q131" i="3"/>
  <c r="P131" i="3"/>
  <c r="H131" i="3"/>
  <c r="G131" i="3"/>
  <c r="F131" i="3"/>
  <c r="E131" i="3"/>
  <c r="U130" i="3"/>
  <c r="R130" i="3"/>
  <c r="Q130" i="3"/>
  <c r="P130" i="3"/>
  <c r="H130" i="3"/>
  <c r="G130" i="3"/>
  <c r="F130" i="3"/>
  <c r="E130" i="3"/>
  <c r="U129" i="3"/>
  <c r="R129" i="3"/>
  <c r="Q129" i="3"/>
  <c r="P129" i="3"/>
  <c r="H129" i="3"/>
  <c r="G129" i="3"/>
  <c r="F129" i="3"/>
  <c r="E129" i="3"/>
  <c r="U128" i="3"/>
  <c r="R128" i="3"/>
  <c r="Q128" i="3"/>
  <c r="P128" i="3"/>
  <c r="H128" i="3"/>
  <c r="G128" i="3"/>
  <c r="F128" i="3"/>
  <c r="E128" i="3"/>
  <c r="U127" i="3"/>
  <c r="R127" i="3"/>
  <c r="Q127" i="3"/>
  <c r="P127" i="3"/>
  <c r="H127" i="3"/>
  <c r="G127" i="3"/>
  <c r="F127" i="3"/>
  <c r="E127" i="3"/>
  <c r="U126" i="3"/>
  <c r="R126" i="3"/>
  <c r="Q126" i="3"/>
  <c r="P126" i="3"/>
  <c r="H126" i="3"/>
  <c r="G126" i="3"/>
  <c r="F126" i="3"/>
  <c r="E126" i="3"/>
  <c r="U125" i="3"/>
  <c r="R125" i="3"/>
  <c r="Q125" i="3"/>
  <c r="P125" i="3"/>
  <c r="H125" i="3"/>
  <c r="G125" i="3"/>
  <c r="F125" i="3"/>
  <c r="E125" i="3"/>
  <c r="U124" i="3"/>
  <c r="R124" i="3"/>
  <c r="Q124" i="3"/>
  <c r="P124" i="3"/>
  <c r="H124" i="3"/>
  <c r="G124" i="3"/>
  <c r="F124" i="3"/>
  <c r="E124" i="3"/>
  <c r="U123" i="3"/>
  <c r="R123" i="3"/>
  <c r="Q123" i="3"/>
  <c r="P123" i="3"/>
  <c r="H123" i="3"/>
  <c r="G123" i="3"/>
  <c r="F123" i="3"/>
  <c r="E123" i="3"/>
  <c r="U122" i="3"/>
  <c r="R122" i="3"/>
  <c r="Q122" i="3"/>
  <c r="P122" i="3"/>
  <c r="H122" i="3"/>
  <c r="G122" i="3"/>
  <c r="F122" i="3"/>
  <c r="E122" i="3"/>
  <c r="U121" i="3"/>
  <c r="R121" i="3"/>
  <c r="Q121" i="3"/>
  <c r="P121" i="3"/>
  <c r="H121" i="3"/>
  <c r="G121" i="3"/>
  <c r="F121" i="3"/>
  <c r="E121" i="3"/>
  <c r="U120" i="3"/>
  <c r="R120" i="3"/>
  <c r="Q120" i="3"/>
  <c r="P120" i="3"/>
  <c r="H120" i="3"/>
  <c r="G120" i="3"/>
  <c r="F120" i="3"/>
  <c r="E120" i="3"/>
  <c r="U119" i="3"/>
  <c r="R119" i="3"/>
  <c r="Q119" i="3"/>
  <c r="P119" i="3"/>
  <c r="H119" i="3"/>
  <c r="G119" i="3"/>
  <c r="F119" i="3"/>
  <c r="E119" i="3"/>
  <c r="U118" i="3"/>
  <c r="R118" i="3"/>
  <c r="Q118" i="3"/>
  <c r="P118" i="3"/>
  <c r="H118" i="3"/>
  <c r="G118" i="3"/>
  <c r="F118" i="3"/>
  <c r="E118" i="3"/>
  <c r="U117" i="3"/>
  <c r="R117" i="3"/>
  <c r="Q117" i="3"/>
  <c r="P117" i="3"/>
  <c r="H117" i="3"/>
  <c r="G117" i="3"/>
  <c r="F117" i="3"/>
  <c r="E117" i="3"/>
  <c r="U116" i="3"/>
  <c r="R116" i="3"/>
  <c r="Q116" i="3"/>
  <c r="P116" i="3"/>
  <c r="H116" i="3"/>
  <c r="G116" i="3"/>
  <c r="F116" i="3"/>
  <c r="E116" i="3"/>
  <c r="U115" i="3"/>
  <c r="R115" i="3"/>
  <c r="Q115" i="3"/>
  <c r="P115" i="3"/>
  <c r="H115" i="3"/>
  <c r="G115" i="3"/>
  <c r="F115" i="3"/>
  <c r="E115" i="3"/>
  <c r="U114" i="3"/>
  <c r="R114" i="3"/>
  <c r="Q114" i="3"/>
  <c r="P114" i="3"/>
  <c r="H114" i="3"/>
  <c r="G114" i="3"/>
  <c r="F114" i="3"/>
  <c r="E114" i="3"/>
  <c r="U113" i="3"/>
  <c r="R113" i="3"/>
  <c r="Q113" i="3"/>
  <c r="P113" i="3"/>
  <c r="H113" i="3"/>
  <c r="G113" i="3"/>
  <c r="F113" i="3"/>
  <c r="E113" i="3"/>
  <c r="U112" i="3"/>
  <c r="R112" i="3"/>
  <c r="Q112" i="3"/>
  <c r="P112" i="3"/>
  <c r="H112" i="3"/>
  <c r="G112" i="3"/>
  <c r="F112" i="3"/>
  <c r="E112" i="3"/>
  <c r="U111" i="3"/>
  <c r="R111" i="3"/>
  <c r="Q111" i="3"/>
  <c r="P111" i="3"/>
  <c r="H111" i="3"/>
  <c r="G111" i="3"/>
  <c r="F111" i="3"/>
  <c r="E111" i="3"/>
  <c r="U110" i="3"/>
  <c r="R110" i="3"/>
  <c r="Q110" i="3"/>
  <c r="P110" i="3"/>
  <c r="H110" i="3"/>
  <c r="G110" i="3"/>
  <c r="F110" i="3"/>
  <c r="E110" i="3"/>
  <c r="U109" i="3"/>
  <c r="R109" i="3"/>
  <c r="Q109" i="3"/>
  <c r="P109" i="3"/>
  <c r="H109" i="3"/>
  <c r="G109" i="3"/>
  <c r="F109" i="3"/>
  <c r="E109" i="3"/>
  <c r="U108" i="3"/>
  <c r="R108" i="3"/>
  <c r="Q108" i="3"/>
  <c r="P108" i="3"/>
  <c r="H108" i="3"/>
  <c r="G108" i="3"/>
  <c r="F108" i="3"/>
  <c r="E108" i="3"/>
  <c r="U107" i="3"/>
  <c r="R107" i="3"/>
  <c r="Q107" i="3"/>
  <c r="P107" i="3"/>
  <c r="H107" i="3"/>
  <c r="G107" i="3"/>
  <c r="F107" i="3"/>
  <c r="E107" i="3"/>
  <c r="U106" i="3"/>
  <c r="T106" i="3"/>
  <c r="R106" i="3"/>
  <c r="Q106" i="3"/>
  <c r="P106" i="3"/>
  <c r="H106" i="3"/>
  <c r="G106" i="3"/>
  <c r="F106" i="3"/>
  <c r="E106" i="3"/>
  <c r="L106" i="3" s="1"/>
  <c r="U105" i="3"/>
  <c r="R105" i="3"/>
  <c r="Q105" i="3"/>
  <c r="P105" i="3"/>
  <c r="H105" i="3"/>
  <c r="G105" i="3"/>
  <c r="F105" i="3"/>
  <c r="E105" i="3"/>
  <c r="U104" i="3"/>
  <c r="R104" i="3"/>
  <c r="Q104" i="3"/>
  <c r="P104" i="3"/>
  <c r="H104" i="3"/>
  <c r="G104" i="3"/>
  <c r="F104" i="3"/>
  <c r="E104" i="3"/>
  <c r="U103" i="3"/>
  <c r="R103" i="3"/>
  <c r="Q103" i="3"/>
  <c r="P103" i="3"/>
  <c r="H103" i="3"/>
  <c r="G103" i="3"/>
  <c r="F103" i="3"/>
  <c r="E103" i="3"/>
  <c r="U102" i="3"/>
  <c r="R102" i="3"/>
  <c r="Q102" i="3"/>
  <c r="P102" i="3"/>
  <c r="H102" i="3"/>
  <c r="G102" i="3"/>
  <c r="F102" i="3"/>
  <c r="E102" i="3"/>
  <c r="U101" i="3"/>
  <c r="R101" i="3"/>
  <c r="Q101" i="3"/>
  <c r="P101" i="3"/>
  <c r="H101" i="3"/>
  <c r="G101" i="3"/>
  <c r="F101" i="3"/>
  <c r="E101" i="3"/>
  <c r="U100" i="3"/>
  <c r="R100" i="3"/>
  <c r="Q100" i="3"/>
  <c r="P100" i="3"/>
  <c r="H100" i="3"/>
  <c r="G100" i="3"/>
  <c r="F100" i="3"/>
  <c r="E100" i="3"/>
  <c r="U99" i="3"/>
  <c r="R99" i="3"/>
  <c r="Q99" i="3"/>
  <c r="P99" i="3"/>
  <c r="H99" i="3"/>
  <c r="G99" i="3"/>
  <c r="F99" i="3"/>
  <c r="E99" i="3"/>
  <c r="U98" i="3"/>
  <c r="R98" i="3"/>
  <c r="Q98" i="3"/>
  <c r="P98" i="3"/>
  <c r="H98" i="3"/>
  <c r="G98" i="3"/>
  <c r="F98" i="3"/>
  <c r="E98" i="3"/>
  <c r="U97" i="3"/>
  <c r="R97" i="3"/>
  <c r="Q97" i="3"/>
  <c r="P97" i="3"/>
  <c r="H97" i="3"/>
  <c r="G97" i="3"/>
  <c r="F97" i="3"/>
  <c r="E97" i="3"/>
  <c r="U96" i="3"/>
  <c r="R96" i="3"/>
  <c r="Q96" i="3"/>
  <c r="P96" i="3"/>
  <c r="H96" i="3"/>
  <c r="G96" i="3"/>
  <c r="F96" i="3"/>
  <c r="E96" i="3"/>
  <c r="U95" i="3"/>
  <c r="R95" i="3"/>
  <c r="Q95" i="3"/>
  <c r="P95" i="3"/>
  <c r="H95" i="3"/>
  <c r="G95" i="3"/>
  <c r="F95" i="3"/>
  <c r="E95" i="3"/>
  <c r="U94" i="3"/>
  <c r="R94" i="3"/>
  <c r="Q94" i="3"/>
  <c r="P94" i="3"/>
  <c r="H94" i="3"/>
  <c r="G94" i="3"/>
  <c r="F94" i="3"/>
  <c r="E94" i="3"/>
  <c r="U93" i="3"/>
  <c r="R93" i="3"/>
  <c r="Q93" i="3"/>
  <c r="P93" i="3"/>
  <c r="H93" i="3"/>
  <c r="G93" i="3"/>
  <c r="F93" i="3"/>
  <c r="E93" i="3"/>
  <c r="U92" i="3"/>
  <c r="R92" i="3"/>
  <c r="Q92" i="3"/>
  <c r="P92" i="3"/>
  <c r="H92" i="3"/>
  <c r="G92" i="3"/>
  <c r="F92" i="3"/>
  <c r="E92" i="3"/>
  <c r="U91" i="3"/>
  <c r="R91" i="3"/>
  <c r="Q91" i="3"/>
  <c r="P91" i="3"/>
  <c r="H91" i="3"/>
  <c r="G91" i="3"/>
  <c r="F91" i="3"/>
  <c r="E91" i="3"/>
  <c r="U90" i="3"/>
  <c r="R90" i="3"/>
  <c r="Q90" i="3"/>
  <c r="P90" i="3"/>
  <c r="H90" i="3"/>
  <c r="G90" i="3"/>
  <c r="F90" i="3"/>
  <c r="E90" i="3"/>
  <c r="U89" i="3"/>
  <c r="R89" i="3"/>
  <c r="Q89" i="3"/>
  <c r="P89" i="3"/>
  <c r="H89" i="3"/>
  <c r="G89" i="3"/>
  <c r="F89" i="3"/>
  <c r="E89" i="3"/>
  <c r="U88" i="3"/>
  <c r="R88" i="3"/>
  <c r="Q88" i="3"/>
  <c r="P88" i="3"/>
  <c r="H88" i="3"/>
  <c r="G88" i="3"/>
  <c r="F88" i="3"/>
  <c r="E88" i="3"/>
  <c r="U87" i="3"/>
  <c r="R87" i="3"/>
  <c r="Q87" i="3"/>
  <c r="P87" i="3"/>
  <c r="H87" i="3"/>
  <c r="G87" i="3"/>
  <c r="F87" i="3"/>
  <c r="E87" i="3"/>
  <c r="U86" i="3"/>
  <c r="R86" i="3"/>
  <c r="Q86" i="3"/>
  <c r="P86" i="3"/>
  <c r="H86" i="3"/>
  <c r="G86" i="3"/>
  <c r="F86" i="3"/>
  <c r="E86" i="3"/>
  <c r="U85" i="3"/>
  <c r="R85" i="3"/>
  <c r="Q85" i="3"/>
  <c r="P85" i="3"/>
  <c r="H85" i="3"/>
  <c r="G85" i="3"/>
  <c r="F85" i="3"/>
  <c r="E85" i="3"/>
  <c r="U84" i="3"/>
  <c r="R84" i="3"/>
  <c r="Q84" i="3"/>
  <c r="P84" i="3"/>
  <c r="H84" i="3"/>
  <c r="G84" i="3"/>
  <c r="F84" i="3"/>
  <c r="E84" i="3"/>
  <c r="U83" i="3"/>
  <c r="R83" i="3"/>
  <c r="Q83" i="3"/>
  <c r="P83" i="3"/>
  <c r="H83" i="3"/>
  <c r="G83" i="3"/>
  <c r="F83" i="3"/>
  <c r="E83" i="3"/>
  <c r="U82" i="3"/>
  <c r="R82" i="3"/>
  <c r="Q82" i="3"/>
  <c r="P82" i="3"/>
  <c r="H82" i="3"/>
  <c r="G82" i="3"/>
  <c r="F82" i="3"/>
  <c r="E82" i="3"/>
  <c r="U81" i="3"/>
  <c r="R81" i="3"/>
  <c r="Q81" i="3"/>
  <c r="P81" i="3"/>
  <c r="H81" i="3"/>
  <c r="G81" i="3"/>
  <c r="F81" i="3"/>
  <c r="E81" i="3"/>
  <c r="U80" i="3"/>
  <c r="R80" i="3"/>
  <c r="Q80" i="3"/>
  <c r="P80" i="3"/>
  <c r="H80" i="3"/>
  <c r="G80" i="3"/>
  <c r="F80" i="3"/>
  <c r="E80" i="3"/>
  <c r="U79" i="3"/>
  <c r="R79" i="3"/>
  <c r="Q79" i="3"/>
  <c r="P79" i="3"/>
  <c r="H79" i="3"/>
  <c r="G79" i="3"/>
  <c r="F79" i="3"/>
  <c r="E79" i="3"/>
  <c r="U78" i="3"/>
  <c r="R78" i="3"/>
  <c r="Q78" i="3"/>
  <c r="P78" i="3"/>
  <c r="H78" i="3"/>
  <c r="G78" i="3"/>
  <c r="F78" i="3"/>
  <c r="E78" i="3"/>
  <c r="U77" i="3"/>
  <c r="R77" i="3"/>
  <c r="Q77" i="3"/>
  <c r="P77" i="3"/>
  <c r="H77" i="3"/>
  <c r="G77" i="3"/>
  <c r="F77" i="3"/>
  <c r="E77" i="3"/>
  <c r="U76" i="3"/>
  <c r="R76" i="3"/>
  <c r="Q76" i="3"/>
  <c r="P76" i="3"/>
  <c r="H76" i="3"/>
  <c r="G76" i="3"/>
  <c r="F76" i="3"/>
  <c r="E76" i="3"/>
  <c r="U75" i="3"/>
  <c r="R75" i="3"/>
  <c r="Q75" i="3"/>
  <c r="P75" i="3"/>
  <c r="H75" i="3"/>
  <c r="G75" i="3"/>
  <c r="F75" i="3"/>
  <c r="E75" i="3"/>
  <c r="U74" i="3"/>
  <c r="R74" i="3"/>
  <c r="Q74" i="3"/>
  <c r="P74" i="3"/>
  <c r="H74" i="3"/>
  <c r="G74" i="3"/>
  <c r="F74" i="3"/>
  <c r="E74" i="3"/>
  <c r="U73" i="3"/>
  <c r="R73" i="3"/>
  <c r="Q73" i="3"/>
  <c r="P73" i="3"/>
  <c r="H73" i="3"/>
  <c r="G73" i="3"/>
  <c r="F73" i="3"/>
  <c r="E73" i="3"/>
  <c r="U72" i="3"/>
  <c r="R72" i="3"/>
  <c r="Q72" i="3"/>
  <c r="P72" i="3"/>
  <c r="H72" i="3"/>
  <c r="G72" i="3"/>
  <c r="F72" i="3"/>
  <c r="E72" i="3"/>
  <c r="U71" i="3"/>
  <c r="R71" i="3"/>
  <c r="Q71" i="3"/>
  <c r="P71" i="3"/>
  <c r="H71" i="3"/>
  <c r="G71" i="3"/>
  <c r="F71" i="3"/>
  <c r="E71" i="3"/>
  <c r="U70" i="3"/>
  <c r="R70" i="3"/>
  <c r="Q70" i="3"/>
  <c r="P70" i="3"/>
  <c r="H70" i="3"/>
  <c r="G70" i="3"/>
  <c r="F70" i="3"/>
  <c r="E70" i="3"/>
  <c r="U69" i="3"/>
  <c r="R69" i="3"/>
  <c r="Q69" i="3"/>
  <c r="P69" i="3"/>
  <c r="H69" i="3"/>
  <c r="G69" i="3"/>
  <c r="F69" i="3"/>
  <c r="E69" i="3"/>
  <c r="U68" i="3"/>
  <c r="R68" i="3"/>
  <c r="Q68" i="3"/>
  <c r="P68" i="3"/>
  <c r="H68" i="3"/>
  <c r="G68" i="3"/>
  <c r="F68" i="3"/>
  <c r="E68" i="3"/>
  <c r="U67" i="3"/>
  <c r="R67" i="3"/>
  <c r="Q67" i="3"/>
  <c r="P67" i="3"/>
  <c r="H67" i="3"/>
  <c r="G67" i="3"/>
  <c r="F67" i="3"/>
  <c r="E67" i="3"/>
  <c r="U66" i="3"/>
  <c r="R66" i="3"/>
  <c r="Q66" i="3"/>
  <c r="P66" i="3"/>
  <c r="H66" i="3"/>
  <c r="G66" i="3"/>
  <c r="F66" i="3"/>
  <c r="E66" i="3"/>
  <c r="U65" i="3"/>
  <c r="R65" i="3"/>
  <c r="Q65" i="3"/>
  <c r="P65" i="3"/>
  <c r="H65" i="3"/>
  <c r="G65" i="3"/>
  <c r="F65" i="3"/>
  <c r="E65" i="3"/>
  <c r="U64" i="3"/>
  <c r="R64" i="3"/>
  <c r="Q64" i="3"/>
  <c r="P64" i="3"/>
  <c r="H64" i="3"/>
  <c r="G64" i="3"/>
  <c r="F64" i="3"/>
  <c r="E64" i="3"/>
  <c r="U63" i="3"/>
  <c r="R63" i="3"/>
  <c r="Q63" i="3"/>
  <c r="P63" i="3"/>
  <c r="H63" i="3"/>
  <c r="G63" i="3"/>
  <c r="F63" i="3"/>
  <c r="E63" i="3"/>
  <c r="U62" i="3"/>
  <c r="R62" i="3"/>
  <c r="Q62" i="3"/>
  <c r="P62" i="3"/>
  <c r="H62" i="3"/>
  <c r="G62" i="3"/>
  <c r="F62" i="3"/>
  <c r="E62" i="3"/>
  <c r="U61" i="3"/>
  <c r="R61" i="3"/>
  <c r="Q61" i="3"/>
  <c r="P61" i="3"/>
  <c r="H61" i="3"/>
  <c r="G61" i="3"/>
  <c r="F61" i="3"/>
  <c r="E61" i="3"/>
  <c r="U60" i="3"/>
  <c r="R60" i="3"/>
  <c r="Q60" i="3"/>
  <c r="P60" i="3"/>
  <c r="H60" i="3"/>
  <c r="G60" i="3"/>
  <c r="F60" i="3"/>
  <c r="E60" i="3"/>
  <c r="U59" i="3"/>
  <c r="R59" i="3"/>
  <c r="Q59" i="3"/>
  <c r="P59" i="3"/>
  <c r="H59" i="3"/>
  <c r="G59" i="3"/>
  <c r="F59" i="3"/>
  <c r="E59" i="3"/>
  <c r="U58" i="3"/>
  <c r="R58" i="3"/>
  <c r="Q58" i="3"/>
  <c r="P58" i="3"/>
  <c r="H58" i="3"/>
  <c r="G58" i="3"/>
  <c r="F58" i="3"/>
  <c r="E58" i="3"/>
  <c r="U57" i="3"/>
  <c r="R57" i="3"/>
  <c r="Q57" i="3"/>
  <c r="P57" i="3"/>
  <c r="H57" i="3"/>
  <c r="G57" i="3"/>
  <c r="F57" i="3"/>
  <c r="E57" i="3"/>
  <c r="U56" i="3"/>
  <c r="R56" i="3"/>
  <c r="Q56" i="3"/>
  <c r="P56" i="3"/>
  <c r="H56" i="3"/>
  <c r="G56" i="3"/>
  <c r="F56" i="3"/>
  <c r="E56" i="3"/>
  <c r="U55" i="3"/>
  <c r="R55" i="3"/>
  <c r="Q55" i="3"/>
  <c r="P55" i="3"/>
  <c r="H55" i="3"/>
  <c r="G55" i="3"/>
  <c r="F55" i="3"/>
  <c r="E55" i="3"/>
  <c r="U54" i="3"/>
  <c r="R54" i="3"/>
  <c r="Q54" i="3"/>
  <c r="P54" i="3"/>
  <c r="H54" i="3"/>
  <c r="G54" i="3"/>
  <c r="F54" i="3"/>
  <c r="E54" i="3"/>
  <c r="U53" i="3"/>
  <c r="R53" i="3"/>
  <c r="Q53" i="3"/>
  <c r="P53" i="3"/>
  <c r="H53" i="3"/>
  <c r="G53" i="3"/>
  <c r="F53" i="3"/>
  <c r="E53" i="3"/>
  <c r="U52" i="3"/>
  <c r="R52" i="3"/>
  <c r="Q52" i="3"/>
  <c r="P52" i="3"/>
  <c r="H52" i="3"/>
  <c r="G52" i="3"/>
  <c r="F52" i="3"/>
  <c r="E52" i="3"/>
  <c r="U51" i="3"/>
  <c r="R51" i="3"/>
  <c r="Q51" i="3"/>
  <c r="P51" i="3"/>
  <c r="H51" i="3"/>
  <c r="G51" i="3"/>
  <c r="F51" i="3"/>
  <c r="E51" i="3"/>
  <c r="U50" i="3"/>
  <c r="R50" i="3"/>
  <c r="Q50" i="3"/>
  <c r="P50" i="3"/>
  <c r="H50" i="3"/>
  <c r="G50" i="3"/>
  <c r="F50" i="3"/>
  <c r="E50" i="3"/>
  <c r="U49" i="3"/>
  <c r="R49" i="3"/>
  <c r="Q49" i="3"/>
  <c r="P49" i="3"/>
  <c r="H49" i="3"/>
  <c r="G49" i="3"/>
  <c r="F49" i="3"/>
  <c r="E49" i="3"/>
  <c r="U48" i="3"/>
  <c r="R48" i="3"/>
  <c r="Q48" i="3"/>
  <c r="P48" i="3"/>
  <c r="H48" i="3"/>
  <c r="G48" i="3"/>
  <c r="F48" i="3"/>
  <c r="E48" i="3"/>
  <c r="U47" i="3"/>
  <c r="R47" i="3"/>
  <c r="Q47" i="3"/>
  <c r="P47" i="3"/>
  <c r="H47" i="3"/>
  <c r="G47" i="3"/>
  <c r="F47" i="3"/>
  <c r="E47" i="3"/>
  <c r="U46" i="3"/>
  <c r="R46" i="3"/>
  <c r="Q46" i="3"/>
  <c r="P46" i="3"/>
  <c r="H46" i="3"/>
  <c r="G46" i="3"/>
  <c r="F46" i="3"/>
  <c r="E46" i="3"/>
  <c r="U45" i="3"/>
  <c r="R45" i="3"/>
  <c r="Q45" i="3"/>
  <c r="P45" i="3"/>
  <c r="H45" i="3"/>
  <c r="G45" i="3"/>
  <c r="F45" i="3"/>
  <c r="E45" i="3"/>
  <c r="U44" i="3"/>
  <c r="R44" i="3"/>
  <c r="Q44" i="3"/>
  <c r="P44" i="3"/>
  <c r="H44" i="3"/>
  <c r="G44" i="3"/>
  <c r="F44" i="3"/>
  <c r="E44" i="3"/>
  <c r="U43" i="3"/>
  <c r="R43" i="3"/>
  <c r="Q43" i="3"/>
  <c r="P43" i="3"/>
  <c r="H43" i="3"/>
  <c r="G43" i="3"/>
  <c r="F43" i="3"/>
  <c r="E43" i="3"/>
  <c r="U42" i="3"/>
  <c r="R42" i="3"/>
  <c r="Q42" i="3"/>
  <c r="P42" i="3"/>
  <c r="H42" i="3"/>
  <c r="G42" i="3"/>
  <c r="F42" i="3"/>
  <c r="E42" i="3"/>
  <c r="U41" i="3"/>
  <c r="R41" i="3"/>
  <c r="Q41" i="3"/>
  <c r="P41" i="3"/>
  <c r="H41" i="3"/>
  <c r="G41" i="3"/>
  <c r="F41" i="3"/>
  <c r="E41" i="3"/>
  <c r="U40" i="3"/>
  <c r="R40" i="3"/>
  <c r="Q40" i="3"/>
  <c r="P40" i="3"/>
  <c r="H40" i="3"/>
  <c r="G40" i="3"/>
  <c r="F40" i="3"/>
  <c r="E40" i="3"/>
  <c r="U39" i="3"/>
  <c r="R39" i="3"/>
  <c r="Q39" i="3"/>
  <c r="P39" i="3"/>
  <c r="H39" i="3"/>
  <c r="G39" i="3"/>
  <c r="F39" i="3"/>
  <c r="E39" i="3"/>
  <c r="U38" i="3"/>
  <c r="R38" i="3"/>
  <c r="Q38" i="3"/>
  <c r="P38" i="3"/>
  <c r="H38" i="3"/>
  <c r="G38" i="3"/>
  <c r="F38" i="3"/>
  <c r="E38" i="3"/>
  <c r="U37" i="3"/>
  <c r="R37" i="3"/>
  <c r="Q37" i="3"/>
  <c r="P37" i="3"/>
  <c r="H37" i="3"/>
  <c r="G37" i="3"/>
  <c r="F37" i="3"/>
  <c r="E37" i="3"/>
  <c r="U36" i="3"/>
  <c r="R36" i="3"/>
  <c r="Q36" i="3"/>
  <c r="P36" i="3"/>
  <c r="H36" i="3"/>
  <c r="G36" i="3"/>
  <c r="F36" i="3"/>
  <c r="E36" i="3"/>
  <c r="U35" i="3"/>
  <c r="R35" i="3"/>
  <c r="Q35" i="3"/>
  <c r="P35" i="3"/>
  <c r="H35" i="3"/>
  <c r="G35" i="3"/>
  <c r="F35" i="3"/>
  <c r="E35" i="3"/>
  <c r="U34" i="3"/>
  <c r="R34" i="3"/>
  <c r="Q34" i="3"/>
  <c r="P34" i="3"/>
  <c r="H34" i="3"/>
  <c r="G34" i="3"/>
  <c r="F34" i="3"/>
  <c r="E34" i="3"/>
  <c r="U33" i="3"/>
  <c r="R33" i="3"/>
  <c r="Q33" i="3"/>
  <c r="P33" i="3"/>
  <c r="H33" i="3"/>
  <c r="G33" i="3"/>
  <c r="F33" i="3"/>
  <c r="E33" i="3"/>
  <c r="U32" i="3"/>
  <c r="R32" i="3"/>
  <c r="Q32" i="3"/>
  <c r="P32" i="3"/>
  <c r="H32" i="3"/>
  <c r="G32" i="3"/>
  <c r="F32" i="3"/>
  <c r="E32" i="3"/>
  <c r="U31" i="3"/>
  <c r="R31" i="3"/>
  <c r="Q31" i="3"/>
  <c r="P31" i="3"/>
  <c r="H31" i="3"/>
  <c r="G31" i="3"/>
  <c r="F31" i="3"/>
  <c r="E31" i="3"/>
  <c r="U30" i="3"/>
  <c r="R30" i="3"/>
  <c r="Q30" i="3"/>
  <c r="P30" i="3"/>
  <c r="H30" i="3"/>
  <c r="G30" i="3"/>
  <c r="F30" i="3"/>
  <c r="E30" i="3"/>
  <c r="U29" i="3"/>
  <c r="R29" i="3"/>
  <c r="Q29" i="3"/>
  <c r="P29" i="3"/>
  <c r="H29" i="3"/>
  <c r="G29" i="3"/>
  <c r="F29" i="3"/>
  <c r="E29" i="3"/>
  <c r="U28" i="3"/>
  <c r="R28" i="3"/>
  <c r="Q28" i="3"/>
  <c r="P28" i="3"/>
  <c r="H28" i="3"/>
  <c r="G28" i="3"/>
  <c r="F28" i="3"/>
  <c r="E28" i="3"/>
  <c r="U27" i="3"/>
  <c r="R27" i="3"/>
  <c r="Q27" i="3"/>
  <c r="P27" i="3"/>
  <c r="H27" i="3"/>
  <c r="G27" i="3"/>
  <c r="F27" i="3"/>
  <c r="E27" i="3"/>
  <c r="U26" i="3"/>
  <c r="R26" i="3"/>
  <c r="Q26" i="3"/>
  <c r="P26" i="3"/>
  <c r="H26" i="3"/>
  <c r="G26" i="3"/>
  <c r="F26" i="3"/>
  <c r="E26" i="3"/>
  <c r="U25" i="3"/>
  <c r="R25" i="3"/>
  <c r="Q25" i="3"/>
  <c r="P25" i="3"/>
  <c r="H25" i="3"/>
  <c r="G25" i="3"/>
  <c r="F25" i="3"/>
  <c r="E25" i="3"/>
  <c r="U24" i="3"/>
  <c r="R24" i="3"/>
  <c r="Q24" i="3"/>
  <c r="P24" i="3"/>
  <c r="H24" i="3"/>
  <c r="G24" i="3"/>
  <c r="F24" i="3"/>
  <c r="E24" i="3"/>
  <c r="U23" i="3"/>
  <c r="R23" i="3"/>
  <c r="Q23" i="3"/>
  <c r="P23" i="3"/>
  <c r="H23" i="3"/>
  <c r="G23" i="3"/>
  <c r="F23" i="3"/>
  <c r="E23" i="3"/>
  <c r="U22" i="3"/>
  <c r="R22" i="3"/>
  <c r="Q22" i="3"/>
  <c r="P22" i="3"/>
  <c r="H22" i="3"/>
  <c r="G22" i="3"/>
  <c r="F22" i="3"/>
  <c r="E22" i="3"/>
  <c r="U21" i="3"/>
  <c r="R21" i="3"/>
  <c r="Q21" i="3"/>
  <c r="P21" i="3"/>
  <c r="H21" i="3"/>
  <c r="G21" i="3"/>
  <c r="F21" i="3"/>
  <c r="E21" i="3"/>
  <c r="U20" i="3"/>
  <c r="R20" i="3"/>
  <c r="Q20" i="3"/>
  <c r="P20" i="3"/>
  <c r="H20" i="3"/>
  <c r="G20" i="3"/>
  <c r="F20" i="3"/>
  <c r="E20" i="3"/>
  <c r="U19" i="3"/>
  <c r="R19" i="3"/>
  <c r="Q19" i="3"/>
  <c r="P19" i="3"/>
  <c r="H19" i="3"/>
  <c r="G19" i="3"/>
  <c r="F19" i="3"/>
  <c r="E19" i="3"/>
  <c r="U18" i="3"/>
  <c r="R18" i="3"/>
  <c r="Q18" i="3"/>
  <c r="P18" i="3"/>
  <c r="H18" i="3"/>
  <c r="G18" i="3"/>
  <c r="F18" i="3"/>
  <c r="E18" i="3"/>
  <c r="U17" i="3"/>
  <c r="R17" i="3"/>
  <c r="Q17" i="3"/>
  <c r="P17" i="3"/>
  <c r="H17" i="3"/>
  <c r="G17" i="3"/>
  <c r="F17" i="3"/>
  <c r="E17" i="3"/>
  <c r="U16" i="3"/>
  <c r="R16" i="3"/>
  <c r="Q16" i="3"/>
  <c r="P16" i="3"/>
  <c r="H16" i="3"/>
  <c r="G16" i="3"/>
  <c r="F16" i="3"/>
  <c r="E16" i="3"/>
  <c r="U15" i="3"/>
  <c r="R15" i="3"/>
  <c r="Q15" i="3"/>
  <c r="P15" i="3"/>
  <c r="H15" i="3"/>
  <c r="G15" i="3"/>
  <c r="F15" i="3"/>
  <c r="E15" i="3"/>
  <c r="U14" i="3"/>
  <c r="R14" i="3"/>
  <c r="Q14" i="3"/>
  <c r="P14" i="3"/>
  <c r="H14" i="3"/>
  <c r="G14" i="3"/>
  <c r="F14" i="3"/>
  <c r="E14" i="3"/>
  <c r="U13" i="3"/>
  <c r="R13" i="3"/>
  <c r="Q13" i="3"/>
  <c r="P13" i="3"/>
  <c r="H13" i="3"/>
  <c r="G13" i="3"/>
  <c r="F13" i="3"/>
  <c r="E13" i="3"/>
  <c r="U12" i="3"/>
  <c r="R12" i="3"/>
  <c r="Q12" i="3"/>
  <c r="P12" i="3"/>
  <c r="H12" i="3"/>
  <c r="G12" i="3"/>
  <c r="F12" i="3"/>
  <c r="E12" i="3"/>
  <c r="U11" i="3"/>
  <c r="R11" i="3"/>
  <c r="Q11" i="3"/>
  <c r="P11" i="3"/>
  <c r="H11" i="3"/>
  <c r="G11" i="3"/>
  <c r="F11" i="3"/>
  <c r="E11" i="3"/>
  <c r="U10" i="3"/>
  <c r="R10" i="3"/>
  <c r="Q10" i="3"/>
  <c r="P10" i="3"/>
  <c r="H10" i="3"/>
  <c r="G10" i="3"/>
  <c r="F10" i="3"/>
  <c r="E10" i="3"/>
  <c r="U9" i="3"/>
  <c r="R9" i="3"/>
  <c r="Q9" i="3"/>
  <c r="P9" i="3"/>
  <c r="H9" i="3"/>
  <c r="G9" i="3"/>
  <c r="F9" i="3"/>
  <c r="E9" i="3"/>
  <c r="U8" i="3"/>
  <c r="R8" i="3"/>
  <c r="Q8" i="3"/>
  <c r="P8" i="3"/>
  <c r="H8" i="3"/>
  <c r="G8" i="3"/>
  <c r="F8" i="3"/>
  <c r="E8" i="3"/>
  <c r="U7" i="3"/>
  <c r="R7" i="3"/>
  <c r="Q7" i="3"/>
  <c r="P7" i="3"/>
  <c r="H7" i="3"/>
  <c r="G7" i="3"/>
  <c r="F7" i="3"/>
  <c r="E7" i="3"/>
  <c r="U6" i="3"/>
  <c r="R6" i="3"/>
  <c r="Q6" i="3"/>
  <c r="P6" i="3"/>
  <c r="H6" i="3"/>
  <c r="G6" i="3"/>
  <c r="F6" i="3"/>
  <c r="E6" i="3"/>
  <c r="U5" i="3"/>
  <c r="R5" i="3"/>
  <c r="Q5" i="3"/>
  <c r="P5" i="3"/>
  <c r="H5" i="3"/>
  <c r="G5" i="3"/>
  <c r="F5" i="3"/>
  <c r="E5" i="3"/>
  <c r="U4" i="3"/>
  <c r="R4" i="3"/>
  <c r="Q4" i="3"/>
  <c r="P4" i="3"/>
  <c r="H4" i="3"/>
  <c r="G4" i="3"/>
  <c r="F4" i="3"/>
  <c r="E4" i="3"/>
  <c r="H10" i="11" l="1"/>
  <c r="G10" i="11"/>
  <c r="F10" i="11"/>
  <c r="E10" i="11"/>
  <c r="H9" i="11"/>
  <c r="G9" i="11"/>
  <c r="F9" i="11"/>
  <c r="E9" i="11"/>
  <c r="H8" i="11"/>
  <c r="G8" i="11"/>
  <c r="F8" i="11"/>
  <c r="E8" i="11"/>
  <c r="H7" i="11"/>
  <c r="G7" i="11"/>
  <c r="F7" i="11"/>
  <c r="E7" i="11"/>
  <c r="H6" i="11"/>
  <c r="G6" i="11"/>
  <c r="F6" i="11"/>
  <c r="E6" i="11"/>
  <c r="H5" i="11"/>
  <c r="G5" i="11"/>
  <c r="F5" i="11"/>
  <c r="E5" i="11"/>
  <c r="H4" i="11"/>
  <c r="G4" i="11"/>
  <c r="F4" i="11"/>
  <c r="E4" i="11"/>
  <c r="V1643" i="3"/>
  <c r="S1643" i="3"/>
  <c r="V1642" i="3"/>
  <c r="S1642" i="3"/>
  <c r="V1641" i="3"/>
  <c r="S1641" i="3"/>
  <c r="V1640" i="3"/>
  <c r="S1640" i="3"/>
  <c r="V1639" i="3"/>
  <c r="S1639" i="3"/>
  <c r="V1638" i="3"/>
  <c r="S1638" i="3"/>
  <c r="V1637" i="3"/>
  <c r="S1637" i="3"/>
  <c r="V1636" i="3"/>
  <c r="S1636" i="3"/>
  <c r="V1635" i="3"/>
  <c r="S1635" i="3"/>
  <c r="V1634" i="3"/>
  <c r="S1634" i="3"/>
  <c r="V1633" i="3"/>
  <c r="S1633" i="3"/>
  <c r="V1632" i="3"/>
  <c r="S1632" i="3"/>
  <c r="V1631" i="3"/>
  <c r="S1631" i="3"/>
  <c r="V1630" i="3"/>
  <c r="S1630" i="3"/>
  <c r="V1629" i="3"/>
  <c r="S1629" i="3"/>
  <c r="V1628" i="3"/>
  <c r="S1628" i="3"/>
  <c r="V1627" i="3"/>
  <c r="S1627" i="3"/>
  <c r="V1626" i="3"/>
  <c r="S1626" i="3"/>
  <c r="V1625" i="3"/>
  <c r="S1625" i="3"/>
  <c r="V1624" i="3"/>
  <c r="S1624" i="3"/>
  <c r="V1623" i="3"/>
  <c r="S1623" i="3"/>
  <c r="V1622" i="3"/>
  <c r="S1622" i="3"/>
  <c r="V1621" i="3"/>
  <c r="S1621" i="3"/>
  <c r="V1620" i="3"/>
  <c r="S1620" i="3"/>
  <c r="V1619" i="3"/>
  <c r="S1619" i="3"/>
  <c r="V1618" i="3"/>
  <c r="S1618" i="3"/>
  <c r="V1617" i="3"/>
  <c r="S1617" i="3"/>
  <c r="V1616" i="3"/>
  <c r="S1616" i="3"/>
  <c r="V1615" i="3"/>
  <c r="S1615" i="3"/>
  <c r="V1614" i="3"/>
  <c r="S1614" i="3"/>
  <c r="V1613" i="3"/>
  <c r="S1613" i="3"/>
  <c r="V1612" i="3"/>
  <c r="S1612" i="3"/>
  <c r="V1611" i="3"/>
  <c r="S1611" i="3"/>
  <c r="V1610" i="3"/>
  <c r="S1610" i="3"/>
  <c r="V1609" i="3"/>
  <c r="S1609" i="3"/>
  <c r="V1608" i="3"/>
  <c r="S1608" i="3"/>
  <c r="V1607" i="3"/>
  <c r="S1607" i="3"/>
  <c r="V1606" i="3"/>
  <c r="S1606" i="3"/>
  <c r="V1605" i="3"/>
  <c r="S1605" i="3"/>
  <c r="V1604" i="3"/>
  <c r="S1604" i="3"/>
  <c r="V1603" i="3"/>
  <c r="S1603" i="3"/>
  <c r="S1602" i="3"/>
  <c r="V1602" i="3"/>
  <c r="V1601" i="3"/>
  <c r="S1601" i="3"/>
  <c r="S1600" i="3"/>
  <c r="V1600" i="3"/>
  <c r="S1599" i="3"/>
  <c r="V1599" i="3"/>
  <c r="S1598" i="3"/>
  <c r="V1598" i="3"/>
  <c r="V1597" i="3"/>
  <c r="S1597" i="3"/>
  <c r="V1596" i="3"/>
  <c r="S1596" i="3"/>
  <c r="V1595" i="3"/>
  <c r="S1595" i="3"/>
  <c r="V1594" i="3"/>
  <c r="S1594" i="3"/>
  <c r="V1593" i="3"/>
  <c r="S1593" i="3"/>
  <c r="V1592" i="3"/>
  <c r="S1592" i="3"/>
  <c r="S1591" i="3"/>
  <c r="V1591" i="3"/>
  <c r="S1590" i="3"/>
  <c r="V1590" i="3"/>
  <c r="V1589" i="3"/>
  <c r="S1589" i="3"/>
  <c r="V1588" i="3"/>
  <c r="S1588" i="3"/>
  <c r="S1587" i="3"/>
  <c r="V1587" i="3"/>
  <c r="V1586" i="3"/>
  <c r="S1586" i="3"/>
  <c r="V1585" i="3"/>
  <c r="S1585" i="3"/>
  <c r="V1584" i="3"/>
  <c r="S1584" i="3"/>
  <c r="V1582" i="3"/>
  <c r="S1582" i="3"/>
  <c r="S1581" i="3"/>
  <c r="V1581" i="3"/>
  <c r="S1580" i="3"/>
  <c r="V1580" i="3"/>
  <c r="V1579" i="3"/>
  <c r="S1579" i="3"/>
  <c r="V1578" i="3"/>
  <c r="S1578" i="3"/>
  <c r="S1577" i="3"/>
  <c r="V1577" i="3"/>
  <c r="S1576" i="3"/>
  <c r="V1576" i="3"/>
  <c r="V1575" i="3"/>
  <c r="S1575" i="3"/>
  <c r="S1574" i="3"/>
  <c r="V1574" i="3"/>
  <c r="V1573" i="3"/>
  <c r="S1573" i="3"/>
  <c r="V1572" i="3"/>
  <c r="S1572" i="3"/>
  <c r="S1571" i="3"/>
  <c r="V1571" i="3"/>
  <c r="V1570" i="3"/>
  <c r="S1570" i="3"/>
  <c r="V1569" i="3"/>
  <c r="S1569" i="3"/>
  <c r="V1568" i="3"/>
  <c r="S1568" i="3"/>
  <c r="S1567" i="3"/>
  <c r="V1567" i="3"/>
  <c r="V1566" i="3"/>
  <c r="S1566" i="3"/>
  <c r="V1565" i="3"/>
  <c r="S1565" i="3"/>
  <c r="S1564" i="3"/>
  <c r="V1564" i="3"/>
  <c r="V1563" i="3"/>
  <c r="S1563" i="3"/>
  <c r="S1562" i="3"/>
  <c r="V1562" i="3"/>
  <c r="V1561" i="3"/>
  <c r="S1561" i="3"/>
  <c r="V1560" i="3"/>
  <c r="S1560" i="3"/>
  <c r="V1559" i="3"/>
  <c r="S1559" i="3"/>
  <c r="S1558" i="3"/>
  <c r="V1558" i="3"/>
  <c r="V1557" i="3"/>
  <c r="S1557" i="3"/>
  <c r="S1556" i="3"/>
  <c r="V1556" i="3"/>
  <c r="S1555" i="3"/>
  <c r="V1555" i="3"/>
  <c r="S1554" i="3"/>
  <c r="V1554" i="3"/>
  <c r="V1553" i="3"/>
  <c r="S1553" i="3"/>
  <c r="V1552" i="3"/>
  <c r="S1552" i="3"/>
  <c r="S1551" i="3"/>
  <c r="V1551" i="3"/>
  <c r="S1550" i="3"/>
  <c r="V1550" i="3"/>
  <c r="V1549" i="3"/>
  <c r="S1549" i="3"/>
  <c r="V1548" i="3"/>
  <c r="S1548" i="3"/>
  <c r="S1547" i="3"/>
  <c r="V1547" i="3"/>
  <c r="S1546" i="3"/>
  <c r="V1546" i="3"/>
  <c r="S1545" i="3"/>
  <c r="V1545" i="3"/>
  <c r="S1544" i="3"/>
  <c r="V1544" i="3"/>
  <c r="V1543" i="3"/>
  <c r="S1543" i="3"/>
  <c r="V1542" i="3"/>
  <c r="S1542" i="3"/>
  <c r="V1541" i="3"/>
  <c r="S1541" i="3"/>
  <c r="S1540" i="3"/>
  <c r="V1540" i="3"/>
  <c r="V1539" i="3"/>
  <c r="S1539" i="3"/>
  <c r="S1538" i="3"/>
  <c r="V1538" i="3"/>
  <c r="S1537" i="3"/>
  <c r="V1537" i="3"/>
  <c r="S1536" i="3"/>
  <c r="V1536" i="3"/>
  <c r="V1535" i="3"/>
  <c r="S1535" i="3"/>
  <c r="V1534" i="3"/>
  <c r="S1534" i="3"/>
  <c r="S1533" i="3"/>
  <c r="V1533" i="3"/>
  <c r="S1532" i="3"/>
  <c r="V1532" i="3"/>
  <c r="V1531" i="3"/>
  <c r="S1531" i="3"/>
  <c r="S1530" i="3"/>
  <c r="V1530" i="3"/>
  <c r="S1529" i="3"/>
  <c r="V1529" i="3"/>
  <c r="S1528" i="3"/>
  <c r="V1528" i="3"/>
  <c r="S1527" i="3"/>
  <c r="V1527" i="3"/>
  <c r="V1526" i="3"/>
  <c r="S1526" i="3"/>
  <c r="V1525" i="3"/>
  <c r="S1525" i="3"/>
  <c r="V1524" i="3"/>
  <c r="S1524" i="3"/>
  <c r="V1523" i="3"/>
  <c r="S1523" i="3"/>
  <c r="V1522" i="3"/>
  <c r="S1522" i="3"/>
  <c r="S1521" i="3"/>
  <c r="V1521" i="3"/>
  <c r="V1520" i="3"/>
  <c r="S1520" i="3"/>
  <c r="S1519" i="3"/>
  <c r="V1519" i="3"/>
  <c r="S1518" i="3"/>
  <c r="V1518" i="3"/>
  <c r="S1517" i="3"/>
  <c r="V1517" i="3"/>
  <c r="V1516" i="3"/>
  <c r="S1516" i="3"/>
  <c r="V1515" i="3"/>
  <c r="S1515" i="3"/>
  <c r="S1514" i="3"/>
  <c r="V1514" i="3"/>
  <c r="V1513" i="3"/>
  <c r="S1513" i="3"/>
  <c r="V1512" i="3"/>
  <c r="S1512" i="3"/>
  <c r="V1511" i="3"/>
  <c r="S1511" i="3"/>
  <c r="S1510" i="3"/>
  <c r="V1510" i="3"/>
  <c r="V1509" i="3"/>
  <c r="S1509" i="3"/>
  <c r="S1508" i="3"/>
  <c r="V1508" i="3"/>
  <c r="V1507" i="3"/>
  <c r="S1507" i="3"/>
  <c r="S1506" i="3"/>
  <c r="V1506" i="3"/>
  <c r="S1505" i="3"/>
  <c r="V1505" i="3"/>
  <c r="V1504" i="3"/>
  <c r="S1504" i="3"/>
  <c r="S1503" i="3"/>
  <c r="V1503" i="3"/>
  <c r="S1502" i="3"/>
  <c r="V1502" i="3"/>
  <c r="S1501" i="3"/>
  <c r="V1501" i="3"/>
  <c r="V1500" i="3"/>
  <c r="S1500" i="3"/>
  <c r="V1499" i="3"/>
  <c r="S1499" i="3"/>
  <c r="V1498" i="3"/>
  <c r="S1498" i="3"/>
  <c r="S1497" i="3"/>
  <c r="V1497" i="3"/>
  <c r="S1496" i="3"/>
  <c r="V1496" i="3"/>
  <c r="V1495" i="3"/>
  <c r="S1495" i="3"/>
  <c r="S1494" i="3"/>
  <c r="V1494" i="3"/>
  <c r="S1493" i="3"/>
  <c r="V1493" i="3"/>
  <c r="S1492" i="3"/>
  <c r="V1492" i="3"/>
  <c r="S1491" i="3"/>
  <c r="V1491" i="3"/>
  <c r="V1490" i="3"/>
  <c r="S1490" i="3"/>
  <c r="V1489" i="3"/>
  <c r="S1489" i="3"/>
  <c r="S1488" i="3"/>
  <c r="V1488" i="3"/>
  <c r="V1487" i="3"/>
  <c r="S1487" i="3"/>
  <c r="V1486" i="3"/>
  <c r="S1486" i="3"/>
  <c r="S1485" i="3"/>
  <c r="V1485" i="3"/>
  <c r="S1484" i="3"/>
  <c r="V1484" i="3"/>
  <c r="V1483" i="3"/>
  <c r="S1483" i="3"/>
  <c r="S1482" i="3"/>
  <c r="V1482" i="3"/>
  <c r="V1481" i="3"/>
  <c r="S1481" i="3"/>
  <c r="V1480" i="3"/>
  <c r="S1480" i="3"/>
  <c r="S1479" i="3"/>
  <c r="V1479" i="3"/>
  <c r="V1478" i="3"/>
  <c r="S1478" i="3"/>
  <c r="S1477" i="3"/>
  <c r="V1477" i="3"/>
  <c r="V1476" i="3"/>
  <c r="S1476" i="3"/>
  <c r="S1475" i="3"/>
  <c r="V1475" i="3"/>
  <c r="V1474" i="3"/>
  <c r="S1474" i="3"/>
  <c r="S1473" i="3"/>
  <c r="V1473" i="3"/>
  <c r="V1472" i="3"/>
  <c r="S1472" i="3"/>
  <c r="S1471" i="3"/>
  <c r="V1471" i="3"/>
  <c r="S1470" i="3"/>
  <c r="V1470" i="3"/>
  <c r="S1469" i="3"/>
  <c r="V1469" i="3"/>
  <c r="V1468" i="3"/>
  <c r="S1468" i="3"/>
  <c r="S1467" i="3"/>
  <c r="V1467" i="3"/>
  <c r="V1466" i="3"/>
  <c r="S1466" i="3"/>
  <c r="V1465" i="3"/>
  <c r="S1465" i="3"/>
  <c r="S1464" i="3"/>
  <c r="V1464" i="3"/>
  <c r="V1463" i="3"/>
  <c r="S1463" i="3"/>
  <c r="V1462" i="3"/>
  <c r="S1462" i="3"/>
  <c r="V1461" i="3"/>
  <c r="S1461" i="3"/>
  <c r="V1460" i="3"/>
  <c r="S1460" i="3"/>
  <c r="S1459" i="3"/>
  <c r="V1459" i="3"/>
  <c r="S1458" i="3"/>
  <c r="V1458" i="3"/>
  <c r="S1457" i="3"/>
  <c r="V1457" i="3"/>
  <c r="V1456" i="3"/>
  <c r="S1456" i="3"/>
  <c r="S1455" i="3"/>
  <c r="V1455" i="3"/>
  <c r="V1454" i="3"/>
  <c r="S1454" i="3"/>
  <c r="V1453" i="3"/>
  <c r="S1453" i="3"/>
  <c r="V1452" i="3"/>
  <c r="S1452" i="3"/>
  <c r="V1451" i="3"/>
  <c r="S1451" i="3"/>
  <c r="S1450" i="3"/>
  <c r="V1450" i="3"/>
  <c r="V1449" i="3"/>
  <c r="S1449" i="3"/>
  <c r="V1448" i="3"/>
  <c r="S1448" i="3"/>
  <c r="V1447" i="3"/>
  <c r="S1447" i="3"/>
  <c r="S1446" i="3"/>
  <c r="V1446" i="3"/>
  <c r="V1445" i="3"/>
  <c r="S1445" i="3"/>
  <c r="S1444" i="3"/>
  <c r="V1444" i="3"/>
  <c r="S1443" i="3"/>
  <c r="V1443" i="3"/>
  <c r="S1442" i="3"/>
  <c r="V1442" i="3"/>
  <c r="V1440" i="3"/>
  <c r="S1440" i="3"/>
  <c r="V1439" i="3"/>
  <c r="S1439" i="3"/>
  <c r="S1438" i="3"/>
  <c r="V1438" i="3"/>
  <c r="V1437" i="3"/>
  <c r="S1437" i="3"/>
  <c r="V1436" i="3"/>
  <c r="S1436" i="3"/>
  <c r="V1435" i="3"/>
  <c r="S1435" i="3"/>
  <c r="V1434" i="3"/>
  <c r="S1434" i="3"/>
  <c r="V1433" i="3"/>
  <c r="S1433" i="3"/>
  <c r="S1432" i="3"/>
  <c r="V1432" i="3"/>
  <c r="V1431" i="3"/>
  <c r="S1431" i="3"/>
  <c r="V1430" i="3"/>
  <c r="S1430" i="3"/>
  <c r="V1429" i="3"/>
  <c r="S1429" i="3"/>
  <c r="S1428" i="3"/>
  <c r="V1428" i="3"/>
  <c r="S1427" i="3"/>
  <c r="V1427" i="3"/>
  <c r="S1426" i="3"/>
  <c r="V1426" i="3"/>
  <c r="V1425" i="3"/>
  <c r="S1425" i="3"/>
  <c r="S1424" i="3"/>
  <c r="V1424" i="3"/>
  <c r="V1423" i="3"/>
  <c r="S1423" i="3"/>
  <c r="S1422" i="3"/>
  <c r="V1422" i="3"/>
  <c r="V1421" i="3"/>
  <c r="S1421" i="3"/>
  <c r="V1420" i="3"/>
  <c r="S1420" i="3"/>
  <c r="V1419" i="3"/>
  <c r="S1419" i="3"/>
  <c r="S1418" i="3"/>
  <c r="V1418" i="3"/>
  <c r="V1417" i="3"/>
  <c r="S1417" i="3"/>
  <c r="V1416" i="3"/>
  <c r="S1416" i="3"/>
  <c r="V1415" i="3"/>
  <c r="S1415" i="3"/>
  <c r="S1414" i="3"/>
  <c r="V1414" i="3"/>
  <c r="V1413" i="3"/>
  <c r="S1413" i="3"/>
  <c r="V1412" i="3"/>
  <c r="S1412" i="3"/>
  <c r="V1411" i="3"/>
  <c r="S1411" i="3"/>
  <c r="V1410" i="3"/>
  <c r="S1410" i="3"/>
  <c r="S1409" i="3"/>
  <c r="V1409" i="3"/>
  <c r="S1408" i="3"/>
  <c r="V1408" i="3"/>
  <c r="V1407" i="3"/>
  <c r="S1407" i="3"/>
  <c r="V1406" i="3"/>
  <c r="S1406" i="3"/>
  <c r="S1405" i="3"/>
  <c r="V1405" i="3"/>
  <c r="V1404" i="3"/>
  <c r="S1404" i="3"/>
  <c r="V1403" i="3"/>
  <c r="S1403" i="3"/>
  <c r="S1402" i="3"/>
  <c r="V1402" i="3"/>
  <c r="S1401" i="3"/>
  <c r="V1401" i="3"/>
  <c r="V1400" i="3"/>
  <c r="S1400" i="3"/>
  <c r="S1399" i="3"/>
  <c r="V1399" i="3"/>
  <c r="S1398" i="3"/>
  <c r="V1398" i="3"/>
  <c r="S1397" i="3"/>
  <c r="V1397" i="3"/>
  <c r="V1396" i="3"/>
  <c r="S1396" i="3"/>
  <c r="S1395" i="3"/>
  <c r="V1395" i="3"/>
  <c r="V1394" i="3"/>
  <c r="S1394" i="3"/>
  <c r="S1393" i="3"/>
  <c r="V1393" i="3"/>
  <c r="V1392" i="3"/>
  <c r="S1392" i="3"/>
  <c r="V1391" i="3"/>
  <c r="S1391" i="3"/>
  <c r="S1390" i="3"/>
  <c r="V1390" i="3"/>
  <c r="V1389" i="3"/>
  <c r="S1389" i="3"/>
  <c r="S1388" i="3"/>
  <c r="V1388" i="3"/>
  <c r="S1387" i="3"/>
  <c r="V1387" i="3"/>
  <c r="S1386" i="3"/>
  <c r="V1386" i="3"/>
  <c r="S1385" i="3"/>
  <c r="V1385" i="3"/>
  <c r="S1384" i="3"/>
  <c r="V1384" i="3"/>
  <c r="T1383" i="3"/>
  <c r="L1383" i="3"/>
  <c r="L1382" i="3"/>
  <c r="T1382" i="3"/>
  <c r="T1381" i="3"/>
  <c r="L1381" i="3"/>
  <c r="T1380" i="3"/>
  <c r="L1380" i="3"/>
  <c r="T1379" i="3"/>
  <c r="L1379" i="3"/>
  <c r="T1378" i="3"/>
  <c r="L1378" i="3"/>
  <c r="L1377" i="3"/>
  <c r="T1377" i="3"/>
  <c r="L1376" i="3"/>
  <c r="T1376" i="3"/>
  <c r="L1375" i="3"/>
  <c r="T1375" i="3"/>
  <c r="T1374" i="3"/>
  <c r="L1374" i="3"/>
  <c r="L1373" i="3"/>
  <c r="T1373" i="3"/>
  <c r="L1372" i="3"/>
  <c r="T1372" i="3"/>
  <c r="T1371" i="3"/>
  <c r="L1371" i="3"/>
  <c r="L1370" i="3"/>
  <c r="T1370" i="3"/>
  <c r="T1369" i="3"/>
  <c r="L1369" i="3"/>
  <c r="L1368" i="3"/>
  <c r="T1368" i="3"/>
  <c r="T1367" i="3"/>
  <c r="L1367" i="3"/>
  <c r="T1366" i="3"/>
  <c r="L1366" i="3"/>
  <c r="T1365" i="3"/>
  <c r="L1365" i="3"/>
  <c r="L1364" i="3"/>
  <c r="T1364" i="3"/>
  <c r="T1363" i="3"/>
  <c r="L1363" i="3"/>
  <c r="L1362" i="3"/>
  <c r="T1362" i="3"/>
  <c r="L1361" i="3"/>
  <c r="T1361" i="3"/>
  <c r="T1360" i="3"/>
  <c r="L1360" i="3"/>
  <c r="T1359" i="3"/>
  <c r="L1359" i="3"/>
  <c r="T1358" i="3"/>
  <c r="L1358" i="3"/>
  <c r="L1357" i="3"/>
  <c r="T1357" i="3"/>
  <c r="T1356" i="3"/>
  <c r="L1356" i="3"/>
  <c r="T1355" i="3"/>
  <c r="L1355" i="3"/>
  <c r="T1354" i="3"/>
  <c r="L1354" i="3"/>
  <c r="L1353" i="3"/>
  <c r="T1353" i="3"/>
  <c r="T1352" i="3"/>
  <c r="L1352" i="3"/>
  <c r="T1351" i="3"/>
  <c r="L1351" i="3"/>
  <c r="T1350" i="3"/>
  <c r="L1350" i="3"/>
  <c r="L1349" i="3"/>
  <c r="T1349" i="3"/>
  <c r="L1348" i="3"/>
  <c r="T1348" i="3"/>
  <c r="L1347" i="3"/>
  <c r="T1347" i="3"/>
  <c r="L1346" i="3"/>
  <c r="T1346" i="3"/>
  <c r="L1345" i="3"/>
  <c r="T1345" i="3"/>
  <c r="T1344" i="3"/>
  <c r="L1344" i="3"/>
  <c r="L1343" i="3"/>
  <c r="T1343" i="3"/>
  <c r="T1342" i="3"/>
  <c r="L1342" i="3"/>
  <c r="T1341" i="3"/>
  <c r="L1341" i="3"/>
  <c r="T1340" i="3"/>
  <c r="L1340" i="3"/>
  <c r="L1339" i="3"/>
  <c r="T1339" i="3"/>
  <c r="T1338" i="3"/>
  <c r="L1338" i="3"/>
  <c r="T1337" i="3"/>
  <c r="L1337" i="3"/>
  <c r="T1336" i="3"/>
  <c r="L1336" i="3"/>
  <c r="L1335" i="3"/>
  <c r="T1335" i="3"/>
  <c r="T1334" i="3"/>
  <c r="L1334" i="3"/>
  <c r="L1333" i="3"/>
  <c r="T1333" i="3"/>
  <c r="L1332" i="3"/>
  <c r="T1332" i="3"/>
  <c r="L1331" i="3"/>
  <c r="T1331" i="3"/>
  <c r="L1330" i="3"/>
  <c r="T1330" i="3"/>
  <c r="T1329" i="3"/>
  <c r="L1329" i="3"/>
  <c r="L1328" i="3"/>
  <c r="T1328" i="3"/>
  <c r="T1327" i="3"/>
  <c r="L1327" i="3"/>
  <c r="T1326" i="3"/>
  <c r="L1326" i="3"/>
  <c r="T1325" i="3"/>
  <c r="L1325" i="3"/>
  <c r="T1324" i="3"/>
  <c r="L1324" i="3"/>
  <c r="L1323" i="3"/>
  <c r="T1323" i="3"/>
  <c r="T1322" i="3"/>
  <c r="L1322" i="3"/>
  <c r="T1321" i="3"/>
  <c r="L1321" i="3"/>
  <c r="T1320" i="3"/>
  <c r="L1320" i="3"/>
  <c r="T1319" i="3"/>
  <c r="L1319" i="3"/>
  <c r="L1318" i="3"/>
  <c r="T1318" i="3"/>
  <c r="L1317" i="3"/>
  <c r="T1317" i="3"/>
  <c r="T1316" i="3"/>
  <c r="L1316" i="3"/>
  <c r="T1315" i="3"/>
  <c r="L1315" i="3"/>
  <c r="T1314" i="3"/>
  <c r="L1314" i="3"/>
  <c r="L1313" i="3"/>
  <c r="T1313" i="3"/>
  <c r="T1312" i="3"/>
  <c r="L1312" i="3"/>
  <c r="T1311" i="3"/>
  <c r="L1311" i="3"/>
  <c r="T1310" i="3"/>
  <c r="L1310" i="3"/>
  <c r="T1309" i="3"/>
  <c r="L1309" i="3"/>
  <c r="T1308" i="3"/>
  <c r="L1308" i="3"/>
  <c r="T1307" i="3"/>
  <c r="L1307" i="3"/>
  <c r="T1306" i="3"/>
  <c r="L1306" i="3"/>
  <c r="L1305" i="3"/>
  <c r="T1305" i="3"/>
  <c r="L1304" i="3"/>
  <c r="T1304" i="3"/>
  <c r="T1303" i="3"/>
  <c r="L1303" i="3"/>
  <c r="T1302" i="3"/>
  <c r="L1302" i="3"/>
  <c r="L1301" i="3"/>
  <c r="T1301" i="3"/>
  <c r="T1300" i="3"/>
  <c r="L1300" i="3"/>
  <c r="L1299" i="3"/>
  <c r="T1299" i="3"/>
  <c r="T1298" i="3"/>
  <c r="L1298" i="3"/>
  <c r="T1297" i="3"/>
  <c r="L1297" i="3"/>
  <c r="T1296" i="3"/>
  <c r="L1296" i="3"/>
  <c r="T1295" i="3"/>
  <c r="L1295" i="3"/>
  <c r="T1294" i="3"/>
  <c r="L1294" i="3"/>
  <c r="T1293" i="3"/>
  <c r="L1293" i="3"/>
  <c r="T1292" i="3"/>
  <c r="L1292" i="3"/>
  <c r="T1291" i="3"/>
  <c r="L1291" i="3"/>
  <c r="T1290" i="3"/>
  <c r="L1290" i="3"/>
  <c r="T1289" i="3"/>
  <c r="L1289" i="3"/>
  <c r="T1288" i="3"/>
  <c r="L1288" i="3"/>
  <c r="T1287" i="3"/>
  <c r="L1287" i="3"/>
  <c r="T1286" i="3"/>
  <c r="L1286" i="3"/>
  <c r="T1285" i="3"/>
  <c r="L1285" i="3"/>
  <c r="L1284" i="3"/>
  <c r="T1284" i="3"/>
  <c r="T1283" i="3"/>
  <c r="L1283" i="3"/>
  <c r="T1282" i="3"/>
  <c r="L1282" i="3"/>
  <c r="T1281" i="3"/>
  <c r="L1281" i="3"/>
  <c r="T1280" i="3"/>
  <c r="L1280" i="3"/>
  <c r="T1279" i="3"/>
  <c r="L1279" i="3"/>
  <c r="T1278" i="3"/>
  <c r="L1278" i="3"/>
  <c r="T1277" i="3"/>
  <c r="L1277" i="3"/>
  <c r="T1276" i="3"/>
  <c r="L1276" i="3"/>
  <c r="T1275" i="3"/>
  <c r="L1275" i="3"/>
  <c r="T1274" i="3"/>
  <c r="L1274" i="3"/>
  <c r="T1273" i="3"/>
  <c r="L1273" i="3"/>
  <c r="T1272" i="3"/>
  <c r="L1272" i="3"/>
  <c r="T1271" i="3"/>
  <c r="L1271" i="3"/>
  <c r="L1270" i="3"/>
  <c r="T1270" i="3"/>
  <c r="T1269" i="3"/>
  <c r="L1269" i="3"/>
  <c r="T1268" i="3"/>
  <c r="L1268" i="3"/>
  <c r="T1267" i="3"/>
  <c r="L1267" i="3"/>
  <c r="T1266" i="3"/>
  <c r="L1266" i="3"/>
  <c r="L1265" i="3"/>
  <c r="T1265" i="3"/>
  <c r="L1264" i="3"/>
  <c r="T1264" i="3"/>
  <c r="T1263" i="3"/>
  <c r="L1263" i="3"/>
  <c r="T1262" i="3"/>
  <c r="L1262" i="3"/>
  <c r="T1261" i="3"/>
  <c r="L1261" i="3"/>
  <c r="T1260" i="3"/>
  <c r="L1260" i="3"/>
  <c r="L1259" i="3"/>
  <c r="T1259" i="3"/>
  <c r="L1258" i="3"/>
  <c r="T1258" i="3"/>
  <c r="T1257" i="3"/>
  <c r="L1257" i="3"/>
  <c r="L1256" i="3"/>
  <c r="T1256" i="3"/>
  <c r="T1255" i="3"/>
  <c r="L1255" i="3"/>
  <c r="T1254" i="3"/>
  <c r="L1254" i="3"/>
  <c r="T1253" i="3"/>
  <c r="L1253" i="3"/>
  <c r="L1252" i="3"/>
  <c r="T1252" i="3"/>
  <c r="L1251" i="3"/>
  <c r="T1251" i="3"/>
  <c r="T1250" i="3"/>
  <c r="L1250" i="3"/>
  <c r="T1249" i="3"/>
  <c r="L1249" i="3"/>
  <c r="L1248" i="3"/>
  <c r="T1248" i="3"/>
  <c r="T1247" i="3"/>
  <c r="L1247" i="3"/>
  <c r="L1246" i="3"/>
  <c r="T1246" i="3"/>
  <c r="T1245" i="3"/>
  <c r="L1245" i="3"/>
  <c r="T1244" i="3"/>
  <c r="L1244" i="3"/>
  <c r="T1243" i="3"/>
  <c r="L1243" i="3"/>
  <c r="T1242" i="3"/>
  <c r="L1242" i="3"/>
  <c r="L1241" i="3"/>
  <c r="T1241" i="3"/>
  <c r="L1240" i="3"/>
  <c r="T1240" i="3"/>
  <c r="T1239" i="3"/>
  <c r="L1239" i="3"/>
  <c r="L1238" i="3"/>
  <c r="T1238" i="3"/>
  <c r="T1237" i="3"/>
  <c r="L1237" i="3"/>
  <c r="S1236" i="3"/>
  <c r="V1236" i="3"/>
  <c r="L1235" i="3"/>
  <c r="T1235" i="3"/>
  <c r="T1234" i="3"/>
  <c r="L1234" i="3"/>
  <c r="T1233" i="3"/>
  <c r="L1233" i="3"/>
  <c r="T1232" i="3"/>
  <c r="L1232" i="3"/>
  <c r="T1231" i="3"/>
  <c r="L1231" i="3"/>
  <c r="T1230" i="3"/>
  <c r="L1230" i="3"/>
  <c r="L1229" i="3"/>
  <c r="T1229" i="3"/>
  <c r="T1228" i="3"/>
  <c r="L1228" i="3"/>
  <c r="L1227" i="3"/>
  <c r="T1227" i="3"/>
  <c r="L1226" i="3"/>
  <c r="T1226" i="3"/>
  <c r="L1225" i="3"/>
  <c r="T1225" i="3"/>
  <c r="L1224" i="3"/>
  <c r="T1224" i="3"/>
  <c r="T1223" i="3"/>
  <c r="L1223" i="3"/>
  <c r="L1222" i="3"/>
  <c r="T1222" i="3"/>
  <c r="L1221" i="3"/>
  <c r="T1221" i="3"/>
  <c r="L1220" i="3"/>
  <c r="T1220" i="3"/>
  <c r="T1219" i="3"/>
  <c r="L1219" i="3"/>
  <c r="L1218" i="3"/>
  <c r="T1218" i="3"/>
  <c r="T1217" i="3"/>
  <c r="L1217" i="3"/>
  <c r="L1216" i="3"/>
  <c r="T1216" i="3"/>
  <c r="L1215" i="3"/>
  <c r="T1215" i="3"/>
  <c r="L1214" i="3"/>
  <c r="T1214" i="3"/>
  <c r="L1213" i="3"/>
  <c r="T1213" i="3"/>
  <c r="T1212" i="3"/>
  <c r="L1212" i="3"/>
  <c r="L1211" i="3"/>
  <c r="T1211" i="3"/>
  <c r="L1210" i="3"/>
  <c r="T1210" i="3"/>
  <c r="L1209" i="3"/>
  <c r="T1209" i="3"/>
  <c r="T1208" i="3"/>
  <c r="L1208" i="3"/>
  <c r="T1207" i="3"/>
  <c r="L1207" i="3"/>
  <c r="L1206" i="3"/>
  <c r="T1206" i="3"/>
  <c r="T1205" i="3"/>
  <c r="L1205" i="3"/>
  <c r="T1204" i="3"/>
  <c r="L1204" i="3"/>
  <c r="L1203" i="3"/>
  <c r="T1203" i="3"/>
  <c r="L1202" i="3"/>
  <c r="T1202" i="3"/>
  <c r="T1201" i="3"/>
  <c r="L1201" i="3"/>
  <c r="T1200" i="3"/>
  <c r="L1200" i="3"/>
  <c r="T1199" i="3"/>
  <c r="L1199" i="3"/>
  <c r="T1198" i="3"/>
  <c r="L1198" i="3"/>
  <c r="T1197" i="3"/>
  <c r="L1197" i="3"/>
  <c r="T1196" i="3"/>
  <c r="L1196" i="3"/>
  <c r="T1195" i="3"/>
  <c r="L1195" i="3"/>
  <c r="T1194" i="3"/>
  <c r="L1194" i="3"/>
  <c r="L1193" i="3"/>
  <c r="T1193" i="3"/>
  <c r="L1192" i="3"/>
  <c r="T1192" i="3"/>
  <c r="T1191" i="3"/>
  <c r="L1191" i="3"/>
  <c r="L1190" i="3"/>
  <c r="T1190" i="3"/>
  <c r="L1189" i="3"/>
  <c r="T1189" i="3"/>
  <c r="T1188" i="3"/>
  <c r="L1188" i="3"/>
  <c r="T1187" i="3"/>
  <c r="L1187" i="3"/>
  <c r="L1186" i="3"/>
  <c r="T1186" i="3"/>
  <c r="L1185" i="3"/>
  <c r="T1185" i="3"/>
  <c r="T1184" i="3"/>
  <c r="L1184" i="3"/>
  <c r="T1183" i="3"/>
  <c r="L1183" i="3"/>
  <c r="T1182" i="3"/>
  <c r="L1182" i="3"/>
  <c r="L1181" i="3"/>
  <c r="T1181" i="3"/>
  <c r="T1180" i="3"/>
  <c r="L1180" i="3"/>
  <c r="L1179" i="3"/>
  <c r="T1179" i="3"/>
  <c r="L1178" i="3"/>
  <c r="T1178" i="3"/>
  <c r="L1177" i="3"/>
  <c r="T1177" i="3"/>
  <c r="L1176" i="3"/>
  <c r="T1176" i="3"/>
  <c r="L1175" i="3"/>
  <c r="T1175" i="3"/>
  <c r="L1174" i="3"/>
  <c r="T1174" i="3"/>
  <c r="L1173" i="3"/>
  <c r="T1173" i="3"/>
  <c r="T1172" i="3"/>
  <c r="L1172" i="3"/>
  <c r="T1171" i="3"/>
  <c r="L1171" i="3"/>
  <c r="T1170" i="3"/>
  <c r="L1170" i="3"/>
  <c r="L1169" i="3"/>
  <c r="T1169" i="3"/>
  <c r="L1168" i="3"/>
  <c r="T1168" i="3"/>
  <c r="L1167" i="3"/>
  <c r="T1167" i="3"/>
  <c r="L1166" i="3"/>
  <c r="T1166" i="3"/>
  <c r="L1165" i="3"/>
  <c r="T1165" i="3"/>
  <c r="L1164" i="3"/>
  <c r="T1164" i="3"/>
  <c r="T1163" i="3"/>
  <c r="L1163" i="3"/>
  <c r="L1162" i="3"/>
  <c r="T1162" i="3"/>
  <c r="T1161" i="3"/>
  <c r="L1161" i="3"/>
  <c r="L1160" i="3"/>
  <c r="T1160" i="3"/>
  <c r="L1159" i="3"/>
  <c r="T1159" i="3"/>
  <c r="L1158" i="3"/>
  <c r="T1158" i="3"/>
  <c r="T1157" i="3"/>
  <c r="L1157" i="3"/>
  <c r="T1156" i="3"/>
  <c r="L1156" i="3"/>
  <c r="L1155" i="3"/>
  <c r="T1155" i="3"/>
  <c r="L1154" i="3"/>
  <c r="T1154" i="3"/>
  <c r="L1153" i="3"/>
  <c r="T1153" i="3"/>
  <c r="L1152" i="3"/>
  <c r="T1152" i="3"/>
  <c r="T1151" i="3"/>
  <c r="L1151" i="3"/>
  <c r="T1150" i="3"/>
  <c r="L1150" i="3"/>
  <c r="T1149" i="3"/>
  <c r="L1149" i="3"/>
  <c r="L1148" i="3"/>
  <c r="T1148" i="3"/>
  <c r="T1147" i="3"/>
  <c r="L1147" i="3"/>
  <c r="T1146" i="3"/>
  <c r="L1146" i="3"/>
  <c r="L1145" i="3"/>
  <c r="T1145" i="3"/>
  <c r="T1144" i="3"/>
  <c r="L1144" i="3"/>
  <c r="T1143" i="3"/>
  <c r="L1143" i="3"/>
  <c r="L1142" i="3"/>
  <c r="T1142" i="3"/>
  <c r="L1141" i="3"/>
  <c r="T1141" i="3"/>
  <c r="T1140" i="3"/>
  <c r="L1140" i="3"/>
  <c r="T1139" i="3"/>
  <c r="L1139" i="3"/>
  <c r="T1138" i="3"/>
  <c r="L1138" i="3"/>
  <c r="L1137" i="3"/>
  <c r="T1137" i="3"/>
  <c r="T1136" i="3"/>
  <c r="L1136" i="3"/>
  <c r="L1135" i="3"/>
  <c r="T1135" i="3"/>
  <c r="T1134" i="3"/>
  <c r="L1134" i="3"/>
  <c r="S1133" i="3"/>
  <c r="V1133" i="3"/>
  <c r="L1132" i="3"/>
  <c r="T1132" i="3"/>
  <c r="L1131" i="3"/>
  <c r="T1131" i="3"/>
  <c r="L1130" i="3"/>
  <c r="T1130" i="3"/>
  <c r="T1129" i="3"/>
  <c r="L1129" i="3"/>
  <c r="T1128" i="3"/>
  <c r="L1128" i="3"/>
  <c r="T1127" i="3"/>
  <c r="L1127" i="3"/>
  <c r="T1126" i="3"/>
  <c r="L1126" i="3"/>
  <c r="T1125" i="3"/>
  <c r="L1125" i="3"/>
  <c r="T1124" i="3"/>
  <c r="L1124" i="3"/>
  <c r="T1123" i="3"/>
  <c r="L1123" i="3"/>
  <c r="L1122" i="3"/>
  <c r="T1122" i="3"/>
  <c r="T1121" i="3"/>
  <c r="L1121" i="3"/>
  <c r="L1120" i="3"/>
  <c r="T1120" i="3"/>
  <c r="T1119" i="3"/>
  <c r="L1119" i="3"/>
  <c r="T1118" i="3"/>
  <c r="L1118" i="3"/>
  <c r="T1117" i="3"/>
  <c r="L1117" i="3"/>
  <c r="L1116" i="3"/>
  <c r="T1116" i="3"/>
  <c r="T1115" i="3"/>
  <c r="L1115" i="3"/>
  <c r="T1114" i="3"/>
  <c r="L1114" i="3"/>
  <c r="L1113" i="3"/>
  <c r="T1113" i="3"/>
  <c r="T1112" i="3"/>
  <c r="L1112" i="3"/>
  <c r="T1111" i="3"/>
  <c r="L1111" i="3"/>
  <c r="T1110" i="3"/>
  <c r="L1110" i="3"/>
  <c r="T1109" i="3"/>
  <c r="L1109" i="3"/>
  <c r="T1108" i="3"/>
  <c r="L1108" i="3"/>
  <c r="T1107" i="3"/>
  <c r="L1107" i="3"/>
  <c r="L1106" i="3"/>
  <c r="T1106" i="3"/>
  <c r="L1105" i="3"/>
  <c r="T1105" i="3"/>
  <c r="L1104" i="3"/>
  <c r="T1104" i="3"/>
  <c r="L1103" i="3"/>
  <c r="T1103" i="3"/>
  <c r="L1102" i="3"/>
  <c r="T1102" i="3"/>
  <c r="L1101" i="3"/>
  <c r="T1101" i="3"/>
  <c r="L1100" i="3"/>
  <c r="T1100" i="3"/>
  <c r="L1099" i="3"/>
  <c r="T1099" i="3"/>
  <c r="L1098" i="3"/>
  <c r="T1098" i="3"/>
  <c r="L1097" i="3"/>
  <c r="T1097" i="3"/>
  <c r="L1096" i="3"/>
  <c r="T1096" i="3"/>
  <c r="T1095" i="3"/>
  <c r="L1095" i="3"/>
  <c r="T1094" i="3"/>
  <c r="L1094" i="3"/>
  <c r="T1093" i="3"/>
  <c r="L1093" i="3"/>
  <c r="L1092" i="3"/>
  <c r="T1092" i="3"/>
  <c r="T1091" i="3"/>
  <c r="L1091" i="3"/>
  <c r="T1090" i="3"/>
  <c r="L1090" i="3"/>
  <c r="T1089" i="3"/>
  <c r="L1089" i="3"/>
  <c r="L1088" i="3"/>
  <c r="T1088" i="3"/>
  <c r="T1087" i="3"/>
  <c r="L1087" i="3"/>
  <c r="L1086" i="3"/>
  <c r="T1086" i="3"/>
  <c r="T1085" i="3"/>
  <c r="L1085" i="3"/>
  <c r="T1084" i="3"/>
  <c r="L1084" i="3"/>
  <c r="T1083" i="3"/>
  <c r="L1083" i="3"/>
  <c r="T1082" i="3"/>
  <c r="L1082" i="3"/>
  <c r="T1081" i="3"/>
  <c r="L1081" i="3"/>
  <c r="T1080" i="3"/>
  <c r="L1080" i="3"/>
  <c r="L1079" i="3"/>
  <c r="T1079" i="3"/>
  <c r="T1078" i="3"/>
  <c r="L1078" i="3"/>
  <c r="L1077" i="3"/>
  <c r="T1077" i="3"/>
  <c r="T1076" i="3"/>
  <c r="L1076" i="3"/>
  <c r="L1075" i="3"/>
  <c r="T1075" i="3"/>
  <c r="L1074" i="3"/>
  <c r="T1074" i="3"/>
  <c r="T1073" i="3"/>
  <c r="L1073" i="3"/>
  <c r="T1072" i="3"/>
  <c r="L1072" i="3"/>
  <c r="T1071" i="3"/>
  <c r="L1071" i="3"/>
  <c r="L1070" i="3"/>
  <c r="T1070" i="3"/>
  <c r="T1069" i="3"/>
  <c r="L1069" i="3"/>
  <c r="T1068" i="3"/>
  <c r="L1068" i="3"/>
  <c r="T1067" i="3"/>
  <c r="L1067" i="3"/>
  <c r="T1066" i="3"/>
  <c r="L1066" i="3"/>
  <c r="L1065" i="3"/>
  <c r="T1065" i="3"/>
  <c r="T1064" i="3"/>
  <c r="L1064" i="3"/>
  <c r="T1063" i="3"/>
  <c r="L1063" i="3"/>
  <c r="T1062" i="3"/>
  <c r="L1062" i="3"/>
  <c r="T1061" i="3"/>
  <c r="L1061" i="3"/>
  <c r="T1060" i="3"/>
  <c r="L1060" i="3"/>
  <c r="L1059" i="3"/>
  <c r="T1059" i="3"/>
  <c r="T1058" i="3"/>
  <c r="L1058" i="3"/>
  <c r="T1057" i="3"/>
  <c r="L1057" i="3"/>
  <c r="T1056" i="3"/>
  <c r="L1056" i="3"/>
  <c r="L1055" i="3"/>
  <c r="T1055" i="3"/>
  <c r="T1054" i="3"/>
  <c r="L1054" i="3"/>
  <c r="T1053" i="3"/>
  <c r="L1053" i="3"/>
  <c r="L1052" i="3"/>
  <c r="T1052" i="3"/>
  <c r="T1051" i="3"/>
  <c r="L1051" i="3"/>
  <c r="T1050" i="3"/>
  <c r="L1050" i="3"/>
  <c r="T1049" i="3"/>
  <c r="L1049" i="3"/>
  <c r="T1048" i="3"/>
  <c r="L1048" i="3"/>
  <c r="T1047" i="3"/>
  <c r="L1047" i="3"/>
  <c r="L1046" i="3"/>
  <c r="T1046" i="3"/>
  <c r="L1045" i="3"/>
  <c r="T1045" i="3"/>
  <c r="L1044" i="3"/>
  <c r="T1044" i="3"/>
  <c r="L1043" i="3"/>
  <c r="T1043" i="3"/>
  <c r="L1042" i="3"/>
  <c r="T1042" i="3"/>
  <c r="T1041" i="3"/>
  <c r="L1041" i="3"/>
  <c r="L1040" i="3"/>
  <c r="T1040" i="3"/>
  <c r="L1039" i="3"/>
  <c r="T1039" i="3"/>
  <c r="L1038" i="3"/>
  <c r="T1038" i="3"/>
  <c r="S1037" i="3"/>
  <c r="V1037" i="3"/>
  <c r="L1036" i="3"/>
  <c r="T1036" i="3"/>
  <c r="T1035" i="3"/>
  <c r="L1035" i="3"/>
  <c r="T1034" i="3"/>
  <c r="L1034" i="3"/>
  <c r="L1033" i="3"/>
  <c r="T1033" i="3"/>
  <c r="L1032" i="3"/>
  <c r="T1032" i="3"/>
  <c r="L1031" i="3"/>
  <c r="T1031" i="3"/>
  <c r="T1030" i="3"/>
  <c r="L1030" i="3"/>
  <c r="L1029" i="3"/>
  <c r="T1029" i="3"/>
  <c r="T1028" i="3"/>
  <c r="L1028" i="3"/>
  <c r="L1027" i="3"/>
  <c r="T1027" i="3"/>
  <c r="L1026" i="3"/>
  <c r="T1026" i="3"/>
  <c r="L1025" i="3"/>
  <c r="T1025" i="3"/>
  <c r="T1024" i="3"/>
  <c r="L1024" i="3"/>
  <c r="T1023" i="3"/>
  <c r="L1023" i="3"/>
  <c r="T1022" i="3"/>
  <c r="L1022" i="3"/>
  <c r="T1021" i="3"/>
  <c r="L1021" i="3"/>
  <c r="T1020" i="3"/>
  <c r="L1020" i="3"/>
  <c r="T1019" i="3"/>
  <c r="L1019" i="3"/>
  <c r="T1018" i="3"/>
  <c r="L1018" i="3"/>
  <c r="L1017" i="3"/>
  <c r="T1017" i="3"/>
  <c r="L1016" i="3"/>
  <c r="T1016" i="3"/>
  <c r="L1015" i="3"/>
  <c r="T1015" i="3"/>
  <c r="T1014" i="3"/>
  <c r="L1014" i="3"/>
  <c r="T1013" i="3"/>
  <c r="L1013" i="3"/>
  <c r="L1012" i="3"/>
  <c r="T1012" i="3"/>
  <c r="T1011" i="3"/>
  <c r="L1011" i="3"/>
  <c r="L1010" i="3"/>
  <c r="T1010" i="3"/>
  <c r="L1009" i="3"/>
  <c r="T1009" i="3"/>
  <c r="T1008" i="3"/>
  <c r="L1008" i="3"/>
  <c r="L1007" i="3"/>
  <c r="T1007" i="3"/>
  <c r="T1006" i="3"/>
  <c r="L1006" i="3"/>
  <c r="T1005" i="3"/>
  <c r="L1005" i="3"/>
  <c r="L1004" i="3"/>
  <c r="T1004" i="3"/>
  <c r="T1003" i="3"/>
  <c r="L1003" i="3"/>
  <c r="T1002" i="3"/>
  <c r="L1002" i="3"/>
  <c r="T1001" i="3"/>
  <c r="L1001" i="3"/>
  <c r="T1000" i="3"/>
  <c r="L1000" i="3"/>
  <c r="T999" i="3"/>
  <c r="L999" i="3"/>
  <c r="L998" i="3"/>
  <c r="T998" i="3"/>
  <c r="L997" i="3"/>
  <c r="T997" i="3"/>
  <c r="L996" i="3"/>
  <c r="T996" i="3"/>
  <c r="T995" i="3"/>
  <c r="L995" i="3"/>
  <c r="T994" i="3"/>
  <c r="L994" i="3"/>
  <c r="L993" i="3"/>
  <c r="T993" i="3"/>
  <c r="T992" i="3"/>
  <c r="L992" i="3"/>
  <c r="T991" i="3"/>
  <c r="L991" i="3"/>
  <c r="L990" i="3"/>
  <c r="T990" i="3"/>
  <c r="T989" i="3"/>
  <c r="L989" i="3"/>
  <c r="L988" i="3"/>
  <c r="T988" i="3"/>
  <c r="L987" i="3"/>
  <c r="T987" i="3"/>
  <c r="T986" i="3"/>
  <c r="L986" i="3"/>
  <c r="L985" i="3"/>
  <c r="T985" i="3"/>
  <c r="L984" i="3"/>
  <c r="T984" i="3"/>
  <c r="L983" i="3"/>
  <c r="T983" i="3"/>
  <c r="L982" i="3"/>
  <c r="T982" i="3"/>
  <c r="L981" i="3"/>
  <c r="T981" i="3"/>
  <c r="L980" i="3"/>
  <c r="T980" i="3"/>
  <c r="L979" i="3"/>
  <c r="T979" i="3"/>
  <c r="L978" i="3"/>
  <c r="T978" i="3"/>
  <c r="T977" i="3"/>
  <c r="L977" i="3"/>
  <c r="T976" i="3"/>
  <c r="L976" i="3"/>
  <c r="T975" i="3"/>
  <c r="L975" i="3"/>
  <c r="T974" i="3"/>
  <c r="L974" i="3"/>
  <c r="L973" i="3"/>
  <c r="T973" i="3"/>
  <c r="L972" i="3"/>
  <c r="T972" i="3"/>
  <c r="L971" i="3"/>
  <c r="T971" i="3"/>
  <c r="T970" i="3"/>
  <c r="L970" i="3"/>
  <c r="T969" i="3"/>
  <c r="L969" i="3"/>
  <c r="T968" i="3"/>
  <c r="L968" i="3"/>
  <c r="L967" i="3"/>
  <c r="T967" i="3"/>
  <c r="L966" i="3"/>
  <c r="T966" i="3"/>
  <c r="L965" i="3"/>
  <c r="T965" i="3"/>
  <c r="T964" i="3"/>
  <c r="L964" i="3"/>
  <c r="L963" i="3"/>
  <c r="T963" i="3"/>
  <c r="T962" i="3"/>
  <c r="L962" i="3"/>
  <c r="T961" i="3"/>
  <c r="L961" i="3"/>
  <c r="T960" i="3"/>
  <c r="L960" i="3"/>
  <c r="T959" i="3"/>
  <c r="L959" i="3"/>
  <c r="L958" i="3"/>
  <c r="T958" i="3"/>
  <c r="T957" i="3"/>
  <c r="L957" i="3"/>
  <c r="L956" i="3"/>
  <c r="T956" i="3"/>
  <c r="T955" i="3"/>
  <c r="L955" i="3"/>
  <c r="L954" i="3"/>
  <c r="T954" i="3"/>
  <c r="L953" i="3"/>
  <c r="T953" i="3"/>
  <c r="L952" i="3"/>
  <c r="T952" i="3"/>
  <c r="L951" i="3"/>
  <c r="T951" i="3"/>
  <c r="L950" i="3"/>
  <c r="T950" i="3"/>
  <c r="L949" i="3"/>
  <c r="T949" i="3"/>
  <c r="L948" i="3"/>
  <c r="T948" i="3"/>
  <c r="T947" i="3"/>
  <c r="L947" i="3"/>
  <c r="L946" i="3"/>
  <c r="T946" i="3"/>
  <c r="L945" i="3"/>
  <c r="T945" i="3"/>
  <c r="T944" i="3"/>
  <c r="L944" i="3"/>
  <c r="L943" i="3"/>
  <c r="T943" i="3"/>
  <c r="T942" i="3"/>
  <c r="L942" i="3"/>
  <c r="L941" i="3"/>
  <c r="T941" i="3"/>
  <c r="L940" i="3"/>
  <c r="T940" i="3"/>
  <c r="L939" i="3"/>
  <c r="T939" i="3"/>
  <c r="T938" i="3"/>
  <c r="L938" i="3"/>
  <c r="L937" i="3"/>
  <c r="T937" i="3"/>
  <c r="T936" i="3"/>
  <c r="L936" i="3"/>
  <c r="T935" i="3"/>
  <c r="L935" i="3"/>
  <c r="L934" i="3"/>
  <c r="T934" i="3"/>
  <c r="L933" i="3"/>
  <c r="T933" i="3"/>
  <c r="T932" i="3"/>
  <c r="L932" i="3"/>
  <c r="L931" i="3"/>
  <c r="T931" i="3"/>
  <c r="T930" i="3"/>
  <c r="L930" i="3"/>
  <c r="T929" i="3"/>
  <c r="L929" i="3"/>
  <c r="V928" i="3"/>
  <c r="S928" i="3"/>
  <c r="T927" i="3"/>
  <c r="L927" i="3"/>
  <c r="T926" i="3"/>
  <c r="L926" i="3"/>
  <c r="L925" i="3"/>
  <c r="T925" i="3"/>
  <c r="L924" i="3"/>
  <c r="T924" i="3"/>
  <c r="T923" i="3"/>
  <c r="L923" i="3"/>
  <c r="T922" i="3"/>
  <c r="L922" i="3"/>
  <c r="L921" i="3"/>
  <c r="T921" i="3"/>
  <c r="L920" i="3"/>
  <c r="T920" i="3"/>
  <c r="T919" i="3"/>
  <c r="L919" i="3"/>
  <c r="L918" i="3"/>
  <c r="T918" i="3"/>
  <c r="T917" i="3"/>
  <c r="L917" i="3"/>
  <c r="L916" i="3"/>
  <c r="T916" i="3"/>
  <c r="T915" i="3"/>
  <c r="L915" i="3"/>
  <c r="L914" i="3"/>
  <c r="T914" i="3"/>
  <c r="T913" i="3"/>
  <c r="L913" i="3"/>
  <c r="T912" i="3"/>
  <c r="L912" i="3"/>
  <c r="L911" i="3"/>
  <c r="T911" i="3"/>
  <c r="L910" i="3"/>
  <c r="T910" i="3"/>
  <c r="T909" i="3"/>
  <c r="L909" i="3"/>
  <c r="T908" i="3"/>
  <c r="L908" i="3"/>
  <c r="T907" i="3"/>
  <c r="L907" i="3"/>
  <c r="T906" i="3"/>
  <c r="L906" i="3"/>
  <c r="L905" i="3"/>
  <c r="T905" i="3"/>
  <c r="T904" i="3"/>
  <c r="L904" i="3"/>
  <c r="T903" i="3"/>
  <c r="L903" i="3"/>
  <c r="T902" i="3"/>
  <c r="L902" i="3"/>
  <c r="T901" i="3"/>
  <c r="L901" i="3"/>
  <c r="T900" i="3"/>
  <c r="L900" i="3"/>
  <c r="L899" i="3"/>
  <c r="T899" i="3"/>
  <c r="T898" i="3"/>
  <c r="L898" i="3"/>
  <c r="T897" i="3"/>
  <c r="L897" i="3"/>
  <c r="L896" i="3"/>
  <c r="T896" i="3"/>
  <c r="L895" i="3"/>
  <c r="T895" i="3"/>
  <c r="T894" i="3"/>
  <c r="L894" i="3"/>
  <c r="T893" i="3"/>
  <c r="L893" i="3"/>
  <c r="L892" i="3"/>
  <c r="T892" i="3"/>
  <c r="L891" i="3"/>
  <c r="T891" i="3"/>
  <c r="T890" i="3"/>
  <c r="L890" i="3"/>
  <c r="T889" i="3"/>
  <c r="L889" i="3"/>
  <c r="L888" i="3"/>
  <c r="T888" i="3"/>
  <c r="T887" i="3"/>
  <c r="L887" i="3"/>
  <c r="L886" i="3"/>
  <c r="T886" i="3"/>
  <c r="T885" i="3"/>
  <c r="L885" i="3"/>
  <c r="L884" i="3"/>
  <c r="T884" i="3"/>
  <c r="T883" i="3"/>
  <c r="L883" i="3"/>
  <c r="L882" i="3"/>
  <c r="T882" i="3"/>
  <c r="L881" i="3"/>
  <c r="T881" i="3"/>
  <c r="L880" i="3"/>
  <c r="T880" i="3"/>
  <c r="L879" i="3"/>
  <c r="T879" i="3"/>
  <c r="T878" i="3"/>
  <c r="L878" i="3"/>
  <c r="L877" i="3"/>
  <c r="T877" i="3"/>
  <c r="T876" i="3"/>
  <c r="L876" i="3"/>
  <c r="T875" i="3"/>
  <c r="L875" i="3"/>
  <c r="T874" i="3"/>
  <c r="L874" i="3"/>
  <c r="T873" i="3"/>
  <c r="L873" i="3"/>
  <c r="T872" i="3"/>
  <c r="L872" i="3"/>
  <c r="T871" i="3"/>
  <c r="L871" i="3"/>
  <c r="T870" i="3"/>
  <c r="L870" i="3"/>
  <c r="L869" i="3"/>
  <c r="T869" i="3"/>
  <c r="L868" i="3"/>
  <c r="T868" i="3"/>
  <c r="L867" i="3"/>
  <c r="T867" i="3"/>
  <c r="L866" i="3"/>
  <c r="T866" i="3"/>
  <c r="L865" i="3"/>
  <c r="T865" i="3"/>
  <c r="L864" i="3"/>
  <c r="T864" i="3"/>
  <c r="T863" i="3"/>
  <c r="L863" i="3"/>
  <c r="L862" i="3"/>
  <c r="T862" i="3"/>
  <c r="L861" i="3"/>
  <c r="T861" i="3"/>
  <c r="T860" i="3"/>
  <c r="L860" i="3"/>
  <c r="L859" i="3"/>
  <c r="T859" i="3"/>
  <c r="T858" i="3"/>
  <c r="L858" i="3"/>
  <c r="L857" i="3"/>
  <c r="T857" i="3"/>
  <c r="L856" i="3"/>
  <c r="T856" i="3"/>
  <c r="T855" i="3"/>
  <c r="L855" i="3"/>
  <c r="L854" i="3"/>
  <c r="T854" i="3"/>
  <c r="T853" i="3"/>
  <c r="L853" i="3"/>
  <c r="T852" i="3"/>
  <c r="L852" i="3"/>
  <c r="T851" i="3"/>
  <c r="L851" i="3"/>
  <c r="T850" i="3"/>
  <c r="L850" i="3"/>
  <c r="T849" i="3"/>
  <c r="L849" i="3"/>
  <c r="L848" i="3"/>
  <c r="T848" i="3"/>
  <c r="L847" i="3"/>
  <c r="T847" i="3"/>
  <c r="T846" i="3"/>
  <c r="L846" i="3"/>
  <c r="T845" i="3"/>
  <c r="L845" i="3"/>
  <c r="T844" i="3"/>
  <c r="L844" i="3"/>
  <c r="T843" i="3"/>
  <c r="L843" i="3"/>
  <c r="L842" i="3"/>
  <c r="T842" i="3"/>
  <c r="T841" i="3"/>
  <c r="L841" i="3"/>
  <c r="T840" i="3"/>
  <c r="L840" i="3"/>
  <c r="T839" i="3"/>
  <c r="L839" i="3"/>
  <c r="L838" i="3"/>
  <c r="T838" i="3"/>
  <c r="T837" i="3"/>
  <c r="L837" i="3"/>
  <c r="T836" i="3"/>
  <c r="L836" i="3"/>
  <c r="T835" i="3"/>
  <c r="L835" i="3"/>
  <c r="T834" i="3"/>
  <c r="L834" i="3"/>
  <c r="T833" i="3"/>
  <c r="L833" i="3"/>
  <c r="T832" i="3"/>
  <c r="L832" i="3"/>
  <c r="L831" i="3"/>
  <c r="T831" i="3"/>
  <c r="T830" i="3"/>
  <c r="L830" i="3"/>
  <c r="T829" i="3"/>
  <c r="L829" i="3"/>
  <c r="T828" i="3"/>
  <c r="L828" i="3"/>
  <c r="L827" i="3"/>
  <c r="T827" i="3"/>
  <c r="T826" i="3"/>
  <c r="L826" i="3"/>
  <c r="S825" i="3"/>
  <c r="V825" i="3"/>
  <c r="T824" i="3"/>
  <c r="L824" i="3"/>
  <c r="T823" i="3"/>
  <c r="L823" i="3"/>
  <c r="L822" i="3"/>
  <c r="T822" i="3"/>
  <c r="L821" i="3"/>
  <c r="T821" i="3"/>
  <c r="L820" i="3"/>
  <c r="T820" i="3"/>
  <c r="T819" i="3"/>
  <c r="L819" i="3"/>
  <c r="T818" i="3"/>
  <c r="L818" i="3"/>
  <c r="L817" i="3"/>
  <c r="T817" i="3"/>
  <c r="T816" i="3"/>
  <c r="L816" i="3"/>
  <c r="T815" i="3"/>
  <c r="L815" i="3"/>
  <c r="L814" i="3"/>
  <c r="T814" i="3"/>
  <c r="T813" i="3"/>
  <c r="L813" i="3"/>
  <c r="L812" i="3"/>
  <c r="T812" i="3"/>
  <c r="L811" i="3"/>
  <c r="T811" i="3"/>
  <c r="T810" i="3"/>
  <c r="L810" i="3"/>
  <c r="T809" i="3"/>
  <c r="L809" i="3"/>
  <c r="L808" i="3"/>
  <c r="T808" i="3"/>
  <c r="L807" i="3"/>
  <c r="T807" i="3"/>
  <c r="T806" i="3"/>
  <c r="L806" i="3"/>
  <c r="T805" i="3"/>
  <c r="L805" i="3"/>
  <c r="T804" i="3"/>
  <c r="L804" i="3"/>
  <c r="T803" i="3"/>
  <c r="L803" i="3"/>
  <c r="T802" i="3"/>
  <c r="L802" i="3"/>
  <c r="T801" i="3"/>
  <c r="L801" i="3"/>
  <c r="T800" i="3"/>
  <c r="L800" i="3"/>
  <c r="T799" i="3"/>
  <c r="L799" i="3"/>
  <c r="T798" i="3"/>
  <c r="L798" i="3"/>
  <c r="T797" i="3"/>
  <c r="L797" i="3"/>
  <c r="L796" i="3"/>
  <c r="T796" i="3"/>
  <c r="T795" i="3"/>
  <c r="L795" i="3"/>
  <c r="T794" i="3"/>
  <c r="L794" i="3"/>
  <c r="L793" i="3"/>
  <c r="T793" i="3"/>
  <c r="L792" i="3"/>
  <c r="T792" i="3"/>
  <c r="L791" i="3"/>
  <c r="T791" i="3"/>
  <c r="L790" i="3"/>
  <c r="T790" i="3"/>
  <c r="T789" i="3"/>
  <c r="L789" i="3"/>
  <c r="T788" i="3"/>
  <c r="L788" i="3"/>
  <c r="T787" i="3"/>
  <c r="L787" i="3"/>
  <c r="T786" i="3"/>
  <c r="L786" i="3"/>
  <c r="T785" i="3"/>
  <c r="L785" i="3"/>
  <c r="T784" i="3"/>
  <c r="L784" i="3"/>
  <c r="L783" i="3"/>
  <c r="T783" i="3"/>
  <c r="T782" i="3"/>
  <c r="L782" i="3"/>
  <c r="T781" i="3"/>
  <c r="L781" i="3"/>
  <c r="T780" i="3"/>
  <c r="L780" i="3"/>
  <c r="T779" i="3"/>
  <c r="L779" i="3"/>
  <c r="L778" i="3"/>
  <c r="T778" i="3"/>
  <c r="T777" i="3"/>
  <c r="L777" i="3"/>
  <c r="T776" i="3"/>
  <c r="L776" i="3"/>
  <c r="T775" i="3"/>
  <c r="L775" i="3"/>
  <c r="T774" i="3"/>
  <c r="L774" i="3"/>
  <c r="T773" i="3"/>
  <c r="L773" i="3"/>
  <c r="T772" i="3"/>
  <c r="L772" i="3"/>
  <c r="L771" i="3"/>
  <c r="T771" i="3"/>
  <c r="T770" i="3"/>
  <c r="L770" i="3"/>
  <c r="T769" i="3"/>
  <c r="L769" i="3"/>
  <c r="T768" i="3"/>
  <c r="L768" i="3"/>
  <c r="L767" i="3"/>
  <c r="T767" i="3"/>
  <c r="T766" i="3"/>
  <c r="L766" i="3"/>
  <c r="T765" i="3"/>
  <c r="L765" i="3"/>
  <c r="L764" i="3"/>
  <c r="T764" i="3"/>
  <c r="T763" i="3"/>
  <c r="L763" i="3"/>
  <c r="L762" i="3"/>
  <c r="T762" i="3"/>
  <c r="T761" i="3"/>
  <c r="L761" i="3"/>
  <c r="L760" i="3"/>
  <c r="T760" i="3"/>
  <c r="T759" i="3"/>
  <c r="L759" i="3"/>
  <c r="T758" i="3"/>
  <c r="L758" i="3"/>
  <c r="L757" i="3"/>
  <c r="T757" i="3"/>
  <c r="T756" i="3"/>
  <c r="L756" i="3"/>
  <c r="L755" i="3"/>
  <c r="T755" i="3"/>
  <c r="L754" i="3"/>
  <c r="T754" i="3"/>
  <c r="L753" i="3"/>
  <c r="T753" i="3"/>
  <c r="T752" i="3"/>
  <c r="L752" i="3"/>
  <c r="L751" i="3"/>
  <c r="T751" i="3"/>
  <c r="L750" i="3"/>
  <c r="T750" i="3"/>
  <c r="L749" i="3"/>
  <c r="T749" i="3"/>
  <c r="T748" i="3"/>
  <c r="L748" i="3"/>
  <c r="T747" i="3"/>
  <c r="L747" i="3"/>
  <c r="T746" i="3"/>
  <c r="L746" i="3"/>
  <c r="L745" i="3"/>
  <c r="T745" i="3"/>
  <c r="L744" i="3"/>
  <c r="T744" i="3"/>
  <c r="L743" i="3"/>
  <c r="T743" i="3"/>
  <c r="L742" i="3"/>
  <c r="T742" i="3"/>
  <c r="T741" i="3"/>
  <c r="L741" i="3"/>
  <c r="L740" i="3"/>
  <c r="T740" i="3"/>
  <c r="L739" i="3"/>
  <c r="T739" i="3"/>
  <c r="L738" i="3"/>
  <c r="T738" i="3"/>
  <c r="T737" i="3"/>
  <c r="L737" i="3"/>
  <c r="L736" i="3"/>
  <c r="T736" i="3"/>
  <c r="T735" i="3"/>
  <c r="L735" i="3"/>
  <c r="L734" i="3"/>
  <c r="T734" i="3"/>
  <c r="L733" i="3"/>
  <c r="T733" i="3"/>
  <c r="L732" i="3"/>
  <c r="T732" i="3"/>
  <c r="L731" i="3"/>
  <c r="T731" i="3"/>
  <c r="L730" i="3"/>
  <c r="T730" i="3"/>
  <c r="L729" i="3"/>
  <c r="T729" i="3"/>
  <c r="L728" i="3"/>
  <c r="T728" i="3"/>
  <c r="L727" i="3"/>
  <c r="T727" i="3"/>
  <c r="L726" i="3"/>
  <c r="T726" i="3"/>
  <c r="T725" i="3"/>
  <c r="L725" i="3"/>
  <c r="T724" i="3"/>
  <c r="L724" i="3"/>
  <c r="T723" i="3"/>
  <c r="L723" i="3"/>
  <c r="L722" i="3"/>
  <c r="T722" i="3"/>
  <c r="T721" i="3"/>
  <c r="L721" i="3"/>
  <c r="T720" i="3"/>
  <c r="L720" i="3"/>
  <c r="T719" i="3"/>
  <c r="L719" i="3"/>
  <c r="T718" i="3"/>
  <c r="L718" i="3"/>
  <c r="T717" i="3"/>
  <c r="L717" i="3"/>
  <c r="T716" i="3"/>
  <c r="L716" i="3"/>
  <c r="T715" i="3"/>
  <c r="L715" i="3"/>
  <c r="T714" i="3"/>
  <c r="L714" i="3"/>
  <c r="L713" i="3"/>
  <c r="T713" i="3"/>
  <c r="L712" i="3"/>
  <c r="T712" i="3"/>
  <c r="L711" i="3"/>
  <c r="T711" i="3"/>
  <c r="L710" i="3"/>
  <c r="T710" i="3"/>
  <c r="L709" i="3"/>
  <c r="T709" i="3"/>
  <c r="L708" i="3"/>
  <c r="T708" i="3"/>
  <c r="L707" i="3"/>
  <c r="T707" i="3"/>
  <c r="T706" i="3"/>
  <c r="L706" i="3"/>
  <c r="L705" i="3"/>
  <c r="T705" i="3"/>
  <c r="T704" i="3"/>
  <c r="L704" i="3"/>
  <c r="L703" i="3"/>
  <c r="T703" i="3"/>
  <c r="T702" i="3"/>
  <c r="L702" i="3"/>
  <c r="L701" i="3"/>
  <c r="T701" i="3"/>
  <c r="L700" i="3"/>
  <c r="T700" i="3"/>
  <c r="L699" i="3"/>
  <c r="T699" i="3"/>
  <c r="T698" i="3"/>
  <c r="L698" i="3"/>
  <c r="T697" i="3"/>
  <c r="L697" i="3"/>
  <c r="T696" i="3"/>
  <c r="L696" i="3"/>
  <c r="L695" i="3"/>
  <c r="T695" i="3"/>
  <c r="T694" i="3"/>
  <c r="L694" i="3"/>
  <c r="L693" i="3"/>
  <c r="T693" i="3"/>
  <c r="L692" i="3"/>
  <c r="T692" i="3"/>
  <c r="L691" i="3"/>
  <c r="T691" i="3"/>
  <c r="L690" i="3"/>
  <c r="T690" i="3"/>
  <c r="T689" i="3"/>
  <c r="L689" i="3"/>
  <c r="T688" i="3"/>
  <c r="L688" i="3"/>
  <c r="T687" i="3"/>
  <c r="L687" i="3"/>
  <c r="L686" i="3"/>
  <c r="T686" i="3"/>
  <c r="L685" i="3"/>
  <c r="T685" i="3"/>
  <c r="T684" i="3"/>
  <c r="L684" i="3"/>
  <c r="T683" i="3"/>
  <c r="L683" i="3"/>
  <c r="L682" i="3"/>
  <c r="T682" i="3"/>
  <c r="L681" i="3"/>
  <c r="T681" i="3"/>
  <c r="T680" i="3"/>
  <c r="L680" i="3"/>
  <c r="L679" i="3"/>
  <c r="T679" i="3"/>
  <c r="L678" i="3"/>
  <c r="T678" i="3"/>
  <c r="L677" i="3"/>
  <c r="T677" i="3"/>
  <c r="T676" i="3"/>
  <c r="L676" i="3"/>
  <c r="T675" i="3"/>
  <c r="L675" i="3"/>
  <c r="T674" i="3"/>
  <c r="L674" i="3"/>
  <c r="L673" i="3"/>
  <c r="T673" i="3"/>
  <c r="L672" i="3"/>
  <c r="T672" i="3"/>
  <c r="L671" i="3"/>
  <c r="T671" i="3"/>
  <c r="L670" i="3"/>
  <c r="T670" i="3"/>
  <c r="T669" i="3"/>
  <c r="L669" i="3"/>
  <c r="L668" i="3"/>
  <c r="T668" i="3"/>
  <c r="L667" i="3"/>
  <c r="T667" i="3"/>
  <c r="L666" i="3"/>
  <c r="T666" i="3"/>
  <c r="L665" i="3"/>
  <c r="T665" i="3"/>
  <c r="T664" i="3"/>
  <c r="L664" i="3"/>
  <c r="T663" i="3"/>
  <c r="L663" i="3"/>
  <c r="T662" i="3"/>
  <c r="L662" i="3"/>
  <c r="T661" i="3"/>
  <c r="L661" i="3"/>
  <c r="L660" i="3"/>
  <c r="T660" i="3"/>
  <c r="L659" i="3"/>
  <c r="T659" i="3"/>
  <c r="L658" i="3"/>
  <c r="T658" i="3"/>
  <c r="L657" i="3"/>
  <c r="T657" i="3"/>
  <c r="T656" i="3"/>
  <c r="L656" i="3"/>
  <c r="L655" i="3"/>
  <c r="T655" i="3"/>
  <c r="L654" i="3"/>
  <c r="T654" i="3"/>
  <c r="L653" i="3"/>
  <c r="T653" i="3"/>
  <c r="L652" i="3"/>
  <c r="T652" i="3"/>
  <c r="L651" i="3"/>
  <c r="T651" i="3"/>
  <c r="L650" i="3"/>
  <c r="T650" i="3"/>
  <c r="T649" i="3"/>
  <c r="L649" i="3"/>
  <c r="T648" i="3"/>
  <c r="L648" i="3"/>
  <c r="T647" i="3"/>
  <c r="L647" i="3"/>
  <c r="L646" i="3"/>
  <c r="T646" i="3"/>
  <c r="L645" i="3"/>
  <c r="T645" i="3"/>
  <c r="T644" i="3"/>
  <c r="L644" i="3"/>
  <c r="T643" i="3"/>
  <c r="L643" i="3"/>
  <c r="T642" i="3"/>
  <c r="L642" i="3"/>
  <c r="T641" i="3"/>
  <c r="L641" i="3"/>
  <c r="T640" i="3"/>
  <c r="L640" i="3"/>
  <c r="T639" i="3"/>
  <c r="L639" i="3"/>
  <c r="T638" i="3"/>
  <c r="L638" i="3"/>
  <c r="L637" i="3"/>
  <c r="T637" i="3"/>
  <c r="L636" i="3"/>
  <c r="T636" i="3"/>
  <c r="T635" i="3"/>
  <c r="L635" i="3"/>
  <c r="L634" i="3"/>
  <c r="T634" i="3"/>
  <c r="L633" i="3"/>
  <c r="T633" i="3"/>
  <c r="L632" i="3"/>
  <c r="T632" i="3"/>
  <c r="T631" i="3"/>
  <c r="L631" i="3"/>
  <c r="L630" i="3"/>
  <c r="T630" i="3"/>
  <c r="L629" i="3"/>
  <c r="T629" i="3"/>
  <c r="L628" i="3"/>
  <c r="T628" i="3"/>
  <c r="L627" i="3"/>
  <c r="T627" i="3"/>
  <c r="T626" i="3"/>
  <c r="L626" i="3"/>
  <c r="T625" i="3"/>
  <c r="L625" i="3"/>
  <c r="T624" i="3"/>
  <c r="L624" i="3"/>
  <c r="T623" i="3"/>
  <c r="L623" i="3"/>
  <c r="T622" i="3"/>
  <c r="L622" i="3"/>
  <c r="T621" i="3"/>
  <c r="L621" i="3"/>
  <c r="V620" i="3"/>
  <c r="S620" i="3"/>
  <c r="T619" i="3"/>
  <c r="L619" i="3"/>
  <c r="T618" i="3"/>
  <c r="L618" i="3"/>
  <c r="L617" i="3"/>
  <c r="T617" i="3"/>
  <c r="L616" i="3"/>
  <c r="T616" i="3"/>
  <c r="L615" i="3"/>
  <c r="T615" i="3"/>
  <c r="L614" i="3"/>
  <c r="T614" i="3"/>
  <c r="T613" i="3"/>
  <c r="L613" i="3"/>
  <c r="L612" i="3"/>
  <c r="T612" i="3"/>
  <c r="L611" i="3"/>
  <c r="T611" i="3"/>
  <c r="L610" i="3"/>
  <c r="T610" i="3"/>
  <c r="L609" i="3"/>
  <c r="T609" i="3"/>
  <c r="L608" i="3"/>
  <c r="T608" i="3"/>
  <c r="L607" i="3"/>
  <c r="T607" i="3"/>
  <c r="T606" i="3"/>
  <c r="L606" i="3"/>
  <c r="T605" i="3"/>
  <c r="L605" i="3"/>
  <c r="T604" i="3"/>
  <c r="L604" i="3"/>
  <c r="T603" i="3"/>
  <c r="L603" i="3"/>
  <c r="L602" i="3"/>
  <c r="T602" i="3"/>
  <c r="L601" i="3"/>
  <c r="T601" i="3"/>
  <c r="T600" i="3"/>
  <c r="L600" i="3"/>
  <c r="L599" i="3"/>
  <c r="T599" i="3"/>
  <c r="L598" i="3"/>
  <c r="T598" i="3"/>
  <c r="T597" i="3"/>
  <c r="L597" i="3"/>
  <c r="L596" i="3"/>
  <c r="T596" i="3"/>
  <c r="L595" i="3"/>
  <c r="T595" i="3"/>
  <c r="T594" i="3"/>
  <c r="L594" i="3"/>
  <c r="L593" i="3"/>
  <c r="T593" i="3"/>
  <c r="L592" i="3"/>
  <c r="T592" i="3"/>
  <c r="T591" i="3"/>
  <c r="L591" i="3"/>
  <c r="T590" i="3"/>
  <c r="L590" i="3"/>
  <c r="T589" i="3"/>
  <c r="L589" i="3"/>
  <c r="T588" i="3"/>
  <c r="L588" i="3"/>
  <c r="T587" i="3"/>
  <c r="L587" i="3"/>
  <c r="T586" i="3"/>
  <c r="L586" i="3"/>
  <c r="T585" i="3"/>
  <c r="L585" i="3"/>
  <c r="T584" i="3"/>
  <c r="L584" i="3"/>
  <c r="T583" i="3"/>
  <c r="L583" i="3"/>
  <c r="L582" i="3"/>
  <c r="T582" i="3"/>
  <c r="T581" i="3"/>
  <c r="L581" i="3"/>
  <c r="T580" i="3"/>
  <c r="L580" i="3"/>
  <c r="T579" i="3"/>
  <c r="L579" i="3"/>
  <c r="L578" i="3"/>
  <c r="T578" i="3"/>
  <c r="L577" i="3"/>
  <c r="T577" i="3"/>
  <c r="L576" i="3"/>
  <c r="T576" i="3"/>
  <c r="L575" i="3"/>
  <c r="T575" i="3"/>
  <c r="L574" i="3"/>
  <c r="T574" i="3"/>
  <c r="L573" i="3"/>
  <c r="T573" i="3"/>
  <c r="L572" i="3"/>
  <c r="T572" i="3"/>
  <c r="L571" i="3"/>
  <c r="T571" i="3"/>
  <c r="T570" i="3"/>
  <c r="L570" i="3"/>
  <c r="L569" i="3"/>
  <c r="T569" i="3"/>
  <c r="T568" i="3"/>
  <c r="L568" i="3"/>
  <c r="T567" i="3"/>
  <c r="L567" i="3"/>
  <c r="T566" i="3"/>
  <c r="L566" i="3"/>
  <c r="L565" i="3"/>
  <c r="T565" i="3"/>
  <c r="T564" i="3"/>
  <c r="L564" i="3"/>
  <c r="L563" i="3"/>
  <c r="T563" i="3"/>
  <c r="L562" i="3"/>
  <c r="T562" i="3"/>
  <c r="T561" i="3"/>
  <c r="L561" i="3"/>
  <c r="L560" i="3"/>
  <c r="T560" i="3"/>
  <c r="T559" i="3"/>
  <c r="L559" i="3"/>
  <c r="T558" i="3"/>
  <c r="L558" i="3"/>
  <c r="T557" i="3"/>
  <c r="L557" i="3"/>
  <c r="T556" i="3"/>
  <c r="L556" i="3"/>
  <c r="T555" i="3"/>
  <c r="L555" i="3"/>
  <c r="T554" i="3"/>
  <c r="L554" i="3"/>
  <c r="T553" i="3"/>
  <c r="L553" i="3"/>
  <c r="T552" i="3"/>
  <c r="L552" i="3"/>
  <c r="L551" i="3"/>
  <c r="T551" i="3"/>
  <c r="L550" i="3"/>
  <c r="T550" i="3"/>
  <c r="T549" i="3"/>
  <c r="L549" i="3"/>
  <c r="L548" i="3"/>
  <c r="T548" i="3"/>
  <c r="L547" i="3"/>
  <c r="T547" i="3"/>
  <c r="L546" i="3"/>
  <c r="T546" i="3"/>
  <c r="L545" i="3"/>
  <c r="T545" i="3"/>
  <c r="L544" i="3"/>
  <c r="T544" i="3"/>
  <c r="L543" i="3"/>
  <c r="T543" i="3"/>
  <c r="L542" i="3"/>
  <c r="T542" i="3"/>
  <c r="T541" i="3"/>
  <c r="L541" i="3"/>
  <c r="T540" i="3"/>
  <c r="L540" i="3"/>
  <c r="T539" i="3"/>
  <c r="L539" i="3"/>
  <c r="T538" i="3"/>
  <c r="L538" i="3"/>
  <c r="T537" i="3"/>
  <c r="L537" i="3"/>
  <c r="T536" i="3"/>
  <c r="L536" i="3"/>
  <c r="T535" i="3"/>
  <c r="L535" i="3"/>
  <c r="L534" i="3"/>
  <c r="T534" i="3"/>
  <c r="T533" i="3"/>
  <c r="L533" i="3"/>
  <c r="T532" i="3"/>
  <c r="L532" i="3"/>
  <c r="T531" i="3"/>
  <c r="L531" i="3"/>
  <c r="T530" i="3"/>
  <c r="L530" i="3"/>
  <c r="T529" i="3"/>
  <c r="L529" i="3"/>
  <c r="L528" i="3"/>
  <c r="T528" i="3"/>
  <c r="T527" i="3"/>
  <c r="L527" i="3"/>
  <c r="L526" i="3"/>
  <c r="T526" i="3"/>
  <c r="L525" i="3"/>
  <c r="T525" i="3"/>
  <c r="L524" i="3"/>
  <c r="T524" i="3"/>
  <c r="T523" i="3"/>
  <c r="L523" i="3"/>
  <c r="T522" i="3"/>
  <c r="L522" i="3"/>
  <c r="T521" i="3"/>
  <c r="L521" i="3"/>
  <c r="T520" i="3"/>
  <c r="L520" i="3"/>
  <c r="T519" i="3"/>
  <c r="L519" i="3"/>
  <c r="T518" i="3"/>
  <c r="L518" i="3"/>
  <c r="S517" i="3"/>
  <c r="V517" i="3"/>
  <c r="L516" i="3"/>
  <c r="T516" i="3"/>
  <c r="T515" i="3"/>
  <c r="L515" i="3"/>
  <c r="T514" i="3"/>
  <c r="L514" i="3"/>
  <c r="T513" i="3"/>
  <c r="L513" i="3"/>
  <c r="T512" i="3"/>
  <c r="L512" i="3"/>
  <c r="T511" i="3"/>
  <c r="L511" i="3"/>
  <c r="T510" i="3"/>
  <c r="L510" i="3"/>
  <c r="T509" i="3"/>
  <c r="L509" i="3"/>
  <c r="L508" i="3"/>
  <c r="T508" i="3"/>
  <c r="T507" i="3"/>
  <c r="L507" i="3"/>
  <c r="L506" i="3"/>
  <c r="T506" i="3"/>
  <c r="L505" i="3"/>
  <c r="T505" i="3"/>
  <c r="T504" i="3"/>
  <c r="L504" i="3"/>
  <c r="T503" i="3"/>
  <c r="L503" i="3"/>
  <c r="L502" i="3"/>
  <c r="T502" i="3"/>
  <c r="T501" i="3"/>
  <c r="L501" i="3"/>
  <c r="T500" i="3"/>
  <c r="L500" i="3"/>
  <c r="L499" i="3"/>
  <c r="T499" i="3"/>
  <c r="T498" i="3"/>
  <c r="L498" i="3"/>
  <c r="T497" i="3"/>
  <c r="L497" i="3"/>
  <c r="T496" i="3"/>
  <c r="L496" i="3"/>
  <c r="L495" i="3"/>
  <c r="T495" i="3"/>
  <c r="L494" i="3"/>
  <c r="T494" i="3"/>
  <c r="L493" i="3"/>
  <c r="T493" i="3"/>
  <c r="T492" i="3"/>
  <c r="L492" i="3"/>
  <c r="T491" i="3"/>
  <c r="L491" i="3"/>
  <c r="T490" i="3"/>
  <c r="L490" i="3"/>
  <c r="L489" i="3"/>
  <c r="T489" i="3"/>
  <c r="T488" i="3"/>
  <c r="L488" i="3"/>
  <c r="T487" i="3"/>
  <c r="L487" i="3"/>
  <c r="T486" i="3"/>
  <c r="L486" i="3"/>
  <c r="T485" i="3"/>
  <c r="L485" i="3"/>
  <c r="T484" i="3"/>
  <c r="L484" i="3"/>
  <c r="L483" i="3"/>
  <c r="T483" i="3"/>
  <c r="L482" i="3"/>
  <c r="T482" i="3"/>
  <c r="L481" i="3"/>
  <c r="T481" i="3"/>
  <c r="T480" i="3"/>
  <c r="L480" i="3"/>
  <c r="L479" i="3"/>
  <c r="T479" i="3"/>
  <c r="L478" i="3"/>
  <c r="T478" i="3"/>
  <c r="T477" i="3"/>
  <c r="L477" i="3"/>
  <c r="T476" i="3"/>
  <c r="L476" i="3"/>
  <c r="T475" i="3"/>
  <c r="L475" i="3"/>
  <c r="T474" i="3"/>
  <c r="L474" i="3"/>
  <c r="L473" i="3"/>
  <c r="T473" i="3"/>
  <c r="T472" i="3"/>
  <c r="L472" i="3"/>
  <c r="L471" i="3"/>
  <c r="T471" i="3"/>
  <c r="L470" i="3"/>
  <c r="T470" i="3"/>
  <c r="L469" i="3"/>
  <c r="T469" i="3"/>
  <c r="T468" i="3"/>
  <c r="L468" i="3"/>
  <c r="L467" i="3"/>
  <c r="T467" i="3"/>
  <c r="T466" i="3"/>
  <c r="L466" i="3"/>
  <c r="L465" i="3"/>
  <c r="T465" i="3"/>
  <c r="T464" i="3"/>
  <c r="L464" i="3"/>
  <c r="T463" i="3"/>
  <c r="L463" i="3"/>
  <c r="T462" i="3"/>
  <c r="L462" i="3"/>
  <c r="L461" i="3"/>
  <c r="T461" i="3"/>
  <c r="T460" i="3"/>
  <c r="L460" i="3"/>
  <c r="L459" i="3"/>
  <c r="T459" i="3"/>
  <c r="L458" i="3"/>
  <c r="T458" i="3"/>
  <c r="T457" i="3"/>
  <c r="L457" i="3"/>
  <c r="T456" i="3"/>
  <c r="L456" i="3"/>
  <c r="L455" i="3"/>
  <c r="T455" i="3"/>
  <c r="L454" i="3"/>
  <c r="T454" i="3"/>
  <c r="T453" i="3"/>
  <c r="L453" i="3"/>
  <c r="T452" i="3"/>
  <c r="L452" i="3"/>
  <c r="L451" i="3"/>
  <c r="T451" i="3"/>
  <c r="L450" i="3"/>
  <c r="T450" i="3"/>
  <c r="L449" i="3"/>
  <c r="T449" i="3"/>
  <c r="L448" i="3"/>
  <c r="T448" i="3"/>
  <c r="L447" i="3"/>
  <c r="T447" i="3"/>
  <c r="L446" i="3"/>
  <c r="T446" i="3"/>
  <c r="L445" i="3"/>
  <c r="T445" i="3"/>
  <c r="L444" i="3"/>
  <c r="T444" i="3"/>
  <c r="L443" i="3"/>
  <c r="T443" i="3"/>
  <c r="L442" i="3"/>
  <c r="T442" i="3"/>
  <c r="T441" i="3"/>
  <c r="L441" i="3"/>
  <c r="L440" i="3"/>
  <c r="T440" i="3"/>
  <c r="L439" i="3"/>
  <c r="T439" i="3"/>
  <c r="L438" i="3"/>
  <c r="T438" i="3"/>
  <c r="T437" i="3"/>
  <c r="L437" i="3"/>
  <c r="L436" i="3"/>
  <c r="T436" i="3"/>
  <c r="T435" i="3"/>
  <c r="L435" i="3"/>
  <c r="L434" i="3"/>
  <c r="T434" i="3"/>
  <c r="T433" i="3"/>
  <c r="L433" i="3"/>
  <c r="T432" i="3"/>
  <c r="L432" i="3"/>
  <c r="L431" i="3"/>
  <c r="T431" i="3"/>
  <c r="L430" i="3"/>
  <c r="T430" i="3"/>
  <c r="T429" i="3"/>
  <c r="L429" i="3"/>
  <c r="L428" i="3"/>
  <c r="T428" i="3"/>
  <c r="L427" i="3"/>
  <c r="T427" i="3"/>
  <c r="T426" i="3"/>
  <c r="L426" i="3"/>
  <c r="L425" i="3"/>
  <c r="T425" i="3"/>
  <c r="L424" i="3"/>
  <c r="T424" i="3"/>
  <c r="T423" i="3"/>
  <c r="L423" i="3"/>
  <c r="L422" i="3"/>
  <c r="T422" i="3"/>
  <c r="L421" i="3"/>
  <c r="T421" i="3"/>
  <c r="L420" i="3"/>
  <c r="T420" i="3"/>
  <c r="T419" i="3"/>
  <c r="L419" i="3"/>
  <c r="L418" i="3"/>
  <c r="T418" i="3"/>
  <c r="T417" i="3"/>
  <c r="L417" i="3"/>
  <c r="T416" i="3"/>
  <c r="L416" i="3"/>
  <c r="T415" i="3"/>
  <c r="L415" i="3"/>
  <c r="S414" i="3"/>
  <c r="V414" i="3"/>
  <c r="T413" i="3"/>
  <c r="L413" i="3"/>
  <c r="T412" i="3"/>
  <c r="L412" i="3"/>
  <c r="T411" i="3"/>
  <c r="L411" i="3"/>
  <c r="L410" i="3"/>
  <c r="T410" i="3"/>
  <c r="T409" i="3"/>
  <c r="L409" i="3"/>
  <c r="L408" i="3"/>
  <c r="T408" i="3"/>
  <c r="T407" i="3"/>
  <c r="L407" i="3"/>
  <c r="L406" i="3"/>
  <c r="T406" i="3"/>
  <c r="L405" i="3"/>
  <c r="T405" i="3"/>
  <c r="L404" i="3"/>
  <c r="T404" i="3"/>
  <c r="L403" i="3"/>
  <c r="T403" i="3"/>
  <c r="T402" i="3"/>
  <c r="L402" i="3"/>
  <c r="T401" i="3"/>
  <c r="L401" i="3"/>
  <c r="T400" i="3"/>
  <c r="L400" i="3"/>
  <c r="L399" i="3"/>
  <c r="T399" i="3"/>
  <c r="L398" i="3"/>
  <c r="T398" i="3"/>
  <c r="T397" i="3"/>
  <c r="L397" i="3"/>
  <c r="L396" i="3"/>
  <c r="T396" i="3"/>
  <c r="L395" i="3"/>
  <c r="T395" i="3"/>
  <c r="L394" i="3"/>
  <c r="T394" i="3"/>
  <c r="L393" i="3"/>
  <c r="T393" i="3"/>
  <c r="T392" i="3"/>
  <c r="L392" i="3"/>
  <c r="T391" i="3"/>
  <c r="L391" i="3"/>
  <c r="T390" i="3"/>
  <c r="L390" i="3"/>
  <c r="T389" i="3"/>
  <c r="L389" i="3"/>
  <c r="T388" i="3"/>
  <c r="L388" i="3"/>
  <c r="T387" i="3"/>
  <c r="L387" i="3"/>
  <c r="T386" i="3"/>
  <c r="L386" i="3"/>
  <c r="L385" i="3"/>
  <c r="T385" i="3"/>
  <c r="T384" i="3"/>
  <c r="L384" i="3"/>
  <c r="T383" i="3"/>
  <c r="L383" i="3"/>
  <c r="T382" i="3"/>
  <c r="L382" i="3"/>
  <c r="T381" i="3"/>
  <c r="L381" i="3"/>
  <c r="T380" i="3"/>
  <c r="L380" i="3"/>
  <c r="L379" i="3"/>
  <c r="T379" i="3"/>
  <c r="T378" i="3"/>
  <c r="L378" i="3"/>
  <c r="L377" i="3"/>
  <c r="T377" i="3"/>
  <c r="L376" i="3"/>
  <c r="T376" i="3"/>
  <c r="T375" i="3"/>
  <c r="L375" i="3"/>
  <c r="L374" i="3"/>
  <c r="T374" i="3"/>
  <c r="L373" i="3"/>
  <c r="T373" i="3"/>
  <c r="L372" i="3"/>
  <c r="T372" i="3"/>
  <c r="L371" i="3"/>
  <c r="T371" i="3"/>
  <c r="T370" i="3"/>
  <c r="L370" i="3"/>
  <c r="T369" i="3"/>
  <c r="L369" i="3"/>
  <c r="L368" i="3"/>
  <c r="T368" i="3"/>
  <c r="T367" i="3"/>
  <c r="L367" i="3"/>
  <c r="L366" i="3"/>
  <c r="T366" i="3"/>
  <c r="L365" i="3"/>
  <c r="T365" i="3"/>
  <c r="T364" i="3"/>
  <c r="L364" i="3"/>
  <c r="T363" i="3"/>
  <c r="L363" i="3"/>
  <c r="T362" i="3"/>
  <c r="L362" i="3"/>
  <c r="T361" i="3"/>
  <c r="L361" i="3"/>
  <c r="T360" i="3"/>
  <c r="L360" i="3"/>
  <c r="T359" i="3"/>
  <c r="L359" i="3"/>
  <c r="L358" i="3"/>
  <c r="T358" i="3"/>
  <c r="L357" i="3"/>
  <c r="T357" i="3"/>
  <c r="T356" i="3"/>
  <c r="L356" i="3"/>
  <c r="T355" i="3"/>
  <c r="L355" i="3"/>
  <c r="T354" i="3"/>
  <c r="L354" i="3"/>
  <c r="T353" i="3"/>
  <c r="L353" i="3"/>
  <c r="T352" i="3"/>
  <c r="L352" i="3"/>
  <c r="T351" i="3"/>
  <c r="L351" i="3"/>
  <c r="T350" i="3"/>
  <c r="L350" i="3"/>
  <c r="T349" i="3"/>
  <c r="L349" i="3"/>
  <c r="L348" i="3"/>
  <c r="T348" i="3"/>
  <c r="T347" i="3"/>
  <c r="L347" i="3"/>
  <c r="L346" i="3"/>
  <c r="T346" i="3"/>
  <c r="T345" i="3"/>
  <c r="L345" i="3"/>
  <c r="T344" i="3"/>
  <c r="L344" i="3"/>
  <c r="T343" i="3"/>
  <c r="L343" i="3"/>
  <c r="T342" i="3"/>
  <c r="L342" i="3"/>
  <c r="L341" i="3"/>
  <c r="T341" i="3"/>
  <c r="T340" i="3"/>
  <c r="L340" i="3"/>
  <c r="T339" i="3"/>
  <c r="L339" i="3"/>
  <c r="T338" i="3"/>
  <c r="L338" i="3"/>
  <c r="T337" i="3"/>
  <c r="L337" i="3"/>
  <c r="T336" i="3"/>
  <c r="L336" i="3"/>
  <c r="T335" i="3"/>
  <c r="L335" i="3"/>
  <c r="T334" i="3"/>
  <c r="L334" i="3"/>
  <c r="T333" i="3"/>
  <c r="L333" i="3"/>
  <c r="T332" i="3"/>
  <c r="L332" i="3"/>
  <c r="T331" i="3"/>
  <c r="L331" i="3"/>
  <c r="T330" i="3"/>
  <c r="L330" i="3"/>
  <c r="T329" i="3"/>
  <c r="L329" i="3"/>
  <c r="T328" i="3"/>
  <c r="L328" i="3"/>
  <c r="T327" i="3"/>
  <c r="L327" i="3"/>
  <c r="T326" i="3"/>
  <c r="L326" i="3"/>
  <c r="L325" i="3"/>
  <c r="T325" i="3"/>
  <c r="L324" i="3"/>
  <c r="T324" i="3"/>
  <c r="L323" i="3"/>
  <c r="T323" i="3"/>
  <c r="L322" i="3"/>
  <c r="T322" i="3"/>
  <c r="L321" i="3"/>
  <c r="T321" i="3"/>
  <c r="T320" i="3"/>
  <c r="L320" i="3"/>
  <c r="L319" i="3"/>
  <c r="T319" i="3"/>
  <c r="T318" i="3"/>
  <c r="L318" i="3"/>
  <c r="T317" i="3"/>
  <c r="L317" i="3"/>
  <c r="T316" i="3"/>
  <c r="L316" i="3"/>
  <c r="L315" i="3"/>
  <c r="T315" i="3"/>
  <c r="T314" i="3"/>
  <c r="L314" i="3"/>
  <c r="T313" i="3"/>
  <c r="L313" i="3"/>
  <c r="T312" i="3"/>
  <c r="L312" i="3"/>
  <c r="T311" i="3"/>
  <c r="L311" i="3"/>
  <c r="T310" i="3"/>
  <c r="L310" i="3"/>
  <c r="L309" i="3"/>
  <c r="T309" i="3"/>
  <c r="T308" i="3"/>
  <c r="L308" i="3"/>
  <c r="T307" i="3"/>
  <c r="L307" i="3"/>
  <c r="L306" i="3"/>
  <c r="T306" i="3"/>
  <c r="L305" i="3"/>
  <c r="T305" i="3"/>
  <c r="T304" i="3"/>
  <c r="L304" i="3"/>
  <c r="T303" i="3"/>
  <c r="L303" i="3"/>
  <c r="L302" i="3"/>
  <c r="T302" i="3"/>
  <c r="T301" i="3"/>
  <c r="L301" i="3"/>
  <c r="T300" i="3"/>
  <c r="L300" i="3"/>
  <c r="L299" i="3"/>
  <c r="T299" i="3"/>
  <c r="T298" i="3"/>
  <c r="L298" i="3"/>
  <c r="L297" i="3"/>
  <c r="T297" i="3"/>
  <c r="L296" i="3"/>
  <c r="T296" i="3"/>
  <c r="L295" i="3"/>
  <c r="T295" i="3"/>
  <c r="T294" i="3"/>
  <c r="L294" i="3"/>
  <c r="T293" i="3"/>
  <c r="L293" i="3"/>
  <c r="T292" i="3"/>
  <c r="L292" i="3"/>
  <c r="L291" i="3"/>
  <c r="T291" i="3"/>
  <c r="T290" i="3"/>
  <c r="L290" i="3"/>
  <c r="L289" i="3"/>
  <c r="T289" i="3"/>
  <c r="T288" i="3"/>
  <c r="L288" i="3"/>
  <c r="T287" i="3"/>
  <c r="L287" i="3"/>
  <c r="T286" i="3"/>
  <c r="L286" i="3"/>
  <c r="L285" i="3"/>
  <c r="T285" i="3"/>
  <c r="T284" i="3"/>
  <c r="L284" i="3"/>
  <c r="L283" i="3"/>
  <c r="T283" i="3"/>
  <c r="T282" i="3"/>
  <c r="L282" i="3"/>
  <c r="L281" i="3"/>
  <c r="T281" i="3"/>
  <c r="L280" i="3"/>
  <c r="T280" i="3"/>
  <c r="L279" i="3"/>
  <c r="T279" i="3"/>
  <c r="T278" i="3"/>
  <c r="L278" i="3"/>
  <c r="T277" i="3"/>
  <c r="L277" i="3"/>
  <c r="L276" i="3"/>
  <c r="T276" i="3"/>
  <c r="L275" i="3"/>
  <c r="T275" i="3"/>
  <c r="L274" i="3"/>
  <c r="T274" i="3"/>
  <c r="L273" i="3"/>
  <c r="T273" i="3"/>
  <c r="T272" i="3"/>
  <c r="L272" i="3"/>
  <c r="L271" i="3"/>
  <c r="T271" i="3"/>
  <c r="L270" i="3"/>
  <c r="T270" i="3"/>
  <c r="T269" i="3"/>
  <c r="L269" i="3"/>
  <c r="T268" i="3"/>
  <c r="L268" i="3"/>
  <c r="L267" i="3"/>
  <c r="T267" i="3"/>
  <c r="L266" i="3"/>
  <c r="T266" i="3"/>
  <c r="L265" i="3"/>
  <c r="T265" i="3"/>
  <c r="L264" i="3"/>
  <c r="T264" i="3"/>
  <c r="T263" i="3"/>
  <c r="L263" i="3"/>
  <c r="T262" i="3"/>
  <c r="L262" i="3"/>
  <c r="L261" i="3"/>
  <c r="T261" i="3"/>
  <c r="T260" i="3"/>
  <c r="L260" i="3"/>
  <c r="T259" i="3"/>
  <c r="L259" i="3"/>
  <c r="T258" i="3"/>
  <c r="L258" i="3"/>
  <c r="T257" i="3"/>
  <c r="L257" i="3"/>
  <c r="T256" i="3"/>
  <c r="L256" i="3"/>
  <c r="T255" i="3"/>
  <c r="L255" i="3"/>
  <c r="T254" i="3"/>
  <c r="L254" i="3"/>
  <c r="T253" i="3"/>
  <c r="L253" i="3"/>
  <c r="L252" i="3"/>
  <c r="T252" i="3"/>
  <c r="T251" i="3"/>
  <c r="L251" i="3"/>
  <c r="T250" i="3"/>
  <c r="L250" i="3"/>
  <c r="T249" i="3"/>
  <c r="L249" i="3"/>
  <c r="T248" i="3"/>
  <c r="L248" i="3"/>
  <c r="T247" i="3"/>
  <c r="L247" i="3"/>
  <c r="L246" i="3"/>
  <c r="T246" i="3"/>
  <c r="T245" i="3"/>
  <c r="L245" i="3"/>
  <c r="L244" i="3"/>
  <c r="T244" i="3"/>
  <c r="L243" i="3"/>
  <c r="T243" i="3"/>
  <c r="L242" i="3"/>
  <c r="T242" i="3"/>
  <c r="L241" i="3"/>
  <c r="T241" i="3"/>
  <c r="L240" i="3"/>
  <c r="T240" i="3"/>
  <c r="T239" i="3"/>
  <c r="L239" i="3"/>
  <c r="T238" i="3"/>
  <c r="L238" i="3"/>
  <c r="T237" i="3"/>
  <c r="L237" i="3"/>
  <c r="T236" i="3"/>
  <c r="L236" i="3"/>
  <c r="T235" i="3"/>
  <c r="L235" i="3"/>
  <c r="L234" i="3"/>
  <c r="T234" i="3"/>
  <c r="L233" i="3"/>
  <c r="T233" i="3"/>
  <c r="T232" i="3"/>
  <c r="L232" i="3"/>
  <c r="L231" i="3"/>
  <c r="T231" i="3"/>
  <c r="L230" i="3"/>
  <c r="T230" i="3"/>
  <c r="L229" i="3"/>
  <c r="T229" i="3"/>
  <c r="L228" i="3"/>
  <c r="T228" i="3"/>
  <c r="L227" i="3"/>
  <c r="T227" i="3"/>
  <c r="L226" i="3"/>
  <c r="T226" i="3"/>
  <c r="L225" i="3"/>
  <c r="T225" i="3"/>
  <c r="L224" i="3"/>
  <c r="T224" i="3"/>
  <c r="L223" i="3"/>
  <c r="T223" i="3"/>
  <c r="T222" i="3"/>
  <c r="L222" i="3"/>
  <c r="T221" i="3"/>
  <c r="L221" i="3"/>
  <c r="T220" i="3"/>
  <c r="L220" i="3"/>
  <c r="L219" i="3"/>
  <c r="T219" i="3"/>
  <c r="L218" i="3"/>
  <c r="T218" i="3"/>
  <c r="T217" i="3"/>
  <c r="L217" i="3"/>
  <c r="T216" i="3"/>
  <c r="L216" i="3"/>
  <c r="L215" i="3"/>
  <c r="T215" i="3"/>
  <c r="T214" i="3"/>
  <c r="L214" i="3"/>
  <c r="T213" i="3"/>
  <c r="L213" i="3"/>
  <c r="L212" i="3"/>
  <c r="T212" i="3"/>
  <c r="L211" i="3"/>
  <c r="T211" i="3"/>
  <c r="L210" i="3"/>
  <c r="T210" i="3"/>
  <c r="S209" i="3"/>
  <c r="V209" i="3"/>
  <c r="L208" i="3"/>
  <c r="T208" i="3"/>
  <c r="T207" i="3"/>
  <c r="L207" i="3"/>
  <c r="T206" i="3"/>
  <c r="L206" i="3"/>
  <c r="L205" i="3"/>
  <c r="T205" i="3"/>
  <c r="L204" i="3"/>
  <c r="T204" i="3"/>
  <c r="T203" i="3"/>
  <c r="L203" i="3"/>
  <c r="L202" i="3"/>
  <c r="T202" i="3"/>
  <c r="L201" i="3"/>
  <c r="T201" i="3"/>
  <c r="L200" i="3"/>
  <c r="T200" i="3"/>
  <c r="T199" i="3"/>
  <c r="L199" i="3"/>
  <c r="T198" i="3"/>
  <c r="L198" i="3"/>
  <c r="T197" i="3"/>
  <c r="L197" i="3"/>
  <c r="T196" i="3"/>
  <c r="L196" i="3"/>
  <c r="L195" i="3"/>
  <c r="T195" i="3"/>
  <c r="L194" i="3"/>
  <c r="T194" i="3"/>
  <c r="L193" i="3"/>
  <c r="T193" i="3"/>
  <c r="T192" i="3"/>
  <c r="L192" i="3"/>
  <c r="L191" i="3"/>
  <c r="T191" i="3"/>
  <c r="L190" i="3"/>
  <c r="T190" i="3"/>
  <c r="T189" i="3"/>
  <c r="L189" i="3"/>
  <c r="T188" i="3"/>
  <c r="L188" i="3"/>
  <c r="L187" i="3"/>
  <c r="T187" i="3"/>
  <c r="L186" i="3"/>
  <c r="T186" i="3"/>
  <c r="L185" i="3"/>
  <c r="T185" i="3"/>
  <c r="T184" i="3"/>
  <c r="L184" i="3"/>
  <c r="L183" i="3"/>
  <c r="T183" i="3"/>
  <c r="L182" i="3"/>
  <c r="T182" i="3"/>
  <c r="L181" i="3"/>
  <c r="T181" i="3"/>
  <c r="T180" i="3"/>
  <c r="L180" i="3"/>
  <c r="T179" i="3"/>
  <c r="L179" i="3"/>
  <c r="T178" i="3"/>
  <c r="L178" i="3"/>
  <c r="T177" i="3"/>
  <c r="L177" i="3"/>
  <c r="L176" i="3"/>
  <c r="T176" i="3"/>
  <c r="L175" i="3"/>
  <c r="T175" i="3"/>
  <c r="T174" i="3"/>
  <c r="L174" i="3"/>
  <c r="L173" i="3"/>
  <c r="T173" i="3"/>
  <c r="L172" i="3"/>
  <c r="T172" i="3"/>
  <c r="L171" i="3"/>
  <c r="T171" i="3"/>
  <c r="L170" i="3"/>
  <c r="T170" i="3"/>
  <c r="T169" i="3"/>
  <c r="L169" i="3"/>
  <c r="T168" i="3"/>
  <c r="L168" i="3"/>
  <c r="L167" i="3"/>
  <c r="T167" i="3"/>
  <c r="L166" i="3"/>
  <c r="T166" i="3"/>
  <c r="L165" i="3"/>
  <c r="T165" i="3"/>
  <c r="T164" i="3"/>
  <c r="L164" i="3"/>
  <c r="T163" i="3"/>
  <c r="L163" i="3"/>
  <c r="T162" i="3"/>
  <c r="L162" i="3"/>
  <c r="T161" i="3"/>
  <c r="L161" i="3"/>
  <c r="L160" i="3"/>
  <c r="T160" i="3"/>
  <c r="L159" i="3"/>
  <c r="T159" i="3"/>
  <c r="L158" i="3"/>
  <c r="T158" i="3"/>
  <c r="L157" i="3"/>
  <c r="T157" i="3"/>
  <c r="T156" i="3"/>
  <c r="L156" i="3"/>
  <c r="L155" i="3"/>
  <c r="T155" i="3"/>
  <c r="L154" i="3"/>
  <c r="T154" i="3"/>
  <c r="T153" i="3"/>
  <c r="L153" i="3"/>
  <c r="T152" i="3"/>
  <c r="L152" i="3"/>
  <c r="L151" i="3"/>
  <c r="T151" i="3"/>
  <c r="T150" i="3"/>
  <c r="L150" i="3"/>
  <c r="T149" i="3"/>
  <c r="L149" i="3"/>
  <c r="T148" i="3"/>
  <c r="L148" i="3"/>
  <c r="L147" i="3"/>
  <c r="T147" i="3"/>
  <c r="L146" i="3"/>
  <c r="T146" i="3"/>
  <c r="L145" i="3"/>
  <c r="T145" i="3"/>
  <c r="T144" i="3"/>
  <c r="L144" i="3"/>
  <c r="T143" i="3"/>
  <c r="L143" i="3"/>
  <c r="T142" i="3"/>
  <c r="L142" i="3"/>
  <c r="L141" i="3"/>
  <c r="T141" i="3"/>
  <c r="T140" i="3"/>
  <c r="L140" i="3"/>
  <c r="L139" i="3"/>
  <c r="T139" i="3"/>
  <c r="T138" i="3"/>
  <c r="L138" i="3"/>
  <c r="L137" i="3"/>
  <c r="T137" i="3"/>
  <c r="T136" i="3"/>
  <c r="L136" i="3"/>
  <c r="T135" i="3"/>
  <c r="L135" i="3"/>
  <c r="L134" i="3"/>
  <c r="T134" i="3"/>
  <c r="L133" i="3"/>
  <c r="T133" i="3"/>
  <c r="T132" i="3"/>
  <c r="L132" i="3"/>
  <c r="T131" i="3"/>
  <c r="L131" i="3"/>
  <c r="L130" i="3"/>
  <c r="T130" i="3"/>
  <c r="L129" i="3"/>
  <c r="T129" i="3"/>
  <c r="T128" i="3"/>
  <c r="L128" i="3"/>
  <c r="T127" i="3"/>
  <c r="L127" i="3"/>
  <c r="L126" i="3"/>
  <c r="T126" i="3"/>
  <c r="T125" i="3"/>
  <c r="L125" i="3"/>
  <c r="T124" i="3"/>
  <c r="L124" i="3"/>
  <c r="L123" i="3"/>
  <c r="T123" i="3"/>
  <c r="L122" i="3"/>
  <c r="T122" i="3"/>
  <c r="L121" i="3"/>
  <c r="T121" i="3"/>
  <c r="L120" i="3"/>
  <c r="T120" i="3"/>
  <c r="T119" i="3"/>
  <c r="L119" i="3"/>
  <c r="L118" i="3"/>
  <c r="T118" i="3"/>
  <c r="T117" i="3"/>
  <c r="L117" i="3"/>
  <c r="L116" i="3"/>
  <c r="T116" i="3"/>
  <c r="L115" i="3"/>
  <c r="T115" i="3"/>
  <c r="T114" i="3"/>
  <c r="L114" i="3"/>
  <c r="T113" i="3"/>
  <c r="L113" i="3"/>
  <c r="L112" i="3"/>
  <c r="T112" i="3"/>
  <c r="T111" i="3"/>
  <c r="L111" i="3"/>
  <c r="T110" i="3"/>
  <c r="L110" i="3"/>
  <c r="T109" i="3"/>
  <c r="L109" i="3"/>
  <c r="T108" i="3"/>
  <c r="L108" i="3"/>
  <c r="T107" i="3"/>
  <c r="L107" i="3"/>
  <c r="S106" i="3"/>
  <c r="V106" i="3"/>
  <c r="T105" i="3"/>
  <c r="L105" i="3"/>
  <c r="L104" i="3"/>
  <c r="T104" i="3"/>
  <c r="L103" i="3"/>
  <c r="T103" i="3"/>
  <c r="T102" i="3"/>
  <c r="L102" i="3"/>
  <c r="T101" i="3"/>
  <c r="L101" i="3"/>
  <c r="T100" i="3"/>
  <c r="L100" i="3"/>
  <c r="T99" i="3"/>
  <c r="L99" i="3"/>
  <c r="T98" i="3"/>
  <c r="L98" i="3"/>
  <c r="L97" i="3"/>
  <c r="T97" i="3"/>
  <c r="T96" i="3"/>
  <c r="L96" i="3"/>
  <c r="T95" i="3"/>
  <c r="L95" i="3"/>
  <c r="T94" i="3"/>
  <c r="L94" i="3"/>
  <c r="T93" i="3"/>
  <c r="L93" i="3"/>
  <c r="T92" i="3"/>
  <c r="L92" i="3"/>
  <c r="T91" i="3"/>
  <c r="L91" i="3"/>
  <c r="T90" i="3"/>
  <c r="L90" i="3"/>
  <c r="T89" i="3"/>
  <c r="L89" i="3"/>
  <c r="L88" i="3"/>
  <c r="T88" i="3"/>
  <c r="T87" i="3"/>
  <c r="L87" i="3"/>
  <c r="L86" i="3"/>
  <c r="T86" i="3"/>
  <c r="L85" i="3"/>
  <c r="T85" i="3"/>
  <c r="L84" i="3"/>
  <c r="T84" i="3"/>
  <c r="L83" i="3"/>
  <c r="T83" i="3"/>
  <c r="T82" i="3"/>
  <c r="L82" i="3"/>
  <c r="L81" i="3"/>
  <c r="T81" i="3"/>
  <c r="T80" i="3"/>
  <c r="L80" i="3"/>
  <c r="L79" i="3"/>
  <c r="T79" i="3"/>
  <c r="T78" i="3"/>
  <c r="L78" i="3"/>
  <c r="T77" i="3"/>
  <c r="L77" i="3"/>
  <c r="T76" i="3"/>
  <c r="L76" i="3"/>
  <c r="T75" i="3"/>
  <c r="L75" i="3"/>
  <c r="T74" i="3"/>
  <c r="L74" i="3"/>
  <c r="T73" i="3"/>
  <c r="L73" i="3"/>
  <c r="T72" i="3"/>
  <c r="L72" i="3"/>
  <c r="T71" i="3"/>
  <c r="L71" i="3"/>
  <c r="T70" i="3"/>
  <c r="L70" i="3"/>
  <c r="T69" i="3"/>
  <c r="L69" i="3"/>
  <c r="T68" i="3"/>
  <c r="L68" i="3"/>
  <c r="T67" i="3"/>
  <c r="L67" i="3"/>
  <c r="T66" i="3"/>
  <c r="L66" i="3"/>
  <c r="T65" i="3"/>
  <c r="L65" i="3"/>
  <c r="T64" i="3"/>
  <c r="L64" i="3"/>
  <c r="L63" i="3"/>
  <c r="T63" i="3"/>
  <c r="L62" i="3"/>
  <c r="T62" i="3"/>
  <c r="L61" i="3"/>
  <c r="T61" i="3"/>
  <c r="L60" i="3"/>
  <c r="T60" i="3"/>
  <c r="L59" i="3"/>
  <c r="T59" i="3"/>
  <c r="T58" i="3"/>
  <c r="L58" i="3"/>
  <c r="L57" i="3"/>
  <c r="T57" i="3"/>
  <c r="T56" i="3"/>
  <c r="L56" i="3"/>
  <c r="T55" i="3"/>
  <c r="L55" i="3"/>
  <c r="T54" i="3"/>
  <c r="L54" i="3"/>
  <c r="L53" i="3"/>
  <c r="T53" i="3"/>
  <c r="L52" i="3"/>
  <c r="T52" i="3"/>
  <c r="T51" i="3"/>
  <c r="L51" i="3"/>
  <c r="T50" i="3"/>
  <c r="L50" i="3"/>
  <c r="T49" i="3"/>
  <c r="L49" i="3"/>
  <c r="T48" i="3"/>
  <c r="L48" i="3"/>
  <c r="T47" i="3"/>
  <c r="L47" i="3"/>
  <c r="T46" i="3"/>
  <c r="L46" i="3"/>
  <c r="T45" i="3"/>
  <c r="L45" i="3"/>
  <c r="T44" i="3"/>
  <c r="L44" i="3"/>
  <c r="L43" i="3"/>
  <c r="T43" i="3"/>
  <c r="T42" i="3"/>
  <c r="L42" i="3"/>
  <c r="T41" i="3"/>
  <c r="L41" i="3"/>
  <c r="T40" i="3"/>
  <c r="L40" i="3"/>
  <c r="T39" i="3"/>
  <c r="L39" i="3"/>
  <c r="T38" i="3"/>
  <c r="L38" i="3"/>
  <c r="T37" i="3"/>
  <c r="L37" i="3"/>
  <c r="T36" i="3"/>
  <c r="L36" i="3"/>
  <c r="T35" i="3"/>
  <c r="L35" i="3"/>
  <c r="T34" i="3"/>
  <c r="L34" i="3"/>
  <c r="T33" i="3"/>
  <c r="L33" i="3"/>
  <c r="T32" i="3"/>
  <c r="L32" i="3"/>
  <c r="T31" i="3"/>
  <c r="L31" i="3"/>
  <c r="T30" i="3"/>
  <c r="L30" i="3"/>
  <c r="T29" i="3"/>
  <c r="L29" i="3"/>
  <c r="T28" i="3"/>
  <c r="L28" i="3"/>
  <c r="T27" i="3"/>
  <c r="L27" i="3"/>
  <c r="L26" i="3"/>
  <c r="T26" i="3"/>
  <c r="L25" i="3"/>
  <c r="T25" i="3"/>
  <c r="T24" i="3"/>
  <c r="L24" i="3"/>
  <c r="L23" i="3"/>
  <c r="T23" i="3"/>
  <c r="L22" i="3"/>
  <c r="T22" i="3"/>
  <c r="T21" i="3"/>
  <c r="L21" i="3"/>
  <c r="T20" i="3"/>
  <c r="L20" i="3"/>
  <c r="L19" i="3"/>
  <c r="T19" i="3"/>
  <c r="T18" i="3"/>
  <c r="L18" i="3"/>
  <c r="T17" i="3"/>
  <c r="L17" i="3"/>
  <c r="T16" i="3"/>
  <c r="L16" i="3"/>
  <c r="L15" i="3"/>
  <c r="T15" i="3"/>
  <c r="L14" i="3"/>
  <c r="T14" i="3"/>
  <c r="L13" i="3"/>
  <c r="T13" i="3"/>
  <c r="L12" i="3"/>
  <c r="T12" i="3"/>
  <c r="T11" i="3"/>
  <c r="L11" i="3"/>
  <c r="L10" i="3"/>
  <c r="T10" i="3"/>
  <c r="T9" i="3"/>
  <c r="L9" i="3"/>
  <c r="T8" i="3"/>
  <c r="L8" i="3"/>
  <c r="L7" i="3"/>
  <c r="T7" i="3"/>
  <c r="T6" i="3"/>
  <c r="L6" i="3"/>
  <c r="T5" i="3"/>
  <c r="L5" i="3"/>
  <c r="T4" i="3"/>
  <c r="L4" i="3"/>
  <c r="S1383" i="3" l="1"/>
  <c r="V1383" i="3"/>
  <c r="S1382" i="3"/>
  <c r="V1382" i="3"/>
  <c r="S1381" i="3"/>
  <c r="V1381" i="3"/>
  <c r="S1380" i="3"/>
  <c r="V1380" i="3"/>
  <c r="S1379" i="3"/>
  <c r="V1379" i="3"/>
  <c r="S1378" i="3"/>
  <c r="V1378" i="3"/>
  <c r="S1377" i="3"/>
  <c r="V1377" i="3"/>
  <c r="S1376" i="3"/>
  <c r="V1376" i="3"/>
  <c r="S1375" i="3"/>
  <c r="V1375" i="3"/>
  <c r="S1374" i="3"/>
  <c r="V1374" i="3"/>
  <c r="S1373" i="3"/>
  <c r="V1373" i="3"/>
  <c r="S1372" i="3"/>
  <c r="V1372" i="3"/>
  <c r="S1371" i="3"/>
  <c r="V1371" i="3"/>
  <c r="S1370" i="3"/>
  <c r="V1370" i="3"/>
  <c r="S1369" i="3"/>
  <c r="V1369" i="3"/>
  <c r="V1368" i="3"/>
  <c r="S1368" i="3"/>
  <c r="S1367" i="3"/>
  <c r="V1367" i="3"/>
  <c r="S1366" i="3"/>
  <c r="V1366" i="3"/>
  <c r="S1365" i="3"/>
  <c r="V1365" i="3"/>
  <c r="S1364" i="3"/>
  <c r="V1364" i="3"/>
  <c r="V1363" i="3"/>
  <c r="S1363" i="3"/>
  <c r="S1362" i="3"/>
  <c r="V1362" i="3"/>
  <c r="S1361" i="3"/>
  <c r="V1361" i="3"/>
  <c r="S1360" i="3"/>
  <c r="V1360" i="3"/>
  <c r="S1359" i="3"/>
  <c r="V1359" i="3"/>
  <c r="S1358" i="3"/>
  <c r="V1358" i="3"/>
  <c r="S1357" i="3"/>
  <c r="V1357" i="3"/>
  <c r="S1356" i="3"/>
  <c r="V1356" i="3"/>
  <c r="S1355" i="3"/>
  <c r="V1355" i="3"/>
  <c r="V1354" i="3"/>
  <c r="S1354" i="3"/>
  <c r="V1353" i="3"/>
  <c r="S1353" i="3"/>
  <c r="V1352" i="3"/>
  <c r="S1352" i="3"/>
  <c r="V1351" i="3"/>
  <c r="S1351" i="3"/>
  <c r="S1350" i="3"/>
  <c r="V1350" i="3"/>
  <c r="S1349" i="3"/>
  <c r="V1349" i="3"/>
  <c r="V1348" i="3"/>
  <c r="S1348" i="3"/>
  <c r="V1347" i="3"/>
  <c r="S1347" i="3"/>
  <c r="V1346" i="3"/>
  <c r="S1346" i="3"/>
  <c r="V1345" i="3"/>
  <c r="S1345" i="3"/>
  <c r="S1344" i="3"/>
  <c r="V1344" i="3"/>
  <c r="V1343" i="3"/>
  <c r="S1343" i="3"/>
  <c r="V1342" i="3"/>
  <c r="S1342" i="3"/>
  <c r="V1341" i="3"/>
  <c r="S1341" i="3"/>
  <c r="S1340" i="3"/>
  <c r="V1340" i="3"/>
  <c r="V1339" i="3"/>
  <c r="S1339" i="3"/>
  <c r="S1338" i="3"/>
  <c r="V1338" i="3"/>
  <c r="S1337" i="3"/>
  <c r="V1337" i="3"/>
  <c r="S1336" i="3"/>
  <c r="V1336" i="3"/>
  <c r="S1335" i="3"/>
  <c r="V1335" i="3"/>
  <c r="S1334" i="3"/>
  <c r="V1334" i="3"/>
  <c r="S1333" i="3"/>
  <c r="V1333" i="3"/>
  <c r="S1332" i="3"/>
  <c r="V1332" i="3"/>
  <c r="S1331" i="3"/>
  <c r="V1331" i="3"/>
  <c r="S1330" i="3"/>
  <c r="V1330" i="3"/>
  <c r="S1329" i="3"/>
  <c r="V1329" i="3"/>
  <c r="S1328" i="3"/>
  <c r="V1328" i="3"/>
  <c r="S1327" i="3"/>
  <c r="V1327" i="3"/>
  <c r="S1326" i="3"/>
  <c r="V1326" i="3"/>
  <c r="S1325" i="3"/>
  <c r="V1325" i="3"/>
  <c r="S1324" i="3"/>
  <c r="V1324" i="3"/>
  <c r="S1323" i="3"/>
  <c r="V1323" i="3"/>
  <c r="S1322" i="3"/>
  <c r="V1322" i="3"/>
  <c r="S1321" i="3"/>
  <c r="V1321" i="3"/>
  <c r="S1320" i="3"/>
  <c r="V1320" i="3"/>
  <c r="S1319" i="3"/>
  <c r="V1319" i="3"/>
  <c r="S1318" i="3"/>
  <c r="V1318" i="3"/>
  <c r="S1317" i="3"/>
  <c r="V1317" i="3"/>
  <c r="S1316" i="3"/>
  <c r="V1316" i="3"/>
  <c r="S1315" i="3"/>
  <c r="V1315" i="3"/>
  <c r="S1314" i="3"/>
  <c r="V1314" i="3"/>
  <c r="S1313" i="3"/>
  <c r="V1313" i="3"/>
  <c r="S1312" i="3"/>
  <c r="V1312" i="3"/>
  <c r="S1311" i="3"/>
  <c r="V1311" i="3"/>
  <c r="S1310" i="3"/>
  <c r="V1310" i="3"/>
  <c r="S1309" i="3"/>
  <c r="V1309" i="3"/>
  <c r="S1308" i="3"/>
  <c r="V1308" i="3"/>
  <c r="S1307" i="3"/>
  <c r="V1307" i="3"/>
  <c r="S1306" i="3"/>
  <c r="V1306" i="3"/>
  <c r="S1305" i="3"/>
  <c r="V1305" i="3"/>
  <c r="S1304" i="3"/>
  <c r="V1304" i="3"/>
  <c r="S1303" i="3"/>
  <c r="V1303" i="3"/>
  <c r="S1302" i="3"/>
  <c r="V1302" i="3"/>
  <c r="S1301" i="3"/>
  <c r="V1301" i="3"/>
  <c r="S1300" i="3"/>
  <c r="V1300" i="3"/>
  <c r="S1299" i="3"/>
  <c r="V1299" i="3"/>
  <c r="S1298" i="3"/>
  <c r="V1298" i="3"/>
  <c r="S1297" i="3"/>
  <c r="V1297" i="3"/>
  <c r="S1296" i="3"/>
  <c r="V1296" i="3"/>
  <c r="S1295" i="3"/>
  <c r="V1295" i="3"/>
  <c r="S1294" i="3"/>
  <c r="V1294" i="3"/>
  <c r="S1293" i="3"/>
  <c r="V1293" i="3"/>
  <c r="S1292" i="3"/>
  <c r="V1292" i="3"/>
  <c r="S1291" i="3"/>
  <c r="V1291" i="3"/>
  <c r="S1290" i="3"/>
  <c r="V1290" i="3"/>
  <c r="S1289" i="3"/>
  <c r="V1289" i="3"/>
  <c r="S1288" i="3"/>
  <c r="V1288" i="3"/>
  <c r="S1287" i="3"/>
  <c r="V1287" i="3"/>
  <c r="S1286" i="3"/>
  <c r="V1286" i="3"/>
  <c r="S1285" i="3"/>
  <c r="V1285" i="3"/>
  <c r="S1284" i="3"/>
  <c r="V1284" i="3"/>
  <c r="S1283" i="3"/>
  <c r="V1283" i="3"/>
  <c r="S1282" i="3"/>
  <c r="V1282" i="3"/>
  <c r="S1281" i="3"/>
  <c r="V1281" i="3"/>
  <c r="S1280" i="3"/>
  <c r="V1280" i="3"/>
  <c r="S1279" i="3"/>
  <c r="V1279" i="3"/>
  <c r="S1278" i="3"/>
  <c r="V1278" i="3"/>
  <c r="S1277" i="3"/>
  <c r="V1277" i="3"/>
  <c r="S1276" i="3"/>
  <c r="V1276" i="3"/>
  <c r="S1275" i="3"/>
  <c r="V1275" i="3"/>
  <c r="S1274" i="3"/>
  <c r="V1274" i="3"/>
  <c r="S1273" i="3"/>
  <c r="V1273" i="3"/>
  <c r="S1272" i="3"/>
  <c r="V1272" i="3"/>
  <c r="S1271" i="3"/>
  <c r="V1271" i="3"/>
  <c r="S1270" i="3"/>
  <c r="V1270" i="3"/>
  <c r="S1269" i="3"/>
  <c r="V1269" i="3"/>
  <c r="S1268" i="3"/>
  <c r="V1268" i="3"/>
  <c r="S1267" i="3"/>
  <c r="V1267" i="3"/>
  <c r="S1266" i="3"/>
  <c r="V1266" i="3"/>
  <c r="S1265" i="3"/>
  <c r="V1265" i="3"/>
  <c r="S1264" i="3"/>
  <c r="V1264" i="3"/>
  <c r="S1263" i="3"/>
  <c r="V1263" i="3"/>
  <c r="S1262" i="3"/>
  <c r="V1262" i="3"/>
  <c r="V1261" i="3"/>
  <c r="S1261" i="3"/>
  <c r="S1260" i="3"/>
  <c r="V1260" i="3"/>
  <c r="V1259" i="3"/>
  <c r="S1259" i="3"/>
  <c r="S1258" i="3"/>
  <c r="V1258" i="3"/>
  <c r="S1257" i="3"/>
  <c r="V1257" i="3"/>
  <c r="V1256" i="3"/>
  <c r="S1256" i="3"/>
  <c r="S1255" i="3"/>
  <c r="V1255" i="3"/>
  <c r="V1254" i="3"/>
  <c r="S1254" i="3"/>
  <c r="S1253" i="3"/>
  <c r="V1253" i="3"/>
  <c r="S1252" i="3"/>
  <c r="V1252" i="3"/>
  <c r="V1251" i="3"/>
  <c r="S1251" i="3"/>
  <c r="S1250" i="3"/>
  <c r="V1250" i="3"/>
  <c r="V1249" i="3"/>
  <c r="S1249" i="3"/>
  <c r="V1248" i="3"/>
  <c r="S1248" i="3"/>
  <c r="V1247" i="3"/>
  <c r="S1247" i="3"/>
  <c r="V1246" i="3"/>
  <c r="S1246" i="3"/>
  <c r="V1245" i="3"/>
  <c r="S1245" i="3"/>
  <c r="S1244" i="3"/>
  <c r="V1244" i="3"/>
  <c r="V1243" i="3"/>
  <c r="S1243" i="3"/>
  <c r="V1242" i="3"/>
  <c r="S1242" i="3"/>
  <c r="S1241" i="3"/>
  <c r="V1241" i="3"/>
  <c r="V1240" i="3"/>
  <c r="S1240" i="3"/>
  <c r="V1239" i="3"/>
  <c r="S1239" i="3"/>
  <c r="V1238" i="3"/>
  <c r="S1238" i="3"/>
  <c r="V1237" i="3"/>
  <c r="S1237" i="3"/>
  <c r="S1235" i="3"/>
  <c r="V1235" i="3"/>
  <c r="S1234" i="3"/>
  <c r="V1234" i="3"/>
  <c r="S1233" i="3"/>
  <c r="V1233" i="3"/>
  <c r="S1232" i="3"/>
  <c r="V1232" i="3"/>
  <c r="S1231" i="3"/>
  <c r="V1231" i="3"/>
  <c r="S1230" i="3"/>
  <c r="V1230" i="3"/>
  <c r="S1229" i="3"/>
  <c r="V1229" i="3"/>
  <c r="S1228" i="3"/>
  <c r="V1228" i="3"/>
  <c r="S1227" i="3"/>
  <c r="V1227" i="3"/>
  <c r="S1226" i="3"/>
  <c r="V1226" i="3"/>
  <c r="S1225" i="3"/>
  <c r="V1225" i="3"/>
  <c r="S1224" i="3"/>
  <c r="V1224" i="3"/>
  <c r="S1223" i="3"/>
  <c r="V1223" i="3"/>
  <c r="S1222" i="3"/>
  <c r="V1222" i="3"/>
  <c r="S1221" i="3"/>
  <c r="V1221" i="3"/>
  <c r="S1220" i="3"/>
  <c r="V1220" i="3"/>
  <c r="S1219" i="3"/>
  <c r="V1219" i="3"/>
  <c r="S1218" i="3"/>
  <c r="V1218" i="3"/>
  <c r="S1217" i="3"/>
  <c r="V1217" i="3"/>
  <c r="S1216" i="3"/>
  <c r="V1216" i="3"/>
  <c r="S1215" i="3"/>
  <c r="V1215" i="3"/>
  <c r="S1214" i="3"/>
  <c r="V1214" i="3"/>
  <c r="S1213" i="3"/>
  <c r="V1213" i="3"/>
  <c r="S1212" i="3"/>
  <c r="V1212" i="3"/>
  <c r="S1211" i="3"/>
  <c r="V1211" i="3"/>
  <c r="S1210" i="3"/>
  <c r="V1210" i="3"/>
  <c r="S1209" i="3"/>
  <c r="V1209" i="3"/>
  <c r="S1208" i="3"/>
  <c r="V1208" i="3"/>
  <c r="S1207" i="3"/>
  <c r="V1207" i="3"/>
  <c r="S1206" i="3"/>
  <c r="V1206" i="3"/>
  <c r="S1205" i="3"/>
  <c r="V1205" i="3"/>
  <c r="S1204" i="3"/>
  <c r="V1204" i="3"/>
  <c r="S1203" i="3"/>
  <c r="V1203" i="3"/>
  <c r="S1202" i="3"/>
  <c r="V1202" i="3"/>
  <c r="S1201" i="3"/>
  <c r="V1201" i="3"/>
  <c r="S1200" i="3"/>
  <c r="V1200" i="3"/>
  <c r="S1199" i="3"/>
  <c r="V1199" i="3"/>
  <c r="S1198" i="3"/>
  <c r="V1198" i="3"/>
  <c r="S1197" i="3"/>
  <c r="V1197" i="3"/>
  <c r="S1196" i="3"/>
  <c r="V1196" i="3"/>
  <c r="S1195" i="3"/>
  <c r="V1195" i="3"/>
  <c r="S1194" i="3"/>
  <c r="V1194" i="3"/>
  <c r="S1193" i="3"/>
  <c r="V1193" i="3"/>
  <c r="S1192" i="3"/>
  <c r="V1192" i="3"/>
  <c r="S1191" i="3"/>
  <c r="V1191" i="3"/>
  <c r="S1190" i="3"/>
  <c r="V1190" i="3"/>
  <c r="S1189" i="3"/>
  <c r="V1189" i="3"/>
  <c r="S1188" i="3"/>
  <c r="V1188" i="3"/>
  <c r="S1187" i="3"/>
  <c r="V1187" i="3"/>
  <c r="S1186" i="3"/>
  <c r="V1186" i="3"/>
  <c r="S1185" i="3"/>
  <c r="V1185" i="3"/>
  <c r="S1184" i="3"/>
  <c r="V1184" i="3"/>
  <c r="S1183" i="3"/>
  <c r="V1183" i="3"/>
  <c r="S1182" i="3"/>
  <c r="V1182" i="3"/>
  <c r="S1181" i="3"/>
  <c r="V1181" i="3"/>
  <c r="S1180" i="3"/>
  <c r="V1180" i="3"/>
  <c r="S1179" i="3"/>
  <c r="V1179" i="3"/>
  <c r="S1178" i="3"/>
  <c r="V1178" i="3"/>
  <c r="S1177" i="3"/>
  <c r="V1177" i="3"/>
  <c r="S1176" i="3"/>
  <c r="V1176" i="3"/>
  <c r="S1175" i="3"/>
  <c r="V1175" i="3"/>
  <c r="S1174" i="3"/>
  <c r="V1174" i="3"/>
  <c r="S1173" i="3"/>
  <c r="V1173" i="3"/>
  <c r="S1172" i="3"/>
  <c r="V1172" i="3"/>
  <c r="S1171" i="3"/>
  <c r="V1171" i="3"/>
  <c r="S1170" i="3"/>
  <c r="V1170" i="3"/>
  <c r="S1169" i="3"/>
  <c r="V1169" i="3"/>
  <c r="S1168" i="3"/>
  <c r="V1168" i="3"/>
  <c r="S1167" i="3"/>
  <c r="V1167" i="3"/>
  <c r="S1166" i="3"/>
  <c r="V1166" i="3"/>
  <c r="S1165" i="3"/>
  <c r="V1165" i="3"/>
  <c r="S1164" i="3"/>
  <c r="V1164" i="3"/>
  <c r="S1163" i="3"/>
  <c r="V1163" i="3"/>
  <c r="S1162" i="3"/>
  <c r="V1162" i="3"/>
  <c r="S1161" i="3"/>
  <c r="V1161" i="3"/>
  <c r="S1160" i="3"/>
  <c r="V1160" i="3"/>
  <c r="S1159" i="3"/>
  <c r="V1159" i="3"/>
  <c r="S1158" i="3"/>
  <c r="V1158" i="3"/>
  <c r="S1157" i="3"/>
  <c r="V1157" i="3"/>
  <c r="S1156" i="3"/>
  <c r="V1156" i="3"/>
  <c r="S1155" i="3"/>
  <c r="V1155" i="3"/>
  <c r="S1154" i="3"/>
  <c r="V1154" i="3"/>
  <c r="S1153" i="3"/>
  <c r="V1153" i="3"/>
  <c r="S1152" i="3"/>
  <c r="V1152" i="3"/>
  <c r="V1151" i="3"/>
  <c r="S1151" i="3"/>
  <c r="V1150" i="3"/>
  <c r="S1150" i="3"/>
  <c r="S1149" i="3"/>
  <c r="V1149" i="3"/>
  <c r="V1148" i="3"/>
  <c r="S1148" i="3"/>
  <c r="S1147" i="3"/>
  <c r="V1147" i="3"/>
  <c r="S1146" i="3"/>
  <c r="V1146" i="3"/>
  <c r="S1145" i="3"/>
  <c r="V1145" i="3"/>
  <c r="S1144" i="3"/>
  <c r="V1144" i="3"/>
  <c r="V1143" i="3"/>
  <c r="S1143" i="3"/>
  <c r="S1142" i="3"/>
  <c r="V1142" i="3"/>
  <c r="V1141" i="3"/>
  <c r="S1141" i="3"/>
  <c r="V1140" i="3"/>
  <c r="S1140" i="3"/>
  <c r="S1139" i="3"/>
  <c r="V1139" i="3"/>
  <c r="S1138" i="3"/>
  <c r="V1138" i="3"/>
  <c r="S1137" i="3"/>
  <c r="V1137" i="3"/>
  <c r="S1136" i="3"/>
  <c r="V1136" i="3"/>
  <c r="S1135" i="3"/>
  <c r="V1135" i="3"/>
  <c r="S1134" i="3"/>
  <c r="V1134" i="3"/>
  <c r="S1132" i="3"/>
  <c r="V1132" i="3"/>
  <c r="S1131" i="3"/>
  <c r="V1131" i="3"/>
  <c r="S1130" i="3"/>
  <c r="V1130" i="3"/>
  <c r="S1129" i="3"/>
  <c r="V1129" i="3"/>
  <c r="S1128" i="3"/>
  <c r="V1128" i="3"/>
  <c r="S1127" i="3"/>
  <c r="V1127" i="3"/>
  <c r="S1126" i="3"/>
  <c r="V1126" i="3"/>
  <c r="S1125" i="3"/>
  <c r="V1125" i="3"/>
  <c r="S1124" i="3"/>
  <c r="V1124" i="3"/>
  <c r="S1123" i="3"/>
  <c r="V1123" i="3"/>
  <c r="S1122" i="3"/>
  <c r="V1122" i="3"/>
  <c r="S1121" i="3"/>
  <c r="V1121" i="3"/>
  <c r="S1120" i="3"/>
  <c r="V1120" i="3"/>
  <c r="S1119" i="3"/>
  <c r="V1119" i="3"/>
  <c r="S1118" i="3"/>
  <c r="V1118" i="3"/>
  <c r="S1117" i="3"/>
  <c r="V1117" i="3"/>
  <c r="S1116" i="3"/>
  <c r="V1116" i="3"/>
  <c r="S1115" i="3"/>
  <c r="V1115" i="3"/>
  <c r="S1114" i="3"/>
  <c r="V1114" i="3"/>
  <c r="S1113" i="3"/>
  <c r="V1113" i="3"/>
  <c r="S1112" i="3"/>
  <c r="V1112" i="3"/>
  <c r="S1111" i="3"/>
  <c r="V1111" i="3"/>
  <c r="S1110" i="3"/>
  <c r="V1110" i="3"/>
  <c r="S1109" i="3"/>
  <c r="V1109" i="3"/>
  <c r="S1108" i="3"/>
  <c r="V1108" i="3"/>
  <c r="S1107" i="3"/>
  <c r="V1107" i="3"/>
  <c r="S1106" i="3"/>
  <c r="V1106" i="3"/>
  <c r="S1105" i="3"/>
  <c r="V1105" i="3"/>
  <c r="S1104" i="3"/>
  <c r="V1104" i="3"/>
  <c r="S1103" i="3"/>
  <c r="V1103" i="3"/>
  <c r="S1102" i="3"/>
  <c r="V1102" i="3"/>
  <c r="S1101" i="3"/>
  <c r="V1101" i="3"/>
  <c r="S1100" i="3"/>
  <c r="V1100" i="3"/>
  <c r="S1099" i="3"/>
  <c r="V1099" i="3"/>
  <c r="S1098" i="3"/>
  <c r="V1098" i="3"/>
  <c r="S1097" i="3"/>
  <c r="V1097" i="3"/>
  <c r="S1096" i="3"/>
  <c r="V1096" i="3"/>
  <c r="S1095" i="3"/>
  <c r="V1095" i="3"/>
  <c r="S1094" i="3"/>
  <c r="V1094" i="3"/>
  <c r="S1093" i="3"/>
  <c r="V1093" i="3"/>
  <c r="S1092" i="3"/>
  <c r="V1092" i="3"/>
  <c r="S1091" i="3"/>
  <c r="V1091" i="3"/>
  <c r="S1090" i="3"/>
  <c r="V1090" i="3"/>
  <c r="S1089" i="3"/>
  <c r="V1089" i="3"/>
  <c r="S1088" i="3"/>
  <c r="V1088" i="3"/>
  <c r="S1087" i="3"/>
  <c r="V1087" i="3"/>
  <c r="S1086" i="3"/>
  <c r="V1086" i="3"/>
  <c r="S1085" i="3"/>
  <c r="V1085" i="3"/>
  <c r="S1084" i="3"/>
  <c r="V1084" i="3"/>
  <c r="S1083" i="3"/>
  <c r="V1083" i="3"/>
  <c r="S1082" i="3"/>
  <c r="V1082" i="3"/>
  <c r="S1081" i="3"/>
  <c r="V1081" i="3"/>
  <c r="S1080" i="3"/>
  <c r="V1080" i="3"/>
  <c r="S1079" i="3"/>
  <c r="V1079" i="3"/>
  <c r="S1078" i="3"/>
  <c r="V1078" i="3"/>
  <c r="S1077" i="3"/>
  <c r="V1077" i="3"/>
  <c r="S1076" i="3"/>
  <c r="V1076" i="3"/>
  <c r="S1075" i="3"/>
  <c r="V1075" i="3"/>
  <c r="S1074" i="3"/>
  <c r="V1074" i="3"/>
  <c r="S1073" i="3"/>
  <c r="V1073" i="3"/>
  <c r="S1072" i="3"/>
  <c r="V1072" i="3"/>
  <c r="S1071" i="3"/>
  <c r="V1071" i="3"/>
  <c r="S1070" i="3"/>
  <c r="V1070" i="3"/>
  <c r="S1069" i="3"/>
  <c r="V1069" i="3"/>
  <c r="S1068" i="3"/>
  <c r="V1068" i="3"/>
  <c r="S1067" i="3"/>
  <c r="V1067" i="3"/>
  <c r="S1066" i="3"/>
  <c r="V1066" i="3"/>
  <c r="S1065" i="3"/>
  <c r="V1065" i="3"/>
  <c r="S1064" i="3"/>
  <c r="V1064" i="3"/>
  <c r="S1063" i="3"/>
  <c r="V1063" i="3"/>
  <c r="S1062" i="3"/>
  <c r="V1062" i="3"/>
  <c r="S1061" i="3"/>
  <c r="V1061" i="3"/>
  <c r="S1060" i="3"/>
  <c r="V1060" i="3"/>
  <c r="S1059" i="3"/>
  <c r="V1059" i="3"/>
  <c r="S1058" i="3"/>
  <c r="V1058" i="3"/>
  <c r="S1057" i="3"/>
  <c r="V1057" i="3"/>
  <c r="S1056" i="3"/>
  <c r="V1056" i="3"/>
  <c r="S1055" i="3"/>
  <c r="V1055" i="3"/>
  <c r="S1054" i="3"/>
  <c r="V1054" i="3"/>
  <c r="S1053" i="3"/>
  <c r="V1053" i="3"/>
  <c r="S1052" i="3"/>
  <c r="V1052" i="3"/>
  <c r="S1051" i="3"/>
  <c r="V1051" i="3"/>
  <c r="S1050" i="3"/>
  <c r="V1050" i="3"/>
  <c r="S1049" i="3"/>
  <c r="V1049" i="3"/>
  <c r="S1048" i="3"/>
  <c r="V1048" i="3"/>
  <c r="S1047" i="3"/>
  <c r="V1047" i="3"/>
  <c r="V1046" i="3"/>
  <c r="S1046" i="3"/>
  <c r="V1045" i="3"/>
  <c r="S1045" i="3"/>
  <c r="S1044" i="3"/>
  <c r="V1044" i="3"/>
  <c r="S1043" i="3"/>
  <c r="V1043" i="3"/>
  <c r="V1042" i="3"/>
  <c r="S1042" i="3"/>
  <c r="S1041" i="3"/>
  <c r="V1041" i="3"/>
  <c r="V1040" i="3"/>
  <c r="S1040" i="3"/>
  <c r="S1039" i="3"/>
  <c r="V1039" i="3"/>
  <c r="S1038" i="3"/>
  <c r="V1038" i="3"/>
  <c r="S1036" i="3"/>
  <c r="V1036" i="3"/>
  <c r="V1035" i="3"/>
  <c r="S1035" i="3"/>
  <c r="S1034" i="3"/>
  <c r="V1034" i="3"/>
  <c r="V1033" i="3"/>
  <c r="S1033" i="3"/>
  <c r="V1032" i="3"/>
  <c r="S1032" i="3"/>
  <c r="S1031" i="3"/>
  <c r="V1031" i="3"/>
  <c r="V1030" i="3"/>
  <c r="S1030" i="3"/>
  <c r="S1029" i="3"/>
  <c r="V1029" i="3"/>
  <c r="S1028" i="3"/>
  <c r="V1028" i="3"/>
  <c r="S1027" i="3"/>
  <c r="V1027" i="3"/>
  <c r="V1026" i="3"/>
  <c r="S1026" i="3"/>
  <c r="S1025" i="3"/>
  <c r="V1025" i="3"/>
  <c r="S1024" i="3"/>
  <c r="V1024" i="3"/>
  <c r="S1023" i="3"/>
  <c r="V1023" i="3"/>
  <c r="S1022" i="3"/>
  <c r="V1022" i="3"/>
  <c r="S1021" i="3"/>
  <c r="V1021" i="3"/>
  <c r="S1020" i="3"/>
  <c r="V1020" i="3"/>
  <c r="S1019" i="3"/>
  <c r="V1019" i="3"/>
  <c r="S1018" i="3"/>
  <c r="V1018" i="3"/>
  <c r="S1017" i="3"/>
  <c r="V1017" i="3"/>
  <c r="S1016" i="3"/>
  <c r="V1016" i="3"/>
  <c r="S1015" i="3"/>
  <c r="V1015" i="3"/>
  <c r="S1014" i="3"/>
  <c r="V1014" i="3"/>
  <c r="V1013" i="3"/>
  <c r="S1013" i="3"/>
  <c r="V1012" i="3"/>
  <c r="S1012" i="3"/>
  <c r="V1011" i="3"/>
  <c r="S1011" i="3"/>
  <c r="V1010" i="3"/>
  <c r="S1010" i="3"/>
  <c r="S1009" i="3"/>
  <c r="V1009" i="3"/>
  <c r="S1008" i="3"/>
  <c r="V1008" i="3"/>
  <c r="S1007" i="3"/>
  <c r="V1007" i="3"/>
  <c r="V1006" i="3"/>
  <c r="S1006" i="3"/>
  <c r="V1005" i="3"/>
  <c r="S1005" i="3"/>
  <c r="S1004" i="3"/>
  <c r="V1004" i="3"/>
  <c r="S1003" i="3"/>
  <c r="V1003" i="3"/>
  <c r="V1002" i="3"/>
  <c r="S1002" i="3"/>
  <c r="V1001" i="3"/>
  <c r="S1001" i="3"/>
  <c r="S1000" i="3"/>
  <c r="V1000" i="3"/>
  <c r="S999" i="3"/>
  <c r="V999" i="3"/>
  <c r="S998" i="3"/>
  <c r="V998" i="3"/>
  <c r="S997" i="3"/>
  <c r="V997" i="3"/>
  <c r="S996" i="3"/>
  <c r="V996" i="3"/>
  <c r="S995" i="3"/>
  <c r="V995" i="3"/>
  <c r="S994" i="3"/>
  <c r="V994" i="3"/>
  <c r="S993" i="3"/>
  <c r="V993" i="3"/>
  <c r="S992" i="3"/>
  <c r="V992" i="3"/>
  <c r="S991" i="3"/>
  <c r="V991" i="3"/>
  <c r="S990" i="3"/>
  <c r="V990" i="3"/>
  <c r="S989" i="3"/>
  <c r="V989" i="3"/>
  <c r="S988" i="3"/>
  <c r="V988" i="3"/>
  <c r="S987" i="3"/>
  <c r="V987" i="3"/>
  <c r="S986" i="3"/>
  <c r="V986" i="3"/>
  <c r="S985" i="3"/>
  <c r="V985" i="3"/>
  <c r="S984" i="3"/>
  <c r="V984" i="3"/>
  <c r="S983" i="3"/>
  <c r="V983" i="3"/>
  <c r="V982" i="3"/>
  <c r="S982" i="3"/>
  <c r="V981" i="3"/>
  <c r="S981" i="3"/>
  <c r="S980" i="3"/>
  <c r="V980" i="3"/>
  <c r="V979" i="3"/>
  <c r="S979" i="3"/>
  <c r="V978" i="3"/>
  <c r="S978" i="3"/>
  <c r="S977" i="3"/>
  <c r="V977" i="3"/>
  <c r="S976" i="3"/>
  <c r="V976" i="3"/>
  <c r="V975" i="3"/>
  <c r="S975" i="3"/>
  <c r="S974" i="3"/>
  <c r="V974" i="3"/>
  <c r="V973" i="3"/>
  <c r="S973" i="3"/>
  <c r="V972" i="3"/>
  <c r="S972" i="3"/>
  <c r="S971" i="3"/>
  <c r="V971" i="3"/>
  <c r="V970" i="3"/>
  <c r="S970" i="3"/>
  <c r="V969" i="3"/>
  <c r="S969" i="3"/>
  <c r="V968" i="3"/>
  <c r="S968" i="3"/>
  <c r="S967" i="3"/>
  <c r="V967" i="3"/>
  <c r="V966" i="3"/>
  <c r="S966" i="3"/>
  <c r="V965" i="3"/>
  <c r="S965" i="3"/>
  <c r="S964" i="3"/>
  <c r="V964" i="3"/>
  <c r="S963" i="3"/>
  <c r="V963" i="3"/>
  <c r="V962" i="3"/>
  <c r="S962" i="3"/>
  <c r="S961" i="3"/>
  <c r="V961" i="3"/>
  <c r="S960" i="3"/>
  <c r="V960" i="3"/>
  <c r="V959" i="3"/>
  <c r="S959" i="3"/>
  <c r="S958" i="3"/>
  <c r="V958" i="3"/>
  <c r="S957" i="3"/>
  <c r="V957" i="3"/>
  <c r="V956" i="3"/>
  <c r="S956" i="3"/>
  <c r="V955" i="3"/>
  <c r="S955" i="3"/>
  <c r="V954" i="3"/>
  <c r="S954" i="3"/>
  <c r="S953" i="3"/>
  <c r="V953" i="3"/>
  <c r="S952" i="3"/>
  <c r="V952" i="3"/>
  <c r="V951" i="3"/>
  <c r="S951" i="3"/>
  <c r="V950" i="3"/>
  <c r="S950" i="3"/>
  <c r="V949" i="3"/>
  <c r="S949" i="3"/>
  <c r="S948" i="3"/>
  <c r="V948" i="3"/>
  <c r="V947" i="3"/>
  <c r="S947" i="3"/>
  <c r="V946" i="3"/>
  <c r="S946" i="3"/>
  <c r="V945" i="3"/>
  <c r="S945" i="3"/>
  <c r="V944" i="3"/>
  <c r="S944" i="3"/>
  <c r="S943" i="3"/>
  <c r="V943" i="3"/>
  <c r="S942" i="3"/>
  <c r="V942" i="3"/>
  <c r="S941" i="3"/>
  <c r="V941" i="3"/>
  <c r="S940" i="3"/>
  <c r="V940" i="3"/>
  <c r="S939" i="3"/>
  <c r="V939" i="3"/>
  <c r="S938" i="3"/>
  <c r="V938" i="3"/>
  <c r="V937" i="3"/>
  <c r="S937" i="3"/>
  <c r="S936" i="3"/>
  <c r="V936" i="3"/>
  <c r="S935" i="3"/>
  <c r="V935" i="3"/>
  <c r="V934" i="3"/>
  <c r="S934" i="3"/>
  <c r="S933" i="3"/>
  <c r="V933" i="3"/>
  <c r="S932" i="3"/>
  <c r="V932" i="3"/>
  <c r="V931" i="3"/>
  <c r="S931" i="3"/>
  <c r="V930" i="3"/>
  <c r="S930" i="3"/>
  <c r="S929" i="3"/>
  <c r="V929" i="3"/>
  <c r="S927" i="3"/>
  <c r="V927" i="3"/>
  <c r="S926" i="3"/>
  <c r="V926" i="3"/>
  <c r="S925" i="3"/>
  <c r="V925" i="3"/>
  <c r="S924" i="3"/>
  <c r="V924" i="3"/>
  <c r="S923" i="3"/>
  <c r="V923" i="3"/>
  <c r="S922" i="3"/>
  <c r="V922" i="3"/>
  <c r="S921" i="3"/>
  <c r="V921" i="3"/>
  <c r="S920" i="3"/>
  <c r="V920" i="3"/>
  <c r="S919" i="3"/>
  <c r="V919" i="3"/>
  <c r="S918" i="3"/>
  <c r="V918" i="3"/>
  <c r="S917" i="3"/>
  <c r="V917" i="3"/>
  <c r="S916" i="3"/>
  <c r="V916" i="3"/>
  <c r="S915" i="3"/>
  <c r="V915" i="3"/>
  <c r="S914" i="3"/>
  <c r="V914" i="3"/>
  <c r="S913" i="3"/>
  <c r="V913" i="3"/>
  <c r="S912" i="3"/>
  <c r="V912" i="3"/>
  <c r="S911" i="3"/>
  <c r="V911" i="3"/>
  <c r="S910" i="3"/>
  <c r="V910" i="3"/>
  <c r="S909" i="3"/>
  <c r="V909" i="3"/>
  <c r="S908" i="3"/>
  <c r="V908" i="3"/>
  <c r="S907" i="3"/>
  <c r="V907" i="3"/>
  <c r="S906" i="3"/>
  <c r="V906" i="3"/>
  <c r="S905" i="3"/>
  <c r="V905" i="3"/>
  <c r="S904" i="3"/>
  <c r="V904" i="3"/>
  <c r="S903" i="3"/>
  <c r="V903" i="3"/>
  <c r="S902" i="3"/>
  <c r="V902" i="3"/>
  <c r="S901" i="3"/>
  <c r="V901" i="3"/>
  <c r="S900" i="3"/>
  <c r="V900" i="3"/>
  <c r="S899" i="3"/>
  <c r="V899" i="3"/>
  <c r="S898" i="3"/>
  <c r="V898" i="3"/>
  <c r="S897" i="3"/>
  <c r="V897" i="3"/>
  <c r="S896" i="3"/>
  <c r="V896" i="3"/>
  <c r="S895" i="3"/>
  <c r="V895" i="3"/>
  <c r="S894" i="3"/>
  <c r="V894" i="3"/>
  <c r="S893" i="3"/>
  <c r="V893" i="3"/>
  <c r="S892" i="3"/>
  <c r="V892" i="3"/>
  <c r="S891" i="3"/>
  <c r="V891" i="3"/>
  <c r="S890" i="3"/>
  <c r="V890" i="3"/>
  <c r="S889" i="3"/>
  <c r="V889" i="3"/>
  <c r="S888" i="3"/>
  <c r="V888" i="3"/>
  <c r="S887" i="3"/>
  <c r="V887" i="3"/>
  <c r="S886" i="3"/>
  <c r="V886" i="3"/>
  <c r="S885" i="3"/>
  <c r="V885" i="3"/>
  <c r="S884" i="3"/>
  <c r="V884" i="3"/>
  <c r="S883" i="3"/>
  <c r="V883" i="3"/>
  <c r="S882" i="3"/>
  <c r="V882" i="3"/>
  <c r="S881" i="3"/>
  <c r="V881" i="3"/>
  <c r="S880" i="3"/>
  <c r="V880" i="3"/>
  <c r="S879" i="3"/>
  <c r="V879" i="3"/>
  <c r="S878" i="3"/>
  <c r="V878" i="3"/>
  <c r="S877" i="3"/>
  <c r="V877" i="3"/>
  <c r="S876" i="3"/>
  <c r="V876" i="3"/>
  <c r="S875" i="3"/>
  <c r="V875" i="3"/>
  <c r="S874" i="3"/>
  <c r="V874" i="3"/>
  <c r="S873" i="3"/>
  <c r="V873" i="3"/>
  <c r="S872" i="3"/>
  <c r="V872" i="3"/>
  <c r="S871" i="3"/>
  <c r="V871" i="3"/>
  <c r="S870" i="3"/>
  <c r="V870" i="3"/>
  <c r="S869" i="3"/>
  <c r="V869" i="3"/>
  <c r="S868" i="3"/>
  <c r="V868" i="3"/>
  <c r="S867" i="3"/>
  <c r="V867" i="3"/>
  <c r="S866" i="3"/>
  <c r="V866" i="3"/>
  <c r="S865" i="3"/>
  <c r="V865" i="3"/>
  <c r="S864" i="3"/>
  <c r="V864" i="3"/>
  <c r="S863" i="3"/>
  <c r="V863" i="3"/>
  <c r="S862" i="3"/>
  <c r="V862" i="3"/>
  <c r="S861" i="3"/>
  <c r="V861" i="3"/>
  <c r="S860" i="3"/>
  <c r="V860" i="3"/>
  <c r="S859" i="3"/>
  <c r="V859" i="3"/>
  <c r="S858" i="3"/>
  <c r="V858" i="3"/>
  <c r="S857" i="3"/>
  <c r="V857" i="3"/>
  <c r="S856" i="3"/>
  <c r="V856" i="3"/>
  <c r="S855" i="3"/>
  <c r="V855" i="3"/>
  <c r="S854" i="3"/>
  <c r="V854" i="3"/>
  <c r="S853" i="3"/>
  <c r="V853" i="3"/>
  <c r="S852" i="3"/>
  <c r="V852" i="3"/>
  <c r="S851" i="3"/>
  <c r="V851" i="3"/>
  <c r="S850" i="3"/>
  <c r="V850" i="3"/>
  <c r="S849" i="3"/>
  <c r="V849" i="3"/>
  <c r="S848" i="3"/>
  <c r="V848" i="3"/>
  <c r="S847" i="3"/>
  <c r="V847" i="3"/>
  <c r="S846" i="3"/>
  <c r="V846" i="3"/>
  <c r="S845" i="3"/>
  <c r="V845" i="3"/>
  <c r="S844" i="3"/>
  <c r="V844" i="3"/>
  <c r="S843" i="3"/>
  <c r="V843" i="3"/>
  <c r="S842" i="3"/>
  <c r="V842" i="3"/>
  <c r="S841" i="3"/>
  <c r="V841" i="3"/>
  <c r="S840" i="3"/>
  <c r="V840" i="3"/>
  <c r="S839" i="3"/>
  <c r="V839" i="3"/>
  <c r="S838" i="3"/>
  <c r="V838" i="3"/>
  <c r="S837" i="3"/>
  <c r="V837" i="3"/>
  <c r="S836" i="3"/>
  <c r="V836" i="3"/>
  <c r="S835" i="3"/>
  <c r="V835" i="3"/>
  <c r="S834" i="3"/>
  <c r="V834" i="3"/>
  <c r="S833" i="3"/>
  <c r="V833" i="3"/>
  <c r="S832" i="3"/>
  <c r="V832" i="3"/>
  <c r="S831" i="3"/>
  <c r="V831" i="3"/>
  <c r="S830" i="3"/>
  <c r="V830" i="3"/>
  <c r="S829" i="3"/>
  <c r="V829" i="3"/>
  <c r="S828" i="3"/>
  <c r="V828" i="3"/>
  <c r="S827" i="3"/>
  <c r="V827" i="3"/>
  <c r="S826" i="3"/>
  <c r="V826" i="3"/>
  <c r="S824" i="3"/>
  <c r="V824" i="3"/>
  <c r="S823" i="3"/>
  <c r="V823" i="3"/>
  <c r="S822" i="3"/>
  <c r="V822" i="3"/>
  <c r="S821" i="3"/>
  <c r="V821" i="3"/>
  <c r="S820" i="3"/>
  <c r="V820" i="3"/>
  <c r="S819" i="3"/>
  <c r="V819" i="3"/>
  <c r="S818" i="3"/>
  <c r="V818" i="3"/>
  <c r="S817" i="3"/>
  <c r="V817" i="3"/>
  <c r="S816" i="3"/>
  <c r="V816" i="3"/>
  <c r="S815" i="3"/>
  <c r="V815" i="3"/>
  <c r="S814" i="3"/>
  <c r="V814" i="3"/>
  <c r="S813" i="3"/>
  <c r="V813" i="3"/>
  <c r="S812" i="3"/>
  <c r="V812" i="3"/>
  <c r="S811" i="3"/>
  <c r="V811" i="3"/>
  <c r="S810" i="3"/>
  <c r="V810" i="3"/>
  <c r="S809" i="3"/>
  <c r="V809" i="3"/>
  <c r="S808" i="3"/>
  <c r="V808" i="3"/>
  <c r="S807" i="3"/>
  <c r="V807" i="3"/>
  <c r="S806" i="3"/>
  <c r="V806" i="3"/>
  <c r="S805" i="3"/>
  <c r="V805" i="3"/>
  <c r="S804" i="3"/>
  <c r="V804" i="3"/>
  <c r="S803" i="3"/>
  <c r="V803" i="3"/>
  <c r="S802" i="3"/>
  <c r="V802" i="3"/>
  <c r="S801" i="3"/>
  <c r="V801" i="3"/>
  <c r="S800" i="3"/>
  <c r="V800" i="3"/>
  <c r="S799" i="3"/>
  <c r="V799" i="3"/>
  <c r="S798" i="3"/>
  <c r="V798" i="3"/>
  <c r="S797" i="3"/>
  <c r="V797" i="3"/>
  <c r="S796" i="3"/>
  <c r="V796" i="3"/>
  <c r="S795" i="3"/>
  <c r="V795" i="3"/>
  <c r="S794" i="3"/>
  <c r="V794" i="3"/>
  <c r="S793" i="3"/>
  <c r="V793" i="3"/>
  <c r="S792" i="3"/>
  <c r="V792" i="3"/>
  <c r="S791" i="3"/>
  <c r="V791" i="3"/>
  <c r="S790" i="3"/>
  <c r="V790" i="3"/>
  <c r="S789" i="3"/>
  <c r="V789" i="3"/>
  <c r="S788" i="3"/>
  <c r="V788" i="3"/>
  <c r="S787" i="3"/>
  <c r="V787" i="3"/>
  <c r="S786" i="3"/>
  <c r="V786" i="3"/>
  <c r="S785" i="3"/>
  <c r="V785" i="3"/>
  <c r="S784" i="3"/>
  <c r="V784" i="3"/>
  <c r="S783" i="3"/>
  <c r="V783" i="3"/>
  <c r="S782" i="3"/>
  <c r="V782" i="3"/>
  <c r="S781" i="3"/>
  <c r="V781" i="3"/>
  <c r="S780" i="3"/>
  <c r="V780" i="3"/>
  <c r="S779" i="3"/>
  <c r="V779" i="3"/>
  <c r="S778" i="3"/>
  <c r="V778" i="3"/>
  <c r="S777" i="3"/>
  <c r="V777" i="3"/>
  <c r="S776" i="3"/>
  <c r="V776" i="3"/>
  <c r="S775" i="3"/>
  <c r="V775" i="3"/>
  <c r="S774" i="3"/>
  <c r="V774" i="3"/>
  <c r="S773" i="3"/>
  <c r="V773" i="3"/>
  <c r="S772" i="3"/>
  <c r="V772" i="3"/>
  <c r="S771" i="3"/>
  <c r="V771" i="3"/>
  <c r="S770" i="3"/>
  <c r="V770" i="3"/>
  <c r="S769" i="3"/>
  <c r="V769" i="3"/>
  <c r="S768" i="3"/>
  <c r="V768" i="3"/>
  <c r="S767" i="3"/>
  <c r="V767" i="3"/>
  <c r="S766" i="3"/>
  <c r="V766" i="3"/>
  <c r="S765" i="3"/>
  <c r="V765" i="3"/>
  <c r="S764" i="3"/>
  <c r="V764" i="3"/>
  <c r="S763" i="3"/>
  <c r="V763" i="3"/>
  <c r="S762" i="3"/>
  <c r="V762" i="3"/>
  <c r="S761" i="3"/>
  <c r="V761" i="3"/>
  <c r="S760" i="3"/>
  <c r="V760" i="3"/>
  <c r="S759" i="3"/>
  <c r="V759" i="3"/>
  <c r="S758" i="3"/>
  <c r="V758" i="3"/>
  <c r="S757" i="3"/>
  <c r="V757" i="3"/>
  <c r="S756" i="3"/>
  <c r="V756" i="3"/>
  <c r="S755" i="3"/>
  <c r="V755" i="3"/>
  <c r="S754" i="3"/>
  <c r="V754" i="3"/>
  <c r="S753" i="3"/>
  <c r="V753" i="3"/>
  <c r="S752" i="3"/>
  <c r="V752" i="3"/>
  <c r="S751" i="3"/>
  <c r="V751" i="3"/>
  <c r="S750" i="3"/>
  <c r="V750" i="3"/>
  <c r="S749" i="3"/>
  <c r="V749" i="3"/>
  <c r="S748" i="3"/>
  <c r="V748" i="3"/>
  <c r="S747" i="3"/>
  <c r="V747" i="3"/>
  <c r="S746" i="3"/>
  <c r="V746" i="3"/>
  <c r="S745" i="3"/>
  <c r="V745" i="3"/>
  <c r="S744" i="3"/>
  <c r="V744" i="3"/>
  <c r="S743" i="3"/>
  <c r="V743" i="3"/>
  <c r="S742" i="3"/>
  <c r="V742" i="3"/>
  <c r="S741" i="3"/>
  <c r="V741" i="3"/>
  <c r="S740" i="3"/>
  <c r="V740" i="3"/>
  <c r="S739" i="3"/>
  <c r="V739" i="3"/>
  <c r="S738" i="3"/>
  <c r="V738" i="3"/>
  <c r="S737" i="3"/>
  <c r="V737" i="3"/>
  <c r="S736" i="3"/>
  <c r="V736" i="3"/>
  <c r="S735" i="3"/>
  <c r="V735" i="3"/>
  <c r="S734" i="3"/>
  <c r="V734" i="3"/>
  <c r="S733" i="3"/>
  <c r="V733" i="3"/>
  <c r="S732" i="3"/>
  <c r="V732" i="3"/>
  <c r="S731" i="3"/>
  <c r="V731" i="3"/>
  <c r="S730" i="3"/>
  <c r="V730" i="3"/>
  <c r="S729" i="3"/>
  <c r="V729" i="3"/>
  <c r="S728" i="3"/>
  <c r="V728" i="3"/>
  <c r="S727" i="3"/>
  <c r="V727" i="3"/>
  <c r="S726" i="3"/>
  <c r="V726" i="3"/>
  <c r="S725" i="3"/>
  <c r="V725" i="3"/>
  <c r="S724" i="3"/>
  <c r="V724" i="3"/>
  <c r="S723" i="3"/>
  <c r="V723" i="3"/>
  <c r="S722" i="3"/>
  <c r="V722" i="3"/>
  <c r="S721" i="3"/>
  <c r="V721" i="3"/>
  <c r="S720" i="3"/>
  <c r="V720" i="3"/>
  <c r="S719" i="3"/>
  <c r="V719" i="3"/>
  <c r="S718" i="3"/>
  <c r="V718" i="3"/>
  <c r="S717" i="3"/>
  <c r="V717" i="3"/>
  <c r="S716" i="3"/>
  <c r="V716" i="3"/>
  <c r="S715" i="3"/>
  <c r="V715" i="3"/>
  <c r="S714" i="3"/>
  <c r="V714" i="3"/>
  <c r="S713" i="3"/>
  <c r="V713" i="3"/>
  <c r="S712" i="3"/>
  <c r="V712" i="3"/>
  <c r="S711" i="3"/>
  <c r="V711" i="3"/>
  <c r="S710" i="3"/>
  <c r="V710" i="3"/>
  <c r="S709" i="3"/>
  <c r="V709" i="3"/>
  <c r="S708" i="3"/>
  <c r="V708" i="3"/>
  <c r="S707" i="3"/>
  <c r="V707" i="3"/>
  <c r="S706" i="3"/>
  <c r="V706" i="3"/>
  <c r="S705" i="3"/>
  <c r="V705" i="3"/>
  <c r="S704" i="3"/>
  <c r="V704" i="3"/>
  <c r="S703" i="3"/>
  <c r="V703" i="3"/>
  <c r="S702" i="3"/>
  <c r="V702" i="3"/>
  <c r="S701" i="3"/>
  <c r="V701" i="3"/>
  <c r="S700" i="3"/>
  <c r="V700" i="3"/>
  <c r="S699" i="3"/>
  <c r="V699" i="3"/>
  <c r="S698" i="3"/>
  <c r="V698" i="3"/>
  <c r="S697" i="3"/>
  <c r="V697" i="3"/>
  <c r="S696" i="3"/>
  <c r="V696" i="3"/>
  <c r="S695" i="3"/>
  <c r="V695" i="3"/>
  <c r="S694" i="3"/>
  <c r="V694" i="3"/>
  <c r="S693" i="3"/>
  <c r="V693" i="3"/>
  <c r="S692" i="3"/>
  <c r="V692" i="3"/>
  <c r="S691" i="3"/>
  <c r="V691" i="3"/>
  <c r="S690" i="3"/>
  <c r="V690" i="3"/>
  <c r="S689" i="3"/>
  <c r="V689" i="3"/>
  <c r="S688" i="3"/>
  <c r="V688" i="3"/>
  <c r="S687" i="3"/>
  <c r="V687" i="3"/>
  <c r="S686" i="3"/>
  <c r="V686" i="3"/>
  <c r="S685" i="3"/>
  <c r="V685" i="3"/>
  <c r="S684" i="3"/>
  <c r="V684" i="3"/>
  <c r="S683" i="3"/>
  <c r="V683" i="3"/>
  <c r="S682" i="3"/>
  <c r="V682" i="3"/>
  <c r="S681" i="3"/>
  <c r="V681" i="3"/>
  <c r="S680" i="3"/>
  <c r="V680" i="3"/>
  <c r="S679" i="3"/>
  <c r="V679" i="3"/>
  <c r="S678" i="3"/>
  <c r="V678" i="3"/>
  <c r="S677" i="3"/>
  <c r="V677" i="3"/>
  <c r="S676" i="3"/>
  <c r="V676" i="3"/>
  <c r="S675" i="3"/>
  <c r="V675" i="3"/>
  <c r="S674" i="3"/>
  <c r="V674" i="3"/>
  <c r="S673" i="3"/>
  <c r="V673" i="3"/>
  <c r="S672" i="3"/>
  <c r="V672" i="3"/>
  <c r="S671" i="3"/>
  <c r="V671" i="3"/>
  <c r="S670" i="3"/>
  <c r="V670" i="3"/>
  <c r="S669" i="3"/>
  <c r="V669" i="3"/>
  <c r="S668" i="3"/>
  <c r="V668" i="3"/>
  <c r="S667" i="3"/>
  <c r="V667" i="3"/>
  <c r="S666" i="3"/>
  <c r="V666" i="3"/>
  <c r="S665" i="3"/>
  <c r="V665" i="3"/>
  <c r="S664" i="3"/>
  <c r="V664" i="3"/>
  <c r="S663" i="3"/>
  <c r="V663" i="3"/>
  <c r="S662" i="3"/>
  <c r="V662" i="3"/>
  <c r="S661" i="3"/>
  <c r="V661" i="3"/>
  <c r="S660" i="3"/>
  <c r="V660" i="3"/>
  <c r="S659" i="3"/>
  <c r="V659" i="3"/>
  <c r="S658" i="3"/>
  <c r="V658" i="3"/>
  <c r="S657" i="3"/>
  <c r="V657" i="3"/>
  <c r="S656" i="3"/>
  <c r="V656" i="3"/>
  <c r="S655" i="3"/>
  <c r="V655" i="3"/>
  <c r="S654" i="3"/>
  <c r="V654" i="3"/>
  <c r="S653" i="3"/>
  <c r="V653" i="3"/>
  <c r="S652" i="3"/>
  <c r="V652" i="3"/>
  <c r="S651" i="3"/>
  <c r="V651" i="3"/>
  <c r="S650" i="3"/>
  <c r="V650" i="3"/>
  <c r="S649" i="3"/>
  <c r="V649" i="3"/>
  <c r="S648" i="3"/>
  <c r="V648" i="3"/>
  <c r="S647" i="3"/>
  <c r="V647" i="3"/>
  <c r="S646" i="3"/>
  <c r="V646" i="3"/>
  <c r="S645" i="3"/>
  <c r="V645" i="3"/>
  <c r="S644" i="3"/>
  <c r="V644" i="3"/>
  <c r="S643" i="3"/>
  <c r="V643" i="3"/>
  <c r="S642" i="3"/>
  <c r="V642" i="3"/>
  <c r="S641" i="3"/>
  <c r="V641" i="3"/>
  <c r="S640" i="3"/>
  <c r="V640" i="3"/>
  <c r="S639" i="3"/>
  <c r="V639" i="3"/>
  <c r="S638" i="3"/>
  <c r="V638" i="3"/>
  <c r="S637" i="3"/>
  <c r="V637" i="3"/>
  <c r="S636" i="3"/>
  <c r="V636" i="3"/>
  <c r="S635" i="3"/>
  <c r="V635" i="3"/>
  <c r="S634" i="3"/>
  <c r="V634" i="3"/>
  <c r="S633" i="3"/>
  <c r="V633" i="3"/>
  <c r="S632" i="3"/>
  <c r="V632" i="3"/>
  <c r="S631" i="3"/>
  <c r="V631" i="3"/>
  <c r="S630" i="3"/>
  <c r="V630" i="3"/>
  <c r="S629" i="3"/>
  <c r="V629" i="3"/>
  <c r="S628" i="3"/>
  <c r="V628" i="3"/>
  <c r="S627" i="3"/>
  <c r="V627" i="3"/>
  <c r="S626" i="3"/>
  <c r="V626" i="3"/>
  <c r="S625" i="3"/>
  <c r="V625" i="3"/>
  <c r="S624" i="3"/>
  <c r="V624" i="3"/>
  <c r="S623" i="3"/>
  <c r="V623" i="3"/>
  <c r="S622" i="3"/>
  <c r="V622" i="3"/>
  <c r="S621" i="3"/>
  <c r="V621" i="3"/>
  <c r="S619" i="3"/>
  <c r="V619" i="3"/>
  <c r="S618" i="3"/>
  <c r="V618" i="3"/>
  <c r="S617" i="3"/>
  <c r="V617" i="3"/>
  <c r="S616" i="3"/>
  <c r="V616" i="3"/>
  <c r="S615" i="3"/>
  <c r="V615" i="3"/>
  <c r="S614" i="3"/>
  <c r="V614" i="3"/>
  <c r="S613" i="3"/>
  <c r="V613" i="3"/>
  <c r="S612" i="3"/>
  <c r="V612" i="3"/>
  <c r="S611" i="3"/>
  <c r="V611" i="3"/>
  <c r="S610" i="3"/>
  <c r="V610" i="3"/>
  <c r="S609" i="3"/>
  <c r="V609" i="3"/>
  <c r="S608" i="3"/>
  <c r="V608" i="3"/>
  <c r="S607" i="3"/>
  <c r="V607" i="3"/>
  <c r="S606" i="3"/>
  <c r="V606" i="3"/>
  <c r="S605" i="3"/>
  <c r="V605" i="3"/>
  <c r="S604" i="3"/>
  <c r="V604" i="3"/>
  <c r="S603" i="3"/>
  <c r="V603" i="3"/>
  <c r="S602" i="3"/>
  <c r="V602" i="3"/>
  <c r="S601" i="3"/>
  <c r="V601" i="3"/>
  <c r="S600" i="3"/>
  <c r="V600" i="3"/>
  <c r="S599" i="3"/>
  <c r="V599" i="3"/>
  <c r="S598" i="3"/>
  <c r="V598" i="3"/>
  <c r="S597" i="3"/>
  <c r="V597" i="3"/>
  <c r="S596" i="3"/>
  <c r="V596" i="3"/>
  <c r="S595" i="3"/>
  <c r="V595" i="3"/>
  <c r="S594" i="3"/>
  <c r="V594" i="3"/>
  <c r="S593" i="3"/>
  <c r="V593" i="3"/>
  <c r="S592" i="3"/>
  <c r="V592" i="3"/>
  <c r="S591" i="3"/>
  <c r="V591" i="3"/>
  <c r="S590" i="3"/>
  <c r="V590" i="3"/>
  <c r="S589" i="3"/>
  <c r="V589" i="3"/>
  <c r="S588" i="3"/>
  <c r="V588" i="3"/>
  <c r="S587" i="3"/>
  <c r="V587" i="3"/>
  <c r="S586" i="3"/>
  <c r="V586" i="3"/>
  <c r="S585" i="3"/>
  <c r="V585" i="3"/>
  <c r="S584" i="3"/>
  <c r="V584" i="3"/>
  <c r="S583" i="3"/>
  <c r="V583" i="3"/>
  <c r="S582" i="3"/>
  <c r="V582" i="3"/>
  <c r="S581" i="3"/>
  <c r="V581" i="3"/>
  <c r="S580" i="3"/>
  <c r="V580" i="3"/>
  <c r="S579" i="3"/>
  <c r="V579" i="3"/>
  <c r="S578" i="3"/>
  <c r="V578" i="3"/>
  <c r="S577" i="3"/>
  <c r="V577" i="3"/>
  <c r="S576" i="3"/>
  <c r="V576" i="3"/>
  <c r="S575" i="3"/>
  <c r="V575" i="3"/>
  <c r="S574" i="3"/>
  <c r="V574" i="3"/>
  <c r="S573" i="3"/>
  <c r="V573" i="3"/>
  <c r="S572" i="3"/>
  <c r="V572" i="3"/>
  <c r="S571" i="3"/>
  <c r="V571" i="3"/>
  <c r="S570" i="3"/>
  <c r="V570" i="3"/>
  <c r="S569" i="3"/>
  <c r="V569" i="3"/>
  <c r="S568" i="3"/>
  <c r="V568" i="3"/>
  <c r="S567" i="3"/>
  <c r="V567" i="3"/>
  <c r="S566" i="3"/>
  <c r="V566" i="3"/>
  <c r="S565" i="3"/>
  <c r="V565" i="3"/>
  <c r="S564" i="3"/>
  <c r="V564" i="3"/>
  <c r="S563" i="3"/>
  <c r="V563" i="3"/>
  <c r="S562" i="3"/>
  <c r="V562" i="3"/>
  <c r="S561" i="3"/>
  <c r="V561" i="3"/>
  <c r="S560" i="3"/>
  <c r="V560" i="3"/>
  <c r="S559" i="3"/>
  <c r="V559" i="3"/>
  <c r="S558" i="3"/>
  <c r="V558" i="3"/>
  <c r="S557" i="3"/>
  <c r="V557" i="3"/>
  <c r="S556" i="3"/>
  <c r="V556" i="3"/>
  <c r="S555" i="3"/>
  <c r="V555" i="3"/>
  <c r="S554" i="3"/>
  <c r="V554" i="3"/>
  <c r="S553" i="3"/>
  <c r="V553" i="3"/>
  <c r="S552" i="3"/>
  <c r="V552" i="3"/>
  <c r="S551" i="3"/>
  <c r="V551" i="3"/>
  <c r="S550" i="3"/>
  <c r="V550" i="3"/>
  <c r="S549" i="3"/>
  <c r="V549" i="3"/>
  <c r="S548" i="3"/>
  <c r="V548" i="3"/>
  <c r="S547" i="3"/>
  <c r="V547" i="3"/>
  <c r="S546" i="3"/>
  <c r="V546" i="3"/>
  <c r="S545" i="3"/>
  <c r="V545" i="3"/>
  <c r="S544" i="3"/>
  <c r="V544" i="3"/>
  <c r="S543" i="3"/>
  <c r="V543" i="3"/>
  <c r="S542" i="3"/>
  <c r="V542" i="3"/>
  <c r="S541" i="3"/>
  <c r="V541" i="3"/>
  <c r="S540" i="3"/>
  <c r="V540" i="3"/>
  <c r="S539" i="3"/>
  <c r="V539" i="3"/>
  <c r="S538" i="3"/>
  <c r="V538" i="3"/>
  <c r="S537" i="3"/>
  <c r="V537" i="3"/>
  <c r="S536" i="3"/>
  <c r="V536" i="3"/>
  <c r="S535" i="3"/>
  <c r="V535" i="3"/>
  <c r="S534" i="3"/>
  <c r="V534" i="3"/>
  <c r="S533" i="3"/>
  <c r="V533" i="3"/>
  <c r="S532" i="3"/>
  <c r="V532" i="3"/>
  <c r="S531" i="3"/>
  <c r="V531" i="3"/>
  <c r="S530" i="3"/>
  <c r="V530" i="3"/>
  <c r="S529" i="3"/>
  <c r="V529" i="3"/>
  <c r="S528" i="3"/>
  <c r="V528" i="3"/>
  <c r="S527" i="3"/>
  <c r="V527" i="3"/>
  <c r="S526" i="3"/>
  <c r="V526" i="3"/>
  <c r="S525" i="3"/>
  <c r="V525" i="3"/>
  <c r="S524" i="3"/>
  <c r="V524" i="3"/>
  <c r="S523" i="3"/>
  <c r="V523" i="3"/>
  <c r="S522" i="3"/>
  <c r="V522" i="3"/>
  <c r="S521" i="3"/>
  <c r="V521" i="3"/>
  <c r="S520" i="3"/>
  <c r="V520" i="3"/>
  <c r="S519" i="3"/>
  <c r="V519" i="3"/>
  <c r="S518" i="3"/>
  <c r="V518" i="3"/>
  <c r="S516" i="3"/>
  <c r="V516" i="3"/>
  <c r="S515" i="3"/>
  <c r="V515" i="3"/>
  <c r="S514" i="3"/>
  <c r="V514" i="3"/>
  <c r="S513" i="3"/>
  <c r="V513" i="3"/>
  <c r="S512" i="3"/>
  <c r="V512" i="3"/>
  <c r="S511" i="3"/>
  <c r="V511" i="3"/>
  <c r="S510" i="3"/>
  <c r="V510" i="3"/>
  <c r="S509" i="3"/>
  <c r="V509" i="3"/>
  <c r="S508" i="3"/>
  <c r="V508" i="3"/>
  <c r="V507" i="3"/>
  <c r="S507" i="3"/>
  <c r="V506" i="3"/>
  <c r="S506" i="3"/>
  <c r="S505" i="3"/>
  <c r="V505" i="3"/>
  <c r="S504" i="3"/>
  <c r="V504" i="3"/>
  <c r="V503" i="3"/>
  <c r="S503" i="3"/>
  <c r="S502" i="3"/>
  <c r="V502" i="3"/>
  <c r="V501" i="3"/>
  <c r="S501" i="3"/>
  <c r="V500" i="3"/>
  <c r="S500" i="3"/>
  <c r="V499" i="3"/>
  <c r="S499" i="3"/>
  <c r="V498" i="3"/>
  <c r="S498" i="3"/>
  <c r="S497" i="3"/>
  <c r="V497" i="3"/>
  <c r="V496" i="3"/>
  <c r="S496" i="3"/>
  <c r="S495" i="3"/>
  <c r="V495" i="3"/>
  <c r="S494" i="3"/>
  <c r="V494" i="3"/>
  <c r="V493" i="3"/>
  <c r="S493" i="3"/>
  <c r="V492" i="3"/>
  <c r="S492" i="3"/>
  <c r="V491" i="3"/>
  <c r="S491" i="3"/>
  <c r="V490" i="3"/>
  <c r="S490" i="3"/>
  <c r="V489" i="3"/>
  <c r="S489" i="3"/>
  <c r="V488" i="3"/>
  <c r="S488" i="3"/>
  <c r="S487" i="3"/>
  <c r="V487" i="3"/>
  <c r="V486" i="3"/>
  <c r="S486" i="3"/>
  <c r="V485" i="3"/>
  <c r="S485" i="3"/>
  <c r="V484" i="3"/>
  <c r="S484" i="3"/>
  <c r="V483" i="3"/>
  <c r="S483" i="3"/>
  <c r="S482" i="3"/>
  <c r="V482" i="3"/>
  <c r="S481" i="3"/>
  <c r="V481" i="3"/>
  <c r="S480" i="3"/>
  <c r="V480" i="3"/>
  <c r="V479" i="3"/>
  <c r="S479" i="3"/>
  <c r="S478" i="3"/>
  <c r="V478" i="3"/>
  <c r="V477" i="3"/>
  <c r="S477" i="3"/>
  <c r="S476" i="3"/>
  <c r="V476" i="3"/>
  <c r="V475" i="3"/>
  <c r="S475" i="3"/>
  <c r="V474" i="3"/>
  <c r="S474" i="3"/>
  <c r="S473" i="3"/>
  <c r="V473" i="3"/>
  <c r="S472" i="3"/>
  <c r="V472" i="3"/>
  <c r="V471" i="3"/>
  <c r="S471" i="3"/>
  <c r="V470" i="3"/>
  <c r="S470" i="3"/>
  <c r="S469" i="3"/>
  <c r="V469" i="3"/>
  <c r="S468" i="3"/>
  <c r="V468" i="3"/>
  <c r="V467" i="3"/>
  <c r="S467" i="3"/>
  <c r="S466" i="3"/>
  <c r="V466" i="3"/>
  <c r="S465" i="3"/>
  <c r="V465" i="3"/>
  <c r="V464" i="3"/>
  <c r="S464" i="3"/>
  <c r="S463" i="3"/>
  <c r="V463" i="3"/>
  <c r="S462" i="3"/>
  <c r="V462" i="3"/>
  <c r="V461" i="3"/>
  <c r="S461" i="3"/>
  <c r="S460" i="3"/>
  <c r="V460" i="3"/>
  <c r="S459" i="3"/>
  <c r="V459" i="3"/>
  <c r="S458" i="3"/>
  <c r="V458" i="3"/>
  <c r="V457" i="3"/>
  <c r="S457" i="3"/>
  <c r="S456" i="3"/>
  <c r="V456" i="3"/>
  <c r="V455" i="3"/>
  <c r="S455" i="3"/>
  <c r="S454" i="3"/>
  <c r="V454" i="3"/>
  <c r="S453" i="3"/>
  <c r="V453" i="3"/>
  <c r="S452" i="3"/>
  <c r="V452" i="3"/>
  <c r="S451" i="3"/>
  <c r="V451" i="3"/>
  <c r="V450" i="3"/>
  <c r="S450" i="3"/>
  <c r="S449" i="3"/>
  <c r="V449" i="3"/>
  <c r="S448" i="3"/>
  <c r="V448" i="3"/>
  <c r="V447" i="3"/>
  <c r="S447" i="3"/>
  <c r="S446" i="3"/>
  <c r="V446" i="3"/>
  <c r="V445" i="3"/>
  <c r="S445" i="3"/>
  <c r="S444" i="3"/>
  <c r="V444" i="3"/>
  <c r="S443" i="3"/>
  <c r="V443" i="3"/>
  <c r="S442" i="3"/>
  <c r="V442" i="3"/>
  <c r="S441" i="3"/>
  <c r="V441" i="3"/>
  <c r="S440" i="3"/>
  <c r="V440" i="3"/>
  <c r="S439" i="3"/>
  <c r="V439" i="3"/>
  <c r="V438" i="3"/>
  <c r="S438" i="3"/>
  <c r="V437" i="3"/>
  <c r="S437" i="3"/>
  <c r="S436" i="3"/>
  <c r="V436" i="3"/>
  <c r="S435" i="3"/>
  <c r="V435" i="3"/>
  <c r="V434" i="3"/>
  <c r="S434" i="3"/>
  <c r="V433" i="3"/>
  <c r="S433" i="3"/>
  <c r="S432" i="3"/>
  <c r="V432" i="3"/>
  <c r="V431" i="3"/>
  <c r="S431" i="3"/>
  <c r="S430" i="3"/>
  <c r="V430" i="3"/>
  <c r="V429" i="3"/>
  <c r="S429" i="3"/>
  <c r="S428" i="3"/>
  <c r="V428" i="3"/>
  <c r="S427" i="3"/>
  <c r="V427" i="3"/>
  <c r="V426" i="3"/>
  <c r="S426" i="3"/>
  <c r="V425" i="3"/>
  <c r="S425" i="3"/>
  <c r="V424" i="3"/>
  <c r="S424" i="3"/>
  <c r="S423" i="3"/>
  <c r="V423" i="3"/>
  <c r="S422" i="3"/>
  <c r="V422" i="3"/>
  <c r="S421" i="3"/>
  <c r="V421" i="3"/>
  <c r="V420" i="3"/>
  <c r="S420" i="3"/>
  <c r="S419" i="3"/>
  <c r="V419" i="3"/>
  <c r="S418" i="3"/>
  <c r="V418" i="3"/>
  <c r="V417" i="3"/>
  <c r="S417" i="3"/>
  <c r="S416" i="3"/>
  <c r="V416" i="3"/>
  <c r="V415" i="3"/>
  <c r="S415" i="3"/>
  <c r="S413" i="3"/>
  <c r="V413" i="3"/>
  <c r="S412" i="3"/>
  <c r="V412" i="3"/>
  <c r="S411" i="3"/>
  <c r="V411" i="3"/>
  <c r="S410" i="3"/>
  <c r="V410" i="3"/>
  <c r="S409" i="3"/>
  <c r="V409" i="3"/>
  <c r="S408" i="3"/>
  <c r="V408" i="3"/>
  <c r="S407" i="3"/>
  <c r="V407" i="3"/>
  <c r="S406" i="3"/>
  <c r="V406" i="3"/>
  <c r="S405" i="3"/>
  <c r="V405" i="3"/>
  <c r="S404" i="3"/>
  <c r="V404" i="3"/>
  <c r="S403" i="3"/>
  <c r="V403" i="3"/>
  <c r="S402" i="3"/>
  <c r="V402" i="3"/>
  <c r="S401" i="3"/>
  <c r="V401" i="3"/>
  <c r="S400" i="3"/>
  <c r="V400" i="3"/>
  <c r="S399" i="3"/>
  <c r="V399" i="3"/>
  <c r="S398" i="3"/>
  <c r="V398" i="3"/>
  <c r="S397" i="3"/>
  <c r="V397" i="3"/>
  <c r="S396" i="3"/>
  <c r="V396" i="3"/>
  <c r="S395" i="3"/>
  <c r="V395" i="3"/>
  <c r="S394" i="3"/>
  <c r="V394" i="3"/>
  <c r="S393" i="3"/>
  <c r="V393" i="3"/>
  <c r="S392" i="3"/>
  <c r="V392" i="3"/>
  <c r="S391" i="3"/>
  <c r="V391" i="3"/>
  <c r="S390" i="3"/>
  <c r="V390" i="3"/>
  <c r="S389" i="3"/>
  <c r="V389" i="3"/>
  <c r="S388" i="3"/>
  <c r="V388" i="3"/>
  <c r="S387" i="3"/>
  <c r="V387" i="3"/>
  <c r="S386" i="3"/>
  <c r="V386" i="3"/>
  <c r="S385" i="3"/>
  <c r="V385" i="3"/>
  <c r="S384" i="3"/>
  <c r="V384" i="3"/>
  <c r="S383" i="3"/>
  <c r="V383" i="3"/>
  <c r="S382" i="3"/>
  <c r="V382" i="3"/>
  <c r="S381" i="3"/>
  <c r="V381" i="3"/>
  <c r="S380" i="3"/>
  <c r="V380" i="3"/>
  <c r="S379" i="3"/>
  <c r="V379" i="3"/>
  <c r="S378" i="3"/>
  <c r="V378" i="3"/>
  <c r="S377" i="3"/>
  <c r="V377" i="3"/>
  <c r="S376" i="3"/>
  <c r="V376" i="3"/>
  <c r="S375" i="3"/>
  <c r="V375" i="3"/>
  <c r="S374" i="3"/>
  <c r="V374" i="3"/>
  <c r="S373" i="3"/>
  <c r="V373" i="3"/>
  <c r="S372" i="3"/>
  <c r="V372" i="3"/>
  <c r="S371" i="3"/>
  <c r="V371" i="3"/>
  <c r="S370" i="3"/>
  <c r="V370" i="3"/>
  <c r="S369" i="3"/>
  <c r="V369" i="3"/>
  <c r="S368" i="3"/>
  <c r="V368" i="3"/>
  <c r="S367" i="3"/>
  <c r="V367" i="3"/>
  <c r="S366" i="3"/>
  <c r="V366" i="3"/>
  <c r="S365" i="3"/>
  <c r="V365" i="3"/>
  <c r="S364" i="3"/>
  <c r="V364" i="3"/>
  <c r="S363" i="3"/>
  <c r="V363" i="3"/>
  <c r="S362" i="3"/>
  <c r="V362" i="3"/>
  <c r="S361" i="3"/>
  <c r="V361" i="3"/>
  <c r="S360" i="3"/>
  <c r="V360" i="3"/>
  <c r="S359" i="3"/>
  <c r="V359" i="3"/>
  <c r="S358" i="3"/>
  <c r="V358" i="3"/>
  <c r="S357" i="3"/>
  <c r="V357" i="3"/>
  <c r="S356" i="3"/>
  <c r="V356" i="3"/>
  <c r="S355" i="3"/>
  <c r="V355" i="3"/>
  <c r="S354" i="3"/>
  <c r="V354" i="3"/>
  <c r="S353" i="3"/>
  <c r="V353" i="3"/>
  <c r="S352" i="3"/>
  <c r="V352" i="3"/>
  <c r="S351" i="3"/>
  <c r="V351" i="3"/>
  <c r="S350" i="3"/>
  <c r="V350" i="3"/>
  <c r="S349" i="3"/>
  <c r="V349" i="3"/>
  <c r="S348" i="3"/>
  <c r="V348" i="3"/>
  <c r="S347" i="3"/>
  <c r="V347" i="3"/>
  <c r="S346" i="3"/>
  <c r="V346" i="3"/>
  <c r="S345" i="3"/>
  <c r="V345" i="3"/>
  <c r="S344" i="3"/>
  <c r="V344" i="3"/>
  <c r="S343" i="3"/>
  <c r="V343" i="3"/>
  <c r="S342" i="3"/>
  <c r="V342" i="3"/>
  <c r="S341" i="3"/>
  <c r="V341" i="3"/>
  <c r="S340" i="3"/>
  <c r="V340" i="3"/>
  <c r="S339" i="3"/>
  <c r="V339" i="3"/>
  <c r="S338" i="3"/>
  <c r="V338" i="3"/>
  <c r="S337" i="3"/>
  <c r="V337" i="3"/>
  <c r="S336" i="3"/>
  <c r="V336" i="3"/>
  <c r="S335" i="3"/>
  <c r="V335" i="3"/>
  <c r="S334" i="3"/>
  <c r="V334" i="3"/>
  <c r="S333" i="3"/>
  <c r="V333" i="3"/>
  <c r="S332" i="3"/>
  <c r="V332" i="3"/>
  <c r="S331" i="3"/>
  <c r="V331" i="3"/>
  <c r="S330" i="3"/>
  <c r="V330" i="3"/>
  <c r="S329" i="3"/>
  <c r="V329" i="3"/>
  <c r="S328" i="3"/>
  <c r="V328" i="3"/>
  <c r="S327" i="3"/>
  <c r="V327" i="3"/>
  <c r="S326" i="3"/>
  <c r="V326" i="3"/>
  <c r="S325" i="3"/>
  <c r="V325" i="3"/>
  <c r="S324" i="3"/>
  <c r="V324" i="3"/>
  <c r="S323" i="3"/>
  <c r="V323" i="3"/>
  <c r="S322" i="3"/>
  <c r="V322" i="3"/>
  <c r="S321" i="3"/>
  <c r="V321" i="3"/>
  <c r="S320" i="3"/>
  <c r="V320" i="3"/>
  <c r="S319" i="3"/>
  <c r="V319" i="3"/>
  <c r="S318" i="3"/>
  <c r="V318" i="3"/>
  <c r="S317" i="3"/>
  <c r="V317" i="3"/>
  <c r="S316" i="3"/>
  <c r="V316" i="3"/>
  <c r="S315" i="3"/>
  <c r="V315" i="3"/>
  <c r="S314" i="3"/>
  <c r="V314" i="3"/>
  <c r="S313" i="3"/>
  <c r="V313" i="3"/>
  <c r="S312" i="3"/>
  <c r="V312" i="3"/>
  <c r="S311" i="3"/>
  <c r="V311" i="3"/>
  <c r="S310" i="3"/>
  <c r="V310" i="3"/>
  <c r="S309" i="3"/>
  <c r="V309" i="3"/>
  <c r="S308" i="3"/>
  <c r="V308" i="3"/>
  <c r="S307" i="3"/>
  <c r="V307" i="3"/>
  <c r="S306" i="3"/>
  <c r="V306" i="3"/>
  <c r="S305" i="3"/>
  <c r="V305" i="3"/>
  <c r="S304" i="3"/>
  <c r="V304" i="3"/>
  <c r="S303" i="3"/>
  <c r="V303" i="3"/>
  <c r="S302" i="3"/>
  <c r="V302" i="3"/>
  <c r="S301" i="3"/>
  <c r="V301" i="3"/>
  <c r="S300" i="3"/>
  <c r="V300" i="3"/>
  <c r="S299" i="3"/>
  <c r="V299" i="3"/>
  <c r="S298" i="3"/>
  <c r="V298" i="3"/>
  <c r="S297" i="3"/>
  <c r="V297" i="3"/>
  <c r="S296" i="3"/>
  <c r="V296" i="3"/>
  <c r="S295" i="3"/>
  <c r="V295" i="3"/>
  <c r="S294" i="3"/>
  <c r="V294" i="3"/>
  <c r="S293" i="3"/>
  <c r="V293" i="3"/>
  <c r="S292" i="3"/>
  <c r="V292" i="3"/>
  <c r="S291" i="3"/>
  <c r="V291" i="3"/>
  <c r="S290" i="3"/>
  <c r="V290" i="3"/>
  <c r="S289" i="3"/>
  <c r="V289" i="3"/>
  <c r="S288" i="3"/>
  <c r="V288" i="3"/>
  <c r="S287" i="3"/>
  <c r="V287" i="3"/>
  <c r="S286" i="3"/>
  <c r="V286" i="3"/>
  <c r="S285" i="3"/>
  <c r="V285" i="3"/>
  <c r="S284" i="3"/>
  <c r="V284" i="3"/>
  <c r="S283" i="3"/>
  <c r="V283" i="3"/>
  <c r="S282" i="3"/>
  <c r="V282" i="3"/>
  <c r="S281" i="3"/>
  <c r="V281" i="3"/>
  <c r="S280" i="3"/>
  <c r="V280" i="3"/>
  <c r="S279" i="3"/>
  <c r="V279" i="3"/>
  <c r="S278" i="3"/>
  <c r="V278" i="3"/>
  <c r="S277" i="3"/>
  <c r="V277" i="3"/>
  <c r="S276" i="3"/>
  <c r="V276" i="3"/>
  <c r="S275" i="3"/>
  <c r="V275" i="3"/>
  <c r="S274" i="3"/>
  <c r="V274" i="3"/>
  <c r="S273" i="3"/>
  <c r="V273" i="3"/>
  <c r="S272" i="3"/>
  <c r="V272" i="3"/>
  <c r="S271" i="3"/>
  <c r="V271" i="3"/>
  <c r="S270" i="3"/>
  <c r="V270" i="3"/>
  <c r="S269" i="3"/>
  <c r="V269" i="3"/>
  <c r="S268" i="3"/>
  <c r="V268" i="3"/>
  <c r="S267" i="3"/>
  <c r="V267" i="3"/>
  <c r="S266" i="3"/>
  <c r="V266" i="3"/>
  <c r="S265" i="3"/>
  <c r="V265" i="3"/>
  <c r="S264" i="3"/>
  <c r="V264" i="3"/>
  <c r="S263" i="3"/>
  <c r="V263" i="3"/>
  <c r="S262" i="3"/>
  <c r="V262" i="3"/>
  <c r="S261" i="3"/>
  <c r="V261" i="3"/>
  <c r="S260" i="3"/>
  <c r="V260" i="3"/>
  <c r="S259" i="3"/>
  <c r="V259" i="3"/>
  <c r="S258" i="3"/>
  <c r="V258" i="3"/>
  <c r="S257" i="3"/>
  <c r="V257" i="3"/>
  <c r="S256" i="3"/>
  <c r="V256" i="3"/>
  <c r="S255" i="3"/>
  <c r="V255" i="3"/>
  <c r="S254" i="3"/>
  <c r="V254" i="3"/>
  <c r="S253" i="3"/>
  <c r="V253" i="3"/>
  <c r="S252" i="3"/>
  <c r="V252" i="3"/>
  <c r="S251" i="3"/>
  <c r="V251" i="3"/>
  <c r="S250" i="3"/>
  <c r="V250" i="3"/>
  <c r="S249" i="3"/>
  <c r="V249" i="3"/>
  <c r="S248" i="3"/>
  <c r="V248" i="3"/>
  <c r="S247" i="3"/>
  <c r="V247" i="3"/>
  <c r="S246" i="3"/>
  <c r="V246" i="3"/>
  <c r="S245" i="3"/>
  <c r="V245" i="3"/>
  <c r="S244" i="3"/>
  <c r="V244" i="3"/>
  <c r="S243" i="3"/>
  <c r="V243" i="3"/>
  <c r="S242" i="3"/>
  <c r="V242" i="3"/>
  <c r="S241" i="3"/>
  <c r="V241" i="3"/>
  <c r="S240" i="3"/>
  <c r="V240" i="3"/>
  <c r="S239" i="3"/>
  <c r="V239" i="3"/>
  <c r="S238" i="3"/>
  <c r="V238" i="3"/>
  <c r="S237" i="3"/>
  <c r="V237" i="3"/>
  <c r="S236" i="3"/>
  <c r="V236" i="3"/>
  <c r="S235" i="3"/>
  <c r="V235" i="3"/>
  <c r="S234" i="3"/>
  <c r="V234" i="3"/>
  <c r="S233" i="3"/>
  <c r="V233" i="3"/>
  <c r="S232" i="3"/>
  <c r="V232" i="3"/>
  <c r="S231" i="3"/>
  <c r="V231" i="3"/>
  <c r="S230" i="3"/>
  <c r="V230" i="3"/>
  <c r="S229" i="3"/>
  <c r="V229" i="3"/>
  <c r="S228" i="3"/>
  <c r="V228" i="3"/>
  <c r="S227" i="3"/>
  <c r="V227" i="3"/>
  <c r="S226" i="3"/>
  <c r="V226" i="3"/>
  <c r="S225" i="3"/>
  <c r="V225" i="3"/>
  <c r="S224" i="3"/>
  <c r="V224" i="3"/>
  <c r="S223" i="3"/>
  <c r="V223" i="3"/>
  <c r="S222" i="3"/>
  <c r="V222" i="3"/>
  <c r="S221" i="3"/>
  <c r="V221" i="3"/>
  <c r="S220" i="3"/>
  <c r="V220" i="3"/>
  <c r="S219" i="3"/>
  <c r="V219" i="3"/>
  <c r="S218" i="3"/>
  <c r="V218" i="3"/>
  <c r="S217" i="3"/>
  <c r="V217" i="3"/>
  <c r="S216" i="3"/>
  <c r="V216" i="3"/>
  <c r="S215" i="3"/>
  <c r="V215" i="3"/>
  <c r="S214" i="3"/>
  <c r="V214" i="3"/>
  <c r="S213" i="3"/>
  <c r="V213" i="3"/>
  <c r="S212" i="3"/>
  <c r="V212" i="3"/>
  <c r="S211" i="3"/>
  <c r="V211" i="3"/>
  <c r="S210" i="3"/>
  <c r="V210" i="3"/>
  <c r="S208" i="3"/>
  <c r="V208" i="3"/>
  <c r="S207" i="3"/>
  <c r="V207" i="3"/>
  <c r="S206" i="3"/>
  <c r="V206" i="3"/>
  <c r="S205" i="3"/>
  <c r="V205" i="3"/>
  <c r="S204" i="3"/>
  <c r="V204" i="3"/>
  <c r="S203" i="3"/>
  <c r="V203" i="3"/>
  <c r="S202" i="3"/>
  <c r="V202" i="3"/>
  <c r="S201" i="3"/>
  <c r="V201" i="3"/>
  <c r="S200" i="3"/>
  <c r="V200" i="3"/>
  <c r="S199" i="3"/>
  <c r="V199" i="3"/>
  <c r="S198" i="3"/>
  <c r="V198" i="3"/>
  <c r="S197" i="3"/>
  <c r="V197" i="3"/>
  <c r="S196" i="3"/>
  <c r="V196" i="3"/>
  <c r="S195" i="3"/>
  <c r="V195" i="3"/>
  <c r="S194" i="3"/>
  <c r="V194" i="3"/>
  <c r="S193" i="3"/>
  <c r="V193" i="3"/>
  <c r="S192" i="3"/>
  <c r="V192" i="3"/>
  <c r="S191" i="3"/>
  <c r="V191" i="3"/>
  <c r="S190" i="3"/>
  <c r="V190" i="3"/>
  <c r="S189" i="3"/>
  <c r="V189" i="3"/>
  <c r="S188" i="3"/>
  <c r="V188" i="3"/>
  <c r="S187" i="3"/>
  <c r="V187" i="3"/>
  <c r="S186" i="3"/>
  <c r="V186" i="3"/>
  <c r="S185" i="3"/>
  <c r="V185" i="3"/>
  <c r="S184" i="3"/>
  <c r="V184" i="3"/>
  <c r="S183" i="3"/>
  <c r="V183" i="3"/>
  <c r="S182" i="3"/>
  <c r="V182" i="3"/>
  <c r="S181" i="3"/>
  <c r="V181" i="3"/>
  <c r="S180" i="3"/>
  <c r="V180" i="3"/>
  <c r="S179" i="3"/>
  <c r="V179" i="3"/>
  <c r="S178" i="3"/>
  <c r="V178" i="3"/>
  <c r="S177" i="3"/>
  <c r="V177" i="3"/>
  <c r="S176" i="3"/>
  <c r="V176" i="3"/>
  <c r="S175" i="3"/>
  <c r="V175" i="3"/>
  <c r="S174" i="3"/>
  <c r="V174" i="3"/>
  <c r="S173" i="3"/>
  <c r="V173" i="3"/>
  <c r="S172" i="3"/>
  <c r="V172" i="3"/>
  <c r="S171" i="3"/>
  <c r="V171" i="3"/>
  <c r="S170" i="3"/>
  <c r="V170" i="3"/>
  <c r="S169" i="3"/>
  <c r="V169" i="3"/>
  <c r="S168" i="3"/>
  <c r="V168" i="3"/>
  <c r="S167" i="3"/>
  <c r="V167" i="3"/>
  <c r="S166" i="3"/>
  <c r="V166" i="3"/>
  <c r="S165" i="3"/>
  <c r="V165" i="3"/>
  <c r="S164" i="3"/>
  <c r="V164" i="3"/>
  <c r="S163" i="3"/>
  <c r="V163" i="3"/>
  <c r="S162" i="3"/>
  <c r="V162" i="3"/>
  <c r="S161" i="3"/>
  <c r="V161" i="3"/>
  <c r="S160" i="3"/>
  <c r="V160" i="3"/>
  <c r="S159" i="3"/>
  <c r="V159" i="3"/>
  <c r="S158" i="3"/>
  <c r="V158" i="3"/>
  <c r="S157" i="3"/>
  <c r="V157" i="3"/>
  <c r="S156" i="3"/>
  <c r="V156" i="3"/>
  <c r="S155" i="3"/>
  <c r="V155" i="3"/>
  <c r="S154" i="3"/>
  <c r="V154" i="3"/>
  <c r="S153" i="3"/>
  <c r="V153" i="3"/>
  <c r="S152" i="3"/>
  <c r="V152" i="3"/>
  <c r="S151" i="3"/>
  <c r="V151" i="3"/>
  <c r="S150" i="3"/>
  <c r="V150" i="3"/>
  <c r="S149" i="3"/>
  <c r="V149" i="3"/>
  <c r="S148" i="3"/>
  <c r="V148" i="3"/>
  <c r="S147" i="3"/>
  <c r="V147" i="3"/>
  <c r="S146" i="3"/>
  <c r="V146" i="3"/>
  <c r="S145" i="3"/>
  <c r="V145" i="3"/>
  <c r="S144" i="3"/>
  <c r="V144" i="3"/>
  <c r="S143" i="3"/>
  <c r="V143" i="3"/>
  <c r="S142" i="3"/>
  <c r="V142" i="3"/>
  <c r="S141" i="3"/>
  <c r="V141" i="3"/>
  <c r="S140" i="3"/>
  <c r="V140" i="3"/>
  <c r="S139" i="3"/>
  <c r="V139" i="3"/>
  <c r="S138" i="3"/>
  <c r="V138" i="3"/>
  <c r="S137" i="3"/>
  <c r="V137" i="3"/>
  <c r="S136" i="3"/>
  <c r="V136" i="3"/>
  <c r="S135" i="3"/>
  <c r="V135" i="3"/>
  <c r="S134" i="3"/>
  <c r="V134" i="3"/>
  <c r="S133" i="3"/>
  <c r="V133" i="3"/>
  <c r="S132" i="3"/>
  <c r="V132" i="3"/>
  <c r="S131" i="3"/>
  <c r="V131" i="3"/>
  <c r="S130" i="3"/>
  <c r="V130" i="3"/>
  <c r="S129" i="3"/>
  <c r="V129" i="3"/>
  <c r="S128" i="3"/>
  <c r="V128" i="3"/>
  <c r="S127" i="3"/>
  <c r="V127" i="3"/>
  <c r="S126" i="3"/>
  <c r="V126" i="3"/>
  <c r="S125" i="3"/>
  <c r="V125" i="3"/>
  <c r="S124" i="3"/>
  <c r="V124" i="3"/>
  <c r="S123" i="3"/>
  <c r="V123" i="3"/>
  <c r="S122" i="3"/>
  <c r="V122" i="3"/>
  <c r="S121" i="3"/>
  <c r="V121" i="3"/>
  <c r="S120" i="3"/>
  <c r="V120" i="3"/>
  <c r="S119" i="3"/>
  <c r="V119" i="3"/>
  <c r="S118" i="3"/>
  <c r="V118" i="3"/>
  <c r="S117" i="3"/>
  <c r="V117" i="3"/>
  <c r="S116" i="3"/>
  <c r="V116" i="3"/>
  <c r="S115" i="3"/>
  <c r="V115" i="3"/>
  <c r="S114" i="3"/>
  <c r="V114" i="3"/>
  <c r="S113" i="3"/>
  <c r="V113" i="3"/>
  <c r="S112" i="3"/>
  <c r="V112" i="3"/>
  <c r="S111" i="3"/>
  <c r="V111" i="3"/>
  <c r="S110" i="3"/>
  <c r="V110" i="3"/>
  <c r="S109" i="3"/>
  <c r="V109" i="3"/>
  <c r="S108" i="3"/>
  <c r="V108" i="3"/>
  <c r="S107" i="3"/>
  <c r="V107" i="3"/>
  <c r="S105" i="3"/>
  <c r="V105" i="3"/>
  <c r="S104" i="3"/>
  <c r="V104" i="3"/>
  <c r="S103" i="3"/>
  <c r="V103" i="3"/>
  <c r="S102" i="3"/>
  <c r="V102" i="3"/>
  <c r="S101" i="3"/>
  <c r="V101" i="3"/>
  <c r="S100" i="3"/>
  <c r="V100" i="3"/>
  <c r="S99" i="3"/>
  <c r="V99" i="3"/>
  <c r="S98" i="3"/>
  <c r="V98" i="3"/>
  <c r="S97" i="3"/>
  <c r="V97" i="3"/>
  <c r="S96" i="3"/>
  <c r="V96" i="3"/>
  <c r="S95" i="3"/>
  <c r="V95" i="3"/>
  <c r="S94" i="3"/>
  <c r="V94" i="3"/>
  <c r="S93" i="3"/>
  <c r="V93" i="3"/>
  <c r="S92" i="3"/>
  <c r="V92" i="3"/>
  <c r="S91" i="3"/>
  <c r="V91" i="3"/>
  <c r="S90" i="3"/>
  <c r="V90" i="3"/>
  <c r="S89" i="3"/>
  <c r="V89" i="3"/>
  <c r="S88" i="3"/>
  <c r="V88" i="3"/>
  <c r="S87" i="3"/>
  <c r="V87" i="3"/>
  <c r="S86" i="3"/>
  <c r="V86" i="3"/>
  <c r="S85" i="3"/>
  <c r="V85" i="3"/>
  <c r="S84" i="3"/>
  <c r="V84" i="3"/>
  <c r="S83" i="3"/>
  <c r="V83" i="3"/>
  <c r="S82" i="3"/>
  <c r="V82" i="3"/>
  <c r="S81" i="3"/>
  <c r="V81" i="3"/>
  <c r="S80" i="3"/>
  <c r="V80" i="3"/>
  <c r="S79" i="3"/>
  <c r="V79" i="3"/>
  <c r="S78" i="3"/>
  <c r="V78" i="3"/>
  <c r="S77" i="3"/>
  <c r="V77" i="3"/>
  <c r="S76" i="3"/>
  <c r="V76" i="3"/>
  <c r="S75" i="3"/>
  <c r="V75" i="3"/>
  <c r="S74" i="3"/>
  <c r="V74" i="3"/>
  <c r="S73" i="3"/>
  <c r="V73" i="3"/>
  <c r="S72" i="3"/>
  <c r="V72" i="3"/>
  <c r="S71" i="3"/>
  <c r="V71" i="3"/>
  <c r="S70" i="3"/>
  <c r="V70" i="3"/>
  <c r="S69" i="3"/>
  <c r="V69" i="3"/>
  <c r="S68" i="3"/>
  <c r="V68" i="3"/>
  <c r="S67" i="3"/>
  <c r="V67" i="3"/>
  <c r="S66" i="3"/>
  <c r="V66" i="3"/>
  <c r="S65" i="3"/>
  <c r="V65" i="3"/>
  <c r="S64" i="3"/>
  <c r="V64" i="3"/>
  <c r="S63" i="3"/>
  <c r="V63" i="3"/>
  <c r="S62" i="3"/>
  <c r="V62" i="3"/>
  <c r="S61" i="3"/>
  <c r="V61" i="3"/>
  <c r="S60" i="3"/>
  <c r="V60" i="3"/>
  <c r="S59" i="3"/>
  <c r="V59" i="3"/>
  <c r="S58" i="3"/>
  <c r="V58" i="3"/>
  <c r="S57" i="3"/>
  <c r="V57" i="3"/>
  <c r="S56" i="3"/>
  <c r="V56" i="3"/>
  <c r="S55" i="3"/>
  <c r="V55" i="3"/>
  <c r="S54" i="3"/>
  <c r="V54" i="3"/>
  <c r="S53" i="3"/>
  <c r="V53" i="3"/>
  <c r="S52" i="3"/>
  <c r="V52" i="3"/>
  <c r="S51" i="3"/>
  <c r="V51" i="3"/>
  <c r="S50" i="3"/>
  <c r="V50" i="3"/>
  <c r="S49" i="3"/>
  <c r="V49" i="3"/>
  <c r="S48" i="3"/>
  <c r="V48" i="3"/>
  <c r="S47" i="3"/>
  <c r="V47" i="3"/>
  <c r="S46" i="3"/>
  <c r="V46" i="3"/>
  <c r="S45" i="3"/>
  <c r="V45" i="3"/>
  <c r="S44" i="3"/>
  <c r="V44" i="3"/>
  <c r="S43" i="3"/>
  <c r="V43" i="3"/>
  <c r="S42" i="3"/>
  <c r="V42" i="3"/>
  <c r="S41" i="3"/>
  <c r="V41" i="3"/>
  <c r="S40" i="3"/>
  <c r="V40" i="3"/>
  <c r="S39" i="3"/>
  <c r="V39" i="3"/>
  <c r="S38" i="3"/>
  <c r="V38" i="3"/>
  <c r="S37" i="3"/>
  <c r="V37" i="3"/>
  <c r="S36" i="3"/>
  <c r="V36" i="3"/>
  <c r="S35" i="3"/>
  <c r="V35" i="3"/>
  <c r="S34" i="3"/>
  <c r="V34" i="3"/>
  <c r="S33" i="3"/>
  <c r="V33" i="3"/>
  <c r="S32" i="3"/>
  <c r="V32" i="3"/>
  <c r="S31" i="3"/>
  <c r="V31" i="3"/>
  <c r="S30" i="3"/>
  <c r="V30" i="3"/>
  <c r="S29" i="3"/>
  <c r="V29" i="3"/>
  <c r="S28" i="3"/>
  <c r="V28" i="3"/>
  <c r="S27" i="3"/>
  <c r="V27" i="3"/>
  <c r="S26" i="3"/>
  <c r="V26" i="3"/>
  <c r="S25" i="3"/>
  <c r="V25" i="3"/>
  <c r="S24" i="3"/>
  <c r="V24" i="3"/>
  <c r="S23" i="3"/>
  <c r="V23" i="3"/>
  <c r="S22" i="3"/>
  <c r="V22" i="3"/>
  <c r="S21" i="3"/>
  <c r="V21" i="3"/>
  <c r="S20" i="3"/>
  <c r="V20" i="3"/>
  <c r="S19" i="3"/>
  <c r="V19" i="3"/>
  <c r="S18" i="3"/>
  <c r="V18" i="3"/>
  <c r="S17" i="3"/>
  <c r="V17" i="3"/>
  <c r="S16" i="3"/>
  <c r="V16" i="3"/>
  <c r="S15" i="3"/>
  <c r="V15" i="3"/>
  <c r="S14" i="3"/>
  <c r="V14" i="3"/>
  <c r="S13" i="3"/>
  <c r="V13" i="3"/>
  <c r="S12" i="3"/>
  <c r="V12" i="3"/>
  <c r="S11" i="3"/>
  <c r="V11" i="3"/>
  <c r="S10" i="3"/>
  <c r="V10" i="3"/>
  <c r="S9" i="3"/>
  <c r="V9" i="3"/>
  <c r="S8" i="3"/>
  <c r="V8" i="3"/>
  <c r="S7" i="3"/>
  <c r="V7" i="3"/>
  <c r="S6" i="3"/>
  <c r="V6" i="3"/>
  <c r="S5" i="3"/>
  <c r="V5" i="3"/>
  <c r="S4" i="3"/>
  <c r="V4" i="3"/>
</calcChain>
</file>

<file path=xl/sharedStrings.xml><?xml version="1.0" encoding="utf-8"?>
<sst xmlns="http://schemas.openxmlformats.org/spreadsheetml/2006/main" count="7118" uniqueCount="1094">
  <si>
    <t>ARMEMENT01 · Catalogue complet (12 onglets) · contrat v0.3 + jalon ARMEMENT01.2</t>
  </si>
  <si>
    <t>82 archétypes · 1640 versions immuables · vrais dés RPG · données historiques conservées</t>
  </si>
  <si>
    <t>Objet</t>
  </si>
  <si>
    <t>Ce classeur décrit 82 archétypes d'armes, de focaliseurs et de boucliers; ce ne sont PAS 82 DataAssets UE5 déjà créés.</t>
  </si>
  <si>
    <t>Onglet Catalogue</t>
  </si>
  <si>
    <t>Identité par famille : type, dégâts niveau 1, coût PA, portée, poids, attribut, bonus précision et rôle tactique.</t>
  </si>
  <si>
    <t>Onglet Niveaux 1-20</t>
  </si>
  <si>
    <t>82 archétypes × 20 versions de butin. Jet de dégâts = NdM + K, dés d4/d6/d8/d10/d12/d20; les plages Min/Max sont une conséquence.</t>
  </si>
  <si>
    <t>Onglet Raretés</t>
  </si>
  <si>
    <t>Commun gris, Rare vert, Épique bleu, Légendaire violet, Unique doré. Aucun bonus WD de rareté automatique.</t>
  </si>
  <si>
    <t>Onglet Classes</t>
  </si>
  <si>
    <t>6 classes et 18 spécialités canoniques; préférences de gameplay, non restrictions absolues.</t>
  </si>
  <si>
    <t>Onglet Améliorations</t>
  </si>
  <si>
    <t>Forge sans gain de niveau, alchimie temporaire, runes permanentes. FOR02/FOR03/FOR07 corrigées selon ARM-001.</t>
  </si>
  <si>
    <t>Onglet Uniques</t>
  </si>
  <si>
    <t>Exemples d'objets nommés, avec effet prédéfini et acquisition scénarisée.</t>
  </si>
  <si>
    <t>Onglet Paramètres</t>
  </si>
  <si>
    <t>Courbe indicative (k1/k2) pour orienter l'équilibrage; ne régénère pas les dés sans re-authoring explicite.</t>
  </si>
  <si>
    <t>Onglet Implémentation UE5</t>
  </si>
  <si>
    <t>Paramètres de progression à la création de l'objet (niveau fixe), plus paramètres proposés de sous-niveau.</t>
  </si>
  <si>
    <t>ATTENTION</t>
  </si>
  <si>
    <t>Valeurs indicatives de game design. À calibrer contre PV/armures monstres, 4 PA/tour, critique, WD et difficulté réelle.</t>
  </si>
  <si>
    <t>Courbe d'équilibrage</t>
  </si>
  <si>
    <t>La courbe k1/k2 sert uniquement de cible de comparaison (colonnes Q:R). Les profils de dés M:N:O sont authorés et fixes pour chaque version de butin.</t>
  </si>
  <si>
    <t>Références</t>
  </si>
  <si>
    <t>ARMEMENT01_Contrat_Armement_v0_3.md (design) ; ARMEMENT01_2_CONTRAT_TECHNIQUE_MULTIDES.md (contrat technique).</t>
  </si>
  <si>
    <t>Continuité v0.2</t>
  </si>
  <si>
    <t>Les 12 onglets et les données des familles, classes, affixes, uniques, recettes, paramètres et pénalités sont conservés.</t>
  </si>
  <si>
    <t>ARM-001</t>
  </si>
  <si>
    <t>Niveau d'objet fixe; profil réel NdM+K à dés d4/d6/d8/d10/d12/d20, plusieurs dés possibles.</t>
  </si>
  <si>
    <t>ARM-002</t>
  </si>
  <si>
    <t>AUCUNE conversion de Min/Max en dé virtuel non standard pour les nouvelles armes. Min/Max sont dérivés des dés; les anciens profils du moteur restent compatibles.</t>
  </si>
  <si>
    <t>ARM-003</t>
  </si>
  <si>
    <t>Objet plus haut niveau : malus proposés ; maximum 3 niveaux d'écart équipable (proposition à valider).</t>
  </si>
  <si>
    <t>ARM-004</t>
  </si>
  <si>
    <t>Exemple 2d8 + 4 : plage 6–20 ; moyenne 13 ; somme de deux vrais d8, pas RandRange(6,20).</t>
  </si>
  <si>
    <t>ARM-005</t>
  </si>
  <si>
    <t>Les boucliers n'ont pas de jet de dégâts passif ; une attaque de bouclier est une action distincte.</t>
  </si>
  <si>
    <t>Raretés</t>
  </si>
  <si>
    <t>Gris / Vert / Bleu / Violet / Doré.</t>
  </si>
  <si>
    <t>Attention</t>
  </si>
  <si>
    <t>L'armure des boucliers est une valeur fixe, sans dés de protection; la précision et les jets d'action existants restent inchangés.</t>
  </si>
  <si>
    <t>ARMEMENT01.2</t>
  </si>
  <si>
    <t>Contrat technique : ajout d'un profil de dés opt-in, branche legacy préservée, trace individuelle et tests déterministes.</t>
  </si>
  <si>
    <t>Statut technique</t>
  </si>
  <si>
    <t>Documenté seulement : aucun changement de code ni test Unreal exécuté.</t>
  </si>
  <si>
    <t>Contrôles de données</t>
  </si>
  <si>
    <t>Dans 'Niveaux 1-20', colonnes T:V vérifient faces autorisées, bornes et moyenne de chaque profil sans modifier A:S.</t>
  </si>
  <si>
    <t>Catalogue d'armement</t>
  </si>
  <si>
    <t>Une ligne = un ARCHÉTYPE. E/F sont les CIBLES historiques N1, non les dégâts authorés; la source des dégâts jouables est la table des vrais dés par niveau.</t>
  </si>
  <si>
    <t>ID</t>
  </si>
  <si>
    <t>Nom</t>
  </si>
  <si>
    <t>Famille</t>
  </si>
  <si>
    <t>Tenue</t>
  </si>
  <si>
    <t>Min cible N1</t>
  </si>
  <si>
    <t>Max cible N1</t>
  </si>
  <si>
    <t>Arm phys N1</t>
  </si>
  <si>
    <t>Arm mag N1</t>
  </si>
  <si>
    <t>PA</t>
  </si>
  <si>
    <t>Portée cases</t>
  </si>
  <si>
    <t>Poids kg</t>
  </si>
  <si>
    <t>Précision</t>
  </si>
  <si>
    <t>Attribut</t>
  </si>
  <si>
    <t>Dégâts</t>
  </si>
  <si>
    <t>Sous-type</t>
  </si>
  <si>
    <t>Classe principale</t>
  </si>
  <si>
    <t>Classes secondaires</t>
  </si>
  <si>
    <t>Particularité</t>
  </si>
  <si>
    <t>Tags proposés</t>
  </si>
  <si>
    <t>Dés N1 réels (voir versions)</t>
  </si>
  <si>
    <t>ARM001</t>
  </si>
  <si>
    <t>Dague</t>
  </si>
  <si>
    <t>Légères</t>
  </si>
  <si>
    <t>1 main</t>
  </si>
  <si>
    <t>Dextérité</t>
  </si>
  <si>
    <t>Physical</t>
  </si>
  <si>
    <t>Slashing</t>
  </si>
  <si>
    <t>Voleur</t>
  </si>
  <si>
    <t>Rôdeur / Alchimiste</t>
  </si>
  <si>
    <t>Polyvalente, double arme</t>
  </si>
  <si>
    <t>Weapon.Light</t>
  </si>
  <si>
    <t>1d4</t>
  </si>
  <si>
    <t>ARM002</t>
  </si>
  <si>
    <t>Poignard d'assassin</t>
  </si>
  <si>
    <t>Piercing</t>
  </si>
  <si>
    <t>Critique conditionnel depuis l'ombre</t>
  </si>
  <si>
    <t>ARM003</t>
  </si>
  <si>
    <t>Stylet</t>
  </si>
  <si>
    <t>Perforation ciblée</t>
  </si>
  <si>
    <t>ARM004</t>
  </si>
  <si>
    <t>Kriss</t>
  </si>
  <si>
    <t>Saigne sur coup critique</t>
  </si>
  <si>
    <t>ARM005</t>
  </si>
  <si>
    <t>Couteau de chasse</t>
  </si>
  <si>
    <t>Chasse et utilitaire</t>
  </si>
  <si>
    <t>ARM006</t>
  </si>
  <si>
    <t>Épée courte</t>
  </si>
  <si>
    <t>Bon compromis</t>
  </si>
  <si>
    <t>1d4 + 1</t>
  </si>
  <si>
    <t>ARM007</t>
  </si>
  <si>
    <t>Rapière</t>
  </si>
  <si>
    <t>Parade et précision</t>
  </si>
  <si>
    <t>ARM008</t>
  </si>
  <si>
    <t>Sabre léger</t>
  </si>
  <si>
    <t>Mobilité</t>
  </si>
  <si>
    <t>ARM009</t>
  </si>
  <si>
    <t>Cimeterre court</t>
  </si>
  <si>
    <t>Tranchant</t>
  </si>
  <si>
    <t>ARM010</t>
  </si>
  <si>
    <t>Hachette</t>
  </si>
  <si>
    <t>Peut être lancée selon version</t>
  </si>
  <si>
    <t>ARM011</t>
  </si>
  <si>
    <t>Serpe</t>
  </si>
  <si>
    <t>Affinité poison</t>
  </si>
  <si>
    <t>ARM012</t>
  </si>
  <si>
    <t>Gourdin léger</t>
  </si>
  <si>
    <t>Bludgeoning</t>
  </si>
  <si>
    <t>Contondant discret</t>
  </si>
  <si>
    <t>ARM013</t>
  </si>
  <si>
    <t>Main-gauche</t>
  </si>
  <si>
    <t>Parade en main secondaire</t>
  </si>
  <si>
    <t>ARM014</t>
  </si>
  <si>
    <t>Épée droite</t>
  </si>
  <si>
    <t>Une main</t>
  </si>
  <si>
    <t>Force</t>
  </si>
  <si>
    <t>Guerrier</t>
  </si>
  <si>
    <t>Prêtre / Rôdeur</t>
  </si>
  <si>
    <t>Régulière</t>
  </si>
  <si>
    <t>Weapon.Martial</t>
  </si>
  <si>
    <t>1d4 + 2</t>
  </si>
  <si>
    <t>ARM015</t>
  </si>
  <si>
    <t>Épée longue</t>
  </si>
  <si>
    <t>Dégâts élevés</t>
  </si>
  <si>
    <t>1d4 + 3</t>
  </si>
  <si>
    <t>ARM016</t>
  </si>
  <si>
    <t>Épée bâtarde</t>
  </si>
  <si>
    <t>Style polyvalent, changement de prise futur</t>
  </si>
  <si>
    <t>ARM017</t>
  </si>
  <si>
    <t>Falchion</t>
  </si>
  <si>
    <t>Tranchant large</t>
  </si>
  <si>
    <t>ARM018</t>
  </si>
  <si>
    <t>Hache de guerre</t>
  </si>
  <si>
    <t>Brise-garde</t>
  </si>
  <si>
    <t>1d4 + 4</t>
  </si>
  <si>
    <t>ARM019</t>
  </si>
  <si>
    <t>Hache barbue</t>
  </si>
  <si>
    <t>Accroche-bouclier (futur)</t>
  </si>
  <si>
    <t>ARM020</t>
  </si>
  <si>
    <t>Masse d'armes</t>
  </si>
  <si>
    <t>Contondant</t>
  </si>
  <si>
    <t>ARM021</t>
  </si>
  <si>
    <t>Masse à ailettes</t>
  </si>
  <si>
    <t>Contre armures</t>
  </si>
  <si>
    <t>ARM022</t>
  </si>
  <si>
    <t>Marteau de guerre</t>
  </si>
  <si>
    <t>ARM023</t>
  </si>
  <si>
    <t>Fléau d'armes</t>
  </si>
  <si>
    <t>Contourne parade (futur)</t>
  </si>
  <si>
    <t>ARM024</t>
  </si>
  <si>
    <t>Étoile du matin</t>
  </si>
  <si>
    <t>Dégâts irréguliers</t>
  </si>
  <si>
    <t>ARM025</t>
  </si>
  <si>
    <t>Pic de guerre</t>
  </si>
  <si>
    <t>Perforation</t>
  </si>
  <si>
    <t>ARM026</t>
  </si>
  <si>
    <t>Sceptre de bataille</t>
  </si>
  <si>
    <t>Prêtre martial</t>
  </si>
  <si>
    <t>ARM027</t>
  </si>
  <si>
    <t>Grande épée</t>
  </si>
  <si>
    <t>Deux mains</t>
  </si>
  <si>
    <t>2 mains</t>
  </si>
  <si>
    <t>Prêtre (marteaux)</t>
  </si>
  <si>
    <t>Attaque puissante</t>
  </si>
  <si>
    <t>Weapon.Heavy</t>
  </si>
  <si>
    <t>1d6 + 5</t>
  </si>
  <si>
    <t>ARM028</t>
  </si>
  <si>
    <t>Claymore</t>
  </si>
  <si>
    <t>Tranchant ample</t>
  </si>
  <si>
    <t>1d6 + 6</t>
  </si>
  <si>
    <t>ARM029</t>
  </si>
  <si>
    <t>Espadon</t>
  </si>
  <si>
    <t>Très lourd</t>
  </si>
  <si>
    <t>ARM030</t>
  </si>
  <si>
    <t>Lame d'exécution</t>
  </si>
  <si>
    <t>Exécution sur cible affaiblie</t>
  </si>
  <si>
    <t>1d6 + 7</t>
  </si>
  <si>
    <t>ARM031</t>
  </si>
  <si>
    <t>Grande hache</t>
  </si>
  <si>
    <t>Brise-armure</t>
  </si>
  <si>
    <t>ARM032</t>
  </si>
  <si>
    <t>Hache double</t>
  </si>
  <si>
    <t>Amplitude élevée</t>
  </si>
  <si>
    <t>1d8 + 6</t>
  </si>
  <si>
    <t>ARM033</t>
  </si>
  <si>
    <t>Bardiche</t>
  </si>
  <si>
    <t>Balayage</t>
  </si>
  <si>
    <t>ARM034</t>
  </si>
  <si>
    <t>Marteau à deux mains</t>
  </si>
  <si>
    <t>Écrasement</t>
  </si>
  <si>
    <t>ARM035</t>
  </si>
  <si>
    <t>Masse lourde</t>
  </si>
  <si>
    <t>Assommement conditionnel</t>
  </si>
  <si>
    <t>ARM036</t>
  </si>
  <si>
    <t>Maillet de guerre</t>
  </si>
  <si>
    <t>Frappe lente extrême</t>
  </si>
  <si>
    <t>1d6 + 8</t>
  </si>
  <si>
    <t>ARM037</t>
  </si>
  <si>
    <t>Faux de guerre</t>
  </si>
  <si>
    <t>Grande allonge esthétique</t>
  </si>
  <si>
    <t>ARM038</t>
  </si>
  <si>
    <t>Lance courte</t>
  </si>
  <si>
    <t>Armes d'hast</t>
  </si>
  <si>
    <t>Rôdeur</t>
  </si>
  <si>
    <t>Pointes rapprochées</t>
  </si>
  <si>
    <t>Weapon.Heavy;Weapon.Polearm</t>
  </si>
  <si>
    <t>1d6 + 2</t>
  </si>
  <si>
    <t>ARM039</t>
  </si>
  <si>
    <t>Lance longue</t>
  </si>
  <si>
    <t>Allonge, cible axiale</t>
  </si>
  <si>
    <t>1d6 + 3</t>
  </si>
  <si>
    <t>ARM040</t>
  </si>
  <si>
    <t>Pique</t>
  </si>
  <si>
    <t>Allonge, difficile à manœuvrer</t>
  </si>
  <si>
    <t>1d6 + 4</t>
  </si>
  <si>
    <t>ARM041</t>
  </si>
  <si>
    <t>Hallebarde</t>
  </si>
  <si>
    <t>Tranchant et crochet</t>
  </si>
  <si>
    <t>ARM042</t>
  </si>
  <si>
    <t>Vouge</t>
  </si>
  <si>
    <t>ARM043</t>
  </si>
  <si>
    <t>Glaive d'hast</t>
  </si>
  <si>
    <t>Attaque axiale</t>
  </si>
  <si>
    <t>ARM044</t>
  </si>
  <si>
    <t>Trident</t>
  </si>
  <si>
    <t>Contrôle de cible (futur)</t>
  </si>
  <si>
    <t>ARM045</t>
  </si>
  <si>
    <t>Arc court</t>
  </si>
  <si>
    <t>Distance</t>
  </si>
  <si>
    <t>Voleur / Alchimiste</t>
  </si>
  <si>
    <t>Léger, flexible</t>
  </si>
  <si>
    <t>Weapon.Ranged</t>
  </si>
  <si>
    <t>ARM046</t>
  </si>
  <si>
    <t>Arc long</t>
  </si>
  <si>
    <t>Portée supérieure</t>
  </si>
  <si>
    <t>ARM047</t>
  </si>
  <si>
    <t>Arc composite</t>
  </si>
  <si>
    <t>Puissance</t>
  </si>
  <si>
    <t>ARM048</t>
  </si>
  <si>
    <t>Arc recourbé</t>
  </si>
  <si>
    <t>ARM049</t>
  </si>
  <si>
    <t>Arbalète légère</t>
  </si>
  <si>
    <t>Tir précis</t>
  </si>
  <si>
    <t>ARM050</t>
  </si>
  <si>
    <t>Arbalète lourde</t>
  </si>
  <si>
    <t>Projectile puissant</t>
  </si>
  <si>
    <t>1d4 + 6</t>
  </si>
  <si>
    <t>ARM051</t>
  </si>
  <si>
    <t>Arbalète à répétition</t>
  </si>
  <si>
    <t>Cadence (à implémenter)</t>
  </si>
  <si>
    <t>ARM052</t>
  </si>
  <si>
    <t>Fronde</t>
  </si>
  <si>
    <t>Munition simple</t>
  </si>
  <si>
    <t>ARM053</t>
  </si>
  <si>
    <t>Sarbacane</t>
  </si>
  <si>
    <t>Vecteur de poison</t>
  </si>
  <si>
    <t>ARM054</t>
  </si>
  <si>
    <t>Couteau de jet</t>
  </si>
  <si>
    <t>Jet</t>
  </si>
  <si>
    <t>Récupérable</t>
  </si>
  <si>
    <t>Weapon.Thrown</t>
  </si>
  <si>
    <t>ARM055</t>
  </si>
  <si>
    <t>Dague de jet</t>
  </si>
  <si>
    <t>ARM056</t>
  </si>
  <si>
    <t>Hache de jet</t>
  </si>
  <si>
    <t>ARM057</t>
  </si>
  <si>
    <t>Javelot</t>
  </si>
  <si>
    <t>ARM058</t>
  </si>
  <si>
    <t>Dard</t>
  </si>
  <si>
    <t>ARM059</t>
  </si>
  <si>
    <t>Bolas</t>
  </si>
  <si>
    <t>Entrave (effet séparé)</t>
  </si>
  <si>
    <t>ARM060</t>
  </si>
  <si>
    <t>Chakram</t>
  </si>
  <si>
    <t>Récupérable, trajectoire distincte</t>
  </si>
  <si>
    <t>ARM061</t>
  </si>
  <si>
    <t>Baguette arcanique</t>
  </si>
  <si>
    <t>Focaliseurs</t>
  </si>
  <si>
    <t>Intelligence</t>
  </si>
  <si>
    <t>Arcane</t>
  </si>
  <si>
    <t>None</t>
  </si>
  <si>
    <t>Mage</t>
  </si>
  <si>
    <t>Prêtre / Alchimiste</t>
  </si>
  <si>
    <t>Projectile arcanique</t>
  </si>
  <si>
    <t>Focus.Magic</t>
  </si>
  <si>
    <t>ARM062</t>
  </si>
  <si>
    <t>Baguette de feu</t>
  </si>
  <si>
    <t>Fire</t>
  </si>
  <si>
    <t>Affinité feu</t>
  </si>
  <si>
    <t>ARM063</t>
  </si>
  <si>
    <t>Baguette de givre</t>
  </si>
  <si>
    <t>Ice</t>
  </si>
  <si>
    <t>Affinité glace</t>
  </si>
  <si>
    <t>ARM064</t>
  </si>
  <si>
    <t>Baguette de foudre</t>
  </si>
  <si>
    <t>Lightning</t>
  </si>
  <si>
    <t>Affinité foudre</t>
  </si>
  <si>
    <t>ARM065</t>
  </si>
  <si>
    <t>Baguette de venin</t>
  </si>
  <si>
    <t>Poison</t>
  </si>
  <si>
    <t>ARM066</t>
  </si>
  <si>
    <t>Bâton arcanique</t>
  </si>
  <si>
    <t>Conduit de magie</t>
  </si>
  <si>
    <t>ARM067</t>
  </si>
  <si>
    <t>Bâton élémentaire</t>
  </si>
  <si>
    <t>Affinité élémentaire</t>
  </si>
  <si>
    <t>ARM068</t>
  </si>
  <si>
    <t>Bâton rituel</t>
  </si>
  <si>
    <t>Soutien magique</t>
  </si>
  <si>
    <t>ARM069</t>
  </si>
  <si>
    <t>Sceptre sacré</t>
  </si>
  <si>
    <t>Sagesse</t>
  </si>
  <si>
    <t>Holy</t>
  </si>
  <si>
    <t>Prêtre</t>
  </si>
  <si>
    <t>Soutien divin</t>
  </si>
  <si>
    <t>ARM070</t>
  </si>
  <si>
    <t>Orbe arcanique</t>
  </si>
  <si>
    <t>Secondaire</t>
  </si>
  <si>
    <t>Bonus de focalisation (pas de dégâts de base)</t>
  </si>
  <si>
    <t>—</t>
  </si>
  <si>
    <t>ARM071</t>
  </si>
  <si>
    <t>Grimoire focaliseur</t>
  </si>
  <si>
    <t>ARM072</t>
  </si>
  <si>
    <t>Rondache</t>
  </si>
  <si>
    <t>Boucliers</t>
  </si>
  <si>
    <t>Constitution</t>
  </si>
  <si>
    <t>Voleur / Rôdeur</t>
  </si>
  <si>
    <t>Parade et mobilité</t>
  </si>
  <si>
    <t>Equipment.Shield</t>
  </si>
  <si>
    <t>ARM073</t>
  </si>
  <si>
    <t>Targe</t>
  </si>
  <si>
    <t>Blocage léger</t>
  </si>
  <si>
    <t>ARM074</t>
  </si>
  <si>
    <t>Bouclier de bois</t>
  </si>
  <si>
    <t>Défense économique</t>
  </si>
  <si>
    <t>ARM075</t>
  </si>
  <si>
    <t>Bouclier rond</t>
  </si>
  <si>
    <t>Défense régulière</t>
  </si>
  <si>
    <t>ARM076</t>
  </si>
  <si>
    <t>Écu triangulaire</t>
  </si>
  <si>
    <t>Défense polyvalente</t>
  </si>
  <si>
    <t>ARM077</t>
  </si>
  <si>
    <t>Bouclier cerf-volant</t>
  </si>
  <si>
    <t>Couverture étendue</t>
  </si>
  <si>
    <t>ARM078</t>
  </si>
  <si>
    <t>Bouclier d'acier</t>
  </si>
  <si>
    <t>Protection renforcée</t>
  </si>
  <si>
    <t>ARM079</t>
  </si>
  <si>
    <t>Pavois</t>
  </si>
  <si>
    <t>Fortification et couverture</t>
  </si>
  <si>
    <t>ARM080</t>
  </si>
  <si>
    <t>Bouclier-tour</t>
  </si>
  <si>
    <t>Très lourd, rempart</t>
  </si>
  <si>
    <t>ARM081</t>
  </si>
  <si>
    <t>Égide sacrée</t>
  </si>
  <si>
    <t>Prêtre / Mage</t>
  </si>
  <si>
    <t>Protection sacrée</t>
  </si>
  <si>
    <t>ARM082</t>
  </si>
  <si>
    <t>Bouclier runique</t>
  </si>
  <si>
    <t>Protection magique</t>
  </si>
  <si>
    <t>ARMEMENT01 · Versions fixes niveau 1–20 — DÉS RPG CLASSIQUES</t>
  </si>
  <si>
    <t>Chaque profil offensif définit ses vrais dés : d4, d6, d8, d10, d12, d20. Plusieurs dés sont additionnés. Les moyennes cibles Q:S servent à l'équilibrage, PAS au tirage.</t>
  </si>
  <si>
    <t>Arme / bouclier</t>
  </si>
  <si>
    <t>Niveau OBJET</t>
  </si>
  <si>
    <t>Dégâts min</t>
  </si>
  <si>
    <t>Dégâts max</t>
  </si>
  <si>
    <t>Arm. physique</t>
  </si>
  <si>
    <t>Arm. magique</t>
  </si>
  <si>
    <t>Coût PA</t>
  </si>
  <si>
    <t>Portée</t>
  </si>
  <si>
    <t>Dégâts moyens</t>
  </si>
  <si>
    <t>Nb dés</t>
  </si>
  <si>
    <t>Faces officielles</t>
  </si>
  <si>
    <t>Constante</t>
  </si>
  <si>
    <t>Jet de dégâts (réel)</t>
  </si>
  <si>
    <t>Min cible (courbe)</t>
  </si>
  <si>
    <t>Max cible (courbe)</t>
  </si>
  <si>
    <t>Écart de moyenne</t>
  </si>
  <si>
    <t>Profil dés valide</t>
  </si>
  <si>
    <t>Moyenne dérivée des dés</t>
  </si>
  <si>
    <t>Moyenne conforme</t>
  </si>
  <si>
    <t>Raretés et codes couleurs</t>
  </si>
  <si>
    <t>Niveau d'objet immuable. Les couleurs expriment la rareté; affixes/runes portent la diversité, sans multiplication WD automatique.</t>
  </si>
  <si>
    <t>Rareté</t>
  </si>
  <si>
    <t>HEX</t>
  </si>
  <si>
    <t>WD de rareté (proposé)</t>
  </si>
  <si>
    <t>Nb affixes</t>
  </si>
  <si>
    <t>Chasses de rune</t>
  </si>
  <si>
    <t>Propriété</t>
  </si>
  <si>
    <t>Origine</t>
  </si>
  <si>
    <t>Contraintes</t>
  </si>
  <si>
    <t>Commun</t>
  </si>
  <si>
    <t>#92999F</t>
  </si>
  <si>
    <t>Aucun affixe standard</t>
  </si>
  <si>
    <t>Butin courant</t>
  </si>
  <si>
    <t>Niveau fixe, dégâts par dés</t>
  </si>
  <si>
    <t>Rare</t>
  </si>
  <si>
    <t>#42A75B</t>
  </si>
  <si>
    <t>1 affixe</t>
  </si>
  <si>
    <t>Butin peu fréquent</t>
  </si>
  <si>
    <t>Rune optionnelle; dégâts sans multiplicateur automatique</t>
  </si>
  <si>
    <t>Épique</t>
  </si>
  <si>
    <t>#368DDF</t>
  </si>
  <si>
    <t>2 affixes</t>
  </si>
  <si>
    <t>Butin exceptionnel</t>
  </si>
  <si>
    <t>Affixes sans effet cumulé excessif</t>
  </si>
  <si>
    <t>Légendaire</t>
  </si>
  <si>
    <t>#9B59D0</t>
  </si>
  <si>
    <t>3 affixes</t>
  </si>
  <si>
    <t>Butin très rare</t>
  </si>
  <si>
    <t>2 runes maximum</t>
  </si>
  <si>
    <t>Unique</t>
  </si>
  <si>
    <t>#D4A23A</t>
  </si>
  <si>
    <t>Propriétés fixes / définies par objet</t>
  </si>
  <si>
    <t>Quête ou boss</t>
  </si>
  <si>
    <t>Rareté narrative, puissance non garantie</t>
  </si>
  <si>
    <t>Principes</t>
  </si>
  <si>
    <t>Rareté≠niveau</t>
  </si>
  <si>
    <t>Une arme Rare N4 ne gagne jamais de niveau ; le porteur peut s'équiper d'un objet &gt; son niveau avec malus.</t>
  </si>
  <si>
    <t>Unique≠suprême</t>
  </si>
  <si>
    <t>Le mécanisme narratif prévaut; certains objets uniques sont de niveau bas.</t>
  </si>
  <si>
    <t>Affixes</t>
  </si>
  <si>
    <t>Petits bonus de précision, résistance, stats, mana, critique, statut conditionnel.</t>
  </si>
  <si>
    <t>Raretés demandées</t>
  </si>
  <si>
    <t>Aucun palier « Peu commun » dans cette version; peut être ajouté sans rompre les IDs.</t>
  </si>
  <si>
    <t>Production</t>
  </si>
  <si>
    <t>Couleurs et slots sont PROPOSÉS, pas une fonctionnalité déjà confirmée du jeu.</t>
  </si>
  <si>
    <t>Affinités des six classes</t>
  </si>
  <si>
    <t>Les préférences guident les talents, l'équilibrage et les drops — aucune interdiction rigide de classe proposée.</t>
  </si>
  <si>
    <t>Classe</t>
  </si>
  <si>
    <t>Branches canoniques</t>
  </si>
  <si>
    <t>Armement prioritaire</t>
  </si>
  <si>
    <t>Exemples emblématiques</t>
  </si>
  <si>
    <t>Alternatives</t>
  </si>
  <si>
    <t>Attributs dominants</t>
  </si>
  <si>
    <t>Synergies</t>
  </si>
  <si>
    <t>Gardien / Brise-ligne / Maître d'armes</t>
  </si>
  <si>
    <t>Épée+écu, masse+écu, grande hache, hallebarde</t>
  </si>
  <si>
    <t>Épée longue, marteau à deux mains</t>
  </si>
  <si>
    <t>Lances, arbalète légère</t>
  </si>
  <si>
    <t>Force; Constitution</t>
  </si>
  <si>
    <t>Garde/contre-attaque/puissance WD</t>
  </si>
  <si>
    <t>Assassin / Ombre / Saboteur</t>
  </si>
  <si>
    <t>Deux dagues, stylet, rapière, couteau de jet</t>
  </si>
  <si>
    <t>Poignard d'assassin, main-gauche</t>
  </si>
  <si>
    <t>Arc court, arbalète légère</t>
  </si>
  <si>
    <t>Critique positionnel, saignement, discrétion</t>
  </si>
  <si>
    <t>Tireur / Chasseur / Éclaireur</t>
  </si>
  <si>
    <t>Arc long/composite, arbalète, lance, javelot</t>
  </si>
  <si>
    <t>Arc recourbé, épée courte</t>
  </si>
  <si>
    <t>Rapière, fronde, poignard</t>
  </si>
  <si>
    <t>Dextérité; Force optionnelle</t>
  </si>
  <si>
    <t>Portée/LOS/mobilité/ennemi juré</t>
  </si>
  <si>
    <t>Évocateur / Arcaniste / Tisseur de surfaces</t>
  </si>
  <si>
    <t>Baguettes élémentaires, bâtons arcaniques, orbe</t>
  </si>
  <si>
    <t>Bâton élémentaire, baguette+orbe</t>
  </si>
  <si>
    <t>Dague légère de secours</t>
  </si>
  <si>
    <t>Affinité élémentaire/surfaces/mana</t>
  </si>
  <si>
    <t>Restauration / Protection / Exorcisme</t>
  </si>
  <si>
    <t>Masse+égide, marteau, sceptre sacré, bouclier runique</t>
  </si>
  <si>
    <t>Masse d'armes, sceptre sacré</t>
  </si>
  <si>
    <t>Bâton rituel, arbalète légère</t>
  </si>
  <si>
    <t>Sagesse; Force optionnelle</t>
  </si>
  <si>
    <t>Protection/soins/contre morts-vivants</t>
  </si>
  <si>
    <t>Alchimiste</t>
  </si>
  <si>
    <t>Grenadier / Apothicaire / Transmutateur</t>
  </si>
  <si>
    <t>Arbalète légère, dards, couteau, focus secondaire</t>
  </si>
  <si>
    <t>Sarbacane, arbalète légère, hachette</t>
  </si>
  <si>
    <t>Dague de jet, bâton rituel</t>
  </si>
  <si>
    <t>Dextérité; Intelligence</t>
  </si>
  <si>
    <t>Huiles/poisons/bombes/recettes</t>
  </si>
  <si>
    <t>Forge · Alchimie · Runes</t>
  </si>
  <si>
    <t>Règle ARM-001 : aucune recette ne modifie ItemLevel. Les améliorations changent uniquement les propriétés/bonus d'une instance.</t>
  </si>
  <si>
    <t>Code</t>
  </si>
  <si>
    <t>Discipline</t>
  </si>
  <si>
    <t>Recette</t>
  </si>
  <si>
    <t>Durée</t>
  </si>
  <si>
    <t>Effet</t>
  </si>
  <si>
    <t>Cibles</t>
  </si>
  <si>
    <t>Ingrédients conceptuels</t>
  </si>
  <si>
    <t>Palier</t>
  </si>
  <si>
    <t>Limites / exclusions</t>
  </si>
  <si>
    <t>Compatibilité runtime</t>
  </si>
  <si>
    <t>FOR01</t>
  </si>
  <si>
    <t>Forge</t>
  </si>
  <si>
    <t>Affûtage de lame</t>
  </si>
  <si>
    <t>Permanent</t>
  </si>
  <si>
    <t>+1 précision (une seule fois)</t>
  </si>
  <si>
    <t>Lame tranchante/perforante</t>
  </si>
  <si>
    <t>Pierre d'aiguisage + fer</t>
  </si>
  <si>
    <t>N1+</t>
  </si>
  <si>
    <t>1 modification d'affûtage par arme</t>
  </si>
  <si>
    <t>Ne change pas Min/Max</t>
  </si>
  <si>
    <t>FOR02</t>
  </si>
  <si>
    <t>Trempe simple</t>
  </si>
  <si>
    <t>+1 dégâts plats (sans changement de niveau)</t>
  </si>
  <si>
    <t>Armes métalliques</t>
  </si>
  <si>
    <t>Minerai de fer + charbon + essence de forge</t>
  </si>
  <si>
    <t>Non cumulable ; remplacée par Trempe supérieure</t>
  </si>
  <si>
    <t>Ajoute +1 au FlatDamageBonus effectif</t>
  </si>
  <si>
    <t>FOR03</t>
  </si>
  <si>
    <t>Trempe supérieure</t>
  </si>
  <si>
    <t>+2 dégâts plats ; remplace Trempe simple</t>
  </si>
  <si>
    <t>Acier raffiné + cœur incandescent</t>
  </si>
  <si>
    <t>N8+</t>
  </si>
  <si>
    <t>Une seule trempe active par objet</t>
  </si>
  <si>
    <t>Ajoute +2 au FlatDamageBonus, pas de level-up</t>
  </si>
  <si>
    <t>FOR04</t>
  </si>
  <si>
    <t>Renforcement d'écu</t>
  </si>
  <si>
    <t>+5% armure physique</t>
  </si>
  <si>
    <t>Rivets + plaque acier</t>
  </si>
  <si>
    <t>N3+</t>
  </si>
  <si>
    <t>Un seul renforcement</t>
  </si>
  <si>
    <t>Sur protection finale de l'écu</t>
  </si>
  <si>
    <t>FOR05</t>
  </si>
  <si>
    <t>Bordure runique</t>
  </si>
  <si>
    <t>Ajoute 1 chasse dans limite de rareté</t>
  </si>
  <si>
    <t>Rare/Épique/Légendaire uniquement</t>
  </si>
  <si>
    <t>Poudre de rune + métal lunaire</t>
  </si>
  <si>
    <t>Max 1/1/2 chasses selon rareté</t>
  </si>
  <si>
    <t>Pas de chasses supplémentaires sur Commun</t>
  </si>
  <si>
    <t>FOR06</t>
  </si>
  <si>
    <t>Rééquilibrage d'arme</t>
  </si>
  <si>
    <t>+1 précision / -5% dégâts théoriques</t>
  </si>
  <si>
    <t>Armes lourdes</t>
  </si>
  <si>
    <t>Contrepoids + lingot</t>
  </si>
  <si>
    <t>N5+</t>
  </si>
  <si>
    <t>Exclusif de garde renforcée</t>
  </si>
  <si>
    <t>Choix, pas bonus gratuit</t>
  </si>
  <si>
    <t>ALC01</t>
  </si>
  <si>
    <t>Alchimie</t>
  </si>
  <si>
    <t>Huile d'affûtage</t>
  </si>
  <si>
    <t>Temporaire</t>
  </si>
  <si>
    <t>+5% dégâts tranchants</t>
  </si>
  <si>
    <t>Armes tranchantes</t>
  </si>
  <si>
    <t>Huile claire + pierre pilée</t>
  </si>
  <si>
    <t>3 combats ou 10 coups réussis</t>
  </si>
  <si>
    <t>Une huile active par arme</t>
  </si>
  <si>
    <t>ALC02</t>
  </si>
  <si>
    <t>Huile perforante</t>
  </si>
  <si>
    <t>+5% dégâts perforants</t>
  </si>
  <si>
    <t>Armes perforantes</t>
  </si>
  <si>
    <t>Huile claire + épine de fer</t>
  </si>
  <si>
    <t>ALC03</t>
  </si>
  <si>
    <t>Pâte de percussion</t>
  </si>
  <si>
    <t>+5% dégâts contondants</t>
  </si>
  <si>
    <t>Armes contondantes</t>
  </si>
  <si>
    <t>Graisse + poudre de quartz</t>
  </si>
  <si>
    <t>ALC04</t>
  </si>
  <si>
    <t>Poison de lame</t>
  </si>
  <si>
    <t>Chance limitée d'appliquer Poison</t>
  </si>
  <si>
    <t>Lames/dards</t>
  </si>
  <si>
    <t>Venin + distillat végétal</t>
  </si>
  <si>
    <t>N2+</t>
  </si>
  <si>
    <t>Passe par statuts et ArmorGate existants</t>
  </si>
  <si>
    <t>ALC05</t>
  </si>
  <si>
    <t>Résine incendiaire</t>
  </si>
  <si>
    <t>Dégâts de Feu additionnels faibles</t>
  </si>
  <si>
    <t>Arme compatible</t>
  </si>
  <si>
    <t>Résine + soufre</t>
  </si>
  <si>
    <t>Ne change pas le DamageType principal</t>
  </si>
  <si>
    <t>ALC06</t>
  </si>
  <si>
    <t>Baume cryogène</t>
  </si>
  <si>
    <t>Dégâts de Glace additionnels faibles</t>
  </si>
  <si>
    <t>Cristal froid + huile</t>
  </si>
  <si>
    <t>N6+</t>
  </si>
  <si>
    <t>ALC07</t>
  </si>
  <si>
    <t>Revêtement conducteur</t>
  </si>
  <si>
    <t>Dégâts de Foudre additionnels faibles</t>
  </si>
  <si>
    <t>Poudre cuivrée + essence</t>
  </si>
  <si>
    <t>RUN01</t>
  </si>
  <si>
    <t>Runes</t>
  </si>
  <si>
    <t>Rune de feu</t>
  </si>
  <si>
    <t>Proc feu conditionnel; pas de conversion totale</t>
  </si>
  <si>
    <t>Arme à chasse</t>
  </si>
  <si>
    <t>Rune vierge + essence de feu</t>
  </si>
  <si>
    <t>N4+</t>
  </si>
  <si>
    <t>Une rune par chasse; mêmes types non cumulés</t>
  </si>
  <si>
    <t>Affinité élémentaire Feu</t>
  </si>
  <si>
    <t>RUN02</t>
  </si>
  <si>
    <t>Rune de givre</t>
  </si>
  <si>
    <t>Proc glace conditionnel</t>
  </si>
  <si>
    <t>Rune vierge + essence de glace</t>
  </si>
  <si>
    <t>Exclut rune Feu sur même objet</t>
  </si>
  <si>
    <t>Affinité élémentaire Glace</t>
  </si>
  <si>
    <t>RUN03</t>
  </si>
  <si>
    <t>Rune de foudre</t>
  </si>
  <si>
    <t>Proc foudre conditionnel</t>
  </si>
  <si>
    <t>Rune vierge + essence de foudre</t>
  </si>
  <si>
    <t>Proc limité à une fois par action</t>
  </si>
  <si>
    <t>Affinité élémentaire Foudre</t>
  </si>
  <si>
    <t>RUN04</t>
  </si>
  <si>
    <t>Rune de protection</t>
  </si>
  <si>
    <t>+2–6% résistance typée selon niveau</t>
  </si>
  <si>
    <t>Bouclier à chasse</t>
  </si>
  <si>
    <t>Rune vierge + cristaux de garde</t>
  </si>
  <si>
    <t>Plafond résistance totale à définir</t>
  </si>
  <si>
    <t>Protection</t>
  </si>
  <si>
    <t>RUN05</t>
  </si>
  <si>
    <t>Rune de vigueur</t>
  </si>
  <si>
    <t>+PV fixes modestes</t>
  </si>
  <si>
    <t>Arme ou bouclier à chasse</t>
  </si>
  <si>
    <t>Rune vierge + sève vitale</t>
  </si>
  <si>
    <t>N7+</t>
  </si>
  <si>
    <t>Exclusif d'une rune de mana sur même objet</t>
  </si>
  <si>
    <t>Stat d'équipement existante</t>
  </si>
  <si>
    <t>RUN06</t>
  </si>
  <si>
    <t>Rune d'esprit</t>
  </si>
  <si>
    <t>+mana fixe modeste</t>
  </si>
  <si>
    <t>Focaliseur ou bouclier à chasse</t>
  </si>
  <si>
    <t>Rune vierge + poussière astrale</t>
  </si>
  <si>
    <t>Exclusif d'une rune de vigueur sur même objet</t>
  </si>
  <si>
    <t>ALC08</t>
  </si>
  <si>
    <t>Solvant de désenchantement</t>
  </si>
  <si>
    <t>Consommable</t>
  </si>
  <si>
    <t>Retire une huile active</t>
  </si>
  <si>
    <t>Objet enduit</t>
  </si>
  <si>
    <t>Solvant + sel alcalin</t>
  </si>
  <si>
    <t>Ne détruit pas les runes ni les affixes</t>
  </si>
  <si>
    <t>Qualité de vie</t>
  </si>
  <si>
    <t>FOR07</t>
  </si>
  <si>
    <t>Reforge d'artefact unique</t>
  </si>
  <si>
    <t>Effet spécifique prédéfini ; niveau inchangé</t>
  </si>
  <si>
    <t>Unique scénarisé</t>
  </si>
  <si>
    <t>Fragment de relique + métal ancien</t>
  </si>
  <si>
    <t>N12+</t>
  </si>
  <si>
    <t>Un effet de reforge par artefact, défini à l'authoring</t>
  </si>
  <si>
    <t>Ne modifie pas ItemLevel ni l'identité Unique</t>
  </si>
  <si>
    <t>Douze objets uniques nommés</t>
  </si>
  <si>
    <t>Concepts narratifs : propriétés fixes, non tirées aléatoirement. Les statuts et dégâts doivent réutiliser le moteur de combat.</t>
  </si>
  <si>
    <t>Nom propre</t>
  </si>
  <si>
    <t>Archétype de base</t>
  </si>
  <si>
    <t>Niveau natif</t>
  </si>
  <si>
    <t>Classe signature</t>
  </si>
  <si>
    <t>Identité</t>
  </si>
  <si>
    <t>Pouvoir spécifique proposé</t>
  </si>
  <si>
    <t>Acquisition</t>
  </si>
  <si>
    <t>Chasses proposées</t>
  </si>
  <si>
    <t>UNI001</t>
  </si>
  <si>
    <t>Lame des Veilleurs</t>
  </si>
  <si>
    <t>Rarement portée par les sentinelles</t>
  </si>
  <si>
    <t>Sur parade réussie, bonus de garde pour 1 tour</t>
  </si>
  <si>
    <t>Bastion oublié</t>
  </si>
  <si>
    <t>UNI002</t>
  </si>
  <si>
    <t>Brise-Sceau</t>
  </si>
  <si>
    <t>Perce les anciennes protections</t>
  </si>
  <si>
    <t>Bonus contre armure physique (effect séparé)</t>
  </si>
  <si>
    <t>Boss du gardien</t>
  </si>
  <si>
    <t>UNI003</t>
  </si>
  <si>
    <t>Murmure des Ombres</t>
  </si>
  <si>
    <t>Lame silencieuse</t>
  </si>
  <si>
    <t>Premier coup depuis Caché : chance de saignement</t>
  </si>
  <si>
    <t>Crypte du voleur</t>
  </si>
  <si>
    <t>UNI004</t>
  </si>
  <si>
    <t>Dernier Mot</t>
  </si>
  <si>
    <t>Dague de contre-attaque</t>
  </si>
  <si>
    <t>Parade/riposte conditionnelle si talent actif</t>
  </si>
  <si>
    <t>Énigme des miroirs</t>
  </si>
  <si>
    <t>UNI005</t>
  </si>
  <si>
    <t>Corde de l'Horizon</t>
  </si>
  <si>
    <t>Arc de forêt ancienne</t>
  </si>
  <si>
    <t>Bonus de précision au-delà de 3 cases</t>
  </si>
  <si>
    <t>Autel des pisteurs</t>
  </si>
  <si>
    <t>UNI006</t>
  </si>
  <si>
    <t>Serre de la Chasse</t>
  </si>
  <si>
    <t>Javelot des grands chasseurs</t>
  </si>
  <si>
    <t>Bonus contre ennemi juré</t>
  </si>
  <si>
    <t>Chasse légendaire</t>
  </si>
  <si>
    <t>UNI007</t>
  </si>
  <si>
    <t>Cendre-Mémoire</t>
  </si>
  <si>
    <t>Bâton à rune instable</t>
  </si>
  <si>
    <t>Un seul élément d'affinité choisi de façon persistante</t>
  </si>
  <si>
    <t>Bibliothèque scellée</t>
  </si>
  <si>
    <t>UNI008</t>
  </si>
  <si>
    <t>Œil d'Azur</t>
  </si>
  <si>
    <t>Orbe de concentration</t>
  </si>
  <si>
    <t>Bonus de mana et contrôle des surfaces</t>
  </si>
  <si>
    <t>Sanctuaire arcanique</t>
  </si>
  <si>
    <t>UNI009</t>
  </si>
  <si>
    <t>Aube Silencieuse</t>
  </si>
  <si>
    <t>Reliquaire des exorcistes</t>
  </si>
  <si>
    <t>Contre morts-vivants : effet Holy conditionnel</t>
  </si>
  <si>
    <t>Temple enfoui</t>
  </si>
  <si>
    <t>UNI010</t>
  </si>
  <si>
    <t>Rempart des Justes</t>
  </si>
  <si>
    <t>Bouclier votif</t>
  </si>
  <si>
    <t>Bonus de résistance sacrée au groupe (talent requis)</t>
  </si>
  <si>
    <t>Boss du temple</t>
  </si>
  <si>
    <t>UNI011</t>
  </si>
  <si>
    <t>Catalyseur d'Argent</t>
  </si>
  <si>
    <t>Arbalète alchimique</t>
  </si>
  <si>
    <t>Effet temporaire amplifié des huiles appliquées</t>
  </si>
  <si>
    <t>Laboratoire secret</t>
  </si>
  <si>
    <t>UNI012</t>
  </si>
  <si>
    <t>L'Alambic Gris</t>
  </si>
  <si>
    <t>Carnet de transmutation</t>
  </si>
  <si>
    <t>Bonus à certaines recettes, sans attaque propre</t>
  </si>
  <si>
    <t>Quête du maître alchimiste</t>
  </si>
  <si>
    <t>ARMEMENT01 — Cibles d'équilibrage (dés fixes au butin)</t>
  </si>
  <si>
    <t>La courbe de progression sert à choisir les profils ; la formule de dés M:N:O est la source réelle des dégâts. Modifier k1/k2 ne change pas automatiquement les dés.</t>
  </si>
  <si>
    <t>Paramètre</t>
  </si>
  <si>
    <t>Valeur</t>
  </si>
  <si>
    <t>Rôle</t>
  </si>
  <si>
    <t>Croissance par niveau d'OBJET k1</t>
  </si>
  <si>
    <t>Coefficient par niveau</t>
  </si>
  <si>
    <t>Accélération par niveau d'OBJET k2</t>
  </si>
  <si>
    <t>Accélération modérée des dégâts</t>
  </si>
  <si>
    <t>Niveau maximum</t>
  </si>
  <si>
    <t>Plafond de progression</t>
  </si>
  <si>
    <t>PA par personnage / tour</t>
  </si>
  <si>
    <t>Autorité existante du projet, rappel</t>
  </si>
  <si>
    <t>Poids d'arme</t>
  </si>
  <si>
    <t>kg</t>
  </si>
  <si>
    <t>Poids catalogue conservé, ne dépend pas du niveau</t>
  </si>
  <si>
    <t>Attributs / rareté / qualité de forge</t>
  </si>
  <si>
    <t>Hors formule</t>
  </si>
  <si>
    <t>Affixes, précision et effets conditionnels restent séparés du WD.</t>
  </si>
  <si>
    <t>Malus de précision / niveau manquant</t>
  </si>
  <si>
    <t>−2 précision par niveau d'objet au-dessus du porteur, plafond B13 (proposé)</t>
  </si>
  <si>
    <t>Perte de puissance / niveau manquant</t>
  </si>
  <si>
    <t>−10% WD + protection pour chaque niveau manquant (proposé)</t>
  </si>
  <si>
    <t>Puissance et protection minimum</t>
  </si>
  <si>
    <t>Plancher 50% (proposé)</t>
  </si>
  <si>
    <t>Malus de précision maximal</t>
  </si>
  <si>
    <t>Malus plafonné à −10 (proposé)</t>
  </si>
  <si>
    <t>Écart maximum équipable (proposé)</t>
  </si>
  <si>
    <t>Au-delà : équipement refusé, sous réserve de validation (anti-abus)</t>
  </si>
  <si>
    <t>Niveau d'objet fixe</t>
  </si>
  <si>
    <t>OUI</t>
  </si>
  <si>
    <t>Aucune forge/rune/huile ne modifie ItemLevel</t>
  </si>
  <si>
    <t>Dés autorisés</t>
  </si>
  <si>
    <t>d4, d6, d8, d10, d12, d20</t>
  </si>
  <si>
    <t>Sommer NdM lancers indépendants + K; ne pas substituer RandRange(Min,Max).</t>
  </si>
  <si>
    <t>Rareté et dégâts</t>
  </si>
  <si>
    <t>Aucun multiplicateur automatique</t>
  </si>
  <si>
    <t>Les affixes/runes agissent via modificateurs et statuts identifiés.</t>
  </si>
  <si>
    <t>Source des dés</t>
  </si>
  <si>
    <t>Niveaux 1-20 : M/N/O</t>
  </si>
  <si>
    <t>Les colonnes Q/R/S montrent les cibles historiques (non autoritaires).</t>
  </si>
  <si>
    <t>Mode Dice (contrat ARMEMENT01.2)</t>
  </si>
  <si>
    <t>Opt-in non implémenté</t>
  </si>
  <si>
    <t>Activer explicitement uniquement sur une attaque convertie; les profils legacy restent uniformes.</t>
  </si>
  <si>
    <t>Nb de dés max proposé</t>
  </si>
  <si>
    <t>Protection contre abus de données. Le catalogue v0.3 utilise au plus 6 dés.</t>
  </si>
  <si>
    <t>Bonus K inclus</t>
  </si>
  <si>
    <t>Ne jamais dupliquer la constante des dés dans FlatDamageBonus ou SourceDamageBonus.</t>
  </si>
  <si>
    <t>Validation données</t>
  </si>
  <si>
    <t>Niveaux 1-20!T:V</t>
  </si>
  <si>
    <t>Vérifications calculées pour les 1640 profils.</t>
  </si>
  <si>
    <t>Intégration Unreal Engine 5.5.4</t>
  </si>
  <si>
    <t>ARMEMENT01.2 — schéma multi-dés opt-in, sans modification du moteur UE5 dans ce jalon.</t>
  </si>
  <si>
    <t>Statut</t>
  </si>
  <si>
    <t>Point d'extension</t>
  </si>
  <si>
    <t>Contrat</t>
  </si>
  <si>
    <t>Décision d'architecture</t>
  </si>
  <si>
    <t>Existant confirmé</t>
  </si>
  <si>
    <t>FGridAttackDefinition</t>
  </si>
  <si>
    <t>MinDamage, MaxDamage, AccuracyBonus, DamageType, PhysicalSubtype</t>
  </si>
  <si>
    <t>Actuel uniforme inclusif ; dX multiples exigent une évolution.</t>
  </si>
  <si>
    <t>FGridCombatRollTrace</t>
  </si>
  <si>
    <t>Kind=Die|Range, DiceCount, DiceSides, IndividualRolls, FinalValue</t>
  </si>
  <si>
    <t>À enrichir pour le K de la formule et conserver la présentation des jets legacy.</t>
  </si>
  <si>
    <t>FGridOffensiveEquipmentProfile</t>
  </si>
  <si>
    <t>AttackDefinition, FlatDamageBonus, DamageScalingAttribute, RangeCells</t>
  </si>
  <si>
    <t>Permet de convertir les valeurs calculées en profils d'attaques.</t>
  </si>
  <si>
    <t>FGridCombatWeaponAttackProfile</t>
  </si>
  <si>
    <t>WeaponDamagePercent, bUseEquippedWeapon, RequiredItemTags, bUseWeaponRange</t>
  </si>
  <si>
    <t>Les talents gardent autorité sur WD; pas de duplication.</t>
  </si>
  <si>
    <t>FGridItemInstance</t>
  </si>
  <si>
    <t>RuntimeObjectId, ItemDefinitionId, Quantity, WorldTransform, équipement</t>
  </si>
  <si>
    <t>Ne contient pas encore à lui seul la rareté/forge/runes (constat sur en-tête consulté).</t>
  </si>
  <si>
    <t>Évolution proposée</t>
  </si>
  <si>
    <t>FGridItemInstance (SaveGame)</t>
  </si>
  <si>
    <t>ItemLevel (création seulement), Rarity, AffixIds, RuneIds, ForgeRank et enduit</t>
  </si>
  <si>
    <t>Séparer niveau IMMUTABLE de la finition ; sauvegarder instance</t>
  </si>
  <si>
    <t>Authoring des versions de butin</t>
  </si>
  <si>
    <t>ArchetypeId + ItemLevel immuable -&gt; profil NdM+K explicite</t>
  </si>
  <si>
    <t>La courbe k1/k2 sert à l'équilibrage seulement, jamais au tirage runtime.</t>
  </si>
  <si>
    <t>Weapon stat resolver</t>
  </si>
  <si>
    <t>Lire niveau fixe + rareté + améliorations, calculer le profil sans mutation du niveau</t>
  </si>
  <si>
    <t>Même projection C++ pour combat, tooltip et examen</t>
  </si>
  <si>
    <t>À retirer lors de la migration ARMEMENT</t>
  </si>
  <si>
    <t>Conversion Min/Max en dé virtuel</t>
  </si>
  <si>
    <t>Interdite pour les nouvelles armes : d5/d7... non autorisés</t>
  </si>
  <si>
    <t>Conserver exclusivement comme représentation éventuelle des profils legacy étrangers au nouveau catalogue.</t>
  </si>
  <si>
    <t>FGridWeaponLevelPenalty</t>
  </si>
  <si>
    <t>d = max(0, ItemLevel - CharacterLevel), malus précision et puissance/protection ; seuil max proposé d=3</t>
  </si>
  <si>
    <t>−2 précision / niveau, −10% WD / niveau, blocage d&gt;3 à valider</t>
  </si>
  <si>
    <t>Crafting transaction service</t>
  </si>
  <si>
    <t>Consommation ingrédients, ForgeRank, runes et enduit ; ZERO changement ItemLevel</t>
  </si>
  <si>
    <t>Validation atomique et rollback en cas d'échec</t>
  </si>
  <si>
    <t>Tests nécessaires</t>
  </si>
  <si>
    <t>Grimrock.RPG.ARMEMENT01.*</t>
  </si>
  <si>
    <t>immutabilité, dés, sous-niveau, save/load, compatibilité WD et buffs</t>
  </si>
  <si>
    <t>Statut : à implémenter ; validation TD04.2 par logs</t>
  </si>
  <si>
    <t>Références dépôt</t>
  </si>
  <si>
    <t>URL</t>
  </si>
  <si>
    <t>C++ items</t>
  </si>
  <si>
    <t>https://github.com/PhilippeMartin1964/GrimrockPrototype/blob/master/Source/GrimrockPrototype/Public/Runtime/GridItemDefinitionAsset.h</t>
  </si>
  <si>
    <t>Inventaire</t>
  </si>
  <si>
    <t>https://github.com/PhilippeMartin1964/GrimrockPrototype/blob/master/Source/GrimrockPrototype/Public/Runtime/GridInventoryTypes.h</t>
  </si>
  <si>
    <t>Profils combats</t>
  </si>
  <si>
    <t>https://github.com/PhilippeMartin1964/GrimrockPrototype/blob/master/Source/GrimrockPrototype/Public/Runtime/Combat/GridCombatTypes.h</t>
  </si>
  <si>
    <t>RPG03.9.0</t>
  </si>
  <si>
    <t>https://github.com/PhilippeMartin1964/GrimrockPrototype/blob/master/docs/Design/RPG03_9_0_WEAPON_BASED_TALENT_ATTACKS.md</t>
  </si>
  <si>
    <t>Sources inspirantes</t>
  </si>
  <si>
    <t>https://divinity.fandom.com/wiki/Original_Sin_2_Weapons</t>
  </si>
  <si>
    <t>Référence univers</t>
  </si>
  <si>
    <t>https://www.rpgsoluce.com/soluces/ps4/dos2/guides/uniques.htm</t>
  </si>
  <si>
    <t>FGridCombatRollTrace / Format combat</t>
  </si>
  <si>
    <t>DiceCount, DiceSides, IndividualRolls, DiceFlatBonus, FinalValue</t>
  </si>
  <si>
    <t>Seule source de vérité ; formatter les dés réels, aucune relance UMG.</t>
  </si>
  <si>
    <t>Validation requise</t>
  </si>
  <si>
    <t>Compatibilité RPG03.9.0</t>
  </si>
  <si>
    <t>WD reste basé sur une seule attaque équipée</t>
  </si>
  <si>
    <t>Pas de double bonus, pas de second resolver.</t>
  </si>
  <si>
    <t>FGridDamageDiceProfile (proposé)</t>
  </si>
  <si>
    <t>bEnabled ; DiceCount ; DiceSides ; FlatBonus</t>
  </si>
  <si>
    <t>Profil opt-in dans FGridAttackDefinition, non destructif des Min/Max legacy.</t>
  </si>
  <si>
    <t>FGridAttackDefinition::IsValid</t>
  </si>
  <si>
    <t>Si bEnabled : d4/d6/d8/d10/d12/d20 ; bornes recalculées</t>
  </si>
  <si>
    <t>Interdire incohérences entre profil canonique et bornes Min/Max exposées.</t>
  </si>
  <si>
    <t>FGridCombatResolver::ResolveAttack</t>
  </si>
  <si>
    <t>Legacy inchangé si bEnabled=false ; sinon N vrais tirages indépendants</t>
  </si>
  <si>
    <t>Utiliser le FRandomStream fourni, sans un second RNG ou resolver.</t>
  </si>
  <si>
    <t>ResolveAttackFromDiceRolls (proposé)</t>
  </si>
  <si>
    <t>Injection d'un d20 et TArray&lt;int32&gt; des résultats de dés</t>
  </si>
  <si>
    <t>Rendre les tests des vrais dés déterministes sans supprimer ResolveAttackFromRolls.</t>
  </si>
  <si>
    <t>Ordre RNG et ratés</t>
  </si>
  <si>
    <t>d20 avant dégâts ; préserver les tirages legacy même sur raté</t>
  </si>
  <si>
    <t>Pour multi-dés, documenter consommation N tirages et masquer résolution en cas de raté.</t>
  </si>
  <si>
    <t>FGridCombatRollTrace::DiceFlatBonus</t>
  </si>
  <si>
    <t>K séparé des dés et de SourceDamageBonus</t>
  </si>
  <si>
    <t>FinalValue = somme(IndividualRolls)+K ; chaque élément 1..DiceSides.</t>
  </si>
  <si>
    <t>GridCombatEventFeedFormatter</t>
  </si>
  <si>
    <t>Préserver la branche Range ; Die multi avec K affiché</t>
  </si>
  <si>
    <t>Exemple : 2d8 (3 + 7) + 4 = 14 ; aucun d5 virtuel pour armes nouvelles.</t>
  </si>
  <si>
    <t>RPG03.9.0, WeaponAttackProfile</t>
  </si>
  <si>
    <t>WD applique une seule fois le total jet+K+bonus plats+attributs</t>
  </si>
  <si>
    <t>L'algorithme critique/armure/résistance reste inchangé.</t>
  </si>
  <si>
    <t>Monstres / sortilèges legacy</t>
  </si>
  <si>
    <t>Ne pas convertir implicitement les attaques Min/Max existantes</t>
  </si>
  <si>
    <t>Aucun changement de probabilités des ennemis avant une migration dédiée.</t>
  </si>
  <si>
    <t>Invariants SaveGame</t>
  </si>
  <si>
    <t>ItemLevel, rareté et améliorations séparés (jalons ultérieurs)</t>
  </si>
  <si>
    <t>Ne jamais randomiser le profil à la restauration; RNG uniquement à l'attaque.</t>
  </si>
  <si>
    <t>Tests de validation</t>
  </si>
  <si>
    <t>Validation dés + statistiques exactes + déterminisme + traces + legacy</t>
  </si>
  <si>
    <t>Filtre proposé : Grimrock.RPG.ARMEMENT01.2</t>
  </si>
  <si>
    <t>CONTRAT RÉDIGÉ — CODE NON IMPLÉMENTÉ</t>
  </si>
  <si>
    <t>Build et Automation UE nécessitent exécution locale TD04.2 et logs utilisateur.</t>
  </si>
  <si>
    <t>Dépendance balance</t>
  </si>
  <si>
    <t>Dégâts/PA, multi-dés vs variance, PV/armures et progression ennemis</t>
  </si>
  <si>
    <t>Pas de chiffres déclarés définitifs sans tests réels.</t>
  </si>
  <si>
    <t>Compatibilité boucliers</t>
  </si>
  <si>
    <t>Armure fixe ; aucun dé passif, sauf action Shield Bash explicite</t>
  </si>
  <si>
    <t>Pas de modif automatique des protections par le moteur de dés.</t>
  </si>
  <si>
    <t>Compatibilité éclairs/poisons</t>
  </si>
  <si>
    <t>Effets élémentaires futurs = jets séparés si explicitement spécifiés</t>
  </si>
  <si>
    <t>Le dé de la base ne devient pas une deuxième attaque.</t>
  </si>
  <si>
    <t>Banque d'affixes — propositions</t>
  </si>
  <si>
    <t>Les affixes modifient préférences et tactique sans multiplier inutilement les dégâts. Proc = effet déclenché selon une condition.</t>
  </si>
  <si>
    <t>Cible</t>
  </si>
  <si>
    <t>Effet recommandé</t>
  </si>
  <si>
    <t>Limite d'équilibrage</t>
  </si>
  <si>
    <t>AFX01</t>
  </si>
  <si>
    <t>Précis</t>
  </si>
  <si>
    <t>Arme</t>
  </si>
  <si>
    <t>+ précision</t>
  </si>
  <si>
    <t>+1</t>
  </si>
  <si>
    <t>+1 à +2</t>
  </si>
  <si>
    <t>+2</t>
  </si>
  <si>
    <t>≤ +2 hors Unique</t>
  </si>
  <si>
    <t>AFX02</t>
  </si>
  <si>
    <t>Féroce</t>
  </si>
  <si>
    <t>+ dégâts critiques</t>
  </si>
  <si>
    <t>+5 %</t>
  </si>
  <si>
    <t>+10 %</t>
  </si>
  <si>
    <t>Ne pas augmenter les attaques de base</t>
  </si>
  <si>
    <t>AFX03</t>
  </si>
  <si>
    <t>Affûté</t>
  </si>
  <si>
    <t>+ dégâts WD</t>
  </si>
  <si>
    <t>+3 %</t>
  </si>
  <si>
    <t>Non cumulable avec autre affixe WD</t>
  </si>
  <si>
    <t>AFX04</t>
  </si>
  <si>
    <t>Percuteur</t>
  </si>
  <si>
    <t>+ dégâts sur armure physique</t>
  </si>
  <si>
    <t>+4 %</t>
  </si>
  <si>
    <t>+6 %</t>
  </si>
  <si>
    <t>Pas de bypass armure</t>
  </si>
  <si>
    <t>AFX05</t>
  </si>
  <si>
    <t>Perce-garde</t>
  </si>
  <si>
    <t>Perforant</t>
  </si>
  <si>
    <t>Bonus conditionnel cible protégée</t>
  </si>
  <si>
    <t>Effet mineur</t>
  </si>
  <si>
    <t>+7 %</t>
  </si>
  <si>
    <t>Dépend d'une cible valide</t>
  </si>
  <si>
    <t>AFX06</t>
  </si>
  <si>
    <t>Équilibré</t>
  </si>
  <si>
    <t>Réduction malus précision</t>
  </si>
  <si>
    <t>Pas de réduction du coût PA</t>
  </si>
  <si>
    <t>AFX07</t>
  </si>
  <si>
    <t>Robuste</t>
  </si>
  <si>
    <t>Bouclier</t>
  </si>
  <si>
    <t>+ armure physique</t>
  </si>
  <si>
    <t>+8 %</t>
  </si>
  <si>
    <t>Bonus sur bouclier seulement</t>
  </si>
  <si>
    <t>AFX08</t>
  </si>
  <si>
    <t>Réfléchissant</t>
  </si>
  <si>
    <t>+ résistance magique typée</t>
  </si>
  <si>
    <t>+2 %</t>
  </si>
  <si>
    <t>Résistance typée pas cumul générique</t>
  </si>
  <si>
    <t>AFX09</t>
  </si>
  <si>
    <t>Vital</t>
  </si>
  <si>
    <t>Tout équipement</t>
  </si>
  <si>
    <t>+ santé maximale</t>
  </si>
  <si>
    <t>+3</t>
  </si>
  <si>
    <t>+6</t>
  </si>
  <si>
    <t>+10</t>
  </si>
  <si>
    <t>Ne soigne pas automatiquement</t>
  </si>
  <si>
    <t>AFX10</t>
  </si>
  <si>
    <t>Savant</t>
  </si>
  <si>
    <t>Focaliseur</t>
  </si>
  <si>
    <t>+ mana maximale</t>
  </si>
  <si>
    <t>Ne régénère pas gratuitement</t>
  </si>
  <si>
    <t>AFX11</t>
  </si>
  <si>
    <t>Exorciste</t>
  </si>
  <si>
    <t>Sacré</t>
  </si>
  <si>
    <t>Bonus contre morts-vivants</t>
  </si>
  <si>
    <t>Mineur</t>
  </si>
  <si>
    <t>Modéré</t>
  </si>
  <si>
    <t>Fort</t>
  </si>
  <si>
    <t>Tag de monstre exigé</t>
  </si>
  <si>
    <t>AFX12</t>
  </si>
  <si>
    <t>Venimeux</t>
  </si>
  <si>
    <t>Applique Poison selon probabilité</t>
  </si>
  <si>
    <t>5 %</t>
  </si>
  <si>
    <t>8 %</t>
  </si>
  <si>
    <t>12 %</t>
  </si>
  <si>
    <t>ArmorGate et résistance pris en compte</t>
  </si>
  <si>
    <t>AFX13</t>
  </si>
  <si>
    <t>Incandescent</t>
  </si>
  <si>
    <t>Proc de Feu</t>
  </si>
  <si>
    <t>10 %</t>
  </si>
  <si>
    <t>Un proc par action</t>
  </si>
  <si>
    <t>AFX14</t>
  </si>
  <si>
    <t>Gelant</t>
  </si>
  <si>
    <t>Proc de Glace</t>
  </si>
  <si>
    <t>Pas de gel automatique</t>
  </si>
  <si>
    <t>AFX15</t>
  </si>
  <si>
    <t>Conducteur</t>
  </si>
  <si>
    <t>Proc de Foudre</t>
  </si>
  <si>
    <t>Pas de paralysie automatique</t>
  </si>
  <si>
    <t>AFX16</t>
  </si>
  <si>
    <t>Vigilant</t>
  </si>
  <si>
    <t>Bonus contre attaque de dos</t>
  </si>
  <si>
    <t>+1 protection</t>
  </si>
  <si>
    <t>+2 protection</t>
  </si>
  <si>
    <t>+3 protection</t>
  </si>
  <si>
    <t>Nécessite condition directionnelle</t>
  </si>
  <si>
    <t>AFX17</t>
  </si>
  <si>
    <t>Souple</t>
  </si>
  <si>
    <t>Arme légère</t>
  </si>
  <si>
    <t>Bonus esquive conditionnel</t>
  </si>
  <si>
    <t>Pendant garde / talent</t>
  </si>
  <si>
    <t>AFX18</t>
  </si>
  <si>
    <t>Econome</t>
  </si>
  <si>
    <t>Armes à charge / focus</t>
  </si>
  <si>
    <t>Réduction coût mana conditionnelle</t>
  </si>
  <si>
    <t>Faible</t>
  </si>
  <si>
    <t>Modérée</t>
  </si>
  <si>
    <t>Jamais en dessous du plancher fixé</t>
  </si>
  <si>
    <t>ARMEMENT01 — Maniement d'un équipement trop élevé</t>
  </si>
  <si>
    <t>PROPOSITION À VALIDER — niveau d'objet toujours inchangé ; le malus disparaît quand le personnage gagne des niveaux.</t>
  </si>
  <si>
    <t>Scénario</t>
  </si>
  <si>
    <t>Niv. personnage</t>
  </si>
  <si>
    <t>Niv. objet</t>
  </si>
  <si>
    <t>Écart (obj-pers.)</t>
  </si>
  <si>
    <t>Puissance arme</t>
  </si>
  <si>
    <t>Protection écu</t>
  </si>
  <si>
    <t>État</t>
  </si>
  <si>
    <t>Même niveau</t>
  </si>
  <si>
    <t>1 niveau d'écart</t>
  </si>
  <si>
    <t>Exemple demandé — N6</t>
  </si>
  <si>
    <t>Exemple demandé — N7</t>
  </si>
  <si>
    <t>Écart important</t>
  </si>
  <si>
    <t>Objet N20, personnage N4</t>
  </si>
  <si>
    <t>Personnage devenu N7</t>
  </si>
  <si>
    <t>Exemple de dague N7 (4–9 = 1d6 + 3) tenue par personnage N4 : −6 précision ; 70% WD après jet.</t>
  </si>
  <si>
    <t>Jet 6 → 4 après facteur 70%, avant autres modificateurs ; le dé 1d6 + 3 et le niveau 7 restent INCHANGÉS.</t>
  </si>
  <si>
    <t>Écart maximal proposé = 3 ; un équipement N9 pour personnage N4 est marqué non équipable (anti-abus à valider).</t>
  </si>
  <si>
    <t>ARMEMENT01 — v0.3 + contrat technique ARMEMENT01.2 (sans changement des règles de design)</t>
  </si>
  <si>
    <t>Statut : contrat proposé, pas encore accepté ni implémenté dans le dépôt Unreal.</t>
  </si>
  <si>
    <t>Règle</t>
  </si>
  <si>
    <t>Illustration</t>
  </si>
  <si>
    <t>Conséquence technique</t>
  </si>
  <si>
    <t>ItemLevel fixe et immuable (1–20)</t>
  </si>
  <si>
    <t>Une épée N7 demeure N7 après une trempe.</t>
  </si>
  <si>
    <t>ItemLevel sauvegardé, sans évolution par recette.</t>
  </si>
  <si>
    <t>Uniquement les d4, d6, d8, d10, d12, d20 pour dégâts</t>
  </si>
  <si>
    <t>Pas de d5 ni de d15.</t>
  </si>
  <si>
    <t>Validation des faces autorisées.</t>
  </si>
  <si>
    <t>Jet réel : N dés indépendants + K</t>
  </si>
  <si>
    <t>2d8 + 4 ; deux tirages, somme puis +4.</t>
  </si>
  <si>
    <t>Résolveur multi-dés et traces de tirage.</t>
  </si>
  <si>
    <t>Min = N + K ; Max = N*M + K</t>
  </si>
  <si>
    <t>2d8+4 =&gt; 6–20 ; moyenne 13.</t>
  </si>
  <si>
    <t>Min/Max dérivés, pas une autorité de hasard.</t>
  </si>
  <si>
    <t>Une expression multi-dés n'est PAS uniforme</t>
  </si>
  <si>
    <t>2d8+4 : 13 plus fréquent que 6.</t>
  </si>
  <si>
    <t>Ne pas utiliser RandRange(6,20).</t>
  </si>
  <si>
    <t>ARM-006</t>
  </si>
  <si>
    <t>Niveau du porteur insuffisant : pénalités (proposées)</t>
  </si>
  <si>
    <t>N4 + arme N7 : −6 précision, WD ×0,70.</t>
  </si>
  <si>
    <t>Tests de maîtrise, pas de mutation de l'objet.</t>
  </si>
  <si>
    <t>ARM-007</t>
  </si>
  <si>
    <t>Écart maximum équipable 3 (à valider)</t>
  </si>
  <si>
    <t>N4 + arme N9 : refus proposé.</t>
  </si>
  <si>
    <t>Doit être expressément validé.</t>
  </si>
  <si>
    <t>ARM-008</t>
  </si>
  <si>
    <t>Pas de tirage de dégâts passif pour les boucliers</t>
  </si>
  <si>
    <t>Protection fixe sans dés.</t>
  </si>
  <si>
    <t>ShieldBash = action offensive séparée.</t>
  </si>
  <si>
    <t>ARM-009</t>
  </si>
  <si>
    <t>Rareté : gris/vert/bleu/violet/doré</t>
  </si>
  <si>
    <t>Commun, Rare, Épique, Légendaire, Unique.</t>
  </si>
  <si>
    <t>UMG = présentation, rareté indépend. du niveau.</t>
  </si>
  <si>
    <t>ARM-010</t>
  </si>
  <si>
    <t>Pas de WD multiplié automatiquement par la rareté</t>
  </si>
  <si>
    <t>Épique = affixes, pas +8% implicite.</t>
  </si>
  <si>
    <t>Affixes et runes sont explicites.</t>
  </si>
  <si>
    <t>ARM-011</t>
  </si>
  <si>
    <t>Forge, alchimie et runes sans level-up</t>
  </si>
  <si>
    <t>Trempe +2 dégâts plats, ItemLevel inchangé.</t>
  </si>
  <si>
    <t>Bonus séparés de K initial, une application.</t>
  </si>
  <si>
    <t>ARM-012</t>
  </si>
  <si>
    <t>Ordre WD et critique existant conservé</t>
  </si>
  <si>
    <t>Jet de dés -&gt; bonus -&gt; WD talent -&gt; critique.</t>
  </si>
  <si>
    <t>Ne pas dupliquer le résolveur RPG03.9.0.</t>
  </si>
  <si>
    <t>ARM-013</t>
  </si>
  <si>
    <t>RNG déterministe et traces visibles</t>
  </si>
  <si>
    <t>2d8=[3,7] +4 =&gt;14.</t>
  </si>
  <si>
    <t>Lancer une fois, même valeur partout.</t>
  </si>
  <si>
    <t>ARM-014</t>
  </si>
  <si>
    <t>Source profil fixe par instance, non recalculée</t>
  </si>
  <si>
    <t>Une arme N7 conserve son NdM+K au chargement.</t>
  </si>
  <si>
    <t>Profil sauvegardé/restauré sans reroll.</t>
  </si>
  <si>
    <t>Contrats détaillés : ARMEMENT01_Contrat_Armement_v0_3.md + ARMEMENT01_2_CONTRAT_TECHNIQUE_MULTIDES.md.</t>
  </si>
  <si>
    <t>ARM2-01</t>
  </si>
  <si>
    <t>Compatibilité explicite</t>
  </si>
  <si>
    <t>Mode Legacy=Min..Max uniforme; mode Dice=NdM+K.</t>
  </si>
  <si>
    <t>Pas de conversion automatique du mode legacy.</t>
  </si>
  <si>
    <t>ARM2-02</t>
  </si>
  <si>
    <t>Bornes dérivées</t>
  </si>
  <si>
    <t>Min = N+K, Max=N*M+K.</t>
  </si>
  <si>
    <t>Valider lors de l'authoring et runtime.</t>
  </si>
  <si>
    <t>ARM2-03</t>
  </si>
  <si>
    <t>Résolution RNG unique</t>
  </si>
  <si>
    <t>2d8+4, tirages 3 et 7, résultat 14.</t>
  </si>
  <si>
    <t>FRandomStream; une seule attaque, aucun tirage UI.</t>
  </si>
  <si>
    <t>ARM2-04</t>
  </si>
  <si>
    <t>Traces complètes</t>
  </si>
  <si>
    <t>Kind=Die, IndividualRolls=[3,7], K=4, Total=14.</t>
  </si>
  <si>
    <t>Étendre trace avec DiceFlatBonus.</t>
  </si>
  <si>
    <t>ARM2-05</t>
  </si>
  <si>
    <t>Régression obligatoire</t>
  </si>
  <si>
    <t>D20 de toucher, WD talents, critiques, monstres legacy.</t>
  </si>
  <si>
    <t>Ne pas casser le moteur existant.</t>
  </si>
  <si>
    <t>ARM2-06</t>
  </si>
  <si>
    <t>Pénalités de niveau toujours proposées</t>
  </si>
  <si>
    <t>N4 vs N6/N7, règles à valider séparément.</t>
  </si>
  <si>
    <t>Ne pas implémenter dans ARMEMENT01.2.</t>
  </si>
  <si>
    <t>ARM2-07</t>
  </si>
  <si>
    <t>Structure du classeur préservée</t>
  </si>
  <si>
    <t>12 onglets historiques, aucune suppression.</t>
  </si>
  <si>
    <t>Colonnes T:V de validation supplémentaires.</t>
  </si>
  <si>
    <t>DRAFT</t>
  </si>
  <si>
    <t>UNDOCUMENTED</t>
  </si>
  <si>
    <t>EtatValidation</t>
  </si>
  <si>
    <t>NotesConception</t>
  </si>
  <si>
    <t>EtatParticularite</t>
  </si>
  <si>
    <t>ParticulariteFR</t>
  </si>
  <si>
    <t>LoreFR</t>
  </si>
  <si>
    <t>DescriptionCourteFR</t>
  </si>
  <si>
    <t>ArchetypeId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</si>
</sst>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name val="Carlito"/>
    </font>
    <font>
      <b/>
      <sz val="17"/>
      <color rgb="FFFFFFFF"/>
      <name val="Carlito"/>
    </font>
    <font>
      <sz val="10"/>
      <color rgb="FFDCE6EE"/>
      <name val="Carlito"/>
    </font>
    <font>
      <b/>
      <sz val="11"/>
      <color rgb="FF142131"/>
      <name val="Carlito"/>
    </font>
    <font>
      <b/>
      <sz val="10"/>
      <color rgb="FFFFFFFF"/>
      <name val="Carlito"/>
    </font>
    <font>
      <b/>
      <sz val="11"/>
      <color rgb="FF174B82"/>
      <name val="Carlito"/>
    </font>
    <font>
      <b/>
      <sz val="11"/>
      <color rgb="FF2B5574"/>
      <name val="Carlito"/>
    </font>
    <font>
      <b/>
      <sz val="11"/>
      <color rgb="FFFFFFFF"/>
      <name val="Carlito"/>
    </font>
    <font>
      <sz val="11"/>
      <color rgb="FF17628E"/>
      <name val="Carlito"/>
    </font>
    <font>
      <b/>
      <sz val="11"/>
      <color rgb="FF145BA6"/>
      <name val="Carlito"/>
    </font>
    <font>
      <b/>
      <sz val="15"/>
      <color rgb="FFFFFFFF"/>
      <name val="Carlito"/>
    </font>
    <font>
      <b/>
      <sz val="11"/>
      <color rgb="FF7D3A07"/>
      <name val="Carlito"/>
    </font>
    <font>
      <sz val="11"/>
      <color rgb="FF145BA6"/>
      <name val="Carlito"/>
    </font>
    <font>
      <b/>
      <sz val="11"/>
      <color rgb="FF21190A"/>
      <name val="Carlito"/>
    </font>
    <font>
      <sz val="11"/>
      <name val="Carlito"/>
    </font>
  </fonts>
  <fills count="18">
    <fill>
      <patternFill patternType="none"/>
    </fill>
    <fill>
      <patternFill patternType="gray125"/>
    </fill>
    <fill>
      <patternFill patternType="solid">
        <fgColor rgb="FF142131"/>
      </patternFill>
    </fill>
    <fill>
      <patternFill patternType="solid">
        <fgColor rgb="FF21364B"/>
      </patternFill>
    </fill>
    <fill>
      <patternFill patternType="solid">
        <fgColor rgb="FFE0E9EF"/>
      </patternFill>
    </fill>
    <fill>
      <patternFill patternType="solid">
        <fgColor rgb="FFDCEAFB"/>
      </patternFill>
    </fill>
    <fill>
      <patternFill patternType="solid">
        <fgColor rgb="FF154360"/>
      </patternFill>
    </fill>
    <fill>
      <patternFill patternType="solid">
        <fgColor rgb="FFE8F3FF"/>
      </patternFill>
    </fill>
    <fill>
      <patternFill patternType="solid">
        <fgColor rgb="FF12243A"/>
      </patternFill>
    </fill>
    <fill>
      <patternFill patternType="solid">
        <fgColor rgb="FFFCE4C7"/>
      </patternFill>
    </fill>
    <fill>
      <patternFill patternType="solid">
        <fgColor rgb="FF34465C"/>
      </patternFill>
    </fill>
    <fill>
      <patternFill patternType="solid">
        <fgColor rgb="FF92999F"/>
      </patternFill>
    </fill>
    <fill>
      <patternFill patternType="solid">
        <fgColor rgb="FF42A75B"/>
      </patternFill>
    </fill>
    <fill>
      <patternFill patternType="solid">
        <fgColor rgb="FF368DDF"/>
      </patternFill>
    </fill>
    <fill>
      <patternFill patternType="solid">
        <fgColor rgb="FF9B59D0"/>
      </patternFill>
    </fill>
    <fill>
      <patternFill patternType="solid">
        <fgColor rgb="FFD4A23A"/>
      </patternFill>
    </fill>
    <fill>
      <patternFill patternType="solid">
        <fgColor rgb="FF244454"/>
      </patternFill>
    </fill>
    <fill>
      <patternFill patternType="solid">
        <fgColor rgb="FF27334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4" fillId="0" borderId="1"/>
  </cellStyleXfs>
  <cellXfs count="36">
    <xf numFmtId="0" fontId="0" fillId="0" borderId="0" xfId="0"/>
    <xf numFmtId="0" fontId="3" fillId="4" borderId="0" xfId="0" applyFont="1" applyFill="1"/>
    <xf numFmtId="0" fontId="0" fillId="0" borderId="0" xfId="0" applyAlignment="1">
      <alignment wrapText="1"/>
    </xf>
    <xf numFmtId="0" fontId="4" fillId="3" borderId="0" xfId="0" applyFont="1" applyFill="1" applyAlignment="1">
      <alignment vertical="center" wrapText="1"/>
    </xf>
    <xf numFmtId="0" fontId="5" fillId="5" borderId="0" xfId="0" applyFont="1" applyFill="1"/>
    <xf numFmtId="0" fontId="6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0" applyNumberFormat="1"/>
    <xf numFmtId="164" fontId="0" fillId="0" borderId="0" xfId="0" applyNumberFormat="1" applyAlignment="1">
      <alignment horizontal="center"/>
    </xf>
    <xf numFmtId="0" fontId="7" fillId="3" borderId="0" xfId="0" applyFont="1" applyFill="1"/>
    <xf numFmtId="0" fontId="7" fillId="6" borderId="0" xfId="0" applyFont="1" applyFill="1"/>
    <xf numFmtId="0" fontId="7" fillId="6" borderId="0" xfId="0" applyFont="1" applyFill="1" applyAlignment="1">
      <alignment horizontal="center" vertical="center"/>
    </xf>
    <xf numFmtId="0" fontId="8" fillId="0" borderId="0" xfId="0" applyFont="1"/>
    <xf numFmtId="0" fontId="9" fillId="7" borderId="0" xfId="0" applyFont="1" applyFill="1"/>
    <xf numFmtId="9" fontId="9" fillId="7" borderId="0" xfId="0" applyNumberFormat="1" applyFont="1" applyFill="1"/>
    <xf numFmtId="0" fontId="12" fillId="0" borderId="0" xfId="0" applyFont="1"/>
    <xf numFmtId="9" fontId="12" fillId="0" borderId="0" xfId="0" applyNumberFormat="1" applyFont="1"/>
    <xf numFmtId="0" fontId="7" fillId="10" borderId="0" xfId="0" applyFont="1" applyFill="1" applyAlignment="1">
      <alignment wrapText="1"/>
    </xf>
    <xf numFmtId="0" fontId="7" fillId="11" borderId="0" xfId="0" applyFont="1" applyFill="1"/>
    <xf numFmtId="0" fontId="7" fillId="12" borderId="0" xfId="0" applyFont="1" applyFill="1"/>
    <xf numFmtId="0" fontId="7" fillId="13" borderId="0" xfId="0" applyFont="1" applyFill="1"/>
    <xf numFmtId="0" fontId="7" fillId="14" borderId="0" xfId="0" applyFont="1" applyFill="1"/>
    <xf numFmtId="0" fontId="13" fillId="15" borderId="0" xfId="0" applyFont="1" applyFill="1"/>
    <xf numFmtId="0" fontId="7" fillId="16" borderId="0" xfId="0" applyFont="1" applyFill="1" applyAlignment="1">
      <alignment wrapText="1"/>
    </xf>
    <xf numFmtId="164" fontId="0" fillId="0" borderId="0" xfId="0" applyNumberFormat="1"/>
    <xf numFmtId="0" fontId="1" fillId="2" borderId="0" xfId="0" applyFont="1" applyFill="1"/>
    <xf numFmtId="0" fontId="2" fillId="3" borderId="0" xfId="0" applyFont="1" applyFill="1"/>
    <xf numFmtId="0" fontId="10" fillId="8" borderId="0" xfId="0" applyFont="1" applyFill="1" applyAlignment="1">
      <alignment vertical="center"/>
    </xf>
    <xf numFmtId="0" fontId="11" fillId="9" borderId="0" xfId="0" applyFont="1" applyFill="1"/>
    <xf numFmtId="0" fontId="0" fillId="0" borderId="0" xfId="0"/>
    <xf numFmtId="0" fontId="10" fillId="8" borderId="0" xfId="0" applyFont="1" applyFill="1"/>
    <xf numFmtId="0" fontId="0" fillId="0" borderId="0" xfId="0" applyAlignment="1">
      <alignment wrapText="1"/>
    </xf>
    <xf numFmtId="0" fontId="14" fillId="0" borderId="1" xfId="1"/>
    <xf numFmtId="0" fontId="14" fillId="0" borderId="1" xfId="1" applyAlignment="1">
      <alignment wrapText="1"/>
    </xf>
    <xf numFmtId="0" fontId="7" fillId="17" borderId="1" xfId="1" applyFont="1" applyFill="1" applyAlignment="1">
      <alignment vertical="center"/>
    </xf>
  </cellXfs>
  <cellStyles count="2">
    <cellStyle name="Normal" xfId="0" builtinId="0"/>
    <cellStyle name="Normal 2" xfId="1" xr:uid="{1160BBA1-BB62-4587-AAA3-8C8DB5923D1F}"/>
  </cellStyles>
  <dxfs count="2">
    <dxf>
      <font>
        <color rgb="FF991B1B"/>
      </font>
      <fill>
        <patternFill patternType="solid">
          <bgColor rgb="FFFEE2E2"/>
        </patternFill>
      </fill>
    </dxf>
    <dxf>
      <font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sqref="A1:H1"/>
    </sheetView>
  </sheetViews>
  <sheetFormatPr baseColWidth="10" defaultColWidth="9" defaultRowHeight="14.25"/>
  <cols>
    <col min="1" max="1" width="27" customWidth="1"/>
    <col min="2" max="2" width="100" customWidth="1"/>
  </cols>
  <sheetData>
    <row r="1" spans="1:8" ht="35.1" customHeight="1">
      <c r="A1" s="26" t="s">
        <v>0</v>
      </c>
      <c r="B1" s="26"/>
      <c r="C1" s="26"/>
      <c r="D1" s="26"/>
      <c r="E1" s="26"/>
      <c r="F1" s="26"/>
      <c r="G1" s="26"/>
      <c r="H1" s="26"/>
    </row>
    <row r="2" spans="1:8" ht="26.1" customHeight="1">
      <c r="A2" s="27" t="s">
        <v>1</v>
      </c>
      <c r="B2" s="27"/>
      <c r="C2" s="27"/>
      <c r="D2" s="27"/>
      <c r="E2" s="27"/>
      <c r="F2" s="27"/>
      <c r="G2" s="27"/>
      <c r="H2" s="27"/>
    </row>
    <row r="4" spans="1:8" ht="33.950000000000003" customHeight="1">
      <c r="A4" s="1" t="s">
        <v>2</v>
      </c>
      <c r="B4" s="2" t="s">
        <v>3</v>
      </c>
    </row>
    <row r="5" spans="1:8" ht="33.950000000000003" customHeight="1">
      <c r="A5" s="1" t="s">
        <v>4</v>
      </c>
      <c r="B5" s="2" t="s">
        <v>5</v>
      </c>
    </row>
    <row r="6" spans="1:8" ht="33.950000000000003" customHeight="1">
      <c r="A6" s="1" t="s">
        <v>6</v>
      </c>
      <c r="B6" s="2" t="s">
        <v>7</v>
      </c>
    </row>
    <row r="7" spans="1:8" ht="33.950000000000003" customHeight="1">
      <c r="A7" s="1" t="s">
        <v>8</v>
      </c>
      <c r="B7" s="2" t="s">
        <v>9</v>
      </c>
    </row>
    <row r="8" spans="1:8" ht="33.950000000000003" customHeight="1">
      <c r="A8" s="1" t="s">
        <v>10</v>
      </c>
      <c r="B8" s="2" t="s">
        <v>11</v>
      </c>
    </row>
    <row r="9" spans="1:8" ht="33.950000000000003" customHeight="1">
      <c r="A9" s="1" t="s">
        <v>12</v>
      </c>
      <c r="B9" s="2" t="s">
        <v>13</v>
      </c>
    </row>
    <row r="10" spans="1:8" ht="33.950000000000003" customHeight="1">
      <c r="A10" s="1" t="s">
        <v>14</v>
      </c>
      <c r="B10" s="2" t="s">
        <v>15</v>
      </c>
    </row>
    <row r="11" spans="1:8" ht="33.950000000000003" customHeight="1">
      <c r="A11" s="1" t="s">
        <v>16</v>
      </c>
      <c r="B11" s="2" t="s">
        <v>17</v>
      </c>
    </row>
    <row r="12" spans="1:8" ht="33.950000000000003" customHeight="1">
      <c r="A12" s="1" t="s">
        <v>18</v>
      </c>
      <c r="B12" s="2" t="s">
        <v>19</v>
      </c>
    </row>
    <row r="13" spans="1:8" ht="33.950000000000003" customHeight="1">
      <c r="A13" s="1" t="s">
        <v>20</v>
      </c>
      <c r="B13" s="2" t="s">
        <v>21</v>
      </c>
    </row>
    <row r="14" spans="1:8" ht="33.950000000000003" customHeight="1">
      <c r="A14" s="1" t="s">
        <v>22</v>
      </c>
      <c r="B14" s="2" t="s">
        <v>23</v>
      </c>
    </row>
    <row r="15" spans="1:8" ht="33.950000000000003" customHeight="1">
      <c r="A15" s="1" t="s">
        <v>24</v>
      </c>
      <c r="B15" s="2" t="s">
        <v>25</v>
      </c>
    </row>
    <row r="16" spans="1:8">
      <c r="A16" t="s">
        <v>26</v>
      </c>
      <c r="B16" t="s">
        <v>27</v>
      </c>
    </row>
    <row r="17" spans="1:2">
      <c r="A17" t="s">
        <v>28</v>
      </c>
      <c r="B17" t="s">
        <v>29</v>
      </c>
    </row>
    <row r="18" spans="1:2">
      <c r="A18" t="s">
        <v>30</v>
      </c>
      <c r="B18" t="s">
        <v>31</v>
      </c>
    </row>
    <row r="19" spans="1:2">
      <c r="A19" t="s">
        <v>32</v>
      </c>
      <c r="B19" t="s">
        <v>33</v>
      </c>
    </row>
    <row r="20" spans="1:2">
      <c r="A20" t="s">
        <v>34</v>
      </c>
      <c r="B20" t="s">
        <v>35</v>
      </c>
    </row>
    <row r="21" spans="1:2">
      <c r="A21" t="s">
        <v>36</v>
      </c>
      <c r="B21" t="s">
        <v>37</v>
      </c>
    </row>
    <row r="22" spans="1:2">
      <c r="A22" t="s">
        <v>38</v>
      </c>
      <c r="B22" t="s">
        <v>39</v>
      </c>
    </row>
    <row r="23" spans="1:2">
      <c r="A23" t="s">
        <v>40</v>
      </c>
      <c r="B23" t="s">
        <v>41</v>
      </c>
    </row>
    <row r="24" spans="1:2">
      <c r="A24" t="s">
        <v>42</v>
      </c>
      <c r="B24" t="s">
        <v>43</v>
      </c>
    </row>
    <row r="25" spans="1:2">
      <c r="A25" t="s">
        <v>44</v>
      </c>
      <c r="B25" t="s">
        <v>45</v>
      </c>
    </row>
    <row r="26" spans="1:2">
      <c r="A26" t="s">
        <v>46</v>
      </c>
      <c r="B26" t="s">
        <v>47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5"/>
  <sheetViews>
    <sheetView workbookViewId="0">
      <pane ySplit="3" topLeftCell="A4" activePane="bottomLeft" state="frozen"/>
      <selection pane="bottomLeft" sqref="A1:S1"/>
    </sheetView>
  </sheetViews>
  <sheetFormatPr baseColWidth="10" defaultColWidth="9" defaultRowHeight="14.25"/>
  <cols>
    <col min="1" max="1" width="11" customWidth="1"/>
    <col min="2" max="2" width="25" customWidth="1"/>
    <col min="3" max="3" width="17" customWidth="1"/>
    <col min="4" max="4" width="12" customWidth="1"/>
    <col min="5" max="6" width="10" customWidth="1"/>
    <col min="7" max="8" width="12" customWidth="1"/>
    <col min="9" max="9" width="7" customWidth="1"/>
    <col min="10" max="10" width="11" customWidth="1"/>
    <col min="11" max="12" width="10" customWidth="1"/>
    <col min="13" max="13" width="15" customWidth="1"/>
    <col min="14" max="14" width="13" customWidth="1"/>
    <col min="15" max="16" width="16" customWidth="1"/>
    <col min="17" max="17" width="23" customWidth="1"/>
    <col min="18" max="18" width="47" customWidth="1"/>
    <col min="19" max="19" width="33" customWidth="1"/>
    <col min="20" max="20" width="25" customWidth="1"/>
  </cols>
  <sheetData>
    <row r="1" spans="1:20" ht="35.1" customHeight="1">
      <c r="A1" s="26" t="s">
        <v>48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20" ht="26.1" customHeight="1">
      <c r="A2" s="27" t="s">
        <v>49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0" ht="30" customHeight="1">
      <c r="A3" s="3" t="s">
        <v>50</v>
      </c>
      <c r="B3" s="3" t="s">
        <v>51</v>
      </c>
      <c r="C3" s="3" t="s">
        <v>52</v>
      </c>
      <c r="D3" s="3" t="s">
        <v>53</v>
      </c>
      <c r="E3" s="3" t="s">
        <v>54</v>
      </c>
      <c r="F3" s="3" t="s">
        <v>55</v>
      </c>
      <c r="G3" s="3" t="s">
        <v>56</v>
      </c>
      <c r="H3" s="3" t="s">
        <v>57</v>
      </c>
      <c r="I3" s="3" t="s">
        <v>58</v>
      </c>
      <c r="J3" s="3" t="s">
        <v>59</v>
      </c>
      <c r="K3" s="3" t="s">
        <v>60</v>
      </c>
      <c r="L3" s="3" t="s">
        <v>61</v>
      </c>
      <c r="M3" s="3" t="s">
        <v>62</v>
      </c>
      <c r="N3" s="3" t="s">
        <v>63</v>
      </c>
      <c r="O3" s="3" t="s">
        <v>64</v>
      </c>
      <c r="P3" s="3" t="s">
        <v>65</v>
      </c>
      <c r="Q3" s="3" t="s">
        <v>66</v>
      </c>
      <c r="R3" s="3" t="s">
        <v>67</v>
      </c>
      <c r="S3" s="3" t="s">
        <v>68</v>
      </c>
      <c r="T3" s="18" t="s">
        <v>69</v>
      </c>
    </row>
    <row r="4" spans="1:20" ht="21" customHeight="1">
      <c r="A4" s="5" t="s">
        <v>70</v>
      </c>
      <c r="B4" t="s">
        <v>71</v>
      </c>
      <c r="C4" t="s">
        <v>72</v>
      </c>
      <c r="D4" t="s">
        <v>73</v>
      </c>
      <c r="E4" s="6">
        <v>2</v>
      </c>
      <c r="F4" s="6">
        <v>4</v>
      </c>
      <c r="G4" s="6">
        <v>0</v>
      </c>
      <c r="H4" s="6">
        <v>0</v>
      </c>
      <c r="I4" s="6">
        <v>2</v>
      </c>
      <c r="J4" s="6">
        <v>1</v>
      </c>
      <c r="K4" s="7">
        <v>0.4</v>
      </c>
      <c r="L4" s="6">
        <v>1</v>
      </c>
      <c r="M4" t="s">
        <v>74</v>
      </c>
      <c r="N4" t="s">
        <v>75</v>
      </c>
      <c r="O4" t="s">
        <v>76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</row>
    <row r="5" spans="1:20" ht="21" customHeight="1">
      <c r="A5" s="5" t="s">
        <v>82</v>
      </c>
      <c r="B5" t="s">
        <v>83</v>
      </c>
      <c r="C5" t="s">
        <v>72</v>
      </c>
      <c r="D5" t="s">
        <v>73</v>
      </c>
      <c r="E5" s="6">
        <v>2</v>
      </c>
      <c r="F5" s="6">
        <v>3</v>
      </c>
      <c r="G5" s="6">
        <v>0</v>
      </c>
      <c r="H5" s="6">
        <v>0</v>
      </c>
      <c r="I5" s="6">
        <v>2</v>
      </c>
      <c r="J5" s="6">
        <v>1</v>
      </c>
      <c r="K5" s="7">
        <v>0.3</v>
      </c>
      <c r="L5" s="6">
        <v>2</v>
      </c>
      <c r="M5" t="s">
        <v>74</v>
      </c>
      <c r="N5" t="s">
        <v>75</v>
      </c>
      <c r="O5" t="s">
        <v>84</v>
      </c>
      <c r="P5" t="s">
        <v>77</v>
      </c>
      <c r="Q5" t="s">
        <v>78</v>
      </c>
      <c r="R5" t="s">
        <v>85</v>
      </c>
      <c r="S5" t="s">
        <v>80</v>
      </c>
      <c r="T5" t="s">
        <v>81</v>
      </c>
    </row>
    <row r="6" spans="1:20" ht="21" customHeight="1">
      <c r="A6" s="5" t="s">
        <v>86</v>
      </c>
      <c r="B6" t="s">
        <v>87</v>
      </c>
      <c r="C6" t="s">
        <v>72</v>
      </c>
      <c r="D6" t="s">
        <v>73</v>
      </c>
      <c r="E6" s="6">
        <v>1</v>
      </c>
      <c r="F6" s="6">
        <v>4</v>
      </c>
      <c r="G6" s="6">
        <v>0</v>
      </c>
      <c r="H6" s="6">
        <v>0</v>
      </c>
      <c r="I6" s="6">
        <v>2</v>
      </c>
      <c r="J6" s="6">
        <v>1</v>
      </c>
      <c r="K6" s="7">
        <v>0.25</v>
      </c>
      <c r="L6" s="6">
        <v>1</v>
      </c>
      <c r="M6" t="s">
        <v>74</v>
      </c>
      <c r="N6" t="s">
        <v>75</v>
      </c>
      <c r="O6" t="s">
        <v>84</v>
      </c>
      <c r="P6" t="s">
        <v>77</v>
      </c>
      <c r="Q6" t="s">
        <v>78</v>
      </c>
      <c r="R6" t="s">
        <v>88</v>
      </c>
      <c r="S6" t="s">
        <v>80</v>
      </c>
      <c r="T6" t="s">
        <v>81</v>
      </c>
    </row>
    <row r="7" spans="1:20" ht="21" customHeight="1">
      <c r="A7" s="5" t="s">
        <v>89</v>
      </c>
      <c r="B7" t="s">
        <v>90</v>
      </c>
      <c r="C7" t="s">
        <v>72</v>
      </c>
      <c r="D7" t="s">
        <v>73</v>
      </c>
      <c r="E7" s="6">
        <v>2</v>
      </c>
      <c r="F7" s="6">
        <v>4</v>
      </c>
      <c r="G7" s="6">
        <v>0</v>
      </c>
      <c r="H7" s="6">
        <v>0</v>
      </c>
      <c r="I7" s="6">
        <v>2</v>
      </c>
      <c r="J7" s="6">
        <v>1</v>
      </c>
      <c r="K7" s="7">
        <v>0.5</v>
      </c>
      <c r="L7" s="6">
        <v>0</v>
      </c>
      <c r="M7" t="s">
        <v>74</v>
      </c>
      <c r="N7" t="s">
        <v>75</v>
      </c>
      <c r="O7" t="s">
        <v>76</v>
      </c>
      <c r="P7" t="s">
        <v>77</v>
      </c>
      <c r="Q7" t="s">
        <v>78</v>
      </c>
      <c r="R7" t="s">
        <v>91</v>
      </c>
      <c r="S7" t="s">
        <v>80</v>
      </c>
      <c r="T7" t="s">
        <v>81</v>
      </c>
    </row>
    <row r="8" spans="1:20" ht="21" customHeight="1">
      <c r="A8" s="5" t="s">
        <v>92</v>
      </c>
      <c r="B8" t="s">
        <v>93</v>
      </c>
      <c r="C8" t="s">
        <v>72</v>
      </c>
      <c r="D8" t="s">
        <v>73</v>
      </c>
      <c r="E8" s="6">
        <v>2</v>
      </c>
      <c r="F8" s="6">
        <v>4</v>
      </c>
      <c r="G8" s="6">
        <v>0</v>
      </c>
      <c r="H8" s="6">
        <v>0</v>
      </c>
      <c r="I8" s="6">
        <v>2</v>
      </c>
      <c r="J8" s="6">
        <v>1</v>
      </c>
      <c r="K8" s="7">
        <v>0.5</v>
      </c>
      <c r="L8" s="6">
        <v>0</v>
      </c>
      <c r="M8" t="s">
        <v>74</v>
      </c>
      <c r="N8" t="s">
        <v>75</v>
      </c>
      <c r="O8" t="s">
        <v>76</v>
      </c>
      <c r="P8" t="s">
        <v>77</v>
      </c>
      <c r="Q8" t="s">
        <v>78</v>
      </c>
      <c r="R8" t="s">
        <v>94</v>
      </c>
      <c r="S8" t="s">
        <v>80</v>
      </c>
      <c r="T8" t="s">
        <v>81</v>
      </c>
    </row>
    <row r="9" spans="1:20" ht="21" customHeight="1">
      <c r="A9" s="5" t="s">
        <v>95</v>
      </c>
      <c r="B9" t="s">
        <v>96</v>
      </c>
      <c r="C9" t="s">
        <v>72</v>
      </c>
      <c r="D9" t="s">
        <v>73</v>
      </c>
      <c r="E9" s="6">
        <v>3</v>
      </c>
      <c r="F9" s="6">
        <v>5</v>
      </c>
      <c r="G9" s="6">
        <v>0</v>
      </c>
      <c r="H9" s="6">
        <v>0</v>
      </c>
      <c r="I9" s="6">
        <v>2</v>
      </c>
      <c r="J9" s="6">
        <v>1</v>
      </c>
      <c r="K9" s="7">
        <v>1</v>
      </c>
      <c r="L9" s="6">
        <v>0</v>
      </c>
      <c r="M9" t="s">
        <v>74</v>
      </c>
      <c r="N9" t="s">
        <v>75</v>
      </c>
      <c r="O9" t="s">
        <v>76</v>
      </c>
      <c r="P9" t="s">
        <v>77</v>
      </c>
      <c r="Q9" t="s">
        <v>78</v>
      </c>
      <c r="R9" t="s">
        <v>97</v>
      </c>
      <c r="S9" t="s">
        <v>80</v>
      </c>
      <c r="T9" t="s">
        <v>98</v>
      </c>
    </row>
    <row r="10" spans="1:20" ht="21" customHeight="1">
      <c r="A10" s="5" t="s">
        <v>99</v>
      </c>
      <c r="B10" t="s">
        <v>100</v>
      </c>
      <c r="C10" t="s">
        <v>72</v>
      </c>
      <c r="D10" t="s">
        <v>73</v>
      </c>
      <c r="E10" s="6">
        <v>2</v>
      </c>
      <c r="F10" s="6">
        <v>5</v>
      </c>
      <c r="G10" s="6">
        <v>0</v>
      </c>
      <c r="H10" s="6">
        <v>0</v>
      </c>
      <c r="I10" s="6">
        <v>2</v>
      </c>
      <c r="J10" s="6">
        <v>1</v>
      </c>
      <c r="K10" s="7">
        <v>1</v>
      </c>
      <c r="L10" s="6">
        <v>1</v>
      </c>
      <c r="M10" t="s">
        <v>74</v>
      </c>
      <c r="N10" t="s">
        <v>75</v>
      </c>
      <c r="O10" t="s">
        <v>84</v>
      </c>
      <c r="P10" t="s">
        <v>77</v>
      </c>
      <c r="Q10" t="s">
        <v>78</v>
      </c>
      <c r="R10" t="s">
        <v>101</v>
      </c>
      <c r="S10" t="s">
        <v>80</v>
      </c>
      <c r="T10" t="s">
        <v>98</v>
      </c>
    </row>
    <row r="11" spans="1:20" ht="21" customHeight="1">
      <c r="A11" s="5" t="s">
        <v>102</v>
      </c>
      <c r="B11" t="s">
        <v>103</v>
      </c>
      <c r="C11" t="s">
        <v>72</v>
      </c>
      <c r="D11" t="s">
        <v>73</v>
      </c>
      <c r="E11" s="6">
        <v>3</v>
      </c>
      <c r="F11" s="6">
        <v>5</v>
      </c>
      <c r="G11" s="6">
        <v>0</v>
      </c>
      <c r="H11" s="6">
        <v>0</v>
      </c>
      <c r="I11" s="6">
        <v>2</v>
      </c>
      <c r="J11" s="6">
        <v>1</v>
      </c>
      <c r="K11" s="7">
        <v>1.1000000000000001</v>
      </c>
      <c r="L11" s="6">
        <v>0</v>
      </c>
      <c r="M11" t="s">
        <v>74</v>
      </c>
      <c r="N11" t="s">
        <v>75</v>
      </c>
      <c r="O11" t="s">
        <v>76</v>
      </c>
      <c r="P11" t="s">
        <v>77</v>
      </c>
      <c r="Q11" t="s">
        <v>78</v>
      </c>
      <c r="R11" t="s">
        <v>104</v>
      </c>
      <c r="S11" t="s">
        <v>80</v>
      </c>
      <c r="T11" t="s">
        <v>98</v>
      </c>
    </row>
    <row r="12" spans="1:20" ht="21" customHeight="1">
      <c r="A12" s="5" t="s">
        <v>105</v>
      </c>
      <c r="B12" t="s">
        <v>106</v>
      </c>
      <c r="C12" t="s">
        <v>72</v>
      </c>
      <c r="D12" t="s">
        <v>73</v>
      </c>
      <c r="E12" s="6">
        <v>3</v>
      </c>
      <c r="F12" s="6">
        <v>5</v>
      </c>
      <c r="G12" s="6">
        <v>0</v>
      </c>
      <c r="H12" s="6">
        <v>0</v>
      </c>
      <c r="I12" s="6">
        <v>2</v>
      </c>
      <c r="J12" s="6">
        <v>1</v>
      </c>
      <c r="K12" s="7">
        <v>1.2</v>
      </c>
      <c r="L12" s="6">
        <v>0</v>
      </c>
      <c r="M12" t="s">
        <v>74</v>
      </c>
      <c r="N12" t="s">
        <v>75</v>
      </c>
      <c r="O12" t="s">
        <v>76</v>
      </c>
      <c r="P12" t="s">
        <v>77</v>
      </c>
      <c r="Q12" t="s">
        <v>78</v>
      </c>
      <c r="R12" t="s">
        <v>107</v>
      </c>
      <c r="S12" t="s">
        <v>80</v>
      </c>
      <c r="T12" t="s">
        <v>98</v>
      </c>
    </row>
    <row r="13" spans="1:20" ht="21" customHeight="1">
      <c r="A13" s="5" t="s">
        <v>108</v>
      </c>
      <c r="B13" t="s">
        <v>109</v>
      </c>
      <c r="C13" t="s">
        <v>72</v>
      </c>
      <c r="D13" t="s">
        <v>73</v>
      </c>
      <c r="E13" s="6">
        <v>3</v>
      </c>
      <c r="F13" s="6">
        <v>5</v>
      </c>
      <c r="G13" s="6">
        <v>0</v>
      </c>
      <c r="H13" s="6">
        <v>0</v>
      </c>
      <c r="I13" s="6">
        <v>2</v>
      </c>
      <c r="J13" s="6">
        <v>1</v>
      </c>
      <c r="K13" s="7">
        <v>1.1000000000000001</v>
      </c>
      <c r="L13" s="6">
        <v>-1</v>
      </c>
      <c r="M13" t="s">
        <v>74</v>
      </c>
      <c r="N13" t="s">
        <v>75</v>
      </c>
      <c r="O13" t="s">
        <v>76</v>
      </c>
      <c r="P13" t="s">
        <v>77</v>
      </c>
      <c r="Q13" t="s">
        <v>78</v>
      </c>
      <c r="R13" t="s">
        <v>110</v>
      </c>
      <c r="S13" t="s">
        <v>80</v>
      </c>
      <c r="T13" t="s">
        <v>98</v>
      </c>
    </row>
    <row r="14" spans="1:20" ht="21" customHeight="1">
      <c r="A14" s="5" t="s">
        <v>111</v>
      </c>
      <c r="B14" t="s">
        <v>112</v>
      </c>
      <c r="C14" t="s">
        <v>72</v>
      </c>
      <c r="D14" t="s">
        <v>73</v>
      </c>
      <c r="E14" s="6">
        <v>2</v>
      </c>
      <c r="F14" s="6">
        <v>4</v>
      </c>
      <c r="G14" s="6">
        <v>0</v>
      </c>
      <c r="H14" s="6">
        <v>0</v>
      </c>
      <c r="I14" s="6">
        <v>2</v>
      </c>
      <c r="J14" s="6">
        <v>1</v>
      </c>
      <c r="K14" s="7">
        <v>0.7</v>
      </c>
      <c r="L14" s="6">
        <v>0</v>
      </c>
      <c r="M14" t="s">
        <v>74</v>
      </c>
      <c r="N14" t="s">
        <v>75</v>
      </c>
      <c r="O14" t="s">
        <v>76</v>
      </c>
      <c r="P14" t="s">
        <v>77</v>
      </c>
      <c r="Q14" t="s">
        <v>78</v>
      </c>
      <c r="R14" t="s">
        <v>113</v>
      </c>
      <c r="S14" t="s">
        <v>80</v>
      </c>
      <c r="T14" t="s">
        <v>81</v>
      </c>
    </row>
    <row r="15" spans="1:20" ht="21" customHeight="1">
      <c r="A15" s="5" t="s">
        <v>114</v>
      </c>
      <c r="B15" t="s">
        <v>115</v>
      </c>
      <c r="C15" t="s">
        <v>72</v>
      </c>
      <c r="D15" t="s">
        <v>73</v>
      </c>
      <c r="E15" s="6">
        <v>2</v>
      </c>
      <c r="F15" s="6">
        <v>4</v>
      </c>
      <c r="G15" s="6">
        <v>0</v>
      </c>
      <c r="H15" s="6">
        <v>0</v>
      </c>
      <c r="I15" s="6">
        <v>2</v>
      </c>
      <c r="J15" s="6">
        <v>1</v>
      </c>
      <c r="K15" s="7">
        <v>0.8</v>
      </c>
      <c r="L15" s="6">
        <v>0</v>
      </c>
      <c r="M15" t="s">
        <v>74</v>
      </c>
      <c r="N15" t="s">
        <v>75</v>
      </c>
      <c r="O15" t="s">
        <v>116</v>
      </c>
      <c r="P15" t="s">
        <v>77</v>
      </c>
      <c r="Q15" t="s">
        <v>78</v>
      </c>
      <c r="R15" t="s">
        <v>117</v>
      </c>
      <c r="S15" t="s">
        <v>80</v>
      </c>
      <c r="T15" t="s">
        <v>81</v>
      </c>
    </row>
    <row r="16" spans="1:20" ht="21" customHeight="1">
      <c r="A16" s="5" t="s">
        <v>118</v>
      </c>
      <c r="B16" t="s">
        <v>119</v>
      </c>
      <c r="C16" t="s">
        <v>72</v>
      </c>
      <c r="D16" t="s">
        <v>73</v>
      </c>
      <c r="E16" s="6">
        <v>1</v>
      </c>
      <c r="F16" s="6">
        <v>3</v>
      </c>
      <c r="G16" s="6">
        <v>0</v>
      </c>
      <c r="H16" s="6">
        <v>0</v>
      </c>
      <c r="I16" s="6">
        <v>2</v>
      </c>
      <c r="J16" s="6">
        <v>1</v>
      </c>
      <c r="K16" s="7">
        <v>0.45</v>
      </c>
      <c r="L16" s="6">
        <v>1</v>
      </c>
      <c r="M16" t="s">
        <v>74</v>
      </c>
      <c r="N16" t="s">
        <v>75</v>
      </c>
      <c r="O16" t="s">
        <v>76</v>
      </c>
      <c r="P16" t="s">
        <v>77</v>
      </c>
      <c r="Q16" t="s">
        <v>78</v>
      </c>
      <c r="R16" t="s">
        <v>120</v>
      </c>
      <c r="S16" t="s">
        <v>80</v>
      </c>
      <c r="T16" t="s">
        <v>81</v>
      </c>
    </row>
    <row r="17" spans="1:20" ht="21" customHeight="1">
      <c r="A17" s="5" t="s">
        <v>121</v>
      </c>
      <c r="B17" t="s">
        <v>122</v>
      </c>
      <c r="C17" t="s">
        <v>123</v>
      </c>
      <c r="D17" t="s">
        <v>73</v>
      </c>
      <c r="E17" s="6">
        <v>4</v>
      </c>
      <c r="F17" s="6">
        <v>6</v>
      </c>
      <c r="G17" s="6">
        <v>0</v>
      </c>
      <c r="H17" s="6">
        <v>0</v>
      </c>
      <c r="I17" s="6">
        <v>2</v>
      </c>
      <c r="J17" s="6">
        <v>1</v>
      </c>
      <c r="K17" s="7">
        <v>1.4</v>
      </c>
      <c r="L17" s="6">
        <v>0</v>
      </c>
      <c r="M17" t="s">
        <v>124</v>
      </c>
      <c r="N17" t="s">
        <v>75</v>
      </c>
      <c r="O17" t="s">
        <v>76</v>
      </c>
      <c r="P17" t="s">
        <v>125</v>
      </c>
      <c r="Q17" t="s">
        <v>126</v>
      </c>
      <c r="R17" t="s">
        <v>127</v>
      </c>
      <c r="S17" t="s">
        <v>128</v>
      </c>
      <c r="T17" t="s">
        <v>129</v>
      </c>
    </row>
    <row r="18" spans="1:20" ht="21" customHeight="1">
      <c r="A18" s="5" t="s">
        <v>130</v>
      </c>
      <c r="B18" t="s">
        <v>131</v>
      </c>
      <c r="C18" t="s">
        <v>123</v>
      </c>
      <c r="D18" t="s">
        <v>73</v>
      </c>
      <c r="E18" s="6">
        <v>4</v>
      </c>
      <c r="F18" s="6">
        <v>7</v>
      </c>
      <c r="G18" s="6">
        <v>0</v>
      </c>
      <c r="H18" s="6">
        <v>0</v>
      </c>
      <c r="I18" s="6">
        <v>2</v>
      </c>
      <c r="J18" s="6">
        <v>1</v>
      </c>
      <c r="K18" s="7">
        <v>1.7</v>
      </c>
      <c r="L18" s="6">
        <v>0</v>
      </c>
      <c r="M18" t="s">
        <v>124</v>
      </c>
      <c r="N18" t="s">
        <v>75</v>
      </c>
      <c r="O18" t="s">
        <v>76</v>
      </c>
      <c r="P18" t="s">
        <v>125</v>
      </c>
      <c r="Q18" t="s">
        <v>126</v>
      </c>
      <c r="R18" t="s">
        <v>132</v>
      </c>
      <c r="S18" t="s">
        <v>128</v>
      </c>
      <c r="T18" t="s">
        <v>133</v>
      </c>
    </row>
    <row r="19" spans="1:20" ht="21" customHeight="1">
      <c r="A19" s="5" t="s">
        <v>134</v>
      </c>
      <c r="B19" t="s">
        <v>135</v>
      </c>
      <c r="C19" t="s">
        <v>123</v>
      </c>
      <c r="D19" t="s">
        <v>73</v>
      </c>
      <c r="E19" s="6">
        <v>5</v>
      </c>
      <c r="F19" s="6">
        <v>7</v>
      </c>
      <c r="G19" s="6">
        <v>0</v>
      </c>
      <c r="H19" s="6">
        <v>0</v>
      </c>
      <c r="I19" s="6">
        <v>2</v>
      </c>
      <c r="J19" s="6">
        <v>1</v>
      </c>
      <c r="K19" s="7">
        <v>2</v>
      </c>
      <c r="L19" s="6">
        <v>-1</v>
      </c>
      <c r="M19" t="s">
        <v>124</v>
      </c>
      <c r="N19" t="s">
        <v>75</v>
      </c>
      <c r="O19" t="s">
        <v>76</v>
      </c>
      <c r="P19" t="s">
        <v>125</v>
      </c>
      <c r="Q19" t="s">
        <v>126</v>
      </c>
      <c r="R19" t="s">
        <v>136</v>
      </c>
      <c r="S19" t="s">
        <v>128</v>
      </c>
      <c r="T19" t="s">
        <v>133</v>
      </c>
    </row>
    <row r="20" spans="1:20" ht="21" customHeight="1">
      <c r="A20" s="5" t="s">
        <v>137</v>
      </c>
      <c r="B20" t="s">
        <v>138</v>
      </c>
      <c r="C20" t="s">
        <v>123</v>
      </c>
      <c r="D20" t="s">
        <v>73</v>
      </c>
      <c r="E20" s="6">
        <v>4</v>
      </c>
      <c r="F20" s="6">
        <v>7</v>
      </c>
      <c r="G20" s="6">
        <v>0</v>
      </c>
      <c r="H20" s="6">
        <v>0</v>
      </c>
      <c r="I20" s="6">
        <v>2</v>
      </c>
      <c r="J20" s="6">
        <v>1</v>
      </c>
      <c r="K20" s="7">
        <v>1.6</v>
      </c>
      <c r="L20" s="6">
        <v>-1</v>
      </c>
      <c r="M20" t="s">
        <v>124</v>
      </c>
      <c r="N20" t="s">
        <v>75</v>
      </c>
      <c r="O20" t="s">
        <v>76</v>
      </c>
      <c r="P20" t="s">
        <v>125</v>
      </c>
      <c r="Q20" t="s">
        <v>126</v>
      </c>
      <c r="R20" t="s">
        <v>139</v>
      </c>
      <c r="S20" t="s">
        <v>128</v>
      </c>
      <c r="T20" t="s">
        <v>133</v>
      </c>
    </row>
    <row r="21" spans="1:20" ht="21" customHeight="1">
      <c r="A21" s="5" t="s">
        <v>140</v>
      </c>
      <c r="B21" t="s">
        <v>141</v>
      </c>
      <c r="C21" t="s">
        <v>123</v>
      </c>
      <c r="D21" t="s">
        <v>73</v>
      </c>
      <c r="E21" s="6">
        <v>5</v>
      </c>
      <c r="F21" s="6">
        <v>8</v>
      </c>
      <c r="G21" s="6">
        <v>0</v>
      </c>
      <c r="H21" s="6">
        <v>0</v>
      </c>
      <c r="I21" s="6">
        <v>2</v>
      </c>
      <c r="J21" s="6">
        <v>1</v>
      </c>
      <c r="K21" s="7">
        <v>2.1</v>
      </c>
      <c r="L21" s="6">
        <v>-1</v>
      </c>
      <c r="M21" t="s">
        <v>124</v>
      </c>
      <c r="N21" t="s">
        <v>75</v>
      </c>
      <c r="O21" t="s">
        <v>76</v>
      </c>
      <c r="P21" t="s">
        <v>125</v>
      </c>
      <c r="Q21" t="s">
        <v>126</v>
      </c>
      <c r="R21" t="s">
        <v>142</v>
      </c>
      <c r="S21" t="s">
        <v>128</v>
      </c>
      <c r="T21" t="s">
        <v>143</v>
      </c>
    </row>
    <row r="22" spans="1:20" ht="21" customHeight="1">
      <c r="A22" s="5" t="s">
        <v>144</v>
      </c>
      <c r="B22" t="s">
        <v>145</v>
      </c>
      <c r="C22" t="s">
        <v>123</v>
      </c>
      <c r="D22" t="s">
        <v>73</v>
      </c>
      <c r="E22" s="6">
        <v>4</v>
      </c>
      <c r="F22" s="6">
        <v>8</v>
      </c>
      <c r="G22" s="6">
        <v>0</v>
      </c>
      <c r="H22" s="6">
        <v>0</v>
      </c>
      <c r="I22" s="6">
        <v>2</v>
      </c>
      <c r="J22" s="6">
        <v>1</v>
      </c>
      <c r="K22" s="7">
        <v>2</v>
      </c>
      <c r="L22" s="6">
        <v>-1</v>
      </c>
      <c r="M22" t="s">
        <v>124</v>
      </c>
      <c r="N22" t="s">
        <v>75</v>
      </c>
      <c r="O22" t="s">
        <v>76</v>
      </c>
      <c r="P22" t="s">
        <v>125</v>
      </c>
      <c r="Q22" t="s">
        <v>126</v>
      </c>
      <c r="R22" t="s">
        <v>146</v>
      </c>
      <c r="S22" t="s">
        <v>128</v>
      </c>
      <c r="T22" t="s">
        <v>133</v>
      </c>
    </row>
    <row r="23" spans="1:20" ht="21" customHeight="1">
      <c r="A23" s="5" t="s">
        <v>147</v>
      </c>
      <c r="B23" t="s">
        <v>148</v>
      </c>
      <c r="C23" t="s">
        <v>123</v>
      </c>
      <c r="D23" t="s">
        <v>73</v>
      </c>
      <c r="E23" s="6">
        <v>4</v>
      </c>
      <c r="F23" s="6">
        <v>7</v>
      </c>
      <c r="G23" s="6">
        <v>0</v>
      </c>
      <c r="H23" s="6">
        <v>0</v>
      </c>
      <c r="I23" s="6">
        <v>2</v>
      </c>
      <c r="J23" s="6">
        <v>1</v>
      </c>
      <c r="K23" s="7">
        <v>1.8</v>
      </c>
      <c r="L23" s="6">
        <v>0</v>
      </c>
      <c r="M23" t="s">
        <v>124</v>
      </c>
      <c r="N23" t="s">
        <v>75</v>
      </c>
      <c r="O23" t="s">
        <v>116</v>
      </c>
      <c r="P23" t="s">
        <v>125</v>
      </c>
      <c r="Q23" t="s">
        <v>126</v>
      </c>
      <c r="R23" t="s">
        <v>149</v>
      </c>
      <c r="S23" t="s">
        <v>128</v>
      </c>
      <c r="T23" t="s">
        <v>133</v>
      </c>
    </row>
    <row r="24" spans="1:20" ht="21" customHeight="1">
      <c r="A24" s="5" t="s">
        <v>150</v>
      </c>
      <c r="B24" t="s">
        <v>151</v>
      </c>
      <c r="C24" t="s">
        <v>123</v>
      </c>
      <c r="D24" t="s">
        <v>73</v>
      </c>
      <c r="E24" s="6">
        <v>5</v>
      </c>
      <c r="F24" s="6">
        <v>7</v>
      </c>
      <c r="G24" s="6">
        <v>0</v>
      </c>
      <c r="H24" s="6">
        <v>0</v>
      </c>
      <c r="I24" s="6">
        <v>2</v>
      </c>
      <c r="J24" s="6">
        <v>1</v>
      </c>
      <c r="K24" s="7">
        <v>2</v>
      </c>
      <c r="L24" s="6">
        <v>0</v>
      </c>
      <c r="M24" t="s">
        <v>124</v>
      </c>
      <c r="N24" t="s">
        <v>75</v>
      </c>
      <c r="O24" t="s">
        <v>116</v>
      </c>
      <c r="P24" t="s">
        <v>125</v>
      </c>
      <c r="Q24" t="s">
        <v>126</v>
      </c>
      <c r="R24" t="s">
        <v>152</v>
      </c>
      <c r="S24" t="s">
        <v>128</v>
      </c>
      <c r="T24" t="s">
        <v>133</v>
      </c>
    </row>
    <row r="25" spans="1:20" ht="21" customHeight="1">
      <c r="A25" s="5" t="s">
        <v>153</v>
      </c>
      <c r="B25" t="s">
        <v>154</v>
      </c>
      <c r="C25" t="s">
        <v>123</v>
      </c>
      <c r="D25" t="s">
        <v>73</v>
      </c>
      <c r="E25" s="6">
        <v>5</v>
      </c>
      <c r="F25" s="6">
        <v>8</v>
      </c>
      <c r="G25" s="6">
        <v>0</v>
      </c>
      <c r="H25" s="6">
        <v>0</v>
      </c>
      <c r="I25" s="6">
        <v>2</v>
      </c>
      <c r="J25" s="6">
        <v>1</v>
      </c>
      <c r="K25" s="7">
        <v>2.2000000000000002</v>
      </c>
      <c r="L25" s="6">
        <v>-1</v>
      </c>
      <c r="M25" t="s">
        <v>124</v>
      </c>
      <c r="N25" t="s">
        <v>75</v>
      </c>
      <c r="O25" t="s">
        <v>116</v>
      </c>
      <c r="P25" t="s">
        <v>125</v>
      </c>
      <c r="Q25" t="s">
        <v>126</v>
      </c>
      <c r="R25" t="s">
        <v>152</v>
      </c>
      <c r="S25" t="s">
        <v>128</v>
      </c>
      <c r="T25" t="s">
        <v>143</v>
      </c>
    </row>
    <row r="26" spans="1:20" ht="21" customHeight="1">
      <c r="A26" s="5" t="s">
        <v>155</v>
      </c>
      <c r="B26" t="s">
        <v>156</v>
      </c>
      <c r="C26" t="s">
        <v>123</v>
      </c>
      <c r="D26" t="s">
        <v>73</v>
      </c>
      <c r="E26" s="6">
        <v>4</v>
      </c>
      <c r="F26" s="6">
        <v>8</v>
      </c>
      <c r="G26" s="6">
        <v>0</v>
      </c>
      <c r="H26" s="6">
        <v>0</v>
      </c>
      <c r="I26" s="6">
        <v>2</v>
      </c>
      <c r="J26" s="6">
        <v>1</v>
      </c>
      <c r="K26" s="7">
        <v>2.5</v>
      </c>
      <c r="L26" s="6">
        <v>-2</v>
      </c>
      <c r="M26" t="s">
        <v>124</v>
      </c>
      <c r="N26" t="s">
        <v>75</v>
      </c>
      <c r="O26" t="s">
        <v>116</v>
      </c>
      <c r="P26" t="s">
        <v>125</v>
      </c>
      <c r="Q26" t="s">
        <v>126</v>
      </c>
      <c r="R26" t="s">
        <v>157</v>
      </c>
      <c r="S26" t="s">
        <v>128</v>
      </c>
      <c r="T26" t="s">
        <v>133</v>
      </c>
    </row>
    <row r="27" spans="1:20" ht="21" customHeight="1">
      <c r="A27" s="5" t="s">
        <v>158</v>
      </c>
      <c r="B27" t="s">
        <v>159</v>
      </c>
      <c r="C27" t="s">
        <v>123</v>
      </c>
      <c r="D27" t="s">
        <v>73</v>
      </c>
      <c r="E27" s="6">
        <v>5</v>
      </c>
      <c r="F27" s="6">
        <v>8</v>
      </c>
      <c r="G27" s="6">
        <v>0</v>
      </c>
      <c r="H27" s="6">
        <v>0</v>
      </c>
      <c r="I27" s="6">
        <v>2</v>
      </c>
      <c r="J27" s="6">
        <v>1</v>
      </c>
      <c r="K27" s="7">
        <v>2.2999999999999998</v>
      </c>
      <c r="L27" s="6">
        <v>-1</v>
      </c>
      <c r="M27" t="s">
        <v>124</v>
      </c>
      <c r="N27" t="s">
        <v>75</v>
      </c>
      <c r="O27" t="s">
        <v>116</v>
      </c>
      <c r="P27" t="s">
        <v>125</v>
      </c>
      <c r="Q27" t="s">
        <v>126</v>
      </c>
      <c r="R27" t="s">
        <v>160</v>
      </c>
      <c r="S27" t="s">
        <v>128</v>
      </c>
      <c r="T27" t="s">
        <v>143</v>
      </c>
    </row>
    <row r="28" spans="1:20" ht="21" customHeight="1">
      <c r="A28" s="5" t="s">
        <v>161</v>
      </c>
      <c r="B28" t="s">
        <v>162</v>
      </c>
      <c r="C28" t="s">
        <v>123</v>
      </c>
      <c r="D28" t="s">
        <v>73</v>
      </c>
      <c r="E28" s="6">
        <v>4</v>
      </c>
      <c r="F28" s="6">
        <v>8</v>
      </c>
      <c r="G28" s="6">
        <v>0</v>
      </c>
      <c r="H28" s="6">
        <v>0</v>
      </c>
      <c r="I28" s="6">
        <v>2</v>
      </c>
      <c r="J28" s="6">
        <v>1</v>
      </c>
      <c r="K28" s="7">
        <v>1.9</v>
      </c>
      <c r="L28" s="6">
        <v>-1</v>
      </c>
      <c r="M28" t="s">
        <v>124</v>
      </c>
      <c r="N28" t="s">
        <v>75</v>
      </c>
      <c r="O28" t="s">
        <v>84</v>
      </c>
      <c r="P28" t="s">
        <v>125</v>
      </c>
      <c r="Q28" t="s">
        <v>126</v>
      </c>
      <c r="R28" t="s">
        <v>163</v>
      </c>
      <c r="S28" t="s">
        <v>128</v>
      </c>
      <c r="T28" t="s">
        <v>133</v>
      </c>
    </row>
    <row r="29" spans="1:20" ht="21" customHeight="1">
      <c r="A29" s="5" t="s">
        <v>164</v>
      </c>
      <c r="B29" t="s">
        <v>165</v>
      </c>
      <c r="C29" t="s">
        <v>123</v>
      </c>
      <c r="D29" t="s">
        <v>73</v>
      </c>
      <c r="E29" s="6">
        <v>3</v>
      </c>
      <c r="F29" s="6">
        <v>6</v>
      </c>
      <c r="G29" s="6">
        <v>0</v>
      </c>
      <c r="H29" s="6">
        <v>0</v>
      </c>
      <c r="I29" s="6">
        <v>2</v>
      </c>
      <c r="J29" s="6">
        <v>1</v>
      </c>
      <c r="K29" s="7">
        <v>1.3</v>
      </c>
      <c r="L29" s="6">
        <v>0</v>
      </c>
      <c r="M29" t="s">
        <v>124</v>
      </c>
      <c r="N29" t="s">
        <v>75</v>
      </c>
      <c r="O29" t="s">
        <v>116</v>
      </c>
      <c r="P29" t="s">
        <v>125</v>
      </c>
      <c r="Q29" t="s">
        <v>126</v>
      </c>
      <c r="R29" t="s">
        <v>166</v>
      </c>
      <c r="S29" t="s">
        <v>128</v>
      </c>
      <c r="T29" t="s">
        <v>129</v>
      </c>
    </row>
    <row r="30" spans="1:20" ht="21" customHeight="1">
      <c r="A30" s="5" t="s">
        <v>167</v>
      </c>
      <c r="B30" t="s">
        <v>168</v>
      </c>
      <c r="C30" t="s">
        <v>169</v>
      </c>
      <c r="D30" t="s">
        <v>170</v>
      </c>
      <c r="E30" s="6">
        <v>7</v>
      </c>
      <c r="F30" s="6">
        <v>11</v>
      </c>
      <c r="G30" s="6">
        <v>0</v>
      </c>
      <c r="H30" s="6">
        <v>0</v>
      </c>
      <c r="I30" s="6">
        <v>3</v>
      </c>
      <c r="J30" s="6">
        <v>1</v>
      </c>
      <c r="K30" s="7">
        <v>3.6</v>
      </c>
      <c r="L30" s="6">
        <v>-1</v>
      </c>
      <c r="M30" t="s">
        <v>124</v>
      </c>
      <c r="N30" t="s">
        <v>75</v>
      </c>
      <c r="O30" t="s">
        <v>76</v>
      </c>
      <c r="P30" t="s">
        <v>125</v>
      </c>
      <c r="Q30" t="s">
        <v>171</v>
      </c>
      <c r="R30" t="s">
        <v>172</v>
      </c>
      <c r="S30" t="s">
        <v>173</v>
      </c>
      <c r="T30" t="s">
        <v>174</v>
      </c>
    </row>
    <row r="31" spans="1:20" ht="21" customHeight="1">
      <c r="A31" s="5" t="s">
        <v>175</v>
      </c>
      <c r="B31" t="s">
        <v>176</v>
      </c>
      <c r="C31" t="s">
        <v>169</v>
      </c>
      <c r="D31" t="s">
        <v>170</v>
      </c>
      <c r="E31" s="6">
        <v>7</v>
      </c>
      <c r="F31" s="6">
        <v>12</v>
      </c>
      <c r="G31" s="6">
        <v>0</v>
      </c>
      <c r="H31" s="6">
        <v>0</v>
      </c>
      <c r="I31" s="6">
        <v>3</v>
      </c>
      <c r="J31" s="6">
        <v>1</v>
      </c>
      <c r="K31" s="7">
        <v>3.8</v>
      </c>
      <c r="L31" s="6">
        <v>-1</v>
      </c>
      <c r="M31" t="s">
        <v>124</v>
      </c>
      <c r="N31" t="s">
        <v>75</v>
      </c>
      <c r="O31" t="s">
        <v>76</v>
      </c>
      <c r="P31" t="s">
        <v>125</v>
      </c>
      <c r="Q31" t="s">
        <v>171</v>
      </c>
      <c r="R31" t="s">
        <v>177</v>
      </c>
      <c r="S31" t="s">
        <v>173</v>
      </c>
      <c r="T31" t="s">
        <v>178</v>
      </c>
    </row>
    <row r="32" spans="1:20" ht="21" customHeight="1">
      <c r="A32" s="5" t="s">
        <v>179</v>
      </c>
      <c r="B32" t="s">
        <v>180</v>
      </c>
      <c r="C32" t="s">
        <v>169</v>
      </c>
      <c r="D32" t="s">
        <v>170</v>
      </c>
      <c r="E32" s="6">
        <v>8</v>
      </c>
      <c r="F32" s="6">
        <v>12</v>
      </c>
      <c r="G32" s="6">
        <v>0</v>
      </c>
      <c r="H32" s="6">
        <v>0</v>
      </c>
      <c r="I32" s="6">
        <v>3</v>
      </c>
      <c r="J32" s="6">
        <v>1</v>
      </c>
      <c r="K32" s="7">
        <v>4.4000000000000004</v>
      </c>
      <c r="L32" s="6">
        <v>-2</v>
      </c>
      <c r="M32" t="s">
        <v>124</v>
      </c>
      <c r="N32" t="s">
        <v>75</v>
      </c>
      <c r="O32" t="s">
        <v>76</v>
      </c>
      <c r="P32" t="s">
        <v>125</v>
      </c>
      <c r="Q32" t="s">
        <v>171</v>
      </c>
      <c r="R32" t="s">
        <v>181</v>
      </c>
      <c r="S32" t="s">
        <v>173</v>
      </c>
      <c r="T32" t="s">
        <v>178</v>
      </c>
    </row>
    <row r="33" spans="1:20" ht="21" customHeight="1">
      <c r="A33" s="5" t="s">
        <v>182</v>
      </c>
      <c r="B33" t="s">
        <v>183</v>
      </c>
      <c r="C33" t="s">
        <v>169</v>
      </c>
      <c r="D33" t="s">
        <v>170</v>
      </c>
      <c r="E33" s="6">
        <v>8</v>
      </c>
      <c r="F33" s="6">
        <v>13</v>
      </c>
      <c r="G33" s="6">
        <v>0</v>
      </c>
      <c r="H33" s="6">
        <v>0</v>
      </c>
      <c r="I33" s="6">
        <v>3</v>
      </c>
      <c r="J33" s="6">
        <v>1</v>
      </c>
      <c r="K33" s="7">
        <v>4.8</v>
      </c>
      <c r="L33" s="6">
        <v>-2</v>
      </c>
      <c r="M33" t="s">
        <v>124</v>
      </c>
      <c r="N33" t="s">
        <v>75</v>
      </c>
      <c r="O33" t="s">
        <v>76</v>
      </c>
      <c r="P33" t="s">
        <v>125</v>
      </c>
      <c r="Q33" t="s">
        <v>171</v>
      </c>
      <c r="R33" t="s">
        <v>184</v>
      </c>
      <c r="S33" t="s">
        <v>173</v>
      </c>
      <c r="T33" t="s">
        <v>185</v>
      </c>
    </row>
    <row r="34" spans="1:20" ht="21" customHeight="1">
      <c r="A34" s="5" t="s">
        <v>186</v>
      </c>
      <c r="B34" t="s">
        <v>187</v>
      </c>
      <c r="C34" t="s">
        <v>169</v>
      </c>
      <c r="D34" t="s">
        <v>170</v>
      </c>
      <c r="E34" s="6">
        <v>8</v>
      </c>
      <c r="F34" s="6">
        <v>13</v>
      </c>
      <c r="G34" s="6">
        <v>0</v>
      </c>
      <c r="H34" s="6">
        <v>0</v>
      </c>
      <c r="I34" s="6">
        <v>3</v>
      </c>
      <c r="J34" s="6">
        <v>1</v>
      </c>
      <c r="K34" s="7">
        <v>4.7</v>
      </c>
      <c r="L34" s="6">
        <v>-2</v>
      </c>
      <c r="M34" t="s">
        <v>124</v>
      </c>
      <c r="N34" t="s">
        <v>75</v>
      </c>
      <c r="O34" t="s">
        <v>76</v>
      </c>
      <c r="P34" t="s">
        <v>125</v>
      </c>
      <c r="Q34" t="s">
        <v>171</v>
      </c>
      <c r="R34" t="s">
        <v>188</v>
      </c>
      <c r="S34" t="s">
        <v>173</v>
      </c>
      <c r="T34" t="s">
        <v>185</v>
      </c>
    </row>
    <row r="35" spans="1:20" ht="21" customHeight="1">
      <c r="A35" s="5" t="s">
        <v>189</v>
      </c>
      <c r="B35" t="s">
        <v>190</v>
      </c>
      <c r="C35" t="s">
        <v>169</v>
      </c>
      <c r="D35" t="s">
        <v>170</v>
      </c>
      <c r="E35" s="6">
        <v>7</v>
      </c>
      <c r="F35" s="6">
        <v>14</v>
      </c>
      <c r="G35" s="6">
        <v>0</v>
      </c>
      <c r="H35" s="6">
        <v>0</v>
      </c>
      <c r="I35" s="6">
        <v>3</v>
      </c>
      <c r="J35" s="6">
        <v>1</v>
      </c>
      <c r="K35" s="7">
        <v>5</v>
      </c>
      <c r="L35" s="6">
        <v>-2</v>
      </c>
      <c r="M35" t="s">
        <v>124</v>
      </c>
      <c r="N35" t="s">
        <v>75</v>
      </c>
      <c r="O35" t="s">
        <v>76</v>
      </c>
      <c r="P35" t="s">
        <v>125</v>
      </c>
      <c r="Q35" t="s">
        <v>171</v>
      </c>
      <c r="R35" t="s">
        <v>191</v>
      </c>
      <c r="S35" t="s">
        <v>173</v>
      </c>
      <c r="T35" t="s">
        <v>192</v>
      </c>
    </row>
    <row r="36" spans="1:20" ht="21" customHeight="1">
      <c r="A36" s="5" t="s">
        <v>193</v>
      </c>
      <c r="B36" t="s">
        <v>194</v>
      </c>
      <c r="C36" t="s">
        <v>169</v>
      </c>
      <c r="D36" t="s">
        <v>170</v>
      </c>
      <c r="E36" s="6">
        <v>7</v>
      </c>
      <c r="F36" s="6">
        <v>12</v>
      </c>
      <c r="G36" s="6">
        <v>0</v>
      </c>
      <c r="H36" s="6">
        <v>0</v>
      </c>
      <c r="I36" s="6">
        <v>3</v>
      </c>
      <c r="J36" s="6">
        <v>1</v>
      </c>
      <c r="K36" s="7">
        <v>4.3</v>
      </c>
      <c r="L36" s="6">
        <v>-1</v>
      </c>
      <c r="M36" t="s">
        <v>124</v>
      </c>
      <c r="N36" t="s">
        <v>75</v>
      </c>
      <c r="O36" t="s">
        <v>76</v>
      </c>
      <c r="P36" t="s">
        <v>125</v>
      </c>
      <c r="Q36" t="s">
        <v>171</v>
      </c>
      <c r="R36" t="s">
        <v>195</v>
      </c>
      <c r="S36" t="s">
        <v>173</v>
      </c>
      <c r="T36" t="s">
        <v>178</v>
      </c>
    </row>
    <row r="37" spans="1:20" ht="21" customHeight="1">
      <c r="A37" s="5" t="s">
        <v>196</v>
      </c>
      <c r="B37" t="s">
        <v>197</v>
      </c>
      <c r="C37" t="s">
        <v>169</v>
      </c>
      <c r="D37" t="s">
        <v>170</v>
      </c>
      <c r="E37" s="6">
        <v>8</v>
      </c>
      <c r="F37" s="6">
        <v>13</v>
      </c>
      <c r="G37" s="6">
        <v>0</v>
      </c>
      <c r="H37" s="6">
        <v>0</v>
      </c>
      <c r="I37" s="6">
        <v>3</v>
      </c>
      <c r="J37" s="6">
        <v>1</v>
      </c>
      <c r="K37" s="7">
        <v>5.3</v>
      </c>
      <c r="L37" s="6">
        <v>-2</v>
      </c>
      <c r="M37" t="s">
        <v>124</v>
      </c>
      <c r="N37" t="s">
        <v>75</v>
      </c>
      <c r="O37" t="s">
        <v>116</v>
      </c>
      <c r="P37" t="s">
        <v>125</v>
      </c>
      <c r="Q37" t="s">
        <v>171</v>
      </c>
      <c r="R37" t="s">
        <v>198</v>
      </c>
      <c r="S37" t="s">
        <v>173</v>
      </c>
      <c r="T37" t="s">
        <v>185</v>
      </c>
    </row>
    <row r="38" spans="1:20" ht="21" customHeight="1">
      <c r="A38" s="5" t="s">
        <v>199</v>
      </c>
      <c r="B38" t="s">
        <v>200</v>
      </c>
      <c r="C38" t="s">
        <v>169</v>
      </c>
      <c r="D38" t="s">
        <v>170</v>
      </c>
      <c r="E38" s="6">
        <v>7</v>
      </c>
      <c r="F38" s="6">
        <v>13</v>
      </c>
      <c r="G38" s="6">
        <v>0</v>
      </c>
      <c r="H38" s="6">
        <v>0</v>
      </c>
      <c r="I38" s="6">
        <v>3</v>
      </c>
      <c r="J38" s="6">
        <v>1</v>
      </c>
      <c r="K38" s="7">
        <v>5.5</v>
      </c>
      <c r="L38" s="6">
        <v>-2</v>
      </c>
      <c r="M38" t="s">
        <v>124</v>
      </c>
      <c r="N38" t="s">
        <v>75</v>
      </c>
      <c r="O38" t="s">
        <v>116</v>
      </c>
      <c r="P38" t="s">
        <v>125</v>
      </c>
      <c r="Q38" t="s">
        <v>171</v>
      </c>
      <c r="R38" t="s">
        <v>201</v>
      </c>
      <c r="S38" t="s">
        <v>173</v>
      </c>
      <c r="T38" t="s">
        <v>178</v>
      </c>
    </row>
    <row r="39" spans="1:20" ht="21" customHeight="1">
      <c r="A39" s="5" t="s">
        <v>202</v>
      </c>
      <c r="B39" t="s">
        <v>203</v>
      </c>
      <c r="C39" t="s">
        <v>169</v>
      </c>
      <c r="D39" t="s">
        <v>170</v>
      </c>
      <c r="E39" s="6">
        <v>9</v>
      </c>
      <c r="F39" s="6">
        <v>14</v>
      </c>
      <c r="G39" s="6">
        <v>0</v>
      </c>
      <c r="H39" s="6">
        <v>0</v>
      </c>
      <c r="I39" s="6">
        <v>3</v>
      </c>
      <c r="J39" s="6">
        <v>1</v>
      </c>
      <c r="K39" s="7">
        <v>6</v>
      </c>
      <c r="L39" s="6">
        <v>-3</v>
      </c>
      <c r="M39" t="s">
        <v>124</v>
      </c>
      <c r="N39" t="s">
        <v>75</v>
      </c>
      <c r="O39" t="s">
        <v>116</v>
      </c>
      <c r="P39" t="s">
        <v>125</v>
      </c>
      <c r="Q39" t="s">
        <v>171</v>
      </c>
      <c r="R39" t="s">
        <v>204</v>
      </c>
      <c r="S39" t="s">
        <v>173</v>
      </c>
      <c r="T39" t="s">
        <v>205</v>
      </c>
    </row>
    <row r="40" spans="1:20" ht="21" customHeight="1">
      <c r="A40" s="5" t="s">
        <v>206</v>
      </c>
      <c r="B40" t="s">
        <v>207</v>
      </c>
      <c r="C40" t="s">
        <v>169</v>
      </c>
      <c r="D40" t="s">
        <v>170</v>
      </c>
      <c r="E40" s="6">
        <v>6</v>
      </c>
      <c r="F40" s="6">
        <v>12</v>
      </c>
      <c r="G40" s="6">
        <v>0</v>
      </c>
      <c r="H40" s="6">
        <v>0</v>
      </c>
      <c r="I40" s="6">
        <v>3</v>
      </c>
      <c r="J40" s="6">
        <v>1</v>
      </c>
      <c r="K40" s="7">
        <v>3.7</v>
      </c>
      <c r="L40" s="6">
        <v>-2</v>
      </c>
      <c r="M40" t="s">
        <v>124</v>
      </c>
      <c r="N40" t="s">
        <v>75</v>
      </c>
      <c r="O40" t="s">
        <v>76</v>
      </c>
      <c r="P40" t="s">
        <v>125</v>
      </c>
      <c r="Q40" t="s">
        <v>171</v>
      </c>
      <c r="R40" t="s">
        <v>208</v>
      </c>
      <c r="S40" t="s">
        <v>173</v>
      </c>
      <c r="T40" t="s">
        <v>174</v>
      </c>
    </row>
    <row r="41" spans="1:20" ht="21" customHeight="1">
      <c r="A41" s="5" t="s">
        <v>209</v>
      </c>
      <c r="B41" t="s">
        <v>210</v>
      </c>
      <c r="C41" t="s">
        <v>211</v>
      </c>
      <c r="D41" t="s">
        <v>170</v>
      </c>
      <c r="E41" s="6">
        <v>4</v>
      </c>
      <c r="F41" s="6">
        <v>7</v>
      </c>
      <c r="G41" s="6">
        <v>0</v>
      </c>
      <c r="H41" s="6">
        <v>0</v>
      </c>
      <c r="I41" s="6">
        <v>3</v>
      </c>
      <c r="J41" s="6">
        <v>2</v>
      </c>
      <c r="K41" s="7">
        <v>1.8</v>
      </c>
      <c r="L41" s="6">
        <v>0</v>
      </c>
      <c r="M41" t="s">
        <v>124</v>
      </c>
      <c r="N41" t="s">
        <v>75</v>
      </c>
      <c r="O41" t="s">
        <v>84</v>
      </c>
      <c r="P41" t="s">
        <v>125</v>
      </c>
      <c r="Q41" t="s">
        <v>212</v>
      </c>
      <c r="R41" t="s">
        <v>213</v>
      </c>
      <c r="S41" t="s">
        <v>214</v>
      </c>
      <c r="T41" t="s">
        <v>215</v>
      </c>
    </row>
    <row r="42" spans="1:20" ht="21" customHeight="1">
      <c r="A42" s="5" t="s">
        <v>216</v>
      </c>
      <c r="B42" t="s">
        <v>217</v>
      </c>
      <c r="C42" t="s">
        <v>211</v>
      </c>
      <c r="D42" t="s">
        <v>170</v>
      </c>
      <c r="E42" s="6">
        <v>5</v>
      </c>
      <c r="F42" s="6">
        <v>9</v>
      </c>
      <c r="G42" s="6">
        <v>0</v>
      </c>
      <c r="H42" s="6">
        <v>0</v>
      </c>
      <c r="I42" s="6">
        <v>3</v>
      </c>
      <c r="J42" s="6">
        <v>2</v>
      </c>
      <c r="K42" s="7">
        <v>2.6</v>
      </c>
      <c r="L42" s="6">
        <v>0</v>
      </c>
      <c r="M42" t="s">
        <v>124</v>
      </c>
      <c r="N42" t="s">
        <v>75</v>
      </c>
      <c r="O42" t="s">
        <v>84</v>
      </c>
      <c r="P42" t="s">
        <v>125</v>
      </c>
      <c r="Q42" t="s">
        <v>212</v>
      </c>
      <c r="R42" t="s">
        <v>218</v>
      </c>
      <c r="S42" t="s">
        <v>214</v>
      </c>
      <c r="T42" t="s">
        <v>219</v>
      </c>
    </row>
    <row r="43" spans="1:20" ht="21" customHeight="1">
      <c r="A43" s="5" t="s">
        <v>220</v>
      </c>
      <c r="B43" t="s">
        <v>221</v>
      </c>
      <c r="C43" t="s">
        <v>211</v>
      </c>
      <c r="D43" t="s">
        <v>170</v>
      </c>
      <c r="E43" s="6">
        <v>5</v>
      </c>
      <c r="F43" s="6">
        <v>10</v>
      </c>
      <c r="G43" s="6">
        <v>0</v>
      </c>
      <c r="H43" s="6">
        <v>0</v>
      </c>
      <c r="I43" s="6">
        <v>3</v>
      </c>
      <c r="J43" s="6">
        <v>2</v>
      </c>
      <c r="K43" s="7">
        <v>3.4</v>
      </c>
      <c r="L43" s="6">
        <v>-1</v>
      </c>
      <c r="M43" t="s">
        <v>124</v>
      </c>
      <c r="N43" t="s">
        <v>75</v>
      </c>
      <c r="O43" t="s">
        <v>84</v>
      </c>
      <c r="P43" t="s">
        <v>125</v>
      </c>
      <c r="Q43" t="s">
        <v>212</v>
      </c>
      <c r="R43" t="s">
        <v>222</v>
      </c>
      <c r="S43" t="s">
        <v>214</v>
      </c>
      <c r="T43" t="s">
        <v>223</v>
      </c>
    </row>
    <row r="44" spans="1:20" ht="21" customHeight="1">
      <c r="A44" s="5" t="s">
        <v>224</v>
      </c>
      <c r="B44" t="s">
        <v>225</v>
      </c>
      <c r="C44" t="s">
        <v>211</v>
      </c>
      <c r="D44" t="s">
        <v>170</v>
      </c>
      <c r="E44" s="6">
        <v>7</v>
      </c>
      <c r="F44" s="6">
        <v>12</v>
      </c>
      <c r="G44" s="6">
        <v>0</v>
      </c>
      <c r="H44" s="6">
        <v>0</v>
      </c>
      <c r="I44" s="6">
        <v>3</v>
      </c>
      <c r="J44" s="6">
        <v>2</v>
      </c>
      <c r="K44" s="7">
        <v>4.7</v>
      </c>
      <c r="L44" s="6">
        <v>-1</v>
      </c>
      <c r="M44" t="s">
        <v>124</v>
      </c>
      <c r="N44" t="s">
        <v>75</v>
      </c>
      <c r="O44" t="s">
        <v>76</v>
      </c>
      <c r="P44" t="s">
        <v>125</v>
      </c>
      <c r="Q44" t="s">
        <v>212</v>
      </c>
      <c r="R44" t="s">
        <v>226</v>
      </c>
      <c r="S44" t="s">
        <v>214</v>
      </c>
      <c r="T44" t="s">
        <v>178</v>
      </c>
    </row>
    <row r="45" spans="1:20" ht="21" customHeight="1">
      <c r="A45" s="5" t="s">
        <v>227</v>
      </c>
      <c r="B45" t="s">
        <v>228</v>
      </c>
      <c r="C45" t="s">
        <v>211</v>
      </c>
      <c r="D45" t="s">
        <v>170</v>
      </c>
      <c r="E45" s="6">
        <v>6</v>
      </c>
      <c r="F45" s="6">
        <v>11</v>
      </c>
      <c r="G45" s="6">
        <v>0</v>
      </c>
      <c r="H45" s="6">
        <v>0</v>
      </c>
      <c r="I45" s="6">
        <v>3</v>
      </c>
      <c r="J45" s="6">
        <v>2</v>
      </c>
      <c r="K45" s="7">
        <v>3.7</v>
      </c>
      <c r="L45" s="6">
        <v>-1</v>
      </c>
      <c r="M45" t="s">
        <v>124</v>
      </c>
      <c r="N45" t="s">
        <v>75</v>
      </c>
      <c r="O45" t="s">
        <v>76</v>
      </c>
      <c r="P45" t="s">
        <v>125</v>
      </c>
      <c r="Q45" t="s">
        <v>212</v>
      </c>
      <c r="R45" t="s">
        <v>195</v>
      </c>
      <c r="S45" t="s">
        <v>214</v>
      </c>
      <c r="T45" t="s">
        <v>174</v>
      </c>
    </row>
    <row r="46" spans="1:20" ht="21" customHeight="1">
      <c r="A46" s="5" t="s">
        <v>229</v>
      </c>
      <c r="B46" t="s">
        <v>230</v>
      </c>
      <c r="C46" t="s">
        <v>211</v>
      </c>
      <c r="D46" t="s">
        <v>170</v>
      </c>
      <c r="E46" s="6">
        <v>6</v>
      </c>
      <c r="F46" s="6">
        <v>11</v>
      </c>
      <c r="G46" s="6">
        <v>0</v>
      </c>
      <c r="H46" s="6">
        <v>0</v>
      </c>
      <c r="I46" s="6">
        <v>3</v>
      </c>
      <c r="J46" s="6">
        <v>2</v>
      </c>
      <c r="K46" s="7">
        <v>3.8</v>
      </c>
      <c r="L46" s="6">
        <v>0</v>
      </c>
      <c r="M46" t="s">
        <v>124</v>
      </c>
      <c r="N46" t="s">
        <v>75</v>
      </c>
      <c r="O46" t="s">
        <v>76</v>
      </c>
      <c r="P46" t="s">
        <v>125</v>
      </c>
      <c r="Q46" t="s">
        <v>212</v>
      </c>
      <c r="R46" t="s">
        <v>231</v>
      </c>
      <c r="S46" t="s">
        <v>214</v>
      </c>
      <c r="T46" t="s">
        <v>174</v>
      </c>
    </row>
    <row r="47" spans="1:20" ht="21" customHeight="1">
      <c r="A47" s="5" t="s">
        <v>232</v>
      </c>
      <c r="B47" t="s">
        <v>233</v>
      </c>
      <c r="C47" t="s">
        <v>211</v>
      </c>
      <c r="D47" t="s">
        <v>170</v>
      </c>
      <c r="E47" s="6">
        <v>5</v>
      </c>
      <c r="F47" s="6">
        <v>9</v>
      </c>
      <c r="G47" s="6">
        <v>0</v>
      </c>
      <c r="H47" s="6">
        <v>0</v>
      </c>
      <c r="I47" s="6">
        <v>3</v>
      </c>
      <c r="J47" s="6">
        <v>2</v>
      </c>
      <c r="K47" s="7">
        <v>2.9</v>
      </c>
      <c r="L47" s="6">
        <v>0</v>
      </c>
      <c r="M47" t="s">
        <v>124</v>
      </c>
      <c r="N47" t="s">
        <v>75</v>
      </c>
      <c r="O47" t="s">
        <v>84</v>
      </c>
      <c r="P47" t="s">
        <v>125</v>
      </c>
      <c r="Q47" t="s">
        <v>212</v>
      </c>
      <c r="R47" t="s">
        <v>234</v>
      </c>
      <c r="S47" t="s">
        <v>214</v>
      </c>
      <c r="T47" t="s">
        <v>219</v>
      </c>
    </row>
    <row r="48" spans="1:20" ht="21" customHeight="1">
      <c r="A48" s="5" t="s">
        <v>235</v>
      </c>
      <c r="B48" t="s">
        <v>236</v>
      </c>
      <c r="C48" t="s">
        <v>237</v>
      </c>
      <c r="D48" t="s">
        <v>170</v>
      </c>
      <c r="E48" s="6">
        <v>4</v>
      </c>
      <c r="F48" s="6">
        <v>6</v>
      </c>
      <c r="G48" s="6">
        <v>0</v>
      </c>
      <c r="H48" s="6">
        <v>0</v>
      </c>
      <c r="I48" s="6">
        <v>2</v>
      </c>
      <c r="J48" s="6">
        <v>5</v>
      </c>
      <c r="K48" s="7">
        <v>1</v>
      </c>
      <c r="L48" s="6">
        <v>1</v>
      </c>
      <c r="M48" t="s">
        <v>74</v>
      </c>
      <c r="N48" t="s">
        <v>75</v>
      </c>
      <c r="O48" t="s">
        <v>84</v>
      </c>
      <c r="P48" t="s">
        <v>212</v>
      </c>
      <c r="Q48" t="s">
        <v>238</v>
      </c>
      <c r="R48" t="s">
        <v>239</v>
      </c>
      <c r="S48" t="s">
        <v>240</v>
      </c>
      <c r="T48" t="s">
        <v>129</v>
      </c>
    </row>
    <row r="49" spans="1:20" ht="21" customHeight="1">
      <c r="A49" s="5" t="s">
        <v>241</v>
      </c>
      <c r="B49" t="s">
        <v>242</v>
      </c>
      <c r="C49" t="s">
        <v>237</v>
      </c>
      <c r="D49" t="s">
        <v>170</v>
      </c>
      <c r="E49" s="6">
        <v>5</v>
      </c>
      <c r="F49" s="6">
        <v>8</v>
      </c>
      <c r="G49" s="6">
        <v>0</v>
      </c>
      <c r="H49" s="6">
        <v>0</v>
      </c>
      <c r="I49" s="6">
        <v>2</v>
      </c>
      <c r="J49" s="6">
        <v>7</v>
      </c>
      <c r="K49" s="7">
        <v>1.5</v>
      </c>
      <c r="L49" s="6">
        <v>0</v>
      </c>
      <c r="M49" t="s">
        <v>74</v>
      </c>
      <c r="N49" t="s">
        <v>75</v>
      </c>
      <c r="O49" t="s">
        <v>84</v>
      </c>
      <c r="P49" t="s">
        <v>212</v>
      </c>
      <c r="Q49" t="s">
        <v>238</v>
      </c>
      <c r="R49" t="s">
        <v>243</v>
      </c>
      <c r="S49" t="s">
        <v>240</v>
      </c>
      <c r="T49" t="s">
        <v>143</v>
      </c>
    </row>
    <row r="50" spans="1:20" ht="21" customHeight="1">
      <c r="A50" s="5" t="s">
        <v>244</v>
      </c>
      <c r="B50" t="s">
        <v>245</v>
      </c>
      <c r="C50" t="s">
        <v>237</v>
      </c>
      <c r="D50" t="s">
        <v>170</v>
      </c>
      <c r="E50" s="6">
        <v>5</v>
      </c>
      <c r="F50" s="6">
        <v>9</v>
      </c>
      <c r="G50" s="6">
        <v>0</v>
      </c>
      <c r="H50" s="6">
        <v>0</v>
      </c>
      <c r="I50" s="6">
        <v>2</v>
      </c>
      <c r="J50" s="6">
        <v>6</v>
      </c>
      <c r="K50" s="7">
        <v>1.8</v>
      </c>
      <c r="L50" s="6">
        <v>0</v>
      </c>
      <c r="M50" t="s">
        <v>74</v>
      </c>
      <c r="N50" t="s">
        <v>75</v>
      </c>
      <c r="O50" t="s">
        <v>84</v>
      </c>
      <c r="P50" t="s">
        <v>212</v>
      </c>
      <c r="Q50" t="s">
        <v>238</v>
      </c>
      <c r="R50" t="s">
        <v>246</v>
      </c>
      <c r="S50" t="s">
        <v>240</v>
      </c>
      <c r="T50" t="s">
        <v>143</v>
      </c>
    </row>
    <row r="51" spans="1:20" ht="21" customHeight="1">
      <c r="A51" s="5" t="s">
        <v>247</v>
      </c>
      <c r="B51" t="s">
        <v>248</v>
      </c>
      <c r="C51" t="s">
        <v>237</v>
      </c>
      <c r="D51" t="s">
        <v>170</v>
      </c>
      <c r="E51" s="6">
        <v>4</v>
      </c>
      <c r="F51" s="6">
        <v>8</v>
      </c>
      <c r="G51" s="6">
        <v>0</v>
      </c>
      <c r="H51" s="6">
        <v>0</v>
      </c>
      <c r="I51" s="6">
        <v>2</v>
      </c>
      <c r="J51" s="6">
        <v>5</v>
      </c>
      <c r="K51" s="7">
        <v>1.4</v>
      </c>
      <c r="L51" s="6">
        <v>1</v>
      </c>
      <c r="M51" t="s">
        <v>74</v>
      </c>
      <c r="N51" t="s">
        <v>75</v>
      </c>
      <c r="O51" t="s">
        <v>84</v>
      </c>
      <c r="P51" t="s">
        <v>212</v>
      </c>
      <c r="Q51" t="s">
        <v>238</v>
      </c>
      <c r="R51" t="s">
        <v>61</v>
      </c>
      <c r="S51" t="s">
        <v>240</v>
      </c>
      <c r="T51" t="s">
        <v>133</v>
      </c>
    </row>
    <row r="52" spans="1:20" ht="21" customHeight="1">
      <c r="A52" s="5" t="s">
        <v>249</v>
      </c>
      <c r="B52" t="s">
        <v>250</v>
      </c>
      <c r="C52" t="s">
        <v>237</v>
      </c>
      <c r="D52" t="s">
        <v>170</v>
      </c>
      <c r="E52" s="6">
        <v>5</v>
      </c>
      <c r="F52" s="6">
        <v>8</v>
      </c>
      <c r="G52" s="6">
        <v>0</v>
      </c>
      <c r="H52" s="6">
        <v>0</v>
      </c>
      <c r="I52" s="6">
        <v>2</v>
      </c>
      <c r="J52" s="6">
        <v>5</v>
      </c>
      <c r="K52" s="7">
        <v>2.2999999999999998</v>
      </c>
      <c r="L52" s="6">
        <v>1</v>
      </c>
      <c r="M52" t="s">
        <v>74</v>
      </c>
      <c r="N52" t="s">
        <v>75</v>
      </c>
      <c r="O52" t="s">
        <v>84</v>
      </c>
      <c r="P52" t="s">
        <v>212</v>
      </c>
      <c r="Q52" t="s">
        <v>238</v>
      </c>
      <c r="R52" t="s">
        <v>251</v>
      </c>
      <c r="S52" t="s">
        <v>240</v>
      </c>
      <c r="T52" t="s">
        <v>143</v>
      </c>
    </row>
    <row r="53" spans="1:20" ht="21" customHeight="1">
      <c r="A53" s="5" t="s">
        <v>252</v>
      </c>
      <c r="B53" t="s">
        <v>253</v>
      </c>
      <c r="C53" t="s">
        <v>237</v>
      </c>
      <c r="D53" t="s">
        <v>170</v>
      </c>
      <c r="E53" s="6">
        <v>7</v>
      </c>
      <c r="F53" s="6">
        <v>11</v>
      </c>
      <c r="G53" s="6">
        <v>0</v>
      </c>
      <c r="H53" s="6">
        <v>0</v>
      </c>
      <c r="I53" s="6">
        <v>3</v>
      </c>
      <c r="J53" s="6">
        <v>6</v>
      </c>
      <c r="K53" s="7">
        <v>4</v>
      </c>
      <c r="L53" s="6">
        <v>0</v>
      </c>
      <c r="M53" t="s">
        <v>74</v>
      </c>
      <c r="N53" t="s">
        <v>75</v>
      </c>
      <c r="O53" t="s">
        <v>84</v>
      </c>
      <c r="P53" t="s">
        <v>212</v>
      </c>
      <c r="Q53" t="s">
        <v>238</v>
      </c>
      <c r="R53" t="s">
        <v>254</v>
      </c>
      <c r="S53" t="s">
        <v>240</v>
      </c>
      <c r="T53" t="s">
        <v>255</v>
      </c>
    </row>
    <row r="54" spans="1:20" ht="21" customHeight="1">
      <c r="A54" s="5" t="s">
        <v>256</v>
      </c>
      <c r="B54" t="s">
        <v>257</v>
      </c>
      <c r="C54" t="s">
        <v>237</v>
      </c>
      <c r="D54" t="s">
        <v>170</v>
      </c>
      <c r="E54" s="6">
        <v>3</v>
      </c>
      <c r="F54" s="6">
        <v>5</v>
      </c>
      <c r="G54" s="6">
        <v>0</v>
      </c>
      <c r="H54" s="6">
        <v>0</v>
      </c>
      <c r="I54" s="6">
        <v>2</v>
      </c>
      <c r="J54" s="6">
        <v>5</v>
      </c>
      <c r="K54" s="7">
        <v>3.8</v>
      </c>
      <c r="L54" s="6">
        <v>-1</v>
      </c>
      <c r="M54" t="s">
        <v>74</v>
      </c>
      <c r="N54" t="s">
        <v>75</v>
      </c>
      <c r="O54" t="s">
        <v>84</v>
      </c>
      <c r="P54" t="s">
        <v>212</v>
      </c>
      <c r="Q54" t="s">
        <v>238</v>
      </c>
      <c r="R54" t="s">
        <v>258</v>
      </c>
      <c r="S54" t="s">
        <v>240</v>
      </c>
      <c r="T54" t="s">
        <v>98</v>
      </c>
    </row>
    <row r="55" spans="1:20" ht="21" customHeight="1">
      <c r="A55" s="5" t="s">
        <v>259</v>
      </c>
      <c r="B55" t="s">
        <v>260</v>
      </c>
      <c r="C55" t="s">
        <v>237</v>
      </c>
      <c r="D55" t="s">
        <v>170</v>
      </c>
      <c r="E55" s="6">
        <v>2</v>
      </c>
      <c r="F55" s="6">
        <v>5</v>
      </c>
      <c r="G55" s="6">
        <v>0</v>
      </c>
      <c r="H55" s="6">
        <v>0</v>
      </c>
      <c r="I55" s="6">
        <v>2</v>
      </c>
      <c r="J55" s="6">
        <v>4</v>
      </c>
      <c r="K55" s="7">
        <v>0.4</v>
      </c>
      <c r="L55" s="6">
        <v>0</v>
      </c>
      <c r="M55" t="s">
        <v>74</v>
      </c>
      <c r="N55" t="s">
        <v>75</v>
      </c>
      <c r="O55" t="s">
        <v>116</v>
      </c>
      <c r="P55" t="s">
        <v>212</v>
      </c>
      <c r="Q55" t="s">
        <v>238</v>
      </c>
      <c r="R55" t="s">
        <v>261</v>
      </c>
      <c r="S55" t="s">
        <v>240</v>
      </c>
      <c r="T55" t="s">
        <v>98</v>
      </c>
    </row>
    <row r="56" spans="1:20" ht="21" customHeight="1">
      <c r="A56" s="5" t="s">
        <v>262</v>
      </c>
      <c r="B56" t="s">
        <v>263</v>
      </c>
      <c r="C56" t="s">
        <v>237</v>
      </c>
      <c r="D56" t="s">
        <v>170</v>
      </c>
      <c r="E56" s="6">
        <v>1</v>
      </c>
      <c r="F56" s="6">
        <v>3</v>
      </c>
      <c r="G56" s="6">
        <v>0</v>
      </c>
      <c r="H56" s="6">
        <v>0</v>
      </c>
      <c r="I56" s="6">
        <v>2</v>
      </c>
      <c r="J56" s="6">
        <v>3</v>
      </c>
      <c r="K56" s="7">
        <v>0.5</v>
      </c>
      <c r="L56" s="6">
        <v>2</v>
      </c>
      <c r="M56" t="s">
        <v>74</v>
      </c>
      <c r="N56" t="s">
        <v>75</v>
      </c>
      <c r="O56" t="s">
        <v>84</v>
      </c>
      <c r="P56" t="s">
        <v>212</v>
      </c>
      <c r="Q56" t="s">
        <v>238</v>
      </c>
      <c r="R56" t="s">
        <v>264</v>
      </c>
      <c r="S56" t="s">
        <v>240</v>
      </c>
      <c r="T56" t="s">
        <v>81</v>
      </c>
    </row>
    <row r="57" spans="1:20" ht="21" customHeight="1">
      <c r="A57" s="5" t="s">
        <v>265</v>
      </c>
      <c r="B57" t="s">
        <v>266</v>
      </c>
      <c r="C57" t="s">
        <v>267</v>
      </c>
      <c r="D57" t="s">
        <v>73</v>
      </c>
      <c r="E57" s="6">
        <v>2</v>
      </c>
      <c r="F57" s="6">
        <v>4</v>
      </c>
      <c r="G57" s="6">
        <v>0</v>
      </c>
      <c r="H57" s="6">
        <v>0</v>
      </c>
      <c r="I57" s="6">
        <v>2</v>
      </c>
      <c r="J57" s="6">
        <v>4</v>
      </c>
      <c r="K57" s="7">
        <v>0.2</v>
      </c>
      <c r="L57" s="6">
        <v>1</v>
      </c>
      <c r="M57" t="s">
        <v>74</v>
      </c>
      <c r="N57" t="s">
        <v>75</v>
      </c>
      <c r="O57" t="s">
        <v>84</v>
      </c>
      <c r="P57" t="s">
        <v>212</v>
      </c>
      <c r="Q57" t="s">
        <v>238</v>
      </c>
      <c r="R57" t="s">
        <v>268</v>
      </c>
      <c r="S57" t="s">
        <v>269</v>
      </c>
      <c r="T57" t="s">
        <v>81</v>
      </c>
    </row>
    <row r="58" spans="1:20" ht="21" customHeight="1">
      <c r="A58" s="5" t="s">
        <v>270</v>
      </c>
      <c r="B58" t="s">
        <v>271</v>
      </c>
      <c r="C58" t="s">
        <v>267</v>
      </c>
      <c r="D58" t="s">
        <v>73</v>
      </c>
      <c r="E58" s="6">
        <v>3</v>
      </c>
      <c r="F58" s="6">
        <v>5</v>
      </c>
      <c r="G58" s="6">
        <v>0</v>
      </c>
      <c r="H58" s="6">
        <v>0</v>
      </c>
      <c r="I58" s="6">
        <v>2</v>
      </c>
      <c r="J58" s="6">
        <v>4</v>
      </c>
      <c r="K58" s="7">
        <v>0.35</v>
      </c>
      <c r="L58" s="6">
        <v>1</v>
      </c>
      <c r="M58" t="s">
        <v>74</v>
      </c>
      <c r="N58" t="s">
        <v>75</v>
      </c>
      <c r="O58" t="s">
        <v>84</v>
      </c>
      <c r="P58" t="s">
        <v>212</v>
      </c>
      <c r="Q58" t="s">
        <v>238</v>
      </c>
      <c r="R58" t="s">
        <v>268</v>
      </c>
      <c r="S58" t="s">
        <v>269</v>
      </c>
      <c r="T58" t="s">
        <v>98</v>
      </c>
    </row>
    <row r="59" spans="1:20" ht="21" customHeight="1">
      <c r="A59" s="5" t="s">
        <v>272</v>
      </c>
      <c r="B59" t="s">
        <v>273</v>
      </c>
      <c r="C59" t="s">
        <v>267</v>
      </c>
      <c r="D59" t="s">
        <v>73</v>
      </c>
      <c r="E59" s="6">
        <v>4</v>
      </c>
      <c r="F59" s="6">
        <v>7</v>
      </c>
      <c r="G59" s="6">
        <v>0</v>
      </c>
      <c r="H59" s="6">
        <v>0</v>
      </c>
      <c r="I59" s="6">
        <v>2</v>
      </c>
      <c r="J59" s="6">
        <v>4</v>
      </c>
      <c r="K59" s="7">
        <v>1.1000000000000001</v>
      </c>
      <c r="L59" s="6">
        <v>-1</v>
      </c>
      <c r="M59" t="s">
        <v>74</v>
      </c>
      <c r="N59" t="s">
        <v>75</v>
      </c>
      <c r="O59" t="s">
        <v>76</v>
      </c>
      <c r="P59" t="s">
        <v>212</v>
      </c>
      <c r="Q59" t="s">
        <v>238</v>
      </c>
      <c r="R59" t="s">
        <v>268</v>
      </c>
      <c r="S59" t="s">
        <v>269</v>
      </c>
      <c r="T59" t="s">
        <v>133</v>
      </c>
    </row>
    <row r="60" spans="1:20" ht="21" customHeight="1">
      <c r="A60" s="5" t="s">
        <v>274</v>
      </c>
      <c r="B60" t="s">
        <v>275</v>
      </c>
      <c r="C60" t="s">
        <v>267</v>
      </c>
      <c r="D60" t="s">
        <v>73</v>
      </c>
      <c r="E60" s="6">
        <v>4</v>
      </c>
      <c r="F60" s="6">
        <v>7</v>
      </c>
      <c r="G60" s="6">
        <v>0</v>
      </c>
      <c r="H60" s="6">
        <v>0</v>
      </c>
      <c r="I60" s="6">
        <v>2</v>
      </c>
      <c r="J60" s="6">
        <v>4</v>
      </c>
      <c r="K60" s="7">
        <v>1.4</v>
      </c>
      <c r="L60" s="6">
        <v>0</v>
      </c>
      <c r="M60" t="s">
        <v>74</v>
      </c>
      <c r="N60" t="s">
        <v>75</v>
      </c>
      <c r="O60" t="s">
        <v>84</v>
      </c>
      <c r="P60" t="s">
        <v>212</v>
      </c>
      <c r="Q60" t="s">
        <v>238</v>
      </c>
      <c r="R60" t="s">
        <v>268</v>
      </c>
      <c r="S60" t="s">
        <v>269</v>
      </c>
      <c r="T60" t="s">
        <v>133</v>
      </c>
    </row>
    <row r="61" spans="1:20" ht="21" customHeight="1">
      <c r="A61" s="5" t="s">
        <v>276</v>
      </c>
      <c r="B61" t="s">
        <v>277</v>
      </c>
      <c r="C61" t="s">
        <v>267</v>
      </c>
      <c r="D61" t="s">
        <v>73</v>
      </c>
      <c r="E61" s="6">
        <v>1</v>
      </c>
      <c r="F61" s="6">
        <v>3</v>
      </c>
      <c r="G61" s="6">
        <v>0</v>
      </c>
      <c r="H61" s="6">
        <v>0</v>
      </c>
      <c r="I61" s="6">
        <v>2</v>
      </c>
      <c r="J61" s="6">
        <v>4</v>
      </c>
      <c r="K61" s="7">
        <v>0.1</v>
      </c>
      <c r="L61" s="6">
        <v>2</v>
      </c>
      <c r="M61" t="s">
        <v>74</v>
      </c>
      <c r="N61" t="s">
        <v>75</v>
      </c>
      <c r="O61" t="s">
        <v>84</v>
      </c>
      <c r="P61" t="s">
        <v>212</v>
      </c>
      <c r="Q61" t="s">
        <v>238</v>
      </c>
      <c r="R61" t="s">
        <v>264</v>
      </c>
      <c r="S61" t="s">
        <v>269</v>
      </c>
      <c r="T61" t="s">
        <v>81</v>
      </c>
    </row>
    <row r="62" spans="1:20" ht="21" customHeight="1">
      <c r="A62" s="5" t="s">
        <v>278</v>
      </c>
      <c r="B62" t="s">
        <v>279</v>
      </c>
      <c r="C62" t="s">
        <v>267</v>
      </c>
      <c r="D62" t="s">
        <v>73</v>
      </c>
      <c r="E62" s="6">
        <v>1</v>
      </c>
      <c r="F62" s="6">
        <v>2</v>
      </c>
      <c r="G62" s="6">
        <v>0</v>
      </c>
      <c r="H62" s="6">
        <v>0</v>
      </c>
      <c r="I62" s="6">
        <v>2</v>
      </c>
      <c r="J62" s="6">
        <v>3</v>
      </c>
      <c r="K62" s="7">
        <v>0.7</v>
      </c>
      <c r="L62" s="6">
        <v>-1</v>
      </c>
      <c r="M62" t="s">
        <v>74</v>
      </c>
      <c r="N62" t="s">
        <v>75</v>
      </c>
      <c r="O62" t="s">
        <v>116</v>
      </c>
      <c r="P62" t="s">
        <v>212</v>
      </c>
      <c r="Q62" t="s">
        <v>238</v>
      </c>
      <c r="R62" t="s">
        <v>280</v>
      </c>
      <c r="S62" t="s">
        <v>269</v>
      </c>
      <c r="T62" t="s">
        <v>81</v>
      </c>
    </row>
    <row r="63" spans="1:20" ht="21" customHeight="1">
      <c r="A63" s="5" t="s">
        <v>281</v>
      </c>
      <c r="B63" t="s">
        <v>282</v>
      </c>
      <c r="C63" t="s">
        <v>267</v>
      </c>
      <c r="D63" t="s">
        <v>73</v>
      </c>
      <c r="E63" s="6">
        <v>3</v>
      </c>
      <c r="F63" s="6">
        <v>5</v>
      </c>
      <c r="G63" s="6">
        <v>0</v>
      </c>
      <c r="H63" s="6">
        <v>0</v>
      </c>
      <c r="I63" s="6">
        <v>2</v>
      </c>
      <c r="J63" s="6">
        <v>4</v>
      </c>
      <c r="K63" s="7">
        <v>0.5</v>
      </c>
      <c r="L63" s="6">
        <v>0</v>
      </c>
      <c r="M63" t="s">
        <v>74</v>
      </c>
      <c r="N63" t="s">
        <v>75</v>
      </c>
      <c r="O63" t="s">
        <v>76</v>
      </c>
      <c r="P63" t="s">
        <v>212</v>
      </c>
      <c r="Q63" t="s">
        <v>238</v>
      </c>
      <c r="R63" t="s">
        <v>283</v>
      </c>
      <c r="S63" t="s">
        <v>269</v>
      </c>
      <c r="T63" t="s">
        <v>98</v>
      </c>
    </row>
    <row r="64" spans="1:20" ht="21" customHeight="1">
      <c r="A64" s="5" t="s">
        <v>284</v>
      </c>
      <c r="B64" t="s">
        <v>285</v>
      </c>
      <c r="C64" t="s">
        <v>286</v>
      </c>
      <c r="D64" t="s">
        <v>73</v>
      </c>
      <c r="E64" s="6">
        <v>2</v>
      </c>
      <c r="F64" s="6">
        <v>4</v>
      </c>
      <c r="G64" s="6">
        <v>0</v>
      </c>
      <c r="H64" s="6">
        <v>0</v>
      </c>
      <c r="I64" s="6">
        <v>2</v>
      </c>
      <c r="J64" s="6">
        <v>4</v>
      </c>
      <c r="K64" s="7">
        <v>0.3</v>
      </c>
      <c r="L64" s="6">
        <v>1</v>
      </c>
      <c r="M64" t="s">
        <v>287</v>
      </c>
      <c r="N64" t="s">
        <v>288</v>
      </c>
      <c r="O64" t="s">
        <v>289</v>
      </c>
      <c r="P64" t="s">
        <v>290</v>
      </c>
      <c r="Q64" t="s">
        <v>291</v>
      </c>
      <c r="R64" t="s">
        <v>292</v>
      </c>
      <c r="S64" t="s">
        <v>293</v>
      </c>
      <c r="T64" t="s">
        <v>81</v>
      </c>
    </row>
    <row r="65" spans="1:20" ht="21" customHeight="1">
      <c r="A65" s="5" t="s">
        <v>294</v>
      </c>
      <c r="B65" t="s">
        <v>295</v>
      </c>
      <c r="C65" t="s">
        <v>286</v>
      </c>
      <c r="D65" t="s">
        <v>73</v>
      </c>
      <c r="E65" s="6">
        <v>2</v>
      </c>
      <c r="F65" s="6">
        <v>5</v>
      </c>
      <c r="G65" s="6">
        <v>0</v>
      </c>
      <c r="H65" s="6">
        <v>0</v>
      </c>
      <c r="I65" s="6">
        <v>2</v>
      </c>
      <c r="J65" s="6">
        <v>4</v>
      </c>
      <c r="K65" s="7">
        <v>0.3</v>
      </c>
      <c r="L65" s="6">
        <v>0</v>
      </c>
      <c r="M65" t="s">
        <v>287</v>
      </c>
      <c r="N65" t="s">
        <v>296</v>
      </c>
      <c r="O65" t="s">
        <v>289</v>
      </c>
      <c r="P65" t="s">
        <v>290</v>
      </c>
      <c r="Q65" t="s">
        <v>291</v>
      </c>
      <c r="R65" t="s">
        <v>297</v>
      </c>
      <c r="S65" t="s">
        <v>293</v>
      </c>
      <c r="T65" t="s">
        <v>98</v>
      </c>
    </row>
    <row r="66" spans="1:20" ht="21" customHeight="1">
      <c r="A66" s="5" t="s">
        <v>298</v>
      </c>
      <c r="B66" t="s">
        <v>299</v>
      </c>
      <c r="C66" t="s">
        <v>286</v>
      </c>
      <c r="D66" t="s">
        <v>73</v>
      </c>
      <c r="E66" s="6">
        <v>2</v>
      </c>
      <c r="F66" s="6">
        <v>5</v>
      </c>
      <c r="G66" s="6">
        <v>0</v>
      </c>
      <c r="H66" s="6">
        <v>0</v>
      </c>
      <c r="I66" s="6">
        <v>2</v>
      </c>
      <c r="J66" s="6">
        <v>4</v>
      </c>
      <c r="K66" s="7">
        <v>0.3</v>
      </c>
      <c r="L66" s="6">
        <v>0</v>
      </c>
      <c r="M66" t="s">
        <v>287</v>
      </c>
      <c r="N66" t="s">
        <v>300</v>
      </c>
      <c r="O66" t="s">
        <v>289</v>
      </c>
      <c r="P66" t="s">
        <v>290</v>
      </c>
      <c r="Q66" t="s">
        <v>291</v>
      </c>
      <c r="R66" t="s">
        <v>301</v>
      </c>
      <c r="S66" t="s">
        <v>293</v>
      </c>
      <c r="T66" t="s">
        <v>98</v>
      </c>
    </row>
    <row r="67" spans="1:20" ht="21" customHeight="1">
      <c r="A67" s="5" t="s">
        <v>302</v>
      </c>
      <c r="B67" t="s">
        <v>303</v>
      </c>
      <c r="C67" t="s">
        <v>286</v>
      </c>
      <c r="D67" t="s">
        <v>73</v>
      </c>
      <c r="E67" s="6">
        <v>2</v>
      </c>
      <c r="F67" s="6">
        <v>5</v>
      </c>
      <c r="G67" s="6">
        <v>0</v>
      </c>
      <c r="H67" s="6">
        <v>0</v>
      </c>
      <c r="I67" s="6">
        <v>2</v>
      </c>
      <c r="J67" s="6">
        <v>4</v>
      </c>
      <c r="K67" s="7">
        <v>0.3</v>
      </c>
      <c r="L67" s="6">
        <v>0</v>
      </c>
      <c r="M67" t="s">
        <v>287</v>
      </c>
      <c r="N67" t="s">
        <v>304</v>
      </c>
      <c r="O67" t="s">
        <v>289</v>
      </c>
      <c r="P67" t="s">
        <v>290</v>
      </c>
      <c r="Q67" t="s">
        <v>291</v>
      </c>
      <c r="R67" t="s">
        <v>305</v>
      </c>
      <c r="S67" t="s">
        <v>293</v>
      </c>
      <c r="T67" t="s">
        <v>98</v>
      </c>
    </row>
    <row r="68" spans="1:20" ht="21" customHeight="1">
      <c r="A68" s="5" t="s">
        <v>306</v>
      </c>
      <c r="B68" t="s">
        <v>307</v>
      </c>
      <c r="C68" t="s">
        <v>286</v>
      </c>
      <c r="D68" t="s">
        <v>73</v>
      </c>
      <c r="E68" s="6">
        <v>2</v>
      </c>
      <c r="F68" s="6">
        <v>4</v>
      </c>
      <c r="G68" s="6">
        <v>0</v>
      </c>
      <c r="H68" s="6">
        <v>0</v>
      </c>
      <c r="I68" s="6">
        <v>2</v>
      </c>
      <c r="J68" s="6">
        <v>4</v>
      </c>
      <c r="K68" s="7">
        <v>0.3</v>
      </c>
      <c r="L68" s="6">
        <v>0</v>
      </c>
      <c r="M68" t="s">
        <v>287</v>
      </c>
      <c r="N68" t="s">
        <v>308</v>
      </c>
      <c r="O68" t="s">
        <v>289</v>
      </c>
      <c r="P68" t="s">
        <v>290</v>
      </c>
      <c r="Q68" t="s">
        <v>291</v>
      </c>
      <c r="R68" t="s">
        <v>113</v>
      </c>
      <c r="S68" t="s">
        <v>293</v>
      </c>
      <c r="T68" t="s">
        <v>81</v>
      </c>
    </row>
    <row r="69" spans="1:20" ht="21" customHeight="1">
      <c r="A69" s="5" t="s">
        <v>309</v>
      </c>
      <c r="B69" t="s">
        <v>310</v>
      </c>
      <c r="C69" t="s">
        <v>286</v>
      </c>
      <c r="D69" t="s">
        <v>170</v>
      </c>
      <c r="E69" s="6">
        <v>3</v>
      </c>
      <c r="F69" s="6">
        <v>6</v>
      </c>
      <c r="G69" s="6">
        <v>0</v>
      </c>
      <c r="H69" s="6">
        <v>0</v>
      </c>
      <c r="I69" s="6">
        <v>2</v>
      </c>
      <c r="J69" s="6">
        <v>4</v>
      </c>
      <c r="K69" s="7">
        <v>1.6</v>
      </c>
      <c r="L69" s="6">
        <v>0</v>
      </c>
      <c r="M69" t="s">
        <v>287</v>
      </c>
      <c r="N69" t="s">
        <v>288</v>
      </c>
      <c r="O69" t="s">
        <v>289</v>
      </c>
      <c r="P69" t="s">
        <v>290</v>
      </c>
      <c r="Q69" t="s">
        <v>291</v>
      </c>
      <c r="R69" t="s">
        <v>311</v>
      </c>
      <c r="S69" t="s">
        <v>293</v>
      </c>
      <c r="T69" t="s">
        <v>129</v>
      </c>
    </row>
    <row r="70" spans="1:20" ht="21" customHeight="1">
      <c r="A70" s="5" t="s">
        <v>312</v>
      </c>
      <c r="B70" t="s">
        <v>313</v>
      </c>
      <c r="C70" t="s">
        <v>286</v>
      </c>
      <c r="D70" t="s">
        <v>170</v>
      </c>
      <c r="E70" s="6">
        <v>4</v>
      </c>
      <c r="F70" s="6">
        <v>7</v>
      </c>
      <c r="G70" s="6">
        <v>0</v>
      </c>
      <c r="H70" s="6">
        <v>0</v>
      </c>
      <c r="I70" s="6">
        <v>2</v>
      </c>
      <c r="J70" s="6">
        <v>4</v>
      </c>
      <c r="K70" s="7">
        <v>1.8</v>
      </c>
      <c r="L70" s="6">
        <v>0</v>
      </c>
      <c r="M70" t="s">
        <v>287</v>
      </c>
      <c r="N70" t="s">
        <v>288</v>
      </c>
      <c r="O70" t="s">
        <v>289</v>
      </c>
      <c r="P70" t="s">
        <v>290</v>
      </c>
      <c r="Q70" t="s">
        <v>291</v>
      </c>
      <c r="R70" t="s">
        <v>314</v>
      </c>
      <c r="S70" t="s">
        <v>293</v>
      </c>
      <c r="T70" t="s">
        <v>133</v>
      </c>
    </row>
    <row r="71" spans="1:20" ht="21" customHeight="1">
      <c r="A71" s="5" t="s">
        <v>315</v>
      </c>
      <c r="B71" t="s">
        <v>316</v>
      </c>
      <c r="C71" t="s">
        <v>286</v>
      </c>
      <c r="D71" t="s">
        <v>170</v>
      </c>
      <c r="E71" s="6">
        <v>3</v>
      </c>
      <c r="F71" s="6">
        <v>6</v>
      </c>
      <c r="G71" s="6">
        <v>0</v>
      </c>
      <c r="H71" s="6">
        <v>0</v>
      </c>
      <c r="I71" s="6">
        <v>2</v>
      </c>
      <c r="J71" s="6">
        <v>4</v>
      </c>
      <c r="K71" s="7">
        <v>2</v>
      </c>
      <c r="L71" s="6">
        <v>0</v>
      </c>
      <c r="M71" t="s">
        <v>287</v>
      </c>
      <c r="N71" t="s">
        <v>288</v>
      </c>
      <c r="O71" t="s">
        <v>289</v>
      </c>
      <c r="P71" t="s">
        <v>290</v>
      </c>
      <c r="Q71" t="s">
        <v>291</v>
      </c>
      <c r="R71" t="s">
        <v>317</v>
      </c>
      <c r="S71" t="s">
        <v>293</v>
      </c>
      <c r="T71" t="s">
        <v>129</v>
      </c>
    </row>
    <row r="72" spans="1:20" ht="21" customHeight="1">
      <c r="A72" s="5" t="s">
        <v>318</v>
      </c>
      <c r="B72" t="s">
        <v>319</v>
      </c>
      <c r="C72" t="s">
        <v>286</v>
      </c>
      <c r="D72" t="s">
        <v>73</v>
      </c>
      <c r="E72" s="6">
        <v>3</v>
      </c>
      <c r="F72" s="6">
        <v>5</v>
      </c>
      <c r="G72" s="6">
        <v>0</v>
      </c>
      <c r="H72" s="6">
        <v>0</v>
      </c>
      <c r="I72" s="6">
        <v>2</v>
      </c>
      <c r="J72" s="6">
        <v>4</v>
      </c>
      <c r="K72" s="7">
        <v>1</v>
      </c>
      <c r="L72" s="6">
        <v>0</v>
      </c>
      <c r="M72" t="s">
        <v>320</v>
      </c>
      <c r="N72" t="s">
        <v>321</v>
      </c>
      <c r="O72" t="s">
        <v>289</v>
      </c>
      <c r="P72" t="s">
        <v>322</v>
      </c>
      <c r="Q72" t="s">
        <v>290</v>
      </c>
      <c r="R72" t="s">
        <v>323</v>
      </c>
      <c r="S72" t="s">
        <v>293</v>
      </c>
      <c r="T72" t="s">
        <v>98</v>
      </c>
    </row>
    <row r="73" spans="1:20" ht="21" customHeight="1">
      <c r="A73" s="5" t="s">
        <v>324</v>
      </c>
      <c r="B73" t="s">
        <v>325</v>
      </c>
      <c r="C73" t="s">
        <v>286</v>
      </c>
      <c r="D73" t="s">
        <v>326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7">
        <v>0.5</v>
      </c>
      <c r="L73" s="6">
        <v>0</v>
      </c>
      <c r="M73" t="s">
        <v>287</v>
      </c>
      <c r="N73" t="s">
        <v>288</v>
      </c>
      <c r="O73" t="s">
        <v>289</v>
      </c>
      <c r="P73" t="s">
        <v>290</v>
      </c>
      <c r="Q73" t="s">
        <v>291</v>
      </c>
      <c r="R73" t="s">
        <v>327</v>
      </c>
      <c r="S73" t="s">
        <v>293</v>
      </c>
      <c r="T73" t="s">
        <v>328</v>
      </c>
    </row>
    <row r="74" spans="1:20" ht="21" customHeight="1">
      <c r="A74" s="5" t="s">
        <v>329</v>
      </c>
      <c r="B74" t="s">
        <v>330</v>
      </c>
      <c r="C74" t="s">
        <v>286</v>
      </c>
      <c r="D74" t="s">
        <v>326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7">
        <v>1.2</v>
      </c>
      <c r="L74" s="6">
        <v>0</v>
      </c>
      <c r="M74" t="s">
        <v>287</v>
      </c>
      <c r="N74" t="s">
        <v>288</v>
      </c>
      <c r="O74" t="s">
        <v>289</v>
      </c>
      <c r="P74" t="s">
        <v>290</v>
      </c>
      <c r="Q74" t="s">
        <v>291</v>
      </c>
      <c r="R74" t="s">
        <v>327</v>
      </c>
      <c r="S74" t="s">
        <v>293</v>
      </c>
      <c r="T74" t="s">
        <v>328</v>
      </c>
    </row>
    <row r="75" spans="1:20" ht="21" customHeight="1">
      <c r="A75" s="5" t="s">
        <v>331</v>
      </c>
      <c r="B75" t="s">
        <v>332</v>
      </c>
      <c r="C75" t="s">
        <v>333</v>
      </c>
      <c r="D75" t="s">
        <v>326</v>
      </c>
      <c r="E75" s="6">
        <v>0</v>
      </c>
      <c r="F75" s="6">
        <v>0</v>
      </c>
      <c r="G75" s="6">
        <v>2</v>
      </c>
      <c r="H75" s="6">
        <v>0</v>
      </c>
      <c r="I75" s="6">
        <v>0</v>
      </c>
      <c r="J75" s="6">
        <v>0</v>
      </c>
      <c r="K75" s="7">
        <v>1.1000000000000001</v>
      </c>
      <c r="L75" s="6">
        <v>0</v>
      </c>
      <c r="M75" t="s">
        <v>334</v>
      </c>
      <c r="N75" t="s">
        <v>75</v>
      </c>
      <c r="O75" t="s">
        <v>116</v>
      </c>
      <c r="P75" t="s">
        <v>125</v>
      </c>
      <c r="Q75" t="s">
        <v>335</v>
      </c>
      <c r="R75" t="s">
        <v>336</v>
      </c>
      <c r="S75" t="s">
        <v>337</v>
      </c>
      <c r="T75" t="s">
        <v>328</v>
      </c>
    </row>
    <row r="76" spans="1:20" ht="21" customHeight="1">
      <c r="A76" s="5" t="s">
        <v>338</v>
      </c>
      <c r="B76" t="s">
        <v>339</v>
      </c>
      <c r="C76" t="s">
        <v>333</v>
      </c>
      <c r="D76" t="s">
        <v>326</v>
      </c>
      <c r="E76" s="6">
        <v>0</v>
      </c>
      <c r="F76" s="6">
        <v>0</v>
      </c>
      <c r="G76" s="6">
        <v>3</v>
      </c>
      <c r="H76" s="6">
        <v>0</v>
      </c>
      <c r="I76" s="6">
        <v>0</v>
      </c>
      <c r="J76" s="6">
        <v>0</v>
      </c>
      <c r="K76" s="7">
        <v>1.5</v>
      </c>
      <c r="L76" s="6">
        <v>0</v>
      </c>
      <c r="M76" t="s">
        <v>334</v>
      </c>
      <c r="N76" t="s">
        <v>75</v>
      </c>
      <c r="O76" t="s">
        <v>116</v>
      </c>
      <c r="P76" t="s">
        <v>125</v>
      </c>
      <c r="Q76" t="s">
        <v>335</v>
      </c>
      <c r="R76" t="s">
        <v>340</v>
      </c>
      <c r="S76" t="s">
        <v>337</v>
      </c>
      <c r="T76" t="s">
        <v>328</v>
      </c>
    </row>
    <row r="77" spans="1:20" ht="21" customHeight="1">
      <c r="A77" s="5" t="s">
        <v>341</v>
      </c>
      <c r="B77" t="s">
        <v>342</v>
      </c>
      <c r="C77" t="s">
        <v>333</v>
      </c>
      <c r="D77" t="s">
        <v>326</v>
      </c>
      <c r="E77" s="6">
        <v>0</v>
      </c>
      <c r="F77" s="6">
        <v>0</v>
      </c>
      <c r="G77" s="6">
        <v>4</v>
      </c>
      <c r="H77" s="6">
        <v>0</v>
      </c>
      <c r="I77" s="6">
        <v>0</v>
      </c>
      <c r="J77" s="6">
        <v>0</v>
      </c>
      <c r="K77" s="7">
        <v>2.6</v>
      </c>
      <c r="L77" s="6">
        <v>0</v>
      </c>
      <c r="M77" t="s">
        <v>334</v>
      </c>
      <c r="N77" t="s">
        <v>75</v>
      </c>
      <c r="O77" t="s">
        <v>116</v>
      </c>
      <c r="P77" t="s">
        <v>125</v>
      </c>
      <c r="Q77" t="s">
        <v>322</v>
      </c>
      <c r="R77" t="s">
        <v>343</v>
      </c>
      <c r="S77" t="s">
        <v>337</v>
      </c>
      <c r="T77" t="s">
        <v>328</v>
      </c>
    </row>
    <row r="78" spans="1:20" ht="21" customHeight="1">
      <c r="A78" s="5" t="s">
        <v>344</v>
      </c>
      <c r="B78" t="s">
        <v>345</v>
      </c>
      <c r="C78" t="s">
        <v>333</v>
      </c>
      <c r="D78" t="s">
        <v>326</v>
      </c>
      <c r="E78" s="6">
        <v>0</v>
      </c>
      <c r="F78" s="6">
        <v>0</v>
      </c>
      <c r="G78" s="6">
        <v>5</v>
      </c>
      <c r="H78" s="6">
        <v>0</v>
      </c>
      <c r="I78" s="6">
        <v>0</v>
      </c>
      <c r="J78" s="6">
        <v>0</v>
      </c>
      <c r="K78" s="7">
        <v>2.9</v>
      </c>
      <c r="L78" s="6">
        <v>0</v>
      </c>
      <c r="M78" t="s">
        <v>334</v>
      </c>
      <c r="N78" t="s">
        <v>75</v>
      </c>
      <c r="O78" t="s">
        <v>116</v>
      </c>
      <c r="P78" t="s">
        <v>125</v>
      </c>
      <c r="Q78" t="s">
        <v>322</v>
      </c>
      <c r="R78" t="s">
        <v>346</v>
      </c>
      <c r="S78" t="s">
        <v>337</v>
      </c>
      <c r="T78" t="s">
        <v>328</v>
      </c>
    </row>
    <row r="79" spans="1:20" ht="21" customHeight="1">
      <c r="A79" s="5" t="s">
        <v>347</v>
      </c>
      <c r="B79" t="s">
        <v>348</v>
      </c>
      <c r="C79" t="s">
        <v>333</v>
      </c>
      <c r="D79" t="s">
        <v>326</v>
      </c>
      <c r="E79" s="6">
        <v>0</v>
      </c>
      <c r="F79" s="6">
        <v>0</v>
      </c>
      <c r="G79" s="6">
        <v>6</v>
      </c>
      <c r="H79" s="6">
        <v>0</v>
      </c>
      <c r="I79" s="6">
        <v>0</v>
      </c>
      <c r="J79" s="6">
        <v>0</v>
      </c>
      <c r="K79" s="7">
        <v>3.4</v>
      </c>
      <c r="L79" s="6">
        <v>0</v>
      </c>
      <c r="M79" t="s">
        <v>334</v>
      </c>
      <c r="N79" t="s">
        <v>75</v>
      </c>
      <c r="O79" t="s">
        <v>116</v>
      </c>
      <c r="P79" t="s">
        <v>125</v>
      </c>
      <c r="Q79" t="s">
        <v>322</v>
      </c>
      <c r="R79" t="s">
        <v>349</v>
      </c>
      <c r="S79" t="s">
        <v>337</v>
      </c>
      <c r="T79" t="s">
        <v>328</v>
      </c>
    </row>
    <row r="80" spans="1:20" ht="21" customHeight="1">
      <c r="A80" s="5" t="s">
        <v>350</v>
      </c>
      <c r="B80" t="s">
        <v>351</v>
      </c>
      <c r="C80" t="s">
        <v>333</v>
      </c>
      <c r="D80" t="s">
        <v>326</v>
      </c>
      <c r="E80" s="6">
        <v>0</v>
      </c>
      <c r="F80" s="6">
        <v>0</v>
      </c>
      <c r="G80" s="6">
        <v>7</v>
      </c>
      <c r="H80" s="6">
        <v>0</v>
      </c>
      <c r="I80" s="6">
        <v>0</v>
      </c>
      <c r="J80" s="6">
        <v>0</v>
      </c>
      <c r="K80" s="7">
        <v>4</v>
      </c>
      <c r="L80" s="6">
        <v>0</v>
      </c>
      <c r="M80" t="s">
        <v>334</v>
      </c>
      <c r="N80" t="s">
        <v>75</v>
      </c>
      <c r="O80" t="s">
        <v>116</v>
      </c>
      <c r="P80" t="s">
        <v>125</v>
      </c>
      <c r="Q80" t="s">
        <v>322</v>
      </c>
      <c r="R80" t="s">
        <v>352</v>
      </c>
      <c r="S80" t="s">
        <v>337</v>
      </c>
      <c r="T80" t="s">
        <v>328</v>
      </c>
    </row>
    <row r="81" spans="1:20" ht="21" customHeight="1">
      <c r="A81" s="5" t="s">
        <v>353</v>
      </c>
      <c r="B81" t="s">
        <v>354</v>
      </c>
      <c r="C81" t="s">
        <v>333</v>
      </c>
      <c r="D81" t="s">
        <v>326</v>
      </c>
      <c r="E81" s="6">
        <v>0</v>
      </c>
      <c r="F81" s="6">
        <v>0</v>
      </c>
      <c r="G81" s="6">
        <v>8</v>
      </c>
      <c r="H81" s="6">
        <v>0</v>
      </c>
      <c r="I81" s="6">
        <v>0</v>
      </c>
      <c r="J81" s="6">
        <v>0</v>
      </c>
      <c r="K81" s="7">
        <v>4.5999999999999996</v>
      </c>
      <c r="L81" s="6">
        <v>0</v>
      </c>
      <c r="M81" t="s">
        <v>334</v>
      </c>
      <c r="N81" t="s">
        <v>75</v>
      </c>
      <c r="O81" t="s">
        <v>116</v>
      </c>
      <c r="P81" t="s">
        <v>125</v>
      </c>
      <c r="Q81" t="s">
        <v>322</v>
      </c>
      <c r="R81" t="s">
        <v>355</v>
      </c>
      <c r="S81" t="s">
        <v>337</v>
      </c>
      <c r="T81" t="s">
        <v>328</v>
      </c>
    </row>
    <row r="82" spans="1:20" ht="21" customHeight="1">
      <c r="A82" s="5" t="s">
        <v>356</v>
      </c>
      <c r="B82" t="s">
        <v>357</v>
      </c>
      <c r="C82" t="s">
        <v>333</v>
      </c>
      <c r="D82" t="s">
        <v>326</v>
      </c>
      <c r="E82" s="6">
        <v>0</v>
      </c>
      <c r="F82" s="6">
        <v>0</v>
      </c>
      <c r="G82" s="6">
        <v>9</v>
      </c>
      <c r="H82" s="6">
        <v>0</v>
      </c>
      <c r="I82" s="6">
        <v>0</v>
      </c>
      <c r="J82" s="6">
        <v>0</v>
      </c>
      <c r="K82" s="7">
        <v>6.3</v>
      </c>
      <c r="L82" s="6">
        <v>0</v>
      </c>
      <c r="M82" t="s">
        <v>334</v>
      </c>
      <c r="N82" t="s">
        <v>75</v>
      </c>
      <c r="O82" t="s">
        <v>116</v>
      </c>
      <c r="P82" t="s">
        <v>125</v>
      </c>
      <c r="Q82" t="s">
        <v>322</v>
      </c>
      <c r="R82" t="s">
        <v>358</v>
      </c>
      <c r="S82" t="s">
        <v>337</v>
      </c>
      <c r="T82" t="s">
        <v>328</v>
      </c>
    </row>
    <row r="83" spans="1:20" ht="21" customHeight="1">
      <c r="A83" s="5" t="s">
        <v>359</v>
      </c>
      <c r="B83" t="s">
        <v>360</v>
      </c>
      <c r="C83" t="s">
        <v>333</v>
      </c>
      <c r="D83" t="s">
        <v>326</v>
      </c>
      <c r="E83" s="6">
        <v>0</v>
      </c>
      <c r="F83" s="6">
        <v>0</v>
      </c>
      <c r="G83" s="6">
        <v>11</v>
      </c>
      <c r="H83" s="6">
        <v>0</v>
      </c>
      <c r="I83" s="6">
        <v>0</v>
      </c>
      <c r="J83" s="6">
        <v>0</v>
      </c>
      <c r="K83" s="7">
        <v>7.8</v>
      </c>
      <c r="L83" s="6">
        <v>0</v>
      </c>
      <c r="M83" t="s">
        <v>334</v>
      </c>
      <c r="N83" t="s">
        <v>75</v>
      </c>
      <c r="O83" t="s">
        <v>116</v>
      </c>
      <c r="P83" t="s">
        <v>125</v>
      </c>
      <c r="Q83" t="s">
        <v>322</v>
      </c>
      <c r="R83" t="s">
        <v>361</v>
      </c>
      <c r="S83" t="s">
        <v>337</v>
      </c>
      <c r="T83" t="s">
        <v>328</v>
      </c>
    </row>
    <row r="84" spans="1:20" ht="21" customHeight="1">
      <c r="A84" s="5" t="s">
        <v>362</v>
      </c>
      <c r="B84" t="s">
        <v>363</v>
      </c>
      <c r="C84" t="s">
        <v>333</v>
      </c>
      <c r="D84" t="s">
        <v>326</v>
      </c>
      <c r="E84" s="6">
        <v>0</v>
      </c>
      <c r="F84" s="6">
        <v>0</v>
      </c>
      <c r="G84" s="6">
        <v>5</v>
      </c>
      <c r="H84" s="6">
        <v>3</v>
      </c>
      <c r="I84" s="6">
        <v>0</v>
      </c>
      <c r="J84" s="6">
        <v>0</v>
      </c>
      <c r="K84" s="7">
        <v>3.7</v>
      </c>
      <c r="L84" s="6">
        <v>0</v>
      </c>
      <c r="M84" t="s">
        <v>334</v>
      </c>
      <c r="N84" t="s">
        <v>75</v>
      </c>
      <c r="O84" t="s">
        <v>116</v>
      </c>
      <c r="P84" t="s">
        <v>125</v>
      </c>
      <c r="Q84" t="s">
        <v>364</v>
      </c>
      <c r="R84" t="s">
        <v>365</v>
      </c>
      <c r="S84" t="s">
        <v>337</v>
      </c>
      <c r="T84" t="s">
        <v>328</v>
      </c>
    </row>
    <row r="85" spans="1:20" ht="21" customHeight="1">
      <c r="A85" s="5" t="s">
        <v>366</v>
      </c>
      <c r="B85" t="s">
        <v>367</v>
      </c>
      <c r="C85" t="s">
        <v>333</v>
      </c>
      <c r="D85" t="s">
        <v>326</v>
      </c>
      <c r="E85" s="6">
        <v>0</v>
      </c>
      <c r="F85" s="6">
        <v>0</v>
      </c>
      <c r="G85" s="6">
        <v>4</v>
      </c>
      <c r="H85" s="6">
        <v>4</v>
      </c>
      <c r="I85" s="6">
        <v>0</v>
      </c>
      <c r="J85" s="6">
        <v>0</v>
      </c>
      <c r="K85" s="7">
        <v>3.5</v>
      </c>
      <c r="L85" s="6">
        <v>0</v>
      </c>
      <c r="M85" t="s">
        <v>334</v>
      </c>
      <c r="N85" t="s">
        <v>75</v>
      </c>
      <c r="O85" t="s">
        <v>116</v>
      </c>
      <c r="P85" t="s">
        <v>125</v>
      </c>
      <c r="Q85" t="s">
        <v>364</v>
      </c>
      <c r="R85" t="s">
        <v>368</v>
      </c>
      <c r="S85" t="s">
        <v>337</v>
      </c>
      <c r="T85" t="s">
        <v>328</v>
      </c>
    </row>
  </sheetData>
  <mergeCells count="2">
    <mergeCell ref="A1:S1"/>
    <mergeCell ref="A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643"/>
  <sheetViews>
    <sheetView workbookViewId="0">
      <pane ySplit="3" topLeftCell="A4" activePane="bottomLeft" state="frozen"/>
      <selection pane="bottomLeft" sqref="A1:L1"/>
    </sheetView>
  </sheetViews>
  <sheetFormatPr baseColWidth="10" defaultColWidth="9" defaultRowHeight="14.25"/>
  <cols>
    <col min="1" max="1" width="11" customWidth="1"/>
    <col min="2" max="2" width="27" customWidth="1"/>
    <col min="3" max="3" width="10" customWidth="1"/>
    <col min="4" max="4" width="18" customWidth="1"/>
    <col min="5" max="6" width="15" customWidth="1"/>
    <col min="7" max="8" width="17" customWidth="1"/>
    <col min="9" max="10" width="11" customWidth="1"/>
    <col min="11" max="11" width="13" customWidth="1"/>
    <col min="12" max="12" width="19" customWidth="1"/>
    <col min="13" max="15" width="12" customWidth="1"/>
    <col min="16" max="16" width="27" customWidth="1"/>
    <col min="17" max="19" width="18" customWidth="1"/>
    <col min="20" max="20" width="21" customWidth="1"/>
    <col min="21" max="21" width="23" customWidth="1"/>
    <col min="22" max="22" width="20" customWidth="1"/>
  </cols>
  <sheetData>
    <row r="1" spans="1:22" ht="35.1" customHeight="1">
      <c r="A1" s="26" t="s">
        <v>369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22" ht="26.1" customHeight="1">
      <c r="A2" s="27" t="s">
        <v>370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22" ht="27.95" customHeight="1">
      <c r="A3" s="3" t="s">
        <v>50</v>
      </c>
      <c r="B3" s="3" t="s">
        <v>371</v>
      </c>
      <c r="C3" s="3" t="s">
        <v>372</v>
      </c>
      <c r="D3" s="3" t="s">
        <v>52</v>
      </c>
      <c r="E3" s="3" t="s">
        <v>373</v>
      </c>
      <c r="F3" s="3" t="s">
        <v>374</v>
      </c>
      <c r="G3" s="3" t="s">
        <v>375</v>
      </c>
      <c r="H3" s="3" t="s">
        <v>376</v>
      </c>
      <c r="I3" s="3" t="s">
        <v>377</v>
      </c>
      <c r="J3" s="3" t="s">
        <v>378</v>
      </c>
      <c r="K3" s="3" t="s">
        <v>60</v>
      </c>
      <c r="L3" s="3" t="s">
        <v>379</v>
      </c>
      <c r="M3" s="12" t="s">
        <v>380</v>
      </c>
      <c r="N3" s="12" t="s">
        <v>381</v>
      </c>
      <c r="O3" s="12" t="s">
        <v>382</v>
      </c>
      <c r="P3" s="12" t="s">
        <v>383</v>
      </c>
      <c r="Q3" s="18" t="s">
        <v>384</v>
      </c>
      <c r="R3" s="18" t="s">
        <v>385</v>
      </c>
      <c r="S3" s="18" t="s">
        <v>386</v>
      </c>
      <c r="T3" s="24" t="s">
        <v>387</v>
      </c>
      <c r="U3" s="24" t="s">
        <v>388</v>
      </c>
      <c r="V3" s="24" t="s">
        <v>389</v>
      </c>
    </row>
    <row r="4" spans="1:22" ht="18" customHeight="1">
      <c r="A4" t="s">
        <v>70</v>
      </c>
      <c r="B4" t="s">
        <v>71</v>
      </c>
      <c r="C4">
        <v>1</v>
      </c>
      <c r="D4" t="s">
        <v>72</v>
      </c>
      <c r="E4" s="6">
        <f t="shared" ref="E4:E67" si="0">IF(M4=0,0,M4+O4)</f>
        <v>1</v>
      </c>
      <c r="F4" s="6">
        <f t="shared" ref="F4:F67" si="1">IF(M4=0,0,M4*N4+O4)</f>
        <v>4</v>
      </c>
      <c r="G4" s="6">
        <f>ROUND(Catalogue!G4*SQRT((1+Paramètres!$B$4*(C4-1)+Paramètres!$B$5*(C4-1)^2)),0)</f>
        <v>0</v>
      </c>
      <c r="H4" s="6">
        <f>ROUND(Catalogue!H4*SQRT((1+Paramètres!$B$4*(C4-1)+Paramètres!$B$5*(C4-1)^2)),0)</f>
        <v>0</v>
      </c>
      <c r="I4" s="6">
        <v>2</v>
      </c>
      <c r="J4" s="6">
        <v>1</v>
      </c>
      <c r="K4" s="7">
        <v>0.4</v>
      </c>
      <c r="L4" s="9">
        <f t="shared" ref="L4:L67" si="2">IF(M4=0,0,(E4+F4)/2)</f>
        <v>2.5</v>
      </c>
      <c r="M4">
        <v>1</v>
      </c>
      <c r="N4">
        <v>4</v>
      </c>
      <c r="O4">
        <v>0</v>
      </c>
      <c r="P4" s="13" t="str">
        <f t="shared" ref="P4:P67" si="3">IF(M4=0,"—",M4&amp;"d"&amp;N4&amp;IF(O4=0,""," + "&amp;O4))</f>
        <v>1d4</v>
      </c>
      <c r="Q4">
        <f>ROUND(INDEX(Catalogue!E$4:E$85,MATCH(A4,Catalogue!A$4:A$85,0))*(1+Paramètres!$B$4*(C4-1)+Paramètres!$B$5*(C4-1)^2),0)</f>
        <v>2</v>
      </c>
      <c r="R4">
        <f>ROUND(INDEX(Catalogue!F$4:F$85,MATCH(A4,Catalogue!A$4:A$85,0))*(1+Paramètres!$B$4*(C4-1)+Paramètres!$B$5*(C4-1)^2),0)</f>
        <v>4</v>
      </c>
      <c r="S4">
        <f t="shared" ref="S4:S67" si="4">L4-AVERAGE(Q4:R4)</f>
        <v>-0.5</v>
      </c>
      <c r="T4" t="str">
        <f t="shared" ref="T4:T67" si="5">IF(M4=0,IF(AND(N4=0,O4=0,E4=0,F4=0),"OK","ERREUR"),IF(AND(M4&gt;=1,M4&lt;=32,OR(N4=4,N4=6,N4=8,N4=10,N4=12,N4=20),O4&gt;=0,E4=M4+O4,F4=M4*N4+O4),"OK","ERREUR"))</f>
        <v>OK</v>
      </c>
      <c r="U4" s="25">
        <f t="shared" ref="U4:U67" si="6">IF(M4&gt;0,M4*(N4+1)/2+O4,0)</f>
        <v>2.5</v>
      </c>
      <c r="V4" t="str">
        <f t="shared" ref="V4:V67" si="7">IF(ABS(L4-U4)&lt;0.001,"OK","ERREUR")</f>
        <v>OK</v>
      </c>
    </row>
    <row r="5" spans="1:22" ht="18" customHeight="1">
      <c r="A5" t="s">
        <v>70</v>
      </c>
      <c r="B5" t="s">
        <v>71</v>
      </c>
      <c r="C5">
        <v>2</v>
      </c>
      <c r="D5" t="s">
        <v>72</v>
      </c>
      <c r="E5" s="6">
        <f t="shared" si="0"/>
        <v>2</v>
      </c>
      <c r="F5" s="6">
        <f t="shared" si="1"/>
        <v>5</v>
      </c>
      <c r="G5" s="6">
        <f>ROUND(Catalogue!G4*SQRT((1+Paramètres!$B$4*(C5-1)+Paramètres!$B$5*(C5-1)^2)),0)</f>
        <v>0</v>
      </c>
      <c r="H5" s="6">
        <f>ROUND(Catalogue!H4*SQRT((1+Paramètres!$B$4*(C5-1)+Paramètres!$B$5*(C5-1)^2)),0)</f>
        <v>0</v>
      </c>
      <c r="I5" s="6">
        <v>2</v>
      </c>
      <c r="J5" s="6">
        <v>1</v>
      </c>
      <c r="K5" s="7">
        <v>0.4</v>
      </c>
      <c r="L5" s="9">
        <f t="shared" si="2"/>
        <v>3.5</v>
      </c>
      <c r="M5">
        <v>1</v>
      </c>
      <c r="N5">
        <v>4</v>
      </c>
      <c r="O5">
        <v>1</v>
      </c>
      <c r="P5" s="13" t="str">
        <f t="shared" si="3"/>
        <v>1d4 + 1</v>
      </c>
      <c r="Q5">
        <f>ROUND(INDEX(Catalogue!E$4:E$85,MATCH(A5,Catalogue!A$4:A$85,0))*(1+Paramètres!$B$4*(C5-1)+Paramètres!$B$5*(C5-1)^2),0)</f>
        <v>2</v>
      </c>
      <c r="R5">
        <f>ROUND(INDEX(Catalogue!F$4:F$85,MATCH(A5,Catalogue!A$4:A$85,0))*(1+Paramètres!$B$4*(C5-1)+Paramètres!$B$5*(C5-1)^2),0)</f>
        <v>5</v>
      </c>
      <c r="S5">
        <f t="shared" si="4"/>
        <v>0</v>
      </c>
      <c r="T5" t="str">
        <f t="shared" si="5"/>
        <v>OK</v>
      </c>
      <c r="U5" s="25">
        <f t="shared" si="6"/>
        <v>3.5</v>
      </c>
      <c r="V5" t="str">
        <f t="shared" si="7"/>
        <v>OK</v>
      </c>
    </row>
    <row r="6" spans="1:22" ht="18" customHeight="1">
      <c r="A6" t="s">
        <v>70</v>
      </c>
      <c r="B6" t="s">
        <v>71</v>
      </c>
      <c r="C6">
        <v>3</v>
      </c>
      <c r="D6" t="s">
        <v>72</v>
      </c>
      <c r="E6" s="6">
        <f t="shared" si="0"/>
        <v>2</v>
      </c>
      <c r="F6" s="6">
        <f t="shared" si="1"/>
        <v>5</v>
      </c>
      <c r="G6" s="6">
        <f>ROUND(Catalogue!G4*SQRT((1+Paramètres!$B$4*(C6-1)+Paramètres!$B$5*(C6-1)^2)),0)</f>
        <v>0</v>
      </c>
      <c r="H6" s="6">
        <f>ROUND(Catalogue!H4*SQRT((1+Paramètres!$B$4*(C6-1)+Paramètres!$B$5*(C6-1)^2)),0)</f>
        <v>0</v>
      </c>
      <c r="I6" s="6">
        <v>2</v>
      </c>
      <c r="J6" s="6">
        <v>1</v>
      </c>
      <c r="K6" s="7">
        <v>0.4</v>
      </c>
      <c r="L6" s="9">
        <f t="shared" si="2"/>
        <v>3.5</v>
      </c>
      <c r="M6">
        <v>1</v>
      </c>
      <c r="N6">
        <v>4</v>
      </c>
      <c r="O6">
        <v>1</v>
      </c>
      <c r="P6" s="13" t="str">
        <f t="shared" si="3"/>
        <v>1d4 + 1</v>
      </c>
      <c r="Q6">
        <f>ROUND(INDEX(Catalogue!E$4:E$85,MATCH(A6,Catalogue!A$4:A$85,0))*(1+Paramètres!$B$4*(C6-1)+Paramètres!$B$5*(C6-1)^2),0)</f>
        <v>3</v>
      </c>
      <c r="R6">
        <f>ROUND(INDEX(Catalogue!F$4:F$85,MATCH(A6,Catalogue!A$4:A$85,0))*(1+Paramètres!$B$4*(C6-1)+Paramètres!$B$5*(C6-1)^2),0)</f>
        <v>5</v>
      </c>
      <c r="S6">
        <f t="shared" si="4"/>
        <v>-0.5</v>
      </c>
      <c r="T6" t="str">
        <f t="shared" si="5"/>
        <v>OK</v>
      </c>
      <c r="U6" s="25">
        <f t="shared" si="6"/>
        <v>3.5</v>
      </c>
      <c r="V6" t="str">
        <f t="shared" si="7"/>
        <v>OK</v>
      </c>
    </row>
    <row r="7" spans="1:22" ht="18" customHeight="1">
      <c r="A7" t="s">
        <v>70</v>
      </c>
      <c r="B7" t="s">
        <v>71</v>
      </c>
      <c r="C7">
        <v>4</v>
      </c>
      <c r="D7" t="s">
        <v>72</v>
      </c>
      <c r="E7" s="6">
        <f t="shared" si="0"/>
        <v>3</v>
      </c>
      <c r="F7" s="6">
        <f t="shared" si="1"/>
        <v>6</v>
      </c>
      <c r="G7" s="6">
        <f>ROUND(Catalogue!G4*SQRT((1+Paramètres!$B$4*(C7-1)+Paramètres!$B$5*(C7-1)^2)),0)</f>
        <v>0</v>
      </c>
      <c r="H7" s="6">
        <f>ROUND(Catalogue!H4*SQRT((1+Paramètres!$B$4*(C7-1)+Paramètres!$B$5*(C7-1)^2)),0)</f>
        <v>0</v>
      </c>
      <c r="I7" s="6">
        <v>2</v>
      </c>
      <c r="J7" s="6">
        <v>1</v>
      </c>
      <c r="K7" s="7">
        <v>0.4</v>
      </c>
      <c r="L7" s="9">
        <f t="shared" si="2"/>
        <v>4.5</v>
      </c>
      <c r="M7">
        <v>1</v>
      </c>
      <c r="N7">
        <v>4</v>
      </c>
      <c r="O7">
        <v>2</v>
      </c>
      <c r="P7" s="13" t="str">
        <f t="shared" si="3"/>
        <v>1d4 + 2</v>
      </c>
      <c r="Q7">
        <f>ROUND(INDEX(Catalogue!E$4:E$85,MATCH(A7,Catalogue!A$4:A$85,0))*(1+Paramètres!$B$4*(C7-1)+Paramètres!$B$5*(C7-1)^2),0)</f>
        <v>3</v>
      </c>
      <c r="R7">
        <f>ROUND(INDEX(Catalogue!F$4:F$85,MATCH(A7,Catalogue!A$4:A$85,0))*(1+Paramètres!$B$4*(C7-1)+Paramètres!$B$5*(C7-1)^2),0)</f>
        <v>6</v>
      </c>
      <c r="S7">
        <f t="shared" si="4"/>
        <v>0</v>
      </c>
      <c r="T7" t="str">
        <f t="shared" si="5"/>
        <v>OK</v>
      </c>
      <c r="U7" s="25">
        <f t="shared" si="6"/>
        <v>4.5</v>
      </c>
      <c r="V7" t="str">
        <f t="shared" si="7"/>
        <v>OK</v>
      </c>
    </row>
    <row r="8" spans="1:22" ht="18" customHeight="1">
      <c r="A8" t="s">
        <v>70</v>
      </c>
      <c r="B8" t="s">
        <v>71</v>
      </c>
      <c r="C8">
        <v>5</v>
      </c>
      <c r="D8" t="s">
        <v>72</v>
      </c>
      <c r="E8" s="6">
        <f t="shared" si="0"/>
        <v>3</v>
      </c>
      <c r="F8" s="6">
        <f t="shared" si="1"/>
        <v>6</v>
      </c>
      <c r="G8" s="6">
        <f>ROUND(Catalogue!G4*SQRT((1+Paramètres!$B$4*(C8-1)+Paramètres!$B$5*(C8-1)^2)),0)</f>
        <v>0</v>
      </c>
      <c r="H8" s="6">
        <f>ROUND(Catalogue!H4*SQRT((1+Paramètres!$B$4*(C8-1)+Paramètres!$B$5*(C8-1)^2)),0)</f>
        <v>0</v>
      </c>
      <c r="I8" s="6">
        <v>2</v>
      </c>
      <c r="J8" s="6">
        <v>1</v>
      </c>
      <c r="K8" s="7">
        <v>0.4</v>
      </c>
      <c r="L8" s="9">
        <f t="shared" si="2"/>
        <v>4.5</v>
      </c>
      <c r="M8">
        <v>1</v>
      </c>
      <c r="N8">
        <v>4</v>
      </c>
      <c r="O8">
        <v>2</v>
      </c>
      <c r="P8" s="13" t="str">
        <f t="shared" si="3"/>
        <v>1d4 + 2</v>
      </c>
      <c r="Q8">
        <f>ROUND(INDEX(Catalogue!E$4:E$85,MATCH(A8,Catalogue!A$4:A$85,0))*(1+Paramètres!$B$4*(C8-1)+Paramètres!$B$5*(C8-1)^2),0)</f>
        <v>3</v>
      </c>
      <c r="R8">
        <f>ROUND(INDEX(Catalogue!F$4:F$85,MATCH(A8,Catalogue!A$4:A$85,0))*(1+Paramètres!$B$4*(C8-1)+Paramètres!$B$5*(C8-1)^2),0)</f>
        <v>7</v>
      </c>
      <c r="S8">
        <f t="shared" si="4"/>
        <v>-0.5</v>
      </c>
      <c r="T8" t="str">
        <f t="shared" si="5"/>
        <v>OK</v>
      </c>
      <c r="U8" s="25">
        <f t="shared" si="6"/>
        <v>4.5</v>
      </c>
      <c r="V8" t="str">
        <f t="shared" si="7"/>
        <v>OK</v>
      </c>
    </row>
    <row r="9" spans="1:22" ht="18" customHeight="1">
      <c r="A9" t="s">
        <v>70</v>
      </c>
      <c r="B9" t="s">
        <v>71</v>
      </c>
      <c r="C9">
        <v>6</v>
      </c>
      <c r="D9" t="s">
        <v>72</v>
      </c>
      <c r="E9" s="6">
        <f t="shared" si="0"/>
        <v>4</v>
      </c>
      <c r="F9" s="6">
        <f t="shared" si="1"/>
        <v>7</v>
      </c>
      <c r="G9" s="6">
        <f>ROUND(Catalogue!G4*SQRT((1+Paramètres!$B$4*(C9-1)+Paramètres!$B$5*(C9-1)^2)),0)</f>
        <v>0</v>
      </c>
      <c r="H9" s="6">
        <f>ROUND(Catalogue!H4*SQRT((1+Paramètres!$B$4*(C9-1)+Paramètres!$B$5*(C9-1)^2)),0)</f>
        <v>0</v>
      </c>
      <c r="I9" s="6">
        <v>2</v>
      </c>
      <c r="J9" s="6">
        <v>1</v>
      </c>
      <c r="K9" s="7">
        <v>0.4</v>
      </c>
      <c r="L9" s="9">
        <f t="shared" si="2"/>
        <v>5.5</v>
      </c>
      <c r="M9">
        <v>1</v>
      </c>
      <c r="N9">
        <v>4</v>
      </c>
      <c r="O9">
        <v>3</v>
      </c>
      <c r="P9" s="13" t="str">
        <f t="shared" si="3"/>
        <v>1d4 + 3</v>
      </c>
      <c r="Q9">
        <f>ROUND(INDEX(Catalogue!E$4:E$85,MATCH(A9,Catalogue!A$4:A$85,0))*(1+Paramètres!$B$4*(C9-1)+Paramètres!$B$5*(C9-1)^2),0)</f>
        <v>4</v>
      </c>
      <c r="R9">
        <f>ROUND(INDEX(Catalogue!F$4:F$85,MATCH(A9,Catalogue!A$4:A$85,0))*(1+Paramètres!$B$4*(C9-1)+Paramètres!$B$5*(C9-1)^2),0)</f>
        <v>8</v>
      </c>
      <c r="S9">
        <f t="shared" si="4"/>
        <v>-0.5</v>
      </c>
      <c r="T9" t="str">
        <f t="shared" si="5"/>
        <v>OK</v>
      </c>
      <c r="U9" s="25">
        <f t="shared" si="6"/>
        <v>5.5</v>
      </c>
      <c r="V9" t="str">
        <f t="shared" si="7"/>
        <v>OK</v>
      </c>
    </row>
    <row r="10" spans="1:22" ht="18" customHeight="1">
      <c r="A10" t="s">
        <v>70</v>
      </c>
      <c r="B10" t="s">
        <v>71</v>
      </c>
      <c r="C10">
        <v>7</v>
      </c>
      <c r="D10" t="s">
        <v>72</v>
      </c>
      <c r="E10" s="6">
        <f t="shared" si="0"/>
        <v>4</v>
      </c>
      <c r="F10" s="6">
        <f t="shared" si="1"/>
        <v>9</v>
      </c>
      <c r="G10" s="6">
        <f>ROUND(Catalogue!G4*SQRT((1+Paramètres!$B$4*(C10-1)+Paramètres!$B$5*(C10-1)^2)),0)</f>
        <v>0</v>
      </c>
      <c r="H10" s="6">
        <f>ROUND(Catalogue!H4*SQRT((1+Paramètres!$B$4*(C10-1)+Paramètres!$B$5*(C10-1)^2)),0)</f>
        <v>0</v>
      </c>
      <c r="I10" s="6">
        <v>2</v>
      </c>
      <c r="J10" s="6">
        <v>1</v>
      </c>
      <c r="K10" s="7">
        <v>0.4</v>
      </c>
      <c r="L10" s="9">
        <f t="shared" si="2"/>
        <v>6.5</v>
      </c>
      <c r="M10">
        <v>1</v>
      </c>
      <c r="N10">
        <v>6</v>
      </c>
      <c r="O10">
        <v>3</v>
      </c>
      <c r="P10" s="13" t="str">
        <f t="shared" si="3"/>
        <v>1d6 + 3</v>
      </c>
      <c r="Q10">
        <f>ROUND(INDEX(Catalogue!E$4:E$85,MATCH(A10,Catalogue!A$4:A$85,0))*(1+Paramètres!$B$4*(C10-1)+Paramètres!$B$5*(C10-1)^2),0)</f>
        <v>4</v>
      </c>
      <c r="R10">
        <f>ROUND(INDEX(Catalogue!F$4:F$85,MATCH(A10,Catalogue!A$4:A$85,0))*(1+Paramètres!$B$4*(C10-1)+Paramètres!$B$5*(C10-1)^2),0)</f>
        <v>9</v>
      </c>
      <c r="S10">
        <f t="shared" si="4"/>
        <v>0</v>
      </c>
      <c r="T10" t="str">
        <f t="shared" si="5"/>
        <v>OK</v>
      </c>
      <c r="U10" s="25">
        <f t="shared" si="6"/>
        <v>6.5</v>
      </c>
      <c r="V10" t="str">
        <f t="shared" si="7"/>
        <v>OK</v>
      </c>
    </row>
    <row r="11" spans="1:22" ht="18" customHeight="1">
      <c r="A11" t="s">
        <v>70</v>
      </c>
      <c r="B11" t="s">
        <v>71</v>
      </c>
      <c r="C11">
        <v>8</v>
      </c>
      <c r="D11" t="s">
        <v>72</v>
      </c>
      <c r="E11" s="6">
        <f t="shared" si="0"/>
        <v>5</v>
      </c>
      <c r="F11" s="6">
        <f t="shared" si="1"/>
        <v>10</v>
      </c>
      <c r="G11" s="6">
        <f>ROUND(Catalogue!G4*SQRT((1+Paramètres!$B$4*(C11-1)+Paramètres!$B$5*(C11-1)^2)),0)</f>
        <v>0</v>
      </c>
      <c r="H11" s="6">
        <f>ROUND(Catalogue!H4*SQRT((1+Paramètres!$B$4*(C11-1)+Paramètres!$B$5*(C11-1)^2)),0)</f>
        <v>0</v>
      </c>
      <c r="I11" s="6">
        <v>2</v>
      </c>
      <c r="J11" s="6">
        <v>1</v>
      </c>
      <c r="K11" s="7">
        <v>0.4</v>
      </c>
      <c r="L11" s="9">
        <f t="shared" si="2"/>
        <v>7.5</v>
      </c>
      <c r="M11">
        <v>1</v>
      </c>
      <c r="N11">
        <v>6</v>
      </c>
      <c r="O11">
        <v>4</v>
      </c>
      <c r="P11" s="13" t="str">
        <f t="shared" si="3"/>
        <v>1d6 + 4</v>
      </c>
      <c r="Q11">
        <f>ROUND(INDEX(Catalogue!E$4:E$85,MATCH(A11,Catalogue!A$4:A$85,0))*(1+Paramètres!$B$4*(C11-1)+Paramètres!$B$5*(C11-1)^2),0)</f>
        <v>5</v>
      </c>
      <c r="R11">
        <f>ROUND(INDEX(Catalogue!F$4:F$85,MATCH(A11,Catalogue!A$4:A$85,0))*(1+Paramètres!$B$4*(C11-1)+Paramètres!$B$5*(C11-1)^2),0)</f>
        <v>10</v>
      </c>
      <c r="S11">
        <f t="shared" si="4"/>
        <v>0</v>
      </c>
      <c r="T11" t="str">
        <f t="shared" si="5"/>
        <v>OK</v>
      </c>
      <c r="U11" s="25">
        <f t="shared" si="6"/>
        <v>7.5</v>
      </c>
      <c r="V11" t="str">
        <f t="shared" si="7"/>
        <v>OK</v>
      </c>
    </row>
    <row r="12" spans="1:22" ht="18" customHeight="1">
      <c r="A12" t="s">
        <v>70</v>
      </c>
      <c r="B12" t="s">
        <v>71</v>
      </c>
      <c r="C12">
        <v>9</v>
      </c>
      <c r="D12" t="s">
        <v>72</v>
      </c>
      <c r="E12" s="6">
        <f t="shared" si="0"/>
        <v>6</v>
      </c>
      <c r="F12" s="6">
        <f t="shared" si="1"/>
        <v>12</v>
      </c>
      <c r="G12" s="6">
        <f>ROUND(Catalogue!G4*SQRT((1+Paramètres!$B$4*(C12-1)+Paramètres!$B$5*(C12-1)^2)),0)</f>
        <v>0</v>
      </c>
      <c r="H12" s="6">
        <f>ROUND(Catalogue!H4*SQRT((1+Paramètres!$B$4*(C12-1)+Paramètres!$B$5*(C12-1)^2)),0)</f>
        <v>0</v>
      </c>
      <c r="I12" s="6">
        <v>2</v>
      </c>
      <c r="J12" s="6">
        <v>1</v>
      </c>
      <c r="K12" s="7">
        <v>0.4</v>
      </c>
      <c r="L12" s="9">
        <f t="shared" si="2"/>
        <v>9</v>
      </c>
      <c r="M12">
        <v>2</v>
      </c>
      <c r="N12">
        <v>4</v>
      </c>
      <c r="O12">
        <v>4</v>
      </c>
      <c r="P12" s="13" t="str">
        <f t="shared" si="3"/>
        <v>2d4 + 4</v>
      </c>
      <c r="Q12">
        <f>ROUND(INDEX(Catalogue!E$4:E$85,MATCH(A12,Catalogue!A$4:A$85,0))*(1+Paramètres!$B$4*(C12-1)+Paramètres!$B$5*(C12-1)^2),0)</f>
        <v>6</v>
      </c>
      <c r="R12">
        <f>ROUND(INDEX(Catalogue!F$4:F$85,MATCH(A12,Catalogue!A$4:A$85,0))*(1+Paramètres!$B$4*(C12-1)+Paramètres!$B$5*(C12-1)^2),0)</f>
        <v>12</v>
      </c>
      <c r="S12">
        <f t="shared" si="4"/>
        <v>0</v>
      </c>
      <c r="T12" t="str">
        <f t="shared" si="5"/>
        <v>OK</v>
      </c>
      <c r="U12" s="25">
        <f t="shared" si="6"/>
        <v>9</v>
      </c>
      <c r="V12" t="str">
        <f t="shared" si="7"/>
        <v>OK</v>
      </c>
    </row>
    <row r="13" spans="1:22" ht="18" customHeight="1">
      <c r="A13" t="s">
        <v>70</v>
      </c>
      <c r="B13" t="s">
        <v>71</v>
      </c>
      <c r="C13">
        <v>10</v>
      </c>
      <c r="D13" t="s">
        <v>72</v>
      </c>
      <c r="E13" s="6">
        <f t="shared" si="0"/>
        <v>7</v>
      </c>
      <c r="F13" s="6">
        <f t="shared" si="1"/>
        <v>13</v>
      </c>
      <c r="G13" s="6">
        <f>ROUND(Catalogue!G4*SQRT((1+Paramètres!$B$4*(C13-1)+Paramètres!$B$5*(C13-1)^2)),0)</f>
        <v>0</v>
      </c>
      <c r="H13" s="6">
        <f>ROUND(Catalogue!H4*SQRT((1+Paramètres!$B$4*(C13-1)+Paramètres!$B$5*(C13-1)^2)),0)</f>
        <v>0</v>
      </c>
      <c r="I13" s="6">
        <v>2</v>
      </c>
      <c r="J13" s="6">
        <v>1</v>
      </c>
      <c r="K13" s="7">
        <v>0.4</v>
      </c>
      <c r="L13" s="9">
        <f t="shared" si="2"/>
        <v>10</v>
      </c>
      <c r="M13">
        <v>2</v>
      </c>
      <c r="N13">
        <v>4</v>
      </c>
      <c r="O13">
        <v>5</v>
      </c>
      <c r="P13" s="13" t="str">
        <f t="shared" si="3"/>
        <v>2d4 + 5</v>
      </c>
      <c r="Q13">
        <f>ROUND(INDEX(Catalogue!E$4:E$85,MATCH(A13,Catalogue!A$4:A$85,0))*(1+Paramètres!$B$4*(C13-1)+Paramètres!$B$5*(C13-1)^2),0)</f>
        <v>7</v>
      </c>
      <c r="R13">
        <f>ROUND(INDEX(Catalogue!F$4:F$85,MATCH(A13,Catalogue!A$4:A$85,0))*(1+Paramètres!$B$4*(C13-1)+Paramètres!$B$5*(C13-1)^2),0)</f>
        <v>13</v>
      </c>
      <c r="S13">
        <f t="shared" si="4"/>
        <v>0</v>
      </c>
      <c r="T13" t="str">
        <f t="shared" si="5"/>
        <v>OK</v>
      </c>
      <c r="U13" s="25">
        <f t="shared" si="6"/>
        <v>10</v>
      </c>
      <c r="V13" t="str">
        <f t="shared" si="7"/>
        <v>OK</v>
      </c>
    </row>
    <row r="14" spans="1:22" ht="18" customHeight="1">
      <c r="A14" t="s">
        <v>70</v>
      </c>
      <c r="B14" t="s">
        <v>71</v>
      </c>
      <c r="C14">
        <v>11</v>
      </c>
      <c r="D14" t="s">
        <v>72</v>
      </c>
      <c r="E14" s="6">
        <f t="shared" si="0"/>
        <v>6</v>
      </c>
      <c r="F14" s="6">
        <f t="shared" si="1"/>
        <v>15</v>
      </c>
      <c r="G14" s="6">
        <f>ROUND(Catalogue!G4*SQRT((1+Paramètres!$B$4*(C14-1)+Paramètres!$B$5*(C14-1)^2)),0)</f>
        <v>0</v>
      </c>
      <c r="H14" s="6">
        <f>ROUND(Catalogue!H4*SQRT((1+Paramètres!$B$4*(C14-1)+Paramètres!$B$5*(C14-1)^2)),0)</f>
        <v>0</v>
      </c>
      <c r="I14" s="6">
        <v>2</v>
      </c>
      <c r="J14" s="6">
        <v>1</v>
      </c>
      <c r="K14" s="7">
        <v>0.4</v>
      </c>
      <c r="L14" s="9">
        <f t="shared" si="2"/>
        <v>10.5</v>
      </c>
      <c r="M14">
        <v>3</v>
      </c>
      <c r="N14">
        <v>4</v>
      </c>
      <c r="O14">
        <v>3</v>
      </c>
      <c r="P14" s="13" t="str">
        <f t="shared" si="3"/>
        <v>3d4 + 3</v>
      </c>
      <c r="Q14">
        <f>ROUND(INDEX(Catalogue!E$4:E$85,MATCH(A14,Catalogue!A$4:A$85,0))*(1+Paramètres!$B$4*(C14-1)+Paramètres!$B$5*(C14-1)^2),0)</f>
        <v>7</v>
      </c>
      <c r="R14">
        <f>ROUND(INDEX(Catalogue!F$4:F$85,MATCH(A14,Catalogue!A$4:A$85,0))*(1+Paramètres!$B$4*(C14-1)+Paramètres!$B$5*(C14-1)^2),0)</f>
        <v>15</v>
      </c>
      <c r="S14">
        <f t="shared" si="4"/>
        <v>-0.5</v>
      </c>
      <c r="T14" t="str">
        <f t="shared" si="5"/>
        <v>OK</v>
      </c>
      <c r="U14" s="25">
        <f t="shared" si="6"/>
        <v>10.5</v>
      </c>
      <c r="V14" t="str">
        <f t="shared" si="7"/>
        <v>OK</v>
      </c>
    </row>
    <row r="15" spans="1:22" ht="18" customHeight="1">
      <c r="A15" t="s">
        <v>70</v>
      </c>
      <c r="B15" t="s">
        <v>71</v>
      </c>
      <c r="C15">
        <v>12</v>
      </c>
      <c r="D15" t="s">
        <v>72</v>
      </c>
      <c r="E15" s="6">
        <f t="shared" si="0"/>
        <v>8</v>
      </c>
      <c r="F15" s="6">
        <f t="shared" si="1"/>
        <v>17</v>
      </c>
      <c r="G15" s="6">
        <f>ROUND(Catalogue!G4*SQRT((1+Paramètres!$B$4*(C15-1)+Paramètres!$B$5*(C15-1)^2)),0)</f>
        <v>0</v>
      </c>
      <c r="H15" s="6">
        <f>ROUND(Catalogue!H4*SQRT((1+Paramètres!$B$4*(C15-1)+Paramètres!$B$5*(C15-1)^2)),0)</f>
        <v>0</v>
      </c>
      <c r="I15" s="6">
        <v>2</v>
      </c>
      <c r="J15" s="6">
        <v>1</v>
      </c>
      <c r="K15" s="7">
        <v>0.4</v>
      </c>
      <c r="L15" s="9">
        <f t="shared" si="2"/>
        <v>12.5</v>
      </c>
      <c r="M15">
        <v>3</v>
      </c>
      <c r="N15">
        <v>4</v>
      </c>
      <c r="O15">
        <v>5</v>
      </c>
      <c r="P15" s="13" t="str">
        <f t="shared" si="3"/>
        <v>3d4 + 5</v>
      </c>
      <c r="Q15">
        <f>ROUND(INDEX(Catalogue!E$4:E$85,MATCH(A15,Catalogue!A$4:A$85,0))*(1+Paramètres!$B$4*(C15-1)+Paramètres!$B$5*(C15-1)^2),0)</f>
        <v>8</v>
      </c>
      <c r="R15">
        <f>ROUND(INDEX(Catalogue!F$4:F$85,MATCH(A15,Catalogue!A$4:A$85,0))*(1+Paramètres!$B$4*(C15-1)+Paramètres!$B$5*(C15-1)^2),0)</f>
        <v>17</v>
      </c>
      <c r="S15">
        <f t="shared" si="4"/>
        <v>0</v>
      </c>
      <c r="T15" t="str">
        <f t="shared" si="5"/>
        <v>OK</v>
      </c>
      <c r="U15" s="25">
        <f t="shared" si="6"/>
        <v>12.5</v>
      </c>
      <c r="V15" t="str">
        <f t="shared" si="7"/>
        <v>OK</v>
      </c>
    </row>
    <row r="16" spans="1:22" ht="18" customHeight="1">
      <c r="A16" t="s">
        <v>70</v>
      </c>
      <c r="B16" t="s">
        <v>71</v>
      </c>
      <c r="C16">
        <v>13</v>
      </c>
      <c r="D16" t="s">
        <v>72</v>
      </c>
      <c r="E16" s="6">
        <f t="shared" si="0"/>
        <v>9</v>
      </c>
      <c r="F16" s="6">
        <f t="shared" si="1"/>
        <v>18</v>
      </c>
      <c r="G16" s="6">
        <f>ROUND(Catalogue!G4*SQRT((1+Paramètres!$B$4*(C16-1)+Paramètres!$B$5*(C16-1)^2)),0)</f>
        <v>0</v>
      </c>
      <c r="H16" s="6">
        <f>ROUND(Catalogue!H4*SQRT((1+Paramètres!$B$4*(C16-1)+Paramètres!$B$5*(C16-1)^2)),0)</f>
        <v>0</v>
      </c>
      <c r="I16" s="6">
        <v>2</v>
      </c>
      <c r="J16" s="6">
        <v>1</v>
      </c>
      <c r="K16" s="7">
        <v>0.4</v>
      </c>
      <c r="L16" s="9">
        <f t="shared" si="2"/>
        <v>13.5</v>
      </c>
      <c r="M16">
        <v>3</v>
      </c>
      <c r="N16">
        <v>4</v>
      </c>
      <c r="O16">
        <v>6</v>
      </c>
      <c r="P16" s="13" t="str">
        <f t="shared" si="3"/>
        <v>3d4 + 6</v>
      </c>
      <c r="Q16">
        <f>ROUND(INDEX(Catalogue!E$4:E$85,MATCH(A16,Catalogue!A$4:A$85,0))*(1+Paramètres!$B$4*(C16-1)+Paramètres!$B$5*(C16-1)^2),0)</f>
        <v>9</v>
      </c>
      <c r="R16">
        <f>ROUND(INDEX(Catalogue!F$4:F$85,MATCH(A16,Catalogue!A$4:A$85,0))*(1+Paramètres!$B$4*(C16-1)+Paramètres!$B$5*(C16-1)^2),0)</f>
        <v>18</v>
      </c>
      <c r="S16">
        <f t="shared" si="4"/>
        <v>0</v>
      </c>
      <c r="T16" t="str">
        <f t="shared" si="5"/>
        <v>OK</v>
      </c>
      <c r="U16" s="25">
        <f t="shared" si="6"/>
        <v>13.5</v>
      </c>
      <c r="V16" t="str">
        <f t="shared" si="7"/>
        <v>OK</v>
      </c>
    </row>
    <row r="17" spans="1:22" ht="18" customHeight="1">
      <c r="A17" t="s">
        <v>70</v>
      </c>
      <c r="B17" t="s">
        <v>71</v>
      </c>
      <c r="C17">
        <v>14</v>
      </c>
      <c r="D17" t="s">
        <v>72</v>
      </c>
      <c r="E17" s="6">
        <f t="shared" si="0"/>
        <v>10</v>
      </c>
      <c r="F17" s="6">
        <f t="shared" si="1"/>
        <v>20</v>
      </c>
      <c r="G17" s="6">
        <f>ROUND(Catalogue!G4*SQRT((1+Paramètres!$B$4*(C17-1)+Paramètres!$B$5*(C17-1)^2)),0)</f>
        <v>0</v>
      </c>
      <c r="H17" s="6">
        <f>ROUND(Catalogue!H4*SQRT((1+Paramètres!$B$4*(C17-1)+Paramètres!$B$5*(C17-1)^2)),0)</f>
        <v>0</v>
      </c>
      <c r="I17" s="6">
        <v>2</v>
      </c>
      <c r="J17" s="6">
        <v>1</v>
      </c>
      <c r="K17" s="7">
        <v>0.4</v>
      </c>
      <c r="L17" s="9">
        <f t="shared" si="2"/>
        <v>15</v>
      </c>
      <c r="M17">
        <v>2</v>
      </c>
      <c r="N17">
        <v>6</v>
      </c>
      <c r="O17">
        <v>8</v>
      </c>
      <c r="P17" s="13" t="str">
        <f t="shared" si="3"/>
        <v>2d6 + 8</v>
      </c>
      <c r="Q17">
        <f>ROUND(INDEX(Catalogue!E$4:E$85,MATCH(A17,Catalogue!A$4:A$85,0))*(1+Paramètres!$B$4*(C17-1)+Paramètres!$B$5*(C17-1)^2),0)</f>
        <v>10</v>
      </c>
      <c r="R17">
        <f>ROUND(INDEX(Catalogue!F$4:F$85,MATCH(A17,Catalogue!A$4:A$85,0))*(1+Paramètres!$B$4*(C17-1)+Paramètres!$B$5*(C17-1)^2),0)</f>
        <v>21</v>
      </c>
      <c r="S17">
        <f t="shared" si="4"/>
        <v>-0.5</v>
      </c>
      <c r="T17" t="str">
        <f t="shared" si="5"/>
        <v>OK</v>
      </c>
      <c r="U17" s="25">
        <f t="shared" si="6"/>
        <v>15</v>
      </c>
      <c r="V17" t="str">
        <f t="shared" si="7"/>
        <v>OK</v>
      </c>
    </row>
    <row r="18" spans="1:22" ht="18" customHeight="1">
      <c r="A18" t="s">
        <v>70</v>
      </c>
      <c r="B18" t="s">
        <v>71</v>
      </c>
      <c r="C18">
        <v>15</v>
      </c>
      <c r="D18" t="s">
        <v>72</v>
      </c>
      <c r="E18" s="6">
        <f t="shared" si="0"/>
        <v>11</v>
      </c>
      <c r="F18" s="6">
        <f t="shared" si="1"/>
        <v>23</v>
      </c>
      <c r="G18" s="6">
        <f>ROUND(Catalogue!G4*SQRT((1+Paramètres!$B$4*(C18-1)+Paramètres!$B$5*(C18-1)^2)),0)</f>
        <v>0</v>
      </c>
      <c r="H18" s="6">
        <f>ROUND(Catalogue!H4*SQRT((1+Paramètres!$B$4*(C18-1)+Paramètres!$B$5*(C18-1)^2)),0)</f>
        <v>0</v>
      </c>
      <c r="I18" s="6">
        <v>2</v>
      </c>
      <c r="J18" s="6">
        <v>1</v>
      </c>
      <c r="K18" s="7">
        <v>0.4</v>
      </c>
      <c r="L18" s="9">
        <f t="shared" si="2"/>
        <v>17</v>
      </c>
      <c r="M18">
        <v>4</v>
      </c>
      <c r="N18">
        <v>4</v>
      </c>
      <c r="O18">
        <v>7</v>
      </c>
      <c r="P18" s="13" t="str">
        <f t="shared" si="3"/>
        <v>4d4 + 7</v>
      </c>
      <c r="Q18">
        <f>ROUND(INDEX(Catalogue!E$4:E$85,MATCH(A18,Catalogue!A$4:A$85,0))*(1+Paramètres!$B$4*(C18-1)+Paramètres!$B$5*(C18-1)^2),0)</f>
        <v>11</v>
      </c>
      <c r="R18">
        <f>ROUND(INDEX(Catalogue!F$4:F$85,MATCH(A18,Catalogue!A$4:A$85,0))*(1+Paramètres!$B$4*(C18-1)+Paramètres!$B$5*(C18-1)^2),0)</f>
        <v>23</v>
      </c>
      <c r="S18">
        <f t="shared" si="4"/>
        <v>0</v>
      </c>
      <c r="T18" t="str">
        <f t="shared" si="5"/>
        <v>OK</v>
      </c>
      <c r="U18" s="25">
        <f t="shared" si="6"/>
        <v>17</v>
      </c>
      <c r="V18" t="str">
        <f t="shared" si="7"/>
        <v>OK</v>
      </c>
    </row>
    <row r="19" spans="1:22" ht="18" customHeight="1">
      <c r="A19" t="s">
        <v>70</v>
      </c>
      <c r="B19" t="s">
        <v>71</v>
      </c>
      <c r="C19">
        <v>16</v>
      </c>
      <c r="D19" t="s">
        <v>72</v>
      </c>
      <c r="E19" s="6">
        <f t="shared" si="0"/>
        <v>13</v>
      </c>
      <c r="F19" s="6">
        <f t="shared" si="1"/>
        <v>25</v>
      </c>
      <c r="G19" s="6">
        <f>ROUND(Catalogue!G4*SQRT((1+Paramètres!$B$4*(C19-1)+Paramètres!$B$5*(C19-1)^2)),0)</f>
        <v>0</v>
      </c>
      <c r="H19" s="6">
        <f>ROUND(Catalogue!H4*SQRT((1+Paramètres!$B$4*(C19-1)+Paramètres!$B$5*(C19-1)^2)),0)</f>
        <v>0</v>
      </c>
      <c r="I19" s="6">
        <v>2</v>
      </c>
      <c r="J19" s="6">
        <v>1</v>
      </c>
      <c r="K19" s="7">
        <v>0.4</v>
      </c>
      <c r="L19" s="9">
        <f t="shared" si="2"/>
        <v>19</v>
      </c>
      <c r="M19">
        <v>4</v>
      </c>
      <c r="N19">
        <v>4</v>
      </c>
      <c r="O19">
        <v>9</v>
      </c>
      <c r="P19" s="13" t="str">
        <f t="shared" si="3"/>
        <v>4d4 + 9</v>
      </c>
      <c r="Q19">
        <f>ROUND(INDEX(Catalogue!E$4:E$85,MATCH(A19,Catalogue!A$4:A$85,0))*(1+Paramètres!$B$4*(C19-1)+Paramètres!$B$5*(C19-1)^2),0)</f>
        <v>13</v>
      </c>
      <c r="R19">
        <f>ROUND(INDEX(Catalogue!F$4:F$85,MATCH(A19,Catalogue!A$4:A$85,0))*(1+Paramètres!$B$4*(C19-1)+Paramètres!$B$5*(C19-1)^2),0)</f>
        <v>25</v>
      </c>
      <c r="S19">
        <f t="shared" si="4"/>
        <v>0</v>
      </c>
      <c r="T19" t="str">
        <f t="shared" si="5"/>
        <v>OK</v>
      </c>
      <c r="U19" s="25">
        <f t="shared" si="6"/>
        <v>19</v>
      </c>
      <c r="V19" t="str">
        <f t="shared" si="7"/>
        <v>OK</v>
      </c>
    </row>
    <row r="20" spans="1:22" ht="18" customHeight="1">
      <c r="A20" t="s">
        <v>70</v>
      </c>
      <c r="B20" t="s">
        <v>71</v>
      </c>
      <c r="C20">
        <v>17</v>
      </c>
      <c r="D20" t="s">
        <v>72</v>
      </c>
      <c r="E20" s="6">
        <f t="shared" si="0"/>
        <v>13</v>
      </c>
      <c r="F20" s="6">
        <f t="shared" si="1"/>
        <v>27</v>
      </c>
      <c r="G20" s="6">
        <f>ROUND(Catalogue!G4*SQRT((1+Paramètres!$B$4*(C20-1)+Paramètres!$B$5*(C20-1)^2)),0)</f>
        <v>0</v>
      </c>
      <c r="H20" s="6">
        <f>ROUND(Catalogue!H4*SQRT((1+Paramètres!$B$4*(C20-1)+Paramètres!$B$5*(C20-1)^2)),0)</f>
        <v>0</v>
      </c>
      <c r="I20" s="6">
        <v>2</v>
      </c>
      <c r="J20" s="6">
        <v>1</v>
      </c>
      <c r="K20" s="7">
        <v>0.4</v>
      </c>
      <c r="L20" s="9">
        <f t="shared" si="2"/>
        <v>20</v>
      </c>
      <c r="M20">
        <v>2</v>
      </c>
      <c r="N20">
        <v>8</v>
      </c>
      <c r="O20">
        <v>11</v>
      </c>
      <c r="P20" s="13" t="str">
        <f t="shared" si="3"/>
        <v>2d8 + 11</v>
      </c>
      <c r="Q20">
        <f>ROUND(INDEX(Catalogue!E$4:E$85,MATCH(A20,Catalogue!A$4:A$85,0))*(1+Paramètres!$B$4*(C20-1)+Paramètres!$B$5*(C20-1)^2),0)</f>
        <v>14</v>
      </c>
      <c r="R20">
        <f>ROUND(INDEX(Catalogue!F$4:F$85,MATCH(A20,Catalogue!A$4:A$85,0))*(1+Paramètres!$B$4*(C20-1)+Paramètres!$B$5*(C20-1)^2),0)</f>
        <v>27</v>
      </c>
      <c r="S20">
        <f t="shared" si="4"/>
        <v>-0.5</v>
      </c>
      <c r="T20" t="str">
        <f t="shared" si="5"/>
        <v>OK</v>
      </c>
      <c r="U20" s="25">
        <f t="shared" si="6"/>
        <v>20</v>
      </c>
      <c r="V20" t="str">
        <f t="shared" si="7"/>
        <v>OK</v>
      </c>
    </row>
    <row r="21" spans="1:22" ht="18" customHeight="1">
      <c r="A21" t="s">
        <v>70</v>
      </c>
      <c r="B21" t="s">
        <v>71</v>
      </c>
      <c r="C21">
        <v>18</v>
      </c>
      <c r="D21" t="s">
        <v>72</v>
      </c>
      <c r="E21" s="6">
        <f t="shared" si="0"/>
        <v>15</v>
      </c>
      <c r="F21" s="6">
        <f t="shared" si="1"/>
        <v>30</v>
      </c>
      <c r="G21" s="6">
        <f>ROUND(Catalogue!G4*SQRT((1+Paramètres!$B$4*(C21-1)+Paramètres!$B$5*(C21-1)^2)),0)</f>
        <v>0</v>
      </c>
      <c r="H21" s="6">
        <f>ROUND(Catalogue!H4*SQRT((1+Paramètres!$B$4*(C21-1)+Paramètres!$B$5*(C21-1)^2)),0)</f>
        <v>0</v>
      </c>
      <c r="I21" s="6">
        <v>2</v>
      </c>
      <c r="J21" s="6">
        <v>1</v>
      </c>
      <c r="K21" s="7">
        <v>0.4</v>
      </c>
      <c r="L21" s="9">
        <f t="shared" si="2"/>
        <v>22.5</v>
      </c>
      <c r="M21">
        <v>3</v>
      </c>
      <c r="N21">
        <v>6</v>
      </c>
      <c r="O21">
        <v>12</v>
      </c>
      <c r="P21" s="13" t="str">
        <f t="shared" si="3"/>
        <v>3d6 + 12</v>
      </c>
      <c r="Q21">
        <f>ROUND(INDEX(Catalogue!E$4:E$85,MATCH(A21,Catalogue!A$4:A$85,0))*(1+Paramètres!$B$4*(C21-1)+Paramètres!$B$5*(C21-1)^2),0)</f>
        <v>15</v>
      </c>
      <c r="R21">
        <f>ROUND(INDEX(Catalogue!F$4:F$85,MATCH(A21,Catalogue!A$4:A$85,0))*(1+Paramètres!$B$4*(C21-1)+Paramètres!$B$5*(C21-1)^2),0)</f>
        <v>30</v>
      </c>
      <c r="S21">
        <f t="shared" si="4"/>
        <v>0</v>
      </c>
      <c r="T21" t="str">
        <f t="shared" si="5"/>
        <v>OK</v>
      </c>
      <c r="U21" s="25">
        <f t="shared" si="6"/>
        <v>22.5</v>
      </c>
      <c r="V21" t="str">
        <f t="shared" si="7"/>
        <v>OK</v>
      </c>
    </row>
    <row r="22" spans="1:22" ht="18" customHeight="1">
      <c r="A22" t="s">
        <v>70</v>
      </c>
      <c r="B22" t="s">
        <v>71</v>
      </c>
      <c r="C22">
        <v>19</v>
      </c>
      <c r="D22" t="s">
        <v>72</v>
      </c>
      <c r="E22" s="6">
        <f t="shared" si="0"/>
        <v>15</v>
      </c>
      <c r="F22" s="6">
        <f t="shared" si="1"/>
        <v>33</v>
      </c>
      <c r="G22" s="6">
        <f>ROUND(Catalogue!G4*SQRT((1+Paramètres!$B$4*(C22-1)+Paramètres!$B$5*(C22-1)^2)),0)</f>
        <v>0</v>
      </c>
      <c r="H22" s="6">
        <f>ROUND(Catalogue!H4*SQRT((1+Paramètres!$B$4*(C22-1)+Paramètres!$B$5*(C22-1)^2)),0)</f>
        <v>0</v>
      </c>
      <c r="I22" s="6">
        <v>2</v>
      </c>
      <c r="J22" s="6">
        <v>1</v>
      </c>
      <c r="K22" s="7">
        <v>0.4</v>
      </c>
      <c r="L22" s="9">
        <f t="shared" si="2"/>
        <v>24</v>
      </c>
      <c r="M22">
        <v>2</v>
      </c>
      <c r="N22">
        <v>10</v>
      </c>
      <c r="O22">
        <v>13</v>
      </c>
      <c r="P22" s="13" t="str">
        <f t="shared" si="3"/>
        <v>2d10 + 13</v>
      </c>
      <c r="Q22">
        <f>ROUND(INDEX(Catalogue!E$4:E$85,MATCH(A22,Catalogue!A$4:A$85,0))*(1+Paramètres!$B$4*(C22-1)+Paramètres!$B$5*(C22-1)^2),0)</f>
        <v>16</v>
      </c>
      <c r="R22">
        <f>ROUND(INDEX(Catalogue!F$4:F$85,MATCH(A22,Catalogue!A$4:A$85,0))*(1+Paramètres!$B$4*(C22-1)+Paramètres!$B$5*(C22-1)^2),0)</f>
        <v>33</v>
      </c>
      <c r="S22">
        <f t="shared" si="4"/>
        <v>-0.5</v>
      </c>
      <c r="T22" t="str">
        <f t="shared" si="5"/>
        <v>OK</v>
      </c>
      <c r="U22" s="25">
        <f t="shared" si="6"/>
        <v>24</v>
      </c>
      <c r="V22" t="str">
        <f t="shared" si="7"/>
        <v>OK</v>
      </c>
    </row>
    <row r="23" spans="1:22" ht="18" customHeight="1">
      <c r="A23" t="s">
        <v>70</v>
      </c>
      <c r="B23" t="s">
        <v>71</v>
      </c>
      <c r="C23">
        <v>20</v>
      </c>
      <c r="D23" t="s">
        <v>72</v>
      </c>
      <c r="E23" s="6">
        <f t="shared" si="0"/>
        <v>18</v>
      </c>
      <c r="F23" s="6">
        <f t="shared" si="1"/>
        <v>36</v>
      </c>
      <c r="G23" s="6">
        <f>ROUND(Catalogue!G4*SQRT((1+Paramètres!$B$4*(C23-1)+Paramètres!$B$5*(C23-1)^2)),0)</f>
        <v>0</v>
      </c>
      <c r="H23" s="6">
        <f>ROUND(Catalogue!H4*SQRT((1+Paramètres!$B$4*(C23-1)+Paramètres!$B$5*(C23-1)^2)),0)</f>
        <v>0</v>
      </c>
      <c r="I23" s="6">
        <v>2</v>
      </c>
      <c r="J23" s="6">
        <v>1</v>
      </c>
      <c r="K23" s="7">
        <v>0.4</v>
      </c>
      <c r="L23" s="9">
        <f t="shared" si="2"/>
        <v>27</v>
      </c>
      <c r="M23">
        <v>2</v>
      </c>
      <c r="N23">
        <v>10</v>
      </c>
      <c r="O23">
        <v>16</v>
      </c>
      <c r="P23" s="13" t="str">
        <f t="shared" si="3"/>
        <v>2d10 + 16</v>
      </c>
      <c r="Q23">
        <f>ROUND(INDEX(Catalogue!E$4:E$85,MATCH(A23,Catalogue!A$4:A$85,0))*(1+Paramètres!$B$4*(C23-1)+Paramètres!$B$5*(C23-1)^2),0)</f>
        <v>18</v>
      </c>
      <c r="R23">
        <f>ROUND(INDEX(Catalogue!F$4:F$85,MATCH(A23,Catalogue!A$4:A$85,0))*(1+Paramètres!$B$4*(C23-1)+Paramètres!$B$5*(C23-1)^2),0)</f>
        <v>35</v>
      </c>
      <c r="S23">
        <f t="shared" si="4"/>
        <v>0.5</v>
      </c>
      <c r="T23" t="str">
        <f t="shared" si="5"/>
        <v>OK</v>
      </c>
      <c r="U23" s="25">
        <f t="shared" si="6"/>
        <v>27</v>
      </c>
      <c r="V23" t="str">
        <f t="shared" si="7"/>
        <v>OK</v>
      </c>
    </row>
    <row r="24" spans="1:22" ht="18" customHeight="1">
      <c r="A24" t="s">
        <v>82</v>
      </c>
      <c r="B24" t="s">
        <v>83</v>
      </c>
      <c r="C24">
        <v>1</v>
      </c>
      <c r="D24" t="s">
        <v>72</v>
      </c>
      <c r="E24" s="6">
        <f t="shared" si="0"/>
        <v>1</v>
      </c>
      <c r="F24" s="6">
        <f t="shared" si="1"/>
        <v>4</v>
      </c>
      <c r="G24" s="6">
        <f>ROUND(Catalogue!G5*SQRT((1+Paramètres!$B$4*(C24-1)+Paramètres!$B$5*(C24-1)^2)),0)</f>
        <v>0</v>
      </c>
      <c r="H24" s="6">
        <f>ROUND(Catalogue!H5*SQRT((1+Paramètres!$B$4*(C24-1)+Paramètres!$B$5*(C24-1)^2)),0)</f>
        <v>0</v>
      </c>
      <c r="I24" s="6">
        <v>2</v>
      </c>
      <c r="J24" s="6">
        <v>1</v>
      </c>
      <c r="K24" s="7">
        <v>0.3</v>
      </c>
      <c r="L24" s="9">
        <f t="shared" si="2"/>
        <v>2.5</v>
      </c>
      <c r="M24">
        <v>1</v>
      </c>
      <c r="N24">
        <v>4</v>
      </c>
      <c r="O24">
        <v>0</v>
      </c>
      <c r="P24" s="13" t="str">
        <f t="shared" si="3"/>
        <v>1d4</v>
      </c>
      <c r="Q24">
        <f>ROUND(INDEX(Catalogue!E$4:E$85,MATCH(A24,Catalogue!A$4:A$85,0))*(1+Paramètres!$B$4*(C24-1)+Paramètres!$B$5*(C24-1)^2),0)</f>
        <v>2</v>
      </c>
      <c r="R24">
        <f>ROUND(INDEX(Catalogue!F$4:F$85,MATCH(A24,Catalogue!A$4:A$85,0))*(1+Paramètres!$B$4*(C24-1)+Paramètres!$B$5*(C24-1)^2),0)</f>
        <v>3</v>
      </c>
      <c r="S24">
        <f t="shared" si="4"/>
        <v>0</v>
      </c>
      <c r="T24" t="str">
        <f t="shared" si="5"/>
        <v>OK</v>
      </c>
      <c r="U24" s="25">
        <f t="shared" si="6"/>
        <v>2.5</v>
      </c>
      <c r="V24" t="str">
        <f t="shared" si="7"/>
        <v>OK</v>
      </c>
    </row>
    <row r="25" spans="1:22" ht="18" customHeight="1">
      <c r="A25" t="s">
        <v>82</v>
      </c>
      <c r="B25" t="s">
        <v>83</v>
      </c>
      <c r="C25">
        <v>2</v>
      </c>
      <c r="D25" t="s">
        <v>72</v>
      </c>
      <c r="E25" s="6">
        <f t="shared" si="0"/>
        <v>1</v>
      </c>
      <c r="F25" s="6">
        <f t="shared" si="1"/>
        <v>4</v>
      </c>
      <c r="G25" s="6">
        <f>ROUND(Catalogue!G5*SQRT((1+Paramètres!$B$4*(C25-1)+Paramètres!$B$5*(C25-1)^2)),0)</f>
        <v>0</v>
      </c>
      <c r="H25" s="6">
        <f>ROUND(Catalogue!H5*SQRT((1+Paramètres!$B$4*(C25-1)+Paramètres!$B$5*(C25-1)^2)),0)</f>
        <v>0</v>
      </c>
      <c r="I25" s="6">
        <v>2</v>
      </c>
      <c r="J25" s="6">
        <v>1</v>
      </c>
      <c r="K25" s="7">
        <v>0.3</v>
      </c>
      <c r="L25" s="9">
        <f t="shared" si="2"/>
        <v>2.5</v>
      </c>
      <c r="M25">
        <v>1</v>
      </c>
      <c r="N25">
        <v>4</v>
      </c>
      <c r="O25">
        <v>0</v>
      </c>
      <c r="P25" s="13" t="str">
        <f t="shared" si="3"/>
        <v>1d4</v>
      </c>
      <c r="Q25">
        <f>ROUND(INDEX(Catalogue!E$4:E$85,MATCH(A25,Catalogue!A$4:A$85,0))*(1+Paramètres!$B$4*(C25-1)+Paramètres!$B$5*(C25-1)^2),0)</f>
        <v>2</v>
      </c>
      <c r="R25">
        <f>ROUND(INDEX(Catalogue!F$4:F$85,MATCH(A25,Catalogue!A$4:A$85,0))*(1+Paramètres!$B$4*(C25-1)+Paramètres!$B$5*(C25-1)^2),0)</f>
        <v>3</v>
      </c>
      <c r="S25">
        <f t="shared" si="4"/>
        <v>0</v>
      </c>
      <c r="T25" t="str">
        <f t="shared" si="5"/>
        <v>OK</v>
      </c>
      <c r="U25" s="25">
        <f t="shared" si="6"/>
        <v>2.5</v>
      </c>
      <c r="V25" t="str">
        <f t="shared" si="7"/>
        <v>OK</v>
      </c>
    </row>
    <row r="26" spans="1:22" ht="18" customHeight="1">
      <c r="A26" t="s">
        <v>82</v>
      </c>
      <c r="B26" t="s">
        <v>83</v>
      </c>
      <c r="C26">
        <v>3</v>
      </c>
      <c r="D26" t="s">
        <v>72</v>
      </c>
      <c r="E26" s="6">
        <f t="shared" si="0"/>
        <v>2</v>
      </c>
      <c r="F26" s="6">
        <f t="shared" si="1"/>
        <v>5</v>
      </c>
      <c r="G26" s="6">
        <f>ROUND(Catalogue!G5*SQRT((1+Paramètres!$B$4*(C26-1)+Paramètres!$B$5*(C26-1)^2)),0)</f>
        <v>0</v>
      </c>
      <c r="H26" s="6">
        <f>ROUND(Catalogue!H5*SQRT((1+Paramètres!$B$4*(C26-1)+Paramètres!$B$5*(C26-1)^2)),0)</f>
        <v>0</v>
      </c>
      <c r="I26" s="6">
        <v>2</v>
      </c>
      <c r="J26" s="6">
        <v>1</v>
      </c>
      <c r="K26" s="7">
        <v>0.3</v>
      </c>
      <c r="L26" s="9">
        <f t="shared" si="2"/>
        <v>3.5</v>
      </c>
      <c r="M26">
        <v>1</v>
      </c>
      <c r="N26">
        <v>4</v>
      </c>
      <c r="O26">
        <v>1</v>
      </c>
      <c r="P26" s="13" t="str">
        <f t="shared" si="3"/>
        <v>1d4 + 1</v>
      </c>
      <c r="Q26">
        <f>ROUND(INDEX(Catalogue!E$4:E$85,MATCH(A26,Catalogue!A$4:A$85,0))*(1+Paramètres!$B$4*(C26-1)+Paramètres!$B$5*(C26-1)^2),0)</f>
        <v>3</v>
      </c>
      <c r="R26">
        <f>ROUND(INDEX(Catalogue!F$4:F$85,MATCH(A26,Catalogue!A$4:A$85,0))*(1+Paramètres!$B$4*(C26-1)+Paramètres!$B$5*(C26-1)^2),0)</f>
        <v>4</v>
      </c>
      <c r="S26">
        <f t="shared" si="4"/>
        <v>0</v>
      </c>
      <c r="T26" t="str">
        <f t="shared" si="5"/>
        <v>OK</v>
      </c>
      <c r="U26" s="25">
        <f t="shared" si="6"/>
        <v>3.5</v>
      </c>
      <c r="V26" t="str">
        <f t="shared" si="7"/>
        <v>OK</v>
      </c>
    </row>
    <row r="27" spans="1:22" ht="18" customHeight="1">
      <c r="A27" t="s">
        <v>82</v>
      </c>
      <c r="B27" t="s">
        <v>83</v>
      </c>
      <c r="C27">
        <v>4</v>
      </c>
      <c r="D27" t="s">
        <v>72</v>
      </c>
      <c r="E27" s="6">
        <f t="shared" si="0"/>
        <v>2</v>
      </c>
      <c r="F27" s="6">
        <f t="shared" si="1"/>
        <v>5</v>
      </c>
      <c r="G27" s="6">
        <f>ROUND(Catalogue!G5*SQRT((1+Paramètres!$B$4*(C27-1)+Paramètres!$B$5*(C27-1)^2)),0)</f>
        <v>0</v>
      </c>
      <c r="H27" s="6">
        <f>ROUND(Catalogue!H5*SQRT((1+Paramètres!$B$4*(C27-1)+Paramètres!$B$5*(C27-1)^2)),0)</f>
        <v>0</v>
      </c>
      <c r="I27" s="6">
        <v>2</v>
      </c>
      <c r="J27" s="6">
        <v>1</v>
      </c>
      <c r="K27" s="7">
        <v>0.3</v>
      </c>
      <c r="L27" s="9">
        <f t="shared" si="2"/>
        <v>3.5</v>
      </c>
      <c r="M27">
        <v>1</v>
      </c>
      <c r="N27">
        <v>4</v>
      </c>
      <c r="O27">
        <v>1</v>
      </c>
      <c r="P27" s="13" t="str">
        <f t="shared" si="3"/>
        <v>1d4 + 1</v>
      </c>
      <c r="Q27">
        <f>ROUND(INDEX(Catalogue!E$4:E$85,MATCH(A27,Catalogue!A$4:A$85,0))*(1+Paramètres!$B$4*(C27-1)+Paramètres!$B$5*(C27-1)^2),0)</f>
        <v>3</v>
      </c>
      <c r="R27">
        <f>ROUND(INDEX(Catalogue!F$4:F$85,MATCH(A27,Catalogue!A$4:A$85,0))*(1+Paramètres!$B$4*(C27-1)+Paramètres!$B$5*(C27-1)^2),0)</f>
        <v>4</v>
      </c>
      <c r="S27">
        <f t="shared" si="4"/>
        <v>0</v>
      </c>
      <c r="T27" t="str">
        <f t="shared" si="5"/>
        <v>OK</v>
      </c>
      <c r="U27" s="25">
        <f t="shared" si="6"/>
        <v>3.5</v>
      </c>
      <c r="V27" t="str">
        <f t="shared" si="7"/>
        <v>OK</v>
      </c>
    </row>
    <row r="28" spans="1:22" ht="18" customHeight="1">
      <c r="A28" t="s">
        <v>82</v>
      </c>
      <c r="B28" t="s">
        <v>83</v>
      </c>
      <c r="C28">
        <v>5</v>
      </c>
      <c r="D28" t="s">
        <v>72</v>
      </c>
      <c r="E28" s="6">
        <f t="shared" si="0"/>
        <v>2</v>
      </c>
      <c r="F28" s="6">
        <f t="shared" si="1"/>
        <v>5</v>
      </c>
      <c r="G28" s="6">
        <f>ROUND(Catalogue!G5*SQRT((1+Paramètres!$B$4*(C28-1)+Paramètres!$B$5*(C28-1)^2)),0)</f>
        <v>0</v>
      </c>
      <c r="H28" s="6">
        <f>ROUND(Catalogue!H5*SQRT((1+Paramètres!$B$4*(C28-1)+Paramètres!$B$5*(C28-1)^2)),0)</f>
        <v>0</v>
      </c>
      <c r="I28" s="6">
        <v>2</v>
      </c>
      <c r="J28" s="6">
        <v>1</v>
      </c>
      <c r="K28" s="7">
        <v>0.3</v>
      </c>
      <c r="L28" s="9">
        <f t="shared" si="2"/>
        <v>3.5</v>
      </c>
      <c r="M28">
        <v>1</v>
      </c>
      <c r="N28">
        <v>4</v>
      </c>
      <c r="O28">
        <v>1</v>
      </c>
      <c r="P28" s="13" t="str">
        <f t="shared" si="3"/>
        <v>1d4 + 1</v>
      </c>
      <c r="Q28">
        <f>ROUND(INDEX(Catalogue!E$4:E$85,MATCH(A28,Catalogue!A$4:A$85,0))*(1+Paramètres!$B$4*(C28-1)+Paramètres!$B$5*(C28-1)^2),0)</f>
        <v>3</v>
      </c>
      <c r="R28">
        <f>ROUND(INDEX(Catalogue!F$4:F$85,MATCH(A28,Catalogue!A$4:A$85,0))*(1+Paramètres!$B$4*(C28-1)+Paramètres!$B$5*(C28-1)^2),0)</f>
        <v>5</v>
      </c>
      <c r="S28">
        <f t="shared" si="4"/>
        <v>-0.5</v>
      </c>
      <c r="T28" t="str">
        <f t="shared" si="5"/>
        <v>OK</v>
      </c>
      <c r="U28" s="25">
        <f t="shared" si="6"/>
        <v>3.5</v>
      </c>
      <c r="V28" t="str">
        <f t="shared" si="7"/>
        <v>OK</v>
      </c>
    </row>
    <row r="29" spans="1:22" ht="18" customHeight="1">
      <c r="A29" t="s">
        <v>82</v>
      </c>
      <c r="B29" t="s">
        <v>83</v>
      </c>
      <c r="C29">
        <v>6</v>
      </c>
      <c r="D29" t="s">
        <v>72</v>
      </c>
      <c r="E29" s="6">
        <f t="shared" si="0"/>
        <v>3</v>
      </c>
      <c r="F29" s="6">
        <f t="shared" si="1"/>
        <v>6</v>
      </c>
      <c r="G29" s="6">
        <f>ROUND(Catalogue!G5*SQRT((1+Paramètres!$B$4*(C29-1)+Paramètres!$B$5*(C29-1)^2)),0)</f>
        <v>0</v>
      </c>
      <c r="H29" s="6">
        <f>ROUND(Catalogue!H5*SQRT((1+Paramètres!$B$4*(C29-1)+Paramètres!$B$5*(C29-1)^2)),0)</f>
        <v>0</v>
      </c>
      <c r="I29" s="6">
        <v>2</v>
      </c>
      <c r="J29" s="6">
        <v>1</v>
      </c>
      <c r="K29" s="7">
        <v>0.3</v>
      </c>
      <c r="L29" s="9">
        <f t="shared" si="2"/>
        <v>4.5</v>
      </c>
      <c r="M29">
        <v>1</v>
      </c>
      <c r="N29">
        <v>4</v>
      </c>
      <c r="O29">
        <v>2</v>
      </c>
      <c r="P29" s="13" t="str">
        <f t="shared" si="3"/>
        <v>1d4 + 2</v>
      </c>
      <c r="Q29">
        <f>ROUND(INDEX(Catalogue!E$4:E$85,MATCH(A29,Catalogue!A$4:A$85,0))*(1+Paramètres!$B$4*(C29-1)+Paramètres!$B$5*(C29-1)^2),0)</f>
        <v>4</v>
      </c>
      <c r="R29">
        <f>ROUND(INDEX(Catalogue!F$4:F$85,MATCH(A29,Catalogue!A$4:A$85,0))*(1+Paramètres!$B$4*(C29-1)+Paramètres!$B$5*(C29-1)^2),0)</f>
        <v>6</v>
      </c>
      <c r="S29">
        <f t="shared" si="4"/>
        <v>-0.5</v>
      </c>
      <c r="T29" t="str">
        <f t="shared" si="5"/>
        <v>OK</v>
      </c>
      <c r="U29" s="25">
        <f t="shared" si="6"/>
        <v>4.5</v>
      </c>
      <c r="V29" t="str">
        <f t="shared" si="7"/>
        <v>OK</v>
      </c>
    </row>
    <row r="30" spans="1:22" ht="18" customHeight="1">
      <c r="A30" t="s">
        <v>82</v>
      </c>
      <c r="B30" t="s">
        <v>83</v>
      </c>
      <c r="C30">
        <v>7</v>
      </c>
      <c r="D30" t="s">
        <v>72</v>
      </c>
      <c r="E30" s="6">
        <f t="shared" si="0"/>
        <v>4</v>
      </c>
      <c r="F30" s="6">
        <f t="shared" si="1"/>
        <v>7</v>
      </c>
      <c r="G30" s="6">
        <f>ROUND(Catalogue!G5*SQRT((1+Paramètres!$B$4*(C30-1)+Paramètres!$B$5*(C30-1)^2)),0)</f>
        <v>0</v>
      </c>
      <c r="H30" s="6">
        <f>ROUND(Catalogue!H5*SQRT((1+Paramètres!$B$4*(C30-1)+Paramètres!$B$5*(C30-1)^2)),0)</f>
        <v>0</v>
      </c>
      <c r="I30" s="6">
        <v>2</v>
      </c>
      <c r="J30" s="6">
        <v>1</v>
      </c>
      <c r="K30" s="7">
        <v>0.3</v>
      </c>
      <c r="L30" s="9">
        <f t="shared" si="2"/>
        <v>5.5</v>
      </c>
      <c r="M30">
        <v>1</v>
      </c>
      <c r="N30">
        <v>4</v>
      </c>
      <c r="O30">
        <v>3</v>
      </c>
      <c r="P30" s="13" t="str">
        <f t="shared" si="3"/>
        <v>1d4 + 3</v>
      </c>
      <c r="Q30">
        <f>ROUND(INDEX(Catalogue!E$4:E$85,MATCH(A30,Catalogue!A$4:A$85,0))*(1+Paramètres!$B$4*(C30-1)+Paramètres!$B$5*(C30-1)^2),0)</f>
        <v>4</v>
      </c>
      <c r="R30">
        <f>ROUND(INDEX(Catalogue!F$4:F$85,MATCH(A30,Catalogue!A$4:A$85,0))*(1+Paramètres!$B$4*(C30-1)+Paramètres!$B$5*(C30-1)^2),0)</f>
        <v>7</v>
      </c>
      <c r="S30">
        <f t="shared" si="4"/>
        <v>0</v>
      </c>
      <c r="T30" t="str">
        <f t="shared" si="5"/>
        <v>OK</v>
      </c>
      <c r="U30" s="25">
        <f t="shared" si="6"/>
        <v>5.5</v>
      </c>
      <c r="V30" t="str">
        <f t="shared" si="7"/>
        <v>OK</v>
      </c>
    </row>
    <row r="31" spans="1:22" ht="18" customHeight="1">
      <c r="A31" t="s">
        <v>82</v>
      </c>
      <c r="B31" t="s">
        <v>83</v>
      </c>
      <c r="C31">
        <v>8</v>
      </c>
      <c r="D31" t="s">
        <v>72</v>
      </c>
      <c r="E31" s="6">
        <f t="shared" si="0"/>
        <v>5</v>
      </c>
      <c r="F31" s="6">
        <f t="shared" si="1"/>
        <v>8</v>
      </c>
      <c r="G31" s="6">
        <f>ROUND(Catalogue!G5*SQRT((1+Paramètres!$B$4*(C31-1)+Paramètres!$B$5*(C31-1)^2)),0)</f>
        <v>0</v>
      </c>
      <c r="H31" s="6">
        <f>ROUND(Catalogue!H5*SQRT((1+Paramètres!$B$4*(C31-1)+Paramètres!$B$5*(C31-1)^2)),0)</f>
        <v>0</v>
      </c>
      <c r="I31" s="6">
        <v>2</v>
      </c>
      <c r="J31" s="6">
        <v>1</v>
      </c>
      <c r="K31" s="7">
        <v>0.3</v>
      </c>
      <c r="L31" s="9">
        <f t="shared" si="2"/>
        <v>6.5</v>
      </c>
      <c r="M31">
        <v>1</v>
      </c>
      <c r="N31">
        <v>4</v>
      </c>
      <c r="O31">
        <v>4</v>
      </c>
      <c r="P31" s="13" t="str">
        <f t="shared" si="3"/>
        <v>1d4 + 4</v>
      </c>
      <c r="Q31">
        <f>ROUND(INDEX(Catalogue!E$4:E$85,MATCH(A31,Catalogue!A$4:A$85,0))*(1+Paramètres!$B$4*(C31-1)+Paramètres!$B$5*(C31-1)^2),0)</f>
        <v>5</v>
      </c>
      <c r="R31">
        <f>ROUND(INDEX(Catalogue!F$4:F$85,MATCH(A31,Catalogue!A$4:A$85,0))*(1+Paramètres!$B$4*(C31-1)+Paramètres!$B$5*(C31-1)^2),0)</f>
        <v>8</v>
      </c>
      <c r="S31">
        <f t="shared" si="4"/>
        <v>0</v>
      </c>
      <c r="T31" t="str">
        <f t="shared" si="5"/>
        <v>OK</v>
      </c>
      <c r="U31" s="25">
        <f t="shared" si="6"/>
        <v>6.5</v>
      </c>
      <c r="V31" t="str">
        <f t="shared" si="7"/>
        <v>OK</v>
      </c>
    </row>
    <row r="32" spans="1:22" ht="18" customHeight="1">
      <c r="A32" t="s">
        <v>82</v>
      </c>
      <c r="B32" t="s">
        <v>83</v>
      </c>
      <c r="C32">
        <v>9</v>
      </c>
      <c r="D32" t="s">
        <v>72</v>
      </c>
      <c r="E32" s="6">
        <f t="shared" si="0"/>
        <v>6</v>
      </c>
      <c r="F32" s="6">
        <f t="shared" si="1"/>
        <v>9</v>
      </c>
      <c r="G32" s="6">
        <f>ROUND(Catalogue!G5*SQRT((1+Paramètres!$B$4*(C32-1)+Paramètres!$B$5*(C32-1)^2)),0)</f>
        <v>0</v>
      </c>
      <c r="H32" s="6">
        <f>ROUND(Catalogue!H5*SQRT((1+Paramètres!$B$4*(C32-1)+Paramètres!$B$5*(C32-1)^2)),0)</f>
        <v>0</v>
      </c>
      <c r="I32" s="6">
        <v>2</v>
      </c>
      <c r="J32" s="6">
        <v>1</v>
      </c>
      <c r="K32" s="7">
        <v>0.3</v>
      </c>
      <c r="L32" s="9">
        <f t="shared" si="2"/>
        <v>7.5</v>
      </c>
      <c r="M32">
        <v>1</v>
      </c>
      <c r="N32">
        <v>4</v>
      </c>
      <c r="O32">
        <v>5</v>
      </c>
      <c r="P32" s="13" t="str">
        <f t="shared" si="3"/>
        <v>1d4 + 5</v>
      </c>
      <c r="Q32">
        <f>ROUND(INDEX(Catalogue!E$4:E$85,MATCH(A32,Catalogue!A$4:A$85,0))*(1+Paramètres!$B$4*(C32-1)+Paramètres!$B$5*(C32-1)^2),0)</f>
        <v>6</v>
      </c>
      <c r="R32">
        <f>ROUND(INDEX(Catalogue!F$4:F$85,MATCH(A32,Catalogue!A$4:A$85,0))*(1+Paramètres!$B$4*(C32-1)+Paramètres!$B$5*(C32-1)^2),0)</f>
        <v>9</v>
      </c>
      <c r="S32">
        <f t="shared" si="4"/>
        <v>0</v>
      </c>
      <c r="T32" t="str">
        <f t="shared" si="5"/>
        <v>OK</v>
      </c>
      <c r="U32" s="25">
        <f t="shared" si="6"/>
        <v>7.5</v>
      </c>
      <c r="V32" t="str">
        <f t="shared" si="7"/>
        <v>OK</v>
      </c>
    </row>
    <row r="33" spans="1:22" ht="18" customHeight="1">
      <c r="A33" t="s">
        <v>82</v>
      </c>
      <c r="B33" t="s">
        <v>83</v>
      </c>
      <c r="C33">
        <v>10</v>
      </c>
      <c r="D33" t="s">
        <v>72</v>
      </c>
      <c r="E33" s="6">
        <f t="shared" si="0"/>
        <v>7</v>
      </c>
      <c r="F33" s="6">
        <f t="shared" si="1"/>
        <v>10</v>
      </c>
      <c r="G33" s="6">
        <f>ROUND(Catalogue!G5*SQRT((1+Paramètres!$B$4*(C33-1)+Paramètres!$B$5*(C33-1)^2)),0)</f>
        <v>0</v>
      </c>
      <c r="H33" s="6">
        <f>ROUND(Catalogue!H5*SQRT((1+Paramètres!$B$4*(C33-1)+Paramètres!$B$5*(C33-1)^2)),0)</f>
        <v>0</v>
      </c>
      <c r="I33" s="6">
        <v>2</v>
      </c>
      <c r="J33" s="6">
        <v>1</v>
      </c>
      <c r="K33" s="7">
        <v>0.3</v>
      </c>
      <c r="L33" s="9">
        <f t="shared" si="2"/>
        <v>8.5</v>
      </c>
      <c r="M33">
        <v>1</v>
      </c>
      <c r="N33">
        <v>4</v>
      </c>
      <c r="O33">
        <v>6</v>
      </c>
      <c r="P33" s="13" t="str">
        <f t="shared" si="3"/>
        <v>1d4 + 6</v>
      </c>
      <c r="Q33">
        <f>ROUND(INDEX(Catalogue!E$4:E$85,MATCH(A33,Catalogue!A$4:A$85,0))*(1+Paramètres!$B$4*(C33-1)+Paramètres!$B$5*(C33-1)^2),0)</f>
        <v>7</v>
      </c>
      <c r="R33">
        <f>ROUND(INDEX(Catalogue!F$4:F$85,MATCH(A33,Catalogue!A$4:A$85,0))*(1+Paramètres!$B$4*(C33-1)+Paramètres!$B$5*(C33-1)^2),0)</f>
        <v>10</v>
      </c>
      <c r="S33">
        <f t="shared" si="4"/>
        <v>0</v>
      </c>
      <c r="T33" t="str">
        <f t="shared" si="5"/>
        <v>OK</v>
      </c>
      <c r="U33" s="25">
        <f t="shared" si="6"/>
        <v>8.5</v>
      </c>
      <c r="V33" t="str">
        <f t="shared" si="7"/>
        <v>OK</v>
      </c>
    </row>
    <row r="34" spans="1:22" ht="18" customHeight="1">
      <c r="A34" t="s">
        <v>82</v>
      </c>
      <c r="B34" t="s">
        <v>83</v>
      </c>
      <c r="C34">
        <v>11</v>
      </c>
      <c r="D34" t="s">
        <v>72</v>
      </c>
      <c r="E34" s="6">
        <f t="shared" si="0"/>
        <v>7</v>
      </c>
      <c r="F34" s="6">
        <f t="shared" si="1"/>
        <v>10</v>
      </c>
      <c r="G34" s="6">
        <f>ROUND(Catalogue!G5*SQRT((1+Paramètres!$B$4*(C34-1)+Paramètres!$B$5*(C34-1)^2)),0)</f>
        <v>0</v>
      </c>
      <c r="H34" s="6">
        <f>ROUND(Catalogue!H5*SQRT((1+Paramètres!$B$4*(C34-1)+Paramètres!$B$5*(C34-1)^2)),0)</f>
        <v>0</v>
      </c>
      <c r="I34" s="6">
        <v>2</v>
      </c>
      <c r="J34" s="6">
        <v>1</v>
      </c>
      <c r="K34" s="7">
        <v>0.3</v>
      </c>
      <c r="L34" s="9">
        <f t="shared" si="2"/>
        <v>8.5</v>
      </c>
      <c r="M34">
        <v>1</v>
      </c>
      <c r="N34">
        <v>4</v>
      </c>
      <c r="O34">
        <v>6</v>
      </c>
      <c r="P34" s="13" t="str">
        <f t="shared" si="3"/>
        <v>1d4 + 6</v>
      </c>
      <c r="Q34">
        <f>ROUND(INDEX(Catalogue!E$4:E$85,MATCH(A34,Catalogue!A$4:A$85,0))*(1+Paramètres!$B$4*(C34-1)+Paramètres!$B$5*(C34-1)^2),0)</f>
        <v>7</v>
      </c>
      <c r="R34">
        <f>ROUND(INDEX(Catalogue!F$4:F$85,MATCH(A34,Catalogue!A$4:A$85,0))*(1+Paramètres!$B$4*(C34-1)+Paramètres!$B$5*(C34-1)^2),0)</f>
        <v>11</v>
      </c>
      <c r="S34">
        <f t="shared" si="4"/>
        <v>-0.5</v>
      </c>
      <c r="T34" t="str">
        <f t="shared" si="5"/>
        <v>OK</v>
      </c>
      <c r="U34" s="25">
        <f t="shared" si="6"/>
        <v>8.5</v>
      </c>
      <c r="V34" t="str">
        <f t="shared" si="7"/>
        <v>OK</v>
      </c>
    </row>
    <row r="35" spans="1:22" ht="18" customHeight="1">
      <c r="A35" t="s">
        <v>82</v>
      </c>
      <c r="B35" t="s">
        <v>83</v>
      </c>
      <c r="C35">
        <v>12</v>
      </c>
      <c r="D35" t="s">
        <v>72</v>
      </c>
      <c r="E35" s="6">
        <f t="shared" si="0"/>
        <v>9</v>
      </c>
      <c r="F35" s="6">
        <f t="shared" si="1"/>
        <v>12</v>
      </c>
      <c r="G35" s="6">
        <f>ROUND(Catalogue!G5*SQRT((1+Paramètres!$B$4*(C35-1)+Paramètres!$B$5*(C35-1)^2)),0)</f>
        <v>0</v>
      </c>
      <c r="H35" s="6">
        <f>ROUND(Catalogue!H5*SQRT((1+Paramètres!$B$4*(C35-1)+Paramètres!$B$5*(C35-1)^2)),0)</f>
        <v>0</v>
      </c>
      <c r="I35" s="6">
        <v>2</v>
      </c>
      <c r="J35" s="6">
        <v>1</v>
      </c>
      <c r="K35" s="7">
        <v>0.3</v>
      </c>
      <c r="L35" s="9">
        <f t="shared" si="2"/>
        <v>10.5</v>
      </c>
      <c r="M35">
        <v>1</v>
      </c>
      <c r="N35">
        <v>4</v>
      </c>
      <c r="O35">
        <v>8</v>
      </c>
      <c r="P35" s="13" t="str">
        <f t="shared" si="3"/>
        <v>1d4 + 8</v>
      </c>
      <c r="Q35">
        <f>ROUND(INDEX(Catalogue!E$4:E$85,MATCH(A35,Catalogue!A$4:A$85,0))*(1+Paramètres!$B$4*(C35-1)+Paramètres!$B$5*(C35-1)^2),0)</f>
        <v>8</v>
      </c>
      <c r="R35">
        <f>ROUND(INDEX(Catalogue!F$4:F$85,MATCH(A35,Catalogue!A$4:A$85,0))*(1+Paramètres!$B$4*(C35-1)+Paramètres!$B$5*(C35-1)^2),0)</f>
        <v>12</v>
      </c>
      <c r="S35">
        <f t="shared" si="4"/>
        <v>0.5</v>
      </c>
      <c r="T35" t="str">
        <f t="shared" si="5"/>
        <v>OK</v>
      </c>
      <c r="U35" s="25">
        <f t="shared" si="6"/>
        <v>10.5</v>
      </c>
      <c r="V35" t="str">
        <f t="shared" si="7"/>
        <v>OK</v>
      </c>
    </row>
    <row r="36" spans="1:22" ht="18" customHeight="1">
      <c r="A36" t="s">
        <v>82</v>
      </c>
      <c r="B36" t="s">
        <v>83</v>
      </c>
      <c r="C36">
        <v>13</v>
      </c>
      <c r="D36" t="s">
        <v>72</v>
      </c>
      <c r="E36" s="6">
        <f t="shared" si="0"/>
        <v>9</v>
      </c>
      <c r="F36" s="6">
        <f t="shared" si="1"/>
        <v>14</v>
      </c>
      <c r="G36" s="6">
        <f>ROUND(Catalogue!G5*SQRT((1+Paramètres!$B$4*(C36-1)+Paramètres!$B$5*(C36-1)^2)),0)</f>
        <v>0</v>
      </c>
      <c r="H36" s="6">
        <f>ROUND(Catalogue!H5*SQRT((1+Paramètres!$B$4*(C36-1)+Paramètres!$B$5*(C36-1)^2)),0)</f>
        <v>0</v>
      </c>
      <c r="I36" s="6">
        <v>2</v>
      </c>
      <c r="J36" s="6">
        <v>1</v>
      </c>
      <c r="K36" s="7">
        <v>0.3</v>
      </c>
      <c r="L36" s="9">
        <f t="shared" si="2"/>
        <v>11.5</v>
      </c>
      <c r="M36">
        <v>1</v>
      </c>
      <c r="N36">
        <v>6</v>
      </c>
      <c r="O36">
        <v>8</v>
      </c>
      <c r="P36" s="13" t="str">
        <f t="shared" si="3"/>
        <v>1d6 + 8</v>
      </c>
      <c r="Q36">
        <f>ROUND(INDEX(Catalogue!E$4:E$85,MATCH(A36,Catalogue!A$4:A$85,0))*(1+Paramètres!$B$4*(C36-1)+Paramètres!$B$5*(C36-1)^2),0)</f>
        <v>9</v>
      </c>
      <c r="R36">
        <f>ROUND(INDEX(Catalogue!F$4:F$85,MATCH(A36,Catalogue!A$4:A$85,0))*(1+Paramètres!$B$4*(C36-1)+Paramètres!$B$5*(C36-1)^2),0)</f>
        <v>14</v>
      </c>
      <c r="S36">
        <f t="shared" si="4"/>
        <v>0</v>
      </c>
      <c r="T36" t="str">
        <f t="shared" si="5"/>
        <v>OK</v>
      </c>
      <c r="U36" s="25">
        <f t="shared" si="6"/>
        <v>11.5</v>
      </c>
      <c r="V36" t="str">
        <f t="shared" si="7"/>
        <v>OK</v>
      </c>
    </row>
    <row r="37" spans="1:22" ht="18" customHeight="1">
      <c r="A37" t="s">
        <v>82</v>
      </c>
      <c r="B37" t="s">
        <v>83</v>
      </c>
      <c r="C37">
        <v>14</v>
      </c>
      <c r="D37" t="s">
        <v>72</v>
      </c>
      <c r="E37" s="6">
        <f t="shared" si="0"/>
        <v>10</v>
      </c>
      <c r="F37" s="6">
        <f t="shared" si="1"/>
        <v>15</v>
      </c>
      <c r="G37" s="6">
        <f>ROUND(Catalogue!G5*SQRT((1+Paramètres!$B$4*(C37-1)+Paramètres!$B$5*(C37-1)^2)),0)</f>
        <v>0</v>
      </c>
      <c r="H37" s="6">
        <f>ROUND(Catalogue!H5*SQRT((1+Paramètres!$B$4*(C37-1)+Paramètres!$B$5*(C37-1)^2)),0)</f>
        <v>0</v>
      </c>
      <c r="I37" s="6">
        <v>2</v>
      </c>
      <c r="J37" s="6">
        <v>1</v>
      </c>
      <c r="K37" s="7">
        <v>0.3</v>
      </c>
      <c r="L37" s="9">
        <f t="shared" si="2"/>
        <v>12.5</v>
      </c>
      <c r="M37">
        <v>1</v>
      </c>
      <c r="N37">
        <v>6</v>
      </c>
      <c r="O37">
        <v>9</v>
      </c>
      <c r="P37" s="13" t="str">
        <f t="shared" si="3"/>
        <v>1d6 + 9</v>
      </c>
      <c r="Q37">
        <f>ROUND(INDEX(Catalogue!E$4:E$85,MATCH(A37,Catalogue!A$4:A$85,0))*(1+Paramètres!$B$4*(C37-1)+Paramètres!$B$5*(C37-1)^2),0)</f>
        <v>10</v>
      </c>
      <c r="R37">
        <f>ROUND(INDEX(Catalogue!F$4:F$85,MATCH(A37,Catalogue!A$4:A$85,0))*(1+Paramètres!$B$4*(C37-1)+Paramètres!$B$5*(C37-1)^2),0)</f>
        <v>15</v>
      </c>
      <c r="S37">
        <f t="shared" si="4"/>
        <v>0</v>
      </c>
      <c r="T37" t="str">
        <f t="shared" si="5"/>
        <v>OK</v>
      </c>
      <c r="U37" s="25">
        <f t="shared" si="6"/>
        <v>12.5</v>
      </c>
      <c r="V37" t="str">
        <f t="shared" si="7"/>
        <v>OK</v>
      </c>
    </row>
    <row r="38" spans="1:22" ht="18" customHeight="1">
      <c r="A38" t="s">
        <v>82</v>
      </c>
      <c r="B38" t="s">
        <v>83</v>
      </c>
      <c r="C38">
        <v>15</v>
      </c>
      <c r="D38" t="s">
        <v>72</v>
      </c>
      <c r="E38" s="6">
        <f t="shared" si="0"/>
        <v>11</v>
      </c>
      <c r="F38" s="6">
        <f t="shared" si="1"/>
        <v>17</v>
      </c>
      <c r="G38" s="6">
        <f>ROUND(Catalogue!G5*SQRT((1+Paramètres!$B$4*(C38-1)+Paramètres!$B$5*(C38-1)^2)),0)</f>
        <v>0</v>
      </c>
      <c r="H38" s="6">
        <f>ROUND(Catalogue!H5*SQRT((1+Paramètres!$B$4*(C38-1)+Paramètres!$B$5*(C38-1)^2)),0)</f>
        <v>0</v>
      </c>
      <c r="I38" s="6">
        <v>2</v>
      </c>
      <c r="J38" s="6">
        <v>1</v>
      </c>
      <c r="K38" s="7">
        <v>0.3</v>
      </c>
      <c r="L38" s="9">
        <f t="shared" si="2"/>
        <v>14</v>
      </c>
      <c r="M38">
        <v>2</v>
      </c>
      <c r="N38">
        <v>4</v>
      </c>
      <c r="O38">
        <v>9</v>
      </c>
      <c r="P38" s="13" t="str">
        <f t="shared" si="3"/>
        <v>2d4 + 9</v>
      </c>
      <c r="Q38">
        <f>ROUND(INDEX(Catalogue!E$4:E$85,MATCH(A38,Catalogue!A$4:A$85,0))*(1+Paramètres!$B$4*(C38-1)+Paramètres!$B$5*(C38-1)^2),0)</f>
        <v>11</v>
      </c>
      <c r="R38">
        <f>ROUND(INDEX(Catalogue!F$4:F$85,MATCH(A38,Catalogue!A$4:A$85,0))*(1+Paramètres!$B$4*(C38-1)+Paramètres!$B$5*(C38-1)^2),0)</f>
        <v>17</v>
      </c>
      <c r="S38">
        <f t="shared" si="4"/>
        <v>0</v>
      </c>
      <c r="T38" t="str">
        <f t="shared" si="5"/>
        <v>OK</v>
      </c>
      <c r="U38" s="25">
        <f t="shared" si="6"/>
        <v>14</v>
      </c>
      <c r="V38" t="str">
        <f t="shared" si="7"/>
        <v>OK</v>
      </c>
    </row>
    <row r="39" spans="1:22" ht="18" customHeight="1">
      <c r="A39" t="s">
        <v>82</v>
      </c>
      <c r="B39" t="s">
        <v>83</v>
      </c>
      <c r="C39">
        <v>16</v>
      </c>
      <c r="D39" t="s">
        <v>72</v>
      </c>
      <c r="E39" s="6">
        <f t="shared" si="0"/>
        <v>13</v>
      </c>
      <c r="F39" s="6">
        <f t="shared" si="1"/>
        <v>19</v>
      </c>
      <c r="G39" s="6">
        <f>ROUND(Catalogue!G5*SQRT((1+Paramètres!$B$4*(C39-1)+Paramètres!$B$5*(C39-1)^2)),0)</f>
        <v>0</v>
      </c>
      <c r="H39" s="6">
        <f>ROUND(Catalogue!H5*SQRT((1+Paramètres!$B$4*(C39-1)+Paramètres!$B$5*(C39-1)^2)),0)</f>
        <v>0</v>
      </c>
      <c r="I39" s="6">
        <v>2</v>
      </c>
      <c r="J39" s="6">
        <v>1</v>
      </c>
      <c r="K39" s="7">
        <v>0.3</v>
      </c>
      <c r="L39" s="9">
        <f t="shared" si="2"/>
        <v>16</v>
      </c>
      <c r="M39">
        <v>2</v>
      </c>
      <c r="N39">
        <v>4</v>
      </c>
      <c r="O39">
        <v>11</v>
      </c>
      <c r="P39" s="13" t="str">
        <f t="shared" si="3"/>
        <v>2d4 + 11</v>
      </c>
      <c r="Q39">
        <f>ROUND(INDEX(Catalogue!E$4:E$85,MATCH(A39,Catalogue!A$4:A$85,0))*(1+Paramètres!$B$4*(C39-1)+Paramètres!$B$5*(C39-1)^2),0)</f>
        <v>13</v>
      </c>
      <c r="R39">
        <f>ROUND(INDEX(Catalogue!F$4:F$85,MATCH(A39,Catalogue!A$4:A$85,0))*(1+Paramètres!$B$4*(C39-1)+Paramètres!$B$5*(C39-1)^2),0)</f>
        <v>19</v>
      </c>
      <c r="S39">
        <f t="shared" si="4"/>
        <v>0</v>
      </c>
      <c r="T39" t="str">
        <f t="shared" si="5"/>
        <v>OK</v>
      </c>
      <c r="U39" s="25">
        <f t="shared" si="6"/>
        <v>16</v>
      </c>
      <c r="V39" t="str">
        <f t="shared" si="7"/>
        <v>OK</v>
      </c>
    </row>
    <row r="40" spans="1:22" ht="18" customHeight="1">
      <c r="A40" t="s">
        <v>82</v>
      </c>
      <c r="B40" t="s">
        <v>83</v>
      </c>
      <c r="C40">
        <v>17</v>
      </c>
      <c r="D40" t="s">
        <v>72</v>
      </c>
      <c r="E40" s="6">
        <f t="shared" si="0"/>
        <v>14</v>
      </c>
      <c r="F40" s="6">
        <f t="shared" si="1"/>
        <v>21</v>
      </c>
      <c r="G40" s="6">
        <f>ROUND(Catalogue!G5*SQRT((1+Paramètres!$B$4*(C40-1)+Paramètres!$B$5*(C40-1)^2)),0)</f>
        <v>0</v>
      </c>
      <c r="H40" s="6">
        <f>ROUND(Catalogue!H5*SQRT((1+Paramètres!$B$4*(C40-1)+Paramètres!$B$5*(C40-1)^2)),0)</f>
        <v>0</v>
      </c>
      <c r="I40" s="6">
        <v>2</v>
      </c>
      <c r="J40" s="6">
        <v>1</v>
      </c>
      <c r="K40" s="7">
        <v>0.3</v>
      </c>
      <c r="L40" s="9">
        <f t="shared" si="2"/>
        <v>17.5</v>
      </c>
      <c r="M40">
        <v>1</v>
      </c>
      <c r="N40">
        <v>8</v>
      </c>
      <c r="O40">
        <v>13</v>
      </c>
      <c r="P40" s="13" t="str">
        <f t="shared" si="3"/>
        <v>1d8 + 13</v>
      </c>
      <c r="Q40">
        <f>ROUND(INDEX(Catalogue!E$4:E$85,MATCH(A40,Catalogue!A$4:A$85,0))*(1+Paramètres!$B$4*(C40-1)+Paramètres!$B$5*(C40-1)^2),0)</f>
        <v>14</v>
      </c>
      <c r="R40">
        <f>ROUND(INDEX(Catalogue!F$4:F$85,MATCH(A40,Catalogue!A$4:A$85,0))*(1+Paramètres!$B$4*(C40-1)+Paramètres!$B$5*(C40-1)^2),0)</f>
        <v>21</v>
      </c>
      <c r="S40">
        <f t="shared" si="4"/>
        <v>0</v>
      </c>
      <c r="T40" t="str">
        <f t="shared" si="5"/>
        <v>OK</v>
      </c>
      <c r="U40" s="25">
        <f t="shared" si="6"/>
        <v>17.5</v>
      </c>
      <c r="V40" t="str">
        <f t="shared" si="7"/>
        <v>OK</v>
      </c>
    </row>
    <row r="41" spans="1:22" ht="18" customHeight="1">
      <c r="A41" t="s">
        <v>82</v>
      </c>
      <c r="B41" t="s">
        <v>83</v>
      </c>
      <c r="C41">
        <v>18</v>
      </c>
      <c r="D41" t="s">
        <v>72</v>
      </c>
      <c r="E41" s="6">
        <f t="shared" si="0"/>
        <v>15</v>
      </c>
      <c r="F41" s="6">
        <f t="shared" si="1"/>
        <v>22</v>
      </c>
      <c r="G41" s="6">
        <f>ROUND(Catalogue!G5*SQRT((1+Paramètres!$B$4*(C41-1)+Paramètres!$B$5*(C41-1)^2)),0)</f>
        <v>0</v>
      </c>
      <c r="H41" s="6">
        <f>ROUND(Catalogue!H5*SQRT((1+Paramètres!$B$4*(C41-1)+Paramètres!$B$5*(C41-1)^2)),0)</f>
        <v>0</v>
      </c>
      <c r="I41" s="6">
        <v>2</v>
      </c>
      <c r="J41" s="6">
        <v>1</v>
      </c>
      <c r="K41" s="7">
        <v>0.3</v>
      </c>
      <c r="L41" s="9">
        <f t="shared" si="2"/>
        <v>18.5</v>
      </c>
      <c r="M41">
        <v>1</v>
      </c>
      <c r="N41">
        <v>8</v>
      </c>
      <c r="O41">
        <v>14</v>
      </c>
      <c r="P41" s="13" t="str">
        <f t="shared" si="3"/>
        <v>1d8 + 14</v>
      </c>
      <c r="Q41">
        <f>ROUND(INDEX(Catalogue!E$4:E$85,MATCH(A41,Catalogue!A$4:A$85,0))*(1+Paramètres!$B$4*(C41-1)+Paramètres!$B$5*(C41-1)^2),0)</f>
        <v>15</v>
      </c>
      <c r="R41">
        <f>ROUND(INDEX(Catalogue!F$4:F$85,MATCH(A41,Catalogue!A$4:A$85,0))*(1+Paramètres!$B$4*(C41-1)+Paramètres!$B$5*(C41-1)^2),0)</f>
        <v>22</v>
      </c>
      <c r="S41">
        <f t="shared" si="4"/>
        <v>0</v>
      </c>
      <c r="T41" t="str">
        <f t="shared" si="5"/>
        <v>OK</v>
      </c>
      <c r="U41" s="25">
        <f t="shared" si="6"/>
        <v>18.5</v>
      </c>
      <c r="V41" t="str">
        <f t="shared" si="7"/>
        <v>OK</v>
      </c>
    </row>
    <row r="42" spans="1:22" ht="18" customHeight="1">
      <c r="A42" t="s">
        <v>82</v>
      </c>
      <c r="B42" t="s">
        <v>83</v>
      </c>
      <c r="C42">
        <v>19</v>
      </c>
      <c r="D42" t="s">
        <v>72</v>
      </c>
      <c r="E42" s="6">
        <f t="shared" si="0"/>
        <v>15</v>
      </c>
      <c r="F42" s="6">
        <f t="shared" si="1"/>
        <v>24</v>
      </c>
      <c r="G42" s="6">
        <f>ROUND(Catalogue!G5*SQRT((1+Paramètres!$B$4*(C42-1)+Paramètres!$B$5*(C42-1)^2)),0)</f>
        <v>0</v>
      </c>
      <c r="H42" s="6">
        <f>ROUND(Catalogue!H5*SQRT((1+Paramètres!$B$4*(C42-1)+Paramètres!$B$5*(C42-1)^2)),0)</f>
        <v>0</v>
      </c>
      <c r="I42" s="6">
        <v>2</v>
      </c>
      <c r="J42" s="6">
        <v>1</v>
      </c>
      <c r="K42" s="7">
        <v>0.3</v>
      </c>
      <c r="L42" s="9">
        <f t="shared" si="2"/>
        <v>19.5</v>
      </c>
      <c r="M42">
        <v>3</v>
      </c>
      <c r="N42">
        <v>4</v>
      </c>
      <c r="O42">
        <v>12</v>
      </c>
      <c r="P42" s="13" t="str">
        <f t="shared" si="3"/>
        <v>3d4 + 12</v>
      </c>
      <c r="Q42">
        <f>ROUND(INDEX(Catalogue!E$4:E$85,MATCH(A42,Catalogue!A$4:A$85,0))*(1+Paramètres!$B$4*(C42-1)+Paramètres!$B$5*(C42-1)^2),0)</f>
        <v>16</v>
      </c>
      <c r="R42">
        <f>ROUND(INDEX(Catalogue!F$4:F$85,MATCH(A42,Catalogue!A$4:A$85,0))*(1+Paramètres!$B$4*(C42-1)+Paramètres!$B$5*(C42-1)^2),0)</f>
        <v>24</v>
      </c>
      <c r="S42">
        <f t="shared" si="4"/>
        <v>-0.5</v>
      </c>
      <c r="T42" t="str">
        <f t="shared" si="5"/>
        <v>OK</v>
      </c>
      <c r="U42" s="25">
        <f t="shared" si="6"/>
        <v>19.5</v>
      </c>
      <c r="V42" t="str">
        <f t="shared" si="7"/>
        <v>OK</v>
      </c>
    </row>
    <row r="43" spans="1:22" ht="18" customHeight="1">
      <c r="A43" t="s">
        <v>82</v>
      </c>
      <c r="B43" t="s">
        <v>83</v>
      </c>
      <c r="C43">
        <v>20</v>
      </c>
      <c r="D43" t="s">
        <v>72</v>
      </c>
      <c r="E43" s="6">
        <f t="shared" si="0"/>
        <v>18</v>
      </c>
      <c r="F43" s="6">
        <f t="shared" si="1"/>
        <v>27</v>
      </c>
      <c r="G43" s="6">
        <f>ROUND(Catalogue!G5*SQRT((1+Paramètres!$B$4*(C43-1)+Paramètres!$B$5*(C43-1)^2)),0)</f>
        <v>0</v>
      </c>
      <c r="H43" s="6">
        <f>ROUND(Catalogue!H5*SQRT((1+Paramètres!$B$4*(C43-1)+Paramètres!$B$5*(C43-1)^2)),0)</f>
        <v>0</v>
      </c>
      <c r="I43" s="6">
        <v>2</v>
      </c>
      <c r="J43" s="6">
        <v>1</v>
      </c>
      <c r="K43" s="7">
        <v>0.3</v>
      </c>
      <c r="L43" s="9">
        <f t="shared" si="2"/>
        <v>22.5</v>
      </c>
      <c r="M43">
        <v>3</v>
      </c>
      <c r="N43">
        <v>4</v>
      </c>
      <c r="O43">
        <v>15</v>
      </c>
      <c r="P43" s="13" t="str">
        <f t="shared" si="3"/>
        <v>3d4 + 15</v>
      </c>
      <c r="Q43">
        <f>ROUND(INDEX(Catalogue!E$4:E$85,MATCH(A43,Catalogue!A$4:A$85,0))*(1+Paramètres!$B$4*(C43-1)+Paramètres!$B$5*(C43-1)^2),0)</f>
        <v>18</v>
      </c>
      <c r="R43">
        <f>ROUND(INDEX(Catalogue!F$4:F$85,MATCH(A43,Catalogue!A$4:A$85,0))*(1+Paramètres!$B$4*(C43-1)+Paramètres!$B$5*(C43-1)^2),0)</f>
        <v>27</v>
      </c>
      <c r="S43">
        <f t="shared" si="4"/>
        <v>0</v>
      </c>
      <c r="T43" t="str">
        <f t="shared" si="5"/>
        <v>OK</v>
      </c>
      <c r="U43" s="25">
        <f t="shared" si="6"/>
        <v>22.5</v>
      </c>
      <c r="V43" t="str">
        <f t="shared" si="7"/>
        <v>OK</v>
      </c>
    </row>
    <row r="44" spans="1:22" ht="18" customHeight="1">
      <c r="A44" t="s">
        <v>86</v>
      </c>
      <c r="B44" t="s">
        <v>87</v>
      </c>
      <c r="C44">
        <v>1</v>
      </c>
      <c r="D44" t="s">
        <v>72</v>
      </c>
      <c r="E44" s="6">
        <f t="shared" si="0"/>
        <v>1</v>
      </c>
      <c r="F44" s="6">
        <f t="shared" si="1"/>
        <v>4</v>
      </c>
      <c r="G44" s="6">
        <f>ROUND(Catalogue!G6*SQRT((1+Paramètres!$B$4*(C44-1)+Paramètres!$B$5*(C44-1)^2)),0)</f>
        <v>0</v>
      </c>
      <c r="H44" s="6">
        <f>ROUND(Catalogue!H6*SQRT((1+Paramètres!$B$4*(C44-1)+Paramètres!$B$5*(C44-1)^2)),0)</f>
        <v>0</v>
      </c>
      <c r="I44" s="6">
        <v>2</v>
      </c>
      <c r="J44" s="6">
        <v>1</v>
      </c>
      <c r="K44" s="7">
        <v>0.25</v>
      </c>
      <c r="L44" s="9">
        <f t="shared" si="2"/>
        <v>2.5</v>
      </c>
      <c r="M44">
        <v>1</v>
      </c>
      <c r="N44">
        <v>4</v>
      </c>
      <c r="O44">
        <v>0</v>
      </c>
      <c r="P44" s="13" t="str">
        <f t="shared" si="3"/>
        <v>1d4</v>
      </c>
      <c r="Q44">
        <f>ROUND(INDEX(Catalogue!E$4:E$85,MATCH(A44,Catalogue!A$4:A$85,0))*(1+Paramètres!$B$4*(C44-1)+Paramètres!$B$5*(C44-1)^2),0)</f>
        <v>1</v>
      </c>
      <c r="R44">
        <f>ROUND(INDEX(Catalogue!F$4:F$85,MATCH(A44,Catalogue!A$4:A$85,0))*(1+Paramètres!$B$4*(C44-1)+Paramètres!$B$5*(C44-1)^2),0)</f>
        <v>4</v>
      </c>
      <c r="S44">
        <f t="shared" si="4"/>
        <v>0</v>
      </c>
      <c r="T44" t="str">
        <f t="shared" si="5"/>
        <v>OK</v>
      </c>
      <c r="U44" s="25">
        <f t="shared" si="6"/>
        <v>2.5</v>
      </c>
      <c r="V44" t="str">
        <f t="shared" si="7"/>
        <v>OK</v>
      </c>
    </row>
    <row r="45" spans="1:22" ht="18" customHeight="1">
      <c r="A45" t="s">
        <v>86</v>
      </c>
      <c r="B45" t="s">
        <v>87</v>
      </c>
      <c r="C45">
        <v>2</v>
      </c>
      <c r="D45" t="s">
        <v>72</v>
      </c>
      <c r="E45" s="6">
        <f t="shared" si="0"/>
        <v>1</v>
      </c>
      <c r="F45" s="6">
        <f t="shared" si="1"/>
        <v>4</v>
      </c>
      <c r="G45" s="6">
        <f>ROUND(Catalogue!G6*SQRT((1+Paramètres!$B$4*(C45-1)+Paramètres!$B$5*(C45-1)^2)),0)</f>
        <v>0</v>
      </c>
      <c r="H45" s="6">
        <f>ROUND(Catalogue!H6*SQRT((1+Paramètres!$B$4*(C45-1)+Paramètres!$B$5*(C45-1)^2)),0)</f>
        <v>0</v>
      </c>
      <c r="I45" s="6">
        <v>2</v>
      </c>
      <c r="J45" s="6">
        <v>1</v>
      </c>
      <c r="K45" s="7">
        <v>0.25</v>
      </c>
      <c r="L45" s="9">
        <f t="shared" si="2"/>
        <v>2.5</v>
      </c>
      <c r="M45">
        <v>1</v>
      </c>
      <c r="N45">
        <v>4</v>
      </c>
      <c r="O45">
        <v>0</v>
      </c>
      <c r="P45" s="13" t="str">
        <f t="shared" si="3"/>
        <v>1d4</v>
      </c>
      <c r="Q45">
        <f>ROUND(INDEX(Catalogue!E$4:E$85,MATCH(A45,Catalogue!A$4:A$85,0))*(1+Paramètres!$B$4*(C45-1)+Paramètres!$B$5*(C45-1)^2),0)</f>
        <v>1</v>
      </c>
      <c r="R45">
        <f>ROUND(INDEX(Catalogue!F$4:F$85,MATCH(A45,Catalogue!A$4:A$85,0))*(1+Paramètres!$B$4*(C45-1)+Paramètres!$B$5*(C45-1)^2),0)</f>
        <v>5</v>
      </c>
      <c r="S45">
        <f t="shared" si="4"/>
        <v>-0.5</v>
      </c>
      <c r="T45" t="str">
        <f t="shared" si="5"/>
        <v>OK</v>
      </c>
      <c r="U45" s="25">
        <f t="shared" si="6"/>
        <v>2.5</v>
      </c>
      <c r="V45" t="str">
        <f t="shared" si="7"/>
        <v>OK</v>
      </c>
    </row>
    <row r="46" spans="1:22" ht="18" customHeight="1">
      <c r="A46" t="s">
        <v>86</v>
      </c>
      <c r="B46" t="s">
        <v>87</v>
      </c>
      <c r="C46">
        <v>3</v>
      </c>
      <c r="D46" t="s">
        <v>72</v>
      </c>
      <c r="E46" s="6">
        <f t="shared" si="0"/>
        <v>1</v>
      </c>
      <c r="F46" s="6">
        <f t="shared" si="1"/>
        <v>4</v>
      </c>
      <c r="G46" s="6">
        <f>ROUND(Catalogue!G6*SQRT((1+Paramètres!$B$4*(C46-1)+Paramètres!$B$5*(C46-1)^2)),0)</f>
        <v>0</v>
      </c>
      <c r="H46" s="6">
        <f>ROUND(Catalogue!H6*SQRT((1+Paramètres!$B$4*(C46-1)+Paramètres!$B$5*(C46-1)^2)),0)</f>
        <v>0</v>
      </c>
      <c r="I46" s="6">
        <v>2</v>
      </c>
      <c r="J46" s="6">
        <v>1</v>
      </c>
      <c r="K46" s="7">
        <v>0.25</v>
      </c>
      <c r="L46" s="9">
        <f t="shared" si="2"/>
        <v>2.5</v>
      </c>
      <c r="M46">
        <v>1</v>
      </c>
      <c r="N46">
        <v>4</v>
      </c>
      <c r="O46">
        <v>0</v>
      </c>
      <c r="P46" s="13" t="str">
        <f t="shared" si="3"/>
        <v>1d4</v>
      </c>
      <c r="Q46">
        <f>ROUND(INDEX(Catalogue!E$4:E$85,MATCH(A46,Catalogue!A$4:A$85,0))*(1+Paramètres!$B$4*(C46-1)+Paramètres!$B$5*(C46-1)^2),0)</f>
        <v>1</v>
      </c>
      <c r="R46">
        <f>ROUND(INDEX(Catalogue!F$4:F$85,MATCH(A46,Catalogue!A$4:A$85,0))*(1+Paramètres!$B$4*(C46-1)+Paramètres!$B$5*(C46-1)^2),0)</f>
        <v>5</v>
      </c>
      <c r="S46">
        <f t="shared" si="4"/>
        <v>-0.5</v>
      </c>
      <c r="T46" t="str">
        <f t="shared" si="5"/>
        <v>OK</v>
      </c>
      <c r="U46" s="25">
        <f t="shared" si="6"/>
        <v>2.5</v>
      </c>
      <c r="V46" t="str">
        <f t="shared" si="7"/>
        <v>OK</v>
      </c>
    </row>
    <row r="47" spans="1:22" ht="18" customHeight="1">
      <c r="A47" t="s">
        <v>86</v>
      </c>
      <c r="B47" t="s">
        <v>87</v>
      </c>
      <c r="C47">
        <v>4</v>
      </c>
      <c r="D47" t="s">
        <v>72</v>
      </c>
      <c r="E47" s="6">
        <f t="shared" si="0"/>
        <v>1</v>
      </c>
      <c r="F47" s="6">
        <f t="shared" si="1"/>
        <v>6</v>
      </c>
      <c r="G47" s="6">
        <f>ROUND(Catalogue!G6*SQRT((1+Paramètres!$B$4*(C47-1)+Paramètres!$B$5*(C47-1)^2)),0)</f>
        <v>0</v>
      </c>
      <c r="H47" s="6">
        <f>ROUND(Catalogue!H6*SQRT((1+Paramètres!$B$4*(C47-1)+Paramètres!$B$5*(C47-1)^2)),0)</f>
        <v>0</v>
      </c>
      <c r="I47" s="6">
        <v>2</v>
      </c>
      <c r="J47" s="6">
        <v>1</v>
      </c>
      <c r="K47" s="7">
        <v>0.25</v>
      </c>
      <c r="L47" s="9">
        <f t="shared" si="2"/>
        <v>3.5</v>
      </c>
      <c r="M47">
        <v>1</v>
      </c>
      <c r="N47">
        <v>6</v>
      </c>
      <c r="O47">
        <v>0</v>
      </c>
      <c r="P47" s="13" t="str">
        <f t="shared" si="3"/>
        <v>1d6</v>
      </c>
      <c r="Q47">
        <f>ROUND(INDEX(Catalogue!E$4:E$85,MATCH(A47,Catalogue!A$4:A$85,0))*(1+Paramètres!$B$4*(C47-1)+Paramètres!$B$5*(C47-1)^2),0)</f>
        <v>1</v>
      </c>
      <c r="R47">
        <f>ROUND(INDEX(Catalogue!F$4:F$85,MATCH(A47,Catalogue!A$4:A$85,0))*(1+Paramètres!$B$4*(C47-1)+Paramètres!$B$5*(C47-1)^2),0)</f>
        <v>6</v>
      </c>
      <c r="S47">
        <f t="shared" si="4"/>
        <v>0</v>
      </c>
      <c r="T47" t="str">
        <f t="shared" si="5"/>
        <v>OK</v>
      </c>
      <c r="U47" s="25">
        <f t="shared" si="6"/>
        <v>3.5</v>
      </c>
      <c r="V47" t="str">
        <f t="shared" si="7"/>
        <v>OK</v>
      </c>
    </row>
    <row r="48" spans="1:22" ht="18" customHeight="1">
      <c r="A48" t="s">
        <v>86</v>
      </c>
      <c r="B48" t="s">
        <v>87</v>
      </c>
      <c r="C48">
        <v>5</v>
      </c>
      <c r="D48" t="s">
        <v>72</v>
      </c>
      <c r="E48" s="6">
        <f t="shared" si="0"/>
        <v>2</v>
      </c>
      <c r="F48" s="6">
        <f t="shared" si="1"/>
        <v>7</v>
      </c>
      <c r="G48" s="6">
        <f>ROUND(Catalogue!G6*SQRT((1+Paramètres!$B$4*(C48-1)+Paramètres!$B$5*(C48-1)^2)),0)</f>
        <v>0</v>
      </c>
      <c r="H48" s="6">
        <f>ROUND(Catalogue!H6*SQRT((1+Paramètres!$B$4*(C48-1)+Paramètres!$B$5*(C48-1)^2)),0)</f>
        <v>0</v>
      </c>
      <c r="I48" s="6">
        <v>2</v>
      </c>
      <c r="J48" s="6">
        <v>1</v>
      </c>
      <c r="K48" s="7">
        <v>0.25</v>
      </c>
      <c r="L48" s="9">
        <f t="shared" si="2"/>
        <v>4.5</v>
      </c>
      <c r="M48">
        <v>1</v>
      </c>
      <c r="N48">
        <v>6</v>
      </c>
      <c r="O48">
        <v>1</v>
      </c>
      <c r="P48" s="13" t="str">
        <f t="shared" si="3"/>
        <v>1d6 + 1</v>
      </c>
      <c r="Q48">
        <f>ROUND(INDEX(Catalogue!E$4:E$85,MATCH(A48,Catalogue!A$4:A$85,0))*(1+Paramètres!$B$4*(C48-1)+Paramètres!$B$5*(C48-1)^2),0)</f>
        <v>2</v>
      </c>
      <c r="R48">
        <f>ROUND(INDEX(Catalogue!F$4:F$85,MATCH(A48,Catalogue!A$4:A$85,0))*(1+Paramètres!$B$4*(C48-1)+Paramètres!$B$5*(C48-1)^2),0)</f>
        <v>7</v>
      </c>
      <c r="S48">
        <f t="shared" si="4"/>
        <v>0</v>
      </c>
      <c r="T48" t="str">
        <f t="shared" si="5"/>
        <v>OK</v>
      </c>
      <c r="U48" s="25">
        <f t="shared" si="6"/>
        <v>4.5</v>
      </c>
      <c r="V48" t="str">
        <f t="shared" si="7"/>
        <v>OK</v>
      </c>
    </row>
    <row r="49" spans="1:22" ht="18" customHeight="1">
      <c r="A49" t="s">
        <v>86</v>
      </c>
      <c r="B49" t="s">
        <v>87</v>
      </c>
      <c r="C49">
        <v>6</v>
      </c>
      <c r="D49" t="s">
        <v>72</v>
      </c>
      <c r="E49" s="6">
        <f t="shared" si="0"/>
        <v>2</v>
      </c>
      <c r="F49" s="6">
        <f t="shared" si="1"/>
        <v>8</v>
      </c>
      <c r="G49" s="6">
        <f>ROUND(Catalogue!G6*SQRT((1+Paramètres!$B$4*(C49-1)+Paramètres!$B$5*(C49-1)^2)),0)</f>
        <v>0</v>
      </c>
      <c r="H49" s="6">
        <f>ROUND(Catalogue!H6*SQRT((1+Paramètres!$B$4*(C49-1)+Paramètres!$B$5*(C49-1)^2)),0)</f>
        <v>0</v>
      </c>
      <c r="I49" s="6">
        <v>2</v>
      </c>
      <c r="J49" s="6">
        <v>1</v>
      </c>
      <c r="K49" s="7">
        <v>0.25</v>
      </c>
      <c r="L49" s="9">
        <f t="shared" si="2"/>
        <v>5</v>
      </c>
      <c r="M49">
        <v>2</v>
      </c>
      <c r="N49">
        <v>4</v>
      </c>
      <c r="O49">
        <v>0</v>
      </c>
      <c r="P49" s="13" t="str">
        <f t="shared" si="3"/>
        <v>2d4</v>
      </c>
      <c r="Q49">
        <f>ROUND(INDEX(Catalogue!E$4:E$85,MATCH(A49,Catalogue!A$4:A$85,0))*(1+Paramètres!$B$4*(C49-1)+Paramètres!$B$5*(C49-1)^2),0)</f>
        <v>2</v>
      </c>
      <c r="R49">
        <f>ROUND(INDEX(Catalogue!F$4:F$85,MATCH(A49,Catalogue!A$4:A$85,0))*(1+Paramètres!$B$4*(C49-1)+Paramètres!$B$5*(C49-1)^2),0)</f>
        <v>8</v>
      </c>
      <c r="S49">
        <f t="shared" si="4"/>
        <v>0</v>
      </c>
      <c r="T49" t="str">
        <f t="shared" si="5"/>
        <v>OK</v>
      </c>
      <c r="U49" s="25">
        <f t="shared" si="6"/>
        <v>5</v>
      </c>
      <c r="V49" t="str">
        <f t="shared" si="7"/>
        <v>OK</v>
      </c>
    </row>
    <row r="50" spans="1:22" ht="18" customHeight="1">
      <c r="A50" t="s">
        <v>86</v>
      </c>
      <c r="B50" t="s">
        <v>87</v>
      </c>
      <c r="C50">
        <v>7</v>
      </c>
      <c r="D50" t="s">
        <v>72</v>
      </c>
      <c r="E50" s="6">
        <f t="shared" si="0"/>
        <v>2</v>
      </c>
      <c r="F50" s="6">
        <f t="shared" si="1"/>
        <v>9</v>
      </c>
      <c r="G50" s="6">
        <f>ROUND(Catalogue!G6*SQRT((1+Paramètres!$B$4*(C50-1)+Paramètres!$B$5*(C50-1)^2)),0)</f>
        <v>0</v>
      </c>
      <c r="H50" s="6">
        <f>ROUND(Catalogue!H6*SQRT((1+Paramètres!$B$4*(C50-1)+Paramètres!$B$5*(C50-1)^2)),0)</f>
        <v>0</v>
      </c>
      <c r="I50" s="6">
        <v>2</v>
      </c>
      <c r="J50" s="6">
        <v>1</v>
      </c>
      <c r="K50" s="7">
        <v>0.25</v>
      </c>
      <c r="L50" s="9">
        <f t="shared" si="2"/>
        <v>5.5</v>
      </c>
      <c r="M50">
        <v>1</v>
      </c>
      <c r="N50">
        <v>8</v>
      </c>
      <c r="O50">
        <v>1</v>
      </c>
      <c r="P50" s="13" t="str">
        <f t="shared" si="3"/>
        <v>1d8 + 1</v>
      </c>
      <c r="Q50">
        <f>ROUND(INDEX(Catalogue!E$4:E$85,MATCH(A50,Catalogue!A$4:A$85,0))*(1+Paramètres!$B$4*(C50-1)+Paramètres!$B$5*(C50-1)^2),0)</f>
        <v>2</v>
      </c>
      <c r="R50">
        <f>ROUND(INDEX(Catalogue!F$4:F$85,MATCH(A50,Catalogue!A$4:A$85,0))*(1+Paramètres!$B$4*(C50-1)+Paramètres!$B$5*(C50-1)^2),0)</f>
        <v>9</v>
      </c>
      <c r="S50">
        <f t="shared" si="4"/>
        <v>0</v>
      </c>
      <c r="T50" t="str">
        <f t="shared" si="5"/>
        <v>OK</v>
      </c>
      <c r="U50" s="25">
        <f t="shared" si="6"/>
        <v>5.5</v>
      </c>
      <c r="V50" t="str">
        <f t="shared" si="7"/>
        <v>OK</v>
      </c>
    </row>
    <row r="51" spans="1:22" ht="18" customHeight="1">
      <c r="A51" t="s">
        <v>86</v>
      </c>
      <c r="B51" t="s">
        <v>87</v>
      </c>
      <c r="C51">
        <v>8</v>
      </c>
      <c r="D51" t="s">
        <v>72</v>
      </c>
      <c r="E51" s="6">
        <f t="shared" si="0"/>
        <v>3</v>
      </c>
      <c r="F51" s="6">
        <f t="shared" si="1"/>
        <v>10</v>
      </c>
      <c r="G51" s="6">
        <f>ROUND(Catalogue!G6*SQRT((1+Paramètres!$B$4*(C51-1)+Paramètres!$B$5*(C51-1)^2)),0)</f>
        <v>0</v>
      </c>
      <c r="H51" s="6">
        <f>ROUND(Catalogue!H6*SQRT((1+Paramètres!$B$4*(C51-1)+Paramètres!$B$5*(C51-1)^2)),0)</f>
        <v>0</v>
      </c>
      <c r="I51" s="6">
        <v>2</v>
      </c>
      <c r="J51" s="6">
        <v>1</v>
      </c>
      <c r="K51" s="7">
        <v>0.25</v>
      </c>
      <c r="L51" s="9">
        <f t="shared" si="2"/>
        <v>6.5</v>
      </c>
      <c r="M51">
        <v>1</v>
      </c>
      <c r="N51">
        <v>8</v>
      </c>
      <c r="O51">
        <v>2</v>
      </c>
      <c r="P51" s="13" t="str">
        <f t="shared" si="3"/>
        <v>1d8 + 2</v>
      </c>
      <c r="Q51">
        <f>ROUND(INDEX(Catalogue!E$4:E$85,MATCH(A51,Catalogue!A$4:A$85,0))*(1+Paramètres!$B$4*(C51-1)+Paramètres!$B$5*(C51-1)^2),0)</f>
        <v>3</v>
      </c>
      <c r="R51">
        <f>ROUND(INDEX(Catalogue!F$4:F$85,MATCH(A51,Catalogue!A$4:A$85,0))*(1+Paramètres!$B$4*(C51-1)+Paramètres!$B$5*(C51-1)^2),0)</f>
        <v>10</v>
      </c>
      <c r="S51">
        <f t="shared" si="4"/>
        <v>0</v>
      </c>
      <c r="T51" t="str">
        <f t="shared" si="5"/>
        <v>OK</v>
      </c>
      <c r="U51" s="25">
        <f t="shared" si="6"/>
        <v>6.5</v>
      </c>
      <c r="V51" t="str">
        <f t="shared" si="7"/>
        <v>OK</v>
      </c>
    </row>
    <row r="52" spans="1:22" ht="18" customHeight="1">
      <c r="A52" t="s">
        <v>86</v>
      </c>
      <c r="B52" t="s">
        <v>87</v>
      </c>
      <c r="C52">
        <v>9</v>
      </c>
      <c r="D52" t="s">
        <v>72</v>
      </c>
      <c r="E52" s="6">
        <f t="shared" si="0"/>
        <v>3</v>
      </c>
      <c r="F52" s="6">
        <f t="shared" si="1"/>
        <v>12</v>
      </c>
      <c r="G52" s="6">
        <f>ROUND(Catalogue!G6*SQRT((1+Paramètres!$B$4*(C52-1)+Paramètres!$B$5*(C52-1)^2)),0)</f>
        <v>0</v>
      </c>
      <c r="H52" s="6">
        <f>ROUND(Catalogue!H6*SQRT((1+Paramètres!$B$4*(C52-1)+Paramètres!$B$5*(C52-1)^2)),0)</f>
        <v>0</v>
      </c>
      <c r="I52" s="6">
        <v>2</v>
      </c>
      <c r="J52" s="6">
        <v>1</v>
      </c>
      <c r="K52" s="7">
        <v>0.25</v>
      </c>
      <c r="L52" s="9">
        <f t="shared" si="2"/>
        <v>7.5</v>
      </c>
      <c r="M52">
        <v>3</v>
      </c>
      <c r="N52">
        <v>4</v>
      </c>
      <c r="O52">
        <v>0</v>
      </c>
      <c r="P52" s="13" t="str">
        <f t="shared" si="3"/>
        <v>3d4</v>
      </c>
      <c r="Q52">
        <f>ROUND(INDEX(Catalogue!E$4:E$85,MATCH(A52,Catalogue!A$4:A$85,0))*(1+Paramètres!$B$4*(C52-1)+Paramètres!$B$5*(C52-1)^2),0)</f>
        <v>3</v>
      </c>
      <c r="R52">
        <f>ROUND(INDEX(Catalogue!F$4:F$85,MATCH(A52,Catalogue!A$4:A$85,0))*(1+Paramètres!$B$4*(C52-1)+Paramètres!$B$5*(C52-1)^2),0)</f>
        <v>12</v>
      </c>
      <c r="S52">
        <f t="shared" si="4"/>
        <v>0</v>
      </c>
      <c r="T52" t="str">
        <f t="shared" si="5"/>
        <v>OK</v>
      </c>
      <c r="U52" s="25">
        <f t="shared" si="6"/>
        <v>7.5</v>
      </c>
      <c r="V52" t="str">
        <f t="shared" si="7"/>
        <v>OK</v>
      </c>
    </row>
    <row r="53" spans="1:22" ht="18" customHeight="1">
      <c r="A53" t="s">
        <v>86</v>
      </c>
      <c r="B53" t="s">
        <v>87</v>
      </c>
      <c r="C53">
        <v>10</v>
      </c>
      <c r="D53" t="s">
        <v>72</v>
      </c>
      <c r="E53" s="6">
        <f t="shared" si="0"/>
        <v>3</v>
      </c>
      <c r="F53" s="6">
        <f t="shared" si="1"/>
        <v>13</v>
      </c>
      <c r="G53" s="6">
        <f>ROUND(Catalogue!G6*SQRT((1+Paramètres!$B$4*(C53-1)+Paramètres!$B$5*(C53-1)^2)),0)</f>
        <v>0</v>
      </c>
      <c r="H53" s="6">
        <f>ROUND(Catalogue!H6*SQRT((1+Paramètres!$B$4*(C53-1)+Paramètres!$B$5*(C53-1)^2)),0)</f>
        <v>0</v>
      </c>
      <c r="I53" s="6">
        <v>2</v>
      </c>
      <c r="J53" s="6">
        <v>1</v>
      </c>
      <c r="K53" s="7">
        <v>0.25</v>
      </c>
      <c r="L53" s="9">
        <f t="shared" si="2"/>
        <v>8</v>
      </c>
      <c r="M53">
        <v>2</v>
      </c>
      <c r="N53">
        <v>6</v>
      </c>
      <c r="O53">
        <v>1</v>
      </c>
      <c r="P53" s="13" t="str">
        <f t="shared" si="3"/>
        <v>2d6 + 1</v>
      </c>
      <c r="Q53">
        <f>ROUND(INDEX(Catalogue!E$4:E$85,MATCH(A53,Catalogue!A$4:A$85,0))*(1+Paramètres!$B$4*(C53-1)+Paramètres!$B$5*(C53-1)^2),0)</f>
        <v>3</v>
      </c>
      <c r="R53">
        <f>ROUND(INDEX(Catalogue!F$4:F$85,MATCH(A53,Catalogue!A$4:A$85,0))*(1+Paramètres!$B$4*(C53-1)+Paramètres!$B$5*(C53-1)^2),0)</f>
        <v>13</v>
      </c>
      <c r="S53">
        <f t="shared" si="4"/>
        <v>0</v>
      </c>
      <c r="T53" t="str">
        <f t="shared" si="5"/>
        <v>OK</v>
      </c>
      <c r="U53" s="25">
        <f t="shared" si="6"/>
        <v>8</v>
      </c>
      <c r="V53" t="str">
        <f t="shared" si="7"/>
        <v>OK</v>
      </c>
    </row>
    <row r="54" spans="1:22" ht="18" customHeight="1">
      <c r="A54" t="s">
        <v>86</v>
      </c>
      <c r="B54" t="s">
        <v>87</v>
      </c>
      <c r="C54">
        <v>11</v>
      </c>
      <c r="D54" t="s">
        <v>72</v>
      </c>
      <c r="E54" s="6">
        <f t="shared" si="0"/>
        <v>4</v>
      </c>
      <c r="F54" s="6">
        <f t="shared" si="1"/>
        <v>14</v>
      </c>
      <c r="G54" s="6">
        <f>ROUND(Catalogue!G6*SQRT((1+Paramètres!$B$4*(C54-1)+Paramètres!$B$5*(C54-1)^2)),0)</f>
        <v>0</v>
      </c>
      <c r="H54" s="6">
        <f>ROUND(Catalogue!H6*SQRT((1+Paramètres!$B$4*(C54-1)+Paramètres!$B$5*(C54-1)^2)),0)</f>
        <v>0</v>
      </c>
      <c r="I54" s="6">
        <v>2</v>
      </c>
      <c r="J54" s="6">
        <v>1</v>
      </c>
      <c r="K54" s="7">
        <v>0.25</v>
      </c>
      <c r="L54" s="9">
        <f t="shared" si="2"/>
        <v>9</v>
      </c>
      <c r="M54">
        <v>2</v>
      </c>
      <c r="N54">
        <v>6</v>
      </c>
      <c r="O54">
        <v>2</v>
      </c>
      <c r="P54" s="13" t="str">
        <f t="shared" si="3"/>
        <v>2d6 + 2</v>
      </c>
      <c r="Q54">
        <f>ROUND(INDEX(Catalogue!E$4:E$85,MATCH(A54,Catalogue!A$4:A$85,0))*(1+Paramètres!$B$4*(C54-1)+Paramètres!$B$5*(C54-1)^2),0)</f>
        <v>4</v>
      </c>
      <c r="R54">
        <f>ROUND(INDEX(Catalogue!F$4:F$85,MATCH(A54,Catalogue!A$4:A$85,0))*(1+Paramètres!$B$4*(C54-1)+Paramètres!$B$5*(C54-1)^2),0)</f>
        <v>15</v>
      </c>
      <c r="S54">
        <f t="shared" si="4"/>
        <v>-0.5</v>
      </c>
      <c r="T54" t="str">
        <f t="shared" si="5"/>
        <v>OK</v>
      </c>
      <c r="U54" s="25">
        <f t="shared" si="6"/>
        <v>9</v>
      </c>
      <c r="V54" t="str">
        <f t="shared" si="7"/>
        <v>OK</v>
      </c>
    </row>
    <row r="55" spans="1:22" ht="18" customHeight="1">
      <c r="A55" t="s">
        <v>86</v>
      </c>
      <c r="B55" t="s">
        <v>87</v>
      </c>
      <c r="C55">
        <v>12</v>
      </c>
      <c r="D55" t="s">
        <v>72</v>
      </c>
      <c r="E55" s="6">
        <f t="shared" si="0"/>
        <v>3</v>
      </c>
      <c r="F55" s="6">
        <f t="shared" si="1"/>
        <v>17</v>
      </c>
      <c r="G55" s="6">
        <f>ROUND(Catalogue!G6*SQRT((1+Paramètres!$B$4*(C55-1)+Paramètres!$B$5*(C55-1)^2)),0)</f>
        <v>0</v>
      </c>
      <c r="H55" s="6">
        <f>ROUND(Catalogue!H6*SQRT((1+Paramètres!$B$4*(C55-1)+Paramètres!$B$5*(C55-1)^2)),0)</f>
        <v>0</v>
      </c>
      <c r="I55" s="6">
        <v>2</v>
      </c>
      <c r="J55" s="6">
        <v>1</v>
      </c>
      <c r="K55" s="7">
        <v>0.25</v>
      </c>
      <c r="L55" s="9">
        <f t="shared" si="2"/>
        <v>10</v>
      </c>
      <c r="M55">
        <v>2</v>
      </c>
      <c r="N55">
        <v>8</v>
      </c>
      <c r="O55">
        <v>1</v>
      </c>
      <c r="P55" s="13" t="str">
        <f t="shared" si="3"/>
        <v>2d8 + 1</v>
      </c>
      <c r="Q55">
        <f>ROUND(INDEX(Catalogue!E$4:E$85,MATCH(A55,Catalogue!A$4:A$85,0))*(1+Paramètres!$B$4*(C55-1)+Paramètres!$B$5*(C55-1)^2),0)</f>
        <v>4</v>
      </c>
      <c r="R55">
        <f>ROUND(INDEX(Catalogue!F$4:F$85,MATCH(A55,Catalogue!A$4:A$85,0))*(1+Paramètres!$B$4*(C55-1)+Paramètres!$B$5*(C55-1)^2),0)</f>
        <v>17</v>
      </c>
      <c r="S55">
        <f t="shared" si="4"/>
        <v>-0.5</v>
      </c>
      <c r="T55" t="str">
        <f t="shared" si="5"/>
        <v>OK</v>
      </c>
      <c r="U55" s="25">
        <f t="shared" si="6"/>
        <v>10</v>
      </c>
      <c r="V55" t="str">
        <f t="shared" si="7"/>
        <v>OK</v>
      </c>
    </row>
    <row r="56" spans="1:22" ht="18" customHeight="1">
      <c r="A56" t="s">
        <v>86</v>
      </c>
      <c r="B56" t="s">
        <v>87</v>
      </c>
      <c r="C56">
        <v>13</v>
      </c>
      <c r="D56" t="s">
        <v>72</v>
      </c>
      <c r="E56" s="6">
        <f t="shared" si="0"/>
        <v>4</v>
      </c>
      <c r="F56" s="6">
        <f t="shared" si="1"/>
        <v>18</v>
      </c>
      <c r="G56" s="6">
        <f>ROUND(Catalogue!G6*SQRT((1+Paramètres!$B$4*(C56-1)+Paramètres!$B$5*(C56-1)^2)),0)</f>
        <v>0</v>
      </c>
      <c r="H56" s="6">
        <f>ROUND(Catalogue!H6*SQRT((1+Paramètres!$B$4*(C56-1)+Paramètres!$B$5*(C56-1)^2)),0)</f>
        <v>0</v>
      </c>
      <c r="I56" s="6">
        <v>2</v>
      </c>
      <c r="J56" s="6">
        <v>1</v>
      </c>
      <c r="K56" s="7">
        <v>0.25</v>
      </c>
      <c r="L56" s="9">
        <f t="shared" si="2"/>
        <v>11</v>
      </c>
      <c r="M56">
        <v>2</v>
      </c>
      <c r="N56">
        <v>8</v>
      </c>
      <c r="O56">
        <v>2</v>
      </c>
      <c r="P56" s="13" t="str">
        <f t="shared" si="3"/>
        <v>2d8 + 2</v>
      </c>
      <c r="Q56">
        <f>ROUND(INDEX(Catalogue!E$4:E$85,MATCH(A56,Catalogue!A$4:A$85,0))*(1+Paramètres!$B$4*(C56-1)+Paramètres!$B$5*(C56-1)^2),0)</f>
        <v>5</v>
      </c>
      <c r="R56">
        <f>ROUND(INDEX(Catalogue!F$4:F$85,MATCH(A56,Catalogue!A$4:A$85,0))*(1+Paramètres!$B$4*(C56-1)+Paramètres!$B$5*(C56-1)^2),0)</f>
        <v>18</v>
      </c>
      <c r="S56">
        <f t="shared" si="4"/>
        <v>-0.5</v>
      </c>
      <c r="T56" t="str">
        <f t="shared" si="5"/>
        <v>OK</v>
      </c>
      <c r="U56" s="25">
        <f t="shared" si="6"/>
        <v>11</v>
      </c>
      <c r="V56" t="str">
        <f t="shared" si="7"/>
        <v>OK</v>
      </c>
    </row>
    <row r="57" spans="1:22" ht="18" customHeight="1">
      <c r="A57" t="s">
        <v>86</v>
      </c>
      <c r="B57" t="s">
        <v>87</v>
      </c>
      <c r="C57">
        <v>14</v>
      </c>
      <c r="D57" t="s">
        <v>72</v>
      </c>
      <c r="E57" s="6">
        <f t="shared" si="0"/>
        <v>5</v>
      </c>
      <c r="F57" s="6">
        <f t="shared" si="1"/>
        <v>20</v>
      </c>
      <c r="G57" s="6">
        <f>ROUND(Catalogue!G6*SQRT((1+Paramètres!$B$4*(C57-1)+Paramètres!$B$5*(C57-1)^2)),0)</f>
        <v>0</v>
      </c>
      <c r="H57" s="6">
        <f>ROUND(Catalogue!H6*SQRT((1+Paramètres!$B$4*(C57-1)+Paramètres!$B$5*(C57-1)^2)),0)</f>
        <v>0</v>
      </c>
      <c r="I57" s="6">
        <v>2</v>
      </c>
      <c r="J57" s="6">
        <v>1</v>
      </c>
      <c r="K57" s="7">
        <v>0.25</v>
      </c>
      <c r="L57" s="9">
        <f t="shared" si="2"/>
        <v>12.5</v>
      </c>
      <c r="M57">
        <v>3</v>
      </c>
      <c r="N57">
        <v>6</v>
      </c>
      <c r="O57">
        <v>2</v>
      </c>
      <c r="P57" s="13" t="str">
        <f t="shared" si="3"/>
        <v>3d6 + 2</v>
      </c>
      <c r="Q57">
        <f>ROUND(INDEX(Catalogue!E$4:E$85,MATCH(A57,Catalogue!A$4:A$85,0))*(1+Paramètres!$B$4*(C57-1)+Paramètres!$B$5*(C57-1)^2),0)</f>
        <v>5</v>
      </c>
      <c r="R57">
        <f>ROUND(INDEX(Catalogue!F$4:F$85,MATCH(A57,Catalogue!A$4:A$85,0))*(1+Paramètres!$B$4*(C57-1)+Paramètres!$B$5*(C57-1)^2),0)</f>
        <v>21</v>
      </c>
      <c r="S57">
        <f t="shared" si="4"/>
        <v>-0.5</v>
      </c>
      <c r="T57" t="str">
        <f t="shared" si="5"/>
        <v>OK</v>
      </c>
      <c r="U57" s="25">
        <f t="shared" si="6"/>
        <v>12.5</v>
      </c>
      <c r="V57" t="str">
        <f t="shared" si="7"/>
        <v>OK</v>
      </c>
    </row>
    <row r="58" spans="1:22" ht="18" customHeight="1">
      <c r="A58" t="s">
        <v>86</v>
      </c>
      <c r="B58" t="s">
        <v>87</v>
      </c>
      <c r="C58">
        <v>15</v>
      </c>
      <c r="D58" t="s">
        <v>72</v>
      </c>
      <c r="E58" s="6">
        <f t="shared" si="0"/>
        <v>5</v>
      </c>
      <c r="F58" s="6">
        <f t="shared" si="1"/>
        <v>23</v>
      </c>
      <c r="G58" s="6">
        <f>ROUND(Catalogue!G6*SQRT((1+Paramètres!$B$4*(C58-1)+Paramètres!$B$5*(C58-1)^2)),0)</f>
        <v>0</v>
      </c>
      <c r="H58" s="6">
        <f>ROUND(Catalogue!H6*SQRT((1+Paramètres!$B$4*(C58-1)+Paramètres!$B$5*(C58-1)^2)),0)</f>
        <v>0</v>
      </c>
      <c r="I58" s="6">
        <v>2</v>
      </c>
      <c r="J58" s="6">
        <v>1</v>
      </c>
      <c r="K58" s="7">
        <v>0.25</v>
      </c>
      <c r="L58" s="9">
        <f t="shared" si="2"/>
        <v>14</v>
      </c>
      <c r="M58">
        <v>2</v>
      </c>
      <c r="N58">
        <v>10</v>
      </c>
      <c r="O58">
        <v>3</v>
      </c>
      <c r="P58" s="13" t="str">
        <f t="shared" si="3"/>
        <v>2d10 + 3</v>
      </c>
      <c r="Q58">
        <f>ROUND(INDEX(Catalogue!E$4:E$85,MATCH(A58,Catalogue!A$4:A$85,0))*(1+Paramètres!$B$4*(C58-1)+Paramètres!$B$5*(C58-1)^2),0)</f>
        <v>6</v>
      </c>
      <c r="R58">
        <f>ROUND(INDEX(Catalogue!F$4:F$85,MATCH(A58,Catalogue!A$4:A$85,0))*(1+Paramètres!$B$4*(C58-1)+Paramètres!$B$5*(C58-1)^2),0)</f>
        <v>23</v>
      </c>
      <c r="S58">
        <f t="shared" si="4"/>
        <v>-0.5</v>
      </c>
      <c r="T58" t="str">
        <f t="shared" si="5"/>
        <v>OK</v>
      </c>
      <c r="U58" s="25">
        <f t="shared" si="6"/>
        <v>14</v>
      </c>
      <c r="V58" t="str">
        <f t="shared" si="7"/>
        <v>OK</v>
      </c>
    </row>
    <row r="59" spans="1:22" ht="18" customHeight="1">
      <c r="A59" t="s">
        <v>86</v>
      </c>
      <c r="B59" t="s">
        <v>87</v>
      </c>
      <c r="C59">
        <v>16</v>
      </c>
      <c r="D59" t="s">
        <v>72</v>
      </c>
      <c r="E59" s="6">
        <f t="shared" si="0"/>
        <v>6</v>
      </c>
      <c r="F59" s="6">
        <f t="shared" si="1"/>
        <v>24</v>
      </c>
      <c r="G59" s="6">
        <f>ROUND(Catalogue!G6*SQRT((1+Paramètres!$B$4*(C59-1)+Paramètres!$B$5*(C59-1)^2)),0)</f>
        <v>0</v>
      </c>
      <c r="H59" s="6">
        <f>ROUND(Catalogue!H6*SQRT((1+Paramètres!$B$4*(C59-1)+Paramètres!$B$5*(C59-1)^2)),0)</f>
        <v>0</v>
      </c>
      <c r="I59" s="6">
        <v>2</v>
      </c>
      <c r="J59" s="6">
        <v>1</v>
      </c>
      <c r="K59" s="7">
        <v>0.25</v>
      </c>
      <c r="L59" s="9">
        <f t="shared" si="2"/>
        <v>15</v>
      </c>
      <c r="M59">
        <v>2</v>
      </c>
      <c r="N59">
        <v>10</v>
      </c>
      <c r="O59">
        <v>4</v>
      </c>
      <c r="P59" s="13" t="str">
        <f t="shared" si="3"/>
        <v>2d10 + 4</v>
      </c>
      <c r="Q59">
        <f>ROUND(INDEX(Catalogue!E$4:E$85,MATCH(A59,Catalogue!A$4:A$85,0))*(1+Paramètres!$B$4*(C59-1)+Paramètres!$B$5*(C59-1)^2),0)</f>
        <v>6</v>
      </c>
      <c r="R59">
        <f>ROUND(INDEX(Catalogue!F$4:F$85,MATCH(A59,Catalogue!A$4:A$85,0))*(1+Paramètres!$B$4*(C59-1)+Paramètres!$B$5*(C59-1)^2),0)</f>
        <v>25</v>
      </c>
      <c r="S59">
        <f t="shared" si="4"/>
        <v>-0.5</v>
      </c>
      <c r="T59" t="str">
        <f t="shared" si="5"/>
        <v>OK</v>
      </c>
      <c r="U59" s="25">
        <f t="shared" si="6"/>
        <v>15</v>
      </c>
      <c r="V59" t="str">
        <f t="shared" si="7"/>
        <v>OK</v>
      </c>
    </row>
    <row r="60" spans="1:22" ht="18" customHeight="1">
      <c r="A60" t="s">
        <v>86</v>
      </c>
      <c r="B60" t="s">
        <v>87</v>
      </c>
      <c r="C60">
        <v>17</v>
      </c>
      <c r="D60" t="s">
        <v>72</v>
      </c>
      <c r="E60" s="6">
        <f t="shared" si="0"/>
        <v>7</v>
      </c>
      <c r="F60" s="6">
        <f t="shared" si="1"/>
        <v>27</v>
      </c>
      <c r="G60" s="6">
        <f>ROUND(Catalogue!G6*SQRT((1+Paramètres!$B$4*(C60-1)+Paramètres!$B$5*(C60-1)^2)),0)</f>
        <v>0</v>
      </c>
      <c r="H60" s="6">
        <f>ROUND(Catalogue!H6*SQRT((1+Paramètres!$B$4*(C60-1)+Paramètres!$B$5*(C60-1)^2)),0)</f>
        <v>0</v>
      </c>
      <c r="I60" s="6">
        <v>2</v>
      </c>
      <c r="J60" s="6">
        <v>1</v>
      </c>
      <c r="K60" s="7">
        <v>0.25</v>
      </c>
      <c r="L60" s="9">
        <f t="shared" si="2"/>
        <v>17</v>
      </c>
      <c r="M60">
        <v>4</v>
      </c>
      <c r="N60">
        <v>6</v>
      </c>
      <c r="O60">
        <v>3</v>
      </c>
      <c r="P60" s="13" t="str">
        <f t="shared" si="3"/>
        <v>4d6 + 3</v>
      </c>
      <c r="Q60">
        <f>ROUND(INDEX(Catalogue!E$4:E$85,MATCH(A60,Catalogue!A$4:A$85,0))*(1+Paramètres!$B$4*(C60-1)+Paramètres!$B$5*(C60-1)^2),0)</f>
        <v>7</v>
      </c>
      <c r="R60">
        <f>ROUND(INDEX(Catalogue!F$4:F$85,MATCH(A60,Catalogue!A$4:A$85,0))*(1+Paramètres!$B$4*(C60-1)+Paramètres!$B$5*(C60-1)^2),0)</f>
        <v>27</v>
      </c>
      <c r="S60">
        <f t="shared" si="4"/>
        <v>0</v>
      </c>
      <c r="T60" t="str">
        <f t="shared" si="5"/>
        <v>OK</v>
      </c>
      <c r="U60" s="25">
        <f t="shared" si="6"/>
        <v>17</v>
      </c>
      <c r="V60" t="str">
        <f t="shared" si="7"/>
        <v>OK</v>
      </c>
    </row>
    <row r="61" spans="1:22" ht="18" customHeight="1">
      <c r="A61" t="s">
        <v>86</v>
      </c>
      <c r="B61" t="s">
        <v>87</v>
      </c>
      <c r="C61">
        <v>18</v>
      </c>
      <c r="D61" t="s">
        <v>72</v>
      </c>
      <c r="E61" s="6">
        <f t="shared" si="0"/>
        <v>8</v>
      </c>
      <c r="F61" s="6">
        <f t="shared" si="1"/>
        <v>29</v>
      </c>
      <c r="G61" s="6">
        <f>ROUND(Catalogue!G6*SQRT((1+Paramètres!$B$4*(C61-1)+Paramètres!$B$5*(C61-1)^2)),0)</f>
        <v>0</v>
      </c>
      <c r="H61" s="6">
        <f>ROUND(Catalogue!H6*SQRT((1+Paramètres!$B$4*(C61-1)+Paramètres!$B$5*(C61-1)^2)),0)</f>
        <v>0</v>
      </c>
      <c r="I61" s="6">
        <v>2</v>
      </c>
      <c r="J61" s="6">
        <v>1</v>
      </c>
      <c r="K61" s="7">
        <v>0.25</v>
      </c>
      <c r="L61" s="9">
        <f t="shared" si="2"/>
        <v>18.5</v>
      </c>
      <c r="M61">
        <v>3</v>
      </c>
      <c r="N61">
        <v>8</v>
      </c>
      <c r="O61">
        <v>5</v>
      </c>
      <c r="P61" s="13" t="str">
        <f t="shared" si="3"/>
        <v>3d8 + 5</v>
      </c>
      <c r="Q61">
        <f>ROUND(INDEX(Catalogue!E$4:E$85,MATCH(A61,Catalogue!A$4:A$85,0))*(1+Paramètres!$B$4*(C61-1)+Paramètres!$B$5*(C61-1)^2),0)</f>
        <v>7</v>
      </c>
      <c r="R61">
        <f>ROUND(INDEX(Catalogue!F$4:F$85,MATCH(A61,Catalogue!A$4:A$85,0))*(1+Paramètres!$B$4*(C61-1)+Paramètres!$B$5*(C61-1)^2),0)</f>
        <v>30</v>
      </c>
      <c r="S61">
        <f t="shared" si="4"/>
        <v>0</v>
      </c>
      <c r="T61" t="str">
        <f t="shared" si="5"/>
        <v>OK</v>
      </c>
      <c r="U61" s="25">
        <f t="shared" si="6"/>
        <v>18.5</v>
      </c>
      <c r="V61" t="str">
        <f t="shared" si="7"/>
        <v>OK</v>
      </c>
    </row>
    <row r="62" spans="1:22" ht="18" customHeight="1">
      <c r="A62" t="s">
        <v>86</v>
      </c>
      <c r="B62" t="s">
        <v>87</v>
      </c>
      <c r="C62">
        <v>19</v>
      </c>
      <c r="D62" t="s">
        <v>72</v>
      </c>
      <c r="E62" s="6">
        <f t="shared" si="0"/>
        <v>8</v>
      </c>
      <c r="F62" s="6">
        <f t="shared" si="1"/>
        <v>33</v>
      </c>
      <c r="G62" s="6">
        <f>ROUND(Catalogue!G6*SQRT((1+Paramètres!$B$4*(C62-1)+Paramètres!$B$5*(C62-1)^2)),0)</f>
        <v>0</v>
      </c>
      <c r="H62" s="6">
        <f>ROUND(Catalogue!H6*SQRT((1+Paramètres!$B$4*(C62-1)+Paramètres!$B$5*(C62-1)^2)),0)</f>
        <v>0</v>
      </c>
      <c r="I62" s="6">
        <v>2</v>
      </c>
      <c r="J62" s="6">
        <v>1</v>
      </c>
      <c r="K62" s="7">
        <v>0.25</v>
      </c>
      <c r="L62" s="9">
        <f t="shared" si="2"/>
        <v>20.5</v>
      </c>
      <c r="M62">
        <v>5</v>
      </c>
      <c r="N62">
        <v>6</v>
      </c>
      <c r="O62">
        <v>3</v>
      </c>
      <c r="P62" s="13" t="str">
        <f t="shared" si="3"/>
        <v>5d6 + 3</v>
      </c>
      <c r="Q62">
        <f>ROUND(INDEX(Catalogue!E$4:E$85,MATCH(A62,Catalogue!A$4:A$85,0))*(1+Paramètres!$B$4*(C62-1)+Paramètres!$B$5*(C62-1)^2),0)</f>
        <v>8</v>
      </c>
      <c r="R62">
        <f>ROUND(INDEX(Catalogue!F$4:F$85,MATCH(A62,Catalogue!A$4:A$85,0))*(1+Paramètres!$B$4*(C62-1)+Paramètres!$B$5*(C62-1)^2),0)</f>
        <v>33</v>
      </c>
      <c r="S62">
        <f t="shared" si="4"/>
        <v>0</v>
      </c>
      <c r="T62" t="str">
        <f t="shared" si="5"/>
        <v>OK</v>
      </c>
      <c r="U62" s="25">
        <f t="shared" si="6"/>
        <v>20.5</v>
      </c>
      <c r="V62" t="str">
        <f t="shared" si="7"/>
        <v>OK</v>
      </c>
    </row>
    <row r="63" spans="1:22" ht="18" customHeight="1">
      <c r="A63" t="s">
        <v>86</v>
      </c>
      <c r="B63" t="s">
        <v>87</v>
      </c>
      <c r="C63">
        <v>20</v>
      </c>
      <c r="D63" t="s">
        <v>72</v>
      </c>
      <c r="E63" s="6">
        <f t="shared" si="0"/>
        <v>8</v>
      </c>
      <c r="F63" s="6">
        <f t="shared" si="1"/>
        <v>35</v>
      </c>
      <c r="G63" s="6">
        <f>ROUND(Catalogue!G6*SQRT((1+Paramètres!$B$4*(C63-1)+Paramètres!$B$5*(C63-1)^2)),0)</f>
        <v>0</v>
      </c>
      <c r="H63" s="6">
        <f>ROUND(Catalogue!H6*SQRT((1+Paramètres!$B$4*(C63-1)+Paramètres!$B$5*(C63-1)^2)),0)</f>
        <v>0</v>
      </c>
      <c r="I63" s="6">
        <v>2</v>
      </c>
      <c r="J63" s="6">
        <v>1</v>
      </c>
      <c r="K63" s="7">
        <v>0.25</v>
      </c>
      <c r="L63" s="9">
        <f t="shared" si="2"/>
        <v>21.5</v>
      </c>
      <c r="M63">
        <v>3</v>
      </c>
      <c r="N63">
        <v>10</v>
      </c>
      <c r="O63">
        <v>5</v>
      </c>
      <c r="P63" s="13" t="str">
        <f t="shared" si="3"/>
        <v>3d10 + 5</v>
      </c>
      <c r="Q63">
        <f>ROUND(INDEX(Catalogue!E$4:E$85,MATCH(A63,Catalogue!A$4:A$85,0))*(1+Paramètres!$B$4*(C63-1)+Paramètres!$B$5*(C63-1)^2),0)</f>
        <v>9</v>
      </c>
      <c r="R63">
        <f>ROUND(INDEX(Catalogue!F$4:F$85,MATCH(A63,Catalogue!A$4:A$85,0))*(1+Paramètres!$B$4*(C63-1)+Paramètres!$B$5*(C63-1)^2),0)</f>
        <v>35</v>
      </c>
      <c r="S63">
        <f t="shared" si="4"/>
        <v>-0.5</v>
      </c>
      <c r="T63" t="str">
        <f t="shared" si="5"/>
        <v>OK</v>
      </c>
      <c r="U63" s="25">
        <f t="shared" si="6"/>
        <v>21.5</v>
      </c>
      <c r="V63" t="str">
        <f t="shared" si="7"/>
        <v>OK</v>
      </c>
    </row>
    <row r="64" spans="1:22" ht="18" customHeight="1">
      <c r="A64" t="s">
        <v>89</v>
      </c>
      <c r="B64" t="s">
        <v>90</v>
      </c>
      <c r="C64">
        <v>1</v>
      </c>
      <c r="D64" t="s">
        <v>72</v>
      </c>
      <c r="E64" s="6">
        <f t="shared" si="0"/>
        <v>1</v>
      </c>
      <c r="F64" s="6">
        <f t="shared" si="1"/>
        <v>4</v>
      </c>
      <c r="G64" s="6">
        <f>ROUND(Catalogue!G7*SQRT((1+Paramètres!$B$4*(C64-1)+Paramètres!$B$5*(C64-1)^2)),0)</f>
        <v>0</v>
      </c>
      <c r="H64" s="6">
        <f>ROUND(Catalogue!H7*SQRT((1+Paramètres!$B$4*(C64-1)+Paramètres!$B$5*(C64-1)^2)),0)</f>
        <v>0</v>
      </c>
      <c r="I64" s="6">
        <v>2</v>
      </c>
      <c r="J64" s="6">
        <v>1</v>
      </c>
      <c r="K64" s="7">
        <v>0.5</v>
      </c>
      <c r="L64" s="9">
        <f t="shared" si="2"/>
        <v>2.5</v>
      </c>
      <c r="M64">
        <v>1</v>
      </c>
      <c r="N64">
        <v>4</v>
      </c>
      <c r="O64">
        <v>0</v>
      </c>
      <c r="P64" s="13" t="str">
        <f t="shared" si="3"/>
        <v>1d4</v>
      </c>
      <c r="Q64">
        <f>ROUND(INDEX(Catalogue!E$4:E$85,MATCH(A64,Catalogue!A$4:A$85,0))*(1+Paramètres!$B$4*(C64-1)+Paramètres!$B$5*(C64-1)^2),0)</f>
        <v>2</v>
      </c>
      <c r="R64">
        <f>ROUND(INDEX(Catalogue!F$4:F$85,MATCH(A64,Catalogue!A$4:A$85,0))*(1+Paramètres!$B$4*(C64-1)+Paramètres!$B$5*(C64-1)^2),0)</f>
        <v>4</v>
      </c>
      <c r="S64">
        <f t="shared" si="4"/>
        <v>-0.5</v>
      </c>
      <c r="T64" t="str">
        <f t="shared" si="5"/>
        <v>OK</v>
      </c>
      <c r="U64" s="25">
        <f t="shared" si="6"/>
        <v>2.5</v>
      </c>
      <c r="V64" t="str">
        <f t="shared" si="7"/>
        <v>OK</v>
      </c>
    </row>
    <row r="65" spans="1:22" ht="18" customHeight="1">
      <c r="A65" t="s">
        <v>89</v>
      </c>
      <c r="B65" t="s">
        <v>90</v>
      </c>
      <c r="C65">
        <v>2</v>
      </c>
      <c r="D65" t="s">
        <v>72</v>
      </c>
      <c r="E65" s="6">
        <f t="shared" si="0"/>
        <v>2</v>
      </c>
      <c r="F65" s="6">
        <f t="shared" si="1"/>
        <v>5</v>
      </c>
      <c r="G65" s="6">
        <f>ROUND(Catalogue!G7*SQRT((1+Paramètres!$B$4*(C65-1)+Paramètres!$B$5*(C65-1)^2)),0)</f>
        <v>0</v>
      </c>
      <c r="H65" s="6">
        <f>ROUND(Catalogue!H7*SQRT((1+Paramètres!$B$4*(C65-1)+Paramètres!$B$5*(C65-1)^2)),0)</f>
        <v>0</v>
      </c>
      <c r="I65" s="6">
        <v>2</v>
      </c>
      <c r="J65" s="6">
        <v>1</v>
      </c>
      <c r="K65" s="7">
        <v>0.5</v>
      </c>
      <c r="L65" s="9">
        <f t="shared" si="2"/>
        <v>3.5</v>
      </c>
      <c r="M65">
        <v>1</v>
      </c>
      <c r="N65">
        <v>4</v>
      </c>
      <c r="O65">
        <v>1</v>
      </c>
      <c r="P65" s="13" t="str">
        <f t="shared" si="3"/>
        <v>1d4 + 1</v>
      </c>
      <c r="Q65">
        <f>ROUND(INDEX(Catalogue!E$4:E$85,MATCH(A65,Catalogue!A$4:A$85,0))*(1+Paramètres!$B$4*(C65-1)+Paramètres!$B$5*(C65-1)^2),0)</f>
        <v>2</v>
      </c>
      <c r="R65">
        <f>ROUND(INDEX(Catalogue!F$4:F$85,MATCH(A65,Catalogue!A$4:A$85,0))*(1+Paramètres!$B$4*(C65-1)+Paramètres!$B$5*(C65-1)^2),0)</f>
        <v>5</v>
      </c>
      <c r="S65">
        <f t="shared" si="4"/>
        <v>0</v>
      </c>
      <c r="T65" t="str">
        <f t="shared" si="5"/>
        <v>OK</v>
      </c>
      <c r="U65" s="25">
        <f t="shared" si="6"/>
        <v>3.5</v>
      </c>
      <c r="V65" t="str">
        <f t="shared" si="7"/>
        <v>OK</v>
      </c>
    </row>
    <row r="66" spans="1:22" ht="18" customHeight="1">
      <c r="A66" t="s">
        <v>89</v>
      </c>
      <c r="B66" t="s">
        <v>90</v>
      </c>
      <c r="C66">
        <v>3</v>
      </c>
      <c r="D66" t="s">
        <v>72</v>
      </c>
      <c r="E66" s="6">
        <f t="shared" si="0"/>
        <v>2</v>
      </c>
      <c r="F66" s="6">
        <f t="shared" si="1"/>
        <v>5</v>
      </c>
      <c r="G66" s="6">
        <f>ROUND(Catalogue!G7*SQRT((1+Paramètres!$B$4*(C66-1)+Paramètres!$B$5*(C66-1)^2)),0)</f>
        <v>0</v>
      </c>
      <c r="H66" s="6">
        <f>ROUND(Catalogue!H7*SQRT((1+Paramètres!$B$4*(C66-1)+Paramètres!$B$5*(C66-1)^2)),0)</f>
        <v>0</v>
      </c>
      <c r="I66" s="6">
        <v>2</v>
      </c>
      <c r="J66" s="6">
        <v>1</v>
      </c>
      <c r="K66" s="7">
        <v>0.5</v>
      </c>
      <c r="L66" s="9">
        <f t="shared" si="2"/>
        <v>3.5</v>
      </c>
      <c r="M66">
        <v>1</v>
      </c>
      <c r="N66">
        <v>4</v>
      </c>
      <c r="O66">
        <v>1</v>
      </c>
      <c r="P66" s="13" t="str">
        <f t="shared" si="3"/>
        <v>1d4 + 1</v>
      </c>
      <c r="Q66">
        <f>ROUND(INDEX(Catalogue!E$4:E$85,MATCH(A66,Catalogue!A$4:A$85,0))*(1+Paramètres!$B$4*(C66-1)+Paramètres!$B$5*(C66-1)^2),0)</f>
        <v>3</v>
      </c>
      <c r="R66">
        <f>ROUND(INDEX(Catalogue!F$4:F$85,MATCH(A66,Catalogue!A$4:A$85,0))*(1+Paramètres!$B$4*(C66-1)+Paramètres!$B$5*(C66-1)^2),0)</f>
        <v>5</v>
      </c>
      <c r="S66">
        <f t="shared" si="4"/>
        <v>-0.5</v>
      </c>
      <c r="T66" t="str">
        <f t="shared" si="5"/>
        <v>OK</v>
      </c>
      <c r="U66" s="25">
        <f t="shared" si="6"/>
        <v>3.5</v>
      </c>
      <c r="V66" t="str">
        <f t="shared" si="7"/>
        <v>OK</v>
      </c>
    </row>
    <row r="67" spans="1:22" ht="18" customHeight="1">
      <c r="A67" t="s">
        <v>89</v>
      </c>
      <c r="B67" t="s">
        <v>90</v>
      </c>
      <c r="C67">
        <v>4</v>
      </c>
      <c r="D67" t="s">
        <v>72</v>
      </c>
      <c r="E67" s="6">
        <f t="shared" si="0"/>
        <v>3</v>
      </c>
      <c r="F67" s="6">
        <f t="shared" si="1"/>
        <v>6</v>
      </c>
      <c r="G67" s="6">
        <f>ROUND(Catalogue!G7*SQRT((1+Paramètres!$B$4*(C67-1)+Paramètres!$B$5*(C67-1)^2)),0)</f>
        <v>0</v>
      </c>
      <c r="H67" s="6">
        <f>ROUND(Catalogue!H7*SQRT((1+Paramètres!$B$4*(C67-1)+Paramètres!$B$5*(C67-1)^2)),0)</f>
        <v>0</v>
      </c>
      <c r="I67" s="6">
        <v>2</v>
      </c>
      <c r="J67" s="6">
        <v>1</v>
      </c>
      <c r="K67" s="7">
        <v>0.5</v>
      </c>
      <c r="L67" s="9">
        <f t="shared" si="2"/>
        <v>4.5</v>
      </c>
      <c r="M67">
        <v>1</v>
      </c>
      <c r="N67">
        <v>4</v>
      </c>
      <c r="O67">
        <v>2</v>
      </c>
      <c r="P67" s="13" t="str">
        <f t="shared" si="3"/>
        <v>1d4 + 2</v>
      </c>
      <c r="Q67">
        <f>ROUND(INDEX(Catalogue!E$4:E$85,MATCH(A67,Catalogue!A$4:A$85,0))*(1+Paramètres!$B$4*(C67-1)+Paramètres!$B$5*(C67-1)^2),0)</f>
        <v>3</v>
      </c>
      <c r="R67">
        <f>ROUND(INDEX(Catalogue!F$4:F$85,MATCH(A67,Catalogue!A$4:A$85,0))*(1+Paramètres!$B$4*(C67-1)+Paramètres!$B$5*(C67-1)^2),0)</f>
        <v>6</v>
      </c>
      <c r="S67">
        <f t="shared" si="4"/>
        <v>0</v>
      </c>
      <c r="T67" t="str">
        <f t="shared" si="5"/>
        <v>OK</v>
      </c>
      <c r="U67" s="25">
        <f t="shared" si="6"/>
        <v>4.5</v>
      </c>
      <c r="V67" t="str">
        <f t="shared" si="7"/>
        <v>OK</v>
      </c>
    </row>
    <row r="68" spans="1:22" ht="18" customHeight="1">
      <c r="A68" t="s">
        <v>89</v>
      </c>
      <c r="B68" t="s">
        <v>90</v>
      </c>
      <c r="C68">
        <v>5</v>
      </c>
      <c r="D68" t="s">
        <v>72</v>
      </c>
      <c r="E68" s="6">
        <f t="shared" ref="E68:E131" si="8">IF(M68=0,0,M68+O68)</f>
        <v>3</v>
      </c>
      <c r="F68" s="6">
        <f t="shared" ref="F68:F131" si="9">IF(M68=0,0,M68*N68+O68)</f>
        <v>6</v>
      </c>
      <c r="G68" s="6">
        <f>ROUND(Catalogue!G7*SQRT((1+Paramètres!$B$4*(C68-1)+Paramètres!$B$5*(C68-1)^2)),0)</f>
        <v>0</v>
      </c>
      <c r="H68" s="6">
        <f>ROUND(Catalogue!H7*SQRT((1+Paramètres!$B$4*(C68-1)+Paramètres!$B$5*(C68-1)^2)),0)</f>
        <v>0</v>
      </c>
      <c r="I68" s="6">
        <v>2</v>
      </c>
      <c r="J68" s="6">
        <v>1</v>
      </c>
      <c r="K68" s="7">
        <v>0.5</v>
      </c>
      <c r="L68" s="9">
        <f t="shared" ref="L68:L131" si="10">IF(M68=0,0,(E68+F68)/2)</f>
        <v>4.5</v>
      </c>
      <c r="M68">
        <v>1</v>
      </c>
      <c r="N68">
        <v>4</v>
      </c>
      <c r="O68">
        <v>2</v>
      </c>
      <c r="P68" s="13" t="str">
        <f t="shared" ref="P68:P131" si="11">IF(M68=0,"—",M68&amp;"d"&amp;N68&amp;IF(O68=0,""," + "&amp;O68))</f>
        <v>1d4 + 2</v>
      </c>
      <c r="Q68">
        <f>ROUND(INDEX(Catalogue!E$4:E$85,MATCH(A68,Catalogue!A$4:A$85,0))*(1+Paramètres!$B$4*(C68-1)+Paramètres!$B$5*(C68-1)^2),0)</f>
        <v>3</v>
      </c>
      <c r="R68">
        <f>ROUND(INDEX(Catalogue!F$4:F$85,MATCH(A68,Catalogue!A$4:A$85,0))*(1+Paramètres!$B$4*(C68-1)+Paramètres!$B$5*(C68-1)^2),0)</f>
        <v>7</v>
      </c>
      <c r="S68">
        <f t="shared" ref="S68:S131" si="12">L68-AVERAGE(Q68:R68)</f>
        <v>-0.5</v>
      </c>
      <c r="T68" t="str">
        <f t="shared" ref="T68:T131" si="13">IF(M68=0,IF(AND(N68=0,O68=0,E68=0,F68=0),"OK","ERREUR"),IF(AND(M68&gt;=1,M68&lt;=32,OR(N68=4,N68=6,N68=8,N68=10,N68=12,N68=20),O68&gt;=0,E68=M68+O68,F68=M68*N68+O68),"OK","ERREUR"))</f>
        <v>OK</v>
      </c>
      <c r="U68" s="25">
        <f t="shared" ref="U68:U131" si="14">IF(M68&gt;0,M68*(N68+1)/2+O68,0)</f>
        <v>4.5</v>
      </c>
      <c r="V68" t="str">
        <f t="shared" ref="V68:V131" si="15">IF(ABS(L68-U68)&lt;0.001,"OK","ERREUR")</f>
        <v>OK</v>
      </c>
    </row>
    <row r="69" spans="1:22" ht="18" customHeight="1">
      <c r="A69" t="s">
        <v>89</v>
      </c>
      <c r="B69" t="s">
        <v>90</v>
      </c>
      <c r="C69">
        <v>6</v>
      </c>
      <c r="D69" t="s">
        <v>72</v>
      </c>
      <c r="E69" s="6">
        <f t="shared" si="8"/>
        <v>4</v>
      </c>
      <c r="F69" s="6">
        <f t="shared" si="9"/>
        <v>7</v>
      </c>
      <c r="G69" s="6">
        <f>ROUND(Catalogue!G7*SQRT((1+Paramètres!$B$4*(C69-1)+Paramètres!$B$5*(C69-1)^2)),0)</f>
        <v>0</v>
      </c>
      <c r="H69" s="6">
        <f>ROUND(Catalogue!H7*SQRT((1+Paramètres!$B$4*(C69-1)+Paramètres!$B$5*(C69-1)^2)),0)</f>
        <v>0</v>
      </c>
      <c r="I69" s="6">
        <v>2</v>
      </c>
      <c r="J69" s="6">
        <v>1</v>
      </c>
      <c r="K69" s="7">
        <v>0.5</v>
      </c>
      <c r="L69" s="9">
        <f t="shared" si="10"/>
        <v>5.5</v>
      </c>
      <c r="M69">
        <v>1</v>
      </c>
      <c r="N69">
        <v>4</v>
      </c>
      <c r="O69">
        <v>3</v>
      </c>
      <c r="P69" s="13" t="str">
        <f t="shared" si="11"/>
        <v>1d4 + 3</v>
      </c>
      <c r="Q69">
        <f>ROUND(INDEX(Catalogue!E$4:E$85,MATCH(A69,Catalogue!A$4:A$85,0))*(1+Paramètres!$B$4*(C69-1)+Paramètres!$B$5*(C69-1)^2),0)</f>
        <v>4</v>
      </c>
      <c r="R69">
        <f>ROUND(INDEX(Catalogue!F$4:F$85,MATCH(A69,Catalogue!A$4:A$85,0))*(1+Paramètres!$B$4*(C69-1)+Paramètres!$B$5*(C69-1)^2),0)</f>
        <v>8</v>
      </c>
      <c r="S69">
        <f t="shared" si="12"/>
        <v>-0.5</v>
      </c>
      <c r="T69" t="str">
        <f t="shared" si="13"/>
        <v>OK</v>
      </c>
      <c r="U69" s="25">
        <f t="shared" si="14"/>
        <v>5.5</v>
      </c>
      <c r="V69" t="str">
        <f t="shared" si="15"/>
        <v>OK</v>
      </c>
    </row>
    <row r="70" spans="1:22" ht="18" customHeight="1">
      <c r="A70" t="s">
        <v>89</v>
      </c>
      <c r="B70" t="s">
        <v>90</v>
      </c>
      <c r="C70">
        <v>7</v>
      </c>
      <c r="D70" t="s">
        <v>72</v>
      </c>
      <c r="E70" s="6">
        <f t="shared" si="8"/>
        <v>4</v>
      </c>
      <c r="F70" s="6">
        <f t="shared" si="9"/>
        <v>9</v>
      </c>
      <c r="G70" s="6">
        <f>ROUND(Catalogue!G7*SQRT((1+Paramètres!$B$4*(C70-1)+Paramètres!$B$5*(C70-1)^2)),0)</f>
        <v>0</v>
      </c>
      <c r="H70" s="6">
        <f>ROUND(Catalogue!H7*SQRT((1+Paramètres!$B$4*(C70-1)+Paramètres!$B$5*(C70-1)^2)),0)</f>
        <v>0</v>
      </c>
      <c r="I70" s="6">
        <v>2</v>
      </c>
      <c r="J70" s="6">
        <v>1</v>
      </c>
      <c r="K70" s="7">
        <v>0.5</v>
      </c>
      <c r="L70" s="9">
        <f t="shared" si="10"/>
        <v>6.5</v>
      </c>
      <c r="M70">
        <v>1</v>
      </c>
      <c r="N70">
        <v>6</v>
      </c>
      <c r="O70">
        <v>3</v>
      </c>
      <c r="P70" s="13" t="str">
        <f t="shared" si="11"/>
        <v>1d6 + 3</v>
      </c>
      <c r="Q70">
        <f>ROUND(INDEX(Catalogue!E$4:E$85,MATCH(A70,Catalogue!A$4:A$85,0))*(1+Paramètres!$B$4*(C70-1)+Paramètres!$B$5*(C70-1)^2),0)</f>
        <v>4</v>
      </c>
      <c r="R70">
        <f>ROUND(INDEX(Catalogue!F$4:F$85,MATCH(A70,Catalogue!A$4:A$85,0))*(1+Paramètres!$B$4*(C70-1)+Paramètres!$B$5*(C70-1)^2),0)</f>
        <v>9</v>
      </c>
      <c r="S70">
        <f t="shared" si="12"/>
        <v>0</v>
      </c>
      <c r="T70" t="str">
        <f t="shared" si="13"/>
        <v>OK</v>
      </c>
      <c r="U70" s="25">
        <f t="shared" si="14"/>
        <v>6.5</v>
      </c>
      <c r="V70" t="str">
        <f t="shared" si="15"/>
        <v>OK</v>
      </c>
    </row>
    <row r="71" spans="1:22" ht="18" customHeight="1">
      <c r="A71" t="s">
        <v>89</v>
      </c>
      <c r="B71" t="s">
        <v>90</v>
      </c>
      <c r="C71">
        <v>8</v>
      </c>
      <c r="D71" t="s">
        <v>72</v>
      </c>
      <c r="E71" s="6">
        <f t="shared" si="8"/>
        <v>5</v>
      </c>
      <c r="F71" s="6">
        <f t="shared" si="9"/>
        <v>10</v>
      </c>
      <c r="G71" s="6">
        <f>ROUND(Catalogue!G7*SQRT((1+Paramètres!$B$4*(C71-1)+Paramètres!$B$5*(C71-1)^2)),0)</f>
        <v>0</v>
      </c>
      <c r="H71" s="6">
        <f>ROUND(Catalogue!H7*SQRT((1+Paramètres!$B$4*(C71-1)+Paramètres!$B$5*(C71-1)^2)),0)</f>
        <v>0</v>
      </c>
      <c r="I71" s="6">
        <v>2</v>
      </c>
      <c r="J71" s="6">
        <v>1</v>
      </c>
      <c r="K71" s="7">
        <v>0.5</v>
      </c>
      <c r="L71" s="9">
        <f t="shared" si="10"/>
        <v>7.5</v>
      </c>
      <c r="M71">
        <v>1</v>
      </c>
      <c r="N71">
        <v>6</v>
      </c>
      <c r="O71">
        <v>4</v>
      </c>
      <c r="P71" s="13" t="str">
        <f t="shared" si="11"/>
        <v>1d6 + 4</v>
      </c>
      <c r="Q71">
        <f>ROUND(INDEX(Catalogue!E$4:E$85,MATCH(A71,Catalogue!A$4:A$85,0))*(1+Paramètres!$B$4*(C71-1)+Paramètres!$B$5*(C71-1)^2),0)</f>
        <v>5</v>
      </c>
      <c r="R71">
        <f>ROUND(INDEX(Catalogue!F$4:F$85,MATCH(A71,Catalogue!A$4:A$85,0))*(1+Paramètres!$B$4*(C71-1)+Paramètres!$B$5*(C71-1)^2),0)</f>
        <v>10</v>
      </c>
      <c r="S71">
        <f t="shared" si="12"/>
        <v>0</v>
      </c>
      <c r="T71" t="str">
        <f t="shared" si="13"/>
        <v>OK</v>
      </c>
      <c r="U71" s="25">
        <f t="shared" si="14"/>
        <v>7.5</v>
      </c>
      <c r="V71" t="str">
        <f t="shared" si="15"/>
        <v>OK</v>
      </c>
    </row>
    <row r="72" spans="1:22" ht="18" customHeight="1">
      <c r="A72" t="s">
        <v>89</v>
      </c>
      <c r="B72" t="s">
        <v>90</v>
      </c>
      <c r="C72">
        <v>9</v>
      </c>
      <c r="D72" t="s">
        <v>72</v>
      </c>
      <c r="E72" s="6">
        <f t="shared" si="8"/>
        <v>6</v>
      </c>
      <c r="F72" s="6">
        <f t="shared" si="9"/>
        <v>12</v>
      </c>
      <c r="G72" s="6">
        <f>ROUND(Catalogue!G7*SQRT((1+Paramètres!$B$4*(C72-1)+Paramètres!$B$5*(C72-1)^2)),0)</f>
        <v>0</v>
      </c>
      <c r="H72" s="6">
        <f>ROUND(Catalogue!H7*SQRT((1+Paramètres!$B$4*(C72-1)+Paramètres!$B$5*(C72-1)^2)),0)</f>
        <v>0</v>
      </c>
      <c r="I72" s="6">
        <v>2</v>
      </c>
      <c r="J72" s="6">
        <v>1</v>
      </c>
      <c r="K72" s="7">
        <v>0.5</v>
      </c>
      <c r="L72" s="9">
        <f t="shared" si="10"/>
        <v>9</v>
      </c>
      <c r="M72">
        <v>2</v>
      </c>
      <c r="N72">
        <v>4</v>
      </c>
      <c r="O72">
        <v>4</v>
      </c>
      <c r="P72" s="13" t="str">
        <f t="shared" si="11"/>
        <v>2d4 + 4</v>
      </c>
      <c r="Q72">
        <f>ROUND(INDEX(Catalogue!E$4:E$85,MATCH(A72,Catalogue!A$4:A$85,0))*(1+Paramètres!$B$4*(C72-1)+Paramètres!$B$5*(C72-1)^2),0)</f>
        <v>6</v>
      </c>
      <c r="R72">
        <f>ROUND(INDEX(Catalogue!F$4:F$85,MATCH(A72,Catalogue!A$4:A$85,0))*(1+Paramètres!$B$4*(C72-1)+Paramètres!$B$5*(C72-1)^2),0)</f>
        <v>12</v>
      </c>
      <c r="S72">
        <f t="shared" si="12"/>
        <v>0</v>
      </c>
      <c r="T72" t="str">
        <f t="shared" si="13"/>
        <v>OK</v>
      </c>
      <c r="U72" s="25">
        <f t="shared" si="14"/>
        <v>9</v>
      </c>
      <c r="V72" t="str">
        <f t="shared" si="15"/>
        <v>OK</v>
      </c>
    </row>
    <row r="73" spans="1:22" ht="18" customHeight="1">
      <c r="A73" t="s">
        <v>89</v>
      </c>
      <c r="B73" t="s">
        <v>90</v>
      </c>
      <c r="C73">
        <v>10</v>
      </c>
      <c r="D73" t="s">
        <v>72</v>
      </c>
      <c r="E73" s="6">
        <f t="shared" si="8"/>
        <v>7</v>
      </c>
      <c r="F73" s="6">
        <f t="shared" si="9"/>
        <v>13</v>
      </c>
      <c r="G73" s="6">
        <f>ROUND(Catalogue!G7*SQRT((1+Paramètres!$B$4*(C73-1)+Paramètres!$B$5*(C73-1)^2)),0)</f>
        <v>0</v>
      </c>
      <c r="H73" s="6">
        <f>ROUND(Catalogue!H7*SQRT((1+Paramètres!$B$4*(C73-1)+Paramètres!$B$5*(C73-1)^2)),0)</f>
        <v>0</v>
      </c>
      <c r="I73" s="6">
        <v>2</v>
      </c>
      <c r="J73" s="6">
        <v>1</v>
      </c>
      <c r="K73" s="7">
        <v>0.5</v>
      </c>
      <c r="L73" s="9">
        <f t="shared" si="10"/>
        <v>10</v>
      </c>
      <c r="M73">
        <v>2</v>
      </c>
      <c r="N73">
        <v>4</v>
      </c>
      <c r="O73">
        <v>5</v>
      </c>
      <c r="P73" s="13" t="str">
        <f t="shared" si="11"/>
        <v>2d4 + 5</v>
      </c>
      <c r="Q73">
        <f>ROUND(INDEX(Catalogue!E$4:E$85,MATCH(A73,Catalogue!A$4:A$85,0))*(1+Paramètres!$B$4*(C73-1)+Paramètres!$B$5*(C73-1)^2),0)</f>
        <v>7</v>
      </c>
      <c r="R73">
        <f>ROUND(INDEX(Catalogue!F$4:F$85,MATCH(A73,Catalogue!A$4:A$85,0))*(1+Paramètres!$B$4*(C73-1)+Paramètres!$B$5*(C73-1)^2),0)</f>
        <v>13</v>
      </c>
      <c r="S73">
        <f t="shared" si="12"/>
        <v>0</v>
      </c>
      <c r="T73" t="str">
        <f t="shared" si="13"/>
        <v>OK</v>
      </c>
      <c r="U73" s="25">
        <f t="shared" si="14"/>
        <v>10</v>
      </c>
      <c r="V73" t="str">
        <f t="shared" si="15"/>
        <v>OK</v>
      </c>
    </row>
    <row r="74" spans="1:22" ht="18" customHeight="1">
      <c r="A74" t="s">
        <v>89</v>
      </c>
      <c r="B74" t="s">
        <v>90</v>
      </c>
      <c r="C74">
        <v>11</v>
      </c>
      <c r="D74" t="s">
        <v>72</v>
      </c>
      <c r="E74" s="6">
        <f t="shared" si="8"/>
        <v>6</v>
      </c>
      <c r="F74" s="6">
        <f t="shared" si="9"/>
        <v>15</v>
      </c>
      <c r="G74" s="6">
        <f>ROUND(Catalogue!G7*SQRT((1+Paramètres!$B$4*(C74-1)+Paramètres!$B$5*(C74-1)^2)),0)</f>
        <v>0</v>
      </c>
      <c r="H74" s="6">
        <f>ROUND(Catalogue!H7*SQRT((1+Paramètres!$B$4*(C74-1)+Paramètres!$B$5*(C74-1)^2)),0)</f>
        <v>0</v>
      </c>
      <c r="I74" s="6">
        <v>2</v>
      </c>
      <c r="J74" s="6">
        <v>1</v>
      </c>
      <c r="K74" s="7">
        <v>0.5</v>
      </c>
      <c r="L74" s="9">
        <f t="shared" si="10"/>
        <v>10.5</v>
      </c>
      <c r="M74">
        <v>3</v>
      </c>
      <c r="N74">
        <v>4</v>
      </c>
      <c r="O74">
        <v>3</v>
      </c>
      <c r="P74" s="13" t="str">
        <f t="shared" si="11"/>
        <v>3d4 + 3</v>
      </c>
      <c r="Q74">
        <f>ROUND(INDEX(Catalogue!E$4:E$85,MATCH(A74,Catalogue!A$4:A$85,0))*(1+Paramètres!$B$4*(C74-1)+Paramètres!$B$5*(C74-1)^2),0)</f>
        <v>7</v>
      </c>
      <c r="R74">
        <f>ROUND(INDEX(Catalogue!F$4:F$85,MATCH(A74,Catalogue!A$4:A$85,0))*(1+Paramètres!$B$4*(C74-1)+Paramètres!$B$5*(C74-1)^2),0)</f>
        <v>15</v>
      </c>
      <c r="S74">
        <f t="shared" si="12"/>
        <v>-0.5</v>
      </c>
      <c r="T74" t="str">
        <f t="shared" si="13"/>
        <v>OK</v>
      </c>
      <c r="U74" s="25">
        <f t="shared" si="14"/>
        <v>10.5</v>
      </c>
      <c r="V74" t="str">
        <f t="shared" si="15"/>
        <v>OK</v>
      </c>
    </row>
    <row r="75" spans="1:22" ht="18" customHeight="1">
      <c r="A75" t="s">
        <v>89</v>
      </c>
      <c r="B75" t="s">
        <v>90</v>
      </c>
      <c r="C75">
        <v>12</v>
      </c>
      <c r="D75" t="s">
        <v>72</v>
      </c>
      <c r="E75" s="6">
        <f t="shared" si="8"/>
        <v>8</v>
      </c>
      <c r="F75" s="6">
        <f t="shared" si="9"/>
        <v>17</v>
      </c>
      <c r="G75" s="6">
        <f>ROUND(Catalogue!G7*SQRT((1+Paramètres!$B$4*(C75-1)+Paramètres!$B$5*(C75-1)^2)),0)</f>
        <v>0</v>
      </c>
      <c r="H75" s="6">
        <f>ROUND(Catalogue!H7*SQRT((1+Paramètres!$B$4*(C75-1)+Paramètres!$B$5*(C75-1)^2)),0)</f>
        <v>0</v>
      </c>
      <c r="I75" s="6">
        <v>2</v>
      </c>
      <c r="J75" s="6">
        <v>1</v>
      </c>
      <c r="K75" s="7">
        <v>0.5</v>
      </c>
      <c r="L75" s="9">
        <f t="shared" si="10"/>
        <v>12.5</v>
      </c>
      <c r="M75">
        <v>3</v>
      </c>
      <c r="N75">
        <v>4</v>
      </c>
      <c r="O75">
        <v>5</v>
      </c>
      <c r="P75" s="13" t="str">
        <f t="shared" si="11"/>
        <v>3d4 + 5</v>
      </c>
      <c r="Q75">
        <f>ROUND(INDEX(Catalogue!E$4:E$85,MATCH(A75,Catalogue!A$4:A$85,0))*(1+Paramètres!$B$4*(C75-1)+Paramètres!$B$5*(C75-1)^2),0)</f>
        <v>8</v>
      </c>
      <c r="R75">
        <f>ROUND(INDEX(Catalogue!F$4:F$85,MATCH(A75,Catalogue!A$4:A$85,0))*(1+Paramètres!$B$4*(C75-1)+Paramètres!$B$5*(C75-1)^2),0)</f>
        <v>17</v>
      </c>
      <c r="S75">
        <f t="shared" si="12"/>
        <v>0</v>
      </c>
      <c r="T75" t="str">
        <f t="shared" si="13"/>
        <v>OK</v>
      </c>
      <c r="U75" s="25">
        <f t="shared" si="14"/>
        <v>12.5</v>
      </c>
      <c r="V75" t="str">
        <f t="shared" si="15"/>
        <v>OK</v>
      </c>
    </row>
    <row r="76" spans="1:22" ht="18" customHeight="1">
      <c r="A76" t="s">
        <v>89</v>
      </c>
      <c r="B76" t="s">
        <v>90</v>
      </c>
      <c r="C76">
        <v>13</v>
      </c>
      <c r="D76" t="s">
        <v>72</v>
      </c>
      <c r="E76" s="6">
        <f t="shared" si="8"/>
        <v>9</v>
      </c>
      <c r="F76" s="6">
        <f t="shared" si="9"/>
        <v>18</v>
      </c>
      <c r="G76" s="6">
        <f>ROUND(Catalogue!G7*SQRT((1+Paramètres!$B$4*(C76-1)+Paramètres!$B$5*(C76-1)^2)),0)</f>
        <v>0</v>
      </c>
      <c r="H76" s="6">
        <f>ROUND(Catalogue!H7*SQRT((1+Paramètres!$B$4*(C76-1)+Paramètres!$B$5*(C76-1)^2)),0)</f>
        <v>0</v>
      </c>
      <c r="I76" s="6">
        <v>2</v>
      </c>
      <c r="J76" s="6">
        <v>1</v>
      </c>
      <c r="K76" s="7">
        <v>0.5</v>
      </c>
      <c r="L76" s="9">
        <f t="shared" si="10"/>
        <v>13.5</v>
      </c>
      <c r="M76">
        <v>3</v>
      </c>
      <c r="N76">
        <v>4</v>
      </c>
      <c r="O76">
        <v>6</v>
      </c>
      <c r="P76" s="13" t="str">
        <f t="shared" si="11"/>
        <v>3d4 + 6</v>
      </c>
      <c r="Q76">
        <f>ROUND(INDEX(Catalogue!E$4:E$85,MATCH(A76,Catalogue!A$4:A$85,0))*(1+Paramètres!$B$4*(C76-1)+Paramètres!$B$5*(C76-1)^2),0)</f>
        <v>9</v>
      </c>
      <c r="R76">
        <f>ROUND(INDEX(Catalogue!F$4:F$85,MATCH(A76,Catalogue!A$4:A$85,0))*(1+Paramètres!$B$4*(C76-1)+Paramètres!$B$5*(C76-1)^2),0)</f>
        <v>18</v>
      </c>
      <c r="S76">
        <f t="shared" si="12"/>
        <v>0</v>
      </c>
      <c r="T76" t="str">
        <f t="shared" si="13"/>
        <v>OK</v>
      </c>
      <c r="U76" s="25">
        <f t="shared" si="14"/>
        <v>13.5</v>
      </c>
      <c r="V76" t="str">
        <f t="shared" si="15"/>
        <v>OK</v>
      </c>
    </row>
    <row r="77" spans="1:22" ht="18" customHeight="1">
      <c r="A77" t="s">
        <v>89</v>
      </c>
      <c r="B77" t="s">
        <v>90</v>
      </c>
      <c r="C77">
        <v>14</v>
      </c>
      <c r="D77" t="s">
        <v>72</v>
      </c>
      <c r="E77" s="6">
        <f t="shared" si="8"/>
        <v>10</v>
      </c>
      <c r="F77" s="6">
        <f t="shared" si="9"/>
        <v>20</v>
      </c>
      <c r="G77" s="6">
        <f>ROUND(Catalogue!G7*SQRT((1+Paramètres!$B$4*(C77-1)+Paramètres!$B$5*(C77-1)^2)),0)</f>
        <v>0</v>
      </c>
      <c r="H77" s="6">
        <f>ROUND(Catalogue!H7*SQRT((1+Paramètres!$B$4*(C77-1)+Paramètres!$B$5*(C77-1)^2)),0)</f>
        <v>0</v>
      </c>
      <c r="I77" s="6">
        <v>2</v>
      </c>
      <c r="J77" s="6">
        <v>1</v>
      </c>
      <c r="K77" s="7">
        <v>0.5</v>
      </c>
      <c r="L77" s="9">
        <f t="shared" si="10"/>
        <v>15</v>
      </c>
      <c r="M77">
        <v>2</v>
      </c>
      <c r="N77">
        <v>6</v>
      </c>
      <c r="O77">
        <v>8</v>
      </c>
      <c r="P77" s="13" t="str">
        <f t="shared" si="11"/>
        <v>2d6 + 8</v>
      </c>
      <c r="Q77">
        <f>ROUND(INDEX(Catalogue!E$4:E$85,MATCH(A77,Catalogue!A$4:A$85,0))*(1+Paramètres!$B$4*(C77-1)+Paramètres!$B$5*(C77-1)^2),0)</f>
        <v>10</v>
      </c>
      <c r="R77">
        <f>ROUND(INDEX(Catalogue!F$4:F$85,MATCH(A77,Catalogue!A$4:A$85,0))*(1+Paramètres!$B$4*(C77-1)+Paramètres!$B$5*(C77-1)^2),0)</f>
        <v>21</v>
      </c>
      <c r="S77">
        <f t="shared" si="12"/>
        <v>-0.5</v>
      </c>
      <c r="T77" t="str">
        <f t="shared" si="13"/>
        <v>OK</v>
      </c>
      <c r="U77" s="25">
        <f t="shared" si="14"/>
        <v>15</v>
      </c>
      <c r="V77" t="str">
        <f t="shared" si="15"/>
        <v>OK</v>
      </c>
    </row>
    <row r="78" spans="1:22" ht="18" customHeight="1">
      <c r="A78" t="s">
        <v>89</v>
      </c>
      <c r="B78" t="s">
        <v>90</v>
      </c>
      <c r="C78">
        <v>15</v>
      </c>
      <c r="D78" t="s">
        <v>72</v>
      </c>
      <c r="E78" s="6">
        <f t="shared" si="8"/>
        <v>11</v>
      </c>
      <c r="F78" s="6">
        <f t="shared" si="9"/>
        <v>23</v>
      </c>
      <c r="G78" s="6">
        <f>ROUND(Catalogue!G7*SQRT((1+Paramètres!$B$4*(C78-1)+Paramètres!$B$5*(C78-1)^2)),0)</f>
        <v>0</v>
      </c>
      <c r="H78" s="6">
        <f>ROUND(Catalogue!H7*SQRT((1+Paramètres!$B$4*(C78-1)+Paramètres!$B$5*(C78-1)^2)),0)</f>
        <v>0</v>
      </c>
      <c r="I78" s="6">
        <v>2</v>
      </c>
      <c r="J78" s="6">
        <v>1</v>
      </c>
      <c r="K78" s="7">
        <v>0.5</v>
      </c>
      <c r="L78" s="9">
        <f t="shared" si="10"/>
        <v>17</v>
      </c>
      <c r="M78">
        <v>4</v>
      </c>
      <c r="N78">
        <v>4</v>
      </c>
      <c r="O78">
        <v>7</v>
      </c>
      <c r="P78" s="13" t="str">
        <f t="shared" si="11"/>
        <v>4d4 + 7</v>
      </c>
      <c r="Q78">
        <f>ROUND(INDEX(Catalogue!E$4:E$85,MATCH(A78,Catalogue!A$4:A$85,0))*(1+Paramètres!$B$4*(C78-1)+Paramètres!$B$5*(C78-1)^2),0)</f>
        <v>11</v>
      </c>
      <c r="R78">
        <f>ROUND(INDEX(Catalogue!F$4:F$85,MATCH(A78,Catalogue!A$4:A$85,0))*(1+Paramètres!$B$4*(C78-1)+Paramètres!$B$5*(C78-1)^2),0)</f>
        <v>23</v>
      </c>
      <c r="S78">
        <f t="shared" si="12"/>
        <v>0</v>
      </c>
      <c r="T78" t="str">
        <f t="shared" si="13"/>
        <v>OK</v>
      </c>
      <c r="U78" s="25">
        <f t="shared" si="14"/>
        <v>17</v>
      </c>
      <c r="V78" t="str">
        <f t="shared" si="15"/>
        <v>OK</v>
      </c>
    </row>
    <row r="79" spans="1:22" ht="18" customHeight="1">
      <c r="A79" t="s">
        <v>89</v>
      </c>
      <c r="B79" t="s">
        <v>90</v>
      </c>
      <c r="C79">
        <v>16</v>
      </c>
      <c r="D79" t="s">
        <v>72</v>
      </c>
      <c r="E79" s="6">
        <f t="shared" si="8"/>
        <v>13</v>
      </c>
      <c r="F79" s="6">
        <f t="shared" si="9"/>
        <v>25</v>
      </c>
      <c r="G79" s="6">
        <f>ROUND(Catalogue!G7*SQRT((1+Paramètres!$B$4*(C79-1)+Paramètres!$B$5*(C79-1)^2)),0)</f>
        <v>0</v>
      </c>
      <c r="H79" s="6">
        <f>ROUND(Catalogue!H7*SQRT((1+Paramètres!$B$4*(C79-1)+Paramètres!$B$5*(C79-1)^2)),0)</f>
        <v>0</v>
      </c>
      <c r="I79" s="6">
        <v>2</v>
      </c>
      <c r="J79" s="6">
        <v>1</v>
      </c>
      <c r="K79" s="7">
        <v>0.5</v>
      </c>
      <c r="L79" s="9">
        <f t="shared" si="10"/>
        <v>19</v>
      </c>
      <c r="M79">
        <v>4</v>
      </c>
      <c r="N79">
        <v>4</v>
      </c>
      <c r="O79">
        <v>9</v>
      </c>
      <c r="P79" s="13" t="str">
        <f t="shared" si="11"/>
        <v>4d4 + 9</v>
      </c>
      <c r="Q79">
        <f>ROUND(INDEX(Catalogue!E$4:E$85,MATCH(A79,Catalogue!A$4:A$85,0))*(1+Paramètres!$B$4*(C79-1)+Paramètres!$B$5*(C79-1)^2),0)</f>
        <v>13</v>
      </c>
      <c r="R79">
        <f>ROUND(INDEX(Catalogue!F$4:F$85,MATCH(A79,Catalogue!A$4:A$85,0))*(1+Paramètres!$B$4*(C79-1)+Paramètres!$B$5*(C79-1)^2),0)</f>
        <v>25</v>
      </c>
      <c r="S79">
        <f t="shared" si="12"/>
        <v>0</v>
      </c>
      <c r="T79" t="str">
        <f t="shared" si="13"/>
        <v>OK</v>
      </c>
      <c r="U79" s="25">
        <f t="shared" si="14"/>
        <v>19</v>
      </c>
      <c r="V79" t="str">
        <f t="shared" si="15"/>
        <v>OK</v>
      </c>
    </row>
    <row r="80" spans="1:22" ht="18" customHeight="1">
      <c r="A80" t="s">
        <v>89</v>
      </c>
      <c r="B80" t="s">
        <v>90</v>
      </c>
      <c r="C80">
        <v>17</v>
      </c>
      <c r="D80" t="s">
        <v>72</v>
      </c>
      <c r="E80" s="6">
        <f t="shared" si="8"/>
        <v>13</v>
      </c>
      <c r="F80" s="6">
        <f t="shared" si="9"/>
        <v>27</v>
      </c>
      <c r="G80" s="6">
        <f>ROUND(Catalogue!G7*SQRT((1+Paramètres!$B$4*(C80-1)+Paramètres!$B$5*(C80-1)^2)),0)</f>
        <v>0</v>
      </c>
      <c r="H80" s="6">
        <f>ROUND(Catalogue!H7*SQRT((1+Paramètres!$B$4*(C80-1)+Paramètres!$B$5*(C80-1)^2)),0)</f>
        <v>0</v>
      </c>
      <c r="I80" s="6">
        <v>2</v>
      </c>
      <c r="J80" s="6">
        <v>1</v>
      </c>
      <c r="K80" s="7">
        <v>0.5</v>
      </c>
      <c r="L80" s="9">
        <f t="shared" si="10"/>
        <v>20</v>
      </c>
      <c r="M80">
        <v>2</v>
      </c>
      <c r="N80">
        <v>8</v>
      </c>
      <c r="O80">
        <v>11</v>
      </c>
      <c r="P80" s="13" t="str">
        <f t="shared" si="11"/>
        <v>2d8 + 11</v>
      </c>
      <c r="Q80">
        <f>ROUND(INDEX(Catalogue!E$4:E$85,MATCH(A80,Catalogue!A$4:A$85,0))*(1+Paramètres!$B$4*(C80-1)+Paramètres!$B$5*(C80-1)^2),0)</f>
        <v>14</v>
      </c>
      <c r="R80">
        <f>ROUND(INDEX(Catalogue!F$4:F$85,MATCH(A80,Catalogue!A$4:A$85,0))*(1+Paramètres!$B$4*(C80-1)+Paramètres!$B$5*(C80-1)^2),0)</f>
        <v>27</v>
      </c>
      <c r="S80">
        <f t="shared" si="12"/>
        <v>-0.5</v>
      </c>
      <c r="T80" t="str">
        <f t="shared" si="13"/>
        <v>OK</v>
      </c>
      <c r="U80" s="25">
        <f t="shared" si="14"/>
        <v>20</v>
      </c>
      <c r="V80" t="str">
        <f t="shared" si="15"/>
        <v>OK</v>
      </c>
    </row>
    <row r="81" spans="1:22" ht="18" customHeight="1">
      <c r="A81" t="s">
        <v>89</v>
      </c>
      <c r="B81" t="s">
        <v>90</v>
      </c>
      <c r="C81">
        <v>18</v>
      </c>
      <c r="D81" t="s">
        <v>72</v>
      </c>
      <c r="E81" s="6">
        <f t="shared" si="8"/>
        <v>15</v>
      </c>
      <c r="F81" s="6">
        <f t="shared" si="9"/>
        <v>30</v>
      </c>
      <c r="G81" s="6">
        <f>ROUND(Catalogue!G7*SQRT((1+Paramètres!$B$4*(C81-1)+Paramètres!$B$5*(C81-1)^2)),0)</f>
        <v>0</v>
      </c>
      <c r="H81" s="6">
        <f>ROUND(Catalogue!H7*SQRT((1+Paramètres!$B$4*(C81-1)+Paramètres!$B$5*(C81-1)^2)),0)</f>
        <v>0</v>
      </c>
      <c r="I81" s="6">
        <v>2</v>
      </c>
      <c r="J81" s="6">
        <v>1</v>
      </c>
      <c r="K81" s="7">
        <v>0.5</v>
      </c>
      <c r="L81" s="9">
        <f t="shared" si="10"/>
        <v>22.5</v>
      </c>
      <c r="M81">
        <v>3</v>
      </c>
      <c r="N81">
        <v>6</v>
      </c>
      <c r="O81">
        <v>12</v>
      </c>
      <c r="P81" s="13" t="str">
        <f t="shared" si="11"/>
        <v>3d6 + 12</v>
      </c>
      <c r="Q81">
        <f>ROUND(INDEX(Catalogue!E$4:E$85,MATCH(A81,Catalogue!A$4:A$85,0))*(1+Paramètres!$B$4*(C81-1)+Paramètres!$B$5*(C81-1)^2),0)</f>
        <v>15</v>
      </c>
      <c r="R81">
        <f>ROUND(INDEX(Catalogue!F$4:F$85,MATCH(A81,Catalogue!A$4:A$85,0))*(1+Paramètres!$B$4*(C81-1)+Paramètres!$B$5*(C81-1)^2),0)</f>
        <v>30</v>
      </c>
      <c r="S81">
        <f t="shared" si="12"/>
        <v>0</v>
      </c>
      <c r="T81" t="str">
        <f t="shared" si="13"/>
        <v>OK</v>
      </c>
      <c r="U81" s="25">
        <f t="shared" si="14"/>
        <v>22.5</v>
      </c>
      <c r="V81" t="str">
        <f t="shared" si="15"/>
        <v>OK</v>
      </c>
    </row>
    <row r="82" spans="1:22" ht="18" customHeight="1">
      <c r="A82" t="s">
        <v>89</v>
      </c>
      <c r="B82" t="s">
        <v>90</v>
      </c>
      <c r="C82">
        <v>19</v>
      </c>
      <c r="D82" t="s">
        <v>72</v>
      </c>
      <c r="E82" s="6">
        <f t="shared" si="8"/>
        <v>15</v>
      </c>
      <c r="F82" s="6">
        <f t="shared" si="9"/>
        <v>33</v>
      </c>
      <c r="G82" s="6">
        <f>ROUND(Catalogue!G7*SQRT((1+Paramètres!$B$4*(C82-1)+Paramètres!$B$5*(C82-1)^2)),0)</f>
        <v>0</v>
      </c>
      <c r="H82" s="6">
        <f>ROUND(Catalogue!H7*SQRT((1+Paramètres!$B$4*(C82-1)+Paramètres!$B$5*(C82-1)^2)),0)</f>
        <v>0</v>
      </c>
      <c r="I82" s="6">
        <v>2</v>
      </c>
      <c r="J82" s="6">
        <v>1</v>
      </c>
      <c r="K82" s="7">
        <v>0.5</v>
      </c>
      <c r="L82" s="9">
        <f t="shared" si="10"/>
        <v>24</v>
      </c>
      <c r="M82">
        <v>2</v>
      </c>
      <c r="N82">
        <v>10</v>
      </c>
      <c r="O82">
        <v>13</v>
      </c>
      <c r="P82" s="13" t="str">
        <f t="shared" si="11"/>
        <v>2d10 + 13</v>
      </c>
      <c r="Q82">
        <f>ROUND(INDEX(Catalogue!E$4:E$85,MATCH(A82,Catalogue!A$4:A$85,0))*(1+Paramètres!$B$4*(C82-1)+Paramètres!$B$5*(C82-1)^2),0)</f>
        <v>16</v>
      </c>
      <c r="R82">
        <f>ROUND(INDEX(Catalogue!F$4:F$85,MATCH(A82,Catalogue!A$4:A$85,0))*(1+Paramètres!$B$4*(C82-1)+Paramètres!$B$5*(C82-1)^2),0)</f>
        <v>33</v>
      </c>
      <c r="S82">
        <f t="shared" si="12"/>
        <v>-0.5</v>
      </c>
      <c r="T82" t="str">
        <f t="shared" si="13"/>
        <v>OK</v>
      </c>
      <c r="U82" s="25">
        <f t="shared" si="14"/>
        <v>24</v>
      </c>
      <c r="V82" t="str">
        <f t="shared" si="15"/>
        <v>OK</v>
      </c>
    </row>
    <row r="83" spans="1:22" ht="18" customHeight="1">
      <c r="A83" t="s">
        <v>89</v>
      </c>
      <c r="B83" t="s">
        <v>90</v>
      </c>
      <c r="C83">
        <v>20</v>
      </c>
      <c r="D83" t="s">
        <v>72</v>
      </c>
      <c r="E83" s="6">
        <f t="shared" si="8"/>
        <v>18</v>
      </c>
      <c r="F83" s="6">
        <f t="shared" si="9"/>
        <v>36</v>
      </c>
      <c r="G83" s="6">
        <f>ROUND(Catalogue!G7*SQRT((1+Paramètres!$B$4*(C83-1)+Paramètres!$B$5*(C83-1)^2)),0)</f>
        <v>0</v>
      </c>
      <c r="H83" s="6">
        <f>ROUND(Catalogue!H7*SQRT((1+Paramètres!$B$4*(C83-1)+Paramètres!$B$5*(C83-1)^2)),0)</f>
        <v>0</v>
      </c>
      <c r="I83" s="6">
        <v>2</v>
      </c>
      <c r="J83" s="6">
        <v>1</v>
      </c>
      <c r="K83" s="7">
        <v>0.5</v>
      </c>
      <c r="L83" s="9">
        <f t="shared" si="10"/>
        <v>27</v>
      </c>
      <c r="M83">
        <v>2</v>
      </c>
      <c r="N83">
        <v>10</v>
      </c>
      <c r="O83">
        <v>16</v>
      </c>
      <c r="P83" s="13" t="str">
        <f t="shared" si="11"/>
        <v>2d10 + 16</v>
      </c>
      <c r="Q83">
        <f>ROUND(INDEX(Catalogue!E$4:E$85,MATCH(A83,Catalogue!A$4:A$85,0))*(1+Paramètres!$B$4*(C83-1)+Paramètres!$B$5*(C83-1)^2),0)</f>
        <v>18</v>
      </c>
      <c r="R83">
        <f>ROUND(INDEX(Catalogue!F$4:F$85,MATCH(A83,Catalogue!A$4:A$85,0))*(1+Paramètres!$B$4*(C83-1)+Paramètres!$B$5*(C83-1)^2),0)</f>
        <v>35</v>
      </c>
      <c r="S83">
        <f t="shared" si="12"/>
        <v>0.5</v>
      </c>
      <c r="T83" t="str">
        <f t="shared" si="13"/>
        <v>OK</v>
      </c>
      <c r="U83" s="25">
        <f t="shared" si="14"/>
        <v>27</v>
      </c>
      <c r="V83" t="str">
        <f t="shared" si="15"/>
        <v>OK</v>
      </c>
    </row>
    <row r="84" spans="1:22" ht="18" customHeight="1">
      <c r="A84" t="s">
        <v>92</v>
      </c>
      <c r="B84" t="s">
        <v>93</v>
      </c>
      <c r="C84">
        <v>1</v>
      </c>
      <c r="D84" t="s">
        <v>72</v>
      </c>
      <c r="E84" s="6">
        <f t="shared" si="8"/>
        <v>1</v>
      </c>
      <c r="F84" s="6">
        <f t="shared" si="9"/>
        <v>4</v>
      </c>
      <c r="G84" s="6">
        <f>ROUND(Catalogue!G8*SQRT((1+Paramètres!$B$4*(C84-1)+Paramètres!$B$5*(C84-1)^2)),0)</f>
        <v>0</v>
      </c>
      <c r="H84" s="6">
        <f>ROUND(Catalogue!H8*SQRT((1+Paramètres!$B$4*(C84-1)+Paramètres!$B$5*(C84-1)^2)),0)</f>
        <v>0</v>
      </c>
      <c r="I84" s="6">
        <v>2</v>
      </c>
      <c r="J84" s="6">
        <v>1</v>
      </c>
      <c r="K84" s="7">
        <v>0.5</v>
      </c>
      <c r="L84" s="9">
        <f t="shared" si="10"/>
        <v>2.5</v>
      </c>
      <c r="M84">
        <v>1</v>
      </c>
      <c r="N84">
        <v>4</v>
      </c>
      <c r="O84">
        <v>0</v>
      </c>
      <c r="P84" s="13" t="str">
        <f t="shared" si="11"/>
        <v>1d4</v>
      </c>
      <c r="Q84">
        <f>ROUND(INDEX(Catalogue!E$4:E$85,MATCH(A84,Catalogue!A$4:A$85,0))*(1+Paramètres!$B$4*(C84-1)+Paramètres!$B$5*(C84-1)^2),0)</f>
        <v>2</v>
      </c>
      <c r="R84">
        <f>ROUND(INDEX(Catalogue!F$4:F$85,MATCH(A84,Catalogue!A$4:A$85,0))*(1+Paramètres!$B$4*(C84-1)+Paramètres!$B$5*(C84-1)^2),0)</f>
        <v>4</v>
      </c>
      <c r="S84">
        <f t="shared" si="12"/>
        <v>-0.5</v>
      </c>
      <c r="T84" t="str">
        <f t="shared" si="13"/>
        <v>OK</v>
      </c>
      <c r="U84" s="25">
        <f t="shared" si="14"/>
        <v>2.5</v>
      </c>
      <c r="V84" t="str">
        <f t="shared" si="15"/>
        <v>OK</v>
      </c>
    </row>
    <row r="85" spans="1:22" ht="18" customHeight="1">
      <c r="A85" t="s">
        <v>92</v>
      </c>
      <c r="B85" t="s">
        <v>93</v>
      </c>
      <c r="C85">
        <v>2</v>
      </c>
      <c r="D85" t="s">
        <v>72</v>
      </c>
      <c r="E85" s="6">
        <f t="shared" si="8"/>
        <v>2</v>
      </c>
      <c r="F85" s="6">
        <f t="shared" si="9"/>
        <v>5</v>
      </c>
      <c r="G85" s="6">
        <f>ROUND(Catalogue!G8*SQRT((1+Paramètres!$B$4*(C85-1)+Paramètres!$B$5*(C85-1)^2)),0)</f>
        <v>0</v>
      </c>
      <c r="H85" s="6">
        <f>ROUND(Catalogue!H8*SQRT((1+Paramètres!$B$4*(C85-1)+Paramètres!$B$5*(C85-1)^2)),0)</f>
        <v>0</v>
      </c>
      <c r="I85" s="6">
        <v>2</v>
      </c>
      <c r="J85" s="6">
        <v>1</v>
      </c>
      <c r="K85" s="7">
        <v>0.5</v>
      </c>
      <c r="L85" s="9">
        <f t="shared" si="10"/>
        <v>3.5</v>
      </c>
      <c r="M85">
        <v>1</v>
      </c>
      <c r="N85">
        <v>4</v>
      </c>
      <c r="O85">
        <v>1</v>
      </c>
      <c r="P85" s="13" t="str">
        <f t="shared" si="11"/>
        <v>1d4 + 1</v>
      </c>
      <c r="Q85">
        <f>ROUND(INDEX(Catalogue!E$4:E$85,MATCH(A85,Catalogue!A$4:A$85,0))*(1+Paramètres!$B$4*(C85-1)+Paramètres!$B$5*(C85-1)^2),0)</f>
        <v>2</v>
      </c>
      <c r="R85">
        <f>ROUND(INDEX(Catalogue!F$4:F$85,MATCH(A85,Catalogue!A$4:A$85,0))*(1+Paramètres!$B$4*(C85-1)+Paramètres!$B$5*(C85-1)^2),0)</f>
        <v>5</v>
      </c>
      <c r="S85">
        <f t="shared" si="12"/>
        <v>0</v>
      </c>
      <c r="T85" t="str">
        <f t="shared" si="13"/>
        <v>OK</v>
      </c>
      <c r="U85" s="25">
        <f t="shared" si="14"/>
        <v>3.5</v>
      </c>
      <c r="V85" t="str">
        <f t="shared" si="15"/>
        <v>OK</v>
      </c>
    </row>
    <row r="86" spans="1:22" ht="18" customHeight="1">
      <c r="A86" t="s">
        <v>92</v>
      </c>
      <c r="B86" t="s">
        <v>93</v>
      </c>
      <c r="C86">
        <v>3</v>
      </c>
      <c r="D86" t="s">
        <v>72</v>
      </c>
      <c r="E86" s="6">
        <f t="shared" si="8"/>
        <v>2</v>
      </c>
      <c r="F86" s="6">
        <f t="shared" si="9"/>
        <v>5</v>
      </c>
      <c r="G86" s="6">
        <f>ROUND(Catalogue!G8*SQRT((1+Paramètres!$B$4*(C86-1)+Paramètres!$B$5*(C86-1)^2)),0)</f>
        <v>0</v>
      </c>
      <c r="H86" s="6">
        <f>ROUND(Catalogue!H8*SQRT((1+Paramètres!$B$4*(C86-1)+Paramètres!$B$5*(C86-1)^2)),0)</f>
        <v>0</v>
      </c>
      <c r="I86" s="6">
        <v>2</v>
      </c>
      <c r="J86" s="6">
        <v>1</v>
      </c>
      <c r="K86" s="7">
        <v>0.5</v>
      </c>
      <c r="L86" s="9">
        <f t="shared" si="10"/>
        <v>3.5</v>
      </c>
      <c r="M86">
        <v>1</v>
      </c>
      <c r="N86">
        <v>4</v>
      </c>
      <c r="O86">
        <v>1</v>
      </c>
      <c r="P86" s="13" t="str">
        <f t="shared" si="11"/>
        <v>1d4 + 1</v>
      </c>
      <c r="Q86">
        <f>ROUND(INDEX(Catalogue!E$4:E$85,MATCH(A86,Catalogue!A$4:A$85,0))*(1+Paramètres!$B$4*(C86-1)+Paramètres!$B$5*(C86-1)^2),0)</f>
        <v>3</v>
      </c>
      <c r="R86">
        <f>ROUND(INDEX(Catalogue!F$4:F$85,MATCH(A86,Catalogue!A$4:A$85,0))*(1+Paramètres!$B$4*(C86-1)+Paramètres!$B$5*(C86-1)^2),0)</f>
        <v>5</v>
      </c>
      <c r="S86">
        <f t="shared" si="12"/>
        <v>-0.5</v>
      </c>
      <c r="T86" t="str">
        <f t="shared" si="13"/>
        <v>OK</v>
      </c>
      <c r="U86" s="25">
        <f t="shared" si="14"/>
        <v>3.5</v>
      </c>
      <c r="V86" t="str">
        <f t="shared" si="15"/>
        <v>OK</v>
      </c>
    </row>
    <row r="87" spans="1:22" ht="18" customHeight="1">
      <c r="A87" t="s">
        <v>92</v>
      </c>
      <c r="B87" t="s">
        <v>93</v>
      </c>
      <c r="C87">
        <v>4</v>
      </c>
      <c r="D87" t="s">
        <v>72</v>
      </c>
      <c r="E87" s="6">
        <f t="shared" si="8"/>
        <v>3</v>
      </c>
      <c r="F87" s="6">
        <f t="shared" si="9"/>
        <v>6</v>
      </c>
      <c r="G87" s="6">
        <f>ROUND(Catalogue!G8*SQRT((1+Paramètres!$B$4*(C87-1)+Paramètres!$B$5*(C87-1)^2)),0)</f>
        <v>0</v>
      </c>
      <c r="H87" s="6">
        <f>ROUND(Catalogue!H8*SQRT((1+Paramètres!$B$4*(C87-1)+Paramètres!$B$5*(C87-1)^2)),0)</f>
        <v>0</v>
      </c>
      <c r="I87" s="6">
        <v>2</v>
      </c>
      <c r="J87" s="6">
        <v>1</v>
      </c>
      <c r="K87" s="7">
        <v>0.5</v>
      </c>
      <c r="L87" s="9">
        <f t="shared" si="10"/>
        <v>4.5</v>
      </c>
      <c r="M87">
        <v>1</v>
      </c>
      <c r="N87">
        <v>4</v>
      </c>
      <c r="O87">
        <v>2</v>
      </c>
      <c r="P87" s="13" t="str">
        <f t="shared" si="11"/>
        <v>1d4 + 2</v>
      </c>
      <c r="Q87">
        <f>ROUND(INDEX(Catalogue!E$4:E$85,MATCH(A87,Catalogue!A$4:A$85,0))*(1+Paramètres!$B$4*(C87-1)+Paramètres!$B$5*(C87-1)^2),0)</f>
        <v>3</v>
      </c>
      <c r="R87">
        <f>ROUND(INDEX(Catalogue!F$4:F$85,MATCH(A87,Catalogue!A$4:A$85,0))*(1+Paramètres!$B$4*(C87-1)+Paramètres!$B$5*(C87-1)^2),0)</f>
        <v>6</v>
      </c>
      <c r="S87">
        <f t="shared" si="12"/>
        <v>0</v>
      </c>
      <c r="T87" t="str">
        <f t="shared" si="13"/>
        <v>OK</v>
      </c>
      <c r="U87" s="25">
        <f t="shared" si="14"/>
        <v>4.5</v>
      </c>
      <c r="V87" t="str">
        <f t="shared" si="15"/>
        <v>OK</v>
      </c>
    </row>
    <row r="88" spans="1:22" ht="18" customHeight="1">
      <c r="A88" t="s">
        <v>92</v>
      </c>
      <c r="B88" t="s">
        <v>93</v>
      </c>
      <c r="C88">
        <v>5</v>
      </c>
      <c r="D88" t="s">
        <v>72</v>
      </c>
      <c r="E88" s="6">
        <f t="shared" si="8"/>
        <v>3</v>
      </c>
      <c r="F88" s="6">
        <f t="shared" si="9"/>
        <v>6</v>
      </c>
      <c r="G88" s="6">
        <f>ROUND(Catalogue!G8*SQRT((1+Paramètres!$B$4*(C88-1)+Paramètres!$B$5*(C88-1)^2)),0)</f>
        <v>0</v>
      </c>
      <c r="H88" s="6">
        <f>ROUND(Catalogue!H8*SQRT((1+Paramètres!$B$4*(C88-1)+Paramètres!$B$5*(C88-1)^2)),0)</f>
        <v>0</v>
      </c>
      <c r="I88" s="6">
        <v>2</v>
      </c>
      <c r="J88" s="6">
        <v>1</v>
      </c>
      <c r="K88" s="7">
        <v>0.5</v>
      </c>
      <c r="L88" s="9">
        <f t="shared" si="10"/>
        <v>4.5</v>
      </c>
      <c r="M88">
        <v>1</v>
      </c>
      <c r="N88">
        <v>4</v>
      </c>
      <c r="O88">
        <v>2</v>
      </c>
      <c r="P88" s="13" t="str">
        <f t="shared" si="11"/>
        <v>1d4 + 2</v>
      </c>
      <c r="Q88">
        <f>ROUND(INDEX(Catalogue!E$4:E$85,MATCH(A88,Catalogue!A$4:A$85,0))*(1+Paramètres!$B$4*(C88-1)+Paramètres!$B$5*(C88-1)^2),0)</f>
        <v>3</v>
      </c>
      <c r="R88">
        <f>ROUND(INDEX(Catalogue!F$4:F$85,MATCH(A88,Catalogue!A$4:A$85,0))*(1+Paramètres!$B$4*(C88-1)+Paramètres!$B$5*(C88-1)^2),0)</f>
        <v>7</v>
      </c>
      <c r="S88">
        <f t="shared" si="12"/>
        <v>-0.5</v>
      </c>
      <c r="T88" t="str">
        <f t="shared" si="13"/>
        <v>OK</v>
      </c>
      <c r="U88" s="25">
        <f t="shared" si="14"/>
        <v>4.5</v>
      </c>
      <c r="V88" t="str">
        <f t="shared" si="15"/>
        <v>OK</v>
      </c>
    </row>
    <row r="89" spans="1:22" ht="18" customHeight="1">
      <c r="A89" t="s">
        <v>92</v>
      </c>
      <c r="B89" t="s">
        <v>93</v>
      </c>
      <c r="C89">
        <v>6</v>
      </c>
      <c r="D89" t="s">
        <v>72</v>
      </c>
      <c r="E89" s="6">
        <f t="shared" si="8"/>
        <v>4</v>
      </c>
      <c r="F89" s="6">
        <f t="shared" si="9"/>
        <v>7</v>
      </c>
      <c r="G89" s="6">
        <f>ROUND(Catalogue!G8*SQRT((1+Paramètres!$B$4*(C89-1)+Paramètres!$B$5*(C89-1)^2)),0)</f>
        <v>0</v>
      </c>
      <c r="H89" s="6">
        <f>ROUND(Catalogue!H8*SQRT((1+Paramètres!$B$4*(C89-1)+Paramètres!$B$5*(C89-1)^2)),0)</f>
        <v>0</v>
      </c>
      <c r="I89" s="6">
        <v>2</v>
      </c>
      <c r="J89" s="6">
        <v>1</v>
      </c>
      <c r="K89" s="7">
        <v>0.5</v>
      </c>
      <c r="L89" s="9">
        <f t="shared" si="10"/>
        <v>5.5</v>
      </c>
      <c r="M89">
        <v>1</v>
      </c>
      <c r="N89">
        <v>4</v>
      </c>
      <c r="O89">
        <v>3</v>
      </c>
      <c r="P89" s="13" t="str">
        <f t="shared" si="11"/>
        <v>1d4 + 3</v>
      </c>
      <c r="Q89">
        <f>ROUND(INDEX(Catalogue!E$4:E$85,MATCH(A89,Catalogue!A$4:A$85,0))*(1+Paramètres!$B$4*(C89-1)+Paramètres!$B$5*(C89-1)^2),0)</f>
        <v>4</v>
      </c>
      <c r="R89">
        <f>ROUND(INDEX(Catalogue!F$4:F$85,MATCH(A89,Catalogue!A$4:A$85,0))*(1+Paramètres!$B$4*(C89-1)+Paramètres!$B$5*(C89-1)^2),0)</f>
        <v>8</v>
      </c>
      <c r="S89">
        <f t="shared" si="12"/>
        <v>-0.5</v>
      </c>
      <c r="T89" t="str">
        <f t="shared" si="13"/>
        <v>OK</v>
      </c>
      <c r="U89" s="25">
        <f t="shared" si="14"/>
        <v>5.5</v>
      </c>
      <c r="V89" t="str">
        <f t="shared" si="15"/>
        <v>OK</v>
      </c>
    </row>
    <row r="90" spans="1:22" ht="18" customHeight="1">
      <c r="A90" t="s">
        <v>92</v>
      </c>
      <c r="B90" t="s">
        <v>93</v>
      </c>
      <c r="C90">
        <v>7</v>
      </c>
      <c r="D90" t="s">
        <v>72</v>
      </c>
      <c r="E90" s="6">
        <f t="shared" si="8"/>
        <v>4</v>
      </c>
      <c r="F90" s="6">
        <f t="shared" si="9"/>
        <v>9</v>
      </c>
      <c r="G90" s="6">
        <f>ROUND(Catalogue!G8*SQRT((1+Paramètres!$B$4*(C90-1)+Paramètres!$B$5*(C90-1)^2)),0)</f>
        <v>0</v>
      </c>
      <c r="H90" s="6">
        <f>ROUND(Catalogue!H8*SQRT((1+Paramètres!$B$4*(C90-1)+Paramètres!$B$5*(C90-1)^2)),0)</f>
        <v>0</v>
      </c>
      <c r="I90" s="6">
        <v>2</v>
      </c>
      <c r="J90" s="6">
        <v>1</v>
      </c>
      <c r="K90" s="7">
        <v>0.5</v>
      </c>
      <c r="L90" s="9">
        <f t="shared" si="10"/>
        <v>6.5</v>
      </c>
      <c r="M90">
        <v>1</v>
      </c>
      <c r="N90">
        <v>6</v>
      </c>
      <c r="O90">
        <v>3</v>
      </c>
      <c r="P90" s="13" t="str">
        <f t="shared" si="11"/>
        <v>1d6 + 3</v>
      </c>
      <c r="Q90">
        <f>ROUND(INDEX(Catalogue!E$4:E$85,MATCH(A90,Catalogue!A$4:A$85,0))*(1+Paramètres!$B$4*(C90-1)+Paramètres!$B$5*(C90-1)^2),0)</f>
        <v>4</v>
      </c>
      <c r="R90">
        <f>ROUND(INDEX(Catalogue!F$4:F$85,MATCH(A90,Catalogue!A$4:A$85,0))*(1+Paramètres!$B$4*(C90-1)+Paramètres!$B$5*(C90-1)^2),0)</f>
        <v>9</v>
      </c>
      <c r="S90">
        <f t="shared" si="12"/>
        <v>0</v>
      </c>
      <c r="T90" t="str">
        <f t="shared" si="13"/>
        <v>OK</v>
      </c>
      <c r="U90" s="25">
        <f t="shared" si="14"/>
        <v>6.5</v>
      </c>
      <c r="V90" t="str">
        <f t="shared" si="15"/>
        <v>OK</v>
      </c>
    </row>
    <row r="91" spans="1:22" ht="18" customHeight="1">
      <c r="A91" t="s">
        <v>92</v>
      </c>
      <c r="B91" t="s">
        <v>93</v>
      </c>
      <c r="C91">
        <v>8</v>
      </c>
      <c r="D91" t="s">
        <v>72</v>
      </c>
      <c r="E91" s="6">
        <f t="shared" si="8"/>
        <v>5</v>
      </c>
      <c r="F91" s="6">
        <f t="shared" si="9"/>
        <v>10</v>
      </c>
      <c r="G91" s="6">
        <f>ROUND(Catalogue!G8*SQRT((1+Paramètres!$B$4*(C91-1)+Paramètres!$B$5*(C91-1)^2)),0)</f>
        <v>0</v>
      </c>
      <c r="H91" s="6">
        <f>ROUND(Catalogue!H8*SQRT((1+Paramètres!$B$4*(C91-1)+Paramètres!$B$5*(C91-1)^2)),0)</f>
        <v>0</v>
      </c>
      <c r="I91" s="6">
        <v>2</v>
      </c>
      <c r="J91" s="6">
        <v>1</v>
      </c>
      <c r="K91" s="7">
        <v>0.5</v>
      </c>
      <c r="L91" s="9">
        <f t="shared" si="10"/>
        <v>7.5</v>
      </c>
      <c r="M91">
        <v>1</v>
      </c>
      <c r="N91">
        <v>6</v>
      </c>
      <c r="O91">
        <v>4</v>
      </c>
      <c r="P91" s="13" t="str">
        <f t="shared" si="11"/>
        <v>1d6 + 4</v>
      </c>
      <c r="Q91">
        <f>ROUND(INDEX(Catalogue!E$4:E$85,MATCH(A91,Catalogue!A$4:A$85,0))*(1+Paramètres!$B$4*(C91-1)+Paramètres!$B$5*(C91-1)^2),0)</f>
        <v>5</v>
      </c>
      <c r="R91">
        <f>ROUND(INDEX(Catalogue!F$4:F$85,MATCH(A91,Catalogue!A$4:A$85,0))*(1+Paramètres!$B$4*(C91-1)+Paramètres!$B$5*(C91-1)^2),0)</f>
        <v>10</v>
      </c>
      <c r="S91">
        <f t="shared" si="12"/>
        <v>0</v>
      </c>
      <c r="T91" t="str">
        <f t="shared" si="13"/>
        <v>OK</v>
      </c>
      <c r="U91" s="25">
        <f t="shared" si="14"/>
        <v>7.5</v>
      </c>
      <c r="V91" t="str">
        <f t="shared" si="15"/>
        <v>OK</v>
      </c>
    </row>
    <row r="92" spans="1:22" ht="18" customHeight="1">
      <c r="A92" t="s">
        <v>92</v>
      </c>
      <c r="B92" t="s">
        <v>93</v>
      </c>
      <c r="C92">
        <v>9</v>
      </c>
      <c r="D92" t="s">
        <v>72</v>
      </c>
      <c r="E92" s="6">
        <f t="shared" si="8"/>
        <v>6</v>
      </c>
      <c r="F92" s="6">
        <f t="shared" si="9"/>
        <v>12</v>
      </c>
      <c r="G92" s="6">
        <f>ROUND(Catalogue!G8*SQRT((1+Paramètres!$B$4*(C92-1)+Paramètres!$B$5*(C92-1)^2)),0)</f>
        <v>0</v>
      </c>
      <c r="H92" s="6">
        <f>ROUND(Catalogue!H8*SQRT((1+Paramètres!$B$4*(C92-1)+Paramètres!$B$5*(C92-1)^2)),0)</f>
        <v>0</v>
      </c>
      <c r="I92" s="6">
        <v>2</v>
      </c>
      <c r="J92" s="6">
        <v>1</v>
      </c>
      <c r="K92" s="7">
        <v>0.5</v>
      </c>
      <c r="L92" s="9">
        <f t="shared" si="10"/>
        <v>9</v>
      </c>
      <c r="M92">
        <v>2</v>
      </c>
      <c r="N92">
        <v>4</v>
      </c>
      <c r="O92">
        <v>4</v>
      </c>
      <c r="P92" s="13" t="str">
        <f t="shared" si="11"/>
        <v>2d4 + 4</v>
      </c>
      <c r="Q92">
        <f>ROUND(INDEX(Catalogue!E$4:E$85,MATCH(A92,Catalogue!A$4:A$85,0))*(1+Paramètres!$B$4*(C92-1)+Paramètres!$B$5*(C92-1)^2),0)</f>
        <v>6</v>
      </c>
      <c r="R92">
        <f>ROUND(INDEX(Catalogue!F$4:F$85,MATCH(A92,Catalogue!A$4:A$85,0))*(1+Paramètres!$B$4*(C92-1)+Paramètres!$B$5*(C92-1)^2),0)</f>
        <v>12</v>
      </c>
      <c r="S92">
        <f t="shared" si="12"/>
        <v>0</v>
      </c>
      <c r="T92" t="str">
        <f t="shared" si="13"/>
        <v>OK</v>
      </c>
      <c r="U92" s="25">
        <f t="shared" si="14"/>
        <v>9</v>
      </c>
      <c r="V92" t="str">
        <f t="shared" si="15"/>
        <v>OK</v>
      </c>
    </row>
    <row r="93" spans="1:22" ht="18" customHeight="1">
      <c r="A93" t="s">
        <v>92</v>
      </c>
      <c r="B93" t="s">
        <v>93</v>
      </c>
      <c r="C93">
        <v>10</v>
      </c>
      <c r="D93" t="s">
        <v>72</v>
      </c>
      <c r="E93" s="6">
        <f t="shared" si="8"/>
        <v>7</v>
      </c>
      <c r="F93" s="6">
        <f t="shared" si="9"/>
        <v>13</v>
      </c>
      <c r="G93" s="6">
        <f>ROUND(Catalogue!G8*SQRT((1+Paramètres!$B$4*(C93-1)+Paramètres!$B$5*(C93-1)^2)),0)</f>
        <v>0</v>
      </c>
      <c r="H93" s="6">
        <f>ROUND(Catalogue!H8*SQRT((1+Paramètres!$B$4*(C93-1)+Paramètres!$B$5*(C93-1)^2)),0)</f>
        <v>0</v>
      </c>
      <c r="I93" s="6">
        <v>2</v>
      </c>
      <c r="J93" s="6">
        <v>1</v>
      </c>
      <c r="K93" s="7">
        <v>0.5</v>
      </c>
      <c r="L93" s="9">
        <f t="shared" si="10"/>
        <v>10</v>
      </c>
      <c r="M93">
        <v>2</v>
      </c>
      <c r="N93">
        <v>4</v>
      </c>
      <c r="O93">
        <v>5</v>
      </c>
      <c r="P93" s="13" t="str">
        <f t="shared" si="11"/>
        <v>2d4 + 5</v>
      </c>
      <c r="Q93">
        <f>ROUND(INDEX(Catalogue!E$4:E$85,MATCH(A93,Catalogue!A$4:A$85,0))*(1+Paramètres!$B$4*(C93-1)+Paramètres!$B$5*(C93-1)^2),0)</f>
        <v>7</v>
      </c>
      <c r="R93">
        <f>ROUND(INDEX(Catalogue!F$4:F$85,MATCH(A93,Catalogue!A$4:A$85,0))*(1+Paramètres!$B$4*(C93-1)+Paramètres!$B$5*(C93-1)^2),0)</f>
        <v>13</v>
      </c>
      <c r="S93">
        <f t="shared" si="12"/>
        <v>0</v>
      </c>
      <c r="T93" t="str">
        <f t="shared" si="13"/>
        <v>OK</v>
      </c>
      <c r="U93" s="25">
        <f t="shared" si="14"/>
        <v>10</v>
      </c>
      <c r="V93" t="str">
        <f t="shared" si="15"/>
        <v>OK</v>
      </c>
    </row>
    <row r="94" spans="1:22" ht="18" customHeight="1">
      <c r="A94" t="s">
        <v>92</v>
      </c>
      <c r="B94" t="s">
        <v>93</v>
      </c>
      <c r="C94">
        <v>11</v>
      </c>
      <c r="D94" t="s">
        <v>72</v>
      </c>
      <c r="E94" s="6">
        <f t="shared" si="8"/>
        <v>6</v>
      </c>
      <c r="F94" s="6">
        <f t="shared" si="9"/>
        <v>15</v>
      </c>
      <c r="G94" s="6">
        <f>ROUND(Catalogue!G8*SQRT((1+Paramètres!$B$4*(C94-1)+Paramètres!$B$5*(C94-1)^2)),0)</f>
        <v>0</v>
      </c>
      <c r="H94" s="6">
        <f>ROUND(Catalogue!H8*SQRT((1+Paramètres!$B$4*(C94-1)+Paramètres!$B$5*(C94-1)^2)),0)</f>
        <v>0</v>
      </c>
      <c r="I94" s="6">
        <v>2</v>
      </c>
      <c r="J94" s="6">
        <v>1</v>
      </c>
      <c r="K94" s="7">
        <v>0.5</v>
      </c>
      <c r="L94" s="9">
        <f t="shared" si="10"/>
        <v>10.5</v>
      </c>
      <c r="M94">
        <v>3</v>
      </c>
      <c r="N94">
        <v>4</v>
      </c>
      <c r="O94">
        <v>3</v>
      </c>
      <c r="P94" s="13" t="str">
        <f t="shared" si="11"/>
        <v>3d4 + 3</v>
      </c>
      <c r="Q94">
        <f>ROUND(INDEX(Catalogue!E$4:E$85,MATCH(A94,Catalogue!A$4:A$85,0))*(1+Paramètres!$B$4*(C94-1)+Paramètres!$B$5*(C94-1)^2),0)</f>
        <v>7</v>
      </c>
      <c r="R94">
        <f>ROUND(INDEX(Catalogue!F$4:F$85,MATCH(A94,Catalogue!A$4:A$85,0))*(1+Paramètres!$B$4*(C94-1)+Paramètres!$B$5*(C94-1)^2),0)</f>
        <v>15</v>
      </c>
      <c r="S94">
        <f t="shared" si="12"/>
        <v>-0.5</v>
      </c>
      <c r="T94" t="str">
        <f t="shared" si="13"/>
        <v>OK</v>
      </c>
      <c r="U94" s="25">
        <f t="shared" si="14"/>
        <v>10.5</v>
      </c>
      <c r="V94" t="str">
        <f t="shared" si="15"/>
        <v>OK</v>
      </c>
    </row>
    <row r="95" spans="1:22" ht="18" customHeight="1">
      <c r="A95" t="s">
        <v>92</v>
      </c>
      <c r="B95" t="s">
        <v>93</v>
      </c>
      <c r="C95">
        <v>12</v>
      </c>
      <c r="D95" t="s">
        <v>72</v>
      </c>
      <c r="E95" s="6">
        <f t="shared" si="8"/>
        <v>8</v>
      </c>
      <c r="F95" s="6">
        <f t="shared" si="9"/>
        <v>17</v>
      </c>
      <c r="G95" s="6">
        <f>ROUND(Catalogue!G8*SQRT((1+Paramètres!$B$4*(C95-1)+Paramètres!$B$5*(C95-1)^2)),0)</f>
        <v>0</v>
      </c>
      <c r="H95" s="6">
        <f>ROUND(Catalogue!H8*SQRT((1+Paramètres!$B$4*(C95-1)+Paramètres!$B$5*(C95-1)^2)),0)</f>
        <v>0</v>
      </c>
      <c r="I95" s="6">
        <v>2</v>
      </c>
      <c r="J95" s="6">
        <v>1</v>
      </c>
      <c r="K95" s="7">
        <v>0.5</v>
      </c>
      <c r="L95" s="9">
        <f t="shared" si="10"/>
        <v>12.5</v>
      </c>
      <c r="M95">
        <v>3</v>
      </c>
      <c r="N95">
        <v>4</v>
      </c>
      <c r="O95">
        <v>5</v>
      </c>
      <c r="P95" s="13" t="str">
        <f t="shared" si="11"/>
        <v>3d4 + 5</v>
      </c>
      <c r="Q95">
        <f>ROUND(INDEX(Catalogue!E$4:E$85,MATCH(A95,Catalogue!A$4:A$85,0))*(1+Paramètres!$B$4*(C95-1)+Paramètres!$B$5*(C95-1)^2),0)</f>
        <v>8</v>
      </c>
      <c r="R95">
        <f>ROUND(INDEX(Catalogue!F$4:F$85,MATCH(A95,Catalogue!A$4:A$85,0))*(1+Paramètres!$B$4*(C95-1)+Paramètres!$B$5*(C95-1)^2),0)</f>
        <v>17</v>
      </c>
      <c r="S95">
        <f t="shared" si="12"/>
        <v>0</v>
      </c>
      <c r="T95" t="str">
        <f t="shared" si="13"/>
        <v>OK</v>
      </c>
      <c r="U95" s="25">
        <f t="shared" si="14"/>
        <v>12.5</v>
      </c>
      <c r="V95" t="str">
        <f t="shared" si="15"/>
        <v>OK</v>
      </c>
    </row>
    <row r="96" spans="1:22" ht="18" customHeight="1">
      <c r="A96" t="s">
        <v>92</v>
      </c>
      <c r="B96" t="s">
        <v>93</v>
      </c>
      <c r="C96">
        <v>13</v>
      </c>
      <c r="D96" t="s">
        <v>72</v>
      </c>
      <c r="E96" s="6">
        <f t="shared" si="8"/>
        <v>9</v>
      </c>
      <c r="F96" s="6">
        <f t="shared" si="9"/>
        <v>18</v>
      </c>
      <c r="G96" s="6">
        <f>ROUND(Catalogue!G8*SQRT((1+Paramètres!$B$4*(C96-1)+Paramètres!$B$5*(C96-1)^2)),0)</f>
        <v>0</v>
      </c>
      <c r="H96" s="6">
        <f>ROUND(Catalogue!H8*SQRT((1+Paramètres!$B$4*(C96-1)+Paramètres!$B$5*(C96-1)^2)),0)</f>
        <v>0</v>
      </c>
      <c r="I96" s="6">
        <v>2</v>
      </c>
      <c r="J96" s="6">
        <v>1</v>
      </c>
      <c r="K96" s="7">
        <v>0.5</v>
      </c>
      <c r="L96" s="9">
        <f t="shared" si="10"/>
        <v>13.5</v>
      </c>
      <c r="M96">
        <v>3</v>
      </c>
      <c r="N96">
        <v>4</v>
      </c>
      <c r="O96">
        <v>6</v>
      </c>
      <c r="P96" s="13" t="str">
        <f t="shared" si="11"/>
        <v>3d4 + 6</v>
      </c>
      <c r="Q96">
        <f>ROUND(INDEX(Catalogue!E$4:E$85,MATCH(A96,Catalogue!A$4:A$85,0))*(1+Paramètres!$B$4*(C96-1)+Paramètres!$B$5*(C96-1)^2),0)</f>
        <v>9</v>
      </c>
      <c r="R96">
        <f>ROUND(INDEX(Catalogue!F$4:F$85,MATCH(A96,Catalogue!A$4:A$85,0))*(1+Paramètres!$B$4*(C96-1)+Paramètres!$B$5*(C96-1)^2),0)</f>
        <v>18</v>
      </c>
      <c r="S96">
        <f t="shared" si="12"/>
        <v>0</v>
      </c>
      <c r="T96" t="str">
        <f t="shared" si="13"/>
        <v>OK</v>
      </c>
      <c r="U96" s="25">
        <f t="shared" si="14"/>
        <v>13.5</v>
      </c>
      <c r="V96" t="str">
        <f t="shared" si="15"/>
        <v>OK</v>
      </c>
    </row>
    <row r="97" spans="1:22" ht="18" customHeight="1">
      <c r="A97" t="s">
        <v>92</v>
      </c>
      <c r="B97" t="s">
        <v>93</v>
      </c>
      <c r="C97">
        <v>14</v>
      </c>
      <c r="D97" t="s">
        <v>72</v>
      </c>
      <c r="E97" s="6">
        <f t="shared" si="8"/>
        <v>10</v>
      </c>
      <c r="F97" s="6">
        <f t="shared" si="9"/>
        <v>20</v>
      </c>
      <c r="G97" s="6">
        <f>ROUND(Catalogue!G8*SQRT((1+Paramètres!$B$4*(C97-1)+Paramètres!$B$5*(C97-1)^2)),0)</f>
        <v>0</v>
      </c>
      <c r="H97" s="6">
        <f>ROUND(Catalogue!H8*SQRT((1+Paramètres!$B$4*(C97-1)+Paramètres!$B$5*(C97-1)^2)),0)</f>
        <v>0</v>
      </c>
      <c r="I97" s="6">
        <v>2</v>
      </c>
      <c r="J97" s="6">
        <v>1</v>
      </c>
      <c r="K97" s="7">
        <v>0.5</v>
      </c>
      <c r="L97" s="9">
        <f t="shared" si="10"/>
        <v>15</v>
      </c>
      <c r="M97">
        <v>2</v>
      </c>
      <c r="N97">
        <v>6</v>
      </c>
      <c r="O97">
        <v>8</v>
      </c>
      <c r="P97" s="13" t="str">
        <f t="shared" si="11"/>
        <v>2d6 + 8</v>
      </c>
      <c r="Q97">
        <f>ROUND(INDEX(Catalogue!E$4:E$85,MATCH(A97,Catalogue!A$4:A$85,0))*(1+Paramètres!$B$4*(C97-1)+Paramètres!$B$5*(C97-1)^2),0)</f>
        <v>10</v>
      </c>
      <c r="R97">
        <f>ROUND(INDEX(Catalogue!F$4:F$85,MATCH(A97,Catalogue!A$4:A$85,0))*(1+Paramètres!$B$4*(C97-1)+Paramètres!$B$5*(C97-1)^2),0)</f>
        <v>21</v>
      </c>
      <c r="S97">
        <f t="shared" si="12"/>
        <v>-0.5</v>
      </c>
      <c r="T97" t="str">
        <f t="shared" si="13"/>
        <v>OK</v>
      </c>
      <c r="U97" s="25">
        <f t="shared" si="14"/>
        <v>15</v>
      </c>
      <c r="V97" t="str">
        <f t="shared" si="15"/>
        <v>OK</v>
      </c>
    </row>
    <row r="98" spans="1:22" ht="18" customHeight="1">
      <c r="A98" t="s">
        <v>92</v>
      </c>
      <c r="B98" t="s">
        <v>93</v>
      </c>
      <c r="C98">
        <v>15</v>
      </c>
      <c r="D98" t="s">
        <v>72</v>
      </c>
      <c r="E98" s="6">
        <f t="shared" si="8"/>
        <v>11</v>
      </c>
      <c r="F98" s="6">
        <f t="shared" si="9"/>
        <v>23</v>
      </c>
      <c r="G98" s="6">
        <f>ROUND(Catalogue!G8*SQRT((1+Paramètres!$B$4*(C98-1)+Paramètres!$B$5*(C98-1)^2)),0)</f>
        <v>0</v>
      </c>
      <c r="H98" s="6">
        <f>ROUND(Catalogue!H8*SQRT((1+Paramètres!$B$4*(C98-1)+Paramètres!$B$5*(C98-1)^2)),0)</f>
        <v>0</v>
      </c>
      <c r="I98" s="6">
        <v>2</v>
      </c>
      <c r="J98" s="6">
        <v>1</v>
      </c>
      <c r="K98" s="7">
        <v>0.5</v>
      </c>
      <c r="L98" s="9">
        <f t="shared" si="10"/>
        <v>17</v>
      </c>
      <c r="M98">
        <v>4</v>
      </c>
      <c r="N98">
        <v>4</v>
      </c>
      <c r="O98">
        <v>7</v>
      </c>
      <c r="P98" s="13" t="str">
        <f t="shared" si="11"/>
        <v>4d4 + 7</v>
      </c>
      <c r="Q98">
        <f>ROUND(INDEX(Catalogue!E$4:E$85,MATCH(A98,Catalogue!A$4:A$85,0))*(1+Paramètres!$B$4*(C98-1)+Paramètres!$B$5*(C98-1)^2),0)</f>
        <v>11</v>
      </c>
      <c r="R98">
        <f>ROUND(INDEX(Catalogue!F$4:F$85,MATCH(A98,Catalogue!A$4:A$85,0))*(1+Paramètres!$B$4*(C98-1)+Paramètres!$B$5*(C98-1)^2),0)</f>
        <v>23</v>
      </c>
      <c r="S98">
        <f t="shared" si="12"/>
        <v>0</v>
      </c>
      <c r="T98" t="str">
        <f t="shared" si="13"/>
        <v>OK</v>
      </c>
      <c r="U98" s="25">
        <f t="shared" si="14"/>
        <v>17</v>
      </c>
      <c r="V98" t="str">
        <f t="shared" si="15"/>
        <v>OK</v>
      </c>
    </row>
    <row r="99" spans="1:22" ht="18" customHeight="1">
      <c r="A99" t="s">
        <v>92</v>
      </c>
      <c r="B99" t="s">
        <v>93</v>
      </c>
      <c r="C99">
        <v>16</v>
      </c>
      <c r="D99" t="s">
        <v>72</v>
      </c>
      <c r="E99" s="6">
        <f t="shared" si="8"/>
        <v>13</v>
      </c>
      <c r="F99" s="6">
        <f t="shared" si="9"/>
        <v>25</v>
      </c>
      <c r="G99" s="6">
        <f>ROUND(Catalogue!G8*SQRT((1+Paramètres!$B$4*(C99-1)+Paramètres!$B$5*(C99-1)^2)),0)</f>
        <v>0</v>
      </c>
      <c r="H99" s="6">
        <f>ROUND(Catalogue!H8*SQRT((1+Paramètres!$B$4*(C99-1)+Paramètres!$B$5*(C99-1)^2)),0)</f>
        <v>0</v>
      </c>
      <c r="I99" s="6">
        <v>2</v>
      </c>
      <c r="J99" s="6">
        <v>1</v>
      </c>
      <c r="K99" s="7">
        <v>0.5</v>
      </c>
      <c r="L99" s="9">
        <f t="shared" si="10"/>
        <v>19</v>
      </c>
      <c r="M99">
        <v>4</v>
      </c>
      <c r="N99">
        <v>4</v>
      </c>
      <c r="O99">
        <v>9</v>
      </c>
      <c r="P99" s="13" t="str">
        <f t="shared" si="11"/>
        <v>4d4 + 9</v>
      </c>
      <c r="Q99">
        <f>ROUND(INDEX(Catalogue!E$4:E$85,MATCH(A99,Catalogue!A$4:A$85,0))*(1+Paramètres!$B$4*(C99-1)+Paramètres!$B$5*(C99-1)^2),0)</f>
        <v>13</v>
      </c>
      <c r="R99">
        <f>ROUND(INDEX(Catalogue!F$4:F$85,MATCH(A99,Catalogue!A$4:A$85,0))*(1+Paramètres!$B$4*(C99-1)+Paramètres!$B$5*(C99-1)^2),0)</f>
        <v>25</v>
      </c>
      <c r="S99">
        <f t="shared" si="12"/>
        <v>0</v>
      </c>
      <c r="T99" t="str">
        <f t="shared" si="13"/>
        <v>OK</v>
      </c>
      <c r="U99" s="25">
        <f t="shared" si="14"/>
        <v>19</v>
      </c>
      <c r="V99" t="str">
        <f t="shared" si="15"/>
        <v>OK</v>
      </c>
    </row>
    <row r="100" spans="1:22" ht="18" customHeight="1">
      <c r="A100" t="s">
        <v>92</v>
      </c>
      <c r="B100" t="s">
        <v>93</v>
      </c>
      <c r="C100">
        <v>17</v>
      </c>
      <c r="D100" t="s">
        <v>72</v>
      </c>
      <c r="E100" s="6">
        <f t="shared" si="8"/>
        <v>13</v>
      </c>
      <c r="F100" s="6">
        <f t="shared" si="9"/>
        <v>27</v>
      </c>
      <c r="G100" s="6">
        <f>ROUND(Catalogue!G8*SQRT((1+Paramètres!$B$4*(C100-1)+Paramètres!$B$5*(C100-1)^2)),0)</f>
        <v>0</v>
      </c>
      <c r="H100" s="6">
        <f>ROUND(Catalogue!H8*SQRT((1+Paramètres!$B$4*(C100-1)+Paramètres!$B$5*(C100-1)^2)),0)</f>
        <v>0</v>
      </c>
      <c r="I100" s="6">
        <v>2</v>
      </c>
      <c r="J100" s="6">
        <v>1</v>
      </c>
      <c r="K100" s="7">
        <v>0.5</v>
      </c>
      <c r="L100" s="9">
        <f t="shared" si="10"/>
        <v>20</v>
      </c>
      <c r="M100">
        <v>2</v>
      </c>
      <c r="N100">
        <v>8</v>
      </c>
      <c r="O100">
        <v>11</v>
      </c>
      <c r="P100" s="13" t="str">
        <f t="shared" si="11"/>
        <v>2d8 + 11</v>
      </c>
      <c r="Q100">
        <f>ROUND(INDEX(Catalogue!E$4:E$85,MATCH(A100,Catalogue!A$4:A$85,0))*(1+Paramètres!$B$4*(C100-1)+Paramètres!$B$5*(C100-1)^2),0)</f>
        <v>14</v>
      </c>
      <c r="R100">
        <f>ROUND(INDEX(Catalogue!F$4:F$85,MATCH(A100,Catalogue!A$4:A$85,0))*(1+Paramètres!$B$4*(C100-1)+Paramètres!$B$5*(C100-1)^2),0)</f>
        <v>27</v>
      </c>
      <c r="S100">
        <f t="shared" si="12"/>
        <v>-0.5</v>
      </c>
      <c r="T100" t="str">
        <f t="shared" si="13"/>
        <v>OK</v>
      </c>
      <c r="U100" s="25">
        <f t="shared" si="14"/>
        <v>20</v>
      </c>
      <c r="V100" t="str">
        <f t="shared" si="15"/>
        <v>OK</v>
      </c>
    </row>
    <row r="101" spans="1:22" ht="18" customHeight="1">
      <c r="A101" t="s">
        <v>92</v>
      </c>
      <c r="B101" t="s">
        <v>93</v>
      </c>
      <c r="C101">
        <v>18</v>
      </c>
      <c r="D101" t="s">
        <v>72</v>
      </c>
      <c r="E101" s="6">
        <f t="shared" si="8"/>
        <v>15</v>
      </c>
      <c r="F101" s="6">
        <f t="shared" si="9"/>
        <v>30</v>
      </c>
      <c r="G101" s="6">
        <f>ROUND(Catalogue!G8*SQRT((1+Paramètres!$B$4*(C101-1)+Paramètres!$B$5*(C101-1)^2)),0)</f>
        <v>0</v>
      </c>
      <c r="H101" s="6">
        <f>ROUND(Catalogue!H8*SQRT((1+Paramètres!$B$4*(C101-1)+Paramètres!$B$5*(C101-1)^2)),0)</f>
        <v>0</v>
      </c>
      <c r="I101" s="6">
        <v>2</v>
      </c>
      <c r="J101" s="6">
        <v>1</v>
      </c>
      <c r="K101" s="7">
        <v>0.5</v>
      </c>
      <c r="L101" s="9">
        <f t="shared" si="10"/>
        <v>22.5</v>
      </c>
      <c r="M101">
        <v>3</v>
      </c>
      <c r="N101">
        <v>6</v>
      </c>
      <c r="O101">
        <v>12</v>
      </c>
      <c r="P101" s="13" t="str">
        <f t="shared" si="11"/>
        <v>3d6 + 12</v>
      </c>
      <c r="Q101">
        <f>ROUND(INDEX(Catalogue!E$4:E$85,MATCH(A101,Catalogue!A$4:A$85,0))*(1+Paramètres!$B$4*(C101-1)+Paramètres!$B$5*(C101-1)^2),0)</f>
        <v>15</v>
      </c>
      <c r="R101">
        <f>ROUND(INDEX(Catalogue!F$4:F$85,MATCH(A101,Catalogue!A$4:A$85,0))*(1+Paramètres!$B$4*(C101-1)+Paramètres!$B$5*(C101-1)^2),0)</f>
        <v>30</v>
      </c>
      <c r="S101">
        <f t="shared" si="12"/>
        <v>0</v>
      </c>
      <c r="T101" t="str">
        <f t="shared" si="13"/>
        <v>OK</v>
      </c>
      <c r="U101" s="25">
        <f t="shared" si="14"/>
        <v>22.5</v>
      </c>
      <c r="V101" t="str">
        <f t="shared" si="15"/>
        <v>OK</v>
      </c>
    </row>
    <row r="102" spans="1:22" ht="18" customHeight="1">
      <c r="A102" t="s">
        <v>92</v>
      </c>
      <c r="B102" t="s">
        <v>93</v>
      </c>
      <c r="C102">
        <v>19</v>
      </c>
      <c r="D102" t="s">
        <v>72</v>
      </c>
      <c r="E102" s="6">
        <f t="shared" si="8"/>
        <v>15</v>
      </c>
      <c r="F102" s="6">
        <f t="shared" si="9"/>
        <v>33</v>
      </c>
      <c r="G102" s="6">
        <f>ROUND(Catalogue!G8*SQRT((1+Paramètres!$B$4*(C102-1)+Paramètres!$B$5*(C102-1)^2)),0)</f>
        <v>0</v>
      </c>
      <c r="H102" s="6">
        <f>ROUND(Catalogue!H8*SQRT((1+Paramètres!$B$4*(C102-1)+Paramètres!$B$5*(C102-1)^2)),0)</f>
        <v>0</v>
      </c>
      <c r="I102" s="6">
        <v>2</v>
      </c>
      <c r="J102" s="6">
        <v>1</v>
      </c>
      <c r="K102" s="7">
        <v>0.5</v>
      </c>
      <c r="L102" s="9">
        <f t="shared" si="10"/>
        <v>24</v>
      </c>
      <c r="M102">
        <v>2</v>
      </c>
      <c r="N102">
        <v>10</v>
      </c>
      <c r="O102">
        <v>13</v>
      </c>
      <c r="P102" s="13" t="str">
        <f t="shared" si="11"/>
        <v>2d10 + 13</v>
      </c>
      <c r="Q102">
        <f>ROUND(INDEX(Catalogue!E$4:E$85,MATCH(A102,Catalogue!A$4:A$85,0))*(1+Paramètres!$B$4*(C102-1)+Paramètres!$B$5*(C102-1)^2),0)</f>
        <v>16</v>
      </c>
      <c r="R102">
        <f>ROUND(INDEX(Catalogue!F$4:F$85,MATCH(A102,Catalogue!A$4:A$85,0))*(1+Paramètres!$B$4*(C102-1)+Paramètres!$B$5*(C102-1)^2),0)</f>
        <v>33</v>
      </c>
      <c r="S102">
        <f t="shared" si="12"/>
        <v>-0.5</v>
      </c>
      <c r="T102" t="str">
        <f t="shared" si="13"/>
        <v>OK</v>
      </c>
      <c r="U102" s="25">
        <f t="shared" si="14"/>
        <v>24</v>
      </c>
      <c r="V102" t="str">
        <f t="shared" si="15"/>
        <v>OK</v>
      </c>
    </row>
    <row r="103" spans="1:22" ht="18" customHeight="1">
      <c r="A103" t="s">
        <v>92</v>
      </c>
      <c r="B103" t="s">
        <v>93</v>
      </c>
      <c r="C103">
        <v>20</v>
      </c>
      <c r="D103" t="s">
        <v>72</v>
      </c>
      <c r="E103" s="6">
        <f t="shared" si="8"/>
        <v>18</v>
      </c>
      <c r="F103" s="6">
        <f t="shared" si="9"/>
        <v>36</v>
      </c>
      <c r="G103" s="6">
        <f>ROUND(Catalogue!G8*SQRT((1+Paramètres!$B$4*(C103-1)+Paramètres!$B$5*(C103-1)^2)),0)</f>
        <v>0</v>
      </c>
      <c r="H103" s="6">
        <f>ROUND(Catalogue!H8*SQRT((1+Paramètres!$B$4*(C103-1)+Paramètres!$B$5*(C103-1)^2)),0)</f>
        <v>0</v>
      </c>
      <c r="I103" s="6">
        <v>2</v>
      </c>
      <c r="J103" s="6">
        <v>1</v>
      </c>
      <c r="K103" s="7">
        <v>0.5</v>
      </c>
      <c r="L103" s="9">
        <f t="shared" si="10"/>
        <v>27</v>
      </c>
      <c r="M103">
        <v>2</v>
      </c>
      <c r="N103">
        <v>10</v>
      </c>
      <c r="O103">
        <v>16</v>
      </c>
      <c r="P103" s="13" t="str">
        <f t="shared" si="11"/>
        <v>2d10 + 16</v>
      </c>
      <c r="Q103">
        <f>ROUND(INDEX(Catalogue!E$4:E$85,MATCH(A103,Catalogue!A$4:A$85,0))*(1+Paramètres!$B$4*(C103-1)+Paramètres!$B$5*(C103-1)^2),0)</f>
        <v>18</v>
      </c>
      <c r="R103">
        <f>ROUND(INDEX(Catalogue!F$4:F$85,MATCH(A103,Catalogue!A$4:A$85,0))*(1+Paramètres!$B$4*(C103-1)+Paramètres!$B$5*(C103-1)^2),0)</f>
        <v>35</v>
      </c>
      <c r="S103">
        <f t="shared" si="12"/>
        <v>0.5</v>
      </c>
      <c r="T103" t="str">
        <f t="shared" si="13"/>
        <v>OK</v>
      </c>
      <c r="U103" s="25">
        <f t="shared" si="14"/>
        <v>27</v>
      </c>
      <c r="V103" t="str">
        <f t="shared" si="15"/>
        <v>OK</v>
      </c>
    </row>
    <row r="104" spans="1:22" ht="18" customHeight="1">
      <c r="A104" t="s">
        <v>95</v>
      </c>
      <c r="B104" t="s">
        <v>96</v>
      </c>
      <c r="C104">
        <v>1</v>
      </c>
      <c r="D104" t="s">
        <v>72</v>
      </c>
      <c r="E104" s="6">
        <f t="shared" si="8"/>
        <v>2</v>
      </c>
      <c r="F104" s="6">
        <f t="shared" si="9"/>
        <v>5</v>
      </c>
      <c r="G104" s="6">
        <f>ROUND(Catalogue!G9*SQRT((1+Paramètres!$B$4*(C104-1)+Paramètres!$B$5*(C104-1)^2)),0)</f>
        <v>0</v>
      </c>
      <c r="H104" s="6">
        <f>ROUND(Catalogue!H9*SQRT((1+Paramètres!$B$4*(C104-1)+Paramètres!$B$5*(C104-1)^2)),0)</f>
        <v>0</v>
      </c>
      <c r="I104" s="6">
        <v>2</v>
      </c>
      <c r="J104" s="6">
        <v>1</v>
      </c>
      <c r="K104" s="7">
        <v>1</v>
      </c>
      <c r="L104" s="9">
        <f t="shared" si="10"/>
        <v>3.5</v>
      </c>
      <c r="M104">
        <v>1</v>
      </c>
      <c r="N104">
        <v>4</v>
      </c>
      <c r="O104">
        <v>1</v>
      </c>
      <c r="P104" s="13" t="str">
        <f t="shared" si="11"/>
        <v>1d4 + 1</v>
      </c>
      <c r="Q104">
        <f>ROUND(INDEX(Catalogue!E$4:E$85,MATCH(A104,Catalogue!A$4:A$85,0))*(1+Paramètres!$B$4*(C104-1)+Paramètres!$B$5*(C104-1)^2),0)</f>
        <v>3</v>
      </c>
      <c r="R104">
        <f>ROUND(INDEX(Catalogue!F$4:F$85,MATCH(A104,Catalogue!A$4:A$85,0))*(1+Paramètres!$B$4*(C104-1)+Paramètres!$B$5*(C104-1)^2),0)</f>
        <v>5</v>
      </c>
      <c r="S104">
        <f t="shared" si="12"/>
        <v>-0.5</v>
      </c>
      <c r="T104" t="str">
        <f t="shared" si="13"/>
        <v>OK</v>
      </c>
      <c r="U104" s="25">
        <f t="shared" si="14"/>
        <v>3.5</v>
      </c>
      <c r="V104" t="str">
        <f t="shared" si="15"/>
        <v>OK</v>
      </c>
    </row>
    <row r="105" spans="1:22" ht="18" customHeight="1">
      <c r="A105" t="s">
        <v>95</v>
      </c>
      <c r="B105" t="s">
        <v>96</v>
      </c>
      <c r="C105">
        <v>2</v>
      </c>
      <c r="D105" t="s">
        <v>72</v>
      </c>
      <c r="E105" s="6">
        <f t="shared" si="8"/>
        <v>3</v>
      </c>
      <c r="F105" s="6">
        <f t="shared" si="9"/>
        <v>6</v>
      </c>
      <c r="G105" s="6">
        <f>ROUND(Catalogue!G9*SQRT((1+Paramètres!$B$4*(C105-1)+Paramètres!$B$5*(C105-1)^2)),0)</f>
        <v>0</v>
      </c>
      <c r="H105" s="6">
        <f>ROUND(Catalogue!H9*SQRT((1+Paramètres!$B$4*(C105-1)+Paramètres!$B$5*(C105-1)^2)),0)</f>
        <v>0</v>
      </c>
      <c r="I105" s="6">
        <v>2</v>
      </c>
      <c r="J105" s="6">
        <v>1</v>
      </c>
      <c r="K105" s="7">
        <v>1</v>
      </c>
      <c r="L105" s="9">
        <f t="shared" si="10"/>
        <v>4.5</v>
      </c>
      <c r="M105">
        <v>1</v>
      </c>
      <c r="N105">
        <v>4</v>
      </c>
      <c r="O105">
        <v>2</v>
      </c>
      <c r="P105" s="13" t="str">
        <f t="shared" si="11"/>
        <v>1d4 + 2</v>
      </c>
      <c r="Q105">
        <f>ROUND(INDEX(Catalogue!E$4:E$85,MATCH(A105,Catalogue!A$4:A$85,0))*(1+Paramètres!$B$4*(C105-1)+Paramètres!$B$5*(C105-1)^2),0)</f>
        <v>3</v>
      </c>
      <c r="R105">
        <f>ROUND(INDEX(Catalogue!F$4:F$85,MATCH(A105,Catalogue!A$4:A$85,0))*(1+Paramètres!$B$4*(C105-1)+Paramètres!$B$5*(C105-1)^2),0)</f>
        <v>6</v>
      </c>
      <c r="S105">
        <f t="shared" si="12"/>
        <v>0</v>
      </c>
      <c r="T105" t="str">
        <f t="shared" si="13"/>
        <v>OK</v>
      </c>
      <c r="U105" s="25">
        <f t="shared" si="14"/>
        <v>4.5</v>
      </c>
      <c r="V105" t="str">
        <f t="shared" si="15"/>
        <v>OK</v>
      </c>
    </row>
    <row r="106" spans="1:22" ht="18" customHeight="1">
      <c r="A106" t="s">
        <v>95</v>
      </c>
      <c r="B106" t="s">
        <v>96</v>
      </c>
      <c r="C106">
        <v>3</v>
      </c>
      <c r="D106" t="s">
        <v>72</v>
      </c>
      <c r="E106" s="6">
        <f t="shared" si="8"/>
        <v>3</v>
      </c>
      <c r="F106" s="6">
        <f t="shared" si="9"/>
        <v>6</v>
      </c>
      <c r="G106" s="6">
        <f>ROUND(Catalogue!G9*SQRT((1+Paramètres!$B$4*(C106-1)+Paramètres!$B$5*(C106-1)^2)),0)</f>
        <v>0</v>
      </c>
      <c r="H106" s="6">
        <f>ROUND(Catalogue!H9*SQRT((1+Paramètres!$B$4*(C106-1)+Paramètres!$B$5*(C106-1)^2)),0)</f>
        <v>0</v>
      </c>
      <c r="I106" s="6">
        <v>2</v>
      </c>
      <c r="J106" s="6">
        <v>1</v>
      </c>
      <c r="K106" s="7">
        <v>1</v>
      </c>
      <c r="L106" s="9">
        <f t="shared" si="10"/>
        <v>4.5</v>
      </c>
      <c r="M106">
        <v>1</v>
      </c>
      <c r="N106">
        <v>4</v>
      </c>
      <c r="O106">
        <v>2</v>
      </c>
      <c r="P106" s="13" t="str">
        <f t="shared" si="11"/>
        <v>1d4 + 2</v>
      </c>
      <c r="Q106">
        <f>ROUND(INDEX(Catalogue!E$4:E$85,MATCH(A106,Catalogue!A$4:A$85,0))*(1+Paramètres!$B$4*(C106-1)+Paramètres!$B$5*(C106-1)^2),0)</f>
        <v>4</v>
      </c>
      <c r="R106">
        <f>ROUND(INDEX(Catalogue!F$4:F$85,MATCH(A106,Catalogue!A$4:A$85,0))*(1+Paramètres!$B$4*(C106-1)+Paramètres!$B$5*(C106-1)^2),0)</f>
        <v>6</v>
      </c>
      <c r="S106">
        <f t="shared" si="12"/>
        <v>-0.5</v>
      </c>
      <c r="T106" t="str">
        <f t="shared" si="13"/>
        <v>OK</v>
      </c>
      <c r="U106" s="25">
        <f t="shared" si="14"/>
        <v>4.5</v>
      </c>
      <c r="V106" t="str">
        <f t="shared" si="15"/>
        <v>OK</v>
      </c>
    </row>
    <row r="107" spans="1:22" ht="18" customHeight="1">
      <c r="A107" t="s">
        <v>95</v>
      </c>
      <c r="B107" t="s">
        <v>96</v>
      </c>
      <c r="C107">
        <v>4</v>
      </c>
      <c r="D107" t="s">
        <v>72</v>
      </c>
      <c r="E107" s="6">
        <f t="shared" si="8"/>
        <v>4</v>
      </c>
      <c r="F107" s="6">
        <f t="shared" si="9"/>
        <v>7</v>
      </c>
      <c r="G107" s="6">
        <f>ROUND(Catalogue!G9*SQRT((1+Paramètres!$B$4*(C107-1)+Paramètres!$B$5*(C107-1)^2)),0)</f>
        <v>0</v>
      </c>
      <c r="H107" s="6">
        <f>ROUND(Catalogue!H9*SQRT((1+Paramètres!$B$4*(C107-1)+Paramètres!$B$5*(C107-1)^2)),0)</f>
        <v>0</v>
      </c>
      <c r="I107" s="6">
        <v>2</v>
      </c>
      <c r="J107" s="6">
        <v>1</v>
      </c>
      <c r="K107" s="7">
        <v>1</v>
      </c>
      <c r="L107" s="9">
        <f t="shared" si="10"/>
        <v>5.5</v>
      </c>
      <c r="M107">
        <v>1</v>
      </c>
      <c r="N107">
        <v>4</v>
      </c>
      <c r="O107">
        <v>3</v>
      </c>
      <c r="P107" s="13" t="str">
        <f t="shared" si="11"/>
        <v>1d4 + 3</v>
      </c>
      <c r="Q107">
        <f>ROUND(INDEX(Catalogue!E$4:E$85,MATCH(A107,Catalogue!A$4:A$85,0))*(1+Paramètres!$B$4*(C107-1)+Paramètres!$B$5*(C107-1)^2),0)</f>
        <v>4</v>
      </c>
      <c r="R107">
        <f>ROUND(INDEX(Catalogue!F$4:F$85,MATCH(A107,Catalogue!A$4:A$85,0))*(1+Paramètres!$B$4*(C107-1)+Paramètres!$B$5*(C107-1)^2),0)</f>
        <v>7</v>
      </c>
      <c r="S107">
        <f t="shared" si="12"/>
        <v>0</v>
      </c>
      <c r="T107" t="str">
        <f t="shared" si="13"/>
        <v>OK</v>
      </c>
      <c r="U107" s="25">
        <f t="shared" si="14"/>
        <v>5.5</v>
      </c>
      <c r="V107" t="str">
        <f t="shared" si="15"/>
        <v>OK</v>
      </c>
    </row>
    <row r="108" spans="1:22" ht="18" customHeight="1">
      <c r="A108" t="s">
        <v>95</v>
      </c>
      <c r="B108" t="s">
        <v>96</v>
      </c>
      <c r="C108">
        <v>5</v>
      </c>
      <c r="D108" t="s">
        <v>72</v>
      </c>
      <c r="E108" s="6">
        <f t="shared" si="8"/>
        <v>5</v>
      </c>
      <c r="F108" s="6">
        <f t="shared" si="9"/>
        <v>8</v>
      </c>
      <c r="G108" s="6">
        <f>ROUND(Catalogue!G9*SQRT((1+Paramètres!$B$4*(C108-1)+Paramètres!$B$5*(C108-1)^2)),0)</f>
        <v>0</v>
      </c>
      <c r="H108" s="6">
        <f>ROUND(Catalogue!H9*SQRT((1+Paramètres!$B$4*(C108-1)+Paramètres!$B$5*(C108-1)^2)),0)</f>
        <v>0</v>
      </c>
      <c r="I108" s="6">
        <v>2</v>
      </c>
      <c r="J108" s="6">
        <v>1</v>
      </c>
      <c r="K108" s="7">
        <v>1</v>
      </c>
      <c r="L108" s="9">
        <f t="shared" si="10"/>
        <v>6.5</v>
      </c>
      <c r="M108">
        <v>1</v>
      </c>
      <c r="N108">
        <v>4</v>
      </c>
      <c r="O108">
        <v>4</v>
      </c>
      <c r="P108" s="13" t="str">
        <f t="shared" si="11"/>
        <v>1d4 + 4</v>
      </c>
      <c r="Q108">
        <f>ROUND(INDEX(Catalogue!E$4:E$85,MATCH(A108,Catalogue!A$4:A$85,0))*(1+Paramètres!$B$4*(C108-1)+Paramètres!$B$5*(C108-1)^2),0)</f>
        <v>5</v>
      </c>
      <c r="R108">
        <f>ROUND(INDEX(Catalogue!F$4:F$85,MATCH(A108,Catalogue!A$4:A$85,0))*(1+Paramètres!$B$4*(C108-1)+Paramètres!$B$5*(C108-1)^2),0)</f>
        <v>8</v>
      </c>
      <c r="S108">
        <f t="shared" si="12"/>
        <v>0</v>
      </c>
      <c r="T108" t="str">
        <f t="shared" si="13"/>
        <v>OK</v>
      </c>
      <c r="U108" s="25">
        <f t="shared" si="14"/>
        <v>6.5</v>
      </c>
      <c r="V108" t="str">
        <f t="shared" si="15"/>
        <v>OK</v>
      </c>
    </row>
    <row r="109" spans="1:22" ht="18" customHeight="1">
      <c r="A109" t="s">
        <v>95</v>
      </c>
      <c r="B109" t="s">
        <v>96</v>
      </c>
      <c r="C109">
        <v>6</v>
      </c>
      <c r="D109" t="s">
        <v>72</v>
      </c>
      <c r="E109" s="6">
        <f t="shared" si="8"/>
        <v>6</v>
      </c>
      <c r="F109" s="6">
        <f t="shared" si="9"/>
        <v>9</v>
      </c>
      <c r="G109" s="6">
        <f>ROUND(Catalogue!G9*SQRT((1+Paramètres!$B$4*(C109-1)+Paramètres!$B$5*(C109-1)^2)),0)</f>
        <v>0</v>
      </c>
      <c r="H109" s="6">
        <f>ROUND(Catalogue!H9*SQRT((1+Paramètres!$B$4*(C109-1)+Paramètres!$B$5*(C109-1)^2)),0)</f>
        <v>0</v>
      </c>
      <c r="I109" s="6">
        <v>2</v>
      </c>
      <c r="J109" s="6">
        <v>1</v>
      </c>
      <c r="K109" s="7">
        <v>1</v>
      </c>
      <c r="L109" s="9">
        <f t="shared" si="10"/>
        <v>7.5</v>
      </c>
      <c r="M109">
        <v>1</v>
      </c>
      <c r="N109">
        <v>4</v>
      </c>
      <c r="O109">
        <v>5</v>
      </c>
      <c r="P109" s="13" t="str">
        <f t="shared" si="11"/>
        <v>1d4 + 5</v>
      </c>
      <c r="Q109">
        <f>ROUND(INDEX(Catalogue!E$4:E$85,MATCH(A109,Catalogue!A$4:A$85,0))*(1+Paramètres!$B$4*(C109-1)+Paramètres!$B$5*(C109-1)^2),0)</f>
        <v>6</v>
      </c>
      <c r="R109">
        <f>ROUND(INDEX(Catalogue!F$4:F$85,MATCH(A109,Catalogue!A$4:A$85,0))*(1+Paramètres!$B$4*(C109-1)+Paramètres!$B$5*(C109-1)^2),0)</f>
        <v>10</v>
      </c>
      <c r="S109">
        <f t="shared" si="12"/>
        <v>-0.5</v>
      </c>
      <c r="T109" t="str">
        <f t="shared" si="13"/>
        <v>OK</v>
      </c>
      <c r="U109" s="25">
        <f t="shared" si="14"/>
        <v>7.5</v>
      </c>
      <c r="V109" t="str">
        <f t="shared" si="15"/>
        <v>OK</v>
      </c>
    </row>
    <row r="110" spans="1:22" ht="18" customHeight="1">
      <c r="A110" t="s">
        <v>95</v>
      </c>
      <c r="B110" t="s">
        <v>96</v>
      </c>
      <c r="C110">
        <v>7</v>
      </c>
      <c r="D110" t="s">
        <v>72</v>
      </c>
      <c r="E110" s="6">
        <f t="shared" si="8"/>
        <v>7</v>
      </c>
      <c r="F110" s="6">
        <f t="shared" si="9"/>
        <v>10</v>
      </c>
      <c r="G110" s="6">
        <f>ROUND(Catalogue!G9*SQRT((1+Paramètres!$B$4*(C110-1)+Paramètres!$B$5*(C110-1)^2)),0)</f>
        <v>0</v>
      </c>
      <c r="H110" s="6">
        <f>ROUND(Catalogue!H9*SQRT((1+Paramètres!$B$4*(C110-1)+Paramètres!$B$5*(C110-1)^2)),0)</f>
        <v>0</v>
      </c>
      <c r="I110" s="6">
        <v>2</v>
      </c>
      <c r="J110" s="6">
        <v>1</v>
      </c>
      <c r="K110" s="7">
        <v>1</v>
      </c>
      <c r="L110" s="9">
        <f t="shared" si="10"/>
        <v>8.5</v>
      </c>
      <c r="M110">
        <v>1</v>
      </c>
      <c r="N110">
        <v>4</v>
      </c>
      <c r="O110">
        <v>6</v>
      </c>
      <c r="P110" s="13" t="str">
        <f t="shared" si="11"/>
        <v>1d4 + 6</v>
      </c>
      <c r="Q110">
        <f>ROUND(INDEX(Catalogue!E$4:E$85,MATCH(A110,Catalogue!A$4:A$85,0))*(1+Paramètres!$B$4*(C110-1)+Paramètres!$B$5*(C110-1)^2),0)</f>
        <v>7</v>
      </c>
      <c r="R110">
        <f>ROUND(INDEX(Catalogue!F$4:F$85,MATCH(A110,Catalogue!A$4:A$85,0))*(1+Paramètres!$B$4*(C110-1)+Paramètres!$B$5*(C110-1)^2),0)</f>
        <v>11</v>
      </c>
      <c r="S110">
        <f t="shared" si="12"/>
        <v>-0.5</v>
      </c>
      <c r="T110" t="str">
        <f t="shared" si="13"/>
        <v>OK</v>
      </c>
      <c r="U110" s="25">
        <f t="shared" si="14"/>
        <v>8.5</v>
      </c>
      <c r="V110" t="str">
        <f t="shared" si="15"/>
        <v>OK</v>
      </c>
    </row>
    <row r="111" spans="1:22" ht="18" customHeight="1">
      <c r="A111" t="s">
        <v>95</v>
      </c>
      <c r="B111" t="s">
        <v>96</v>
      </c>
      <c r="C111">
        <v>8</v>
      </c>
      <c r="D111" t="s">
        <v>72</v>
      </c>
      <c r="E111" s="6">
        <f t="shared" si="8"/>
        <v>8</v>
      </c>
      <c r="F111" s="6">
        <f t="shared" si="9"/>
        <v>13</v>
      </c>
      <c r="G111" s="6">
        <f>ROUND(Catalogue!G9*SQRT((1+Paramètres!$B$4*(C111-1)+Paramètres!$B$5*(C111-1)^2)),0)</f>
        <v>0</v>
      </c>
      <c r="H111" s="6">
        <f>ROUND(Catalogue!H9*SQRT((1+Paramètres!$B$4*(C111-1)+Paramètres!$B$5*(C111-1)^2)),0)</f>
        <v>0</v>
      </c>
      <c r="I111" s="6">
        <v>2</v>
      </c>
      <c r="J111" s="6">
        <v>1</v>
      </c>
      <c r="K111" s="7">
        <v>1</v>
      </c>
      <c r="L111" s="9">
        <f t="shared" si="10"/>
        <v>10.5</v>
      </c>
      <c r="M111">
        <v>1</v>
      </c>
      <c r="N111">
        <v>6</v>
      </c>
      <c r="O111">
        <v>7</v>
      </c>
      <c r="P111" s="13" t="str">
        <f t="shared" si="11"/>
        <v>1d6 + 7</v>
      </c>
      <c r="Q111">
        <f>ROUND(INDEX(Catalogue!E$4:E$85,MATCH(A111,Catalogue!A$4:A$85,0))*(1+Paramètres!$B$4*(C111-1)+Paramètres!$B$5*(C111-1)^2),0)</f>
        <v>8</v>
      </c>
      <c r="R111">
        <f>ROUND(INDEX(Catalogue!F$4:F$85,MATCH(A111,Catalogue!A$4:A$85,0))*(1+Paramètres!$B$4*(C111-1)+Paramètres!$B$5*(C111-1)^2),0)</f>
        <v>13</v>
      </c>
      <c r="S111">
        <f t="shared" si="12"/>
        <v>0</v>
      </c>
      <c r="T111" t="str">
        <f t="shared" si="13"/>
        <v>OK</v>
      </c>
      <c r="U111" s="25">
        <f t="shared" si="14"/>
        <v>10.5</v>
      </c>
      <c r="V111" t="str">
        <f t="shared" si="15"/>
        <v>OK</v>
      </c>
    </row>
    <row r="112" spans="1:22" ht="18" customHeight="1">
      <c r="A112" t="s">
        <v>95</v>
      </c>
      <c r="B112" t="s">
        <v>96</v>
      </c>
      <c r="C112">
        <v>9</v>
      </c>
      <c r="D112" t="s">
        <v>72</v>
      </c>
      <c r="E112" s="6">
        <f t="shared" si="8"/>
        <v>9</v>
      </c>
      <c r="F112" s="6">
        <f t="shared" si="9"/>
        <v>15</v>
      </c>
      <c r="G112" s="6">
        <f>ROUND(Catalogue!G9*SQRT((1+Paramètres!$B$4*(C112-1)+Paramètres!$B$5*(C112-1)^2)),0)</f>
        <v>0</v>
      </c>
      <c r="H112" s="6">
        <f>ROUND(Catalogue!H9*SQRT((1+Paramètres!$B$4*(C112-1)+Paramètres!$B$5*(C112-1)^2)),0)</f>
        <v>0</v>
      </c>
      <c r="I112" s="6">
        <v>2</v>
      </c>
      <c r="J112" s="6">
        <v>1</v>
      </c>
      <c r="K112" s="7">
        <v>1</v>
      </c>
      <c r="L112" s="9">
        <f t="shared" si="10"/>
        <v>12</v>
      </c>
      <c r="M112">
        <v>2</v>
      </c>
      <c r="N112">
        <v>4</v>
      </c>
      <c r="O112">
        <v>7</v>
      </c>
      <c r="P112" s="13" t="str">
        <f t="shared" si="11"/>
        <v>2d4 + 7</v>
      </c>
      <c r="Q112">
        <f>ROUND(INDEX(Catalogue!E$4:E$85,MATCH(A112,Catalogue!A$4:A$85,0))*(1+Paramètres!$B$4*(C112-1)+Paramètres!$B$5*(C112-1)^2),0)</f>
        <v>9</v>
      </c>
      <c r="R112">
        <f>ROUND(INDEX(Catalogue!F$4:F$85,MATCH(A112,Catalogue!A$4:A$85,0))*(1+Paramètres!$B$4*(C112-1)+Paramètres!$B$5*(C112-1)^2),0)</f>
        <v>15</v>
      </c>
      <c r="S112">
        <f t="shared" si="12"/>
        <v>0</v>
      </c>
      <c r="T112" t="str">
        <f t="shared" si="13"/>
        <v>OK</v>
      </c>
      <c r="U112" s="25">
        <f t="shared" si="14"/>
        <v>12</v>
      </c>
      <c r="V112" t="str">
        <f t="shared" si="15"/>
        <v>OK</v>
      </c>
    </row>
    <row r="113" spans="1:22" ht="18" customHeight="1">
      <c r="A113" t="s">
        <v>95</v>
      </c>
      <c r="B113" t="s">
        <v>96</v>
      </c>
      <c r="C113">
        <v>10</v>
      </c>
      <c r="D113" t="s">
        <v>72</v>
      </c>
      <c r="E113" s="6">
        <f t="shared" si="8"/>
        <v>10</v>
      </c>
      <c r="F113" s="6">
        <f t="shared" si="9"/>
        <v>16</v>
      </c>
      <c r="G113" s="6">
        <f>ROUND(Catalogue!G9*SQRT((1+Paramètres!$B$4*(C113-1)+Paramètres!$B$5*(C113-1)^2)),0)</f>
        <v>0</v>
      </c>
      <c r="H113" s="6">
        <f>ROUND(Catalogue!H9*SQRT((1+Paramètres!$B$4*(C113-1)+Paramètres!$B$5*(C113-1)^2)),0)</f>
        <v>0</v>
      </c>
      <c r="I113" s="6">
        <v>2</v>
      </c>
      <c r="J113" s="6">
        <v>1</v>
      </c>
      <c r="K113" s="7">
        <v>1</v>
      </c>
      <c r="L113" s="9">
        <f t="shared" si="10"/>
        <v>13</v>
      </c>
      <c r="M113">
        <v>2</v>
      </c>
      <c r="N113">
        <v>4</v>
      </c>
      <c r="O113">
        <v>8</v>
      </c>
      <c r="P113" s="13" t="str">
        <f t="shared" si="11"/>
        <v>2d4 + 8</v>
      </c>
      <c r="Q113">
        <f>ROUND(INDEX(Catalogue!E$4:E$85,MATCH(A113,Catalogue!A$4:A$85,0))*(1+Paramètres!$B$4*(C113-1)+Paramètres!$B$5*(C113-1)^2),0)</f>
        <v>10</v>
      </c>
      <c r="R113">
        <f>ROUND(INDEX(Catalogue!F$4:F$85,MATCH(A113,Catalogue!A$4:A$85,0))*(1+Paramètres!$B$4*(C113-1)+Paramètres!$B$5*(C113-1)^2),0)</f>
        <v>16</v>
      </c>
      <c r="S113">
        <f t="shared" si="12"/>
        <v>0</v>
      </c>
      <c r="T113" t="str">
        <f t="shared" si="13"/>
        <v>OK</v>
      </c>
      <c r="U113" s="25">
        <f t="shared" si="14"/>
        <v>13</v>
      </c>
      <c r="V113" t="str">
        <f t="shared" si="15"/>
        <v>OK</v>
      </c>
    </row>
    <row r="114" spans="1:22" ht="18" customHeight="1">
      <c r="A114" t="s">
        <v>95</v>
      </c>
      <c r="B114" t="s">
        <v>96</v>
      </c>
      <c r="C114">
        <v>11</v>
      </c>
      <c r="D114" t="s">
        <v>72</v>
      </c>
      <c r="E114" s="6">
        <f t="shared" si="8"/>
        <v>11</v>
      </c>
      <c r="F114" s="6">
        <f t="shared" si="9"/>
        <v>20</v>
      </c>
      <c r="G114" s="6">
        <f>ROUND(Catalogue!G9*SQRT((1+Paramètres!$B$4*(C114-1)+Paramètres!$B$5*(C114-1)^2)),0)</f>
        <v>0</v>
      </c>
      <c r="H114" s="6">
        <f>ROUND(Catalogue!H9*SQRT((1+Paramètres!$B$4*(C114-1)+Paramètres!$B$5*(C114-1)^2)),0)</f>
        <v>0</v>
      </c>
      <c r="I114" s="6">
        <v>2</v>
      </c>
      <c r="J114" s="6">
        <v>1</v>
      </c>
      <c r="K114" s="7">
        <v>1</v>
      </c>
      <c r="L114" s="9">
        <f t="shared" si="10"/>
        <v>15.5</v>
      </c>
      <c r="M114">
        <v>3</v>
      </c>
      <c r="N114">
        <v>4</v>
      </c>
      <c r="O114">
        <v>8</v>
      </c>
      <c r="P114" s="13" t="str">
        <f t="shared" si="11"/>
        <v>3d4 + 8</v>
      </c>
      <c r="Q114">
        <f>ROUND(INDEX(Catalogue!E$4:E$85,MATCH(A114,Catalogue!A$4:A$85,0))*(1+Paramètres!$B$4*(C114-1)+Paramètres!$B$5*(C114-1)^2),0)</f>
        <v>11</v>
      </c>
      <c r="R114">
        <f>ROUND(INDEX(Catalogue!F$4:F$85,MATCH(A114,Catalogue!A$4:A$85,0))*(1+Paramètres!$B$4*(C114-1)+Paramètres!$B$5*(C114-1)^2),0)</f>
        <v>19</v>
      </c>
      <c r="S114">
        <f t="shared" si="12"/>
        <v>0.5</v>
      </c>
      <c r="T114" t="str">
        <f t="shared" si="13"/>
        <v>OK</v>
      </c>
      <c r="U114" s="25">
        <f t="shared" si="14"/>
        <v>15.5</v>
      </c>
      <c r="V114" t="str">
        <f t="shared" si="15"/>
        <v>OK</v>
      </c>
    </row>
    <row r="115" spans="1:22" ht="18" customHeight="1">
      <c r="A115" t="s">
        <v>95</v>
      </c>
      <c r="B115" t="s">
        <v>96</v>
      </c>
      <c r="C115">
        <v>12</v>
      </c>
      <c r="D115" t="s">
        <v>72</v>
      </c>
      <c r="E115" s="6">
        <f t="shared" si="8"/>
        <v>12</v>
      </c>
      <c r="F115" s="6">
        <f t="shared" si="9"/>
        <v>21</v>
      </c>
      <c r="G115" s="6">
        <f>ROUND(Catalogue!G9*SQRT((1+Paramètres!$B$4*(C115-1)+Paramètres!$B$5*(C115-1)^2)),0)</f>
        <v>0</v>
      </c>
      <c r="H115" s="6">
        <f>ROUND(Catalogue!H9*SQRT((1+Paramètres!$B$4*(C115-1)+Paramètres!$B$5*(C115-1)^2)),0)</f>
        <v>0</v>
      </c>
      <c r="I115" s="6">
        <v>2</v>
      </c>
      <c r="J115" s="6">
        <v>1</v>
      </c>
      <c r="K115" s="7">
        <v>1</v>
      </c>
      <c r="L115" s="9">
        <f t="shared" si="10"/>
        <v>16.5</v>
      </c>
      <c r="M115">
        <v>3</v>
      </c>
      <c r="N115">
        <v>4</v>
      </c>
      <c r="O115">
        <v>9</v>
      </c>
      <c r="P115" s="13" t="str">
        <f t="shared" si="11"/>
        <v>3d4 + 9</v>
      </c>
      <c r="Q115">
        <f>ROUND(INDEX(Catalogue!E$4:E$85,MATCH(A115,Catalogue!A$4:A$85,0))*(1+Paramètres!$B$4*(C115-1)+Paramètres!$B$5*(C115-1)^2),0)</f>
        <v>12</v>
      </c>
      <c r="R115">
        <f>ROUND(INDEX(Catalogue!F$4:F$85,MATCH(A115,Catalogue!A$4:A$85,0))*(1+Paramètres!$B$4*(C115-1)+Paramètres!$B$5*(C115-1)^2),0)</f>
        <v>21</v>
      </c>
      <c r="S115">
        <f t="shared" si="12"/>
        <v>0</v>
      </c>
      <c r="T115" t="str">
        <f t="shared" si="13"/>
        <v>OK</v>
      </c>
      <c r="U115" s="25">
        <f t="shared" si="14"/>
        <v>16.5</v>
      </c>
      <c r="V115" t="str">
        <f t="shared" si="15"/>
        <v>OK</v>
      </c>
    </row>
    <row r="116" spans="1:22" ht="18" customHeight="1">
      <c r="A116" t="s">
        <v>95</v>
      </c>
      <c r="B116" t="s">
        <v>96</v>
      </c>
      <c r="C116">
        <v>13</v>
      </c>
      <c r="D116" t="s">
        <v>72</v>
      </c>
      <c r="E116" s="6">
        <f t="shared" si="8"/>
        <v>14</v>
      </c>
      <c r="F116" s="6">
        <f t="shared" si="9"/>
        <v>23</v>
      </c>
      <c r="G116" s="6">
        <f>ROUND(Catalogue!G9*SQRT((1+Paramètres!$B$4*(C116-1)+Paramètres!$B$5*(C116-1)^2)),0)</f>
        <v>0</v>
      </c>
      <c r="H116" s="6">
        <f>ROUND(Catalogue!H9*SQRT((1+Paramètres!$B$4*(C116-1)+Paramètres!$B$5*(C116-1)^2)),0)</f>
        <v>0</v>
      </c>
      <c r="I116" s="6">
        <v>2</v>
      </c>
      <c r="J116" s="6">
        <v>1</v>
      </c>
      <c r="K116" s="7">
        <v>1</v>
      </c>
      <c r="L116" s="9">
        <f t="shared" si="10"/>
        <v>18.5</v>
      </c>
      <c r="M116">
        <v>3</v>
      </c>
      <c r="N116">
        <v>4</v>
      </c>
      <c r="O116">
        <v>11</v>
      </c>
      <c r="P116" s="13" t="str">
        <f t="shared" si="11"/>
        <v>3d4 + 11</v>
      </c>
      <c r="Q116">
        <f>ROUND(INDEX(Catalogue!E$4:E$85,MATCH(A116,Catalogue!A$4:A$85,0))*(1+Paramètres!$B$4*(C116-1)+Paramètres!$B$5*(C116-1)^2),0)</f>
        <v>14</v>
      </c>
      <c r="R116">
        <f>ROUND(INDEX(Catalogue!F$4:F$85,MATCH(A116,Catalogue!A$4:A$85,0))*(1+Paramètres!$B$4*(C116-1)+Paramètres!$B$5*(C116-1)^2),0)</f>
        <v>23</v>
      </c>
      <c r="S116">
        <f t="shared" si="12"/>
        <v>0</v>
      </c>
      <c r="T116" t="str">
        <f t="shared" si="13"/>
        <v>OK</v>
      </c>
      <c r="U116" s="25">
        <f t="shared" si="14"/>
        <v>18.5</v>
      </c>
      <c r="V116" t="str">
        <f t="shared" si="15"/>
        <v>OK</v>
      </c>
    </row>
    <row r="117" spans="1:22" ht="18" customHeight="1">
      <c r="A117" t="s">
        <v>95</v>
      </c>
      <c r="B117" t="s">
        <v>96</v>
      </c>
      <c r="C117">
        <v>14</v>
      </c>
      <c r="D117" t="s">
        <v>72</v>
      </c>
      <c r="E117" s="6">
        <f t="shared" si="8"/>
        <v>15</v>
      </c>
      <c r="F117" s="6">
        <f t="shared" si="9"/>
        <v>25</v>
      </c>
      <c r="G117" s="6">
        <f>ROUND(Catalogue!G9*SQRT((1+Paramètres!$B$4*(C117-1)+Paramètres!$B$5*(C117-1)^2)),0)</f>
        <v>0</v>
      </c>
      <c r="H117" s="6">
        <f>ROUND(Catalogue!H9*SQRT((1+Paramètres!$B$4*(C117-1)+Paramètres!$B$5*(C117-1)^2)),0)</f>
        <v>0</v>
      </c>
      <c r="I117" s="6">
        <v>2</v>
      </c>
      <c r="J117" s="6">
        <v>1</v>
      </c>
      <c r="K117" s="7">
        <v>1</v>
      </c>
      <c r="L117" s="9">
        <f t="shared" si="10"/>
        <v>20</v>
      </c>
      <c r="M117">
        <v>2</v>
      </c>
      <c r="N117">
        <v>6</v>
      </c>
      <c r="O117">
        <v>13</v>
      </c>
      <c r="P117" s="13" t="str">
        <f t="shared" si="11"/>
        <v>2d6 + 13</v>
      </c>
      <c r="Q117">
        <f>ROUND(INDEX(Catalogue!E$4:E$85,MATCH(A117,Catalogue!A$4:A$85,0))*(1+Paramètres!$B$4*(C117-1)+Paramètres!$B$5*(C117-1)^2),0)</f>
        <v>15</v>
      </c>
      <c r="R117">
        <f>ROUND(INDEX(Catalogue!F$4:F$85,MATCH(A117,Catalogue!A$4:A$85,0))*(1+Paramètres!$B$4*(C117-1)+Paramètres!$B$5*(C117-1)^2),0)</f>
        <v>26</v>
      </c>
      <c r="S117">
        <f t="shared" si="12"/>
        <v>-0.5</v>
      </c>
      <c r="T117" t="str">
        <f t="shared" si="13"/>
        <v>OK</v>
      </c>
      <c r="U117" s="25">
        <f t="shared" si="14"/>
        <v>20</v>
      </c>
      <c r="V117" t="str">
        <f t="shared" si="15"/>
        <v>OK</v>
      </c>
    </row>
    <row r="118" spans="1:22" ht="18" customHeight="1">
      <c r="A118" t="s">
        <v>95</v>
      </c>
      <c r="B118" t="s">
        <v>96</v>
      </c>
      <c r="C118">
        <v>15</v>
      </c>
      <c r="D118" t="s">
        <v>72</v>
      </c>
      <c r="E118" s="6">
        <f t="shared" si="8"/>
        <v>18</v>
      </c>
      <c r="F118" s="6">
        <f t="shared" si="9"/>
        <v>28</v>
      </c>
      <c r="G118" s="6">
        <f>ROUND(Catalogue!G9*SQRT((1+Paramètres!$B$4*(C118-1)+Paramètres!$B$5*(C118-1)^2)),0)</f>
        <v>0</v>
      </c>
      <c r="H118" s="6">
        <f>ROUND(Catalogue!H9*SQRT((1+Paramètres!$B$4*(C118-1)+Paramètres!$B$5*(C118-1)^2)),0)</f>
        <v>0</v>
      </c>
      <c r="I118" s="6">
        <v>2</v>
      </c>
      <c r="J118" s="6">
        <v>1</v>
      </c>
      <c r="K118" s="7">
        <v>1</v>
      </c>
      <c r="L118" s="9">
        <f t="shared" si="10"/>
        <v>23</v>
      </c>
      <c r="M118">
        <v>2</v>
      </c>
      <c r="N118">
        <v>6</v>
      </c>
      <c r="O118">
        <v>16</v>
      </c>
      <c r="P118" s="13" t="str">
        <f t="shared" si="11"/>
        <v>2d6 + 16</v>
      </c>
      <c r="Q118">
        <f>ROUND(INDEX(Catalogue!E$4:E$85,MATCH(A118,Catalogue!A$4:A$85,0))*(1+Paramètres!$B$4*(C118-1)+Paramètres!$B$5*(C118-1)^2),0)</f>
        <v>17</v>
      </c>
      <c r="R118">
        <f>ROUND(INDEX(Catalogue!F$4:F$85,MATCH(A118,Catalogue!A$4:A$85,0))*(1+Paramètres!$B$4*(C118-1)+Paramètres!$B$5*(C118-1)^2),0)</f>
        <v>28</v>
      </c>
      <c r="S118">
        <f t="shared" si="12"/>
        <v>0.5</v>
      </c>
      <c r="T118" t="str">
        <f t="shared" si="13"/>
        <v>OK</v>
      </c>
      <c r="U118" s="25">
        <f t="shared" si="14"/>
        <v>23</v>
      </c>
      <c r="V118" t="str">
        <f t="shared" si="15"/>
        <v>OK</v>
      </c>
    </row>
    <row r="119" spans="1:22" ht="18" customHeight="1">
      <c r="A119" t="s">
        <v>95</v>
      </c>
      <c r="B119" t="s">
        <v>96</v>
      </c>
      <c r="C119">
        <v>16</v>
      </c>
      <c r="D119" t="s">
        <v>72</v>
      </c>
      <c r="E119" s="6">
        <f t="shared" si="8"/>
        <v>19</v>
      </c>
      <c r="F119" s="6">
        <f t="shared" si="9"/>
        <v>31</v>
      </c>
      <c r="G119" s="6">
        <f>ROUND(Catalogue!G9*SQRT((1+Paramètres!$B$4*(C119-1)+Paramètres!$B$5*(C119-1)^2)),0)</f>
        <v>0</v>
      </c>
      <c r="H119" s="6">
        <f>ROUND(Catalogue!H9*SQRT((1+Paramètres!$B$4*(C119-1)+Paramètres!$B$5*(C119-1)^2)),0)</f>
        <v>0</v>
      </c>
      <c r="I119" s="6">
        <v>2</v>
      </c>
      <c r="J119" s="6">
        <v>1</v>
      </c>
      <c r="K119" s="7">
        <v>1</v>
      </c>
      <c r="L119" s="9">
        <f t="shared" si="10"/>
        <v>25</v>
      </c>
      <c r="M119">
        <v>4</v>
      </c>
      <c r="N119">
        <v>4</v>
      </c>
      <c r="O119">
        <v>15</v>
      </c>
      <c r="P119" s="13" t="str">
        <f t="shared" si="11"/>
        <v>4d4 + 15</v>
      </c>
      <c r="Q119">
        <f>ROUND(INDEX(Catalogue!E$4:E$85,MATCH(A119,Catalogue!A$4:A$85,0))*(1+Paramètres!$B$4*(C119-1)+Paramètres!$B$5*(C119-1)^2),0)</f>
        <v>19</v>
      </c>
      <c r="R119">
        <f>ROUND(INDEX(Catalogue!F$4:F$85,MATCH(A119,Catalogue!A$4:A$85,0))*(1+Paramètres!$B$4*(C119-1)+Paramètres!$B$5*(C119-1)^2),0)</f>
        <v>31</v>
      </c>
      <c r="S119">
        <f t="shared" si="12"/>
        <v>0</v>
      </c>
      <c r="T119" t="str">
        <f t="shared" si="13"/>
        <v>OK</v>
      </c>
      <c r="U119" s="25">
        <f t="shared" si="14"/>
        <v>25</v>
      </c>
      <c r="V119" t="str">
        <f t="shared" si="15"/>
        <v>OK</v>
      </c>
    </row>
    <row r="120" spans="1:22" ht="18" customHeight="1">
      <c r="A120" t="s">
        <v>95</v>
      </c>
      <c r="B120" t="s">
        <v>96</v>
      </c>
      <c r="C120">
        <v>17</v>
      </c>
      <c r="D120" t="s">
        <v>72</v>
      </c>
      <c r="E120" s="6">
        <f t="shared" si="8"/>
        <v>20</v>
      </c>
      <c r="F120" s="6">
        <f t="shared" si="9"/>
        <v>34</v>
      </c>
      <c r="G120" s="6">
        <f>ROUND(Catalogue!G9*SQRT((1+Paramètres!$B$4*(C120-1)+Paramètres!$B$5*(C120-1)^2)),0)</f>
        <v>0</v>
      </c>
      <c r="H120" s="6">
        <f>ROUND(Catalogue!H9*SQRT((1+Paramètres!$B$4*(C120-1)+Paramètres!$B$5*(C120-1)^2)),0)</f>
        <v>0</v>
      </c>
      <c r="I120" s="6">
        <v>2</v>
      </c>
      <c r="J120" s="6">
        <v>1</v>
      </c>
      <c r="K120" s="7">
        <v>1</v>
      </c>
      <c r="L120" s="9">
        <f t="shared" si="10"/>
        <v>27</v>
      </c>
      <c r="M120">
        <v>2</v>
      </c>
      <c r="N120">
        <v>8</v>
      </c>
      <c r="O120">
        <v>18</v>
      </c>
      <c r="P120" s="13" t="str">
        <f t="shared" si="11"/>
        <v>2d8 + 18</v>
      </c>
      <c r="Q120">
        <f>ROUND(INDEX(Catalogue!E$4:E$85,MATCH(A120,Catalogue!A$4:A$85,0))*(1+Paramètres!$B$4*(C120-1)+Paramètres!$B$5*(C120-1)^2),0)</f>
        <v>21</v>
      </c>
      <c r="R120">
        <f>ROUND(INDEX(Catalogue!F$4:F$85,MATCH(A120,Catalogue!A$4:A$85,0))*(1+Paramètres!$B$4*(C120-1)+Paramètres!$B$5*(C120-1)^2),0)</f>
        <v>34</v>
      </c>
      <c r="S120">
        <f t="shared" si="12"/>
        <v>-0.5</v>
      </c>
      <c r="T120" t="str">
        <f t="shared" si="13"/>
        <v>OK</v>
      </c>
      <c r="U120" s="25">
        <f t="shared" si="14"/>
        <v>27</v>
      </c>
      <c r="V120" t="str">
        <f t="shared" si="15"/>
        <v>OK</v>
      </c>
    </row>
    <row r="121" spans="1:22" ht="18" customHeight="1">
      <c r="A121" t="s">
        <v>95</v>
      </c>
      <c r="B121" t="s">
        <v>96</v>
      </c>
      <c r="C121">
        <v>18</v>
      </c>
      <c r="D121" t="s">
        <v>72</v>
      </c>
      <c r="E121" s="6">
        <f t="shared" si="8"/>
        <v>22</v>
      </c>
      <c r="F121" s="6">
        <f t="shared" si="9"/>
        <v>37</v>
      </c>
      <c r="G121" s="6">
        <f>ROUND(Catalogue!G9*SQRT((1+Paramètres!$B$4*(C121-1)+Paramètres!$B$5*(C121-1)^2)),0)</f>
        <v>0</v>
      </c>
      <c r="H121" s="6">
        <f>ROUND(Catalogue!H9*SQRT((1+Paramètres!$B$4*(C121-1)+Paramètres!$B$5*(C121-1)^2)),0)</f>
        <v>0</v>
      </c>
      <c r="I121" s="6">
        <v>2</v>
      </c>
      <c r="J121" s="6">
        <v>1</v>
      </c>
      <c r="K121" s="7">
        <v>1</v>
      </c>
      <c r="L121" s="9">
        <f t="shared" si="10"/>
        <v>29.5</v>
      </c>
      <c r="M121">
        <v>3</v>
      </c>
      <c r="N121">
        <v>6</v>
      </c>
      <c r="O121">
        <v>19</v>
      </c>
      <c r="P121" s="13" t="str">
        <f t="shared" si="11"/>
        <v>3d6 + 19</v>
      </c>
      <c r="Q121">
        <f>ROUND(INDEX(Catalogue!E$4:E$85,MATCH(A121,Catalogue!A$4:A$85,0))*(1+Paramètres!$B$4*(C121-1)+Paramètres!$B$5*(C121-1)^2),0)</f>
        <v>22</v>
      </c>
      <c r="R121">
        <f>ROUND(INDEX(Catalogue!F$4:F$85,MATCH(A121,Catalogue!A$4:A$85,0))*(1+Paramètres!$B$4*(C121-1)+Paramètres!$B$5*(C121-1)^2),0)</f>
        <v>37</v>
      </c>
      <c r="S121">
        <f t="shared" si="12"/>
        <v>0</v>
      </c>
      <c r="T121" t="str">
        <f t="shared" si="13"/>
        <v>OK</v>
      </c>
      <c r="U121" s="25">
        <f t="shared" si="14"/>
        <v>29.5</v>
      </c>
      <c r="V121" t="str">
        <f t="shared" si="15"/>
        <v>OK</v>
      </c>
    </row>
    <row r="122" spans="1:22" ht="18" customHeight="1">
      <c r="A122" t="s">
        <v>95</v>
      </c>
      <c r="B122" t="s">
        <v>96</v>
      </c>
      <c r="C122">
        <v>19</v>
      </c>
      <c r="D122" t="s">
        <v>72</v>
      </c>
      <c r="E122" s="6">
        <f t="shared" si="8"/>
        <v>23</v>
      </c>
      <c r="F122" s="6">
        <f t="shared" si="9"/>
        <v>41</v>
      </c>
      <c r="G122" s="6">
        <f>ROUND(Catalogue!G9*SQRT((1+Paramètres!$B$4*(C122-1)+Paramètres!$B$5*(C122-1)^2)),0)</f>
        <v>0</v>
      </c>
      <c r="H122" s="6">
        <f>ROUND(Catalogue!H9*SQRT((1+Paramètres!$B$4*(C122-1)+Paramètres!$B$5*(C122-1)^2)),0)</f>
        <v>0</v>
      </c>
      <c r="I122" s="6">
        <v>2</v>
      </c>
      <c r="J122" s="6">
        <v>1</v>
      </c>
      <c r="K122" s="7">
        <v>1</v>
      </c>
      <c r="L122" s="9">
        <f t="shared" si="10"/>
        <v>32</v>
      </c>
      <c r="M122">
        <v>2</v>
      </c>
      <c r="N122">
        <v>10</v>
      </c>
      <c r="O122">
        <v>21</v>
      </c>
      <c r="P122" s="13" t="str">
        <f t="shared" si="11"/>
        <v>2d10 + 21</v>
      </c>
      <c r="Q122">
        <f>ROUND(INDEX(Catalogue!E$4:E$85,MATCH(A122,Catalogue!A$4:A$85,0))*(1+Paramètres!$B$4*(C122-1)+Paramètres!$B$5*(C122-1)^2),0)</f>
        <v>24</v>
      </c>
      <c r="R122">
        <f>ROUND(INDEX(Catalogue!F$4:F$85,MATCH(A122,Catalogue!A$4:A$85,0))*(1+Paramètres!$B$4*(C122-1)+Paramètres!$B$5*(C122-1)^2),0)</f>
        <v>41</v>
      </c>
      <c r="S122">
        <f t="shared" si="12"/>
        <v>-0.5</v>
      </c>
      <c r="T122" t="str">
        <f t="shared" si="13"/>
        <v>OK</v>
      </c>
      <c r="U122" s="25">
        <f t="shared" si="14"/>
        <v>32</v>
      </c>
      <c r="V122" t="str">
        <f t="shared" si="15"/>
        <v>OK</v>
      </c>
    </row>
    <row r="123" spans="1:22" ht="18" customHeight="1">
      <c r="A123" t="s">
        <v>95</v>
      </c>
      <c r="B123" t="s">
        <v>96</v>
      </c>
      <c r="C123">
        <v>20</v>
      </c>
      <c r="D123" t="s">
        <v>72</v>
      </c>
      <c r="E123" s="6">
        <f t="shared" si="8"/>
        <v>26</v>
      </c>
      <c r="F123" s="6">
        <f t="shared" si="9"/>
        <v>44</v>
      </c>
      <c r="G123" s="6">
        <f>ROUND(Catalogue!G9*SQRT((1+Paramètres!$B$4*(C123-1)+Paramètres!$B$5*(C123-1)^2)),0)</f>
        <v>0</v>
      </c>
      <c r="H123" s="6">
        <f>ROUND(Catalogue!H9*SQRT((1+Paramètres!$B$4*(C123-1)+Paramètres!$B$5*(C123-1)^2)),0)</f>
        <v>0</v>
      </c>
      <c r="I123" s="6">
        <v>2</v>
      </c>
      <c r="J123" s="6">
        <v>1</v>
      </c>
      <c r="K123" s="7">
        <v>1</v>
      </c>
      <c r="L123" s="9">
        <f t="shared" si="10"/>
        <v>35</v>
      </c>
      <c r="M123">
        <v>2</v>
      </c>
      <c r="N123">
        <v>10</v>
      </c>
      <c r="O123">
        <v>24</v>
      </c>
      <c r="P123" s="13" t="str">
        <f t="shared" si="11"/>
        <v>2d10 + 24</v>
      </c>
      <c r="Q123">
        <f>ROUND(INDEX(Catalogue!E$4:E$85,MATCH(A123,Catalogue!A$4:A$85,0))*(1+Paramètres!$B$4*(C123-1)+Paramètres!$B$5*(C123-1)^2),0)</f>
        <v>27</v>
      </c>
      <c r="R123">
        <f>ROUND(INDEX(Catalogue!F$4:F$85,MATCH(A123,Catalogue!A$4:A$85,0))*(1+Paramètres!$B$4*(C123-1)+Paramètres!$B$5*(C123-1)^2),0)</f>
        <v>44</v>
      </c>
      <c r="S123">
        <f t="shared" si="12"/>
        <v>-0.5</v>
      </c>
      <c r="T123" t="str">
        <f t="shared" si="13"/>
        <v>OK</v>
      </c>
      <c r="U123" s="25">
        <f t="shared" si="14"/>
        <v>35</v>
      </c>
      <c r="V123" t="str">
        <f t="shared" si="15"/>
        <v>OK</v>
      </c>
    </row>
    <row r="124" spans="1:22" ht="18" customHeight="1">
      <c r="A124" t="s">
        <v>99</v>
      </c>
      <c r="B124" t="s">
        <v>100</v>
      </c>
      <c r="C124">
        <v>1</v>
      </c>
      <c r="D124" t="s">
        <v>72</v>
      </c>
      <c r="E124" s="6">
        <f t="shared" si="8"/>
        <v>2</v>
      </c>
      <c r="F124" s="6">
        <f t="shared" si="9"/>
        <v>5</v>
      </c>
      <c r="G124" s="6">
        <f>ROUND(Catalogue!G10*SQRT((1+Paramètres!$B$4*(C124-1)+Paramètres!$B$5*(C124-1)^2)),0)</f>
        <v>0</v>
      </c>
      <c r="H124" s="6">
        <f>ROUND(Catalogue!H10*SQRT((1+Paramètres!$B$4*(C124-1)+Paramètres!$B$5*(C124-1)^2)),0)</f>
        <v>0</v>
      </c>
      <c r="I124" s="6">
        <v>2</v>
      </c>
      <c r="J124" s="6">
        <v>1</v>
      </c>
      <c r="K124" s="7">
        <v>1</v>
      </c>
      <c r="L124" s="9">
        <f t="shared" si="10"/>
        <v>3.5</v>
      </c>
      <c r="M124">
        <v>1</v>
      </c>
      <c r="N124">
        <v>4</v>
      </c>
      <c r="O124">
        <v>1</v>
      </c>
      <c r="P124" s="13" t="str">
        <f t="shared" si="11"/>
        <v>1d4 + 1</v>
      </c>
      <c r="Q124">
        <f>ROUND(INDEX(Catalogue!E$4:E$85,MATCH(A124,Catalogue!A$4:A$85,0))*(1+Paramètres!$B$4*(C124-1)+Paramètres!$B$5*(C124-1)^2),0)</f>
        <v>2</v>
      </c>
      <c r="R124">
        <f>ROUND(INDEX(Catalogue!F$4:F$85,MATCH(A124,Catalogue!A$4:A$85,0))*(1+Paramètres!$B$4*(C124-1)+Paramètres!$B$5*(C124-1)^2),0)</f>
        <v>5</v>
      </c>
      <c r="S124">
        <f t="shared" si="12"/>
        <v>0</v>
      </c>
      <c r="T124" t="str">
        <f t="shared" si="13"/>
        <v>OK</v>
      </c>
      <c r="U124" s="25">
        <f t="shared" si="14"/>
        <v>3.5</v>
      </c>
      <c r="V124" t="str">
        <f t="shared" si="15"/>
        <v>OK</v>
      </c>
    </row>
    <row r="125" spans="1:22" ht="18" customHeight="1">
      <c r="A125" t="s">
        <v>99</v>
      </c>
      <c r="B125" t="s">
        <v>100</v>
      </c>
      <c r="C125">
        <v>2</v>
      </c>
      <c r="D125" t="s">
        <v>72</v>
      </c>
      <c r="E125" s="6">
        <f t="shared" si="8"/>
        <v>2</v>
      </c>
      <c r="F125" s="6">
        <f t="shared" si="9"/>
        <v>5</v>
      </c>
      <c r="G125" s="6">
        <f>ROUND(Catalogue!G10*SQRT((1+Paramètres!$B$4*(C125-1)+Paramètres!$B$5*(C125-1)^2)),0)</f>
        <v>0</v>
      </c>
      <c r="H125" s="6">
        <f>ROUND(Catalogue!H10*SQRT((1+Paramètres!$B$4*(C125-1)+Paramètres!$B$5*(C125-1)^2)),0)</f>
        <v>0</v>
      </c>
      <c r="I125" s="6">
        <v>2</v>
      </c>
      <c r="J125" s="6">
        <v>1</v>
      </c>
      <c r="K125" s="7">
        <v>1</v>
      </c>
      <c r="L125" s="9">
        <f t="shared" si="10"/>
        <v>3.5</v>
      </c>
      <c r="M125">
        <v>1</v>
      </c>
      <c r="N125">
        <v>4</v>
      </c>
      <c r="O125">
        <v>1</v>
      </c>
      <c r="P125" s="13" t="str">
        <f t="shared" si="11"/>
        <v>1d4 + 1</v>
      </c>
      <c r="Q125">
        <f>ROUND(INDEX(Catalogue!E$4:E$85,MATCH(A125,Catalogue!A$4:A$85,0))*(1+Paramètres!$B$4*(C125-1)+Paramètres!$B$5*(C125-1)^2),0)</f>
        <v>2</v>
      </c>
      <c r="R125">
        <f>ROUND(INDEX(Catalogue!F$4:F$85,MATCH(A125,Catalogue!A$4:A$85,0))*(1+Paramètres!$B$4*(C125-1)+Paramètres!$B$5*(C125-1)^2),0)</f>
        <v>6</v>
      </c>
      <c r="S125">
        <f t="shared" si="12"/>
        <v>-0.5</v>
      </c>
      <c r="T125" t="str">
        <f t="shared" si="13"/>
        <v>OK</v>
      </c>
      <c r="U125" s="25">
        <f t="shared" si="14"/>
        <v>3.5</v>
      </c>
      <c r="V125" t="str">
        <f t="shared" si="15"/>
        <v>OK</v>
      </c>
    </row>
    <row r="126" spans="1:22" ht="18" customHeight="1">
      <c r="A126" t="s">
        <v>99</v>
      </c>
      <c r="B126" t="s">
        <v>100</v>
      </c>
      <c r="C126">
        <v>3</v>
      </c>
      <c r="D126" t="s">
        <v>72</v>
      </c>
      <c r="E126" s="6">
        <f t="shared" si="8"/>
        <v>3</v>
      </c>
      <c r="F126" s="6">
        <f t="shared" si="9"/>
        <v>6</v>
      </c>
      <c r="G126" s="6">
        <f>ROUND(Catalogue!G10*SQRT((1+Paramètres!$B$4*(C126-1)+Paramètres!$B$5*(C126-1)^2)),0)</f>
        <v>0</v>
      </c>
      <c r="H126" s="6">
        <f>ROUND(Catalogue!H10*SQRT((1+Paramètres!$B$4*(C126-1)+Paramètres!$B$5*(C126-1)^2)),0)</f>
        <v>0</v>
      </c>
      <c r="I126" s="6">
        <v>2</v>
      </c>
      <c r="J126" s="6">
        <v>1</v>
      </c>
      <c r="K126" s="7">
        <v>1</v>
      </c>
      <c r="L126" s="9">
        <f t="shared" si="10"/>
        <v>4.5</v>
      </c>
      <c r="M126">
        <v>1</v>
      </c>
      <c r="N126">
        <v>4</v>
      </c>
      <c r="O126">
        <v>2</v>
      </c>
      <c r="P126" s="13" t="str">
        <f t="shared" si="11"/>
        <v>1d4 + 2</v>
      </c>
      <c r="Q126">
        <f>ROUND(INDEX(Catalogue!E$4:E$85,MATCH(A126,Catalogue!A$4:A$85,0))*(1+Paramètres!$B$4*(C126-1)+Paramètres!$B$5*(C126-1)^2),0)</f>
        <v>3</v>
      </c>
      <c r="R126">
        <f>ROUND(INDEX(Catalogue!F$4:F$85,MATCH(A126,Catalogue!A$4:A$85,0))*(1+Paramètres!$B$4*(C126-1)+Paramètres!$B$5*(C126-1)^2),0)</f>
        <v>6</v>
      </c>
      <c r="S126">
        <f t="shared" si="12"/>
        <v>0</v>
      </c>
      <c r="T126" t="str">
        <f t="shared" si="13"/>
        <v>OK</v>
      </c>
      <c r="U126" s="25">
        <f t="shared" si="14"/>
        <v>4.5</v>
      </c>
      <c r="V126" t="str">
        <f t="shared" si="15"/>
        <v>OK</v>
      </c>
    </row>
    <row r="127" spans="1:22" ht="18" customHeight="1">
      <c r="A127" t="s">
        <v>99</v>
      </c>
      <c r="B127" t="s">
        <v>100</v>
      </c>
      <c r="C127">
        <v>4</v>
      </c>
      <c r="D127" t="s">
        <v>72</v>
      </c>
      <c r="E127" s="6">
        <f t="shared" si="8"/>
        <v>3</v>
      </c>
      <c r="F127" s="6">
        <f t="shared" si="9"/>
        <v>6</v>
      </c>
      <c r="G127" s="6">
        <f>ROUND(Catalogue!G10*SQRT((1+Paramètres!$B$4*(C127-1)+Paramètres!$B$5*(C127-1)^2)),0)</f>
        <v>0</v>
      </c>
      <c r="H127" s="6">
        <f>ROUND(Catalogue!H10*SQRT((1+Paramètres!$B$4*(C127-1)+Paramètres!$B$5*(C127-1)^2)),0)</f>
        <v>0</v>
      </c>
      <c r="I127" s="6">
        <v>2</v>
      </c>
      <c r="J127" s="6">
        <v>1</v>
      </c>
      <c r="K127" s="7">
        <v>1</v>
      </c>
      <c r="L127" s="9">
        <f t="shared" si="10"/>
        <v>4.5</v>
      </c>
      <c r="M127">
        <v>1</v>
      </c>
      <c r="N127">
        <v>4</v>
      </c>
      <c r="O127">
        <v>2</v>
      </c>
      <c r="P127" s="13" t="str">
        <f t="shared" si="11"/>
        <v>1d4 + 2</v>
      </c>
      <c r="Q127">
        <f>ROUND(INDEX(Catalogue!E$4:E$85,MATCH(A127,Catalogue!A$4:A$85,0))*(1+Paramètres!$B$4*(C127-1)+Paramètres!$B$5*(C127-1)^2),0)</f>
        <v>3</v>
      </c>
      <c r="R127">
        <f>ROUND(INDEX(Catalogue!F$4:F$85,MATCH(A127,Catalogue!A$4:A$85,0))*(1+Paramètres!$B$4*(C127-1)+Paramètres!$B$5*(C127-1)^2),0)</f>
        <v>7</v>
      </c>
      <c r="S127">
        <f t="shared" si="12"/>
        <v>-0.5</v>
      </c>
      <c r="T127" t="str">
        <f t="shared" si="13"/>
        <v>OK</v>
      </c>
      <c r="U127" s="25">
        <f t="shared" si="14"/>
        <v>4.5</v>
      </c>
      <c r="V127" t="str">
        <f t="shared" si="15"/>
        <v>OK</v>
      </c>
    </row>
    <row r="128" spans="1:22" ht="18" customHeight="1">
      <c r="A128" t="s">
        <v>99</v>
      </c>
      <c r="B128" t="s">
        <v>100</v>
      </c>
      <c r="C128">
        <v>5</v>
      </c>
      <c r="D128" t="s">
        <v>72</v>
      </c>
      <c r="E128" s="6">
        <f t="shared" si="8"/>
        <v>3</v>
      </c>
      <c r="F128" s="6">
        <f t="shared" si="9"/>
        <v>8</v>
      </c>
      <c r="G128" s="6">
        <f>ROUND(Catalogue!G10*SQRT((1+Paramètres!$B$4*(C128-1)+Paramètres!$B$5*(C128-1)^2)),0)</f>
        <v>0</v>
      </c>
      <c r="H128" s="6">
        <f>ROUND(Catalogue!H10*SQRT((1+Paramètres!$B$4*(C128-1)+Paramètres!$B$5*(C128-1)^2)),0)</f>
        <v>0</v>
      </c>
      <c r="I128" s="6">
        <v>2</v>
      </c>
      <c r="J128" s="6">
        <v>1</v>
      </c>
      <c r="K128" s="7">
        <v>1</v>
      </c>
      <c r="L128" s="9">
        <f t="shared" si="10"/>
        <v>5.5</v>
      </c>
      <c r="M128">
        <v>1</v>
      </c>
      <c r="N128">
        <v>6</v>
      </c>
      <c r="O128">
        <v>2</v>
      </c>
      <c r="P128" s="13" t="str">
        <f t="shared" si="11"/>
        <v>1d6 + 2</v>
      </c>
      <c r="Q128">
        <f>ROUND(INDEX(Catalogue!E$4:E$85,MATCH(A128,Catalogue!A$4:A$85,0))*(1+Paramètres!$B$4*(C128-1)+Paramètres!$B$5*(C128-1)^2),0)</f>
        <v>3</v>
      </c>
      <c r="R128">
        <f>ROUND(INDEX(Catalogue!F$4:F$85,MATCH(A128,Catalogue!A$4:A$85,0))*(1+Paramètres!$B$4*(C128-1)+Paramètres!$B$5*(C128-1)^2),0)</f>
        <v>8</v>
      </c>
      <c r="S128">
        <f t="shared" si="12"/>
        <v>0</v>
      </c>
      <c r="T128" t="str">
        <f t="shared" si="13"/>
        <v>OK</v>
      </c>
      <c r="U128" s="25">
        <f t="shared" si="14"/>
        <v>5.5</v>
      </c>
      <c r="V128" t="str">
        <f t="shared" si="15"/>
        <v>OK</v>
      </c>
    </row>
    <row r="129" spans="1:22" ht="18" customHeight="1">
      <c r="A129" t="s">
        <v>99</v>
      </c>
      <c r="B129" t="s">
        <v>100</v>
      </c>
      <c r="C129">
        <v>6</v>
      </c>
      <c r="D129" t="s">
        <v>72</v>
      </c>
      <c r="E129" s="6">
        <f t="shared" si="8"/>
        <v>4</v>
      </c>
      <c r="F129" s="6">
        <f t="shared" si="9"/>
        <v>10</v>
      </c>
      <c r="G129" s="6">
        <f>ROUND(Catalogue!G10*SQRT((1+Paramètres!$B$4*(C129-1)+Paramètres!$B$5*(C129-1)^2)),0)</f>
        <v>0</v>
      </c>
      <c r="H129" s="6">
        <f>ROUND(Catalogue!H10*SQRT((1+Paramètres!$B$4*(C129-1)+Paramètres!$B$5*(C129-1)^2)),0)</f>
        <v>0</v>
      </c>
      <c r="I129" s="6">
        <v>2</v>
      </c>
      <c r="J129" s="6">
        <v>1</v>
      </c>
      <c r="K129" s="7">
        <v>1</v>
      </c>
      <c r="L129" s="9">
        <f t="shared" si="10"/>
        <v>7</v>
      </c>
      <c r="M129">
        <v>2</v>
      </c>
      <c r="N129">
        <v>4</v>
      </c>
      <c r="O129">
        <v>2</v>
      </c>
      <c r="P129" s="13" t="str">
        <f t="shared" si="11"/>
        <v>2d4 + 2</v>
      </c>
      <c r="Q129">
        <f>ROUND(INDEX(Catalogue!E$4:E$85,MATCH(A129,Catalogue!A$4:A$85,0))*(1+Paramètres!$B$4*(C129-1)+Paramètres!$B$5*(C129-1)^2),0)</f>
        <v>4</v>
      </c>
      <c r="R129">
        <f>ROUND(INDEX(Catalogue!F$4:F$85,MATCH(A129,Catalogue!A$4:A$85,0))*(1+Paramètres!$B$4*(C129-1)+Paramètres!$B$5*(C129-1)^2),0)</f>
        <v>10</v>
      </c>
      <c r="S129">
        <f t="shared" si="12"/>
        <v>0</v>
      </c>
      <c r="T129" t="str">
        <f t="shared" si="13"/>
        <v>OK</v>
      </c>
      <c r="U129" s="25">
        <f t="shared" si="14"/>
        <v>7</v>
      </c>
      <c r="V129" t="str">
        <f t="shared" si="15"/>
        <v>OK</v>
      </c>
    </row>
    <row r="130" spans="1:22" ht="18" customHeight="1">
      <c r="A130" t="s">
        <v>99</v>
      </c>
      <c r="B130" t="s">
        <v>100</v>
      </c>
      <c r="C130">
        <v>7</v>
      </c>
      <c r="D130" t="s">
        <v>72</v>
      </c>
      <c r="E130" s="6">
        <f t="shared" si="8"/>
        <v>4</v>
      </c>
      <c r="F130" s="6">
        <f t="shared" si="9"/>
        <v>11</v>
      </c>
      <c r="G130" s="6">
        <f>ROUND(Catalogue!G10*SQRT((1+Paramètres!$B$4*(C130-1)+Paramètres!$B$5*(C130-1)^2)),0)</f>
        <v>0</v>
      </c>
      <c r="H130" s="6">
        <f>ROUND(Catalogue!H10*SQRT((1+Paramètres!$B$4*(C130-1)+Paramètres!$B$5*(C130-1)^2)),0)</f>
        <v>0</v>
      </c>
      <c r="I130" s="6">
        <v>2</v>
      </c>
      <c r="J130" s="6">
        <v>1</v>
      </c>
      <c r="K130" s="7">
        <v>1</v>
      </c>
      <c r="L130" s="9">
        <f t="shared" si="10"/>
        <v>7.5</v>
      </c>
      <c r="M130">
        <v>1</v>
      </c>
      <c r="N130">
        <v>8</v>
      </c>
      <c r="O130">
        <v>3</v>
      </c>
      <c r="P130" s="13" t="str">
        <f t="shared" si="11"/>
        <v>1d8 + 3</v>
      </c>
      <c r="Q130">
        <f>ROUND(INDEX(Catalogue!E$4:E$85,MATCH(A130,Catalogue!A$4:A$85,0))*(1+Paramètres!$B$4*(C130-1)+Paramètres!$B$5*(C130-1)^2),0)</f>
        <v>4</v>
      </c>
      <c r="R130">
        <f>ROUND(INDEX(Catalogue!F$4:F$85,MATCH(A130,Catalogue!A$4:A$85,0))*(1+Paramètres!$B$4*(C130-1)+Paramètres!$B$5*(C130-1)^2),0)</f>
        <v>11</v>
      </c>
      <c r="S130">
        <f t="shared" si="12"/>
        <v>0</v>
      </c>
      <c r="T130" t="str">
        <f t="shared" si="13"/>
        <v>OK</v>
      </c>
      <c r="U130" s="25">
        <f t="shared" si="14"/>
        <v>7.5</v>
      </c>
      <c r="V130" t="str">
        <f t="shared" si="15"/>
        <v>OK</v>
      </c>
    </row>
    <row r="131" spans="1:22" ht="18" customHeight="1">
      <c r="A131" t="s">
        <v>99</v>
      </c>
      <c r="B131" t="s">
        <v>100</v>
      </c>
      <c r="C131">
        <v>8</v>
      </c>
      <c r="D131" t="s">
        <v>72</v>
      </c>
      <c r="E131" s="6">
        <f t="shared" si="8"/>
        <v>4</v>
      </c>
      <c r="F131" s="6">
        <f t="shared" si="9"/>
        <v>13</v>
      </c>
      <c r="G131" s="6">
        <f>ROUND(Catalogue!G10*SQRT((1+Paramètres!$B$4*(C131-1)+Paramètres!$B$5*(C131-1)^2)),0)</f>
        <v>0</v>
      </c>
      <c r="H131" s="6">
        <f>ROUND(Catalogue!H10*SQRT((1+Paramètres!$B$4*(C131-1)+Paramètres!$B$5*(C131-1)^2)),0)</f>
        <v>0</v>
      </c>
      <c r="I131" s="6">
        <v>2</v>
      </c>
      <c r="J131" s="6">
        <v>1</v>
      </c>
      <c r="K131" s="7">
        <v>1</v>
      </c>
      <c r="L131" s="9">
        <f t="shared" si="10"/>
        <v>8.5</v>
      </c>
      <c r="M131">
        <v>3</v>
      </c>
      <c r="N131">
        <v>4</v>
      </c>
      <c r="O131">
        <v>1</v>
      </c>
      <c r="P131" s="13" t="str">
        <f t="shared" si="11"/>
        <v>3d4 + 1</v>
      </c>
      <c r="Q131">
        <f>ROUND(INDEX(Catalogue!E$4:E$85,MATCH(A131,Catalogue!A$4:A$85,0))*(1+Paramètres!$B$4*(C131-1)+Paramètres!$B$5*(C131-1)^2),0)</f>
        <v>5</v>
      </c>
      <c r="R131">
        <f>ROUND(INDEX(Catalogue!F$4:F$85,MATCH(A131,Catalogue!A$4:A$85,0))*(1+Paramètres!$B$4*(C131-1)+Paramètres!$B$5*(C131-1)^2),0)</f>
        <v>13</v>
      </c>
      <c r="S131">
        <f t="shared" si="12"/>
        <v>-0.5</v>
      </c>
      <c r="T131" t="str">
        <f t="shared" si="13"/>
        <v>OK</v>
      </c>
      <c r="U131" s="25">
        <f t="shared" si="14"/>
        <v>8.5</v>
      </c>
      <c r="V131" t="str">
        <f t="shared" si="15"/>
        <v>OK</v>
      </c>
    </row>
    <row r="132" spans="1:22" ht="18" customHeight="1">
      <c r="A132" t="s">
        <v>99</v>
      </c>
      <c r="B132" t="s">
        <v>100</v>
      </c>
      <c r="C132">
        <v>9</v>
      </c>
      <c r="D132" t="s">
        <v>72</v>
      </c>
      <c r="E132" s="6">
        <f t="shared" ref="E132:E195" si="16">IF(M132=0,0,M132+O132)</f>
        <v>6</v>
      </c>
      <c r="F132" s="6">
        <f t="shared" ref="F132:F195" si="17">IF(M132=0,0,M132*N132+O132)</f>
        <v>15</v>
      </c>
      <c r="G132" s="6">
        <f>ROUND(Catalogue!G10*SQRT((1+Paramètres!$B$4*(C132-1)+Paramètres!$B$5*(C132-1)^2)),0)</f>
        <v>0</v>
      </c>
      <c r="H132" s="6">
        <f>ROUND(Catalogue!H10*SQRT((1+Paramètres!$B$4*(C132-1)+Paramètres!$B$5*(C132-1)^2)),0)</f>
        <v>0</v>
      </c>
      <c r="I132" s="6">
        <v>2</v>
      </c>
      <c r="J132" s="6">
        <v>1</v>
      </c>
      <c r="K132" s="7">
        <v>1</v>
      </c>
      <c r="L132" s="9">
        <f t="shared" ref="L132:L195" si="18">IF(M132=0,0,(E132+F132)/2)</f>
        <v>10.5</v>
      </c>
      <c r="M132">
        <v>3</v>
      </c>
      <c r="N132">
        <v>4</v>
      </c>
      <c r="O132">
        <v>3</v>
      </c>
      <c r="P132" s="13" t="str">
        <f t="shared" ref="P132:P195" si="19">IF(M132=0,"—",M132&amp;"d"&amp;N132&amp;IF(O132=0,""," + "&amp;O132))</f>
        <v>3d4 + 3</v>
      </c>
      <c r="Q132">
        <f>ROUND(INDEX(Catalogue!E$4:E$85,MATCH(A132,Catalogue!A$4:A$85,0))*(1+Paramètres!$B$4*(C132-1)+Paramètres!$B$5*(C132-1)^2),0)</f>
        <v>6</v>
      </c>
      <c r="R132">
        <f>ROUND(INDEX(Catalogue!F$4:F$85,MATCH(A132,Catalogue!A$4:A$85,0))*(1+Paramètres!$B$4*(C132-1)+Paramètres!$B$5*(C132-1)^2),0)</f>
        <v>15</v>
      </c>
      <c r="S132">
        <f t="shared" ref="S132:S195" si="20">L132-AVERAGE(Q132:R132)</f>
        <v>0</v>
      </c>
      <c r="T132" t="str">
        <f t="shared" ref="T132:T195" si="21">IF(M132=0,IF(AND(N132=0,O132=0,E132=0,F132=0),"OK","ERREUR"),IF(AND(M132&gt;=1,M132&lt;=32,OR(N132=4,N132=6,N132=8,N132=10,N132=12,N132=20),O132&gt;=0,E132=M132+O132,F132=M132*N132+O132),"OK","ERREUR"))</f>
        <v>OK</v>
      </c>
      <c r="U132" s="25">
        <f t="shared" ref="U132:U195" si="22">IF(M132&gt;0,M132*(N132+1)/2+O132,0)</f>
        <v>10.5</v>
      </c>
      <c r="V132" t="str">
        <f t="shared" ref="V132:V195" si="23">IF(ABS(L132-U132)&lt;0.001,"OK","ERREUR")</f>
        <v>OK</v>
      </c>
    </row>
    <row r="133" spans="1:22" ht="18" customHeight="1">
      <c r="A133" t="s">
        <v>99</v>
      </c>
      <c r="B133" t="s">
        <v>100</v>
      </c>
      <c r="C133">
        <v>10</v>
      </c>
      <c r="D133" t="s">
        <v>72</v>
      </c>
      <c r="E133" s="6">
        <f t="shared" si="16"/>
        <v>7</v>
      </c>
      <c r="F133" s="6">
        <f t="shared" si="17"/>
        <v>16</v>
      </c>
      <c r="G133" s="6">
        <f>ROUND(Catalogue!G10*SQRT((1+Paramètres!$B$4*(C133-1)+Paramètres!$B$5*(C133-1)^2)),0)</f>
        <v>0</v>
      </c>
      <c r="H133" s="6">
        <f>ROUND(Catalogue!H10*SQRT((1+Paramètres!$B$4*(C133-1)+Paramètres!$B$5*(C133-1)^2)),0)</f>
        <v>0</v>
      </c>
      <c r="I133" s="6">
        <v>2</v>
      </c>
      <c r="J133" s="6">
        <v>1</v>
      </c>
      <c r="K133" s="7">
        <v>1</v>
      </c>
      <c r="L133" s="9">
        <f t="shared" si="18"/>
        <v>11.5</v>
      </c>
      <c r="M133">
        <v>3</v>
      </c>
      <c r="N133">
        <v>4</v>
      </c>
      <c r="O133">
        <v>4</v>
      </c>
      <c r="P133" s="13" t="str">
        <f t="shared" si="19"/>
        <v>3d4 + 4</v>
      </c>
      <c r="Q133">
        <f>ROUND(INDEX(Catalogue!E$4:E$85,MATCH(A133,Catalogue!A$4:A$85,0))*(1+Paramètres!$B$4*(C133-1)+Paramètres!$B$5*(C133-1)^2),0)</f>
        <v>7</v>
      </c>
      <c r="R133">
        <f>ROUND(INDEX(Catalogue!F$4:F$85,MATCH(A133,Catalogue!A$4:A$85,0))*(1+Paramètres!$B$4*(C133-1)+Paramètres!$B$5*(C133-1)^2),0)</f>
        <v>16</v>
      </c>
      <c r="S133">
        <f t="shared" si="20"/>
        <v>0</v>
      </c>
      <c r="T133" t="str">
        <f t="shared" si="21"/>
        <v>OK</v>
      </c>
      <c r="U133" s="25">
        <f t="shared" si="22"/>
        <v>11.5</v>
      </c>
      <c r="V133" t="str">
        <f t="shared" si="23"/>
        <v>OK</v>
      </c>
    </row>
    <row r="134" spans="1:22" ht="18" customHeight="1">
      <c r="A134" t="s">
        <v>99</v>
      </c>
      <c r="B134" t="s">
        <v>100</v>
      </c>
      <c r="C134">
        <v>11</v>
      </c>
      <c r="D134" t="s">
        <v>72</v>
      </c>
      <c r="E134" s="6">
        <f t="shared" si="16"/>
        <v>6</v>
      </c>
      <c r="F134" s="6">
        <f t="shared" si="17"/>
        <v>20</v>
      </c>
      <c r="G134" s="6">
        <f>ROUND(Catalogue!G10*SQRT((1+Paramètres!$B$4*(C134-1)+Paramètres!$B$5*(C134-1)^2)),0)</f>
        <v>0</v>
      </c>
      <c r="H134" s="6">
        <f>ROUND(Catalogue!H10*SQRT((1+Paramètres!$B$4*(C134-1)+Paramètres!$B$5*(C134-1)^2)),0)</f>
        <v>0</v>
      </c>
      <c r="I134" s="6">
        <v>2</v>
      </c>
      <c r="J134" s="6">
        <v>1</v>
      </c>
      <c r="K134" s="7">
        <v>1</v>
      </c>
      <c r="L134" s="9">
        <f t="shared" si="18"/>
        <v>13</v>
      </c>
      <c r="M134">
        <v>2</v>
      </c>
      <c r="N134">
        <v>8</v>
      </c>
      <c r="O134">
        <v>4</v>
      </c>
      <c r="P134" s="13" t="str">
        <f t="shared" si="19"/>
        <v>2d8 + 4</v>
      </c>
      <c r="Q134">
        <f>ROUND(INDEX(Catalogue!E$4:E$85,MATCH(A134,Catalogue!A$4:A$85,0))*(1+Paramètres!$B$4*(C134-1)+Paramètres!$B$5*(C134-1)^2),0)</f>
        <v>7</v>
      </c>
      <c r="R134">
        <f>ROUND(INDEX(Catalogue!F$4:F$85,MATCH(A134,Catalogue!A$4:A$85,0))*(1+Paramètres!$B$4*(C134-1)+Paramètres!$B$5*(C134-1)^2),0)</f>
        <v>19</v>
      </c>
      <c r="S134">
        <f t="shared" si="20"/>
        <v>0</v>
      </c>
      <c r="T134" t="str">
        <f t="shared" si="21"/>
        <v>OK</v>
      </c>
      <c r="U134" s="25">
        <f t="shared" si="22"/>
        <v>13</v>
      </c>
      <c r="V134" t="str">
        <f t="shared" si="23"/>
        <v>OK</v>
      </c>
    </row>
    <row r="135" spans="1:22" ht="18" customHeight="1">
      <c r="A135" t="s">
        <v>99</v>
      </c>
      <c r="B135" t="s">
        <v>100</v>
      </c>
      <c r="C135">
        <v>12</v>
      </c>
      <c r="D135" t="s">
        <v>72</v>
      </c>
      <c r="E135" s="6">
        <f t="shared" si="16"/>
        <v>7</v>
      </c>
      <c r="F135" s="6">
        <f t="shared" si="17"/>
        <v>21</v>
      </c>
      <c r="G135" s="6">
        <f>ROUND(Catalogue!G10*SQRT((1+Paramètres!$B$4*(C135-1)+Paramètres!$B$5*(C135-1)^2)),0)</f>
        <v>0</v>
      </c>
      <c r="H135" s="6">
        <f>ROUND(Catalogue!H10*SQRT((1+Paramètres!$B$4*(C135-1)+Paramètres!$B$5*(C135-1)^2)),0)</f>
        <v>0</v>
      </c>
      <c r="I135" s="6">
        <v>2</v>
      </c>
      <c r="J135" s="6">
        <v>1</v>
      </c>
      <c r="K135" s="7">
        <v>1</v>
      </c>
      <c r="L135" s="9">
        <f t="shared" si="18"/>
        <v>14</v>
      </c>
      <c r="M135">
        <v>2</v>
      </c>
      <c r="N135">
        <v>8</v>
      </c>
      <c r="O135">
        <v>5</v>
      </c>
      <c r="P135" s="13" t="str">
        <f t="shared" si="19"/>
        <v>2d8 + 5</v>
      </c>
      <c r="Q135">
        <f>ROUND(INDEX(Catalogue!E$4:E$85,MATCH(A135,Catalogue!A$4:A$85,0))*(1+Paramètres!$B$4*(C135-1)+Paramètres!$B$5*(C135-1)^2),0)</f>
        <v>8</v>
      </c>
      <c r="R135">
        <f>ROUND(INDEX(Catalogue!F$4:F$85,MATCH(A135,Catalogue!A$4:A$85,0))*(1+Paramètres!$B$4*(C135-1)+Paramètres!$B$5*(C135-1)^2),0)</f>
        <v>21</v>
      </c>
      <c r="S135">
        <f t="shared" si="20"/>
        <v>-0.5</v>
      </c>
      <c r="T135" t="str">
        <f t="shared" si="21"/>
        <v>OK</v>
      </c>
      <c r="U135" s="25">
        <f t="shared" si="22"/>
        <v>14</v>
      </c>
      <c r="V135" t="str">
        <f t="shared" si="23"/>
        <v>OK</v>
      </c>
    </row>
    <row r="136" spans="1:22" ht="18" customHeight="1">
      <c r="A136" t="s">
        <v>99</v>
      </c>
      <c r="B136" t="s">
        <v>100</v>
      </c>
      <c r="C136">
        <v>13</v>
      </c>
      <c r="D136" t="s">
        <v>72</v>
      </c>
      <c r="E136" s="6">
        <f t="shared" si="16"/>
        <v>9</v>
      </c>
      <c r="F136" s="6">
        <f t="shared" si="17"/>
        <v>23</v>
      </c>
      <c r="G136" s="6">
        <f>ROUND(Catalogue!G10*SQRT((1+Paramètres!$B$4*(C136-1)+Paramètres!$B$5*(C136-1)^2)),0)</f>
        <v>0</v>
      </c>
      <c r="H136" s="6">
        <f>ROUND(Catalogue!H10*SQRT((1+Paramètres!$B$4*(C136-1)+Paramètres!$B$5*(C136-1)^2)),0)</f>
        <v>0</v>
      </c>
      <c r="I136" s="6">
        <v>2</v>
      </c>
      <c r="J136" s="6">
        <v>1</v>
      </c>
      <c r="K136" s="7">
        <v>1</v>
      </c>
      <c r="L136" s="9">
        <f t="shared" si="18"/>
        <v>16</v>
      </c>
      <c r="M136">
        <v>2</v>
      </c>
      <c r="N136">
        <v>8</v>
      </c>
      <c r="O136">
        <v>7</v>
      </c>
      <c r="P136" s="13" t="str">
        <f t="shared" si="19"/>
        <v>2d8 + 7</v>
      </c>
      <c r="Q136">
        <f>ROUND(INDEX(Catalogue!E$4:E$85,MATCH(A136,Catalogue!A$4:A$85,0))*(1+Paramètres!$B$4*(C136-1)+Paramètres!$B$5*(C136-1)^2),0)</f>
        <v>9</v>
      </c>
      <c r="R136">
        <f>ROUND(INDEX(Catalogue!F$4:F$85,MATCH(A136,Catalogue!A$4:A$85,0))*(1+Paramètres!$B$4*(C136-1)+Paramètres!$B$5*(C136-1)^2),0)</f>
        <v>23</v>
      </c>
      <c r="S136">
        <f t="shared" si="20"/>
        <v>0</v>
      </c>
      <c r="T136" t="str">
        <f t="shared" si="21"/>
        <v>OK</v>
      </c>
      <c r="U136" s="25">
        <f t="shared" si="22"/>
        <v>16</v>
      </c>
      <c r="V136" t="str">
        <f t="shared" si="23"/>
        <v>OK</v>
      </c>
    </row>
    <row r="137" spans="1:22" ht="18" customHeight="1">
      <c r="A137" t="s">
        <v>99</v>
      </c>
      <c r="B137" t="s">
        <v>100</v>
      </c>
      <c r="C137">
        <v>14</v>
      </c>
      <c r="D137" t="s">
        <v>72</v>
      </c>
      <c r="E137" s="6">
        <f t="shared" si="16"/>
        <v>11</v>
      </c>
      <c r="F137" s="6">
        <f t="shared" si="17"/>
        <v>26</v>
      </c>
      <c r="G137" s="6">
        <f>ROUND(Catalogue!G10*SQRT((1+Paramètres!$B$4*(C137-1)+Paramètres!$B$5*(C137-1)^2)),0)</f>
        <v>0</v>
      </c>
      <c r="H137" s="6">
        <f>ROUND(Catalogue!H10*SQRT((1+Paramètres!$B$4*(C137-1)+Paramètres!$B$5*(C137-1)^2)),0)</f>
        <v>0</v>
      </c>
      <c r="I137" s="6">
        <v>2</v>
      </c>
      <c r="J137" s="6">
        <v>1</v>
      </c>
      <c r="K137" s="7">
        <v>1</v>
      </c>
      <c r="L137" s="9">
        <f t="shared" si="18"/>
        <v>18.5</v>
      </c>
      <c r="M137">
        <v>3</v>
      </c>
      <c r="N137">
        <v>6</v>
      </c>
      <c r="O137">
        <v>8</v>
      </c>
      <c r="P137" s="13" t="str">
        <f t="shared" si="19"/>
        <v>3d6 + 8</v>
      </c>
      <c r="Q137">
        <f>ROUND(INDEX(Catalogue!E$4:E$85,MATCH(A137,Catalogue!A$4:A$85,0))*(1+Paramètres!$B$4*(C137-1)+Paramètres!$B$5*(C137-1)^2),0)</f>
        <v>10</v>
      </c>
      <c r="R137">
        <f>ROUND(INDEX(Catalogue!F$4:F$85,MATCH(A137,Catalogue!A$4:A$85,0))*(1+Paramètres!$B$4*(C137-1)+Paramètres!$B$5*(C137-1)^2),0)</f>
        <v>26</v>
      </c>
      <c r="S137">
        <f t="shared" si="20"/>
        <v>0.5</v>
      </c>
      <c r="T137" t="str">
        <f t="shared" si="21"/>
        <v>OK</v>
      </c>
      <c r="U137" s="25">
        <f t="shared" si="22"/>
        <v>18.5</v>
      </c>
      <c r="V137" t="str">
        <f t="shared" si="23"/>
        <v>OK</v>
      </c>
    </row>
    <row r="138" spans="1:22" ht="18" customHeight="1">
      <c r="A138" t="s">
        <v>99</v>
      </c>
      <c r="B138" t="s">
        <v>100</v>
      </c>
      <c r="C138">
        <v>15</v>
      </c>
      <c r="D138" t="s">
        <v>72</v>
      </c>
      <c r="E138" s="6">
        <f t="shared" si="16"/>
        <v>10</v>
      </c>
      <c r="F138" s="6">
        <f t="shared" si="17"/>
        <v>28</v>
      </c>
      <c r="G138" s="6">
        <f>ROUND(Catalogue!G10*SQRT((1+Paramètres!$B$4*(C138-1)+Paramètres!$B$5*(C138-1)^2)),0)</f>
        <v>0</v>
      </c>
      <c r="H138" s="6">
        <f>ROUND(Catalogue!H10*SQRT((1+Paramètres!$B$4*(C138-1)+Paramètres!$B$5*(C138-1)^2)),0)</f>
        <v>0</v>
      </c>
      <c r="I138" s="6">
        <v>2</v>
      </c>
      <c r="J138" s="6">
        <v>1</v>
      </c>
      <c r="K138" s="7">
        <v>1</v>
      </c>
      <c r="L138" s="9">
        <f t="shared" si="18"/>
        <v>19</v>
      </c>
      <c r="M138">
        <v>2</v>
      </c>
      <c r="N138">
        <v>10</v>
      </c>
      <c r="O138">
        <v>8</v>
      </c>
      <c r="P138" s="13" t="str">
        <f t="shared" si="19"/>
        <v>2d10 + 8</v>
      </c>
      <c r="Q138">
        <f>ROUND(INDEX(Catalogue!E$4:E$85,MATCH(A138,Catalogue!A$4:A$85,0))*(1+Paramètres!$B$4*(C138-1)+Paramètres!$B$5*(C138-1)^2),0)</f>
        <v>11</v>
      </c>
      <c r="R138">
        <f>ROUND(INDEX(Catalogue!F$4:F$85,MATCH(A138,Catalogue!A$4:A$85,0))*(1+Paramètres!$B$4*(C138-1)+Paramètres!$B$5*(C138-1)^2),0)</f>
        <v>28</v>
      </c>
      <c r="S138">
        <f t="shared" si="20"/>
        <v>-0.5</v>
      </c>
      <c r="T138" t="str">
        <f t="shared" si="21"/>
        <v>OK</v>
      </c>
      <c r="U138" s="25">
        <f t="shared" si="22"/>
        <v>19</v>
      </c>
      <c r="V138" t="str">
        <f t="shared" si="23"/>
        <v>OK</v>
      </c>
    </row>
    <row r="139" spans="1:22" ht="18" customHeight="1">
      <c r="A139" t="s">
        <v>99</v>
      </c>
      <c r="B139" t="s">
        <v>100</v>
      </c>
      <c r="C139">
        <v>16</v>
      </c>
      <c r="D139" t="s">
        <v>72</v>
      </c>
      <c r="E139" s="6">
        <f t="shared" si="16"/>
        <v>13</v>
      </c>
      <c r="F139" s="6">
        <f t="shared" si="17"/>
        <v>31</v>
      </c>
      <c r="G139" s="6">
        <f>ROUND(Catalogue!G10*SQRT((1+Paramètres!$B$4*(C139-1)+Paramètres!$B$5*(C139-1)^2)),0)</f>
        <v>0</v>
      </c>
      <c r="H139" s="6">
        <f>ROUND(Catalogue!H10*SQRT((1+Paramètres!$B$4*(C139-1)+Paramètres!$B$5*(C139-1)^2)),0)</f>
        <v>0</v>
      </c>
      <c r="I139" s="6">
        <v>2</v>
      </c>
      <c r="J139" s="6">
        <v>1</v>
      </c>
      <c r="K139" s="7">
        <v>1</v>
      </c>
      <c r="L139" s="9">
        <f t="shared" si="18"/>
        <v>22</v>
      </c>
      <c r="M139">
        <v>2</v>
      </c>
      <c r="N139">
        <v>10</v>
      </c>
      <c r="O139">
        <v>11</v>
      </c>
      <c r="P139" s="13" t="str">
        <f t="shared" si="19"/>
        <v>2d10 + 11</v>
      </c>
      <c r="Q139">
        <f>ROUND(INDEX(Catalogue!E$4:E$85,MATCH(A139,Catalogue!A$4:A$85,0))*(1+Paramètres!$B$4*(C139-1)+Paramètres!$B$5*(C139-1)^2),0)</f>
        <v>13</v>
      </c>
      <c r="R139">
        <f>ROUND(INDEX(Catalogue!F$4:F$85,MATCH(A139,Catalogue!A$4:A$85,0))*(1+Paramètres!$B$4*(C139-1)+Paramètres!$B$5*(C139-1)^2),0)</f>
        <v>31</v>
      </c>
      <c r="S139">
        <f t="shared" si="20"/>
        <v>0</v>
      </c>
      <c r="T139" t="str">
        <f t="shared" si="21"/>
        <v>OK</v>
      </c>
      <c r="U139" s="25">
        <f t="shared" si="22"/>
        <v>22</v>
      </c>
      <c r="V139" t="str">
        <f t="shared" si="23"/>
        <v>OK</v>
      </c>
    </row>
    <row r="140" spans="1:22" ht="18" customHeight="1">
      <c r="A140" t="s">
        <v>99</v>
      </c>
      <c r="B140" t="s">
        <v>100</v>
      </c>
      <c r="C140">
        <v>17</v>
      </c>
      <c r="D140" t="s">
        <v>72</v>
      </c>
      <c r="E140" s="6">
        <f t="shared" si="16"/>
        <v>14</v>
      </c>
      <c r="F140" s="6">
        <f t="shared" si="17"/>
        <v>34</v>
      </c>
      <c r="G140" s="6">
        <f>ROUND(Catalogue!G10*SQRT((1+Paramètres!$B$4*(C140-1)+Paramètres!$B$5*(C140-1)^2)),0)</f>
        <v>0</v>
      </c>
      <c r="H140" s="6">
        <f>ROUND(Catalogue!H10*SQRT((1+Paramètres!$B$4*(C140-1)+Paramètres!$B$5*(C140-1)^2)),0)</f>
        <v>0</v>
      </c>
      <c r="I140" s="6">
        <v>2</v>
      </c>
      <c r="J140" s="6">
        <v>1</v>
      </c>
      <c r="K140" s="7">
        <v>1</v>
      </c>
      <c r="L140" s="9">
        <f t="shared" si="18"/>
        <v>24</v>
      </c>
      <c r="M140">
        <v>4</v>
      </c>
      <c r="N140">
        <v>6</v>
      </c>
      <c r="O140">
        <v>10</v>
      </c>
      <c r="P140" s="13" t="str">
        <f t="shared" si="19"/>
        <v>4d6 + 10</v>
      </c>
      <c r="Q140">
        <f>ROUND(INDEX(Catalogue!E$4:E$85,MATCH(A140,Catalogue!A$4:A$85,0))*(1+Paramètres!$B$4*(C140-1)+Paramètres!$B$5*(C140-1)^2),0)</f>
        <v>14</v>
      </c>
      <c r="R140">
        <f>ROUND(INDEX(Catalogue!F$4:F$85,MATCH(A140,Catalogue!A$4:A$85,0))*(1+Paramètres!$B$4*(C140-1)+Paramètres!$B$5*(C140-1)^2),0)</f>
        <v>34</v>
      </c>
      <c r="S140">
        <f t="shared" si="20"/>
        <v>0</v>
      </c>
      <c r="T140" t="str">
        <f t="shared" si="21"/>
        <v>OK</v>
      </c>
      <c r="U140" s="25">
        <f t="shared" si="22"/>
        <v>24</v>
      </c>
      <c r="V140" t="str">
        <f t="shared" si="23"/>
        <v>OK</v>
      </c>
    </row>
    <row r="141" spans="1:22" ht="18" customHeight="1">
      <c r="A141" t="s">
        <v>99</v>
      </c>
      <c r="B141" t="s">
        <v>100</v>
      </c>
      <c r="C141">
        <v>18</v>
      </c>
      <c r="D141" t="s">
        <v>72</v>
      </c>
      <c r="E141" s="6">
        <f t="shared" si="16"/>
        <v>15</v>
      </c>
      <c r="F141" s="6">
        <f t="shared" si="17"/>
        <v>36</v>
      </c>
      <c r="G141" s="6">
        <f>ROUND(Catalogue!G10*SQRT((1+Paramètres!$B$4*(C141-1)+Paramètres!$B$5*(C141-1)^2)),0)</f>
        <v>0</v>
      </c>
      <c r="H141" s="6">
        <f>ROUND(Catalogue!H10*SQRT((1+Paramètres!$B$4*(C141-1)+Paramètres!$B$5*(C141-1)^2)),0)</f>
        <v>0</v>
      </c>
      <c r="I141" s="6">
        <v>2</v>
      </c>
      <c r="J141" s="6">
        <v>1</v>
      </c>
      <c r="K141" s="7">
        <v>1</v>
      </c>
      <c r="L141" s="9">
        <f t="shared" si="18"/>
        <v>25.5</v>
      </c>
      <c r="M141">
        <v>3</v>
      </c>
      <c r="N141">
        <v>8</v>
      </c>
      <c r="O141">
        <v>12</v>
      </c>
      <c r="P141" s="13" t="str">
        <f t="shared" si="19"/>
        <v>3d8 + 12</v>
      </c>
      <c r="Q141">
        <f>ROUND(INDEX(Catalogue!E$4:E$85,MATCH(A141,Catalogue!A$4:A$85,0))*(1+Paramètres!$B$4*(C141-1)+Paramètres!$B$5*(C141-1)^2),0)</f>
        <v>15</v>
      </c>
      <c r="R141">
        <f>ROUND(INDEX(Catalogue!F$4:F$85,MATCH(A141,Catalogue!A$4:A$85,0))*(1+Paramètres!$B$4*(C141-1)+Paramètres!$B$5*(C141-1)^2),0)</f>
        <v>37</v>
      </c>
      <c r="S141">
        <f t="shared" si="20"/>
        <v>-0.5</v>
      </c>
      <c r="T141" t="str">
        <f t="shared" si="21"/>
        <v>OK</v>
      </c>
      <c r="U141" s="25">
        <f t="shared" si="22"/>
        <v>25.5</v>
      </c>
      <c r="V141" t="str">
        <f t="shared" si="23"/>
        <v>OK</v>
      </c>
    </row>
    <row r="142" spans="1:22" ht="18" customHeight="1">
      <c r="A142" t="s">
        <v>99</v>
      </c>
      <c r="B142" t="s">
        <v>100</v>
      </c>
      <c r="C142">
        <v>19</v>
      </c>
      <c r="D142" t="s">
        <v>72</v>
      </c>
      <c r="E142" s="6">
        <f t="shared" si="16"/>
        <v>16</v>
      </c>
      <c r="F142" s="6">
        <f t="shared" si="17"/>
        <v>41</v>
      </c>
      <c r="G142" s="6">
        <f>ROUND(Catalogue!G10*SQRT((1+Paramètres!$B$4*(C142-1)+Paramètres!$B$5*(C142-1)^2)),0)</f>
        <v>0</v>
      </c>
      <c r="H142" s="6">
        <f>ROUND(Catalogue!H10*SQRT((1+Paramètres!$B$4*(C142-1)+Paramètres!$B$5*(C142-1)^2)),0)</f>
        <v>0</v>
      </c>
      <c r="I142" s="6">
        <v>2</v>
      </c>
      <c r="J142" s="6">
        <v>1</v>
      </c>
      <c r="K142" s="7">
        <v>1</v>
      </c>
      <c r="L142" s="9">
        <f t="shared" si="18"/>
        <v>28.5</v>
      </c>
      <c r="M142">
        <v>5</v>
      </c>
      <c r="N142">
        <v>6</v>
      </c>
      <c r="O142">
        <v>11</v>
      </c>
      <c r="P142" s="13" t="str">
        <f t="shared" si="19"/>
        <v>5d6 + 11</v>
      </c>
      <c r="Q142">
        <f>ROUND(INDEX(Catalogue!E$4:E$85,MATCH(A142,Catalogue!A$4:A$85,0))*(1+Paramètres!$B$4*(C142-1)+Paramètres!$B$5*(C142-1)^2),0)</f>
        <v>16</v>
      </c>
      <c r="R142">
        <f>ROUND(INDEX(Catalogue!F$4:F$85,MATCH(A142,Catalogue!A$4:A$85,0))*(1+Paramètres!$B$4*(C142-1)+Paramètres!$B$5*(C142-1)^2),0)</f>
        <v>41</v>
      </c>
      <c r="S142">
        <f t="shared" si="20"/>
        <v>0</v>
      </c>
      <c r="T142" t="str">
        <f t="shared" si="21"/>
        <v>OK</v>
      </c>
      <c r="U142" s="25">
        <f t="shared" si="22"/>
        <v>28.5</v>
      </c>
      <c r="V142" t="str">
        <f t="shared" si="23"/>
        <v>OK</v>
      </c>
    </row>
    <row r="143" spans="1:22" ht="18" customHeight="1">
      <c r="A143" t="s">
        <v>99</v>
      </c>
      <c r="B143" t="s">
        <v>100</v>
      </c>
      <c r="C143">
        <v>20</v>
      </c>
      <c r="D143" t="s">
        <v>72</v>
      </c>
      <c r="E143" s="6">
        <f t="shared" si="16"/>
        <v>17</v>
      </c>
      <c r="F143" s="6">
        <f t="shared" si="17"/>
        <v>44</v>
      </c>
      <c r="G143" s="6">
        <f>ROUND(Catalogue!G10*SQRT((1+Paramètres!$B$4*(C143-1)+Paramètres!$B$5*(C143-1)^2)),0)</f>
        <v>0</v>
      </c>
      <c r="H143" s="6">
        <f>ROUND(Catalogue!H10*SQRT((1+Paramètres!$B$4*(C143-1)+Paramètres!$B$5*(C143-1)^2)),0)</f>
        <v>0</v>
      </c>
      <c r="I143" s="6">
        <v>2</v>
      </c>
      <c r="J143" s="6">
        <v>1</v>
      </c>
      <c r="K143" s="7">
        <v>1</v>
      </c>
      <c r="L143" s="9">
        <f t="shared" si="18"/>
        <v>30.5</v>
      </c>
      <c r="M143">
        <v>3</v>
      </c>
      <c r="N143">
        <v>10</v>
      </c>
      <c r="O143">
        <v>14</v>
      </c>
      <c r="P143" s="13" t="str">
        <f t="shared" si="19"/>
        <v>3d10 + 14</v>
      </c>
      <c r="Q143">
        <f>ROUND(INDEX(Catalogue!E$4:E$85,MATCH(A143,Catalogue!A$4:A$85,0))*(1+Paramètres!$B$4*(C143-1)+Paramètres!$B$5*(C143-1)^2),0)</f>
        <v>18</v>
      </c>
      <c r="R143">
        <f>ROUND(INDEX(Catalogue!F$4:F$85,MATCH(A143,Catalogue!A$4:A$85,0))*(1+Paramètres!$B$4*(C143-1)+Paramètres!$B$5*(C143-1)^2),0)</f>
        <v>44</v>
      </c>
      <c r="S143">
        <f t="shared" si="20"/>
        <v>-0.5</v>
      </c>
      <c r="T143" t="str">
        <f t="shared" si="21"/>
        <v>OK</v>
      </c>
      <c r="U143" s="25">
        <f t="shared" si="22"/>
        <v>30.5</v>
      </c>
      <c r="V143" t="str">
        <f t="shared" si="23"/>
        <v>OK</v>
      </c>
    </row>
    <row r="144" spans="1:22" ht="18" customHeight="1">
      <c r="A144" t="s">
        <v>102</v>
      </c>
      <c r="B144" t="s">
        <v>103</v>
      </c>
      <c r="C144">
        <v>1</v>
      </c>
      <c r="D144" t="s">
        <v>72</v>
      </c>
      <c r="E144" s="6">
        <f t="shared" si="16"/>
        <v>2</v>
      </c>
      <c r="F144" s="6">
        <f t="shared" si="17"/>
        <v>5</v>
      </c>
      <c r="G144" s="6">
        <f>ROUND(Catalogue!G11*SQRT((1+Paramètres!$B$4*(C144-1)+Paramètres!$B$5*(C144-1)^2)),0)</f>
        <v>0</v>
      </c>
      <c r="H144" s="6">
        <f>ROUND(Catalogue!H11*SQRT((1+Paramètres!$B$4*(C144-1)+Paramètres!$B$5*(C144-1)^2)),0)</f>
        <v>0</v>
      </c>
      <c r="I144" s="6">
        <v>2</v>
      </c>
      <c r="J144" s="6">
        <v>1</v>
      </c>
      <c r="K144" s="7">
        <v>1.1000000000000001</v>
      </c>
      <c r="L144" s="9">
        <f t="shared" si="18"/>
        <v>3.5</v>
      </c>
      <c r="M144">
        <v>1</v>
      </c>
      <c r="N144">
        <v>4</v>
      </c>
      <c r="O144">
        <v>1</v>
      </c>
      <c r="P144" s="13" t="str">
        <f t="shared" si="19"/>
        <v>1d4 + 1</v>
      </c>
      <c r="Q144">
        <f>ROUND(INDEX(Catalogue!E$4:E$85,MATCH(A144,Catalogue!A$4:A$85,0))*(1+Paramètres!$B$4*(C144-1)+Paramètres!$B$5*(C144-1)^2),0)</f>
        <v>3</v>
      </c>
      <c r="R144">
        <f>ROUND(INDEX(Catalogue!F$4:F$85,MATCH(A144,Catalogue!A$4:A$85,0))*(1+Paramètres!$B$4*(C144-1)+Paramètres!$B$5*(C144-1)^2),0)</f>
        <v>5</v>
      </c>
      <c r="S144">
        <f t="shared" si="20"/>
        <v>-0.5</v>
      </c>
      <c r="T144" t="str">
        <f t="shared" si="21"/>
        <v>OK</v>
      </c>
      <c r="U144" s="25">
        <f t="shared" si="22"/>
        <v>3.5</v>
      </c>
      <c r="V144" t="str">
        <f t="shared" si="23"/>
        <v>OK</v>
      </c>
    </row>
    <row r="145" spans="1:22" ht="18" customHeight="1">
      <c r="A145" t="s">
        <v>102</v>
      </c>
      <c r="B145" t="s">
        <v>103</v>
      </c>
      <c r="C145">
        <v>2</v>
      </c>
      <c r="D145" t="s">
        <v>72</v>
      </c>
      <c r="E145" s="6">
        <f t="shared" si="16"/>
        <v>3</v>
      </c>
      <c r="F145" s="6">
        <f t="shared" si="17"/>
        <v>6</v>
      </c>
      <c r="G145" s="6">
        <f>ROUND(Catalogue!G11*SQRT((1+Paramètres!$B$4*(C145-1)+Paramètres!$B$5*(C145-1)^2)),0)</f>
        <v>0</v>
      </c>
      <c r="H145" s="6">
        <f>ROUND(Catalogue!H11*SQRT((1+Paramètres!$B$4*(C145-1)+Paramètres!$B$5*(C145-1)^2)),0)</f>
        <v>0</v>
      </c>
      <c r="I145" s="6">
        <v>2</v>
      </c>
      <c r="J145" s="6">
        <v>1</v>
      </c>
      <c r="K145" s="7">
        <v>1.1000000000000001</v>
      </c>
      <c r="L145" s="9">
        <f t="shared" si="18"/>
        <v>4.5</v>
      </c>
      <c r="M145">
        <v>1</v>
      </c>
      <c r="N145">
        <v>4</v>
      </c>
      <c r="O145">
        <v>2</v>
      </c>
      <c r="P145" s="13" t="str">
        <f t="shared" si="19"/>
        <v>1d4 + 2</v>
      </c>
      <c r="Q145">
        <f>ROUND(INDEX(Catalogue!E$4:E$85,MATCH(A145,Catalogue!A$4:A$85,0))*(1+Paramètres!$B$4*(C145-1)+Paramètres!$B$5*(C145-1)^2),0)</f>
        <v>3</v>
      </c>
      <c r="R145">
        <f>ROUND(INDEX(Catalogue!F$4:F$85,MATCH(A145,Catalogue!A$4:A$85,0))*(1+Paramètres!$B$4*(C145-1)+Paramètres!$B$5*(C145-1)^2),0)</f>
        <v>6</v>
      </c>
      <c r="S145">
        <f t="shared" si="20"/>
        <v>0</v>
      </c>
      <c r="T145" t="str">
        <f t="shared" si="21"/>
        <v>OK</v>
      </c>
      <c r="U145" s="25">
        <f t="shared" si="22"/>
        <v>4.5</v>
      </c>
      <c r="V145" t="str">
        <f t="shared" si="23"/>
        <v>OK</v>
      </c>
    </row>
    <row r="146" spans="1:22" ht="18" customHeight="1">
      <c r="A146" t="s">
        <v>102</v>
      </c>
      <c r="B146" t="s">
        <v>103</v>
      </c>
      <c r="C146">
        <v>3</v>
      </c>
      <c r="D146" t="s">
        <v>72</v>
      </c>
      <c r="E146" s="6">
        <f t="shared" si="16"/>
        <v>3</v>
      </c>
      <c r="F146" s="6">
        <f t="shared" si="17"/>
        <v>6</v>
      </c>
      <c r="G146" s="6">
        <f>ROUND(Catalogue!G11*SQRT((1+Paramètres!$B$4*(C146-1)+Paramètres!$B$5*(C146-1)^2)),0)</f>
        <v>0</v>
      </c>
      <c r="H146" s="6">
        <f>ROUND(Catalogue!H11*SQRT((1+Paramètres!$B$4*(C146-1)+Paramètres!$B$5*(C146-1)^2)),0)</f>
        <v>0</v>
      </c>
      <c r="I146" s="6">
        <v>2</v>
      </c>
      <c r="J146" s="6">
        <v>1</v>
      </c>
      <c r="K146" s="7">
        <v>1.1000000000000001</v>
      </c>
      <c r="L146" s="9">
        <f t="shared" si="18"/>
        <v>4.5</v>
      </c>
      <c r="M146">
        <v>1</v>
      </c>
      <c r="N146">
        <v>4</v>
      </c>
      <c r="O146">
        <v>2</v>
      </c>
      <c r="P146" s="13" t="str">
        <f t="shared" si="19"/>
        <v>1d4 + 2</v>
      </c>
      <c r="Q146">
        <f>ROUND(INDEX(Catalogue!E$4:E$85,MATCH(A146,Catalogue!A$4:A$85,0))*(1+Paramètres!$B$4*(C146-1)+Paramètres!$B$5*(C146-1)^2),0)</f>
        <v>4</v>
      </c>
      <c r="R146">
        <f>ROUND(INDEX(Catalogue!F$4:F$85,MATCH(A146,Catalogue!A$4:A$85,0))*(1+Paramètres!$B$4*(C146-1)+Paramètres!$B$5*(C146-1)^2),0)</f>
        <v>6</v>
      </c>
      <c r="S146">
        <f t="shared" si="20"/>
        <v>-0.5</v>
      </c>
      <c r="T146" t="str">
        <f t="shared" si="21"/>
        <v>OK</v>
      </c>
      <c r="U146" s="25">
        <f t="shared" si="22"/>
        <v>4.5</v>
      </c>
      <c r="V146" t="str">
        <f t="shared" si="23"/>
        <v>OK</v>
      </c>
    </row>
    <row r="147" spans="1:22" ht="18" customHeight="1">
      <c r="A147" t="s">
        <v>102</v>
      </c>
      <c r="B147" t="s">
        <v>103</v>
      </c>
      <c r="C147">
        <v>4</v>
      </c>
      <c r="D147" t="s">
        <v>72</v>
      </c>
      <c r="E147" s="6">
        <f t="shared" si="16"/>
        <v>4</v>
      </c>
      <c r="F147" s="6">
        <f t="shared" si="17"/>
        <v>7</v>
      </c>
      <c r="G147" s="6">
        <f>ROUND(Catalogue!G11*SQRT((1+Paramètres!$B$4*(C147-1)+Paramètres!$B$5*(C147-1)^2)),0)</f>
        <v>0</v>
      </c>
      <c r="H147" s="6">
        <f>ROUND(Catalogue!H11*SQRT((1+Paramètres!$B$4*(C147-1)+Paramètres!$B$5*(C147-1)^2)),0)</f>
        <v>0</v>
      </c>
      <c r="I147" s="6">
        <v>2</v>
      </c>
      <c r="J147" s="6">
        <v>1</v>
      </c>
      <c r="K147" s="7">
        <v>1.1000000000000001</v>
      </c>
      <c r="L147" s="9">
        <f t="shared" si="18"/>
        <v>5.5</v>
      </c>
      <c r="M147">
        <v>1</v>
      </c>
      <c r="N147">
        <v>4</v>
      </c>
      <c r="O147">
        <v>3</v>
      </c>
      <c r="P147" s="13" t="str">
        <f t="shared" si="19"/>
        <v>1d4 + 3</v>
      </c>
      <c r="Q147">
        <f>ROUND(INDEX(Catalogue!E$4:E$85,MATCH(A147,Catalogue!A$4:A$85,0))*(1+Paramètres!$B$4*(C147-1)+Paramètres!$B$5*(C147-1)^2),0)</f>
        <v>4</v>
      </c>
      <c r="R147">
        <f>ROUND(INDEX(Catalogue!F$4:F$85,MATCH(A147,Catalogue!A$4:A$85,0))*(1+Paramètres!$B$4*(C147-1)+Paramètres!$B$5*(C147-1)^2),0)</f>
        <v>7</v>
      </c>
      <c r="S147">
        <f t="shared" si="20"/>
        <v>0</v>
      </c>
      <c r="T147" t="str">
        <f t="shared" si="21"/>
        <v>OK</v>
      </c>
      <c r="U147" s="25">
        <f t="shared" si="22"/>
        <v>5.5</v>
      </c>
      <c r="V147" t="str">
        <f t="shared" si="23"/>
        <v>OK</v>
      </c>
    </row>
    <row r="148" spans="1:22" ht="18" customHeight="1">
      <c r="A148" t="s">
        <v>102</v>
      </c>
      <c r="B148" t="s">
        <v>103</v>
      </c>
      <c r="C148">
        <v>5</v>
      </c>
      <c r="D148" t="s">
        <v>72</v>
      </c>
      <c r="E148" s="6">
        <f t="shared" si="16"/>
        <v>5</v>
      </c>
      <c r="F148" s="6">
        <f t="shared" si="17"/>
        <v>8</v>
      </c>
      <c r="G148" s="6">
        <f>ROUND(Catalogue!G11*SQRT((1+Paramètres!$B$4*(C148-1)+Paramètres!$B$5*(C148-1)^2)),0)</f>
        <v>0</v>
      </c>
      <c r="H148" s="6">
        <f>ROUND(Catalogue!H11*SQRT((1+Paramètres!$B$4*(C148-1)+Paramètres!$B$5*(C148-1)^2)),0)</f>
        <v>0</v>
      </c>
      <c r="I148" s="6">
        <v>2</v>
      </c>
      <c r="J148" s="6">
        <v>1</v>
      </c>
      <c r="K148" s="7">
        <v>1.1000000000000001</v>
      </c>
      <c r="L148" s="9">
        <f t="shared" si="18"/>
        <v>6.5</v>
      </c>
      <c r="M148">
        <v>1</v>
      </c>
      <c r="N148">
        <v>4</v>
      </c>
      <c r="O148">
        <v>4</v>
      </c>
      <c r="P148" s="13" t="str">
        <f t="shared" si="19"/>
        <v>1d4 + 4</v>
      </c>
      <c r="Q148">
        <f>ROUND(INDEX(Catalogue!E$4:E$85,MATCH(A148,Catalogue!A$4:A$85,0))*(1+Paramètres!$B$4*(C148-1)+Paramètres!$B$5*(C148-1)^2),0)</f>
        <v>5</v>
      </c>
      <c r="R148">
        <f>ROUND(INDEX(Catalogue!F$4:F$85,MATCH(A148,Catalogue!A$4:A$85,0))*(1+Paramètres!$B$4*(C148-1)+Paramètres!$B$5*(C148-1)^2),0)</f>
        <v>8</v>
      </c>
      <c r="S148">
        <f t="shared" si="20"/>
        <v>0</v>
      </c>
      <c r="T148" t="str">
        <f t="shared" si="21"/>
        <v>OK</v>
      </c>
      <c r="U148" s="25">
        <f t="shared" si="22"/>
        <v>6.5</v>
      </c>
      <c r="V148" t="str">
        <f t="shared" si="23"/>
        <v>OK</v>
      </c>
    </row>
    <row r="149" spans="1:22" ht="18" customHeight="1">
      <c r="A149" t="s">
        <v>102</v>
      </c>
      <c r="B149" t="s">
        <v>103</v>
      </c>
      <c r="C149">
        <v>6</v>
      </c>
      <c r="D149" t="s">
        <v>72</v>
      </c>
      <c r="E149" s="6">
        <f t="shared" si="16"/>
        <v>6</v>
      </c>
      <c r="F149" s="6">
        <f t="shared" si="17"/>
        <v>9</v>
      </c>
      <c r="G149" s="6">
        <f>ROUND(Catalogue!G11*SQRT((1+Paramètres!$B$4*(C149-1)+Paramètres!$B$5*(C149-1)^2)),0)</f>
        <v>0</v>
      </c>
      <c r="H149" s="6">
        <f>ROUND(Catalogue!H11*SQRT((1+Paramètres!$B$4*(C149-1)+Paramètres!$B$5*(C149-1)^2)),0)</f>
        <v>0</v>
      </c>
      <c r="I149" s="6">
        <v>2</v>
      </c>
      <c r="J149" s="6">
        <v>1</v>
      </c>
      <c r="K149" s="7">
        <v>1.1000000000000001</v>
      </c>
      <c r="L149" s="9">
        <f t="shared" si="18"/>
        <v>7.5</v>
      </c>
      <c r="M149">
        <v>1</v>
      </c>
      <c r="N149">
        <v>4</v>
      </c>
      <c r="O149">
        <v>5</v>
      </c>
      <c r="P149" s="13" t="str">
        <f t="shared" si="19"/>
        <v>1d4 + 5</v>
      </c>
      <c r="Q149">
        <f>ROUND(INDEX(Catalogue!E$4:E$85,MATCH(A149,Catalogue!A$4:A$85,0))*(1+Paramètres!$B$4*(C149-1)+Paramètres!$B$5*(C149-1)^2),0)</f>
        <v>6</v>
      </c>
      <c r="R149">
        <f>ROUND(INDEX(Catalogue!F$4:F$85,MATCH(A149,Catalogue!A$4:A$85,0))*(1+Paramètres!$B$4*(C149-1)+Paramètres!$B$5*(C149-1)^2),0)</f>
        <v>10</v>
      </c>
      <c r="S149">
        <f t="shared" si="20"/>
        <v>-0.5</v>
      </c>
      <c r="T149" t="str">
        <f t="shared" si="21"/>
        <v>OK</v>
      </c>
      <c r="U149" s="25">
        <f t="shared" si="22"/>
        <v>7.5</v>
      </c>
      <c r="V149" t="str">
        <f t="shared" si="23"/>
        <v>OK</v>
      </c>
    </row>
    <row r="150" spans="1:22" ht="18" customHeight="1">
      <c r="A150" t="s">
        <v>102</v>
      </c>
      <c r="B150" t="s">
        <v>103</v>
      </c>
      <c r="C150">
        <v>7</v>
      </c>
      <c r="D150" t="s">
        <v>72</v>
      </c>
      <c r="E150" s="6">
        <f t="shared" si="16"/>
        <v>7</v>
      </c>
      <c r="F150" s="6">
        <f t="shared" si="17"/>
        <v>10</v>
      </c>
      <c r="G150" s="6">
        <f>ROUND(Catalogue!G11*SQRT((1+Paramètres!$B$4*(C150-1)+Paramètres!$B$5*(C150-1)^2)),0)</f>
        <v>0</v>
      </c>
      <c r="H150" s="6">
        <f>ROUND(Catalogue!H11*SQRT((1+Paramètres!$B$4*(C150-1)+Paramètres!$B$5*(C150-1)^2)),0)</f>
        <v>0</v>
      </c>
      <c r="I150" s="6">
        <v>2</v>
      </c>
      <c r="J150" s="6">
        <v>1</v>
      </c>
      <c r="K150" s="7">
        <v>1.1000000000000001</v>
      </c>
      <c r="L150" s="9">
        <f t="shared" si="18"/>
        <v>8.5</v>
      </c>
      <c r="M150">
        <v>1</v>
      </c>
      <c r="N150">
        <v>4</v>
      </c>
      <c r="O150">
        <v>6</v>
      </c>
      <c r="P150" s="13" t="str">
        <f t="shared" si="19"/>
        <v>1d4 + 6</v>
      </c>
      <c r="Q150">
        <f>ROUND(INDEX(Catalogue!E$4:E$85,MATCH(A150,Catalogue!A$4:A$85,0))*(1+Paramètres!$B$4*(C150-1)+Paramètres!$B$5*(C150-1)^2),0)</f>
        <v>7</v>
      </c>
      <c r="R150">
        <f>ROUND(INDEX(Catalogue!F$4:F$85,MATCH(A150,Catalogue!A$4:A$85,0))*(1+Paramètres!$B$4*(C150-1)+Paramètres!$B$5*(C150-1)^2),0)</f>
        <v>11</v>
      </c>
      <c r="S150">
        <f t="shared" si="20"/>
        <v>-0.5</v>
      </c>
      <c r="T150" t="str">
        <f t="shared" si="21"/>
        <v>OK</v>
      </c>
      <c r="U150" s="25">
        <f t="shared" si="22"/>
        <v>8.5</v>
      </c>
      <c r="V150" t="str">
        <f t="shared" si="23"/>
        <v>OK</v>
      </c>
    </row>
    <row r="151" spans="1:22" ht="18" customHeight="1">
      <c r="A151" t="s">
        <v>102</v>
      </c>
      <c r="B151" t="s">
        <v>103</v>
      </c>
      <c r="C151">
        <v>8</v>
      </c>
      <c r="D151" t="s">
        <v>72</v>
      </c>
      <c r="E151" s="6">
        <f t="shared" si="16"/>
        <v>8</v>
      </c>
      <c r="F151" s="6">
        <f t="shared" si="17"/>
        <v>13</v>
      </c>
      <c r="G151" s="6">
        <f>ROUND(Catalogue!G11*SQRT((1+Paramètres!$B$4*(C151-1)+Paramètres!$B$5*(C151-1)^2)),0)</f>
        <v>0</v>
      </c>
      <c r="H151" s="6">
        <f>ROUND(Catalogue!H11*SQRT((1+Paramètres!$B$4*(C151-1)+Paramètres!$B$5*(C151-1)^2)),0)</f>
        <v>0</v>
      </c>
      <c r="I151" s="6">
        <v>2</v>
      </c>
      <c r="J151" s="6">
        <v>1</v>
      </c>
      <c r="K151" s="7">
        <v>1.1000000000000001</v>
      </c>
      <c r="L151" s="9">
        <f t="shared" si="18"/>
        <v>10.5</v>
      </c>
      <c r="M151">
        <v>1</v>
      </c>
      <c r="N151">
        <v>6</v>
      </c>
      <c r="O151">
        <v>7</v>
      </c>
      <c r="P151" s="13" t="str">
        <f t="shared" si="19"/>
        <v>1d6 + 7</v>
      </c>
      <c r="Q151">
        <f>ROUND(INDEX(Catalogue!E$4:E$85,MATCH(A151,Catalogue!A$4:A$85,0))*(1+Paramètres!$B$4*(C151-1)+Paramètres!$B$5*(C151-1)^2),0)</f>
        <v>8</v>
      </c>
      <c r="R151">
        <f>ROUND(INDEX(Catalogue!F$4:F$85,MATCH(A151,Catalogue!A$4:A$85,0))*(1+Paramètres!$B$4*(C151-1)+Paramètres!$B$5*(C151-1)^2),0)</f>
        <v>13</v>
      </c>
      <c r="S151">
        <f t="shared" si="20"/>
        <v>0</v>
      </c>
      <c r="T151" t="str">
        <f t="shared" si="21"/>
        <v>OK</v>
      </c>
      <c r="U151" s="25">
        <f t="shared" si="22"/>
        <v>10.5</v>
      </c>
      <c r="V151" t="str">
        <f t="shared" si="23"/>
        <v>OK</v>
      </c>
    </row>
    <row r="152" spans="1:22" ht="18" customHeight="1">
      <c r="A152" t="s">
        <v>102</v>
      </c>
      <c r="B152" t="s">
        <v>103</v>
      </c>
      <c r="C152">
        <v>9</v>
      </c>
      <c r="D152" t="s">
        <v>72</v>
      </c>
      <c r="E152" s="6">
        <f t="shared" si="16"/>
        <v>9</v>
      </c>
      <c r="F152" s="6">
        <f t="shared" si="17"/>
        <v>15</v>
      </c>
      <c r="G152" s="6">
        <f>ROUND(Catalogue!G11*SQRT((1+Paramètres!$B$4*(C152-1)+Paramètres!$B$5*(C152-1)^2)),0)</f>
        <v>0</v>
      </c>
      <c r="H152" s="6">
        <f>ROUND(Catalogue!H11*SQRT((1+Paramètres!$B$4*(C152-1)+Paramètres!$B$5*(C152-1)^2)),0)</f>
        <v>0</v>
      </c>
      <c r="I152" s="6">
        <v>2</v>
      </c>
      <c r="J152" s="6">
        <v>1</v>
      </c>
      <c r="K152" s="7">
        <v>1.1000000000000001</v>
      </c>
      <c r="L152" s="9">
        <f t="shared" si="18"/>
        <v>12</v>
      </c>
      <c r="M152">
        <v>2</v>
      </c>
      <c r="N152">
        <v>4</v>
      </c>
      <c r="O152">
        <v>7</v>
      </c>
      <c r="P152" s="13" t="str">
        <f t="shared" si="19"/>
        <v>2d4 + 7</v>
      </c>
      <c r="Q152">
        <f>ROUND(INDEX(Catalogue!E$4:E$85,MATCH(A152,Catalogue!A$4:A$85,0))*(1+Paramètres!$B$4*(C152-1)+Paramètres!$B$5*(C152-1)^2),0)</f>
        <v>9</v>
      </c>
      <c r="R152">
        <f>ROUND(INDEX(Catalogue!F$4:F$85,MATCH(A152,Catalogue!A$4:A$85,0))*(1+Paramètres!$B$4*(C152-1)+Paramètres!$B$5*(C152-1)^2),0)</f>
        <v>15</v>
      </c>
      <c r="S152">
        <f t="shared" si="20"/>
        <v>0</v>
      </c>
      <c r="T152" t="str">
        <f t="shared" si="21"/>
        <v>OK</v>
      </c>
      <c r="U152" s="25">
        <f t="shared" si="22"/>
        <v>12</v>
      </c>
      <c r="V152" t="str">
        <f t="shared" si="23"/>
        <v>OK</v>
      </c>
    </row>
    <row r="153" spans="1:22" ht="18" customHeight="1">
      <c r="A153" t="s">
        <v>102</v>
      </c>
      <c r="B153" t="s">
        <v>103</v>
      </c>
      <c r="C153">
        <v>10</v>
      </c>
      <c r="D153" t="s">
        <v>72</v>
      </c>
      <c r="E153" s="6">
        <f t="shared" si="16"/>
        <v>10</v>
      </c>
      <c r="F153" s="6">
        <f t="shared" si="17"/>
        <v>16</v>
      </c>
      <c r="G153" s="6">
        <f>ROUND(Catalogue!G11*SQRT((1+Paramètres!$B$4*(C153-1)+Paramètres!$B$5*(C153-1)^2)),0)</f>
        <v>0</v>
      </c>
      <c r="H153" s="6">
        <f>ROUND(Catalogue!H11*SQRT((1+Paramètres!$B$4*(C153-1)+Paramètres!$B$5*(C153-1)^2)),0)</f>
        <v>0</v>
      </c>
      <c r="I153" s="6">
        <v>2</v>
      </c>
      <c r="J153" s="6">
        <v>1</v>
      </c>
      <c r="K153" s="7">
        <v>1.1000000000000001</v>
      </c>
      <c r="L153" s="9">
        <f t="shared" si="18"/>
        <v>13</v>
      </c>
      <c r="M153">
        <v>2</v>
      </c>
      <c r="N153">
        <v>4</v>
      </c>
      <c r="O153">
        <v>8</v>
      </c>
      <c r="P153" s="13" t="str">
        <f t="shared" si="19"/>
        <v>2d4 + 8</v>
      </c>
      <c r="Q153">
        <f>ROUND(INDEX(Catalogue!E$4:E$85,MATCH(A153,Catalogue!A$4:A$85,0))*(1+Paramètres!$B$4*(C153-1)+Paramètres!$B$5*(C153-1)^2),0)</f>
        <v>10</v>
      </c>
      <c r="R153">
        <f>ROUND(INDEX(Catalogue!F$4:F$85,MATCH(A153,Catalogue!A$4:A$85,0))*(1+Paramètres!$B$4*(C153-1)+Paramètres!$B$5*(C153-1)^2),0)</f>
        <v>16</v>
      </c>
      <c r="S153">
        <f t="shared" si="20"/>
        <v>0</v>
      </c>
      <c r="T153" t="str">
        <f t="shared" si="21"/>
        <v>OK</v>
      </c>
      <c r="U153" s="25">
        <f t="shared" si="22"/>
        <v>13</v>
      </c>
      <c r="V153" t="str">
        <f t="shared" si="23"/>
        <v>OK</v>
      </c>
    </row>
    <row r="154" spans="1:22" ht="18" customHeight="1">
      <c r="A154" t="s">
        <v>102</v>
      </c>
      <c r="B154" t="s">
        <v>103</v>
      </c>
      <c r="C154">
        <v>11</v>
      </c>
      <c r="D154" t="s">
        <v>72</v>
      </c>
      <c r="E154" s="6">
        <f t="shared" si="16"/>
        <v>11</v>
      </c>
      <c r="F154" s="6">
        <f t="shared" si="17"/>
        <v>20</v>
      </c>
      <c r="G154" s="6">
        <f>ROUND(Catalogue!G11*SQRT((1+Paramètres!$B$4*(C154-1)+Paramètres!$B$5*(C154-1)^2)),0)</f>
        <v>0</v>
      </c>
      <c r="H154" s="6">
        <f>ROUND(Catalogue!H11*SQRT((1+Paramètres!$B$4*(C154-1)+Paramètres!$B$5*(C154-1)^2)),0)</f>
        <v>0</v>
      </c>
      <c r="I154" s="6">
        <v>2</v>
      </c>
      <c r="J154" s="6">
        <v>1</v>
      </c>
      <c r="K154" s="7">
        <v>1.1000000000000001</v>
      </c>
      <c r="L154" s="9">
        <f t="shared" si="18"/>
        <v>15.5</v>
      </c>
      <c r="M154">
        <v>3</v>
      </c>
      <c r="N154">
        <v>4</v>
      </c>
      <c r="O154">
        <v>8</v>
      </c>
      <c r="P154" s="13" t="str">
        <f t="shared" si="19"/>
        <v>3d4 + 8</v>
      </c>
      <c r="Q154">
        <f>ROUND(INDEX(Catalogue!E$4:E$85,MATCH(A154,Catalogue!A$4:A$85,0))*(1+Paramètres!$B$4*(C154-1)+Paramètres!$B$5*(C154-1)^2),0)</f>
        <v>11</v>
      </c>
      <c r="R154">
        <f>ROUND(INDEX(Catalogue!F$4:F$85,MATCH(A154,Catalogue!A$4:A$85,0))*(1+Paramètres!$B$4*(C154-1)+Paramètres!$B$5*(C154-1)^2),0)</f>
        <v>19</v>
      </c>
      <c r="S154">
        <f t="shared" si="20"/>
        <v>0.5</v>
      </c>
      <c r="T154" t="str">
        <f t="shared" si="21"/>
        <v>OK</v>
      </c>
      <c r="U154" s="25">
        <f t="shared" si="22"/>
        <v>15.5</v>
      </c>
      <c r="V154" t="str">
        <f t="shared" si="23"/>
        <v>OK</v>
      </c>
    </row>
    <row r="155" spans="1:22" ht="18" customHeight="1">
      <c r="A155" t="s">
        <v>102</v>
      </c>
      <c r="B155" t="s">
        <v>103</v>
      </c>
      <c r="C155">
        <v>12</v>
      </c>
      <c r="D155" t="s">
        <v>72</v>
      </c>
      <c r="E155" s="6">
        <f t="shared" si="16"/>
        <v>12</v>
      </c>
      <c r="F155" s="6">
        <f t="shared" si="17"/>
        <v>21</v>
      </c>
      <c r="G155" s="6">
        <f>ROUND(Catalogue!G11*SQRT((1+Paramètres!$B$4*(C155-1)+Paramètres!$B$5*(C155-1)^2)),0)</f>
        <v>0</v>
      </c>
      <c r="H155" s="6">
        <f>ROUND(Catalogue!H11*SQRT((1+Paramètres!$B$4*(C155-1)+Paramètres!$B$5*(C155-1)^2)),0)</f>
        <v>0</v>
      </c>
      <c r="I155" s="6">
        <v>2</v>
      </c>
      <c r="J155" s="6">
        <v>1</v>
      </c>
      <c r="K155" s="7">
        <v>1.1000000000000001</v>
      </c>
      <c r="L155" s="9">
        <f t="shared" si="18"/>
        <v>16.5</v>
      </c>
      <c r="M155">
        <v>3</v>
      </c>
      <c r="N155">
        <v>4</v>
      </c>
      <c r="O155">
        <v>9</v>
      </c>
      <c r="P155" s="13" t="str">
        <f t="shared" si="19"/>
        <v>3d4 + 9</v>
      </c>
      <c r="Q155">
        <f>ROUND(INDEX(Catalogue!E$4:E$85,MATCH(A155,Catalogue!A$4:A$85,0))*(1+Paramètres!$B$4*(C155-1)+Paramètres!$B$5*(C155-1)^2),0)</f>
        <v>12</v>
      </c>
      <c r="R155">
        <f>ROUND(INDEX(Catalogue!F$4:F$85,MATCH(A155,Catalogue!A$4:A$85,0))*(1+Paramètres!$B$4*(C155-1)+Paramètres!$B$5*(C155-1)^2),0)</f>
        <v>21</v>
      </c>
      <c r="S155">
        <f t="shared" si="20"/>
        <v>0</v>
      </c>
      <c r="T155" t="str">
        <f t="shared" si="21"/>
        <v>OK</v>
      </c>
      <c r="U155" s="25">
        <f t="shared" si="22"/>
        <v>16.5</v>
      </c>
      <c r="V155" t="str">
        <f t="shared" si="23"/>
        <v>OK</v>
      </c>
    </row>
    <row r="156" spans="1:22" ht="18" customHeight="1">
      <c r="A156" t="s">
        <v>102</v>
      </c>
      <c r="B156" t="s">
        <v>103</v>
      </c>
      <c r="C156">
        <v>13</v>
      </c>
      <c r="D156" t="s">
        <v>72</v>
      </c>
      <c r="E156" s="6">
        <f t="shared" si="16"/>
        <v>14</v>
      </c>
      <c r="F156" s="6">
        <f t="shared" si="17"/>
        <v>23</v>
      </c>
      <c r="G156" s="6">
        <f>ROUND(Catalogue!G11*SQRT((1+Paramètres!$B$4*(C156-1)+Paramètres!$B$5*(C156-1)^2)),0)</f>
        <v>0</v>
      </c>
      <c r="H156" s="6">
        <f>ROUND(Catalogue!H11*SQRT((1+Paramètres!$B$4*(C156-1)+Paramètres!$B$5*(C156-1)^2)),0)</f>
        <v>0</v>
      </c>
      <c r="I156" s="6">
        <v>2</v>
      </c>
      <c r="J156" s="6">
        <v>1</v>
      </c>
      <c r="K156" s="7">
        <v>1.1000000000000001</v>
      </c>
      <c r="L156" s="9">
        <f t="shared" si="18"/>
        <v>18.5</v>
      </c>
      <c r="M156">
        <v>3</v>
      </c>
      <c r="N156">
        <v>4</v>
      </c>
      <c r="O156">
        <v>11</v>
      </c>
      <c r="P156" s="13" t="str">
        <f t="shared" si="19"/>
        <v>3d4 + 11</v>
      </c>
      <c r="Q156">
        <f>ROUND(INDEX(Catalogue!E$4:E$85,MATCH(A156,Catalogue!A$4:A$85,0))*(1+Paramètres!$B$4*(C156-1)+Paramètres!$B$5*(C156-1)^2),0)</f>
        <v>14</v>
      </c>
      <c r="R156">
        <f>ROUND(INDEX(Catalogue!F$4:F$85,MATCH(A156,Catalogue!A$4:A$85,0))*(1+Paramètres!$B$4*(C156-1)+Paramètres!$B$5*(C156-1)^2),0)</f>
        <v>23</v>
      </c>
      <c r="S156">
        <f t="shared" si="20"/>
        <v>0</v>
      </c>
      <c r="T156" t="str">
        <f t="shared" si="21"/>
        <v>OK</v>
      </c>
      <c r="U156" s="25">
        <f t="shared" si="22"/>
        <v>18.5</v>
      </c>
      <c r="V156" t="str">
        <f t="shared" si="23"/>
        <v>OK</v>
      </c>
    </row>
    <row r="157" spans="1:22" ht="18" customHeight="1">
      <c r="A157" t="s">
        <v>102</v>
      </c>
      <c r="B157" t="s">
        <v>103</v>
      </c>
      <c r="C157">
        <v>14</v>
      </c>
      <c r="D157" t="s">
        <v>72</v>
      </c>
      <c r="E157" s="6">
        <f t="shared" si="16"/>
        <v>15</v>
      </c>
      <c r="F157" s="6">
        <f t="shared" si="17"/>
        <v>25</v>
      </c>
      <c r="G157" s="6">
        <f>ROUND(Catalogue!G11*SQRT((1+Paramètres!$B$4*(C157-1)+Paramètres!$B$5*(C157-1)^2)),0)</f>
        <v>0</v>
      </c>
      <c r="H157" s="6">
        <f>ROUND(Catalogue!H11*SQRT((1+Paramètres!$B$4*(C157-1)+Paramètres!$B$5*(C157-1)^2)),0)</f>
        <v>0</v>
      </c>
      <c r="I157" s="6">
        <v>2</v>
      </c>
      <c r="J157" s="6">
        <v>1</v>
      </c>
      <c r="K157" s="7">
        <v>1.1000000000000001</v>
      </c>
      <c r="L157" s="9">
        <f t="shared" si="18"/>
        <v>20</v>
      </c>
      <c r="M157">
        <v>2</v>
      </c>
      <c r="N157">
        <v>6</v>
      </c>
      <c r="O157">
        <v>13</v>
      </c>
      <c r="P157" s="13" t="str">
        <f t="shared" si="19"/>
        <v>2d6 + 13</v>
      </c>
      <c r="Q157">
        <f>ROUND(INDEX(Catalogue!E$4:E$85,MATCH(A157,Catalogue!A$4:A$85,0))*(1+Paramètres!$B$4*(C157-1)+Paramètres!$B$5*(C157-1)^2),0)</f>
        <v>15</v>
      </c>
      <c r="R157">
        <f>ROUND(INDEX(Catalogue!F$4:F$85,MATCH(A157,Catalogue!A$4:A$85,0))*(1+Paramètres!$B$4*(C157-1)+Paramètres!$B$5*(C157-1)^2),0)</f>
        <v>26</v>
      </c>
      <c r="S157">
        <f t="shared" si="20"/>
        <v>-0.5</v>
      </c>
      <c r="T157" t="str">
        <f t="shared" si="21"/>
        <v>OK</v>
      </c>
      <c r="U157" s="25">
        <f t="shared" si="22"/>
        <v>20</v>
      </c>
      <c r="V157" t="str">
        <f t="shared" si="23"/>
        <v>OK</v>
      </c>
    </row>
    <row r="158" spans="1:22" ht="18" customHeight="1">
      <c r="A158" t="s">
        <v>102</v>
      </c>
      <c r="B158" t="s">
        <v>103</v>
      </c>
      <c r="C158">
        <v>15</v>
      </c>
      <c r="D158" t="s">
        <v>72</v>
      </c>
      <c r="E158" s="6">
        <f t="shared" si="16"/>
        <v>18</v>
      </c>
      <c r="F158" s="6">
        <f t="shared" si="17"/>
        <v>28</v>
      </c>
      <c r="G158" s="6">
        <f>ROUND(Catalogue!G11*SQRT((1+Paramètres!$B$4*(C158-1)+Paramètres!$B$5*(C158-1)^2)),0)</f>
        <v>0</v>
      </c>
      <c r="H158" s="6">
        <f>ROUND(Catalogue!H11*SQRT((1+Paramètres!$B$4*(C158-1)+Paramètres!$B$5*(C158-1)^2)),0)</f>
        <v>0</v>
      </c>
      <c r="I158" s="6">
        <v>2</v>
      </c>
      <c r="J158" s="6">
        <v>1</v>
      </c>
      <c r="K158" s="7">
        <v>1.1000000000000001</v>
      </c>
      <c r="L158" s="9">
        <f t="shared" si="18"/>
        <v>23</v>
      </c>
      <c r="M158">
        <v>2</v>
      </c>
      <c r="N158">
        <v>6</v>
      </c>
      <c r="O158">
        <v>16</v>
      </c>
      <c r="P158" s="13" t="str">
        <f t="shared" si="19"/>
        <v>2d6 + 16</v>
      </c>
      <c r="Q158">
        <f>ROUND(INDEX(Catalogue!E$4:E$85,MATCH(A158,Catalogue!A$4:A$85,0))*(1+Paramètres!$B$4*(C158-1)+Paramètres!$B$5*(C158-1)^2),0)</f>
        <v>17</v>
      </c>
      <c r="R158">
        <f>ROUND(INDEX(Catalogue!F$4:F$85,MATCH(A158,Catalogue!A$4:A$85,0))*(1+Paramètres!$B$4*(C158-1)+Paramètres!$B$5*(C158-1)^2),0)</f>
        <v>28</v>
      </c>
      <c r="S158">
        <f t="shared" si="20"/>
        <v>0.5</v>
      </c>
      <c r="T158" t="str">
        <f t="shared" si="21"/>
        <v>OK</v>
      </c>
      <c r="U158" s="25">
        <f t="shared" si="22"/>
        <v>23</v>
      </c>
      <c r="V158" t="str">
        <f t="shared" si="23"/>
        <v>OK</v>
      </c>
    </row>
    <row r="159" spans="1:22" ht="18" customHeight="1">
      <c r="A159" t="s">
        <v>102</v>
      </c>
      <c r="B159" t="s">
        <v>103</v>
      </c>
      <c r="C159">
        <v>16</v>
      </c>
      <c r="D159" t="s">
        <v>72</v>
      </c>
      <c r="E159" s="6">
        <f t="shared" si="16"/>
        <v>19</v>
      </c>
      <c r="F159" s="6">
        <f t="shared" si="17"/>
        <v>31</v>
      </c>
      <c r="G159" s="6">
        <f>ROUND(Catalogue!G11*SQRT((1+Paramètres!$B$4*(C159-1)+Paramètres!$B$5*(C159-1)^2)),0)</f>
        <v>0</v>
      </c>
      <c r="H159" s="6">
        <f>ROUND(Catalogue!H11*SQRT((1+Paramètres!$B$4*(C159-1)+Paramètres!$B$5*(C159-1)^2)),0)</f>
        <v>0</v>
      </c>
      <c r="I159" s="6">
        <v>2</v>
      </c>
      <c r="J159" s="6">
        <v>1</v>
      </c>
      <c r="K159" s="7">
        <v>1.1000000000000001</v>
      </c>
      <c r="L159" s="9">
        <f t="shared" si="18"/>
        <v>25</v>
      </c>
      <c r="M159">
        <v>4</v>
      </c>
      <c r="N159">
        <v>4</v>
      </c>
      <c r="O159">
        <v>15</v>
      </c>
      <c r="P159" s="13" t="str">
        <f t="shared" si="19"/>
        <v>4d4 + 15</v>
      </c>
      <c r="Q159">
        <f>ROUND(INDEX(Catalogue!E$4:E$85,MATCH(A159,Catalogue!A$4:A$85,0))*(1+Paramètres!$B$4*(C159-1)+Paramètres!$B$5*(C159-1)^2),0)</f>
        <v>19</v>
      </c>
      <c r="R159">
        <f>ROUND(INDEX(Catalogue!F$4:F$85,MATCH(A159,Catalogue!A$4:A$85,0))*(1+Paramètres!$B$4*(C159-1)+Paramètres!$B$5*(C159-1)^2),0)</f>
        <v>31</v>
      </c>
      <c r="S159">
        <f t="shared" si="20"/>
        <v>0</v>
      </c>
      <c r="T159" t="str">
        <f t="shared" si="21"/>
        <v>OK</v>
      </c>
      <c r="U159" s="25">
        <f t="shared" si="22"/>
        <v>25</v>
      </c>
      <c r="V159" t="str">
        <f t="shared" si="23"/>
        <v>OK</v>
      </c>
    </row>
    <row r="160" spans="1:22" ht="18" customHeight="1">
      <c r="A160" t="s">
        <v>102</v>
      </c>
      <c r="B160" t="s">
        <v>103</v>
      </c>
      <c r="C160">
        <v>17</v>
      </c>
      <c r="D160" t="s">
        <v>72</v>
      </c>
      <c r="E160" s="6">
        <f t="shared" si="16"/>
        <v>20</v>
      </c>
      <c r="F160" s="6">
        <f t="shared" si="17"/>
        <v>34</v>
      </c>
      <c r="G160" s="6">
        <f>ROUND(Catalogue!G11*SQRT((1+Paramètres!$B$4*(C160-1)+Paramètres!$B$5*(C160-1)^2)),0)</f>
        <v>0</v>
      </c>
      <c r="H160" s="6">
        <f>ROUND(Catalogue!H11*SQRT((1+Paramètres!$B$4*(C160-1)+Paramètres!$B$5*(C160-1)^2)),0)</f>
        <v>0</v>
      </c>
      <c r="I160" s="6">
        <v>2</v>
      </c>
      <c r="J160" s="6">
        <v>1</v>
      </c>
      <c r="K160" s="7">
        <v>1.1000000000000001</v>
      </c>
      <c r="L160" s="9">
        <f t="shared" si="18"/>
        <v>27</v>
      </c>
      <c r="M160">
        <v>2</v>
      </c>
      <c r="N160">
        <v>8</v>
      </c>
      <c r="O160">
        <v>18</v>
      </c>
      <c r="P160" s="13" t="str">
        <f t="shared" si="19"/>
        <v>2d8 + 18</v>
      </c>
      <c r="Q160">
        <f>ROUND(INDEX(Catalogue!E$4:E$85,MATCH(A160,Catalogue!A$4:A$85,0))*(1+Paramètres!$B$4*(C160-1)+Paramètres!$B$5*(C160-1)^2),0)</f>
        <v>21</v>
      </c>
      <c r="R160">
        <f>ROUND(INDEX(Catalogue!F$4:F$85,MATCH(A160,Catalogue!A$4:A$85,0))*(1+Paramètres!$B$4*(C160-1)+Paramètres!$B$5*(C160-1)^2),0)</f>
        <v>34</v>
      </c>
      <c r="S160">
        <f t="shared" si="20"/>
        <v>-0.5</v>
      </c>
      <c r="T160" t="str">
        <f t="shared" si="21"/>
        <v>OK</v>
      </c>
      <c r="U160" s="25">
        <f t="shared" si="22"/>
        <v>27</v>
      </c>
      <c r="V160" t="str">
        <f t="shared" si="23"/>
        <v>OK</v>
      </c>
    </row>
    <row r="161" spans="1:22" ht="18" customHeight="1">
      <c r="A161" t="s">
        <v>102</v>
      </c>
      <c r="B161" t="s">
        <v>103</v>
      </c>
      <c r="C161">
        <v>18</v>
      </c>
      <c r="D161" t="s">
        <v>72</v>
      </c>
      <c r="E161" s="6">
        <f t="shared" si="16"/>
        <v>22</v>
      </c>
      <c r="F161" s="6">
        <f t="shared" si="17"/>
        <v>37</v>
      </c>
      <c r="G161" s="6">
        <f>ROUND(Catalogue!G11*SQRT((1+Paramètres!$B$4*(C161-1)+Paramètres!$B$5*(C161-1)^2)),0)</f>
        <v>0</v>
      </c>
      <c r="H161" s="6">
        <f>ROUND(Catalogue!H11*SQRT((1+Paramètres!$B$4*(C161-1)+Paramètres!$B$5*(C161-1)^2)),0)</f>
        <v>0</v>
      </c>
      <c r="I161" s="6">
        <v>2</v>
      </c>
      <c r="J161" s="6">
        <v>1</v>
      </c>
      <c r="K161" s="7">
        <v>1.1000000000000001</v>
      </c>
      <c r="L161" s="9">
        <f t="shared" si="18"/>
        <v>29.5</v>
      </c>
      <c r="M161">
        <v>3</v>
      </c>
      <c r="N161">
        <v>6</v>
      </c>
      <c r="O161">
        <v>19</v>
      </c>
      <c r="P161" s="13" t="str">
        <f t="shared" si="19"/>
        <v>3d6 + 19</v>
      </c>
      <c r="Q161">
        <f>ROUND(INDEX(Catalogue!E$4:E$85,MATCH(A161,Catalogue!A$4:A$85,0))*(1+Paramètres!$B$4*(C161-1)+Paramètres!$B$5*(C161-1)^2),0)</f>
        <v>22</v>
      </c>
      <c r="R161">
        <f>ROUND(INDEX(Catalogue!F$4:F$85,MATCH(A161,Catalogue!A$4:A$85,0))*(1+Paramètres!$B$4*(C161-1)+Paramètres!$B$5*(C161-1)^2),0)</f>
        <v>37</v>
      </c>
      <c r="S161">
        <f t="shared" si="20"/>
        <v>0</v>
      </c>
      <c r="T161" t="str">
        <f t="shared" si="21"/>
        <v>OK</v>
      </c>
      <c r="U161" s="25">
        <f t="shared" si="22"/>
        <v>29.5</v>
      </c>
      <c r="V161" t="str">
        <f t="shared" si="23"/>
        <v>OK</v>
      </c>
    </row>
    <row r="162" spans="1:22" ht="18" customHeight="1">
      <c r="A162" t="s">
        <v>102</v>
      </c>
      <c r="B162" t="s">
        <v>103</v>
      </c>
      <c r="C162">
        <v>19</v>
      </c>
      <c r="D162" t="s">
        <v>72</v>
      </c>
      <c r="E162" s="6">
        <f t="shared" si="16"/>
        <v>23</v>
      </c>
      <c r="F162" s="6">
        <f t="shared" si="17"/>
        <v>41</v>
      </c>
      <c r="G162" s="6">
        <f>ROUND(Catalogue!G11*SQRT((1+Paramètres!$B$4*(C162-1)+Paramètres!$B$5*(C162-1)^2)),0)</f>
        <v>0</v>
      </c>
      <c r="H162" s="6">
        <f>ROUND(Catalogue!H11*SQRT((1+Paramètres!$B$4*(C162-1)+Paramètres!$B$5*(C162-1)^2)),0)</f>
        <v>0</v>
      </c>
      <c r="I162" s="6">
        <v>2</v>
      </c>
      <c r="J162" s="6">
        <v>1</v>
      </c>
      <c r="K162" s="7">
        <v>1.1000000000000001</v>
      </c>
      <c r="L162" s="9">
        <f t="shared" si="18"/>
        <v>32</v>
      </c>
      <c r="M162">
        <v>2</v>
      </c>
      <c r="N162">
        <v>10</v>
      </c>
      <c r="O162">
        <v>21</v>
      </c>
      <c r="P162" s="13" t="str">
        <f t="shared" si="19"/>
        <v>2d10 + 21</v>
      </c>
      <c r="Q162">
        <f>ROUND(INDEX(Catalogue!E$4:E$85,MATCH(A162,Catalogue!A$4:A$85,0))*(1+Paramètres!$B$4*(C162-1)+Paramètres!$B$5*(C162-1)^2),0)</f>
        <v>24</v>
      </c>
      <c r="R162">
        <f>ROUND(INDEX(Catalogue!F$4:F$85,MATCH(A162,Catalogue!A$4:A$85,0))*(1+Paramètres!$B$4*(C162-1)+Paramètres!$B$5*(C162-1)^2),0)</f>
        <v>41</v>
      </c>
      <c r="S162">
        <f t="shared" si="20"/>
        <v>-0.5</v>
      </c>
      <c r="T162" t="str">
        <f t="shared" si="21"/>
        <v>OK</v>
      </c>
      <c r="U162" s="25">
        <f t="shared" si="22"/>
        <v>32</v>
      </c>
      <c r="V162" t="str">
        <f t="shared" si="23"/>
        <v>OK</v>
      </c>
    </row>
    <row r="163" spans="1:22" ht="18" customHeight="1">
      <c r="A163" t="s">
        <v>102</v>
      </c>
      <c r="B163" t="s">
        <v>103</v>
      </c>
      <c r="C163">
        <v>20</v>
      </c>
      <c r="D163" t="s">
        <v>72</v>
      </c>
      <c r="E163" s="6">
        <f t="shared" si="16"/>
        <v>26</v>
      </c>
      <c r="F163" s="6">
        <f t="shared" si="17"/>
        <v>44</v>
      </c>
      <c r="G163" s="6">
        <f>ROUND(Catalogue!G11*SQRT((1+Paramètres!$B$4*(C163-1)+Paramètres!$B$5*(C163-1)^2)),0)</f>
        <v>0</v>
      </c>
      <c r="H163" s="6">
        <f>ROUND(Catalogue!H11*SQRT((1+Paramètres!$B$4*(C163-1)+Paramètres!$B$5*(C163-1)^2)),0)</f>
        <v>0</v>
      </c>
      <c r="I163" s="6">
        <v>2</v>
      </c>
      <c r="J163" s="6">
        <v>1</v>
      </c>
      <c r="K163" s="7">
        <v>1.1000000000000001</v>
      </c>
      <c r="L163" s="9">
        <f t="shared" si="18"/>
        <v>35</v>
      </c>
      <c r="M163">
        <v>2</v>
      </c>
      <c r="N163">
        <v>10</v>
      </c>
      <c r="O163">
        <v>24</v>
      </c>
      <c r="P163" s="13" t="str">
        <f t="shared" si="19"/>
        <v>2d10 + 24</v>
      </c>
      <c r="Q163">
        <f>ROUND(INDEX(Catalogue!E$4:E$85,MATCH(A163,Catalogue!A$4:A$85,0))*(1+Paramètres!$B$4*(C163-1)+Paramètres!$B$5*(C163-1)^2),0)</f>
        <v>27</v>
      </c>
      <c r="R163">
        <f>ROUND(INDEX(Catalogue!F$4:F$85,MATCH(A163,Catalogue!A$4:A$85,0))*(1+Paramètres!$B$4*(C163-1)+Paramètres!$B$5*(C163-1)^2),0)</f>
        <v>44</v>
      </c>
      <c r="S163">
        <f t="shared" si="20"/>
        <v>-0.5</v>
      </c>
      <c r="T163" t="str">
        <f t="shared" si="21"/>
        <v>OK</v>
      </c>
      <c r="U163" s="25">
        <f t="shared" si="22"/>
        <v>35</v>
      </c>
      <c r="V163" t="str">
        <f t="shared" si="23"/>
        <v>OK</v>
      </c>
    </row>
    <row r="164" spans="1:22" ht="18" customHeight="1">
      <c r="A164" t="s">
        <v>105</v>
      </c>
      <c r="B164" t="s">
        <v>106</v>
      </c>
      <c r="C164">
        <v>1</v>
      </c>
      <c r="D164" t="s">
        <v>72</v>
      </c>
      <c r="E164" s="6">
        <f t="shared" si="16"/>
        <v>2</v>
      </c>
      <c r="F164" s="6">
        <f t="shared" si="17"/>
        <v>5</v>
      </c>
      <c r="G164" s="6">
        <f>ROUND(Catalogue!G12*SQRT((1+Paramètres!$B$4*(C164-1)+Paramètres!$B$5*(C164-1)^2)),0)</f>
        <v>0</v>
      </c>
      <c r="H164" s="6">
        <f>ROUND(Catalogue!H12*SQRT((1+Paramètres!$B$4*(C164-1)+Paramètres!$B$5*(C164-1)^2)),0)</f>
        <v>0</v>
      </c>
      <c r="I164" s="6">
        <v>2</v>
      </c>
      <c r="J164" s="6">
        <v>1</v>
      </c>
      <c r="K164" s="7">
        <v>1.2</v>
      </c>
      <c r="L164" s="9">
        <f t="shared" si="18"/>
        <v>3.5</v>
      </c>
      <c r="M164">
        <v>1</v>
      </c>
      <c r="N164">
        <v>4</v>
      </c>
      <c r="O164">
        <v>1</v>
      </c>
      <c r="P164" s="13" t="str">
        <f t="shared" si="19"/>
        <v>1d4 + 1</v>
      </c>
      <c r="Q164">
        <f>ROUND(INDEX(Catalogue!E$4:E$85,MATCH(A164,Catalogue!A$4:A$85,0))*(1+Paramètres!$B$4*(C164-1)+Paramètres!$B$5*(C164-1)^2),0)</f>
        <v>3</v>
      </c>
      <c r="R164">
        <f>ROUND(INDEX(Catalogue!F$4:F$85,MATCH(A164,Catalogue!A$4:A$85,0))*(1+Paramètres!$B$4*(C164-1)+Paramètres!$B$5*(C164-1)^2),0)</f>
        <v>5</v>
      </c>
      <c r="S164">
        <f t="shared" si="20"/>
        <v>-0.5</v>
      </c>
      <c r="T164" t="str">
        <f t="shared" si="21"/>
        <v>OK</v>
      </c>
      <c r="U164" s="25">
        <f t="shared" si="22"/>
        <v>3.5</v>
      </c>
      <c r="V164" t="str">
        <f t="shared" si="23"/>
        <v>OK</v>
      </c>
    </row>
    <row r="165" spans="1:22" ht="18" customHeight="1">
      <c r="A165" t="s">
        <v>105</v>
      </c>
      <c r="B165" t="s">
        <v>106</v>
      </c>
      <c r="C165">
        <v>2</v>
      </c>
      <c r="D165" t="s">
        <v>72</v>
      </c>
      <c r="E165" s="6">
        <f t="shared" si="16"/>
        <v>3</v>
      </c>
      <c r="F165" s="6">
        <f t="shared" si="17"/>
        <v>6</v>
      </c>
      <c r="G165" s="6">
        <f>ROUND(Catalogue!G12*SQRT((1+Paramètres!$B$4*(C165-1)+Paramètres!$B$5*(C165-1)^2)),0)</f>
        <v>0</v>
      </c>
      <c r="H165" s="6">
        <f>ROUND(Catalogue!H12*SQRT((1+Paramètres!$B$4*(C165-1)+Paramètres!$B$5*(C165-1)^2)),0)</f>
        <v>0</v>
      </c>
      <c r="I165" s="6">
        <v>2</v>
      </c>
      <c r="J165" s="6">
        <v>1</v>
      </c>
      <c r="K165" s="7">
        <v>1.2</v>
      </c>
      <c r="L165" s="9">
        <f t="shared" si="18"/>
        <v>4.5</v>
      </c>
      <c r="M165">
        <v>1</v>
      </c>
      <c r="N165">
        <v>4</v>
      </c>
      <c r="O165">
        <v>2</v>
      </c>
      <c r="P165" s="13" t="str">
        <f t="shared" si="19"/>
        <v>1d4 + 2</v>
      </c>
      <c r="Q165">
        <f>ROUND(INDEX(Catalogue!E$4:E$85,MATCH(A165,Catalogue!A$4:A$85,0))*(1+Paramètres!$B$4*(C165-1)+Paramètres!$B$5*(C165-1)^2),0)</f>
        <v>3</v>
      </c>
      <c r="R165">
        <f>ROUND(INDEX(Catalogue!F$4:F$85,MATCH(A165,Catalogue!A$4:A$85,0))*(1+Paramètres!$B$4*(C165-1)+Paramètres!$B$5*(C165-1)^2),0)</f>
        <v>6</v>
      </c>
      <c r="S165">
        <f t="shared" si="20"/>
        <v>0</v>
      </c>
      <c r="T165" t="str">
        <f t="shared" si="21"/>
        <v>OK</v>
      </c>
      <c r="U165" s="25">
        <f t="shared" si="22"/>
        <v>4.5</v>
      </c>
      <c r="V165" t="str">
        <f t="shared" si="23"/>
        <v>OK</v>
      </c>
    </row>
    <row r="166" spans="1:22" ht="18" customHeight="1">
      <c r="A166" t="s">
        <v>105</v>
      </c>
      <c r="B166" t="s">
        <v>106</v>
      </c>
      <c r="C166">
        <v>3</v>
      </c>
      <c r="D166" t="s">
        <v>72</v>
      </c>
      <c r="E166" s="6">
        <f t="shared" si="16"/>
        <v>3</v>
      </c>
      <c r="F166" s="6">
        <f t="shared" si="17"/>
        <v>6</v>
      </c>
      <c r="G166" s="6">
        <f>ROUND(Catalogue!G12*SQRT((1+Paramètres!$B$4*(C166-1)+Paramètres!$B$5*(C166-1)^2)),0)</f>
        <v>0</v>
      </c>
      <c r="H166" s="6">
        <f>ROUND(Catalogue!H12*SQRT((1+Paramètres!$B$4*(C166-1)+Paramètres!$B$5*(C166-1)^2)),0)</f>
        <v>0</v>
      </c>
      <c r="I166" s="6">
        <v>2</v>
      </c>
      <c r="J166" s="6">
        <v>1</v>
      </c>
      <c r="K166" s="7">
        <v>1.2</v>
      </c>
      <c r="L166" s="9">
        <f t="shared" si="18"/>
        <v>4.5</v>
      </c>
      <c r="M166">
        <v>1</v>
      </c>
      <c r="N166">
        <v>4</v>
      </c>
      <c r="O166">
        <v>2</v>
      </c>
      <c r="P166" s="13" t="str">
        <f t="shared" si="19"/>
        <v>1d4 + 2</v>
      </c>
      <c r="Q166">
        <f>ROUND(INDEX(Catalogue!E$4:E$85,MATCH(A166,Catalogue!A$4:A$85,0))*(1+Paramètres!$B$4*(C166-1)+Paramètres!$B$5*(C166-1)^2),0)</f>
        <v>4</v>
      </c>
      <c r="R166">
        <f>ROUND(INDEX(Catalogue!F$4:F$85,MATCH(A166,Catalogue!A$4:A$85,0))*(1+Paramètres!$B$4*(C166-1)+Paramètres!$B$5*(C166-1)^2),0)</f>
        <v>6</v>
      </c>
      <c r="S166">
        <f t="shared" si="20"/>
        <v>-0.5</v>
      </c>
      <c r="T166" t="str">
        <f t="shared" si="21"/>
        <v>OK</v>
      </c>
      <c r="U166" s="25">
        <f t="shared" si="22"/>
        <v>4.5</v>
      </c>
      <c r="V166" t="str">
        <f t="shared" si="23"/>
        <v>OK</v>
      </c>
    </row>
    <row r="167" spans="1:22" ht="18" customHeight="1">
      <c r="A167" t="s">
        <v>105</v>
      </c>
      <c r="B167" t="s">
        <v>106</v>
      </c>
      <c r="C167">
        <v>4</v>
      </c>
      <c r="D167" t="s">
        <v>72</v>
      </c>
      <c r="E167" s="6">
        <f t="shared" si="16"/>
        <v>4</v>
      </c>
      <c r="F167" s="6">
        <f t="shared" si="17"/>
        <v>7</v>
      </c>
      <c r="G167" s="6">
        <f>ROUND(Catalogue!G12*SQRT((1+Paramètres!$B$4*(C167-1)+Paramètres!$B$5*(C167-1)^2)),0)</f>
        <v>0</v>
      </c>
      <c r="H167" s="6">
        <f>ROUND(Catalogue!H12*SQRT((1+Paramètres!$B$4*(C167-1)+Paramètres!$B$5*(C167-1)^2)),0)</f>
        <v>0</v>
      </c>
      <c r="I167" s="6">
        <v>2</v>
      </c>
      <c r="J167" s="6">
        <v>1</v>
      </c>
      <c r="K167" s="7">
        <v>1.2</v>
      </c>
      <c r="L167" s="9">
        <f t="shared" si="18"/>
        <v>5.5</v>
      </c>
      <c r="M167">
        <v>1</v>
      </c>
      <c r="N167">
        <v>4</v>
      </c>
      <c r="O167">
        <v>3</v>
      </c>
      <c r="P167" s="13" t="str">
        <f t="shared" si="19"/>
        <v>1d4 + 3</v>
      </c>
      <c r="Q167">
        <f>ROUND(INDEX(Catalogue!E$4:E$85,MATCH(A167,Catalogue!A$4:A$85,0))*(1+Paramètres!$B$4*(C167-1)+Paramètres!$B$5*(C167-1)^2),0)</f>
        <v>4</v>
      </c>
      <c r="R167">
        <f>ROUND(INDEX(Catalogue!F$4:F$85,MATCH(A167,Catalogue!A$4:A$85,0))*(1+Paramètres!$B$4*(C167-1)+Paramètres!$B$5*(C167-1)^2),0)</f>
        <v>7</v>
      </c>
      <c r="S167">
        <f t="shared" si="20"/>
        <v>0</v>
      </c>
      <c r="T167" t="str">
        <f t="shared" si="21"/>
        <v>OK</v>
      </c>
      <c r="U167" s="25">
        <f t="shared" si="22"/>
        <v>5.5</v>
      </c>
      <c r="V167" t="str">
        <f t="shared" si="23"/>
        <v>OK</v>
      </c>
    </row>
    <row r="168" spans="1:22" ht="18" customHeight="1">
      <c r="A168" t="s">
        <v>105</v>
      </c>
      <c r="B168" t="s">
        <v>106</v>
      </c>
      <c r="C168">
        <v>5</v>
      </c>
      <c r="D168" t="s">
        <v>72</v>
      </c>
      <c r="E168" s="6">
        <f t="shared" si="16"/>
        <v>5</v>
      </c>
      <c r="F168" s="6">
        <f t="shared" si="17"/>
        <v>8</v>
      </c>
      <c r="G168" s="6">
        <f>ROUND(Catalogue!G12*SQRT((1+Paramètres!$B$4*(C168-1)+Paramètres!$B$5*(C168-1)^2)),0)</f>
        <v>0</v>
      </c>
      <c r="H168" s="6">
        <f>ROUND(Catalogue!H12*SQRT((1+Paramètres!$B$4*(C168-1)+Paramètres!$B$5*(C168-1)^2)),0)</f>
        <v>0</v>
      </c>
      <c r="I168" s="6">
        <v>2</v>
      </c>
      <c r="J168" s="6">
        <v>1</v>
      </c>
      <c r="K168" s="7">
        <v>1.2</v>
      </c>
      <c r="L168" s="9">
        <f t="shared" si="18"/>
        <v>6.5</v>
      </c>
      <c r="M168">
        <v>1</v>
      </c>
      <c r="N168">
        <v>4</v>
      </c>
      <c r="O168">
        <v>4</v>
      </c>
      <c r="P168" s="13" t="str">
        <f t="shared" si="19"/>
        <v>1d4 + 4</v>
      </c>
      <c r="Q168">
        <f>ROUND(INDEX(Catalogue!E$4:E$85,MATCH(A168,Catalogue!A$4:A$85,0))*(1+Paramètres!$B$4*(C168-1)+Paramètres!$B$5*(C168-1)^2),0)</f>
        <v>5</v>
      </c>
      <c r="R168">
        <f>ROUND(INDEX(Catalogue!F$4:F$85,MATCH(A168,Catalogue!A$4:A$85,0))*(1+Paramètres!$B$4*(C168-1)+Paramètres!$B$5*(C168-1)^2),0)</f>
        <v>8</v>
      </c>
      <c r="S168">
        <f t="shared" si="20"/>
        <v>0</v>
      </c>
      <c r="T168" t="str">
        <f t="shared" si="21"/>
        <v>OK</v>
      </c>
      <c r="U168" s="25">
        <f t="shared" si="22"/>
        <v>6.5</v>
      </c>
      <c r="V168" t="str">
        <f t="shared" si="23"/>
        <v>OK</v>
      </c>
    </row>
    <row r="169" spans="1:22" ht="18" customHeight="1">
      <c r="A169" t="s">
        <v>105</v>
      </c>
      <c r="B169" t="s">
        <v>106</v>
      </c>
      <c r="C169">
        <v>6</v>
      </c>
      <c r="D169" t="s">
        <v>72</v>
      </c>
      <c r="E169" s="6">
        <f t="shared" si="16"/>
        <v>6</v>
      </c>
      <c r="F169" s="6">
        <f t="shared" si="17"/>
        <v>9</v>
      </c>
      <c r="G169" s="6">
        <f>ROUND(Catalogue!G12*SQRT((1+Paramètres!$B$4*(C169-1)+Paramètres!$B$5*(C169-1)^2)),0)</f>
        <v>0</v>
      </c>
      <c r="H169" s="6">
        <f>ROUND(Catalogue!H12*SQRT((1+Paramètres!$B$4*(C169-1)+Paramètres!$B$5*(C169-1)^2)),0)</f>
        <v>0</v>
      </c>
      <c r="I169" s="6">
        <v>2</v>
      </c>
      <c r="J169" s="6">
        <v>1</v>
      </c>
      <c r="K169" s="7">
        <v>1.2</v>
      </c>
      <c r="L169" s="9">
        <f t="shared" si="18"/>
        <v>7.5</v>
      </c>
      <c r="M169">
        <v>1</v>
      </c>
      <c r="N169">
        <v>4</v>
      </c>
      <c r="O169">
        <v>5</v>
      </c>
      <c r="P169" s="13" t="str">
        <f t="shared" si="19"/>
        <v>1d4 + 5</v>
      </c>
      <c r="Q169">
        <f>ROUND(INDEX(Catalogue!E$4:E$85,MATCH(A169,Catalogue!A$4:A$85,0))*(1+Paramètres!$B$4*(C169-1)+Paramètres!$B$5*(C169-1)^2),0)</f>
        <v>6</v>
      </c>
      <c r="R169">
        <f>ROUND(INDEX(Catalogue!F$4:F$85,MATCH(A169,Catalogue!A$4:A$85,0))*(1+Paramètres!$B$4*(C169-1)+Paramètres!$B$5*(C169-1)^2),0)</f>
        <v>10</v>
      </c>
      <c r="S169">
        <f t="shared" si="20"/>
        <v>-0.5</v>
      </c>
      <c r="T169" t="str">
        <f t="shared" si="21"/>
        <v>OK</v>
      </c>
      <c r="U169" s="25">
        <f t="shared" si="22"/>
        <v>7.5</v>
      </c>
      <c r="V169" t="str">
        <f t="shared" si="23"/>
        <v>OK</v>
      </c>
    </row>
    <row r="170" spans="1:22" ht="18" customHeight="1">
      <c r="A170" t="s">
        <v>105</v>
      </c>
      <c r="B170" t="s">
        <v>106</v>
      </c>
      <c r="C170">
        <v>7</v>
      </c>
      <c r="D170" t="s">
        <v>72</v>
      </c>
      <c r="E170" s="6">
        <f t="shared" si="16"/>
        <v>7</v>
      </c>
      <c r="F170" s="6">
        <f t="shared" si="17"/>
        <v>10</v>
      </c>
      <c r="G170" s="6">
        <f>ROUND(Catalogue!G12*SQRT((1+Paramètres!$B$4*(C170-1)+Paramètres!$B$5*(C170-1)^2)),0)</f>
        <v>0</v>
      </c>
      <c r="H170" s="6">
        <f>ROUND(Catalogue!H12*SQRT((1+Paramètres!$B$4*(C170-1)+Paramètres!$B$5*(C170-1)^2)),0)</f>
        <v>0</v>
      </c>
      <c r="I170" s="6">
        <v>2</v>
      </c>
      <c r="J170" s="6">
        <v>1</v>
      </c>
      <c r="K170" s="7">
        <v>1.2</v>
      </c>
      <c r="L170" s="9">
        <f t="shared" si="18"/>
        <v>8.5</v>
      </c>
      <c r="M170">
        <v>1</v>
      </c>
      <c r="N170">
        <v>4</v>
      </c>
      <c r="O170">
        <v>6</v>
      </c>
      <c r="P170" s="13" t="str">
        <f t="shared" si="19"/>
        <v>1d4 + 6</v>
      </c>
      <c r="Q170">
        <f>ROUND(INDEX(Catalogue!E$4:E$85,MATCH(A170,Catalogue!A$4:A$85,0))*(1+Paramètres!$B$4*(C170-1)+Paramètres!$B$5*(C170-1)^2),0)</f>
        <v>7</v>
      </c>
      <c r="R170">
        <f>ROUND(INDEX(Catalogue!F$4:F$85,MATCH(A170,Catalogue!A$4:A$85,0))*(1+Paramètres!$B$4*(C170-1)+Paramètres!$B$5*(C170-1)^2),0)</f>
        <v>11</v>
      </c>
      <c r="S170">
        <f t="shared" si="20"/>
        <v>-0.5</v>
      </c>
      <c r="T170" t="str">
        <f t="shared" si="21"/>
        <v>OK</v>
      </c>
      <c r="U170" s="25">
        <f t="shared" si="22"/>
        <v>8.5</v>
      </c>
      <c r="V170" t="str">
        <f t="shared" si="23"/>
        <v>OK</v>
      </c>
    </row>
    <row r="171" spans="1:22" ht="18" customHeight="1">
      <c r="A171" t="s">
        <v>105</v>
      </c>
      <c r="B171" t="s">
        <v>106</v>
      </c>
      <c r="C171">
        <v>8</v>
      </c>
      <c r="D171" t="s">
        <v>72</v>
      </c>
      <c r="E171" s="6">
        <f t="shared" si="16"/>
        <v>8</v>
      </c>
      <c r="F171" s="6">
        <f t="shared" si="17"/>
        <v>13</v>
      </c>
      <c r="G171" s="6">
        <f>ROUND(Catalogue!G12*SQRT((1+Paramètres!$B$4*(C171-1)+Paramètres!$B$5*(C171-1)^2)),0)</f>
        <v>0</v>
      </c>
      <c r="H171" s="6">
        <f>ROUND(Catalogue!H12*SQRT((1+Paramètres!$B$4*(C171-1)+Paramètres!$B$5*(C171-1)^2)),0)</f>
        <v>0</v>
      </c>
      <c r="I171" s="6">
        <v>2</v>
      </c>
      <c r="J171" s="6">
        <v>1</v>
      </c>
      <c r="K171" s="7">
        <v>1.2</v>
      </c>
      <c r="L171" s="9">
        <f t="shared" si="18"/>
        <v>10.5</v>
      </c>
      <c r="M171">
        <v>1</v>
      </c>
      <c r="N171">
        <v>6</v>
      </c>
      <c r="O171">
        <v>7</v>
      </c>
      <c r="P171" s="13" t="str">
        <f t="shared" si="19"/>
        <v>1d6 + 7</v>
      </c>
      <c r="Q171">
        <f>ROUND(INDEX(Catalogue!E$4:E$85,MATCH(A171,Catalogue!A$4:A$85,0))*(1+Paramètres!$B$4*(C171-1)+Paramètres!$B$5*(C171-1)^2),0)</f>
        <v>8</v>
      </c>
      <c r="R171">
        <f>ROUND(INDEX(Catalogue!F$4:F$85,MATCH(A171,Catalogue!A$4:A$85,0))*(1+Paramètres!$B$4*(C171-1)+Paramètres!$B$5*(C171-1)^2),0)</f>
        <v>13</v>
      </c>
      <c r="S171">
        <f t="shared" si="20"/>
        <v>0</v>
      </c>
      <c r="T171" t="str">
        <f t="shared" si="21"/>
        <v>OK</v>
      </c>
      <c r="U171" s="25">
        <f t="shared" si="22"/>
        <v>10.5</v>
      </c>
      <c r="V171" t="str">
        <f t="shared" si="23"/>
        <v>OK</v>
      </c>
    </row>
    <row r="172" spans="1:22" ht="18" customHeight="1">
      <c r="A172" t="s">
        <v>105</v>
      </c>
      <c r="B172" t="s">
        <v>106</v>
      </c>
      <c r="C172">
        <v>9</v>
      </c>
      <c r="D172" t="s">
        <v>72</v>
      </c>
      <c r="E172" s="6">
        <f t="shared" si="16"/>
        <v>9</v>
      </c>
      <c r="F172" s="6">
        <f t="shared" si="17"/>
        <v>15</v>
      </c>
      <c r="G172" s="6">
        <f>ROUND(Catalogue!G12*SQRT((1+Paramètres!$B$4*(C172-1)+Paramètres!$B$5*(C172-1)^2)),0)</f>
        <v>0</v>
      </c>
      <c r="H172" s="6">
        <f>ROUND(Catalogue!H12*SQRT((1+Paramètres!$B$4*(C172-1)+Paramètres!$B$5*(C172-1)^2)),0)</f>
        <v>0</v>
      </c>
      <c r="I172" s="6">
        <v>2</v>
      </c>
      <c r="J172" s="6">
        <v>1</v>
      </c>
      <c r="K172" s="7">
        <v>1.2</v>
      </c>
      <c r="L172" s="9">
        <f t="shared" si="18"/>
        <v>12</v>
      </c>
      <c r="M172">
        <v>2</v>
      </c>
      <c r="N172">
        <v>4</v>
      </c>
      <c r="O172">
        <v>7</v>
      </c>
      <c r="P172" s="13" t="str">
        <f t="shared" si="19"/>
        <v>2d4 + 7</v>
      </c>
      <c r="Q172">
        <f>ROUND(INDEX(Catalogue!E$4:E$85,MATCH(A172,Catalogue!A$4:A$85,0))*(1+Paramètres!$B$4*(C172-1)+Paramètres!$B$5*(C172-1)^2),0)</f>
        <v>9</v>
      </c>
      <c r="R172">
        <f>ROUND(INDEX(Catalogue!F$4:F$85,MATCH(A172,Catalogue!A$4:A$85,0))*(1+Paramètres!$B$4*(C172-1)+Paramètres!$B$5*(C172-1)^2),0)</f>
        <v>15</v>
      </c>
      <c r="S172">
        <f t="shared" si="20"/>
        <v>0</v>
      </c>
      <c r="T172" t="str">
        <f t="shared" si="21"/>
        <v>OK</v>
      </c>
      <c r="U172" s="25">
        <f t="shared" si="22"/>
        <v>12</v>
      </c>
      <c r="V172" t="str">
        <f t="shared" si="23"/>
        <v>OK</v>
      </c>
    </row>
    <row r="173" spans="1:22" ht="18" customHeight="1">
      <c r="A173" t="s">
        <v>105</v>
      </c>
      <c r="B173" t="s">
        <v>106</v>
      </c>
      <c r="C173">
        <v>10</v>
      </c>
      <c r="D173" t="s">
        <v>72</v>
      </c>
      <c r="E173" s="6">
        <f t="shared" si="16"/>
        <v>10</v>
      </c>
      <c r="F173" s="6">
        <f t="shared" si="17"/>
        <v>16</v>
      </c>
      <c r="G173" s="6">
        <f>ROUND(Catalogue!G12*SQRT((1+Paramètres!$B$4*(C173-1)+Paramètres!$B$5*(C173-1)^2)),0)</f>
        <v>0</v>
      </c>
      <c r="H173" s="6">
        <f>ROUND(Catalogue!H12*SQRT((1+Paramètres!$B$4*(C173-1)+Paramètres!$B$5*(C173-1)^2)),0)</f>
        <v>0</v>
      </c>
      <c r="I173" s="6">
        <v>2</v>
      </c>
      <c r="J173" s="6">
        <v>1</v>
      </c>
      <c r="K173" s="7">
        <v>1.2</v>
      </c>
      <c r="L173" s="9">
        <f t="shared" si="18"/>
        <v>13</v>
      </c>
      <c r="M173">
        <v>2</v>
      </c>
      <c r="N173">
        <v>4</v>
      </c>
      <c r="O173">
        <v>8</v>
      </c>
      <c r="P173" s="13" t="str">
        <f t="shared" si="19"/>
        <v>2d4 + 8</v>
      </c>
      <c r="Q173">
        <f>ROUND(INDEX(Catalogue!E$4:E$85,MATCH(A173,Catalogue!A$4:A$85,0))*(1+Paramètres!$B$4*(C173-1)+Paramètres!$B$5*(C173-1)^2),0)</f>
        <v>10</v>
      </c>
      <c r="R173">
        <f>ROUND(INDEX(Catalogue!F$4:F$85,MATCH(A173,Catalogue!A$4:A$85,0))*(1+Paramètres!$B$4*(C173-1)+Paramètres!$B$5*(C173-1)^2),0)</f>
        <v>16</v>
      </c>
      <c r="S173">
        <f t="shared" si="20"/>
        <v>0</v>
      </c>
      <c r="T173" t="str">
        <f t="shared" si="21"/>
        <v>OK</v>
      </c>
      <c r="U173" s="25">
        <f t="shared" si="22"/>
        <v>13</v>
      </c>
      <c r="V173" t="str">
        <f t="shared" si="23"/>
        <v>OK</v>
      </c>
    </row>
    <row r="174" spans="1:22" ht="18" customHeight="1">
      <c r="A174" t="s">
        <v>105</v>
      </c>
      <c r="B174" t="s">
        <v>106</v>
      </c>
      <c r="C174">
        <v>11</v>
      </c>
      <c r="D174" t="s">
        <v>72</v>
      </c>
      <c r="E174" s="6">
        <f t="shared" si="16"/>
        <v>11</v>
      </c>
      <c r="F174" s="6">
        <f t="shared" si="17"/>
        <v>20</v>
      </c>
      <c r="G174" s="6">
        <f>ROUND(Catalogue!G12*SQRT((1+Paramètres!$B$4*(C174-1)+Paramètres!$B$5*(C174-1)^2)),0)</f>
        <v>0</v>
      </c>
      <c r="H174" s="6">
        <f>ROUND(Catalogue!H12*SQRT((1+Paramètres!$B$4*(C174-1)+Paramètres!$B$5*(C174-1)^2)),0)</f>
        <v>0</v>
      </c>
      <c r="I174" s="6">
        <v>2</v>
      </c>
      <c r="J174" s="6">
        <v>1</v>
      </c>
      <c r="K174" s="7">
        <v>1.2</v>
      </c>
      <c r="L174" s="9">
        <f t="shared" si="18"/>
        <v>15.5</v>
      </c>
      <c r="M174">
        <v>3</v>
      </c>
      <c r="N174">
        <v>4</v>
      </c>
      <c r="O174">
        <v>8</v>
      </c>
      <c r="P174" s="13" t="str">
        <f t="shared" si="19"/>
        <v>3d4 + 8</v>
      </c>
      <c r="Q174">
        <f>ROUND(INDEX(Catalogue!E$4:E$85,MATCH(A174,Catalogue!A$4:A$85,0))*(1+Paramètres!$B$4*(C174-1)+Paramètres!$B$5*(C174-1)^2),0)</f>
        <v>11</v>
      </c>
      <c r="R174">
        <f>ROUND(INDEX(Catalogue!F$4:F$85,MATCH(A174,Catalogue!A$4:A$85,0))*(1+Paramètres!$B$4*(C174-1)+Paramètres!$B$5*(C174-1)^2),0)</f>
        <v>19</v>
      </c>
      <c r="S174">
        <f t="shared" si="20"/>
        <v>0.5</v>
      </c>
      <c r="T174" t="str">
        <f t="shared" si="21"/>
        <v>OK</v>
      </c>
      <c r="U174" s="25">
        <f t="shared" si="22"/>
        <v>15.5</v>
      </c>
      <c r="V174" t="str">
        <f t="shared" si="23"/>
        <v>OK</v>
      </c>
    </row>
    <row r="175" spans="1:22" ht="18" customHeight="1">
      <c r="A175" t="s">
        <v>105</v>
      </c>
      <c r="B175" t="s">
        <v>106</v>
      </c>
      <c r="C175">
        <v>12</v>
      </c>
      <c r="D175" t="s">
        <v>72</v>
      </c>
      <c r="E175" s="6">
        <f t="shared" si="16"/>
        <v>12</v>
      </c>
      <c r="F175" s="6">
        <f t="shared" si="17"/>
        <v>21</v>
      </c>
      <c r="G175" s="6">
        <f>ROUND(Catalogue!G12*SQRT((1+Paramètres!$B$4*(C175-1)+Paramètres!$B$5*(C175-1)^2)),0)</f>
        <v>0</v>
      </c>
      <c r="H175" s="6">
        <f>ROUND(Catalogue!H12*SQRT((1+Paramètres!$B$4*(C175-1)+Paramètres!$B$5*(C175-1)^2)),0)</f>
        <v>0</v>
      </c>
      <c r="I175" s="6">
        <v>2</v>
      </c>
      <c r="J175" s="6">
        <v>1</v>
      </c>
      <c r="K175" s="7">
        <v>1.2</v>
      </c>
      <c r="L175" s="9">
        <f t="shared" si="18"/>
        <v>16.5</v>
      </c>
      <c r="M175">
        <v>3</v>
      </c>
      <c r="N175">
        <v>4</v>
      </c>
      <c r="O175">
        <v>9</v>
      </c>
      <c r="P175" s="13" t="str">
        <f t="shared" si="19"/>
        <v>3d4 + 9</v>
      </c>
      <c r="Q175">
        <f>ROUND(INDEX(Catalogue!E$4:E$85,MATCH(A175,Catalogue!A$4:A$85,0))*(1+Paramètres!$B$4*(C175-1)+Paramètres!$B$5*(C175-1)^2),0)</f>
        <v>12</v>
      </c>
      <c r="R175">
        <f>ROUND(INDEX(Catalogue!F$4:F$85,MATCH(A175,Catalogue!A$4:A$85,0))*(1+Paramètres!$B$4*(C175-1)+Paramètres!$B$5*(C175-1)^2),0)</f>
        <v>21</v>
      </c>
      <c r="S175">
        <f t="shared" si="20"/>
        <v>0</v>
      </c>
      <c r="T175" t="str">
        <f t="shared" si="21"/>
        <v>OK</v>
      </c>
      <c r="U175" s="25">
        <f t="shared" si="22"/>
        <v>16.5</v>
      </c>
      <c r="V175" t="str">
        <f t="shared" si="23"/>
        <v>OK</v>
      </c>
    </row>
    <row r="176" spans="1:22" ht="18" customHeight="1">
      <c r="A176" t="s">
        <v>105</v>
      </c>
      <c r="B176" t="s">
        <v>106</v>
      </c>
      <c r="C176">
        <v>13</v>
      </c>
      <c r="D176" t="s">
        <v>72</v>
      </c>
      <c r="E176" s="6">
        <f t="shared" si="16"/>
        <v>14</v>
      </c>
      <c r="F176" s="6">
        <f t="shared" si="17"/>
        <v>23</v>
      </c>
      <c r="G176" s="6">
        <f>ROUND(Catalogue!G12*SQRT((1+Paramètres!$B$4*(C176-1)+Paramètres!$B$5*(C176-1)^2)),0)</f>
        <v>0</v>
      </c>
      <c r="H176" s="6">
        <f>ROUND(Catalogue!H12*SQRT((1+Paramètres!$B$4*(C176-1)+Paramètres!$B$5*(C176-1)^2)),0)</f>
        <v>0</v>
      </c>
      <c r="I176" s="6">
        <v>2</v>
      </c>
      <c r="J176" s="6">
        <v>1</v>
      </c>
      <c r="K176" s="7">
        <v>1.2</v>
      </c>
      <c r="L176" s="9">
        <f t="shared" si="18"/>
        <v>18.5</v>
      </c>
      <c r="M176">
        <v>3</v>
      </c>
      <c r="N176">
        <v>4</v>
      </c>
      <c r="O176">
        <v>11</v>
      </c>
      <c r="P176" s="13" t="str">
        <f t="shared" si="19"/>
        <v>3d4 + 11</v>
      </c>
      <c r="Q176">
        <f>ROUND(INDEX(Catalogue!E$4:E$85,MATCH(A176,Catalogue!A$4:A$85,0))*(1+Paramètres!$B$4*(C176-1)+Paramètres!$B$5*(C176-1)^2),0)</f>
        <v>14</v>
      </c>
      <c r="R176">
        <f>ROUND(INDEX(Catalogue!F$4:F$85,MATCH(A176,Catalogue!A$4:A$85,0))*(1+Paramètres!$B$4*(C176-1)+Paramètres!$B$5*(C176-1)^2),0)</f>
        <v>23</v>
      </c>
      <c r="S176">
        <f t="shared" si="20"/>
        <v>0</v>
      </c>
      <c r="T176" t="str">
        <f t="shared" si="21"/>
        <v>OK</v>
      </c>
      <c r="U176" s="25">
        <f t="shared" si="22"/>
        <v>18.5</v>
      </c>
      <c r="V176" t="str">
        <f t="shared" si="23"/>
        <v>OK</v>
      </c>
    </row>
    <row r="177" spans="1:22" ht="18" customHeight="1">
      <c r="A177" t="s">
        <v>105</v>
      </c>
      <c r="B177" t="s">
        <v>106</v>
      </c>
      <c r="C177">
        <v>14</v>
      </c>
      <c r="D177" t="s">
        <v>72</v>
      </c>
      <c r="E177" s="6">
        <f t="shared" si="16"/>
        <v>15</v>
      </c>
      <c r="F177" s="6">
        <f t="shared" si="17"/>
        <v>25</v>
      </c>
      <c r="G177" s="6">
        <f>ROUND(Catalogue!G12*SQRT((1+Paramètres!$B$4*(C177-1)+Paramètres!$B$5*(C177-1)^2)),0)</f>
        <v>0</v>
      </c>
      <c r="H177" s="6">
        <f>ROUND(Catalogue!H12*SQRT((1+Paramètres!$B$4*(C177-1)+Paramètres!$B$5*(C177-1)^2)),0)</f>
        <v>0</v>
      </c>
      <c r="I177" s="6">
        <v>2</v>
      </c>
      <c r="J177" s="6">
        <v>1</v>
      </c>
      <c r="K177" s="7">
        <v>1.2</v>
      </c>
      <c r="L177" s="9">
        <f t="shared" si="18"/>
        <v>20</v>
      </c>
      <c r="M177">
        <v>2</v>
      </c>
      <c r="N177">
        <v>6</v>
      </c>
      <c r="O177">
        <v>13</v>
      </c>
      <c r="P177" s="13" t="str">
        <f t="shared" si="19"/>
        <v>2d6 + 13</v>
      </c>
      <c r="Q177">
        <f>ROUND(INDEX(Catalogue!E$4:E$85,MATCH(A177,Catalogue!A$4:A$85,0))*(1+Paramètres!$B$4*(C177-1)+Paramètres!$B$5*(C177-1)^2),0)</f>
        <v>15</v>
      </c>
      <c r="R177">
        <f>ROUND(INDEX(Catalogue!F$4:F$85,MATCH(A177,Catalogue!A$4:A$85,0))*(1+Paramètres!$B$4*(C177-1)+Paramètres!$B$5*(C177-1)^2),0)</f>
        <v>26</v>
      </c>
      <c r="S177">
        <f t="shared" si="20"/>
        <v>-0.5</v>
      </c>
      <c r="T177" t="str">
        <f t="shared" si="21"/>
        <v>OK</v>
      </c>
      <c r="U177" s="25">
        <f t="shared" si="22"/>
        <v>20</v>
      </c>
      <c r="V177" t="str">
        <f t="shared" si="23"/>
        <v>OK</v>
      </c>
    </row>
    <row r="178" spans="1:22" ht="18" customHeight="1">
      <c r="A178" t="s">
        <v>105</v>
      </c>
      <c r="B178" t="s">
        <v>106</v>
      </c>
      <c r="C178">
        <v>15</v>
      </c>
      <c r="D178" t="s">
        <v>72</v>
      </c>
      <c r="E178" s="6">
        <f t="shared" si="16"/>
        <v>18</v>
      </c>
      <c r="F178" s="6">
        <f t="shared" si="17"/>
        <v>28</v>
      </c>
      <c r="G178" s="6">
        <f>ROUND(Catalogue!G12*SQRT((1+Paramètres!$B$4*(C178-1)+Paramètres!$B$5*(C178-1)^2)),0)</f>
        <v>0</v>
      </c>
      <c r="H178" s="6">
        <f>ROUND(Catalogue!H12*SQRT((1+Paramètres!$B$4*(C178-1)+Paramètres!$B$5*(C178-1)^2)),0)</f>
        <v>0</v>
      </c>
      <c r="I178" s="6">
        <v>2</v>
      </c>
      <c r="J178" s="6">
        <v>1</v>
      </c>
      <c r="K178" s="7">
        <v>1.2</v>
      </c>
      <c r="L178" s="9">
        <f t="shared" si="18"/>
        <v>23</v>
      </c>
      <c r="M178">
        <v>2</v>
      </c>
      <c r="N178">
        <v>6</v>
      </c>
      <c r="O178">
        <v>16</v>
      </c>
      <c r="P178" s="13" t="str">
        <f t="shared" si="19"/>
        <v>2d6 + 16</v>
      </c>
      <c r="Q178">
        <f>ROUND(INDEX(Catalogue!E$4:E$85,MATCH(A178,Catalogue!A$4:A$85,0))*(1+Paramètres!$B$4*(C178-1)+Paramètres!$B$5*(C178-1)^2),0)</f>
        <v>17</v>
      </c>
      <c r="R178">
        <f>ROUND(INDEX(Catalogue!F$4:F$85,MATCH(A178,Catalogue!A$4:A$85,0))*(1+Paramètres!$B$4*(C178-1)+Paramètres!$B$5*(C178-1)^2),0)</f>
        <v>28</v>
      </c>
      <c r="S178">
        <f t="shared" si="20"/>
        <v>0.5</v>
      </c>
      <c r="T178" t="str">
        <f t="shared" si="21"/>
        <v>OK</v>
      </c>
      <c r="U178" s="25">
        <f t="shared" si="22"/>
        <v>23</v>
      </c>
      <c r="V178" t="str">
        <f t="shared" si="23"/>
        <v>OK</v>
      </c>
    </row>
    <row r="179" spans="1:22" ht="18" customHeight="1">
      <c r="A179" t="s">
        <v>105</v>
      </c>
      <c r="B179" t="s">
        <v>106</v>
      </c>
      <c r="C179">
        <v>16</v>
      </c>
      <c r="D179" t="s">
        <v>72</v>
      </c>
      <c r="E179" s="6">
        <f t="shared" si="16"/>
        <v>19</v>
      </c>
      <c r="F179" s="6">
        <f t="shared" si="17"/>
        <v>31</v>
      </c>
      <c r="G179" s="6">
        <f>ROUND(Catalogue!G12*SQRT((1+Paramètres!$B$4*(C179-1)+Paramètres!$B$5*(C179-1)^2)),0)</f>
        <v>0</v>
      </c>
      <c r="H179" s="6">
        <f>ROUND(Catalogue!H12*SQRT((1+Paramètres!$B$4*(C179-1)+Paramètres!$B$5*(C179-1)^2)),0)</f>
        <v>0</v>
      </c>
      <c r="I179" s="6">
        <v>2</v>
      </c>
      <c r="J179" s="6">
        <v>1</v>
      </c>
      <c r="K179" s="7">
        <v>1.2</v>
      </c>
      <c r="L179" s="9">
        <f t="shared" si="18"/>
        <v>25</v>
      </c>
      <c r="M179">
        <v>4</v>
      </c>
      <c r="N179">
        <v>4</v>
      </c>
      <c r="O179">
        <v>15</v>
      </c>
      <c r="P179" s="13" t="str">
        <f t="shared" si="19"/>
        <v>4d4 + 15</v>
      </c>
      <c r="Q179">
        <f>ROUND(INDEX(Catalogue!E$4:E$85,MATCH(A179,Catalogue!A$4:A$85,0))*(1+Paramètres!$B$4*(C179-1)+Paramètres!$B$5*(C179-1)^2),0)</f>
        <v>19</v>
      </c>
      <c r="R179">
        <f>ROUND(INDEX(Catalogue!F$4:F$85,MATCH(A179,Catalogue!A$4:A$85,0))*(1+Paramètres!$B$4*(C179-1)+Paramètres!$B$5*(C179-1)^2),0)</f>
        <v>31</v>
      </c>
      <c r="S179">
        <f t="shared" si="20"/>
        <v>0</v>
      </c>
      <c r="T179" t="str">
        <f t="shared" si="21"/>
        <v>OK</v>
      </c>
      <c r="U179" s="25">
        <f t="shared" si="22"/>
        <v>25</v>
      </c>
      <c r="V179" t="str">
        <f t="shared" si="23"/>
        <v>OK</v>
      </c>
    </row>
    <row r="180" spans="1:22" ht="18" customHeight="1">
      <c r="A180" t="s">
        <v>105</v>
      </c>
      <c r="B180" t="s">
        <v>106</v>
      </c>
      <c r="C180">
        <v>17</v>
      </c>
      <c r="D180" t="s">
        <v>72</v>
      </c>
      <c r="E180" s="6">
        <f t="shared" si="16"/>
        <v>20</v>
      </c>
      <c r="F180" s="6">
        <f t="shared" si="17"/>
        <v>34</v>
      </c>
      <c r="G180" s="6">
        <f>ROUND(Catalogue!G12*SQRT((1+Paramètres!$B$4*(C180-1)+Paramètres!$B$5*(C180-1)^2)),0)</f>
        <v>0</v>
      </c>
      <c r="H180" s="6">
        <f>ROUND(Catalogue!H12*SQRT((1+Paramètres!$B$4*(C180-1)+Paramètres!$B$5*(C180-1)^2)),0)</f>
        <v>0</v>
      </c>
      <c r="I180" s="6">
        <v>2</v>
      </c>
      <c r="J180" s="6">
        <v>1</v>
      </c>
      <c r="K180" s="7">
        <v>1.2</v>
      </c>
      <c r="L180" s="9">
        <f t="shared" si="18"/>
        <v>27</v>
      </c>
      <c r="M180">
        <v>2</v>
      </c>
      <c r="N180">
        <v>8</v>
      </c>
      <c r="O180">
        <v>18</v>
      </c>
      <c r="P180" s="13" t="str">
        <f t="shared" si="19"/>
        <v>2d8 + 18</v>
      </c>
      <c r="Q180">
        <f>ROUND(INDEX(Catalogue!E$4:E$85,MATCH(A180,Catalogue!A$4:A$85,0))*(1+Paramètres!$B$4*(C180-1)+Paramètres!$B$5*(C180-1)^2),0)</f>
        <v>21</v>
      </c>
      <c r="R180">
        <f>ROUND(INDEX(Catalogue!F$4:F$85,MATCH(A180,Catalogue!A$4:A$85,0))*(1+Paramètres!$B$4*(C180-1)+Paramètres!$B$5*(C180-1)^2),0)</f>
        <v>34</v>
      </c>
      <c r="S180">
        <f t="shared" si="20"/>
        <v>-0.5</v>
      </c>
      <c r="T180" t="str">
        <f t="shared" si="21"/>
        <v>OK</v>
      </c>
      <c r="U180" s="25">
        <f t="shared" si="22"/>
        <v>27</v>
      </c>
      <c r="V180" t="str">
        <f t="shared" si="23"/>
        <v>OK</v>
      </c>
    </row>
    <row r="181" spans="1:22" ht="18" customHeight="1">
      <c r="A181" t="s">
        <v>105</v>
      </c>
      <c r="B181" t="s">
        <v>106</v>
      </c>
      <c r="C181">
        <v>18</v>
      </c>
      <c r="D181" t="s">
        <v>72</v>
      </c>
      <c r="E181" s="6">
        <f t="shared" si="16"/>
        <v>22</v>
      </c>
      <c r="F181" s="6">
        <f t="shared" si="17"/>
        <v>37</v>
      </c>
      <c r="G181" s="6">
        <f>ROUND(Catalogue!G12*SQRT((1+Paramètres!$B$4*(C181-1)+Paramètres!$B$5*(C181-1)^2)),0)</f>
        <v>0</v>
      </c>
      <c r="H181" s="6">
        <f>ROUND(Catalogue!H12*SQRT((1+Paramètres!$B$4*(C181-1)+Paramètres!$B$5*(C181-1)^2)),0)</f>
        <v>0</v>
      </c>
      <c r="I181" s="6">
        <v>2</v>
      </c>
      <c r="J181" s="6">
        <v>1</v>
      </c>
      <c r="K181" s="7">
        <v>1.2</v>
      </c>
      <c r="L181" s="9">
        <f t="shared" si="18"/>
        <v>29.5</v>
      </c>
      <c r="M181">
        <v>3</v>
      </c>
      <c r="N181">
        <v>6</v>
      </c>
      <c r="O181">
        <v>19</v>
      </c>
      <c r="P181" s="13" t="str">
        <f t="shared" si="19"/>
        <v>3d6 + 19</v>
      </c>
      <c r="Q181">
        <f>ROUND(INDEX(Catalogue!E$4:E$85,MATCH(A181,Catalogue!A$4:A$85,0))*(1+Paramètres!$B$4*(C181-1)+Paramètres!$B$5*(C181-1)^2),0)</f>
        <v>22</v>
      </c>
      <c r="R181">
        <f>ROUND(INDEX(Catalogue!F$4:F$85,MATCH(A181,Catalogue!A$4:A$85,0))*(1+Paramètres!$B$4*(C181-1)+Paramètres!$B$5*(C181-1)^2),0)</f>
        <v>37</v>
      </c>
      <c r="S181">
        <f t="shared" si="20"/>
        <v>0</v>
      </c>
      <c r="T181" t="str">
        <f t="shared" si="21"/>
        <v>OK</v>
      </c>
      <c r="U181" s="25">
        <f t="shared" si="22"/>
        <v>29.5</v>
      </c>
      <c r="V181" t="str">
        <f t="shared" si="23"/>
        <v>OK</v>
      </c>
    </row>
    <row r="182" spans="1:22" ht="18" customHeight="1">
      <c r="A182" t="s">
        <v>105</v>
      </c>
      <c r="B182" t="s">
        <v>106</v>
      </c>
      <c r="C182">
        <v>19</v>
      </c>
      <c r="D182" t="s">
        <v>72</v>
      </c>
      <c r="E182" s="6">
        <f t="shared" si="16"/>
        <v>23</v>
      </c>
      <c r="F182" s="6">
        <f t="shared" si="17"/>
        <v>41</v>
      </c>
      <c r="G182" s="6">
        <f>ROUND(Catalogue!G12*SQRT((1+Paramètres!$B$4*(C182-1)+Paramètres!$B$5*(C182-1)^2)),0)</f>
        <v>0</v>
      </c>
      <c r="H182" s="6">
        <f>ROUND(Catalogue!H12*SQRT((1+Paramètres!$B$4*(C182-1)+Paramètres!$B$5*(C182-1)^2)),0)</f>
        <v>0</v>
      </c>
      <c r="I182" s="6">
        <v>2</v>
      </c>
      <c r="J182" s="6">
        <v>1</v>
      </c>
      <c r="K182" s="7">
        <v>1.2</v>
      </c>
      <c r="L182" s="9">
        <f t="shared" si="18"/>
        <v>32</v>
      </c>
      <c r="M182">
        <v>2</v>
      </c>
      <c r="N182">
        <v>10</v>
      </c>
      <c r="O182">
        <v>21</v>
      </c>
      <c r="P182" s="13" t="str">
        <f t="shared" si="19"/>
        <v>2d10 + 21</v>
      </c>
      <c r="Q182">
        <f>ROUND(INDEX(Catalogue!E$4:E$85,MATCH(A182,Catalogue!A$4:A$85,0))*(1+Paramètres!$B$4*(C182-1)+Paramètres!$B$5*(C182-1)^2),0)</f>
        <v>24</v>
      </c>
      <c r="R182">
        <f>ROUND(INDEX(Catalogue!F$4:F$85,MATCH(A182,Catalogue!A$4:A$85,0))*(1+Paramètres!$B$4*(C182-1)+Paramètres!$B$5*(C182-1)^2),0)</f>
        <v>41</v>
      </c>
      <c r="S182">
        <f t="shared" si="20"/>
        <v>-0.5</v>
      </c>
      <c r="T182" t="str">
        <f t="shared" si="21"/>
        <v>OK</v>
      </c>
      <c r="U182" s="25">
        <f t="shared" si="22"/>
        <v>32</v>
      </c>
      <c r="V182" t="str">
        <f t="shared" si="23"/>
        <v>OK</v>
      </c>
    </row>
    <row r="183" spans="1:22" ht="18" customHeight="1">
      <c r="A183" t="s">
        <v>105</v>
      </c>
      <c r="B183" t="s">
        <v>106</v>
      </c>
      <c r="C183">
        <v>20</v>
      </c>
      <c r="D183" t="s">
        <v>72</v>
      </c>
      <c r="E183" s="6">
        <f t="shared" si="16"/>
        <v>26</v>
      </c>
      <c r="F183" s="6">
        <f t="shared" si="17"/>
        <v>44</v>
      </c>
      <c r="G183" s="6">
        <f>ROUND(Catalogue!G12*SQRT((1+Paramètres!$B$4*(C183-1)+Paramètres!$B$5*(C183-1)^2)),0)</f>
        <v>0</v>
      </c>
      <c r="H183" s="6">
        <f>ROUND(Catalogue!H12*SQRT((1+Paramètres!$B$4*(C183-1)+Paramètres!$B$5*(C183-1)^2)),0)</f>
        <v>0</v>
      </c>
      <c r="I183" s="6">
        <v>2</v>
      </c>
      <c r="J183" s="6">
        <v>1</v>
      </c>
      <c r="K183" s="7">
        <v>1.2</v>
      </c>
      <c r="L183" s="9">
        <f t="shared" si="18"/>
        <v>35</v>
      </c>
      <c r="M183">
        <v>2</v>
      </c>
      <c r="N183">
        <v>10</v>
      </c>
      <c r="O183">
        <v>24</v>
      </c>
      <c r="P183" s="13" t="str">
        <f t="shared" si="19"/>
        <v>2d10 + 24</v>
      </c>
      <c r="Q183">
        <f>ROUND(INDEX(Catalogue!E$4:E$85,MATCH(A183,Catalogue!A$4:A$85,0))*(1+Paramètres!$B$4*(C183-1)+Paramètres!$B$5*(C183-1)^2),0)</f>
        <v>27</v>
      </c>
      <c r="R183">
        <f>ROUND(INDEX(Catalogue!F$4:F$85,MATCH(A183,Catalogue!A$4:A$85,0))*(1+Paramètres!$B$4*(C183-1)+Paramètres!$B$5*(C183-1)^2),0)</f>
        <v>44</v>
      </c>
      <c r="S183">
        <f t="shared" si="20"/>
        <v>-0.5</v>
      </c>
      <c r="T183" t="str">
        <f t="shared" si="21"/>
        <v>OK</v>
      </c>
      <c r="U183" s="25">
        <f t="shared" si="22"/>
        <v>35</v>
      </c>
      <c r="V183" t="str">
        <f t="shared" si="23"/>
        <v>OK</v>
      </c>
    </row>
    <row r="184" spans="1:22" ht="18" customHeight="1">
      <c r="A184" t="s">
        <v>108</v>
      </c>
      <c r="B184" t="s">
        <v>109</v>
      </c>
      <c r="C184">
        <v>1</v>
      </c>
      <c r="D184" t="s">
        <v>72</v>
      </c>
      <c r="E184" s="6">
        <f t="shared" si="16"/>
        <v>2</v>
      </c>
      <c r="F184" s="6">
        <f t="shared" si="17"/>
        <v>5</v>
      </c>
      <c r="G184" s="6">
        <f>ROUND(Catalogue!G13*SQRT((1+Paramètres!$B$4*(C184-1)+Paramètres!$B$5*(C184-1)^2)),0)</f>
        <v>0</v>
      </c>
      <c r="H184" s="6">
        <f>ROUND(Catalogue!H13*SQRT((1+Paramètres!$B$4*(C184-1)+Paramètres!$B$5*(C184-1)^2)),0)</f>
        <v>0</v>
      </c>
      <c r="I184" s="6">
        <v>2</v>
      </c>
      <c r="J184" s="6">
        <v>1</v>
      </c>
      <c r="K184" s="7">
        <v>1.1000000000000001</v>
      </c>
      <c r="L184" s="9">
        <f t="shared" si="18"/>
        <v>3.5</v>
      </c>
      <c r="M184">
        <v>1</v>
      </c>
      <c r="N184">
        <v>4</v>
      </c>
      <c r="O184">
        <v>1</v>
      </c>
      <c r="P184" s="13" t="str">
        <f t="shared" si="19"/>
        <v>1d4 + 1</v>
      </c>
      <c r="Q184">
        <f>ROUND(INDEX(Catalogue!E$4:E$85,MATCH(A184,Catalogue!A$4:A$85,0))*(1+Paramètres!$B$4*(C184-1)+Paramètres!$B$5*(C184-1)^2),0)</f>
        <v>3</v>
      </c>
      <c r="R184">
        <f>ROUND(INDEX(Catalogue!F$4:F$85,MATCH(A184,Catalogue!A$4:A$85,0))*(1+Paramètres!$B$4*(C184-1)+Paramètres!$B$5*(C184-1)^2),0)</f>
        <v>5</v>
      </c>
      <c r="S184">
        <f t="shared" si="20"/>
        <v>-0.5</v>
      </c>
      <c r="T184" t="str">
        <f t="shared" si="21"/>
        <v>OK</v>
      </c>
      <c r="U184" s="25">
        <f t="shared" si="22"/>
        <v>3.5</v>
      </c>
      <c r="V184" t="str">
        <f t="shared" si="23"/>
        <v>OK</v>
      </c>
    </row>
    <row r="185" spans="1:22" ht="18" customHeight="1">
      <c r="A185" t="s">
        <v>108</v>
      </c>
      <c r="B185" t="s">
        <v>109</v>
      </c>
      <c r="C185">
        <v>2</v>
      </c>
      <c r="D185" t="s">
        <v>72</v>
      </c>
      <c r="E185" s="6">
        <f t="shared" si="16"/>
        <v>3</v>
      </c>
      <c r="F185" s="6">
        <f t="shared" si="17"/>
        <v>6</v>
      </c>
      <c r="G185" s="6">
        <f>ROUND(Catalogue!G13*SQRT((1+Paramètres!$B$4*(C185-1)+Paramètres!$B$5*(C185-1)^2)),0)</f>
        <v>0</v>
      </c>
      <c r="H185" s="6">
        <f>ROUND(Catalogue!H13*SQRT((1+Paramètres!$B$4*(C185-1)+Paramètres!$B$5*(C185-1)^2)),0)</f>
        <v>0</v>
      </c>
      <c r="I185" s="6">
        <v>2</v>
      </c>
      <c r="J185" s="6">
        <v>1</v>
      </c>
      <c r="K185" s="7">
        <v>1.1000000000000001</v>
      </c>
      <c r="L185" s="9">
        <f t="shared" si="18"/>
        <v>4.5</v>
      </c>
      <c r="M185">
        <v>1</v>
      </c>
      <c r="N185">
        <v>4</v>
      </c>
      <c r="O185">
        <v>2</v>
      </c>
      <c r="P185" s="13" t="str">
        <f t="shared" si="19"/>
        <v>1d4 + 2</v>
      </c>
      <c r="Q185">
        <f>ROUND(INDEX(Catalogue!E$4:E$85,MATCH(A185,Catalogue!A$4:A$85,0))*(1+Paramètres!$B$4*(C185-1)+Paramètres!$B$5*(C185-1)^2),0)</f>
        <v>3</v>
      </c>
      <c r="R185">
        <f>ROUND(INDEX(Catalogue!F$4:F$85,MATCH(A185,Catalogue!A$4:A$85,0))*(1+Paramètres!$B$4*(C185-1)+Paramètres!$B$5*(C185-1)^2),0)</f>
        <v>6</v>
      </c>
      <c r="S185">
        <f t="shared" si="20"/>
        <v>0</v>
      </c>
      <c r="T185" t="str">
        <f t="shared" si="21"/>
        <v>OK</v>
      </c>
      <c r="U185" s="25">
        <f t="shared" si="22"/>
        <v>4.5</v>
      </c>
      <c r="V185" t="str">
        <f t="shared" si="23"/>
        <v>OK</v>
      </c>
    </row>
    <row r="186" spans="1:22" ht="18" customHeight="1">
      <c r="A186" t="s">
        <v>108</v>
      </c>
      <c r="B186" t="s">
        <v>109</v>
      </c>
      <c r="C186">
        <v>3</v>
      </c>
      <c r="D186" t="s">
        <v>72</v>
      </c>
      <c r="E186" s="6">
        <f t="shared" si="16"/>
        <v>3</v>
      </c>
      <c r="F186" s="6">
        <f t="shared" si="17"/>
        <v>6</v>
      </c>
      <c r="G186" s="6">
        <f>ROUND(Catalogue!G13*SQRT((1+Paramètres!$B$4*(C186-1)+Paramètres!$B$5*(C186-1)^2)),0)</f>
        <v>0</v>
      </c>
      <c r="H186" s="6">
        <f>ROUND(Catalogue!H13*SQRT((1+Paramètres!$B$4*(C186-1)+Paramètres!$B$5*(C186-1)^2)),0)</f>
        <v>0</v>
      </c>
      <c r="I186" s="6">
        <v>2</v>
      </c>
      <c r="J186" s="6">
        <v>1</v>
      </c>
      <c r="K186" s="7">
        <v>1.1000000000000001</v>
      </c>
      <c r="L186" s="9">
        <f t="shared" si="18"/>
        <v>4.5</v>
      </c>
      <c r="M186">
        <v>1</v>
      </c>
      <c r="N186">
        <v>4</v>
      </c>
      <c r="O186">
        <v>2</v>
      </c>
      <c r="P186" s="13" t="str">
        <f t="shared" si="19"/>
        <v>1d4 + 2</v>
      </c>
      <c r="Q186">
        <f>ROUND(INDEX(Catalogue!E$4:E$85,MATCH(A186,Catalogue!A$4:A$85,0))*(1+Paramètres!$B$4*(C186-1)+Paramètres!$B$5*(C186-1)^2),0)</f>
        <v>4</v>
      </c>
      <c r="R186">
        <f>ROUND(INDEX(Catalogue!F$4:F$85,MATCH(A186,Catalogue!A$4:A$85,0))*(1+Paramètres!$B$4*(C186-1)+Paramètres!$B$5*(C186-1)^2),0)</f>
        <v>6</v>
      </c>
      <c r="S186">
        <f t="shared" si="20"/>
        <v>-0.5</v>
      </c>
      <c r="T186" t="str">
        <f t="shared" si="21"/>
        <v>OK</v>
      </c>
      <c r="U186" s="25">
        <f t="shared" si="22"/>
        <v>4.5</v>
      </c>
      <c r="V186" t="str">
        <f t="shared" si="23"/>
        <v>OK</v>
      </c>
    </row>
    <row r="187" spans="1:22" ht="18" customHeight="1">
      <c r="A187" t="s">
        <v>108</v>
      </c>
      <c r="B187" t="s">
        <v>109</v>
      </c>
      <c r="C187">
        <v>4</v>
      </c>
      <c r="D187" t="s">
        <v>72</v>
      </c>
      <c r="E187" s="6">
        <f t="shared" si="16"/>
        <v>4</v>
      </c>
      <c r="F187" s="6">
        <f t="shared" si="17"/>
        <v>7</v>
      </c>
      <c r="G187" s="6">
        <f>ROUND(Catalogue!G13*SQRT((1+Paramètres!$B$4*(C187-1)+Paramètres!$B$5*(C187-1)^2)),0)</f>
        <v>0</v>
      </c>
      <c r="H187" s="6">
        <f>ROUND(Catalogue!H13*SQRT((1+Paramètres!$B$4*(C187-1)+Paramètres!$B$5*(C187-1)^2)),0)</f>
        <v>0</v>
      </c>
      <c r="I187" s="6">
        <v>2</v>
      </c>
      <c r="J187" s="6">
        <v>1</v>
      </c>
      <c r="K187" s="7">
        <v>1.1000000000000001</v>
      </c>
      <c r="L187" s="9">
        <f t="shared" si="18"/>
        <v>5.5</v>
      </c>
      <c r="M187">
        <v>1</v>
      </c>
      <c r="N187">
        <v>4</v>
      </c>
      <c r="O187">
        <v>3</v>
      </c>
      <c r="P187" s="13" t="str">
        <f t="shared" si="19"/>
        <v>1d4 + 3</v>
      </c>
      <c r="Q187">
        <f>ROUND(INDEX(Catalogue!E$4:E$85,MATCH(A187,Catalogue!A$4:A$85,0))*(1+Paramètres!$B$4*(C187-1)+Paramètres!$B$5*(C187-1)^2),0)</f>
        <v>4</v>
      </c>
      <c r="R187">
        <f>ROUND(INDEX(Catalogue!F$4:F$85,MATCH(A187,Catalogue!A$4:A$85,0))*(1+Paramètres!$B$4*(C187-1)+Paramètres!$B$5*(C187-1)^2),0)</f>
        <v>7</v>
      </c>
      <c r="S187">
        <f t="shared" si="20"/>
        <v>0</v>
      </c>
      <c r="T187" t="str">
        <f t="shared" si="21"/>
        <v>OK</v>
      </c>
      <c r="U187" s="25">
        <f t="shared" si="22"/>
        <v>5.5</v>
      </c>
      <c r="V187" t="str">
        <f t="shared" si="23"/>
        <v>OK</v>
      </c>
    </row>
    <row r="188" spans="1:22" ht="18" customHeight="1">
      <c r="A188" t="s">
        <v>108</v>
      </c>
      <c r="B188" t="s">
        <v>109</v>
      </c>
      <c r="C188">
        <v>5</v>
      </c>
      <c r="D188" t="s">
        <v>72</v>
      </c>
      <c r="E188" s="6">
        <f t="shared" si="16"/>
        <v>5</v>
      </c>
      <c r="F188" s="6">
        <f t="shared" si="17"/>
        <v>8</v>
      </c>
      <c r="G188" s="6">
        <f>ROUND(Catalogue!G13*SQRT((1+Paramètres!$B$4*(C188-1)+Paramètres!$B$5*(C188-1)^2)),0)</f>
        <v>0</v>
      </c>
      <c r="H188" s="6">
        <f>ROUND(Catalogue!H13*SQRT((1+Paramètres!$B$4*(C188-1)+Paramètres!$B$5*(C188-1)^2)),0)</f>
        <v>0</v>
      </c>
      <c r="I188" s="6">
        <v>2</v>
      </c>
      <c r="J188" s="6">
        <v>1</v>
      </c>
      <c r="K188" s="7">
        <v>1.1000000000000001</v>
      </c>
      <c r="L188" s="9">
        <f t="shared" si="18"/>
        <v>6.5</v>
      </c>
      <c r="M188">
        <v>1</v>
      </c>
      <c r="N188">
        <v>4</v>
      </c>
      <c r="O188">
        <v>4</v>
      </c>
      <c r="P188" s="13" t="str">
        <f t="shared" si="19"/>
        <v>1d4 + 4</v>
      </c>
      <c r="Q188">
        <f>ROUND(INDEX(Catalogue!E$4:E$85,MATCH(A188,Catalogue!A$4:A$85,0))*(1+Paramètres!$B$4*(C188-1)+Paramètres!$B$5*(C188-1)^2),0)</f>
        <v>5</v>
      </c>
      <c r="R188">
        <f>ROUND(INDEX(Catalogue!F$4:F$85,MATCH(A188,Catalogue!A$4:A$85,0))*(1+Paramètres!$B$4*(C188-1)+Paramètres!$B$5*(C188-1)^2),0)</f>
        <v>8</v>
      </c>
      <c r="S188">
        <f t="shared" si="20"/>
        <v>0</v>
      </c>
      <c r="T188" t="str">
        <f t="shared" si="21"/>
        <v>OK</v>
      </c>
      <c r="U188" s="25">
        <f t="shared" si="22"/>
        <v>6.5</v>
      </c>
      <c r="V188" t="str">
        <f t="shared" si="23"/>
        <v>OK</v>
      </c>
    </row>
    <row r="189" spans="1:22" ht="18" customHeight="1">
      <c r="A189" t="s">
        <v>108</v>
      </c>
      <c r="B189" t="s">
        <v>109</v>
      </c>
      <c r="C189">
        <v>6</v>
      </c>
      <c r="D189" t="s">
        <v>72</v>
      </c>
      <c r="E189" s="6">
        <f t="shared" si="16"/>
        <v>6</v>
      </c>
      <c r="F189" s="6">
        <f t="shared" si="17"/>
        <v>9</v>
      </c>
      <c r="G189" s="6">
        <f>ROUND(Catalogue!G13*SQRT((1+Paramètres!$B$4*(C189-1)+Paramètres!$B$5*(C189-1)^2)),0)</f>
        <v>0</v>
      </c>
      <c r="H189" s="6">
        <f>ROUND(Catalogue!H13*SQRT((1+Paramètres!$B$4*(C189-1)+Paramètres!$B$5*(C189-1)^2)),0)</f>
        <v>0</v>
      </c>
      <c r="I189" s="6">
        <v>2</v>
      </c>
      <c r="J189" s="6">
        <v>1</v>
      </c>
      <c r="K189" s="7">
        <v>1.1000000000000001</v>
      </c>
      <c r="L189" s="9">
        <f t="shared" si="18"/>
        <v>7.5</v>
      </c>
      <c r="M189">
        <v>1</v>
      </c>
      <c r="N189">
        <v>4</v>
      </c>
      <c r="O189">
        <v>5</v>
      </c>
      <c r="P189" s="13" t="str">
        <f t="shared" si="19"/>
        <v>1d4 + 5</v>
      </c>
      <c r="Q189">
        <f>ROUND(INDEX(Catalogue!E$4:E$85,MATCH(A189,Catalogue!A$4:A$85,0))*(1+Paramètres!$B$4*(C189-1)+Paramètres!$B$5*(C189-1)^2),0)</f>
        <v>6</v>
      </c>
      <c r="R189">
        <f>ROUND(INDEX(Catalogue!F$4:F$85,MATCH(A189,Catalogue!A$4:A$85,0))*(1+Paramètres!$B$4*(C189-1)+Paramètres!$B$5*(C189-1)^2),0)</f>
        <v>10</v>
      </c>
      <c r="S189">
        <f t="shared" si="20"/>
        <v>-0.5</v>
      </c>
      <c r="T189" t="str">
        <f t="shared" si="21"/>
        <v>OK</v>
      </c>
      <c r="U189" s="25">
        <f t="shared" si="22"/>
        <v>7.5</v>
      </c>
      <c r="V189" t="str">
        <f t="shared" si="23"/>
        <v>OK</v>
      </c>
    </row>
    <row r="190" spans="1:22" ht="18" customHeight="1">
      <c r="A190" t="s">
        <v>108</v>
      </c>
      <c r="B190" t="s">
        <v>109</v>
      </c>
      <c r="C190">
        <v>7</v>
      </c>
      <c r="D190" t="s">
        <v>72</v>
      </c>
      <c r="E190" s="6">
        <f t="shared" si="16"/>
        <v>7</v>
      </c>
      <c r="F190" s="6">
        <f t="shared" si="17"/>
        <v>10</v>
      </c>
      <c r="G190" s="6">
        <f>ROUND(Catalogue!G13*SQRT((1+Paramètres!$B$4*(C190-1)+Paramètres!$B$5*(C190-1)^2)),0)</f>
        <v>0</v>
      </c>
      <c r="H190" s="6">
        <f>ROUND(Catalogue!H13*SQRT((1+Paramètres!$B$4*(C190-1)+Paramètres!$B$5*(C190-1)^2)),0)</f>
        <v>0</v>
      </c>
      <c r="I190" s="6">
        <v>2</v>
      </c>
      <c r="J190" s="6">
        <v>1</v>
      </c>
      <c r="K190" s="7">
        <v>1.1000000000000001</v>
      </c>
      <c r="L190" s="9">
        <f t="shared" si="18"/>
        <v>8.5</v>
      </c>
      <c r="M190">
        <v>1</v>
      </c>
      <c r="N190">
        <v>4</v>
      </c>
      <c r="O190">
        <v>6</v>
      </c>
      <c r="P190" s="13" t="str">
        <f t="shared" si="19"/>
        <v>1d4 + 6</v>
      </c>
      <c r="Q190">
        <f>ROUND(INDEX(Catalogue!E$4:E$85,MATCH(A190,Catalogue!A$4:A$85,0))*(1+Paramètres!$B$4*(C190-1)+Paramètres!$B$5*(C190-1)^2),0)</f>
        <v>7</v>
      </c>
      <c r="R190">
        <f>ROUND(INDEX(Catalogue!F$4:F$85,MATCH(A190,Catalogue!A$4:A$85,0))*(1+Paramètres!$B$4*(C190-1)+Paramètres!$B$5*(C190-1)^2),0)</f>
        <v>11</v>
      </c>
      <c r="S190">
        <f t="shared" si="20"/>
        <v>-0.5</v>
      </c>
      <c r="T190" t="str">
        <f t="shared" si="21"/>
        <v>OK</v>
      </c>
      <c r="U190" s="25">
        <f t="shared" si="22"/>
        <v>8.5</v>
      </c>
      <c r="V190" t="str">
        <f t="shared" si="23"/>
        <v>OK</v>
      </c>
    </row>
    <row r="191" spans="1:22" ht="18" customHeight="1">
      <c r="A191" t="s">
        <v>108</v>
      </c>
      <c r="B191" t="s">
        <v>109</v>
      </c>
      <c r="C191">
        <v>8</v>
      </c>
      <c r="D191" t="s">
        <v>72</v>
      </c>
      <c r="E191" s="6">
        <f t="shared" si="16"/>
        <v>8</v>
      </c>
      <c r="F191" s="6">
        <f t="shared" si="17"/>
        <v>13</v>
      </c>
      <c r="G191" s="6">
        <f>ROUND(Catalogue!G13*SQRT((1+Paramètres!$B$4*(C191-1)+Paramètres!$B$5*(C191-1)^2)),0)</f>
        <v>0</v>
      </c>
      <c r="H191" s="6">
        <f>ROUND(Catalogue!H13*SQRT((1+Paramètres!$B$4*(C191-1)+Paramètres!$B$5*(C191-1)^2)),0)</f>
        <v>0</v>
      </c>
      <c r="I191" s="6">
        <v>2</v>
      </c>
      <c r="J191" s="6">
        <v>1</v>
      </c>
      <c r="K191" s="7">
        <v>1.1000000000000001</v>
      </c>
      <c r="L191" s="9">
        <f t="shared" si="18"/>
        <v>10.5</v>
      </c>
      <c r="M191">
        <v>1</v>
      </c>
      <c r="N191">
        <v>6</v>
      </c>
      <c r="O191">
        <v>7</v>
      </c>
      <c r="P191" s="13" t="str">
        <f t="shared" si="19"/>
        <v>1d6 + 7</v>
      </c>
      <c r="Q191">
        <f>ROUND(INDEX(Catalogue!E$4:E$85,MATCH(A191,Catalogue!A$4:A$85,0))*(1+Paramètres!$B$4*(C191-1)+Paramètres!$B$5*(C191-1)^2),0)</f>
        <v>8</v>
      </c>
      <c r="R191">
        <f>ROUND(INDEX(Catalogue!F$4:F$85,MATCH(A191,Catalogue!A$4:A$85,0))*(1+Paramètres!$B$4*(C191-1)+Paramètres!$B$5*(C191-1)^2),0)</f>
        <v>13</v>
      </c>
      <c r="S191">
        <f t="shared" si="20"/>
        <v>0</v>
      </c>
      <c r="T191" t="str">
        <f t="shared" si="21"/>
        <v>OK</v>
      </c>
      <c r="U191" s="25">
        <f t="shared" si="22"/>
        <v>10.5</v>
      </c>
      <c r="V191" t="str">
        <f t="shared" si="23"/>
        <v>OK</v>
      </c>
    </row>
    <row r="192" spans="1:22" ht="18" customHeight="1">
      <c r="A192" t="s">
        <v>108</v>
      </c>
      <c r="B192" t="s">
        <v>109</v>
      </c>
      <c r="C192">
        <v>9</v>
      </c>
      <c r="D192" t="s">
        <v>72</v>
      </c>
      <c r="E192" s="6">
        <f t="shared" si="16"/>
        <v>9</v>
      </c>
      <c r="F192" s="6">
        <f t="shared" si="17"/>
        <v>15</v>
      </c>
      <c r="G192" s="6">
        <f>ROUND(Catalogue!G13*SQRT((1+Paramètres!$B$4*(C192-1)+Paramètres!$B$5*(C192-1)^2)),0)</f>
        <v>0</v>
      </c>
      <c r="H192" s="6">
        <f>ROUND(Catalogue!H13*SQRT((1+Paramètres!$B$4*(C192-1)+Paramètres!$B$5*(C192-1)^2)),0)</f>
        <v>0</v>
      </c>
      <c r="I192" s="6">
        <v>2</v>
      </c>
      <c r="J192" s="6">
        <v>1</v>
      </c>
      <c r="K192" s="7">
        <v>1.1000000000000001</v>
      </c>
      <c r="L192" s="9">
        <f t="shared" si="18"/>
        <v>12</v>
      </c>
      <c r="M192">
        <v>2</v>
      </c>
      <c r="N192">
        <v>4</v>
      </c>
      <c r="O192">
        <v>7</v>
      </c>
      <c r="P192" s="13" t="str">
        <f t="shared" si="19"/>
        <v>2d4 + 7</v>
      </c>
      <c r="Q192">
        <f>ROUND(INDEX(Catalogue!E$4:E$85,MATCH(A192,Catalogue!A$4:A$85,0))*(1+Paramètres!$B$4*(C192-1)+Paramètres!$B$5*(C192-1)^2),0)</f>
        <v>9</v>
      </c>
      <c r="R192">
        <f>ROUND(INDEX(Catalogue!F$4:F$85,MATCH(A192,Catalogue!A$4:A$85,0))*(1+Paramètres!$B$4*(C192-1)+Paramètres!$B$5*(C192-1)^2),0)</f>
        <v>15</v>
      </c>
      <c r="S192">
        <f t="shared" si="20"/>
        <v>0</v>
      </c>
      <c r="T192" t="str">
        <f t="shared" si="21"/>
        <v>OK</v>
      </c>
      <c r="U192" s="25">
        <f t="shared" si="22"/>
        <v>12</v>
      </c>
      <c r="V192" t="str">
        <f t="shared" si="23"/>
        <v>OK</v>
      </c>
    </row>
    <row r="193" spans="1:22" ht="18" customHeight="1">
      <c r="A193" t="s">
        <v>108</v>
      </c>
      <c r="B193" t="s">
        <v>109</v>
      </c>
      <c r="C193">
        <v>10</v>
      </c>
      <c r="D193" t="s">
        <v>72</v>
      </c>
      <c r="E193" s="6">
        <f t="shared" si="16"/>
        <v>10</v>
      </c>
      <c r="F193" s="6">
        <f t="shared" si="17"/>
        <v>16</v>
      </c>
      <c r="G193" s="6">
        <f>ROUND(Catalogue!G13*SQRT((1+Paramètres!$B$4*(C193-1)+Paramètres!$B$5*(C193-1)^2)),0)</f>
        <v>0</v>
      </c>
      <c r="H193" s="6">
        <f>ROUND(Catalogue!H13*SQRT((1+Paramètres!$B$4*(C193-1)+Paramètres!$B$5*(C193-1)^2)),0)</f>
        <v>0</v>
      </c>
      <c r="I193" s="6">
        <v>2</v>
      </c>
      <c r="J193" s="6">
        <v>1</v>
      </c>
      <c r="K193" s="7">
        <v>1.1000000000000001</v>
      </c>
      <c r="L193" s="9">
        <f t="shared" si="18"/>
        <v>13</v>
      </c>
      <c r="M193">
        <v>2</v>
      </c>
      <c r="N193">
        <v>4</v>
      </c>
      <c r="O193">
        <v>8</v>
      </c>
      <c r="P193" s="13" t="str">
        <f t="shared" si="19"/>
        <v>2d4 + 8</v>
      </c>
      <c r="Q193">
        <f>ROUND(INDEX(Catalogue!E$4:E$85,MATCH(A193,Catalogue!A$4:A$85,0))*(1+Paramètres!$B$4*(C193-1)+Paramètres!$B$5*(C193-1)^2),0)</f>
        <v>10</v>
      </c>
      <c r="R193">
        <f>ROUND(INDEX(Catalogue!F$4:F$85,MATCH(A193,Catalogue!A$4:A$85,0))*(1+Paramètres!$B$4*(C193-1)+Paramètres!$B$5*(C193-1)^2),0)</f>
        <v>16</v>
      </c>
      <c r="S193">
        <f t="shared" si="20"/>
        <v>0</v>
      </c>
      <c r="T193" t="str">
        <f t="shared" si="21"/>
        <v>OK</v>
      </c>
      <c r="U193" s="25">
        <f t="shared" si="22"/>
        <v>13</v>
      </c>
      <c r="V193" t="str">
        <f t="shared" si="23"/>
        <v>OK</v>
      </c>
    </row>
    <row r="194" spans="1:22" ht="18" customHeight="1">
      <c r="A194" t="s">
        <v>108</v>
      </c>
      <c r="B194" t="s">
        <v>109</v>
      </c>
      <c r="C194">
        <v>11</v>
      </c>
      <c r="D194" t="s">
        <v>72</v>
      </c>
      <c r="E194" s="6">
        <f t="shared" si="16"/>
        <v>11</v>
      </c>
      <c r="F194" s="6">
        <f t="shared" si="17"/>
        <v>20</v>
      </c>
      <c r="G194" s="6">
        <f>ROUND(Catalogue!G13*SQRT((1+Paramètres!$B$4*(C194-1)+Paramètres!$B$5*(C194-1)^2)),0)</f>
        <v>0</v>
      </c>
      <c r="H194" s="6">
        <f>ROUND(Catalogue!H13*SQRT((1+Paramètres!$B$4*(C194-1)+Paramètres!$B$5*(C194-1)^2)),0)</f>
        <v>0</v>
      </c>
      <c r="I194" s="6">
        <v>2</v>
      </c>
      <c r="J194" s="6">
        <v>1</v>
      </c>
      <c r="K194" s="7">
        <v>1.1000000000000001</v>
      </c>
      <c r="L194" s="9">
        <f t="shared" si="18"/>
        <v>15.5</v>
      </c>
      <c r="M194">
        <v>3</v>
      </c>
      <c r="N194">
        <v>4</v>
      </c>
      <c r="O194">
        <v>8</v>
      </c>
      <c r="P194" s="13" t="str">
        <f t="shared" si="19"/>
        <v>3d4 + 8</v>
      </c>
      <c r="Q194">
        <f>ROUND(INDEX(Catalogue!E$4:E$85,MATCH(A194,Catalogue!A$4:A$85,0))*(1+Paramètres!$B$4*(C194-1)+Paramètres!$B$5*(C194-1)^2),0)</f>
        <v>11</v>
      </c>
      <c r="R194">
        <f>ROUND(INDEX(Catalogue!F$4:F$85,MATCH(A194,Catalogue!A$4:A$85,0))*(1+Paramètres!$B$4*(C194-1)+Paramètres!$B$5*(C194-1)^2),0)</f>
        <v>19</v>
      </c>
      <c r="S194">
        <f t="shared" si="20"/>
        <v>0.5</v>
      </c>
      <c r="T194" t="str">
        <f t="shared" si="21"/>
        <v>OK</v>
      </c>
      <c r="U194" s="25">
        <f t="shared" si="22"/>
        <v>15.5</v>
      </c>
      <c r="V194" t="str">
        <f t="shared" si="23"/>
        <v>OK</v>
      </c>
    </row>
    <row r="195" spans="1:22" ht="18" customHeight="1">
      <c r="A195" t="s">
        <v>108</v>
      </c>
      <c r="B195" t="s">
        <v>109</v>
      </c>
      <c r="C195">
        <v>12</v>
      </c>
      <c r="D195" t="s">
        <v>72</v>
      </c>
      <c r="E195" s="6">
        <f t="shared" si="16"/>
        <v>12</v>
      </c>
      <c r="F195" s="6">
        <f t="shared" si="17"/>
        <v>21</v>
      </c>
      <c r="G195" s="6">
        <f>ROUND(Catalogue!G13*SQRT((1+Paramètres!$B$4*(C195-1)+Paramètres!$B$5*(C195-1)^2)),0)</f>
        <v>0</v>
      </c>
      <c r="H195" s="6">
        <f>ROUND(Catalogue!H13*SQRT((1+Paramètres!$B$4*(C195-1)+Paramètres!$B$5*(C195-1)^2)),0)</f>
        <v>0</v>
      </c>
      <c r="I195" s="6">
        <v>2</v>
      </c>
      <c r="J195" s="6">
        <v>1</v>
      </c>
      <c r="K195" s="7">
        <v>1.1000000000000001</v>
      </c>
      <c r="L195" s="9">
        <f t="shared" si="18"/>
        <v>16.5</v>
      </c>
      <c r="M195">
        <v>3</v>
      </c>
      <c r="N195">
        <v>4</v>
      </c>
      <c r="O195">
        <v>9</v>
      </c>
      <c r="P195" s="13" t="str">
        <f t="shared" si="19"/>
        <v>3d4 + 9</v>
      </c>
      <c r="Q195">
        <f>ROUND(INDEX(Catalogue!E$4:E$85,MATCH(A195,Catalogue!A$4:A$85,0))*(1+Paramètres!$B$4*(C195-1)+Paramètres!$B$5*(C195-1)^2),0)</f>
        <v>12</v>
      </c>
      <c r="R195">
        <f>ROUND(INDEX(Catalogue!F$4:F$85,MATCH(A195,Catalogue!A$4:A$85,0))*(1+Paramètres!$B$4*(C195-1)+Paramètres!$B$5*(C195-1)^2),0)</f>
        <v>21</v>
      </c>
      <c r="S195">
        <f t="shared" si="20"/>
        <v>0</v>
      </c>
      <c r="T195" t="str">
        <f t="shared" si="21"/>
        <v>OK</v>
      </c>
      <c r="U195" s="25">
        <f t="shared" si="22"/>
        <v>16.5</v>
      </c>
      <c r="V195" t="str">
        <f t="shared" si="23"/>
        <v>OK</v>
      </c>
    </row>
    <row r="196" spans="1:22" ht="18" customHeight="1">
      <c r="A196" t="s">
        <v>108</v>
      </c>
      <c r="B196" t="s">
        <v>109</v>
      </c>
      <c r="C196">
        <v>13</v>
      </c>
      <c r="D196" t="s">
        <v>72</v>
      </c>
      <c r="E196" s="6">
        <f t="shared" ref="E196:E259" si="24">IF(M196=0,0,M196+O196)</f>
        <v>14</v>
      </c>
      <c r="F196" s="6">
        <f t="shared" ref="F196:F259" si="25">IF(M196=0,0,M196*N196+O196)</f>
        <v>23</v>
      </c>
      <c r="G196" s="6">
        <f>ROUND(Catalogue!G13*SQRT((1+Paramètres!$B$4*(C196-1)+Paramètres!$B$5*(C196-1)^2)),0)</f>
        <v>0</v>
      </c>
      <c r="H196" s="6">
        <f>ROUND(Catalogue!H13*SQRT((1+Paramètres!$B$4*(C196-1)+Paramètres!$B$5*(C196-1)^2)),0)</f>
        <v>0</v>
      </c>
      <c r="I196" s="6">
        <v>2</v>
      </c>
      <c r="J196" s="6">
        <v>1</v>
      </c>
      <c r="K196" s="7">
        <v>1.1000000000000001</v>
      </c>
      <c r="L196" s="9">
        <f t="shared" ref="L196:L259" si="26">IF(M196=0,0,(E196+F196)/2)</f>
        <v>18.5</v>
      </c>
      <c r="M196">
        <v>3</v>
      </c>
      <c r="N196">
        <v>4</v>
      </c>
      <c r="O196">
        <v>11</v>
      </c>
      <c r="P196" s="13" t="str">
        <f t="shared" ref="P196:P259" si="27">IF(M196=0,"—",M196&amp;"d"&amp;N196&amp;IF(O196=0,""," + "&amp;O196))</f>
        <v>3d4 + 11</v>
      </c>
      <c r="Q196">
        <f>ROUND(INDEX(Catalogue!E$4:E$85,MATCH(A196,Catalogue!A$4:A$85,0))*(1+Paramètres!$B$4*(C196-1)+Paramètres!$B$5*(C196-1)^2),0)</f>
        <v>14</v>
      </c>
      <c r="R196">
        <f>ROUND(INDEX(Catalogue!F$4:F$85,MATCH(A196,Catalogue!A$4:A$85,0))*(1+Paramètres!$B$4*(C196-1)+Paramètres!$B$5*(C196-1)^2),0)</f>
        <v>23</v>
      </c>
      <c r="S196">
        <f t="shared" ref="S196:S259" si="28">L196-AVERAGE(Q196:R196)</f>
        <v>0</v>
      </c>
      <c r="T196" t="str">
        <f t="shared" ref="T196:T259" si="29">IF(M196=0,IF(AND(N196=0,O196=0,E196=0,F196=0),"OK","ERREUR"),IF(AND(M196&gt;=1,M196&lt;=32,OR(N196=4,N196=6,N196=8,N196=10,N196=12,N196=20),O196&gt;=0,E196=M196+O196,F196=M196*N196+O196),"OK","ERREUR"))</f>
        <v>OK</v>
      </c>
      <c r="U196" s="25">
        <f t="shared" ref="U196:U259" si="30">IF(M196&gt;0,M196*(N196+1)/2+O196,0)</f>
        <v>18.5</v>
      </c>
      <c r="V196" t="str">
        <f t="shared" ref="V196:V259" si="31">IF(ABS(L196-U196)&lt;0.001,"OK","ERREUR")</f>
        <v>OK</v>
      </c>
    </row>
    <row r="197" spans="1:22" ht="18" customHeight="1">
      <c r="A197" t="s">
        <v>108</v>
      </c>
      <c r="B197" t="s">
        <v>109</v>
      </c>
      <c r="C197">
        <v>14</v>
      </c>
      <c r="D197" t="s">
        <v>72</v>
      </c>
      <c r="E197" s="6">
        <f t="shared" si="24"/>
        <v>15</v>
      </c>
      <c r="F197" s="6">
        <f t="shared" si="25"/>
        <v>25</v>
      </c>
      <c r="G197" s="6">
        <f>ROUND(Catalogue!G13*SQRT((1+Paramètres!$B$4*(C197-1)+Paramètres!$B$5*(C197-1)^2)),0)</f>
        <v>0</v>
      </c>
      <c r="H197" s="6">
        <f>ROUND(Catalogue!H13*SQRT((1+Paramètres!$B$4*(C197-1)+Paramètres!$B$5*(C197-1)^2)),0)</f>
        <v>0</v>
      </c>
      <c r="I197" s="6">
        <v>2</v>
      </c>
      <c r="J197" s="6">
        <v>1</v>
      </c>
      <c r="K197" s="7">
        <v>1.1000000000000001</v>
      </c>
      <c r="L197" s="9">
        <f t="shared" si="26"/>
        <v>20</v>
      </c>
      <c r="M197">
        <v>2</v>
      </c>
      <c r="N197">
        <v>6</v>
      </c>
      <c r="O197">
        <v>13</v>
      </c>
      <c r="P197" s="13" t="str">
        <f t="shared" si="27"/>
        <v>2d6 + 13</v>
      </c>
      <c r="Q197">
        <f>ROUND(INDEX(Catalogue!E$4:E$85,MATCH(A197,Catalogue!A$4:A$85,0))*(1+Paramètres!$B$4*(C197-1)+Paramètres!$B$5*(C197-1)^2),0)</f>
        <v>15</v>
      </c>
      <c r="R197">
        <f>ROUND(INDEX(Catalogue!F$4:F$85,MATCH(A197,Catalogue!A$4:A$85,0))*(1+Paramètres!$B$4*(C197-1)+Paramètres!$B$5*(C197-1)^2),0)</f>
        <v>26</v>
      </c>
      <c r="S197">
        <f t="shared" si="28"/>
        <v>-0.5</v>
      </c>
      <c r="T197" t="str">
        <f t="shared" si="29"/>
        <v>OK</v>
      </c>
      <c r="U197" s="25">
        <f t="shared" si="30"/>
        <v>20</v>
      </c>
      <c r="V197" t="str">
        <f t="shared" si="31"/>
        <v>OK</v>
      </c>
    </row>
    <row r="198" spans="1:22" ht="18" customHeight="1">
      <c r="A198" t="s">
        <v>108</v>
      </c>
      <c r="B198" t="s">
        <v>109</v>
      </c>
      <c r="C198">
        <v>15</v>
      </c>
      <c r="D198" t="s">
        <v>72</v>
      </c>
      <c r="E198" s="6">
        <f t="shared" si="24"/>
        <v>18</v>
      </c>
      <c r="F198" s="6">
        <f t="shared" si="25"/>
        <v>28</v>
      </c>
      <c r="G198" s="6">
        <f>ROUND(Catalogue!G13*SQRT((1+Paramètres!$B$4*(C198-1)+Paramètres!$B$5*(C198-1)^2)),0)</f>
        <v>0</v>
      </c>
      <c r="H198" s="6">
        <f>ROUND(Catalogue!H13*SQRT((1+Paramètres!$B$4*(C198-1)+Paramètres!$B$5*(C198-1)^2)),0)</f>
        <v>0</v>
      </c>
      <c r="I198" s="6">
        <v>2</v>
      </c>
      <c r="J198" s="6">
        <v>1</v>
      </c>
      <c r="K198" s="7">
        <v>1.1000000000000001</v>
      </c>
      <c r="L198" s="9">
        <f t="shared" si="26"/>
        <v>23</v>
      </c>
      <c r="M198">
        <v>2</v>
      </c>
      <c r="N198">
        <v>6</v>
      </c>
      <c r="O198">
        <v>16</v>
      </c>
      <c r="P198" s="13" t="str">
        <f t="shared" si="27"/>
        <v>2d6 + 16</v>
      </c>
      <c r="Q198">
        <f>ROUND(INDEX(Catalogue!E$4:E$85,MATCH(A198,Catalogue!A$4:A$85,0))*(1+Paramètres!$B$4*(C198-1)+Paramètres!$B$5*(C198-1)^2),0)</f>
        <v>17</v>
      </c>
      <c r="R198">
        <f>ROUND(INDEX(Catalogue!F$4:F$85,MATCH(A198,Catalogue!A$4:A$85,0))*(1+Paramètres!$B$4*(C198-1)+Paramètres!$B$5*(C198-1)^2),0)</f>
        <v>28</v>
      </c>
      <c r="S198">
        <f t="shared" si="28"/>
        <v>0.5</v>
      </c>
      <c r="T198" t="str">
        <f t="shared" si="29"/>
        <v>OK</v>
      </c>
      <c r="U198" s="25">
        <f t="shared" si="30"/>
        <v>23</v>
      </c>
      <c r="V198" t="str">
        <f t="shared" si="31"/>
        <v>OK</v>
      </c>
    </row>
    <row r="199" spans="1:22" ht="18" customHeight="1">
      <c r="A199" t="s">
        <v>108</v>
      </c>
      <c r="B199" t="s">
        <v>109</v>
      </c>
      <c r="C199">
        <v>16</v>
      </c>
      <c r="D199" t="s">
        <v>72</v>
      </c>
      <c r="E199" s="6">
        <f t="shared" si="24"/>
        <v>19</v>
      </c>
      <c r="F199" s="6">
        <f t="shared" si="25"/>
        <v>31</v>
      </c>
      <c r="G199" s="6">
        <f>ROUND(Catalogue!G13*SQRT((1+Paramètres!$B$4*(C199-1)+Paramètres!$B$5*(C199-1)^2)),0)</f>
        <v>0</v>
      </c>
      <c r="H199" s="6">
        <f>ROUND(Catalogue!H13*SQRT((1+Paramètres!$B$4*(C199-1)+Paramètres!$B$5*(C199-1)^2)),0)</f>
        <v>0</v>
      </c>
      <c r="I199" s="6">
        <v>2</v>
      </c>
      <c r="J199" s="6">
        <v>1</v>
      </c>
      <c r="K199" s="7">
        <v>1.1000000000000001</v>
      </c>
      <c r="L199" s="9">
        <f t="shared" si="26"/>
        <v>25</v>
      </c>
      <c r="M199">
        <v>4</v>
      </c>
      <c r="N199">
        <v>4</v>
      </c>
      <c r="O199">
        <v>15</v>
      </c>
      <c r="P199" s="13" t="str">
        <f t="shared" si="27"/>
        <v>4d4 + 15</v>
      </c>
      <c r="Q199">
        <f>ROUND(INDEX(Catalogue!E$4:E$85,MATCH(A199,Catalogue!A$4:A$85,0))*(1+Paramètres!$B$4*(C199-1)+Paramètres!$B$5*(C199-1)^2),0)</f>
        <v>19</v>
      </c>
      <c r="R199">
        <f>ROUND(INDEX(Catalogue!F$4:F$85,MATCH(A199,Catalogue!A$4:A$85,0))*(1+Paramètres!$B$4*(C199-1)+Paramètres!$B$5*(C199-1)^2),0)</f>
        <v>31</v>
      </c>
      <c r="S199">
        <f t="shared" si="28"/>
        <v>0</v>
      </c>
      <c r="T199" t="str">
        <f t="shared" si="29"/>
        <v>OK</v>
      </c>
      <c r="U199" s="25">
        <f t="shared" si="30"/>
        <v>25</v>
      </c>
      <c r="V199" t="str">
        <f t="shared" si="31"/>
        <v>OK</v>
      </c>
    </row>
    <row r="200" spans="1:22" ht="18" customHeight="1">
      <c r="A200" t="s">
        <v>108</v>
      </c>
      <c r="B200" t="s">
        <v>109</v>
      </c>
      <c r="C200">
        <v>17</v>
      </c>
      <c r="D200" t="s">
        <v>72</v>
      </c>
      <c r="E200" s="6">
        <f t="shared" si="24"/>
        <v>20</v>
      </c>
      <c r="F200" s="6">
        <f t="shared" si="25"/>
        <v>34</v>
      </c>
      <c r="G200" s="6">
        <f>ROUND(Catalogue!G13*SQRT((1+Paramètres!$B$4*(C200-1)+Paramètres!$B$5*(C200-1)^2)),0)</f>
        <v>0</v>
      </c>
      <c r="H200" s="6">
        <f>ROUND(Catalogue!H13*SQRT((1+Paramètres!$B$4*(C200-1)+Paramètres!$B$5*(C200-1)^2)),0)</f>
        <v>0</v>
      </c>
      <c r="I200" s="6">
        <v>2</v>
      </c>
      <c r="J200" s="6">
        <v>1</v>
      </c>
      <c r="K200" s="7">
        <v>1.1000000000000001</v>
      </c>
      <c r="L200" s="9">
        <f t="shared" si="26"/>
        <v>27</v>
      </c>
      <c r="M200">
        <v>2</v>
      </c>
      <c r="N200">
        <v>8</v>
      </c>
      <c r="O200">
        <v>18</v>
      </c>
      <c r="P200" s="13" t="str">
        <f t="shared" si="27"/>
        <v>2d8 + 18</v>
      </c>
      <c r="Q200">
        <f>ROUND(INDEX(Catalogue!E$4:E$85,MATCH(A200,Catalogue!A$4:A$85,0))*(1+Paramètres!$B$4*(C200-1)+Paramètres!$B$5*(C200-1)^2),0)</f>
        <v>21</v>
      </c>
      <c r="R200">
        <f>ROUND(INDEX(Catalogue!F$4:F$85,MATCH(A200,Catalogue!A$4:A$85,0))*(1+Paramètres!$B$4*(C200-1)+Paramètres!$B$5*(C200-1)^2),0)</f>
        <v>34</v>
      </c>
      <c r="S200">
        <f t="shared" si="28"/>
        <v>-0.5</v>
      </c>
      <c r="T200" t="str">
        <f t="shared" si="29"/>
        <v>OK</v>
      </c>
      <c r="U200" s="25">
        <f t="shared" si="30"/>
        <v>27</v>
      </c>
      <c r="V200" t="str">
        <f t="shared" si="31"/>
        <v>OK</v>
      </c>
    </row>
    <row r="201" spans="1:22" ht="18" customHeight="1">
      <c r="A201" t="s">
        <v>108</v>
      </c>
      <c r="B201" t="s">
        <v>109</v>
      </c>
      <c r="C201">
        <v>18</v>
      </c>
      <c r="D201" t="s">
        <v>72</v>
      </c>
      <c r="E201" s="6">
        <f t="shared" si="24"/>
        <v>22</v>
      </c>
      <c r="F201" s="6">
        <f t="shared" si="25"/>
        <v>37</v>
      </c>
      <c r="G201" s="6">
        <f>ROUND(Catalogue!G13*SQRT((1+Paramètres!$B$4*(C201-1)+Paramètres!$B$5*(C201-1)^2)),0)</f>
        <v>0</v>
      </c>
      <c r="H201" s="6">
        <f>ROUND(Catalogue!H13*SQRT((1+Paramètres!$B$4*(C201-1)+Paramètres!$B$5*(C201-1)^2)),0)</f>
        <v>0</v>
      </c>
      <c r="I201" s="6">
        <v>2</v>
      </c>
      <c r="J201" s="6">
        <v>1</v>
      </c>
      <c r="K201" s="7">
        <v>1.1000000000000001</v>
      </c>
      <c r="L201" s="9">
        <f t="shared" si="26"/>
        <v>29.5</v>
      </c>
      <c r="M201">
        <v>3</v>
      </c>
      <c r="N201">
        <v>6</v>
      </c>
      <c r="O201">
        <v>19</v>
      </c>
      <c r="P201" s="13" t="str">
        <f t="shared" si="27"/>
        <v>3d6 + 19</v>
      </c>
      <c r="Q201">
        <f>ROUND(INDEX(Catalogue!E$4:E$85,MATCH(A201,Catalogue!A$4:A$85,0))*(1+Paramètres!$B$4*(C201-1)+Paramètres!$B$5*(C201-1)^2),0)</f>
        <v>22</v>
      </c>
      <c r="R201">
        <f>ROUND(INDEX(Catalogue!F$4:F$85,MATCH(A201,Catalogue!A$4:A$85,0))*(1+Paramètres!$B$4*(C201-1)+Paramètres!$B$5*(C201-1)^2),0)</f>
        <v>37</v>
      </c>
      <c r="S201">
        <f t="shared" si="28"/>
        <v>0</v>
      </c>
      <c r="T201" t="str">
        <f t="shared" si="29"/>
        <v>OK</v>
      </c>
      <c r="U201" s="25">
        <f t="shared" si="30"/>
        <v>29.5</v>
      </c>
      <c r="V201" t="str">
        <f t="shared" si="31"/>
        <v>OK</v>
      </c>
    </row>
    <row r="202" spans="1:22" ht="18" customHeight="1">
      <c r="A202" t="s">
        <v>108</v>
      </c>
      <c r="B202" t="s">
        <v>109</v>
      </c>
      <c r="C202">
        <v>19</v>
      </c>
      <c r="D202" t="s">
        <v>72</v>
      </c>
      <c r="E202" s="6">
        <f t="shared" si="24"/>
        <v>23</v>
      </c>
      <c r="F202" s="6">
        <f t="shared" si="25"/>
        <v>41</v>
      </c>
      <c r="G202" s="6">
        <f>ROUND(Catalogue!G13*SQRT((1+Paramètres!$B$4*(C202-1)+Paramètres!$B$5*(C202-1)^2)),0)</f>
        <v>0</v>
      </c>
      <c r="H202" s="6">
        <f>ROUND(Catalogue!H13*SQRT((1+Paramètres!$B$4*(C202-1)+Paramètres!$B$5*(C202-1)^2)),0)</f>
        <v>0</v>
      </c>
      <c r="I202" s="6">
        <v>2</v>
      </c>
      <c r="J202" s="6">
        <v>1</v>
      </c>
      <c r="K202" s="7">
        <v>1.1000000000000001</v>
      </c>
      <c r="L202" s="9">
        <f t="shared" si="26"/>
        <v>32</v>
      </c>
      <c r="M202">
        <v>2</v>
      </c>
      <c r="N202">
        <v>10</v>
      </c>
      <c r="O202">
        <v>21</v>
      </c>
      <c r="P202" s="13" t="str">
        <f t="shared" si="27"/>
        <v>2d10 + 21</v>
      </c>
      <c r="Q202">
        <f>ROUND(INDEX(Catalogue!E$4:E$85,MATCH(A202,Catalogue!A$4:A$85,0))*(1+Paramètres!$B$4*(C202-1)+Paramètres!$B$5*(C202-1)^2),0)</f>
        <v>24</v>
      </c>
      <c r="R202">
        <f>ROUND(INDEX(Catalogue!F$4:F$85,MATCH(A202,Catalogue!A$4:A$85,0))*(1+Paramètres!$B$4*(C202-1)+Paramètres!$B$5*(C202-1)^2),0)</f>
        <v>41</v>
      </c>
      <c r="S202">
        <f t="shared" si="28"/>
        <v>-0.5</v>
      </c>
      <c r="T202" t="str">
        <f t="shared" si="29"/>
        <v>OK</v>
      </c>
      <c r="U202" s="25">
        <f t="shared" si="30"/>
        <v>32</v>
      </c>
      <c r="V202" t="str">
        <f t="shared" si="31"/>
        <v>OK</v>
      </c>
    </row>
    <row r="203" spans="1:22" ht="18" customHeight="1">
      <c r="A203" t="s">
        <v>108</v>
      </c>
      <c r="B203" t="s">
        <v>109</v>
      </c>
      <c r="C203">
        <v>20</v>
      </c>
      <c r="D203" t="s">
        <v>72</v>
      </c>
      <c r="E203" s="6">
        <f t="shared" si="24"/>
        <v>26</v>
      </c>
      <c r="F203" s="6">
        <f t="shared" si="25"/>
        <v>44</v>
      </c>
      <c r="G203" s="6">
        <f>ROUND(Catalogue!G13*SQRT((1+Paramètres!$B$4*(C203-1)+Paramètres!$B$5*(C203-1)^2)),0)</f>
        <v>0</v>
      </c>
      <c r="H203" s="6">
        <f>ROUND(Catalogue!H13*SQRT((1+Paramètres!$B$4*(C203-1)+Paramètres!$B$5*(C203-1)^2)),0)</f>
        <v>0</v>
      </c>
      <c r="I203" s="6">
        <v>2</v>
      </c>
      <c r="J203" s="6">
        <v>1</v>
      </c>
      <c r="K203" s="7">
        <v>1.1000000000000001</v>
      </c>
      <c r="L203" s="9">
        <f t="shared" si="26"/>
        <v>35</v>
      </c>
      <c r="M203">
        <v>2</v>
      </c>
      <c r="N203">
        <v>10</v>
      </c>
      <c r="O203">
        <v>24</v>
      </c>
      <c r="P203" s="13" t="str">
        <f t="shared" si="27"/>
        <v>2d10 + 24</v>
      </c>
      <c r="Q203">
        <f>ROUND(INDEX(Catalogue!E$4:E$85,MATCH(A203,Catalogue!A$4:A$85,0))*(1+Paramètres!$B$4*(C203-1)+Paramètres!$B$5*(C203-1)^2),0)</f>
        <v>27</v>
      </c>
      <c r="R203">
        <f>ROUND(INDEX(Catalogue!F$4:F$85,MATCH(A203,Catalogue!A$4:A$85,0))*(1+Paramètres!$B$4*(C203-1)+Paramètres!$B$5*(C203-1)^2),0)</f>
        <v>44</v>
      </c>
      <c r="S203">
        <f t="shared" si="28"/>
        <v>-0.5</v>
      </c>
      <c r="T203" t="str">
        <f t="shared" si="29"/>
        <v>OK</v>
      </c>
      <c r="U203" s="25">
        <f t="shared" si="30"/>
        <v>35</v>
      </c>
      <c r="V203" t="str">
        <f t="shared" si="31"/>
        <v>OK</v>
      </c>
    </row>
    <row r="204" spans="1:22" ht="18" customHeight="1">
      <c r="A204" t="s">
        <v>111</v>
      </c>
      <c r="B204" t="s">
        <v>112</v>
      </c>
      <c r="C204">
        <v>1</v>
      </c>
      <c r="D204" t="s">
        <v>72</v>
      </c>
      <c r="E204" s="6">
        <f t="shared" si="24"/>
        <v>1</v>
      </c>
      <c r="F204" s="6">
        <f t="shared" si="25"/>
        <v>4</v>
      </c>
      <c r="G204" s="6">
        <f>ROUND(Catalogue!G14*SQRT((1+Paramètres!$B$4*(C204-1)+Paramètres!$B$5*(C204-1)^2)),0)</f>
        <v>0</v>
      </c>
      <c r="H204" s="6">
        <f>ROUND(Catalogue!H14*SQRT((1+Paramètres!$B$4*(C204-1)+Paramètres!$B$5*(C204-1)^2)),0)</f>
        <v>0</v>
      </c>
      <c r="I204" s="6">
        <v>2</v>
      </c>
      <c r="J204" s="6">
        <v>1</v>
      </c>
      <c r="K204" s="7">
        <v>0.7</v>
      </c>
      <c r="L204" s="9">
        <f t="shared" si="26"/>
        <v>2.5</v>
      </c>
      <c r="M204">
        <v>1</v>
      </c>
      <c r="N204">
        <v>4</v>
      </c>
      <c r="O204">
        <v>0</v>
      </c>
      <c r="P204" s="13" t="str">
        <f t="shared" si="27"/>
        <v>1d4</v>
      </c>
      <c r="Q204">
        <f>ROUND(INDEX(Catalogue!E$4:E$85,MATCH(A204,Catalogue!A$4:A$85,0))*(1+Paramètres!$B$4*(C204-1)+Paramètres!$B$5*(C204-1)^2),0)</f>
        <v>2</v>
      </c>
      <c r="R204">
        <f>ROUND(INDEX(Catalogue!F$4:F$85,MATCH(A204,Catalogue!A$4:A$85,0))*(1+Paramètres!$B$4*(C204-1)+Paramètres!$B$5*(C204-1)^2),0)</f>
        <v>4</v>
      </c>
      <c r="S204">
        <f t="shared" si="28"/>
        <v>-0.5</v>
      </c>
      <c r="T204" t="str">
        <f t="shared" si="29"/>
        <v>OK</v>
      </c>
      <c r="U204" s="25">
        <f t="shared" si="30"/>
        <v>2.5</v>
      </c>
      <c r="V204" t="str">
        <f t="shared" si="31"/>
        <v>OK</v>
      </c>
    </row>
    <row r="205" spans="1:22" ht="18" customHeight="1">
      <c r="A205" t="s">
        <v>111</v>
      </c>
      <c r="B205" t="s">
        <v>112</v>
      </c>
      <c r="C205">
        <v>2</v>
      </c>
      <c r="D205" t="s">
        <v>72</v>
      </c>
      <c r="E205" s="6">
        <f t="shared" si="24"/>
        <v>2</v>
      </c>
      <c r="F205" s="6">
        <f t="shared" si="25"/>
        <v>5</v>
      </c>
      <c r="G205" s="6">
        <f>ROUND(Catalogue!G14*SQRT((1+Paramètres!$B$4*(C205-1)+Paramètres!$B$5*(C205-1)^2)),0)</f>
        <v>0</v>
      </c>
      <c r="H205" s="6">
        <f>ROUND(Catalogue!H14*SQRT((1+Paramètres!$B$4*(C205-1)+Paramètres!$B$5*(C205-1)^2)),0)</f>
        <v>0</v>
      </c>
      <c r="I205" s="6">
        <v>2</v>
      </c>
      <c r="J205" s="6">
        <v>1</v>
      </c>
      <c r="K205" s="7">
        <v>0.7</v>
      </c>
      <c r="L205" s="9">
        <f t="shared" si="26"/>
        <v>3.5</v>
      </c>
      <c r="M205">
        <v>1</v>
      </c>
      <c r="N205">
        <v>4</v>
      </c>
      <c r="O205">
        <v>1</v>
      </c>
      <c r="P205" s="13" t="str">
        <f t="shared" si="27"/>
        <v>1d4 + 1</v>
      </c>
      <c r="Q205">
        <f>ROUND(INDEX(Catalogue!E$4:E$85,MATCH(A205,Catalogue!A$4:A$85,0))*(1+Paramètres!$B$4*(C205-1)+Paramètres!$B$5*(C205-1)^2),0)</f>
        <v>2</v>
      </c>
      <c r="R205">
        <f>ROUND(INDEX(Catalogue!F$4:F$85,MATCH(A205,Catalogue!A$4:A$85,0))*(1+Paramètres!$B$4*(C205-1)+Paramètres!$B$5*(C205-1)^2),0)</f>
        <v>5</v>
      </c>
      <c r="S205">
        <f t="shared" si="28"/>
        <v>0</v>
      </c>
      <c r="T205" t="str">
        <f t="shared" si="29"/>
        <v>OK</v>
      </c>
      <c r="U205" s="25">
        <f t="shared" si="30"/>
        <v>3.5</v>
      </c>
      <c r="V205" t="str">
        <f t="shared" si="31"/>
        <v>OK</v>
      </c>
    </row>
    <row r="206" spans="1:22" ht="18" customHeight="1">
      <c r="A206" t="s">
        <v>111</v>
      </c>
      <c r="B206" t="s">
        <v>112</v>
      </c>
      <c r="C206">
        <v>3</v>
      </c>
      <c r="D206" t="s">
        <v>72</v>
      </c>
      <c r="E206" s="6">
        <f t="shared" si="24"/>
        <v>2</v>
      </c>
      <c r="F206" s="6">
        <f t="shared" si="25"/>
        <v>5</v>
      </c>
      <c r="G206" s="6">
        <f>ROUND(Catalogue!G14*SQRT((1+Paramètres!$B$4*(C206-1)+Paramètres!$B$5*(C206-1)^2)),0)</f>
        <v>0</v>
      </c>
      <c r="H206" s="6">
        <f>ROUND(Catalogue!H14*SQRT((1+Paramètres!$B$4*(C206-1)+Paramètres!$B$5*(C206-1)^2)),0)</f>
        <v>0</v>
      </c>
      <c r="I206" s="6">
        <v>2</v>
      </c>
      <c r="J206" s="6">
        <v>1</v>
      </c>
      <c r="K206" s="7">
        <v>0.7</v>
      </c>
      <c r="L206" s="9">
        <f t="shared" si="26"/>
        <v>3.5</v>
      </c>
      <c r="M206">
        <v>1</v>
      </c>
      <c r="N206">
        <v>4</v>
      </c>
      <c r="O206">
        <v>1</v>
      </c>
      <c r="P206" s="13" t="str">
        <f t="shared" si="27"/>
        <v>1d4 + 1</v>
      </c>
      <c r="Q206">
        <f>ROUND(INDEX(Catalogue!E$4:E$85,MATCH(A206,Catalogue!A$4:A$85,0))*(1+Paramètres!$B$4*(C206-1)+Paramètres!$B$5*(C206-1)^2),0)</f>
        <v>3</v>
      </c>
      <c r="R206">
        <f>ROUND(INDEX(Catalogue!F$4:F$85,MATCH(A206,Catalogue!A$4:A$85,0))*(1+Paramètres!$B$4*(C206-1)+Paramètres!$B$5*(C206-1)^2),0)</f>
        <v>5</v>
      </c>
      <c r="S206">
        <f t="shared" si="28"/>
        <v>-0.5</v>
      </c>
      <c r="T206" t="str">
        <f t="shared" si="29"/>
        <v>OK</v>
      </c>
      <c r="U206" s="25">
        <f t="shared" si="30"/>
        <v>3.5</v>
      </c>
      <c r="V206" t="str">
        <f t="shared" si="31"/>
        <v>OK</v>
      </c>
    </row>
    <row r="207" spans="1:22" ht="18" customHeight="1">
      <c r="A207" t="s">
        <v>111</v>
      </c>
      <c r="B207" t="s">
        <v>112</v>
      </c>
      <c r="C207">
        <v>4</v>
      </c>
      <c r="D207" t="s">
        <v>72</v>
      </c>
      <c r="E207" s="6">
        <f t="shared" si="24"/>
        <v>3</v>
      </c>
      <c r="F207" s="6">
        <f t="shared" si="25"/>
        <v>6</v>
      </c>
      <c r="G207" s="6">
        <f>ROUND(Catalogue!G14*SQRT((1+Paramètres!$B$4*(C207-1)+Paramètres!$B$5*(C207-1)^2)),0)</f>
        <v>0</v>
      </c>
      <c r="H207" s="6">
        <f>ROUND(Catalogue!H14*SQRT((1+Paramètres!$B$4*(C207-1)+Paramètres!$B$5*(C207-1)^2)),0)</f>
        <v>0</v>
      </c>
      <c r="I207" s="6">
        <v>2</v>
      </c>
      <c r="J207" s="6">
        <v>1</v>
      </c>
      <c r="K207" s="7">
        <v>0.7</v>
      </c>
      <c r="L207" s="9">
        <f t="shared" si="26"/>
        <v>4.5</v>
      </c>
      <c r="M207">
        <v>1</v>
      </c>
      <c r="N207">
        <v>4</v>
      </c>
      <c r="O207">
        <v>2</v>
      </c>
      <c r="P207" s="13" t="str">
        <f t="shared" si="27"/>
        <v>1d4 + 2</v>
      </c>
      <c r="Q207">
        <f>ROUND(INDEX(Catalogue!E$4:E$85,MATCH(A207,Catalogue!A$4:A$85,0))*(1+Paramètres!$B$4*(C207-1)+Paramètres!$B$5*(C207-1)^2),0)</f>
        <v>3</v>
      </c>
      <c r="R207">
        <f>ROUND(INDEX(Catalogue!F$4:F$85,MATCH(A207,Catalogue!A$4:A$85,0))*(1+Paramètres!$B$4*(C207-1)+Paramètres!$B$5*(C207-1)^2),0)</f>
        <v>6</v>
      </c>
      <c r="S207">
        <f t="shared" si="28"/>
        <v>0</v>
      </c>
      <c r="T207" t="str">
        <f t="shared" si="29"/>
        <v>OK</v>
      </c>
      <c r="U207" s="25">
        <f t="shared" si="30"/>
        <v>4.5</v>
      </c>
      <c r="V207" t="str">
        <f t="shared" si="31"/>
        <v>OK</v>
      </c>
    </row>
    <row r="208" spans="1:22" ht="18" customHeight="1">
      <c r="A208" t="s">
        <v>111</v>
      </c>
      <c r="B208" t="s">
        <v>112</v>
      </c>
      <c r="C208">
        <v>5</v>
      </c>
      <c r="D208" t="s">
        <v>72</v>
      </c>
      <c r="E208" s="6">
        <f t="shared" si="24"/>
        <v>3</v>
      </c>
      <c r="F208" s="6">
        <f t="shared" si="25"/>
        <v>6</v>
      </c>
      <c r="G208" s="6">
        <f>ROUND(Catalogue!G14*SQRT((1+Paramètres!$B$4*(C208-1)+Paramètres!$B$5*(C208-1)^2)),0)</f>
        <v>0</v>
      </c>
      <c r="H208" s="6">
        <f>ROUND(Catalogue!H14*SQRT((1+Paramètres!$B$4*(C208-1)+Paramètres!$B$5*(C208-1)^2)),0)</f>
        <v>0</v>
      </c>
      <c r="I208" s="6">
        <v>2</v>
      </c>
      <c r="J208" s="6">
        <v>1</v>
      </c>
      <c r="K208" s="7">
        <v>0.7</v>
      </c>
      <c r="L208" s="9">
        <f t="shared" si="26"/>
        <v>4.5</v>
      </c>
      <c r="M208">
        <v>1</v>
      </c>
      <c r="N208">
        <v>4</v>
      </c>
      <c r="O208">
        <v>2</v>
      </c>
      <c r="P208" s="13" t="str">
        <f t="shared" si="27"/>
        <v>1d4 + 2</v>
      </c>
      <c r="Q208">
        <f>ROUND(INDEX(Catalogue!E$4:E$85,MATCH(A208,Catalogue!A$4:A$85,0))*(1+Paramètres!$B$4*(C208-1)+Paramètres!$B$5*(C208-1)^2),0)</f>
        <v>3</v>
      </c>
      <c r="R208">
        <f>ROUND(INDEX(Catalogue!F$4:F$85,MATCH(A208,Catalogue!A$4:A$85,0))*(1+Paramètres!$B$4*(C208-1)+Paramètres!$B$5*(C208-1)^2),0)</f>
        <v>7</v>
      </c>
      <c r="S208">
        <f t="shared" si="28"/>
        <v>-0.5</v>
      </c>
      <c r="T208" t="str">
        <f t="shared" si="29"/>
        <v>OK</v>
      </c>
      <c r="U208" s="25">
        <f t="shared" si="30"/>
        <v>4.5</v>
      </c>
      <c r="V208" t="str">
        <f t="shared" si="31"/>
        <v>OK</v>
      </c>
    </row>
    <row r="209" spans="1:22" ht="18" customHeight="1">
      <c r="A209" t="s">
        <v>111</v>
      </c>
      <c r="B209" t="s">
        <v>112</v>
      </c>
      <c r="C209">
        <v>6</v>
      </c>
      <c r="D209" t="s">
        <v>72</v>
      </c>
      <c r="E209" s="6">
        <f t="shared" si="24"/>
        <v>4</v>
      </c>
      <c r="F209" s="6">
        <f t="shared" si="25"/>
        <v>7</v>
      </c>
      <c r="G209" s="6">
        <f>ROUND(Catalogue!G14*SQRT((1+Paramètres!$B$4*(C209-1)+Paramètres!$B$5*(C209-1)^2)),0)</f>
        <v>0</v>
      </c>
      <c r="H209" s="6">
        <f>ROUND(Catalogue!H14*SQRT((1+Paramètres!$B$4*(C209-1)+Paramètres!$B$5*(C209-1)^2)),0)</f>
        <v>0</v>
      </c>
      <c r="I209" s="6">
        <v>2</v>
      </c>
      <c r="J209" s="6">
        <v>1</v>
      </c>
      <c r="K209" s="7">
        <v>0.7</v>
      </c>
      <c r="L209" s="9">
        <f t="shared" si="26"/>
        <v>5.5</v>
      </c>
      <c r="M209">
        <v>1</v>
      </c>
      <c r="N209">
        <v>4</v>
      </c>
      <c r="O209">
        <v>3</v>
      </c>
      <c r="P209" s="13" t="str">
        <f t="shared" si="27"/>
        <v>1d4 + 3</v>
      </c>
      <c r="Q209">
        <f>ROUND(INDEX(Catalogue!E$4:E$85,MATCH(A209,Catalogue!A$4:A$85,0))*(1+Paramètres!$B$4*(C209-1)+Paramètres!$B$5*(C209-1)^2),0)</f>
        <v>4</v>
      </c>
      <c r="R209">
        <f>ROUND(INDEX(Catalogue!F$4:F$85,MATCH(A209,Catalogue!A$4:A$85,0))*(1+Paramètres!$B$4*(C209-1)+Paramètres!$B$5*(C209-1)^2),0)</f>
        <v>8</v>
      </c>
      <c r="S209">
        <f t="shared" si="28"/>
        <v>-0.5</v>
      </c>
      <c r="T209" t="str">
        <f t="shared" si="29"/>
        <v>OK</v>
      </c>
      <c r="U209" s="25">
        <f t="shared" si="30"/>
        <v>5.5</v>
      </c>
      <c r="V209" t="str">
        <f t="shared" si="31"/>
        <v>OK</v>
      </c>
    </row>
    <row r="210" spans="1:22" ht="18" customHeight="1">
      <c r="A210" t="s">
        <v>111</v>
      </c>
      <c r="B210" t="s">
        <v>112</v>
      </c>
      <c r="C210">
        <v>7</v>
      </c>
      <c r="D210" t="s">
        <v>72</v>
      </c>
      <c r="E210" s="6">
        <f t="shared" si="24"/>
        <v>4</v>
      </c>
      <c r="F210" s="6">
        <f t="shared" si="25"/>
        <v>9</v>
      </c>
      <c r="G210" s="6">
        <f>ROUND(Catalogue!G14*SQRT((1+Paramètres!$B$4*(C210-1)+Paramètres!$B$5*(C210-1)^2)),0)</f>
        <v>0</v>
      </c>
      <c r="H210" s="6">
        <f>ROUND(Catalogue!H14*SQRT((1+Paramètres!$B$4*(C210-1)+Paramètres!$B$5*(C210-1)^2)),0)</f>
        <v>0</v>
      </c>
      <c r="I210" s="6">
        <v>2</v>
      </c>
      <c r="J210" s="6">
        <v>1</v>
      </c>
      <c r="K210" s="7">
        <v>0.7</v>
      </c>
      <c r="L210" s="9">
        <f t="shared" si="26"/>
        <v>6.5</v>
      </c>
      <c r="M210">
        <v>1</v>
      </c>
      <c r="N210">
        <v>6</v>
      </c>
      <c r="O210">
        <v>3</v>
      </c>
      <c r="P210" s="13" t="str">
        <f t="shared" si="27"/>
        <v>1d6 + 3</v>
      </c>
      <c r="Q210">
        <f>ROUND(INDEX(Catalogue!E$4:E$85,MATCH(A210,Catalogue!A$4:A$85,0))*(1+Paramètres!$B$4*(C210-1)+Paramètres!$B$5*(C210-1)^2),0)</f>
        <v>4</v>
      </c>
      <c r="R210">
        <f>ROUND(INDEX(Catalogue!F$4:F$85,MATCH(A210,Catalogue!A$4:A$85,0))*(1+Paramètres!$B$4*(C210-1)+Paramètres!$B$5*(C210-1)^2),0)</f>
        <v>9</v>
      </c>
      <c r="S210">
        <f t="shared" si="28"/>
        <v>0</v>
      </c>
      <c r="T210" t="str">
        <f t="shared" si="29"/>
        <v>OK</v>
      </c>
      <c r="U210" s="25">
        <f t="shared" si="30"/>
        <v>6.5</v>
      </c>
      <c r="V210" t="str">
        <f t="shared" si="31"/>
        <v>OK</v>
      </c>
    </row>
    <row r="211" spans="1:22" ht="18" customHeight="1">
      <c r="A211" t="s">
        <v>111</v>
      </c>
      <c r="B211" t="s">
        <v>112</v>
      </c>
      <c r="C211">
        <v>8</v>
      </c>
      <c r="D211" t="s">
        <v>72</v>
      </c>
      <c r="E211" s="6">
        <f t="shared" si="24"/>
        <v>5</v>
      </c>
      <c r="F211" s="6">
        <f t="shared" si="25"/>
        <v>10</v>
      </c>
      <c r="G211" s="6">
        <f>ROUND(Catalogue!G14*SQRT((1+Paramètres!$B$4*(C211-1)+Paramètres!$B$5*(C211-1)^2)),0)</f>
        <v>0</v>
      </c>
      <c r="H211" s="6">
        <f>ROUND(Catalogue!H14*SQRT((1+Paramètres!$B$4*(C211-1)+Paramètres!$B$5*(C211-1)^2)),0)</f>
        <v>0</v>
      </c>
      <c r="I211" s="6">
        <v>2</v>
      </c>
      <c r="J211" s="6">
        <v>1</v>
      </c>
      <c r="K211" s="7">
        <v>0.7</v>
      </c>
      <c r="L211" s="9">
        <f t="shared" si="26"/>
        <v>7.5</v>
      </c>
      <c r="M211">
        <v>1</v>
      </c>
      <c r="N211">
        <v>6</v>
      </c>
      <c r="O211">
        <v>4</v>
      </c>
      <c r="P211" s="13" t="str">
        <f t="shared" si="27"/>
        <v>1d6 + 4</v>
      </c>
      <c r="Q211">
        <f>ROUND(INDEX(Catalogue!E$4:E$85,MATCH(A211,Catalogue!A$4:A$85,0))*(1+Paramètres!$B$4*(C211-1)+Paramètres!$B$5*(C211-1)^2),0)</f>
        <v>5</v>
      </c>
      <c r="R211">
        <f>ROUND(INDEX(Catalogue!F$4:F$85,MATCH(A211,Catalogue!A$4:A$85,0))*(1+Paramètres!$B$4*(C211-1)+Paramètres!$B$5*(C211-1)^2),0)</f>
        <v>10</v>
      </c>
      <c r="S211">
        <f t="shared" si="28"/>
        <v>0</v>
      </c>
      <c r="T211" t="str">
        <f t="shared" si="29"/>
        <v>OK</v>
      </c>
      <c r="U211" s="25">
        <f t="shared" si="30"/>
        <v>7.5</v>
      </c>
      <c r="V211" t="str">
        <f t="shared" si="31"/>
        <v>OK</v>
      </c>
    </row>
    <row r="212" spans="1:22" ht="18" customHeight="1">
      <c r="A212" t="s">
        <v>111</v>
      </c>
      <c r="B212" t="s">
        <v>112</v>
      </c>
      <c r="C212">
        <v>9</v>
      </c>
      <c r="D212" t="s">
        <v>72</v>
      </c>
      <c r="E212" s="6">
        <f t="shared" si="24"/>
        <v>6</v>
      </c>
      <c r="F212" s="6">
        <f t="shared" si="25"/>
        <v>12</v>
      </c>
      <c r="G212" s="6">
        <f>ROUND(Catalogue!G14*SQRT((1+Paramètres!$B$4*(C212-1)+Paramètres!$B$5*(C212-1)^2)),0)</f>
        <v>0</v>
      </c>
      <c r="H212" s="6">
        <f>ROUND(Catalogue!H14*SQRT((1+Paramètres!$B$4*(C212-1)+Paramètres!$B$5*(C212-1)^2)),0)</f>
        <v>0</v>
      </c>
      <c r="I212" s="6">
        <v>2</v>
      </c>
      <c r="J212" s="6">
        <v>1</v>
      </c>
      <c r="K212" s="7">
        <v>0.7</v>
      </c>
      <c r="L212" s="9">
        <f t="shared" si="26"/>
        <v>9</v>
      </c>
      <c r="M212">
        <v>2</v>
      </c>
      <c r="N212">
        <v>4</v>
      </c>
      <c r="O212">
        <v>4</v>
      </c>
      <c r="P212" s="13" t="str">
        <f t="shared" si="27"/>
        <v>2d4 + 4</v>
      </c>
      <c r="Q212">
        <f>ROUND(INDEX(Catalogue!E$4:E$85,MATCH(A212,Catalogue!A$4:A$85,0))*(1+Paramètres!$B$4*(C212-1)+Paramètres!$B$5*(C212-1)^2),0)</f>
        <v>6</v>
      </c>
      <c r="R212">
        <f>ROUND(INDEX(Catalogue!F$4:F$85,MATCH(A212,Catalogue!A$4:A$85,0))*(1+Paramètres!$B$4*(C212-1)+Paramètres!$B$5*(C212-1)^2),0)</f>
        <v>12</v>
      </c>
      <c r="S212">
        <f t="shared" si="28"/>
        <v>0</v>
      </c>
      <c r="T212" t="str">
        <f t="shared" si="29"/>
        <v>OK</v>
      </c>
      <c r="U212" s="25">
        <f t="shared" si="30"/>
        <v>9</v>
      </c>
      <c r="V212" t="str">
        <f t="shared" si="31"/>
        <v>OK</v>
      </c>
    </row>
    <row r="213" spans="1:22" ht="18" customHeight="1">
      <c r="A213" t="s">
        <v>111</v>
      </c>
      <c r="B213" t="s">
        <v>112</v>
      </c>
      <c r="C213">
        <v>10</v>
      </c>
      <c r="D213" t="s">
        <v>72</v>
      </c>
      <c r="E213" s="6">
        <f t="shared" si="24"/>
        <v>7</v>
      </c>
      <c r="F213" s="6">
        <f t="shared" si="25"/>
        <v>13</v>
      </c>
      <c r="G213" s="6">
        <f>ROUND(Catalogue!G14*SQRT((1+Paramètres!$B$4*(C213-1)+Paramètres!$B$5*(C213-1)^2)),0)</f>
        <v>0</v>
      </c>
      <c r="H213" s="6">
        <f>ROUND(Catalogue!H14*SQRT((1+Paramètres!$B$4*(C213-1)+Paramètres!$B$5*(C213-1)^2)),0)</f>
        <v>0</v>
      </c>
      <c r="I213" s="6">
        <v>2</v>
      </c>
      <c r="J213" s="6">
        <v>1</v>
      </c>
      <c r="K213" s="7">
        <v>0.7</v>
      </c>
      <c r="L213" s="9">
        <f t="shared" si="26"/>
        <v>10</v>
      </c>
      <c r="M213">
        <v>2</v>
      </c>
      <c r="N213">
        <v>4</v>
      </c>
      <c r="O213">
        <v>5</v>
      </c>
      <c r="P213" s="13" t="str">
        <f t="shared" si="27"/>
        <v>2d4 + 5</v>
      </c>
      <c r="Q213">
        <f>ROUND(INDEX(Catalogue!E$4:E$85,MATCH(A213,Catalogue!A$4:A$85,0))*(1+Paramètres!$B$4*(C213-1)+Paramètres!$B$5*(C213-1)^2),0)</f>
        <v>7</v>
      </c>
      <c r="R213">
        <f>ROUND(INDEX(Catalogue!F$4:F$85,MATCH(A213,Catalogue!A$4:A$85,0))*(1+Paramètres!$B$4*(C213-1)+Paramètres!$B$5*(C213-1)^2),0)</f>
        <v>13</v>
      </c>
      <c r="S213">
        <f t="shared" si="28"/>
        <v>0</v>
      </c>
      <c r="T213" t="str">
        <f t="shared" si="29"/>
        <v>OK</v>
      </c>
      <c r="U213" s="25">
        <f t="shared" si="30"/>
        <v>10</v>
      </c>
      <c r="V213" t="str">
        <f t="shared" si="31"/>
        <v>OK</v>
      </c>
    </row>
    <row r="214" spans="1:22" ht="18" customHeight="1">
      <c r="A214" t="s">
        <v>111</v>
      </c>
      <c r="B214" t="s">
        <v>112</v>
      </c>
      <c r="C214">
        <v>11</v>
      </c>
      <c r="D214" t="s">
        <v>72</v>
      </c>
      <c r="E214" s="6">
        <f t="shared" si="24"/>
        <v>6</v>
      </c>
      <c r="F214" s="6">
        <f t="shared" si="25"/>
        <v>15</v>
      </c>
      <c r="G214" s="6">
        <f>ROUND(Catalogue!G14*SQRT((1+Paramètres!$B$4*(C214-1)+Paramètres!$B$5*(C214-1)^2)),0)</f>
        <v>0</v>
      </c>
      <c r="H214" s="6">
        <f>ROUND(Catalogue!H14*SQRT((1+Paramètres!$B$4*(C214-1)+Paramètres!$B$5*(C214-1)^2)),0)</f>
        <v>0</v>
      </c>
      <c r="I214" s="6">
        <v>2</v>
      </c>
      <c r="J214" s="6">
        <v>1</v>
      </c>
      <c r="K214" s="7">
        <v>0.7</v>
      </c>
      <c r="L214" s="9">
        <f t="shared" si="26"/>
        <v>10.5</v>
      </c>
      <c r="M214">
        <v>3</v>
      </c>
      <c r="N214">
        <v>4</v>
      </c>
      <c r="O214">
        <v>3</v>
      </c>
      <c r="P214" s="13" t="str">
        <f t="shared" si="27"/>
        <v>3d4 + 3</v>
      </c>
      <c r="Q214">
        <f>ROUND(INDEX(Catalogue!E$4:E$85,MATCH(A214,Catalogue!A$4:A$85,0))*(1+Paramètres!$B$4*(C214-1)+Paramètres!$B$5*(C214-1)^2),0)</f>
        <v>7</v>
      </c>
      <c r="R214">
        <f>ROUND(INDEX(Catalogue!F$4:F$85,MATCH(A214,Catalogue!A$4:A$85,0))*(1+Paramètres!$B$4*(C214-1)+Paramètres!$B$5*(C214-1)^2),0)</f>
        <v>15</v>
      </c>
      <c r="S214">
        <f t="shared" si="28"/>
        <v>-0.5</v>
      </c>
      <c r="T214" t="str">
        <f t="shared" si="29"/>
        <v>OK</v>
      </c>
      <c r="U214" s="25">
        <f t="shared" si="30"/>
        <v>10.5</v>
      </c>
      <c r="V214" t="str">
        <f t="shared" si="31"/>
        <v>OK</v>
      </c>
    </row>
    <row r="215" spans="1:22" ht="18" customHeight="1">
      <c r="A215" t="s">
        <v>111</v>
      </c>
      <c r="B215" t="s">
        <v>112</v>
      </c>
      <c r="C215">
        <v>12</v>
      </c>
      <c r="D215" t="s">
        <v>72</v>
      </c>
      <c r="E215" s="6">
        <f t="shared" si="24"/>
        <v>8</v>
      </c>
      <c r="F215" s="6">
        <f t="shared" si="25"/>
        <v>17</v>
      </c>
      <c r="G215" s="6">
        <f>ROUND(Catalogue!G14*SQRT((1+Paramètres!$B$4*(C215-1)+Paramètres!$B$5*(C215-1)^2)),0)</f>
        <v>0</v>
      </c>
      <c r="H215" s="6">
        <f>ROUND(Catalogue!H14*SQRT((1+Paramètres!$B$4*(C215-1)+Paramètres!$B$5*(C215-1)^2)),0)</f>
        <v>0</v>
      </c>
      <c r="I215" s="6">
        <v>2</v>
      </c>
      <c r="J215" s="6">
        <v>1</v>
      </c>
      <c r="K215" s="7">
        <v>0.7</v>
      </c>
      <c r="L215" s="9">
        <f t="shared" si="26"/>
        <v>12.5</v>
      </c>
      <c r="M215">
        <v>3</v>
      </c>
      <c r="N215">
        <v>4</v>
      </c>
      <c r="O215">
        <v>5</v>
      </c>
      <c r="P215" s="13" t="str">
        <f t="shared" si="27"/>
        <v>3d4 + 5</v>
      </c>
      <c r="Q215">
        <f>ROUND(INDEX(Catalogue!E$4:E$85,MATCH(A215,Catalogue!A$4:A$85,0))*(1+Paramètres!$B$4*(C215-1)+Paramètres!$B$5*(C215-1)^2),0)</f>
        <v>8</v>
      </c>
      <c r="R215">
        <f>ROUND(INDEX(Catalogue!F$4:F$85,MATCH(A215,Catalogue!A$4:A$85,0))*(1+Paramètres!$B$4*(C215-1)+Paramètres!$B$5*(C215-1)^2),0)</f>
        <v>17</v>
      </c>
      <c r="S215">
        <f t="shared" si="28"/>
        <v>0</v>
      </c>
      <c r="T215" t="str">
        <f t="shared" si="29"/>
        <v>OK</v>
      </c>
      <c r="U215" s="25">
        <f t="shared" si="30"/>
        <v>12.5</v>
      </c>
      <c r="V215" t="str">
        <f t="shared" si="31"/>
        <v>OK</v>
      </c>
    </row>
    <row r="216" spans="1:22" ht="18" customHeight="1">
      <c r="A216" t="s">
        <v>111</v>
      </c>
      <c r="B216" t="s">
        <v>112</v>
      </c>
      <c r="C216">
        <v>13</v>
      </c>
      <c r="D216" t="s">
        <v>72</v>
      </c>
      <c r="E216" s="6">
        <f t="shared" si="24"/>
        <v>9</v>
      </c>
      <c r="F216" s="6">
        <f t="shared" si="25"/>
        <v>18</v>
      </c>
      <c r="G216" s="6">
        <f>ROUND(Catalogue!G14*SQRT((1+Paramètres!$B$4*(C216-1)+Paramètres!$B$5*(C216-1)^2)),0)</f>
        <v>0</v>
      </c>
      <c r="H216" s="6">
        <f>ROUND(Catalogue!H14*SQRT((1+Paramètres!$B$4*(C216-1)+Paramètres!$B$5*(C216-1)^2)),0)</f>
        <v>0</v>
      </c>
      <c r="I216" s="6">
        <v>2</v>
      </c>
      <c r="J216" s="6">
        <v>1</v>
      </c>
      <c r="K216" s="7">
        <v>0.7</v>
      </c>
      <c r="L216" s="9">
        <f t="shared" si="26"/>
        <v>13.5</v>
      </c>
      <c r="M216">
        <v>3</v>
      </c>
      <c r="N216">
        <v>4</v>
      </c>
      <c r="O216">
        <v>6</v>
      </c>
      <c r="P216" s="13" t="str">
        <f t="shared" si="27"/>
        <v>3d4 + 6</v>
      </c>
      <c r="Q216">
        <f>ROUND(INDEX(Catalogue!E$4:E$85,MATCH(A216,Catalogue!A$4:A$85,0))*(1+Paramètres!$B$4*(C216-1)+Paramètres!$B$5*(C216-1)^2),0)</f>
        <v>9</v>
      </c>
      <c r="R216">
        <f>ROUND(INDEX(Catalogue!F$4:F$85,MATCH(A216,Catalogue!A$4:A$85,0))*(1+Paramètres!$B$4*(C216-1)+Paramètres!$B$5*(C216-1)^2),0)</f>
        <v>18</v>
      </c>
      <c r="S216">
        <f t="shared" si="28"/>
        <v>0</v>
      </c>
      <c r="T216" t="str">
        <f t="shared" si="29"/>
        <v>OK</v>
      </c>
      <c r="U216" s="25">
        <f t="shared" si="30"/>
        <v>13.5</v>
      </c>
      <c r="V216" t="str">
        <f t="shared" si="31"/>
        <v>OK</v>
      </c>
    </row>
    <row r="217" spans="1:22" ht="18" customHeight="1">
      <c r="A217" t="s">
        <v>111</v>
      </c>
      <c r="B217" t="s">
        <v>112</v>
      </c>
      <c r="C217">
        <v>14</v>
      </c>
      <c r="D217" t="s">
        <v>72</v>
      </c>
      <c r="E217" s="6">
        <f t="shared" si="24"/>
        <v>10</v>
      </c>
      <c r="F217" s="6">
        <f t="shared" si="25"/>
        <v>20</v>
      </c>
      <c r="G217" s="6">
        <f>ROUND(Catalogue!G14*SQRT((1+Paramètres!$B$4*(C217-1)+Paramètres!$B$5*(C217-1)^2)),0)</f>
        <v>0</v>
      </c>
      <c r="H217" s="6">
        <f>ROUND(Catalogue!H14*SQRT((1+Paramètres!$B$4*(C217-1)+Paramètres!$B$5*(C217-1)^2)),0)</f>
        <v>0</v>
      </c>
      <c r="I217" s="6">
        <v>2</v>
      </c>
      <c r="J217" s="6">
        <v>1</v>
      </c>
      <c r="K217" s="7">
        <v>0.7</v>
      </c>
      <c r="L217" s="9">
        <f t="shared" si="26"/>
        <v>15</v>
      </c>
      <c r="M217">
        <v>2</v>
      </c>
      <c r="N217">
        <v>6</v>
      </c>
      <c r="O217">
        <v>8</v>
      </c>
      <c r="P217" s="13" t="str">
        <f t="shared" si="27"/>
        <v>2d6 + 8</v>
      </c>
      <c r="Q217">
        <f>ROUND(INDEX(Catalogue!E$4:E$85,MATCH(A217,Catalogue!A$4:A$85,0))*(1+Paramètres!$B$4*(C217-1)+Paramètres!$B$5*(C217-1)^2),0)</f>
        <v>10</v>
      </c>
      <c r="R217">
        <f>ROUND(INDEX(Catalogue!F$4:F$85,MATCH(A217,Catalogue!A$4:A$85,0))*(1+Paramètres!$B$4*(C217-1)+Paramètres!$B$5*(C217-1)^2),0)</f>
        <v>21</v>
      </c>
      <c r="S217">
        <f t="shared" si="28"/>
        <v>-0.5</v>
      </c>
      <c r="T217" t="str">
        <f t="shared" si="29"/>
        <v>OK</v>
      </c>
      <c r="U217" s="25">
        <f t="shared" si="30"/>
        <v>15</v>
      </c>
      <c r="V217" t="str">
        <f t="shared" si="31"/>
        <v>OK</v>
      </c>
    </row>
    <row r="218" spans="1:22" ht="18" customHeight="1">
      <c r="A218" t="s">
        <v>111</v>
      </c>
      <c r="B218" t="s">
        <v>112</v>
      </c>
      <c r="C218">
        <v>15</v>
      </c>
      <c r="D218" t="s">
        <v>72</v>
      </c>
      <c r="E218" s="6">
        <f t="shared" si="24"/>
        <v>11</v>
      </c>
      <c r="F218" s="6">
        <f t="shared" si="25"/>
        <v>23</v>
      </c>
      <c r="G218" s="6">
        <f>ROUND(Catalogue!G14*SQRT((1+Paramètres!$B$4*(C218-1)+Paramètres!$B$5*(C218-1)^2)),0)</f>
        <v>0</v>
      </c>
      <c r="H218" s="6">
        <f>ROUND(Catalogue!H14*SQRT((1+Paramètres!$B$4*(C218-1)+Paramètres!$B$5*(C218-1)^2)),0)</f>
        <v>0</v>
      </c>
      <c r="I218" s="6">
        <v>2</v>
      </c>
      <c r="J218" s="6">
        <v>1</v>
      </c>
      <c r="K218" s="7">
        <v>0.7</v>
      </c>
      <c r="L218" s="9">
        <f t="shared" si="26"/>
        <v>17</v>
      </c>
      <c r="M218">
        <v>4</v>
      </c>
      <c r="N218">
        <v>4</v>
      </c>
      <c r="O218">
        <v>7</v>
      </c>
      <c r="P218" s="13" t="str">
        <f t="shared" si="27"/>
        <v>4d4 + 7</v>
      </c>
      <c r="Q218">
        <f>ROUND(INDEX(Catalogue!E$4:E$85,MATCH(A218,Catalogue!A$4:A$85,0))*(1+Paramètres!$B$4*(C218-1)+Paramètres!$B$5*(C218-1)^2),0)</f>
        <v>11</v>
      </c>
      <c r="R218">
        <f>ROUND(INDEX(Catalogue!F$4:F$85,MATCH(A218,Catalogue!A$4:A$85,0))*(1+Paramètres!$B$4*(C218-1)+Paramètres!$B$5*(C218-1)^2),0)</f>
        <v>23</v>
      </c>
      <c r="S218">
        <f t="shared" si="28"/>
        <v>0</v>
      </c>
      <c r="T218" t="str">
        <f t="shared" si="29"/>
        <v>OK</v>
      </c>
      <c r="U218" s="25">
        <f t="shared" si="30"/>
        <v>17</v>
      </c>
      <c r="V218" t="str">
        <f t="shared" si="31"/>
        <v>OK</v>
      </c>
    </row>
    <row r="219" spans="1:22" ht="18" customHeight="1">
      <c r="A219" t="s">
        <v>111</v>
      </c>
      <c r="B219" t="s">
        <v>112</v>
      </c>
      <c r="C219">
        <v>16</v>
      </c>
      <c r="D219" t="s">
        <v>72</v>
      </c>
      <c r="E219" s="6">
        <f t="shared" si="24"/>
        <v>13</v>
      </c>
      <c r="F219" s="6">
        <f t="shared" si="25"/>
        <v>25</v>
      </c>
      <c r="G219" s="6">
        <f>ROUND(Catalogue!G14*SQRT((1+Paramètres!$B$4*(C219-1)+Paramètres!$B$5*(C219-1)^2)),0)</f>
        <v>0</v>
      </c>
      <c r="H219" s="6">
        <f>ROUND(Catalogue!H14*SQRT((1+Paramètres!$B$4*(C219-1)+Paramètres!$B$5*(C219-1)^2)),0)</f>
        <v>0</v>
      </c>
      <c r="I219" s="6">
        <v>2</v>
      </c>
      <c r="J219" s="6">
        <v>1</v>
      </c>
      <c r="K219" s="7">
        <v>0.7</v>
      </c>
      <c r="L219" s="9">
        <f t="shared" si="26"/>
        <v>19</v>
      </c>
      <c r="M219">
        <v>4</v>
      </c>
      <c r="N219">
        <v>4</v>
      </c>
      <c r="O219">
        <v>9</v>
      </c>
      <c r="P219" s="13" t="str">
        <f t="shared" si="27"/>
        <v>4d4 + 9</v>
      </c>
      <c r="Q219">
        <f>ROUND(INDEX(Catalogue!E$4:E$85,MATCH(A219,Catalogue!A$4:A$85,0))*(1+Paramètres!$B$4*(C219-1)+Paramètres!$B$5*(C219-1)^2),0)</f>
        <v>13</v>
      </c>
      <c r="R219">
        <f>ROUND(INDEX(Catalogue!F$4:F$85,MATCH(A219,Catalogue!A$4:A$85,0))*(1+Paramètres!$B$4*(C219-1)+Paramètres!$B$5*(C219-1)^2),0)</f>
        <v>25</v>
      </c>
      <c r="S219">
        <f t="shared" si="28"/>
        <v>0</v>
      </c>
      <c r="T219" t="str">
        <f t="shared" si="29"/>
        <v>OK</v>
      </c>
      <c r="U219" s="25">
        <f t="shared" si="30"/>
        <v>19</v>
      </c>
      <c r="V219" t="str">
        <f t="shared" si="31"/>
        <v>OK</v>
      </c>
    </row>
    <row r="220" spans="1:22" ht="18" customHeight="1">
      <c r="A220" t="s">
        <v>111</v>
      </c>
      <c r="B220" t="s">
        <v>112</v>
      </c>
      <c r="C220">
        <v>17</v>
      </c>
      <c r="D220" t="s">
        <v>72</v>
      </c>
      <c r="E220" s="6">
        <f t="shared" si="24"/>
        <v>13</v>
      </c>
      <c r="F220" s="6">
        <f t="shared" si="25"/>
        <v>27</v>
      </c>
      <c r="G220" s="6">
        <f>ROUND(Catalogue!G14*SQRT((1+Paramètres!$B$4*(C220-1)+Paramètres!$B$5*(C220-1)^2)),0)</f>
        <v>0</v>
      </c>
      <c r="H220" s="6">
        <f>ROUND(Catalogue!H14*SQRT((1+Paramètres!$B$4*(C220-1)+Paramètres!$B$5*(C220-1)^2)),0)</f>
        <v>0</v>
      </c>
      <c r="I220" s="6">
        <v>2</v>
      </c>
      <c r="J220" s="6">
        <v>1</v>
      </c>
      <c r="K220" s="7">
        <v>0.7</v>
      </c>
      <c r="L220" s="9">
        <f t="shared" si="26"/>
        <v>20</v>
      </c>
      <c r="M220">
        <v>2</v>
      </c>
      <c r="N220">
        <v>8</v>
      </c>
      <c r="O220">
        <v>11</v>
      </c>
      <c r="P220" s="13" t="str">
        <f t="shared" si="27"/>
        <v>2d8 + 11</v>
      </c>
      <c r="Q220">
        <f>ROUND(INDEX(Catalogue!E$4:E$85,MATCH(A220,Catalogue!A$4:A$85,0))*(1+Paramètres!$B$4*(C220-1)+Paramètres!$B$5*(C220-1)^2),0)</f>
        <v>14</v>
      </c>
      <c r="R220">
        <f>ROUND(INDEX(Catalogue!F$4:F$85,MATCH(A220,Catalogue!A$4:A$85,0))*(1+Paramètres!$B$4*(C220-1)+Paramètres!$B$5*(C220-1)^2),0)</f>
        <v>27</v>
      </c>
      <c r="S220">
        <f t="shared" si="28"/>
        <v>-0.5</v>
      </c>
      <c r="T220" t="str">
        <f t="shared" si="29"/>
        <v>OK</v>
      </c>
      <c r="U220" s="25">
        <f t="shared" si="30"/>
        <v>20</v>
      </c>
      <c r="V220" t="str">
        <f t="shared" si="31"/>
        <v>OK</v>
      </c>
    </row>
    <row r="221" spans="1:22" ht="18" customHeight="1">
      <c r="A221" t="s">
        <v>111</v>
      </c>
      <c r="B221" t="s">
        <v>112</v>
      </c>
      <c r="C221">
        <v>18</v>
      </c>
      <c r="D221" t="s">
        <v>72</v>
      </c>
      <c r="E221" s="6">
        <f t="shared" si="24"/>
        <v>15</v>
      </c>
      <c r="F221" s="6">
        <f t="shared" si="25"/>
        <v>30</v>
      </c>
      <c r="G221" s="6">
        <f>ROUND(Catalogue!G14*SQRT((1+Paramètres!$B$4*(C221-1)+Paramètres!$B$5*(C221-1)^2)),0)</f>
        <v>0</v>
      </c>
      <c r="H221" s="6">
        <f>ROUND(Catalogue!H14*SQRT((1+Paramètres!$B$4*(C221-1)+Paramètres!$B$5*(C221-1)^2)),0)</f>
        <v>0</v>
      </c>
      <c r="I221" s="6">
        <v>2</v>
      </c>
      <c r="J221" s="6">
        <v>1</v>
      </c>
      <c r="K221" s="7">
        <v>0.7</v>
      </c>
      <c r="L221" s="9">
        <f t="shared" si="26"/>
        <v>22.5</v>
      </c>
      <c r="M221">
        <v>3</v>
      </c>
      <c r="N221">
        <v>6</v>
      </c>
      <c r="O221">
        <v>12</v>
      </c>
      <c r="P221" s="13" t="str">
        <f t="shared" si="27"/>
        <v>3d6 + 12</v>
      </c>
      <c r="Q221">
        <f>ROUND(INDEX(Catalogue!E$4:E$85,MATCH(A221,Catalogue!A$4:A$85,0))*(1+Paramètres!$B$4*(C221-1)+Paramètres!$B$5*(C221-1)^2),0)</f>
        <v>15</v>
      </c>
      <c r="R221">
        <f>ROUND(INDEX(Catalogue!F$4:F$85,MATCH(A221,Catalogue!A$4:A$85,0))*(1+Paramètres!$B$4*(C221-1)+Paramètres!$B$5*(C221-1)^2),0)</f>
        <v>30</v>
      </c>
      <c r="S221">
        <f t="shared" si="28"/>
        <v>0</v>
      </c>
      <c r="T221" t="str">
        <f t="shared" si="29"/>
        <v>OK</v>
      </c>
      <c r="U221" s="25">
        <f t="shared" si="30"/>
        <v>22.5</v>
      </c>
      <c r="V221" t="str">
        <f t="shared" si="31"/>
        <v>OK</v>
      </c>
    </row>
    <row r="222" spans="1:22" ht="18" customHeight="1">
      <c r="A222" t="s">
        <v>111</v>
      </c>
      <c r="B222" t="s">
        <v>112</v>
      </c>
      <c r="C222">
        <v>19</v>
      </c>
      <c r="D222" t="s">
        <v>72</v>
      </c>
      <c r="E222" s="6">
        <f t="shared" si="24"/>
        <v>15</v>
      </c>
      <c r="F222" s="6">
        <f t="shared" si="25"/>
        <v>33</v>
      </c>
      <c r="G222" s="6">
        <f>ROUND(Catalogue!G14*SQRT((1+Paramètres!$B$4*(C222-1)+Paramètres!$B$5*(C222-1)^2)),0)</f>
        <v>0</v>
      </c>
      <c r="H222" s="6">
        <f>ROUND(Catalogue!H14*SQRT((1+Paramètres!$B$4*(C222-1)+Paramètres!$B$5*(C222-1)^2)),0)</f>
        <v>0</v>
      </c>
      <c r="I222" s="6">
        <v>2</v>
      </c>
      <c r="J222" s="6">
        <v>1</v>
      </c>
      <c r="K222" s="7">
        <v>0.7</v>
      </c>
      <c r="L222" s="9">
        <f t="shared" si="26"/>
        <v>24</v>
      </c>
      <c r="M222">
        <v>2</v>
      </c>
      <c r="N222">
        <v>10</v>
      </c>
      <c r="O222">
        <v>13</v>
      </c>
      <c r="P222" s="13" t="str">
        <f t="shared" si="27"/>
        <v>2d10 + 13</v>
      </c>
      <c r="Q222">
        <f>ROUND(INDEX(Catalogue!E$4:E$85,MATCH(A222,Catalogue!A$4:A$85,0))*(1+Paramètres!$B$4*(C222-1)+Paramètres!$B$5*(C222-1)^2),0)</f>
        <v>16</v>
      </c>
      <c r="R222">
        <f>ROUND(INDEX(Catalogue!F$4:F$85,MATCH(A222,Catalogue!A$4:A$85,0))*(1+Paramètres!$B$4*(C222-1)+Paramètres!$B$5*(C222-1)^2),0)</f>
        <v>33</v>
      </c>
      <c r="S222">
        <f t="shared" si="28"/>
        <v>-0.5</v>
      </c>
      <c r="T222" t="str">
        <f t="shared" si="29"/>
        <v>OK</v>
      </c>
      <c r="U222" s="25">
        <f t="shared" si="30"/>
        <v>24</v>
      </c>
      <c r="V222" t="str">
        <f t="shared" si="31"/>
        <v>OK</v>
      </c>
    </row>
    <row r="223" spans="1:22" ht="18" customHeight="1">
      <c r="A223" t="s">
        <v>111</v>
      </c>
      <c r="B223" t="s">
        <v>112</v>
      </c>
      <c r="C223">
        <v>20</v>
      </c>
      <c r="D223" t="s">
        <v>72</v>
      </c>
      <c r="E223" s="6">
        <f t="shared" si="24"/>
        <v>18</v>
      </c>
      <c r="F223" s="6">
        <f t="shared" si="25"/>
        <v>36</v>
      </c>
      <c r="G223" s="6">
        <f>ROUND(Catalogue!G14*SQRT((1+Paramètres!$B$4*(C223-1)+Paramètres!$B$5*(C223-1)^2)),0)</f>
        <v>0</v>
      </c>
      <c r="H223" s="6">
        <f>ROUND(Catalogue!H14*SQRT((1+Paramètres!$B$4*(C223-1)+Paramètres!$B$5*(C223-1)^2)),0)</f>
        <v>0</v>
      </c>
      <c r="I223" s="6">
        <v>2</v>
      </c>
      <c r="J223" s="6">
        <v>1</v>
      </c>
      <c r="K223" s="7">
        <v>0.7</v>
      </c>
      <c r="L223" s="9">
        <f t="shared" si="26"/>
        <v>27</v>
      </c>
      <c r="M223">
        <v>2</v>
      </c>
      <c r="N223">
        <v>10</v>
      </c>
      <c r="O223">
        <v>16</v>
      </c>
      <c r="P223" s="13" t="str">
        <f t="shared" si="27"/>
        <v>2d10 + 16</v>
      </c>
      <c r="Q223">
        <f>ROUND(INDEX(Catalogue!E$4:E$85,MATCH(A223,Catalogue!A$4:A$85,0))*(1+Paramètres!$B$4*(C223-1)+Paramètres!$B$5*(C223-1)^2),0)</f>
        <v>18</v>
      </c>
      <c r="R223">
        <f>ROUND(INDEX(Catalogue!F$4:F$85,MATCH(A223,Catalogue!A$4:A$85,0))*(1+Paramètres!$B$4*(C223-1)+Paramètres!$B$5*(C223-1)^2),0)</f>
        <v>35</v>
      </c>
      <c r="S223">
        <f t="shared" si="28"/>
        <v>0.5</v>
      </c>
      <c r="T223" t="str">
        <f t="shared" si="29"/>
        <v>OK</v>
      </c>
      <c r="U223" s="25">
        <f t="shared" si="30"/>
        <v>27</v>
      </c>
      <c r="V223" t="str">
        <f t="shared" si="31"/>
        <v>OK</v>
      </c>
    </row>
    <row r="224" spans="1:22" ht="18" customHeight="1">
      <c r="A224" t="s">
        <v>114</v>
      </c>
      <c r="B224" t="s">
        <v>115</v>
      </c>
      <c r="C224">
        <v>1</v>
      </c>
      <c r="D224" t="s">
        <v>72</v>
      </c>
      <c r="E224" s="6">
        <f t="shared" si="24"/>
        <v>1</v>
      </c>
      <c r="F224" s="6">
        <f t="shared" si="25"/>
        <v>4</v>
      </c>
      <c r="G224" s="6">
        <f>ROUND(Catalogue!G15*SQRT((1+Paramètres!$B$4*(C224-1)+Paramètres!$B$5*(C224-1)^2)),0)</f>
        <v>0</v>
      </c>
      <c r="H224" s="6">
        <f>ROUND(Catalogue!H15*SQRT((1+Paramètres!$B$4*(C224-1)+Paramètres!$B$5*(C224-1)^2)),0)</f>
        <v>0</v>
      </c>
      <c r="I224" s="6">
        <v>2</v>
      </c>
      <c r="J224" s="6">
        <v>1</v>
      </c>
      <c r="K224" s="7">
        <v>0.8</v>
      </c>
      <c r="L224" s="9">
        <f t="shared" si="26"/>
        <v>2.5</v>
      </c>
      <c r="M224">
        <v>1</v>
      </c>
      <c r="N224">
        <v>4</v>
      </c>
      <c r="O224">
        <v>0</v>
      </c>
      <c r="P224" s="13" t="str">
        <f t="shared" si="27"/>
        <v>1d4</v>
      </c>
      <c r="Q224">
        <f>ROUND(INDEX(Catalogue!E$4:E$85,MATCH(A224,Catalogue!A$4:A$85,0))*(1+Paramètres!$B$4*(C224-1)+Paramètres!$B$5*(C224-1)^2),0)</f>
        <v>2</v>
      </c>
      <c r="R224">
        <f>ROUND(INDEX(Catalogue!F$4:F$85,MATCH(A224,Catalogue!A$4:A$85,0))*(1+Paramètres!$B$4*(C224-1)+Paramètres!$B$5*(C224-1)^2),0)</f>
        <v>4</v>
      </c>
      <c r="S224">
        <f t="shared" si="28"/>
        <v>-0.5</v>
      </c>
      <c r="T224" t="str">
        <f t="shared" si="29"/>
        <v>OK</v>
      </c>
      <c r="U224" s="25">
        <f t="shared" si="30"/>
        <v>2.5</v>
      </c>
      <c r="V224" t="str">
        <f t="shared" si="31"/>
        <v>OK</v>
      </c>
    </row>
    <row r="225" spans="1:22" ht="18" customHeight="1">
      <c r="A225" t="s">
        <v>114</v>
      </c>
      <c r="B225" t="s">
        <v>115</v>
      </c>
      <c r="C225">
        <v>2</v>
      </c>
      <c r="D225" t="s">
        <v>72</v>
      </c>
      <c r="E225" s="6">
        <f t="shared" si="24"/>
        <v>2</v>
      </c>
      <c r="F225" s="6">
        <f t="shared" si="25"/>
        <v>5</v>
      </c>
      <c r="G225" s="6">
        <f>ROUND(Catalogue!G15*SQRT((1+Paramètres!$B$4*(C225-1)+Paramètres!$B$5*(C225-1)^2)),0)</f>
        <v>0</v>
      </c>
      <c r="H225" s="6">
        <f>ROUND(Catalogue!H15*SQRT((1+Paramètres!$B$4*(C225-1)+Paramètres!$B$5*(C225-1)^2)),0)</f>
        <v>0</v>
      </c>
      <c r="I225" s="6">
        <v>2</v>
      </c>
      <c r="J225" s="6">
        <v>1</v>
      </c>
      <c r="K225" s="7">
        <v>0.8</v>
      </c>
      <c r="L225" s="9">
        <f t="shared" si="26"/>
        <v>3.5</v>
      </c>
      <c r="M225">
        <v>1</v>
      </c>
      <c r="N225">
        <v>4</v>
      </c>
      <c r="O225">
        <v>1</v>
      </c>
      <c r="P225" s="13" t="str">
        <f t="shared" si="27"/>
        <v>1d4 + 1</v>
      </c>
      <c r="Q225">
        <f>ROUND(INDEX(Catalogue!E$4:E$85,MATCH(A225,Catalogue!A$4:A$85,0))*(1+Paramètres!$B$4*(C225-1)+Paramètres!$B$5*(C225-1)^2),0)</f>
        <v>2</v>
      </c>
      <c r="R225">
        <f>ROUND(INDEX(Catalogue!F$4:F$85,MATCH(A225,Catalogue!A$4:A$85,0))*(1+Paramètres!$B$4*(C225-1)+Paramètres!$B$5*(C225-1)^2),0)</f>
        <v>5</v>
      </c>
      <c r="S225">
        <f t="shared" si="28"/>
        <v>0</v>
      </c>
      <c r="T225" t="str">
        <f t="shared" si="29"/>
        <v>OK</v>
      </c>
      <c r="U225" s="25">
        <f t="shared" si="30"/>
        <v>3.5</v>
      </c>
      <c r="V225" t="str">
        <f t="shared" si="31"/>
        <v>OK</v>
      </c>
    </row>
    <row r="226" spans="1:22" ht="18" customHeight="1">
      <c r="A226" t="s">
        <v>114</v>
      </c>
      <c r="B226" t="s">
        <v>115</v>
      </c>
      <c r="C226">
        <v>3</v>
      </c>
      <c r="D226" t="s">
        <v>72</v>
      </c>
      <c r="E226" s="6">
        <f t="shared" si="24"/>
        <v>2</v>
      </c>
      <c r="F226" s="6">
        <f t="shared" si="25"/>
        <v>5</v>
      </c>
      <c r="G226" s="6">
        <f>ROUND(Catalogue!G15*SQRT((1+Paramètres!$B$4*(C226-1)+Paramètres!$B$5*(C226-1)^2)),0)</f>
        <v>0</v>
      </c>
      <c r="H226" s="6">
        <f>ROUND(Catalogue!H15*SQRT((1+Paramètres!$B$4*(C226-1)+Paramètres!$B$5*(C226-1)^2)),0)</f>
        <v>0</v>
      </c>
      <c r="I226" s="6">
        <v>2</v>
      </c>
      <c r="J226" s="6">
        <v>1</v>
      </c>
      <c r="K226" s="7">
        <v>0.8</v>
      </c>
      <c r="L226" s="9">
        <f t="shared" si="26"/>
        <v>3.5</v>
      </c>
      <c r="M226">
        <v>1</v>
      </c>
      <c r="N226">
        <v>4</v>
      </c>
      <c r="O226">
        <v>1</v>
      </c>
      <c r="P226" s="13" t="str">
        <f t="shared" si="27"/>
        <v>1d4 + 1</v>
      </c>
      <c r="Q226">
        <f>ROUND(INDEX(Catalogue!E$4:E$85,MATCH(A226,Catalogue!A$4:A$85,0))*(1+Paramètres!$B$4*(C226-1)+Paramètres!$B$5*(C226-1)^2),0)</f>
        <v>3</v>
      </c>
      <c r="R226">
        <f>ROUND(INDEX(Catalogue!F$4:F$85,MATCH(A226,Catalogue!A$4:A$85,0))*(1+Paramètres!$B$4*(C226-1)+Paramètres!$B$5*(C226-1)^2),0)</f>
        <v>5</v>
      </c>
      <c r="S226">
        <f t="shared" si="28"/>
        <v>-0.5</v>
      </c>
      <c r="T226" t="str">
        <f t="shared" si="29"/>
        <v>OK</v>
      </c>
      <c r="U226" s="25">
        <f t="shared" si="30"/>
        <v>3.5</v>
      </c>
      <c r="V226" t="str">
        <f t="shared" si="31"/>
        <v>OK</v>
      </c>
    </row>
    <row r="227" spans="1:22" ht="18" customHeight="1">
      <c r="A227" t="s">
        <v>114</v>
      </c>
      <c r="B227" t="s">
        <v>115</v>
      </c>
      <c r="C227">
        <v>4</v>
      </c>
      <c r="D227" t="s">
        <v>72</v>
      </c>
      <c r="E227" s="6">
        <f t="shared" si="24"/>
        <v>3</v>
      </c>
      <c r="F227" s="6">
        <f t="shared" si="25"/>
        <v>6</v>
      </c>
      <c r="G227" s="6">
        <f>ROUND(Catalogue!G15*SQRT((1+Paramètres!$B$4*(C227-1)+Paramètres!$B$5*(C227-1)^2)),0)</f>
        <v>0</v>
      </c>
      <c r="H227" s="6">
        <f>ROUND(Catalogue!H15*SQRT((1+Paramètres!$B$4*(C227-1)+Paramètres!$B$5*(C227-1)^2)),0)</f>
        <v>0</v>
      </c>
      <c r="I227" s="6">
        <v>2</v>
      </c>
      <c r="J227" s="6">
        <v>1</v>
      </c>
      <c r="K227" s="7">
        <v>0.8</v>
      </c>
      <c r="L227" s="9">
        <f t="shared" si="26"/>
        <v>4.5</v>
      </c>
      <c r="M227">
        <v>1</v>
      </c>
      <c r="N227">
        <v>4</v>
      </c>
      <c r="O227">
        <v>2</v>
      </c>
      <c r="P227" s="13" t="str">
        <f t="shared" si="27"/>
        <v>1d4 + 2</v>
      </c>
      <c r="Q227">
        <f>ROUND(INDEX(Catalogue!E$4:E$85,MATCH(A227,Catalogue!A$4:A$85,0))*(1+Paramètres!$B$4*(C227-1)+Paramètres!$B$5*(C227-1)^2),0)</f>
        <v>3</v>
      </c>
      <c r="R227">
        <f>ROUND(INDEX(Catalogue!F$4:F$85,MATCH(A227,Catalogue!A$4:A$85,0))*(1+Paramètres!$B$4*(C227-1)+Paramètres!$B$5*(C227-1)^2),0)</f>
        <v>6</v>
      </c>
      <c r="S227">
        <f t="shared" si="28"/>
        <v>0</v>
      </c>
      <c r="T227" t="str">
        <f t="shared" si="29"/>
        <v>OK</v>
      </c>
      <c r="U227" s="25">
        <f t="shared" si="30"/>
        <v>4.5</v>
      </c>
      <c r="V227" t="str">
        <f t="shared" si="31"/>
        <v>OK</v>
      </c>
    </row>
    <row r="228" spans="1:22" ht="18" customHeight="1">
      <c r="A228" t="s">
        <v>114</v>
      </c>
      <c r="B228" t="s">
        <v>115</v>
      </c>
      <c r="C228">
        <v>5</v>
      </c>
      <c r="D228" t="s">
        <v>72</v>
      </c>
      <c r="E228" s="6">
        <f t="shared" si="24"/>
        <v>3</v>
      </c>
      <c r="F228" s="6">
        <f t="shared" si="25"/>
        <v>6</v>
      </c>
      <c r="G228" s="6">
        <f>ROUND(Catalogue!G15*SQRT((1+Paramètres!$B$4*(C228-1)+Paramètres!$B$5*(C228-1)^2)),0)</f>
        <v>0</v>
      </c>
      <c r="H228" s="6">
        <f>ROUND(Catalogue!H15*SQRT((1+Paramètres!$B$4*(C228-1)+Paramètres!$B$5*(C228-1)^2)),0)</f>
        <v>0</v>
      </c>
      <c r="I228" s="6">
        <v>2</v>
      </c>
      <c r="J228" s="6">
        <v>1</v>
      </c>
      <c r="K228" s="7">
        <v>0.8</v>
      </c>
      <c r="L228" s="9">
        <f t="shared" si="26"/>
        <v>4.5</v>
      </c>
      <c r="M228">
        <v>1</v>
      </c>
      <c r="N228">
        <v>4</v>
      </c>
      <c r="O228">
        <v>2</v>
      </c>
      <c r="P228" s="13" t="str">
        <f t="shared" si="27"/>
        <v>1d4 + 2</v>
      </c>
      <c r="Q228">
        <f>ROUND(INDEX(Catalogue!E$4:E$85,MATCH(A228,Catalogue!A$4:A$85,0))*(1+Paramètres!$B$4*(C228-1)+Paramètres!$B$5*(C228-1)^2),0)</f>
        <v>3</v>
      </c>
      <c r="R228">
        <f>ROUND(INDEX(Catalogue!F$4:F$85,MATCH(A228,Catalogue!A$4:A$85,0))*(1+Paramètres!$B$4*(C228-1)+Paramètres!$B$5*(C228-1)^2),0)</f>
        <v>7</v>
      </c>
      <c r="S228">
        <f t="shared" si="28"/>
        <v>-0.5</v>
      </c>
      <c r="T228" t="str">
        <f t="shared" si="29"/>
        <v>OK</v>
      </c>
      <c r="U228" s="25">
        <f t="shared" si="30"/>
        <v>4.5</v>
      </c>
      <c r="V228" t="str">
        <f t="shared" si="31"/>
        <v>OK</v>
      </c>
    </row>
    <row r="229" spans="1:22" ht="18" customHeight="1">
      <c r="A229" t="s">
        <v>114</v>
      </c>
      <c r="B229" t="s">
        <v>115</v>
      </c>
      <c r="C229">
        <v>6</v>
      </c>
      <c r="D229" t="s">
        <v>72</v>
      </c>
      <c r="E229" s="6">
        <f t="shared" si="24"/>
        <v>4</v>
      </c>
      <c r="F229" s="6">
        <f t="shared" si="25"/>
        <v>7</v>
      </c>
      <c r="G229" s="6">
        <f>ROUND(Catalogue!G15*SQRT((1+Paramètres!$B$4*(C229-1)+Paramètres!$B$5*(C229-1)^2)),0)</f>
        <v>0</v>
      </c>
      <c r="H229" s="6">
        <f>ROUND(Catalogue!H15*SQRT((1+Paramètres!$B$4*(C229-1)+Paramètres!$B$5*(C229-1)^2)),0)</f>
        <v>0</v>
      </c>
      <c r="I229" s="6">
        <v>2</v>
      </c>
      <c r="J229" s="6">
        <v>1</v>
      </c>
      <c r="K229" s="7">
        <v>0.8</v>
      </c>
      <c r="L229" s="9">
        <f t="shared" si="26"/>
        <v>5.5</v>
      </c>
      <c r="M229">
        <v>1</v>
      </c>
      <c r="N229">
        <v>4</v>
      </c>
      <c r="O229">
        <v>3</v>
      </c>
      <c r="P229" s="13" t="str">
        <f t="shared" si="27"/>
        <v>1d4 + 3</v>
      </c>
      <c r="Q229">
        <f>ROUND(INDEX(Catalogue!E$4:E$85,MATCH(A229,Catalogue!A$4:A$85,0))*(1+Paramètres!$B$4*(C229-1)+Paramètres!$B$5*(C229-1)^2),0)</f>
        <v>4</v>
      </c>
      <c r="R229">
        <f>ROUND(INDEX(Catalogue!F$4:F$85,MATCH(A229,Catalogue!A$4:A$85,0))*(1+Paramètres!$B$4*(C229-1)+Paramètres!$B$5*(C229-1)^2),0)</f>
        <v>8</v>
      </c>
      <c r="S229">
        <f t="shared" si="28"/>
        <v>-0.5</v>
      </c>
      <c r="T229" t="str">
        <f t="shared" si="29"/>
        <v>OK</v>
      </c>
      <c r="U229" s="25">
        <f t="shared" si="30"/>
        <v>5.5</v>
      </c>
      <c r="V229" t="str">
        <f t="shared" si="31"/>
        <v>OK</v>
      </c>
    </row>
    <row r="230" spans="1:22" ht="18" customHeight="1">
      <c r="A230" t="s">
        <v>114</v>
      </c>
      <c r="B230" t="s">
        <v>115</v>
      </c>
      <c r="C230">
        <v>7</v>
      </c>
      <c r="D230" t="s">
        <v>72</v>
      </c>
      <c r="E230" s="6">
        <f t="shared" si="24"/>
        <v>4</v>
      </c>
      <c r="F230" s="6">
        <f t="shared" si="25"/>
        <v>9</v>
      </c>
      <c r="G230" s="6">
        <f>ROUND(Catalogue!G15*SQRT((1+Paramètres!$B$4*(C230-1)+Paramètres!$B$5*(C230-1)^2)),0)</f>
        <v>0</v>
      </c>
      <c r="H230" s="6">
        <f>ROUND(Catalogue!H15*SQRT((1+Paramètres!$B$4*(C230-1)+Paramètres!$B$5*(C230-1)^2)),0)</f>
        <v>0</v>
      </c>
      <c r="I230" s="6">
        <v>2</v>
      </c>
      <c r="J230" s="6">
        <v>1</v>
      </c>
      <c r="K230" s="7">
        <v>0.8</v>
      </c>
      <c r="L230" s="9">
        <f t="shared" si="26"/>
        <v>6.5</v>
      </c>
      <c r="M230">
        <v>1</v>
      </c>
      <c r="N230">
        <v>6</v>
      </c>
      <c r="O230">
        <v>3</v>
      </c>
      <c r="P230" s="13" t="str">
        <f t="shared" si="27"/>
        <v>1d6 + 3</v>
      </c>
      <c r="Q230">
        <f>ROUND(INDEX(Catalogue!E$4:E$85,MATCH(A230,Catalogue!A$4:A$85,0))*(1+Paramètres!$B$4*(C230-1)+Paramètres!$B$5*(C230-1)^2),0)</f>
        <v>4</v>
      </c>
      <c r="R230">
        <f>ROUND(INDEX(Catalogue!F$4:F$85,MATCH(A230,Catalogue!A$4:A$85,0))*(1+Paramètres!$B$4*(C230-1)+Paramètres!$B$5*(C230-1)^2),0)</f>
        <v>9</v>
      </c>
      <c r="S230">
        <f t="shared" si="28"/>
        <v>0</v>
      </c>
      <c r="T230" t="str">
        <f t="shared" si="29"/>
        <v>OK</v>
      </c>
      <c r="U230" s="25">
        <f t="shared" si="30"/>
        <v>6.5</v>
      </c>
      <c r="V230" t="str">
        <f t="shared" si="31"/>
        <v>OK</v>
      </c>
    </row>
    <row r="231" spans="1:22" ht="18" customHeight="1">
      <c r="A231" t="s">
        <v>114</v>
      </c>
      <c r="B231" t="s">
        <v>115</v>
      </c>
      <c r="C231">
        <v>8</v>
      </c>
      <c r="D231" t="s">
        <v>72</v>
      </c>
      <c r="E231" s="6">
        <f t="shared" si="24"/>
        <v>5</v>
      </c>
      <c r="F231" s="6">
        <f t="shared" si="25"/>
        <v>10</v>
      </c>
      <c r="G231" s="6">
        <f>ROUND(Catalogue!G15*SQRT((1+Paramètres!$B$4*(C231-1)+Paramètres!$B$5*(C231-1)^2)),0)</f>
        <v>0</v>
      </c>
      <c r="H231" s="6">
        <f>ROUND(Catalogue!H15*SQRT((1+Paramètres!$B$4*(C231-1)+Paramètres!$B$5*(C231-1)^2)),0)</f>
        <v>0</v>
      </c>
      <c r="I231" s="6">
        <v>2</v>
      </c>
      <c r="J231" s="6">
        <v>1</v>
      </c>
      <c r="K231" s="7">
        <v>0.8</v>
      </c>
      <c r="L231" s="9">
        <f t="shared" si="26"/>
        <v>7.5</v>
      </c>
      <c r="M231">
        <v>1</v>
      </c>
      <c r="N231">
        <v>6</v>
      </c>
      <c r="O231">
        <v>4</v>
      </c>
      <c r="P231" s="13" t="str">
        <f t="shared" si="27"/>
        <v>1d6 + 4</v>
      </c>
      <c r="Q231">
        <f>ROUND(INDEX(Catalogue!E$4:E$85,MATCH(A231,Catalogue!A$4:A$85,0))*(1+Paramètres!$B$4*(C231-1)+Paramètres!$B$5*(C231-1)^2),0)</f>
        <v>5</v>
      </c>
      <c r="R231">
        <f>ROUND(INDEX(Catalogue!F$4:F$85,MATCH(A231,Catalogue!A$4:A$85,0))*(1+Paramètres!$B$4*(C231-1)+Paramètres!$B$5*(C231-1)^2),0)</f>
        <v>10</v>
      </c>
      <c r="S231">
        <f t="shared" si="28"/>
        <v>0</v>
      </c>
      <c r="T231" t="str">
        <f t="shared" si="29"/>
        <v>OK</v>
      </c>
      <c r="U231" s="25">
        <f t="shared" si="30"/>
        <v>7.5</v>
      </c>
      <c r="V231" t="str">
        <f t="shared" si="31"/>
        <v>OK</v>
      </c>
    </row>
    <row r="232" spans="1:22" ht="18" customHeight="1">
      <c r="A232" t="s">
        <v>114</v>
      </c>
      <c r="B232" t="s">
        <v>115</v>
      </c>
      <c r="C232">
        <v>9</v>
      </c>
      <c r="D232" t="s">
        <v>72</v>
      </c>
      <c r="E232" s="6">
        <f t="shared" si="24"/>
        <v>6</v>
      </c>
      <c r="F232" s="6">
        <f t="shared" si="25"/>
        <v>12</v>
      </c>
      <c r="G232" s="6">
        <f>ROUND(Catalogue!G15*SQRT((1+Paramètres!$B$4*(C232-1)+Paramètres!$B$5*(C232-1)^2)),0)</f>
        <v>0</v>
      </c>
      <c r="H232" s="6">
        <f>ROUND(Catalogue!H15*SQRT((1+Paramètres!$B$4*(C232-1)+Paramètres!$B$5*(C232-1)^2)),0)</f>
        <v>0</v>
      </c>
      <c r="I232" s="6">
        <v>2</v>
      </c>
      <c r="J232" s="6">
        <v>1</v>
      </c>
      <c r="K232" s="7">
        <v>0.8</v>
      </c>
      <c r="L232" s="9">
        <f t="shared" si="26"/>
        <v>9</v>
      </c>
      <c r="M232">
        <v>2</v>
      </c>
      <c r="N232">
        <v>4</v>
      </c>
      <c r="O232">
        <v>4</v>
      </c>
      <c r="P232" s="13" t="str">
        <f t="shared" si="27"/>
        <v>2d4 + 4</v>
      </c>
      <c r="Q232">
        <f>ROUND(INDEX(Catalogue!E$4:E$85,MATCH(A232,Catalogue!A$4:A$85,0))*(1+Paramètres!$B$4*(C232-1)+Paramètres!$B$5*(C232-1)^2),0)</f>
        <v>6</v>
      </c>
      <c r="R232">
        <f>ROUND(INDEX(Catalogue!F$4:F$85,MATCH(A232,Catalogue!A$4:A$85,0))*(1+Paramètres!$B$4*(C232-1)+Paramètres!$B$5*(C232-1)^2),0)</f>
        <v>12</v>
      </c>
      <c r="S232">
        <f t="shared" si="28"/>
        <v>0</v>
      </c>
      <c r="T232" t="str">
        <f t="shared" si="29"/>
        <v>OK</v>
      </c>
      <c r="U232" s="25">
        <f t="shared" si="30"/>
        <v>9</v>
      </c>
      <c r="V232" t="str">
        <f t="shared" si="31"/>
        <v>OK</v>
      </c>
    </row>
    <row r="233" spans="1:22" ht="18" customHeight="1">
      <c r="A233" t="s">
        <v>114</v>
      </c>
      <c r="B233" t="s">
        <v>115</v>
      </c>
      <c r="C233">
        <v>10</v>
      </c>
      <c r="D233" t="s">
        <v>72</v>
      </c>
      <c r="E233" s="6">
        <f t="shared" si="24"/>
        <v>7</v>
      </c>
      <c r="F233" s="6">
        <f t="shared" si="25"/>
        <v>13</v>
      </c>
      <c r="G233" s="6">
        <f>ROUND(Catalogue!G15*SQRT((1+Paramètres!$B$4*(C233-1)+Paramètres!$B$5*(C233-1)^2)),0)</f>
        <v>0</v>
      </c>
      <c r="H233" s="6">
        <f>ROUND(Catalogue!H15*SQRT((1+Paramètres!$B$4*(C233-1)+Paramètres!$B$5*(C233-1)^2)),0)</f>
        <v>0</v>
      </c>
      <c r="I233" s="6">
        <v>2</v>
      </c>
      <c r="J233" s="6">
        <v>1</v>
      </c>
      <c r="K233" s="7">
        <v>0.8</v>
      </c>
      <c r="L233" s="9">
        <f t="shared" si="26"/>
        <v>10</v>
      </c>
      <c r="M233">
        <v>2</v>
      </c>
      <c r="N233">
        <v>4</v>
      </c>
      <c r="O233">
        <v>5</v>
      </c>
      <c r="P233" s="13" t="str">
        <f t="shared" si="27"/>
        <v>2d4 + 5</v>
      </c>
      <c r="Q233">
        <f>ROUND(INDEX(Catalogue!E$4:E$85,MATCH(A233,Catalogue!A$4:A$85,0))*(1+Paramètres!$B$4*(C233-1)+Paramètres!$B$5*(C233-1)^2),0)</f>
        <v>7</v>
      </c>
      <c r="R233">
        <f>ROUND(INDEX(Catalogue!F$4:F$85,MATCH(A233,Catalogue!A$4:A$85,0))*(1+Paramètres!$B$4*(C233-1)+Paramètres!$B$5*(C233-1)^2),0)</f>
        <v>13</v>
      </c>
      <c r="S233">
        <f t="shared" si="28"/>
        <v>0</v>
      </c>
      <c r="T233" t="str">
        <f t="shared" si="29"/>
        <v>OK</v>
      </c>
      <c r="U233" s="25">
        <f t="shared" si="30"/>
        <v>10</v>
      </c>
      <c r="V233" t="str">
        <f t="shared" si="31"/>
        <v>OK</v>
      </c>
    </row>
    <row r="234" spans="1:22" ht="18" customHeight="1">
      <c r="A234" t="s">
        <v>114</v>
      </c>
      <c r="B234" t="s">
        <v>115</v>
      </c>
      <c r="C234">
        <v>11</v>
      </c>
      <c r="D234" t="s">
        <v>72</v>
      </c>
      <c r="E234" s="6">
        <f t="shared" si="24"/>
        <v>6</v>
      </c>
      <c r="F234" s="6">
        <f t="shared" si="25"/>
        <v>15</v>
      </c>
      <c r="G234" s="6">
        <f>ROUND(Catalogue!G15*SQRT((1+Paramètres!$B$4*(C234-1)+Paramètres!$B$5*(C234-1)^2)),0)</f>
        <v>0</v>
      </c>
      <c r="H234" s="6">
        <f>ROUND(Catalogue!H15*SQRT((1+Paramètres!$B$4*(C234-1)+Paramètres!$B$5*(C234-1)^2)),0)</f>
        <v>0</v>
      </c>
      <c r="I234" s="6">
        <v>2</v>
      </c>
      <c r="J234" s="6">
        <v>1</v>
      </c>
      <c r="K234" s="7">
        <v>0.8</v>
      </c>
      <c r="L234" s="9">
        <f t="shared" si="26"/>
        <v>10.5</v>
      </c>
      <c r="M234">
        <v>3</v>
      </c>
      <c r="N234">
        <v>4</v>
      </c>
      <c r="O234">
        <v>3</v>
      </c>
      <c r="P234" s="13" t="str">
        <f t="shared" si="27"/>
        <v>3d4 + 3</v>
      </c>
      <c r="Q234">
        <f>ROUND(INDEX(Catalogue!E$4:E$85,MATCH(A234,Catalogue!A$4:A$85,0))*(1+Paramètres!$B$4*(C234-1)+Paramètres!$B$5*(C234-1)^2),0)</f>
        <v>7</v>
      </c>
      <c r="R234">
        <f>ROUND(INDEX(Catalogue!F$4:F$85,MATCH(A234,Catalogue!A$4:A$85,0))*(1+Paramètres!$B$4*(C234-1)+Paramètres!$B$5*(C234-1)^2),0)</f>
        <v>15</v>
      </c>
      <c r="S234">
        <f t="shared" si="28"/>
        <v>-0.5</v>
      </c>
      <c r="T234" t="str">
        <f t="shared" si="29"/>
        <v>OK</v>
      </c>
      <c r="U234" s="25">
        <f t="shared" si="30"/>
        <v>10.5</v>
      </c>
      <c r="V234" t="str">
        <f t="shared" si="31"/>
        <v>OK</v>
      </c>
    </row>
    <row r="235" spans="1:22" ht="18" customHeight="1">
      <c r="A235" t="s">
        <v>114</v>
      </c>
      <c r="B235" t="s">
        <v>115</v>
      </c>
      <c r="C235">
        <v>12</v>
      </c>
      <c r="D235" t="s">
        <v>72</v>
      </c>
      <c r="E235" s="6">
        <f t="shared" si="24"/>
        <v>8</v>
      </c>
      <c r="F235" s="6">
        <f t="shared" si="25"/>
        <v>17</v>
      </c>
      <c r="G235" s="6">
        <f>ROUND(Catalogue!G15*SQRT((1+Paramètres!$B$4*(C235-1)+Paramètres!$B$5*(C235-1)^2)),0)</f>
        <v>0</v>
      </c>
      <c r="H235" s="6">
        <f>ROUND(Catalogue!H15*SQRT((1+Paramètres!$B$4*(C235-1)+Paramètres!$B$5*(C235-1)^2)),0)</f>
        <v>0</v>
      </c>
      <c r="I235" s="6">
        <v>2</v>
      </c>
      <c r="J235" s="6">
        <v>1</v>
      </c>
      <c r="K235" s="7">
        <v>0.8</v>
      </c>
      <c r="L235" s="9">
        <f t="shared" si="26"/>
        <v>12.5</v>
      </c>
      <c r="M235">
        <v>3</v>
      </c>
      <c r="N235">
        <v>4</v>
      </c>
      <c r="O235">
        <v>5</v>
      </c>
      <c r="P235" s="13" t="str">
        <f t="shared" si="27"/>
        <v>3d4 + 5</v>
      </c>
      <c r="Q235">
        <f>ROUND(INDEX(Catalogue!E$4:E$85,MATCH(A235,Catalogue!A$4:A$85,0))*(1+Paramètres!$B$4*(C235-1)+Paramètres!$B$5*(C235-1)^2),0)</f>
        <v>8</v>
      </c>
      <c r="R235">
        <f>ROUND(INDEX(Catalogue!F$4:F$85,MATCH(A235,Catalogue!A$4:A$85,0))*(1+Paramètres!$B$4*(C235-1)+Paramètres!$B$5*(C235-1)^2),0)</f>
        <v>17</v>
      </c>
      <c r="S235">
        <f t="shared" si="28"/>
        <v>0</v>
      </c>
      <c r="T235" t="str">
        <f t="shared" si="29"/>
        <v>OK</v>
      </c>
      <c r="U235" s="25">
        <f t="shared" si="30"/>
        <v>12.5</v>
      </c>
      <c r="V235" t="str">
        <f t="shared" si="31"/>
        <v>OK</v>
      </c>
    </row>
    <row r="236" spans="1:22" ht="18" customHeight="1">
      <c r="A236" t="s">
        <v>114</v>
      </c>
      <c r="B236" t="s">
        <v>115</v>
      </c>
      <c r="C236">
        <v>13</v>
      </c>
      <c r="D236" t="s">
        <v>72</v>
      </c>
      <c r="E236" s="6">
        <f t="shared" si="24"/>
        <v>9</v>
      </c>
      <c r="F236" s="6">
        <f t="shared" si="25"/>
        <v>18</v>
      </c>
      <c r="G236" s="6">
        <f>ROUND(Catalogue!G15*SQRT((1+Paramètres!$B$4*(C236-1)+Paramètres!$B$5*(C236-1)^2)),0)</f>
        <v>0</v>
      </c>
      <c r="H236" s="6">
        <f>ROUND(Catalogue!H15*SQRT((1+Paramètres!$B$4*(C236-1)+Paramètres!$B$5*(C236-1)^2)),0)</f>
        <v>0</v>
      </c>
      <c r="I236" s="6">
        <v>2</v>
      </c>
      <c r="J236" s="6">
        <v>1</v>
      </c>
      <c r="K236" s="7">
        <v>0.8</v>
      </c>
      <c r="L236" s="9">
        <f t="shared" si="26"/>
        <v>13.5</v>
      </c>
      <c r="M236">
        <v>3</v>
      </c>
      <c r="N236">
        <v>4</v>
      </c>
      <c r="O236">
        <v>6</v>
      </c>
      <c r="P236" s="13" t="str">
        <f t="shared" si="27"/>
        <v>3d4 + 6</v>
      </c>
      <c r="Q236">
        <f>ROUND(INDEX(Catalogue!E$4:E$85,MATCH(A236,Catalogue!A$4:A$85,0))*(1+Paramètres!$B$4*(C236-1)+Paramètres!$B$5*(C236-1)^2),0)</f>
        <v>9</v>
      </c>
      <c r="R236">
        <f>ROUND(INDEX(Catalogue!F$4:F$85,MATCH(A236,Catalogue!A$4:A$85,0))*(1+Paramètres!$B$4*(C236-1)+Paramètres!$B$5*(C236-1)^2),0)</f>
        <v>18</v>
      </c>
      <c r="S236">
        <f t="shared" si="28"/>
        <v>0</v>
      </c>
      <c r="T236" t="str">
        <f t="shared" si="29"/>
        <v>OK</v>
      </c>
      <c r="U236" s="25">
        <f t="shared" si="30"/>
        <v>13.5</v>
      </c>
      <c r="V236" t="str">
        <f t="shared" si="31"/>
        <v>OK</v>
      </c>
    </row>
    <row r="237" spans="1:22" ht="18" customHeight="1">
      <c r="A237" t="s">
        <v>114</v>
      </c>
      <c r="B237" t="s">
        <v>115</v>
      </c>
      <c r="C237">
        <v>14</v>
      </c>
      <c r="D237" t="s">
        <v>72</v>
      </c>
      <c r="E237" s="6">
        <f t="shared" si="24"/>
        <v>10</v>
      </c>
      <c r="F237" s="6">
        <f t="shared" si="25"/>
        <v>20</v>
      </c>
      <c r="G237" s="6">
        <f>ROUND(Catalogue!G15*SQRT((1+Paramètres!$B$4*(C237-1)+Paramètres!$B$5*(C237-1)^2)),0)</f>
        <v>0</v>
      </c>
      <c r="H237" s="6">
        <f>ROUND(Catalogue!H15*SQRT((1+Paramètres!$B$4*(C237-1)+Paramètres!$B$5*(C237-1)^2)),0)</f>
        <v>0</v>
      </c>
      <c r="I237" s="6">
        <v>2</v>
      </c>
      <c r="J237" s="6">
        <v>1</v>
      </c>
      <c r="K237" s="7">
        <v>0.8</v>
      </c>
      <c r="L237" s="9">
        <f t="shared" si="26"/>
        <v>15</v>
      </c>
      <c r="M237">
        <v>2</v>
      </c>
      <c r="N237">
        <v>6</v>
      </c>
      <c r="O237">
        <v>8</v>
      </c>
      <c r="P237" s="13" t="str">
        <f t="shared" si="27"/>
        <v>2d6 + 8</v>
      </c>
      <c r="Q237">
        <f>ROUND(INDEX(Catalogue!E$4:E$85,MATCH(A237,Catalogue!A$4:A$85,0))*(1+Paramètres!$B$4*(C237-1)+Paramètres!$B$5*(C237-1)^2),0)</f>
        <v>10</v>
      </c>
      <c r="R237">
        <f>ROUND(INDEX(Catalogue!F$4:F$85,MATCH(A237,Catalogue!A$4:A$85,0))*(1+Paramètres!$B$4*(C237-1)+Paramètres!$B$5*(C237-1)^2),0)</f>
        <v>21</v>
      </c>
      <c r="S237">
        <f t="shared" si="28"/>
        <v>-0.5</v>
      </c>
      <c r="T237" t="str">
        <f t="shared" si="29"/>
        <v>OK</v>
      </c>
      <c r="U237" s="25">
        <f t="shared" si="30"/>
        <v>15</v>
      </c>
      <c r="V237" t="str">
        <f t="shared" si="31"/>
        <v>OK</v>
      </c>
    </row>
    <row r="238" spans="1:22" ht="18" customHeight="1">
      <c r="A238" t="s">
        <v>114</v>
      </c>
      <c r="B238" t="s">
        <v>115</v>
      </c>
      <c r="C238">
        <v>15</v>
      </c>
      <c r="D238" t="s">
        <v>72</v>
      </c>
      <c r="E238" s="6">
        <f t="shared" si="24"/>
        <v>11</v>
      </c>
      <c r="F238" s="6">
        <f t="shared" si="25"/>
        <v>23</v>
      </c>
      <c r="G238" s="6">
        <f>ROUND(Catalogue!G15*SQRT((1+Paramètres!$B$4*(C238-1)+Paramètres!$B$5*(C238-1)^2)),0)</f>
        <v>0</v>
      </c>
      <c r="H238" s="6">
        <f>ROUND(Catalogue!H15*SQRT((1+Paramètres!$B$4*(C238-1)+Paramètres!$B$5*(C238-1)^2)),0)</f>
        <v>0</v>
      </c>
      <c r="I238" s="6">
        <v>2</v>
      </c>
      <c r="J238" s="6">
        <v>1</v>
      </c>
      <c r="K238" s="7">
        <v>0.8</v>
      </c>
      <c r="L238" s="9">
        <f t="shared" si="26"/>
        <v>17</v>
      </c>
      <c r="M238">
        <v>4</v>
      </c>
      <c r="N238">
        <v>4</v>
      </c>
      <c r="O238">
        <v>7</v>
      </c>
      <c r="P238" s="13" t="str">
        <f t="shared" si="27"/>
        <v>4d4 + 7</v>
      </c>
      <c r="Q238">
        <f>ROUND(INDEX(Catalogue!E$4:E$85,MATCH(A238,Catalogue!A$4:A$85,0))*(1+Paramètres!$B$4*(C238-1)+Paramètres!$B$5*(C238-1)^2),0)</f>
        <v>11</v>
      </c>
      <c r="R238">
        <f>ROUND(INDEX(Catalogue!F$4:F$85,MATCH(A238,Catalogue!A$4:A$85,0))*(1+Paramètres!$B$4*(C238-1)+Paramètres!$B$5*(C238-1)^2),0)</f>
        <v>23</v>
      </c>
      <c r="S238">
        <f t="shared" si="28"/>
        <v>0</v>
      </c>
      <c r="T238" t="str">
        <f t="shared" si="29"/>
        <v>OK</v>
      </c>
      <c r="U238" s="25">
        <f t="shared" si="30"/>
        <v>17</v>
      </c>
      <c r="V238" t="str">
        <f t="shared" si="31"/>
        <v>OK</v>
      </c>
    </row>
    <row r="239" spans="1:22" ht="18" customHeight="1">
      <c r="A239" t="s">
        <v>114</v>
      </c>
      <c r="B239" t="s">
        <v>115</v>
      </c>
      <c r="C239">
        <v>16</v>
      </c>
      <c r="D239" t="s">
        <v>72</v>
      </c>
      <c r="E239" s="6">
        <f t="shared" si="24"/>
        <v>13</v>
      </c>
      <c r="F239" s="6">
        <f t="shared" si="25"/>
        <v>25</v>
      </c>
      <c r="G239" s="6">
        <f>ROUND(Catalogue!G15*SQRT((1+Paramètres!$B$4*(C239-1)+Paramètres!$B$5*(C239-1)^2)),0)</f>
        <v>0</v>
      </c>
      <c r="H239" s="6">
        <f>ROUND(Catalogue!H15*SQRT((1+Paramètres!$B$4*(C239-1)+Paramètres!$B$5*(C239-1)^2)),0)</f>
        <v>0</v>
      </c>
      <c r="I239" s="6">
        <v>2</v>
      </c>
      <c r="J239" s="6">
        <v>1</v>
      </c>
      <c r="K239" s="7">
        <v>0.8</v>
      </c>
      <c r="L239" s="9">
        <f t="shared" si="26"/>
        <v>19</v>
      </c>
      <c r="M239">
        <v>4</v>
      </c>
      <c r="N239">
        <v>4</v>
      </c>
      <c r="O239">
        <v>9</v>
      </c>
      <c r="P239" s="13" t="str">
        <f t="shared" si="27"/>
        <v>4d4 + 9</v>
      </c>
      <c r="Q239">
        <f>ROUND(INDEX(Catalogue!E$4:E$85,MATCH(A239,Catalogue!A$4:A$85,0))*(1+Paramètres!$B$4*(C239-1)+Paramètres!$B$5*(C239-1)^2),0)</f>
        <v>13</v>
      </c>
      <c r="R239">
        <f>ROUND(INDEX(Catalogue!F$4:F$85,MATCH(A239,Catalogue!A$4:A$85,0))*(1+Paramètres!$B$4*(C239-1)+Paramètres!$B$5*(C239-1)^2),0)</f>
        <v>25</v>
      </c>
      <c r="S239">
        <f t="shared" si="28"/>
        <v>0</v>
      </c>
      <c r="T239" t="str">
        <f t="shared" si="29"/>
        <v>OK</v>
      </c>
      <c r="U239" s="25">
        <f t="shared" si="30"/>
        <v>19</v>
      </c>
      <c r="V239" t="str">
        <f t="shared" si="31"/>
        <v>OK</v>
      </c>
    </row>
    <row r="240" spans="1:22" ht="18" customHeight="1">
      <c r="A240" t="s">
        <v>114</v>
      </c>
      <c r="B240" t="s">
        <v>115</v>
      </c>
      <c r="C240">
        <v>17</v>
      </c>
      <c r="D240" t="s">
        <v>72</v>
      </c>
      <c r="E240" s="6">
        <f t="shared" si="24"/>
        <v>13</v>
      </c>
      <c r="F240" s="6">
        <f t="shared" si="25"/>
        <v>27</v>
      </c>
      <c r="G240" s="6">
        <f>ROUND(Catalogue!G15*SQRT((1+Paramètres!$B$4*(C240-1)+Paramètres!$B$5*(C240-1)^2)),0)</f>
        <v>0</v>
      </c>
      <c r="H240" s="6">
        <f>ROUND(Catalogue!H15*SQRT((1+Paramètres!$B$4*(C240-1)+Paramètres!$B$5*(C240-1)^2)),0)</f>
        <v>0</v>
      </c>
      <c r="I240" s="6">
        <v>2</v>
      </c>
      <c r="J240" s="6">
        <v>1</v>
      </c>
      <c r="K240" s="7">
        <v>0.8</v>
      </c>
      <c r="L240" s="9">
        <f t="shared" si="26"/>
        <v>20</v>
      </c>
      <c r="M240">
        <v>2</v>
      </c>
      <c r="N240">
        <v>8</v>
      </c>
      <c r="O240">
        <v>11</v>
      </c>
      <c r="P240" s="13" t="str">
        <f t="shared" si="27"/>
        <v>2d8 + 11</v>
      </c>
      <c r="Q240">
        <f>ROUND(INDEX(Catalogue!E$4:E$85,MATCH(A240,Catalogue!A$4:A$85,0))*(1+Paramètres!$B$4*(C240-1)+Paramètres!$B$5*(C240-1)^2),0)</f>
        <v>14</v>
      </c>
      <c r="R240">
        <f>ROUND(INDEX(Catalogue!F$4:F$85,MATCH(A240,Catalogue!A$4:A$85,0))*(1+Paramètres!$B$4*(C240-1)+Paramètres!$B$5*(C240-1)^2),0)</f>
        <v>27</v>
      </c>
      <c r="S240">
        <f t="shared" si="28"/>
        <v>-0.5</v>
      </c>
      <c r="T240" t="str">
        <f t="shared" si="29"/>
        <v>OK</v>
      </c>
      <c r="U240" s="25">
        <f t="shared" si="30"/>
        <v>20</v>
      </c>
      <c r="V240" t="str">
        <f t="shared" si="31"/>
        <v>OK</v>
      </c>
    </row>
    <row r="241" spans="1:22" ht="18" customHeight="1">
      <c r="A241" t="s">
        <v>114</v>
      </c>
      <c r="B241" t="s">
        <v>115</v>
      </c>
      <c r="C241">
        <v>18</v>
      </c>
      <c r="D241" t="s">
        <v>72</v>
      </c>
      <c r="E241" s="6">
        <f t="shared" si="24"/>
        <v>15</v>
      </c>
      <c r="F241" s="6">
        <f t="shared" si="25"/>
        <v>30</v>
      </c>
      <c r="G241" s="6">
        <f>ROUND(Catalogue!G15*SQRT((1+Paramètres!$B$4*(C241-1)+Paramètres!$B$5*(C241-1)^2)),0)</f>
        <v>0</v>
      </c>
      <c r="H241" s="6">
        <f>ROUND(Catalogue!H15*SQRT((1+Paramètres!$B$4*(C241-1)+Paramètres!$B$5*(C241-1)^2)),0)</f>
        <v>0</v>
      </c>
      <c r="I241" s="6">
        <v>2</v>
      </c>
      <c r="J241" s="6">
        <v>1</v>
      </c>
      <c r="K241" s="7">
        <v>0.8</v>
      </c>
      <c r="L241" s="9">
        <f t="shared" si="26"/>
        <v>22.5</v>
      </c>
      <c r="M241">
        <v>3</v>
      </c>
      <c r="N241">
        <v>6</v>
      </c>
      <c r="O241">
        <v>12</v>
      </c>
      <c r="P241" s="13" t="str">
        <f t="shared" si="27"/>
        <v>3d6 + 12</v>
      </c>
      <c r="Q241">
        <f>ROUND(INDEX(Catalogue!E$4:E$85,MATCH(A241,Catalogue!A$4:A$85,0))*(1+Paramètres!$B$4*(C241-1)+Paramètres!$B$5*(C241-1)^2),0)</f>
        <v>15</v>
      </c>
      <c r="R241">
        <f>ROUND(INDEX(Catalogue!F$4:F$85,MATCH(A241,Catalogue!A$4:A$85,0))*(1+Paramètres!$B$4*(C241-1)+Paramètres!$B$5*(C241-1)^2),0)</f>
        <v>30</v>
      </c>
      <c r="S241">
        <f t="shared" si="28"/>
        <v>0</v>
      </c>
      <c r="T241" t="str">
        <f t="shared" si="29"/>
        <v>OK</v>
      </c>
      <c r="U241" s="25">
        <f t="shared" si="30"/>
        <v>22.5</v>
      </c>
      <c r="V241" t="str">
        <f t="shared" si="31"/>
        <v>OK</v>
      </c>
    </row>
    <row r="242" spans="1:22" ht="18" customHeight="1">
      <c r="A242" t="s">
        <v>114</v>
      </c>
      <c r="B242" t="s">
        <v>115</v>
      </c>
      <c r="C242">
        <v>19</v>
      </c>
      <c r="D242" t="s">
        <v>72</v>
      </c>
      <c r="E242" s="6">
        <f t="shared" si="24"/>
        <v>15</v>
      </c>
      <c r="F242" s="6">
        <f t="shared" si="25"/>
        <v>33</v>
      </c>
      <c r="G242" s="6">
        <f>ROUND(Catalogue!G15*SQRT((1+Paramètres!$B$4*(C242-1)+Paramètres!$B$5*(C242-1)^2)),0)</f>
        <v>0</v>
      </c>
      <c r="H242" s="6">
        <f>ROUND(Catalogue!H15*SQRT((1+Paramètres!$B$4*(C242-1)+Paramètres!$B$5*(C242-1)^2)),0)</f>
        <v>0</v>
      </c>
      <c r="I242" s="6">
        <v>2</v>
      </c>
      <c r="J242" s="6">
        <v>1</v>
      </c>
      <c r="K242" s="7">
        <v>0.8</v>
      </c>
      <c r="L242" s="9">
        <f t="shared" si="26"/>
        <v>24</v>
      </c>
      <c r="M242">
        <v>2</v>
      </c>
      <c r="N242">
        <v>10</v>
      </c>
      <c r="O242">
        <v>13</v>
      </c>
      <c r="P242" s="13" t="str">
        <f t="shared" si="27"/>
        <v>2d10 + 13</v>
      </c>
      <c r="Q242">
        <f>ROUND(INDEX(Catalogue!E$4:E$85,MATCH(A242,Catalogue!A$4:A$85,0))*(1+Paramètres!$B$4*(C242-1)+Paramètres!$B$5*(C242-1)^2),0)</f>
        <v>16</v>
      </c>
      <c r="R242">
        <f>ROUND(INDEX(Catalogue!F$4:F$85,MATCH(A242,Catalogue!A$4:A$85,0))*(1+Paramètres!$B$4*(C242-1)+Paramètres!$B$5*(C242-1)^2),0)</f>
        <v>33</v>
      </c>
      <c r="S242">
        <f t="shared" si="28"/>
        <v>-0.5</v>
      </c>
      <c r="T242" t="str">
        <f t="shared" si="29"/>
        <v>OK</v>
      </c>
      <c r="U242" s="25">
        <f t="shared" si="30"/>
        <v>24</v>
      </c>
      <c r="V242" t="str">
        <f t="shared" si="31"/>
        <v>OK</v>
      </c>
    </row>
    <row r="243" spans="1:22" ht="18" customHeight="1">
      <c r="A243" t="s">
        <v>114</v>
      </c>
      <c r="B243" t="s">
        <v>115</v>
      </c>
      <c r="C243">
        <v>20</v>
      </c>
      <c r="D243" t="s">
        <v>72</v>
      </c>
      <c r="E243" s="6">
        <f t="shared" si="24"/>
        <v>18</v>
      </c>
      <c r="F243" s="6">
        <f t="shared" si="25"/>
        <v>36</v>
      </c>
      <c r="G243" s="6">
        <f>ROUND(Catalogue!G15*SQRT((1+Paramètres!$B$4*(C243-1)+Paramètres!$B$5*(C243-1)^2)),0)</f>
        <v>0</v>
      </c>
      <c r="H243" s="6">
        <f>ROUND(Catalogue!H15*SQRT((1+Paramètres!$B$4*(C243-1)+Paramètres!$B$5*(C243-1)^2)),0)</f>
        <v>0</v>
      </c>
      <c r="I243" s="6">
        <v>2</v>
      </c>
      <c r="J243" s="6">
        <v>1</v>
      </c>
      <c r="K243" s="7">
        <v>0.8</v>
      </c>
      <c r="L243" s="9">
        <f t="shared" si="26"/>
        <v>27</v>
      </c>
      <c r="M243">
        <v>2</v>
      </c>
      <c r="N243">
        <v>10</v>
      </c>
      <c r="O243">
        <v>16</v>
      </c>
      <c r="P243" s="13" t="str">
        <f t="shared" si="27"/>
        <v>2d10 + 16</v>
      </c>
      <c r="Q243">
        <f>ROUND(INDEX(Catalogue!E$4:E$85,MATCH(A243,Catalogue!A$4:A$85,0))*(1+Paramètres!$B$4*(C243-1)+Paramètres!$B$5*(C243-1)^2),0)</f>
        <v>18</v>
      </c>
      <c r="R243">
        <f>ROUND(INDEX(Catalogue!F$4:F$85,MATCH(A243,Catalogue!A$4:A$85,0))*(1+Paramètres!$B$4*(C243-1)+Paramètres!$B$5*(C243-1)^2),0)</f>
        <v>35</v>
      </c>
      <c r="S243">
        <f t="shared" si="28"/>
        <v>0.5</v>
      </c>
      <c r="T243" t="str">
        <f t="shared" si="29"/>
        <v>OK</v>
      </c>
      <c r="U243" s="25">
        <f t="shared" si="30"/>
        <v>27</v>
      </c>
      <c r="V243" t="str">
        <f t="shared" si="31"/>
        <v>OK</v>
      </c>
    </row>
    <row r="244" spans="1:22" ht="18" customHeight="1">
      <c r="A244" t="s">
        <v>118</v>
      </c>
      <c r="B244" t="s">
        <v>119</v>
      </c>
      <c r="C244">
        <v>1</v>
      </c>
      <c r="D244" t="s">
        <v>72</v>
      </c>
      <c r="E244" s="6">
        <f t="shared" si="24"/>
        <v>1</v>
      </c>
      <c r="F244" s="6">
        <f t="shared" si="25"/>
        <v>4</v>
      </c>
      <c r="G244" s="6">
        <f>ROUND(Catalogue!G16*SQRT((1+Paramètres!$B$4*(C244-1)+Paramètres!$B$5*(C244-1)^2)),0)</f>
        <v>0</v>
      </c>
      <c r="H244" s="6">
        <f>ROUND(Catalogue!H16*SQRT((1+Paramètres!$B$4*(C244-1)+Paramètres!$B$5*(C244-1)^2)),0)</f>
        <v>0</v>
      </c>
      <c r="I244" s="6">
        <v>2</v>
      </c>
      <c r="J244" s="6">
        <v>1</v>
      </c>
      <c r="K244" s="7">
        <v>0.45</v>
      </c>
      <c r="L244" s="9">
        <f t="shared" si="26"/>
        <v>2.5</v>
      </c>
      <c r="M244">
        <v>1</v>
      </c>
      <c r="N244">
        <v>4</v>
      </c>
      <c r="O244">
        <v>0</v>
      </c>
      <c r="P244" s="13" t="str">
        <f t="shared" si="27"/>
        <v>1d4</v>
      </c>
      <c r="Q244">
        <f>ROUND(INDEX(Catalogue!E$4:E$85,MATCH(A244,Catalogue!A$4:A$85,0))*(1+Paramètres!$B$4*(C244-1)+Paramètres!$B$5*(C244-1)^2),0)</f>
        <v>1</v>
      </c>
      <c r="R244">
        <f>ROUND(INDEX(Catalogue!F$4:F$85,MATCH(A244,Catalogue!A$4:A$85,0))*(1+Paramètres!$B$4*(C244-1)+Paramètres!$B$5*(C244-1)^2),0)</f>
        <v>3</v>
      </c>
      <c r="S244">
        <f t="shared" si="28"/>
        <v>0.5</v>
      </c>
      <c r="T244" t="str">
        <f t="shared" si="29"/>
        <v>OK</v>
      </c>
      <c r="U244" s="25">
        <f t="shared" si="30"/>
        <v>2.5</v>
      </c>
      <c r="V244" t="str">
        <f t="shared" si="31"/>
        <v>OK</v>
      </c>
    </row>
    <row r="245" spans="1:22" ht="18" customHeight="1">
      <c r="A245" t="s">
        <v>118</v>
      </c>
      <c r="B245" t="s">
        <v>119</v>
      </c>
      <c r="C245">
        <v>2</v>
      </c>
      <c r="D245" t="s">
        <v>72</v>
      </c>
      <c r="E245" s="6">
        <f t="shared" si="24"/>
        <v>1</v>
      </c>
      <c r="F245" s="6">
        <f t="shared" si="25"/>
        <v>4</v>
      </c>
      <c r="G245" s="6">
        <f>ROUND(Catalogue!G16*SQRT((1+Paramètres!$B$4*(C245-1)+Paramètres!$B$5*(C245-1)^2)),0)</f>
        <v>0</v>
      </c>
      <c r="H245" s="6">
        <f>ROUND(Catalogue!H16*SQRT((1+Paramètres!$B$4*(C245-1)+Paramètres!$B$5*(C245-1)^2)),0)</f>
        <v>0</v>
      </c>
      <c r="I245" s="6">
        <v>2</v>
      </c>
      <c r="J245" s="6">
        <v>1</v>
      </c>
      <c r="K245" s="7">
        <v>0.45</v>
      </c>
      <c r="L245" s="9">
        <f t="shared" si="26"/>
        <v>2.5</v>
      </c>
      <c r="M245">
        <v>1</v>
      </c>
      <c r="N245">
        <v>4</v>
      </c>
      <c r="O245">
        <v>0</v>
      </c>
      <c r="P245" s="13" t="str">
        <f t="shared" si="27"/>
        <v>1d4</v>
      </c>
      <c r="Q245">
        <f>ROUND(INDEX(Catalogue!E$4:E$85,MATCH(A245,Catalogue!A$4:A$85,0))*(1+Paramètres!$B$4*(C245-1)+Paramètres!$B$5*(C245-1)^2),0)</f>
        <v>1</v>
      </c>
      <c r="R245">
        <f>ROUND(INDEX(Catalogue!F$4:F$85,MATCH(A245,Catalogue!A$4:A$85,0))*(1+Paramètres!$B$4*(C245-1)+Paramètres!$B$5*(C245-1)^2),0)</f>
        <v>3</v>
      </c>
      <c r="S245">
        <f t="shared" si="28"/>
        <v>0.5</v>
      </c>
      <c r="T245" t="str">
        <f t="shared" si="29"/>
        <v>OK</v>
      </c>
      <c r="U245" s="25">
        <f t="shared" si="30"/>
        <v>2.5</v>
      </c>
      <c r="V245" t="str">
        <f t="shared" si="31"/>
        <v>OK</v>
      </c>
    </row>
    <row r="246" spans="1:22" ht="18" customHeight="1">
      <c r="A246" t="s">
        <v>118</v>
      </c>
      <c r="B246" t="s">
        <v>119</v>
      </c>
      <c r="C246">
        <v>3</v>
      </c>
      <c r="D246" t="s">
        <v>72</v>
      </c>
      <c r="E246" s="6">
        <f t="shared" si="24"/>
        <v>1</v>
      </c>
      <c r="F246" s="6">
        <f t="shared" si="25"/>
        <v>4</v>
      </c>
      <c r="G246" s="6">
        <f>ROUND(Catalogue!G16*SQRT((1+Paramètres!$B$4*(C246-1)+Paramètres!$B$5*(C246-1)^2)),0)</f>
        <v>0</v>
      </c>
      <c r="H246" s="6">
        <f>ROUND(Catalogue!H16*SQRT((1+Paramètres!$B$4*(C246-1)+Paramètres!$B$5*(C246-1)^2)),0)</f>
        <v>0</v>
      </c>
      <c r="I246" s="6">
        <v>2</v>
      </c>
      <c r="J246" s="6">
        <v>1</v>
      </c>
      <c r="K246" s="7">
        <v>0.45</v>
      </c>
      <c r="L246" s="9">
        <f t="shared" si="26"/>
        <v>2.5</v>
      </c>
      <c r="M246">
        <v>1</v>
      </c>
      <c r="N246">
        <v>4</v>
      </c>
      <c r="O246">
        <v>0</v>
      </c>
      <c r="P246" s="13" t="str">
        <f t="shared" si="27"/>
        <v>1d4</v>
      </c>
      <c r="Q246">
        <f>ROUND(INDEX(Catalogue!E$4:E$85,MATCH(A246,Catalogue!A$4:A$85,0))*(1+Paramètres!$B$4*(C246-1)+Paramètres!$B$5*(C246-1)^2),0)</f>
        <v>1</v>
      </c>
      <c r="R246">
        <f>ROUND(INDEX(Catalogue!F$4:F$85,MATCH(A246,Catalogue!A$4:A$85,0))*(1+Paramètres!$B$4*(C246-1)+Paramètres!$B$5*(C246-1)^2),0)</f>
        <v>4</v>
      </c>
      <c r="S246">
        <f t="shared" si="28"/>
        <v>0</v>
      </c>
      <c r="T246" t="str">
        <f t="shared" si="29"/>
        <v>OK</v>
      </c>
      <c r="U246" s="25">
        <f t="shared" si="30"/>
        <v>2.5</v>
      </c>
      <c r="V246" t="str">
        <f t="shared" si="31"/>
        <v>OK</v>
      </c>
    </row>
    <row r="247" spans="1:22" ht="18" customHeight="1">
      <c r="A247" t="s">
        <v>118</v>
      </c>
      <c r="B247" t="s">
        <v>119</v>
      </c>
      <c r="C247">
        <v>4</v>
      </c>
      <c r="D247" t="s">
        <v>72</v>
      </c>
      <c r="E247" s="6">
        <f t="shared" si="24"/>
        <v>1</v>
      </c>
      <c r="F247" s="6">
        <f t="shared" si="25"/>
        <v>4</v>
      </c>
      <c r="G247" s="6">
        <f>ROUND(Catalogue!G16*SQRT((1+Paramètres!$B$4*(C247-1)+Paramètres!$B$5*(C247-1)^2)),0)</f>
        <v>0</v>
      </c>
      <c r="H247" s="6">
        <f>ROUND(Catalogue!H16*SQRT((1+Paramètres!$B$4*(C247-1)+Paramètres!$B$5*(C247-1)^2)),0)</f>
        <v>0</v>
      </c>
      <c r="I247" s="6">
        <v>2</v>
      </c>
      <c r="J247" s="6">
        <v>1</v>
      </c>
      <c r="K247" s="7">
        <v>0.45</v>
      </c>
      <c r="L247" s="9">
        <f t="shared" si="26"/>
        <v>2.5</v>
      </c>
      <c r="M247">
        <v>1</v>
      </c>
      <c r="N247">
        <v>4</v>
      </c>
      <c r="O247">
        <v>0</v>
      </c>
      <c r="P247" s="13" t="str">
        <f t="shared" si="27"/>
        <v>1d4</v>
      </c>
      <c r="Q247">
        <f>ROUND(INDEX(Catalogue!E$4:E$85,MATCH(A247,Catalogue!A$4:A$85,0))*(1+Paramètres!$B$4*(C247-1)+Paramètres!$B$5*(C247-1)^2),0)</f>
        <v>1</v>
      </c>
      <c r="R247">
        <f>ROUND(INDEX(Catalogue!F$4:F$85,MATCH(A247,Catalogue!A$4:A$85,0))*(1+Paramètres!$B$4*(C247-1)+Paramètres!$B$5*(C247-1)^2),0)</f>
        <v>4</v>
      </c>
      <c r="S247">
        <f t="shared" si="28"/>
        <v>0</v>
      </c>
      <c r="T247" t="str">
        <f t="shared" si="29"/>
        <v>OK</v>
      </c>
      <c r="U247" s="25">
        <f t="shared" si="30"/>
        <v>2.5</v>
      </c>
      <c r="V247" t="str">
        <f t="shared" si="31"/>
        <v>OK</v>
      </c>
    </row>
    <row r="248" spans="1:22" ht="18" customHeight="1">
      <c r="A248" t="s">
        <v>118</v>
      </c>
      <c r="B248" t="s">
        <v>119</v>
      </c>
      <c r="C248">
        <v>5</v>
      </c>
      <c r="D248" t="s">
        <v>72</v>
      </c>
      <c r="E248" s="6">
        <f t="shared" si="24"/>
        <v>2</v>
      </c>
      <c r="F248" s="6">
        <f t="shared" si="25"/>
        <v>5</v>
      </c>
      <c r="G248" s="6">
        <f>ROUND(Catalogue!G16*SQRT((1+Paramètres!$B$4*(C248-1)+Paramètres!$B$5*(C248-1)^2)),0)</f>
        <v>0</v>
      </c>
      <c r="H248" s="6">
        <f>ROUND(Catalogue!H16*SQRT((1+Paramètres!$B$4*(C248-1)+Paramètres!$B$5*(C248-1)^2)),0)</f>
        <v>0</v>
      </c>
      <c r="I248" s="6">
        <v>2</v>
      </c>
      <c r="J248" s="6">
        <v>1</v>
      </c>
      <c r="K248" s="7">
        <v>0.45</v>
      </c>
      <c r="L248" s="9">
        <f t="shared" si="26"/>
        <v>3.5</v>
      </c>
      <c r="M248">
        <v>1</v>
      </c>
      <c r="N248">
        <v>4</v>
      </c>
      <c r="O248">
        <v>1</v>
      </c>
      <c r="P248" s="13" t="str">
        <f t="shared" si="27"/>
        <v>1d4 + 1</v>
      </c>
      <c r="Q248">
        <f>ROUND(INDEX(Catalogue!E$4:E$85,MATCH(A248,Catalogue!A$4:A$85,0))*(1+Paramètres!$B$4*(C248-1)+Paramètres!$B$5*(C248-1)^2),0)</f>
        <v>2</v>
      </c>
      <c r="R248">
        <f>ROUND(INDEX(Catalogue!F$4:F$85,MATCH(A248,Catalogue!A$4:A$85,0))*(1+Paramètres!$B$4*(C248-1)+Paramètres!$B$5*(C248-1)^2),0)</f>
        <v>5</v>
      </c>
      <c r="S248">
        <f t="shared" si="28"/>
        <v>0</v>
      </c>
      <c r="T248" t="str">
        <f t="shared" si="29"/>
        <v>OK</v>
      </c>
      <c r="U248" s="25">
        <f t="shared" si="30"/>
        <v>3.5</v>
      </c>
      <c r="V248" t="str">
        <f t="shared" si="31"/>
        <v>OK</v>
      </c>
    </row>
    <row r="249" spans="1:22" ht="18" customHeight="1">
      <c r="A249" t="s">
        <v>118</v>
      </c>
      <c r="B249" t="s">
        <v>119</v>
      </c>
      <c r="C249">
        <v>6</v>
      </c>
      <c r="D249" t="s">
        <v>72</v>
      </c>
      <c r="E249" s="6">
        <f t="shared" si="24"/>
        <v>2</v>
      </c>
      <c r="F249" s="6">
        <f t="shared" si="25"/>
        <v>5</v>
      </c>
      <c r="G249" s="6">
        <f>ROUND(Catalogue!G16*SQRT((1+Paramètres!$B$4*(C249-1)+Paramètres!$B$5*(C249-1)^2)),0)</f>
        <v>0</v>
      </c>
      <c r="H249" s="6">
        <f>ROUND(Catalogue!H16*SQRT((1+Paramètres!$B$4*(C249-1)+Paramètres!$B$5*(C249-1)^2)),0)</f>
        <v>0</v>
      </c>
      <c r="I249" s="6">
        <v>2</v>
      </c>
      <c r="J249" s="6">
        <v>1</v>
      </c>
      <c r="K249" s="7">
        <v>0.45</v>
      </c>
      <c r="L249" s="9">
        <f t="shared" si="26"/>
        <v>3.5</v>
      </c>
      <c r="M249">
        <v>1</v>
      </c>
      <c r="N249">
        <v>4</v>
      </c>
      <c r="O249">
        <v>1</v>
      </c>
      <c r="P249" s="13" t="str">
        <f t="shared" si="27"/>
        <v>1d4 + 1</v>
      </c>
      <c r="Q249">
        <f>ROUND(INDEX(Catalogue!E$4:E$85,MATCH(A249,Catalogue!A$4:A$85,0))*(1+Paramètres!$B$4*(C249-1)+Paramètres!$B$5*(C249-1)^2),0)</f>
        <v>2</v>
      </c>
      <c r="R249">
        <f>ROUND(INDEX(Catalogue!F$4:F$85,MATCH(A249,Catalogue!A$4:A$85,0))*(1+Paramètres!$B$4*(C249-1)+Paramètres!$B$5*(C249-1)^2),0)</f>
        <v>6</v>
      </c>
      <c r="S249">
        <f t="shared" si="28"/>
        <v>-0.5</v>
      </c>
      <c r="T249" t="str">
        <f t="shared" si="29"/>
        <v>OK</v>
      </c>
      <c r="U249" s="25">
        <f t="shared" si="30"/>
        <v>3.5</v>
      </c>
      <c r="V249" t="str">
        <f t="shared" si="31"/>
        <v>OK</v>
      </c>
    </row>
    <row r="250" spans="1:22" ht="18" customHeight="1">
      <c r="A250" t="s">
        <v>118</v>
      </c>
      <c r="B250" t="s">
        <v>119</v>
      </c>
      <c r="C250">
        <v>7</v>
      </c>
      <c r="D250" t="s">
        <v>72</v>
      </c>
      <c r="E250" s="6">
        <f t="shared" si="24"/>
        <v>2</v>
      </c>
      <c r="F250" s="6">
        <f t="shared" si="25"/>
        <v>7</v>
      </c>
      <c r="G250" s="6">
        <f>ROUND(Catalogue!G16*SQRT((1+Paramètres!$B$4*(C250-1)+Paramètres!$B$5*(C250-1)^2)),0)</f>
        <v>0</v>
      </c>
      <c r="H250" s="6">
        <f>ROUND(Catalogue!H16*SQRT((1+Paramètres!$B$4*(C250-1)+Paramètres!$B$5*(C250-1)^2)),0)</f>
        <v>0</v>
      </c>
      <c r="I250" s="6">
        <v>2</v>
      </c>
      <c r="J250" s="6">
        <v>1</v>
      </c>
      <c r="K250" s="7">
        <v>0.45</v>
      </c>
      <c r="L250" s="9">
        <f t="shared" si="26"/>
        <v>4.5</v>
      </c>
      <c r="M250">
        <v>1</v>
      </c>
      <c r="N250">
        <v>6</v>
      </c>
      <c r="O250">
        <v>1</v>
      </c>
      <c r="P250" s="13" t="str">
        <f t="shared" si="27"/>
        <v>1d6 + 1</v>
      </c>
      <c r="Q250">
        <f>ROUND(INDEX(Catalogue!E$4:E$85,MATCH(A250,Catalogue!A$4:A$85,0))*(1+Paramètres!$B$4*(C250-1)+Paramètres!$B$5*(C250-1)^2),0)</f>
        <v>2</v>
      </c>
      <c r="R250">
        <f>ROUND(INDEX(Catalogue!F$4:F$85,MATCH(A250,Catalogue!A$4:A$85,0))*(1+Paramètres!$B$4*(C250-1)+Paramètres!$B$5*(C250-1)^2),0)</f>
        <v>7</v>
      </c>
      <c r="S250">
        <f t="shared" si="28"/>
        <v>0</v>
      </c>
      <c r="T250" t="str">
        <f t="shared" si="29"/>
        <v>OK</v>
      </c>
      <c r="U250" s="25">
        <f t="shared" si="30"/>
        <v>4.5</v>
      </c>
      <c r="V250" t="str">
        <f t="shared" si="31"/>
        <v>OK</v>
      </c>
    </row>
    <row r="251" spans="1:22" ht="18" customHeight="1">
      <c r="A251" t="s">
        <v>118</v>
      </c>
      <c r="B251" t="s">
        <v>119</v>
      </c>
      <c r="C251">
        <v>8</v>
      </c>
      <c r="D251" t="s">
        <v>72</v>
      </c>
      <c r="E251" s="6">
        <f t="shared" si="24"/>
        <v>3</v>
      </c>
      <c r="F251" s="6">
        <f t="shared" si="25"/>
        <v>8</v>
      </c>
      <c r="G251" s="6">
        <f>ROUND(Catalogue!G16*SQRT((1+Paramètres!$B$4*(C251-1)+Paramètres!$B$5*(C251-1)^2)),0)</f>
        <v>0</v>
      </c>
      <c r="H251" s="6">
        <f>ROUND(Catalogue!H16*SQRT((1+Paramètres!$B$4*(C251-1)+Paramètres!$B$5*(C251-1)^2)),0)</f>
        <v>0</v>
      </c>
      <c r="I251" s="6">
        <v>2</v>
      </c>
      <c r="J251" s="6">
        <v>1</v>
      </c>
      <c r="K251" s="7">
        <v>0.45</v>
      </c>
      <c r="L251" s="9">
        <f t="shared" si="26"/>
        <v>5.5</v>
      </c>
      <c r="M251">
        <v>1</v>
      </c>
      <c r="N251">
        <v>6</v>
      </c>
      <c r="O251">
        <v>2</v>
      </c>
      <c r="P251" s="13" t="str">
        <f t="shared" si="27"/>
        <v>1d6 + 2</v>
      </c>
      <c r="Q251">
        <f>ROUND(INDEX(Catalogue!E$4:E$85,MATCH(A251,Catalogue!A$4:A$85,0))*(1+Paramètres!$B$4*(C251-1)+Paramètres!$B$5*(C251-1)^2),0)</f>
        <v>3</v>
      </c>
      <c r="R251">
        <f>ROUND(INDEX(Catalogue!F$4:F$85,MATCH(A251,Catalogue!A$4:A$85,0))*(1+Paramètres!$B$4*(C251-1)+Paramètres!$B$5*(C251-1)^2),0)</f>
        <v>8</v>
      </c>
      <c r="S251">
        <f t="shared" si="28"/>
        <v>0</v>
      </c>
      <c r="T251" t="str">
        <f t="shared" si="29"/>
        <v>OK</v>
      </c>
      <c r="U251" s="25">
        <f t="shared" si="30"/>
        <v>5.5</v>
      </c>
      <c r="V251" t="str">
        <f t="shared" si="31"/>
        <v>OK</v>
      </c>
    </row>
    <row r="252" spans="1:22" ht="18" customHeight="1">
      <c r="A252" t="s">
        <v>118</v>
      </c>
      <c r="B252" t="s">
        <v>119</v>
      </c>
      <c r="C252">
        <v>9</v>
      </c>
      <c r="D252" t="s">
        <v>72</v>
      </c>
      <c r="E252" s="6">
        <f t="shared" si="24"/>
        <v>3</v>
      </c>
      <c r="F252" s="6">
        <f t="shared" si="25"/>
        <v>9</v>
      </c>
      <c r="G252" s="6">
        <f>ROUND(Catalogue!G16*SQRT((1+Paramètres!$B$4*(C252-1)+Paramètres!$B$5*(C252-1)^2)),0)</f>
        <v>0</v>
      </c>
      <c r="H252" s="6">
        <f>ROUND(Catalogue!H16*SQRT((1+Paramètres!$B$4*(C252-1)+Paramètres!$B$5*(C252-1)^2)),0)</f>
        <v>0</v>
      </c>
      <c r="I252" s="6">
        <v>2</v>
      </c>
      <c r="J252" s="6">
        <v>1</v>
      </c>
      <c r="K252" s="7">
        <v>0.45</v>
      </c>
      <c r="L252" s="9">
        <f t="shared" si="26"/>
        <v>6</v>
      </c>
      <c r="M252">
        <v>2</v>
      </c>
      <c r="N252">
        <v>4</v>
      </c>
      <c r="O252">
        <v>1</v>
      </c>
      <c r="P252" s="13" t="str">
        <f t="shared" si="27"/>
        <v>2d4 + 1</v>
      </c>
      <c r="Q252">
        <f>ROUND(INDEX(Catalogue!E$4:E$85,MATCH(A252,Catalogue!A$4:A$85,0))*(1+Paramètres!$B$4*(C252-1)+Paramètres!$B$5*(C252-1)^2),0)</f>
        <v>3</v>
      </c>
      <c r="R252">
        <f>ROUND(INDEX(Catalogue!F$4:F$85,MATCH(A252,Catalogue!A$4:A$85,0))*(1+Paramètres!$B$4*(C252-1)+Paramètres!$B$5*(C252-1)^2),0)</f>
        <v>9</v>
      </c>
      <c r="S252">
        <f t="shared" si="28"/>
        <v>0</v>
      </c>
      <c r="T252" t="str">
        <f t="shared" si="29"/>
        <v>OK</v>
      </c>
      <c r="U252" s="25">
        <f t="shared" si="30"/>
        <v>6</v>
      </c>
      <c r="V252" t="str">
        <f t="shared" si="31"/>
        <v>OK</v>
      </c>
    </row>
    <row r="253" spans="1:22" ht="18" customHeight="1">
      <c r="A253" t="s">
        <v>118</v>
      </c>
      <c r="B253" t="s">
        <v>119</v>
      </c>
      <c r="C253">
        <v>10</v>
      </c>
      <c r="D253" t="s">
        <v>72</v>
      </c>
      <c r="E253" s="6">
        <f t="shared" si="24"/>
        <v>3</v>
      </c>
      <c r="F253" s="6">
        <f t="shared" si="25"/>
        <v>10</v>
      </c>
      <c r="G253" s="6">
        <f>ROUND(Catalogue!G16*SQRT((1+Paramètres!$B$4*(C253-1)+Paramètres!$B$5*(C253-1)^2)),0)</f>
        <v>0</v>
      </c>
      <c r="H253" s="6">
        <f>ROUND(Catalogue!H16*SQRT((1+Paramètres!$B$4*(C253-1)+Paramètres!$B$5*(C253-1)^2)),0)</f>
        <v>0</v>
      </c>
      <c r="I253" s="6">
        <v>2</v>
      </c>
      <c r="J253" s="6">
        <v>1</v>
      </c>
      <c r="K253" s="7">
        <v>0.45</v>
      </c>
      <c r="L253" s="9">
        <f t="shared" si="26"/>
        <v>6.5</v>
      </c>
      <c r="M253">
        <v>1</v>
      </c>
      <c r="N253">
        <v>8</v>
      </c>
      <c r="O253">
        <v>2</v>
      </c>
      <c r="P253" s="13" t="str">
        <f t="shared" si="27"/>
        <v>1d8 + 2</v>
      </c>
      <c r="Q253">
        <f>ROUND(INDEX(Catalogue!E$4:E$85,MATCH(A253,Catalogue!A$4:A$85,0))*(1+Paramètres!$B$4*(C253-1)+Paramètres!$B$5*(C253-1)^2),0)</f>
        <v>3</v>
      </c>
      <c r="R253">
        <f>ROUND(INDEX(Catalogue!F$4:F$85,MATCH(A253,Catalogue!A$4:A$85,0))*(1+Paramètres!$B$4*(C253-1)+Paramètres!$B$5*(C253-1)^2),0)</f>
        <v>10</v>
      </c>
      <c r="S253">
        <f t="shared" si="28"/>
        <v>0</v>
      </c>
      <c r="T253" t="str">
        <f t="shared" si="29"/>
        <v>OK</v>
      </c>
      <c r="U253" s="25">
        <f t="shared" si="30"/>
        <v>6.5</v>
      </c>
      <c r="V253" t="str">
        <f t="shared" si="31"/>
        <v>OK</v>
      </c>
    </row>
    <row r="254" spans="1:22" ht="18" customHeight="1">
      <c r="A254" t="s">
        <v>118</v>
      </c>
      <c r="B254" t="s">
        <v>119</v>
      </c>
      <c r="C254">
        <v>11</v>
      </c>
      <c r="D254" t="s">
        <v>72</v>
      </c>
      <c r="E254" s="6">
        <f t="shared" si="24"/>
        <v>4</v>
      </c>
      <c r="F254" s="6">
        <f t="shared" si="25"/>
        <v>11</v>
      </c>
      <c r="G254" s="6">
        <f>ROUND(Catalogue!G16*SQRT((1+Paramètres!$B$4*(C254-1)+Paramètres!$B$5*(C254-1)^2)),0)</f>
        <v>0</v>
      </c>
      <c r="H254" s="6">
        <f>ROUND(Catalogue!H16*SQRT((1+Paramètres!$B$4*(C254-1)+Paramètres!$B$5*(C254-1)^2)),0)</f>
        <v>0</v>
      </c>
      <c r="I254" s="6">
        <v>2</v>
      </c>
      <c r="J254" s="6">
        <v>1</v>
      </c>
      <c r="K254" s="7">
        <v>0.45</v>
      </c>
      <c r="L254" s="9">
        <f t="shared" si="26"/>
        <v>7.5</v>
      </c>
      <c r="M254">
        <v>1</v>
      </c>
      <c r="N254">
        <v>8</v>
      </c>
      <c r="O254">
        <v>3</v>
      </c>
      <c r="P254" s="13" t="str">
        <f t="shared" si="27"/>
        <v>1d8 + 3</v>
      </c>
      <c r="Q254">
        <f>ROUND(INDEX(Catalogue!E$4:E$85,MATCH(A254,Catalogue!A$4:A$85,0))*(1+Paramètres!$B$4*(C254-1)+Paramètres!$B$5*(C254-1)^2),0)</f>
        <v>4</v>
      </c>
      <c r="R254">
        <f>ROUND(INDEX(Catalogue!F$4:F$85,MATCH(A254,Catalogue!A$4:A$85,0))*(1+Paramètres!$B$4*(C254-1)+Paramètres!$B$5*(C254-1)^2),0)</f>
        <v>11</v>
      </c>
      <c r="S254">
        <f t="shared" si="28"/>
        <v>0</v>
      </c>
      <c r="T254" t="str">
        <f t="shared" si="29"/>
        <v>OK</v>
      </c>
      <c r="U254" s="25">
        <f t="shared" si="30"/>
        <v>7.5</v>
      </c>
      <c r="V254" t="str">
        <f t="shared" si="31"/>
        <v>OK</v>
      </c>
    </row>
    <row r="255" spans="1:22" ht="18" customHeight="1">
      <c r="A255" t="s">
        <v>118</v>
      </c>
      <c r="B255" t="s">
        <v>119</v>
      </c>
      <c r="C255">
        <v>12</v>
      </c>
      <c r="D255" t="s">
        <v>72</v>
      </c>
      <c r="E255" s="6">
        <f t="shared" si="24"/>
        <v>3</v>
      </c>
      <c r="F255" s="6">
        <f t="shared" si="25"/>
        <v>12</v>
      </c>
      <c r="G255" s="6">
        <f>ROUND(Catalogue!G16*SQRT((1+Paramètres!$B$4*(C255-1)+Paramètres!$B$5*(C255-1)^2)),0)</f>
        <v>0</v>
      </c>
      <c r="H255" s="6">
        <f>ROUND(Catalogue!H16*SQRT((1+Paramètres!$B$4*(C255-1)+Paramètres!$B$5*(C255-1)^2)),0)</f>
        <v>0</v>
      </c>
      <c r="I255" s="6">
        <v>2</v>
      </c>
      <c r="J255" s="6">
        <v>1</v>
      </c>
      <c r="K255" s="7">
        <v>0.45</v>
      </c>
      <c r="L255" s="9">
        <f t="shared" si="26"/>
        <v>7.5</v>
      </c>
      <c r="M255">
        <v>3</v>
      </c>
      <c r="N255">
        <v>4</v>
      </c>
      <c r="O255">
        <v>0</v>
      </c>
      <c r="P255" s="13" t="str">
        <f t="shared" si="27"/>
        <v>3d4</v>
      </c>
      <c r="Q255">
        <f>ROUND(INDEX(Catalogue!E$4:E$85,MATCH(A255,Catalogue!A$4:A$85,0))*(1+Paramètres!$B$4*(C255-1)+Paramètres!$B$5*(C255-1)^2),0)</f>
        <v>4</v>
      </c>
      <c r="R255">
        <f>ROUND(INDEX(Catalogue!F$4:F$85,MATCH(A255,Catalogue!A$4:A$85,0))*(1+Paramètres!$B$4*(C255-1)+Paramètres!$B$5*(C255-1)^2),0)</f>
        <v>12</v>
      </c>
      <c r="S255">
        <f t="shared" si="28"/>
        <v>-0.5</v>
      </c>
      <c r="T255" t="str">
        <f t="shared" si="29"/>
        <v>OK</v>
      </c>
      <c r="U255" s="25">
        <f t="shared" si="30"/>
        <v>7.5</v>
      </c>
      <c r="V255" t="str">
        <f t="shared" si="31"/>
        <v>OK</v>
      </c>
    </row>
    <row r="256" spans="1:22" ht="18" customHeight="1">
      <c r="A256" t="s">
        <v>118</v>
      </c>
      <c r="B256" t="s">
        <v>119</v>
      </c>
      <c r="C256">
        <v>13</v>
      </c>
      <c r="D256" t="s">
        <v>72</v>
      </c>
      <c r="E256" s="6">
        <f t="shared" si="24"/>
        <v>5</v>
      </c>
      <c r="F256" s="6">
        <f t="shared" si="25"/>
        <v>14</v>
      </c>
      <c r="G256" s="6">
        <f>ROUND(Catalogue!G16*SQRT((1+Paramètres!$B$4*(C256-1)+Paramètres!$B$5*(C256-1)^2)),0)</f>
        <v>0</v>
      </c>
      <c r="H256" s="6">
        <f>ROUND(Catalogue!H16*SQRT((1+Paramètres!$B$4*(C256-1)+Paramètres!$B$5*(C256-1)^2)),0)</f>
        <v>0</v>
      </c>
      <c r="I256" s="6">
        <v>2</v>
      </c>
      <c r="J256" s="6">
        <v>1</v>
      </c>
      <c r="K256" s="7">
        <v>0.45</v>
      </c>
      <c r="L256" s="9">
        <f t="shared" si="26"/>
        <v>9.5</v>
      </c>
      <c r="M256">
        <v>3</v>
      </c>
      <c r="N256">
        <v>4</v>
      </c>
      <c r="O256">
        <v>2</v>
      </c>
      <c r="P256" s="13" t="str">
        <f t="shared" si="27"/>
        <v>3d4 + 2</v>
      </c>
      <c r="Q256">
        <f>ROUND(INDEX(Catalogue!E$4:E$85,MATCH(A256,Catalogue!A$4:A$85,0))*(1+Paramètres!$B$4*(C256-1)+Paramètres!$B$5*(C256-1)^2),0)</f>
        <v>5</v>
      </c>
      <c r="R256">
        <f>ROUND(INDEX(Catalogue!F$4:F$85,MATCH(A256,Catalogue!A$4:A$85,0))*(1+Paramètres!$B$4*(C256-1)+Paramètres!$B$5*(C256-1)^2),0)</f>
        <v>14</v>
      </c>
      <c r="S256">
        <f t="shared" si="28"/>
        <v>0</v>
      </c>
      <c r="T256" t="str">
        <f t="shared" si="29"/>
        <v>OK</v>
      </c>
      <c r="U256" s="25">
        <f t="shared" si="30"/>
        <v>9.5</v>
      </c>
      <c r="V256" t="str">
        <f t="shared" si="31"/>
        <v>OK</v>
      </c>
    </row>
    <row r="257" spans="1:22" ht="18" customHeight="1">
      <c r="A257" t="s">
        <v>118</v>
      </c>
      <c r="B257" t="s">
        <v>119</v>
      </c>
      <c r="C257">
        <v>14</v>
      </c>
      <c r="D257" t="s">
        <v>72</v>
      </c>
      <c r="E257" s="6">
        <f t="shared" si="24"/>
        <v>5</v>
      </c>
      <c r="F257" s="6">
        <f t="shared" si="25"/>
        <v>15</v>
      </c>
      <c r="G257" s="6">
        <f>ROUND(Catalogue!G16*SQRT((1+Paramètres!$B$4*(C257-1)+Paramètres!$B$5*(C257-1)^2)),0)</f>
        <v>0</v>
      </c>
      <c r="H257" s="6">
        <f>ROUND(Catalogue!H16*SQRT((1+Paramètres!$B$4*(C257-1)+Paramètres!$B$5*(C257-1)^2)),0)</f>
        <v>0</v>
      </c>
      <c r="I257" s="6">
        <v>2</v>
      </c>
      <c r="J257" s="6">
        <v>1</v>
      </c>
      <c r="K257" s="7">
        <v>0.45</v>
      </c>
      <c r="L257" s="9">
        <f t="shared" si="26"/>
        <v>10</v>
      </c>
      <c r="M257">
        <v>2</v>
      </c>
      <c r="N257">
        <v>6</v>
      </c>
      <c r="O257">
        <v>3</v>
      </c>
      <c r="P257" s="13" t="str">
        <f t="shared" si="27"/>
        <v>2d6 + 3</v>
      </c>
      <c r="Q257">
        <f>ROUND(INDEX(Catalogue!E$4:E$85,MATCH(A257,Catalogue!A$4:A$85,0))*(1+Paramètres!$B$4*(C257-1)+Paramètres!$B$5*(C257-1)^2),0)</f>
        <v>5</v>
      </c>
      <c r="R257">
        <f>ROUND(INDEX(Catalogue!F$4:F$85,MATCH(A257,Catalogue!A$4:A$85,0))*(1+Paramètres!$B$4*(C257-1)+Paramètres!$B$5*(C257-1)^2),0)</f>
        <v>15</v>
      </c>
      <c r="S257">
        <f t="shared" si="28"/>
        <v>0</v>
      </c>
      <c r="T257" t="str">
        <f t="shared" si="29"/>
        <v>OK</v>
      </c>
      <c r="U257" s="25">
        <f t="shared" si="30"/>
        <v>10</v>
      </c>
      <c r="V257" t="str">
        <f t="shared" si="31"/>
        <v>OK</v>
      </c>
    </row>
    <row r="258" spans="1:22" ht="18" customHeight="1">
      <c r="A258" t="s">
        <v>118</v>
      </c>
      <c r="B258" t="s">
        <v>119</v>
      </c>
      <c r="C258">
        <v>15</v>
      </c>
      <c r="D258" t="s">
        <v>72</v>
      </c>
      <c r="E258" s="6">
        <f t="shared" si="24"/>
        <v>6</v>
      </c>
      <c r="F258" s="6">
        <f t="shared" si="25"/>
        <v>16</v>
      </c>
      <c r="G258" s="6">
        <f>ROUND(Catalogue!G16*SQRT((1+Paramètres!$B$4*(C258-1)+Paramètres!$B$5*(C258-1)^2)),0)</f>
        <v>0</v>
      </c>
      <c r="H258" s="6">
        <f>ROUND(Catalogue!H16*SQRT((1+Paramètres!$B$4*(C258-1)+Paramètres!$B$5*(C258-1)^2)),0)</f>
        <v>0</v>
      </c>
      <c r="I258" s="6">
        <v>2</v>
      </c>
      <c r="J258" s="6">
        <v>1</v>
      </c>
      <c r="K258" s="7">
        <v>0.45</v>
      </c>
      <c r="L258" s="9">
        <f t="shared" si="26"/>
        <v>11</v>
      </c>
      <c r="M258">
        <v>2</v>
      </c>
      <c r="N258">
        <v>6</v>
      </c>
      <c r="O258">
        <v>4</v>
      </c>
      <c r="P258" s="13" t="str">
        <f t="shared" si="27"/>
        <v>2d6 + 4</v>
      </c>
      <c r="Q258">
        <f>ROUND(INDEX(Catalogue!E$4:E$85,MATCH(A258,Catalogue!A$4:A$85,0))*(1+Paramètres!$B$4*(C258-1)+Paramètres!$B$5*(C258-1)^2),0)</f>
        <v>6</v>
      </c>
      <c r="R258">
        <f>ROUND(INDEX(Catalogue!F$4:F$85,MATCH(A258,Catalogue!A$4:A$85,0))*(1+Paramètres!$B$4*(C258-1)+Paramètres!$B$5*(C258-1)^2),0)</f>
        <v>17</v>
      </c>
      <c r="S258">
        <f t="shared" si="28"/>
        <v>-0.5</v>
      </c>
      <c r="T258" t="str">
        <f t="shared" si="29"/>
        <v>OK</v>
      </c>
      <c r="U258" s="25">
        <f t="shared" si="30"/>
        <v>11</v>
      </c>
      <c r="V258" t="str">
        <f t="shared" si="31"/>
        <v>OK</v>
      </c>
    </row>
    <row r="259" spans="1:22" ht="18" customHeight="1">
      <c r="A259" t="s">
        <v>118</v>
      </c>
      <c r="B259" t="s">
        <v>119</v>
      </c>
      <c r="C259">
        <v>16</v>
      </c>
      <c r="D259" t="s">
        <v>72</v>
      </c>
      <c r="E259" s="6">
        <f t="shared" si="24"/>
        <v>5</v>
      </c>
      <c r="F259" s="6">
        <f t="shared" si="25"/>
        <v>19</v>
      </c>
      <c r="G259" s="6">
        <f>ROUND(Catalogue!G16*SQRT((1+Paramètres!$B$4*(C259-1)+Paramètres!$B$5*(C259-1)^2)),0)</f>
        <v>0</v>
      </c>
      <c r="H259" s="6">
        <f>ROUND(Catalogue!H16*SQRT((1+Paramètres!$B$4*(C259-1)+Paramètres!$B$5*(C259-1)^2)),0)</f>
        <v>0</v>
      </c>
      <c r="I259" s="6">
        <v>2</v>
      </c>
      <c r="J259" s="6">
        <v>1</v>
      </c>
      <c r="K259" s="7">
        <v>0.45</v>
      </c>
      <c r="L259" s="9">
        <f t="shared" si="26"/>
        <v>12</v>
      </c>
      <c r="M259">
        <v>2</v>
      </c>
      <c r="N259">
        <v>8</v>
      </c>
      <c r="O259">
        <v>3</v>
      </c>
      <c r="P259" s="13" t="str">
        <f t="shared" si="27"/>
        <v>2d8 + 3</v>
      </c>
      <c r="Q259">
        <f>ROUND(INDEX(Catalogue!E$4:E$85,MATCH(A259,Catalogue!A$4:A$85,0))*(1+Paramètres!$B$4*(C259-1)+Paramètres!$B$5*(C259-1)^2),0)</f>
        <v>6</v>
      </c>
      <c r="R259">
        <f>ROUND(INDEX(Catalogue!F$4:F$85,MATCH(A259,Catalogue!A$4:A$85,0))*(1+Paramètres!$B$4*(C259-1)+Paramètres!$B$5*(C259-1)^2),0)</f>
        <v>19</v>
      </c>
      <c r="S259">
        <f t="shared" si="28"/>
        <v>-0.5</v>
      </c>
      <c r="T259" t="str">
        <f t="shared" si="29"/>
        <v>OK</v>
      </c>
      <c r="U259" s="25">
        <f t="shared" si="30"/>
        <v>12</v>
      </c>
      <c r="V259" t="str">
        <f t="shared" si="31"/>
        <v>OK</v>
      </c>
    </row>
    <row r="260" spans="1:22" ht="18" customHeight="1">
      <c r="A260" t="s">
        <v>118</v>
      </c>
      <c r="B260" t="s">
        <v>119</v>
      </c>
      <c r="C260">
        <v>17</v>
      </c>
      <c r="D260" t="s">
        <v>72</v>
      </c>
      <c r="E260" s="6">
        <f t="shared" ref="E260:E323" si="32">IF(M260=0,0,M260+O260)</f>
        <v>7</v>
      </c>
      <c r="F260" s="6">
        <f t="shared" ref="F260:F323" si="33">IF(M260=0,0,M260*N260+O260)</f>
        <v>21</v>
      </c>
      <c r="G260" s="6">
        <f>ROUND(Catalogue!G16*SQRT((1+Paramètres!$B$4*(C260-1)+Paramètres!$B$5*(C260-1)^2)),0)</f>
        <v>0</v>
      </c>
      <c r="H260" s="6">
        <f>ROUND(Catalogue!H16*SQRT((1+Paramètres!$B$4*(C260-1)+Paramètres!$B$5*(C260-1)^2)),0)</f>
        <v>0</v>
      </c>
      <c r="I260" s="6">
        <v>2</v>
      </c>
      <c r="J260" s="6">
        <v>1</v>
      </c>
      <c r="K260" s="7">
        <v>0.45</v>
      </c>
      <c r="L260" s="9">
        <f t="shared" ref="L260:L323" si="34">IF(M260=0,0,(E260+F260)/2)</f>
        <v>14</v>
      </c>
      <c r="M260">
        <v>2</v>
      </c>
      <c r="N260">
        <v>8</v>
      </c>
      <c r="O260">
        <v>5</v>
      </c>
      <c r="P260" s="13" t="str">
        <f t="shared" ref="P260:P323" si="35">IF(M260=0,"—",M260&amp;"d"&amp;N260&amp;IF(O260=0,""," + "&amp;O260))</f>
        <v>2d8 + 5</v>
      </c>
      <c r="Q260">
        <f>ROUND(INDEX(Catalogue!E$4:E$85,MATCH(A260,Catalogue!A$4:A$85,0))*(1+Paramètres!$B$4*(C260-1)+Paramètres!$B$5*(C260-1)^2),0)</f>
        <v>7</v>
      </c>
      <c r="R260">
        <f>ROUND(INDEX(Catalogue!F$4:F$85,MATCH(A260,Catalogue!A$4:A$85,0))*(1+Paramètres!$B$4*(C260-1)+Paramètres!$B$5*(C260-1)^2),0)</f>
        <v>21</v>
      </c>
      <c r="S260">
        <f t="shared" ref="S260:S323" si="36">L260-AVERAGE(Q260:R260)</f>
        <v>0</v>
      </c>
      <c r="T260" t="str">
        <f t="shared" ref="T260:T323" si="37">IF(M260=0,IF(AND(N260=0,O260=0,E260=0,F260=0),"OK","ERREUR"),IF(AND(M260&gt;=1,M260&lt;=32,OR(N260=4,N260=6,N260=8,N260=10,N260=12,N260=20),O260&gt;=0,E260=M260+O260,F260=M260*N260+O260),"OK","ERREUR"))</f>
        <v>OK</v>
      </c>
      <c r="U260" s="25">
        <f t="shared" ref="U260:U323" si="38">IF(M260&gt;0,M260*(N260+1)/2+O260,0)</f>
        <v>14</v>
      </c>
      <c r="V260" t="str">
        <f t="shared" ref="V260:V323" si="39">IF(ABS(L260-U260)&lt;0.001,"OK","ERREUR")</f>
        <v>OK</v>
      </c>
    </row>
    <row r="261" spans="1:22" ht="18" customHeight="1">
      <c r="A261" t="s">
        <v>118</v>
      </c>
      <c r="B261" t="s">
        <v>119</v>
      </c>
      <c r="C261">
        <v>18</v>
      </c>
      <c r="D261" t="s">
        <v>72</v>
      </c>
      <c r="E261" s="6">
        <f t="shared" si="32"/>
        <v>7</v>
      </c>
      <c r="F261" s="6">
        <f t="shared" si="33"/>
        <v>22</v>
      </c>
      <c r="G261" s="6">
        <f>ROUND(Catalogue!G16*SQRT((1+Paramètres!$B$4*(C261-1)+Paramètres!$B$5*(C261-1)^2)),0)</f>
        <v>0</v>
      </c>
      <c r="H261" s="6">
        <f>ROUND(Catalogue!H16*SQRT((1+Paramètres!$B$4*(C261-1)+Paramètres!$B$5*(C261-1)^2)),0)</f>
        <v>0</v>
      </c>
      <c r="I261" s="6">
        <v>2</v>
      </c>
      <c r="J261" s="6">
        <v>1</v>
      </c>
      <c r="K261" s="7">
        <v>0.45</v>
      </c>
      <c r="L261" s="9">
        <f t="shared" si="34"/>
        <v>14.5</v>
      </c>
      <c r="M261">
        <v>3</v>
      </c>
      <c r="N261">
        <v>6</v>
      </c>
      <c r="O261">
        <v>4</v>
      </c>
      <c r="P261" s="13" t="str">
        <f t="shared" si="35"/>
        <v>3d6 + 4</v>
      </c>
      <c r="Q261">
        <f>ROUND(INDEX(Catalogue!E$4:E$85,MATCH(A261,Catalogue!A$4:A$85,0))*(1+Paramètres!$B$4*(C261-1)+Paramètres!$B$5*(C261-1)^2),0)</f>
        <v>7</v>
      </c>
      <c r="R261">
        <f>ROUND(INDEX(Catalogue!F$4:F$85,MATCH(A261,Catalogue!A$4:A$85,0))*(1+Paramètres!$B$4*(C261-1)+Paramètres!$B$5*(C261-1)^2),0)</f>
        <v>22</v>
      </c>
      <c r="S261">
        <f t="shared" si="36"/>
        <v>0</v>
      </c>
      <c r="T261" t="str">
        <f t="shared" si="37"/>
        <v>OK</v>
      </c>
      <c r="U261" s="25">
        <f t="shared" si="38"/>
        <v>14.5</v>
      </c>
      <c r="V261" t="str">
        <f t="shared" si="39"/>
        <v>OK</v>
      </c>
    </row>
    <row r="262" spans="1:22" ht="18" customHeight="1">
      <c r="A262" t="s">
        <v>118</v>
      </c>
      <c r="B262" t="s">
        <v>119</v>
      </c>
      <c r="C262">
        <v>19</v>
      </c>
      <c r="D262" t="s">
        <v>72</v>
      </c>
      <c r="E262" s="6">
        <f t="shared" si="32"/>
        <v>8</v>
      </c>
      <c r="F262" s="6">
        <f t="shared" si="33"/>
        <v>23</v>
      </c>
      <c r="G262" s="6">
        <f>ROUND(Catalogue!G16*SQRT((1+Paramètres!$B$4*(C262-1)+Paramètres!$B$5*(C262-1)^2)),0)</f>
        <v>0</v>
      </c>
      <c r="H262" s="6">
        <f>ROUND(Catalogue!H16*SQRT((1+Paramètres!$B$4*(C262-1)+Paramètres!$B$5*(C262-1)^2)),0)</f>
        <v>0</v>
      </c>
      <c r="I262" s="6">
        <v>2</v>
      </c>
      <c r="J262" s="6">
        <v>1</v>
      </c>
      <c r="K262" s="7">
        <v>0.45</v>
      </c>
      <c r="L262" s="9">
        <f t="shared" si="34"/>
        <v>15.5</v>
      </c>
      <c r="M262">
        <v>3</v>
      </c>
      <c r="N262">
        <v>6</v>
      </c>
      <c r="O262">
        <v>5</v>
      </c>
      <c r="P262" s="13" t="str">
        <f t="shared" si="35"/>
        <v>3d6 + 5</v>
      </c>
      <c r="Q262">
        <f>ROUND(INDEX(Catalogue!E$4:E$85,MATCH(A262,Catalogue!A$4:A$85,0))*(1+Paramètres!$B$4*(C262-1)+Paramètres!$B$5*(C262-1)^2),0)</f>
        <v>8</v>
      </c>
      <c r="R262">
        <f>ROUND(INDEX(Catalogue!F$4:F$85,MATCH(A262,Catalogue!A$4:A$85,0))*(1+Paramètres!$B$4*(C262-1)+Paramètres!$B$5*(C262-1)^2),0)</f>
        <v>24</v>
      </c>
      <c r="S262">
        <f t="shared" si="36"/>
        <v>-0.5</v>
      </c>
      <c r="T262" t="str">
        <f t="shared" si="37"/>
        <v>OK</v>
      </c>
      <c r="U262" s="25">
        <f t="shared" si="38"/>
        <v>15.5</v>
      </c>
      <c r="V262" t="str">
        <f t="shared" si="39"/>
        <v>OK</v>
      </c>
    </row>
    <row r="263" spans="1:22" ht="18" customHeight="1">
      <c r="A263" t="s">
        <v>118</v>
      </c>
      <c r="B263" t="s">
        <v>119</v>
      </c>
      <c r="C263">
        <v>20</v>
      </c>
      <c r="D263" t="s">
        <v>72</v>
      </c>
      <c r="E263" s="6">
        <f t="shared" si="32"/>
        <v>9</v>
      </c>
      <c r="F263" s="6">
        <f t="shared" si="33"/>
        <v>27</v>
      </c>
      <c r="G263" s="6">
        <f>ROUND(Catalogue!G16*SQRT((1+Paramètres!$B$4*(C263-1)+Paramètres!$B$5*(C263-1)^2)),0)</f>
        <v>0</v>
      </c>
      <c r="H263" s="6">
        <f>ROUND(Catalogue!H16*SQRT((1+Paramètres!$B$4*(C263-1)+Paramètres!$B$5*(C263-1)^2)),0)</f>
        <v>0</v>
      </c>
      <c r="I263" s="6">
        <v>2</v>
      </c>
      <c r="J263" s="6">
        <v>1</v>
      </c>
      <c r="K263" s="7">
        <v>0.45</v>
      </c>
      <c r="L263" s="9">
        <f t="shared" si="34"/>
        <v>18</v>
      </c>
      <c r="M263">
        <v>2</v>
      </c>
      <c r="N263">
        <v>10</v>
      </c>
      <c r="O263">
        <v>7</v>
      </c>
      <c r="P263" s="13" t="str">
        <f t="shared" si="35"/>
        <v>2d10 + 7</v>
      </c>
      <c r="Q263">
        <f>ROUND(INDEX(Catalogue!E$4:E$85,MATCH(A263,Catalogue!A$4:A$85,0))*(1+Paramètres!$B$4*(C263-1)+Paramètres!$B$5*(C263-1)^2),0)</f>
        <v>9</v>
      </c>
      <c r="R263">
        <f>ROUND(INDEX(Catalogue!F$4:F$85,MATCH(A263,Catalogue!A$4:A$85,0))*(1+Paramètres!$B$4*(C263-1)+Paramètres!$B$5*(C263-1)^2),0)</f>
        <v>27</v>
      </c>
      <c r="S263">
        <f t="shared" si="36"/>
        <v>0</v>
      </c>
      <c r="T263" t="str">
        <f t="shared" si="37"/>
        <v>OK</v>
      </c>
      <c r="U263" s="25">
        <f t="shared" si="38"/>
        <v>18</v>
      </c>
      <c r="V263" t="str">
        <f t="shared" si="39"/>
        <v>OK</v>
      </c>
    </row>
    <row r="264" spans="1:22" ht="18" customHeight="1">
      <c r="A264" t="s">
        <v>121</v>
      </c>
      <c r="B264" t="s">
        <v>122</v>
      </c>
      <c r="C264">
        <v>1</v>
      </c>
      <c r="D264" t="s">
        <v>123</v>
      </c>
      <c r="E264" s="6">
        <f t="shared" si="32"/>
        <v>3</v>
      </c>
      <c r="F264" s="6">
        <f t="shared" si="33"/>
        <v>6</v>
      </c>
      <c r="G264" s="6">
        <f>ROUND(Catalogue!G17*SQRT((1+Paramètres!$B$4*(C264-1)+Paramètres!$B$5*(C264-1)^2)),0)</f>
        <v>0</v>
      </c>
      <c r="H264" s="6">
        <f>ROUND(Catalogue!H17*SQRT((1+Paramètres!$B$4*(C264-1)+Paramètres!$B$5*(C264-1)^2)),0)</f>
        <v>0</v>
      </c>
      <c r="I264" s="6">
        <v>2</v>
      </c>
      <c r="J264" s="6">
        <v>1</v>
      </c>
      <c r="K264" s="7">
        <v>1.4</v>
      </c>
      <c r="L264" s="9">
        <f t="shared" si="34"/>
        <v>4.5</v>
      </c>
      <c r="M264">
        <v>1</v>
      </c>
      <c r="N264">
        <v>4</v>
      </c>
      <c r="O264">
        <v>2</v>
      </c>
      <c r="P264" s="13" t="str">
        <f t="shared" si="35"/>
        <v>1d4 + 2</v>
      </c>
      <c r="Q264">
        <f>ROUND(INDEX(Catalogue!E$4:E$85,MATCH(A264,Catalogue!A$4:A$85,0))*(1+Paramètres!$B$4*(C264-1)+Paramètres!$B$5*(C264-1)^2),0)</f>
        <v>4</v>
      </c>
      <c r="R264">
        <f>ROUND(INDEX(Catalogue!F$4:F$85,MATCH(A264,Catalogue!A$4:A$85,0))*(1+Paramètres!$B$4*(C264-1)+Paramètres!$B$5*(C264-1)^2),0)</f>
        <v>6</v>
      </c>
      <c r="S264">
        <f t="shared" si="36"/>
        <v>-0.5</v>
      </c>
      <c r="T264" t="str">
        <f t="shared" si="37"/>
        <v>OK</v>
      </c>
      <c r="U264" s="25">
        <f t="shared" si="38"/>
        <v>4.5</v>
      </c>
      <c r="V264" t="str">
        <f t="shared" si="39"/>
        <v>OK</v>
      </c>
    </row>
    <row r="265" spans="1:22" ht="18" customHeight="1">
      <c r="A265" t="s">
        <v>121</v>
      </c>
      <c r="B265" t="s">
        <v>122</v>
      </c>
      <c r="C265">
        <v>2</v>
      </c>
      <c r="D265" t="s">
        <v>123</v>
      </c>
      <c r="E265" s="6">
        <f t="shared" si="32"/>
        <v>4</v>
      </c>
      <c r="F265" s="6">
        <f t="shared" si="33"/>
        <v>7</v>
      </c>
      <c r="G265" s="6">
        <f>ROUND(Catalogue!G17*SQRT((1+Paramètres!$B$4*(C265-1)+Paramètres!$B$5*(C265-1)^2)),0)</f>
        <v>0</v>
      </c>
      <c r="H265" s="6">
        <f>ROUND(Catalogue!H17*SQRT((1+Paramètres!$B$4*(C265-1)+Paramètres!$B$5*(C265-1)^2)),0)</f>
        <v>0</v>
      </c>
      <c r="I265" s="6">
        <v>2</v>
      </c>
      <c r="J265" s="6">
        <v>1</v>
      </c>
      <c r="K265" s="7">
        <v>1.4</v>
      </c>
      <c r="L265" s="9">
        <f t="shared" si="34"/>
        <v>5.5</v>
      </c>
      <c r="M265">
        <v>1</v>
      </c>
      <c r="N265">
        <v>4</v>
      </c>
      <c r="O265">
        <v>3</v>
      </c>
      <c r="P265" s="13" t="str">
        <f t="shared" si="35"/>
        <v>1d4 + 3</v>
      </c>
      <c r="Q265">
        <f>ROUND(INDEX(Catalogue!E$4:E$85,MATCH(A265,Catalogue!A$4:A$85,0))*(1+Paramètres!$B$4*(C265-1)+Paramètres!$B$5*(C265-1)^2),0)</f>
        <v>5</v>
      </c>
      <c r="R265">
        <f>ROUND(INDEX(Catalogue!F$4:F$85,MATCH(A265,Catalogue!A$4:A$85,0))*(1+Paramètres!$B$4*(C265-1)+Paramètres!$B$5*(C265-1)^2),0)</f>
        <v>7</v>
      </c>
      <c r="S265">
        <f t="shared" si="36"/>
        <v>-0.5</v>
      </c>
      <c r="T265" t="str">
        <f t="shared" si="37"/>
        <v>OK</v>
      </c>
      <c r="U265" s="25">
        <f t="shared" si="38"/>
        <v>5.5</v>
      </c>
      <c r="V265" t="str">
        <f t="shared" si="39"/>
        <v>OK</v>
      </c>
    </row>
    <row r="266" spans="1:22" ht="18" customHeight="1">
      <c r="A266" t="s">
        <v>121</v>
      </c>
      <c r="B266" t="s">
        <v>122</v>
      </c>
      <c r="C266">
        <v>3</v>
      </c>
      <c r="D266" t="s">
        <v>123</v>
      </c>
      <c r="E266" s="6">
        <f t="shared" si="32"/>
        <v>5</v>
      </c>
      <c r="F266" s="6">
        <f t="shared" si="33"/>
        <v>8</v>
      </c>
      <c r="G266" s="6">
        <f>ROUND(Catalogue!G17*SQRT((1+Paramètres!$B$4*(C266-1)+Paramètres!$B$5*(C266-1)^2)),0)</f>
        <v>0</v>
      </c>
      <c r="H266" s="6">
        <f>ROUND(Catalogue!H17*SQRT((1+Paramètres!$B$4*(C266-1)+Paramètres!$B$5*(C266-1)^2)),0)</f>
        <v>0</v>
      </c>
      <c r="I266" s="6">
        <v>2</v>
      </c>
      <c r="J266" s="6">
        <v>1</v>
      </c>
      <c r="K266" s="7">
        <v>1.4</v>
      </c>
      <c r="L266" s="9">
        <f t="shared" si="34"/>
        <v>6.5</v>
      </c>
      <c r="M266">
        <v>1</v>
      </c>
      <c r="N266">
        <v>4</v>
      </c>
      <c r="O266">
        <v>4</v>
      </c>
      <c r="P266" s="13" t="str">
        <f t="shared" si="35"/>
        <v>1d4 + 4</v>
      </c>
      <c r="Q266">
        <f>ROUND(INDEX(Catalogue!E$4:E$85,MATCH(A266,Catalogue!A$4:A$85,0))*(1+Paramètres!$B$4*(C266-1)+Paramètres!$B$5*(C266-1)^2),0)</f>
        <v>5</v>
      </c>
      <c r="R266">
        <f>ROUND(INDEX(Catalogue!F$4:F$85,MATCH(A266,Catalogue!A$4:A$85,0))*(1+Paramètres!$B$4*(C266-1)+Paramètres!$B$5*(C266-1)^2),0)</f>
        <v>8</v>
      </c>
      <c r="S266">
        <f t="shared" si="36"/>
        <v>0</v>
      </c>
      <c r="T266" t="str">
        <f t="shared" si="37"/>
        <v>OK</v>
      </c>
      <c r="U266" s="25">
        <f t="shared" si="38"/>
        <v>6.5</v>
      </c>
      <c r="V266" t="str">
        <f t="shared" si="39"/>
        <v>OK</v>
      </c>
    </row>
    <row r="267" spans="1:22" ht="18" customHeight="1">
      <c r="A267" t="s">
        <v>121</v>
      </c>
      <c r="B267" t="s">
        <v>122</v>
      </c>
      <c r="C267">
        <v>4</v>
      </c>
      <c r="D267" t="s">
        <v>123</v>
      </c>
      <c r="E267" s="6">
        <f t="shared" si="32"/>
        <v>6</v>
      </c>
      <c r="F267" s="6">
        <f t="shared" si="33"/>
        <v>9</v>
      </c>
      <c r="G267" s="6">
        <f>ROUND(Catalogue!G17*SQRT((1+Paramètres!$B$4*(C267-1)+Paramètres!$B$5*(C267-1)^2)),0)</f>
        <v>0</v>
      </c>
      <c r="H267" s="6">
        <f>ROUND(Catalogue!H17*SQRT((1+Paramètres!$B$4*(C267-1)+Paramètres!$B$5*(C267-1)^2)),0)</f>
        <v>0</v>
      </c>
      <c r="I267" s="6">
        <v>2</v>
      </c>
      <c r="J267" s="6">
        <v>1</v>
      </c>
      <c r="K267" s="7">
        <v>1.4</v>
      </c>
      <c r="L267" s="9">
        <f t="shared" si="34"/>
        <v>7.5</v>
      </c>
      <c r="M267">
        <v>1</v>
      </c>
      <c r="N267">
        <v>4</v>
      </c>
      <c r="O267">
        <v>5</v>
      </c>
      <c r="P267" s="13" t="str">
        <f t="shared" si="35"/>
        <v>1d4 + 5</v>
      </c>
      <c r="Q267">
        <f>ROUND(INDEX(Catalogue!E$4:E$85,MATCH(A267,Catalogue!A$4:A$85,0))*(1+Paramètres!$B$4*(C267-1)+Paramètres!$B$5*(C267-1)^2),0)</f>
        <v>6</v>
      </c>
      <c r="R267">
        <f>ROUND(INDEX(Catalogue!F$4:F$85,MATCH(A267,Catalogue!A$4:A$85,0))*(1+Paramètres!$B$4*(C267-1)+Paramètres!$B$5*(C267-1)^2),0)</f>
        <v>9</v>
      </c>
      <c r="S267">
        <f t="shared" si="36"/>
        <v>0</v>
      </c>
      <c r="T267" t="str">
        <f t="shared" si="37"/>
        <v>OK</v>
      </c>
      <c r="U267" s="25">
        <f t="shared" si="38"/>
        <v>7.5</v>
      </c>
      <c r="V267" t="str">
        <f t="shared" si="39"/>
        <v>OK</v>
      </c>
    </row>
    <row r="268" spans="1:22" ht="18" customHeight="1">
      <c r="A268" t="s">
        <v>121</v>
      </c>
      <c r="B268" t="s">
        <v>122</v>
      </c>
      <c r="C268">
        <v>5</v>
      </c>
      <c r="D268" t="s">
        <v>123</v>
      </c>
      <c r="E268" s="6">
        <f t="shared" si="32"/>
        <v>7</v>
      </c>
      <c r="F268" s="6">
        <f t="shared" si="33"/>
        <v>10</v>
      </c>
      <c r="G268" s="6">
        <f>ROUND(Catalogue!G17*SQRT((1+Paramètres!$B$4*(C268-1)+Paramètres!$B$5*(C268-1)^2)),0)</f>
        <v>0</v>
      </c>
      <c r="H268" s="6">
        <f>ROUND(Catalogue!H17*SQRT((1+Paramètres!$B$4*(C268-1)+Paramètres!$B$5*(C268-1)^2)),0)</f>
        <v>0</v>
      </c>
      <c r="I268" s="6">
        <v>2</v>
      </c>
      <c r="J268" s="6">
        <v>1</v>
      </c>
      <c r="K268" s="7">
        <v>1.4</v>
      </c>
      <c r="L268" s="9">
        <f t="shared" si="34"/>
        <v>8.5</v>
      </c>
      <c r="M268">
        <v>1</v>
      </c>
      <c r="N268">
        <v>4</v>
      </c>
      <c r="O268">
        <v>6</v>
      </c>
      <c r="P268" s="13" t="str">
        <f t="shared" si="35"/>
        <v>1d4 + 6</v>
      </c>
      <c r="Q268">
        <f>ROUND(INDEX(Catalogue!E$4:E$85,MATCH(A268,Catalogue!A$4:A$85,0))*(1+Paramètres!$B$4*(C268-1)+Paramètres!$B$5*(C268-1)^2),0)</f>
        <v>7</v>
      </c>
      <c r="R268">
        <f>ROUND(INDEX(Catalogue!F$4:F$85,MATCH(A268,Catalogue!A$4:A$85,0))*(1+Paramètres!$B$4*(C268-1)+Paramètres!$B$5*(C268-1)^2),0)</f>
        <v>10</v>
      </c>
      <c r="S268">
        <f t="shared" si="36"/>
        <v>0</v>
      </c>
      <c r="T268" t="str">
        <f t="shared" si="37"/>
        <v>OK</v>
      </c>
      <c r="U268" s="25">
        <f t="shared" si="38"/>
        <v>8.5</v>
      </c>
      <c r="V268" t="str">
        <f t="shared" si="39"/>
        <v>OK</v>
      </c>
    </row>
    <row r="269" spans="1:22" ht="18" customHeight="1">
      <c r="A269" t="s">
        <v>121</v>
      </c>
      <c r="B269" t="s">
        <v>122</v>
      </c>
      <c r="C269">
        <v>6</v>
      </c>
      <c r="D269" t="s">
        <v>123</v>
      </c>
      <c r="E269" s="6">
        <f t="shared" si="32"/>
        <v>9</v>
      </c>
      <c r="F269" s="6">
        <f t="shared" si="33"/>
        <v>12</v>
      </c>
      <c r="G269" s="6">
        <f>ROUND(Catalogue!G17*SQRT((1+Paramètres!$B$4*(C269-1)+Paramètres!$B$5*(C269-1)^2)),0)</f>
        <v>0</v>
      </c>
      <c r="H269" s="6">
        <f>ROUND(Catalogue!H17*SQRT((1+Paramètres!$B$4*(C269-1)+Paramètres!$B$5*(C269-1)^2)),0)</f>
        <v>0</v>
      </c>
      <c r="I269" s="6">
        <v>2</v>
      </c>
      <c r="J269" s="6">
        <v>1</v>
      </c>
      <c r="K269" s="7">
        <v>1.4</v>
      </c>
      <c r="L269" s="9">
        <f t="shared" si="34"/>
        <v>10.5</v>
      </c>
      <c r="M269">
        <v>1</v>
      </c>
      <c r="N269">
        <v>4</v>
      </c>
      <c r="O269">
        <v>8</v>
      </c>
      <c r="P269" s="13" t="str">
        <f t="shared" si="35"/>
        <v>1d4 + 8</v>
      </c>
      <c r="Q269">
        <f>ROUND(INDEX(Catalogue!E$4:E$85,MATCH(A269,Catalogue!A$4:A$85,0))*(1+Paramètres!$B$4*(C269-1)+Paramètres!$B$5*(C269-1)^2),0)</f>
        <v>8</v>
      </c>
      <c r="R269">
        <f>ROUND(INDEX(Catalogue!F$4:F$85,MATCH(A269,Catalogue!A$4:A$85,0))*(1+Paramètres!$B$4*(C269-1)+Paramètres!$B$5*(C269-1)^2),0)</f>
        <v>12</v>
      </c>
      <c r="S269">
        <f t="shared" si="36"/>
        <v>0.5</v>
      </c>
      <c r="T269" t="str">
        <f t="shared" si="37"/>
        <v>OK</v>
      </c>
      <c r="U269" s="25">
        <f t="shared" si="38"/>
        <v>10.5</v>
      </c>
      <c r="V269" t="str">
        <f t="shared" si="39"/>
        <v>OK</v>
      </c>
    </row>
    <row r="270" spans="1:22" ht="18" customHeight="1">
      <c r="A270" t="s">
        <v>121</v>
      </c>
      <c r="B270" t="s">
        <v>122</v>
      </c>
      <c r="C270">
        <v>7</v>
      </c>
      <c r="D270" t="s">
        <v>123</v>
      </c>
      <c r="E270" s="6">
        <f t="shared" si="32"/>
        <v>9</v>
      </c>
      <c r="F270" s="6">
        <f t="shared" si="33"/>
        <v>12</v>
      </c>
      <c r="G270" s="6">
        <f>ROUND(Catalogue!G17*SQRT((1+Paramètres!$B$4*(C270-1)+Paramètres!$B$5*(C270-1)^2)),0)</f>
        <v>0</v>
      </c>
      <c r="H270" s="6">
        <f>ROUND(Catalogue!H17*SQRT((1+Paramètres!$B$4*(C270-1)+Paramètres!$B$5*(C270-1)^2)),0)</f>
        <v>0</v>
      </c>
      <c r="I270" s="6">
        <v>2</v>
      </c>
      <c r="J270" s="6">
        <v>1</v>
      </c>
      <c r="K270" s="7">
        <v>1.4</v>
      </c>
      <c r="L270" s="9">
        <f t="shared" si="34"/>
        <v>10.5</v>
      </c>
      <c r="M270">
        <v>1</v>
      </c>
      <c r="N270">
        <v>4</v>
      </c>
      <c r="O270">
        <v>8</v>
      </c>
      <c r="P270" s="13" t="str">
        <f t="shared" si="35"/>
        <v>1d4 + 8</v>
      </c>
      <c r="Q270">
        <f>ROUND(INDEX(Catalogue!E$4:E$85,MATCH(A270,Catalogue!A$4:A$85,0))*(1+Paramètres!$B$4*(C270-1)+Paramètres!$B$5*(C270-1)^2),0)</f>
        <v>9</v>
      </c>
      <c r="R270">
        <f>ROUND(INDEX(Catalogue!F$4:F$85,MATCH(A270,Catalogue!A$4:A$85,0))*(1+Paramètres!$B$4*(C270-1)+Paramètres!$B$5*(C270-1)^2),0)</f>
        <v>13</v>
      </c>
      <c r="S270">
        <f t="shared" si="36"/>
        <v>-0.5</v>
      </c>
      <c r="T270" t="str">
        <f t="shared" si="37"/>
        <v>OK</v>
      </c>
      <c r="U270" s="25">
        <f t="shared" si="38"/>
        <v>10.5</v>
      </c>
      <c r="V270" t="str">
        <f t="shared" si="39"/>
        <v>OK</v>
      </c>
    </row>
    <row r="271" spans="1:22" ht="18" customHeight="1">
      <c r="A271" t="s">
        <v>121</v>
      </c>
      <c r="B271" t="s">
        <v>122</v>
      </c>
      <c r="C271">
        <v>8</v>
      </c>
      <c r="D271" t="s">
        <v>123</v>
      </c>
      <c r="E271" s="6">
        <f t="shared" si="32"/>
        <v>10</v>
      </c>
      <c r="F271" s="6">
        <f t="shared" si="33"/>
        <v>15</v>
      </c>
      <c r="G271" s="6">
        <f>ROUND(Catalogue!G17*SQRT((1+Paramètres!$B$4*(C271-1)+Paramètres!$B$5*(C271-1)^2)),0)</f>
        <v>0</v>
      </c>
      <c r="H271" s="6">
        <f>ROUND(Catalogue!H17*SQRT((1+Paramètres!$B$4*(C271-1)+Paramètres!$B$5*(C271-1)^2)),0)</f>
        <v>0</v>
      </c>
      <c r="I271" s="6">
        <v>2</v>
      </c>
      <c r="J271" s="6">
        <v>1</v>
      </c>
      <c r="K271" s="7">
        <v>1.4</v>
      </c>
      <c r="L271" s="9">
        <f t="shared" si="34"/>
        <v>12.5</v>
      </c>
      <c r="M271">
        <v>1</v>
      </c>
      <c r="N271">
        <v>6</v>
      </c>
      <c r="O271">
        <v>9</v>
      </c>
      <c r="P271" s="13" t="str">
        <f t="shared" si="35"/>
        <v>1d6 + 9</v>
      </c>
      <c r="Q271">
        <f>ROUND(INDEX(Catalogue!E$4:E$85,MATCH(A271,Catalogue!A$4:A$85,0))*(1+Paramètres!$B$4*(C271-1)+Paramètres!$B$5*(C271-1)^2),0)</f>
        <v>10</v>
      </c>
      <c r="R271">
        <f>ROUND(INDEX(Catalogue!F$4:F$85,MATCH(A271,Catalogue!A$4:A$85,0))*(1+Paramètres!$B$4*(C271-1)+Paramètres!$B$5*(C271-1)^2),0)</f>
        <v>15</v>
      </c>
      <c r="S271">
        <f t="shared" si="36"/>
        <v>0</v>
      </c>
      <c r="T271" t="str">
        <f t="shared" si="37"/>
        <v>OK</v>
      </c>
      <c r="U271" s="25">
        <f t="shared" si="38"/>
        <v>12.5</v>
      </c>
      <c r="V271" t="str">
        <f t="shared" si="39"/>
        <v>OK</v>
      </c>
    </row>
    <row r="272" spans="1:22" ht="18" customHeight="1">
      <c r="A272" t="s">
        <v>121</v>
      </c>
      <c r="B272" t="s">
        <v>122</v>
      </c>
      <c r="C272">
        <v>9</v>
      </c>
      <c r="D272" t="s">
        <v>123</v>
      </c>
      <c r="E272" s="6">
        <f t="shared" si="32"/>
        <v>12</v>
      </c>
      <c r="F272" s="6">
        <f t="shared" si="33"/>
        <v>17</v>
      </c>
      <c r="G272" s="6">
        <f>ROUND(Catalogue!G17*SQRT((1+Paramètres!$B$4*(C272-1)+Paramètres!$B$5*(C272-1)^2)),0)</f>
        <v>0</v>
      </c>
      <c r="H272" s="6">
        <f>ROUND(Catalogue!H17*SQRT((1+Paramètres!$B$4*(C272-1)+Paramètres!$B$5*(C272-1)^2)),0)</f>
        <v>0</v>
      </c>
      <c r="I272" s="6">
        <v>2</v>
      </c>
      <c r="J272" s="6">
        <v>1</v>
      </c>
      <c r="K272" s="7">
        <v>1.4</v>
      </c>
      <c r="L272" s="9">
        <f t="shared" si="34"/>
        <v>14.5</v>
      </c>
      <c r="M272">
        <v>1</v>
      </c>
      <c r="N272">
        <v>6</v>
      </c>
      <c r="O272">
        <v>11</v>
      </c>
      <c r="P272" s="13" t="str">
        <f t="shared" si="35"/>
        <v>1d6 + 11</v>
      </c>
      <c r="Q272">
        <f>ROUND(INDEX(Catalogue!E$4:E$85,MATCH(A272,Catalogue!A$4:A$85,0))*(1+Paramètres!$B$4*(C272-1)+Paramètres!$B$5*(C272-1)^2),0)</f>
        <v>12</v>
      </c>
      <c r="R272">
        <f>ROUND(INDEX(Catalogue!F$4:F$85,MATCH(A272,Catalogue!A$4:A$85,0))*(1+Paramètres!$B$4*(C272-1)+Paramètres!$B$5*(C272-1)^2),0)</f>
        <v>17</v>
      </c>
      <c r="S272">
        <f t="shared" si="36"/>
        <v>0</v>
      </c>
      <c r="T272" t="str">
        <f t="shared" si="37"/>
        <v>OK</v>
      </c>
      <c r="U272" s="25">
        <f t="shared" si="38"/>
        <v>14.5</v>
      </c>
      <c r="V272" t="str">
        <f t="shared" si="39"/>
        <v>OK</v>
      </c>
    </row>
    <row r="273" spans="1:22" ht="18" customHeight="1">
      <c r="A273" t="s">
        <v>121</v>
      </c>
      <c r="B273" t="s">
        <v>122</v>
      </c>
      <c r="C273">
        <v>10</v>
      </c>
      <c r="D273" t="s">
        <v>123</v>
      </c>
      <c r="E273" s="6">
        <f t="shared" si="32"/>
        <v>13</v>
      </c>
      <c r="F273" s="6">
        <f t="shared" si="33"/>
        <v>20</v>
      </c>
      <c r="G273" s="6">
        <f>ROUND(Catalogue!G17*SQRT((1+Paramètres!$B$4*(C273-1)+Paramètres!$B$5*(C273-1)^2)),0)</f>
        <v>0</v>
      </c>
      <c r="H273" s="6">
        <f>ROUND(Catalogue!H17*SQRT((1+Paramètres!$B$4*(C273-1)+Paramètres!$B$5*(C273-1)^2)),0)</f>
        <v>0</v>
      </c>
      <c r="I273" s="6">
        <v>2</v>
      </c>
      <c r="J273" s="6">
        <v>1</v>
      </c>
      <c r="K273" s="7">
        <v>1.4</v>
      </c>
      <c r="L273" s="9">
        <f t="shared" si="34"/>
        <v>16.5</v>
      </c>
      <c r="M273">
        <v>1</v>
      </c>
      <c r="N273">
        <v>8</v>
      </c>
      <c r="O273">
        <v>12</v>
      </c>
      <c r="P273" s="13" t="str">
        <f t="shared" si="35"/>
        <v>1d8 + 12</v>
      </c>
      <c r="Q273">
        <f>ROUND(INDEX(Catalogue!E$4:E$85,MATCH(A273,Catalogue!A$4:A$85,0))*(1+Paramètres!$B$4*(C273-1)+Paramètres!$B$5*(C273-1)^2),0)</f>
        <v>13</v>
      </c>
      <c r="R273">
        <f>ROUND(INDEX(Catalogue!F$4:F$85,MATCH(A273,Catalogue!A$4:A$85,0))*(1+Paramètres!$B$4*(C273-1)+Paramètres!$B$5*(C273-1)^2),0)</f>
        <v>20</v>
      </c>
      <c r="S273">
        <f t="shared" si="36"/>
        <v>0</v>
      </c>
      <c r="T273" t="str">
        <f t="shared" si="37"/>
        <v>OK</v>
      </c>
      <c r="U273" s="25">
        <f t="shared" si="38"/>
        <v>16.5</v>
      </c>
      <c r="V273" t="str">
        <f t="shared" si="39"/>
        <v>OK</v>
      </c>
    </row>
    <row r="274" spans="1:22" ht="18" customHeight="1">
      <c r="A274" t="s">
        <v>121</v>
      </c>
      <c r="B274" t="s">
        <v>122</v>
      </c>
      <c r="C274">
        <v>11</v>
      </c>
      <c r="D274" t="s">
        <v>123</v>
      </c>
      <c r="E274" s="6">
        <f t="shared" si="32"/>
        <v>15</v>
      </c>
      <c r="F274" s="6">
        <f t="shared" si="33"/>
        <v>22</v>
      </c>
      <c r="G274" s="6">
        <f>ROUND(Catalogue!G17*SQRT((1+Paramètres!$B$4*(C274-1)+Paramètres!$B$5*(C274-1)^2)),0)</f>
        <v>0</v>
      </c>
      <c r="H274" s="6">
        <f>ROUND(Catalogue!H17*SQRT((1+Paramètres!$B$4*(C274-1)+Paramètres!$B$5*(C274-1)^2)),0)</f>
        <v>0</v>
      </c>
      <c r="I274" s="6">
        <v>2</v>
      </c>
      <c r="J274" s="6">
        <v>1</v>
      </c>
      <c r="K274" s="7">
        <v>1.4</v>
      </c>
      <c r="L274" s="9">
        <f t="shared" si="34"/>
        <v>18.5</v>
      </c>
      <c r="M274">
        <v>1</v>
      </c>
      <c r="N274">
        <v>8</v>
      </c>
      <c r="O274">
        <v>14</v>
      </c>
      <c r="P274" s="13" t="str">
        <f t="shared" si="35"/>
        <v>1d8 + 14</v>
      </c>
      <c r="Q274">
        <f>ROUND(INDEX(Catalogue!E$4:E$85,MATCH(A274,Catalogue!A$4:A$85,0))*(1+Paramètres!$B$4*(C274-1)+Paramètres!$B$5*(C274-1)^2),0)</f>
        <v>15</v>
      </c>
      <c r="R274">
        <f>ROUND(INDEX(Catalogue!F$4:F$85,MATCH(A274,Catalogue!A$4:A$85,0))*(1+Paramètres!$B$4*(C274-1)+Paramètres!$B$5*(C274-1)^2),0)</f>
        <v>22</v>
      </c>
      <c r="S274">
        <f t="shared" si="36"/>
        <v>0</v>
      </c>
      <c r="T274" t="str">
        <f t="shared" si="37"/>
        <v>OK</v>
      </c>
      <c r="U274" s="25">
        <f t="shared" si="38"/>
        <v>18.5</v>
      </c>
      <c r="V274" t="str">
        <f t="shared" si="39"/>
        <v>OK</v>
      </c>
    </row>
    <row r="275" spans="1:22" ht="18" customHeight="1">
      <c r="A275" t="s">
        <v>121</v>
      </c>
      <c r="B275" t="s">
        <v>122</v>
      </c>
      <c r="C275">
        <v>12</v>
      </c>
      <c r="D275" t="s">
        <v>123</v>
      </c>
      <c r="E275" s="6">
        <f t="shared" si="32"/>
        <v>16</v>
      </c>
      <c r="F275" s="6">
        <f t="shared" si="33"/>
        <v>25</v>
      </c>
      <c r="G275" s="6">
        <f>ROUND(Catalogue!G17*SQRT((1+Paramètres!$B$4*(C275-1)+Paramètres!$B$5*(C275-1)^2)),0)</f>
        <v>0</v>
      </c>
      <c r="H275" s="6">
        <f>ROUND(Catalogue!H17*SQRT((1+Paramètres!$B$4*(C275-1)+Paramètres!$B$5*(C275-1)^2)),0)</f>
        <v>0</v>
      </c>
      <c r="I275" s="6">
        <v>2</v>
      </c>
      <c r="J275" s="6">
        <v>1</v>
      </c>
      <c r="K275" s="7">
        <v>1.4</v>
      </c>
      <c r="L275" s="9">
        <f t="shared" si="34"/>
        <v>20.5</v>
      </c>
      <c r="M275">
        <v>3</v>
      </c>
      <c r="N275">
        <v>4</v>
      </c>
      <c r="O275">
        <v>13</v>
      </c>
      <c r="P275" s="13" t="str">
        <f t="shared" si="35"/>
        <v>3d4 + 13</v>
      </c>
      <c r="Q275">
        <f>ROUND(INDEX(Catalogue!E$4:E$85,MATCH(A275,Catalogue!A$4:A$85,0))*(1+Paramètres!$B$4*(C275-1)+Paramètres!$B$5*(C275-1)^2),0)</f>
        <v>17</v>
      </c>
      <c r="R275">
        <f>ROUND(INDEX(Catalogue!F$4:F$85,MATCH(A275,Catalogue!A$4:A$85,0))*(1+Paramètres!$B$4*(C275-1)+Paramètres!$B$5*(C275-1)^2),0)</f>
        <v>25</v>
      </c>
      <c r="S275">
        <f t="shared" si="36"/>
        <v>-0.5</v>
      </c>
      <c r="T275" t="str">
        <f t="shared" si="37"/>
        <v>OK</v>
      </c>
      <c r="U275" s="25">
        <f t="shared" si="38"/>
        <v>20.5</v>
      </c>
      <c r="V275" t="str">
        <f t="shared" si="39"/>
        <v>OK</v>
      </c>
    </row>
    <row r="276" spans="1:22" ht="18" customHeight="1">
      <c r="A276" t="s">
        <v>121</v>
      </c>
      <c r="B276" t="s">
        <v>122</v>
      </c>
      <c r="C276">
        <v>13</v>
      </c>
      <c r="D276" t="s">
        <v>123</v>
      </c>
      <c r="E276" s="6">
        <f t="shared" si="32"/>
        <v>18</v>
      </c>
      <c r="F276" s="6">
        <f t="shared" si="33"/>
        <v>28</v>
      </c>
      <c r="G276" s="6">
        <f>ROUND(Catalogue!G17*SQRT((1+Paramètres!$B$4*(C276-1)+Paramètres!$B$5*(C276-1)^2)),0)</f>
        <v>0</v>
      </c>
      <c r="H276" s="6">
        <f>ROUND(Catalogue!H17*SQRT((1+Paramètres!$B$4*(C276-1)+Paramètres!$B$5*(C276-1)^2)),0)</f>
        <v>0</v>
      </c>
      <c r="I276" s="6">
        <v>2</v>
      </c>
      <c r="J276" s="6">
        <v>1</v>
      </c>
      <c r="K276" s="7">
        <v>1.4</v>
      </c>
      <c r="L276" s="9">
        <f t="shared" si="34"/>
        <v>23</v>
      </c>
      <c r="M276">
        <v>2</v>
      </c>
      <c r="N276">
        <v>6</v>
      </c>
      <c r="O276">
        <v>16</v>
      </c>
      <c r="P276" s="13" t="str">
        <f t="shared" si="35"/>
        <v>2d6 + 16</v>
      </c>
      <c r="Q276">
        <f>ROUND(INDEX(Catalogue!E$4:E$85,MATCH(A276,Catalogue!A$4:A$85,0))*(1+Paramètres!$B$4*(C276-1)+Paramètres!$B$5*(C276-1)^2),0)</f>
        <v>18</v>
      </c>
      <c r="R276">
        <f>ROUND(INDEX(Catalogue!F$4:F$85,MATCH(A276,Catalogue!A$4:A$85,0))*(1+Paramètres!$B$4*(C276-1)+Paramètres!$B$5*(C276-1)^2),0)</f>
        <v>28</v>
      </c>
      <c r="S276">
        <f t="shared" si="36"/>
        <v>0</v>
      </c>
      <c r="T276" t="str">
        <f t="shared" si="37"/>
        <v>OK</v>
      </c>
      <c r="U276" s="25">
        <f t="shared" si="38"/>
        <v>23</v>
      </c>
      <c r="V276" t="str">
        <f t="shared" si="39"/>
        <v>OK</v>
      </c>
    </row>
    <row r="277" spans="1:22" ht="18" customHeight="1">
      <c r="A277" t="s">
        <v>121</v>
      </c>
      <c r="B277" t="s">
        <v>122</v>
      </c>
      <c r="C277">
        <v>14</v>
      </c>
      <c r="D277" t="s">
        <v>123</v>
      </c>
      <c r="E277" s="6">
        <f t="shared" si="32"/>
        <v>21</v>
      </c>
      <c r="F277" s="6">
        <f t="shared" si="33"/>
        <v>31</v>
      </c>
      <c r="G277" s="6">
        <f>ROUND(Catalogue!G17*SQRT((1+Paramètres!$B$4*(C277-1)+Paramètres!$B$5*(C277-1)^2)),0)</f>
        <v>0</v>
      </c>
      <c r="H277" s="6">
        <f>ROUND(Catalogue!H17*SQRT((1+Paramètres!$B$4*(C277-1)+Paramètres!$B$5*(C277-1)^2)),0)</f>
        <v>0</v>
      </c>
      <c r="I277" s="6">
        <v>2</v>
      </c>
      <c r="J277" s="6">
        <v>1</v>
      </c>
      <c r="K277" s="7">
        <v>1.4</v>
      </c>
      <c r="L277" s="9">
        <f t="shared" si="34"/>
        <v>26</v>
      </c>
      <c r="M277">
        <v>2</v>
      </c>
      <c r="N277">
        <v>6</v>
      </c>
      <c r="O277">
        <v>19</v>
      </c>
      <c r="P277" s="13" t="str">
        <f t="shared" si="35"/>
        <v>2d6 + 19</v>
      </c>
      <c r="Q277">
        <f>ROUND(INDEX(Catalogue!E$4:E$85,MATCH(A277,Catalogue!A$4:A$85,0))*(1+Paramètres!$B$4*(C277-1)+Paramètres!$B$5*(C277-1)^2),0)</f>
        <v>21</v>
      </c>
      <c r="R277">
        <f>ROUND(INDEX(Catalogue!F$4:F$85,MATCH(A277,Catalogue!A$4:A$85,0))*(1+Paramètres!$B$4*(C277-1)+Paramètres!$B$5*(C277-1)^2),0)</f>
        <v>31</v>
      </c>
      <c r="S277">
        <f t="shared" si="36"/>
        <v>0</v>
      </c>
      <c r="T277" t="str">
        <f t="shared" si="37"/>
        <v>OK</v>
      </c>
      <c r="U277" s="25">
        <f t="shared" si="38"/>
        <v>26</v>
      </c>
      <c r="V277" t="str">
        <f t="shared" si="39"/>
        <v>OK</v>
      </c>
    </row>
    <row r="278" spans="1:22" ht="18" customHeight="1">
      <c r="A278" t="s">
        <v>121</v>
      </c>
      <c r="B278" t="s">
        <v>122</v>
      </c>
      <c r="C278">
        <v>15</v>
      </c>
      <c r="D278" t="s">
        <v>123</v>
      </c>
      <c r="E278" s="6">
        <f t="shared" si="32"/>
        <v>23</v>
      </c>
      <c r="F278" s="6">
        <f t="shared" si="33"/>
        <v>34</v>
      </c>
      <c r="G278" s="6">
        <f>ROUND(Catalogue!G17*SQRT((1+Paramètres!$B$4*(C278-1)+Paramètres!$B$5*(C278-1)^2)),0)</f>
        <v>0</v>
      </c>
      <c r="H278" s="6">
        <f>ROUND(Catalogue!H17*SQRT((1+Paramètres!$B$4*(C278-1)+Paramètres!$B$5*(C278-1)^2)),0)</f>
        <v>0</v>
      </c>
      <c r="I278" s="6">
        <v>2</v>
      </c>
      <c r="J278" s="6">
        <v>1</v>
      </c>
      <c r="K278" s="7">
        <v>1.4</v>
      </c>
      <c r="L278" s="9">
        <f t="shared" si="34"/>
        <v>28.5</v>
      </c>
      <c r="M278">
        <v>1</v>
      </c>
      <c r="N278">
        <v>12</v>
      </c>
      <c r="O278">
        <v>22</v>
      </c>
      <c r="P278" s="13" t="str">
        <f t="shared" si="35"/>
        <v>1d12 + 22</v>
      </c>
      <c r="Q278">
        <f>ROUND(INDEX(Catalogue!E$4:E$85,MATCH(A278,Catalogue!A$4:A$85,0))*(1+Paramètres!$B$4*(C278-1)+Paramètres!$B$5*(C278-1)^2),0)</f>
        <v>23</v>
      </c>
      <c r="R278">
        <f>ROUND(INDEX(Catalogue!F$4:F$85,MATCH(A278,Catalogue!A$4:A$85,0))*(1+Paramètres!$B$4*(C278-1)+Paramètres!$B$5*(C278-1)^2),0)</f>
        <v>34</v>
      </c>
      <c r="S278">
        <f t="shared" si="36"/>
        <v>0</v>
      </c>
      <c r="T278" t="str">
        <f t="shared" si="37"/>
        <v>OK</v>
      </c>
      <c r="U278" s="25">
        <f t="shared" si="38"/>
        <v>28.5</v>
      </c>
      <c r="V278" t="str">
        <f t="shared" si="39"/>
        <v>OK</v>
      </c>
    </row>
    <row r="279" spans="1:22" ht="18" customHeight="1">
      <c r="A279" t="s">
        <v>121</v>
      </c>
      <c r="B279" t="s">
        <v>122</v>
      </c>
      <c r="C279">
        <v>16</v>
      </c>
      <c r="D279" t="s">
        <v>123</v>
      </c>
      <c r="E279" s="6">
        <f t="shared" si="32"/>
        <v>24</v>
      </c>
      <c r="F279" s="6">
        <f t="shared" si="33"/>
        <v>38</v>
      </c>
      <c r="G279" s="6">
        <f>ROUND(Catalogue!G17*SQRT((1+Paramètres!$B$4*(C279-1)+Paramètres!$B$5*(C279-1)^2)),0)</f>
        <v>0</v>
      </c>
      <c r="H279" s="6">
        <f>ROUND(Catalogue!H17*SQRT((1+Paramètres!$B$4*(C279-1)+Paramètres!$B$5*(C279-1)^2)),0)</f>
        <v>0</v>
      </c>
      <c r="I279" s="6">
        <v>2</v>
      </c>
      <c r="J279" s="6">
        <v>1</v>
      </c>
      <c r="K279" s="7">
        <v>1.4</v>
      </c>
      <c r="L279" s="9">
        <f t="shared" si="34"/>
        <v>31</v>
      </c>
      <c r="M279">
        <v>2</v>
      </c>
      <c r="N279">
        <v>8</v>
      </c>
      <c r="O279">
        <v>22</v>
      </c>
      <c r="P279" s="13" t="str">
        <f t="shared" si="35"/>
        <v>2d8 + 22</v>
      </c>
      <c r="Q279">
        <f>ROUND(INDEX(Catalogue!E$4:E$85,MATCH(A279,Catalogue!A$4:A$85,0))*(1+Paramètres!$B$4*(C279-1)+Paramètres!$B$5*(C279-1)^2),0)</f>
        <v>25</v>
      </c>
      <c r="R279">
        <f>ROUND(INDEX(Catalogue!F$4:F$85,MATCH(A279,Catalogue!A$4:A$85,0))*(1+Paramètres!$B$4*(C279-1)+Paramètres!$B$5*(C279-1)^2),0)</f>
        <v>38</v>
      </c>
      <c r="S279">
        <f t="shared" si="36"/>
        <v>-0.5</v>
      </c>
      <c r="T279" t="str">
        <f t="shared" si="37"/>
        <v>OK</v>
      </c>
      <c r="U279" s="25">
        <f t="shared" si="38"/>
        <v>31</v>
      </c>
      <c r="V279" t="str">
        <f t="shared" si="39"/>
        <v>OK</v>
      </c>
    </row>
    <row r="280" spans="1:22" ht="18" customHeight="1">
      <c r="A280" t="s">
        <v>121</v>
      </c>
      <c r="B280" t="s">
        <v>122</v>
      </c>
      <c r="C280">
        <v>17</v>
      </c>
      <c r="D280" t="s">
        <v>123</v>
      </c>
      <c r="E280" s="6">
        <f t="shared" si="32"/>
        <v>27</v>
      </c>
      <c r="F280" s="6">
        <f t="shared" si="33"/>
        <v>41</v>
      </c>
      <c r="G280" s="6">
        <f>ROUND(Catalogue!G17*SQRT((1+Paramètres!$B$4*(C280-1)+Paramètres!$B$5*(C280-1)^2)),0)</f>
        <v>0</v>
      </c>
      <c r="H280" s="6">
        <f>ROUND(Catalogue!H17*SQRT((1+Paramètres!$B$4*(C280-1)+Paramètres!$B$5*(C280-1)^2)),0)</f>
        <v>0</v>
      </c>
      <c r="I280" s="6">
        <v>2</v>
      </c>
      <c r="J280" s="6">
        <v>1</v>
      </c>
      <c r="K280" s="7">
        <v>1.4</v>
      </c>
      <c r="L280" s="9">
        <f t="shared" si="34"/>
        <v>34</v>
      </c>
      <c r="M280">
        <v>2</v>
      </c>
      <c r="N280">
        <v>8</v>
      </c>
      <c r="O280">
        <v>25</v>
      </c>
      <c r="P280" s="13" t="str">
        <f t="shared" si="35"/>
        <v>2d8 + 25</v>
      </c>
      <c r="Q280">
        <f>ROUND(INDEX(Catalogue!E$4:E$85,MATCH(A280,Catalogue!A$4:A$85,0))*(1+Paramètres!$B$4*(C280-1)+Paramètres!$B$5*(C280-1)^2),0)</f>
        <v>27</v>
      </c>
      <c r="R280">
        <f>ROUND(INDEX(Catalogue!F$4:F$85,MATCH(A280,Catalogue!A$4:A$85,0))*(1+Paramètres!$B$4*(C280-1)+Paramètres!$B$5*(C280-1)^2),0)</f>
        <v>41</v>
      </c>
      <c r="S280">
        <f t="shared" si="36"/>
        <v>0</v>
      </c>
      <c r="T280" t="str">
        <f t="shared" si="37"/>
        <v>OK</v>
      </c>
      <c r="U280" s="25">
        <f t="shared" si="38"/>
        <v>34</v>
      </c>
      <c r="V280" t="str">
        <f t="shared" si="39"/>
        <v>OK</v>
      </c>
    </row>
    <row r="281" spans="1:22" ht="18" customHeight="1">
      <c r="A281" t="s">
        <v>121</v>
      </c>
      <c r="B281" t="s">
        <v>122</v>
      </c>
      <c r="C281">
        <v>18</v>
      </c>
      <c r="D281" t="s">
        <v>123</v>
      </c>
      <c r="E281" s="6">
        <f t="shared" si="32"/>
        <v>30</v>
      </c>
      <c r="F281" s="6">
        <f t="shared" si="33"/>
        <v>45</v>
      </c>
      <c r="G281" s="6">
        <f>ROUND(Catalogue!G17*SQRT((1+Paramètres!$B$4*(C281-1)+Paramètres!$B$5*(C281-1)^2)),0)</f>
        <v>0</v>
      </c>
      <c r="H281" s="6">
        <f>ROUND(Catalogue!H17*SQRT((1+Paramètres!$B$4*(C281-1)+Paramètres!$B$5*(C281-1)^2)),0)</f>
        <v>0</v>
      </c>
      <c r="I281" s="6">
        <v>2</v>
      </c>
      <c r="J281" s="6">
        <v>1</v>
      </c>
      <c r="K281" s="7">
        <v>1.4</v>
      </c>
      <c r="L281" s="9">
        <f t="shared" si="34"/>
        <v>37.5</v>
      </c>
      <c r="M281">
        <v>3</v>
      </c>
      <c r="N281">
        <v>6</v>
      </c>
      <c r="O281">
        <v>27</v>
      </c>
      <c r="P281" s="13" t="str">
        <f t="shared" si="35"/>
        <v>3d6 + 27</v>
      </c>
      <c r="Q281">
        <f>ROUND(INDEX(Catalogue!E$4:E$85,MATCH(A281,Catalogue!A$4:A$85,0))*(1+Paramètres!$B$4*(C281-1)+Paramètres!$B$5*(C281-1)^2),0)</f>
        <v>30</v>
      </c>
      <c r="R281">
        <f>ROUND(INDEX(Catalogue!F$4:F$85,MATCH(A281,Catalogue!A$4:A$85,0))*(1+Paramètres!$B$4*(C281-1)+Paramètres!$B$5*(C281-1)^2),0)</f>
        <v>45</v>
      </c>
      <c r="S281">
        <f t="shared" si="36"/>
        <v>0</v>
      </c>
      <c r="T281" t="str">
        <f t="shared" si="37"/>
        <v>OK</v>
      </c>
      <c r="U281" s="25">
        <f t="shared" si="38"/>
        <v>37.5</v>
      </c>
      <c r="V281" t="str">
        <f t="shared" si="39"/>
        <v>OK</v>
      </c>
    </row>
    <row r="282" spans="1:22" ht="18" customHeight="1">
      <c r="A282" t="s">
        <v>121</v>
      </c>
      <c r="B282" t="s">
        <v>122</v>
      </c>
      <c r="C282">
        <v>19</v>
      </c>
      <c r="D282" t="s">
        <v>123</v>
      </c>
      <c r="E282" s="6">
        <f t="shared" si="32"/>
        <v>33</v>
      </c>
      <c r="F282" s="6">
        <f t="shared" si="33"/>
        <v>48</v>
      </c>
      <c r="G282" s="6">
        <f>ROUND(Catalogue!G17*SQRT((1+Paramètres!$B$4*(C282-1)+Paramètres!$B$5*(C282-1)^2)),0)</f>
        <v>0</v>
      </c>
      <c r="H282" s="6">
        <f>ROUND(Catalogue!H17*SQRT((1+Paramètres!$B$4*(C282-1)+Paramètres!$B$5*(C282-1)^2)),0)</f>
        <v>0</v>
      </c>
      <c r="I282" s="6">
        <v>2</v>
      </c>
      <c r="J282" s="6">
        <v>1</v>
      </c>
      <c r="K282" s="7">
        <v>1.4</v>
      </c>
      <c r="L282" s="9">
        <f t="shared" si="34"/>
        <v>40.5</v>
      </c>
      <c r="M282">
        <v>3</v>
      </c>
      <c r="N282">
        <v>6</v>
      </c>
      <c r="O282">
        <v>30</v>
      </c>
      <c r="P282" s="13" t="str">
        <f t="shared" si="35"/>
        <v>3d6 + 30</v>
      </c>
      <c r="Q282">
        <f>ROUND(INDEX(Catalogue!E$4:E$85,MATCH(A282,Catalogue!A$4:A$85,0))*(1+Paramètres!$B$4*(C282-1)+Paramètres!$B$5*(C282-1)^2),0)</f>
        <v>33</v>
      </c>
      <c r="R282">
        <f>ROUND(INDEX(Catalogue!F$4:F$85,MATCH(A282,Catalogue!A$4:A$85,0))*(1+Paramètres!$B$4*(C282-1)+Paramètres!$B$5*(C282-1)^2),0)</f>
        <v>49</v>
      </c>
      <c r="S282">
        <f t="shared" si="36"/>
        <v>-0.5</v>
      </c>
      <c r="T282" t="str">
        <f t="shared" si="37"/>
        <v>OK</v>
      </c>
      <c r="U282" s="25">
        <f t="shared" si="38"/>
        <v>40.5</v>
      </c>
      <c r="V282" t="str">
        <f t="shared" si="39"/>
        <v>OK</v>
      </c>
    </row>
    <row r="283" spans="1:22" ht="18" customHeight="1">
      <c r="A283" t="s">
        <v>121</v>
      </c>
      <c r="B283" t="s">
        <v>122</v>
      </c>
      <c r="C283">
        <v>20</v>
      </c>
      <c r="D283" t="s">
        <v>123</v>
      </c>
      <c r="E283" s="6">
        <f t="shared" si="32"/>
        <v>35</v>
      </c>
      <c r="F283" s="6">
        <f t="shared" si="33"/>
        <v>53</v>
      </c>
      <c r="G283" s="6">
        <f>ROUND(Catalogue!G17*SQRT((1+Paramètres!$B$4*(C283-1)+Paramètres!$B$5*(C283-1)^2)),0)</f>
        <v>0</v>
      </c>
      <c r="H283" s="6">
        <f>ROUND(Catalogue!H17*SQRT((1+Paramètres!$B$4*(C283-1)+Paramètres!$B$5*(C283-1)^2)),0)</f>
        <v>0</v>
      </c>
      <c r="I283" s="6">
        <v>2</v>
      </c>
      <c r="J283" s="6">
        <v>1</v>
      </c>
      <c r="K283" s="7">
        <v>1.4</v>
      </c>
      <c r="L283" s="9">
        <f t="shared" si="34"/>
        <v>44</v>
      </c>
      <c r="M283">
        <v>2</v>
      </c>
      <c r="N283">
        <v>10</v>
      </c>
      <c r="O283">
        <v>33</v>
      </c>
      <c r="P283" s="13" t="str">
        <f t="shared" si="35"/>
        <v>2d10 + 33</v>
      </c>
      <c r="Q283">
        <f>ROUND(INDEX(Catalogue!E$4:E$85,MATCH(A283,Catalogue!A$4:A$85,0))*(1+Paramètres!$B$4*(C283-1)+Paramètres!$B$5*(C283-1)^2),0)</f>
        <v>35</v>
      </c>
      <c r="R283">
        <f>ROUND(INDEX(Catalogue!F$4:F$85,MATCH(A283,Catalogue!A$4:A$85,0))*(1+Paramètres!$B$4*(C283-1)+Paramètres!$B$5*(C283-1)^2),0)</f>
        <v>53</v>
      </c>
      <c r="S283">
        <f t="shared" si="36"/>
        <v>0</v>
      </c>
      <c r="T283" t="str">
        <f t="shared" si="37"/>
        <v>OK</v>
      </c>
      <c r="U283" s="25">
        <f t="shared" si="38"/>
        <v>44</v>
      </c>
      <c r="V283" t="str">
        <f t="shared" si="39"/>
        <v>OK</v>
      </c>
    </row>
    <row r="284" spans="1:22" ht="18" customHeight="1">
      <c r="A284" t="s">
        <v>130</v>
      </c>
      <c r="B284" t="s">
        <v>131</v>
      </c>
      <c r="C284">
        <v>1</v>
      </c>
      <c r="D284" t="s">
        <v>123</v>
      </c>
      <c r="E284" s="6">
        <f t="shared" si="32"/>
        <v>4</v>
      </c>
      <c r="F284" s="6">
        <f t="shared" si="33"/>
        <v>7</v>
      </c>
      <c r="G284" s="6">
        <f>ROUND(Catalogue!G18*SQRT((1+Paramètres!$B$4*(C284-1)+Paramètres!$B$5*(C284-1)^2)),0)</f>
        <v>0</v>
      </c>
      <c r="H284" s="6">
        <f>ROUND(Catalogue!H18*SQRT((1+Paramètres!$B$4*(C284-1)+Paramètres!$B$5*(C284-1)^2)),0)</f>
        <v>0</v>
      </c>
      <c r="I284" s="6">
        <v>2</v>
      </c>
      <c r="J284" s="6">
        <v>1</v>
      </c>
      <c r="K284" s="7">
        <v>1.7</v>
      </c>
      <c r="L284" s="9">
        <f t="shared" si="34"/>
        <v>5.5</v>
      </c>
      <c r="M284">
        <v>1</v>
      </c>
      <c r="N284">
        <v>4</v>
      </c>
      <c r="O284">
        <v>3</v>
      </c>
      <c r="P284" s="13" t="str">
        <f t="shared" si="35"/>
        <v>1d4 + 3</v>
      </c>
      <c r="Q284">
        <f>ROUND(INDEX(Catalogue!E$4:E$85,MATCH(A284,Catalogue!A$4:A$85,0))*(1+Paramètres!$B$4*(C284-1)+Paramètres!$B$5*(C284-1)^2),0)</f>
        <v>4</v>
      </c>
      <c r="R284">
        <f>ROUND(INDEX(Catalogue!F$4:F$85,MATCH(A284,Catalogue!A$4:A$85,0))*(1+Paramètres!$B$4*(C284-1)+Paramètres!$B$5*(C284-1)^2),0)</f>
        <v>7</v>
      </c>
      <c r="S284">
        <f t="shared" si="36"/>
        <v>0</v>
      </c>
      <c r="T284" t="str">
        <f t="shared" si="37"/>
        <v>OK</v>
      </c>
      <c r="U284" s="25">
        <f t="shared" si="38"/>
        <v>5.5</v>
      </c>
      <c r="V284" t="str">
        <f t="shared" si="39"/>
        <v>OK</v>
      </c>
    </row>
    <row r="285" spans="1:22" ht="18" customHeight="1">
      <c r="A285" t="s">
        <v>130</v>
      </c>
      <c r="B285" t="s">
        <v>131</v>
      </c>
      <c r="C285">
        <v>2</v>
      </c>
      <c r="D285" t="s">
        <v>123</v>
      </c>
      <c r="E285" s="6">
        <f t="shared" si="32"/>
        <v>5</v>
      </c>
      <c r="F285" s="6">
        <f t="shared" si="33"/>
        <v>8</v>
      </c>
      <c r="G285" s="6">
        <f>ROUND(Catalogue!G18*SQRT((1+Paramètres!$B$4*(C285-1)+Paramètres!$B$5*(C285-1)^2)),0)</f>
        <v>0</v>
      </c>
      <c r="H285" s="6">
        <f>ROUND(Catalogue!H18*SQRT((1+Paramètres!$B$4*(C285-1)+Paramètres!$B$5*(C285-1)^2)),0)</f>
        <v>0</v>
      </c>
      <c r="I285" s="6">
        <v>2</v>
      </c>
      <c r="J285" s="6">
        <v>1</v>
      </c>
      <c r="K285" s="7">
        <v>1.7</v>
      </c>
      <c r="L285" s="9">
        <f t="shared" si="34"/>
        <v>6.5</v>
      </c>
      <c r="M285">
        <v>1</v>
      </c>
      <c r="N285">
        <v>4</v>
      </c>
      <c r="O285">
        <v>4</v>
      </c>
      <c r="P285" s="13" t="str">
        <f t="shared" si="35"/>
        <v>1d4 + 4</v>
      </c>
      <c r="Q285">
        <f>ROUND(INDEX(Catalogue!E$4:E$85,MATCH(A285,Catalogue!A$4:A$85,0))*(1+Paramètres!$B$4*(C285-1)+Paramètres!$B$5*(C285-1)^2),0)</f>
        <v>5</v>
      </c>
      <c r="R285">
        <f>ROUND(INDEX(Catalogue!F$4:F$85,MATCH(A285,Catalogue!A$4:A$85,0))*(1+Paramètres!$B$4*(C285-1)+Paramètres!$B$5*(C285-1)^2),0)</f>
        <v>8</v>
      </c>
      <c r="S285">
        <f t="shared" si="36"/>
        <v>0</v>
      </c>
      <c r="T285" t="str">
        <f t="shared" si="37"/>
        <v>OK</v>
      </c>
      <c r="U285" s="25">
        <f t="shared" si="38"/>
        <v>6.5</v>
      </c>
      <c r="V285" t="str">
        <f t="shared" si="39"/>
        <v>OK</v>
      </c>
    </row>
    <row r="286" spans="1:22" ht="18" customHeight="1">
      <c r="A286" t="s">
        <v>130</v>
      </c>
      <c r="B286" t="s">
        <v>131</v>
      </c>
      <c r="C286">
        <v>3</v>
      </c>
      <c r="D286" t="s">
        <v>123</v>
      </c>
      <c r="E286" s="6">
        <f t="shared" si="32"/>
        <v>5</v>
      </c>
      <c r="F286" s="6">
        <f t="shared" si="33"/>
        <v>8</v>
      </c>
      <c r="G286" s="6">
        <f>ROUND(Catalogue!G18*SQRT((1+Paramètres!$B$4*(C286-1)+Paramètres!$B$5*(C286-1)^2)),0)</f>
        <v>0</v>
      </c>
      <c r="H286" s="6">
        <f>ROUND(Catalogue!H18*SQRT((1+Paramètres!$B$4*(C286-1)+Paramètres!$B$5*(C286-1)^2)),0)</f>
        <v>0</v>
      </c>
      <c r="I286" s="6">
        <v>2</v>
      </c>
      <c r="J286" s="6">
        <v>1</v>
      </c>
      <c r="K286" s="7">
        <v>1.7</v>
      </c>
      <c r="L286" s="9">
        <f t="shared" si="34"/>
        <v>6.5</v>
      </c>
      <c r="M286">
        <v>1</v>
      </c>
      <c r="N286">
        <v>4</v>
      </c>
      <c r="O286">
        <v>4</v>
      </c>
      <c r="P286" s="13" t="str">
        <f t="shared" si="35"/>
        <v>1d4 + 4</v>
      </c>
      <c r="Q286">
        <f>ROUND(INDEX(Catalogue!E$4:E$85,MATCH(A286,Catalogue!A$4:A$85,0))*(1+Paramètres!$B$4*(C286-1)+Paramètres!$B$5*(C286-1)^2),0)</f>
        <v>5</v>
      </c>
      <c r="R286">
        <f>ROUND(INDEX(Catalogue!F$4:F$85,MATCH(A286,Catalogue!A$4:A$85,0))*(1+Paramètres!$B$4*(C286-1)+Paramètres!$B$5*(C286-1)^2),0)</f>
        <v>9</v>
      </c>
      <c r="S286">
        <f t="shared" si="36"/>
        <v>-0.5</v>
      </c>
      <c r="T286" t="str">
        <f t="shared" si="37"/>
        <v>OK</v>
      </c>
      <c r="U286" s="25">
        <f t="shared" si="38"/>
        <v>6.5</v>
      </c>
      <c r="V286" t="str">
        <f t="shared" si="39"/>
        <v>OK</v>
      </c>
    </row>
    <row r="287" spans="1:22" ht="18" customHeight="1">
      <c r="A287" t="s">
        <v>130</v>
      </c>
      <c r="B287" t="s">
        <v>131</v>
      </c>
      <c r="C287">
        <v>4</v>
      </c>
      <c r="D287" t="s">
        <v>123</v>
      </c>
      <c r="E287" s="6">
        <f t="shared" si="32"/>
        <v>6</v>
      </c>
      <c r="F287" s="6">
        <f t="shared" si="33"/>
        <v>9</v>
      </c>
      <c r="G287" s="6">
        <f>ROUND(Catalogue!G18*SQRT((1+Paramètres!$B$4*(C287-1)+Paramètres!$B$5*(C287-1)^2)),0)</f>
        <v>0</v>
      </c>
      <c r="H287" s="6">
        <f>ROUND(Catalogue!H18*SQRT((1+Paramètres!$B$4*(C287-1)+Paramètres!$B$5*(C287-1)^2)),0)</f>
        <v>0</v>
      </c>
      <c r="I287" s="6">
        <v>2</v>
      </c>
      <c r="J287" s="6">
        <v>1</v>
      </c>
      <c r="K287" s="7">
        <v>1.7</v>
      </c>
      <c r="L287" s="9">
        <f t="shared" si="34"/>
        <v>7.5</v>
      </c>
      <c r="M287">
        <v>1</v>
      </c>
      <c r="N287">
        <v>4</v>
      </c>
      <c r="O287">
        <v>5</v>
      </c>
      <c r="P287" s="13" t="str">
        <f t="shared" si="35"/>
        <v>1d4 + 5</v>
      </c>
      <c r="Q287">
        <f>ROUND(INDEX(Catalogue!E$4:E$85,MATCH(A287,Catalogue!A$4:A$85,0))*(1+Paramètres!$B$4*(C287-1)+Paramètres!$B$5*(C287-1)^2),0)</f>
        <v>6</v>
      </c>
      <c r="R287">
        <f>ROUND(INDEX(Catalogue!F$4:F$85,MATCH(A287,Catalogue!A$4:A$85,0))*(1+Paramètres!$B$4*(C287-1)+Paramètres!$B$5*(C287-1)^2),0)</f>
        <v>10</v>
      </c>
      <c r="S287">
        <f t="shared" si="36"/>
        <v>-0.5</v>
      </c>
      <c r="T287" t="str">
        <f t="shared" si="37"/>
        <v>OK</v>
      </c>
      <c r="U287" s="25">
        <f t="shared" si="38"/>
        <v>7.5</v>
      </c>
      <c r="V287" t="str">
        <f t="shared" si="39"/>
        <v>OK</v>
      </c>
    </row>
    <row r="288" spans="1:22" ht="18" customHeight="1">
      <c r="A288" t="s">
        <v>130</v>
      </c>
      <c r="B288" t="s">
        <v>131</v>
      </c>
      <c r="C288">
        <v>5</v>
      </c>
      <c r="D288" t="s">
        <v>123</v>
      </c>
      <c r="E288" s="6">
        <f t="shared" si="32"/>
        <v>7</v>
      </c>
      <c r="F288" s="6">
        <f t="shared" si="33"/>
        <v>12</v>
      </c>
      <c r="G288" s="6">
        <f>ROUND(Catalogue!G18*SQRT((1+Paramètres!$B$4*(C288-1)+Paramètres!$B$5*(C288-1)^2)),0)</f>
        <v>0</v>
      </c>
      <c r="H288" s="6">
        <f>ROUND(Catalogue!H18*SQRT((1+Paramètres!$B$4*(C288-1)+Paramètres!$B$5*(C288-1)^2)),0)</f>
        <v>0</v>
      </c>
      <c r="I288" s="6">
        <v>2</v>
      </c>
      <c r="J288" s="6">
        <v>1</v>
      </c>
      <c r="K288" s="7">
        <v>1.7</v>
      </c>
      <c r="L288" s="9">
        <f t="shared" si="34"/>
        <v>9.5</v>
      </c>
      <c r="M288">
        <v>1</v>
      </c>
      <c r="N288">
        <v>6</v>
      </c>
      <c r="O288">
        <v>6</v>
      </c>
      <c r="P288" s="13" t="str">
        <f t="shared" si="35"/>
        <v>1d6 + 6</v>
      </c>
      <c r="Q288">
        <f>ROUND(INDEX(Catalogue!E$4:E$85,MATCH(A288,Catalogue!A$4:A$85,0))*(1+Paramètres!$B$4*(C288-1)+Paramètres!$B$5*(C288-1)^2),0)</f>
        <v>7</v>
      </c>
      <c r="R288">
        <f>ROUND(INDEX(Catalogue!F$4:F$85,MATCH(A288,Catalogue!A$4:A$85,0))*(1+Paramètres!$B$4*(C288-1)+Paramètres!$B$5*(C288-1)^2),0)</f>
        <v>12</v>
      </c>
      <c r="S288">
        <f t="shared" si="36"/>
        <v>0</v>
      </c>
      <c r="T288" t="str">
        <f t="shared" si="37"/>
        <v>OK</v>
      </c>
      <c r="U288" s="25">
        <f t="shared" si="38"/>
        <v>9.5</v>
      </c>
      <c r="V288" t="str">
        <f t="shared" si="39"/>
        <v>OK</v>
      </c>
    </row>
    <row r="289" spans="1:22" ht="18" customHeight="1">
      <c r="A289" t="s">
        <v>130</v>
      </c>
      <c r="B289" t="s">
        <v>131</v>
      </c>
      <c r="C289">
        <v>6</v>
      </c>
      <c r="D289" t="s">
        <v>123</v>
      </c>
      <c r="E289" s="6">
        <f t="shared" si="32"/>
        <v>8</v>
      </c>
      <c r="F289" s="6">
        <f t="shared" si="33"/>
        <v>14</v>
      </c>
      <c r="G289" s="6">
        <f>ROUND(Catalogue!G18*SQRT((1+Paramètres!$B$4*(C289-1)+Paramètres!$B$5*(C289-1)^2)),0)</f>
        <v>0</v>
      </c>
      <c r="H289" s="6">
        <f>ROUND(Catalogue!H18*SQRT((1+Paramètres!$B$4*(C289-1)+Paramètres!$B$5*(C289-1)^2)),0)</f>
        <v>0</v>
      </c>
      <c r="I289" s="6">
        <v>2</v>
      </c>
      <c r="J289" s="6">
        <v>1</v>
      </c>
      <c r="K289" s="7">
        <v>1.7</v>
      </c>
      <c r="L289" s="9">
        <f t="shared" si="34"/>
        <v>11</v>
      </c>
      <c r="M289">
        <v>2</v>
      </c>
      <c r="N289">
        <v>4</v>
      </c>
      <c r="O289">
        <v>6</v>
      </c>
      <c r="P289" s="13" t="str">
        <f t="shared" si="35"/>
        <v>2d4 + 6</v>
      </c>
      <c r="Q289">
        <f>ROUND(INDEX(Catalogue!E$4:E$85,MATCH(A289,Catalogue!A$4:A$85,0))*(1+Paramètres!$B$4*(C289-1)+Paramètres!$B$5*(C289-1)^2),0)</f>
        <v>8</v>
      </c>
      <c r="R289">
        <f>ROUND(INDEX(Catalogue!F$4:F$85,MATCH(A289,Catalogue!A$4:A$85,0))*(1+Paramètres!$B$4*(C289-1)+Paramètres!$B$5*(C289-1)^2),0)</f>
        <v>14</v>
      </c>
      <c r="S289">
        <f t="shared" si="36"/>
        <v>0</v>
      </c>
      <c r="T289" t="str">
        <f t="shared" si="37"/>
        <v>OK</v>
      </c>
      <c r="U289" s="25">
        <f t="shared" si="38"/>
        <v>11</v>
      </c>
      <c r="V289" t="str">
        <f t="shared" si="39"/>
        <v>OK</v>
      </c>
    </row>
    <row r="290" spans="1:22" ht="18" customHeight="1">
      <c r="A290" t="s">
        <v>130</v>
      </c>
      <c r="B290" t="s">
        <v>131</v>
      </c>
      <c r="C290">
        <v>7</v>
      </c>
      <c r="D290" t="s">
        <v>123</v>
      </c>
      <c r="E290" s="6">
        <f t="shared" si="32"/>
        <v>9</v>
      </c>
      <c r="F290" s="6">
        <f t="shared" si="33"/>
        <v>16</v>
      </c>
      <c r="G290" s="6">
        <f>ROUND(Catalogue!G18*SQRT((1+Paramètres!$B$4*(C290-1)+Paramètres!$B$5*(C290-1)^2)),0)</f>
        <v>0</v>
      </c>
      <c r="H290" s="6">
        <f>ROUND(Catalogue!H18*SQRT((1+Paramètres!$B$4*(C290-1)+Paramètres!$B$5*(C290-1)^2)),0)</f>
        <v>0</v>
      </c>
      <c r="I290" s="6">
        <v>2</v>
      </c>
      <c r="J290" s="6">
        <v>1</v>
      </c>
      <c r="K290" s="7">
        <v>1.7</v>
      </c>
      <c r="L290" s="9">
        <f t="shared" si="34"/>
        <v>12.5</v>
      </c>
      <c r="M290">
        <v>1</v>
      </c>
      <c r="N290">
        <v>8</v>
      </c>
      <c r="O290">
        <v>8</v>
      </c>
      <c r="P290" s="13" t="str">
        <f t="shared" si="35"/>
        <v>1d8 + 8</v>
      </c>
      <c r="Q290">
        <f>ROUND(INDEX(Catalogue!E$4:E$85,MATCH(A290,Catalogue!A$4:A$85,0))*(1+Paramètres!$B$4*(C290-1)+Paramètres!$B$5*(C290-1)^2),0)</f>
        <v>9</v>
      </c>
      <c r="R290">
        <f>ROUND(INDEX(Catalogue!F$4:F$85,MATCH(A290,Catalogue!A$4:A$85,0))*(1+Paramètres!$B$4*(C290-1)+Paramètres!$B$5*(C290-1)^2),0)</f>
        <v>16</v>
      </c>
      <c r="S290">
        <f t="shared" si="36"/>
        <v>0</v>
      </c>
      <c r="T290" t="str">
        <f t="shared" si="37"/>
        <v>OK</v>
      </c>
      <c r="U290" s="25">
        <f t="shared" si="38"/>
        <v>12.5</v>
      </c>
      <c r="V290" t="str">
        <f t="shared" si="39"/>
        <v>OK</v>
      </c>
    </row>
    <row r="291" spans="1:22" ht="18" customHeight="1">
      <c r="A291" t="s">
        <v>130</v>
      </c>
      <c r="B291" t="s">
        <v>131</v>
      </c>
      <c r="C291">
        <v>8</v>
      </c>
      <c r="D291" t="s">
        <v>123</v>
      </c>
      <c r="E291" s="6">
        <f t="shared" si="32"/>
        <v>9</v>
      </c>
      <c r="F291" s="6">
        <f t="shared" si="33"/>
        <v>18</v>
      </c>
      <c r="G291" s="6">
        <f>ROUND(Catalogue!G18*SQRT((1+Paramètres!$B$4*(C291-1)+Paramètres!$B$5*(C291-1)^2)),0)</f>
        <v>0</v>
      </c>
      <c r="H291" s="6">
        <f>ROUND(Catalogue!H18*SQRT((1+Paramètres!$B$4*(C291-1)+Paramètres!$B$5*(C291-1)^2)),0)</f>
        <v>0</v>
      </c>
      <c r="I291" s="6">
        <v>2</v>
      </c>
      <c r="J291" s="6">
        <v>1</v>
      </c>
      <c r="K291" s="7">
        <v>1.7</v>
      </c>
      <c r="L291" s="9">
        <f t="shared" si="34"/>
        <v>13.5</v>
      </c>
      <c r="M291">
        <v>3</v>
      </c>
      <c r="N291">
        <v>4</v>
      </c>
      <c r="O291">
        <v>6</v>
      </c>
      <c r="P291" s="13" t="str">
        <f t="shared" si="35"/>
        <v>3d4 + 6</v>
      </c>
      <c r="Q291">
        <f>ROUND(INDEX(Catalogue!E$4:E$85,MATCH(A291,Catalogue!A$4:A$85,0))*(1+Paramètres!$B$4*(C291-1)+Paramètres!$B$5*(C291-1)^2),0)</f>
        <v>10</v>
      </c>
      <c r="R291">
        <f>ROUND(INDEX(Catalogue!F$4:F$85,MATCH(A291,Catalogue!A$4:A$85,0))*(1+Paramètres!$B$4*(C291-1)+Paramètres!$B$5*(C291-1)^2),0)</f>
        <v>18</v>
      </c>
      <c r="S291">
        <f t="shared" si="36"/>
        <v>-0.5</v>
      </c>
      <c r="T291" t="str">
        <f t="shared" si="37"/>
        <v>OK</v>
      </c>
      <c r="U291" s="25">
        <f t="shared" si="38"/>
        <v>13.5</v>
      </c>
      <c r="V291" t="str">
        <f t="shared" si="39"/>
        <v>OK</v>
      </c>
    </row>
    <row r="292" spans="1:22" ht="18" customHeight="1">
      <c r="A292" t="s">
        <v>130</v>
      </c>
      <c r="B292" t="s">
        <v>131</v>
      </c>
      <c r="C292">
        <v>9</v>
      </c>
      <c r="D292" t="s">
        <v>123</v>
      </c>
      <c r="E292" s="6">
        <f t="shared" si="32"/>
        <v>11</v>
      </c>
      <c r="F292" s="6">
        <f t="shared" si="33"/>
        <v>20</v>
      </c>
      <c r="G292" s="6">
        <f>ROUND(Catalogue!G18*SQRT((1+Paramètres!$B$4*(C292-1)+Paramètres!$B$5*(C292-1)^2)),0)</f>
        <v>0</v>
      </c>
      <c r="H292" s="6">
        <f>ROUND(Catalogue!H18*SQRT((1+Paramètres!$B$4*(C292-1)+Paramètres!$B$5*(C292-1)^2)),0)</f>
        <v>0</v>
      </c>
      <c r="I292" s="6">
        <v>2</v>
      </c>
      <c r="J292" s="6">
        <v>1</v>
      </c>
      <c r="K292" s="7">
        <v>1.7</v>
      </c>
      <c r="L292" s="9">
        <f t="shared" si="34"/>
        <v>15.5</v>
      </c>
      <c r="M292">
        <v>3</v>
      </c>
      <c r="N292">
        <v>4</v>
      </c>
      <c r="O292">
        <v>8</v>
      </c>
      <c r="P292" s="13" t="str">
        <f t="shared" si="35"/>
        <v>3d4 + 8</v>
      </c>
      <c r="Q292">
        <f>ROUND(INDEX(Catalogue!E$4:E$85,MATCH(A292,Catalogue!A$4:A$85,0))*(1+Paramètres!$B$4*(C292-1)+Paramètres!$B$5*(C292-1)^2),0)</f>
        <v>12</v>
      </c>
      <c r="R292">
        <f>ROUND(INDEX(Catalogue!F$4:F$85,MATCH(A292,Catalogue!A$4:A$85,0))*(1+Paramètres!$B$4*(C292-1)+Paramètres!$B$5*(C292-1)^2),0)</f>
        <v>20</v>
      </c>
      <c r="S292">
        <f t="shared" si="36"/>
        <v>-0.5</v>
      </c>
      <c r="T292" t="str">
        <f t="shared" si="37"/>
        <v>OK</v>
      </c>
      <c r="U292" s="25">
        <f t="shared" si="38"/>
        <v>15.5</v>
      </c>
      <c r="V292" t="str">
        <f t="shared" si="39"/>
        <v>OK</v>
      </c>
    </row>
    <row r="293" spans="1:22" ht="18" customHeight="1">
      <c r="A293" t="s">
        <v>130</v>
      </c>
      <c r="B293" t="s">
        <v>131</v>
      </c>
      <c r="C293">
        <v>10</v>
      </c>
      <c r="D293" t="s">
        <v>123</v>
      </c>
      <c r="E293" s="6">
        <f t="shared" si="32"/>
        <v>13</v>
      </c>
      <c r="F293" s="6">
        <f t="shared" si="33"/>
        <v>23</v>
      </c>
      <c r="G293" s="6">
        <f>ROUND(Catalogue!G18*SQRT((1+Paramètres!$B$4*(C293-1)+Paramètres!$B$5*(C293-1)^2)),0)</f>
        <v>0</v>
      </c>
      <c r="H293" s="6">
        <f>ROUND(Catalogue!H18*SQRT((1+Paramètres!$B$4*(C293-1)+Paramètres!$B$5*(C293-1)^2)),0)</f>
        <v>0</v>
      </c>
      <c r="I293" s="6">
        <v>2</v>
      </c>
      <c r="J293" s="6">
        <v>1</v>
      </c>
      <c r="K293" s="7">
        <v>1.7</v>
      </c>
      <c r="L293" s="9">
        <f t="shared" si="34"/>
        <v>18</v>
      </c>
      <c r="M293">
        <v>2</v>
      </c>
      <c r="N293">
        <v>6</v>
      </c>
      <c r="O293">
        <v>11</v>
      </c>
      <c r="P293" s="13" t="str">
        <f t="shared" si="35"/>
        <v>2d6 + 11</v>
      </c>
      <c r="Q293">
        <f>ROUND(INDEX(Catalogue!E$4:E$85,MATCH(A293,Catalogue!A$4:A$85,0))*(1+Paramètres!$B$4*(C293-1)+Paramètres!$B$5*(C293-1)^2),0)</f>
        <v>13</v>
      </c>
      <c r="R293">
        <f>ROUND(INDEX(Catalogue!F$4:F$85,MATCH(A293,Catalogue!A$4:A$85,0))*(1+Paramètres!$B$4*(C293-1)+Paramètres!$B$5*(C293-1)^2),0)</f>
        <v>23</v>
      </c>
      <c r="S293">
        <f t="shared" si="36"/>
        <v>0</v>
      </c>
      <c r="T293" t="str">
        <f t="shared" si="37"/>
        <v>OK</v>
      </c>
      <c r="U293" s="25">
        <f t="shared" si="38"/>
        <v>18</v>
      </c>
      <c r="V293" t="str">
        <f t="shared" si="39"/>
        <v>OK</v>
      </c>
    </row>
    <row r="294" spans="1:22" ht="18" customHeight="1">
      <c r="A294" t="s">
        <v>130</v>
      </c>
      <c r="B294" t="s">
        <v>131</v>
      </c>
      <c r="C294">
        <v>11</v>
      </c>
      <c r="D294" t="s">
        <v>123</v>
      </c>
      <c r="E294" s="6">
        <f t="shared" si="32"/>
        <v>15</v>
      </c>
      <c r="F294" s="6">
        <f t="shared" si="33"/>
        <v>26</v>
      </c>
      <c r="G294" s="6">
        <f>ROUND(Catalogue!G18*SQRT((1+Paramètres!$B$4*(C294-1)+Paramètres!$B$5*(C294-1)^2)),0)</f>
        <v>0</v>
      </c>
      <c r="H294" s="6">
        <f>ROUND(Catalogue!H18*SQRT((1+Paramètres!$B$4*(C294-1)+Paramètres!$B$5*(C294-1)^2)),0)</f>
        <v>0</v>
      </c>
      <c r="I294" s="6">
        <v>2</v>
      </c>
      <c r="J294" s="6">
        <v>1</v>
      </c>
      <c r="K294" s="7">
        <v>1.7</v>
      </c>
      <c r="L294" s="9">
        <f t="shared" si="34"/>
        <v>20.5</v>
      </c>
      <c r="M294">
        <v>1</v>
      </c>
      <c r="N294">
        <v>12</v>
      </c>
      <c r="O294">
        <v>14</v>
      </c>
      <c r="P294" s="13" t="str">
        <f t="shared" si="35"/>
        <v>1d12 + 14</v>
      </c>
      <c r="Q294">
        <f>ROUND(INDEX(Catalogue!E$4:E$85,MATCH(A294,Catalogue!A$4:A$85,0))*(1+Paramètres!$B$4*(C294-1)+Paramètres!$B$5*(C294-1)^2),0)</f>
        <v>15</v>
      </c>
      <c r="R294">
        <f>ROUND(INDEX(Catalogue!F$4:F$85,MATCH(A294,Catalogue!A$4:A$85,0))*(1+Paramètres!$B$4*(C294-1)+Paramètres!$B$5*(C294-1)^2),0)</f>
        <v>26</v>
      </c>
      <c r="S294">
        <f t="shared" si="36"/>
        <v>0</v>
      </c>
      <c r="T294" t="str">
        <f t="shared" si="37"/>
        <v>OK</v>
      </c>
      <c r="U294" s="25">
        <f t="shared" si="38"/>
        <v>20.5</v>
      </c>
      <c r="V294" t="str">
        <f t="shared" si="39"/>
        <v>OK</v>
      </c>
    </row>
    <row r="295" spans="1:22" ht="18" customHeight="1">
      <c r="A295" t="s">
        <v>130</v>
      </c>
      <c r="B295" t="s">
        <v>131</v>
      </c>
      <c r="C295">
        <v>12</v>
      </c>
      <c r="D295" t="s">
        <v>123</v>
      </c>
      <c r="E295" s="6">
        <f t="shared" si="32"/>
        <v>17</v>
      </c>
      <c r="F295" s="6">
        <f t="shared" si="33"/>
        <v>29</v>
      </c>
      <c r="G295" s="6">
        <f>ROUND(Catalogue!G18*SQRT((1+Paramètres!$B$4*(C295-1)+Paramètres!$B$5*(C295-1)^2)),0)</f>
        <v>0</v>
      </c>
      <c r="H295" s="6">
        <f>ROUND(Catalogue!H18*SQRT((1+Paramètres!$B$4*(C295-1)+Paramètres!$B$5*(C295-1)^2)),0)</f>
        <v>0</v>
      </c>
      <c r="I295" s="6">
        <v>2</v>
      </c>
      <c r="J295" s="6">
        <v>1</v>
      </c>
      <c r="K295" s="7">
        <v>1.7</v>
      </c>
      <c r="L295" s="9">
        <f t="shared" si="34"/>
        <v>23</v>
      </c>
      <c r="M295">
        <v>4</v>
      </c>
      <c r="N295">
        <v>4</v>
      </c>
      <c r="O295">
        <v>13</v>
      </c>
      <c r="P295" s="13" t="str">
        <f t="shared" si="35"/>
        <v>4d4 + 13</v>
      </c>
      <c r="Q295">
        <f>ROUND(INDEX(Catalogue!E$4:E$85,MATCH(A295,Catalogue!A$4:A$85,0))*(1+Paramètres!$B$4*(C295-1)+Paramètres!$B$5*(C295-1)^2),0)</f>
        <v>17</v>
      </c>
      <c r="R295">
        <f>ROUND(INDEX(Catalogue!F$4:F$85,MATCH(A295,Catalogue!A$4:A$85,0))*(1+Paramètres!$B$4*(C295-1)+Paramètres!$B$5*(C295-1)^2),0)</f>
        <v>29</v>
      </c>
      <c r="S295">
        <f t="shared" si="36"/>
        <v>0</v>
      </c>
      <c r="T295" t="str">
        <f t="shared" si="37"/>
        <v>OK</v>
      </c>
      <c r="U295" s="25">
        <f t="shared" si="38"/>
        <v>23</v>
      </c>
      <c r="V295" t="str">
        <f t="shared" si="39"/>
        <v>OK</v>
      </c>
    </row>
    <row r="296" spans="1:22" ht="18" customHeight="1">
      <c r="A296" t="s">
        <v>130</v>
      </c>
      <c r="B296" t="s">
        <v>131</v>
      </c>
      <c r="C296">
        <v>13</v>
      </c>
      <c r="D296" t="s">
        <v>123</v>
      </c>
      <c r="E296" s="6">
        <f t="shared" si="32"/>
        <v>18</v>
      </c>
      <c r="F296" s="6">
        <f t="shared" si="33"/>
        <v>32</v>
      </c>
      <c r="G296" s="6">
        <f>ROUND(Catalogue!G18*SQRT((1+Paramètres!$B$4*(C296-1)+Paramètres!$B$5*(C296-1)^2)),0)</f>
        <v>0</v>
      </c>
      <c r="H296" s="6">
        <f>ROUND(Catalogue!H18*SQRT((1+Paramètres!$B$4*(C296-1)+Paramètres!$B$5*(C296-1)^2)),0)</f>
        <v>0</v>
      </c>
      <c r="I296" s="6">
        <v>2</v>
      </c>
      <c r="J296" s="6">
        <v>1</v>
      </c>
      <c r="K296" s="7">
        <v>1.7</v>
      </c>
      <c r="L296" s="9">
        <f t="shared" si="34"/>
        <v>25</v>
      </c>
      <c r="M296">
        <v>2</v>
      </c>
      <c r="N296">
        <v>8</v>
      </c>
      <c r="O296">
        <v>16</v>
      </c>
      <c r="P296" s="13" t="str">
        <f t="shared" si="35"/>
        <v>2d8 + 16</v>
      </c>
      <c r="Q296">
        <f>ROUND(INDEX(Catalogue!E$4:E$85,MATCH(A296,Catalogue!A$4:A$85,0))*(1+Paramètres!$B$4*(C296-1)+Paramètres!$B$5*(C296-1)^2),0)</f>
        <v>18</v>
      </c>
      <c r="R296">
        <f>ROUND(INDEX(Catalogue!F$4:F$85,MATCH(A296,Catalogue!A$4:A$85,0))*(1+Paramètres!$B$4*(C296-1)+Paramètres!$B$5*(C296-1)^2),0)</f>
        <v>32</v>
      </c>
      <c r="S296">
        <f t="shared" si="36"/>
        <v>0</v>
      </c>
      <c r="T296" t="str">
        <f t="shared" si="37"/>
        <v>OK</v>
      </c>
      <c r="U296" s="25">
        <f t="shared" si="38"/>
        <v>25</v>
      </c>
      <c r="V296" t="str">
        <f t="shared" si="39"/>
        <v>OK</v>
      </c>
    </row>
    <row r="297" spans="1:22" ht="18" customHeight="1">
      <c r="A297" t="s">
        <v>130</v>
      </c>
      <c r="B297" t="s">
        <v>131</v>
      </c>
      <c r="C297">
        <v>14</v>
      </c>
      <c r="D297" t="s">
        <v>123</v>
      </c>
      <c r="E297" s="6">
        <f t="shared" si="32"/>
        <v>21</v>
      </c>
      <c r="F297" s="6">
        <f t="shared" si="33"/>
        <v>36</v>
      </c>
      <c r="G297" s="6">
        <f>ROUND(Catalogue!G18*SQRT((1+Paramètres!$B$4*(C297-1)+Paramètres!$B$5*(C297-1)^2)),0)</f>
        <v>0</v>
      </c>
      <c r="H297" s="6">
        <f>ROUND(Catalogue!H18*SQRT((1+Paramètres!$B$4*(C297-1)+Paramètres!$B$5*(C297-1)^2)),0)</f>
        <v>0</v>
      </c>
      <c r="I297" s="6">
        <v>2</v>
      </c>
      <c r="J297" s="6">
        <v>1</v>
      </c>
      <c r="K297" s="7">
        <v>1.7</v>
      </c>
      <c r="L297" s="9">
        <f t="shared" si="34"/>
        <v>28.5</v>
      </c>
      <c r="M297">
        <v>3</v>
      </c>
      <c r="N297">
        <v>6</v>
      </c>
      <c r="O297">
        <v>18</v>
      </c>
      <c r="P297" s="13" t="str">
        <f t="shared" si="35"/>
        <v>3d6 + 18</v>
      </c>
      <c r="Q297">
        <f>ROUND(INDEX(Catalogue!E$4:E$85,MATCH(A297,Catalogue!A$4:A$85,0))*(1+Paramètres!$B$4*(C297-1)+Paramètres!$B$5*(C297-1)^2),0)</f>
        <v>21</v>
      </c>
      <c r="R297">
        <f>ROUND(INDEX(Catalogue!F$4:F$85,MATCH(A297,Catalogue!A$4:A$85,0))*(1+Paramètres!$B$4*(C297-1)+Paramètres!$B$5*(C297-1)^2),0)</f>
        <v>36</v>
      </c>
      <c r="S297">
        <f t="shared" si="36"/>
        <v>0</v>
      </c>
      <c r="T297" t="str">
        <f t="shared" si="37"/>
        <v>OK</v>
      </c>
      <c r="U297" s="25">
        <f t="shared" si="38"/>
        <v>28.5</v>
      </c>
      <c r="V297" t="str">
        <f t="shared" si="39"/>
        <v>OK</v>
      </c>
    </row>
    <row r="298" spans="1:22" ht="18" customHeight="1">
      <c r="A298" t="s">
        <v>130</v>
      </c>
      <c r="B298" t="s">
        <v>131</v>
      </c>
      <c r="C298">
        <v>15</v>
      </c>
      <c r="D298" t="s">
        <v>123</v>
      </c>
      <c r="E298" s="6">
        <f t="shared" si="32"/>
        <v>22</v>
      </c>
      <c r="F298" s="6">
        <f t="shared" si="33"/>
        <v>40</v>
      </c>
      <c r="G298" s="6">
        <f>ROUND(Catalogue!G18*SQRT((1+Paramètres!$B$4*(C298-1)+Paramètres!$B$5*(C298-1)^2)),0)</f>
        <v>0</v>
      </c>
      <c r="H298" s="6">
        <f>ROUND(Catalogue!H18*SQRT((1+Paramètres!$B$4*(C298-1)+Paramètres!$B$5*(C298-1)^2)),0)</f>
        <v>0</v>
      </c>
      <c r="I298" s="6">
        <v>2</v>
      </c>
      <c r="J298" s="6">
        <v>1</v>
      </c>
      <c r="K298" s="7">
        <v>1.7</v>
      </c>
      <c r="L298" s="9">
        <f t="shared" si="34"/>
        <v>31</v>
      </c>
      <c r="M298">
        <v>2</v>
      </c>
      <c r="N298">
        <v>10</v>
      </c>
      <c r="O298">
        <v>20</v>
      </c>
      <c r="P298" s="13" t="str">
        <f t="shared" si="35"/>
        <v>2d10 + 20</v>
      </c>
      <c r="Q298">
        <f>ROUND(INDEX(Catalogue!E$4:E$85,MATCH(A298,Catalogue!A$4:A$85,0))*(1+Paramètres!$B$4*(C298-1)+Paramètres!$B$5*(C298-1)^2),0)</f>
        <v>23</v>
      </c>
      <c r="R298">
        <f>ROUND(INDEX(Catalogue!F$4:F$85,MATCH(A298,Catalogue!A$4:A$85,0))*(1+Paramètres!$B$4*(C298-1)+Paramètres!$B$5*(C298-1)^2),0)</f>
        <v>40</v>
      </c>
      <c r="S298">
        <f t="shared" si="36"/>
        <v>-0.5</v>
      </c>
      <c r="T298" t="str">
        <f t="shared" si="37"/>
        <v>OK</v>
      </c>
      <c r="U298" s="25">
        <f t="shared" si="38"/>
        <v>31</v>
      </c>
      <c r="V298" t="str">
        <f t="shared" si="39"/>
        <v>OK</v>
      </c>
    </row>
    <row r="299" spans="1:22" ht="18" customHeight="1">
      <c r="A299" t="s">
        <v>130</v>
      </c>
      <c r="B299" t="s">
        <v>131</v>
      </c>
      <c r="C299">
        <v>16</v>
      </c>
      <c r="D299" t="s">
        <v>123</v>
      </c>
      <c r="E299" s="6">
        <f t="shared" si="32"/>
        <v>26</v>
      </c>
      <c r="F299" s="6">
        <f t="shared" si="33"/>
        <v>44</v>
      </c>
      <c r="G299" s="6">
        <f>ROUND(Catalogue!G18*SQRT((1+Paramètres!$B$4*(C299-1)+Paramètres!$B$5*(C299-1)^2)),0)</f>
        <v>0</v>
      </c>
      <c r="H299" s="6">
        <f>ROUND(Catalogue!H18*SQRT((1+Paramètres!$B$4*(C299-1)+Paramètres!$B$5*(C299-1)^2)),0)</f>
        <v>0</v>
      </c>
      <c r="I299" s="6">
        <v>2</v>
      </c>
      <c r="J299" s="6">
        <v>1</v>
      </c>
      <c r="K299" s="7">
        <v>1.7</v>
      </c>
      <c r="L299" s="9">
        <f t="shared" si="34"/>
        <v>35</v>
      </c>
      <c r="M299">
        <v>2</v>
      </c>
      <c r="N299">
        <v>10</v>
      </c>
      <c r="O299">
        <v>24</v>
      </c>
      <c r="P299" s="13" t="str">
        <f t="shared" si="35"/>
        <v>2d10 + 24</v>
      </c>
      <c r="Q299">
        <f>ROUND(INDEX(Catalogue!E$4:E$85,MATCH(A299,Catalogue!A$4:A$85,0))*(1+Paramètres!$B$4*(C299-1)+Paramètres!$B$5*(C299-1)^2),0)</f>
        <v>25</v>
      </c>
      <c r="R299">
        <f>ROUND(INDEX(Catalogue!F$4:F$85,MATCH(A299,Catalogue!A$4:A$85,0))*(1+Paramètres!$B$4*(C299-1)+Paramètres!$B$5*(C299-1)^2),0)</f>
        <v>44</v>
      </c>
      <c r="S299">
        <f t="shared" si="36"/>
        <v>0.5</v>
      </c>
      <c r="T299" t="str">
        <f t="shared" si="37"/>
        <v>OK</v>
      </c>
      <c r="U299" s="25">
        <f t="shared" si="38"/>
        <v>35</v>
      </c>
      <c r="V299" t="str">
        <f t="shared" si="39"/>
        <v>OK</v>
      </c>
    </row>
    <row r="300" spans="1:22" ht="18" customHeight="1">
      <c r="A300" t="s">
        <v>130</v>
      </c>
      <c r="B300" t="s">
        <v>131</v>
      </c>
      <c r="C300">
        <v>17</v>
      </c>
      <c r="D300" t="s">
        <v>123</v>
      </c>
      <c r="E300" s="6">
        <f t="shared" si="32"/>
        <v>27</v>
      </c>
      <c r="F300" s="6">
        <f t="shared" si="33"/>
        <v>48</v>
      </c>
      <c r="G300" s="6">
        <f>ROUND(Catalogue!G18*SQRT((1+Paramètres!$B$4*(C300-1)+Paramètres!$B$5*(C300-1)^2)),0)</f>
        <v>0</v>
      </c>
      <c r="H300" s="6">
        <f>ROUND(Catalogue!H18*SQRT((1+Paramètres!$B$4*(C300-1)+Paramètres!$B$5*(C300-1)^2)),0)</f>
        <v>0</v>
      </c>
      <c r="I300" s="6">
        <v>2</v>
      </c>
      <c r="J300" s="6">
        <v>1</v>
      </c>
      <c r="K300" s="7">
        <v>1.7</v>
      </c>
      <c r="L300" s="9">
        <f t="shared" si="34"/>
        <v>37.5</v>
      </c>
      <c r="M300">
        <v>3</v>
      </c>
      <c r="N300">
        <v>8</v>
      </c>
      <c r="O300">
        <v>24</v>
      </c>
      <c r="P300" s="13" t="str">
        <f t="shared" si="35"/>
        <v>3d8 + 24</v>
      </c>
      <c r="Q300">
        <f>ROUND(INDEX(Catalogue!E$4:E$85,MATCH(A300,Catalogue!A$4:A$85,0))*(1+Paramètres!$B$4*(C300-1)+Paramètres!$B$5*(C300-1)^2),0)</f>
        <v>27</v>
      </c>
      <c r="R300">
        <f>ROUND(INDEX(Catalogue!F$4:F$85,MATCH(A300,Catalogue!A$4:A$85,0))*(1+Paramètres!$B$4*(C300-1)+Paramètres!$B$5*(C300-1)^2),0)</f>
        <v>48</v>
      </c>
      <c r="S300">
        <f t="shared" si="36"/>
        <v>0</v>
      </c>
      <c r="T300" t="str">
        <f t="shared" si="37"/>
        <v>OK</v>
      </c>
      <c r="U300" s="25">
        <f t="shared" si="38"/>
        <v>37.5</v>
      </c>
      <c r="V300" t="str">
        <f t="shared" si="39"/>
        <v>OK</v>
      </c>
    </row>
    <row r="301" spans="1:22" ht="18" customHeight="1">
      <c r="A301" t="s">
        <v>130</v>
      </c>
      <c r="B301" t="s">
        <v>131</v>
      </c>
      <c r="C301">
        <v>18</v>
      </c>
      <c r="D301" t="s">
        <v>123</v>
      </c>
      <c r="E301" s="6">
        <f t="shared" si="32"/>
        <v>30</v>
      </c>
      <c r="F301" s="6">
        <f t="shared" si="33"/>
        <v>52</v>
      </c>
      <c r="G301" s="6">
        <f>ROUND(Catalogue!G18*SQRT((1+Paramètres!$B$4*(C301-1)+Paramètres!$B$5*(C301-1)^2)),0)</f>
        <v>0</v>
      </c>
      <c r="H301" s="6">
        <f>ROUND(Catalogue!H18*SQRT((1+Paramètres!$B$4*(C301-1)+Paramètres!$B$5*(C301-1)^2)),0)</f>
        <v>0</v>
      </c>
      <c r="I301" s="6">
        <v>2</v>
      </c>
      <c r="J301" s="6">
        <v>1</v>
      </c>
      <c r="K301" s="7">
        <v>1.7</v>
      </c>
      <c r="L301" s="9">
        <f t="shared" si="34"/>
        <v>41</v>
      </c>
      <c r="M301">
        <v>2</v>
      </c>
      <c r="N301">
        <v>12</v>
      </c>
      <c r="O301">
        <v>28</v>
      </c>
      <c r="P301" s="13" t="str">
        <f t="shared" si="35"/>
        <v>2d12 + 28</v>
      </c>
      <c r="Q301">
        <f>ROUND(INDEX(Catalogue!E$4:E$85,MATCH(A301,Catalogue!A$4:A$85,0))*(1+Paramètres!$B$4*(C301-1)+Paramètres!$B$5*(C301-1)^2),0)</f>
        <v>30</v>
      </c>
      <c r="R301">
        <f>ROUND(INDEX(Catalogue!F$4:F$85,MATCH(A301,Catalogue!A$4:A$85,0))*(1+Paramètres!$B$4*(C301-1)+Paramètres!$B$5*(C301-1)^2),0)</f>
        <v>52</v>
      </c>
      <c r="S301">
        <f t="shared" si="36"/>
        <v>0</v>
      </c>
      <c r="T301" t="str">
        <f t="shared" si="37"/>
        <v>OK</v>
      </c>
      <c r="U301" s="25">
        <f t="shared" si="38"/>
        <v>41</v>
      </c>
      <c r="V301" t="str">
        <f t="shared" si="39"/>
        <v>OK</v>
      </c>
    </row>
    <row r="302" spans="1:22" ht="18" customHeight="1">
      <c r="A302" t="s">
        <v>130</v>
      </c>
      <c r="B302" t="s">
        <v>131</v>
      </c>
      <c r="C302">
        <v>19</v>
      </c>
      <c r="D302" t="s">
        <v>123</v>
      </c>
      <c r="E302" s="6">
        <f t="shared" si="32"/>
        <v>32</v>
      </c>
      <c r="F302" s="6">
        <f t="shared" si="33"/>
        <v>57</v>
      </c>
      <c r="G302" s="6">
        <f>ROUND(Catalogue!G18*SQRT((1+Paramètres!$B$4*(C302-1)+Paramètres!$B$5*(C302-1)^2)),0)</f>
        <v>0</v>
      </c>
      <c r="H302" s="6">
        <f>ROUND(Catalogue!H18*SQRT((1+Paramètres!$B$4*(C302-1)+Paramètres!$B$5*(C302-1)^2)),0)</f>
        <v>0</v>
      </c>
      <c r="I302" s="6">
        <v>2</v>
      </c>
      <c r="J302" s="6">
        <v>1</v>
      </c>
      <c r="K302" s="7">
        <v>1.7</v>
      </c>
      <c r="L302" s="9">
        <f t="shared" si="34"/>
        <v>44.5</v>
      </c>
      <c r="M302">
        <v>5</v>
      </c>
      <c r="N302">
        <v>6</v>
      </c>
      <c r="O302">
        <v>27</v>
      </c>
      <c r="P302" s="13" t="str">
        <f t="shared" si="35"/>
        <v>5d6 + 27</v>
      </c>
      <c r="Q302">
        <f>ROUND(INDEX(Catalogue!E$4:E$85,MATCH(A302,Catalogue!A$4:A$85,0))*(1+Paramètres!$B$4*(C302-1)+Paramètres!$B$5*(C302-1)^2),0)</f>
        <v>33</v>
      </c>
      <c r="R302">
        <f>ROUND(INDEX(Catalogue!F$4:F$85,MATCH(A302,Catalogue!A$4:A$85,0))*(1+Paramètres!$B$4*(C302-1)+Paramètres!$B$5*(C302-1)^2),0)</f>
        <v>57</v>
      </c>
      <c r="S302">
        <f t="shared" si="36"/>
        <v>-0.5</v>
      </c>
      <c r="T302" t="str">
        <f t="shared" si="37"/>
        <v>OK</v>
      </c>
      <c r="U302" s="25">
        <f t="shared" si="38"/>
        <v>44.5</v>
      </c>
      <c r="V302" t="str">
        <f t="shared" si="39"/>
        <v>OK</v>
      </c>
    </row>
    <row r="303" spans="1:22" ht="18" customHeight="1">
      <c r="A303" t="s">
        <v>130</v>
      </c>
      <c r="B303" t="s">
        <v>131</v>
      </c>
      <c r="C303">
        <v>20</v>
      </c>
      <c r="D303" t="s">
        <v>123</v>
      </c>
      <c r="E303" s="6">
        <f t="shared" si="32"/>
        <v>35</v>
      </c>
      <c r="F303" s="6">
        <f t="shared" si="33"/>
        <v>62</v>
      </c>
      <c r="G303" s="6">
        <f>ROUND(Catalogue!G18*SQRT((1+Paramètres!$B$4*(C303-1)+Paramètres!$B$5*(C303-1)^2)),0)</f>
        <v>0</v>
      </c>
      <c r="H303" s="6">
        <f>ROUND(Catalogue!H18*SQRT((1+Paramètres!$B$4*(C303-1)+Paramètres!$B$5*(C303-1)^2)),0)</f>
        <v>0</v>
      </c>
      <c r="I303" s="6">
        <v>2</v>
      </c>
      <c r="J303" s="6">
        <v>1</v>
      </c>
      <c r="K303" s="7">
        <v>1.7</v>
      </c>
      <c r="L303" s="9">
        <f t="shared" si="34"/>
        <v>48.5</v>
      </c>
      <c r="M303">
        <v>3</v>
      </c>
      <c r="N303">
        <v>10</v>
      </c>
      <c r="O303">
        <v>32</v>
      </c>
      <c r="P303" s="13" t="str">
        <f t="shared" si="35"/>
        <v>3d10 + 32</v>
      </c>
      <c r="Q303">
        <f>ROUND(INDEX(Catalogue!E$4:E$85,MATCH(A303,Catalogue!A$4:A$85,0))*(1+Paramètres!$B$4*(C303-1)+Paramètres!$B$5*(C303-1)^2),0)</f>
        <v>35</v>
      </c>
      <c r="R303">
        <f>ROUND(INDEX(Catalogue!F$4:F$85,MATCH(A303,Catalogue!A$4:A$85,0))*(1+Paramètres!$B$4*(C303-1)+Paramètres!$B$5*(C303-1)^2),0)</f>
        <v>62</v>
      </c>
      <c r="S303">
        <f t="shared" si="36"/>
        <v>0</v>
      </c>
      <c r="T303" t="str">
        <f t="shared" si="37"/>
        <v>OK</v>
      </c>
      <c r="U303" s="25">
        <f t="shared" si="38"/>
        <v>48.5</v>
      </c>
      <c r="V303" t="str">
        <f t="shared" si="39"/>
        <v>OK</v>
      </c>
    </row>
    <row r="304" spans="1:22" ht="18" customHeight="1">
      <c r="A304" t="s">
        <v>134</v>
      </c>
      <c r="B304" t="s">
        <v>135</v>
      </c>
      <c r="C304">
        <v>1</v>
      </c>
      <c r="D304" t="s">
        <v>123</v>
      </c>
      <c r="E304" s="6">
        <f t="shared" si="32"/>
        <v>4</v>
      </c>
      <c r="F304" s="6">
        <f t="shared" si="33"/>
        <v>7</v>
      </c>
      <c r="G304" s="6">
        <f>ROUND(Catalogue!G19*SQRT((1+Paramètres!$B$4*(C304-1)+Paramètres!$B$5*(C304-1)^2)),0)</f>
        <v>0</v>
      </c>
      <c r="H304" s="6">
        <f>ROUND(Catalogue!H19*SQRT((1+Paramètres!$B$4*(C304-1)+Paramètres!$B$5*(C304-1)^2)),0)</f>
        <v>0</v>
      </c>
      <c r="I304" s="6">
        <v>2</v>
      </c>
      <c r="J304" s="6">
        <v>1</v>
      </c>
      <c r="K304" s="7">
        <v>2</v>
      </c>
      <c r="L304" s="9">
        <f t="shared" si="34"/>
        <v>5.5</v>
      </c>
      <c r="M304">
        <v>1</v>
      </c>
      <c r="N304">
        <v>4</v>
      </c>
      <c r="O304">
        <v>3</v>
      </c>
      <c r="P304" s="13" t="str">
        <f t="shared" si="35"/>
        <v>1d4 + 3</v>
      </c>
      <c r="Q304">
        <f>ROUND(INDEX(Catalogue!E$4:E$85,MATCH(A304,Catalogue!A$4:A$85,0))*(1+Paramètres!$B$4*(C304-1)+Paramètres!$B$5*(C304-1)^2),0)</f>
        <v>5</v>
      </c>
      <c r="R304">
        <f>ROUND(INDEX(Catalogue!F$4:F$85,MATCH(A304,Catalogue!A$4:A$85,0))*(1+Paramètres!$B$4*(C304-1)+Paramètres!$B$5*(C304-1)^2),0)</f>
        <v>7</v>
      </c>
      <c r="S304">
        <f t="shared" si="36"/>
        <v>-0.5</v>
      </c>
      <c r="T304" t="str">
        <f t="shared" si="37"/>
        <v>OK</v>
      </c>
      <c r="U304" s="25">
        <f t="shared" si="38"/>
        <v>5.5</v>
      </c>
      <c r="V304" t="str">
        <f t="shared" si="39"/>
        <v>OK</v>
      </c>
    </row>
    <row r="305" spans="1:22" ht="18" customHeight="1">
      <c r="A305" t="s">
        <v>134</v>
      </c>
      <c r="B305" t="s">
        <v>135</v>
      </c>
      <c r="C305">
        <v>2</v>
      </c>
      <c r="D305" t="s">
        <v>123</v>
      </c>
      <c r="E305" s="6">
        <f t="shared" si="32"/>
        <v>5</v>
      </c>
      <c r="F305" s="6">
        <f t="shared" si="33"/>
        <v>8</v>
      </c>
      <c r="G305" s="6">
        <f>ROUND(Catalogue!G19*SQRT((1+Paramètres!$B$4*(C305-1)+Paramètres!$B$5*(C305-1)^2)),0)</f>
        <v>0</v>
      </c>
      <c r="H305" s="6">
        <f>ROUND(Catalogue!H19*SQRT((1+Paramètres!$B$4*(C305-1)+Paramètres!$B$5*(C305-1)^2)),0)</f>
        <v>0</v>
      </c>
      <c r="I305" s="6">
        <v>2</v>
      </c>
      <c r="J305" s="6">
        <v>1</v>
      </c>
      <c r="K305" s="7">
        <v>2</v>
      </c>
      <c r="L305" s="9">
        <f t="shared" si="34"/>
        <v>6.5</v>
      </c>
      <c r="M305">
        <v>1</v>
      </c>
      <c r="N305">
        <v>4</v>
      </c>
      <c r="O305">
        <v>4</v>
      </c>
      <c r="P305" s="13" t="str">
        <f t="shared" si="35"/>
        <v>1d4 + 4</v>
      </c>
      <c r="Q305">
        <f>ROUND(INDEX(Catalogue!E$4:E$85,MATCH(A305,Catalogue!A$4:A$85,0))*(1+Paramètres!$B$4*(C305-1)+Paramètres!$B$5*(C305-1)^2),0)</f>
        <v>6</v>
      </c>
      <c r="R305">
        <f>ROUND(INDEX(Catalogue!F$4:F$85,MATCH(A305,Catalogue!A$4:A$85,0))*(1+Paramètres!$B$4*(C305-1)+Paramètres!$B$5*(C305-1)^2),0)</f>
        <v>8</v>
      </c>
      <c r="S305">
        <f t="shared" si="36"/>
        <v>-0.5</v>
      </c>
      <c r="T305" t="str">
        <f t="shared" si="37"/>
        <v>OK</v>
      </c>
      <c r="U305" s="25">
        <f t="shared" si="38"/>
        <v>6.5</v>
      </c>
      <c r="V305" t="str">
        <f t="shared" si="39"/>
        <v>OK</v>
      </c>
    </row>
    <row r="306" spans="1:22" ht="18" customHeight="1">
      <c r="A306" t="s">
        <v>134</v>
      </c>
      <c r="B306" t="s">
        <v>135</v>
      </c>
      <c r="C306">
        <v>3</v>
      </c>
      <c r="D306" t="s">
        <v>123</v>
      </c>
      <c r="E306" s="6">
        <f t="shared" si="32"/>
        <v>6</v>
      </c>
      <c r="F306" s="6">
        <f t="shared" si="33"/>
        <v>9</v>
      </c>
      <c r="G306" s="6">
        <f>ROUND(Catalogue!G19*SQRT((1+Paramètres!$B$4*(C306-1)+Paramètres!$B$5*(C306-1)^2)),0)</f>
        <v>0</v>
      </c>
      <c r="H306" s="6">
        <f>ROUND(Catalogue!H19*SQRT((1+Paramètres!$B$4*(C306-1)+Paramètres!$B$5*(C306-1)^2)),0)</f>
        <v>0</v>
      </c>
      <c r="I306" s="6">
        <v>2</v>
      </c>
      <c r="J306" s="6">
        <v>1</v>
      </c>
      <c r="K306" s="7">
        <v>2</v>
      </c>
      <c r="L306" s="9">
        <f t="shared" si="34"/>
        <v>7.5</v>
      </c>
      <c r="M306">
        <v>1</v>
      </c>
      <c r="N306">
        <v>4</v>
      </c>
      <c r="O306">
        <v>5</v>
      </c>
      <c r="P306" s="13" t="str">
        <f t="shared" si="35"/>
        <v>1d4 + 5</v>
      </c>
      <c r="Q306">
        <f>ROUND(INDEX(Catalogue!E$4:E$85,MATCH(A306,Catalogue!A$4:A$85,0))*(1+Paramètres!$B$4*(C306-1)+Paramètres!$B$5*(C306-1)^2),0)</f>
        <v>6</v>
      </c>
      <c r="R306">
        <f>ROUND(INDEX(Catalogue!F$4:F$85,MATCH(A306,Catalogue!A$4:A$85,0))*(1+Paramètres!$B$4*(C306-1)+Paramètres!$B$5*(C306-1)^2),0)</f>
        <v>9</v>
      </c>
      <c r="S306">
        <f t="shared" si="36"/>
        <v>0</v>
      </c>
      <c r="T306" t="str">
        <f t="shared" si="37"/>
        <v>OK</v>
      </c>
      <c r="U306" s="25">
        <f t="shared" si="38"/>
        <v>7.5</v>
      </c>
      <c r="V306" t="str">
        <f t="shared" si="39"/>
        <v>OK</v>
      </c>
    </row>
    <row r="307" spans="1:22" ht="18" customHeight="1">
      <c r="A307" t="s">
        <v>134</v>
      </c>
      <c r="B307" t="s">
        <v>135</v>
      </c>
      <c r="C307">
        <v>4</v>
      </c>
      <c r="D307" t="s">
        <v>123</v>
      </c>
      <c r="E307" s="6">
        <f t="shared" si="32"/>
        <v>7</v>
      </c>
      <c r="F307" s="6">
        <f t="shared" si="33"/>
        <v>10</v>
      </c>
      <c r="G307" s="6">
        <f>ROUND(Catalogue!G19*SQRT((1+Paramètres!$B$4*(C307-1)+Paramètres!$B$5*(C307-1)^2)),0)</f>
        <v>0</v>
      </c>
      <c r="H307" s="6">
        <f>ROUND(Catalogue!H19*SQRT((1+Paramètres!$B$4*(C307-1)+Paramètres!$B$5*(C307-1)^2)),0)</f>
        <v>0</v>
      </c>
      <c r="I307" s="6">
        <v>2</v>
      </c>
      <c r="J307" s="6">
        <v>1</v>
      </c>
      <c r="K307" s="7">
        <v>2</v>
      </c>
      <c r="L307" s="9">
        <f t="shared" si="34"/>
        <v>8.5</v>
      </c>
      <c r="M307">
        <v>1</v>
      </c>
      <c r="N307">
        <v>4</v>
      </c>
      <c r="O307">
        <v>6</v>
      </c>
      <c r="P307" s="13" t="str">
        <f t="shared" si="35"/>
        <v>1d4 + 6</v>
      </c>
      <c r="Q307">
        <f>ROUND(INDEX(Catalogue!E$4:E$85,MATCH(A307,Catalogue!A$4:A$85,0))*(1+Paramètres!$B$4*(C307-1)+Paramètres!$B$5*(C307-1)^2),0)</f>
        <v>7</v>
      </c>
      <c r="R307">
        <f>ROUND(INDEX(Catalogue!F$4:F$85,MATCH(A307,Catalogue!A$4:A$85,0))*(1+Paramètres!$B$4*(C307-1)+Paramètres!$B$5*(C307-1)^2),0)</f>
        <v>10</v>
      </c>
      <c r="S307">
        <f t="shared" si="36"/>
        <v>0</v>
      </c>
      <c r="T307" t="str">
        <f t="shared" si="37"/>
        <v>OK</v>
      </c>
      <c r="U307" s="25">
        <f t="shared" si="38"/>
        <v>8.5</v>
      </c>
      <c r="V307" t="str">
        <f t="shared" si="39"/>
        <v>OK</v>
      </c>
    </row>
    <row r="308" spans="1:22" ht="18" customHeight="1">
      <c r="A308" t="s">
        <v>134</v>
      </c>
      <c r="B308" t="s">
        <v>135</v>
      </c>
      <c r="C308">
        <v>5</v>
      </c>
      <c r="D308" t="s">
        <v>123</v>
      </c>
      <c r="E308" s="6">
        <f t="shared" si="32"/>
        <v>9</v>
      </c>
      <c r="F308" s="6">
        <f t="shared" si="33"/>
        <v>12</v>
      </c>
      <c r="G308" s="6">
        <f>ROUND(Catalogue!G19*SQRT((1+Paramètres!$B$4*(C308-1)+Paramètres!$B$5*(C308-1)^2)),0)</f>
        <v>0</v>
      </c>
      <c r="H308" s="6">
        <f>ROUND(Catalogue!H19*SQRT((1+Paramètres!$B$4*(C308-1)+Paramètres!$B$5*(C308-1)^2)),0)</f>
        <v>0</v>
      </c>
      <c r="I308" s="6">
        <v>2</v>
      </c>
      <c r="J308" s="6">
        <v>1</v>
      </c>
      <c r="K308" s="7">
        <v>2</v>
      </c>
      <c r="L308" s="9">
        <f t="shared" si="34"/>
        <v>10.5</v>
      </c>
      <c r="M308">
        <v>1</v>
      </c>
      <c r="N308">
        <v>4</v>
      </c>
      <c r="O308">
        <v>8</v>
      </c>
      <c r="P308" s="13" t="str">
        <f t="shared" si="35"/>
        <v>1d4 + 8</v>
      </c>
      <c r="Q308">
        <f>ROUND(INDEX(Catalogue!E$4:E$85,MATCH(A308,Catalogue!A$4:A$85,0))*(1+Paramètres!$B$4*(C308-1)+Paramètres!$B$5*(C308-1)^2),0)</f>
        <v>8</v>
      </c>
      <c r="R308">
        <f>ROUND(INDEX(Catalogue!F$4:F$85,MATCH(A308,Catalogue!A$4:A$85,0))*(1+Paramètres!$B$4*(C308-1)+Paramètres!$B$5*(C308-1)^2),0)</f>
        <v>12</v>
      </c>
      <c r="S308">
        <f t="shared" si="36"/>
        <v>0.5</v>
      </c>
      <c r="T308" t="str">
        <f t="shared" si="37"/>
        <v>OK</v>
      </c>
      <c r="U308" s="25">
        <f t="shared" si="38"/>
        <v>10.5</v>
      </c>
      <c r="V308" t="str">
        <f t="shared" si="39"/>
        <v>OK</v>
      </c>
    </row>
    <row r="309" spans="1:22" ht="18" customHeight="1">
      <c r="A309" t="s">
        <v>134</v>
      </c>
      <c r="B309" t="s">
        <v>135</v>
      </c>
      <c r="C309">
        <v>6</v>
      </c>
      <c r="D309" t="s">
        <v>123</v>
      </c>
      <c r="E309" s="6">
        <f t="shared" si="32"/>
        <v>10</v>
      </c>
      <c r="F309" s="6">
        <f t="shared" si="33"/>
        <v>13</v>
      </c>
      <c r="G309" s="6">
        <f>ROUND(Catalogue!G19*SQRT((1+Paramètres!$B$4*(C309-1)+Paramètres!$B$5*(C309-1)^2)),0)</f>
        <v>0</v>
      </c>
      <c r="H309" s="6">
        <f>ROUND(Catalogue!H19*SQRT((1+Paramètres!$B$4*(C309-1)+Paramètres!$B$5*(C309-1)^2)),0)</f>
        <v>0</v>
      </c>
      <c r="I309" s="6">
        <v>2</v>
      </c>
      <c r="J309" s="6">
        <v>1</v>
      </c>
      <c r="K309" s="7">
        <v>2</v>
      </c>
      <c r="L309" s="9">
        <f t="shared" si="34"/>
        <v>11.5</v>
      </c>
      <c r="M309">
        <v>1</v>
      </c>
      <c r="N309">
        <v>4</v>
      </c>
      <c r="O309">
        <v>9</v>
      </c>
      <c r="P309" s="13" t="str">
        <f t="shared" si="35"/>
        <v>1d4 + 9</v>
      </c>
      <c r="Q309">
        <f>ROUND(INDEX(Catalogue!E$4:E$85,MATCH(A309,Catalogue!A$4:A$85,0))*(1+Paramètres!$B$4*(C309-1)+Paramètres!$B$5*(C309-1)^2),0)</f>
        <v>10</v>
      </c>
      <c r="R309">
        <f>ROUND(INDEX(Catalogue!F$4:F$85,MATCH(A309,Catalogue!A$4:A$85,0))*(1+Paramètres!$B$4*(C309-1)+Paramètres!$B$5*(C309-1)^2),0)</f>
        <v>14</v>
      </c>
      <c r="S309">
        <f t="shared" si="36"/>
        <v>-0.5</v>
      </c>
      <c r="T309" t="str">
        <f t="shared" si="37"/>
        <v>OK</v>
      </c>
      <c r="U309" s="25">
        <f t="shared" si="38"/>
        <v>11.5</v>
      </c>
      <c r="V309" t="str">
        <f t="shared" si="39"/>
        <v>OK</v>
      </c>
    </row>
    <row r="310" spans="1:22" ht="18" customHeight="1">
      <c r="A310" t="s">
        <v>134</v>
      </c>
      <c r="B310" t="s">
        <v>135</v>
      </c>
      <c r="C310">
        <v>7</v>
      </c>
      <c r="D310" t="s">
        <v>123</v>
      </c>
      <c r="E310" s="6">
        <f t="shared" si="32"/>
        <v>11</v>
      </c>
      <c r="F310" s="6">
        <f t="shared" si="33"/>
        <v>16</v>
      </c>
      <c r="G310" s="6">
        <f>ROUND(Catalogue!G19*SQRT((1+Paramètres!$B$4*(C310-1)+Paramètres!$B$5*(C310-1)^2)),0)</f>
        <v>0</v>
      </c>
      <c r="H310" s="6">
        <f>ROUND(Catalogue!H19*SQRT((1+Paramètres!$B$4*(C310-1)+Paramètres!$B$5*(C310-1)^2)),0)</f>
        <v>0</v>
      </c>
      <c r="I310" s="6">
        <v>2</v>
      </c>
      <c r="J310" s="6">
        <v>1</v>
      </c>
      <c r="K310" s="7">
        <v>2</v>
      </c>
      <c r="L310" s="9">
        <f t="shared" si="34"/>
        <v>13.5</v>
      </c>
      <c r="M310">
        <v>1</v>
      </c>
      <c r="N310">
        <v>6</v>
      </c>
      <c r="O310">
        <v>10</v>
      </c>
      <c r="P310" s="13" t="str">
        <f t="shared" si="35"/>
        <v>1d6 + 10</v>
      </c>
      <c r="Q310">
        <f>ROUND(INDEX(Catalogue!E$4:E$85,MATCH(A310,Catalogue!A$4:A$85,0))*(1+Paramètres!$B$4*(C310-1)+Paramètres!$B$5*(C310-1)^2),0)</f>
        <v>11</v>
      </c>
      <c r="R310">
        <f>ROUND(INDEX(Catalogue!F$4:F$85,MATCH(A310,Catalogue!A$4:A$85,0))*(1+Paramètres!$B$4*(C310-1)+Paramètres!$B$5*(C310-1)^2),0)</f>
        <v>16</v>
      </c>
      <c r="S310">
        <f t="shared" si="36"/>
        <v>0</v>
      </c>
      <c r="T310" t="str">
        <f t="shared" si="37"/>
        <v>OK</v>
      </c>
      <c r="U310" s="25">
        <f t="shared" si="38"/>
        <v>13.5</v>
      </c>
      <c r="V310" t="str">
        <f t="shared" si="39"/>
        <v>OK</v>
      </c>
    </row>
    <row r="311" spans="1:22" ht="18" customHeight="1">
      <c r="A311" t="s">
        <v>134</v>
      </c>
      <c r="B311" t="s">
        <v>135</v>
      </c>
      <c r="C311">
        <v>8</v>
      </c>
      <c r="D311" t="s">
        <v>123</v>
      </c>
      <c r="E311" s="6">
        <f t="shared" si="32"/>
        <v>13</v>
      </c>
      <c r="F311" s="6">
        <f t="shared" si="33"/>
        <v>18</v>
      </c>
      <c r="G311" s="6">
        <f>ROUND(Catalogue!G19*SQRT((1+Paramètres!$B$4*(C311-1)+Paramètres!$B$5*(C311-1)^2)),0)</f>
        <v>0</v>
      </c>
      <c r="H311" s="6">
        <f>ROUND(Catalogue!H19*SQRT((1+Paramètres!$B$4*(C311-1)+Paramètres!$B$5*(C311-1)^2)),0)</f>
        <v>0</v>
      </c>
      <c r="I311" s="6">
        <v>2</v>
      </c>
      <c r="J311" s="6">
        <v>1</v>
      </c>
      <c r="K311" s="7">
        <v>2</v>
      </c>
      <c r="L311" s="9">
        <f t="shared" si="34"/>
        <v>15.5</v>
      </c>
      <c r="M311">
        <v>1</v>
      </c>
      <c r="N311">
        <v>6</v>
      </c>
      <c r="O311">
        <v>12</v>
      </c>
      <c r="P311" s="13" t="str">
        <f t="shared" si="35"/>
        <v>1d6 + 12</v>
      </c>
      <c r="Q311">
        <f>ROUND(INDEX(Catalogue!E$4:E$85,MATCH(A311,Catalogue!A$4:A$85,0))*(1+Paramètres!$B$4*(C311-1)+Paramètres!$B$5*(C311-1)^2),0)</f>
        <v>13</v>
      </c>
      <c r="R311">
        <f>ROUND(INDEX(Catalogue!F$4:F$85,MATCH(A311,Catalogue!A$4:A$85,0))*(1+Paramètres!$B$4*(C311-1)+Paramètres!$B$5*(C311-1)^2),0)</f>
        <v>18</v>
      </c>
      <c r="S311">
        <f t="shared" si="36"/>
        <v>0</v>
      </c>
      <c r="T311" t="str">
        <f t="shared" si="37"/>
        <v>OK</v>
      </c>
      <c r="U311" s="25">
        <f t="shared" si="38"/>
        <v>15.5</v>
      </c>
      <c r="V311" t="str">
        <f t="shared" si="39"/>
        <v>OK</v>
      </c>
    </row>
    <row r="312" spans="1:22" ht="18" customHeight="1">
      <c r="A312" t="s">
        <v>134</v>
      </c>
      <c r="B312" t="s">
        <v>135</v>
      </c>
      <c r="C312">
        <v>9</v>
      </c>
      <c r="D312" t="s">
        <v>123</v>
      </c>
      <c r="E312" s="6">
        <f t="shared" si="32"/>
        <v>15</v>
      </c>
      <c r="F312" s="6">
        <f t="shared" si="33"/>
        <v>20</v>
      </c>
      <c r="G312" s="6">
        <f>ROUND(Catalogue!G19*SQRT((1+Paramètres!$B$4*(C312-1)+Paramètres!$B$5*(C312-1)^2)),0)</f>
        <v>0</v>
      </c>
      <c r="H312" s="6">
        <f>ROUND(Catalogue!H19*SQRT((1+Paramètres!$B$4*(C312-1)+Paramètres!$B$5*(C312-1)^2)),0)</f>
        <v>0</v>
      </c>
      <c r="I312" s="6">
        <v>2</v>
      </c>
      <c r="J312" s="6">
        <v>1</v>
      </c>
      <c r="K312" s="7">
        <v>2</v>
      </c>
      <c r="L312" s="9">
        <f t="shared" si="34"/>
        <v>17.5</v>
      </c>
      <c r="M312">
        <v>1</v>
      </c>
      <c r="N312">
        <v>6</v>
      </c>
      <c r="O312">
        <v>14</v>
      </c>
      <c r="P312" s="13" t="str">
        <f t="shared" si="35"/>
        <v>1d6 + 14</v>
      </c>
      <c r="Q312">
        <f>ROUND(INDEX(Catalogue!E$4:E$85,MATCH(A312,Catalogue!A$4:A$85,0))*(1+Paramètres!$B$4*(C312-1)+Paramètres!$B$5*(C312-1)^2),0)</f>
        <v>15</v>
      </c>
      <c r="R312">
        <f>ROUND(INDEX(Catalogue!F$4:F$85,MATCH(A312,Catalogue!A$4:A$85,0))*(1+Paramètres!$B$4*(C312-1)+Paramètres!$B$5*(C312-1)^2),0)</f>
        <v>20</v>
      </c>
      <c r="S312">
        <f t="shared" si="36"/>
        <v>0</v>
      </c>
      <c r="T312" t="str">
        <f t="shared" si="37"/>
        <v>OK</v>
      </c>
      <c r="U312" s="25">
        <f t="shared" si="38"/>
        <v>17.5</v>
      </c>
      <c r="V312" t="str">
        <f t="shared" si="39"/>
        <v>OK</v>
      </c>
    </row>
    <row r="313" spans="1:22" ht="18" customHeight="1">
      <c r="A313" t="s">
        <v>134</v>
      </c>
      <c r="B313" t="s">
        <v>135</v>
      </c>
      <c r="C313">
        <v>10</v>
      </c>
      <c r="D313" t="s">
        <v>123</v>
      </c>
      <c r="E313" s="6">
        <f t="shared" si="32"/>
        <v>16</v>
      </c>
      <c r="F313" s="6">
        <f t="shared" si="33"/>
        <v>23</v>
      </c>
      <c r="G313" s="6">
        <f>ROUND(Catalogue!G19*SQRT((1+Paramètres!$B$4*(C313-1)+Paramètres!$B$5*(C313-1)^2)),0)</f>
        <v>0</v>
      </c>
      <c r="H313" s="6">
        <f>ROUND(Catalogue!H19*SQRT((1+Paramètres!$B$4*(C313-1)+Paramètres!$B$5*(C313-1)^2)),0)</f>
        <v>0</v>
      </c>
      <c r="I313" s="6">
        <v>2</v>
      </c>
      <c r="J313" s="6">
        <v>1</v>
      </c>
      <c r="K313" s="7">
        <v>2</v>
      </c>
      <c r="L313" s="9">
        <f t="shared" si="34"/>
        <v>19.5</v>
      </c>
      <c r="M313">
        <v>1</v>
      </c>
      <c r="N313">
        <v>8</v>
      </c>
      <c r="O313">
        <v>15</v>
      </c>
      <c r="P313" s="13" t="str">
        <f t="shared" si="35"/>
        <v>1d8 + 15</v>
      </c>
      <c r="Q313">
        <f>ROUND(INDEX(Catalogue!E$4:E$85,MATCH(A313,Catalogue!A$4:A$85,0))*(1+Paramètres!$B$4*(C313-1)+Paramètres!$B$5*(C313-1)^2),0)</f>
        <v>16</v>
      </c>
      <c r="R313">
        <f>ROUND(INDEX(Catalogue!F$4:F$85,MATCH(A313,Catalogue!A$4:A$85,0))*(1+Paramètres!$B$4*(C313-1)+Paramètres!$B$5*(C313-1)^2),0)</f>
        <v>23</v>
      </c>
      <c r="S313">
        <f t="shared" si="36"/>
        <v>0</v>
      </c>
      <c r="T313" t="str">
        <f t="shared" si="37"/>
        <v>OK</v>
      </c>
      <c r="U313" s="25">
        <f t="shared" si="38"/>
        <v>19.5</v>
      </c>
      <c r="V313" t="str">
        <f t="shared" si="39"/>
        <v>OK</v>
      </c>
    </row>
    <row r="314" spans="1:22" ht="18" customHeight="1">
      <c r="A314" t="s">
        <v>134</v>
      </c>
      <c r="B314" t="s">
        <v>135</v>
      </c>
      <c r="C314">
        <v>11</v>
      </c>
      <c r="D314" t="s">
        <v>123</v>
      </c>
      <c r="E314" s="6">
        <f t="shared" si="32"/>
        <v>19</v>
      </c>
      <c r="F314" s="6">
        <f t="shared" si="33"/>
        <v>26</v>
      </c>
      <c r="G314" s="6">
        <f>ROUND(Catalogue!G19*SQRT((1+Paramètres!$B$4*(C314-1)+Paramètres!$B$5*(C314-1)^2)),0)</f>
        <v>0</v>
      </c>
      <c r="H314" s="6">
        <f>ROUND(Catalogue!H19*SQRT((1+Paramètres!$B$4*(C314-1)+Paramètres!$B$5*(C314-1)^2)),0)</f>
        <v>0</v>
      </c>
      <c r="I314" s="6">
        <v>2</v>
      </c>
      <c r="J314" s="6">
        <v>1</v>
      </c>
      <c r="K314" s="7">
        <v>2</v>
      </c>
      <c r="L314" s="9">
        <f t="shared" si="34"/>
        <v>22.5</v>
      </c>
      <c r="M314">
        <v>1</v>
      </c>
      <c r="N314">
        <v>8</v>
      </c>
      <c r="O314">
        <v>18</v>
      </c>
      <c r="P314" s="13" t="str">
        <f t="shared" si="35"/>
        <v>1d8 + 18</v>
      </c>
      <c r="Q314">
        <f>ROUND(INDEX(Catalogue!E$4:E$85,MATCH(A314,Catalogue!A$4:A$85,0))*(1+Paramètres!$B$4*(C314-1)+Paramètres!$B$5*(C314-1)^2),0)</f>
        <v>19</v>
      </c>
      <c r="R314">
        <f>ROUND(INDEX(Catalogue!F$4:F$85,MATCH(A314,Catalogue!A$4:A$85,0))*(1+Paramètres!$B$4*(C314-1)+Paramètres!$B$5*(C314-1)^2),0)</f>
        <v>26</v>
      </c>
      <c r="S314">
        <f t="shared" si="36"/>
        <v>0</v>
      </c>
      <c r="T314" t="str">
        <f t="shared" si="37"/>
        <v>OK</v>
      </c>
      <c r="U314" s="25">
        <f t="shared" si="38"/>
        <v>22.5</v>
      </c>
      <c r="V314" t="str">
        <f t="shared" si="39"/>
        <v>OK</v>
      </c>
    </row>
    <row r="315" spans="1:22" ht="18" customHeight="1">
      <c r="A315" t="s">
        <v>134</v>
      </c>
      <c r="B315" t="s">
        <v>135</v>
      </c>
      <c r="C315">
        <v>12</v>
      </c>
      <c r="D315" t="s">
        <v>123</v>
      </c>
      <c r="E315" s="6">
        <f t="shared" si="32"/>
        <v>20</v>
      </c>
      <c r="F315" s="6">
        <f t="shared" si="33"/>
        <v>29</v>
      </c>
      <c r="G315" s="6">
        <f>ROUND(Catalogue!G19*SQRT((1+Paramètres!$B$4*(C315-1)+Paramètres!$B$5*(C315-1)^2)),0)</f>
        <v>0</v>
      </c>
      <c r="H315" s="6">
        <f>ROUND(Catalogue!H19*SQRT((1+Paramètres!$B$4*(C315-1)+Paramètres!$B$5*(C315-1)^2)),0)</f>
        <v>0</v>
      </c>
      <c r="I315" s="6">
        <v>2</v>
      </c>
      <c r="J315" s="6">
        <v>1</v>
      </c>
      <c r="K315" s="7">
        <v>2</v>
      </c>
      <c r="L315" s="9">
        <f t="shared" si="34"/>
        <v>24.5</v>
      </c>
      <c r="M315">
        <v>3</v>
      </c>
      <c r="N315">
        <v>4</v>
      </c>
      <c r="O315">
        <v>17</v>
      </c>
      <c r="P315" s="13" t="str">
        <f t="shared" si="35"/>
        <v>3d4 + 17</v>
      </c>
      <c r="Q315">
        <f>ROUND(INDEX(Catalogue!E$4:E$85,MATCH(A315,Catalogue!A$4:A$85,0))*(1+Paramètres!$B$4*(C315-1)+Paramètres!$B$5*(C315-1)^2),0)</f>
        <v>21</v>
      </c>
      <c r="R315">
        <f>ROUND(INDEX(Catalogue!F$4:F$85,MATCH(A315,Catalogue!A$4:A$85,0))*(1+Paramètres!$B$4*(C315-1)+Paramètres!$B$5*(C315-1)^2),0)</f>
        <v>29</v>
      </c>
      <c r="S315">
        <f t="shared" si="36"/>
        <v>-0.5</v>
      </c>
      <c r="T315" t="str">
        <f t="shared" si="37"/>
        <v>OK</v>
      </c>
      <c r="U315" s="25">
        <f t="shared" si="38"/>
        <v>24.5</v>
      </c>
      <c r="V315" t="str">
        <f t="shared" si="39"/>
        <v>OK</v>
      </c>
    </row>
    <row r="316" spans="1:22" ht="18" customHeight="1">
      <c r="A316" t="s">
        <v>134</v>
      </c>
      <c r="B316" t="s">
        <v>135</v>
      </c>
      <c r="C316">
        <v>13</v>
      </c>
      <c r="D316" t="s">
        <v>123</v>
      </c>
      <c r="E316" s="6">
        <f t="shared" si="32"/>
        <v>23</v>
      </c>
      <c r="F316" s="6">
        <f t="shared" si="33"/>
        <v>32</v>
      </c>
      <c r="G316" s="6">
        <f>ROUND(Catalogue!G19*SQRT((1+Paramètres!$B$4*(C316-1)+Paramètres!$B$5*(C316-1)^2)),0)</f>
        <v>0</v>
      </c>
      <c r="H316" s="6">
        <f>ROUND(Catalogue!H19*SQRT((1+Paramètres!$B$4*(C316-1)+Paramètres!$B$5*(C316-1)^2)),0)</f>
        <v>0</v>
      </c>
      <c r="I316" s="6">
        <v>2</v>
      </c>
      <c r="J316" s="6">
        <v>1</v>
      </c>
      <c r="K316" s="7">
        <v>2</v>
      </c>
      <c r="L316" s="9">
        <f t="shared" si="34"/>
        <v>27.5</v>
      </c>
      <c r="M316">
        <v>3</v>
      </c>
      <c r="N316">
        <v>4</v>
      </c>
      <c r="O316">
        <v>20</v>
      </c>
      <c r="P316" s="13" t="str">
        <f t="shared" si="35"/>
        <v>3d4 + 20</v>
      </c>
      <c r="Q316">
        <f>ROUND(INDEX(Catalogue!E$4:E$85,MATCH(A316,Catalogue!A$4:A$85,0))*(1+Paramètres!$B$4*(C316-1)+Paramètres!$B$5*(C316-1)^2),0)</f>
        <v>23</v>
      </c>
      <c r="R316">
        <f>ROUND(INDEX(Catalogue!F$4:F$85,MATCH(A316,Catalogue!A$4:A$85,0))*(1+Paramètres!$B$4*(C316-1)+Paramètres!$B$5*(C316-1)^2),0)</f>
        <v>32</v>
      </c>
      <c r="S316">
        <f t="shared" si="36"/>
        <v>0</v>
      </c>
      <c r="T316" t="str">
        <f t="shared" si="37"/>
        <v>OK</v>
      </c>
      <c r="U316" s="25">
        <f t="shared" si="38"/>
        <v>27.5</v>
      </c>
      <c r="V316" t="str">
        <f t="shared" si="39"/>
        <v>OK</v>
      </c>
    </row>
    <row r="317" spans="1:22" ht="18" customHeight="1">
      <c r="A317" t="s">
        <v>134</v>
      </c>
      <c r="B317" t="s">
        <v>135</v>
      </c>
      <c r="C317">
        <v>14</v>
      </c>
      <c r="D317" t="s">
        <v>123</v>
      </c>
      <c r="E317" s="6">
        <f t="shared" si="32"/>
        <v>26</v>
      </c>
      <c r="F317" s="6">
        <f t="shared" si="33"/>
        <v>36</v>
      </c>
      <c r="G317" s="6">
        <f>ROUND(Catalogue!G19*SQRT((1+Paramètres!$B$4*(C317-1)+Paramètres!$B$5*(C317-1)^2)),0)</f>
        <v>0</v>
      </c>
      <c r="H317" s="6">
        <f>ROUND(Catalogue!H19*SQRT((1+Paramètres!$B$4*(C317-1)+Paramètres!$B$5*(C317-1)^2)),0)</f>
        <v>0</v>
      </c>
      <c r="I317" s="6">
        <v>2</v>
      </c>
      <c r="J317" s="6">
        <v>1</v>
      </c>
      <c r="K317" s="7">
        <v>2</v>
      </c>
      <c r="L317" s="9">
        <f t="shared" si="34"/>
        <v>31</v>
      </c>
      <c r="M317">
        <v>2</v>
      </c>
      <c r="N317">
        <v>6</v>
      </c>
      <c r="O317">
        <v>24</v>
      </c>
      <c r="P317" s="13" t="str">
        <f t="shared" si="35"/>
        <v>2d6 + 24</v>
      </c>
      <c r="Q317">
        <f>ROUND(INDEX(Catalogue!E$4:E$85,MATCH(A317,Catalogue!A$4:A$85,0))*(1+Paramètres!$B$4*(C317-1)+Paramètres!$B$5*(C317-1)^2),0)</f>
        <v>26</v>
      </c>
      <c r="R317">
        <f>ROUND(INDEX(Catalogue!F$4:F$85,MATCH(A317,Catalogue!A$4:A$85,0))*(1+Paramètres!$B$4*(C317-1)+Paramètres!$B$5*(C317-1)^2),0)</f>
        <v>36</v>
      </c>
      <c r="S317">
        <f t="shared" si="36"/>
        <v>0</v>
      </c>
      <c r="T317" t="str">
        <f t="shared" si="37"/>
        <v>OK</v>
      </c>
      <c r="U317" s="25">
        <f t="shared" si="38"/>
        <v>31</v>
      </c>
      <c r="V317" t="str">
        <f t="shared" si="39"/>
        <v>OK</v>
      </c>
    </row>
    <row r="318" spans="1:22" ht="18" customHeight="1">
      <c r="A318" t="s">
        <v>134</v>
      </c>
      <c r="B318" t="s">
        <v>135</v>
      </c>
      <c r="C318">
        <v>15</v>
      </c>
      <c r="D318" t="s">
        <v>123</v>
      </c>
      <c r="E318" s="6">
        <f t="shared" si="32"/>
        <v>28</v>
      </c>
      <c r="F318" s="6">
        <f t="shared" si="33"/>
        <v>40</v>
      </c>
      <c r="G318" s="6">
        <f>ROUND(Catalogue!G19*SQRT((1+Paramètres!$B$4*(C318-1)+Paramètres!$B$5*(C318-1)^2)),0)</f>
        <v>0</v>
      </c>
      <c r="H318" s="6">
        <f>ROUND(Catalogue!H19*SQRT((1+Paramètres!$B$4*(C318-1)+Paramètres!$B$5*(C318-1)^2)),0)</f>
        <v>0</v>
      </c>
      <c r="I318" s="6">
        <v>2</v>
      </c>
      <c r="J318" s="6">
        <v>1</v>
      </c>
      <c r="K318" s="7">
        <v>2</v>
      </c>
      <c r="L318" s="9">
        <f t="shared" si="34"/>
        <v>34</v>
      </c>
      <c r="M318">
        <v>4</v>
      </c>
      <c r="N318">
        <v>4</v>
      </c>
      <c r="O318">
        <v>24</v>
      </c>
      <c r="P318" s="13" t="str">
        <f t="shared" si="35"/>
        <v>4d4 + 24</v>
      </c>
      <c r="Q318">
        <f>ROUND(INDEX(Catalogue!E$4:E$85,MATCH(A318,Catalogue!A$4:A$85,0))*(1+Paramètres!$B$4*(C318-1)+Paramètres!$B$5*(C318-1)^2),0)</f>
        <v>28</v>
      </c>
      <c r="R318">
        <f>ROUND(INDEX(Catalogue!F$4:F$85,MATCH(A318,Catalogue!A$4:A$85,0))*(1+Paramètres!$B$4*(C318-1)+Paramètres!$B$5*(C318-1)^2),0)</f>
        <v>40</v>
      </c>
      <c r="S318">
        <f t="shared" si="36"/>
        <v>0</v>
      </c>
      <c r="T318" t="str">
        <f t="shared" si="37"/>
        <v>OK</v>
      </c>
      <c r="U318" s="25">
        <f t="shared" si="38"/>
        <v>34</v>
      </c>
      <c r="V318" t="str">
        <f t="shared" si="39"/>
        <v>OK</v>
      </c>
    </row>
    <row r="319" spans="1:22" ht="18" customHeight="1">
      <c r="A319" t="s">
        <v>134</v>
      </c>
      <c r="B319" t="s">
        <v>135</v>
      </c>
      <c r="C319">
        <v>16</v>
      </c>
      <c r="D319" t="s">
        <v>123</v>
      </c>
      <c r="E319" s="6">
        <f t="shared" si="32"/>
        <v>30</v>
      </c>
      <c r="F319" s="6">
        <f t="shared" si="33"/>
        <v>44</v>
      </c>
      <c r="G319" s="6">
        <f>ROUND(Catalogue!G19*SQRT((1+Paramètres!$B$4*(C319-1)+Paramètres!$B$5*(C319-1)^2)),0)</f>
        <v>0</v>
      </c>
      <c r="H319" s="6">
        <f>ROUND(Catalogue!H19*SQRT((1+Paramètres!$B$4*(C319-1)+Paramètres!$B$5*(C319-1)^2)),0)</f>
        <v>0</v>
      </c>
      <c r="I319" s="6">
        <v>2</v>
      </c>
      <c r="J319" s="6">
        <v>1</v>
      </c>
      <c r="K319" s="7">
        <v>2</v>
      </c>
      <c r="L319" s="9">
        <f t="shared" si="34"/>
        <v>37</v>
      </c>
      <c r="M319">
        <v>2</v>
      </c>
      <c r="N319">
        <v>8</v>
      </c>
      <c r="O319">
        <v>28</v>
      </c>
      <c r="P319" s="13" t="str">
        <f t="shared" si="35"/>
        <v>2d8 + 28</v>
      </c>
      <c r="Q319">
        <f>ROUND(INDEX(Catalogue!E$4:E$85,MATCH(A319,Catalogue!A$4:A$85,0))*(1+Paramètres!$B$4*(C319-1)+Paramètres!$B$5*(C319-1)^2),0)</f>
        <v>31</v>
      </c>
      <c r="R319">
        <f>ROUND(INDEX(Catalogue!F$4:F$85,MATCH(A319,Catalogue!A$4:A$85,0))*(1+Paramètres!$B$4*(C319-1)+Paramètres!$B$5*(C319-1)^2),0)</f>
        <v>44</v>
      </c>
      <c r="S319">
        <f t="shared" si="36"/>
        <v>-0.5</v>
      </c>
      <c r="T319" t="str">
        <f t="shared" si="37"/>
        <v>OK</v>
      </c>
      <c r="U319" s="25">
        <f t="shared" si="38"/>
        <v>37</v>
      </c>
      <c r="V319" t="str">
        <f t="shared" si="39"/>
        <v>OK</v>
      </c>
    </row>
    <row r="320" spans="1:22" ht="18" customHeight="1">
      <c r="A320" t="s">
        <v>134</v>
      </c>
      <c r="B320" t="s">
        <v>135</v>
      </c>
      <c r="C320">
        <v>17</v>
      </c>
      <c r="D320" t="s">
        <v>123</v>
      </c>
      <c r="E320" s="6">
        <f t="shared" si="32"/>
        <v>34</v>
      </c>
      <c r="F320" s="6">
        <f t="shared" si="33"/>
        <v>48</v>
      </c>
      <c r="G320" s="6">
        <f>ROUND(Catalogue!G19*SQRT((1+Paramètres!$B$4*(C320-1)+Paramètres!$B$5*(C320-1)^2)),0)</f>
        <v>0</v>
      </c>
      <c r="H320" s="6">
        <f>ROUND(Catalogue!H19*SQRT((1+Paramètres!$B$4*(C320-1)+Paramètres!$B$5*(C320-1)^2)),0)</f>
        <v>0</v>
      </c>
      <c r="I320" s="6">
        <v>2</v>
      </c>
      <c r="J320" s="6">
        <v>1</v>
      </c>
      <c r="K320" s="7">
        <v>2</v>
      </c>
      <c r="L320" s="9">
        <f t="shared" si="34"/>
        <v>41</v>
      </c>
      <c r="M320">
        <v>2</v>
      </c>
      <c r="N320">
        <v>8</v>
      </c>
      <c r="O320">
        <v>32</v>
      </c>
      <c r="P320" s="13" t="str">
        <f t="shared" si="35"/>
        <v>2d8 + 32</v>
      </c>
      <c r="Q320">
        <f>ROUND(INDEX(Catalogue!E$4:E$85,MATCH(A320,Catalogue!A$4:A$85,0))*(1+Paramètres!$B$4*(C320-1)+Paramètres!$B$5*(C320-1)^2),0)</f>
        <v>34</v>
      </c>
      <c r="R320">
        <f>ROUND(INDEX(Catalogue!F$4:F$85,MATCH(A320,Catalogue!A$4:A$85,0))*(1+Paramètres!$B$4*(C320-1)+Paramètres!$B$5*(C320-1)^2),0)</f>
        <v>48</v>
      </c>
      <c r="S320">
        <f t="shared" si="36"/>
        <v>0</v>
      </c>
      <c r="T320" t="str">
        <f t="shared" si="37"/>
        <v>OK</v>
      </c>
      <c r="U320" s="25">
        <f t="shared" si="38"/>
        <v>41</v>
      </c>
      <c r="V320" t="str">
        <f t="shared" si="39"/>
        <v>OK</v>
      </c>
    </row>
    <row r="321" spans="1:22" ht="18" customHeight="1">
      <c r="A321" t="s">
        <v>134</v>
      </c>
      <c r="B321" t="s">
        <v>135</v>
      </c>
      <c r="C321">
        <v>18</v>
      </c>
      <c r="D321" t="s">
        <v>123</v>
      </c>
      <c r="E321" s="6">
        <f t="shared" si="32"/>
        <v>37</v>
      </c>
      <c r="F321" s="6">
        <f t="shared" si="33"/>
        <v>52</v>
      </c>
      <c r="G321" s="6">
        <f>ROUND(Catalogue!G19*SQRT((1+Paramètres!$B$4*(C321-1)+Paramètres!$B$5*(C321-1)^2)),0)</f>
        <v>0</v>
      </c>
      <c r="H321" s="6">
        <f>ROUND(Catalogue!H19*SQRT((1+Paramètres!$B$4*(C321-1)+Paramètres!$B$5*(C321-1)^2)),0)</f>
        <v>0</v>
      </c>
      <c r="I321" s="6">
        <v>2</v>
      </c>
      <c r="J321" s="6">
        <v>1</v>
      </c>
      <c r="K321" s="7">
        <v>2</v>
      </c>
      <c r="L321" s="9">
        <f t="shared" si="34"/>
        <v>44.5</v>
      </c>
      <c r="M321">
        <v>3</v>
      </c>
      <c r="N321">
        <v>6</v>
      </c>
      <c r="O321">
        <v>34</v>
      </c>
      <c r="P321" s="13" t="str">
        <f t="shared" si="35"/>
        <v>3d6 + 34</v>
      </c>
      <c r="Q321">
        <f>ROUND(INDEX(Catalogue!E$4:E$85,MATCH(A321,Catalogue!A$4:A$85,0))*(1+Paramètres!$B$4*(C321-1)+Paramètres!$B$5*(C321-1)^2),0)</f>
        <v>37</v>
      </c>
      <c r="R321">
        <f>ROUND(INDEX(Catalogue!F$4:F$85,MATCH(A321,Catalogue!A$4:A$85,0))*(1+Paramètres!$B$4*(C321-1)+Paramètres!$B$5*(C321-1)^2),0)</f>
        <v>52</v>
      </c>
      <c r="S321">
        <f t="shared" si="36"/>
        <v>0</v>
      </c>
      <c r="T321" t="str">
        <f t="shared" si="37"/>
        <v>OK</v>
      </c>
      <c r="U321" s="25">
        <f t="shared" si="38"/>
        <v>44.5</v>
      </c>
      <c r="V321" t="str">
        <f t="shared" si="39"/>
        <v>OK</v>
      </c>
    </row>
    <row r="322" spans="1:22" ht="18" customHeight="1">
      <c r="A322" t="s">
        <v>134</v>
      </c>
      <c r="B322" t="s">
        <v>135</v>
      </c>
      <c r="C322">
        <v>19</v>
      </c>
      <c r="D322" t="s">
        <v>123</v>
      </c>
      <c r="E322" s="6">
        <f t="shared" si="32"/>
        <v>41</v>
      </c>
      <c r="F322" s="6">
        <f t="shared" si="33"/>
        <v>56</v>
      </c>
      <c r="G322" s="6">
        <f>ROUND(Catalogue!G19*SQRT((1+Paramètres!$B$4*(C322-1)+Paramètres!$B$5*(C322-1)^2)),0)</f>
        <v>0</v>
      </c>
      <c r="H322" s="6">
        <f>ROUND(Catalogue!H19*SQRT((1+Paramètres!$B$4*(C322-1)+Paramètres!$B$5*(C322-1)^2)),0)</f>
        <v>0</v>
      </c>
      <c r="I322" s="6">
        <v>2</v>
      </c>
      <c r="J322" s="6">
        <v>1</v>
      </c>
      <c r="K322" s="7">
        <v>2</v>
      </c>
      <c r="L322" s="9">
        <f t="shared" si="34"/>
        <v>48.5</v>
      </c>
      <c r="M322">
        <v>3</v>
      </c>
      <c r="N322">
        <v>6</v>
      </c>
      <c r="O322">
        <v>38</v>
      </c>
      <c r="P322" s="13" t="str">
        <f t="shared" si="35"/>
        <v>3d6 + 38</v>
      </c>
      <c r="Q322">
        <f>ROUND(INDEX(Catalogue!E$4:E$85,MATCH(A322,Catalogue!A$4:A$85,0))*(1+Paramètres!$B$4*(C322-1)+Paramètres!$B$5*(C322-1)^2),0)</f>
        <v>41</v>
      </c>
      <c r="R322">
        <f>ROUND(INDEX(Catalogue!F$4:F$85,MATCH(A322,Catalogue!A$4:A$85,0))*(1+Paramètres!$B$4*(C322-1)+Paramètres!$B$5*(C322-1)^2),0)</f>
        <v>57</v>
      </c>
      <c r="S322">
        <f t="shared" si="36"/>
        <v>-0.5</v>
      </c>
      <c r="T322" t="str">
        <f t="shared" si="37"/>
        <v>OK</v>
      </c>
      <c r="U322" s="25">
        <f t="shared" si="38"/>
        <v>48.5</v>
      </c>
      <c r="V322" t="str">
        <f t="shared" si="39"/>
        <v>OK</v>
      </c>
    </row>
    <row r="323" spans="1:22" ht="18" customHeight="1">
      <c r="A323" t="s">
        <v>134</v>
      </c>
      <c r="B323" t="s">
        <v>135</v>
      </c>
      <c r="C323">
        <v>20</v>
      </c>
      <c r="D323" t="s">
        <v>123</v>
      </c>
      <c r="E323" s="6">
        <f t="shared" si="32"/>
        <v>44</v>
      </c>
      <c r="F323" s="6">
        <f t="shared" si="33"/>
        <v>62</v>
      </c>
      <c r="G323" s="6">
        <f>ROUND(Catalogue!G19*SQRT((1+Paramètres!$B$4*(C323-1)+Paramètres!$B$5*(C323-1)^2)),0)</f>
        <v>0</v>
      </c>
      <c r="H323" s="6">
        <f>ROUND(Catalogue!H19*SQRT((1+Paramètres!$B$4*(C323-1)+Paramètres!$B$5*(C323-1)^2)),0)</f>
        <v>0</v>
      </c>
      <c r="I323" s="6">
        <v>2</v>
      </c>
      <c r="J323" s="6">
        <v>1</v>
      </c>
      <c r="K323" s="7">
        <v>2</v>
      </c>
      <c r="L323" s="9">
        <f t="shared" si="34"/>
        <v>53</v>
      </c>
      <c r="M323">
        <v>2</v>
      </c>
      <c r="N323">
        <v>10</v>
      </c>
      <c r="O323">
        <v>42</v>
      </c>
      <c r="P323" s="13" t="str">
        <f t="shared" si="35"/>
        <v>2d10 + 42</v>
      </c>
      <c r="Q323">
        <f>ROUND(INDEX(Catalogue!E$4:E$85,MATCH(A323,Catalogue!A$4:A$85,0))*(1+Paramètres!$B$4*(C323-1)+Paramètres!$B$5*(C323-1)^2),0)</f>
        <v>44</v>
      </c>
      <c r="R323">
        <f>ROUND(INDEX(Catalogue!F$4:F$85,MATCH(A323,Catalogue!A$4:A$85,0))*(1+Paramètres!$B$4*(C323-1)+Paramètres!$B$5*(C323-1)^2),0)</f>
        <v>62</v>
      </c>
      <c r="S323">
        <f t="shared" si="36"/>
        <v>0</v>
      </c>
      <c r="T323" t="str">
        <f t="shared" si="37"/>
        <v>OK</v>
      </c>
      <c r="U323" s="25">
        <f t="shared" si="38"/>
        <v>53</v>
      </c>
      <c r="V323" t="str">
        <f t="shared" si="39"/>
        <v>OK</v>
      </c>
    </row>
    <row r="324" spans="1:22" ht="18" customHeight="1">
      <c r="A324" t="s">
        <v>137</v>
      </c>
      <c r="B324" t="s">
        <v>138</v>
      </c>
      <c r="C324">
        <v>1</v>
      </c>
      <c r="D324" t="s">
        <v>123</v>
      </c>
      <c r="E324" s="6">
        <f t="shared" ref="E324:E387" si="40">IF(M324=0,0,M324+O324)</f>
        <v>4</v>
      </c>
      <c r="F324" s="6">
        <f t="shared" ref="F324:F387" si="41">IF(M324=0,0,M324*N324+O324)</f>
        <v>7</v>
      </c>
      <c r="G324" s="6">
        <f>ROUND(Catalogue!G20*SQRT((1+Paramètres!$B$4*(C324-1)+Paramètres!$B$5*(C324-1)^2)),0)</f>
        <v>0</v>
      </c>
      <c r="H324" s="6">
        <f>ROUND(Catalogue!H20*SQRT((1+Paramètres!$B$4*(C324-1)+Paramètres!$B$5*(C324-1)^2)),0)</f>
        <v>0</v>
      </c>
      <c r="I324" s="6">
        <v>2</v>
      </c>
      <c r="J324" s="6">
        <v>1</v>
      </c>
      <c r="K324" s="7">
        <v>1.6</v>
      </c>
      <c r="L324" s="9">
        <f t="shared" ref="L324:L387" si="42">IF(M324=0,0,(E324+F324)/2)</f>
        <v>5.5</v>
      </c>
      <c r="M324">
        <v>1</v>
      </c>
      <c r="N324">
        <v>4</v>
      </c>
      <c r="O324">
        <v>3</v>
      </c>
      <c r="P324" s="13" t="str">
        <f t="shared" ref="P324:P387" si="43">IF(M324=0,"—",M324&amp;"d"&amp;N324&amp;IF(O324=0,""," + "&amp;O324))</f>
        <v>1d4 + 3</v>
      </c>
      <c r="Q324">
        <f>ROUND(INDEX(Catalogue!E$4:E$85,MATCH(A324,Catalogue!A$4:A$85,0))*(1+Paramètres!$B$4*(C324-1)+Paramètres!$B$5*(C324-1)^2),0)</f>
        <v>4</v>
      </c>
      <c r="R324">
        <f>ROUND(INDEX(Catalogue!F$4:F$85,MATCH(A324,Catalogue!A$4:A$85,0))*(1+Paramètres!$B$4*(C324-1)+Paramètres!$B$5*(C324-1)^2),0)</f>
        <v>7</v>
      </c>
      <c r="S324">
        <f t="shared" ref="S324:S387" si="44">L324-AVERAGE(Q324:R324)</f>
        <v>0</v>
      </c>
      <c r="T324" t="str">
        <f t="shared" ref="T324:T387" si="45">IF(M324=0,IF(AND(N324=0,O324=0,E324=0,F324=0),"OK","ERREUR"),IF(AND(M324&gt;=1,M324&lt;=32,OR(N324=4,N324=6,N324=8,N324=10,N324=12,N324=20),O324&gt;=0,E324=M324+O324,F324=M324*N324+O324),"OK","ERREUR"))</f>
        <v>OK</v>
      </c>
      <c r="U324" s="25">
        <f t="shared" ref="U324:U387" si="46">IF(M324&gt;0,M324*(N324+1)/2+O324,0)</f>
        <v>5.5</v>
      </c>
      <c r="V324" t="str">
        <f t="shared" ref="V324:V387" si="47">IF(ABS(L324-U324)&lt;0.001,"OK","ERREUR")</f>
        <v>OK</v>
      </c>
    </row>
    <row r="325" spans="1:22" ht="18" customHeight="1">
      <c r="A325" t="s">
        <v>137</v>
      </c>
      <c r="B325" t="s">
        <v>138</v>
      </c>
      <c r="C325">
        <v>2</v>
      </c>
      <c r="D325" t="s">
        <v>123</v>
      </c>
      <c r="E325" s="6">
        <f t="shared" si="40"/>
        <v>5</v>
      </c>
      <c r="F325" s="6">
        <f t="shared" si="41"/>
        <v>8</v>
      </c>
      <c r="G325" s="6">
        <f>ROUND(Catalogue!G20*SQRT((1+Paramètres!$B$4*(C325-1)+Paramètres!$B$5*(C325-1)^2)),0)</f>
        <v>0</v>
      </c>
      <c r="H325" s="6">
        <f>ROUND(Catalogue!H20*SQRT((1+Paramètres!$B$4*(C325-1)+Paramètres!$B$5*(C325-1)^2)),0)</f>
        <v>0</v>
      </c>
      <c r="I325" s="6">
        <v>2</v>
      </c>
      <c r="J325" s="6">
        <v>1</v>
      </c>
      <c r="K325" s="7">
        <v>1.6</v>
      </c>
      <c r="L325" s="9">
        <f t="shared" si="42"/>
        <v>6.5</v>
      </c>
      <c r="M325">
        <v>1</v>
      </c>
      <c r="N325">
        <v>4</v>
      </c>
      <c r="O325">
        <v>4</v>
      </c>
      <c r="P325" s="13" t="str">
        <f t="shared" si="43"/>
        <v>1d4 + 4</v>
      </c>
      <c r="Q325">
        <f>ROUND(INDEX(Catalogue!E$4:E$85,MATCH(A325,Catalogue!A$4:A$85,0))*(1+Paramètres!$B$4*(C325-1)+Paramètres!$B$5*(C325-1)^2),0)</f>
        <v>5</v>
      </c>
      <c r="R325">
        <f>ROUND(INDEX(Catalogue!F$4:F$85,MATCH(A325,Catalogue!A$4:A$85,0))*(1+Paramètres!$B$4*(C325-1)+Paramètres!$B$5*(C325-1)^2),0)</f>
        <v>8</v>
      </c>
      <c r="S325">
        <f t="shared" si="44"/>
        <v>0</v>
      </c>
      <c r="T325" t="str">
        <f t="shared" si="45"/>
        <v>OK</v>
      </c>
      <c r="U325" s="25">
        <f t="shared" si="46"/>
        <v>6.5</v>
      </c>
      <c r="V325" t="str">
        <f t="shared" si="47"/>
        <v>OK</v>
      </c>
    </row>
    <row r="326" spans="1:22" ht="18" customHeight="1">
      <c r="A326" t="s">
        <v>137</v>
      </c>
      <c r="B326" t="s">
        <v>138</v>
      </c>
      <c r="C326">
        <v>3</v>
      </c>
      <c r="D326" t="s">
        <v>123</v>
      </c>
      <c r="E326" s="6">
        <f t="shared" si="40"/>
        <v>5</v>
      </c>
      <c r="F326" s="6">
        <f t="shared" si="41"/>
        <v>8</v>
      </c>
      <c r="G326" s="6">
        <f>ROUND(Catalogue!G20*SQRT((1+Paramètres!$B$4*(C326-1)+Paramètres!$B$5*(C326-1)^2)),0)</f>
        <v>0</v>
      </c>
      <c r="H326" s="6">
        <f>ROUND(Catalogue!H20*SQRT((1+Paramètres!$B$4*(C326-1)+Paramètres!$B$5*(C326-1)^2)),0)</f>
        <v>0</v>
      </c>
      <c r="I326" s="6">
        <v>2</v>
      </c>
      <c r="J326" s="6">
        <v>1</v>
      </c>
      <c r="K326" s="7">
        <v>1.6</v>
      </c>
      <c r="L326" s="9">
        <f t="shared" si="42"/>
        <v>6.5</v>
      </c>
      <c r="M326">
        <v>1</v>
      </c>
      <c r="N326">
        <v>4</v>
      </c>
      <c r="O326">
        <v>4</v>
      </c>
      <c r="P326" s="13" t="str">
        <f t="shared" si="43"/>
        <v>1d4 + 4</v>
      </c>
      <c r="Q326">
        <f>ROUND(INDEX(Catalogue!E$4:E$85,MATCH(A326,Catalogue!A$4:A$85,0))*(1+Paramètres!$B$4*(C326-1)+Paramètres!$B$5*(C326-1)^2),0)</f>
        <v>5</v>
      </c>
      <c r="R326">
        <f>ROUND(INDEX(Catalogue!F$4:F$85,MATCH(A326,Catalogue!A$4:A$85,0))*(1+Paramètres!$B$4*(C326-1)+Paramètres!$B$5*(C326-1)^2),0)</f>
        <v>9</v>
      </c>
      <c r="S326">
        <f t="shared" si="44"/>
        <v>-0.5</v>
      </c>
      <c r="T326" t="str">
        <f t="shared" si="45"/>
        <v>OK</v>
      </c>
      <c r="U326" s="25">
        <f t="shared" si="46"/>
        <v>6.5</v>
      </c>
      <c r="V326" t="str">
        <f t="shared" si="47"/>
        <v>OK</v>
      </c>
    </row>
    <row r="327" spans="1:22" ht="18" customHeight="1">
      <c r="A327" t="s">
        <v>137</v>
      </c>
      <c r="B327" t="s">
        <v>138</v>
      </c>
      <c r="C327">
        <v>4</v>
      </c>
      <c r="D327" t="s">
        <v>123</v>
      </c>
      <c r="E327" s="6">
        <f t="shared" si="40"/>
        <v>6</v>
      </c>
      <c r="F327" s="6">
        <f t="shared" si="41"/>
        <v>9</v>
      </c>
      <c r="G327" s="6">
        <f>ROUND(Catalogue!G20*SQRT((1+Paramètres!$B$4*(C327-1)+Paramètres!$B$5*(C327-1)^2)),0)</f>
        <v>0</v>
      </c>
      <c r="H327" s="6">
        <f>ROUND(Catalogue!H20*SQRT((1+Paramètres!$B$4*(C327-1)+Paramètres!$B$5*(C327-1)^2)),0)</f>
        <v>0</v>
      </c>
      <c r="I327" s="6">
        <v>2</v>
      </c>
      <c r="J327" s="6">
        <v>1</v>
      </c>
      <c r="K327" s="7">
        <v>1.6</v>
      </c>
      <c r="L327" s="9">
        <f t="shared" si="42"/>
        <v>7.5</v>
      </c>
      <c r="M327">
        <v>1</v>
      </c>
      <c r="N327">
        <v>4</v>
      </c>
      <c r="O327">
        <v>5</v>
      </c>
      <c r="P327" s="13" t="str">
        <f t="shared" si="43"/>
        <v>1d4 + 5</v>
      </c>
      <c r="Q327">
        <f>ROUND(INDEX(Catalogue!E$4:E$85,MATCH(A327,Catalogue!A$4:A$85,0))*(1+Paramètres!$B$4*(C327-1)+Paramètres!$B$5*(C327-1)^2),0)</f>
        <v>6</v>
      </c>
      <c r="R327">
        <f>ROUND(INDEX(Catalogue!F$4:F$85,MATCH(A327,Catalogue!A$4:A$85,0))*(1+Paramètres!$B$4*(C327-1)+Paramètres!$B$5*(C327-1)^2),0)</f>
        <v>10</v>
      </c>
      <c r="S327">
        <f t="shared" si="44"/>
        <v>-0.5</v>
      </c>
      <c r="T327" t="str">
        <f t="shared" si="45"/>
        <v>OK</v>
      </c>
      <c r="U327" s="25">
        <f t="shared" si="46"/>
        <v>7.5</v>
      </c>
      <c r="V327" t="str">
        <f t="shared" si="47"/>
        <v>OK</v>
      </c>
    </row>
    <row r="328" spans="1:22" ht="18" customHeight="1">
      <c r="A328" t="s">
        <v>137</v>
      </c>
      <c r="B328" t="s">
        <v>138</v>
      </c>
      <c r="C328">
        <v>5</v>
      </c>
      <c r="D328" t="s">
        <v>123</v>
      </c>
      <c r="E328" s="6">
        <f t="shared" si="40"/>
        <v>7</v>
      </c>
      <c r="F328" s="6">
        <f t="shared" si="41"/>
        <v>12</v>
      </c>
      <c r="G328" s="6">
        <f>ROUND(Catalogue!G20*SQRT((1+Paramètres!$B$4*(C328-1)+Paramètres!$B$5*(C328-1)^2)),0)</f>
        <v>0</v>
      </c>
      <c r="H328" s="6">
        <f>ROUND(Catalogue!H20*SQRT((1+Paramètres!$B$4*(C328-1)+Paramètres!$B$5*(C328-1)^2)),0)</f>
        <v>0</v>
      </c>
      <c r="I328" s="6">
        <v>2</v>
      </c>
      <c r="J328" s="6">
        <v>1</v>
      </c>
      <c r="K328" s="7">
        <v>1.6</v>
      </c>
      <c r="L328" s="9">
        <f t="shared" si="42"/>
        <v>9.5</v>
      </c>
      <c r="M328">
        <v>1</v>
      </c>
      <c r="N328">
        <v>6</v>
      </c>
      <c r="O328">
        <v>6</v>
      </c>
      <c r="P328" s="13" t="str">
        <f t="shared" si="43"/>
        <v>1d6 + 6</v>
      </c>
      <c r="Q328">
        <f>ROUND(INDEX(Catalogue!E$4:E$85,MATCH(A328,Catalogue!A$4:A$85,0))*(1+Paramètres!$B$4*(C328-1)+Paramètres!$B$5*(C328-1)^2),0)</f>
        <v>7</v>
      </c>
      <c r="R328">
        <f>ROUND(INDEX(Catalogue!F$4:F$85,MATCH(A328,Catalogue!A$4:A$85,0))*(1+Paramètres!$B$4*(C328-1)+Paramètres!$B$5*(C328-1)^2),0)</f>
        <v>12</v>
      </c>
      <c r="S328">
        <f t="shared" si="44"/>
        <v>0</v>
      </c>
      <c r="T328" t="str">
        <f t="shared" si="45"/>
        <v>OK</v>
      </c>
      <c r="U328" s="25">
        <f t="shared" si="46"/>
        <v>9.5</v>
      </c>
      <c r="V328" t="str">
        <f t="shared" si="47"/>
        <v>OK</v>
      </c>
    </row>
    <row r="329" spans="1:22" ht="18" customHeight="1">
      <c r="A329" t="s">
        <v>137</v>
      </c>
      <c r="B329" t="s">
        <v>138</v>
      </c>
      <c r="C329">
        <v>6</v>
      </c>
      <c r="D329" t="s">
        <v>123</v>
      </c>
      <c r="E329" s="6">
        <f t="shared" si="40"/>
        <v>8</v>
      </c>
      <c r="F329" s="6">
        <f t="shared" si="41"/>
        <v>14</v>
      </c>
      <c r="G329" s="6">
        <f>ROUND(Catalogue!G20*SQRT((1+Paramètres!$B$4*(C329-1)+Paramètres!$B$5*(C329-1)^2)),0)</f>
        <v>0</v>
      </c>
      <c r="H329" s="6">
        <f>ROUND(Catalogue!H20*SQRT((1+Paramètres!$B$4*(C329-1)+Paramètres!$B$5*(C329-1)^2)),0)</f>
        <v>0</v>
      </c>
      <c r="I329" s="6">
        <v>2</v>
      </c>
      <c r="J329" s="6">
        <v>1</v>
      </c>
      <c r="K329" s="7">
        <v>1.6</v>
      </c>
      <c r="L329" s="9">
        <f t="shared" si="42"/>
        <v>11</v>
      </c>
      <c r="M329">
        <v>2</v>
      </c>
      <c r="N329">
        <v>4</v>
      </c>
      <c r="O329">
        <v>6</v>
      </c>
      <c r="P329" s="13" t="str">
        <f t="shared" si="43"/>
        <v>2d4 + 6</v>
      </c>
      <c r="Q329">
        <f>ROUND(INDEX(Catalogue!E$4:E$85,MATCH(A329,Catalogue!A$4:A$85,0))*(1+Paramètres!$B$4*(C329-1)+Paramètres!$B$5*(C329-1)^2),0)</f>
        <v>8</v>
      </c>
      <c r="R329">
        <f>ROUND(INDEX(Catalogue!F$4:F$85,MATCH(A329,Catalogue!A$4:A$85,0))*(1+Paramètres!$B$4*(C329-1)+Paramètres!$B$5*(C329-1)^2),0)</f>
        <v>14</v>
      </c>
      <c r="S329">
        <f t="shared" si="44"/>
        <v>0</v>
      </c>
      <c r="T329" t="str">
        <f t="shared" si="45"/>
        <v>OK</v>
      </c>
      <c r="U329" s="25">
        <f t="shared" si="46"/>
        <v>11</v>
      </c>
      <c r="V329" t="str">
        <f t="shared" si="47"/>
        <v>OK</v>
      </c>
    </row>
    <row r="330" spans="1:22" ht="18" customHeight="1">
      <c r="A330" t="s">
        <v>137</v>
      </c>
      <c r="B330" t="s">
        <v>138</v>
      </c>
      <c r="C330">
        <v>7</v>
      </c>
      <c r="D330" t="s">
        <v>123</v>
      </c>
      <c r="E330" s="6">
        <f t="shared" si="40"/>
        <v>9</v>
      </c>
      <c r="F330" s="6">
        <f t="shared" si="41"/>
        <v>16</v>
      </c>
      <c r="G330" s="6">
        <f>ROUND(Catalogue!G20*SQRT((1+Paramètres!$B$4*(C330-1)+Paramètres!$B$5*(C330-1)^2)),0)</f>
        <v>0</v>
      </c>
      <c r="H330" s="6">
        <f>ROUND(Catalogue!H20*SQRT((1+Paramètres!$B$4*(C330-1)+Paramètres!$B$5*(C330-1)^2)),0)</f>
        <v>0</v>
      </c>
      <c r="I330" s="6">
        <v>2</v>
      </c>
      <c r="J330" s="6">
        <v>1</v>
      </c>
      <c r="K330" s="7">
        <v>1.6</v>
      </c>
      <c r="L330" s="9">
        <f t="shared" si="42"/>
        <v>12.5</v>
      </c>
      <c r="M330">
        <v>1</v>
      </c>
      <c r="N330">
        <v>8</v>
      </c>
      <c r="O330">
        <v>8</v>
      </c>
      <c r="P330" s="13" t="str">
        <f t="shared" si="43"/>
        <v>1d8 + 8</v>
      </c>
      <c r="Q330">
        <f>ROUND(INDEX(Catalogue!E$4:E$85,MATCH(A330,Catalogue!A$4:A$85,0))*(1+Paramètres!$B$4*(C330-1)+Paramètres!$B$5*(C330-1)^2),0)</f>
        <v>9</v>
      </c>
      <c r="R330">
        <f>ROUND(INDEX(Catalogue!F$4:F$85,MATCH(A330,Catalogue!A$4:A$85,0))*(1+Paramètres!$B$4*(C330-1)+Paramètres!$B$5*(C330-1)^2),0)</f>
        <v>16</v>
      </c>
      <c r="S330">
        <f t="shared" si="44"/>
        <v>0</v>
      </c>
      <c r="T330" t="str">
        <f t="shared" si="45"/>
        <v>OK</v>
      </c>
      <c r="U330" s="25">
        <f t="shared" si="46"/>
        <v>12.5</v>
      </c>
      <c r="V330" t="str">
        <f t="shared" si="47"/>
        <v>OK</v>
      </c>
    </row>
    <row r="331" spans="1:22" ht="18" customHeight="1">
      <c r="A331" t="s">
        <v>137</v>
      </c>
      <c r="B331" t="s">
        <v>138</v>
      </c>
      <c r="C331">
        <v>8</v>
      </c>
      <c r="D331" t="s">
        <v>123</v>
      </c>
      <c r="E331" s="6">
        <f t="shared" si="40"/>
        <v>9</v>
      </c>
      <c r="F331" s="6">
        <f t="shared" si="41"/>
        <v>18</v>
      </c>
      <c r="G331" s="6">
        <f>ROUND(Catalogue!G20*SQRT((1+Paramètres!$B$4*(C331-1)+Paramètres!$B$5*(C331-1)^2)),0)</f>
        <v>0</v>
      </c>
      <c r="H331" s="6">
        <f>ROUND(Catalogue!H20*SQRT((1+Paramètres!$B$4*(C331-1)+Paramètres!$B$5*(C331-1)^2)),0)</f>
        <v>0</v>
      </c>
      <c r="I331" s="6">
        <v>2</v>
      </c>
      <c r="J331" s="6">
        <v>1</v>
      </c>
      <c r="K331" s="7">
        <v>1.6</v>
      </c>
      <c r="L331" s="9">
        <f t="shared" si="42"/>
        <v>13.5</v>
      </c>
      <c r="M331">
        <v>3</v>
      </c>
      <c r="N331">
        <v>4</v>
      </c>
      <c r="O331">
        <v>6</v>
      </c>
      <c r="P331" s="13" t="str">
        <f t="shared" si="43"/>
        <v>3d4 + 6</v>
      </c>
      <c r="Q331">
        <f>ROUND(INDEX(Catalogue!E$4:E$85,MATCH(A331,Catalogue!A$4:A$85,0))*(1+Paramètres!$B$4*(C331-1)+Paramètres!$B$5*(C331-1)^2),0)</f>
        <v>10</v>
      </c>
      <c r="R331">
        <f>ROUND(INDEX(Catalogue!F$4:F$85,MATCH(A331,Catalogue!A$4:A$85,0))*(1+Paramètres!$B$4*(C331-1)+Paramètres!$B$5*(C331-1)^2),0)</f>
        <v>18</v>
      </c>
      <c r="S331">
        <f t="shared" si="44"/>
        <v>-0.5</v>
      </c>
      <c r="T331" t="str">
        <f t="shared" si="45"/>
        <v>OK</v>
      </c>
      <c r="U331" s="25">
        <f t="shared" si="46"/>
        <v>13.5</v>
      </c>
      <c r="V331" t="str">
        <f t="shared" si="47"/>
        <v>OK</v>
      </c>
    </row>
    <row r="332" spans="1:22" ht="18" customHeight="1">
      <c r="A332" t="s">
        <v>137</v>
      </c>
      <c r="B332" t="s">
        <v>138</v>
      </c>
      <c r="C332">
        <v>9</v>
      </c>
      <c r="D332" t="s">
        <v>123</v>
      </c>
      <c r="E332" s="6">
        <f t="shared" si="40"/>
        <v>11</v>
      </c>
      <c r="F332" s="6">
        <f t="shared" si="41"/>
        <v>20</v>
      </c>
      <c r="G332" s="6">
        <f>ROUND(Catalogue!G20*SQRT((1+Paramètres!$B$4*(C332-1)+Paramètres!$B$5*(C332-1)^2)),0)</f>
        <v>0</v>
      </c>
      <c r="H332" s="6">
        <f>ROUND(Catalogue!H20*SQRT((1+Paramètres!$B$4*(C332-1)+Paramètres!$B$5*(C332-1)^2)),0)</f>
        <v>0</v>
      </c>
      <c r="I332" s="6">
        <v>2</v>
      </c>
      <c r="J332" s="6">
        <v>1</v>
      </c>
      <c r="K332" s="7">
        <v>1.6</v>
      </c>
      <c r="L332" s="9">
        <f t="shared" si="42"/>
        <v>15.5</v>
      </c>
      <c r="M332">
        <v>3</v>
      </c>
      <c r="N332">
        <v>4</v>
      </c>
      <c r="O332">
        <v>8</v>
      </c>
      <c r="P332" s="13" t="str">
        <f t="shared" si="43"/>
        <v>3d4 + 8</v>
      </c>
      <c r="Q332">
        <f>ROUND(INDEX(Catalogue!E$4:E$85,MATCH(A332,Catalogue!A$4:A$85,0))*(1+Paramètres!$B$4*(C332-1)+Paramètres!$B$5*(C332-1)^2),0)</f>
        <v>12</v>
      </c>
      <c r="R332">
        <f>ROUND(INDEX(Catalogue!F$4:F$85,MATCH(A332,Catalogue!A$4:A$85,0))*(1+Paramètres!$B$4*(C332-1)+Paramètres!$B$5*(C332-1)^2),0)</f>
        <v>20</v>
      </c>
      <c r="S332">
        <f t="shared" si="44"/>
        <v>-0.5</v>
      </c>
      <c r="T332" t="str">
        <f t="shared" si="45"/>
        <v>OK</v>
      </c>
      <c r="U332" s="25">
        <f t="shared" si="46"/>
        <v>15.5</v>
      </c>
      <c r="V332" t="str">
        <f t="shared" si="47"/>
        <v>OK</v>
      </c>
    </row>
    <row r="333" spans="1:22" ht="18" customHeight="1">
      <c r="A333" t="s">
        <v>137</v>
      </c>
      <c r="B333" t="s">
        <v>138</v>
      </c>
      <c r="C333">
        <v>10</v>
      </c>
      <c r="D333" t="s">
        <v>123</v>
      </c>
      <c r="E333" s="6">
        <f t="shared" si="40"/>
        <v>13</v>
      </c>
      <c r="F333" s="6">
        <f t="shared" si="41"/>
        <v>23</v>
      </c>
      <c r="G333" s="6">
        <f>ROUND(Catalogue!G20*SQRT((1+Paramètres!$B$4*(C333-1)+Paramètres!$B$5*(C333-1)^2)),0)</f>
        <v>0</v>
      </c>
      <c r="H333" s="6">
        <f>ROUND(Catalogue!H20*SQRT((1+Paramètres!$B$4*(C333-1)+Paramètres!$B$5*(C333-1)^2)),0)</f>
        <v>0</v>
      </c>
      <c r="I333" s="6">
        <v>2</v>
      </c>
      <c r="J333" s="6">
        <v>1</v>
      </c>
      <c r="K333" s="7">
        <v>1.6</v>
      </c>
      <c r="L333" s="9">
        <f t="shared" si="42"/>
        <v>18</v>
      </c>
      <c r="M333">
        <v>2</v>
      </c>
      <c r="N333">
        <v>6</v>
      </c>
      <c r="O333">
        <v>11</v>
      </c>
      <c r="P333" s="13" t="str">
        <f t="shared" si="43"/>
        <v>2d6 + 11</v>
      </c>
      <c r="Q333">
        <f>ROUND(INDEX(Catalogue!E$4:E$85,MATCH(A333,Catalogue!A$4:A$85,0))*(1+Paramètres!$B$4*(C333-1)+Paramètres!$B$5*(C333-1)^2),0)</f>
        <v>13</v>
      </c>
      <c r="R333">
        <f>ROUND(INDEX(Catalogue!F$4:F$85,MATCH(A333,Catalogue!A$4:A$85,0))*(1+Paramètres!$B$4*(C333-1)+Paramètres!$B$5*(C333-1)^2),0)</f>
        <v>23</v>
      </c>
      <c r="S333">
        <f t="shared" si="44"/>
        <v>0</v>
      </c>
      <c r="T333" t="str">
        <f t="shared" si="45"/>
        <v>OK</v>
      </c>
      <c r="U333" s="25">
        <f t="shared" si="46"/>
        <v>18</v>
      </c>
      <c r="V333" t="str">
        <f t="shared" si="47"/>
        <v>OK</v>
      </c>
    </row>
    <row r="334" spans="1:22" ht="18" customHeight="1">
      <c r="A334" t="s">
        <v>137</v>
      </c>
      <c r="B334" t="s">
        <v>138</v>
      </c>
      <c r="C334">
        <v>11</v>
      </c>
      <c r="D334" t="s">
        <v>123</v>
      </c>
      <c r="E334" s="6">
        <f t="shared" si="40"/>
        <v>15</v>
      </c>
      <c r="F334" s="6">
        <f t="shared" si="41"/>
        <v>26</v>
      </c>
      <c r="G334" s="6">
        <f>ROUND(Catalogue!G20*SQRT((1+Paramètres!$B$4*(C334-1)+Paramètres!$B$5*(C334-1)^2)),0)</f>
        <v>0</v>
      </c>
      <c r="H334" s="6">
        <f>ROUND(Catalogue!H20*SQRT((1+Paramètres!$B$4*(C334-1)+Paramètres!$B$5*(C334-1)^2)),0)</f>
        <v>0</v>
      </c>
      <c r="I334" s="6">
        <v>2</v>
      </c>
      <c r="J334" s="6">
        <v>1</v>
      </c>
      <c r="K334" s="7">
        <v>1.6</v>
      </c>
      <c r="L334" s="9">
        <f t="shared" si="42"/>
        <v>20.5</v>
      </c>
      <c r="M334">
        <v>1</v>
      </c>
      <c r="N334">
        <v>12</v>
      </c>
      <c r="O334">
        <v>14</v>
      </c>
      <c r="P334" s="13" t="str">
        <f t="shared" si="43"/>
        <v>1d12 + 14</v>
      </c>
      <c r="Q334">
        <f>ROUND(INDEX(Catalogue!E$4:E$85,MATCH(A334,Catalogue!A$4:A$85,0))*(1+Paramètres!$B$4*(C334-1)+Paramètres!$B$5*(C334-1)^2),0)</f>
        <v>15</v>
      </c>
      <c r="R334">
        <f>ROUND(INDEX(Catalogue!F$4:F$85,MATCH(A334,Catalogue!A$4:A$85,0))*(1+Paramètres!$B$4*(C334-1)+Paramètres!$B$5*(C334-1)^2),0)</f>
        <v>26</v>
      </c>
      <c r="S334">
        <f t="shared" si="44"/>
        <v>0</v>
      </c>
      <c r="T334" t="str">
        <f t="shared" si="45"/>
        <v>OK</v>
      </c>
      <c r="U334" s="25">
        <f t="shared" si="46"/>
        <v>20.5</v>
      </c>
      <c r="V334" t="str">
        <f t="shared" si="47"/>
        <v>OK</v>
      </c>
    </row>
    <row r="335" spans="1:22" ht="18" customHeight="1">
      <c r="A335" t="s">
        <v>137</v>
      </c>
      <c r="B335" t="s">
        <v>138</v>
      </c>
      <c r="C335">
        <v>12</v>
      </c>
      <c r="D335" t="s">
        <v>123</v>
      </c>
      <c r="E335" s="6">
        <f t="shared" si="40"/>
        <v>17</v>
      </c>
      <c r="F335" s="6">
        <f t="shared" si="41"/>
        <v>29</v>
      </c>
      <c r="G335" s="6">
        <f>ROUND(Catalogue!G20*SQRT((1+Paramètres!$B$4*(C335-1)+Paramètres!$B$5*(C335-1)^2)),0)</f>
        <v>0</v>
      </c>
      <c r="H335" s="6">
        <f>ROUND(Catalogue!H20*SQRT((1+Paramètres!$B$4*(C335-1)+Paramètres!$B$5*(C335-1)^2)),0)</f>
        <v>0</v>
      </c>
      <c r="I335" s="6">
        <v>2</v>
      </c>
      <c r="J335" s="6">
        <v>1</v>
      </c>
      <c r="K335" s="7">
        <v>1.6</v>
      </c>
      <c r="L335" s="9">
        <f t="shared" si="42"/>
        <v>23</v>
      </c>
      <c r="M335">
        <v>4</v>
      </c>
      <c r="N335">
        <v>4</v>
      </c>
      <c r="O335">
        <v>13</v>
      </c>
      <c r="P335" s="13" t="str">
        <f t="shared" si="43"/>
        <v>4d4 + 13</v>
      </c>
      <c r="Q335">
        <f>ROUND(INDEX(Catalogue!E$4:E$85,MATCH(A335,Catalogue!A$4:A$85,0))*(1+Paramètres!$B$4*(C335-1)+Paramètres!$B$5*(C335-1)^2),0)</f>
        <v>17</v>
      </c>
      <c r="R335">
        <f>ROUND(INDEX(Catalogue!F$4:F$85,MATCH(A335,Catalogue!A$4:A$85,0))*(1+Paramètres!$B$4*(C335-1)+Paramètres!$B$5*(C335-1)^2),0)</f>
        <v>29</v>
      </c>
      <c r="S335">
        <f t="shared" si="44"/>
        <v>0</v>
      </c>
      <c r="T335" t="str">
        <f t="shared" si="45"/>
        <v>OK</v>
      </c>
      <c r="U335" s="25">
        <f t="shared" si="46"/>
        <v>23</v>
      </c>
      <c r="V335" t="str">
        <f t="shared" si="47"/>
        <v>OK</v>
      </c>
    </row>
    <row r="336" spans="1:22" ht="18" customHeight="1">
      <c r="A336" t="s">
        <v>137</v>
      </c>
      <c r="B336" t="s">
        <v>138</v>
      </c>
      <c r="C336">
        <v>13</v>
      </c>
      <c r="D336" t="s">
        <v>123</v>
      </c>
      <c r="E336" s="6">
        <f t="shared" si="40"/>
        <v>18</v>
      </c>
      <c r="F336" s="6">
        <f t="shared" si="41"/>
        <v>32</v>
      </c>
      <c r="G336" s="6">
        <f>ROUND(Catalogue!G20*SQRT((1+Paramètres!$B$4*(C336-1)+Paramètres!$B$5*(C336-1)^2)),0)</f>
        <v>0</v>
      </c>
      <c r="H336" s="6">
        <f>ROUND(Catalogue!H20*SQRT((1+Paramètres!$B$4*(C336-1)+Paramètres!$B$5*(C336-1)^2)),0)</f>
        <v>0</v>
      </c>
      <c r="I336" s="6">
        <v>2</v>
      </c>
      <c r="J336" s="6">
        <v>1</v>
      </c>
      <c r="K336" s="7">
        <v>1.6</v>
      </c>
      <c r="L336" s="9">
        <f t="shared" si="42"/>
        <v>25</v>
      </c>
      <c r="M336">
        <v>2</v>
      </c>
      <c r="N336">
        <v>8</v>
      </c>
      <c r="O336">
        <v>16</v>
      </c>
      <c r="P336" s="13" t="str">
        <f t="shared" si="43"/>
        <v>2d8 + 16</v>
      </c>
      <c r="Q336">
        <f>ROUND(INDEX(Catalogue!E$4:E$85,MATCH(A336,Catalogue!A$4:A$85,0))*(1+Paramètres!$B$4*(C336-1)+Paramètres!$B$5*(C336-1)^2),0)</f>
        <v>18</v>
      </c>
      <c r="R336">
        <f>ROUND(INDEX(Catalogue!F$4:F$85,MATCH(A336,Catalogue!A$4:A$85,0))*(1+Paramètres!$B$4*(C336-1)+Paramètres!$B$5*(C336-1)^2),0)</f>
        <v>32</v>
      </c>
      <c r="S336">
        <f t="shared" si="44"/>
        <v>0</v>
      </c>
      <c r="T336" t="str">
        <f t="shared" si="45"/>
        <v>OK</v>
      </c>
      <c r="U336" s="25">
        <f t="shared" si="46"/>
        <v>25</v>
      </c>
      <c r="V336" t="str">
        <f t="shared" si="47"/>
        <v>OK</v>
      </c>
    </row>
    <row r="337" spans="1:22" ht="18" customHeight="1">
      <c r="A337" t="s">
        <v>137</v>
      </c>
      <c r="B337" t="s">
        <v>138</v>
      </c>
      <c r="C337">
        <v>14</v>
      </c>
      <c r="D337" t="s">
        <v>123</v>
      </c>
      <c r="E337" s="6">
        <f t="shared" si="40"/>
        <v>21</v>
      </c>
      <c r="F337" s="6">
        <f t="shared" si="41"/>
        <v>36</v>
      </c>
      <c r="G337" s="6">
        <f>ROUND(Catalogue!G20*SQRT((1+Paramètres!$B$4*(C337-1)+Paramètres!$B$5*(C337-1)^2)),0)</f>
        <v>0</v>
      </c>
      <c r="H337" s="6">
        <f>ROUND(Catalogue!H20*SQRT((1+Paramètres!$B$4*(C337-1)+Paramètres!$B$5*(C337-1)^2)),0)</f>
        <v>0</v>
      </c>
      <c r="I337" s="6">
        <v>2</v>
      </c>
      <c r="J337" s="6">
        <v>1</v>
      </c>
      <c r="K337" s="7">
        <v>1.6</v>
      </c>
      <c r="L337" s="9">
        <f t="shared" si="42"/>
        <v>28.5</v>
      </c>
      <c r="M337">
        <v>3</v>
      </c>
      <c r="N337">
        <v>6</v>
      </c>
      <c r="O337">
        <v>18</v>
      </c>
      <c r="P337" s="13" t="str">
        <f t="shared" si="43"/>
        <v>3d6 + 18</v>
      </c>
      <c r="Q337">
        <f>ROUND(INDEX(Catalogue!E$4:E$85,MATCH(A337,Catalogue!A$4:A$85,0))*(1+Paramètres!$B$4*(C337-1)+Paramètres!$B$5*(C337-1)^2),0)</f>
        <v>21</v>
      </c>
      <c r="R337">
        <f>ROUND(INDEX(Catalogue!F$4:F$85,MATCH(A337,Catalogue!A$4:A$85,0))*(1+Paramètres!$B$4*(C337-1)+Paramètres!$B$5*(C337-1)^2),0)</f>
        <v>36</v>
      </c>
      <c r="S337">
        <f t="shared" si="44"/>
        <v>0</v>
      </c>
      <c r="T337" t="str">
        <f t="shared" si="45"/>
        <v>OK</v>
      </c>
      <c r="U337" s="25">
        <f t="shared" si="46"/>
        <v>28.5</v>
      </c>
      <c r="V337" t="str">
        <f t="shared" si="47"/>
        <v>OK</v>
      </c>
    </row>
    <row r="338" spans="1:22" ht="18" customHeight="1">
      <c r="A338" t="s">
        <v>137</v>
      </c>
      <c r="B338" t="s">
        <v>138</v>
      </c>
      <c r="C338">
        <v>15</v>
      </c>
      <c r="D338" t="s">
        <v>123</v>
      </c>
      <c r="E338" s="6">
        <f t="shared" si="40"/>
        <v>22</v>
      </c>
      <c r="F338" s="6">
        <f t="shared" si="41"/>
        <v>40</v>
      </c>
      <c r="G338" s="6">
        <f>ROUND(Catalogue!G20*SQRT((1+Paramètres!$B$4*(C338-1)+Paramètres!$B$5*(C338-1)^2)),0)</f>
        <v>0</v>
      </c>
      <c r="H338" s="6">
        <f>ROUND(Catalogue!H20*SQRT((1+Paramètres!$B$4*(C338-1)+Paramètres!$B$5*(C338-1)^2)),0)</f>
        <v>0</v>
      </c>
      <c r="I338" s="6">
        <v>2</v>
      </c>
      <c r="J338" s="6">
        <v>1</v>
      </c>
      <c r="K338" s="7">
        <v>1.6</v>
      </c>
      <c r="L338" s="9">
        <f t="shared" si="42"/>
        <v>31</v>
      </c>
      <c r="M338">
        <v>2</v>
      </c>
      <c r="N338">
        <v>10</v>
      </c>
      <c r="O338">
        <v>20</v>
      </c>
      <c r="P338" s="13" t="str">
        <f t="shared" si="43"/>
        <v>2d10 + 20</v>
      </c>
      <c r="Q338">
        <f>ROUND(INDEX(Catalogue!E$4:E$85,MATCH(A338,Catalogue!A$4:A$85,0))*(1+Paramètres!$B$4*(C338-1)+Paramètres!$B$5*(C338-1)^2),0)</f>
        <v>23</v>
      </c>
      <c r="R338">
        <f>ROUND(INDEX(Catalogue!F$4:F$85,MATCH(A338,Catalogue!A$4:A$85,0))*(1+Paramètres!$B$4*(C338-1)+Paramètres!$B$5*(C338-1)^2),0)</f>
        <v>40</v>
      </c>
      <c r="S338">
        <f t="shared" si="44"/>
        <v>-0.5</v>
      </c>
      <c r="T338" t="str">
        <f t="shared" si="45"/>
        <v>OK</v>
      </c>
      <c r="U338" s="25">
        <f t="shared" si="46"/>
        <v>31</v>
      </c>
      <c r="V338" t="str">
        <f t="shared" si="47"/>
        <v>OK</v>
      </c>
    </row>
    <row r="339" spans="1:22" ht="18" customHeight="1">
      <c r="A339" t="s">
        <v>137</v>
      </c>
      <c r="B339" t="s">
        <v>138</v>
      </c>
      <c r="C339">
        <v>16</v>
      </c>
      <c r="D339" t="s">
        <v>123</v>
      </c>
      <c r="E339" s="6">
        <f t="shared" si="40"/>
        <v>26</v>
      </c>
      <c r="F339" s="6">
        <f t="shared" si="41"/>
        <v>44</v>
      </c>
      <c r="G339" s="6">
        <f>ROUND(Catalogue!G20*SQRT((1+Paramètres!$B$4*(C339-1)+Paramètres!$B$5*(C339-1)^2)),0)</f>
        <v>0</v>
      </c>
      <c r="H339" s="6">
        <f>ROUND(Catalogue!H20*SQRT((1+Paramètres!$B$4*(C339-1)+Paramètres!$B$5*(C339-1)^2)),0)</f>
        <v>0</v>
      </c>
      <c r="I339" s="6">
        <v>2</v>
      </c>
      <c r="J339" s="6">
        <v>1</v>
      </c>
      <c r="K339" s="7">
        <v>1.6</v>
      </c>
      <c r="L339" s="9">
        <f t="shared" si="42"/>
        <v>35</v>
      </c>
      <c r="M339">
        <v>2</v>
      </c>
      <c r="N339">
        <v>10</v>
      </c>
      <c r="O339">
        <v>24</v>
      </c>
      <c r="P339" s="13" t="str">
        <f t="shared" si="43"/>
        <v>2d10 + 24</v>
      </c>
      <c r="Q339">
        <f>ROUND(INDEX(Catalogue!E$4:E$85,MATCH(A339,Catalogue!A$4:A$85,0))*(1+Paramètres!$B$4*(C339-1)+Paramètres!$B$5*(C339-1)^2),0)</f>
        <v>25</v>
      </c>
      <c r="R339">
        <f>ROUND(INDEX(Catalogue!F$4:F$85,MATCH(A339,Catalogue!A$4:A$85,0))*(1+Paramètres!$B$4*(C339-1)+Paramètres!$B$5*(C339-1)^2),0)</f>
        <v>44</v>
      </c>
      <c r="S339">
        <f t="shared" si="44"/>
        <v>0.5</v>
      </c>
      <c r="T339" t="str">
        <f t="shared" si="45"/>
        <v>OK</v>
      </c>
      <c r="U339" s="25">
        <f t="shared" si="46"/>
        <v>35</v>
      </c>
      <c r="V339" t="str">
        <f t="shared" si="47"/>
        <v>OK</v>
      </c>
    </row>
    <row r="340" spans="1:22" ht="18" customHeight="1">
      <c r="A340" t="s">
        <v>137</v>
      </c>
      <c r="B340" t="s">
        <v>138</v>
      </c>
      <c r="C340">
        <v>17</v>
      </c>
      <c r="D340" t="s">
        <v>123</v>
      </c>
      <c r="E340" s="6">
        <f t="shared" si="40"/>
        <v>27</v>
      </c>
      <c r="F340" s="6">
        <f t="shared" si="41"/>
        <v>48</v>
      </c>
      <c r="G340" s="6">
        <f>ROUND(Catalogue!G20*SQRT((1+Paramètres!$B$4*(C340-1)+Paramètres!$B$5*(C340-1)^2)),0)</f>
        <v>0</v>
      </c>
      <c r="H340" s="6">
        <f>ROUND(Catalogue!H20*SQRT((1+Paramètres!$B$4*(C340-1)+Paramètres!$B$5*(C340-1)^2)),0)</f>
        <v>0</v>
      </c>
      <c r="I340" s="6">
        <v>2</v>
      </c>
      <c r="J340" s="6">
        <v>1</v>
      </c>
      <c r="K340" s="7">
        <v>1.6</v>
      </c>
      <c r="L340" s="9">
        <f t="shared" si="42"/>
        <v>37.5</v>
      </c>
      <c r="M340">
        <v>3</v>
      </c>
      <c r="N340">
        <v>8</v>
      </c>
      <c r="O340">
        <v>24</v>
      </c>
      <c r="P340" s="13" t="str">
        <f t="shared" si="43"/>
        <v>3d8 + 24</v>
      </c>
      <c r="Q340">
        <f>ROUND(INDEX(Catalogue!E$4:E$85,MATCH(A340,Catalogue!A$4:A$85,0))*(1+Paramètres!$B$4*(C340-1)+Paramètres!$B$5*(C340-1)^2),0)</f>
        <v>27</v>
      </c>
      <c r="R340">
        <f>ROUND(INDEX(Catalogue!F$4:F$85,MATCH(A340,Catalogue!A$4:A$85,0))*(1+Paramètres!$B$4*(C340-1)+Paramètres!$B$5*(C340-1)^2),0)</f>
        <v>48</v>
      </c>
      <c r="S340">
        <f t="shared" si="44"/>
        <v>0</v>
      </c>
      <c r="T340" t="str">
        <f t="shared" si="45"/>
        <v>OK</v>
      </c>
      <c r="U340" s="25">
        <f t="shared" si="46"/>
        <v>37.5</v>
      </c>
      <c r="V340" t="str">
        <f t="shared" si="47"/>
        <v>OK</v>
      </c>
    </row>
    <row r="341" spans="1:22" ht="18" customHeight="1">
      <c r="A341" t="s">
        <v>137</v>
      </c>
      <c r="B341" t="s">
        <v>138</v>
      </c>
      <c r="C341">
        <v>18</v>
      </c>
      <c r="D341" t="s">
        <v>123</v>
      </c>
      <c r="E341" s="6">
        <f t="shared" si="40"/>
        <v>30</v>
      </c>
      <c r="F341" s="6">
        <f t="shared" si="41"/>
        <v>52</v>
      </c>
      <c r="G341" s="6">
        <f>ROUND(Catalogue!G20*SQRT((1+Paramètres!$B$4*(C341-1)+Paramètres!$B$5*(C341-1)^2)),0)</f>
        <v>0</v>
      </c>
      <c r="H341" s="6">
        <f>ROUND(Catalogue!H20*SQRT((1+Paramètres!$B$4*(C341-1)+Paramètres!$B$5*(C341-1)^2)),0)</f>
        <v>0</v>
      </c>
      <c r="I341" s="6">
        <v>2</v>
      </c>
      <c r="J341" s="6">
        <v>1</v>
      </c>
      <c r="K341" s="7">
        <v>1.6</v>
      </c>
      <c r="L341" s="9">
        <f t="shared" si="42"/>
        <v>41</v>
      </c>
      <c r="M341">
        <v>2</v>
      </c>
      <c r="N341">
        <v>12</v>
      </c>
      <c r="O341">
        <v>28</v>
      </c>
      <c r="P341" s="13" t="str">
        <f t="shared" si="43"/>
        <v>2d12 + 28</v>
      </c>
      <c r="Q341">
        <f>ROUND(INDEX(Catalogue!E$4:E$85,MATCH(A341,Catalogue!A$4:A$85,0))*(1+Paramètres!$B$4*(C341-1)+Paramètres!$B$5*(C341-1)^2),0)</f>
        <v>30</v>
      </c>
      <c r="R341">
        <f>ROUND(INDEX(Catalogue!F$4:F$85,MATCH(A341,Catalogue!A$4:A$85,0))*(1+Paramètres!$B$4*(C341-1)+Paramètres!$B$5*(C341-1)^2),0)</f>
        <v>52</v>
      </c>
      <c r="S341">
        <f t="shared" si="44"/>
        <v>0</v>
      </c>
      <c r="T341" t="str">
        <f t="shared" si="45"/>
        <v>OK</v>
      </c>
      <c r="U341" s="25">
        <f t="shared" si="46"/>
        <v>41</v>
      </c>
      <c r="V341" t="str">
        <f t="shared" si="47"/>
        <v>OK</v>
      </c>
    </row>
    <row r="342" spans="1:22" ht="18" customHeight="1">
      <c r="A342" t="s">
        <v>137</v>
      </c>
      <c r="B342" t="s">
        <v>138</v>
      </c>
      <c r="C342">
        <v>19</v>
      </c>
      <c r="D342" t="s">
        <v>123</v>
      </c>
      <c r="E342" s="6">
        <f t="shared" si="40"/>
        <v>32</v>
      </c>
      <c r="F342" s="6">
        <f t="shared" si="41"/>
        <v>57</v>
      </c>
      <c r="G342" s="6">
        <f>ROUND(Catalogue!G20*SQRT((1+Paramètres!$B$4*(C342-1)+Paramètres!$B$5*(C342-1)^2)),0)</f>
        <v>0</v>
      </c>
      <c r="H342" s="6">
        <f>ROUND(Catalogue!H20*SQRT((1+Paramètres!$B$4*(C342-1)+Paramètres!$B$5*(C342-1)^2)),0)</f>
        <v>0</v>
      </c>
      <c r="I342" s="6">
        <v>2</v>
      </c>
      <c r="J342" s="6">
        <v>1</v>
      </c>
      <c r="K342" s="7">
        <v>1.6</v>
      </c>
      <c r="L342" s="9">
        <f t="shared" si="42"/>
        <v>44.5</v>
      </c>
      <c r="M342">
        <v>5</v>
      </c>
      <c r="N342">
        <v>6</v>
      </c>
      <c r="O342">
        <v>27</v>
      </c>
      <c r="P342" s="13" t="str">
        <f t="shared" si="43"/>
        <v>5d6 + 27</v>
      </c>
      <c r="Q342">
        <f>ROUND(INDEX(Catalogue!E$4:E$85,MATCH(A342,Catalogue!A$4:A$85,0))*(1+Paramètres!$B$4*(C342-1)+Paramètres!$B$5*(C342-1)^2),0)</f>
        <v>33</v>
      </c>
      <c r="R342">
        <f>ROUND(INDEX(Catalogue!F$4:F$85,MATCH(A342,Catalogue!A$4:A$85,0))*(1+Paramètres!$B$4*(C342-1)+Paramètres!$B$5*(C342-1)^2),0)</f>
        <v>57</v>
      </c>
      <c r="S342">
        <f t="shared" si="44"/>
        <v>-0.5</v>
      </c>
      <c r="T342" t="str">
        <f t="shared" si="45"/>
        <v>OK</v>
      </c>
      <c r="U342" s="25">
        <f t="shared" si="46"/>
        <v>44.5</v>
      </c>
      <c r="V342" t="str">
        <f t="shared" si="47"/>
        <v>OK</v>
      </c>
    </row>
    <row r="343" spans="1:22" ht="18" customHeight="1">
      <c r="A343" t="s">
        <v>137</v>
      </c>
      <c r="B343" t="s">
        <v>138</v>
      </c>
      <c r="C343">
        <v>20</v>
      </c>
      <c r="D343" t="s">
        <v>123</v>
      </c>
      <c r="E343" s="6">
        <f t="shared" si="40"/>
        <v>35</v>
      </c>
      <c r="F343" s="6">
        <f t="shared" si="41"/>
        <v>62</v>
      </c>
      <c r="G343" s="6">
        <f>ROUND(Catalogue!G20*SQRT((1+Paramètres!$B$4*(C343-1)+Paramètres!$B$5*(C343-1)^2)),0)</f>
        <v>0</v>
      </c>
      <c r="H343" s="6">
        <f>ROUND(Catalogue!H20*SQRT((1+Paramètres!$B$4*(C343-1)+Paramètres!$B$5*(C343-1)^2)),0)</f>
        <v>0</v>
      </c>
      <c r="I343" s="6">
        <v>2</v>
      </c>
      <c r="J343" s="6">
        <v>1</v>
      </c>
      <c r="K343" s="7">
        <v>1.6</v>
      </c>
      <c r="L343" s="9">
        <f t="shared" si="42"/>
        <v>48.5</v>
      </c>
      <c r="M343">
        <v>3</v>
      </c>
      <c r="N343">
        <v>10</v>
      </c>
      <c r="O343">
        <v>32</v>
      </c>
      <c r="P343" s="13" t="str">
        <f t="shared" si="43"/>
        <v>3d10 + 32</v>
      </c>
      <c r="Q343">
        <f>ROUND(INDEX(Catalogue!E$4:E$85,MATCH(A343,Catalogue!A$4:A$85,0))*(1+Paramètres!$B$4*(C343-1)+Paramètres!$B$5*(C343-1)^2),0)</f>
        <v>35</v>
      </c>
      <c r="R343">
        <f>ROUND(INDEX(Catalogue!F$4:F$85,MATCH(A343,Catalogue!A$4:A$85,0))*(1+Paramètres!$B$4*(C343-1)+Paramètres!$B$5*(C343-1)^2),0)</f>
        <v>62</v>
      </c>
      <c r="S343">
        <f t="shared" si="44"/>
        <v>0</v>
      </c>
      <c r="T343" t="str">
        <f t="shared" si="45"/>
        <v>OK</v>
      </c>
      <c r="U343" s="25">
        <f t="shared" si="46"/>
        <v>48.5</v>
      </c>
      <c r="V343" t="str">
        <f t="shared" si="47"/>
        <v>OK</v>
      </c>
    </row>
    <row r="344" spans="1:22" ht="18" customHeight="1">
      <c r="A344" t="s">
        <v>140</v>
      </c>
      <c r="B344" t="s">
        <v>141</v>
      </c>
      <c r="C344">
        <v>1</v>
      </c>
      <c r="D344" t="s">
        <v>123</v>
      </c>
      <c r="E344" s="6">
        <f t="shared" si="40"/>
        <v>5</v>
      </c>
      <c r="F344" s="6">
        <f t="shared" si="41"/>
        <v>8</v>
      </c>
      <c r="G344" s="6">
        <f>ROUND(Catalogue!G21*SQRT((1+Paramètres!$B$4*(C344-1)+Paramètres!$B$5*(C344-1)^2)),0)</f>
        <v>0</v>
      </c>
      <c r="H344" s="6">
        <f>ROUND(Catalogue!H21*SQRT((1+Paramètres!$B$4*(C344-1)+Paramètres!$B$5*(C344-1)^2)),0)</f>
        <v>0</v>
      </c>
      <c r="I344" s="6">
        <v>2</v>
      </c>
      <c r="J344" s="6">
        <v>1</v>
      </c>
      <c r="K344" s="7">
        <v>2.1</v>
      </c>
      <c r="L344" s="9">
        <f t="shared" si="42"/>
        <v>6.5</v>
      </c>
      <c r="M344">
        <v>1</v>
      </c>
      <c r="N344">
        <v>4</v>
      </c>
      <c r="O344">
        <v>4</v>
      </c>
      <c r="P344" s="13" t="str">
        <f t="shared" si="43"/>
        <v>1d4 + 4</v>
      </c>
      <c r="Q344">
        <f>ROUND(INDEX(Catalogue!E$4:E$85,MATCH(A344,Catalogue!A$4:A$85,0))*(1+Paramètres!$B$4*(C344-1)+Paramètres!$B$5*(C344-1)^2),0)</f>
        <v>5</v>
      </c>
      <c r="R344">
        <f>ROUND(INDEX(Catalogue!F$4:F$85,MATCH(A344,Catalogue!A$4:A$85,0))*(1+Paramètres!$B$4*(C344-1)+Paramètres!$B$5*(C344-1)^2),0)</f>
        <v>8</v>
      </c>
      <c r="S344">
        <f t="shared" si="44"/>
        <v>0</v>
      </c>
      <c r="T344" t="str">
        <f t="shared" si="45"/>
        <v>OK</v>
      </c>
      <c r="U344" s="25">
        <f t="shared" si="46"/>
        <v>6.5</v>
      </c>
      <c r="V344" t="str">
        <f t="shared" si="47"/>
        <v>OK</v>
      </c>
    </row>
    <row r="345" spans="1:22" ht="18" customHeight="1">
      <c r="A345" t="s">
        <v>140</v>
      </c>
      <c r="B345" t="s">
        <v>141</v>
      </c>
      <c r="C345">
        <v>2</v>
      </c>
      <c r="D345" t="s">
        <v>123</v>
      </c>
      <c r="E345" s="6">
        <f t="shared" si="40"/>
        <v>6</v>
      </c>
      <c r="F345" s="6">
        <f t="shared" si="41"/>
        <v>9</v>
      </c>
      <c r="G345" s="6">
        <f>ROUND(Catalogue!G21*SQRT((1+Paramètres!$B$4*(C345-1)+Paramètres!$B$5*(C345-1)^2)),0)</f>
        <v>0</v>
      </c>
      <c r="H345" s="6">
        <f>ROUND(Catalogue!H21*SQRT((1+Paramètres!$B$4*(C345-1)+Paramètres!$B$5*(C345-1)^2)),0)</f>
        <v>0</v>
      </c>
      <c r="I345" s="6">
        <v>2</v>
      </c>
      <c r="J345" s="6">
        <v>1</v>
      </c>
      <c r="K345" s="7">
        <v>2.1</v>
      </c>
      <c r="L345" s="9">
        <f t="shared" si="42"/>
        <v>7.5</v>
      </c>
      <c r="M345">
        <v>1</v>
      </c>
      <c r="N345">
        <v>4</v>
      </c>
      <c r="O345">
        <v>5</v>
      </c>
      <c r="P345" s="13" t="str">
        <f t="shared" si="43"/>
        <v>1d4 + 5</v>
      </c>
      <c r="Q345">
        <f>ROUND(INDEX(Catalogue!E$4:E$85,MATCH(A345,Catalogue!A$4:A$85,0))*(1+Paramètres!$B$4*(C345-1)+Paramètres!$B$5*(C345-1)^2),0)</f>
        <v>6</v>
      </c>
      <c r="R345">
        <f>ROUND(INDEX(Catalogue!F$4:F$85,MATCH(A345,Catalogue!A$4:A$85,0))*(1+Paramètres!$B$4*(C345-1)+Paramètres!$B$5*(C345-1)^2),0)</f>
        <v>9</v>
      </c>
      <c r="S345">
        <f t="shared" si="44"/>
        <v>0</v>
      </c>
      <c r="T345" t="str">
        <f t="shared" si="45"/>
        <v>OK</v>
      </c>
      <c r="U345" s="25">
        <f t="shared" si="46"/>
        <v>7.5</v>
      </c>
      <c r="V345" t="str">
        <f t="shared" si="47"/>
        <v>OK</v>
      </c>
    </row>
    <row r="346" spans="1:22" ht="18" customHeight="1">
      <c r="A346" t="s">
        <v>140</v>
      </c>
      <c r="B346" t="s">
        <v>141</v>
      </c>
      <c r="C346">
        <v>3</v>
      </c>
      <c r="D346" t="s">
        <v>123</v>
      </c>
      <c r="E346" s="6">
        <f t="shared" si="40"/>
        <v>6</v>
      </c>
      <c r="F346" s="6">
        <f t="shared" si="41"/>
        <v>9</v>
      </c>
      <c r="G346" s="6">
        <f>ROUND(Catalogue!G21*SQRT((1+Paramètres!$B$4*(C346-1)+Paramètres!$B$5*(C346-1)^2)),0)</f>
        <v>0</v>
      </c>
      <c r="H346" s="6">
        <f>ROUND(Catalogue!H21*SQRT((1+Paramètres!$B$4*(C346-1)+Paramètres!$B$5*(C346-1)^2)),0)</f>
        <v>0</v>
      </c>
      <c r="I346" s="6">
        <v>2</v>
      </c>
      <c r="J346" s="6">
        <v>1</v>
      </c>
      <c r="K346" s="7">
        <v>2.1</v>
      </c>
      <c r="L346" s="9">
        <f t="shared" si="42"/>
        <v>7.5</v>
      </c>
      <c r="M346">
        <v>1</v>
      </c>
      <c r="N346">
        <v>4</v>
      </c>
      <c r="O346">
        <v>5</v>
      </c>
      <c r="P346" s="13" t="str">
        <f t="shared" si="43"/>
        <v>1d4 + 5</v>
      </c>
      <c r="Q346">
        <f>ROUND(INDEX(Catalogue!E$4:E$85,MATCH(A346,Catalogue!A$4:A$85,0))*(1+Paramètres!$B$4*(C346-1)+Paramètres!$B$5*(C346-1)^2),0)</f>
        <v>6</v>
      </c>
      <c r="R346">
        <f>ROUND(INDEX(Catalogue!F$4:F$85,MATCH(A346,Catalogue!A$4:A$85,0))*(1+Paramètres!$B$4*(C346-1)+Paramètres!$B$5*(C346-1)^2),0)</f>
        <v>10</v>
      </c>
      <c r="S346">
        <f t="shared" si="44"/>
        <v>-0.5</v>
      </c>
      <c r="T346" t="str">
        <f t="shared" si="45"/>
        <v>OK</v>
      </c>
      <c r="U346" s="25">
        <f t="shared" si="46"/>
        <v>7.5</v>
      </c>
      <c r="V346" t="str">
        <f t="shared" si="47"/>
        <v>OK</v>
      </c>
    </row>
    <row r="347" spans="1:22" ht="18" customHeight="1">
      <c r="A347" t="s">
        <v>140</v>
      </c>
      <c r="B347" t="s">
        <v>141</v>
      </c>
      <c r="C347">
        <v>4</v>
      </c>
      <c r="D347" t="s">
        <v>123</v>
      </c>
      <c r="E347" s="6">
        <f t="shared" si="40"/>
        <v>7</v>
      </c>
      <c r="F347" s="6">
        <f t="shared" si="41"/>
        <v>12</v>
      </c>
      <c r="G347" s="6">
        <f>ROUND(Catalogue!G21*SQRT((1+Paramètres!$B$4*(C347-1)+Paramètres!$B$5*(C347-1)^2)),0)</f>
        <v>0</v>
      </c>
      <c r="H347" s="6">
        <f>ROUND(Catalogue!H21*SQRT((1+Paramètres!$B$4*(C347-1)+Paramètres!$B$5*(C347-1)^2)),0)</f>
        <v>0</v>
      </c>
      <c r="I347" s="6">
        <v>2</v>
      </c>
      <c r="J347" s="6">
        <v>1</v>
      </c>
      <c r="K347" s="7">
        <v>2.1</v>
      </c>
      <c r="L347" s="9">
        <f t="shared" si="42"/>
        <v>9.5</v>
      </c>
      <c r="M347">
        <v>1</v>
      </c>
      <c r="N347">
        <v>6</v>
      </c>
      <c r="O347">
        <v>6</v>
      </c>
      <c r="P347" s="13" t="str">
        <f t="shared" si="43"/>
        <v>1d6 + 6</v>
      </c>
      <c r="Q347">
        <f>ROUND(INDEX(Catalogue!E$4:E$85,MATCH(A347,Catalogue!A$4:A$85,0))*(1+Paramètres!$B$4*(C347-1)+Paramètres!$B$5*(C347-1)^2),0)</f>
        <v>7</v>
      </c>
      <c r="R347">
        <f>ROUND(INDEX(Catalogue!F$4:F$85,MATCH(A347,Catalogue!A$4:A$85,0))*(1+Paramètres!$B$4*(C347-1)+Paramètres!$B$5*(C347-1)^2),0)</f>
        <v>12</v>
      </c>
      <c r="S347">
        <f t="shared" si="44"/>
        <v>0</v>
      </c>
      <c r="T347" t="str">
        <f t="shared" si="45"/>
        <v>OK</v>
      </c>
      <c r="U347" s="25">
        <f t="shared" si="46"/>
        <v>9.5</v>
      </c>
      <c r="V347" t="str">
        <f t="shared" si="47"/>
        <v>OK</v>
      </c>
    </row>
    <row r="348" spans="1:22" ht="18" customHeight="1">
      <c r="A348" t="s">
        <v>140</v>
      </c>
      <c r="B348" t="s">
        <v>141</v>
      </c>
      <c r="C348">
        <v>5</v>
      </c>
      <c r="D348" t="s">
        <v>123</v>
      </c>
      <c r="E348" s="6">
        <f t="shared" si="40"/>
        <v>8</v>
      </c>
      <c r="F348" s="6">
        <f t="shared" si="41"/>
        <v>14</v>
      </c>
      <c r="G348" s="6">
        <f>ROUND(Catalogue!G21*SQRT((1+Paramètres!$B$4*(C348-1)+Paramètres!$B$5*(C348-1)^2)),0)</f>
        <v>0</v>
      </c>
      <c r="H348" s="6">
        <f>ROUND(Catalogue!H21*SQRT((1+Paramètres!$B$4*(C348-1)+Paramètres!$B$5*(C348-1)^2)),0)</f>
        <v>0</v>
      </c>
      <c r="I348" s="6">
        <v>2</v>
      </c>
      <c r="J348" s="6">
        <v>1</v>
      </c>
      <c r="K348" s="7">
        <v>2.1</v>
      </c>
      <c r="L348" s="9">
        <f t="shared" si="42"/>
        <v>11</v>
      </c>
      <c r="M348">
        <v>2</v>
      </c>
      <c r="N348">
        <v>4</v>
      </c>
      <c r="O348">
        <v>6</v>
      </c>
      <c r="P348" s="13" t="str">
        <f t="shared" si="43"/>
        <v>2d4 + 6</v>
      </c>
      <c r="Q348">
        <f>ROUND(INDEX(Catalogue!E$4:E$85,MATCH(A348,Catalogue!A$4:A$85,0))*(1+Paramètres!$B$4*(C348-1)+Paramètres!$B$5*(C348-1)^2),0)</f>
        <v>8</v>
      </c>
      <c r="R348">
        <f>ROUND(INDEX(Catalogue!F$4:F$85,MATCH(A348,Catalogue!A$4:A$85,0))*(1+Paramètres!$B$4*(C348-1)+Paramètres!$B$5*(C348-1)^2),0)</f>
        <v>14</v>
      </c>
      <c r="S348">
        <f t="shared" si="44"/>
        <v>0</v>
      </c>
      <c r="T348" t="str">
        <f t="shared" si="45"/>
        <v>OK</v>
      </c>
      <c r="U348" s="25">
        <f t="shared" si="46"/>
        <v>11</v>
      </c>
      <c r="V348" t="str">
        <f t="shared" si="47"/>
        <v>OK</v>
      </c>
    </row>
    <row r="349" spans="1:22" ht="18" customHeight="1">
      <c r="A349" t="s">
        <v>140</v>
      </c>
      <c r="B349" t="s">
        <v>141</v>
      </c>
      <c r="C349">
        <v>6</v>
      </c>
      <c r="D349" t="s">
        <v>123</v>
      </c>
      <c r="E349" s="6">
        <f t="shared" si="40"/>
        <v>10</v>
      </c>
      <c r="F349" s="6">
        <f t="shared" si="41"/>
        <v>16</v>
      </c>
      <c r="G349" s="6">
        <f>ROUND(Catalogue!G21*SQRT((1+Paramètres!$B$4*(C349-1)+Paramètres!$B$5*(C349-1)^2)),0)</f>
        <v>0</v>
      </c>
      <c r="H349" s="6">
        <f>ROUND(Catalogue!H21*SQRT((1+Paramètres!$B$4*(C349-1)+Paramètres!$B$5*(C349-1)^2)),0)</f>
        <v>0</v>
      </c>
      <c r="I349" s="6">
        <v>2</v>
      </c>
      <c r="J349" s="6">
        <v>1</v>
      </c>
      <c r="K349" s="7">
        <v>2.1</v>
      </c>
      <c r="L349" s="9">
        <f t="shared" si="42"/>
        <v>13</v>
      </c>
      <c r="M349">
        <v>2</v>
      </c>
      <c r="N349">
        <v>4</v>
      </c>
      <c r="O349">
        <v>8</v>
      </c>
      <c r="P349" s="13" t="str">
        <f t="shared" si="43"/>
        <v>2d4 + 8</v>
      </c>
      <c r="Q349">
        <f>ROUND(INDEX(Catalogue!E$4:E$85,MATCH(A349,Catalogue!A$4:A$85,0))*(1+Paramètres!$B$4*(C349-1)+Paramètres!$B$5*(C349-1)^2),0)</f>
        <v>10</v>
      </c>
      <c r="R349">
        <f>ROUND(INDEX(Catalogue!F$4:F$85,MATCH(A349,Catalogue!A$4:A$85,0))*(1+Paramètres!$B$4*(C349-1)+Paramètres!$B$5*(C349-1)^2),0)</f>
        <v>16</v>
      </c>
      <c r="S349">
        <f t="shared" si="44"/>
        <v>0</v>
      </c>
      <c r="T349" t="str">
        <f t="shared" si="45"/>
        <v>OK</v>
      </c>
      <c r="U349" s="25">
        <f t="shared" si="46"/>
        <v>13</v>
      </c>
      <c r="V349" t="str">
        <f t="shared" si="47"/>
        <v>OK</v>
      </c>
    </row>
    <row r="350" spans="1:22" ht="18" customHeight="1">
      <c r="A350" t="s">
        <v>140</v>
      </c>
      <c r="B350" t="s">
        <v>141</v>
      </c>
      <c r="C350">
        <v>7</v>
      </c>
      <c r="D350" t="s">
        <v>123</v>
      </c>
      <c r="E350" s="6">
        <f t="shared" si="40"/>
        <v>11</v>
      </c>
      <c r="F350" s="6">
        <f t="shared" si="41"/>
        <v>18</v>
      </c>
      <c r="G350" s="6">
        <f>ROUND(Catalogue!G21*SQRT((1+Paramètres!$B$4*(C350-1)+Paramètres!$B$5*(C350-1)^2)),0)</f>
        <v>0</v>
      </c>
      <c r="H350" s="6">
        <f>ROUND(Catalogue!H21*SQRT((1+Paramètres!$B$4*(C350-1)+Paramètres!$B$5*(C350-1)^2)),0)</f>
        <v>0</v>
      </c>
      <c r="I350" s="6">
        <v>2</v>
      </c>
      <c r="J350" s="6">
        <v>1</v>
      </c>
      <c r="K350" s="7">
        <v>2.1</v>
      </c>
      <c r="L350" s="9">
        <f t="shared" si="42"/>
        <v>14.5</v>
      </c>
      <c r="M350">
        <v>1</v>
      </c>
      <c r="N350">
        <v>8</v>
      </c>
      <c r="O350">
        <v>10</v>
      </c>
      <c r="P350" s="13" t="str">
        <f t="shared" si="43"/>
        <v>1d8 + 10</v>
      </c>
      <c r="Q350">
        <f>ROUND(INDEX(Catalogue!E$4:E$85,MATCH(A350,Catalogue!A$4:A$85,0))*(1+Paramètres!$B$4*(C350-1)+Paramètres!$B$5*(C350-1)^2),0)</f>
        <v>11</v>
      </c>
      <c r="R350">
        <f>ROUND(INDEX(Catalogue!F$4:F$85,MATCH(A350,Catalogue!A$4:A$85,0))*(1+Paramètres!$B$4*(C350-1)+Paramètres!$B$5*(C350-1)^2),0)</f>
        <v>18</v>
      </c>
      <c r="S350">
        <f t="shared" si="44"/>
        <v>0</v>
      </c>
      <c r="T350" t="str">
        <f t="shared" si="45"/>
        <v>OK</v>
      </c>
      <c r="U350" s="25">
        <f t="shared" si="46"/>
        <v>14.5</v>
      </c>
      <c r="V350" t="str">
        <f t="shared" si="47"/>
        <v>OK</v>
      </c>
    </row>
    <row r="351" spans="1:22" ht="18" customHeight="1">
      <c r="A351" t="s">
        <v>140</v>
      </c>
      <c r="B351" t="s">
        <v>141</v>
      </c>
      <c r="C351">
        <v>8</v>
      </c>
      <c r="D351" t="s">
        <v>123</v>
      </c>
      <c r="E351" s="6">
        <f t="shared" si="40"/>
        <v>13</v>
      </c>
      <c r="F351" s="6">
        <f t="shared" si="41"/>
        <v>20</v>
      </c>
      <c r="G351" s="6">
        <f>ROUND(Catalogue!G21*SQRT((1+Paramètres!$B$4*(C351-1)+Paramètres!$B$5*(C351-1)^2)),0)</f>
        <v>0</v>
      </c>
      <c r="H351" s="6">
        <f>ROUND(Catalogue!H21*SQRT((1+Paramètres!$B$4*(C351-1)+Paramètres!$B$5*(C351-1)^2)),0)</f>
        <v>0</v>
      </c>
      <c r="I351" s="6">
        <v>2</v>
      </c>
      <c r="J351" s="6">
        <v>1</v>
      </c>
      <c r="K351" s="7">
        <v>2.1</v>
      </c>
      <c r="L351" s="9">
        <f t="shared" si="42"/>
        <v>16.5</v>
      </c>
      <c r="M351">
        <v>1</v>
      </c>
      <c r="N351">
        <v>8</v>
      </c>
      <c r="O351">
        <v>12</v>
      </c>
      <c r="P351" s="13" t="str">
        <f t="shared" si="43"/>
        <v>1d8 + 12</v>
      </c>
      <c r="Q351">
        <f>ROUND(INDEX(Catalogue!E$4:E$85,MATCH(A351,Catalogue!A$4:A$85,0))*(1+Paramètres!$B$4*(C351-1)+Paramètres!$B$5*(C351-1)^2),0)</f>
        <v>13</v>
      </c>
      <c r="R351">
        <f>ROUND(INDEX(Catalogue!F$4:F$85,MATCH(A351,Catalogue!A$4:A$85,0))*(1+Paramètres!$B$4*(C351-1)+Paramètres!$B$5*(C351-1)^2),0)</f>
        <v>20</v>
      </c>
      <c r="S351">
        <f t="shared" si="44"/>
        <v>0</v>
      </c>
      <c r="T351" t="str">
        <f t="shared" si="45"/>
        <v>OK</v>
      </c>
      <c r="U351" s="25">
        <f t="shared" si="46"/>
        <v>16.5</v>
      </c>
      <c r="V351" t="str">
        <f t="shared" si="47"/>
        <v>OK</v>
      </c>
    </row>
    <row r="352" spans="1:22" ht="18" customHeight="1">
      <c r="A352" t="s">
        <v>140</v>
      </c>
      <c r="B352" t="s">
        <v>141</v>
      </c>
      <c r="C352">
        <v>9</v>
      </c>
      <c r="D352" t="s">
        <v>123</v>
      </c>
      <c r="E352" s="6">
        <f t="shared" si="40"/>
        <v>14</v>
      </c>
      <c r="F352" s="6">
        <f t="shared" si="41"/>
        <v>23</v>
      </c>
      <c r="G352" s="6">
        <f>ROUND(Catalogue!G21*SQRT((1+Paramètres!$B$4*(C352-1)+Paramètres!$B$5*(C352-1)^2)),0)</f>
        <v>0</v>
      </c>
      <c r="H352" s="6">
        <f>ROUND(Catalogue!H21*SQRT((1+Paramètres!$B$4*(C352-1)+Paramètres!$B$5*(C352-1)^2)),0)</f>
        <v>0</v>
      </c>
      <c r="I352" s="6">
        <v>2</v>
      </c>
      <c r="J352" s="6">
        <v>1</v>
      </c>
      <c r="K352" s="7">
        <v>2.1</v>
      </c>
      <c r="L352" s="9">
        <f t="shared" si="42"/>
        <v>18.5</v>
      </c>
      <c r="M352">
        <v>3</v>
      </c>
      <c r="N352">
        <v>4</v>
      </c>
      <c r="O352">
        <v>11</v>
      </c>
      <c r="P352" s="13" t="str">
        <f t="shared" si="43"/>
        <v>3d4 + 11</v>
      </c>
      <c r="Q352">
        <f>ROUND(INDEX(Catalogue!E$4:E$85,MATCH(A352,Catalogue!A$4:A$85,0))*(1+Paramètres!$B$4*(C352-1)+Paramètres!$B$5*(C352-1)^2),0)</f>
        <v>15</v>
      </c>
      <c r="R352">
        <f>ROUND(INDEX(Catalogue!F$4:F$85,MATCH(A352,Catalogue!A$4:A$85,0))*(1+Paramètres!$B$4*(C352-1)+Paramètres!$B$5*(C352-1)^2),0)</f>
        <v>23</v>
      </c>
      <c r="S352">
        <f t="shared" si="44"/>
        <v>-0.5</v>
      </c>
      <c r="T352" t="str">
        <f t="shared" si="45"/>
        <v>OK</v>
      </c>
      <c r="U352" s="25">
        <f t="shared" si="46"/>
        <v>18.5</v>
      </c>
      <c r="V352" t="str">
        <f t="shared" si="47"/>
        <v>OK</v>
      </c>
    </row>
    <row r="353" spans="1:22" ht="18" customHeight="1">
      <c r="A353" t="s">
        <v>140</v>
      </c>
      <c r="B353" t="s">
        <v>141</v>
      </c>
      <c r="C353">
        <v>10</v>
      </c>
      <c r="D353" t="s">
        <v>123</v>
      </c>
      <c r="E353" s="6">
        <f t="shared" si="40"/>
        <v>16</v>
      </c>
      <c r="F353" s="6">
        <f t="shared" si="41"/>
        <v>26</v>
      </c>
      <c r="G353" s="6">
        <f>ROUND(Catalogue!G21*SQRT((1+Paramètres!$B$4*(C353-1)+Paramètres!$B$5*(C353-1)^2)),0)</f>
        <v>0</v>
      </c>
      <c r="H353" s="6">
        <f>ROUND(Catalogue!H21*SQRT((1+Paramètres!$B$4*(C353-1)+Paramètres!$B$5*(C353-1)^2)),0)</f>
        <v>0</v>
      </c>
      <c r="I353" s="6">
        <v>2</v>
      </c>
      <c r="J353" s="6">
        <v>1</v>
      </c>
      <c r="K353" s="7">
        <v>2.1</v>
      </c>
      <c r="L353" s="9">
        <f t="shared" si="42"/>
        <v>21</v>
      </c>
      <c r="M353">
        <v>2</v>
      </c>
      <c r="N353">
        <v>6</v>
      </c>
      <c r="O353">
        <v>14</v>
      </c>
      <c r="P353" s="13" t="str">
        <f t="shared" si="43"/>
        <v>2d6 + 14</v>
      </c>
      <c r="Q353">
        <f>ROUND(INDEX(Catalogue!E$4:E$85,MATCH(A353,Catalogue!A$4:A$85,0))*(1+Paramètres!$B$4*(C353-1)+Paramètres!$B$5*(C353-1)^2),0)</f>
        <v>16</v>
      </c>
      <c r="R353">
        <f>ROUND(INDEX(Catalogue!F$4:F$85,MATCH(A353,Catalogue!A$4:A$85,0))*(1+Paramètres!$B$4*(C353-1)+Paramètres!$B$5*(C353-1)^2),0)</f>
        <v>26</v>
      </c>
      <c r="S353">
        <f t="shared" si="44"/>
        <v>0</v>
      </c>
      <c r="T353" t="str">
        <f t="shared" si="45"/>
        <v>OK</v>
      </c>
      <c r="U353" s="25">
        <f t="shared" si="46"/>
        <v>21</v>
      </c>
      <c r="V353" t="str">
        <f t="shared" si="47"/>
        <v>OK</v>
      </c>
    </row>
    <row r="354" spans="1:22" ht="18" customHeight="1">
      <c r="A354" t="s">
        <v>140</v>
      </c>
      <c r="B354" t="s">
        <v>141</v>
      </c>
      <c r="C354">
        <v>11</v>
      </c>
      <c r="D354" t="s">
        <v>123</v>
      </c>
      <c r="E354" s="6">
        <f t="shared" si="40"/>
        <v>19</v>
      </c>
      <c r="F354" s="6">
        <f t="shared" si="41"/>
        <v>30</v>
      </c>
      <c r="G354" s="6">
        <f>ROUND(Catalogue!G21*SQRT((1+Paramètres!$B$4*(C354-1)+Paramètres!$B$5*(C354-1)^2)),0)</f>
        <v>0</v>
      </c>
      <c r="H354" s="6">
        <f>ROUND(Catalogue!H21*SQRT((1+Paramètres!$B$4*(C354-1)+Paramètres!$B$5*(C354-1)^2)),0)</f>
        <v>0</v>
      </c>
      <c r="I354" s="6">
        <v>2</v>
      </c>
      <c r="J354" s="6">
        <v>1</v>
      </c>
      <c r="K354" s="7">
        <v>2.1</v>
      </c>
      <c r="L354" s="9">
        <f t="shared" si="42"/>
        <v>24.5</v>
      </c>
      <c r="M354">
        <v>1</v>
      </c>
      <c r="N354">
        <v>12</v>
      </c>
      <c r="O354">
        <v>18</v>
      </c>
      <c r="P354" s="13" t="str">
        <f t="shared" si="43"/>
        <v>1d12 + 18</v>
      </c>
      <c r="Q354">
        <f>ROUND(INDEX(Catalogue!E$4:E$85,MATCH(A354,Catalogue!A$4:A$85,0))*(1+Paramètres!$B$4*(C354-1)+Paramètres!$B$5*(C354-1)^2),0)</f>
        <v>19</v>
      </c>
      <c r="R354">
        <f>ROUND(INDEX(Catalogue!F$4:F$85,MATCH(A354,Catalogue!A$4:A$85,0))*(1+Paramètres!$B$4*(C354-1)+Paramètres!$B$5*(C354-1)^2),0)</f>
        <v>30</v>
      </c>
      <c r="S354">
        <f t="shared" si="44"/>
        <v>0</v>
      </c>
      <c r="T354" t="str">
        <f t="shared" si="45"/>
        <v>OK</v>
      </c>
      <c r="U354" s="25">
        <f t="shared" si="46"/>
        <v>24.5</v>
      </c>
      <c r="V354" t="str">
        <f t="shared" si="47"/>
        <v>OK</v>
      </c>
    </row>
    <row r="355" spans="1:22" ht="18" customHeight="1">
      <c r="A355" t="s">
        <v>140</v>
      </c>
      <c r="B355" t="s">
        <v>141</v>
      </c>
      <c r="C355">
        <v>12</v>
      </c>
      <c r="D355" t="s">
        <v>123</v>
      </c>
      <c r="E355" s="6">
        <f t="shared" si="40"/>
        <v>21</v>
      </c>
      <c r="F355" s="6">
        <f t="shared" si="41"/>
        <v>33</v>
      </c>
      <c r="G355" s="6">
        <f>ROUND(Catalogue!G21*SQRT((1+Paramètres!$B$4*(C355-1)+Paramètres!$B$5*(C355-1)^2)),0)</f>
        <v>0</v>
      </c>
      <c r="H355" s="6">
        <f>ROUND(Catalogue!H21*SQRT((1+Paramètres!$B$4*(C355-1)+Paramètres!$B$5*(C355-1)^2)),0)</f>
        <v>0</v>
      </c>
      <c r="I355" s="6">
        <v>2</v>
      </c>
      <c r="J355" s="6">
        <v>1</v>
      </c>
      <c r="K355" s="7">
        <v>2.1</v>
      </c>
      <c r="L355" s="9">
        <f t="shared" si="42"/>
        <v>27</v>
      </c>
      <c r="M355">
        <v>4</v>
      </c>
      <c r="N355">
        <v>4</v>
      </c>
      <c r="O355">
        <v>17</v>
      </c>
      <c r="P355" s="13" t="str">
        <f t="shared" si="43"/>
        <v>4d4 + 17</v>
      </c>
      <c r="Q355">
        <f>ROUND(INDEX(Catalogue!E$4:E$85,MATCH(A355,Catalogue!A$4:A$85,0))*(1+Paramètres!$B$4*(C355-1)+Paramètres!$B$5*(C355-1)^2),0)</f>
        <v>21</v>
      </c>
      <c r="R355">
        <f>ROUND(INDEX(Catalogue!F$4:F$85,MATCH(A355,Catalogue!A$4:A$85,0))*(1+Paramètres!$B$4*(C355-1)+Paramètres!$B$5*(C355-1)^2),0)</f>
        <v>33</v>
      </c>
      <c r="S355">
        <f t="shared" si="44"/>
        <v>0</v>
      </c>
      <c r="T355" t="str">
        <f t="shared" si="45"/>
        <v>OK</v>
      </c>
      <c r="U355" s="25">
        <f t="shared" si="46"/>
        <v>27</v>
      </c>
      <c r="V355" t="str">
        <f t="shared" si="47"/>
        <v>OK</v>
      </c>
    </row>
    <row r="356" spans="1:22" ht="18" customHeight="1">
      <c r="A356" t="s">
        <v>140</v>
      </c>
      <c r="B356" t="s">
        <v>141</v>
      </c>
      <c r="C356">
        <v>13</v>
      </c>
      <c r="D356" t="s">
        <v>123</v>
      </c>
      <c r="E356" s="6">
        <f t="shared" si="40"/>
        <v>23</v>
      </c>
      <c r="F356" s="6">
        <f t="shared" si="41"/>
        <v>37</v>
      </c>
      <c r="G356" s="6">
        <f>ROUND(Catalogue!G21*SQRT((1+Paramètres!$B$4*(C356-1)+Paramètres!$B$5*(C356-1)^2)),0)</f>
        <v>0</v>
      </c>
      <c r="H356" s="6">
        <f>ROUND(Catalogue!H21*SQRT((1+Paramètres!$B$4*(C356-1)+Paramètres!$B$5*(C356-1)^2)),0)</f>
        <v>0</v>
      </c>
      <c r="I356" s="6">
        <v>2</v>
      </c>
      <c r="J356" s="6">
        <v>1</v>
      </c>
      <c r="K356" s="7">
        <v>2.1</v>
      </c>
      <c r="L356" s="9">
        <f t="shared" si="42"/>
        <v>30</v>
      </c>
      <c r="M356">
        <v>2</v>
      </c>
      <c r="N356">
        <v>8</v>
      </c>
      <c r="O356">
        <v>21</v>
      </c>
      <c r="P356" s="13" t="str">
        <f t="shared" si="43"/>
        <v>2d8 + 21</v>
      </c>
      <c r="Q356">
        <f>ROUND(INDEX(Catalogue!E$4:E$85,MATCH(A356,Catalogue!A$4:A$85,0))*(1+Paramètres!$B$4*(C356-1)+Paramètres!$B$5*(C356-1)^2),0)</f>
        <v>23</v>
      </c>
      <c r="R356">
        <f>ROUND(INDEX(Catalogue!F$4:F$85,MATCH(A356,Catalogue!A$4:A$85,0))*(1+Paramètres!$B$4*(C356-1)+Paramètres!$B$5*(C356-1)^2),0)</f>
        <v>37</v>
      </c>
      <c r="S356">
        <f t="shared" si="44"/>
        <v>0</v>
      </c>
      <c r="T356" t="str">
        <f t="shared" si="45"/>
        <v>OK</v>
      </c>
      <c r="U356" s="25">
        <f t="shared" si="46"/>
        <v>30</v>
      </c>
      <c r="V356" t="str">
        <f t="shared" si="47"/>
        <v>OK</v>
      </c>
    </row>
    <row r="357" spans="1:22" ht="18" customHeight="1">
      <c r="A357" t="s">
        <v>140</v>
      </c>
      <c r="B357" t="s">
        <v>141</v>
      </c>
      <c r="C357">
        <v>14</v>
      </c>
      <c r="D357" t="s">
        <v>123</v>
      </c>
      <c r="E357" s="6">
        <f t="shared" si="40"/>
        <v>26</v>
      </c>
      <c r="F357" s="6">
        <f t="shared" si="41"/>
        <v>41</v>
      </c>
      <c r="G357" s="6">
        <f>ROUND(Catalogue!G21*SQRT((1+Paramètres!$B$4*(C357-1)+Paramètres!$B$5*(C357-1)^2)),0)</f>
        <v>0</v>
      </c>
      <c r="H357" s="6">
        <f>ROUND(Catalogue!H21*SQRT((1+Paramètres!$B$4*(C357-1)+Paramètres!$B$5*(C357-1)^2)),0)</f>
        <v>0</v>
      </c>
      <c r="I357" s="6">
        <v>2</v>
      </c>
      <c r="J357" s="6">
        <v>1</v>
      </c>
      <c r="K357" s="7">
        <v>2.1</v>
      </c>
      <c r="L357" s="9">
        <f t="shared" si="42"/>
        <v>33.5</v>
      </c>
      <c r="M357">
        <v>3</v>
      </c>
      <c r="N357">
        <v>6</v>
      </c>
      <c r="O357">
        <v>23</v>
      </c>
      <c r="P357" s="13" t="str">
        <f t="shared" si="43"/>
        <v>3d6 + 23</v>
      </c>
      <c r="Q357">
        <f>ROUND(INDEX(Catalogue!E$4:E$85,MATCH(A357,Catalogue!A$4:A$85,0))*(1+Paramètres!$B$4*(C357-1)+Paramètres!$B$5*(C357-1)^2),0)</f>
        <v>26</v>
      </c>
      <c r="R357">
        <f>ROUND(INDEX(Catalogue!F$4:F$85,MATCH(A357,Catalogue!A$4:A$85,0))*(1+Paramètres!$B$4*(C357-1)+Paramètres!$B$5*(C357-1)^2),0)</f>
        <v>41</v>
      </c>
      <c r="S357">
        <f t="shared" si="44"/>
        <v>0</v>
      </c>
      <c r="T357" t="str">
        <f t="shared" si="45"/>
        <v>OK</v>
      </c>
      <c r="U357" s="25">
        <f t="shared" si="46"/>
        <v>33.5</v>
      </c>
      <c r="V357" t="str">
        <f t="shared" si="47"/>
        <v>OK</v>
      </c>
    </row>
    <row r="358" spans="1:22" ht="18" customHeight="1">
      <c r="A358" t="s">
        <v>140</v>
      </c>
      <c r="B358" t="s">
        <v>141</v>
      </c>
      <c r="C358">
        <v>15</v>
      </c>
      <c r="D358" t="s">
        <v>123</v>
      </c>
      <c r="E358" s="6">
        <f t="shared" si="40"/>
        <v>27</v>
      </c>
      <c r="F358" s="6">
        <f t="shared" si="41"/>
        <v>45</v>
      </c>
      <c r="G358" s="6">
        <f>ROUND(Catalogue!G21*SQRT((1+Paramètres!$B$4*(C358-1)+Paramètres!$B$5*(C358-1)^2)),0)</f>
        <v>0</v>
      </c>
      <c r="H358" s="6">
        <f>ROUND(Catalogue!H21*SQRT((1+Paramètres!$B$4*(C358-1)+Paramètres!$B$5*(C358-1)^2)),0)</f>
        <v>0</v>
      </c>
      <c r="I358" s="6">
        <v>2</v>
      </c>
      <c r="J358" s="6">
        <v>1</v>
      </c>
      <c r="K358" s="7">
        <v>2.1</v>
      </c>
      <c r="L358" s="9">
        <f t="shared" si="42"/>
        <v>36</v>
      </c>
      <c r="M358">
        <v>2</v>
      </c>
      <c r="N358">
        <v>10</v>
      </c>
      <c r="O358">
        <v>25</v>
      </c>
      <c r="P358" s="13" t="str">
        <f t="shared" si="43"/>
        <v>2d10 + 25</v>
      </c>
      <c r="Q358">
        <f>ROUND(INDEX(Catalogue!E$4:E$85,MATCH(A358,Catalogue!A$4:A$85,0))*(1+Paramètres!$B$4*(C358-1)+Paramètres!$B$5*(C358-1)^2),0)</f>
        <v>28</v>
      </c>
      <c r="R358">
        <f>ROUND(INDEX(Catalogue!F$4:F$85,MATCH(A358,Catalogue!A$4:A$85,0))*(1+Paramètres!$B$4*(C358-1)+Paramètres!$B$5*(C358-1)^2),0)</f>
        <v>45</v>
      </c>
      <c r="S358">
        <f t="shared" si="44"/>
        <v>-0.5</v>
      </c>
      <c r="T358" t="str">
        <f t="shared" si="45"/>
        <v>OK</v>
      </c>
      <c r="U358" s="25">
        <f t="shared" si="46"/>
        <v>36</v>
      </c>
      <c r="V358" t="str">
        <f t="shared" si="47"/>
        <v>OK</v>
      </c>
    </row>
    <row r="359" spans="1:22" ht="18" customHeight="1">
      <c r="A359" t="s">
        <v>140</v>
      </c>
      <c r="B359" t="s">
        <v>141</v>
      </c>
      <c r="C359">
        <v>16</v>
      </c>
      <c r="D359" t="s">
        <v>123</v>
      </c>
      <c r="E359" s="6">
        <f t="shared" si="40"/>
        <v>31</v>
      </c>
      <c r="F359" s="6">
        <f t="shared" si="41"/>
        <v>49</v>
      </c>
      <c r="G359" s="6">
        <f>ROUND(Catalogue!G21*SQRT((1+Paramètres!$B$4*(C359-1)+Paramètres!$B$5*(C359-1)^2)),0)</f>
        <v>0</v>
      </c>
      <c r="H359" s="6">
        <f>ROUND(Catalogue!H21*SQRT((1+Paramètres!$B$4*(C359-1)+Paramètres!$B$5*(C359-1)^2)),0)</f>
        <v>0</v>
      </c>
      <c r="I359" s="6">
        <v>2</v>
      </c>
      <c r="J359" s="6">
        <v>1</v>
      </c>
      <c r="K359" s="7">
        <v>2.1</v>
      </c>
      <c r="L359" s="9">
        <f t="shared" si="42"/>
        <v>40</v>
      </c>
      <c r="M359">
        <v>2</v>
      </c>
      <c r="N359">
        <v>10</v>
      </c>
      <c r="O359">
        <v>29</v>
      </c>
      <c r="P359" s="13" t="str">
        <f t="shared" si="43"/>
        <v>2d10 + 29</v>
      </c>
      <c r="Q359">
        <f>ROUND(INDEX(Catalogue!E$4:E$85,MATCH(A359,Catalogue!A$4:A$85,0))*(1+Paramètres!$B$4*(C359-1)+Paramètres!$B$5*(C359-1)^2),0)</f>
        <v>31</v>
      </c>
      <c r="R359">
        <f>ROUND(INDEX(Catalogue!F$4:F$85,MATCH(A359,Catalogue!A$4:A$85,0))*(1+Paramètres!$B$4*(C359-1)+Paramètres!$B$5*(C359-1)^2),0)</f>
        <v>50</v>
      </c>
      <c r="S359">
        <f t="shared" si="44"/>
        <v>-0.5</v>
      </c>
      <c r="T359" t="str">
        <f t="shared" si="45"/>
        <v>OK</v>
      </c>
      <c r="U359" s="25">
        <f t="shared" si="46"/>
        <v>40</v>
      </c>
      <c r="V359" t="str">
        <f t="shared" si="47"/>
        <v>OK</v>
      </c>
    </row>
    <row r="360" spans="1:22" ht="18" customHeight="1">
      <c r="A360" t="s">
        <v>140</v>
      </c>
      <c r="B360" t="s">
        <v>141</v>
      </c>
      <c r="C360">
        <v>17</v>
      </c>
      <c r="D360" t="s">
        <v>123</v>
      </c>
      <c r="E360" s="6">
        <f t="shared" si="40"/>
        <v>34</v>
      </c>
      <c r="F360" s="6">
        <f t="shared" si="41"/>
        <v>55</v>
      </c>
      <c r="G360" s="6">
        <f>ROUND(Catalogue!G21*SQRT((1+Paramètres!$B$4*(C360-1)+Paramètres!$B$5*(C360-1)^2)),0)</f>
        <v>0</v>
      </c>
      <c r="H360" s="6">
        <f>ROUND(Catalogue!H21*SQRT((1+Paramètres!$B$4*(C360-1)+Paramètres!$B$5*(C360-1)^2)),0)</f>
        <v>0</v>
      </c>
      <c r="I360" s="6">
        <v>2</v>
      </c>
      <c r="J360" s="6">
        <v>1</v>
      </c>
      <c r="K360" s="7">
        <v>2.1</v>
      </c>
      <c r="L360" s="9">
        <f t="shared" si="42"/>
        <v>44.5</v>
      </c>
      <c r="M360">
        <v>3</v>
      </c>
      <c r="N360">
        <v>8</v>
      </c>
      <c r="O360">
        <v>31</v>
      </c>
      <c r="P360" s="13" t="str">
        <f t="shared" si="43"/>
        <v>3d8 + 31</v>
      </c>
      <c r="Q360">
        <f>ROUND(INDEX(Catalogue!E$4:E$85,MATCH(A360,Catalogue!A$4:A$85,0))*(1+Paramètres!$B$4*(C360-1)+Paramètres!$B$5*(C360-1)^2),0)</f>
        <v>34</v>
      </c>
      <c r="R360">
        <f>ROUND(INDEX(Catalogue!F$4:F$85,MATCH(A360,Catalogue!A$4:A$85,0))*(1+Paramètres!$B$4*(C360-1)+Paramètres!$B$5*(C360-1)^2),0)</f>
        <v>55</v>
      </c>
      <c r="S360">
        <f t="shared" si="44"/>
        <v>0</v>
      </c>
      <c r="T360" t="str">
        <f t="shared" si="45"/>
        <v>OK</v>
      </c>
      <c r="U360" s="25">
        <f t="shared" si="46"/>
        <v>44.5</v>
      </c>
      <c r="V360" t="str">
        <f t="shared" si="47"/>
        <v>OK</v>
      </c>
    </row>
    <row r="361" spans="1:22" ht="18" customHeight="1">
      <c r="A361" t="s">
        <v>140</v>
      </c>
      <c r="B361" t="s">
        <v>141</v>
      </c>
      <c r="C361">
        <v>18</v>
      </c>
      <c r="D361" t="s">
        <v>123</v>
      </c>
      <c r="E361" s="6">
        <f t="shared" si="40"/>
        <v>37</v>
      </c>
      <c r="F361" s="6">
        <f t="shared" si="41"/>
        <v>59</v>
      </c>
      <c r="G361" s="6">
        <f>ROUND(Catalogue!G21*SQRT((1+Paramètres!$B$4*(C361-1)+Paramètres!$B$5*(C361-1)^2)),0)</f>
        <v>0</v>
      </c>
      <c r="H361" s="6">
        <f>ROUND(Catalogue!H21*SQRT((1+Paramètres!$B$4*(C361-1)+Paramètres!$B$5*(C361-1)^2)),0)</f>
        <v>0</v>
      </c>
      <c r="I361" s="6">
        <v>2</v>
      </c>
      <c r="J361" s="6">
        <v>1</v>
      </c>
      <c r="K361" s="7">
        <v>2.1</v>
      </c>
      <c r="L361" s="9">
        <f t="shared" si="42"/>
        <v>48</v>
      </c>
      <c r="M361">
        <v>2</v>
      </c>
      <c r="N361">
        <v>12</v>
      </c>
      <c r="O361">
        <v>35</v>
      </c>
      <c r="P361" s="13" t="str">
        <f t="shared" si="43"/>
        <v>2d12 + 35</v>
      </c>
      <c r="Q361">
        <f>ROUND(INDEX(Catalogue!E$4:E$85,MATCH(A361,Catalogue!A$4:A$85,0))*(1+Paramètres!$B$4*(C361-1)+Paramètres!$B$5*(C361-1)^2),0)</f>
        <v>37</v>
      </c>
      <c r="R361">
        <f>ROUND(INDEX(Catalogue!F$4:F$85,MATCH(A361,Catalogue!A$4:A$85,0))*(1+Paramètres!$B$4*(C361-1)+Paramètres!$B$5*(C361-1)^2),0)</f>
        <v>60</v>
      </c>
      <c r="S361">
        <f t="shared" si="44"/>
        <v>-0.5</v>
      </c>
      <c r="T361" t="str">
        <f t="shared" si="45"/>
        <v>OK</v>
      </c>
      <c r="U361" s="25">
        <f t="shared" si="46"/>
        <v>48</v>
      </c>
      <c r="V361" t="str">
        <f t="shared" si="47"/>
        <v>OK</v>
      </c>
    </row>
    <row r="362" spans="1:22" ht="18" customHeight="1">
      <c r="A362" t="s">
        <v>140</v>
      </c>
      <c r="B362" t="s">
        <v>141</v>
      </c>
      <c r="C362">
        <v>19</v>
      </c>
      <c r="D362" t="s">
        <v>123</v>
      </c>
      <c r="E362" s="6">
        <f t="shared" si="40"/>
        <v>40</v>
      </c>
      <c r="F362" s="6">
        <f t="shared" si="41"/>
        <v>65</v>
      </c>
      <c r="G362" s="6">
        <f>ROUND(Catalogue!G21*SQRT((1+Paramètres!$B$4*(C362-1)+Paramètres!$B$5*(C362-1)^2)),0)</f>
        <v>0</v>
      </c>
      <c r="H362" s="6">
        <f>ROUND(Catalogue!H21*SQRT((1+Paramètres!$B$4*(C362-1)+Paramètres!$B$5*(C362-1)^2)),0)</f>
        <v>0</v>
      </c>
      <c r="I362" s="6">
        <v>2</v>
      </c>
      <c r="J362" s="6">
        <v>1</v>
      </c>
      <c r="K362" s="7">
        <v>2.1</v>
      </c>
      <c r="L362" s="9">
        <f t="shared" si="42"/>
        <v>52.5</v>
      </c>
      <c r="M362">
        <v>5</v>
      </c>
      <c r="N362">
        <v>6</v>
      </c>
      <c r="O362">
        <v>35</v>
      </c>
      <c r="P362" s="13" t="str">
        <f t="shared" si="43"/>
        <v>5d6 + 35</v>
      </c>
      <c r="Q362">
        <f>ROUND(INDEX(Catalogue!E$4:E$85,MATCH(A362,Catalogue!A$4:A$85,0))*(1+Paramètres!$B$4*(C362-1)+Paramètres!$B$5*(C362-1)^2),0)</f>
        <v>41</v>
      </c>
      <c r="R362">
        <f>ROUND(INDEX(Catalogue!F$4:F$85,MATCH(A362,Catalogue!A$4:A$85,0))*(1+Paramètres!$B$4*(C362-1)+Paramètres!$B$5*(C362-1)^2),0)</f>
        <v>65</v>
      </c>
      <c r="S362">
        <f t="shared" si="44"/>
        <v>-0.5</v>
      </c>
      <c r="T362" t="str">
        <f t="shared" si="45"/>
        <v>OK</v>
      </c>
      <c r="U362" s="25">
        <f t="shared" si="46"/>
        <v>52.5</v>
      </c>
      <c r="V362" t="str">
        <f t="shared" si="47"/>
        <v>OK</v>
      </c>
    </row>
    <row r="363" spans="1:22" ht="18" customHeight="1">
      <c r="A363" t="s">
        <v>140</v>
      </c>
      <c r="B363" t="s">
        <v>141</v>
      </c>
      <c r="C363">
        <v>20</v>
      </c>
      <c r="D363" t="s">
        <v>123</v>
      </c>
      <c r="E363" s="6">
        <f t="shared" si="40"/>
        <v>44</v>
      </c>
      <c r="F363" s="6">
        <f t="shared" si="41"/>
        <v>71</v>
      </c>
      <c r="G363" s="6">
        <f>ROUND(Catalogue!G21*SQRT((1+Paramètres!$B$4*(C363-1)+Paramètres!$B$5*(C363-1)^2)),0)</f>
        <v>0</v>
      </c>
      <c r="H363" s="6">
        <f>ROUND(Catalogue!H21*SQRT((1+Paramètres!$B$4*(C363-1)+Paramètres!$B$5*(C363-1)^2)),0)</f>
        <v>0</v>
      </c>
      <c r="I363" s="6">
        <v>2</v>
      </c>
      <c r="J363" s="6">
        <v>1</v>
      </c>
      <c r="K363" s="7">
        <v>2.1</v>
      </c>
      <c r="L363" s="9">
        <f t="shared" si="42"/>
        <v>57.5</v>
      </c>
      <c r="M363">
        <v>3</v>
      </c>
      <c r="N363">
        <v>10</v>
      </c>
      <c r="O363">
        <v>41</v>
      </c>
      <c r="P363" s="13" t="str">
        <f t="shared" si="43"/>
        <v>3d10 + 41</v>
      </c>
      <c r="Q363">
        <f>ROUND(INDEX(Catalogue!E$4:E$85,MATCH(A363,Catalogue!A$4:A$85,0))*(1+Paramètres!$B$4*(C363-1)+Paramètres!$B$5*(C363-1)^2),0)</f>
        <v>44</v>
      </c>
      <c r="R363">
        <f>ROUND(INDEX(Catalogue!F$4:F$85,MATCH(A363,Catalogue!A$4:A$85,0))*(1+Paramètres!$B$4*(C363-1)+Paramètres!$B$5*(C363-1)^2),0)</f>
        <v>71</v>
      </c>
      <c r="S363">
        <f t="shared" si="44"/>
        <v>0</v>
      </c>
      <c r="T363" t="str">
        <f t="shared" si="45"/>
        <v>OK</v>
      </c>
      <c r="U363" s="25">
        <f t="shared" si="46"/>
        <v>57.5</v>
      </c>
      <c r="V363" t="str">
        <f t="shared" si="47"/>
        <v>OK</v>
      </c>
    </row>
    <row r="364" spans="1:22" ht="18" customHeight="1">
      <c r="A364" t="s">
        <v>144</v>
      </c>
      <c r="B364" t="s">
        <v>145</v>
      </c>
      <c r="C364">
        <v>1</v>
      </c>
      <c r="D364" t="s">
        <v>123</v>
      </c>
      <c r="E364" s="6">
        <f t="shared" si="40"/>
        <v>4</v>
      </c>
      <c r="F364" s="6">
        <f t="shared" si="41"/>
        <v>7</v>
      </c>
      <c r="G364" s="6">
        <f>ROUND(Catalogue!G22*SQRT((1+Paramètres!$B$4*(C364-1)+Paramètres!$B$5*(C364-1)^2)),0)</f>
        <v>0</v>
      </c>
      <c r="H364" s="6">
        <f>ROUND(Catalogue!H22*SQRT((1+Paramètres!$B$4*(C364-1)+Paramètres!$B$5*(C364-1)^2)),0)</f>
        <v>0</v>
      </c>
      <c r="I364" s="6">
        <v>2</v>
      </c>
      <c r="J364" s="6">
        <v>1</v>
      </c>
      <c r="K364" s="7">
        <v>2</v>
      </c>
      <c r="L364" s="9">
        <f t="shared" si="42"/>
        <v>5.5</v>
      </c>
      <c r="M364">
        <v>1</v>
      </c>
      <c r="N364">
        <v>4</v>
      </c>
      <c r="O364">
        <v>3</v>
      </c>
      <c r="P364" s="13" t="str">
        <f t="shared" si="43"/>
        <v>1d4 + 3</v>
      </c>
      <c r="Q364">
        <f>ROUND(INDEX(Catalogue!E$4:E$85,MATCH(A364,Catalogue!A$4:A$85,0))*(1+Paramètres!$B$4*(C364-1)+Paramètres!$B$5*(C364-1)^2),0)</f>
        <v>4</v>
      </c>
      <c r="R364">
        <f>ROUND(INDEX(Catalogue!F$4:F$85,MATCH(A364,Catalogue!A$4:A$85,0))*(1+Paramètres!$B$4*(C364-1)+Paramètres!$B$5*(C364-1)^2),0)</f>
        <v>8</v>
      </c>
      <c r="S364">
        <f t="shared" si="44"/>
        <v>-0.5</v>
      </c>
      <c r="T364" t="str">
        <f t="shared" si="45"/>
        <v>OK</v>
      </c>
      <c r="U364" s="25">
        <f t="shared" si="46"/>
        <v>5.5</v>
      </c>
      <c r="V364" t="str">
        <f t="shared" si="47"/>
        <v>OK</v>
      </c>
    </row>
    <row r="365" spans="1:22" ht="18" customHeight="1">
      <c r="A365" t="s">
        <v>144</v>
      </c>
      <c r="B365" t="s">
        <v>145</v>
      </c>
      <c r="C365">
        <v>2</v>
      </c>
      <c r="D365" t="s">
        <v>123</v>
      </c>
      <c r="E365" s="6">
        <f t="shared" si="40"/>
        <v>5</v>
      </c>
      <c r="F365" s="6">
        <f t="shared" si="41"/>
        <v>8</v>
      </c>
      <c r="G365" s="6">
        <f>ROUND(Catalogue!G22*SQRT((1+Paramètres!$B$4*(C365-1)+Paramètres!$B$5*(C365-1)^2)),0)</f>
        <v>0</v>
      </c>
      <c r="H365" s="6">
        <f>ROUND(Catalogue!H22*SQRT((1+Paramètres!$B$4*(C365-1)+Paramètres!$B$5*(C365-1)^2)),0)</f>
        <v>0</v>
      </c>
      <c r="I365" s="6">
        <v>2</v>
      </c>
      <c r="J365" s="6">
        <v>1</v>
      </c>
      <c r="K365" s="7">
        <v>2</v>
      </c>
      <c r="L365" s="9">
        <f t="shared" si="42"/>
        <v>6.5</v>
      </c>
      <c r="M365">
        <v>1</v>
      </c>
      <c r="N365">
        <v>4</v>
      </c>
      <c r="O365">
        <v>4</v>
      </c>
      <c r="P365" s="13" t="str">
        <f t="shared" si="43"/>
        <v>1d4 + 4</v>
      </c>
      <c r="Q365">
        <f>ROUND(INDEX(Catalogue!E$4:E$85,MATCH(A365,Catalogue!A$4:A$85,0))*(1+Paramètres!$B$4*(C365-1)+Paramètres!$B$5*(C365-1)^2),0)</f>
        <v>5</v>
      </c>
      <c r="R365">
        <f>ROUND(INDEX(Catalogue!F$4:F$85,MATCH(A365,Catalogue!A$4:A$85,0))*(1+Paramètres!$B$4*(C365-1)+Paramètres!$B$5*(C365-1)^2),0)</f>
        <v>9</v>
      </c>
      <c r="S365">
        <f t="shared" si="44"/>
        <v>-0.5</v>
      </c>
      <c r="T365" t="str">
        <f t="shared" si="45"/>
        <v>OK</v>
      </c>
      <c r="U365" s="25">
        <f t="shared" si="46"/>
        <v>6.5</v>
      </c>
      <c r="V365" t="str">
        <f t="shared" si="47"/>
        <v>OK</v>
      </c>
    </row>
    <row r="366" spans="1:22" ht="18" customHeight="1">
      <c r="A366" t="s">
        <v>144</v>
      </c>
      <c r="B366" t="s">
        <v>145</v>
      </c>
      <c r="C366">
        <v>3</v>
      </c>
      <c r="D366" t="s">
        <v>123</v>
      </c>
      <c r="E366" s="6">
        <f t="shared" si="40"/>
        <v>5</v>
      </c>
      <c r="F366" s="6">
        <f t="shared" si="41"/>
        <v>10</v>
      </c>
      <c r="G366" s="6">
        <f>ROUND(Catalogue!G22*SQRT((1+Paramètres!$B$4*(C366-1)+Paramètres!$B$5*(C366-1)^2)),0)</f>
        <v>0</v>
      </c>
      <c r="H366" s="6">
        <f>ROUND(Catalogue!H22*SQRT((1+Paramètres!$B$4*(C366-1)+Paramètres!$B$5*(C366-1)^2)),0)</f>
        <v>0</v>
      </c>
      <c r="I366" s="6">
        <v>2</v>
      </c>
      <c r="J366" s="6">
        <v>1</v>
      </c>
      <c r="K366" s="7">
        <v>2</v>
      </c>
      <c r="L366" s="9">
        <f t="shared" si="42"/>
        <v>7.5</v>
      </c>
      <c r="M366">
        <v>1</v>
      </c>
      <c r="N366">
        <v>6</v>
      </c>
      <c r="O366">
        <v>4</v>
      </c>
      <c r="P366" s="13" t="str">
        <f t="shared" si="43"/>
        <v>1d6 + 4</v>
      </c>
      <c r="Q366">
        <f>ROUND(INDEX(Catalogue!E$4:E$85,MATCH(A366,Catalogue!A$4:A$85,0))*(1+Paramètres!$B$4*(C366-1)+Paramètres!$B$5*(C366-1)^2),0)</f>
        <v>5</v>
      </c>
      <c r="R366">
        <f>ROUND(INDEX(Catalogue!F$4:F$85,MATCH(A366,Catalogue!A$4:A$85,0))*(1+Paramètres!$B$4*(C366-1)+Paramètres!$B$5*(C366-1)^2),0)</f>
        <v>10</v>
      </c>
      <c r="S366">
        <f t="shared" si="44"/>
        <v>0</v>
      </c>
      <c r="T366" t="str">
        <f t="shared" si="45"/>
        <v>OK</v>
      </c>
      <c r="U366" s="25">
        <f t="shared" si="46"/>
        <v>7.5</v>
      </c>
      <c r="V366" t="str">
        <f t="shared" si="47"/>
        <v>OK</v>
      </c>
    </row>
    <row r="367" spans="1:22" ht="18" customHeight="1">
      <c r="A367" t="s">
        <v>144</v>
      </c>
      <c r="B367" t="s">
        <v>145</v>
      </c>
      <c r="C367">
        <v>4</v>
      </c>
      <c r="D367" t="s">
        <v>123</v>
      </c>
      <c r="E367" s="6">
        <f t="shared" si="40"/>
        <v>6</v>
      </c>
      <c r="F367" s="6">
        <f t="shared" si="41"/>
        <v>12</v>
      </c>
      <c r="G367" s="6">
        <f>ROUND(Catalogue!G22*SQRT((1+Paramètres!$B$4*(C367-1)+Paramètres!$B$5*(C367-1)^2)),0)</f>
        <v>0</v>
      </c>
      <c r="H367" s="6">
        <f>ROUND(Catalogue!H22*SQRT((1+Paramètres!$B$4*(C367-1)+Paramètres!$B$5*(C367-1)^2)),0)</f>
        <v>0</v>
      </c>
      <c r="I367" s="6">
        <v>2</v>
      </c>
      <c r="J367" s="6">
        <v>1</v>
      </c>
      <c r="K367" s="7">
        <v>2</v>
      </c>
      <c r="L367" s="9">
        <f t="shared" si="42"/>
        <v>9</v>
      </c>
      <c r="M367">
        <v>2</v>
      </c>
      <c r="N367">
        <v>4</v>
      </c>
      <c r="O367">
        <v>4</v>
      </c>
      <c r="P367" s="13" t="str">
        <f t="shared" si="43"/>
        <v>2d4 + 4</v>
      </c>
      <c r="Q367">
        <f>ROUND(INDEX(Catalogue!E$4:E$85,MATCH(A367,Catalogue!A$4:A$85,0))*(1+Paramètres!$B$4*(C367-1)+Paramètres!$B$5*(C367-1)^2),0)</f>
        <v>6</v>
      </c>
      <c r="R367">
        <f>ROUND(INDEX(Catalogue!F$4:F$85,MATCH(A367,Catalogue!A$4:A$85,0))*(1+Paramètres!$B$4*(C367-1)+Paramètres!$B$5*(C367-1)^2),0)</f>
        <v>12</v>
      </c>
      <c r="S367">
        <f t="shared" si="44"/>
        <v>0</v>
      </c>
      <c r="T367" t="str">
        <f t="shared" si="45"/>
        <v>OK</v>
      </c>
      <c r="U367" s="25">
        <f t="shared" si="46"/>
        <v>9</v>
      </c>
      <c r="V367" t="str">
        <f t="shared" si="47"/>
        <v>OK</v>
      </c>
    </row>
    <row r="368" spans="1:22" ht="18" customHeight="1">
      <c r="A368" t="s">
        <v>144</v>
      </c>
      <c r="B368" t="s">
        <v>145</v>
      </c>
      <c r="C368">
        <v>5</v>
      </c>
      <c r="D368" t="s">
        <v>123</v>
      </c>
      <c r="E368" s="6">
        <f t="shared" si="40"/>
        <v>7</v>
      </c>
      <c r="F368" s="6">
        <f t="shared" si="41"/>
        <v>14</v>
      </c>
      <c r="G368" s="6">
        <f>ROUND(Catalogue!G22*SQRT((1+Paramètres!$B$4*(C368-1)+Paramètres!$B$5*(C368-1)^2)),0)</f>
        <v>0</v>
      </c>
      <c r="H368" s="6">
        <f>ROUND(Catalogue!H22*SQRT((1+Paramètres!$B$4*(C368-1)+Paramètres!$B$5*(C368-1)^2)),0)</f>
        <v>0</v>
      </c>
      <c r="I368" s="6">
        <v>2</v>
      </c>
      <c r="J368" s="6">
        <v>1</v>
      </c>
      <c r="K368" s="7">
        <v>2</v>
      </c>
      <c r="L368" s="9">
        <f t="shared" si="42"/>
        <v>10.5</v>
      </c>
      <c r="M368">
        <v>1</v>
      </c>
      <c r="N368">
        <v>8</v>
      </c>
      <c r="O368">
        <v>6</v>
      </c>
      <c r="P368" s="13" t="str">
        <f t="shared" si="43"/>
        <v>1d8 + 6</v>
      </c>
      <c r="Q368">
        <f>ROUND(INDEX(Catalogue!E$4:E$85,MATCH(A368,Catalogue!A$4:A$85,0))*(1+Paramètres!$B$4*(C368-1)+Paramètres!$B$5*(C368-1)^2),0)</f>
        <v>7</v>
      </c>
      <c r="R368">
        <f>ROUND(INDEX(Catalogue!F$4:F$85,MATCH(A368,Catalogue!A$4:A$85,0))*(1+Paramètres!$B$4*(C368-1)+Paramètres!$B$5*(C368-1)^2),0)</f>
        <v>14</v>
      </c>
      <c r="S368">
        <f t="shared" si="44"/>
        <v>0</v>
      </c>
      <c r="T368" t="str">
        <f t="shared" si="45"/>
        <v>OK</v>
      </c>
      <c r="U368" s="25">
        <f t="shared" si="46"/>
        <v>10.5</v>
      </c>
      <c r="V368" t="str">
        <f t="shared" si="47"/>
        <v>OK</v>
      </c>
    </row>
    <row r="369" spans="1:22" ht="18" customHeight="1">
      <c r="A369" t="s">
        <v>144</v>
      </c>
      <c r="B369" t="s">
        <v>145</v>
      </c>
      <c r="C369">
        <v>6</v>
      </c>
      <c r="D369" t="s">
        <v>123</v>
      </c>
      <c r="E369" s="6">
        <f t="shared" si="40"/>
        <v>9</v>
      </c>
      <c r="F369" s="6">
        <f t="shared" si="41"/>
        <v>16</v>
      </c>
      <c r="G369" s="6">
        <f>ROUND(Catalogue!G22*SQRT((1+Paramètres!$B$4*(C369-1)+Paramètres!$B$5*(C369-1)^2)),0)</f>
        <v>0</v>
      </c>
      <c r="H369" s="6">
        <f>ROUND(Catalogue!H22*SQRT((1+Paramètres!$B$4*(C369-1)+Paramètres!$B$5*(C369-1)^2)),0)</f>
        <v>0</v>
      </c>
      <c r="I369" s="6">
        <v>2</v>
      </c>
      <c r="J369" s="6">
        <v>1</v>
      </c>
      <c r="K369" s="7">
        <v>2</v>
      </c>
      <c r="L369" s="9">
        <f t="shared" si="42"/>
        <v>12.5</v>
      </c>
      <c r="M369">
        <v>1</v>
      </c>
      <c r="N369">
        <v>8</v>
      </c>
      <c r="O369">
        <v>8</v>
      </c>
      <c r="P369" s="13" t="str">
        <f t="shared" si="43"/>
        <v>1d8 + 8</v>
      </c>
      <c r="Q369">
        <f>ROUND(INDEX(Catalogue!E$4:E$85,MATCH(A369,Catalogue!A$4:A$85,0))*(1+Paramètres!$B$4*(C369-1)+Paramètres!$B$5*(C369-1)^2),0)</f>
        <v>8</v>
      </c>
      <c r="R369">
        <f>ROUND(INDEX(Catalogue!F$4:F$85,MATCH(A369,Catalogue!A$4:A$85,0))*(1+Paramètres!$B$4*(C369-1)+Paramètres!$B$5*(C369-1)^2),0)</f>
        <v>16</v>
      </c>
      <c r="S369">
        <f t="shared" si="44"/>
        <v>0.5</v>
      </c>
      <c r="T369" t="str">
        <f t="shared" si="45"/>
        <v>OK</v>
      </c>
      <c r="U369" s="25">
        <f t="shared" si="46"/>
        <v>12.5</v>
      </c>
      <c r="V369" t="str">
        <f t="shared" si="47"/>
        <v>OK</v>
      </c>
    </row>
    <row r="370" spans="1:22" ht="18" customHeight="1">
      <c r="A370" t="s">
        <v>144</v>
      </c>
      <c r="B370" t="s">
        <v>145</v>
      </c>
      <c r="C370">
        <v>7</v>
      </c>
      <c r="D370" t="s">
        <v>123</v>
      </c>
      <c r="E370" s="6">
        <f t="shared" si="40"/>
        <v>9</v>
      </c>
      <c r="F370" s="6">
        <f t="shared" si="41"/>
        <v>18</v>
      </c>
      <c r="G370" s="6">
        <f>ROUND(Catalogue!G22*SQRT((1+Paramètres!$B$4*(C370-1)+Paramètres!$B$5*(C370-1)^2)),0)</f>
        <v>0</v>
      </c>
      <c r="H370" s="6">
        <f>ROUND(Catalogue!H22*SQRT((1+Paramètres!$B$4*(C370-1)+Paramètres!$B$5*(C370-1)^2)),0)</f>
        <v>0</v>
      </c>
      <c r="I370" s="6">
        <v>2</v>
      </c>
      <c r="J370" s="6">
        <v>1</v>
      </c>
      <c r="K370" s="7">
        <v>2</v>
      </c>
      <c r="L370" s="9">
        <f t="shared" si="42"/>
        <v>13.5</v>
      </c>
      <c r="M370">
        <v>1</v>
      </c>
      <c r="N370">
        <v>10</v>
      </c>
      <c r="O370">
        <v>8</v>
      </c>
      <c r="P370" s="13" t="str">
        <f t="shared" si="43"/>
        <v>1d10 + 8</v>
      </c>
      <c r="Q370">
        <f>ROUND(INDEX(Catalogue!E$4:E$85,MATCH(A370,Catalogue!A$4:A$85,0))*(1+Paramètres!$B$4*(C370-1)+Paramètres!$B$5*(C370-1)^2),0)</f>
        <v>9</v>
      </c>
      <c r="R370">
        <f>ROUND(INDEX(Catalogue!F$4:F$85,MATCH(A370,Catalogue!A$4:A$85,0))*(1+Paramètres!$B$4*(C370-1)+Paramètres!$B$5*(C370-1)^2),0)</f>
        <v>18</v>
      </c>
      <c r="S370">
        <f t="shared" si="44"/>
        <v>0</v>
      </c>
      <c r="T370" t="str">
        <f t="shared" si="45"/>
        <v>OK</v>
      </c>
      <c r="U370" s="25">
        <f t="shared" si="46"/>
        <v>13.5</v>
      </c>
      <c r="V370" t="str">
        <f t="shared" si="47"/>
        <v>OK</v>
      </c>
    </row>
    <row r="371" spans="1:22" ht="18" customHeight="1">
      <c r="A371" t="s">
        <v>144</v>
      </c>
      <c r="B371" t="s">
        <v>145</v>
      </c>
      <c r="C371">
        <v>8</v>
      </c>
      <c r="D371" t="s">
        <v>123</v>
      </c>
      <c r="E371" s="6">
        <f t="shared" si="40"/>
        <v>10</v>
      </c>
      <c r="F371" s="6">
        <f t="shared" si="41"/>
        <v>20</v>
      </c>
      <c r="G371" s="6">
        <f>ROUND(Catalogue!G22*SQRT((1+Paramètres!$B$4*(C371-1)+Paramètres!$B$5*(C371-1)^2)),0)</f>
        <v>0</v>
      </c>
      <c r="H371" s="6">
        <f>ROUND(Catalogue!H22*SQRT((1+Paramètres!$B$4*(C371-1)+Paramètres!$B$5*(C371-1)^2)),0)</f>
        <v>0</v>
      </c>
      <c r="I371" s="6">
        <v>2</v>
      </c>
      <c r="J371" s="6">
        <v>1</v>
      </c>
      <c r="K371" s="7">
        <v>2</v>
      </c>
      <c r="L371" s="9">
        <f t="shared" si="42"/>
        <v>15</v>
      </c>
      <c r="M371">
        <v>2</v>
      </c>
      <c r="N371">
        <v>6</v>
      </c>
      <c r="O371">
        <v>8</v>
      </c>
      <c r="P371" s="13" t="str">
        <f t="shared" si="43"/>
        <v>2d6 + 8</v>
      </c>
      <c r="Q371">
        <f>ROUND(INDEX(Catalogue!E$4:E$85,MATCH(A371,Catalogue!A$4:A$85,0))*(1+Paramètres!$B$4*(C371-1)+Paramètres!$B$5*(C371-1)^2),0)</f>
        <v>10</v>
      </c>
      <c r="R371">
        <f>ROUND(INDEX(Catalogue!F$4:F$85,MATCH(A371,Catalogue!A$4:A$85,0))*(1+Paramètres!$B$4*(C371-1)+Paramètres!$B$5*(C371-1)^2),0)</f>
        <v>20</v>
      </c>
      <c r="S371">
        <f t="shared" si="44"/>
        <v>0</v>
      </c>
      <c r="T371" t="str">
        <f t="shared" si="45"/>
        <v>OK</v>
      </c>
      <c r="U371" s="25">
        <f t="shared" si="46"/>
        <v>15</v>
      </c>
      <c r="V371" t="str">
        <f t="shared" si="47"/>
        <v>OK</v>
      </c>
    </row>
    <row r="372" spans="1:22" ht="18" customHeight="1">
      <c r="A372" t="s">
        <v>144</v>
      </c>
      <c r="B372" t="s">
        <v>145</v>
      </c>
      <c r="C372">
        <v>9</v>
      </c>
      <c r="D372" t="s">
        <v>123</v>
      </c>
      <c r="E372" s="6">
        <f t="shared" si="40"/>
        <v>12</v>
      </c>
      <c r="F372" s="6">
        <f t="shared" si="41"/>
        <v>23</v>
      </c>
      <c r="G372" s="6">
        <f>ROUND(Catalogue!G22*SQRT((1+Paramètres!$B$4*(C372-1)+Paramètres!$B$5*(C372-1)^2)),0)</f>
        <v>0</v>
      </c>
      <c r="H372" s="6">
        <f>ROUND(Catalogue!H22*SQRT((1+Paramètres!$B$4*(C372-1)+Paramètres!$B$5*(C372-1)^2)),0)</f>
        <v>0</v>
      </c>
      <c r="I372" s="6">
        <v>2</v>
      </c>
      <c r="J372" s="6">
        <v>1</v>
      </c>
      <c r="K372" s="7">
        <v>2</v>
      </c>
      <c r="L372" s="9">
        <f t="shared" si="42"/>
        <v>17.5</v>
      </c>
      <c r="M372">
        <v>1</v>
      </c>
      <c r="N372">
        <v>12</v>
      </c>
      <c r="O372">
        <v>11</v>
      </c>
      <c r="P372" s="13" t="str">
        <f t="shared" si="43"/>
        <v>1d12 + 11</v>
      </c>
      <c r="Q372">
        <f>ROUND(INDEX(Catalogue!E$4:E$85,MATCH(A372,Catalogue!A$4:A$85,0))*(1+Paramètres!$B$4*(C372-1)+Paramètres!$B$5*(C372-1)^2),0)</f>
        <v>12</v>
      </c>
      <c r="R372">
        <f>ROUND(INDEX(Catalogue!F$4:F$85,MATCH(A372,Catalogue!A$4:A$85,0))*(1+Paramètres!$B$4*(C372-1)+Paramètres!$B$5*(C372-1)^2),0)</f>
        <v>23</v>
      </c>
      <c r="S372">
        <f t="shared" si="44"/>
        <v>0</v>
      </c>
      <c r="T372" t="str">
        <f t="shared" si="45"/>
        <v>OK</v>
      </c>
      <c r="U372" s="25">
        <f t="shared" si="46"/>
        <v>17.5</v>
      </c>
      <c r="V372" t="str">
        <f t="shared" si="47"/>
        <v>OK</v>
      </c>
    </row>
    <row r="373" spans="1:22" ht="18" customHeight="1">
      <c r="A373" t="s">
        <v>144</v>
      </c>
      <c r="B373" t="s">
        <v>145</v>
      </c>
      <c r="C373">
        <v>10</v>
      </c>
      <c r="D373" t="s">
        <v>123</v>
      </c>
      <c r="E373" s="6">
        <f t="shared" si="40"/>
        <v>12</v>
      </c>
      <c r="F373" s="6">
        <f t="shared" si="41"/>
        <v>26</v>
      </c>
      <c r="G373" s="6">
        <f>ROUND(Catalogue!G22*SQRT((1+Paramètres!$B$4*(C373-1)+Paramètres!$B$5*(C373-1)^2)),0)</f>
        <v>0</v>
      </c>
      <c r="H373" s="6">
        <f>ROUND(Catalogue!H22*SQRT((1+Paramètres!$B$4*(C373-1)+Paramètres!$B$5*(C373-1)^2)),0)</f>
        <v>0</v>
      </c>
      <c r="I373" s="6">
        <v>2</v>
      </c>
      <c r="J373" s="6">
        <v>1</v>
      </c>
      <c r="K373" s="7">
        <v>2</v>
      </c>
      <c r="L373" s="9">
        <f t="shared" si="42"/>
        <v>19</v>
      </c>
      <c r="M373">
        <v>2</v>
      </c>
      <c r="N373">
        <v>8</v>
      </c>
      <c r="O373">
        <v>10</v>
      </c>
      <c r="P373" s="13" t="str">
        <f t="shared" si="43"/>
        <v>2d8 + 10</v>
      </c>
      <c r="Q373">
        <f>ROUND(INDEX(Catalogue!E$4:E$85,MATCH(A373,Catalogue!A$4:A$85,0))*(1+Paramètres!$B$4*(C373-1)+Paramètres!$B$5*(C373-1)^2),0)</f>
        <v>13</v>
      </c>
      <c r="R373">
        <f>ROUND(INDEX(Catalogue!F$4:F$85,MATCH(A373,Catalogue!A$4:A$85,0))*(1+Paramètres!$B$4*(C373-1)+Paramètres!$B$5*(C373-1)^2),0)</f>
        <v>26</v>
      </c>
      <c r="S373">
        <f t="shared" si="44"/>
        <v>-0.5</v>
      </c>
      <c r="T373" t="str">
        <f t="shared" si="45"/>
        <v>OK</v>
      </c>
      <c r="U373" s="25">
        <f t="shared" si="46"/>
        <v>19</v>
      </c>
      <c r="V373" t="str">
        <f t="shared" si="47"/>
        <v>OK</v>
      </c>
    </row>
    <row r="374" spans="1:22" ht="18" customHeight="1">
      <c r="A374" t="s">
        <v>144</v>
      </c>
      <c r="B374" t="s">
        <v>145</v>
      </c>
      <c r="C374">
        <v>11</v>
      </c>
      <c r="D374" t="s">
        <v>123</v>
      </c>
      <c r="E374" s="6">
        <f t="shared" si="40"/>
        <v>15</v>
      </c>
      <c r="F374" s="6">
        <f t="shared" si="41"/>
        <v>30</v>
      </c>
      <c r="G374" s="6">
        <f>ROUND(Catalogue!G22*SQRT((1+Paramètres!$B$4*(C374-1)+Paramètres!$B$5*(C374-1)^2)),0)</f>
        <v>0</v>
      </c>
      <c r="H374" s="6">
        <f>ROUND(Catalogue!H22*SQRT((1+Paramètres!$B$4*(C374-1)+Paramètres!$B$5*(C374-1)^2)),0)</f>
        <v>0</v>
      </c>
      <c r="I374" s="6">
        <v>2</v>
      </c>
      <c r="J374" s="6">
        <v>1</v>
      </c>
      <c r="K374" s="7">
        <v>2</v>
      </c>
      <c r="L374" s="9">
        <f t="shared" si="42"/>
        <v>22.5</v>
      </c>
      <c r="M374">
        <v>3</v>
      </c>
      <c r="N374">
        <v>6</v>
      </c>
      <c r="O374">
        <v>12</v>
      </c>
      <c r="P374" s="13" t="str">
        <f t="shared" si="43"/>
        <v>3d6 + 12</v>
      </c>
      <c r="Q374">
        <f>ROUND(INDEX(Catalogue!E$4:E$85,MATCH(A374,Catalogue!A$4:A$85,0))*(1+Paramètres!$B$4*(C374-1)+Paramètres!$B$5*(C374-1)^2),0)</f>
        <v>15</v>
      </c>
      <c r="R374">
        <f>ROUND(INDEX(Catalogue!F$4:F$85,MATCH(A374,Catalogue!A$4:A$85,0))*(1+Paramètres!$B$4*(C374-1)+Paramètres!$B$5*(C374-1)^2),0)</f>
        <v>30</v>
      </c>
      <c r="S374">
        <f t="shared" si="44"/>
        <v>0</v>
      </c>
      <c r="T374" t="str">
        <f t="shared" si="45"/>
        <v>OK</v>
      </c>
      <c r="U374" s="25">
        <f t="shared" si="46"/>
        <v>22.5</v>
      </c>
      <c r="V374" t="str">
        <f t="shared" si="47"/>
        <v>OK</v>
      </c>
    </row>
    <row r="375" spans="1:22" ht="18" customHeight="1">
      <c r="A375" t="s">
        <v>144</v>
      </c>
      <c r="B375" t="s">
        <v>145</v>
      </c>
      <c r="C375">
        <v>12</v>
      </c>
      <c r="D375" t="s">
        <v>123</v>
      </c>
      <c r="E375" s="6">
        <f t="shared" si="40"/>
        <v>17</v>
      </c>
      <c r="F375" s="6">
        <f t="shared" si="41"/>
        <v>32</v>
      </c>
      <c r="G375" s="6">
        <f>ROUND(Catalogue!G22*SQRT((1+Paramètres!$B$4*(C375-1)+Paramètres!$B$5*(C375-1)^2)),0)</f>
        <v>0</v>
      </c>
      <c r="H375" s="6">
        <f>ROUND(Catalogue!H22*SQRT((1+Paramètres!$B$4*(C375-1)+Paramètres!$B$5*(C375-1)^2)),0)</f>
        <v>0</v>
      </c>
      <c r="I375" s="6">
        <v>2</v>
      </c>
      <c r="J375" s="6">
        <v>1</v>
      </c>
      <c r="K375" s="7">
        <v>2</v>
      </c>
      <c r="L375" s="9">
        <f t="shared" si="42"/>
        <v>24.5</v>
      </c>
      <c r="M375">
        <v>3</v>
      </c>
      <c r="N375">
        <v>6</v>
      </c>
      <c r="O375">
        <v>14</v>
      </c>
      <c r="P375" s="13" t="str">
        <f t="shared" si="43"/>
        <v>3d6 + 14</v>
      </c>
      <c r="Q375">
        <f>ROUND(INDEX(Catalogue!E$4:E$85,MATCH(A375,Catalogue!A$4:A$85,0))*(1+Paramètres!$B$4*(C375-1)+Paramètres!$B$5*(C375-1)^2),0)</f>
        <v>17</v>
      </c>
      <c r="R375">
        <f>ROUND(INDEX(Catalogue!F$4:F$85,MATCH(A375,Catalogue!A$4:A$85,0))*(1+Paramètres!$B$4*(C375-1)+Paramètres!$B$5*(C375-1)^2),0)</f>
        <v>33</v>
      </c>
      <c r="S375">
        <f t="shared" si="44"/>
        <v>-0.5</v>
      </c>
      <c r="T375" t="str">
        <f t="shared" si="45"/>
        <v>OK</v>
      </c>
      <c r="U375" s="25">
        <f t="shared" si="46"/>
        <v>24.5</v>
      </c>
      <c r="V375" t="str">
        <f t="shared" si="47"/>
        <v>OK</v>
      </c>
    </row>
    <row r="376" spans="1:22" ht="18" customHeight="1">
      <c r="A376" t="s">
        <v>144</v>
      </c>
      <c r="B376" t="s">
        <v>145</v>
      </c>
      <c r="C376">
        <v>13</v>
      </c>
      <c r="D376" t="s">
        <v>123</v>
      </c>
      <c r="E376" s="6">
        <f t="shared" si="40"/>
        <v>18</v>
      </c>
      <c r="F376" s="6">
        <f t="shared" si="41"/>
        <v>36</v>
      </c>
      <c r="G376" s="6">
        <f>ROUND(Catalogue!G22*SQRT((1+Paramètres!$B$4*(C376-1)+Paramètres!$B$5*(C376-1)^2)),0)</f>
        <v>0</v>
      </c>
      <c r="H376" s="6">
        <f>ROUND(Catalogue!H22*SQRT((1+Paramètres!$B$4*(C376-1)+Paramètres!$B$5*(C376-1)^2)),0)</f>
        <v>0</v>
      </c>
      <c r="I376" s="6">
        <v>2</v>
      </c>
      <c r="J376" s="6">
        <v>1</v>
      </c>
      <c r="K376" s="7">
        <v>2</v>
      </c>
      <c r="L376" s="9">
        <f t="shared" si="42"/>
        <v>27</v>
      </c>
      <c r="M376">
        <v>2</v>
      </c>
      <c r="N376">
        <v>10</v>
      </c>
      <c r="O376">
        <v>16</v>
      </c>
      <c r="P376" s="13" t="str">
        <f t="shared" si="43"/>
        <v>2d10 + 16</v>
      </c>
      <c r="Q376">
        <f>ROUND(INDEX(Catalogue!E$4:E$85,MATCH(A376,Catalogue!A$4:A$85,0))*(1+Paramètres!$B$4*(C376-1)+Paramètres!$B$5*(C376-1)^2),0)</f>
        <v>18</v>
      </c>
      <c r="R376">
        <f>ROUND(INDEX(Catalogue!F$4:F$85,MATCH(A376,Catalogue!A$4:A$85,0))*(1+Paramètres!$B$4*(C376-1)+Paramètres!$B$5*(C376-1)^2),0)</f>
        <v>37</v>
      </c>
      <c r="S376">
        <f t="shared" si="44"/>
        <v>-0.5</v>
      </c>
      <c r="T376" t="str">
        <f t="shared" si="45"/>
        <v>OK</v>
      </c>
      <c r="U376" s="25">
        <f t="shared" si="46"/>
        <v>27</v>
      </c>
      <c r="V376" t="str">
        <f t="shared" si="47"/>
        <v>OK</v>
      </c>
    </row>
    <row r="377" spans="1:22" ht="18" customHeight="1">
      <c r="A377" t="s">
        <v>144</v>
      </c>
      <c r="B377" t="s">
        <v>145</v>
      </c>
      <c r="C377">
        <v>14</v>
      </c>
      <c r="D377" t="s">
        <v>123</v>
      </c>
      <c r="E377" s="6">
        <f t="shared" si="40"/>
        <v>21</v>
      </c>
      <c r="F377" s="6">
        <f t="shared" si="41"/>
        <v>41</v>
      </c>
      <c r="G377" s="6">
        <f>ROUND(Catalogue!G22*SQRT((1+Paramètres!$B$4*(C377-1)+Paramètres!$B$5*(C377-1)^2)),0)</f>
        <v>0</v>
      </c>
      <c r="H377" s="6">
        <f>ROUND(Catalogue!H22*SQRT((1+Paramètres!$B$4*(C377-1)+Paramètres!$B$5*(C377-1)^2)),0)</f>
        <v>0</v>
      </c>
      <c r="I377" s="6">
        <v>2</v>
      </c>
      <c r="J377" s="6">
        <v>1</v>
      </c>
      <c r="K377" s="7">
        <v>2</v>
      </c>
      <c r="L377" s="9">
        <f t="shared" si="42"/>
        <v>31</v>
      </c>
      <c r="M377">
        <v>4</v>
      </c>
      <c r="N377">
        <v>6</v>
      </c>
      <c r="O377">
        <v>17</v>
      </c>
      <c r="P377" s="13" t="str">
        <f t="shared" si="43"/>
        <v>4d6 + 17</v>
      </c>
      <c r="Q377">
        <f>ROUND(INDEX(Catalogue!E$4:E$85,MATCH(A377,Catalogue!A$4:A$85,0))*(1+Paramètres!$B$4*(C377-1)+Paramètres!$B$5*(C377-1)^2),0)</f>
        <v>21</v>
      </c>
      <c r="R377">
        <f>ROUND(INDEX(Catalogue!F$4:F$85,MATCH(A377,Catalogue!A$4:A$85,0))*(1+Paramètres!$B$4*(C377-1)+Paramètres!$B$5*(C377-1)^2),0)</f>
        <v>41</v>
      </c>
      <c r="S377">
        <f t="shared" si="44"/>
        <v>0</v>
      </c>
      <c r="T377" t="str">
        <f t="shared" si="45"/>
        <v>OK</v>
      </c>
      <c r="U377" s="25">
        <f t="shared" si="46"/>
        <v>31</v>
      </c>
      <c r="V377" t="str">
        <f t="shared" si="47"/>
        <v>OK</v>
      </c>
    </row>
    <row r="378" spans="1:22" ht="18" customHeight="1">
      <c r="A378" t="s">
        <v>144</v>
      </c>
      <c r="B378" t="s">
        <v>145</v>
      </c>
      <c r="C378">
        <v>15</v>
      </c>
      <c r="D378" t="s">
        <v>123</v>
      </c>
      <c r="E378" s="6">
        <f t="shared" si="40"/>
        <v>23</v>
      </c>
      <c r="F378" s="6">
        <f t="shared" si="41"/>
        <v>45</v>
      </c>
      <c r="G378" s="6">
        <f>ROUND(Catalogue!G22*SQRT((1+Paramètres!$B$4*(C378-1)+Paramètres!$B$5*(C378-1)^2)),0)</f>
        <v>0</v>
      </c>
      <c r="H378" s="6">
        <f>ROUND(Catalogue!H22*SQRT((1+Paramètres!$B$4*(C378-1)+Paramètres!$B$5*(C378-1)^2)),0)</f>
        <v>0</v>
      </c>
      <c r="I378" s="6">
        <v>2</v>
      </c>
      <c r="J378" s="6">
        <v>1</v>
      </c>
      <c r="K378" s="7">
        <v>2</v>
      </c>
      <c r="L378" s="9">
        <f t="shared" si="42"/>
        <v>34</v>
      </c>
      <c r="M378">
        <v>2</v>
      </c>
      <c r="N378">
        <v>12</v>
      </c>
      <c r="O378">
        <v>21</v>
      </c>
      <c r="P378" s="13" t="str">
        <f t="shared" si="43"/>
        <v>2d12 + 21</v>
      </c>
      <c r="Q378">
        <f>ROUND(INDEX(Catalogue!E$4:E$85,MATCH(A378,Catalogue!A$4:A$85,0))*(1+Paramètres!$B$4*(C378-1)+Paramètres!$B$5*(C378-1)^2),0)</f>
        <v>23</v>
      </c>
      <c r="R378">
        <f>ROUND(INDEX(Catalogue!F$4:F$85,MATCH(A378,Catalogue!A$4:A$85,0))*(1+Paramètres!$B$4*(C378-1)+Paramètres!$B$5*(C378-1)^2),0)</f>
        <v>45</v>
      </c>
      <c r="S378">
        <f t="shared" si="44"/>
        <v>0</v>
      </c>
      <c r="T378" t="str">
        <f t="shared" si="45"/>
        <v>OK</v>
      </c>
      <c r="U378" s="25">
        <f t="shared" si="46"/>
        <v>34</v>
      </c>
      <c r="V378" t="str">
        <f t="shared" si="47"/>
        <v>OK</v>
      </c>
    </row>
    <row r="379" spans="1:22" ht="18" customHeight="1">
      <c r="A379" t="s">
        <v>144</v>
      </c>
      <c r="B379" t="s">
        <v>145</v>
      </c>
      <c r="C379">
        <v>16</v>
      </c>
      <c r="D379" t="s">
        <v>123</v>
      </c>
      <c r="E379" s="6">
        <f t="shared" si="40"/>
        <v>25</v>
      </c>
      <c r="F379" s="6">
        <f t="shared" si="41"/>
        <v>50</v>
      </c>
      <c r="G379" s="6">
        <f>ROUND(Catalogue!G22*SQRT((1+Paramètres!$B$4*(C379-1)+Paramètres!$B$5*(C379-1)^2)),0)</f>
        <v>0</v>
      </c>
      <c r="H379" s="6">
        <f>ROUND(Catalogue!H22*SQRT((1+Paramètres!$B$4*(C379-1)+Paramètres!$B$5*(C379-1)^2)),0)</f>
        <v>0</v>
      </c>
      <c r="I379" s="6">
        <v>2</v>
      </c>
      <c r="J379" s="6">
        <v>1</v>
      </c>
      <c r="K379" s="7">
        <v>2</v>
      </c>
      <c r="L379" s="9">
        <f t="shared" si="42"/>
        <v>37.5</v>
      </c>
      <c r="M379">
        <v>5</v>
      </c>
      <c r="N379">
        <v>6</v>
      </c>
      <c r="O379">
        <v>20</v>
      </c>
      <c r="P379" s="13" t="str">
        <f t="shared" si="43"/>
        <v>5d6 + 20</v>
      </c>
      <c r="Q379">
        <f>ROUND(INDEX(Catalogue!E$4:E$85,MATCH(A379,Catalogue!A$4:A$85,0))*(1+Paramètres!$B$4*(C379-1)+Paramètres!$B$5*(C379-1)^2),0)</f>
        <v>25</v>
      </c>
      <c r="R379">
        <f>ROUND(INDEX(Catalogue!F$4:F$85,MATCH(A379,Catalogue!A$4:A$85,0))*(1+Paramètres!$B$4*(C379-1)+Paramètres!$B$5*(C379-1)^2),0)</f>
        <v>50</v>
      </c>
      <c r="S379">
        <f t="shared" si="44"/>
        <v>0</v>
      </c>
      <c r="T379" t="str">
        <f t="shared" si="45"/>
        <v>OK</v>
      </c>
      <c r="U379" s="25">
        <f t="shared" si="46"/>
        <v>37.5</v>
      </c>
      <c r="V379" t="str">
        <f t="shared" si="47"/>
        <v>OK</v>
      </c>
    </row>
    <row r="380" spans="1:22" ht="18" customHeight="1">
      <c r="A380" t="s">
        <v>144</v>
      </c>
      <c r="B380" t="s">
        <v>145</v>
      </c>
      <c r="C380">
        <v>17</v>
      </c>
      <c r="D380" t="s">
        <v>123</v>
      </c>
      <c r="E380" s="6">
        <f t="shared" si="40"/>
        <v>27</v>
      </c>
      <c r="F380" s="6">
        <f t="shared" si="41"/>
        <v>55</v>
      </c>
      <c r="G380" s="6">
        <f>ROUND(Catalogue!G22*SQRT((1+Paramètres!$B$4*(C380-1)+Paramètres!$B$5*(C380-1)^2)),0)</f>
        <v>0</v>
      </c>
      <c r="H380" s="6">
        <f>ROUND(Catalogue!H22*SQRT((1+Paramètres!$B$4*(C380-1)+Paramètres!$B$5*(C380-1)^2)),0)</f>
        <v>0</v>
      </c>
      <c r="I380" s="6">
        <v>2</v>
      </c>
      <c r="J380" s="6">
        <v>1</v>
      </c>
      <c r="K380" s="7">
        <v>2</v>
      </c>
      <c r="L380" s="9">
        <f t="shared" si="42"/>
        <v>41</v>
      </c>
      <c r="M380">
        <v>4</v>
      </c>
      <c r="N380">
        <v>8</v>
      </c>
      <c r="O380">
        <v>23</v>
      </c>
      <c r="P380" s="13" t="str">
        <f t="shared" si="43"/>
        <v>4d8 + 23</v>
      </c>
      <c r="Q380">
        <f>ROUND(INDEX(Catalogue!E$4:E$85,MATCH(A380,Catalogue!A$4:A$85,0))*(1+Paramètres!$B$4*(C380-1)+Paramètres!$B$5*(C380-1)^2),0)</f>
        <v>27</v>
      </c>
      <c r="R380">
        <f>ROUND(INDEX(Catalogue!F$4:F$85,MATCH(A380,Catalogue!A$4:A$85,0))*(1+Paramètres!$B$4*(C380-1)+Paramètres!$B$5*(C380-1)^2),0)</f>
        <v>55</v>
      </c>
      <c r="S380">
        <f t="shared" si="44"/>
        <v>0</v>
      </c>
      <c r="T380" t="str">
        <f t="shared" si="45"/>
        <v>OK</v>
      </c>
      <c r="U380" s="25">
        <f t="shared" si="46"/>
        <v>41</v>
      </c>
      <c r="V380" t="str">
        <f t="shared" si="47"/>
        <v>OK</v>
      </c>
    </row>
    <row r="381" spans="1:22" ht="18" customHeight="1">
      <c r="A381" t="s">
        <v>144</v>
      </c>
      <c r="B381" t="s">
        <v>145</v>
      </c>
      <c r="C381">
        <v>18</v>
      </c>
      <c r="D381" t="s">
        <v>123</v>
      </c>
      <c r="E381" s="6">
        <f t="shared" si="40"/>
        <v>30</v>
      </c>
      <c r="F381" s="6">
        <f t="shared" si="41"/>
        <v>60</v>
      </c>
      <c r="G381" s="6">
        <f>ROUND(Catalogue!G22*SQRT((1+Paramètres!$B$4*(C381-1)+Paramètres!$B$5*(C381-1)^2)),0)</f>
        <v>0</v>
      </c>
      <c r="H381" s="6">
        <f>ROUND(Catalogue!H22*SQRT((1+Paramètres!$B$4*(C381-1)+Paramètres!$B$5*(C381-1)^2)),0)</f>
        <v>0</v>
      </c>
      <c r="I381" s="6">
        <v>2</v>
      </c>
      <c r="J381" s="6">
        <v>1</v>
      </c>
      <c r="K381" s="7">
        <v>2</v>
      </c>
      <c r="L381" s="9">
        <f t="shared" si="42"/>
        <v>45</v>
      </c>
      <c r="M381">
        <v>6</v>
      </c>
      <c r="N381">
        <v>6</v>
      </c>
      <c r="O381">
        <v>24</v>
      </c>
      <c r="P381" s="13" t="str">
        <f t="shared" si="43"/>
        <v>6d6 + 24</v>
      </c>
      <c r="Q381">
        <f>ROUND(INDEX(Catalogue!E$4:E$85,MATCH(A381,Catalogue!A$4:A$85,0))*(1+Paramètres!$B$4*(C381-1)+Paramètres!$B$5*(C381-1)^2),0)</f>
        <v>30</v>
      </c>
      <c r="R381">
        <f>ROUND(INDEX(Catalogue!F$4:F$85,MATCH(A381,Catalogue!A$4:A$85,0))*(1+Paramètres!$B$4*(C381-1)+Paramètres!$B$5*(C381-1)^2),0)</f>
        <v>60</v>
      </c>
      <c r="S381">
        <f t="shared" si="44"/>
        <v>0</v>
      </c>
      <c r="T381" t="str">
        <f t="shared" si="45"/>
        <v>OK</v>
      </c>
      <c r="U381" s="25">
        <f t="shared" si="46"/>
        <v>45</v>
      </c>
      <c r="V381" t="str">
        <f t="shared" si="47"/>
        <v>OK</v>
      </c>
    </row>
    <row r="382" spans="1:22" ht="18" customHeight="1">
      <c r="A382" t="s">
        <v>144</v>
      </c>
      <c r="B382" t="s">
        <v>145</v>
      </c>
      <c r="C382">
        <v>19</v>
      </c>
      <c r="D382" t="s">
        <v>123</v>
      </c>
      <c r="E382" s="6">
        <f t="shared" si="40"/>
        <v>32</v>
      </c>
      <c r="F382" s="6">
        <f t="shared" si="41"/>
        <v>65</v>
      </c>
      <c r="G382" s="6">
        <f>ROUND(Catalogue!G22*SQRT((1+Paramètres!$B$4*(C382-1)+Paramètres!$B$5*(C382-1)^2)),0)</f>
        <v>0</v>
      </c>
      <c r="H382" s="6">
        <f>ROUND(Catalogue!H22*SQRT((1+Paramètres!$B$4*(C382-1)+Paramètres!$B$5*(C382-1)^2)),0)</f>
        <v>0</v>
      </c>
      <c r="I382" s="6">
        <v>2</v>
      </c>
      <c r="J382" s="6">
        <v>1</v>
      </c>
      <c r="K382" s="7">
        <v>2</v>
      </c>
      <c r="L382" s="9">
        <f t="shared" si="42"/>
        <v>48.5</v>
      </c>
      <c r="M382">
        <v>3</v>
      </c>
      <c r="N382">
        <v>12</v>
      </c>
      <c r="O382">
        <v>29</v>
      </c>
      <c r="P382" s="13" t="str">
        <f t="shared" si="43"/>
        <v>3d12 + 29</v>
      </c>
      <c r="Q382">
        <f>ROUND(INDEX(Catalogue!E$4:E$85,MATCH(A382,Catalogue!A$4:A$85,0))*(1+Paramètres!$B$4*(C382-1)+Paramètres!$B$5*(C382-1)^2),0)</f>
        <v>33</v>
      </c>
      <c r="R382">
        <f>ROUND(INDEX(Catalogue!F$4:F$85,MATCH(A382,Catalogue!A$4:A$85,0))*(1+Paramètres!$B$4*(C382-1)+Paramètres!$B$5*(C382-1)^2),0)</f>
        <v>65</v>
      </c>
      <c r="S382">
        <f t="shared" si="44"/>
        <v>-0.5</v>
      </c>
      <c r="T382" t="str">
        <f t="shared" si="45"/>
        <v>OK</v>
      </c>
      <c r="U382" s="25">
        <f t="shared" si="46"/>
        <v>48.5</v>
      </c>
      <c r="V382" t="str">
        <f t="shared" si="47"/>
        <v>OK</v>
      </c>
    </row>
    <row r="383" spans="1:22" ht="18" customHeight="1">
      <c r="A383" t="s">
        <v>144</v>
      </c>
      <c r="B383" t="s">
        <v>145</v>
      </c>
      <c r="C383">
        <v>20</v>
      </c>
      <c r="D383" t="s">
        <v>123</v>
      </c>
      <c r="E383" s="6">
        <f t="shared" si="40"/>
        <v>35</v>
      </c>
      <c r="F383" s="6">
        <f t="shared" si="41"/>
        <v>71</v>
      </c>
      <c r="G383" s="6">
        <f>ROUND(Catalogue!G22*SQRT((1+Paramètres!$B$4*(C383-1)+Paramètres!$B$5*(C383-1)^2)),0)</f>
        <v>0</v>
      </c>
      <c r="H383" s="6">
        <f>ROUND(Catalogue!H22*SQRT((1+Paramètres!$B$4*(C383-1)+Paramètres!$B$5*(C383-1)^2)),0)</f>
        <v>0</v>
      </c>
      <c r="I383" s="6">
        <v>2</v>
      </c>
      <c r="J383" s="6">
        <v>1</v>
      </c>
      <c r="K383" s="7">
        <v>2</v>
      </c>
      <c r="L383" s="9">
        <f t="shared" si="42"/>
        <v>53</v>
      </c>
      <c r="M383">
        <v>4</v>
      </c>
      <c r="N383">
        <v>10</v>
      </c>
      <c r="O383">
        <v>31</v>
      </c>
      <c r="P383" s="13" t="str">
        <f t="shared" si="43"/>
        <v>4d10 + 31</v>
      </c>
      <c r="Q383">
        <f>ROUND(INDEX(Catalogue!E$4:E$85,MATCH(A383,Catalogue!A$4:A$85,0))*(1+Paramètres!$B$4*(C383-1)+Paramètres!$B$5*(C383-1)^2),0)</f>
        <v>35</v>
      </c>
      <c r="R383">
        <f>ROUND(INDEX(Catalogue!F$4:F$85,MATCH(A383,Catalogue!A$4:A$85,0))*(1+Paramètres!$B$4*(C383-1)+Paramètres!$B$5*(C383-1)^2),0)</f>
        <v>71</v>
      </c>
      <c r="S383">
        <f t="shared" si="44"/>
        <v>0</v>
      </c>
      <c r="T383" t="str">
        <f t="shared" si="45"/>
        <v>OK</v>
      </c>
      <c r="U383" s="25">
        <f t="shared" si="46"/>
        <v>53</v>
      </c>
      <c r="V383" t="str">
        <f t="shared" si="47"/>
        <v>OK</v>
      </c>
    </row>
    <row r="384" spans="1:22" ht="18" customHeight="1">
      <c r="A384" t="s">
        <v>147</v>
      </c>
      <c r="B384" t="s">
        <v>148</v>
      </c>
      <c r="C384">
        <v>1</v>
      </c>
      <c r="D384" t="s">
        <v>123</v>
      </c>
      <c r="E384" s="6">
        <f t="shared" si="40"/>
        <v>4</v>
      </c>
      <c r="F384" s="6">
        <f t="shared" si="41"/>
        <v>7</v>
      </c>
      <c r="G384" s="6">
        <f>ROUND(Catalogue!G23*SQRT((1+Paramètres!$B$4*(C384-1)+Paramètres!$B$5*(C384-1)^2)),0)</f>
        <v>0</v>
      </c>
      <c r="H384" s="6">
        <f>ROUND(Catalogue!H23*SQRT((1+Paramètres!$B$4*(C384-1)+Paramètres!$B$5*(C384-1)^2)),0)</f>
        <v>0</v>
      </c>
      <c r="I384" s="6">
        <v>2</v>
      </c>
      <c r="J384" s="6">
        <v>1</v>
      </c>
      <c r="K384" s="7">
        <v>1.8</v>
      </c>
      <c r="L384" s="9">
        <f t="shared" si="42"/>
        <v>5.5</v>
      </c>
      <c r="M384">
        <v>1</v>
      </c>
      <c r="N384">
        <v>4</v>
      </c>
      <c r="O384">
        <v>3</v>
      </c>
      <c r="P384" s="13" t="str">
        <f t="shared" si="43"/>
        <v>1d4 + 3</v>
      </c>
      <c r="Q384">
        <f>ROUND(INDEX(Catalogue!E$4:E$85,MATCH(A384,Catalogue!A$4:A$85,0))*(1+Paramètres!$B$4*(C384-1)+Paramètres!$B$5*(C384-1)^2),0)</f>
        <v>4</v>
      </c>
      <c r="R384">
        <f>ROUND(INDEX(Catalogue!F$4:F$85,MATCH(A384,Catalogue!A$4:A$85,0))*(1+Paramètres!$B$4*(C384-1)+Paramètres!$B$5*(C384-1)^2),0)</f>
        <v>7</v>
      </c>
      <c r="S384">
        <f t="shared" si="44"/>
        <v>0</v>
      </c>
      <c r="T384" t="str">
        <f t="shared" si="45"/>
        <v>OK</v>
      </c>
      <c r="U384" s="25">
        <f t="shared" si="46"/>
        <v>5.5</v>
      </c>
      <c r="V384" t="str">
        <f t="shared" si="47"/>
        <v>OK</v>
      </c>
    </row>
    <row r="385" spans="1:22" ht="18" customHeight="1">
      <c r="A385" t="s">
        <v>147</v>
      </c>
      <c r="B385" t="s">
        <v>148</v>
      </c>
      <c r="C385">
        <v>2</v>
      </c>
      <c r="D385" t="s">
        <v>123</v>
      </c>
      <c r="E385" s="6">
        <f t="shared" si="40"/>
        <v>5</v>
      </c>
      <c r="F385" s="6">
        <f t="shared" si="41"/>
        <v>8</v>
      </c>
      <c r="G385" s="6">
        <f>ROUND(Catalogue!G23*SQRT((1+Paramètres!$B$4*(C385-1)+Paramètres!$B$5*(C385-1)^2)),0)</f>
        <v>0</v>
      </c>
      <c r="H385" s="6">
        <f>ROUND(Catalogue!H23*SQRT((1+Paramètres!$B$4*(C385-1)+Paramètres!$B$5*(C385-1)^2)),0)</f>
        <v>0</v>
      </c>
      <c r="I385" s="6">
        <v>2</v>
      </c>
      <c r="J385" s="6">
        <v>1</v>
      </c>
      <c r="K385" s="7">
        <v>1.8</v>
      </c>
      <c r="L385" s="9">
        <f t="shared" si="42"/>
        <v>6.5</v>
      </c>
      <c r="M385">
        <v>1</v>
      </c>
      <c r="N385">
        <v>4</v>
      </c>
      <c r="O385">
        <v>4</v>
      </c>
      <c r="P385" s="13" t="str">
        <f t="shared" si="43"/>
        <v>1d4 + 4</v>
      </c>
      <c r="Q385">
        <f>ROUND(INDEX(Catalogue!E$4:E$85,MATCH(A385,Catalogue!A$4:A$85,0))*(1+Paramètres!$B$4*(C385-1)+Paramètres!$B$5*(C385-1)^2),0)</f>
        <v>5</v>
      </c>
      <c r="R385">
        <f>ROUND(INDEX(Catalogue!F$4:F$85,MATCH(A385,Catalogue!A$4:A$85,0))*(1+Paramètres!$B$4*(C385-1)+Paramètres!$B$5*(C385-1)^2),0)</f>
        <v>8</v>
      </c>
      <c r="S385">
        <f t="shared" si="44"/>
        <v>0</v>
      </c>
      <c r="T385" t="str">
        <f t="shared" si="45"/>
        <v>OK</v>
      </c>
      <c r="U385" s="25">
        <f t="shared" si="46"/>
        <v>6.5</v>
      </c>
      <c r="V385" t="str">
        <f t="shared" si="47"/>
        <v>OK</v>
      </c>
    </row>
    <row r="386" spans="1:22" ht="18" customHeight="1">
      <c r="A386" t="s">
        <v>147</v>
      </c>
      <c r="B386" t="s">
        <v>148</v>
      </c>
      <c r="C386">
        <v>3</v>
      </c>
      <c r="D386" t="s">
        <v>123</v>
      </c>
      <c r="E386" s="6">
        <f t="shared" si="40"/>
        <v>5</v>
      </c>
      <c r="F386" s="6">
        <f t="shared" si="41"/>
        <v>8</v>
      </c>
      <c r="G386" s="6">
        <f>ROUND(Catalogue!G23*SQRT((1+Paramètres!$B$4*(C386-1)+Paramètres!$B$5*(C386-1)^2)),0)</f>
        <v>0</v>
      </c>
      <c r="H386" s="6">
        <f>ROUND(Catalogue!H23*SQRT((1+Paramètres!$B$4*(C386-1)+Paramètres!$B$5*(C386-1)^2)),0)</f>
        <v>0</v>
      </c>
      <c r="I386" s="6">
        <v>2</v>
      </c>
      <c r="J386" s="6">
        <v>1</v>
      </c>
      <c r="K386" s="7">
        <v>1.8</v>
      </c>
      <c r="L386" s="9">
        <f t="shared" si="42"/>
        <v>6.5</v>
      </c>
      <c r="M386">
        <v>1</v>
      </c>
      <c r="N386">
        <v>4</v>
      </c>
      <c r="O386">
        <v>4</v>
      </c>
      <c r="P386" s="13" t="str">
        <f t="shared" si="43"/>
        <v>1d4 + 4</v>
      </c>
      <c r="Q386">
        <f>ROUND(INDEX(Catalogue!E$4:E$85,MATCH(A386,Catalogue!A$4:A$85,0))*(1+Paramètres!$B$4*(C386-1)+Paramètres!$B$5*(C386-1)^2),0)</f>
        <v>5</v>
      </c>
      <c r="R386">
        <f>ROUND(INDEX(Catalogue!F$4:F$85,MATCH(A386,Catalogue!A$4:A$85,0))*(1+Paramètres!$B$4*(C386-1)+Paramètres!$B$5*(C386-1)^2),0)</f>
        <v>9</v>
      </c>
      <c r="S386">
        <f t="shared" si="44"/>
        <v>-0.5</v>
      </c>
      <c r="T386" t="str">
        <f t="shared" si="45"/>
        <v>OK</v>
      </c>
      <c r="U386" s="25">
        <f t="shared" si="46"/>
        <v>6.5</v>
      </c>
      <c r="V386" t="str">
        <f t="shared" si="47"/>
        <v>OK</v>
      </c>
    </row>
    <row r="387" spans="1:22" ht="18" customHeight="1">
      <c r="A387" t="s">
        <v>147</v>
      </c>
      <c r="B387" t="s">
        <v>148</v>
      </c>
      <c r="C387">
        <v>4</v>
      </c>
      <c r="D387" t="s">
        <v>123</v>
      </c>
      <c r="E387" s="6">
        <f t="shared" si="40"/>
        <v>6</v>
      </c>
      <c r="F387" s="6">
        <f t="shared" si="41"/>
        <v>9</v>
      </c>
      <c r="G387" s="6">
        <f>ROUND(Catalogue!G23*SQRT((1+Paramètres!$B$4*(C387-1)+Paramètres!$B$5*(C387-1)^2)),0)</f>
        <v>0</v>
      </c>
      <c r="H387" s="6">
        <f>ROUND(Catalogue!H23*SQRT((1+Paramètres!$B$4*(C387-1)+Paramètres!$B$5*(C387-1)^2)),0)</f>
        <v>0</v>
      </c>
      <c r="I387" s="6">
        <v>2</v>
      </c>
      <c r="J387" s="6">
        <v>1</v>
      </c>
      <c r="K387" s="7">
        <v>1.8</v>
      </c>
      <c r="L387" s="9">
        <f t="shared" si="42"/>
        <v>7.5</v>
      </c>
      <c r="M387">
        <v>1</v>
      </c>
      <c r="N387">
        <v>4</v>
      </c>
      <c r="O387">
        <v>5</v>
      </c>
      <c r="P387" s="13" t="str">
        <f t="shared" si="43"/>
        <v>1d4 + 5</v>
      </c>
      <c r="Q387">
        <f>ROUND(INDEX(Catalogue!E$4:E$85,MATCH(A387,Catalogue!A$4:A$85,0))*(1+Paramètres!$B$4*(C387-1)+Paramètres!$B$5*(C387-1)^2),0)</f>
        <v>6</v>
      </c>
      <c r="R387">
        <f>ROUND(INDEX(Catalogue!F$4:F$85,MATCH(A387,Catalogue!A$4:A$85,0))*(1+Paramètres!$B$4*(C387-1)+Paramètres!$B$5*(C387-1)^2),0)</f>
        <v>10</v>
      </c>
      <c r="S387">
        <f t="shared" si="44"/>
        <v>-0.5</v>
      </c>
      <c r="T387" t="str">
        <f t="shared" si="45"/>
        <v>OK</v>
      </c>
      <c r="U387" s="25">
        <f t="shared" si="46"/>
        <v>7.5</v>
      </c>
      <c r="V387" t="str">
        <f t="shared" si="47"/>
        <v>OK</v>
      </c>
    </row>
    <row r="388" spans="1:22" ht="18" customHeight="1">
      <c r="A388" t="s">
        <v>147</v>
      </c>
      <c r="B388" t="s">
        <v>148</v>
      </c>
      <c r="C388">
        <v>5</v>
      </c>
      <c r="D388" t="s">
        <v>123</v>
      </c>
      <c r="E388" s="6">
        <f t="shared" ref="E388:E451" si="48">IF(M388=0,0,M388+O388)</f>
        <v>7</v>
      </c>
      <c r="F388" s="6">
        <f t="shared" ref="F388:F451" si="49">IF(M388=0,0,M388*N388+O388)</f>
        <v>12</v>
      </c>
      <c r="G388" s="6">
        <f>ROUND(Catalogue!G23*SQRT((1+Paramètres!$B$4*(C388-1)+Paramètres!$B$5*(C388-1)^2)),0)</f>
        <v>0</v>
      </c>
      <c r="H388" s="6">
        <f>ROUND(Catalogue!H23*SQRT((1+Paramètres!$B$4*(C388-1)+Paramètres!$B$5*(C388-1)^2)),0)</f>
        <v>0</v>
      </c>
      <c r="I388" s="6">
        <v>2</v>
      </c>
      <c r="J388" s="6">
        <v>1</v>
      </c>
      <c r="K388" s="7">
        <v>1.8</v>
      </c>
      <c r="L388" s="9">
        <f t="shared" ref="L388:L451" si="50">IF(M388=0,0,(E388+F388)/2)</f>
        <v>9.5</v>
      </c>
      <c r="M388">
        <v>1</v>
      </c>
      <c r="N388">
        <v>6</v>
      </c>
      <c r="O388">
        <v>6</v>
      </c>
      <c r="P388" s="13" t="str">
        <f t="shared" ref="P388:P451" si="51">IF(M388=0,"—",M388&amp;"d"&amp;N388&amp;IF(O388=0,""," + "&amp;O388))</f>
        <v>1d6 + 6</v>
      </c>
      <c r="Q388">
        <f>ROUND(INDEX(Catalogue!E$4:E$85,MATCH(A388,Catalogue!A$4:A$85,0))*(1+Paramètres!$B$4*(C388-1)+Paramètres!$B$5*(C388-1)^2),0)</f>
        <v>7</v>
      </c>
      <c r="R388">
        <f>ROUND(INDEX(Catalogue!F$4:F$85,MATCH(A388,Catalogue!A$4:A$85,0))*(1+Paramètres!$B$4*(C388-1)+Paramètres!$B$5*(C388-1)^2),0)</f>
        <v>12</v>
      </c>
      <c r="S388">
        <f t="shared" ref="S388:S451" si="52">L388-AVERAGE(Q388:R388)</f>
        <v>0</v>
      </c>
      <c r="T388" t="str">
        <f t="shared" ref="T388:T451" si="53">IF(M388=0,IF(AND(N388=0,O388=0,E388=0,F388=0),"OK","ERREUR"),IF(AND(M388&gt;=1,M388&lt;=32,OR(N388=4,N388=6,N388=8,N388=10,N388=12,N388=20),O388&gt;=0,E388=M388+O388,F388=M388*N388+O388),"OK","ERREUR"))</f>
        <v>OK</v>
      </c>
      <c r="U388" s="25">
        <f t="shared" ref="U388:U451" si="54">IF(M388&gt;0,M388*(N388+1)/2+O388,0)</f>
        <v>9.5</v>
      </c>
      <c r="V388" t="str">
        <f t="shared" ref="V388:V451" si="55">IF(ABS(L388-U388)&lt;0.001,"OK","ERREUR")</f>
        <v>OK</v>
      </c>
    </row>
    <row r="389" spans="1:22" ht="18" customHeight="1">
      <c r="A389" t="s">
        <v>147</v>
      </c>
      <c r="B389" t="s">
        <v>148</v>
      </c>
      <c r="C389">
        <v>6</v>
      </c>
      <c r="D389" t="s">
        <v>123</v>
      </c>
      <c r="E389" s="6">
        <f t="shared" si="48"/>
        <v>8</v>
      </c>
      <c r="F389" s="6">
        <f t="shared" si="49"/>
        <v>14</v>
      </c>
      <c r="G389" s="6">
        <f>ROUND(Catalogue!G23*SQRT((1+Paramètres!$B$4*(C389-1)+Paramètres!$B$5*(C389-1)^2)),0)</f>
        <v>0</v>
      </c>
      <c r="H389" s="6">
        <f>ROUND(Catalogue!H23*SQRT((1+Paramètres!$B$4*(C389-1)+Paramètres!$B$5*(C389-1)^2)),0)</f>
        <v>0</v>
      </c>
      <c r="I389" s="6">
        <v>2</v>
      </c>
      <c r="J389" s="6">
        <v>1</v>
      </c>
      <c r="K389" s="7">
        <v>1.8</v>
      </c>
      <c r="L389" s="9">
        <f t="shared" si="50"/>
        <v>11</v>
      </c>
      <c r="M389">
        <v>2</v>
      </c>
      <c r="N389">
        <v>4</v>
      </c>
      <c r="O389">
        <v>6</v>
      </c>
      <c r="P389" s="13" t="str">
        <f t="shared" si="51"/>
        <v>2d4 + 6</v>
      </c>
      <c r="Q389">
        <f>ROUND(INDEX(Catalogue!E$4:E$85,MATCH(A389,Catalogue!A$4:A$85,0))*(1+Paramètres!$B$4*(C389-1)+Paramètres!$B$5*(C389-1)^2),0)</f>
        <v>8</v>
      </c>
      <c r="R389">
        <f>ROUND(INDEX(Catalogue!F$4:F$85,MATCH(A389,Catalogue!A$4:A$85,0))*(1+Paramètres!$B$4*(C389-1)+Paramètres!$B$5*(C389-1)^2),0)</f>
        <v>14</v>
      </c>
      <c r="S389">
        <f t="shared" si="52"/>
        <v>0</v>
      </c>
      <c r="T389" t="str">
        <f t="shared" si="53"/>
        <v>OK</v>
      </c>
      <c r="U389" s="25">
        <f t="shared" si="54"/>
        <v>11</v>
      </c>
      <c r="V389" t="str">
        <f t="shared" si="55"/>
        <v>OK</v>
      </c>
    </row>
    <row r="390" spans="1:22" ht="18" customHeight="1">
      <c r="A390" t="s">
        <v>147</v>
      </c>
      <c r="B390" t="s">
        <v>148</v>
      </c>
      <c r="C390">
        <v>7</v>
      </c>
      <c r="D390" t="s">
        <v>123</v>
      </c>
      <c r="E390" s="6">
        <f t="shared" si="48"/>
        <v>9</v>
      </c>
      <c r="F390" s="6">
        <f t="shared" si="49"/>
        <v>16</v>
      </c>
      <c r="G390" s="6">
        <f>ROUND(Catalogue!G23*SQRT((1+Paramètres!$B$4*(C390-1)+Paramètres!$B$5*(C390-1)^2)),0)</f>
        <v>0</v>
      </c>
      <c r="H390" s="6">
        <f>ROUND(Catalogue!H23*SQRT((1+Paramètres!$B$4*(C390-1)+Paramètres!$B$5*(C390-1)^2)),0)</f>
        <v>0</v>
      </c>
      <c r="I390" s="6">
        <v>2</v>
      </c>
      <c r="J390" s="6">
        <v>1</v>
      </c>
      <c r="K390" s="7">
        <v>1.8</v>
      </c>
      <c r="L390" s="9">
        <f t="shared" si="50"/>
        <v>12.5</v>
      </c>
      <c r="M390">
        <v>1</v>
      </c>
      <c r="N390">
        <v>8</v>
      </c>
      <c r="O390">
        <v>8</v>
      </c>
      <c r="P390" s="13" t="str">
        <f t="shared" si="51"/>
        <v>1d8 + 8</v>
      </c>
      <c r="Q390">
        <f>ROUND(INDEX(Catalogue!E$4:E$85,MATCH(A390,Catalogue!A$4:A$85,0))*(1+Paramètres!$B$4*(C390-1)+Paramètres!$B$5*(C390-1)^2),0)</f>
        <v>9</v>
      </c>
      <c r="R390">
        <f>ROUND(INDEX(Catalogue!F$4:F$85,MATCH(A390,Catalogue!A$4:A$85,0))*(1+Paramètres!$B$4*(C390-1)+Paramètres!$B$5*(C390-1)^2),0)</f>
        <v>16</v>
      </c>
      <c r="S390">
        <f t="shared" si="52"/>
        <v>0</v>
      </c>
      <c r="T390" t="str">
        <f t="shared" si="53"/>
        <v>OK</v>
      </c>
      <c r="U390" s="25">
        <f t="shared" si="54"/>
        <v>12.5</v>
      </c>
      <c r="V390" t="str">
        <f t="shared" si="55"/>
        <v>OK</v>
      </c>
    </row>
    <row r="391" spans="1:22" ht="18" customHeight="1">
      <c r="A391" t="s">
        <v>147</v>
      </c>
      <c r="B391" t="s">
        <v>148</v>
      </c>
      <c r="C391">
        <v>8</v>
      </c>
      <c r="D391" t="s">
        <v>123</v>
      </c>
      <c r="E391" s="6">
        <f t="shared" si="48"/>
        <v>9</v>
      </c>
      <c r="F391" s="6">
        <f t="shared" si="49"/>
        <v>18</v>
      </c>
      <c r="G391" s="6">
        <f>ROUND(Catalogue!G23*SQRT((1+Paramètres!$B$4*(C391-1)+Paramètres!$B$5*(C391-1)^2)),0)</f>
        <v>0</v>
      </c>
      <c r="H391" s="6">
        <f>ROUND(Catalogue!H23*SQRT((1+Paramètres!$B$4*(C391-1)+Paramètres!$B$5*(C391-1)^2)),0)</f>
        <v>0</v>
      </c>
      <c r="I391" s="6">
        <v>2</v>
      </c>
      <c r="J391" s="6">
        <v>1</v>
      </c>
      <c r="K391" s="7">
        <v>1.8</v>
      </c>
      <c r="L391" s="9">
        <f t="shared" si="50"/>
        <v>13.5</v>
      </c>
      <c r="M391">
        <v>3</v>
      </c>
      <c r="N391">
        <v>4</v>
      </c>
      <c r="O391">
        <v>6</v>
      </c>
      <c r="P391" s="13" t="str">
        <f t="shared" si="51"/>
        <v>3d4 + 6</v>
      </c>
      <c r="Q391">
        <f>ROUND(INDEX(Catalogue!E$4:E$85,MATCH(A391,Catalogue!A$4:A$85,0))*(1+Paramètres!$B$4*(C391-1)+Paramètres!$B$5*(C391-1)^2),0)</f>
        <v>10</v>
      </c>
      <c r="R391">
        <f>ROUND(INDEX(Catalogue!F$4:F$85,MATCH(A391,Catalogue!A$4:A$85,0))*(1+Paramètres!$B$4*(C391-1)+Paramètres!$B$5*(C391-1)^2),0)</f>
        <v>18</v>
      </c>
      <c r="S391">
        <f t="shared" si="52"/>
        <v>-0.5</v>
      </c>
      <c r="T391" t="str">
        <f t="shared" si="53"/>
        <v>OK</v>
      </c>
      <c r="U391" s="25">
        <f t="shared" si="54"/>
        <v>13.5</v>
      </c>
      <c r="V391" t="str">
        <f t="shared" si="55"/>
        <v>OK</v>
      </c>
    </row>
    <row r="392" spans="1:22" ht="18" customHeight="1">
      <c r="A392" t="s">
        <v>147</v>
      </c>
      <c r="B392" t="s">
        <v>148</v>
      </c>
      <c r="C392">
        <v>9</v>
      </c>
      <c r="D392" t="s">
        <v>123</v>
      </c>
      <c r="E392" s="6">
        <f t="shared" si="48"/>
        <v>11</v>
      </c>
      <c r="F392" s="6">
        <f t="shared" si="49"/>
        <v>20</v>
      </c>
      <c r="G392" s="6">
        <f>ROUND(Catalogue!G23*SQRT((1+Paramètres!$B$4*(C392-1)+Paramètres!$B$5*(C392-1)^2)),0)</f>
        <v>0</v>
      </c>
      <c r="H392" s="6">
        <f>ROUND(Catalogue!H23*SQRT((1+Paramètres!$B$4*(C392-1)+Paramètres!$B$5*(C392-1)^2)),0)</f>
        <v>0</v>
      </c>
      <c r="I392" s="6">
        <v>2</v>
      </c>
      <c r="J392" s="6">
        <v>1</v>
      </c>
      <c r="K392" s="7">
        <v>1.8</v>
      </c>
      <c r="L392" s="9">
        <f t="shared" si="50"/>
        <v>15.5</v>
      </c>
      <c r="M392">
        <v>3</v>
      </c>
      <c r="N392">
        <v>4</v>
      </c>
      <c r="O392">
        <v>8</v>
      </c>
      <c r="P392" s="13" t="str">
        <f t="shared" si="51"/>
        <v>3d4 + 8</v>
      </c>
      <c r="Q392">
        <f>ROUND(INDEX(Catalogue!E$4:E$85,MATCH(A392,Catalogue!A$4:A$85,0))*(1+Paramètres!$B$4*(C392-1)+Paramètres!$B$5*(C392-1)^2),0)</f>
        <v>12</v>
      </c>
      <c r="R392">
        <f>ROUND(INDEX(Catalogue!F$4:F$85,MATCH(A392,Catalogue!A$4:A$85,0))*(1+Paramètres!$B$4*(C392-1)+Paramètres!$B$5*(C392-1)^2),0)</f>
        <v>20</v>
      </c>
      <c r="S392">
        <f t="shared" si="52"/>
        <v>-0.5</v>
      </c>
      <c r="T392" t="str">
        <f t="shared" si="53"/>
        <v>OK</v>
      </c>
      <c r="U392" s="25">
        <f t="shared" si="54"/>
        <v>15.5</v>
      </c>
      <c r="V392" t="str">
        <f t="shared" si="55"/>
        <v>OK</v>
      </c>
    </row>
    <row r="393" spans="1:22" ht="18" customHeight="1">
      <c r="A393" t="s">
        <v>147</v>
      </c>
      <c r="B393" t="s">
        <v>148</v>
      </c>
      <c r="C393">
        <v>10</v>
      </c>
      <c r="D393" t="s">
        <v>123</v>
      </c>
      <c r="E393" s="6">
        <f t="shared" si="48"/>
        <v>13</v>
      </c>
      <c r="F393" s="6">
        <f t="shared" si="49"/>
        <v>23</v>
      </c>
      <c r="G393" s="6">
        <f>ROUND(Catalogue!G23*SQRT((1+Paramètres!$B$4*(C393-1)+Paramètres!$B$5*(C393-1)^2)),0)</f>
        <v>0</v>
      </c>
      <c r="H393" s="6">
        <f>ROUND(Catalogue!H23*SQRT((1+Paramètres!$B$4*(C393-1)+Paramètres!$B$5*(C393-1)^2)),0)</f>
        <v>0</v>
      </c>
      <c r="I393" s="6">
        <v>2</v>
      </c>
      <c r="J393" s="6">
        <v>1</v>
      </c>
      <c r="K393" s="7">
        <v>1.8</v>
      </c>
      <c r="L393" s="9">
        <f t="shared" si="50"/>
        <v>18</v>
      </c>
      <c r="M393">
        <v>2</v>
      </c>
      <c r="N393">
        <v>6</v>
      </c>
      <c r="O393">
        <v>11</v>
      </c>
      <c r="P393" s="13" t="str">
        <f t="shared" si="51"/>
        <v>2d6 + 11</v>
      </c>
      <c r="Q393">
        <f>ROUND(INDEX(Catalogue!E$4:E$85,MATCH(A393,Catalogue!A$4:A$85,0))*(1+Paramètres!$B$4*(C393-1)+Paramètres!$B$5*(C393-1)^2),0)</f>
        <v>13</v>
      </c>
      <c r="R393">
        <f>ROUND(INDEX(Catalogue!F$4:F$85,MATCH(A393,Catalogue!A$4:A$85,0))*(1+Paramètres!$B$4*(C393-1)+Paramètres!$B$5*(C393-1)^2),0)</f>
        <v>23</v>
      </c>
      <c r="S393">
        <f t="shared" si="52"/>
        <v>0</v>
      </c>
      <c r="T393" t="str">
        <f t="shared" si="53"/>
        <v>OK</v>
      </c>
      <c r="U393" s="25">
        <f t="shared" si="54"/>
        <v>18</v>
      </c>
      <c r="V393" t="str">
        <f t="shared" si="55"/>
        <v>OK</v>
      </c>
    </row>
    <row r="394" spans="1:22" ht="18" customHeight="1">
      <c r="A394" t="s">
        <v>147</v>
      </c>
      <c r="B394" t="s">
        <v>148</v>
      </c>
      <c r="C394">
        <v>11</v>
      </c>
      <c r="D394" t="s">
        <v>123</v>
      </c>
      <c r="E394" s="6">
        <f t="shared" si="48"/>
        <v>15</v>
      </c>
      <c r="F394" s="6">
        <f t="shared" si="49"/>
        <v>26</v>
      </c>
      <c r="G394" s="6">
        <f>ROUND(Catalogue!G23*SQRT((1+Paramètres!$B$4*(C394-1)+Paramètres!$B$5*(C394-1)^2)),0)</f>
        <v>0</v>
      </c>
      <c r="H394" s="6">
        <f>ROUND(Catalogue!H23*SQRT((1+Paramètres!$B$4*(C394-1)+Paramètres!$B$5*(C394-1)^2)),0)</f>
        <v>0</v>
      </c>
      <c r="I394" s="6">
        <v>2</v>
      </c>
      <c r="J394" s="6">
        <v>1</v>
      </c>
      <c r="K394" s="7">
        <v>1.8</v>
      </c>
      <c r="L394" s="9">
        <f t="shared" si="50"/>
        <v>20.5</v>
      </c>
      <c r="M394">
        <v>1</v>
      </c>
      <c r="N394">
        <v>12</v>
      </c>
      <c r="O394">
        <v>14</v>
      </c>
      <c r="P394" s="13" t="str">
        <f t="shared" si="51"/>
        <v>1d12 + 14</v>
      </c>
      <c r="Q394">
        <f>ROUND(INDEX(Catalogue!E$4:E$85,MATCH(A394,Catalogue!A$4:A$85,0))*(1+Paramètres!$B$4*(C394-1)+Paramètres!$B$5*(C394-1)^2),0)</f>
        <v>15</v>
      </c>
      <c r="R394">
        <f>ROUND(INDEX(Catalogue!F$4:F$85,MATCH(A394,Catalogue!A$4:A$85,0))*(1+Paramètres!$B$4*(C394-1)+Paramètres!$B$5*(C394-1)^2),0)</f>
        <v>26</v>
      </c>
      <c r="S394">
        <f t="shared" si="52"/>
        <v>0</v>
      </c>
      <c r="T394" t="str">
        <f t="shared" si="53"/>
        <v>OK</v>
      </c>
      <c r="U394" s="25">
        <f t="shared" si="54"/>
        <v>20.5</v>
      </c>
      <c r="V394" t="str">
        <f t="shared" si="55"/>
        <v>OK</v>
      </c>
    </row>
    <row r="395" spans="1:22" ht="18" customHeight="1">
      <c r="A395" t="s">
        <v>147</v>
      </c>
      <c r="B395" t="s">
        <v>148</v>
      </c>
      <c r="C395">
        <v>12</v>
      </c>
      <c r="D395" t="s">
        <v>123</v>
      </c>
      <c r="E395" s="6">
        <f t="shared" si="48"/>
        <v>17</v>
      </c>
      <c r="F395" s="6">
        <f t="shared" si="49"/>
        <v>29</v>
      </c>
      <c r="G395" s="6">
        <f>ROUND(Catalogue!G23*SQRT((1+Paramètres!$B$4*(C395-1)+Paramètres!$B$5*(C395-1)^2)),0)</f>
        <v>0</v>
      </c>
      <c r="H395" s="6">
        <f>ROUND(Catalogue!H23*SQRT((1+Paramètres!$B$4*(C395-1)+Paramètres!$B$5*(C395-1)^2)),0)</f>
        <v>0</v>
      </c>
      <c r="I395" s="6">
        <v>2</v>
      </c>
      <c r="J395" s="6">
        <v>1</v>
      </c>
      <c r="K395" s="7">
        <v>1.8</v>
      </c>
      <c r="L395" s="9">
        <f t="shared" si="50"/>
        <v>23</v>
      </c>
      <c r="M395">
        <v>4</v>
      </c>
      <c r="N395">
        <v>4</v>
      </c>
      <c r="O395">
        <v>13</v>
      </c>
      <c r="P395" s="13" t="str">
        <f t="shared" si="51"/>
        <v>4d4 + 13</v>
      </c>
      <c r="Q395">
        <f>ROUND(INDEX(Catalogue!E$4:E$85,MATCH(A395,Catalogue!A$4:A$85,0))*(1+Paramètres!$B$4*(C395-1)+Paramètres!$B$5*(C395-1)^2),0)</f>
        <v>17</v>
      </c>
      <c r="R395">
        <f>ROUND(INDEX(Catalogue!F$4:F$85,MATCH(A395,Catalogue!A$4:A$85,0))*(1+Paramètres!$B$4*(C395-1)+Paramètres!$B$5*(C395-1)^2),0)</f>
        <v>29</v>
      </c>
      <c r="S395">
        <f t="shared" si="52"/>
        <v>0</v>
      </c>
      <c r="T395" t="str">
        <f t="shared" si="53"/>
        <v>OK</v>
      </c>
      <c r="U395" s="25">
        <f t="shared" si="54"/>
        <v>23</v>
      </c>
      <c r="V395" t="str">
        <f t="shared" si="55"/>
        <v>OK</v>
      </c>
    </row>
    <row r="396" spans="1:22" ht="18" customHeight="1">
      <c r="A396" t="s">
        <v>147</v>
      </c>
      <c r="B396" t="s">
        <v>148</v>
      </c>
      <c r="C396">
        <v>13</v>
      </c>
      <c r="D396" t="s">
        <v>123</v>
      </c>
      <c r="E396" s="6">
        <f t="shared" si="48"/>
        <v>18</v>
      </c>
      <c r="F396" s="6">
        <f t="shared" si="49"/>
        <v>32</v>
      </c>
      <c r="G396" s="6">
        <f>ROUND(Catalogue!G23*SQRT((1+Paramètres!$B$4*(C396-1)+Paramètres!$B$5*(C396-1)^2)),0)</f>
        <v>0</v>
      </c>
      <c r="H396" s="6">
        <f>ROUND(Catalogue!H23*SQRT((1+Paramètres!$B$4*(C396-1)+Paramètres!$B$5*(C396-1)^2)),0)</f>
        <v>0</v>
      </c>
      <c r="I396" s="6">
        <v>2</v>
      </c>
      <c r="J396" s="6">
        <v>1</v>
      </c>
      <c r="K396" s="7">
        <v>1.8</v>
      </c>
      <c r="L396" s="9">
        <f t="shared" si="50"/>
        <v>25</v>
      </c>
      <c r="M396">
        <v>2</v>
      </c>
      <c r="N396">
        <v>8</v>
      </c>
      <c r="O396">
        <v>16</v>
      </c>
      <c r="P396" s="13" t="str">
        <f t="shared" si="51"/>
        <v>2d8 + 16</v>
      </c>
      <c r="Q396">
        <f>ROUND(INDEX(Catalogue!E$4:E$85,MATCH(A396,Catalogue!A$4:A$85,0))*(1+Paramètres!$B$4*(C396-1)+Paramètres!$B$5*(C396-1)^2),0)</f>
        <v>18</v>
      </c>
      <c r="R396">
        <f>ROUND(INDEX(Catalogue!F$4:F$85,MATCH(A396,Catalogue!A$4:A$85,0))*(1+Paramètres!$B$4*(C396-1)+Paramètres!$B$5*(C396-1)^2),0)</f>
        <v>32</v>
      </c>
      <c r="S396">
        <f t="shared" si="52"/>
        <v>0</v>
      </c>
      <c r="T396" t="str">
        <f t="shared" si="53"/>
        <v>OK</v>
      </c>
      <c r="U396" s="25">
        <f t="shared" si="54"/>
        <v>25</v>
      </c>
      <c r="V396" t="str">
        <f t="shared" si="55"/>
        <v>OK</v>
      </c>
    </row>
    <row r="397" spans="1:22" ht="18" customHeight="1">
      <c r="A397" t="s">
        <v>147</v>
      </c>
      <c r="B397" t="s">
        <v>148</v>
      </c>
      <c r="C397">
        <v>14</v>
      </c>
      <c r="D397" t="s">
        <v>123</v>
      </c>
      <c r="E397" s="6">
        <f t="shared" si="48"/>
        <v>21</v>
      </c>
      <c r="F397" s="6">
        <f t="shared" si="49"/>
        <v>36</v>
      </c>
      <c r="G397" s="6">
        <f>ROUND(Catalogue!G23*SQRT((1+Paramètres!$B$4*(C397-1)+Paramètres!$B$5*(C397-1)^2)),0)</f>
        <v>0</v>
      </c>
      <c r="H397" s="6">
        <f>ROUND(Catalogue!H23*SQRT((1+Paramètres!$B$4*(C397-1)+Paramètres!$B$5*(C397-1)^2)),0)</f>
        <v>0</v>
      </c>
      <c r="I397" s="6">
        <v>2</v>
      </c>
      <c r="J397" s="6">
        <v>1</v>
      </c>
      <c r="K397" s="7">
        <v>1.8</v>
      </c>
      <c r="L397" s="9">
        <f t="shared" si="50"/>
        <v>28.5</v>
      </c>
      <c r="M397">
        <v>3</v>
      </c>
      <c r="N397">
        <v>6</v>
      </c>
      <c r="O397">
        <v>18</v>
      </c>
      <c r="P397" s="13" t="str">
        <f t="shared" si="51"/>
        <v>3d6 + 18</v>
      </c>
      <c r="Q397">
        <f>ROUND(INDEX(Catalogue!E$4:E$85,MATCH(A397,Catalogue!A$4:A$85,0))*(1+Paramètres!$B$4*(C397-1)+Paramètres!$B$5*(C397-1)^2),0)</f>
        <v>21</v>
      </c>
      <c r="R397">
        <f>ROUND(INDEX(Catalogue!F$4:F$85,MATCH(A397,Catalogue!A$4:A$85,0))*(1+Paramètres!$B$4*(C397-1)+Paramètres!$B$5*(C397-1)^2),0)</f>
        <v>36</v>
      </c>
      <c r="S397">
        <f t="shared" si="52"/>
        <v>0</v>
      </c>
      <c r="T397" t="str">
        <f t="shared" si="53"/>
        <v>OK</v>
      </c>
      <c r="U397" s="25">
        <f t="shared" si="54"/>
        <v>28.5</v>
      </c>
      <c r="V397" t="str">
        <f t="shared" si="55"/>
        <v>OK</v>
      </c>
    </row>
    <row r="398" spans="1:22" ht="18" customHeight="1">
      <c r="A398" t="s">
        <v>147</v>
      </c>
      <c r="B398" t="s">
        <v>148</v>
      </c>
      <c r="C398">
        <v>15</v>
      </c>
      <c r="D398" t="s">
        <v>123</v>
      </c>
      <c r="E398" s="6">
        <f t="shared" si="48"/>
        <v>22</v>
      </c>
      <c r="F398" s="6">
        <f t="shared" si="49"/>
        <v>40</v>
      </c>
      <c r="G398" s="6">
        <f>ROUND(Catalogue!G23*SQRT((1+Paramètres!$B$4*(C398-1)+Paramètres!$B$5*(C398-1)^2)),0)</f>
        <v>0</v>
      </c>
      <c r="H398" s="6">
        <f>ROUND(Catalogue!H23*SQRT((1+Paramètres!$B$4*(C398-1)+Paramètres!$B$5*(C398-1)^2)),0)</f>
        <v>0</v>
      </c>
      <c r="I398" s="6">
        <v>2</v>
      </c>
      <c r="J398" s="6">
        <v>1</v>
      </c>
      <c r="K398" s="7">
        <v>1.8</v>
      </c>
      <c r="L398" s="9">
        <f t="shared" si="50"/>
        <v>31</v>
      </c>
      <c r="M398">
        <v>2</v>
      </c>
      <c r="N398">
        <v>10</v>
      </c>
      <c r="O398">
        <v>20</v>
      </c>
      <c r="P398" s="13" t="str">
        <f t="shared" si="51"/>
        <v>2d10 + 20</v>
      </c>
      <c r="Q398">
        <f>ROUND(INDEX(Catalogue!E$4:E$85,MATCH(A398,Catalogue!A$4:A$85,0))*(1+Paramètres!$B$4*(C398-1)+Paramètres!$B$5*(C398-1)^2),0)</f>
        <v>23</v>
      </c>
      <c r="R398">
        <f>ROUND(INDEX(Catalogue!F$4:F$85,MATCH(A398,Catalogue!A$4:A$85,0))*(1+Paramètres!$B$4*(C398-1)+Paramètres!$B$5*(C398-1)^2),0)</f>
        <v>40</v>
      </c>
      <c r="S398">
        <f t="shared" si="52"/>
        <v>-0.5</v>
      </c>
      <c r="T398" t="str">
        <f t="shared" si="53"/>
        <v>OK</v>
      </c>
      <c r="U398" s="25">
        <f t="shared" si="54"/>
        <v>31</v>
      </c>
      <c r="V398" t="str">
        <f t="shared" si="55"/>
        <v>OK</v>
      </c>
    </row>
    <row r="399" spans="1:22" ht="18" customHeight="1">
      <c r="A399" t="s">
        <v>147</v>
      </c>
      <c r="B399" t="s">
        <v>148</v>
      </c>
      <c r="C399">
        <v>16</v>
      </c>
      <c r="D399" t="s">
        <v>123</v>
      </c>
      <c r="E399" s="6">
        <f t="shared" si="48"/>
        <v>26</v>
      </c>
      <c r="F399" s="6">
        <f t="shared" si="49"/>
        <v>44</v>
      </c>
      <c r="G399" s="6">
        <f>ROUND(Catalogue!G23*SQRT((1+Paramètres!$B$4*(C399-1)+Paramètres!$B$5*(C399-1)^2)),0)</f>
        <v>0</v>
      </c>
      <c r="H399" s="6">
        <f>ROUND(Catalogue!H23*SQRT((1+Paramètres!$B$4*(C399-1)+Paramètres!$B$5*(C399-1)^2)),0)</f>
        <v>0</v>
      </c>
      <c r="I399" s="6">
        <v>2</v>
      </c>
      <c r="J399" s="6">
        <v>1</v>
      </c>
      <c r="K399" s="7">
        <v>1.8</v>
      </c>
      <c r="L399" s="9">
        <f t="shared" si="50"/>
        <v>35</v>
      </c>
      <c r="M399">
        <v>2</v>
      </c>
      <c r="N399">
        <v>10</v>
      </c>
      <c r="O399">
        <v>24</v>
      </c>
      <c r="P399" s="13" t="str">
        <f t="shared" si="51"/>
        <v>2d10 + 24</v>
      </c>
      <c r="Q399">
        <f>ROUND(INDEX(Catalogue!E$4:E$85,MATCH(A399,Catalogue!A$4:A$85,0))*(1+Paramètres!$B$4*(C399-1)+Paramètres!$B$5*(C399-1)^2),0)</f>
        <v>25</v>
      </c>
      <c r="R399">
        <f>ROUND(INDEX(Catalogue!F$4:F$85,MATCH(A399,Catalogue!A$4:A$85,0))*(1+Paramètres!$B$4*(C399-1)+Paramètres!$B$5*(C399-1)^2),0)</f>
        <v>44</v>
      </c>
      <c r="S399">
        <f t="shared" si="52"/>
        <v>0.5</v>
      </c>
      <c r="T399" t="str">
        <f t="shared" si="53"/>
        <v>OK</v>
      </c>
      <c r="U399" s="25">
        <f t="shared" si="54"/>
        <v>35</v>
      </c>
      <c r="V399" t="str">
        <f t="shared" si="55"/>
        <v>OK</v>
      </c>
    </row>
    <row r="400" spans="1:22" ht="18" customHeight="1">
      <c r="A400" t="s">
        <v>147</v>
      </c>
      <c r="B400" t="s">
        <v>148</v>
      </c>
      <c r="C400">
        <v>17</v>
      </c>
      <c r="D400" t="s">
        <v>123</v>
      </c>
      <c r="E400" s="6">
        <f t="shared" si="48"/>
        <v>27</v>
      </c>
      <c r="F400" s="6">
        <f t="shared" si="49"/>
        <v>48</v>
      </c>
      <c r="G400" s="6">
        <f>ROUND(Catalogue!G23*SQRT((1+Paramètres!$B$4*(C400-1)+Paramètres!$B$5*(C400-1)^2)),0)</f>
        <v>0</v>
      </c>
      <c r="H400" s="6">
        <f>ROUND(Catalogue!H23*SQRT((1+Paramètres!$B$4*(C400-1)+Paramètres!$B$5*(C400-1)^2)),0)</f>
        <v>0</v>
      </c>
      <c r="I400" s="6">
        <v>2</v>
      </c>
      <c r="J400" s="6">
        <v>1</v>
      </c>
      <c r="K400" s="7">
        <v>1.8</v>
      </c>
      <c r="L400" s="9">
        <f t="shared" si="50"/>
        <v>37.5</v>
      </c>
      <c r="M400">
        <v>3</v>
      </c>
      <c r="N400">
        <v>8</v>
      </c>
      <c r="O400">
        <v>24</v>
      </c>
      <c r="P400" s="13" t="str">
        <f t="shared" si="51"/>
        <v>3d8 + 24</v>
      </c>
      <c r="Q400">
        <f>ROUND(INDEX(Catalogue!E$4:E$85,MATCH(A400,Catalogue!A$4:A$85,0))*(1+Paramètres!$B$4*(C400-1)+Paramètres!$B$5*(C400-1)^2),0)</f>
        <v>27</v>
      </c>
      <c r="R400">
        <f>ROUND(INDEX(Catalogue!F$4:F$85,MATCH(A400,Catalogue!A$4:A$85,0))*(1+Paramètres!$B$4*(C400-1)+Paramètres!$B$5*(C400-1)^2),0)</f>
        <v>48</v>
      </c>
      <c r="S400">
        <f t="shared" si="52"/>
        <v>0</v>
      </c>
      <c r="T400" t="str">
        <f t="shared" si="53"/>
        <v>OK</v>
      </c>
      <c r="U400" s="25">
        <f t="shared" si="54"/>
        <v>37.5</v>
      </c>
      <c r="V400" t="str">
        <f t="shared" si="55"/>
        <v>OK</v>
      </c>
    </row>
    <row r="401" spans="1:22" ht="18" customHeight="1">
      <c r="A401" t="s">
        <v>147</v>
      </c>
      <c r="B401" t="s">
        <v>148</v>
      </c>
      <c r="C401">
        <v>18</v>
      </c>
      <c r="D401" t="s">
        <v>123</v>
      </c>
      <c r="E401" s="6">
        <f t="shared" si="48"/>
        <v>30</v>
      </c>
      <c r="F401" s="6">
        <f t="shared" si="49"/>
        <v>52</v>
      </c>
      <c r="G401" s="6">
        <f>ROUND(Catalogue!G23*SQRT((1+Paramètres!$B$4*(C401-1)+Paramètres!$B$5*(C401-1)^2)),0)</f>
        <v>0</v>
      </c>
      <c r="H401" s="6">
        <f>ROUND(Catalogue!H23*SQRT((1+Paramètres!$B$4*(C401-1)+Paramètres!$B$5*(C401-1)^2)),0)</f>
        <v>0</v>
      </c>
      <c r="I401" s="6">
        <v>2</v>
      </c>
      <c r="J401" s="6">
        <v>1</v>
      </c>
      <c r="K401" s="7">
        <v>1.8</v>
      </c>
      <c r="L401" s="9">
        <f t="shared" si="50"/>
        <v>41</v>
      </c>
      <c r="M401">
        <v>2</v>
      </c>
      <c r="N401">
        <v>12</v>
      </c>
      <c r="O401">
        <v>28</v>
      </c>
      <c r="P401" s="13" t="str">
        <f t="shared" si="51"/>
        <v>2d12 + 28</v>
      </c>
      <c r="Q401">
        <f>ROUND(INDEX(Catalogue!E$4:E$85,MATCH(A401,Catalogue!A$4:A$85,0))*(1+Paramètres!$B$4*(C401-1)+Paramètres!$B$5*(C401-1)^2),0)</f>
        <v>30</v>
      </c>
      <c r="R401">
        <f>ROUND(INDEX(Catalogue!F$4:F$85,MATCH(A401,Catalogue!A$4:A$85,0))*(1+Paramètres!$B$4*(C401-1)+Paramètres!$B$5*(C401-1)^2),0)</f>
        <v>52</v>
      </c>
      <c r="S401">
        <f t="shared" si="52"/>
        <v>0</v>
      </c>
      <c r="T401" t="str">
        <f t="shared" si="53"/>
        <v>OK</v>
      </c>
      <c r="U401" s="25">
        <f t="shared" si="54"/>
        <v>41</v>
      </c>
      <c r="V401" t="str">
        <f t="shared" si="55"/>
        <v>OK</v>
      </c>
    </row>
    <row r="402" spans="1:22" ht="18" customHeight="1">
      <c r="A402" t="s">
        <v>147</v>
      </c>
      <c r="B402" t="s">
        <v>148</v>
      </c>
      <c r="C402">
        <v>19</v>
      </c>
      <c r="D402" t="s">
        <v>123</v>
      </c>
      <c r="E402" s="6">
        <f t="shared" si="48"/>
        <v>32</v>
      </c>
      <c r="F402" s="6">
        <f t="shared" si="49"/>
        <v>57</v>
      </c>
      <c r="G402" s="6">
        <f>ROUND(Catalogue!G23*SQRT((1+Paramètres!$B$4*(C402-1)+Paramètres!$B$5*(C402-1)^2)),0)</f>
        <v>0</v>
      </c>
      <c r="H402" s="6">
        <f>ROUND(Catalogue!H23*SQRT((1+Paramètres!$B$4*(C402-1)+Paramètres!$B$5*(C402-1)^2)),0)</f>
        <v>0</v>
      </c>
      <c r="I402" s="6">
        <v>2</v>
      </c>
      <c r="J402" s="6">
        <v>1</v>
      </c>
      <c r="K402" s="7">
        <v>1.8</v>
      </c>
      <c r="L402" s="9">
        <f t="shared" si="50"/>
        <v>44.5</v>
      </c>
      <c r="M402">
        <v>5</v>
      </c>
      <c r="N402">
        <v>6</v>
      </c>
      <c r="O402">
        <v>27</v>
      </c>
      <c r="P402" s="13" t="str">
        <f t="shared" si="51"/>
        <v>5d6 + 27</v>
      </c>
      <c r="Q402">
        <f>ROUND(INDEX(Catalogue!E$4:E$85,MATCH(A402,Catalogue!A$4:A$85,0))*(1+Paramètres!$B$4*(C402-1)+Paramètres!$B$5*(C402-1)^2),0)</f>
        <v>33</v>
      </c>
      <c r="R402">
        <f>ROUND(INDEX(Catalogue!F$4:F$85,MATCH(A402,Catalogue!A$4:A$85,0))*(1+Paramètres!$B$4*(C402-1)+Paramètres!$B$5*(C402-1)^2),0)</f>
        <v>57</v>
      </c>
      <c r="S402">
        <f t="shared" si="52"/>
        <v>-0.5</v>
      </c>
      <c r="T402" t="str">
        <f t="shared" si="53"/>
        <v>OK</v>
      </c>
      <c r="U402" s="25">
        <f t="shared" si="54"/>
        <v>44.5</v>
      </c>
      <c r="V402" t="str">
        <f t="shared" si="55"/>
        <v>OK</v>
      </c>
    </row>
    <row r="403" spans="1:22" ht="18" customHeight="1">
      <c r="A403" t="s">
        <v>147</v>
      </c>
      <c r="B403" t="s">
        <v>148</v>
      </c>
      <c r="C403">
        <v>20</v>
      </c>
      <c r="D403" t="s">
        <v>123</v>
      </c>
      <c r="E403" s="6">
        <f t="shared" si="48"/>
        <v>35</v>
      </c>
      <c r="F403" s="6">
        <f t="shared" si="49"/>
        <v>62</v>
      </c>
      <c r="G403" s="6">
        <f>ROUND(Catalogue!G23*SQRT((1+Paramètres!$B$4*(C403-1)+Paramètres!$B$5*(C403-1)^2)),0)</f>
        <v>0</v>
      </c>
      <c r="H403" s="6">
        <f>ROUND(Catalogue!H23*SQRT((1+Paramètres!$B$4*(C403-1)+Paramètres!$B$5*(C403-1)^2)),0)</f>
        <v>0</v>
      </c>
      <c r="I403" s="6">
        <v>2</v>
      </c>
      <c r="J403" s="6">
        <v>1</v>
      </c>
      <c r="K403" s="7">
        <v>1.8</v>
      </c>
      <c r="L403" s="9">
        <f t="shared" si="50"/>
        <v>48.5</v>
      </c>
      <c r="M403">
        <v>3</v>
      </c>
      <c r="N403">
        <v>10</v>
      </c>
      <c r="O403">
        <v>32</v>
      </c>
      <c r="P403" s="13" t="str">
        <f t="shared" si="51"/>
        <v>3d10 + 32</v>
      </c>
      <c r="Q403">
        <f>ROUND(INDEX(Catalogue!E$4:E$85,MATCH(A403,Catalogue!A$4:A$85,0))*(1+Paramètres!$B$4*(C403-1)+Paramètres!$B$5*(C403-1)^2),0)</f>
        <v>35</v>
      </c>
      <c r="R403">
        <f>ROUND(INDEX(Catalogue!F$4:F$85,MATCH(A403,Catalogue!A$4:A$85,0))*(1+Paramètres!$B$4*(C403-1)+Paramètres!$B$5*(C403-1)^2),0)</f>
        <v>62</v>
      </c>
      <c r="S403">
        <f t="shared" si="52"/>
        <v>0</v>
      </c>
      <c r="T403" t="str">
        <f t="shared" si="53"/>
        <v>OK</v>
      </c>
      <c r="U403" s="25">
        <f t="shared" si="54"/>
        <v>48.5</v>
      </c>
      <c r="V403" t="str">
        <f t="shared" si="55"/>
        <v>OK</v>
      </c>
    </row>
    <row r="404" spans="1:22" ht="18" customHeight="1">
      <c r="A404" t="s">
        <v>150</v>
      </c>
      <c r="B404" t="s">
        <v>151</v>
      </c>
      <c r="C404">
        <v>1</v>
      </c>
      <c r="D404" t="s">
        <v>123</v>
      </c>
      <c r="E404" s="6">
        <f t="shared" si="48"/>
        <v>4</v>
      </c>
      <c r="F404" s="6">
        <f t="shared" si="49"/>
        <v>7</v>
      </c>
      <c r="G404" s="6">
        <f>ROUND(Catalogue!G24*SQRT((1+Paramètres!$B$4*(C404-1)+Paramètres!$B$5*(C404-1)^2)),0)</f>
        <v>0</v>
      </c>
      <c r="H404" s="6">
        <f>ROUND(Catalogue!H24*SQRT((1+Paramètres!$B$4*(C404-1)+Paramètres!$B$5*(C404-1)^2)),0)</f>
        <v>0</v>
      </c>
      <c r="I404" s="6">
        <v>2</v>
      </c>
      <c r="J404" s="6">
        <v>1</v>
      </c>
      <c r="K404" s="7">
        <v>2</v>
      </c>
      <c r="L404" s="9">
        <f t="shared" si="50"/>
        <v>5.5</v>
      </c>
      <c r="M404">
        <v>1</v>
      </c>
      <c r="N404">
        <v>4</v>
      </c>
      <c r="O404">
        <v>3</v>
      </c>
      <c r="P404" s="13" t="str">
        <f t="shared" si="51"/>
        <v>1d4 + 3</v>
      </c>
      <c r="Q404">
        <f>ROUND(INDEX(Catalogue!E$4:E$85,MATCH(A404,Catalogue!A$4:A$85,0))*(1+Paramètres!$B$4*(C404-1)+Paramètres!$B$5*(C404-1)^2),0)</f>
        <v>5</v>
      </c>
      <c r="R404">
        <f>ROUND(INDEX(Catalogue!F$4:F$85,MATCH(A404,Catalogue!A$4:A$85,0))*(1+Paramètres!$B$4*(C404-1)+Paramètres!$B$5*(C404-1)^2),0)</f>
        <v>7</v>
      </c>
      <c r="S404">
        <f t="shared" si="52"/>
        <v>-0.5</v>
      </c>
      <c r="T404" t="str">
        <f t="shared" si="53"/>
        <v>OK</v>
      </c>
      <c r="U404" s="25">
        <f t="shared" si="54"/>
        <v>5.5</v>
      </c>
      <c r="V404" t="str">
        <f t="shared" si="55"/>
        <v>OK</v>
      </c>
    </row>
    <row r="405" spans="1:22" ht="18" customHeight="1">
      <c r="A405" t="s">
        <v>150</v>
      </c>
      <c r="B405" t="s">
        <v>151</v>
      </c>
      <c r="C405">
        <v>2</v>
      </c>
      <c r="D405" t="s">
        <v>123</v>
      </c>
      <c r="E405" s="6">
        <f t="shared" si="48"/>
        <v>5</v>
      </c>
      <c r="F405" s="6">
        <f t="shared" si="49"/>
        <v>8</v>
      </c>
      <c r="G405" s="6">
        <f>ROUND(Catalogue!G24*SQRT((1+Paramètres!$B$4*(C405-1)+Paramètres!$B$5*(C405-1)^2)),0)</f>
        <v>0</v>
      </c>
      <c r="H405" s="6">
        <f>ROUND(Catalogue!H24*SQRT((1+Paramètres!$B$4*(C405-1)+Paramètres!$B$5*(C405-1)^2)),0)</f>
        <v>0</v>
      </c>
      <c r="I405" s="6">
        <v>2</v>
      </c>
      <c r="J405" s="6">
        <v>1</v>
      </c>
      <c r="K405" s="7">
        <v>2</v>
      </c>
      <c r="L405" s="9">
        <f t="shared" si="50"/>
        <v>6.5</v>
      </c>
      <c r="M405">
        <v>1</v>
      </c>
      <c r="N405">
        <v>4</v>
      </c>
      <c r="O405">
        <v>4</v>
      </c>
      <c r="P405" s="13" t="str">
        <f t="shared" si="51"/>
        <v>1d4 + 4</v>
      </c>
      <c r="Q405">
        <f>ROUND(INDEX(Catalogue!E$4:E$85,MATCH(A405,Catalogue!A$4:A$85,0))*(1+Paramètres!$B$4*(C405-1)+Paramètres!$B$5*(C405-1)^2),0)</f>
        <v>6</v>
      </c>
      <c r="R405">
        <f>ROUND(INDEX(Catalogue!F$4:F$85,MATCH(A405,Catalogue!A$4:A$85,0))*(1+Paramètres!$B$4*(C405-1)+Paramètres!$B$5*(C405-1)^2),0)</f>
        <v>8</v>
      </c>
      <c r="S405">
        <f t="shared" si="52"/>
        <v>-0.5</v>
      </c>
      <c r="T405" t="str">
        <f t="shared" si="53"/>
        <v>OK</v>
      </c>
      <c r="U405" s="25">
        <f t="shared" si="54"/>
        <v>6.5</v>
      </c>
      <c r="V405" t="str">
        <f t="shared" si="55"/>
        <v>OK</v>
      </c>
    </row>
    <row r="406" spans="1:22" ht="18" customHeight="1">
      <c r="A406" t="s">
        <v>150</v>
      </c>
      <c r="B406" t="s">
        <v>151</v>
      </c>
      <c r="C406">
        <v>3</v>
      </c>
      <c r="D406" t="s">
        <v>123</v>
      </c>
      <c r="E406" s="6">
        <f t="shared" si="48"/>
        <v>6</v>
      </c>
      <c r="F406" s="6">
        <f t="shared" si="49"/>
        <v>9</v>
      </c>
      <c r="G406" s="6">
        <f>ROUND(Catalogue!G24*SQRT((1+Paramètres!$B$4*(C406-1)+Paramètres!$B$5*(C406-1)^2)),0)</f>
        <v>0</v>
      </c>
      <c r="H406" s="6">
        <f>ROUND(Catalogue!H24*SQRT((1+Paramètres!$B$4*(C406-1)+Paramètres!$B$5*(C406-1)^2)),0)</f>
        <v>0</v>
      </c>
      <c r="I406" s="6">
        <v>2</v>
      </c>
      <c r="J406" s="6">
        <v>1</v>
      </c>
      <c r="K406" s="7">
        <v>2</v>
      </c>
      <c r="L406" s="9">
        <f t="shared" si="50"/>
        <v>7.5</v>
      </c>
      <c r="M406">
        <v>1</v>
      </c>
      <c r="N406">
        <v>4</v>
      </c>
      <c r="O406">
        <v>5</v>
      </c>
      <c r="P406" s="13" t="str">
        <f t="shared" si="51"/>
        <v>1d4 + 5</v>
      </c>
      <c r="Q406">
        <f>ROUND(INDEX(Catalogue!E$4:E$85,MATCH(A406,Catalogue!A$4:A$85,0))*(1+Paramètres!$B$4*(C406-1)+Paramètres!$B$5*(C406-1)^2),0)</f>
        <v>6</v>
      </c>
      <c r="R406">
        <f>ROUND(INDEX(Catalogue!F$4:F$85,MATCH(A406,Catalogue!A$4:A$85,0))*(1+Paramètres!$B$4*(C406-1)+Paramètres!$B$5*(C406-1)^2),0)</f>
        <v>9</v>
      </c>
      <c r="S406">
        <f t="shared" si="52"/>
        <v>0</v>
      </c>
      <c r="T406" t="str">
        <f t="shared" si="53"/>
        <v>OK</v>
      </c>
      <c r="U406" s="25">
        <f t="shared" si="54"/>
        <v>7.5</v>
      </c>
      <c r="V406" t="str">
        <f t="shared" si="55"/>
        <v>OK</v>
      </c>
    </row>
    <row r="407" spans="1:22" ht="18" customHeight="1">
      <c r="A407" t="s">
        <v>150</v>
      </c>
      <c r="B407" t="s">
        <v>151</v>
      </c>
      <c r="C407">
        <v>4</v>
      </c>
      <c r="D407" t="s">
        <v>123</v>
      </c>
      <c r="E407" s="6">
        <f t="shared" si="48"/>
        <v>7</v>
      </c>
      <c r="F407" s="6">
        <f t="shared" si="49"/>
        <v>10</v>
      </c>
      <c r="G407" s="6">
        <f>ROUND(Catalogue!G24*SQRT((1+Paramètres!$B$4*(C407-1)+Paramètres!$B$5*(C407-1)^2)),0)</f>
        <v>0</v>
      </c>
      <c r="H407" s="6">
        <f>ROUND(Catalogue!H24*SQRT((1+Paramètres!$B$4*(C407-1)+Paramètres!$B$5*(C407-1)^2)),0)</f>
        <v>0</v>
      </c>
      <c r="I407" s="6">
        <v>2</v>
      </c>
      <c r="J407" s="6">
        <v>1</v>
      </c>
      <c r="K407" s="7">
        <v>2</v>
      </c>
      <c r="L407" s="9">
        <f t="shared" si="50"/>
        <v>8.5</v>
      </c>
      <c r="M407">
        <v>1</v>
      </c>
      <c r="N407">
        <v>4</v>
      </c>
      <c r="O407">
        <v>6</v>
      </c>
      <c r="P407" s="13" t="str">
        <f t="shared" si="51"/>
        <v>1d4 + 6</v>
      </c>
      <c r="Q407">
        <f>ROUND(INDEX(Catalogue!E$4:E$85,MATCH(A407,Catalogue!A$4:A$85,0))*(1+Paramètres!$B$4*(C407-1)+Paramètres!$B$5*(C407-1)^2),0)</f>
        <v>7</v>
      </c>
      <c r="R407">
        <f>ROUND(INDEX(Catalogue!F$4:F$85,MATCH(A407,Catalogue!A$4:A$85,0))*(1+Paramètres!$B$4*(C407-1)+Paramètres!$B$5*(C407-1)^2),0)</f>
        <v>10</v>
      </c>
      <c r="S407">
        <f t="shared" si="52"/>
        <v>0</v>
      </c>
      <c r="T407" t="str">
        <f t="shared" si="53"/>
        <v>OK</v>
      </c>
      <c r="U407" s="25">
        <f t="shared" si="54"/>
        <v>8.5</v>
      </c>
      <c r="V407" t="str">
        <f t="shared" si="55"/>
        <v>OK</v>
      </c>
    </row>
    <row r="408" spans="1:22" ht="18" customHeight="1">
      <c r="A408" t="s">
        <v>150</v>
      </c>
      <c r="B408" t="s">
        <v>151</v>
      </c>
      <c r="C408">
        <v>5</v>
      </c>
      <c r="D408" t="s">
        <v>123</v>
      </c>
      <c r="E408" s="6">
        <f t="shared" si="48"/>
        <v>9</v>
      </c>
      <c r="F408" s="6">
        <f t="shared" si="49"/>
        <v>12</v>
      </c>
      <c r="G408" s="6">
        <f>ROUND(Catalogue!G24*SQRT((1+Paramètres!$B$4*(C408-1)+Paramètres!$B$5*(C408-1)^2)),0)</f>
        <v>0</v>
      </c>
      <c r="H408" s="6">
        <f>ROUND(Catalogue!H24*SQRT((1+Paramètres!$B$4*(C408-1)+Paramètres!$B$5*(C408-1)^2)),0)</f>
        <v>0</v>
      </c>
      <c r="I408" s="6">
        <v>2</v>
      </c>
      <c r="J408" s="6">
        <v>1</v>
      </c>
      <c r="K408" s="7">
        <v>2</v>
      </c>
      <c r="L408" s="9">
        <f t="shared" si="50"/>
        <v>10.5</v>
      </c>
      <c r="M408">
        <v>1</v>
      </c>
      <c r="N408">
        <v>4</v>
      </c>
      <c r="O408">
        <v>8</v>
      </c>
      <c r="P408" s="13" t="str">
        <f t="shared" si="51"/>
        <v>1d4 + 8</v>
      </c>
      <c r="Q408">
        <f>ROUND(INDEX(Catalogue!E$4:E$85,MATCH(A408,Catalogue!A$4:A$85,0))*(1+Paramètres!$B$4*(C408-1)+Paramètres!$B$5*(C408-1)^2),0)</f>
        <v>8</v>
      </c>
      <c r="R408">
        <f>ROUND(INDEX(Catalogue!F$4:F$85,MATCH(A408,Catalogue!A$4:A$85,0))*(1+Paramètres!$B$4*(C408-1)+Paramètres!$B$5*(C408-1)^2),0)</f>
        <v>12</v>
      </c>
      <c r="S408">
        <f t="shared" si="52"/>
        <v>0.5</v>
      </c>
      <c r="T408" t="str">
        <f t="shared" si="53"/>
        <v>OK</v>
      </c>
      <c r="U408" s="25">
        <f t="shared" si="54"/>
        <v>10.5</v>
      </c>
      <c r="V408" t="str">
        <f t="shared" si="55"/>
        <v>OK</v>
      </c>
    </row>
    <row r="409" spans="1:22" ht="18" customHeight="1">
      <c r="A409" t="s">
        <v>150</v>
      </c>
      <c r="B409" t="s">
        <v>151</v>
      </c>
      <c r="C409">
        <v>6</v>
      </c>
      <c r="D409" t="s">
        <v>123</v>
      </c>
      <c r="E409" s="6">
        <f t="shared" si="48"/>
        <v>10</v>
      </c>
      <c r="F409" s="6">
        <f t="shared" si="49"/>
        <v>13</v>
      </c>
      <c r="G409" s="6">
        <f>ROUND(Catalogue!G24*SQRT((1+Paramètres!$B$4*(C409-1)+Paramètres!$B$5*(C409-1)^2)),0)</f>
        <v>0</v>
      </c>
      <c r="H409" s="6">
        <f>ROUND(Catalogue!H24*SQRT((1+Paramètres!$B$4*(C409-1)+Paramètres!$B$5*(C409-1)^2)),0)</f>
        <v>0</v>
      </c>
      <c r="I409" s="6">
        <v>2</v>
      </c>
      <c r="J409" s="6">
        <v>1</v>
      </c>
      <c r="K409" s="7">
        <v>2</v>
      </c>
      <c r="L409" s="9">
        <f t="shared" si="50"/>
        <v>11.5</v>
      </c>
      <c r="M409">
        <v>1</v>
      </c>
      <c r="N409">
        <v>4</v>
      </c>
      <c r="O409">
        <v>9</v>
      </c>
      <c r="P409" s="13" t="str">
        <f t="shared" si="51"/>
        <v>1d4 + 9</v>
      </c>
      <c r="Q409">
        <f>ROUND(INDEX(Catalogue!E$4:E$85,MATCH(A409,Catalogue!A$4:A$85,0))*(1+Paramètres!$B$4*(C409-1)+Paramètres!$B$5*(C409-1)^2),0)</f>
        <v>10</v>
      </c>
      <c r="R409">
        <f>ROUND(INDEX(Catalogue!F$4:F$85,MATCH(A409,Catalogue!A$4:A$85,0))*(1+Paramètres!$B$4*(C409-1)+Paramètres!$B$5*(C409-1)^2),0)</f>
        <v>14</v>
      </c>
      <c r="S409">
        <f t="shared" si="52"/>
        <v>-0.5</v>
      </c>
      <c r="T409" t="str">
        <f t="shared" si="53"/>
        <v>OK</v>
      </c>
      <c r="U409" s="25">
        <f t="shared" si="54"/>
        <v>11.5</v>
      </c>
      <c r="V409" t="str">
        <f t="shared" si="55"/>
        <v>OK</v>
      </c>
    </row>
    <row r="410" spans="1:22" ht="18" customHeight="1">
      <c r="A410" t="s">
        <v>150</v>
      </c>
      <c r="B410" t="s">
        <v>151</v>
      </c>
      <c r="C410">
        <v>7</v>
      </c>
      <c r="D410" t="s">
        <v>123</v>
      </c>
      <c r="E410" s="6">
        <f t="shared" si="48"/>
        <v>11</v>
      </c>
      <c r="F410" s="6">
        <f t="shared" si="49"/>
        <v>16</v>
      </c>
      <c r="G410" s="6">
        <f>ROUND(Catalogue!G24*SQRT((1+Paramètres!$B$4*(C410-1)+Paramètres!$B$5*(C410-1)^2)),0)</f>
        <v>0</v>
      </c>
      <c r="H410" s="6">
        <f>ROUND(Catalogue!H24*SQRT((1+Paramètres!$B$4*(C410-1)+Paramètres!$B$5*(C410-1)^2)),0)</f>
        <v>0</v>
      </c>
      <c r="I410" s="6">
        <v>2</v>
      </c>
      <c r="J410" s="6">
        <v>1</v>
      </c>
      <c r="K410" s="7">
        <v>2</v>
      </c>
      <c r="L410" s="9">
        <f t="shared" si="50"/>
        <v>13.5</v>
      </c>
      <c r="M410">
        <v>1</v>
      </c>
      <c r="N410">
        <v>6</v>
      </c>
      <c r="O410">
        <v>10</v>
      </c>
      <c r="P410" s="13" t="str">
        <f t="shared" si="51"/>
        <v>1d6 + 10</v>
      </c>
      <c r="Q410">
        <f>ROUND(INDEX(Catalogue!E$4:E$85,MATCH(A410,Catalogue!A$4:A$85,0))*(1+Paramètres!$B$4*(C410-1)+Paramètres!$B$5*(C410-1)^2),0)</f>
        <v>11</v>
      </c>
      <c r="R410">
        <f>ROUND(INDEX(Catalogue!F$4:F$85,MATCH(A410,Catalogue!A$4:A$85,0))*(1+Paramètres!$B$4*(C410-1)+Paramètres!$B$5*(C410-1)^2),0)</f>
        <v>16</v>
      </c>
      <c r="S410">
        <f t="shared" si="52"/>
        <v>0</v>
      </c>
      <c r="T410" t="str">
        <f t="shared" si="53"/>
        <v>OK</v>
      </c>
      <c r="U410" s="25">
        <f t="shared" si="54"/>
        <v>13.5</v>
      </c>
      <c r="V410" t="str">
        <f t="shared" si="55"/>
        <v>OK</v>
      </c>
    </row>
    <row r="411" spans="1:22" ht="18" customHeight="1">
      <c r="A411" t="s">
        <v>150</v>
      </c>
      <c r="B411" t="s">
        <v>151</v>
      </c>
      <c r="C411">
        <v>8</v>
      </c>
      <c r="D411" t="s">
        <v>123</v>
      </c>
      <c r="E411" s="6">
        <f t="shared" si="48"/>
        <v>13</v>
      </c>
      <c r="F411" s="6">
        <f t="shared" si="49"/>
        <v>18</v>
      </c>
      <c r="G411" s="6">
        <f>ROUND(Catalogue!G24*SQRT((1+Paramètres!$B$4*(C411-1)+Paramètres!$B$5*(C411-1)^2)),0)</f>
        <v>0</v>
      </c>
      <c r="H411" s="6">
        <f>ROUND(Catalogue!H24*SQRT((1+Paramètres!$B$4*(C411-1)+Paramètres!$B$5*(C411-1)^2)),0)</f>
        <v>0</v>
      </c>
      <c r="I411" s="6">
        <v>2</v>
      </c>
      <c r="J411" s="6">
        <v>1</v>
      </c>
      <c r="K411" s="7">
        <v>2</v>
      </c>
      <c r="L411" s="9">
        <f t="shared" si="50"/>
        <v>15.5</v>
      </c>
      <c r="M411">
        <v>1</v>
      </c>
      <c r="N411">
        <v>6</v>
      </c>
      <c r="O411">
        <v>12</v>
      </c>
      <c r="P411" s="13" t="str">
        <f t="shared" si="51"/>
        <v>1d6 + 12</v>
      </c>
      <c r="Q411">
        <f>ROUND(INDEX(Catalogue!E$4:E$85,MATCH(A411,Catalogue!A$4:A$85,0))*(1+Paramètres!$B$4*(C411-1)+Paramètres!$B$5*(C411-1)^2),0)</f>
        <v>13</v>
      </c>
      <c r="R411">
        <f>ROUND(INDEX(Catalogue!F$4:F$85,MATCH(A411,Catalogue!A$4:A$85,0))*(1+Paramètres!$B$4*(C411-1)+Paramètres!$B$5*(C411-1)^2),0)</f>
        <v>18</v>
      </c>
      <c r="S411">
        <f t="shared" si="52"/>
        <v>0</v>
      </c>
      <c r="T411" t="str">
        <f t="shared" si="53"/>
        <v>OK</v>
      </c>
      <c r="U411" s="25">
        <f t="shared" si="54"/>
        <v>15.5</v>
      </c>
      <c r="V411" t="str">
        <f t="shared" si="55"/>
        <v>OK</v>
      </c>
    </row>
    <row r="412" spans="1:22" ht="18" customHeight="1">
      <c r="A412" t="s">
        <v>150</v>
      </c>
      <c r="B412" t="s">
        <v>151</v>
      </c>
      <c r="C412">
        <v>9</v>
      </c>
      <c r="D412" t="s">
        <v>123</v>
      </c>
      <c r="E412" s="6">
        <f t="shared" si="48"/>
        <v>15</v>
      </c>
      <c r="F412" s="6">
        <f t="shared" si="49"/>
        <v>20</v>
      </c>
      <c r="G412" s="6">
        <f>ROUND(Catalogue!G24*SQRT((1+Paramètres!$B$4*(C412-1)+Paramètres!$B$5*(C412-1)^2)),0)</f>
        <v>0</v>
      </c>
      <c r="H412" s="6">
        <f>ROUND(Catalogue!H24*SQRT((1+Paramètres!$B$4*(C412-1)+Paramètres!$B$5*(C412-1)^2)),0)</f>
        <v>0</v>
      </c>
      <c r="I412" s="6">
        <v>2</v>
      </c>
      <c r="J412" s="6">
        <v>1</v>
      </c>
      <c r="K412" s="7">
        <v>2</v>
      </c>
      <c r="L412" s="9">
        <f t="shared" si="50"/>
        <v>17.5</v>
      </c>
      <c r="M412">
        <v>1</v>
      </c>
      <c r="N412">
        <v>6</v>
      </c>
      <c r="O412">
        <v>14</v>
      </c>
      <c r="P412" s="13" t="str">
        <f t="shared" si="51"/>
        <v>1d6 + 14</v>
      </c>
      <c r="Q412">
        <f>ROUND(INDEX(Catalogue!E$4:E$85,MATCH(A412,Catalogue!A$4:A$85,0))*(1+Paramètres!$B$4*(C412-1)+Paramètres!$B$5*(C412-1)^2),0)</f>
        <v>15</v>
      </c>
      <c r="R412">
        <f>ROUND(INDEX(Catalogue!F$4:F$85,MATCH(A412,Catalogue!A$4:A$85,0))*(1+Paramètres!$B$4*(C412-1)+Paramètres!$B$5*(C412-1)^2),0)</f>
        <v>20</v>
      </c>
      <c r="S412">
        <f t="shared" si="52"/>
        <v>0</v>
      </c>
      <c r="T412" t="str">
        <f t="shared" si="53"/>
        <v>OK</v>
      </c>
      <c r="U412" s="25">
        <f t="shared" si="54"/>
        <v>17.5</v>
      </c>
      <c r="V412" t="str">
        <f t="shared" si="55"/>
        <v>OK</v>
      </c>
    </row>
    <row r="413" spans="1:22" ht="18" customHeight="1">
      <c r="A413" t="s">
        <v>150</v>
      </c>
      <c r="B413" t="s">
        <v>151</v>
      </c>
      <c r="C413">
        <v>10</v>
      </c>
      <c r="D413" t="s">
        <v>123</v>
      </c>
      <c r="E413" s="6">
        <f t="shared" si="48"/>
        <v>16</v>
      </c>
      <c r="F413" s="6">
        <f t="shared" si="49"/>
        <v>23</v>
      </c>
      <c r="G413" s="6">
        <f>ROUND(Catalogue!G24*SQRT((1+Paramètres!$B$4*(C413-1)+Paramètres!$B$5*(C413-1)^2)),0)</f>
        <v>0</v>
      </c>
      <c r="H413" s="6">
        <f>ROUND(Catalogue!H24*SQRT((1+Paramètres!$B$4*(C413-1)+Paramètres!$B$5*(C413-1)^2)),0)</f>
        <v>0</v>
      </c>
      <c r="I413" s="6">
        <v>2</v>
      </c>
      <c r="J413" s="6">
        <v>1</v>
      </c>
      <c r="K413" s="7">
        <v>2</v>
      </c>
      <c r="L413" s="9">
        <f t="shared" si="50"/>
        <v>19.5</v>
      </c>
      <c r="M413">
        <v>1</v>
      </c>
      <c r="N413">
        <v>8</v>
      </c>
      <c r="O413">
        <v>15</v>
      </c>
      <c r="P413" s="13" t="str">
        <f t="shared" si="51"/>
        <v>1d8 + 15</v>
      </c>
      <c r="Q413">
        <f>ROUND(INDEX(Catalogue!E$4:E$85,MATCH(A413,Catalogue!A$4:A$85,0))*(1+Paramètres!$B$4*(C413-1)+Paramètres!$B$5*(C413-1)^2),0)</f>
        <v>16</v>
      </c>
      <c r="R413">
        <f>ROUND(INDEX(Catalogue!F$4:F$85,MATCH(A413,Catalogue!A$4:A$85,0))*(1+Paramètres!$B$4*(C413-1)+Paramètres!$B$5*(C413-1)^2),0)</f>
        <v>23</v>
      </c>
      <c r="S413">
        <f t="shared" si="52"/>
        <v>0</v>
      </c>
      <c r="T413" t="str">
        <f t="shared" si="53"/>
        <v>OK</v>
      </c>
      <c r="U413" s="25">
        <f t="shared" si="54"/>
        <v>19.5</v>
      </c>
      <c r="V413" t="str">
        <f t="shared" si="55"/>
        <v>OK</v>
      </c>
    </row>
    <row r="414" spans="1:22" ht="18" customHeight="1">
      <c r="A414" t="s">
        <v>150</v>
      </c>
      <c r="B414" t="s">
        <v>151</v>
      </c>
      <c r="C414">
        <v>11</v>
      </c>
      <c r="D414" t="s">
        <v>123</v>
      </c>
      <c r="E414" s="6">
        <f t="shared" si="48"/>
        <v>19</v>
      </c>
      <c r="F414" s="6">
        <f t="shared" si="49"/>
        <v>26</v>
      </c>
      <c r="G414" s="6">
        <f>ROUND(Catalogue!G24*SQRT((1+Paramètres!$B$4*(C414-1)+Paramètres!$B$5*(C414-1)^2)),0)</f>
        <v>0</v>
      </c>
      <c r="H414" s="6">
        <f>ROUND(Catalogue!H24*SQRT((1+Paramètres!$B$4*(C414-1)+Paramètres!$B$5*(C414-1)^2)),0)</f>
        <v>0</v>
      </c>
      <c r="I414" s="6">
        <v>2</v>
      </c>
      <c r="J414" s="6">
        <v>1</v>
      </c>
      <c r="K414" s="7">
        <v>2</v>
      </c>
      <c r="L414" s="9">
        <f t="shared" si="50"/>
        <v>22.5</v>
      </c>
      <c r="M414">
        <v>1</v>
      </c>
      <c r="N414">
        <v>8</v>
      </c>
      <c r="O414">
        <v>18</v>
      </c>
      <c r="P414" s="13" t="str">
        <f t="shared" si="51"/>
        <v>1d8 + 18</v>
      </c>
      <c r="Q414">
        <f>ROUND(INDEX(Catalogue!E$4:E$85,MATCH(A414,Catalogue!A$4:A$85,0))*(1+Paramètres!$B$4*(C414-1)+Paramètres!$B$5*(C414-1)^2),0)</f>
        <v>19</v>
      </c>
      <c r="R414">
        <f>ROUND(INDEX(Catalogue!F$4:F$85,MATCH(A414,Catalogue!A$4:A$85,0))*(1+Paramètres!$B$4*(C414-1)+Paramètres!$B$5*(C414-1)^2),0)</f>
        <v>26</v>
      </c>
      <c r="S414">
        <f t="shared" si="52"/>
        <v>0</v>
      </c>
      <c r="T414" t="str">
        <f t="shared" si="53"/>
        <v>OK</v>
      </c>
      <c r="U414" s="25">
        <f t="shared" si="54"/>
        <v>22.5</v>
      </c>
      <c r="V414" t="str">
        <f t="shared" si="55"/>
        <v>OK</v>
      </c>
    </row>
    <row r="415" spans="1:22" ht="18" customHeight="1">
      <c r="A415" t="s">
        <v>150</v>
      </c>
      <c r="B415" t="s">
        <v>151</v>
      </c>
      <c r="C415">
        <v>12</v>
      </c>
      <c r="D415" t="s">
        <v>123</v>
      </c>
      <c r="E415" s="6">
        <f t="shared" si="48"/>
        <v>20</v>
      </c>
      <c r="F415" s="6">
        <f t="shared" si="49"/>
        <v>29</v>
      </c>
      <c r="G415" s="6">
        <f>ROUND(Catalogue!G24*SQRT((1+Paramètres!$B$4*(C415-1)+Paramètres!$B$5*(C415-1)^2)),0)</f>
        <v>0</v>
      </c>
      <c r="H415" s="6">
        <f>ROUND(Catalogue!H24*SQRT((1+Paramètres!$B$4*(C415-1)+Paramètres!$B$5*(C415-1)^2)),0)</f>
        <v>0</v>
      </c>
      <c r="I415" s="6">
        <v>2</v>
      </c>
      <c r="J415" s="6">
        <v>1</v>
      </c>
      <c r="K415" s="7">
        <v>2</v>
      </c>
      <c r="L415" s="9">
        <f t="shared" si="50"/>
        <v>24.5</v>
      </c>
      <c r="M415">
        <v>3</v>
      </c>
      <c r="N415">
        <v>4</v>
      </c>
      <c r="O415">
        <v>17</v>
      </c>
      <c r="P415" s="13" t="str">
        <f t="shared" si="51"/>
        <v>3d4 + 17</v>
      </c>
      <c r="Q415">
        <f>ROUND(INDEX(Catalogue!E$4:E$85,MATCH(A415,Catalogue!A$4:A$85,0))*(1+Paramètres!$B$4*(C415-1)+Paramètres!$B$5*(C415-1)^2),0)</f>
        <v>21</v>
      </c>
      <c r="R415">
        <f>ROUND(INDEX(Catalogue!F$4:F$85,MATCH(A415,Catalogue!A$4:A$85,0))*(1+Paramètres!$B$4*(C415-1)+Paramètres!$B$5*(C415-1)^2),0)</f>
        <v>29</v>
      </c>
      <c r="S415">
        <f t="shared" si="52"/>
        <v>-0.5</v>
      </c>
      <c r="T415" t="str">
        <f t="shared" si="53"/>
        <v>OK</v>
      </c>
      <c r="U415" s="25">
        <f t="shared" si="54"/>
        <v>24.5</v>
      </c>
      <c r="V415" t="str">
        <f t="shared" si="55"/>
        <v>OK</v>
      </c>
    </row>
    <row r="416" spans="1:22" ht="18" customHeight="1">
      <c r="A416" t="s">
        <v>150</v>
      </c>
      <c r="B416" t="s">
        <v>151</v>
      </c>
      <c r="C416">
        <v>13</v>
      </c>
      <c r="D416" t="s">
        <v>123</v>
      </c>
      <c r="E416" s="6">
        <f t="shared" si="48"/>
        <v>23</v>
      </c>
      <c r="F416" s="6">
        <f t="shared" si="49"/>
        <v>32</v>
      </c>
      <c r="G416" s="6">
        <f>ROUND(Catalogue!G24*SQRT((1+Paramètres!$B$4*(C416-1)+Paramètres!$B$5*(C416-1)^2)),0)</f>
        <v>0</v>
      </c>
      <c r="H416" s="6">
        <f>ROUND(Catalogue!H24*SQRT((1+Paramètres!$B$4*(C416-1)+Paramètres!$B$5*(C416-1)^2)),0)</f>
        <v>0</v>
      </c>
      <c r="I416" s="6">
        <v>2</v>
      </c>
      <c r="J416" s="6">
        <v>1</v>
      </c>
      <c r="K416" s="7">
        <v>2</v>
      </c>
      <c r="L416" s="9">
        <f t="shared" si="50"/>
        <v>27.5</v>
      </c>
      <c r="M416">
        <v>3</v>
      </c>
      <c r="N416">
        <v>4</v>
      </c>
      <c r="O416">
        <v>20</v>
      </c>
      <c r="P416" s="13" t="str">
        <f t="shared" si="51"/>
        <v>3d4 + 20</v>
      </c>
      <c r="Q416">
        <f>ROUND(INDEX(Catalogue!E$4:E$85,MATCH(A416,Catalogue!A$4:A$85,0))*(1+Paramètres!$B$4*(C416-1)+Paramètres!$B$5*(C416-1)^2),0)</f>
        <v>23</v>
      </c>
      <c r="R416">
        <f>ROUND(INDEX(Catalogue!F$4:F$85,MATCH(A416,Catalogue!A$4:A$85,0))*(1+Paramètres!$B$4*(C416-1)+Paramètres!$B$5*(C416-1)^2),0)</f>
        <v>32</v>
      </c>
      <c r="S416">
        <f t="shared" si="52"/>
        <v>0</v>
      </c>
      <c r="T416" t="str">
        <f t="shared" si="53"/>
        <v>OK</v>
      </c>
      <c r="U416" s="25">
        <f t="shared" si="54"/>
        <v>27.5</v>
      </c>
      <c r="V416" t="str">
        <f t="shared" si="55"/>
        <v>OK</v>
      </c>
    </row>
    <row r="417" spans="1:22" ht="18" customHeight="1">
      <c r="A417" t="s">
        <v>150</v>
      </c>
      <c r="B417" t="s">
        <v>151</v>
      </c>
      <c r="C417">
        <v>14</v>
      </c>
      <c r="D417" t="s">
        <v>123</v>
      </c>
      <c r="E417" s="6">
        <f t="shared" si="48"/>
        <v>26</v>
      </c>
      <c r="F417" s="6">
        <f t="shared" si="49"/>
        <v>36</v>
      </c>
      <c r="G417" s="6">
        <f>ROUND(Catalogue!G24*SQRT((1+Paramètres!$B$4*(C417-1)+Paramètres!$B$5*(C417-1)^2)),0)</f>
        <v>0</v>
      </c>
      <c r="H417" s="6">
        <f>ROUND(Catalogue!H24*SQRT((1+Paramètres!$B$4*(C417-1)+Paramètres!$B$5*(C417-1)^2)),0)</f>
        <v>0</v>
      </c>
      <c r="I417" s="6">
        <v>2</v>
      </c>
      <c r="J417" s="6">
        <v>1</v>
      </c>
      <c r="K417" s="7">
        <v>2</v>
      </c>
      <c r="L417" s="9">
        <f t="shared" si="50"/>
        <v>31</v>
      </c>
      <c r="M417">
        <v>2</v>
      </c>
      <c r="N417">
        <v>6</v>
      </c>
      <c r="O417">
        <v>24</v>
      </c>
      <c r="P417" s="13" t="str">
        <f t="shared" si="51"/>
        <v>2d6 + 24</v>
      </c>
      <c r="Q417">
        <f>ROUND(INDEX(Catalogue!E$4:E$85,MATCH(A417,Catalogue!A$4:A$85,0))*(1+Paramètres!$B$4*(C417-1)+Paramètres!$B$5*(C417-1)^2),0)</f>
        <v>26</v>
      </c>
      <c r="R417">
        <f>ROUND(INDEX(Catalogue!F$4:F$85,MATCH(A417,Catalogue!A$4:A$85,0))*(1+Paramètres!$B$4*(C417-1)+Paramètres!$B$5*(C417-1)^2),0)</f>
        <v>36</v>
      </c>
      <c r="S417">
        <f t="shared" si="52"/>
        <v>0</v>
      </c>
      <c r="T417" t="str">
        <f t="shared" si="53"/>
        <v>OK</v>
      </c>
      <c r="U417" s="25">
        <f t="shared" si="54"/>
        <v>31</v>
      </c>
      <c r="V417" t="str">
        <f t="shared" si="55"/>
        <v>OK</v>
      </c>
    </row>
    <row r="418" spans="1:22" ht="18" customHeight="1">
      <c r="A418" t="s">
        <v>150</v>
      </c>
      <c r="B418" t="s">
        <v>151</v>
      </c>
      <c r="C418">
        <v>15</v>
      </c>
      <c r="D418" t="s">
        <v>123</v>
      </c>
      <c r="E418" s="6">
        <f t="shared" si="48"/>
        <v>28</v>
      </c>
      <c r="F418" s="6">
        <f t="shared" si="49"/>
        <v>40</v>
      </c>
      <c r="G418" s="6">
        <f>ROUND(Catalogue!G24*SQRT((1+Paramètres!$B$4*(C418-1)+Paramètres!$B$5*(C418-1)^2)),0)</f>
        <v>0</v>
      </c>
      <c r="H418" s="6">
        <f>ROUND(Catalogue!H24*SQRT((1+Paramètres!$B$4*(C418-1)+Paramètres!$B$5*(C418-1)^2)),0)</f>
        <v>0</v>
      </c>
      <c r="I418" s="6">
        <v>2</v>
      </c>
      <c r="J418" s="6">
        <v>1</v>
      </c>
      <c r="K418" s="7">
        <v>2</v>
      </c>
      <c r="L418" s="9">
        <f t="shared" si="50"/>
        <v>34</v>
      </c>
      <c r="M418">
        <v>4</v>
      </c>
      <c r="N418">
        <v>4</v>
      </c>
      <c r="O418">
        <v>24</v>
      </c>
      <c r="P418" s="13" t="str">
        <f t="shared" si="51"/>
        <v>4d4 + 24</v>
      </c>
      <c r="Q418">
        <f>ROUND(INDEX(Catalogue!E$4:E$85,MATCH(A418,Catalogue!A$4:A$85,0))*(1+Paramètres!$B$4*(C418-1)+Paramètres!$B$5*(C418-1)^2),0)</f>
        <v>28</v>
      </c>
      <c r="R418">
        <f>ROUND(INDEX(Catalogue!F$4:F$85,MATCH(A418,Catalogue!A$4:A$85,0))*(1+Paramètres!$B$4*(C418-1)+Paramètres!$B$5*(C418-1)^2),0)</f>
        <v>40</v>
      </c>
      <c r="S418">
        <f t="shared" si="52"/>
        <v>0</v>
      </c>
      <c r="T418" t="str">
        <f t="shared" si="53"/>
        <v>OK</v>
      </c>
      <c r="U418" s="25">
        <f t="shared" si="54"/>
        <v>34</v>
      </c>
      <c r="V418" t="str">
        <f t="shared" si="55"/>
        <v>OK</v>
      </c>
    </row>
    <row r="419" spans="1:22" ht="18" customHeight="1">
      <c r="A419" t="s">
        <v>150</v>
      </c>
      <c r="B419" t="s">
        <v>151</v>
      </c>
      <c r="C419">
        <v>16</v>
      </c>
      <c r="D419" t="s">
        <v>123</v>
      </c>
      <c r="E419" s="6">
        <f t="shared" si="48"/>
        <v>30</v>
      </c>
      <c r="F419" s="6">
        <f t="shared" si="49"/>
        <v>44</v>
      </c>
      <c r="G419" s="6">
        <f>ROUND(Catalogue!G24*SQRT((1+Paramètres!$B$4*(C419-1)+Paramètres!$B$5*(C419-1)^2)),0)</f>
        <v>0</v>
      </c>
      <c r="H419" s="6">
        <f>ROUND(Catalogue!H24*SQRT((1+Paramètres!$B$4*(C419-1)+Paramètres!$B$5*(C419-1)^2)),0)</f>
        <v>0</v>
      </c>
      <c r="I419" s="6">
        <v>2</v>
      </c>
      <c r="J419" s="6">
        <v>1</v>
      </c>
      <c r="K419" s="7">
        <v>2</v>
      </c>
      <c r="L419" s="9">
        <f t="shared" si="50"/>
        <v>37</v>
      </c>
      <c r="M419">
        <v>2</v>
      </c>
      <c r="N419">
        <v>8</v>
      </c>
      <c r="O419">
        <v>28</v>
      </c>
      <c r="P419" s="13" t="str">
        <f t="shared" si="51"/>
        <v>2d8 + 28</v>
      </c>
      <c r="Q419">
        <f>ROUND(INDEX(Catalogue!E$4:E$85,MATCH(A419,Catalogue!A$4:A$85,0))*(1+Paramètres!$B$4*(C419-1)+Paramètres!$B$5*(C419-1)^2),0)</f>
        <v>31</v>
      </c>
      <c r="R419">
        <f>ROUND(INDEX(Catalogue!F$4:F$85,MATCH(A419,Catalogue!A$4:A$85,0))*(1+Paramètres!$B$4*(C419-1)+Paramètres!$B$5*(C419-1)^2),0)</f>
        <v>44</v>
      </c>
      <c r="S419">
        <f t="shared" si="52"/>
        <v>-0.5</v>
      </c>
      <c r="T419" t="str">
        <f t="shared" si="53"/>
        <v>OK</v>
      </c>
      <c r="U419" s="25">
        <f t="shared" si="54"/>
        <v>37</v>
      </c>
      <c r="V419" t="str">
        <f t="shared" si="55"/>
        <v>OK</v>
      </c>
    </row>
    <row r="420" spans="1:22" ht="18" customHeight="1">
      <c r="A420" t="s">
        <v>150</v>
      </c>
      <c r="B420" t="s">
        <v>151</v>
      </c>
      <c r="C420">
        <v>17</v>
      </c>
      <c r="D420" t="s">
        <v>123</v>
      </c>
      <c r="E420" s="6">
        <f t="shared" si="48"/>
        <v>34</v>
      </c>
      <c r="F420" s="6">
        <f t="shared" si="49"/>
        <v>48</v>
      </c>
      <c r="G420" s="6">
        <f>ROUND(Catalogue!G24*SQRT((1+Paramètres!$B$4*(C420-1)+Paramètres!$B$5*(C420-1)^2)),0)</f>
        <v>0</v>
      </c>
      <c r="H420" s="6">
        <f>ROUND(Catalogue!H24*SQRT((1+Paramètres!$B$4*(C420-1)+Paramètres!$B$5*(C420-1)^2)),0)</f>
        <v>0</v>
      </c>
      <c r="I420" s="6">
        <v>2</v>
      </c>
      <c r="J420" s="6">
        <v>1</v>
      </c>
      <c r="K420" s="7">
        <v>2</v>
      </c>
      <c r="L420" s="9">
        <f t="shared" si="50"/>
        <v>41</v>
      </c>
      <c r="M420">
        <v>2</v>
      </c>
      <c r="N420">
        <v>8</v>
      </c>
      <c r="O420">
        <v>32</v>
      </c>
      <c r="P420" s="13" t="str">
        <f t="shared" si="51"/>
        <v>2d8 + 32</v>
      </c>
      <c r="Q420">
        <f>ROUND(INDEX(Catalogue!E$4:E$85,MATCH(A420,Catalogue!A$4:A$85,0))*(1+Paramètres!$B$4*(C420-1)+Paramètres!$B$5*(C420-1)^2),0)</f>
        <v>34</v>
      </c>
      <c r="R420">
        <f>ROUND(INDEX(Catalogue!F$4:F$85,MATCH(A420,Catalogue!A$4:A$85,0))*(1+Paramètres!$B$4*(C420-1)+Paramètres!$B$5*(C420-1)^2),0)</f>
        <v>48</v>
      </c>
      <c r="S420">
        <f t="shared" si="52"/>
        <v>0</v>
      </c>
      <c r="T420" t="str">
        <f t="shared" si="53"/>
        <v>OK</v>
      </c>
      <c r="U420" s="25">
        <f t="shared" si="54"/>
        <v>41</v>
      </c>
      <c r="V420" t="str">
        <f t="shared" si="55"/>
        <v>OK</v>
      </c>
    </row>
    <row r="421" spans="1:22" ht="18" customHeight="1">
      <c r="A421" t="s">
        <v>150</v>
      </c>
      <c r="B421" t="s">
        <v>151</v>
      </c>
      <c r="C421">
        <v>18</v>
      </c>
      <c r="D421" t="s">
        <v>123</v>
      </c>
      <c r="E421" s="6">
        <f t="shared" si="48"/>
        <v>37</v>
      </c>
      <c r="F421" s="6">
        <f t="shared" si="49"/>
        <v>52</v>
      </c>
      <c r="G421" s="6">
        <f>ROUND(Catalogue!G24*SQRT((1+Paramètres!$B$4*(C421-1)+Paramètres!$B$5*(C421-1)^2)),0)</f>
        <v>0</v>
      </c>
      <c r="H421" s="6">
        <f>ROUND(Catalogue!H24*SQRT((1+Paramètres!$B$4*(C421-1)+Paramètres!$B$5*(C421-1)^2)),0)</f>
        <v>0</v>
      </c>
      <c r="I421" s="6">
        <v>2</v>
      </c>
      <c r="J421" s="6">
        <v>1</v>
      </c>
      <c r="K421" s="7">
        <v>2</v>
      </c>
      <c r="L421" s="9">
        <f t="shared" si="50"/>
        <v>44.5</v>
      </c>
      <c r="M421">
        <v>3</v>
      </c>
      <c r="N421">
        <v>6</v>
      </c>
      <c r="O421">
        <v>34</v>
      </c>
      <c r="P421" s="13" t="str">
        <f t="shared" si="51"/>
        <v>3d6 + 34</v>
      </c>
      <c r="Q421">
        <f>ROUND(INDEX(Catalogue!E$4:E$85,MATCH(A421,Catalogue!A$4:A$85,0))*(1+Paramètres!$B$4*(C421-1)+Paramètres!$B$5*(C421-1)^2),0)</f>
        <v>37</v>
      </c>
      <c r="R421">
        <f>ROUND(INDEX(Catalogue!F$4:F$85,MATCH(A421,Catalogue!A$4:A$85,0))*(1+Paramètres!$B$4*(C421-1)+Paramètres!$B$5*(C421-1)^2),0)</f>
        <v>52</v>
      </c>
      <c r="S421">
        <f t="shared" si="52"/>
        <v>0</v>
      </c>
      <c r="T421" t="str">
        <f t="shared" si="53"/>
        <v>OK</v>
      </c>
      <c r="U421" s="25">
        <f t="shared" si="54"/>
        <v>44.5</v>
      </c>
      <c r="V421" t="str">
        <f t="shared" si="55"/>
        <v>OK</v>
      </c>
    </row>
    <row r="422" spans="1:22" ht="18" customHeight="1">
      <c r="A422" t="s">
        <v>150</v>
      </c>
      <c r="B422" t="s">
        <v>151</v>
      </c>
      <c r="C422">
        <v>19</v>
      </c>
      <c r="D422" t="s">
        <v>123</v>
      </c>
      <c r="E422" s="6">
        <f t="shared" si="48"/>
        <v>41</v>
      </c>
      <c r="F422" s="6">
        <f t="shared" si="49"/>
        <v>56</v>
      </c>
      <c r="G422" s="6">
        <f>ROUND(Catalogue!G24*SQRT((1+Paramètres!$B$4*(C422-1)+Paramètres!$B$5*(C422-1)^2)),0)</f>
        <v>0</v>
      </c>
      <c r="H422" s="6">
        <f>ROUND(Catalogue!H24*SQRT((1+Paramètres!$B$4*(C422-1)+Paramètres!$B$5*(C422-1)^2)),0)</f>
        <v>0</v>
      </c>
      <c r="I422" s="6">
        <v>2</v>
      </c>
      <c r="J422" s="6">
        <v>1</v>
      </c>
      <c r="K422" s="7">
        <v>2</v>
      </c>
      <c r="L422" s="9">
        <f t="shared" si="50"/>
        <v>48.5</v>
      </c>
      <c r="M422">
        <v>3</v>
      </c>
      <c r="N422">
        <v>6</v>
      </c>
      <c r="O422">
        <v>38</v>
      </c>
      <c r="P422" s="13" t="str">
        <f t="shared" si="51"/>
        <v>3d6 + 38</v>
      </c>
      <c r="Q422">
        <f>ROUND(INDEX(Catalogue!E$4:E$85,MATCH(A422,Catalogue!A$4:A$85,0))*(1+Paramètres!$B$4*(C422-1)+Paramètres!$B$5*(C422-1)^2),0)</f>
        <v>41</v>
      </c>
      <c r="R422">
        <f>ROUND(INDEX(Catalogue!F$4:F$85,MATCH(A422,Catalogue!A$4:A$85,0))*(1+Paramètres!$B$4*(C422-1)+Paramètres!$B$5*(C422-1)^2),0)</f>
        <v>57</v>
      </c>
      <c r="S422">
        <f t="shared" si="52"/>
        <v>-0.5</v>
      </c>
      <c r="T422" t="str">
        <f t="shared" si="53"/>
        <v>OK</v>
      </c>
      <c r="U422" s="25">
        <f t="shared" si="54"/>
        <v>48.5</v>
      </c>
      <c r="V422" t="str">
        <f t="shared" si="55"/>
        <v>OK</v>
      </c>
    </row>
    <row r="423" spans="1:22" ht="18" customHeight="1">
      <c r="A423" t="s">
        <v>150</v>
      </c>
      <c r="B423" t="s">
        <v>151</v>
      </c>
      <c r="C423">
        <v>20</v>
      </c>
      <c r="D423" t="s">
        <v>123</v>
      </c>
      <c r="E423" s="6">
        <f t="shared" si="48"/>
        <v>44</v>
      </c>
      <c r="F423" s="6">
        <f t="shared" si="49"/>
        <v>62</v>
      </c>
      <c r="G423" s="6">
        <f>ROUND(Catalogue!G24*SQRT((1+Paramètres!$B$4*(C423-1)+Paramètres!$B$5*(C423-1)^2)),0)</f>
        <v>0</v>
      </c>
      <c r="H423" s="6">
        <f>ROUND(Catalogue!H24*SQRT((1+Paramètres!$B$4*(C423-1)+Paramètres!$B$5*(C423-1)^2)),0)</f>
        <v>0</v>
      </c>
      <c r="I423" s="6">
        <v>2</v>
      </c>
      <c r="J423" s="6">
        <v>1</v>
      </c>
      <c r="K423" s="7">
        <v>2</v>
      </c>
      <c r="L423" s="9">
        <f t="shared" si="50"/>
        <v>53</v>
      </c>
      <c r="M423">
        <v>2</v>
      </c>
      <c r="N423">
        <v>10</v>
      </c>
      <c r="O423">
        <v>42</v>
      </c>
      <c r="P423" s="13" t="str">
        <f t="shared" si="51"/>
        <v>2d10 + 42</v>
      </c>
      <c r="Q423">
        <f>ROUND(INDEX(Catalogue!E$4:E$85,MATCH(A423,Catalogue!A$4:A$85,0))*(1+Paramètres!$B$4*(C423-1)+Paramètres!$B$5*(C423-1)^2),0)</f>
        <v>44</v>
      </c>
      <c r="R423">
        <f>ROUND(INDEX(Catalogue!F$4:F$85,MATCH(A423,Catalogue!A$4:A$85,0))*(1+Paramètres!$B$4*(C423-1)+Paramètres!$B$5*(C423-1)^2),0)</f>
        <v>62</v>
      </c>
      <c r="S423">
        <f t="shared" si="52"/>
        <v>0</v>
      </c>
      <c r="T423" t="str">
        <f t="shared" si="53"/>
        <v>OK</v>
      </c>
      <c r="U423" s="25">
        <f t="shared" si="54"/>
        <v>53</v>
      </c>
      <c r="V423" t="str">
        <f t="shared" si="55"/>
        <v>OK</v>
      </c>
    </row>
    <row r="424" spans="1:22" ht="18" customHeight="1">
      <c r="A424" t="s">
        <v>153</v>
      </c>
      <c r="B424" t="s">
        <v>154</v>
      </c>
      <c r="C424">
        <v>1</v>
      </c>
      <c r="D424" t="s">
        <v>123</v>
      </c>
      <c r="E424" s="6">
        <f t="shared" si="48"/>
        <v>5</v>
      </c>
      <c r="F424" s="6">
        <f t="shared" si="49"/>
        <v>8</v>
      </c>
      <c r="G424" s="6">
        <f>ROUND(Catalogue!G25*SQRT((1+Paramètres!$B$4*(C424-1)+Paramètres!$B$5*(C424-1)^2)),0)</f>
        <v>0</v>
      </c>
      <c r="H424" s="6">
        <f>ROUND(Catalogue!H25*SQRT((1+Paramètres!$B$4*(C424-1)+Paramètres!$B$5*(C424-1)^2)),0)</f>
        <v>0</v>
      </c>
      <c r="I424" s="6">
        <v>2</v>
      </c>
      <c r="J424" s="6">
        <v>1</v>
      </c>
      <c r="K424" s="7">
        <v>2.2000000000000002</v>
      </c>
      <c r="L424" s="9">
        <f t="shared" si="50"/>
        <v>6.5</v>
      </c>
      <c r="M424">
        <v>1</v>
      </c>
      <c r="N424">
        <v>4</v>
      </c>
      <c r="O424">
        <v>4</v>
      </c>
      <c r="P424" s="13" t="str">
        <f t="shared" si="51"/>
        <v>1d4 + 4</v>
      </c>
      <c r="Q424">
        <f>ROUND(INDEX(Catalogue!E$4:E$85,MATCH(A424,Catalogue!A$4:A$85,0))*(1+Paramètres!$B$4*(C424-1)+Paramètres!$B$5*(C424-1)^2),0)</f>
        <v>5</v>
      </c>
      <c r="R424">
        <f>ROUND(INDEX(Catalogue!F$4:F$85,MATCH(A424,Catalogue!A$4:A$85,0))*(1+Paramètres!$B$4*(C424-1)+Paramètres!$B$5*(C424-1)^2),0)</f>
        <v>8</v>
      </c>
      <c r="S424">
        <f t="shared" si="52"/>
        <v>0</v>
      </c>
      <c r="T424" t="str">
        <f t="shared" si="53"/>
        <v>OK</v>
      </c>
      <c r="U424" s="25">
        <f t="shared" si="54"/>
        <v>6.5</v>
      </c>
      <c r="V424" t="str">
        <f t="shared" si="55"/>
        <v>OK</v>
      </c>
    </row>
    <row r="425" spans="1:22" ht="18" customHeight="1">
      <c r="A425" t="s">
        <v>153</v>
      </c>
      <c r="B425" t="s">
        <v>154</v>
      </c>
      <c r="C425">
        <v>2</v>
      </c>
      <c r="D425" t="s">
        <v>123</v>
      </c>
      <c r="E425" s="6">
        <f t="shared" si="48"/>
        <v>6</v>
      </c>
      <c r="F425" s="6">
        <f t="shared" si="49"/>
        <v>9</v>
      </c>
      <c r="G425" s="6">
        <f>ROUND(Catalogue!G25*SQRT((1+Paramètres!$B$4*(C425-1)+Paramètres!$B$5*(C425-1)^2)),0)</f>
        <v>0</v>
      </c>
      <c r="H425" s="6">
        <f>ROUND(Catalogue!H25*SQRT((1+Paramètres!$B$4*(C425-1)+Paramètres!$B$5*(C425-1)^2)),0)</f>
        <v>0</v>
      </c>
      <c r="I425" s="6">
        <v>2</v>
      </c>
      <c r="J425" s="6">
        <v>1</v>
      </c>
      <c r="K425" s="7">
        <v>2.2000000000000002</v>
      </c>
      <c r="L425" s="9">
        <f t="shared" si="50"/>
        <v>7.5</v>
      </c>
      <c r="M425">
        <v>1</v>
      </c>
      <c r="N425">
        <v>4</v>
      </c>
      <c r="O425">
        <v>5</v>
      </c>
      <c r="P425" s="13" t="str">
        <f t="shared" si="51"/>
        <v>1d4 + 5</v>
      </c>
      <c r="Q425">
        <f>ROUND(INDEX(Catalogue!E$4:E$85,MATCH(A425,Catalogue!A$4:A$85,0))*(1+Paramètres!$B$4*(C425-1)+Paramètres!$B$5*(C425-1)^2),0)</f>
        <v>6</v>
      </c>
      <c r="R425">
        <f>ROUND(INDEX(Catalogue!F$4:F$85,MATCH(A425,Catalogue!A$4:A$85,0))*(1+Paramètres!$B$4*(C425-1)+Paramètres!$B$5*(C425-1)^2),0)</f>
        <v>9</v>
      </c>
      <c r="S425">
        <f t="shared" si="52"/>
        <v>0</v>
      </c>
      <c r="T425" t="str">
        <f t="shared" si="53"/>
        <v>OK</v>
      </c>
      <c r="U425" s="25">
        <f t="shared" si="54"/>
        <v>7.5</v>
      </c>
      <c r="V425" t="str">
        <f t="shared" si="55"/>
        <v>OK</v>
      </c>
    </row>
    <row r="426" spans="1:22" ht="18" customHeight="1">
      <c r="A426" t="s">
        <v>153</v>
      </c>
      <c r="B426" t="s">
        <v>154</v>
      </c>
      <c r="C426">
        <v>3</v>
      </c>
      <c r="D426" t="s">
        <v>123</v>
      </c>
      <c r="E426" s="6">
        <f t="shared" si="48"/>
        <v>6</v>
      </c>
      <c r="F426" s="6">
        <f t="shared" si="49"/>
        <v>9</v>
      </c>
      <c r="G426" s="6">
        <f>ROUND(Catalogue!G25*SQRT((1+Paramètres!$B$4*(C426-1)+Paramètres!$B$5*(C426-1)^2)),0)</f>
        <v>0</v>
      </c>
      <c r="H426" s="6">
        <f>ROUND(Catalogue!H25*SQRT((1+Paramètres!$B$4*(C426-1)+Paramètres!$B$5*(C426-1)^2)),0)</f>
        <v>0</v>
      </c>
      <c r="I426" s="6">
        <v>2</v>
      </c>
      <c r="J426" s="6">
        <v>1</v>
      </c>
      <c r="K426" s="7">
        <v>2.2000000000000002</v>
      </c>
      <c r="L426" s="9">
        <f t="shared" si="50"/>
        <v>7.5</v>
      </c>
      <c r="M426">
        <v>1</v>
      </c>
      <c r="N426">
        <v>4</v>
      </c>
      <c r="O426">
        <v>5</v>
      </c>
      <c r="P426" s="13" t="str">
        <f t="shared" si="51"/>
        <v>1d4 + 5</v>
      </c>
      <c r="Q426">
        <f>ROUND(INDEX(Catalogue!E$4:E$85,MATCH(A426,Catalogue!A$4:A$85,0))*(1+Paramètres!$B$4*(C426-1)+Paramètres!$B$5*(C426-1)^2),0)</f>
        <v>6</v>
      </c>
      <c r="R426">
        <f>ROUND(INDEX(Catalogue!F$4:F$85,MATCH(A426,Catalogue!A$4:A$85,0))*(1+Paramètres!$B$4*(C426-1)+Paramètres!$B$5*(C426-1)^2),0)</f>
        <v>10</v>
      </c>
      <c r="S426">
        <f t="shared" si="52"/>
        <v>-0.5</v>
      </c>
      <c r="T426" t="str">
        <f t="shared" si="53"/>
        <v>OK</v>
      </c>
      <c r="U426" s="25">
        <f t="shared" si="54"/>
        <v>7.5</v>
      </c>
      <c r="V426" t="str">
        <f t="shared" si="55"/>
        <v>OK</v>
      </c>
    </row>
    <row r="427" spans="1:22" ht="18" customHeight="1">
      <c r="A427" t="s">
        <v>153</v>
      </c>
      <c r="B427" t="s">
        <v>154</v>
      </c>
      <c r="C427">
        <v>4</v>
      </c>
      <c r="D427" t="s">
        <v>123</v>
      </c>
      <c r="E427" s="6">
        <f t="shared" si="48"/>
        <v>7</v>
      </c>
      <c r="F427" s="6">
        <f t="shared" si="49"/>
        <v>12</v>
      </c>
      <c r="G427" s="6">
        <f>ROUND(Catalogue!G25*SQRT((1+Paramètres!$B$4*(C427-1)+Paramètres!$B$5*(C427-1)^2)),0)</f>
        <v>0</v>
      </c>
      <c r="H427" s="6">
        <f>ROUND(Catalogue!H25*SQRT((1+Paramètres!$B$4*(C427-1)+Paramètres!$B$5*(C427-1)^2)),0)</f>
        <v>0</v>
      </c>
      <c r="I427" s="6">
        <v>2</v>
      </c>
      <c r="J427" s="6">
        <v>1</v>
      </c>
      <c r="K427" s="7">
        <v>2.2000000000000002</v>
      </c>
      <c r="L427" s="9">
        <f t="shared" si="50"/>
        <v>9.5</v>
      </c>
      <c r="M427">
        <v>1</v>
      </c>
      <c r="N427">
        <v>6</v>
      </c>
      <c r="O427">
        <v>6</v>
      </c>
      <c r="P427" s="13" t="str">
        <f t="shared" si="51"/>
        <v>1d6 + 6</v>
      </c>
      <c r="Q427">
        <f>ROUND(INDEX(Catalogue!E$4:E$85,MATCH(A427,Catalogue!A$4:A$85,0))*(1+Paramètres!$B$4*(C427-1)+Paramètres!$B$5*(C427-1)^2),0)</f>
        <v>7</v>
      </c>
      <c r="R427">
        <f>ROUND(INDEX(Catalogue!F$4:F$85,MATCH(A427,Catalogue!A$4:A$85,0))*(1+Paramètres!$B$4*(C427-1)+Paramètres!$B$5*(C427-1)^2),0)</f>
        <v>12</v>
      </c>
      <c r="S427">
        <f t="shared" si="52"/>
        <v>0</v>
      </c>
      <c r="T427" t="str">
        <f t="shared" si="53"/>
        <v>OK</v>
      </c>
      <c r="U427" s="25">
        <f t="shared" si="54"/>
        <v>9.5</v>
      </c>
      <c r="V427" t="str">
        <f t="shared" si="55"/>
        <v>OK</v>
      </c>
    </row>
    <row r="428" spans="1:22" ht="18" customHeight="1">
      <c r="A428" t="s">
        <v>153</v>
      </c>
      <c r="B428" t="s">
        <v>154</v>
      </c>
      <c r="C428">
        <v>5</v>
      </c>
      <c r="D428" t="s">
        <v>123</v>
      </c>
      <c r="E428" s="6">
        <f t="shared" si="48"/>
        <v>8</v>
      </c>
      <c r="F428" s="6">
        <f t="shared" si="49"/>
        <v>14</v>
      </c>
      <c r="G428" s="6">
        <f>ROUND(Catalogue!G25*SQRT((1+Paramètres!$B$4*(C428-1)+Paramètres!$B$5*(C428-1)^2)),0)</f>
        <v>0</v>
      </c>
      <c r="H428" s="6">
        <f>ROUND(Catalogue!H25*SQRT((1+Paramètres!$B$4*(C428-1)+Paramètres!$B$5*(C428-1)^2)),0)</f>
        <v>0</v>
      </c>
      <c r="I428" s="6">
        <v>2</v>
      </c>
      <c r="J428" s="6">
        <v>1</v>
      </c>
      <c r="K428" s="7">
        <v>2.2000000000000002</v>
      </c>
      <c r="L428" s="9">
        <f t="shared" si="50"/>
        <v>11</v>
      </c>
      <c r="M428">
        <v>2</v>
      </c>
      <c r="N428">
        <v>4</v>
      </c>
      <c r="O428">
        <v>6</v>
      </c>
      <c r="P428" s="13" t="str">
        <f t="shared" si="51"/>
        <v>2d4 + 6</v>
      </c>
      <c r="Q428">
        <f>ROUND(INDEX(Catalogue!E$4:E$85,MATCH(A428,Catalogue!A$4:A$85,0))*(1+Paramètres!$B$4*(C428-1)+Paramètres!$B$5*(C428-1)^2),0)</f>
        <v>8</v>
      </c>
      <c r="R428">
        <f>ROUND(INDEX(Catalogue!F$4:F$85,MATCH(A428,Catalogue!A$4:A$85,0))*(1+Paramètres!$B$4*(C428-1)+Paramètres!$B$5*(C428-1)^2),0)</f>
        <v>14</v>
      </c>
      <c r="S428">
        <f t="shared" si="52"/>
        <v>0</v>
      </c>
      <c r="T428" t="str">
        <f t="shared" si="53"/>
        <v>OK</v>
      </c>
      <c r="U428" s="25">
        <f t="shared" si="54"/>
        <v>11</v>
      </c>
      <c r="V428" t="str">
        <f t="shared" si="55"/>
        <v>OK</v>
      </c>
    </row>
    <row r="429" spans="1:22" ht="18" customHeight="1">
      <c r="A429" t="s">
        <v>153</v>
      </c>
      <c r="B429" t="s">
        <v>154</v>
      </c>
      <c r="C429">
        <v>6</v>
      </c>
      <c r="D429" t="s">
        <v>123</v>
      </c>
      <c r="E429" s="6">
        <f t="shared" si="48"/>
        <v>10</v>
      </c>
      <c r="F429" s="6">
        <f t="shared" si="49"/>
        <v>16</v>
      </c>
      <c r="G429" s="6">
        <f>ROUND(Catalogue!G25*SQRT((1+Paramètres!$B$4*(C429-1)+Paramètres!$B$5*(C429-1)^2)),0)</f>
        <v>0</v>
      </c>
      <c r="H429" s="6">
        <f>ROUND(Catalogue!H25*SQRT((1+Paramètres!$B$4*(C429-1)+Paramètres!$B$5*(C429-1)^2)),0)</f>
        <v>0</v>
      </c>
      <c r="I429" s="6">
        <v>2</v>
      </c>
      <c r="J429" s="6">
        <v>1</v>
      </c>
      <c r="K429" s="7">
        <v>2.2000000000000002</v>
      </c>
      <c r="L429" s="9">
        <f t="shared" si="50"/>
        <v>13</v>
      </c>
      <c r="M429">
        <v>2</v>
      </c>
      <c r="N429">
        <v>4</v>
      </c>
      <c r="O429">
        <v>8</v>
      </c>
      <c r="P429" s="13" t="str">
        <f t="shared" si="51"/>
        <v>2d4 + 8</v>
      </c>
      <c r="Q429">
        <f>ROUND(INDEX(Catalogue!E$4:E$85,MATCH(A429,Catalogue!A$4:A$85,0))*(1+Paramètres!$B$4*(C429-1)+Paramètres!$B$5*(C429-1)^2),0)</f>
        <v>10</v>
      </c>
      <c r="R429">
        <f>ROUND(INDEX(Catalogue!F$4:F$85,MATCH(A429,Catalogue!A$4:A$85,0))*(1+Paramètres!$B$4*(C429-1)+Paramètres!$B$5*(C429-1)^2),0)</f>
        <v>16</v>
      </c>
      <c r="S429">
        <f t="shared" si="52"/>
        <v>0</v>
      </c>
      <c r="T429" t="str">
        <f t="shared" si="53"/>
        <v>OK</v>
      </c>
      <c r="U429" s="25">
        <f t="shared" si="54"/>
        <v>13</v>
      </c>
      <c r="V429" t="str">
        <f t="shared" si="55"/>
        <v>OK</v>
      </c>
    </row>
    <row r="430" spans="1:22" ht="18" customHeight="1">
      <c r="A430" t="s">
        <v>153</v>
      </c>
      <c r="B430" t="s">
        <v>154</v>
      </c>
      <c r="C430">
        <v>7</v>
      </c>
      <c r="D430" t="s">
        <v>123</v>
      </c>
      <c r="E430" s="6">
        <f t="shared" si="48"/>
        <v>11</v>
      </c>
      <c r="F430" s="6">
        <f t="shared" si="49"/>
        <v>18</v>
      </c>
      <c r="G430" s="6">
        <f>ROUND(Catalogue!G25*SQRT((1+Paramètres!$B$4*(C430-1)+Paramètres!$B$5*(C430-1)^2)),0)</f>
        <v>0</v>
      </c>
      <c r="H430" s="6">
        <f>ROUND(Catalogue!H25*SQRT((1+Paramètres!$B$4*(C430-1)+Paramètres!$B$5*(C430-1)^2)),0)</f>
        <v>0</v>
      </c>
      <c r="I430" s="6">
        <v>2</v>
      </c>
      <c r="J430" s="6">
        <v>1</v>
      </c>
      <c r="K430" s="7">
        <v>2.2000000000000002</v>
      </c>
      <c r="L430" s="9">
        <f t="shared" si="50"/>
        <v>14.5</v>
      </c>
      <c r="M430">
        <v>1</v>
      </c>
      <c r="N430">
        <v>8</v>
      </c>
      <c r="O430">
        <v>10</v>
      </c>
      <c r="P430" s="13" t="str">
        <f t="shared" si="51"/>
        <v>1d8 + 10</v>
      </c>
      <c r="Q430">
        <f>ROUND(INDEX(Catalogue!E$4:E$85,MATCH(A430,Catalogue!A$4:A$85,0))*(1+Paramètres!$B$4*(C430-1)+Paramètres!$B$5*(C430-1)^2),0)</f>
        <v>11</v>
      </c>
      <c r="R430">
        <f>ROUND(INDEX(Catalogue!F$4:F$85,MATCH(A430,Catalogue!A$4:A$85,0))*(1+Paramètres!$B$4*(C430-1)+Paramètres!$B$5*(C430-1)^2),0)</f>
        <v>18</v>
      </c>
      <c r="S430">
        <f t="shared" si="52"/>
        <v>0</v>
      </c>
      <c r="T430" t="str">
        <f t="shared" si="53"/>
        <v>OK</v>
      </c>
      <c r="U430" s="25">
        <f t="shared" si="54"/>
        <v>14.5</v>
      </c>
      <c r="V430" t="str">
        <f t="shared" si="55"/>
        <v>OK</v>
      </c>
    </row>
    <row r="431" spans="1:22" ht="18" customHeight="1">
      <c r="A431" t="s">
        <v>153</v>
      </c>
      <c r="B431" t="s">
        <v>154</v>
      </c>
      <c r="C431">
        <v>8</v>
      </c>
      <c r="D431" t="s">
        <v>123</v>
      </c>
      <c r="E431" s="6">
        <f t="shared" si="48"/>
        <v>13</v>
      </c>
      <c r="F431" s="6">
        <f t="shared" si="49"/>
        <v>20</v>
      </c>
      <c r="G431" s="6">
        <f>ROUND(Catalogue!G25*SQRT((1+Paramètres!$B$4*(C431-1)+Paramètres!$B$5*(C431-1)^2)),0)</f>
        <v>0</v>
      </c>
      <c r="H431" s="6">
        <f>ROUND(Catalogue!H25*SQRT((1+Paramètres!$B$4*(C431-1)+Paramètres!$B$5*(C431-1)^2)),0)</f>
        <v>0</v>
      </c>
      <c r="I431" s="6">
        <v>2</v>
      </c>
      <c r="J431" s="6">
        <v>1</v>
      </c>
      <c r="K431" s="7">
        <v>2.2000000000000002</v>
      </c>
      <c r="L431" s="9">
        <f t="shared" si="50"/>
        <v>16.5</v>
      </c>
      <c r="M431">
        <v>1</v>
      </c>
      <c r="N431">
        <v>8</v>
      </c>
      <c r="O431">
        <v>12</v>
      </c>
      <c r="P431" s="13" t="str">
        <f t="shared" si="51"/>
        <v>1d8 + 12</v>
      </c>
      <c r="Q431">
        <f>ROUND(INDEX(Catalogue!E$4:E$85,MATCH(A431,Catalogue!A$4:A$85,0))*(1+Paramètres!$B$4*(C431-1)+Paramètres!$B$5*(C431-1)^2),0)</f>
        <v>13</v>
      </c>
      <c r="R431">
        <f>ROUND(INDEX(Catalogue!F$4:F$85,MATCH(A431,Catalogue!A$4:A$85,0))*(1+Paramètres!$B$4*(C431-1)+Paramètres!$B$5*(C431-1)^2),0)</f>
        <v>20</v>
      </c>
      <c r="S431">
        <f t="shared" si="52"/>
        <v>0</v>
      </c>
      <c r="T431" t="str">
        <f t="shared" si="53"/>
        <v>OK</v>
      </c>
      <c r="U431" s="25">
        <f t="shared" si="54"/>
        <v>16.5</v>
      </c>
      <c r="V431" t="str">
        <f t="shared" si="55"/>
        <v>OK</v>
      </c>
    </row>
    <row r="432" spans="1:22" ht="18" customHeight="1">
      <c r="A432" t="s">
        <v>153</v>
      </c>
      <c r="B432" t="s">
        <v>154</v>
      </c>
      <c r="C432">
        <v>9</v>
      </c>
      <c r="D432" t="s">
        <v>123</v>
      </c>
      <c r="E432" s="6">
        <f t="shared" si="48"/>
        <v>14</v>
      </c>
      <c r="F432" s="6">
        <f t="shared" si="49"/>
        <v>23</v>
      </c>
      <c r="G432" s="6">
        <f>ROUND(Catalogue!G25*SQRT((1+Paramètres!$B$4*(C432-1)+Paramètres!$B$5*(C432-1)^2)),0)</f>
        <v>0</v>
      </c>
      <c r="H432" s="6">
        <f>ROUND(Catalogue!H25*SQRT((1+Paramètres!$B$4*(C432-1)+Paramètres!$B$5*(C432-1)^2)),0)</f>
        <v>0</v>
      </c>
      <c r="I432" s="6">
        <v>2</v>
      </c>
      <c r="J432" s="6">
        <v>1</v>
      </c>
      <c r="K432" s="7">
        <v>2.2000000000000002</v>
      </c>
      <c r="L432" s="9">
        <f t="shared" si="50"/>
        <v>18.5</v>
      </c>
      <c r="M432">
        <v>3</v>
      </c>
      <c r="N432">
        <v>4</v>
      </c>
      <c r="O432">
        <v>11</v>
      </c>
      <c r="P432" s="13" t="str">
        <f t="shared" si="51"/>
        <v>3d4 + 11</v>
      </c>
      <c r="Q432">
        <f>ROUND(INDEX(Catalogue!E$4:E$85,MATCH(A432,Catalogue!A$4:A$85,0))*(1+Paramètres!$B$4*(C432-1)+Paramètres!$B$5*(C432-1)^2),0)</f>
        <v>15</v>
      </c>
      <c r="R432">
        <f>ROUND(INDEX(Catalogue!F$4:F$85,MATCH(A432,Catalogue!A$4:A$85,0))*(1+Paramètres!$B$4*(C432-1)+Paramètres!$B$5*(C432-1)^2),0)</f>
        <v>23</v>
      </c>
      <c r="S432">
        <f t="shared" si="52"/>
        <v>-0.5</v>
      </c>
      <c r="T432" t="str">
        <f t="shared" si="53"/>
        <v>OK</v>
      </c>
      <c r="U432" s="25">
        <f t="shared" si="54"/>
        <v>18.5</v>
      </c>
      <c r="V432" t="str">
        <f t="shared" si="55"/>
        <v>OK</v>
      </c>
    </row>
    <row r="433" spans="1:22" ht="18" customHeight="1">
      <c r="A433" t="s">
        <v>153</v>
      </c>
      <c r="B433" t="s">
        <v>154</v>
      </c>
      <c r="C433">
        <v>10</v>
      </c>
      <c r="D433" t="s">
        <v>123</v>
      </c>
      <c r="E433" s="6">
        <f t="shared" si="48"/>
        <v>16</v>
      </c>
      <c r="F433" s="6">
        <f t="shared" si="49"/>
        <v>26</v>
      </c>
      <c r="G433" s="6">
        <f>ROUND(Catalogue!G25*SQRT((1+Paramètres!$B$4*(C433-1)+Paramètres!$B$5*(C433-1)^2)),0)</f>
        <v>0</v>
      </c>
      <c r="H433" s="6">
        <f>ROUND(Catalogue!H25*SQRT((1+Paramètres!$B$4*(C433-1)+Paramètres!$B$5*(C433-1)^2)),0)</f>
        <v>0</v>
      </c>
      <c r="I433" s="6">
        <v>2</v>
      </c>
      <c r="J433" s="6">
        <v>1</v>
      </c>
      <c r="K433" s="7">
        <v>2.2000000000000002</v>
      </c>
      <c r="L433" s="9">
        <f t="shared" si="50"/>
        <v>21</v>
      </c>
      <c r="M433">
        <v>2</v>
      </c>
      <c r="N433">
        <v>6</v>
      </c>
      <c r="O433">
        <v>14</v>
      </c>
      <c r="P433" s="13" t="str">
        <f t="shared" si="51"/>
        <v>2d6 + 14</v>
      </c>
      <c r="Q433">
        <f>ROUND(INDEX(Catalogue!E$4:E$85,MATCH(A433,Catalogue!A$4:A$85,0))*(1+Paramètres!$B$4*(C433-1)+Paramètres!$B$5*(C433-1)^2),0)</f>
        <v>16</v>
      </c>
      <c r="R433">
        <f>ROUND(INDEX(Catalogue!F$4:F$85,MATCH(A433,Catalogue!A$4:A$85,0))*(1+Paramètres!$B$4*(C433-1)+Paramètres!$B$5*(C433-1)^2),0)</f>
        <v>26</v>
      </c>
      <c r="S433">
        <f t="shared" si="52"/>
        <v>0</v>
      </c>
      <c r="T433" t="str">
        <f t="shared" si="53"/>
        <v>OK</v>
      </c>
      <c r="U433" s="25">
        <f t="shared" si="54"/>
        <v>21</v>
      </c>
      <c r="V433" t="str">
        <f t="shared" si="55"/>
        <v>OK</v>
      </c>
    </row>
    <row r="434" spans="1:22" ht="18" customHeight="1">
      <c r="A434" t="s">
        <v>153</v>
      </c>
      <c r="B434" t="s">
        <v>154</v>
      </c>
      <c r="C434">
        <v>11</v>
      </c>
      <c r="D434" t="s">
        <v>123</v>
      </c>
      <c r="E434" s="6">
        <f t="shared" si="48"/>
        <v>19</v>
      </c>
      <c r="F434" s="6">
        <f t="shared" si="49"/>
        <v>30</v>
      </c>
      <c r="G434" s="6">
        <f>ROUND(Catalogue!G25*SQRT((1+Paramètres!$B$4*(C434-1)+Paramètres!$B$5*(C434-1)^2)),0)</f>
        <v>0</v>
      </c>
      <c r="H434" s="6">
        <f>ROUND(Catalogue!H25*SQRT((1+Paramètres!$B$4*(C434-1)+Paramètres!$B$5*(C434-1)^2)),0)</f>
        <v>0</v>
      </c>
      <c r="I434" s="6">
        <v>2</v>
      </c>
      <c r="J434" s="6">
        <v>1</v>
      </c>
      <c r="K434" s="7">
        <v>2.2000000000000002</v>
      </c>
      <c r="L434" s="9">
        <f t="shared" si="50"/>
        <v>24.5</v>
      </c>
      <c r="M434">
        <v>1</v>
      </c>
      <c r="N434">
        <v>12</v>
      </c>
      <c r="O434">
        <v>18</v>
      </c>
      <c r="P434" s="13" t="str">
        <f t="shared" si="51"/>
        <v>1d12 + 18</v>
      </c>
      <c r="Q434">
        <f>ROUND(INDEX(Catalogue!E$4:E$85,MATCH(A434,Catalogue!A$4:A$85,0))*(1+Paramètres!$B$4*(C434-1)+Paramètres!$B$5*(C434-1)^2),0)</f>
        <v>19</v>
      </c>
      <c r="R434">
        <f>ROUND(INDEX(Catalogue!F$4:F$85,MATCH(A434,Catalogue!A$4:A$85,0))*(1+Paramètres!$B$4*(C434-1)+Paramètres!$B$5*(C434-1)^2),0)</f>
        <v>30</v>
      </c>
      <c r="S434">
        <f t="shared" si="52"/>
        <v>0</v>
      </c>
      <c r="T434" t="str">
        <f t="shared" si="53"/>
        <v>OK</v>
      </c>
      <c r="U434" s="25">
        <f t="shared" si="54"/>
        <v>24.5</v>
      </c>
      <c r="V434" t="str">
        <f t="shared" si="55"/>
        <v>OK</v>
      </c>
    </row>
    <row r="435" spans="1:22" ht="18" customHeight="1">
      <c r="A435" t="s">
        <v>153</v>
      </c>
      <c r="B435" t="s">
        <v>154</v>
      </c>
      <c r="C435">
        <v>12</v>
      </c>
      <c r="D435" t="s">
        <v>123</v>
      </c>
      <c r="E435" s="6">
        <f t="shared" si="48"/>
        <v>21</v>
      </c>
      <c r="F435" s="6">
        <f t="shared" si="49"/>
        <v>33</v>
      </c>
      <c r="G435" s="6">
        <f>ROUND(Catalogue!G25*SQRT((1+Paramètres!$B$4*(C435-1)+Paramètres!$B$5*(C435-1)^2)),0)</f>
        <v>0</v>
      </c>
      <c r="H435" s="6">
        <f>ROUND(Catalogue!H25*SQRT((1+Paramètres!$B$4*(C435-1)+Paramètres!$B$5*(C435-1)^2)),0)</f>
        <v>0</v>
      </c>
      <c r="I435" s="6">
        <v>2</v>
      </c>
      <c r="J435" s="6">
        <v>1</v>
      </c>
      <c r="K435" s="7">
        <v>2.2000000000000002</v>
      </c>
      <c r="L435" s="9">
        <f t="shared" si="50"/>
        <v>27</v>
      </c>
      <c r="M435">
        <v>4</v>
      </c>
      <c r="N435">
        <v>4</v>
      </c>
      <c r="O435">
        <v>17</v>
      </c>
      <c r="P435" s="13" t="str">
        <f t="shared" si="51"/>
        <v>4d4 + 17</v>
      </c>
      <c r="Q435">
        <f>ROUND(INDEX(Catalogue!E$4:E$85,MATCH(A435,Catalogue!A$4:A$85,0))*(1+Paramètres!$B$4*(C435-1)+Paramètres!$B$5*(C435-1)^2),0)</f>
        <v>21</v>
      </c>
      <c r="R435">
        <f>ROUND(INDEX(Catalogue!F$4:F$85,MATCH(A435,Catalogue!A$4:A$85,0))*(1+Paramètres!$B$4*(C435-1)+Paramètres!$B$5*(C435-1)^2),0)</f>
        <v>33</v>
      </c>
      <c r="S435">
        <f t="shared" si="52"/>
        <v>0</v>
      </c>
      <c r="T435" t="str">
        <f t="shared" si="53"/>
        <v>OK</v>
      </c>
      <c r="U435" s="25">
        <f t="shared" si="54"/>
        <v>27</v>
      </c>
      <c r="V435" t="str">
        <f t="shared" si="55"/>
        <v>OK</v>
      </c>
    </row>
    <row r="436" spans="1:22" ht="18" customHeight="1">
      <c r="A436" t="s">
        <v>153</v>
      </c>
      <c r="B436" t="s">
        <v>154</v>
      </c>
      <c r="C436">
        <v>13</v>
      </c>
      <c r="D436" t="s">
        <v>123</v>
      </c>
      <c r="E436" s="6">
        <f t="shared" si="48"/>
        <v>23</v>
      </c>
      <c r="F436" s="6">
        <f t="shared" si="49"/>
        <v>37</v>
      </c>
      <c r="G436" s="6">
        <f>ROUND(Catalogue!G25*SQRT((1+Paramètres!$B$4*(C436-1)+Paramètres!$B$5*(C436-1)^2)),0)</f>
        <v>0</v>
      </c>
      <c r="H436" s="6">
        <f>ROUND(Catalogue!H25*SQRT((1+Paramètres!$B$4*(C436-1)+Paramètres!$B$5*(C436-1)^2)),0)</f>
        <v>0</v>
      </c>
      <c r="I436" s="6">
        <v>2</v>
      </c>
      <c r="J436" s="6">
        <v>1</v>
      </c>
      <c r="K436" s="7">
        <v>2.2000000000000002</v>
      </c>
      <c r="L436" s="9">
        <f t="shared" si="50"/>
        <v>30</v>
      </c>
      <c r="M436">
        <v>2</v>
      </c>
      <c r="N436">
        <v>8</v>
      </c>
      <c r="O436">
        <v>21</v>
      </c>
      <c r="P436" s="13" t="str">
        <f t="shared" si="51"/>
        <v>2d8 + 21</v>
      </c>
      <c r="Q436">
        <f>ROUND(INDEX(Catalogue!E$4:E$85,MATCH(A436,Catalogue!A$4:A$85,0))*(1+Paramètres!$B$4*(C436-1)+Paramètres!$B$5*(C436-1)^2),0)</f>
        <v>23</v>
      </c>
      <c r="R436">
        <f>ROUND(INDEX(Catalogue!F$4:F$85,MATCH(A436,Catalogue!A$4:A$85,0))*(1+Paramètres!$B$4*(C436-1)+Paramètres!$B$5*(C436-1)^2),0)</f>
        <v>37</v>
      </c>
      <c r="S436">
        <f t="shared" si="52"/>
        <v>0</v>
      </c>
      <c r="T436" t="str">
        <f t="shared" si="53"/>
        <v>OK</v>
      </c>
      <c r="U436" s="25">
        <f t="shared" si="54"/>
        <v>30</v>
      </c>
      <c r="V436" t="str">
        <f t="shared" si="55"/>
        <v>OK</v>
      </c>
    </row>
    <row r="437" spans="1:22" ht="18" customHeight="1">
      <c r="A437" t="s">
        <v>153</v>
      </c>
      <c r="B437" t="s">
        <v>154</v>
      </c>
      <c r="C437">
        <v>14</v>
      </c>
      <c r="D437" t="s">
        <v>123</v>
      </c>
      <c r="E437" s="6">
        <f t="shared" si="48"/>
        <v>26</v>
      </c>
      <c r="F437" s="6">
        <f t="shared" si="49"/>
        <v>41</v>
      </c>
      <c r="G437" s="6">
        <f>ROUND(Catalogue!G25*SQRT((1+Paramètres!$B$4*(C437-1)+Paramètres!$B$5*(C437-1)^2)),0)</f>
        <v>0</v>
      </c>
      <c r="H437" s="6">
        <f>ROUND(Catalogue!H25*SQRT((1+Paramètres!$B$4*(C437-1)+Paramètres!$B$5*(C437-1)^2)),0)</f>
        <v>0</v>
      </c>
      <c r="I437" s="6">
        <v>2</v>
      </c>
      <c r="J437" s="6">
        <v>1</v>
      </c>
      <c r="K437" s="7">
        <v>2.2000000000000002</v>
      </c>
      <c r="L437" s="9">
        <f t="shared" si="50"/>
        <v>33.5</v>
      </c>
      <c r="M437">
        <v>3</v>
      </c>
      <c r="N437">
        <v>6</v>
      </c>
      <c r="O437">
        <v>23</v>
      </c>
      <c r="P437" s="13" t="str">
        <f t="shared" si="51"/>
        <v>3d6 + 23</v>
      </c>
      <c r="Q437">
        <f>ROUND(INDEX(Catalogue!E$4:E$85,MATCH(A437,Catalogue!A$4:A$85,0))*(1+Paramètres!$B$4*(C437-1)+Paramètres!$B$5*(C437-1)^2),0)</f>
        <v>26</v>
      </c>
      <c r="R437">
        <f>ROUND(INDEX(Catalogue!F$4:F$85,MATCH(A437,Catalogue!A$4:A$85,0))*(1+Paramètres!$B$4*(C437-1)+Paramètres!$B$5*(C437-1)^2),0)</f>
        <v>41</v>
      </c>
      <c r="S437">
        <f t="shared" si="52"/>
        <v>0</v>
      </c>
      <c r="T437" t="str">
        <f t="shared" si="53"/>
        <v>OK</v>
      </c>
      <c r="U437" s="25">
        <f t="shared" si="54"/>
        <v>33.5</v>
      </c>
      <c r="V437" t="str">
        <f t="shared" si="55"/>
        <v>OK</v>
      </c>
    </row>
    <row r="438" spans="1:22" ht="18" customHeight="1">
      <c r="A438" t="s">
        <v>153</v>
      </c>
      <c r="B438" t="s">
        <v>154</v>
      </c>
      <c r="C438">
        <v>15</v>
      </c>
      <c r="D438" t="s">
        <v>123</v>
      </c>
      <c r="E438" s="6">
        <f t="shared" si="48"/>
        <v>27</v>
      </c>
      <c r="F438" s="6">
        <f t="shared" si="49"/>
        <v>45</v>
      </c>
      <c r="G438" s="6">
        <f>ROUND(Catalogue!G25*SQRT((1+Paramètres!$B$4*(C438-1)+Paramètres!$B$5*(C438-1)^2)),0)</f>
        <v>0</v>
      </c>
      <c r="H438" s="6">
        <f>ROUND(Catalogue!H25*SQRT((1+Paramètres!$B$4*(C438-1)+Paramètres!$B$5*(C438-1)^2)),0)</f>
        <v>0</v>
      </c>
      <c r="I438" s="6">
        <v>2</v>
      </c>
      <c r="J438" s="6">
        <v>1</v>
      </c>
      <c r="K438" s="7">
        <v>2.2000000000000002</v>
      </c>
      <c r="L438" s="9">
        <f t="shared" si="50"/>
        <v>36</v>
      </c>
      <c r="M438">
        <v>2</v>
      </c>
      <c r="N438">
        <v>10</v>
      </c>
      <c r="O438">
        <v>25</v>
      </c>
      <c r="P438" s="13" t="str">
        <f t="shared" si="51"/>
        <v>2d10 + 25</v>
      </c>
      <c r="Q438">
        <f>ROUND(INDEX(Catalogue!E$4:E$85,MATCH(A438,Catalogue!A$4:A$85,0))*(1+Paramètres!$B$4*(C438-1)+Paramètres!$B$5*(C438-1)^2),0)</f>
        <v>28</v>
      </c>
      <c r="R438">
        <f>ROUND(INDEX(Catalogue!F$4:F$85,MATCH(A438,Catalogue!A$4:A$85,0))*(1+Paramètres!$B$4*(C438-1)+Paramètres!$B$5*(C438-1)^2),0)</f>
        <v>45</v>
      </c>
      <c r="S438">
        <f t="shared" si="52"/>
        <v>-0.5</v>
      </c>
      <c r="T438" t="str">
        <f t="shared" si="53"/>
        <v>OK</v>
      </c>
      <c r="U438" s="25">
        <f t="shared" si="54"/>
        <v>36</v>
      </c>
      <c r="V438" t="str">
        <f t="shared" si="55"/>
        <v>OK</v>
      </c>
    </row>
    <row r="439" spans="1:22" ht="18" customHeight="1">
      <c r="A439" t="s">
        <v>153</v>
      </c>
      <c r="B439" t="s">
        <v>154</v>
      </c>
      <c r="C439">
        <v>16</v>
      </c>
      <c r="D439" t="s">
        <v>123</v>
      </c>
      <c r="E439" s="6">
        <f t="shared" si="48"/>
        <v>31</v>
      </c>
      <c r="F439" s="6">
        <f t="shared" si="49"/>
        <v>49</v>
      </c>
      <c r="G439" s="6">
        <f>ROUND(Catalogue!G25*SQRT((1+Paramètres!$B$4*(C439-1)+Paramètres!$B$5*(C439-1)^2)),0)</f>
        <v>0</v>
      </c>
      <c r="H439" s="6">
        <f>ROUND(Catalogue!H25*SQRT((1+Paramètres!$B$4*(C439-1)+Paramètres!$B$5*(C439-1)^2)),0)</f>
        <v>0</v>
      </c>
      <c r="I439" s="6">
        <v>2</v>
      </c>
      <c r="J439" s="6">
        <v>1</v>
      </c>
      <c r="K439" s="7">
        <v>2.2000000000000002</v>
      </c>
      <c r="L439" s="9">
        <f t="shared" si="50"/>
        <v>40</v>
      </c>
      <c r="M439">
        <v>2</v>
      </c>
      <c r="N439">
        <v>10</v>
      </c>
      <c r="O439">
        <v>29</v>
      </c>
      <c r="P439" s="13" t="str">
        <f t="shared" si="51"/>
        <v>2d10 + 29</v>
      </c>
      <c r="Q439">
        <f>ROUND(INDEX(Catalogue!E$4:E$85,MATCH(A439,Catalogue!A$4:A$85,0))*(1+Paramètres!$B$4*(C439-1)+Paramètres!$B$5*(C439-1)^2),0)</f>
        <v>31</v>
      </c>
      <c r="R439">
        <f>ROUND(INDEX(Catalogue!F$4:F$85,MATCH(A439,Catalogue!A$4:A$85,0))*(1+Paramètres!$B$4*(C439-1)+Paramètres!$B$5*(C439-1)^2),0)</f>
        <v>50</v>
      </c>
      <c r="S439">
        <f t="shared" si="52"/>
        <v>-0.5</v>
      </c>
      <c r="T439" t="str">
        <f t="shared" si="53"/>
        <v>OK</v>
      </c>
      <c r="U439" s="25">
        <f t="shared" si="54"/>
        <v>40</v>
      </c>
      <c r="V439" t="str">
        <f t="shared" si="55"/>
        <v>OK</v>
      </c>
    </row>
    <row r="440" spans="1:22" ht="18" customHeight="1">
      <c r="A440" t="s">
        <v>153</v>
      </c>
      <c r="B440" t="s">
        <v>154</v>
      </c>
      <c r="C440">
        <v>17</v>
      </c>
      <c r="D440" t="s">
        <v>123</v>
      </c>
      <c r="E440" s="6">
        <f t="shared" si="48"/>
        <v>34</v>
      </c>
      <c r="F440" s="6">
        <f t="shared" si="49"/>
        <v>55</v>
      </c>
      <c r="G440" s="6">
        <f>ROUND(Catalogue!G25*SQRT((1+Paramètres!$B$4*(C440-1)+Paramètres!$B$5*(C440-1)^2)),0)</f>
        <v>0</v>
      </c>
      <c r="H440" s="6">
        <f>ROUND(Catalogue!H25*SQRT((1+Paramètres!$B$4*(C440-1)+Paramètres!$B$5*(C440-1)^2)),0)</f>
        <v>0</v>
      </c>
      <c r="I440" s="6">
        <v>2</v>
      </c>
      <c r="J440" s="6">
        <v>1</v>
      </c>
      <c r="K440" s="7">
        <v>2.2000000000000002</v>
      </c>
      <c r="L440" s="9">
        <f t="shared" si="50"/>
        <v>44.5</v>
      </c>
      <c r="M440">
        <v>3</v>
      </c>
      <c r="N440">
        <v>8</v>
      </c>
      <c r="O440">
        <v>31</v>
      </c>
      <c r="P440" s="13" t="str">
        <f t="shared" si="51"/>
        <v>3d8 + 31</v>
      </c>
      <c r="Q440">
        <f>ROUND(INDEX(Catalogue!E$4:E$85,MATCH(A440,Catalogue!A$4:A$85,0))*(1+Paramètres!$B$4*(C440-1)+Paramètres!$B$5*(C440-1)^2),0)</f>
        <v>34</v>
      </c>
      <c r="R440">
        <f>ROUND(INDEX(Catalogue!F$4:F$85,MATCH(A440,Catalogue!A$4:A$85,0))*(1+Paramètres!$B$4*(C440-1)+Paramètres!$B$5*(C440-1)^2),0)</f>
        <v>55</v>
      </c>
      <c r="S440">
        <f t="shared" si="52"/>
        <v>0</v>
      </c>
      <c r="T440" t="str">
        <f t="shared" si="53"/>
        <v>OK</v>
      </c>
      <c r="U440" s="25">
        <f t="shared" si="54"/>
        <v>44.5</v>
      </c>
      <c r="V440" t="str">
        <f t="shared" si="55"/>
        <v>OK</v>
      </c>
    </row>
    <row r="441" spans="1:22" ht="18" customHeight="1">
      <c r="A441" t="s">
        <v>153</v>
      </c>
      <c r="B441" t="s">
        <v>154</v>
      </c>
      <c r="C441">
        <v>18</v>
      </c>
      <c r="D441" t="s">
        <v>123</v>
      </c>
      <c r="E441" s="6">
        <f t="shared" si="48"/>
        <v>37</v>
      </c>
      <c r="F441" s="6">
        <f t="shared" si="49"/>
        <v>59</v>
      </c>
      <c r="G441" s="6">
        <f>ROUND(Catalogue!G25*SQRT((1+Paramètres!$B$4*(C441-1)+Paramètres!$B$5*(C441-1)^2)),0)</f>
        <v>0</v>
      </c>
      <c r="H441" s="6">
        <f>ROUND(Catalogue!H25*SQRT((1+Paramètres!$B$4*(C441-1)+Paramètres!$B$5*(C441-1)^2)),0)</f>
        <v>0</v>
      </c>
      <c r="I441" s="6">
        <v>2</v>
      </c>
      <c r="J441" s="6">
        <v>1</v>
      </c>
      <c r="K441" s="7">
        <v>2.2000000000000002</v>
      </c>
      <c r="L441" s="9">
        <f t="shared" si="50"/>
        <v>48</v>
      </c>
      <c r="M441">
        <v>2</v>
      </c>
      <c r="N441">
        <v>12</v>
      </c>
      <c r="O441">
        <v>35</v>
      </c>
      <c r="P441" s="13" t="str">
        <f t="shared" si="51"/>
        <v>2d12 + 35</v>
      </c>
      <c r="Q441">
        <f>ROUND(INDEX(Catalogue!E$4:E$85,MATCH(A441,Catalogue!A$4:A$85,0))*(1+Paramètres!$B$4*(C441-1)+Paramètres!$B$5*(C441-1)^2),0)</f>
        <v>37</v>
      </c>
      <c r="R441">
        <f>ROUND(INDEX(Catalogue!F$4:F$85,MATCH(A441,Catalogue!A$4:A$85,0))*(1+Paramètres!$B$4*(C441-1)+Paramètres!$B$5*(C441-1)^2),0)</f>
        <v>60</v>
      </c>
      <c r="S441">
        <f t="shared" si="52"/>
        <v>-0.5</v>
      </c>
      <c r="T441" t="str">
        <f t="shared" si="53"/>
        <v>OK</v>
      </c>
      <c r="U441" s="25">
        <f t="shared" si="54"/>
        <v>48</v>
      </c>
      <c r="V441" t="str">
        <f t="shared" si="55"/>
        <v>OK</v>
      </c>
    </row>
    <row r="442" spans="1:22" ht="18" customHeight="1">
      <c r="A442" t="s">
        <v>153</v>
      </c>
      <c r="B442" t="s">
        <v>154</v>
      </c>
      <c r="C442">
        <v>19</v>
      </c>
      <c r="D442" t="s">
        <v>123</v>
      </c>
      <c r="E442" s="6">
        <f t="shared" si="48"/>
        <v>40</v>
      </c>
      <c r="F442" s="6">
        <f t="shared" si="49"/>
        <v>65</v>
      </c>
      <c r="G442" s="6">
        <f>ROUND(Catalogue!G25*SQRT((1+Paramètres!$B$4*(C442-1)+Paramètres!$B$5*(C442-1)^2)),0)</f>
        <v>0</v>
      </c>
      <c r="H442" s="6">
        <f>ROUND(Catalogue!H25*SQRT((1+Paramètres!$B$4*(C442-1)+Paramètres!$B$5*(C442-1)^2)),0)</f>
        <v>0</v>
      </c>
      <c r="I442" s="6">
        <v>2</v>
      </c>
      <c r="J442" s="6">
        <v>1</v>
      </c>
      <c r="K442" s="7">
        <v>2.2000000000000002</v>
      </c>
      <c r="L442" s="9">
        <f t="shared" si="50"/>
        <v>52.5</v>
      </c>
      <c r="M442">
        <v>5</v>
      </c>
      <c r="N442">
        <v>6</v>
      </c>
      <c r="O442">
        <v>35</v>
      </c>
      <c r="P442" s="13" t="str">
        <f t="shared" si="51"/>
        <v>5d6 + 35</v>
      </c>
      <c r="Q442">
        <f>ROUND(INDEX(Catalogue!E$4:E$85,MATCH(A442,Catalogue!A$4:A$85,0))*(1+Paramètres!$B$4*(C442-1)+Paramètres!$B$5*(C442-1)^2),0)</f>
        <v>41</v>
      </c>
      <c r="R442">
        <f>ROUND(INDEX(Catalogue!F$4:F$85,MATCH(A442,Catalogue!A$4:A$85,0))*(1+Paramètres!$B$4*(C442-1)+Paramètres!$B$5*(C442-1)^2),0)</f>
        <v>65</v>
      </c>
      <c r="S442">
        <f t="shared" si="52"/>
        <v>-0.5</v>
      </c>
      <c r="T442" t="str">
        <f t="shared" si="53"/>
        <v>OK</v>
      </c>
      <c r="U442" s="25">
        <f t="shared" si="54"/>
        <v>52.5</v>
      </c>
      <c r="V442" t="str">
        <f t="shared" si="55"/>
        <v>OK</v>
      </c>
    </row>
    <row r="443" spans="1:22" ht="18" customHeight="1">
      <c r="A443" t="s">
        <v>153</v>
      </c>
      <c r="B443" t="s">
        <v>154</v>
      </c>
      <c r="C443">
        <v>20</v>
      </c>
      <c r="D443" t="s">
        <v>123</v>
      </c>
      <c r="E443" s="6">
        <f t="shared" si="48"/>
        <v>44</v>
      </c>
      <c r="F443" s="6">
        <f t="shared" si="49"/>
        <v>71</v>
      </c>
      <c r="G443" s="6">
        <f>ROUND(Catalogue!G25*SQRT((1+Paramètres!$B$4*(C443-1)+Paramètres!$B$5*(C443-1)^2)),0)</f>
        <v>0</v>
      </c>
      <c r="H443" s="6">
        <f>ROUND(Catalogue!H25*SQRT((1+Paramètres!$B$4*(C443-1)+Paramètres!$B$5*(C443-1)^2)),0)</f>
        <v>0</v>
      </c>
      <c r="I443" s="6">
        <v>2</v>
      </c>
      <c r="J443" s="6">
        <v>1</v>
      </c>
      <c r="K443" s="7">
        <v>2.2000000000000002</v>
      </c>
      <c r="L443" s="9">
        <f t="shared" si="50"/>
        <v>57.5</v>
      </c>
      <c r="M443">
        <v>3</v>
      </c>
      <c r="N443">
        <v>10</v>
      </c>
      <c r="O443">
        <v>41</v>
      </c>
      <c r="P443" s="13" t="str">
        <f t="shared" si="51"/>
        <v>3d10 + 41</v>
      </c>
      <c r="Q443">
        <f>ROUND(INDEX(Catalogue!E$4:E$85,MATCH(A443,Catalogue!A$4:A$85,0))*(1+Paramètres!$B$4*(C443-1)+Paramètres!$B$5*(C443-1)^2),0)</f>
        <v>44</v>
      </c>
      <c r="R443">
        <f>ROUND(INDEX(Catalogue!F$4:F$85,MATCH(A443,Catalogue!A$4:A$85,0))*(1+Paramètres!$B$4*(C443-1)+Paramètres!$B$5*(C443-1)^2),0)</f>
        <v>71</v>
      </c>
      <c r="S443">
        <f t="shared" si="52"/>
        <v>0</v>
      </c>
      <c r="T443" t="str">
        <f t="shared" si="53"/>
        <v>OK</v>
      </c>
      <c r="U443" s="25">
        <f t="shared" si="54"/>
        <v>57.5</v>
      </c>
      <c r="V443" t="str">
        <f t="shared" si="55"/>
        <v>OK</v>
      </c>
    </row>
    <row r="444" spans="1:22" ht="18" customHeight="1">
      <c r="A444" t="s">
        <v>155</v>
      </c>
      <c r="B444" t="s">
        <v>156</v>
      </c>
      <c r="C444">
        <v>1</v>
      </c>
      <c r="D444" t="s">
        <v>123</v>
      </c>
      <c r="E444" s="6">
        <f t="shared" si="48"/>
        <v>4</v>
      </c>
      <c r="F444" s="6">
        <f t="shared" si="49"/>
        <v>7</v>
      </c>
      <c r="G444" s="6">
        <f>ROUND(Catalogue!G26*SQRT((1+Paramètres!$B$4*(C444-1)+Paramètres!$B$5*(C444-1)^2)),0)</f>
        <v>0</v>
      </c>
      <c r="H444" s="6">
        <f>ROUND(Catalogue!H26*SQRT((1+Paramètres!$B$4*(C444-1)+Paramètres!$B$5*(C444-1)^2)),0)</f>
        <v>0</v>
      </c>
      <c r="I444" s="6">
        <v>2</v>
      </c>
      <c r="J444" s="6">
        <v>1</v>
      </c>
      <c r="K444" s="7">
        <v>2.5</v>
      </c>
      <c r="L444" s="9">
        <f t="shared" si="50"/>
        <v>5.5</v>
      </c>
      <c r="M444">
        <v>1</v>
      </c>
      <c r="N444">
        <v>4</v>
      </c>
      <c r="O444">
        <v>3</v>
      </c>
      <c r="P444" s="13" t="str">
        <f t="shared" si="51"/>
        <v>1d4 + 3</v>
      </c>
      <c r="Q444">
        <f>ROUND(INDEX(Catalogue!E$4:E$85,MATCH(A444,Catalogue!A$4:A$85,0))*(1+Paramètres!$B$4*(C444-1)+Paramètres!$B$5*(C444-1)^2),0)</f>
        <v>4</v>
      </c>
      <c r="R444">
        <f>ROUND(INDEX(Catalogue!F$4:F$85,MATCH(A444,Catalogue!A$4:A$85,0))*(1+Paramètres!$B$4*(C444-1)+Paramètres!$B$5*(C444-1)^2),0)</f>
        <v>8</v>
      </c>
      <c r="S444">
        <f t="shared" si="52"/>
        <v>-0.5</v>
      </c>
      <c r="T444" t="str">
        <f t="shared" si="53"/>
        <v>OK</v>
      </c>
      <c r="U444" s="25">
        <f t="shared" si="54"/>
        <v>5.5</v>
      </c>
      <c r="V444" t="str">
        <f t="shared" si="55"/>
        <v>OK</v>
      </c>
    </row>
    <row r="445" spans="1:22" ht="18" customHeight="1">
      <c r="A445" t="s">
        <v>155</v>
      </c>
      <c r="B445" t="s">
        <v>156</v>
      </c>
      <c r="C445">
        <v>2</v>
      </c>
      <c r="D445" t="s">
        <v>123</v>
      </c>
      <c r="E445" s="6">
        <f t="shared" si="48"/>
        <v>5</v>
      </c>
      <c r="F445" s="6">
        <f t="shared" si="49"/>
        <v>8</v>
      </c>
      <c r="G445" s="6">
        <f>ROUND(Catalogue!G26*SQRT((1+Paramètres!$B$4*(C445-1)+Paramètres!$B$5*(C445-1)^2)),0)</f>
        <v>0</v>
      </c>
      <c r="H445" s="6">
        <f>ROUND(Catalogue!H26*SQRT((1+Paramètres!$B$4*(C445-1)+Paramètres!$B$5*(C445-1)^2)),0)</f>
        <v>0</v>
      </c>
      <c r="I445" s="6">
        <v>2</v>
      </c>
      <c r="J445" s="6">
        <v>1</v>
      </c>
      <c r="K445" s="7">
        <v>2.5</v>
      </c>
      <c r="L445" s="9">
        <f t="shared" si="50"/>
        <v>6.5</v>
      </c>
      <c r="M445">
        <v>1</v>
      </c>
      <c r="N445">
        <v>4</v>
      </c>
      <c r="O445">
        <v>4</v>
      </c>
      <c r="P445" s="13" t="str">
        <f t="shared" si="51"/>
        <v>1d4 + 4</v>
      </c>
      <c r="Q445">
        <f>ROUND(INDEX(Catalogue!E$4:E$85,MATCH(A445,Catalogue!A$4:A$85,0))*(1+Paramètres!$B$4*(C445-1)+Paramètres!$B$5*(C445-1)^2),0)</f>
        <v>5</v>
      </c>
      <c r="R445">
        <f>ROUND(INDEX(Catalogue!F$4:F$85,MATCH(A445,Catalogue!A$4:A$85,0))*(1+Paramètres!$B$4*(C445-1)+Paramètres!$B$5*(C445-1)^2),0)</f>
        <v>9</v>
      </c>
      <c r="S445">
        <f t="shared" si="52"/>
        <v>-0.5</v>
      </c>
      <c r="T445" t="str">
        <f t="shared" si="53"/>
        <v>OK</v>
      </c>
      <c r="U445" s="25">
        <f t="shared" si="54"/>
        <v>6.5</v>
      </c>
      <c r="V445" t="str">
        <f t="shared" si="55"/>
        <v>OK</v>
      </c>
    </row>
    <row r="446" spans="1:22" ht="18" customHeight="1">
      <c r="A446" t="s">
        <v>155</v>
      </c>
      <c r="B446" t="s">
        <v>156</v>
      </c>
      <c r="C446">
        <v>3</v>
      </c>
      <c r="D446" t="s">
        <v>123</v>
      </c>
      <c r="E446" s="6">
        <f t="shared" si="48"/>
        <v>5</v>
      </c>
      <c r="F446" s="6">
        <f t="shared" si="49"/>
        <v>10</v>
      </c>
      <c r="G446" s="6">
        <f>ROUND(Catalogue!G26*SQRT((1+Paramètres!$B$4*(C446-1)+Paramètres!$B$5*(C446-1)^2)),0)</f>
        <v>0</v>
      </c>
      <c r="H446" s="6">
        <f>ROUND(Catalogue!H26*SQRT((1+Paramètres!$B$4*(C446-1)+Paramètres!$B$5*(C446-1)^2)),0)</f>
        <v>0</v>
      </c>
      <c r="I446" s="6">
        <v>2</v>
      </c>
      <c r="J446" s="6">
        <v>1</v>
      </c>
      <c r="K446" s="7">
        <v>2.5</v>
      </c>
      <c r="L446" s="9">
        <f t="shared" si="50"/>
        <v>7.5</v>
      </c>
      <c r="M446">
        <v>1</v>
      </c>
      <c r="N446">
        <v>6</v>
      </c>
      <c r="O446">
        <v>4</v>
      </c>
      <c r="P446" s="13" t="str">
        <f t="shared" si="51"/>
        <v>1d6 + 4</v>
      </c>
      <c r="Q446">
        <f>ROUND(INDEX(Catalogue!E$4:E$85,MATCH(A446,Catalogue!A$4:A$85,0))*(1+Paramètres!$B$4*(C446-1)+Paramètres!$B$5*(C446-1)^2),0)</f>
        <v>5</v>
      </c>
      <c r="R446">
        <f>ROUND(INDEX(Catalogue!F$4:F$85,MATCH(A446,Catalogue!A$4:A$85,0))*(1+Paramètres!$B$4*(C446-1)+Paramètres!$B$5*(C446-1)^2),0)</f>
        <v>10</v>
      </c>
      <c r="S446">
        <f t="shared" si="52"/>
        <v>0</v>
      </c>
      <c r="T446" t="str">
        <f t="shared" si="53"/>
        <v>OK</v>
      </c>
      <c r="U446" s="25">
        <f t="shared" si="54"/>
        <v>7.5</v>
      </c>
      <c r="V446" t="str">
        <f t="shared" si="55"/>
        <v>OK</v>
      </c>
    </row>
    <row r="447" spans="1:22" ht="18" customHeight="1">
      <c r="A447" t="s">
        <v>155</v>
      </c>
      <c r="B447" t="s">
        <v>156</v>
      </c>
      <c r="C447">
        <v>4</v>
      </c>
      <c r="D447" t="s">
        <v>123</v>
      </c>
      <c r="E447" s="6">
        <f t="shared" si="48"/>
        <v>6</v>
      </c>
      <c r="F447" s="6">
        <f t="shared" si="49"/>
        <v>12</v>
      </c>
      <c r="G447" s="6">
        <f>ROUND(Catalogue!G26*SQRT((1+Paramètres!$B$4*(C447-1)+Paramètres!$B$5*(C447-1)^2)),0)</f>
        <v>0</v>
      </c>
      <c r="H447" s="6">
        <f>ROUND(Catalogue!H26*SQRT((1+Paramètres!$B$4*(C447-1)+Paramètres!$B$5*(C447-1)^2)),0)</f>
        <v>0</v>
      </c>
      <c r="I447" s="6">
        <v>2</v>
      </c>
      <c r="J447" s="6">
        <v>1</v>
      </c>
      <c r="K447" s="7">
        <v>2.5</v>
      </c>
      <c r="L447" s="9">
        <f t="shared" si="50"/>
        <v>9</v>
      </c>
      <c r="M447">
        <v>2</v>
      </c>
      <c r="N447">
        <v>4</v>
      </c>
      <c r="O447">
        <v>4</v>
      </c>
      <c r="P447" s="13" t="str">
        <f t="shared" si="51"/>
        <v>2d4 + 4</v>
      </c>
      <c r="Q447">
        <f>ROUND(INDEX(Catalogue!E$4:E$85,MATCH(A447,Catalogue!A$4:A$85,0))*(1+Paramètres!$B$4*(C447-1)+Paramètres!$B$5*(C447-1)^2),0)</f>
        <v>6</v>
      </c>
      <c r="R447">
        <f>ROUND(INDEX(Catalogue!F$4:F$85,MATCH(A447,Catalogue!A$4:A$85,0))*(1+Paramètres!$B$4*(C447-1)+Paramètres!$B$5*(C447-1)^2),0)</f>
        <v>12</v>
      </c>
      <c r="S447">
        <f t="shared" si="52"/>
        <v>0</v>
      </c>
      <c r="T447" t="str">
        <f t="shared" si="53"/>
        <v>OK</v>
      </c>
      <c r="U447" s="25">
        <f t="shared" si="54"/>
        <v>9</v>
      </c>
      <c r="V447" t="str">
        <f t="shared" si="55"/>
        <v>OK</v>
      </c>
    </row>
    <row r="448" spans="1:22" ht="18" customHeight="1">
      <c r="A448" t="s">
        <v>155</v>
      </c>
      <c r="B448" t="s">
        <v>156</v>
      </c>
      <c r="C448">
        <v>5</v>
      </c>
      <c r="D448" t="s">
        <v>123</v>
      </c>
      <c r="E448" s="6">
        <f t="shared" si="48"/>
        <v>7</v>
      </c>
      <c r="F448" s="6">
        <f t="shared" si="49"/>
        <v>14</v>
      </c>
      <c r="G448" s="6">
        <f>ROUND(Catalogue!G26*SQRT((1+Paramètres!$B$4*(C448-1)+Paramètres!$B$5*(C448-1)^2)),0)</f>
        <v>0</v>
      </c>
      <c r="H448" s="6">
        <f>ROUND(Catalogue!H26*SQRT((1+Paramètres!$B$4*(C448-1)+Paramètres!$B$5*(C448-1)^2)),0)</f>
        <v>0</v>
      </c>
      <c r="I448" s="6">
        <v>2</v>
      </c>
      <c r="J448" s="6">
        <v>1</v>
      </c>
      <c r="K448" s="7">
        <v>2.5</v>
      </c>
      <c r="L448" s="9">
        <f t="shared" si="50"/>
        <v>10.5</v>
      </c>
      <c r="M448">
        <v>1</v>
      </c>
      <c r="N448">
        <v>8</v>
      </c>
      <c r="O448">
        <v>6</v>
      </c>
      <c r="P448" s="13" t="str">
        <f t="shared" si="51"/>
        <v>1d8 + 6</v>
      </c>
      <c r="Q448">
        <f>ROUND(INDEX(Catalogue!E$4:E$85,MATCH(A448,Catalogue!A$4:A$85,0))*(1+Paramètres!$B$4*(C448-1)+Paramètres!$B$5*(C448-1)^2),0)</f>
        <v>7</v>
      </c>
      <c r="R448">
        <f>ROUND(INDEX(Catalogue!F$4:F$85,MATCH(A448,Catalogue!A$4:A$85,0))*(1+Paramètres!$B$4*(C448-1)+Paramètres!$B$5*(C448-1)^2),0)</f>
        <v>14</v>
      </c>
      <c r="S448">
        <f t="shared" si="52"/>
        <v>0</v>
      </c>
      <c r="T448" t="str">
        <f t="shared" si="53"/>
        <v>OK</v>
      </c>
      <c r="U448" s="25">
        <f t="shared" si="54"/>
        <v>10.5</v>
      </c>
      <c r="V448" t="str">
        <f t="shared" si="55"/>
        <v>OK</v>
      </c>
    </row>
    <row r="449" spans="1:22" ht="18" customHeight="1">
      <c r="A449" t="s">
        <v>155</v>
      </c>
      <c r="B449" t="s">
        <v>156</v>
      </c>
      <c r="C449">
        <v>6</v>
      </c>
      <c r="D449" t="s">
        <v>123</v>
      </c>
      <c r="E449" s="6">
        <f t="shared" si="48"/>
        <v>9</v>
      </c>
      <c r="F449" s="6">
        <f t="shared" si="49"/>
        <v>16</v>
      </c>
      <c r="G449" s="6">
        <f>ROUND(Catalogue!G26*SQRT((1+Paramètres!$B$4*(C449-1)+Paramètres!$B$5*(C449-1)^2)),0)</f>
        <v>0</v>
      </c>
      <c r="H449" s="6">
        <f>ROUND(Catalogue!H26*SQRT((1+Paramètres!$B$4*(C449-1)+Paramètres!$B$5*(C449-1)^2)),0)</f>
        <v>0</v>
      </c>
      <c r="I449" s="6">
        <v>2</v>
      </c>
      <c r="J449" s="6">
        <v>1</v>
      </c>
      <c r="K449" s="7">
        <v>2.5</v>
      </c>
      <c r="L449" s="9">
        <f t="shared" si="50"/>
        <v>12.5</v>
      </c>
      <c r="M449">
        <v>1</v>
      </c>
      <c r="N449">
        <v>8</v>
      </c>
      <c r="O449">
        <v>8</v>
      </c>
      <c r="P449" s="13" t="str">
        <f t="shared" si="51"/>
        <v>1d8 + 8</v>
      </c>
      <c r="Q449">
        <f>ROUND(INDEX(Catalogue!E$4:E$85,MATCH(A449,Catalogue!A$4:A$85,0))*(1+Paramètres!$B$4*(C449-1)+Paramètres!$B$5*(C449-1)^2),0)</f>
        <v>8</v>
      </c>
      <c r="R449">
        <f>ROUND(INDEX(Catalogue!F$4:F$85,MATCH(A449,Catalogue!A$4:A$85,0))*(1+Paramètres!$B$4*(C449-1)+Paramètres!$B$5*(C449-1)^2),0)</f>
        <v>16</v>
      </c>
      <c r="S449">
        <f t="shared" si="52"/>
        <v>0.5</v>
      </c>
      <c r="T449" t="str">
        <f t="shared" si="53"/>
        <v>OK</v>
      </c>
      <c r="U449" s="25">
        <f t="shared" si="54"/>
        <v>12.5</v>
      </c>
      <c r="V449" t="str">
        <f t="shared" si="55"/>
        <v>OK</v>
      </c>
    </row>
    <row r="450" spans="1:22" ht="18" customHeight="1">
      <c r="A450" t="s">
        <v>155</v>
      </c>
      <c r="B450" t="s">
        <v>156</v>
      </c>
      <c r="C450">
        <v>7</v>
      </c>
      <c r="D450" t="s">
        <v>123</v>
      </c>
      <c r="E450" s="6">
        <f t="shared" si="48"/>
        <v>9</v>
      </c>
      <c r="F450" s="6">
        <f t="shared" si="49"/>
        <v>18</v>
      </c>
      <c r="G450" s="6">
        <f>ROUND(Catalogue!G26*SQRT((1+Paramètres!$B$4*(C450-1)+Paramètres!$B$5*(C450-1)^2)),0)</f>
        <v>0</v>
      </c>
      <c r="H450" s="6">
        <f>ROUND(Catalogue!H26*SQRT((1+Paramètres!$B$4*(C450-1)+Paramètres!$B$5*(C450-1)^2)),0)</f>
        <v>0</v>
      </c>
      <c r="I450" s="6">
        <v>2</v>
      </c>
      <c r="J450" s="6">
        <v>1</v>
      </c>
      <c r="K450" s="7">
        <v>2.5</v>
      </c>
      <c r="L450" s="9">
        <f t="shared" si="50"/>
        <v>13.5</v>
      </c>
      <c r="M450">
        <v>1</v>
      </c>
      <c r="N450">
        <v>10</v>
      </c>
      <c r="O450">
        <v>8</v>
      </c>
      <c r="P450" s="13" t="str">
        <f t="shared" si="51"/>
        <v>1d10 + 8</v>
      </c>
      <c r="Q450">
        <f>ROUND(INDEX(Catalogue!E$4:E$85,MATCH(A450,Catalogue!A$4:A$85,0))*(1+Paramètres!$B$4*(C450-1)+Paramètres!$B$5*(C450-1)^2),0)</f>
        <v>9</v>
      </c>
      <c r="R450">
        <f>ROUND(INDEX(Catalogue!F$4:F$85,MATCH(A450,Catalogue!A$4:A$85,0))*(1+Paramètres!$B$4*(C450-1)+Paramètres!$B$5*(C450-1)^2),0)</f>
        <v>18</v>
      </c>
      <c r="S450">
        <f t="shared" si="52"/>
        <v>0</v>
      </c>
      <c r="T450" t="str">
        <f t="shared" si="53"/>
        <v>OK</v>
      </c>
      <c r="U450" s="25">
        <f t="shared" si="54"/>
        <v>13.5</v>
      </c>
      <c r="V450" t="str">
        <f t="shared" si="55"/>
        <v>OK</v>
      </c>
    </row>
    <row r="451" spans="1:22" ht="18" customHeight="1">
      <c r="A451" t="s">
        <v>155</v>
      </c>
      <c r="B451" t="s">
        <v>156</v>
      </c>
      <c r="C451">
        <v>8</v>
      </c>
      <c r="D451" t="s">
        <v>123</v>
      </c>
      <c r="E451" s="6">
        <f t="shared" si="48"/>
        <v>10</v>
      </c>
      <c r="F451" s="6">
        <f t="shared" si="49"/>
        <v>20</v>
      </c>
      <c r="G451" s="6">
        <f>ROUND(Catalogue!G26*SQRT((1+Paramètres!$B$4*(C451-1)+Paramètres!$B$5*(C451-1)^2)),0)</f>
        <v>0</v>
      </c>
      <c r="H451" s="6">
        <f>ROUND(Catalogue!H26*SQRT((1+Paramètres!$B$4*(C451-1)+Paramètres!$B$5*(C451-1)^2)),0)</f>
        <v>0</v>
      </c>
      <c r="I451" s="6">
        <v>2</v>
      </c>
      <c r="J451" s="6">
        <v>1</v>
      </c>
      <c r="K451" s="7">
        <v>2.5</v>
      </c>
      <c r="L451" s="9">
        <f t="shared" si="50"/>
        <v>15</v>
      </c>
      <c r="M451">
        <v>2</v>
      </c>
      <c r="N451">
        <v>6</v>
      </c>
      <c r="O451">
        <v>8</v>
      </c>
      <c r="P451" s="13" t="str">
        <f t="shared" si="51"/>
        <v>2d6 + 8</v>
      </c>
      <c r="Q451">
        <f>ROUND(INDEX(Catalogue!E$4:E$85,MATCH(A451,Catalogue!A$4:A$85,0))*(1+Paramètres!$B$4*(C451-1)+Paramètres!$B$5*(C451-1)^2),0)</f>
        <v>10</v>
      </c>
      <c r="R451">
        <f>ROUND(INDEX(Catalogue!F$4:F$85,MATCH(A451,Catalogue!A$4:A$85,0))*(1+Paramètres!$B$4*(C451-1)+Paramètres!$B$5*(C451-1)^2),0)</f>
        <v>20</v>
      </c>
      <c r="S451">
        <f t="shared" si="52"/>
        <v>0</v>
      </c>
      <c r="T451" t="str">
        <f t="shared" si="53"/>
        <v>OK</v>
      </c>
      <c r="U451" s="25">
        <f t="shared" si="54"/>
        <v>15</v>
      </c>
      <c r="V451" t="str">
        <f t="shared" si="55"/>
        <v>OK</v>
      </c>
    </row>
    <row r="452" spans="1:22" ht="18" customHeight="1">
      <c r="A452" t="s">
        <v>155</v>
      </c>
      <c r="B452" t="s">
        <v>156</v>
      </c>
      <c r="C452">
        <v>9</v>
      </c>
      <c r="D452" t="s">
        <v>123</v>
      </c>
      <c r="E452" s="6">
        <f t="shared" ref="E452:E515" si="56">IF(M452=0,0,M452+O452)</f>
        <v>12</v>
      </c>
      <c r="F452" s="6">
        <f t="shared" ref="F452:F515" si="57">IF(M452=0,0,M452*N452+O452)</f>
        <v>23</v>
      </c>
      <c r="G452" s="6">
        <f>ROUND(Catalogue!G26*SQRT((1+Paramètres!$B$4*(C452-1)+Paramètres!$B$5*(C452-1)^2)),0)</f>
        <v>0</v>
      </c>
      <c r="H452" s="6">
        <f>ROUND(Catalogue!H26*SQRT((1+Paramètres!$B$4*(C452-1)+Paramètres!$B$5*(C452-1)^2)),0)</f>
        <v>0</v>
      </c>
      <c r="I452" s="6">
        <v>2</v>
      </c>
      <c r="J452" s="6">
        <v>1</v>
      </c>
      <c r="K452" s="7">
        <v>2.5</v>
      </c>
      <c r="L452" s="9">
        <f t="shared" ref="L452:L515" si="58">IF(M452=0,0,(E452+F452)/2)</f>
        <v>17.5</v>
      </c>
      <c r="M452">
        <v>1</v>
      </c>
      <c r="N452">
        <v>12</v>
      </c>
      <c r="O452">
        <v>11</v>
      </c>
      <c r="P452" s="13" t="str">
        <f t="shared" ref="P452:P515" si="59">IF(M452=0,"—",M452&amp;"d"&amp;N452&amp;IF(O452=0,""," + "&amp;O452))</f>
        <v>1d12 + 11</v>
      </c>
      <c r="Q452">
        <f>ROUND(INDEX(Catalogue!E$4:E$85,MATCH(A452,Catalogue!A$4:A$85,0))*(1+Paramètres!$B$4*(C452-1)+Paramètres!$B$5*(C452-1)^2),0)</f>
        <v>12</v>
      </c>
      <c r="R452">
        <f>ROUND(INDEX(Catalogue!F$4:F$85,MATCH(A452,Catalogue!A$4:A$85,0))*(1+Paramètres!$B$4*(C452-1)+Paramètres!$B$5*(C452-1)^2),0)</f>
        <v>23</v>
      </c>
      <c r="S452">
        <f t="shared" ref="S452:S515" si="60">L452-AVERAGE(Q452:R452)</f>
        <v>0</v>
      </c>
      <c r="T452" t="str">
        <f t="shared" ref="T452:T515" si="61">IF(M452=0,IF(AND(N452=0,O452=0,E452=0,F452=0),"OK","ERREUR"),IF(AND(M452&gt;=1,M452&lt;=32,OR(N452=4,N452=6,N452=8,N452=10,N452=12,N452=20),O452&gt;=0,E452=M452+O452,F452=M452*N452+O452),"OK","ERREUR"))</f>
        <v>OK</v>
      </c>
      <c r="U452" s="25">
        <f t="shared" ref="U452:U515" si="62">IF(M452&gt;0,M452*(N452+1)/2+O452,0)</f>
        <v>17.5</v>
      </c>
      <c r="V452" t="str">
        <f t="shared" ref="V452:V515" si="63">IF(ABS(L452-U452)&lt;0.001,"OK","ERREUR")</f>
        <v>OK</v>
      </c>
    </row>
    <row r="453" spans="1:22" ht="18" customHeight="1">
      <c r="A453" t="s">
        <v>155</v>
      </c>
      <c r="B453" t="s">
        <v>156</v>
      </c>
      <c r="C453">
        <v>10</v>
      </c>
      <c r="D453" t="s">
        <v>123</v>
      </c>
      <c r="E453" s="6">
        <f t="shared" si="56"/>
        <v>12</v>
      </c>
      <c r="F453" s="6">
        <f t="shared" si="57"/>
        <v>26</v>
      </c>
      <c r="G453" s="6">
        <f>ROUND(Catalogue!G26*SQRT((1+Paramètres!$B$4*(C453-1)+Paramètres!$B$5*(C453-1)^2)),0)</f>
        <v>0</v>
      </c>
      <c r="H453" s="6">
        <f>ROUND(Catalogue!H26*SQRT((1+Paramètres!$B$4*(C453-1)+Paramètres!$B$5*(C453-1)^2)),0)</f>
        <v>0</v>
      </c>
      <c r="I453" s="6">
        <v>2</v>
      </c>
      <c r="J453" s="6">
        <v>1</v>
      </c>
      <c r="K453" s="7">
        <v>2.5</v>
      </c>
      <c r="L453" s="9">
        <f t="shared" si="58"/>
        <v>19</v>
      </c>
      <c r="M453">
        <v>2</v>
      </c>
      <c r="N453">
        <v>8</v>
      </c>
      <c r="O453">
        <v>10</v>
      </c>
      <c r="P453" s="13" t="str">
        <f t="shared" si="59"/>
        <v>2d8 + 10</v>
      </c>
      <c r="Q453">
        <f>ROUND(INDEX(Catalogue!E$4:E$85,MATCH(A453,Catalogue!A$4:A$85,0))*(1+Paramètres!$B$4*(C453-1)+Paramètres!$B$5*(C453-1)^2),0)</f>
        <v>13</v>
      </c>
      <c r="R453">
        <f>ROUND(INDEX(Catalogue!F$4:F$85,MATCH(A453,Catalogue!A$4:A$85,0))*(1+Paramètres!$B$4*(C453-1)+Paramètres!$B$5*(C453-1)^2),0)</f>
        <v>26</v>
      </c>
      <c r="S453">
        <f t="shared" si="60"/>
        <v>-0.5</v>
      </c>
      <c r="T453" t="str">
        <f t="shared" si="61"/>
        <v>OK</v>
      </c>
      <c r="U453" s="25">
        <f t="shared" si="62"/>
        <v>19</v>
      </c>
      <c r="V453" t="str">
        <f t="shared" si="63"/>
        <v>OK</v>
      </c>
    </row>
    <row r="454" spans="1:22" ht="18" customHeight="1">
      <c r="A454" t="s">
        <v>155</v>
      </c>
      <c r="B454" t="s">
        <v>156</v>
      </c>
      <c r="C454">
        <v>11</v>
      </c>
      <c r="D454" t="s">
        <v>123</v>
      </c>
      <c r="E454" s="6">
        <f t="shared" si="56"/>
        <v>15</v>
      </c>
      <c r="F454" s="6">
        <f t="shared" si="57"/>
        <v>30</v>
      </c>
      <c r="G454" s="6">
        <f>ROUND(Catalogue!G26*SQRT((1+Paramètres!$B$4*(C454-1)+Paramètres!$B$5*(C454-1)^2)),0)</f>
        <v>0</v>
      </c>
      <c r="H454" s="6">
        <f>ROUND(Catalogue!H26*SQRT((1+Paramètres!$B$4*(C454-1)+Paramètres!$B$5*(C454-1)^2)),0)</f>
        <v>0</v>
      </c>
      <c r="I454" s="6">
        <v>2</v>
      </c>
      <c r="J454" s="6">
        <v>1</v>
      </c>
      <c r="K454" s="7">
        <v>2.5</v>
      </c>
      <c r="L454" s="9">
        <f t="shared" si="58"/>
        <v>22.5</v>
      </c>
      <c r="M454">
        <v>3</v>
      </c>
      <c r="N454">
        <v>6</v>
      </c>
      <c r="O454">
        <v>12</v>
      </c>
      <c r="P454" s="13" t="str">
        <f t="shared" si="59"/>
        <v>3d6 + 12</v>
      </c>
      <c r="Q454">
        <f>ROUND(INDEX(Catalogue!E$4:E$85,MATCH(A454,Catalogue!A$4:A$85,0))*(1+Paramètres!$B$4*(C454-1)+Paramètres!$B$5*(C454-1)^2),0)</f>
        <v>15</v>
      </c>
      <c r="R454">
        <f>ROUND(INDEX(Catalogue!F$4:F$85,MATCH(A454,Catalogue!A$4:A$85,0))*(1+Paramètres!$B$4*(C454-1)+Paramètres!$B$5*(C454-1)^2),0)</f>
        <v>30</v>
      </c>
      <c r="S454">
        <f t="shared" si="60"/>
        <v>0</v>
      </c>
      <c r="T454" t="str">
        <f t="shared" si="61"/>
        <v>OK</v>
      </c>
      <c r="U454" s="25">
        <f t="shared" si="62"/>
        <v>22.5</v>
      </c>
      <c r="V454" t="str">
        <f t="shared" si="63"/>
        <v>OK</v>
      </c>
    </row>
    <row r="455" spans="1:22" ht="18" customHeight="1">
      <c r="A455" t="s">
        <v>155</v>
      </c>
      <c r="B455" t="s">
        <v>156</v>
      </c>
      <c r="C455">
        <v>12</v>
      </c>
      <c r="D455" t="s">
        <v>123</v>
      </c>
      <c r="E455" s="6">
        <f t="shared" si="56"/>
        <v>17</v>
      </c>
      <c r="F455" s="6">
        <f t="shared" si="57"/>
        <v>32</v>
      </c>
      <c r="G455" s="6">
        <f>ROUND(Catalogue!G26*SQRT((1+Paramètres!$B$4*(C455-1)+Paramètres!$B$5*(C455-1)^2)),0)</f>
        <v>0</v>
      </c>
      <c r="H455" s="6">
        <f>ROUND(Catalogue!H26*SQRT((1+Paramètres!$B$4*(C455-1)+Paramètres!$B$5*(C455-1)^2)),0)</f>
        <v>0</v>
      </c>
      <c r="I455" s="6">
        <v>2</v>
      </c>
      <c r="J455" s="6">
        <v>1</v>
      </c>
      <c r="K455" s="7">
        <v>2.5</v>
      </c>
      <c r="L455" s="9">
        <f t="shared" si="58"/>
        <v>24.5</v>
      </c>
      <c r="M455">
        <v>3</v>
      </c>
      <c r="N455">
        <v>6</v>
      </c>
      <c r="O455">
        <v>14</v>
      </c>
      <c r="P455" s="13" t="str">
        <f t="shared" si="59"/>
        <v>3d6 + 14</v>
      </c>
      <c r="Q455">
        <f>ROUND(INDEX(Catalogue!E$4:E$85,MATCH(A455,Catalogue!A$4:A$85,0))*(1+Paramètres!$B$4*(C455-1)+Paramètres!$B$5*(C455-1)^2),0)</f>
        <v>17</v>
      </c>
      <c r="R455">
        <f>ROUND(INDEX(Catalogue!F$4:F$85,MATCH(A455,Catalogue!A$4:A$85,0))*(1+Paramètres!$B$4*(C455-1)+Paramètres!$B$5*(C455-1)^2),0)</f>
        <v>33</v>
      </c>
      <c r="S455">
        <f t="shared" si="60"/>
        <v>-0.5</v>
      </c>
      <c r="T455" t="str">
        <f t="shared" si="61"/>
        <v>OK</v>
      </c>
      <c r="U455" s="25">
        <f t="shared" si="62"/>
        <v>24.5</v>
      </c>
      <c r="V455" t="str">
        <f t="shared" si="63"/>
        <v>OK</v>
      </c>
    </row>
    <row r="456" spans="1:22" ht="18" customHeight="1">
      <c r="A456" t="s">
        <v>155</v>
      </c>
      <c r="B456" t="s">
        <v>156</v>
      </c>
      <c r="C456">
        <v>13</v>
      </c>
      <c r="D456" t="s">
        <v>123</v>
      </c>
      <c r="E456" s="6">
        <f t="shared" si="56"/>
        <v>18</v>
      </c>
      <c r="F456" s="6">
        <f t="shared" si="57"/>
        <v>36</v>
      </c>
      <c r="G456" s="6">
        <f>ROUND(Catalogue!G26*SQRT((1+Paramètres!$B$4*(C456-1)+Paramètres!$B$5*(C456-1)^2)),0)</f>
        <v>0</v>
      </c>
      <c r="H456" s="6">
        <f>ROUND(Catalogue!H26*SQRT((1+Paramètres!$B$4*(C456-1)+Paramètres!$B$5*(C456-1)^2)),0)</f>
        <v>0</v>
      </c>
      <c r="I456" s="6">
        <v>2</v>
      </c>
      <c r="J456" s="6">
        <v>1</v>
      </c>
      <c r="K456" s="7">
        <v>2.5</v>
      </c>
      <c r="L456" s="9">
        <f t="shared" si="58"/>
        <v>27</v>
      </c>
      <c r="M456">
        <v>2</v>
      </c>
      <c r="N456">
        <v>10</v>
      </c>
      <c r="O456">
        <v>16</v>
      </c>
      <c r="P456" s="13" t="str">
        <f t="shared" si="59"/>
        <v>2d10 + 16</v>
      </c>
      <c r="Q456">
        <f>ROUND(INDEX(Catalogue!E$4:E$85,MATCH(A456,Catalogue!A$4:A$85,0))*(1+Paramètres!$B$4*(C456-1)+Paramètres!$B$5*(C456-1)^2),0)</f>
        <v>18</v>
      </c>
      <c r="R456">
        <f>ROUND(INDEX(Catalogue!F$4:F$85,MATCH(A456,Catalogue!A$4:A$85,0))*(1+Paramètres!$B$4*(C456-1)+Paramètres!$B$5*(C456-1)^2),0)</f>
        <v>37</v>
      </c>
      <c r="S456">
        <f t="shared" si="60"/>
        <v>-0.5</v>
      </c>
      <c r="T456" t="str">
        <f t="shared" si="61"/>
        <v>OK</v>
      </c>
      <c r="U456" s="25">
        <f t="shared" si="62"/>
        <v>27</v>
      </c>
      <c r="V456" t="str">
        <f t="shared" si="63"/>
        <v>OK</v>
      </c>
    </row>
    <row r="457" spans="1:22" ht="18" customHeight="1">
      <c r="A457" t="s">
        <v>155</v>
      </c>
      <c r="B457" t="s">
        <v>156</v>
      </c>
      <c r="C457">
        <v>14</v>
      </c>
      <c r="D457" t="s">
        <v>123</v>
      </c>
      <c r="E457" s="6">
        <f t="shared" si="56"/>
        <v>21</v>
      </c>
      <c r="F457" s="6">
        <f t="shared" si="57"/>
        <v>41</v>
      </c>
      <c r="G457" s="6">
        <f>ROUND(Catalogue!G26*SQRT((1+Paramètres!$B$4*(C457-1)+Paramètres!$B$5*(C457-1)^2)),0)</f>
        <v>0</v>
      </c>
      <c r="H457" s="6">
        <f>ROUND(Catalogue!H26*SQRT((1+Paramètres!$B$4*(C457-1)+Paramètres!$B$5*(C457-1)^2)),0)</f>
        <v>0</v>
      </c>
      <c r="I457" s="6">
        <v>2</v>
      </c>
      <c r="J457" s="6">
        <v>1</v>
      </c>
      <c r="K457" s="7">
        <v>2.5</v>
      </c>
      <c r="L457" s="9">
        <f t="shared" si="58"/>
        <v>31</v>
      </c>
      <c r="M457">
        <v>4</v>
      </c>
      <c r="N457">
        <v>6</v>
      </c>
      <c r="O457">
        <v>17</v>
      </c>
      <c r="P457" s="13" t="str">
        <f t="shared" si="59"/>
        <v>4d6 + 17</v>
      </c>
      <c r="Q457">
        <f>ROUND(INDEX(Catalogue!E$4:E$85,MATCH(A457,Catalogue!A$4:A$85,0))*(1+Paramètres!$B$4*(C457-1)+Paramètres!$B$5*(C457-1)^2),0)</f>
        <v>21</v>
      </c>
      <c r="R457">
        <f>ROUND(INDEX(Catalogue!F$4:F$85,MATCH(A457,Catalogue!A$4:A$85,0))*(1+Paramètres!$B$4*(C457-1)+Paramètres!$B$5*(C457-1)^2),0)</f>
        <v>41</v>
      </c>
      <c r="S457">
        <f t="shared" si="60"/>
        <v>0</v>
      </c>
      <c r="T457" t="str">
        <f t="shared" si="61"/>
        <v>OK</v>
      </c>
      <c r="U457" s="25">
        <f t="shared" si="62"/>
        <v>31</v>
      </c>
      <c r="V457" t="str">
        <f t="shared" si="63"/>
        <v>OK</v>
      </c>
    </row>
    <row r="458" spans="1:22" ht="18" customHeight="1">
      <c r="A458" t="s">
        <v>155</v>
      </c>
      <c r="B458" t="s">
        <v>156</v>
      </c>
      <c r="C458">
        <v>15</v>
      </c>
      <c r="D458" t="s">
        <v>123</v>
      </c>
      <c r="E458" s="6">
        <f t="shared" si="56"/>
        <v>23</v>
      </c>
      <c r="F458" s="6">
        <f t="shared" si="57"/>
        <v>45</v>
      </c>
      <c r="G458" s="6">
        <f>ROUND(Catalogue!G26*SQRT((1+Paramètres!$B$4*(C458-1)+Paramètres!$B$5*(C458-1)^2)),0)</f>
        <v>0</v>
      </c>
      <c r="H458" s="6">
        <f>ROUND(Catalogue!H26*SQRT((1+Paramètres!$B$4*(C458-1)+Paramètres!$B$5*(C458-1)^2)),0)</f>
        <v>0</v>
      </c>
      <c r="I458" s="6">
        <v>2</v>
      </c>
      <c r="J458" s="6">
        <v>1</v>
      </c>
      <c r="K458" s="7">
        <v>2.5</v>
      </c>
      <c r="L458" s="9">
        <f t="shared" si="58"/>
        <v>34</v>
      </c>
      <c r="M458">
        <v>2</v>
      </c>
      <c r="N458">
        <v>12</v>
      </c>
      <c r="O458">
        <v>21</v>
      </c>
      <c r="P458" s="13" t="str">
        <f t="shared" si="59"/>
        <v>2d12 + 21</v>
      </c>
      <c r="Q458">
        <f>ROUND(INDEX(Catalogue!E$4:E$85,MATCH(A458,Catalogue!A$4:A$85,0))*(1+Paramètres!$B$4*(C458-1)+Paramètres!$B$5*(C458-1)^2),0)</f>
        <v>23</v>
      </c>
      <c r="R458">
        <f>ROUND(INDEX(Catalogue!F$4:F$85,MATCH(A458,Catalogue!A$4:A$85,0))*(1+Paramètres!$B$4*(C458-1)+Paramètres!$B$5*(C458-1)^2),0)</f>
        <v>45</v>
      </c>
      <c r="S458">
        <f t="shared" si="60"/>
        <v>0</v>
      </c>
      <c r="T458" t="str">
        <f t="shared" si="61"/>
        <v>OK</v>
      </c>
      <c r="U458" s="25">
        <f t="shared" si="62"/>
        <v>34</v>
      </c>
      <c r="V458" t="str">
        <f t="shared" si="63"/>
        <v>OK</v>
      </c>
    </row>
    <row r="459" spans="1:22" ht="18" customHeight="1">
      <c r="A459" t="s">
        <v>155</v>
      </c>
      <c r="B459" t="s">
        <v>156</v>
      </c>
      <c r="C459">
        <v>16</v>
      </c>
      <c r="D459" t="s">
        <v>123</v>
      </c>
      <c r="E459" s="6">
        <f t="shared" si="56"/>
        <v>25</v>
      </c>
      <c r="F459" s="6">
        <f t="shared" si="57"/>
        <v>50</v>
      </c>
      <c r="G459" s="6">
        <f>ROUND(Catalogue!G26*SQRT((1+Paramètres!$B$4*(C459-1)+Paramètres!$B$5*(C459-1)^2)),0)</f>
        <v>0</v>
      </c>
      <c r="H459" s="6">
        <f>ROUND(Catalogue!H26*SQRT((1+Paramètres!$B$4*(C459-1)+Paramètres!$B$5*(C459-1)^2)),0)</f>
        <v>0</v>
      </c>
      <c r="I459" s="6">
        <v>2</v>
      </c>
      <c r="J459" s="6">
        <v>1</v>
      </c>
      <c r="K459" s="7">
        <v>2.5</v>
      </c>
      <c r="L459" s="9">
        <f t="shared" si="58"/>
        <v>37.5</v>
      </c>
      <c r="M459">
        <v>5</v>
      </c>
      <c r="N459">
        <v>6</v>
      </c>
      <c r="O459">
        <v>20</v>
      </c>
      <c r="P459" s="13" t="str">
        <f t="shared" si="59"/>
        <v>5d6 + 20</v>
      </c>
      <c r="Q459">
        <f>ROUND(INDEX(Catalogue!E$4:E$85,MATCH(A459,Catalogue!A$4:A$85,0))*(1+Paramètres!$B$4*(C459-1)+Paramètres!$B$5*(C459-1)^2),0)</f>
        <v>25</v>
      </c>
      <c r="R459">
        <f>ROUND(INDEX(Catalogue!F$4:F$85,MATCH(A459,Catalogue!A$4:A$85,0))*(1+Paramètres!$B$4*(C459-1)+Paramètres!$B$5*(C459-1)^2),0)</f>
        <v>50</v>
      </c>
      <c r="S459">
        <f t="shared" si="60"/>
        <v>0</v>
      </c>
      <c r="T459" t="str">
        <f t="shared" si="61"/>
        <v>OK</v>
      </c>
      <c r="U459" s="25">
        <f t="shared" si="62"/>
        <v>37.5</v>
      </c>
      <c r="V459" t="str">
        <f t="shared" si="63"/>
        <v>OK</v>
      </c>
    </row>
    <row r="460" spans="1:22" ht="18" customHeight="1">
      <c r="A460" t="s">
        <v>155</v>
      </c>
      <c r="B460" t="s">
        <v>156</v>
      </c>
      <c r="C460">
        <v>17</v>
      </c>
      <c r="D460" t="s">
        <v>123</v>
      </c>
      <c r="E460" s="6">
        <f t="shared" si="56"/>
        <v>27</v>
      </c>
      <c r="F460" s="6">
        <f t="shared" si="57"/>
        <v>55</v>
      </c>
      <c r="G460" s="6">
        <f>ROUND(Catalogue!G26*SQRT((1+Paramètres!$B$4*(C460-1)+Paramètres!$B$5*(C460-1)^2)),0)</f>
        <v>0</v>
      </c>
      <c r="H460" s="6">
        <f>ROUND(Catalogue!H26*SQRT((1+Paramètres!$B$4*(C460-1)+Paramètres!$B$5*(C460-1)^2)),0)</f>
        <v>0</v>
      </c>
      <c r="I460" s="6">
        <v>2</v>
      </c>
      <c r="J460" s="6">
        <v>1</v>
      </c>
      <c r="K460" s="7">
        <v>2.5</v>
      </c>
      <c r="L460" s="9">
        <f t="shared" si="58"/>
        <v>41</v>
      </c>
      <c r="M460">
        <v>4</v>
      </c>
      <c r="N460">
        <v>8</v>
      </c>
      <c r="O460">
        <v>23</v>
      </c>
      <c r="P460" s="13" t="str">
        <f t="shared" si="59"/>
        <v>4d8 + 23</v>
      </c>
      <c r="Q460">
        <f>ROUND(INDEX(Catalogue!E$4:E$85,MATCH(A460,Catalogue!A$4:A$85,0))*(1+Paramètres!$B$4*(C460-1)+Paramètres!$B$5*(C460-1)^2),0)</f>
        <v>27</v>
      </c>
      <c r="R460">
        <f>ROUND(INDEX(Catalogue!F$4:F$85,MATCH(A460,Catalogue!A$4:A$85,0))*(1+Paramètres!$B$4*(C460-1)+Paramètres!$B$5*(C460-1)^2),0)</f>
        <v>55</v>
      </c>
      <c r="S460">
        <f t="shared" si="60"/>
        <v>0</v>
      </c>
      <c r="T460" t="str">
        <f t="shared" si="61"/>
        <v>OK</v>
      </c>
      <c r="U460" s="25">
        <f t="shared" si="62"/>
        <v>41</v>
      </c>
      <c r="V460" t="str">
        <f t="shared" si="63"/>
        <v>OK</v>
      </c>
    </row>
    <row r="461" spans="1:22" ht="18" customHeight="1">
      <c r="A461" t="s">
        <v>155</v>
      </c>
      <c r="B461" t="s">
        <v>156</v>
      </c>
      <c r="C461">
        <v>18</v>
      </c>
      <c r="D461" t="s">
        <v>123</v>
      </c>
      <c r="E461" s="6">
        <f t="shared" si="56"/>
        <v>30</v>
      </c>
      <c r="F461" s="6">
        <f t="shared" si="57"/>
        <v>60</v>
      </c>
      <c r="G461" s="6">
        <f>ROUND(Catalogue!G26*SQRT((1+Paramètres!$B$4*(C461-1)+Paramètres!$B$5*(C461-1)^2)),0)</f>
        <v>0</v>
      </c>
      <c r="H461" s="6">
        <f>ROUND(Catalogue!H26*SQRT((1+Paramètres!$B$4*(C461-1)+Paramètres!$B$5*(C461-1)^2)),0)</f>
        <v>0</v>
      </c>
      <c r="I461" s="6">
        <v>2</v>
      </c>
      <c r="J461" s="6">
        <v>1</v>
      </c>
      <c r="K461" s="7">
        <v>2.5</v>
      </c>
      <c r="L461" s="9">
        <f t="shared" si="58"/>
        <v>45</v>
      </c>
      <c r="M461">
        <v>6</v>
      </c>
      <c r="N461">
        <v>6</v>
      </c>
      <c r="O461">
        <v>24</v>
      </c>
      <c r="P461" s="13" t="str">
        <f t="shared" si="59"/>
        <v>6d6 + 24</v>
      </c>
      <c r="Q461">
        <f>ROUND(INDEX(Catalogue!E$4:E$85,MATCH(A461,Catalogue!A$4:A$85,0))*(1+Paramètres!$B$4*(C461-1)+Paramètres!$B$5*(C461-1)^2),0)</f>
        <v>30</v>
      </c>
      <c r="R461">
        <f>ROUND(INDEX(Catalogue!F$4:F$85,MATCH(A461,Catalogue!A$4:A$85,0))*(1+Paramètres!$B$4*(C461-1)+Paramètres!$B$5*(C461-1)^2),0)</f>
        <v>60</v>
      </c>
      <c r="S461">
        <f t="shared" si="60"/>
        <v>0</v>
      </c>
      <c r="T461" t="str">
        <f t="shared" si="61"/>
        <v>OK</v>
      </c>
      <c r="U461" s="25">
        <f t="shared" si="62"/>
        <v>45</v>
      </c>
      <c r="V461" t="str">
        <f t="shared" si="63"/>
        <v>OK</v>
      </c>
    </row>
    <row r="462" spans="1:22" ht="18" customHeight="1">
      <c r="A462" t="s">
        <v>155</v>
      </c>
      <c r="B462" t="s">
        <v>156</v>
      </c>
      <c r="C462">
        <v>19</v>
      </c>
      <c r="D462" t="s">
        <v>123</v>
      </c>
      <c r="E462" s="6">
        <f t="shared" si="56"/>
        <v>32</v>
      </c>
      <c r="F462" s="6">
        <f t="shared" si="57"/>
        <v>65</v>
      </c>
      <c r="G462" s="6">
        <f>ROUND(Catalogue!G26*SQRT((1+Paramètres!$B$4*(C462-1)+Paramètres!$B$5*(C462-1)^2)),0)</f>
        <v>0</v>
      </c>
      <c r="H462" s="6">
        <f>ROUND(Catalogue!H26*SQRT((1+Paramètres!$B$4*(C462-1)+Paramètres!$B$5*(C462-1)^2)),0)</f>
        <v>0</v>
      </c>
      <c r="I462" s="6">
        <v>2</v>
      </c>
      <c r="J462" s="6">
        <v>1</v>
      </c>
      <c r="K462" s="7">
        <v>2.5</v>
      </c>
      <c r="L462" s="9">
        <f t="shared" si="58"/>
        <v>48.5</v>
      </c>
      <c r="M462">
        <v>3</v>
      </c>
      <c r="N462">
        <v>12</v>
      </c>
      <c r="O462">
        <v>29</v>
      </c>
      <c r="P462" s="13" t="str">
        <f t="shared" si="59"/>
        <v>3d12 + 29</v>
      </c>
      <c r="Q462">
        <f>ROUND(INDEX(Catalogue!E$4:E$85,MATCH(A462,Catalogue!A$4:A$85,0))*(1+Paramètres!$B$4*(C462-1)+Paramètres!$B$5*(C462-1)^2),0)</f>
        <v>33</v>
      </c>
      <c r="R462">
        <f>ROUND(INDEX(Catalogue!F$4:F$85,MATCH(A462,Catalogue!A$4:A$85,0))*(1+Paramètres!$B$4*(C462-1)+Paramètres!$B$5*(C462-1)^2),0)</f>
        <v>65</v>
      </c>
      <c r="S462">
        <f t="shared" si="60"/>
        <v>-0.5</v>
      </c>
      <c r="T462" t="str">
        <f t="shared" si="61"/>
        <v>OK</v>
      </c>
      <c r="U462" s="25">
        <f t="shared" si="62"/>
        <v>48.5</v>
      </c>
      <c r="V462" t="str">
        <f t="shared" si="63"/>
        <v>OK</v>
      </c>
    </row>
    <row r="463" spans="1:22" ht="18" customHeight="1">
      <c r="A463" t="s">
        <v>155</v>
      </c>
      <c r="B463" t="s">
        <v>156</v>
      </c>
      <c r="C463">
        <v>20</v>
      </c>
      <c r="D463" t="s">
        <v>123</v>
      </c>
      <c r="E463" s="6">
        <f t="shared" si="56"/>
        <v>35</v>
      </c>
      <c r="F463" s="6">
        <f t="shared" si="57"/>
        <v>71</v>
      </c>
      <c r="G463" s="6">
        <f>ROUND(Catalogue!G26*SQRT((1+Paramètres!$B$4*(C463-1)+Paramètres!$B$5*(C463-1)^2)),0)</f>
        <v>0</v>
      </c>
      <c r="H463" s="6">
        <f>ROUND(Catalogue!H26*SQRT((1+Paramètres!$B$4*(C463-1)+Paramètres!$B$5*(C463-1)^2)),0)</f>
        <v>0</v>
      </c>
      <c r="I463" s="6">
        <v>2</v>
      </c>
      <c r="J463" s="6">
        <v>1</v>
      </c>
      <c r="K463" s="7">
        <v>2.5</v>
      </c>
      <c r="L463" s="9">
        <f t="shared" si="58"/>
        <v>53</v>
      </c>
      <c r="M463">
        <v>4</v>
      </c>
      <c r="N463">
        <v>10</v>
      </c>
      <c r="O463">
        <v>31</v>
      </c>
      <c r="P463" s="13" t="str">
        <f t="shared" si="59"/>
        <v>4d10 + 31</v>
      </c>
      <c r="Q463">
        <f>ROUND(INDEX(Catalogue!E$4:E$85,MATCH(A463,Catalogue!A$4:A$85,0))*(1+Paramètres!$B$4*(C463-1)+Paramètres!$B$5*(C463-1)^2),0)</f>
        <v>35</v>
      </c>
      <c r="R463">
        <f>ROUND(INDEX(Catalogue!F$4:F$85,MATCH(A463,Catalogue!A$4:A$85,0))*(1+Paramètres!$B$4*(C463-1)+Paramètres!$B$5*(C463-1)^2),0)</f>
        <v>71</v>
      </c>
      <c r="S463">
        <f t="shared" si="60"/>
        <v>0</v>
      </c>
      <c r="T463" t="str">
        <f t="shared" si="61"/>
        <v>OK</v>
      </c>
      <c r="U463" s="25">
        <f t="shared" si="62"/>
        <v>53</v>
      </c>
      <c r="V463" t="str">
        <f t="shared" si="63"/>
        <v>OK</v>
      </c>
    </row>
    <row r="464" spans="1:22" ht="18" customHeight="1">
      <c r="A464" t="s">
        <v>158</v>
      </c>
      <c r="B464" t="s">
        <v>159</v>
      </c>
      <c r="C464">
        <v>1</v>
      </c>
      <c r="D464" t="s">
        <v>123</v>
      </c>
      <c r="E464" s="6">
        <f t="shared" si="56"/>
        <v>5</v>
      </c>
      <c r="F464" s="6">
        <f t="shared" si="57"/>
        <v>8</v>
      </c>
      <c r="G464" s="6">
        <f>ROUND(Catalogue!G27*SQRT((1+Paramètres!$B$4*(C464-1)+Paramètres!$B$5*(C464-1)^2)),0)</f>
        <v>0</v>
      </c>
      <c r="H464" s="6">
        <f>ROUND(Catalogue!H27*SQRT((1+Paramètres!$B$4*(C464-1)+Paramètres!$B$5*(C464-1)^2)),0)</f>
        <v>0</v>
      </c>
      <c r="I464" s="6">
        <v>2</v>
      </c>
      <c r="J464" s="6">
        <v>1</v>
      </c>
      <c r="K464" s="7">
        <v>2.2999999999999998</v>
      </c>
      <c r="L464" s="9">
        <f t="shared" si="58"/>
        <v>6.5</v>
      </c>
      <c r="M464">
        <v>1</v>
      </c>
      <c r="N464">
        <v>4</v>
      </c>
      <c r="O464">
        <v>4</v>
      </c>
      <c r="P464" s="13" t="str">
        <f t="shared" si="59"/>
        <v>1d4 + 4</v>
      </c>
      <c r="Q464">
        <f>ROUND(INDEX(Catalogue!E$4:E$85,MATCH(A464,Catalogue!A$4:A$85,0))*(1+Paramètres!$B$4*(C464-1)+Paramètres!$B$5*(C464-1)^2),0)</f>
        <v>5</v>
      </c>
      <c r="R464">
        <f>ROUND(INDEX(Catalogue!F$4:F$85,MATCH(A464,Catalogue!A$4:A$85,0))*(1+Paramètres!$B$4*(C464-1)+Paramètres!$B$5*(C464-1)^2),0)</f>
        <v>8</v>
      </c>
      <c r="S464">
        <f t="shared" si="60"/>
        <v>0</v>
      </c>
      <c r="T464" t="str">
        <f t="shared" si="61"/>
        <v>OK</v>
      </c>
      <c r="U464" s="25">
        <f t="shared" si="62"/>
        <v>6.5</v>
      </c>
      <c r="V464" t="str">
        <f t="shared" si="63"/>
        <v>OK</v>
      </c>
    </row>
    <row r="465" spans="1:22" ht="18" customHeight="1">
      <c r="A465" t="s">
        <v>158</v>
      </c>
      <c r="B465" t="s">
        <v>159</v>
      </c>
      <c r="C465">
        <v>2</v>
      </c>
      <c r="D465" t="s">
        <v>123</v>
      </c>
      <c r="E465" s="6">
        <f t="shared" si="56"/>
        <v>6</v>
      </c>
      <c r="F465" s="6">
        <f t="shared" si="57"/>
        <v>9</v>
      </c>
      <c r="G465" s="6">
        <f>ROUND(Catalogue!G27*SQRT((1+Paramètres!$B$4*(C465-1)+Paramètres!$B$5*(C465-1)^2)),0)</f>
        <v>0</v>
      </c>
      <c r="H465" s="6">
        <f>ROUND(Catalogue!H27*SQRT((1+Paramètres!$B$4*(C465-1)+Paramètres!$B$5*(C465-1)^2)),0)</f>
        <v>0</v>
      </c>
      <c r="I465" s="6">
        <v>2</v>
      </c>
      <c r="J465" s="6">
        <v>1</v>
      </c>
      <c r="K465" s="7">
        <v>2.2999999999999998</v>
      </c>
      <c r="L465" s="9">
        <f t="shared" si="58"/>
        <v>7.5</v>
      </c>
      <c r="M465">
        <v>1</v>
      </c>
      <c r="N465">
        <v>4</v>
      </c>
      <c r="O465">
        <v>5</v>
      </c>
      <c r="P465" s="13" t="str">
        <f t="shared" si="59"/>
        <v>1d4 + 5</v>
      </c>
      <c r="Q465">
        <f>ROUND(INDEX(Catalogue!E$4:E$85,MATCH(A465,Catalogue!A$4:A$85,0))*(1+Paramètres!$B$4*(C465-1)+Paramètres!$B$5*(C465-1)^2),0)</f>
        <v>6</v>
      </c>
      <c r="R465">
        <f>ROUND(INDEX(Catalogue!F$4:F$85,MATCH(A465,Catalogue!A$4:A$85,0))*(1+Paramètres!$B$4*(C465-1)+Paramètres!$B$5*(C465-1)^2),0)</f>
        <v>9</v>
      </c>
      <c r="S465">
        <f t="shared" si="60"/>
        <v>0</v>
      </c>
      <c r="T465" t="str">
        <f t="shared" si="61"/>
        <v>OK</v>
      </c>
      <c r="U465" s="25">
        <f t="shared" si="62"/>
        <v>7.5</v>
      </c>
      <c r="V465" t="str">
        <f t="shared" si="63"/>
        <v>OK</v>
      </c>
    </row>
    <row r="466" spans="1:22" ht="18" customHeight="1">
      <c r="A466" t="s">
        <v>158</v>
      </c>
      <c r="B466" t="s">
        <v>159</v>
      </c>
      <c r="C466">
        <v>3</v>
      </c>
      <c r="D466" t="s">
        <v>123</v>
      </c>
      <c r="E466" s="6">
        <f t="shared" si="56"/>
        <v>6</v>
      </c>
      <c r="F466" s="6">
        <f t="shared" si="57"/>
        <v>9</v>
      </c>
      <c r="G466" s="6">
        <f>ROUND(Catalogue!G27*SQRT((1+Paramètres!$B$4*(C466-1)+Paramètres!$B$5*(C466-1)^2)),0)</f>
        <v>0</v>
      </c>
      <c r="H466" s="6">
        <f>ROUND(Catalogue!H27*SQRT((1+Paramètres!$B$4*(C466-1)+Paramètres!$B$5*(C466-1)^2)),0)</f>
        <v>0</v>
      </c>
      <c r="I466" s="6">
        <v>2</v>
      </c>
      <c r="J466" s="6">
        <v>1</v>
      </c>
      <c r="K466" s="7">
        <v>2.2999999999999998</v>
      </c>
      <c r="L466" s="9">
        <f t="shared" si="58"/>
        <v>7.5</v>
      </c>
      <c r="M466">
        <v>1</v>
      </c>
      <c r="N466">
        <v>4</v>
      </c>
      <c r="O466">
        <v>5</v>
      </c>
      <c r="P466" s="13" t="str">
        <f t="shared" si="59"/>
        <v>1d4 + 5</v>
      </c>
      <c r="Q466">
        <f>ROUND(INDEX(Catalogue!E$4:E$85,MATCH(A466,Catalogue!A$4:A$85,0))*(1+Paramètres!$B$4*(C466-1)+Paramètres!$B$5*(C466-1)^2),0)</f>
        <v>6</v>
      </c>
      <c r="R466">
        <f>ROUND(INDEX(Catalogue!F$4:F$85,MATCH(A466,Catalogue!A$4:A$85,0))*(1+Paramètres!$B$4*(C466-1)+Paramètres!$B$5*(C466-1)^2),0)</f>
        <v>10</v>
      </c>
      <c r="S466">
        <f t="shared" si="60"/>
        <v>-0.5</v>
      </c>
      <c r="T466" t="str">
        <f t="shared" si="61"/>
        <v>OK</v>
      </c>
      <c r="U466" s="25">
        <f t="shared" si="62"/>
        <v>7.5</v>
      </c>
      <c r="V466" t="str">
        <f t="shared" si="63"/>
        <v>OK</v>
      </c>
    </row>
    <row r="467" spans="1:22" ht="18" customHeight="1">
      <c r="A467" t="s">
        <v>158</v>
      </c>
      <c r="B467" t="s">
        <v>159</v>
      </c>
      <c r="C467">
        <v>4</v>
      </c>
      <c r="D467" t="s">
        <v>123</v>
      </c>
      <c r="E467" s="6">
        <f t="shared" si="56"/>
        <v>7</v>
      </c>
      <c r="F467" s="6">
        <f t="shared" si="57"/>
        <v>12</v>
      </c>
      <c r="G467" s="6">
        <f>ROUND(Catalogue!G27*SQRT((1+Paramètres!$B$4*(C467-1)+Paramètres!$B$5*(C467-1)^2)),0)</f>
        <v>0</v>
      </c>
      <c r="H467" s="6">
        <f>ROUND(Catalogue!H27*SQRT((1+Paramètres!$B$4*(C467-1)+Paramètres!$B$5*(C467-1)^2)),0)</f>
        <v>0</v>
      </c>
      <c r="I467" s="6">
        <v>2</v>
      </c>
      <c r="J467" s="6">
        <v>1</v>
      </c>
      <c r="K467" s="7">
        <v>2.2999999999999998</v>
      </c>
      <c r="L467" s="9">
        <f t="shared" si="58"/>
        <v>9.5</v>
      </c>
      <c r="M467">
        <v>1</v>
      </c>
      <c r="N467">
        <v>6</v>
      </c>
      <c r="O467">
        <v>6</v>
      </c>
      <c r="P467" s="13" t="str">
        <f t="shared" si="59"/>
        <v>1d6 + 6</v>
      </c>
      <c r="Q467">
        <f>ROUND(INDEX(Catalogue!E$4:E$85,MATCH(A467,Catalogue!A$4:A$85,0))*(1+Paramètres!$B$4*(C467-1)+Paramètres!$B$5*(C467-1)^2),0)</f>
        <v>7</v>
      </c>
      <c r="R467">
        <f>ROUND(INDEX(Catalogue!F$4:F$85,MATCH(A467,Catalogue!A$4:A$85,0))*(1+Paramètres!$B$4*(C467-1)+Paramètres!$B$5*(C467-1)^2),0)</f>
        <v>12</v>
      </c>
      <c r="S467">
        <f t="shared" si="60"/>
        <v>0</v>
      </c>
      <c r="T467" t="str">
        <f t="shared" si="61"/>
        <v>OK</v>
      </c>
      <c r="U467" s="25">
        <f t="shared" si="62"/>
        <v>9.5</v>
      </c>
      <c r="V467" t="str">
        <f t="shared" si="63"/>
        <v>OK</v>
      </c>
    </row>
    <row r="468" spans="1:22" ht="18" customHeight="1">
      <c r="A468" t="s">
        <v>158</v>
      </c>
      <c r="B468" t="s">
        <v>159</v>
      </c>
      <c r="C468">
        <v>5</v>
      </c>
      <c r="D468" t="s">
        <v>123</v>
      </c>
      <c r="E468" s="6">
        <f t="shared" si="56"/>
        <v>8</v>
      </c>
      <c r="F468" s="6">
        <f t="shared" si="57"/>
        <v>14</v>
      </c>
      <c r="G468" s="6">
        <f>ROUND(Catalogue!G27*SQRT((1+Paramètres!$B$4*(C468-1)+Paramètres!$B$5*(C468-1)^2)),0)</f>
        <v>0</v>
      </c>
      <c r="H468" s="6">
        <f>ROUND(Catalogue!H27*SQRT((1+Paramètres!$B$4*(C468-1)+Paramètres!$B$5*(C468-1)^2)),0)</f>
        <v>0</v>
      </c>
      <c r="I468" s="6">
        <v>2</v>
      </c>
      <c r="J468" s="6">
        <v>1</v>
      </c>
      <c r="K468" s="7">
        <v>2.2999999999999998</v>
      </c>
      <c r="L468" s="9">
        <f t="shared" si="58"/>
        <v>11</v>
      </c>
      <c r="M468">
        <v>2</v>
      </c>
      <c r="N468">
        <v>4</v>
      </c>
      <c r="O468">
        <v>6</v>
      </c>
      <c r="P468" s="13" t="str">
        <f t="shared" si="59"/>
        <v>2d4 + 6</v>
      </c>
      <c r="Q468">
        <f>ROUND(INDEX(Catalogue!E$4:E$85,MATCH(A468,Catalogue!A$4:A$85,0))*(1+Paramètres!$B$4*(C468-1)+Paramètres!$B$5*(C468-1)^2),0)</f>
        <v>8</v>
      </c>
      <c r="R468">
        <f>ROUND(INDEX(Catalogue!F$4:F$85,MATCH(A468,Catalogue!A$4:A$85,0))*(1+Paramètres!$B$4*(C468-1)+Paramètres!$B$5*(C468-1)^2),0)</f>
        <v>14</v>
      </c>
      <c r="S468">
        <f t="shared" si="60"/>
        <v>0</v>
      </c>
      <c r="T468" t="str">
        <f t="shared" si="61"/>
        <v>OK</v>
      </c>
      <c r="U468" s="25">
        <f t="shared" si="62"/>
        <v>11</v>
      </c>
      <c r="V468" t="str">
        <f t="shared" si="63"/>
        <v>OK</v>
      </c>
    </row>
    <row r="469" spans="1:22" ht="18" customHeight="1">
      <c r="A469" t="s">
        <v>158</v>
      </c>
      <c r="B469" t="s">
        <v>159</v>
      </c>
      <c r="C469">
        <v>6</v>
      </c>
      <c r="D469" t="s">
        <v>123</v>
      </c>
      <c r="E469" s="6">
        <f t="shared" si="56"/>
        <v>10</v>
      </c>
      <c r="F469" s="6">
        <f t="shared" si="57"/>
        <v>16</v>
      </c>
      <c r="G469" s="6">
        <f>ROUND(Catalogue!G27*SQRT((1+Paramètres!$B$4*(C469-1)+Paramètres!$B$5*(C469-1)^2)),0)</f>
        <v>0</v>
      </c>
      <c r="H469" s="6">
        <f>ROUND(Catalogue!H27*SQRT((1+Paramètres!$B$4*(C469-1)+Paramètres!$B$5*(C469-1)^2)),0)</f>
        <v>0</v>
      </c>
      <c r="I469" s="6">
        <v>2</v>
      </c>
      <c r="J469" s="6">
        <v>1</v>
      </c>
      <c r="K469" s="7">
        <v>2.2999999999999998</v>
      </c>
      <c r="L469" s="9">
        <f t="shared" si="58"/>
        <v>13</v>
      </c>
      <c r="M469">
        <v>2</v>
      </c>
      <c r="N469">
        <v>4</v>
      </c>
      <c r="O469">
        <v>8</v>
      </c>
      <c r="P469" s="13" t="str">
        <f t="shared" si="59"/>
        <v>2d4 + 8</v>
      </c>
      <c r="Q469">
        <f>ROUND(INDEX(Catalogue!E$4:E$85,MATCH(A469,Catalogue!A$4:A$85,0))*(1+Paramètres!$B$4*(C469-1)+Paramètres!$B$5*(C469-1)^2),0)</f>
        <v>10</v>
      </c>
      <c r="R469">
        <f>ROUND(INDEX(Catalogue!F$4:F$85,MATCH(A469,Catalogue!A$4:A$85,0))*(1+Paramètres!$B$4*(C469-1)+Paramètres!$B$5*(C469-1)^2),0)</f>
        <v>16</v>
      </c>
      <c r="S469">
        <f t="shared" si="60"/>
        <v>0</v>
      </c>
      <c r="T469" t="str">
        <f t="shared" si="61"/>
        <v>OK</v>
      </c>
      <c r="U469" s="25">
        <f t="shared" si="62"/>
        <v>13</v>
      </c>
      <c r="V469" t="str">
        <f t="shared" si="63"/>
        <v>OK</v>
      </c>
    </row>
    <row r="470" spans="1:22" ht="18" customHeight="1">
      <c r="A470" t="s">
        <v>158</v>
      </c>
      <c r="B470" t="s">
        <v>159</v>
      </c>
      <c r="C470">
        <v>7</v>
      </c>
      <c r="D470" t="s">
        <v>123</v>
      </c>
      <c r="E470" s="6">
        <f t="shared" si="56"/>
        <v>11</v>
      </c>
      <c r="F470" s="6">
        <f t="shared" si="57"/>
        <v>18</v>
      </c>
      <c r="G470" s="6">
        <f>ROUND(Catalogue!G27*SQRT((1+Paramètres!$B$4*(C470-1)+Paramètres!$B$5*(C470-1)^2)),0)</f>
        <v>0</v>
      </c>
      <c r="H470" s="6">
        <f>ROUND(Catalogue!H27*SQRT((1+Paramètres!$B$4*(C470-1)+Paramètres!$B$5*(C470-1)^2)),0)</f>
        <v>0</v>
      </c>
      <c r="I470" s="6">
        <v>2</v>
      </c>
      <c r="J470" s="6">
        <v>1</v>
      </c>
      <c r="K470" s="7">
        <v>2.2999999999999998</v>
      </c>
      <c r="L470" s="9">
        <f t="shared" si="58"/>
        <v>14.5</v>
      </c>
      <c r="M470">
        <v>1</v>
      </c>
      <c r="N470">
        <v>8</v>
      </c>
      <c r="O470">
        <v>10</v>
      </c>
      <c r="P470" s="13" t="str">
        <f t="shared" si="59"/>
        <v>1d8 + 10</v>
      </c>
      <c r="Q470">
        <f>ROUND(INDEX(Catalogue!E$4:E$85,MATCH(A470,Catalogue!A$4:A$85,0))*(1+Paramètres!$B$4*(C470-1)+Paramètres!$B$5*(C470-1)^2),0)</f>
        <v>11</v>
      </c>
      <c r="R470">
        <f>ROUND(INDEX(Catalogue!F$4:F$85,MATCH(A470,Catalogue!A$4:A$85,0))*(1+Paramètres!$B$4*(C470-1)+Paramètres!$B$5*(C470-1)^2),0)</f>
        <v>18</v>
      </c>
      <c r="S470">
        <f t="shared" si="60"/>
        <v>0</v>
      </c>
      <c r="T470" t="str">
        <f t="shared" si="61"/>
        <v>OK</v>
      </c>
      <c r="U470" s="25">
        <f t="shared" si="62"/>
        <v>14.5</v>
      </c>
      <c r="V470" t="str">
        <f t="shared" si="63"/>
        <v>OK</v>
      </c>
    </row>
    <row r="471" spans="1:22" ht="18" customHeight="1">
      <c r="A471" t="s">
        <v>158</v>
      </c>
      <c r="B471" t="s">
        <v>159</v>
      </c>
      <c r="C471">
        <v>8</v>
      </c>
      <c r="D471" t="s">
        <v>123</v>
      </c>
      <c r="E471" s="6">
        <f t="shared" si="56"/>
        <v>13</v>
      </c>
      <c r="F471" s="6">
        <f t="shared" si="57"/>
        <v>20</v>
      </c>
      <c r="G471" s="6">
        <f>ROUND(Catalogue!G27*SQRT((1+Paramètres!$B$4*(C471-1)+Paramètres!$B$5*(C471-1)^2)),0)</f>
        <v>0</v>
      </c>
      <c r="H471" s="6">
        <f>ROUND(Catalogue!H27*SQRT((1+Paramètres!$B$4*(C471-1)+Paramètres!$B$5*(C471-1)^2)),0)</f>
        <v>0</v>
      </c>
      <c r="I471" s="6">
        <v>2</v>
      </c>
      <c r="J471" s="6">
        <v>1</v>
      </c>
      <c r="K471" s="7">
        <v>2.2999999999999998</v>
      </c>
      <c r="L471" s="9">
        <f t="shared" si="58"/>
        <v>16.5</v>
      </c>
      <c r="M471">
        <v>1</v>
      </c>
      <c r="N471">
        <v>8</v>
      </c>
      <c r="O471">
        <v>12</v>
      </c>
      <c r="P471" s="13" t="str">
        <f t="shared" si="59"/>
        <v>1d8 + 12</v>
      </c>
      <c r="Q471">
        <f>ROUND(INDEX(Catalogue!E$4:E$85,MATCH(A471,Catalogue!A$4:A$85,0))*(1+Paramètres!$B$4*(C471-1)+Paramètres!$B$5*(C471-1)^2),0)</f>
        <v>13</v>
      </c>
      <c r="R471">
        <f>ROUND(INDEX(Catalogue!F$4:F$85,MATCH(A471,Catalogue!A$4:A$85,0))*(1+Paramètres!$B$4*(C471-1)+Paramètres!$B$5*(C471-1)^2),0)</f>
        <v>20</v>
      </c>
      <c r="S471">
        <f t="shared" si="60"/>
        <v>0</v>
      </c>
      <c r="T471" t="str">
        <f t="shared" si="61"/>
        <v>OK</v>
      </c>
      <c r="U471" s="25">
        <f t="shared" si="62"/>
        <v>16.5</v>
      </c>
      <c r="V471" t="str">
        <f t="shared" si="63"/>
        <v>OK</v>
      </c>
    </row>
    <row r="472" spans="1:22" ht="18" customHeight="1">
      <c r="A472" t="s">
        <v>158</v>
      </c>
      <c r="B472" t="s">
        <v>159</v>
      </c>
      <c r="C472">
        <v>9</v>
      </c>
      <c r="D472" t="s">
        <v>123</v>
      </c>
      <c r="E472" s="6">
        <f t="shared" si="56"/>
        <v>14</v>
      </c>
      <c r="F472" s="6">
        <f t="shared" si="57"/>
        <v>23</v>
      </c>
      <c r="G472" s="6">
        <f>ROUND(Catalogue!G27*SQRT((1+Paramètres!$B$4*(C472-1)+Paramètres!$B$5*(C472-1)^2)),0)</f>
        <v>0</v>
      </c>
      <c r="H472" s="6">
        <f>ROUND(Catalogue!H27*SQRT((1+Paramètres!$B$4*(C472-1)+Paramètres!$B$5*(C472-1)^2)),0)</f>
        <v>0</v>
      </c>
      <c r="I472" s="6">
        <v>2</v>
      </c>
      <c r="J472" s="6">
        <v>1</v>
      </c>
      <c r="K472" s="7">
        <v>2.2999999999999998</v>
      </c>
      <c r="L472" s="9">
        <f t="shared" si="58"/>
        <v>18.5</v>
      </c>
      <c r="M472">
        <v>3</v>
      </c>
      <c r="N472">
        <v>4</v>
      </c>
      <c r="O472">
        <v>11</v>
      </c>
      <c r="P472" s="13" t="str">
        <f t="shared" si="59"/>
        <v>3d4 + 11</v>
      </c>
      <c r="Q472">
        <f>ROUND(INDEX(Catalogue!E$4:E$85,MATCH(A472,Catalogue!A$4:A$85,0))*(1+Paramètres!$B$4*(C472-1)+Paramètres!$B$5*(C472-1)^2),0)</f>
        <v>15</v>
      </c>
      <c r="R472">
        <f>ROUND(INDEX(Catalogue!F$4:F$85,MATCH(A472,Catalogue!A$4:A$85,0))*(1+Paramètres!$B$4*(C472-1)+Paramètres!$B$5*(C472-1)^2),0)</f>
        <v>23</v>
      </c>
      <c r="S472">
        <f t="shared" si="60"/>
        <v>-0.5</v>
      </c>
      <c r="T472" t="str">
        <f t="shared" si="61"/>
        <v>OK</v>
      </c>
      <c r="U472" s="25">
        <f t="shared" si="62"/>
        <v>18.5</v>
      </c>
      <c r="V472" t="str">
        <f t="shared" si="63"/>
        <v>OK</v>
      </c>
    </row>
    <row r="473" spans="1:22" ht="18" customHeight="1">
      <c r="A473" t="s">
        <v>158</v>
      </c>
      <c r="B473" t="s">
        <v>159</v>
      </c>
      <c r="C473">
        <v>10</v>
      </c>
      <c r="D473" t="s">
        <v>123</v>
      </c>
      <c r="E473" s="6">
        <f t="shared" si="56"/>
        <v>16</v>
      </c>
      <c r="F473" s="6">
        <f t="shared" si="57"/>
        <v>26</v>
      </c>
      <c r="G473" s="6">
        <f>ROUND(Catalogue!G27*SQRT((1+Paramètres!$B$4*(C473-1)+Paramètres!$B$5*(C473-1)^2)),0)</f>
        <v>0</v>
      </c>
      <c r="H473" s="6">
        <f>ROUND(Catalogue!H27*SQRT((1+Paramètres!$B$4*(C473-1)+Paramètres!$B$5*(C473-1)^2)),0)</f>
        <v>0</v>
      </c>
      <c r="I473" s="6">
        <v>2</v>
      </c>
      <c r="J473" s="6">
        <v>1</v>
      </c>
      <c r="K473" s="7">
        <v>2.2999999999999998</v>
      </c>
      <c r="L473" s="9">
        <f t="shared" si="58"/>
        <v>21</v>
      </c>
      <c r="M473">
        <v>2</v>
      </c>
      <c r="N473">
        <v>6</v>
      </c>
      <c r="O473">
        <v>14</v>
      </c>
      <c r="P473" s="13" t="str">
        <f t="shared" si="59"/>
        <v>2d6 + 14</v>
      </c>
      <c r="Q473">
        <f>ROUND(INDEX(Catalogue!E$4:E$85,MATCH(A473,Catalogue!A$4:A$85,0))*(1+Paramètres!$B$4*(C473-1)+Paramètres!$B$5*(C473-1)^2),0)</f>
        <v>16</v>
      </c>
      <c r="R473">
        <f>ROUND(INDEX(Catalogue!F$4:F$85,MATCH(A473,Catalogue!A$4:A$85,0))*(1+Paramètres!$B$4*(C473-1)+Paramètres!$B$5*(C473-1)^2),0)</f>
        <v>26</v>
      </c>
      <c r="S473">
        <f t="shared" si="60"/>
        <v>0</v>
      </c>
      <c r="T473" t="str">
        <f t="shared" si="61"/>
        <v>OK</v>
      </c>
      <c r="U473" s="25">
        <f t="shared" si="62"/>
        <v>21</v>
      </c>
      <c r="V473" t="str">
        <f t="shared" si="63"/>
        <v>OK</v>
      </c>
    </row>
    <row r="474" spans="1:22" ht="18" customHeight="1">
      <c r="A474" t="s">
        <v>158</v>
      </c>
      <c r="B474" t="s">
        <v>159</v>
      </c>
      <c r="C474">
        <v>11</v>
      </c>
      <c r="D474" t="s">
        <v>123</v>
      </c>
      <c r="E474" s="6">
        <f t="shared" si="56"/>
        <v>19</v>
      </c>
      <c r="F474" s="6">
        <f t="shared" si="57"/>
        <v>30</v>
      </c>
      <c r="G474" s="6">
        <f>ROUND(Catalogue!G27*SQRT((1+Paramètres!$B$4*(C474-1)+Paramètres!$B$5*(C474-1)^2)),0)</f>
        <v>0</v>
      </c>
      <c r="H474" s="6">
        <f>ROUND(Catalogue!H27*SQRT((1+Paramètres!$B$4*(C474-1)+Paramètres!$B$5*(C474-1)^2)),0)</f>
        <v>0</v>
      </c>
      <c r="I474" s="6">
        <v>2</v>
      </c>
      <c r="J474" s="6">
        <v>1</v>
      </c>
      <c r="K474" s="7">
        <v>2.2999999999999998</v>
      </c>
      <c r="L474" s="9">
        <f t="shared" si="58"/>
        <v>24.5</v>
      </c>
      <c r="M474">
        <v>1</v>
      </c>
      <c r="N474">
        <v>12</v>
      </c>
      <c r="O474">
        <v>18</v>
      </c>
      <c r="P474" s="13" t="str">
        <f t="shared" si="59"/>
        <v>1d12 + 18</v>
      </c>
      <c r="Q474">
        <f>ROUND(INDEX(Catalogue!E$4:E$85,MATCH(A474,Catalogue!A$4:A$85,0))*(1+Paramètres!$B$4*(C474-1)+Paramètres!$B$5*(C474-1)^2),0)</f>
        <v>19</v>
      </c>
      <c r="R474">
        <f>ROUND(INDEX(Catalogue!F$4:F$85,MATCH(A474,Catalogue!A$4:A$85,0))*(1+Paramètres!$B$4*(C474-1)+Paramètres!$B$5*(C474-1)^2),0)</f>
        <v>30</v>
      </c>
      <c r="S474">
        <f t="shared" si="60"/>
        <v>0</v>
      </c>
      <c r="T474" t="str">
        <f t="shared" si="61"/>
        <v>OK</v>
      </c>
      <c r="U474" s="25">
        <f t="shared" si="62"/>
        <v>24.5</v>
      </c>
      <c r="V474" t="str">
        <f t="shared" si="63"/>
        <v>OK</v>
      </c>
    </row>
    <row r="475" spans="1:22" ht="18" customHeight="1">
      <c r="A475" t="s">
        <v>158</v>
      </c>
      <c r="B475" t="s">
        <v>159</v>
      </c>
      <c r="C475">
        <v>12</v>
      </c>
      <c r="D475" t="s">
        <v>123</v>
      </c>
      <c r="E475" s="6">
        <f t="shared" si="56"/>
        <v>21</v>
      </c>
      <c r="F475" s="6">
        <f t="shared" si="57"/>
        <v>33</v>
      </c>
      <c r="G475" s="6">
        <f>ROUND(Catalogue!G27*SQRT((1+Paramètres!$B$4*(C475-1)+Paramètres!$B$5*(C475-1)^2)),0)</f>
        <v>0</v>
      </c>
      <c r="H475" s="6">
        <f>ROUND(Catalogue!H27*SQRT((1+Paramètres!$B$4*(C475-1)+Paramètres!$B$5*(C475-1)^2)),0)</f>
        <v>0</v>
      </c>
      <c r="I475" s="6">
        <v>2</v>
      </c>
      <c r="J475" s="6">
        <v>1</v>
      </c>
      <c r="K475" s="7">
        <v>2.2999999999999998</v>
      </c>
      <c r="L475" s="9">
        <f t="shared" si="58"/>
        <v>27</v>
      </c>
      <c r="M475">
        <v>4</v>
      </c>
      <c r="N475">
        <v>4</v>
      </c>
      <c r="O475">
        <v>17</v>
      </c>
      <c r="P475" s="13" t="str">
        <f t="shared" si="59"/>
        <v>4d4 + 17</v>
      </c>
      <c r="Q475">
        <f>ROUND(INDEX(Catalogue!E$4:E$85,MATCH(A475,Catalogue!A$4:A$85,0))*(1+Paramètres!$B$4*(C475-1)+Paramètres!$B$5*(C475-1)^2),0)</f>
        <v>21</v>
      </c>
      <c r="R475">
        <f>ROUND(INDEX(Catalogue!F$4:F$85,MATCH(A475,Catalogue!A$4:A$85,0))*(1+Paramètres!$B$4*(C475-1)+Paramètres!$B$5*(C475-1)^2),0)</f>
        <v>33</v>
      </c>
      <c r="S475">
        <f t="shared" si="60"/>
        <v>0</v>
      </c>
      <c r="T475" t="str">
        <f t="shared" si="61"/>
        <v>OK</v>
      </c>
      <c r="U475" s="25">
        <f t="shared" si="62"/>
        <v>27</v>
      </c>
      <c r="V475" t="str">
        <f t="shared" si="63"/>
        <v>OK</v>
      </c>
    </row>
    <row r="476" spans="1:22" ht="18" customHeight="1">
      <c r="A476" t="s">
        <v>158</v>
      </c>
      <c r="B476" t="s">
        <v>159</v>
      </c>
      <c r="C476">
        <v>13</v>
      </c>
      <c r="D476" t="s">
        <v>123</v>
      </c>
      <c r="E476" s="6">
        <f t="shared" si="56"/>
        <v>23</v>
      </c>
      <c r="F476" s="6">
        <f t="shared" si="57"/>
        <v>37</v>
      </c>
      <c r="G476" s="6">
        <f>ROUND(Catalogue!G27*SQRT((1+Paramètres!$B$4*(C476-1)+Paramètres!$B$5*(C476-1)^2)),0)</f>
        <v>0</v>
      </c>
      <c r="H476" s="6">
        <f>ROUND(Catalogue!H27*SQRT((1+Paramètres!$B$4*(C476-1)+Paramètres!$B$5*(C476-1)^2)),0)</f>
        <v>0</v>
      </c>
      <c r="I476" s="6">
        <v>2</v>
      </c>
      <c r="J476" s="6">
        <v>1</v>
      </c>
      <c r="K476" s="7">
        <v>2.2999999999999998</v>
      </c>
      <c r="L476" s="9">
        <f t="shared" si="58"/>
        <v>30</v>
      </c>
      <c r="M476">
        <v>2</v>
      </c>
      <c r="N476">
        <v>8</v>
      </c>
      <c r="O476">
        <v>21</v>
      </c>
      <c r="P476" s="13" t="str">
        <f t="shared" si="59"/>
        <v>2d8 + 21</v>
      </c>
      <c r="Q476">
        <f>ROUND(INDEX(Catalogue!E$4:E$85,MATCH(A476,Catalogue!A$4:A$85,0))*(1+Paramètres!$B$4*(C476-1)+Paramètres!$B$5*(C476-1)^2),0)</f>
        <v>23</v>
      </c>
      <c r="R476">
        <f>ROUND(INDEX(Catalogue!F$4:F$85,MATCH(A476,Catalogue!A$4:A$85,0))*(1+Paramètres!$B$4*(C476-1)+Paramètres!$B$5*(C476-1)^2),0)</f>
        <v>37</v>
      </c>
      <c r="S476">
        <f t="shared" si="60"/>
        <v>0</v>
      </c>
      <c r="T476" t="str">
        <f t="shared" si="61"/>
        <v>OK</v>
      </c>
      <c r="U476" s="25">
        <f t="shared" si="62"/>
        <v>30</v>
      </c>
      <c r="V476" t="str">
        <f t="shared" si="63"/>
        <v>OK</v>
      </c>
    </row>
    <row r="477" spans="1:22" ht="18" customHeight="1">
      <c r="A477" t="s">
        <v>158</v>
      </c>
      <c r="B477" t="s">
        <v>159</v>
      </c>
      <c r="C477">
        <v>14</v>
      </c>
      <c r="D477" t="s">
        <v>123</v>
      </c>
      <c r="E477" s="6">
        <f t="shared" si="56"/>
        <v>26</v>
      </c>
      <c r="F477" s="6">
        <f t="shared" si="57"/>
        <v>41</v>
      </c>
      <c r="G477" s="6">
        <f>ROUND(Catalogue!G27*SQRT((1+Paramètres!$B$4*(C477-1)+Paramètres!$B$5*(C477-1)^2)),0)</f>
        <v>0</v>
      </c>
      <c r="H477" s="6">
        <f>ROUND(Catalogue!H27*SQRT((1+Paramètres!$B$4*(C477-1)+Paramètres!$B$5*(C477-1)^2)),0)</f>
        <v>0</v>
      </c>
      <c r="I477" s="6">
        <v>2</v>
      </c>
      <c r="J477" s="6">
        <v>1</v>
      </c>
      <c r="K477" s="7">
        <v>2.2999999999999998</v>
      </c>
      <c r="L477" s="9">
        <f t="shared" si="58"/>
        <v>33.5</v>
      </c>
      <c r="M477">
        <v>3</v>
      </c>
      <c r="N477">
        <v>6</v>
      </c>
      <c r="O477">
        <v>23</v>
      </c>
      <c r="P477" s="13" t="str">
        <f t="shared" si="59"/>
        <v>3d6 + 23</v>
      </c>
      <c r="Q477">
        <f>ROUND(INDEX(Catalogue!E$4:E$85,MATCH(A477,Catalogue!A$4:A$85,0))*(1+Paramètres!$B$4*(C477-1)+Paramètres!$B$5*(C477-1)^2),0)</f>
        <v>26</v>
      </c>
      <c r="R477">
        <f>ROUND(INDEX(Catalogue!F$4:F$85,MATCH(A477,Catalogue!A$4:A$85,0))*(1+Paramètres!$B$4*(C477-1)+Paramètres!$B$5*(C477-1)^2),0)</f>
        <v>41</v>
      </c>
      <c r="S477">
        <f t="shared" si="60"/>
        <v>0</v>
      </c>
      <c r="T477" t="str">
        <f t="shared" si="61"/>
        <v>OK</v>
      </c>
      <c r="U477" s="25">
        <f t="shared" si="62"/>
        <v>33.5</v>
      </c>
      <c r="V477" t="str">
        <f t="shared" si="63"/>
        <v>OK</v>
      </c>
    </row>
    <row r="478" spans="1:22" ht="18" customHeight="1">
      <c r="A478" t="s">
        <v>158</v>
      </c>
      <c r="B478" t="s">
        <v>159</v>
      </c>
      <c r="C478">
        <v>15</v>
      </c>
      <c r="D478" t="s">
        <v>123</v>
      </c>
      <c r="E478" s="6">
        <f t="shared" si="56"/>
        <v>27</v>
      </c>
      <c r="F478" s="6">
        <f t="shared" si="57"/>
        <v>45</v>
      </c>
      <c r="G478" s="6">
        <f>ROUND(Catalogue!G27*SQRT((1+Paramètres!$B$4*(C478-1)+Paramètres!$B$5*(C478-1)^2)),0)</f>
        <v>0</v>
      </c>
      <c r="H478" s="6">
        <f>ROUND(Catalogue!H27*SQRT((1+Paramètres!$B$4*(C478-1)+Paramètres!$B$5*(C478-1)^2)),0)</f>
        <v>0</v>
      </c>
      <c r="I478" s="6">
        <v>2</v>
      </c>
      <c r="J478" s="6">
        <v>1</v>
      </c>
      <c r="K478" s="7">
        <v>2.2999999999999998</v>
      </c>
      <c r="L478" s="9">
        <f t="shared" si="58"/>
        <v>36</v>
      </c>
      <c r="M478">
        <v>2</v>
      </c>
      <c r="N478">
        <v>10</v>
      </c>
      <c r="O478">
        <v>25</v>
      </c>
      <c r="P478" s="13" t="str">
        <f t="shared" si="59"/>
        <v>2d10 + 25</v>
      </c>
      <c r="Q478">
        <f>ROUND(INDEX(Catalogue!E$4:E$85,MATCH(A478,Catalogue!A$4:A$85,0))*(1+Paramètres!$B$4*(C478-1)+Paramètres!$B$5*(C478-1)^2),0)</f>
        <v>28</v>
      </c>
      <c r="R478">
        <f>ROUND(INDEX(Catalogue!F$4:F$85,MATCH(A478,Catalogue!A$4:A$85,0))*(1+Paramètres!$B$4*(C478-1)+Paramètres!$B$5*(C478-1)^2),0)</f>
        <v>45</v>
      </c>
      <c r="S478">
        <f t="shared" si="60"/>
        <v>-0.5</v>
      </c>
      <c r="T478" t="str">
        <f t="shared" si="61"/>
        <v>OK</v>
      </c>
      <c r="U478" s="25">
        <f t="shared" si="62"/>
        <v>36</v>
      </c>
      <c r="V478" t="str">
        <f t="shared" si="63"/>
        <v>OK</v>
      </c>
    </row>
    <row r="479" spans="1:22" ht="18" customHeight="1">
      <c r="A479" t="s">
        <v>158</v>
      </c>
      <c r="B479" t="s">
        <v>159</v>
      </c>
      <c r="C479">
        <v>16</v>
      </c>
      <c r="D479" t="s">
        <v>123</v>
      </c>
      <c r="E479" s="6">
        <f t="shared" si="56"/>
        <v>31</v>
      </c>
      <c r="F479" s="6">
        <f t="shared" si="57"/>
        <v>49</v>
      </c>
      <c r="G479" s="6">
        <f>ROUND(Catalogue!G27*SQRT((1+Paramètres!$B$4*(C479-1)+Paramètres!$B$5*(C479-1)^2)),0)</f>
        <v>0</v>
      </c>
      <c r="H479" s="6">
        <f>ROUND(Catalogue!H27*SQRT((1+Paramètres!$B$4*(C479-1)+Paramètres!$B$5*(C479-1)^2)),0)</f>
        <v>0</v>
      </c>
      <c r="I479" s="6">
        <v>2</v>
      </c>
      <c r="J479" s="6">
        <v>1</v>
      </c>
      <c r="K479" s="7">
        <v>2.2999999999999998</v>
      </c>
      <c r="L479" s="9">
        <f t="shared" si="58"/>
        <v>40</v>
      </c>
      <c r="M479">
        <v>2</v>
      </c>
      <c r="N479">
        <v>10</v>
      </c>
      <c r="O479">
        <v>29</v>
      </c>
      <c r="P479" s="13" t="str">
        <f t="shared" si="59"/>
        <v>2d10 + 29</v>
      </c>
      <c r="Q479">
        <f>ROUND(INDEX(Catalogue!E$4:E$85,MATCH(A479,Catalogue!A$4:A$85,0))*(1+Paramètres!$B$4*(C479-1)+Paramètres!$B$5*(C479-1)^2),0)</f>
        <v>31</v>
      </c>
      <c r="R479">
        <f>ROUND(INDEX(Catalogue!F$4:F$85,MATCH(A479,Catalogue!A$4:A$85,0))*(1+Paramètres!$B$4*(C479-1)+Paramètres!$B$5*(C479-1)^2),0)</f>
        <v>50</v>
      </c>
      <c r="S479">
        <f t="shared" si="60"/>
        <v>-0.5</v>
      </c>
      <c r="T479" t="str">
        <f t="shared" si="61"/>
        <v>OK</v>
      </c>
      <c r="U479" s="25">
        <f t="shared" si="62"/>
        <v>40</v>
      </c>
      <c r="V479" t="str">
        <f t="shared" si="63"/>
        <v>OK</v>
      </c>
    </row>
    <row r="480" spans="1:22" ht="18" customHeight="1">
      <c r="A480" t="s">
        <v>158</v>
      </c>
      <c r="B480" t="s">
        <v>159</v>
      </c>
      <c r="C480">
        <v>17</v>
      </c>
      <c r="D480" t="s">
        <v>123</v>
      </c>
      <c r="E480" s="6">
        <f t="shared" si="56"/>
        <v>34</v>
      </c>
      <c r="F480" s="6">
        <f t="shared" si="57"/>
        <v>55</v>
      </c>
      <c r="G480" s="6">
        <f>ROUND(Catalogue!G27*SQRT((1+Paramètres!$B$4*(C480-1)+Paramètres!$B$5*(C480-1)^2)),0)</f>
        <v>0</v>
      </c>
      <c r="H480" s="6">
        <f>ROUND(Catalogue!H27*SQRT((1+Paramètres!$B$4*(C480-1)+Paramètres!$B$5*(C480-1)^2)),0)</f>
        <v>0</v>
      </c>
      <c r="I480" s="6">
        <v>2</v>
      </c>
      <c r="J480" s="6">
        <v>1</v>
      </c>
      <c r="K480" s="7">
        <v>2.2999999999999998</v>
      </c>
      <c r="L480" s="9">
        <f t="shared" si="58"/>
        <v>44.5</v>
      </c>
      <c r="M480">
        <v>3</v>
      </c>
      <c r="N480">
        <v>8</v>
      </c>
      <c r="O480">
        <v>31</v>
      </c>
      <c r="P480" s="13" t="str">
        <f t="shared" si="59"/>
        <v>3d8 + 31</v>
      </c>
      <c r="Q480">
        <f>ROUND(INDEX(Catalogue!E$4:E$85,MATCH(A480,Catalogue!A$4:A$85,0))*(1+Paramètres!$B$4*(C480-1)+Paramètres!$B$5*(C480-1)^2),0)</f>
        <v>34</v>
      </c>
      <c r="R480">
        <f>ROUND(INDEX(Catalogue!F$4:F$85,MATCH(A480,Catalogue!A$4:A$85,0))*(1+Paramètres!$B$4*(C480-1)+Paramètres!$B$5*(C480-1)^2),0)</f>
        <v>55</v>
      </c>
      <c r="S480">
        <f t="shared" si="60"/>
        <v>0</v>
      </c>
      <c r="T480" t="str">
        <f t="shared" si="61"/>
        <v>OK</v>
      </c>
      <c r="U480" s="25">
        <f t="shared" si="62"/>
        <v>44.5</v>
      </c>
      <c r="V480" t="str">
        <f t="shared" si="63"/>
        <v>OK</v>
      </c>
    </row>
    <row r="481" spans="1:22" ht="18" customHeight="1">
      <c r="A481" t="s">
        <v>158</v>
      </c>
      <c r="B481" t="s">
        <v>159</v>
      </c>
      <c r="C481">
        <v>18</v>
      </c>
      <c r="D481" t="s">
        <v>123</v>
      </c>
      <c r="E481" s="6">
        <f t="shared" si="56"/>
        <v>37</v>
      </c>
      <c r="F481" s="6">
        <f t="shared" si="57"/>
        <v>59</v>
      </c>
      <c r="G481" s="6">
        <f>ROUND(Catalogue!G27*SQRT((1+Paramètres!$B$4*(C481-1)+Paramètres!$B$5*(C481-1)^2)),0)</f>
        <v>0</v>
      </c>
      <c r="H481" s="6">
        <f>ROUND(Catalogue!H27*SQRT((1+Paramètres!$B$4*(C481-1)+Paramètres!$B$5*(C481-1)^2)),0)</f>
        <v>0</v>
      </c>
      <c r="I481" s="6">
        <v>2</v>
      </c>
      <c r="J481" s="6">
        <v>1</v>
      </c>
      <c r="K481" s="7">
        <v>2.2999999999999998</v>
      </c>
      <c r="L481" s="9">
        <f t="shared" si="58"/>
        <v>48</v>
      </c>
      <c r="M481">
        <v>2</v>
      </c>
      <c r="N481">
        <v>12</v>
      </c>
      <c r="O481">
        <v>35</v>
      </c>
      <c r="P481" s="13" t="str">
        <f t="shared" si="59"/>
        <v>2d12 + 35</v>
      </c>
      <c r="Q481">
        <f>ROUND(INDEX(Catalogue!E$4:E$85,MATCH(A481,Catalogue!A$4:A$85,0))*(1+Paramètres!$B$4*(C481-1)+Paramètres!$B$5*(C481-1)^2),0)</f>
        <v>37</v>
      </c>
      <c r="R481">
        <f>ROUND(INDEX(Catalogue!F$4:F$85,MATCH(A481,Catalogue!A$4:A$85,0))*(1+Paramètres!$B$4*(C481-1)+Paramètres!$B$5*(C481-1)^2),0)</f>
        <v>60</v>
      </c>
      <c r="S481">
        <f t="shared" si="60"/>
        <v>-0.5</v>
      </c>
      <c r="T481" t="str">
        <f t="shared" si="61"/>
        <v>OK</v>
      </c>
      <c r="U481" s="25">
        <f t="shared" si="62"/>
        <v>48</v>
      </c>
      <c r="V481" t="str">
        <f t="shared" si="63"/>
        <v>OK</v>
      </c>
    </row>
    <row r="482" spans="1:22" ht="18" customHeight="1">
      <c r="A482" t="s">
        <v>158</v>
      </c>
      <c r="B482" t="s">
        <v>159</v>
      </c>
      <c r="C482">
        <v>19</v>
      </c>
      <c r="D482" t="s">
        <v>123</v>
      </c>
      <c r="E482" s="6">
        <f t="shared" si="56"/>
        <v>40</v>
      </c>
      <c r="F482" s="6">
        <f t="shared" si="57"/>
        <v>65</v>
      </c>
      <c r="G482" s="6">
        <f>ROUND(Catalogue!G27*SQRT((1+Paramètres!$B$4*(C482-1)+Paramètres!$B$5*(C482-1)^2)),0)</f>
        <v>0</v>
      </c>
      <c r="H482" s="6">
        <f>ROUND(Catalogue!H27*SQRT((1+Paramètres!$B$4*(C482-1)+Paramètres!$B$5*(C482-1)^2)),0)</f>
        <v>0</v>
      </c>
      <c r="I482" s="6">
        <v>2</v>
      </c>
      <c r="J482" s="6">
        <v>1</v>
      </c>
      <c r="K482" s="7">
        <v>2.2999999999999998</v>
      </c>
      <c r="L482" s="9">
        <f t="shared" si="58"/>
        <v>52.5</v>
      </c>
      <c r="M482">
        <v>5</v>
      </c>
      <c r="N482">
        <v>6</v>
      </c>
      <c r="O482">
        <v>35</v>
      </c>
      <c r="P482" s="13" t="str">
        <f t="shared" si="59"/>
        <v>5d6 + 35</v>
      </c>
      <c r="Q482">
        <f>ROUND(INDEX(Catalogue!E$4:E$85,MATCH(A482,Catalogue!A$4:A$85,0))*(1+Paramètres!$B$4*(C482-1)+Paramètres!$B$5*(C482-1)^2),0)</f>
        <v>41</v>
      </c>
      <c r="R482">
        <f>ROUND(INDEX(Catalogue!F$4:F$85,MATCH(A482,Catalogue!A$4:A$85,0))*(1+Paramètres!$B$4*(C482-1)+Paramètres!$B$5*(C482-1)^2),0)</f>
        <v>65</v>
      </c>
      <c r="S482">
        <f t="shared" si="60"/>
        <v>-0.5</v>
      </c>
      <c r="T482" t="str">
        <f t="shared" si="61"/>
        <v>OK</v>
      </c>
      <c r="U482" s="25">
        <f t="shared" si="62"/>
        <v>52.5</v>
      </c>
      <c r="V482" t="str">
        <f t="shared" si="63"/>
        <v>OK</v>
      </c>
    </row>
    <row r="483" spans="1:22" ht="18" customHeight="1">
      <c r="A483" t="s">
        <v>158</v>
      </c>
      <c r="B483" t="s">
        <v>159</v>
      </c>
      <c r="C483">
        <v>20</v>
      </c>
      <c r="D483" t="s">
        <v>123</v>
      </c>
      <c r="E483" s="6">
        <f t="shared" si="56"/>
        <v>44</v>
      </c>
      <c r="F483" s="6">
        <f t="shared" si="57"/>
        <v>71</v>
      </c>
      <c r="G483" s="6">
        <f>ROUND(Catalogue!G27*SQRT((1+Paramètres!$B$4*(C483-1)+Paramètres!$B$5*(C483-1)^2)),0)</f>
        <v>0</v>
      </c>
      <c r="H483" s="6">
        <f>ROUND(Catalogue!H27*SQRT((1+Paramètres!$B$4*(C483-1)+Paramètres!$B$5*(C483-1)^2)),0)</f>
        <v>0</v>
      </c>
      <c r="I483" s="6">
        <v>2</v>
      </c>
      <c r="J483" s="6">
        <v>1</v>
      </c>
      <c r="K483" s="7">
        <v>2.2999999999999998</v>
      </c>
      <c r="L483" s="9">
        <f t="shared" si="58"/>
        <v>57.5</v>
      </c>
      <c r="M483">
        <v>3</v>
      </c>
      <c r="N483">
        <v>10</v>
      </c>
      <c r="O483">
        <v>41</v>
      </c>
      <c r="P483" s="13" t="str">
        <f t="shared" si="59"/>
        <v>3d10 + 41</v>
      </c>
      <c r="Q483">
        <f>ROUND(INDEX(Catalogue!E$4:E$85,MATCH(A483,Catalogue!A$4:A$85,0))*(1+Paramètres!$B$4*(C483-1)+Paramètres!$B$5*(C483-1)^2),0)</f>
        <v>44</v>
      </c>
      <c r="R483">
        <f>ROUND(INDEX(Catalogue!F$4:F$85,MATCH(A483,Catalogue!A$4:A$85,0))*(1+Paramètres!$B$4*(C483-1)+Paramètres!$B$5*(C483-1)^2),0)</f>
        <v>71</v>
      </c>
      <c r="S483">
        <f t="shared" si="60"/>
        <v>0</v>
      </c>
      <c r="T483" t="str">
        <f t="shared" si="61"/>
        <v>OK</v>
      </c>
      <c r="U483" s="25">
        <f t="shared" si="62"/>
        <v>57.5</v>
      </c>
      <c r="V483" t="str">
        <f t="shared" si="63"/>
        <v>OK</v>
      </c>
    </row>
    <row r="484" spans="1:22" ht="18" customHeight="1">
      <c r="A484" t="s">
        <v>161</v>
      </c>
      <c r="B484" t="s">
        <v>162</v>
      </c>
      <c r="C484">
        <v>1</v>
      </c>
      <c r="D484" t="s">
        <v>123</v>
      </c>
      <c r="E484" s="6">
        <f t="shared" si="56"/>
        <v>4</v>
      </c>
      <c r="F484" s="6">
        <f t="shared" si="57"/>
        <v>7</v>
      </c>
      <c r="G484" s="6">
        <f>ROUND(Catalogue!G28*SQRT((1+Paramètres!$B$4*(C484-1)+Paramètres!$B$5*(C484-1)^2)),0)</f>
        <v>0</v>
      </c>
      <c r="H484" s="6">
        <f>ROUND(Catalogue!H28*SQRT((1+Paramètres!$B$4*(C484-1)+Paramètres!$B$5*(C484-1)^2)),0)</f>
        <v>0</v>
      </c>
      <c r="I484" s="6">
        <v>2</v>
      </c>
      <c r="J484" s="6">
        <v>1</v>
      </c>
      <c r="K484" s="7">
        <v>1.9</v>
      </c>
      <c r="L484" s="9">
        <f t="shared" si="58"/>
        <v>5.5</v>
      </c>
      <c r="M484">
        <v>1</v>
      </c>
      <c r="N484">
        <v>4</v>
      </c>
      <c r="O484">
        <v>3</v>
      </c>
      <c r="P484" s="13" t="str">
        <f t="shared" si="59"/>
        <v>1d4 + 3</v>
      </c>
      <c r="Q484">
        <f>ROUND(INDEX(Catalogue!E$4:E$85,MATCH(A484,Catalogue!A$4:A$85,0))*(1+Paramètres!$B$4*(C484-1)+Paramètres!$B$5*(C484-1)^2),0)</f>
        <v>4</v>
      </c>
      <c r="R484">
        <f>ROUND(INDEX(Catalogue!F$4:F$85,MATCH(A484,Catalogue!A$4:A$85,0))*(1+Paramètres!$B$4*(C484-1)+Paramètres!$B$5*(C484-1)^2),0)</f>
        <v>8</v>
      </c>
      <c r="S484">
        <f t="shared" si="60"/>
        <v>-0.5</v>
      </c>
      <c r="T484" t="str">
        <f t="shared" si="61"/>
        <v>OK</v>
      </c>
      <c r="U484" s="25">
        <f t="shared" si="62"/>
        <v>5.5</v>
      </c>
      <c r="V484" t="str">
        <f t="shared" si="63"/>
        <v>OK</v>
      </c>
    </row>
    <row r="485" spans="1:22" ht="18" customHeight="1">
      <c r="A485" t="s">
        <v>161</v>
      </c>
      <c r="B485" t="s">
        <v>162</v>
      </c>
      <c r="C485">
        <v>2</v>
      </c>
      <c r="D485" t="s">
        <v>123</v>
      </c>
      <c r="E485" s="6">
        <f t="shared" si="56"/>
        <v>5</v>
      </c>
      <c r="F485" s="6">
        <f t="shared" si="57"/>
        <v>8</v>
      </c>
      <c r="G485" s="6">
        <f>ROUND(Catalogue!G28*SQRT((1+Paramètres!$B$4*(C485-1)+Paramètres!$B$5*(C485-1)^2)),0)</f>
        <v>0</v>
      </c>
      <c r="H485" s="6">
        <f>ROUND(Catalogue!H28*SQRT((1+Paramètres!$B$4*(C485-1)+Paramètres!$B$5*(C485-1)^2)),0)</f>
        <v>0</v>
      </c>
      <c r="I485" s="6">
        <v>2</v>
      </c>
      <c r="J485" s="6">
        <v>1</v>
      </c>
      <c r="K485" s="7">
        <v>1.9</v>
      </c>
      <c r="L485" s="9">
        <f t="shared" si="58"/>
        <v>6.5</v>
      </c>
      <c r="M485">
        <v>1</v>
      </c>
      <c r="N485">
        <v>4</v>
      </c>
      <c r="O485">
        <v>4</v>
      </c>
      <c r="P485" s="13" t="str">
        <f t="shared" si="59"/>
        <v>1d4 + 4</v>
      </c>
      <c r="Q485">
        <f>ROUND(INDEX(Catalogue!E$4:E$85,MATCH(A485,Catalogue!A$4:A$85,0))*(1+Paramètres!$B$4*(C485-1)+Paramètres!$B$5*(C485-1)^2),0)</f>
        <v>5</v>
      </c>
      <c r="R485">
        <f>ROUND(INDEX(Catalogue!F$4:F$85,MATCH(A485,Catalogue!A$4:A$85,0))*(1+Paramètres!$B$4*(C485-1)+Paramètres!$B$5*(C485-1)^2),0)</f>
        <v>9</v>
      </c>
      <c r="S485">
        <f t="shared" si="60"/>
        <v>-0.5</v>
      </c>
      <c r="T485" t="str">
        <f t="shared" si="61"/>
        <v>OK</v>
      </c>
      <c r="U485" s="25">
        <f t="shared" si="62"/>
        <v>6.5</v>
      </c>
      <c r="V485" t="str">
        <f t="shared" si="63"/>
        <v>OK</v>
      </c>
    </row>
    <row r="486" spans="1:22" ht="18" customHeight="1">
      <c r="A486" t="s">
        <v>161</v>
      </c>
      <c r="B486" t="s">
        <v>162</v>
      </c>
      <c r="C486">
        <v>3</v>
      </c>
      <c r="D486" t="s">
        <v>123</v>
      </c>
      <c r="E486" s="6">
        <f t="shared" si="56"/>
        <v>5</v>
      </c>
      <c r="F486" s="6">
        <f t="shared" si="57"/>
        <v>10</v>
      </c>
      <c r="G486" s="6">
        <f>ROUND(Catalogue!G28*SQRT((1+Paramètres!$B$4*(C486-1)+Paramètres!$B$5*(C486-1)^2)),0)</f>
        <v>0</v>
      </c>
      <c r="H486" s="6">
        <f>ROUND(Catalogue!H28*SQRT((1+Paramètres!$B$4*(C486-1)+Paramètres!$B$5*(C486-1)^2)),0)</f>
        <v>0</v>
      </c>
      <c r="I486" s="6">
        <v>2</v>
      </c>
      <c r="J486" s="6">
        <v>1</v>
      </c>
      <c r="K486" s="7">
        <v>1.9</v>
      </c>
      <c r="L486" s="9">
        <f t="shared" si="58"/>
        <v>7.5</v>
      </c>
      <c r="M486">
        <v>1</v>
      </c>
      <c r="N486">
        <v>6</v>
      </c>
      <c r="O486">
        <v>4</v>
      </c>
      <c r="P486" s="13" t="str">
        <f t="shared" si="59"/>
        <v>1d6 + 4</v>
      </c>
      <c r="Q486">
        <f>ROUND(INDEX(Catalogue!E$4:E$85,MATCH(A486,Catalogue!A$4:A$85,0))*(1+Paramètres!$B$4*(C486-1)+Paramètres!$B$5*(C486-1)^2),0)</f>
        <v>5</v>
      </c>
      <c r="R486">
        <f>ROUND(INDEX(Catalogue!F$4:F$85,MATCH(A486,Catalogue!A$4:A$85,0))*(1+Paramètres!$B$4*(C486-1)+Paramètres!$B$5*(C486-1)^2),0)</f>
        <v>10</v>
      </c>
      <c r="S486">
        <f t="shared" si="60"/>
        <v>0</v>
      </c>
      <c r="T486" t="str">
        <f t="shared" si="61"/>
        <v>OK</v>
      </c>
      <c r="U486" s="25">
        <f t="shared" si="62"/>
        <v>7.5</v>
      </c>
      <c r="V486" t="str">
        <f t="shared" si="63"/>
        <v>OK</v>
      </c>
    </row>
    <row r="487" spans="1:22" ht="18" customHeight="1">
      <c r="A487" t="s">
        <v>161</v>
      </c>
      <c r="B487" t="s">
        <v>162</v>
      </c>
      <c r="C487">
        <v>4</v>
      </c>
      <c r="D487" t="s">
        <v>123</v>
      </c>
      <c r="E487" s="6">
        <f t="shared" si="56"/>
        <v>6</v>
      </c>
      <c r="F487" s="6">
        <f t="shared" si="57"/>
        <v>12</v>
      </c>
      <c r="G487" s="6">
        <f>ROUND(Catalogue!G28*SQRT((1+Paramètres!$B$4*(C487-1)+Paramètres!$B$5*(C487-1)^2)),0)</f>
        <v>0</v>
      </c>
      <c r="H487" s="6">
        <f>ROUND(Catalogue!H28*SQRT((1+Paramètres!$B$4*(C487-1)+Paramètres!$B$5*(C487-1)^2)),0)</f>
        <v>0</v>
      </c>
      <c r="I487" s="6">
        <v>2</v>
      </c>
      <c r="J487" s="6">
        <v>1</v>
      </c>
      <c r="K487" s="7">
        <v>1.9</v>
      </c>
      <c r="L487" s="9">
        <f t="shared" si="58"/>
        <v>9</v>
      </c>
      <c r="M487">
        <v>2</v>
      </c>
      <c r="N487">
        <v>4</v>
      </c>
      <c r="O487">
        <v>4</v>
      </c>
      <c r="P487" s="13" t="str">
        <f t="shared" si="59"/>
        <v>2d4 + 4</v>
      </c>
      <c r="Q487">
        <f>ROUND(INDEX(Catalogue!E$4:E$85,MATCH(A487,Catalogue!A$4:A$85,0))*(1+Paramètres!$B$4*(C487-1)+Paramètres!$B$5*(C487-1)^2),0)</f>
        <v>6</v>
      </c>
      <c r="R487">
        <f>ROUND(INDEX(Catalogue!F$4:F$85,MATCH(A487,Catalogue!A$4:A$85,0))*(1+Paramètres!$B$4*(C487-1)+Paramètres!$B$5*(C487-1)^2),0)</f>
        <v>12</v>
      </c>
      <c r="S487">
        <f t="shared" si="60"/>
        <v>0</v>
      </c>
      <c r="T487" t="str">
        <f t="shared" si="61"/>
        <v>OK</v>
      </c>
      <c r="U487" s="25">
        <f t="shared" si="62"/>
        <v>9</v>
      </c>
      <c r="V487" t="str">
        <f t="shared" si="63"/>
        <v>OK</v>
      </c>
    </row>
    <row r="488" spans="1:22" ht="18" customHeight="1">
      <c r="A488" t="s">
        <v>161</v>
      </c>
      <c r="B488" t="s">
        <v>162</v>
      </c>
      <c r="C488">
        <v>5</v>
      </c>
      <c r="D488" t="s">
        <v>123</v>
      </c>
      <c r="E488" s="6">
        <f t="shared" si="56"/>
        <v>7</v>
      </c>
      <c r="F488" s="6">
        <f t="shared" si="57"/>
        <v>14</v>
      </c>
      <c r="G488" s="6">
        <f>ROUND(Catalogue!G28*SQRT((1+Paramètres!$B$4*(C488-1)+Paramètres!$B$5*(C488-1)^2)),0)</f>
        <v>0</v>
      </c>
      <c r="H488" s="6">
        <f>ROUND(Catalogue!H28*SQRT((1+Paramètres!$B$4*(C488-1)+Paramètres!$B$5*(C488-1)^2)),0)</f>
        <v>0</v>
      </c>
      <c r="I488" s="6">
        <v>2</v>
      </c>
      <c r="J488" s="6">
        <v>1</v>
      </c>
      <c r="K488" s="7">
        <v>1.9</v>
      </c>
      <c r="L488" s="9">
        <f t="shared" si="58"/>
        <v>10.5</v>
      </c>
      <c r="M488">
        <v>1</v>
      </c>
      <c r="N488">
        <v>8</v>
      </c>
      <c r="O488">
        <v>6</v>
      </c>
      <c r="P488" s="13" t="str">
        <f t="shared" si="59"/>
        <v>1d8 + 6</v>
      </c>
      <c r="Q488">
        <f>ROUND(INDEX(Catalogue!E$4:E$85,MATCH(A488,Catalogue!A$4:A$85,0))*(1+Paramètres!$B$4*(C488-1)+Paramètres!$B$5*(C488-1)^2),0)</f>
        <v>7</v>
      </c>
      <c r="R488">
        <f>ROUND(INDEX(Catalogue!F$4:F$85,MATCH(A488,Catalogue!A$4:A$85,0))*(1+Paramètres!$B$4*(C488-1)+Paramètres!$B$5*(C488-1)^2),0)</f>
        <v>14</v>
      </c>
      <c r="S488">
        <f t="shared" si="60"/>
        <v>0</v>
      </c>
      <c r="T488" t="str">
        <f t="shared" si="61"/>
        <v>OK</v>
      </c>
      <c r="U488" s="25">
        <f t="shared" si="62"/>
        <v>10.5</v>
      </c>
      <c r="V488" t="str">
        <f t="shared" si="63"/>
        <v>OK</v>
      </c>
    </row>
    <row r="489" spans="1:22" ht="18" customHeight="1">
      <c r="A489" t="s">
        <v>161</v>
      </c>
      <c r="B489" t="s">
        <v>162</v>
      </c>
      <c r="C489">
        <v>6</v>
      </c>
      <c r="D489" t="s">
        <v>123</v>
      </c>
      <c r="E489" s="6">
        <f t="shared" si="56"/>
        <v>9</v>
      </c>
      <c r="F489" s="6">
        <f t="shared" si="57"/>
        <v>16</v>
      </c>
      <c r="G489" s="6">
        <f>ROUND(Catalogue!G28*SQRT((1+Paramètres!$B$4*(C489-1)+Paramètres!$B$5*(C489-1)^2)),0)</f>
        <v>0</v>
      </c>
      <c r="H489" s="6">
        <f>ROUND(Catalogue!H28*SQRT((1+Paramètres!$B$4*(C489-1)+Paramètres!$B$5*(C489-1)^2)),0)</f>
        <v>0</v>
      </c>
      <c r="I489" s="6">
        <v>2</v>
      </c>
      <c r="J489" s="6">
        <v>1</v>
      </c>
      <c r="K489" s="7">
        <v>1.9</v>
      </c>
      <c r="L489" s="9">
        <f t="shared" si="58"/>
        <v>12.5</v>
      </c>
      <c r="M489">
        <v>1</v>
      </c>
      <c r="N489">
        <v>8</v>
      </c>
      <c r="O489">
        <v>8</v>
      </c>
      <c r="P489" s="13" t="str">
        <f t="shared" si="59"/>
        <v>1d8 + 8</v>
      </c>
      <c r="Q489">
        <f>ROUND(INDEX(Catalogue!E$4:E$85,MATCH(A489,Catalogue!A$4:A$85,0))*(1+Paramètres!$B$4*(C489-1)+Paramètres!$B$5*(C489-1)^2),0)</f>
        <v>8</v>
      </c>
      <c r="R489">
        <f>ROUND(INDEX(Catalogue!F$4:F$85,MATCH(A489,Catalogue!A$4:A$85,0))*(1+Paramètres!$B$4*(C489-1)+Paramètres!$B$5*(C489-1)^2),0)</f>
        <v>16</v>
      </c>
      <c r="S489">
        <f t="shared" si="60"/>
        <v>0.5</v>
      </c>
      <c r="T489" t="str">
        <f t="shared" si="61"/>
        <v>OK</v>
      </c>
      <c r="U489" s="25">
        <f t="shared" si="62"/>
        <v>12.5</v>
      </c>
      <c r="V489" t="str">
        <f t="shared" si="63"/>
        <v>OK</v>
      </c>
    </row>
    <row r="490" spans="1:22" ht="18" customHeight="1">
      <c r="A490" t="s">
        <v>161</v>
      </c>
      <c r="B490" t="s">
        <v>162</v>
      </c>
      <c r="C490">
        <v>7</v>
      </c>
      <c r="D490" t="s">
        <v>123</v>
      </c>
      <c r="E490" s="6">
        <f t="shared" si="56"/>
        <v>9</v>
      </c>
      <c r="F490" s="6">
        <f t="shared" si="57"/>
        <v>18</v>
      </c>
      <c r="G490" s="6">
        <f>ROUND(Catalogue!G28*SQRT((1+Paramètres!$B$4*(C490-1)+Paramètres!$B$5*(C490-1)^2)),0)</f>
        <v>0</v>
      </c>
      <c r="H490" s="6">
        <f>ROUND(Catalogue!H28*SQRT((1+Paramètres!$B$4*(C490-1)+Paramètres!$B$5*(C490-1)^2)),0)</f>
        <v>0</v>
      </c>
      <c r="I490" s="6">
        <v>2</v>
      </c>
      <c r="J490" s="6">
        <v>1</v>
      </c>
      <c r="K490" s="7">
        <v>1.9</v>
      </c>
      <c r="L490" s="9">
        <f t="shared" si="58"/>
        <v>13.5</v>
      </c>
      <c r="M490">
        <v>1</v>
      </c>
      <c r="N490">
        <v>10</v>
      </c>
      <c r="O490">
        <v>8</v>
      </c>
      <c r="P490" s="13" t="str">
        <f t="shared" si="59"/>
        <v>1d10 + 8</v>
      </c>
      <c r="Q490">
        <f>ROUND(INDEX(Catalogue!E$4:E$85,MATCH(A490,Catalogue!A$4:A$85,0))*(1+Paramètres!$B$4*(C490-1)+Paramètres!$B$5*(C490-1)^2),0)</f>
        <v>9</v>
      </c>
      <c r="R490">
        <f>ROUND(INDEX(Catalogue!F$4:F$85,MATCH(A490,Catalogue!A$4:A$85,0))*(1+Paramètres!$B$4*(C490-1)+Paramètres!$B$5*(C490-1)^2),0)</f>
        <v>18</v>
      </c>
      <c r="S490">
        <f t="shared" si="60"/>
        <v>0</v>
      </c>
      <c r="T490" t="str">
        <f t="shared" si="61"/>
        <v>OK</v>
      </c>
      <c r="U490" s="25">
        <f t="shared" si="62"/>
        <v>13.5</v>
      </c>
      <c r="V490" t="str">
        <f t="shared" si="63"/>
        <v>OK</v>
      </c>
    </row>
    <row r="491" spans="1:22" ht="18" customHeight="1">
      <c r="A491" t="s">
        <v>161</v>
      </c>
      <c r="B491" t="s">
        <v>162</v>
      </c>
      <c r="C491">
        <v>8</v>
      </c>
      <c r="D491" t="s">
        <v>123</v>
      </c>
      <c r="E491" s="6">
        <f t="shared" si="56"/>
        <v>10</v>
      </c>
      <c r="F491" s="6">
        <f t="shared" si="57"/>
        <v>20</v>
      </c>
      <c r="G491" s="6">
        <f>ROUND(Catalogue!G28*SQRT((1+Paramètres!$B$4*(C491-1)+Paramètres!$B$5*(C491-1)^2)),0)</f>
        <v>0</v>
      </c>
      <c r="H491" s="6">
        <f>ROUND(Catalogue!H28*SQRT((1+Paramètres!$B$4*(C491-1)+Paramètres!$B$5*(C491-1)^2)),0)</f>
        <v>0</v>
      </c>
      <c r="I491" s="6">
        <v>2</v>
      </c>
      <c r="J491" s="6">
        <v>1</v>
      </c>
      <c r="K491" s="7">
        <v>1.9</v>
      </c>
      <c r="L491" s="9">
        <f t="shared" si="58"/>
        <v>15</v>
      </c>
      <c r="M491">
        <v>2</v>
      </c>
      <c r="N491">
        <v>6</v>
      </c>
      <c r="O491">
        <v>8</v>
      </c>
      <c r="P491" s="13" t="str">
        <f t="shared" si="59"/>
        <v>2d6 + 8</v>
      </c>
      <c r="Q491">
        <f>ROUND(INDEX(Catalogue!E$4:E$85,MATCH(A491,Catalogue!A$4:A$85,0))*(1+Paramètres!$B$4*(C491-1)+Paramètres!$B$5*(C491-1)^2),0)</f>
        <v>10</v>
      </c>
      <c r="R491">
        <f>ROUND(INDEX(Catalogue!F$4:F$85,MATCH(A491,Catalogue!A$4:A$85,0))*(1+Paramètres!$B$4*(C491-1)+Paramètres!$B$5*(C491-1)^2),0)</f>
        <v>20</v>
      </c>
      <c r="S491">
        <f t="shared" si="60"/>
        <v>0</v>
      </c>
      <c r="T491" t="str">
        <f t="shared" si="61"/>
        <v>OK</v>
      </c>
      <c r="U491" s="25">
        <f t="shared" si="62"/>
        <v>15</v>
      </c>
      <c r="V491" t="str">
        <f t="shared" si="63"/>
        <v>OK</v>
      </c>
    </row>
    <row r="492" spans="1:22" ht="18" customHeight="1">
      <c r="A492" t="s">
        <v>161</v>
      </c>
      <c r="B492" t="s">
        <v>162</v>
      </c>
      <c r="C492">
        <v>9</v>
      </c>
      <c r="D492" t="s">
        <v>123</v>
      </c>
      <c r="E492" s="6">
        <f t="shared" si="56"/>
        <v>12</v>
      </c>
      <c r="F492" s="6">
        <f t="shared" si="57"/>
        <v>23</v>
      </c>
      <c r="G492" s="6">
        <f>ROUND(Catalogue!G28*SQRT((1+Paramètres!$B$4*(C492-1)+Paramètres!$B$5*(C492-1)^2)),0)</f>
        <v>0</v>
      </c>
      <c r="H492" s="6">
        <f>ROUND(Catalogue!H28*SQRT((1+Paramètres!$B$4*(C492-1)+Paramètres!$B$5*(C492-1)^2)),0)</f>
        <v>0</v>
      </c>
      <c r="I492" s="6">
        <v>2</v>
      </c>
      <c r="J492" s="6">
        <v>1</v>
      </c>
      <c r="K492" s="7">
        <v>1.9</v>
      </c>
      <c r="L492" s="9">
        <f t="shared" si="58"/>
        <v>17.5</v>
      </c>
      <c r="M492">
        <v>1</v>
      </c>
      <c r="N492">
        <v>12</v>
      </c>
      <c r="O492">
        <v>11</v>
      </c>
      <c r="P492" s="13" t="str">
        <f t="shared" si="59"/>
        <v>1d12 + 11</v>
      </c>
      <c r="Q492">
        <f>ROUND(INDEX(Catalogue!E$4:E$85,MATCH(A492,Catalogue!A$4:A$85,0))*(1+Paramètres!$B$4*(C492-1)+Paramètres!$B$5*(C492-1)^2),0)</f>
        <v>12</v>
      </c>
      <c r="R492">
        <f>ROUND(INDEX(Catalogue!F$4:F$85,MATCH(A492,Catalogue!A$4:A$85,0))*(1+Paramètres!$B$4*(C492-1)+Paramètres!$B$5*(C492-1)^2),0)</f>
        <v>23</v>
      </c>
      <c r="S492">
        <f t="shared" si="60"/>
        <v>0</v>
      </c>
      <c r="T492" t="str">
        <f t="shared" si="61"/>
        <v>OK</v>
      </c>
      <c r="U492" s="25">
        <f t="shared" si="62"/>
        <v>17.5</v>
      </c>
      <c r="V492" t="str">
        <f t="shared" si="63"/>
        <v>OK</v>
      </c>
    </row>
    <row r="493" spans="1:22" ht="18" customHeight="1">
      <c r="A493" t="s">
        <v>161</v>
      </c>
      <c r="B493" t="s">
        <v>162</v>
      </c>
      <c r="C493">
        <v>10</v>
      </c>
      <c r="D493" t="s">
        <v>123</v>
      </c>
      <c r="E493" s="6">
        <f t="shared" si="56"/>
        <v>12</v>
      </c>
      <c r="F493" s="6">
        <f t="shared" si="57"/>
        <v>26</v>
      </c>
      <c r="G493" s="6">
        <f>ROUND(Catalogue!G28*SQRT((1+Paramètres!$B$4*(C493-1)+Paramètres!$B$5*(C493-1)^2)),0)</f>
        <v>0</v>
      </c>
      <c r="H493" s="6">
        <f>ROUND(Catalogue!H28*SQRT((1+Paramètres!$B$4*(C493-1)+Paramètres!$B$5*(C493-1)^2)),0)</f>
        <v>0</v>
      </c>
      <c r="I493" s="6">
        <v>2</v>
      </c>
      <c r="J493" s="6">
        <v>1</v>
      </c>
      <c r="K493" s="7">
        <v>1.9</v>
      </c>
      <c r="L493" s="9">
        <f t="shared" si="58"/>
        <v>19</v>
      </c>
      <c r="M493">
        <v>2</v>
      </c>
      <c r="N493">
        <v>8</v>
      </c>
      <c r="O493">
        <v>10</v>
      </c>
      <c r="P493" s="13" t="str">
        <f t="shared" si="59"/>
        <v>2d8 + 10</v>
      </c>
      <c r="Q493">
        <f>ROUND(INDEX(Catalogue!E$4:E$85,MATCH(A493,Catalogue!A$4:A$85,0))*(1+Paramètres!$B$4*(C493-1)+Paramètres!$B$5*(C493-1)^2),0)</f>
        <v>13</v>
      </c>
      <c r="R493">
        <f>ROUND(INDEX(Catalogue!F$4:F$85,MATCH(A493,Catalogue!A$4:A$85,0))*(1+Paramètres!$B$4*(C493-1)+Paramètres!$B$5*(C493-1)^2),0)</f>
        <v>26</v>
      </c>
      <c r="S493">
        <f t="shared" si="60"/>
        <v>-0.5</v>
      </c>
      <c r="T493" t="str">
        <f t="shared" si="61"/>
        <v>OK</v>
      </c>
      <c r="U493" s="25">
        <f t="shared" si="62"/>
        <v>19</v>
      </c>
      <c r="V493" t="str">
        <f t="shared" si="63"/>
        <v>OK</v>
      </c>
    </row>
    <row r="494" spans="1:22" ht="18" customHeight="1">
      <c r="A494" t="s">
        <v>161</v>
      </c>
      <c r="B494" t="s">
        <v>162</v>
      </c>
      <c r="C494">
        <v>11</v>
      </c>
      <c r="D494" t="s">
        <v>123</v>
      </c>
      <c r="E494" s="6">
        <f t="shared" si="56"/>
        <v>15</v>
      </c>
      <c r="F494" s="6">
        <f t="shared" si="57"/>
        <v>30</v>
      </c>
      <c r="G494" s="6">
        <f>ROUND(Catalogue!G28*SQRT((1+Paramètres!$B$4*(C494-1)+Paramètres!$B$5*(C494-1)^2)),0)</f>
        <v>0</v>
      </c>
      <c r="H494" s="6">
        <f>ROUND(Catalogue!H28*SQRT((1+Paramètres!$B$4*(C494-1)+Paramètres!$B$5*(C494-1)^2)),0)</f>
        <v>0</v>
      </c>
      <c r="I494" s="6">
        <v>2</v>
      </c>
      <c r="J494" s="6">
        <v>1</v>
      </c>
      <c r="K494" s="7">
        <v>1.9</v>
      </c>
      <c r="L494" s="9">
        <f t="shared" si="58"/>
        <v>22.5</v>
      </c>
      <c r="M494">
        <v>3</v>
      </c>
      <c r="N494">
        <v>6</v>
      </c>
      <c r="O494">
        <v>12</v>
      </c>
      <c r="P494" s="13" t="str">
        <f t="shared" si="59"/>
        <v>3d6 + 12</v>
      </c>
      <c r="Q494">
        <f>ROUND(INDEX(Catalogue!E$4:E$85,MATCH(A494,Catalogue!A$4:A$85,0))*(1+Paramètres!$B$4*(C494-1)+Paramètres!$B$5*(C494-1)^2),0)</f>
        <v>15</v>
      </c>
      <c r="R494">
        <f>ROUND(INDEX(Catalogue!F$4:F$85,MATCH(A494,Catalogue!A$4:A$85,0))*(1+Paramètres!$B$4*(C494-1)+Paramètres!$B$5*(C494-1)^2),0)</f>
        <v>30</v>
      </c>
      <c r="S494">
        <f t="shared" si="60"/>
        <v>0</v>
      </c>
      <c r="T494" t="str">
        <f t="shared" si="61"/>
        <v>OK</v>
      </c>
      <c r="U494" s="25">
        <f t="shared" si="62"/>
        <v>22.5</v>
      </c>
      <c r="V494" t="str">
        <f t="shared" si="63"/>
        <v>OK</v>
      </c>
    </row>
    <row r="495" spans="1:22" ht="18" customHeight="1">
      <c r="A495" t="s">
        <v>161</v>
      </c>
      <c r="B495" t="s">
        <v>162</v>
      </c>
      <c r="C495">
        <v>12</v>
      </c>
      <c r="D495" t="s">
        <v>123</v>
      </c>
      <c r="E495" s="6">
        <f t="shared" si="56"/>
        <v>17</v>
      </c>
      <c r="F495" s="6">
        <f t="shared" si="57"/>
        <v>32</v>
      </c>
      <c r="G495" s="6">
        <f>ROUND(Catalogue!G28*SQRT((1+Paramètres!$B$4*(C495-1)+Paramètres!$B$5*(C495-1)^2)),0)</f>
        <v>0</v>
      </c>
      <c r="H495" s="6">
        <f>ROUND(Catalogue!H28*SQRT((1+Paramètres!$B$4*(C495-1)+Paramètres!$B$5*(C495-1)^2)),0)</f>
        <v>0</v>
      </c>
      <c r="I495" s="6">
        <v>2</v>
      </c>
      <c r="J495" s="6">
        <v>1</v>
      </c>
      <c r="K495" s="7">
        <v>1.9</v>
      </c>
      <c r="L495" s="9">
        <f t="shared" si="58"/>
        <v>24.5</v>
      </c>
      <c r="M495">
        <v>3</v>
      </c>
      <c r="N495">
        <v>6</v>
      </c>
      <c r="O495">
        <v>14</v>
      </c>
      <c r="P495" s="13" t="str">
        <f t="shared" si="59"/>
        <v>3d6 + 14</v>
      </c>
      <c r="Q495">
        <f>ROUND(INDEX(Catalogue!E$4:E$85,MATCH(A495,Catalogue!A$4:A$85,0))*(1+Paramètres!$B$4*(C495-1)+Paramètres!$B$5*(C495-1)^2),0)</f>
        <v>17</v>
      </c>
      <c r="R495">
        <f>ROUND(INDEX(Catalogue!F$4:F$85,MATCH(A495,Catalogue!A$4:A$85,0))*(1+Paramètres!$B$4*(C495-1)+Paramètres!$B$5*(C495-1)^2),0)</f>
        <v>33</v>
      </c>
      <c r="S495">
        <f t="shared" si="60"/>
        <v>-0.5</v>
      </c>
      <c r="T495" t="str">
        <f t="shared" si="61"/>
        <v>OK</v>
      </c>
      <c r="U495" s="25">
        <f t="shared" si="62"/>
        <v>24.5</v>
      </c>
      <c r="V495" t="str">
        <f t="shared" si="63"/>
        <v>OK</v>
      </c>
    </row>
    <row r="496" spans="1:22" ht="18" customHeight="1">
      <c r="A496" t="s">
        <v>161</v>
      </c>
      <c r="B496" t="s">
        <v>162</v>
      </c>
      <c r="C496">
        <v>13</v>
      </c>
      <c r="D496" t="s">
        <v>123</v>
      </c>
      <c r="E496" s="6">
        <f t="shared" si="56"/>
        <v>18</v>
      </c>
      <c r="F496" s="6">
        <f t="shared" si="57"/>
        <v>36</v>
      </c>
      <c r="G496" s="6">
        <f>ROUND(Catalogue!G28*SQRT((1+Paramètres!$B$4*(C496-1)+Paramètres!$B$5*(C496-1)^2)),0)</f>
        <v>0</v>
      </c>
      <c r="H496" s="6">
        <f>ROUND(Catalogue!H28*SQRT((1+Paramètres!$B$4*(C496-1)+Paramètres!$B$5*(C496-1)^2)),0)</f>
        <v>0</v>
      </c>
      <c r="I496" s="6">
        <v>2</v>
      </c>
      <c r="J496" s="6">
        <v>1</v>
      </c>
      <c r="K496" s="7">
        <v>1.9</v>
      </c>
      <c r="L496" s="9">
        <f t="shared" si="58"/>
        <v>27</v>
      </c>
      <c r="M496">
        <v>2</v>
      </c>
      <c r="N496">
        <v>10</v>
      </c>
      <c r="O496">
        <v>16</v>
      </c>
      <c r="P496" s="13" t="str">
        <f t="shared" si="59"/>
        <v>2d10 + 16</v>
      </c>
      <c r="Q496">
        <f>ROUND(INDEX(Catalogue!E$4:E$85,MATCH(A496,Catalogue!A$4:A$85,0))*(1+Paramètres!$B$4*(C496-1)+Paramètres!$B$5*(C496-1)^2),0)</f>
        <v>18</v>
      </c>
      <c r="R496">
        <f>ROUND(INDEX(Catalogue!F$4:F$85,MATCH(A496,Catalogue!A$4:A$85,0))*(1+Paramètres!$B$4*(C496-1)+Paramètres!$B$5*(C496-1)^2),0)</f>
        <v>37</v>
      </c>
      <c r="S496">
        <f t="shared" si="60"/>
        <v>-0.5</v>
      </c>
      <c r="T496" t="str">
        <f t="shared" si="61"/>
        <v>OK</v>
      </c>
      <c r="U496" s="25">
        <f t="shared" si="62"/>
        <v>27</v>
      </c>
      <c r="V496" t="str">
        <f t="shared" si="63"/>
        <v>OK</v>
      </c>
    </row>
    <row r="497" spans="1:22" ht="18" customHeight="1">
      <c r="A497" t="s">
        <v>161</v>
      </c>
      <c r="B497" t="s">
        <v>162</v>
      </c>
      <c r="C497">
        <v>14</v>
      </c>
      <c r="D497" t="s">
        <v>123</v>
      </c>
      <c r="E497" s="6">
        <f t="shared" si="56"/>
        <v>21</v>
      </c>
      <c r="F497" s="6">
        <f t="shared" si="57"/>
        <v>41</v>
      </c>
      <c r="G497" s="6">
        <f>ROUND(Catalogue!G28*SQRT((1+Paramètres!$B$4*(C497-1)+Paramètres!$B$5*(C497-1)^2)),0)</f>
        <v>0</v>
      </c>
      <c r="H497" s="6">
        <f>ROUND(Catalogue!H28*SQRT((1+Paramètres!$B$4*(C497-1)+Paramètres!$B$5*(C497-1)^2)),0)</f>
        <v>0</v>
      </c>
      <c r="I497" s="6">
        <v>2</v>
      </c>
      <c r="J497" s="6">
        <v>1</v>
      </c>
      <c r="K497" s="7">
        <v>1.9</v>
      </c>
      <c r="L497" s="9">
        <f t="shared" si="58"/>
        <v>31</v>
      </c>
      <c r="M497">
        <v>4</v>
      </c>
      <c r="N497">
        <v>6</v>
      </c>
      <c r="O497">
        <v>17</v>
      </c>
      <c r="P497" s="13" t="str">
        <f t="shared" si="59"/>
        <v>4d6 + 17</v>
      </c>
      <c r="Q497">
        <f>ROUND(INDEX(Catalogue!E$4:E$85,MATCH(A497,Catalogue!A$4:A$85,0))*(1+Paramètres!$B$4*(C497-1)+Paramètres!$B$5*(C497-1)^2),0)</f>
        <v>21</v>
      </c>
      <c r="R497">
        <f>ROUND(INDEX(Catalogue!F$4:F$85,MATCH(A497,Catalogue!A$4:A$85,0))*(1+Paramètres!$B$4*(C497-1)+Paramètres!$B$5*(C497-1)^2),0)</f>
        <v>41</v>
      </c>
      <c r="S497">
        <f t="shared" si="60"/>
        <v>0</v>
      </c>
      <c r="T497" t="str">
        <f t="shared" si="61"/>
        <v>OK</v>
      </c>
      <c r="U497" s="25">
        <f t="shared" si="62"/>
        <v>31</v>
      </c>
      <c r="V497" t="str">
        <f t="shared" si="63"/>
        <v>OK</v>
      </c>
    </row>
    <row r="498" spans="1:22" ht="18" customHeight="1">
      <c r="A498" t="s">
        <v>161</v>
      </c>
      <c r="B498" t="s">
        <v>162</v>
      </c>
      <c r="C498">
        <v>15</v>
      </c>
      <c r="D498" t="s">
        <v>123</v>
      </c>
      <c r="E498" s="6">
        <f t="shared" si="56"/>
        <v>23</v>
      </c>
      <c r="F498" s="6">
        <f t="shared" si="57"/>
        <v>45</v>
      </c>
      <c r="G498" s="6">
        <f>ROUND(Catalogue!G28*SQRT((1+Paramètres!$B$4*(C498-1)+Paramètres!$B$5*(C498-1)^2)),0)</f>
        <v>0</v>
      </c>
      <c r="H498" s="6">
        <f>ROUND(Catalogue!H28*SQRT((1+Paramètres!$B$4*(C498-1)+Paramètres!$B$5*(C498-1)^2)),0)</f>
        <v>0</v>
      </c>
      <c r="I498" s="6">
        <v>2</v>
      </c>
      <c r="J498" s="6">
        <v>1</v>
      </c>
      <c r="K498" s="7">
        <v>1.9</v>
      </c>
      <c r="L498" s="9">
        <f t="shared" si="58"/>
        <v>34</v>
      </c>
      <c r="M498">
        <v>2</v>
      </c>
      <c r="N498">
        <v>12</v>
      </c>
      <c r="O498">
        <v>21</v>
      </c>
      <c r="P498" s="13" t="str">
        <f t="shared" si="59"/>
        <v>2d12 + 21</v>
      </c>
      <c r="Q498">
        <f>ROUND(INDEX(Catalogue!E$4:E$85,MATCH(A498,Catalogue!A$4:A$85,0))*(1+Paramètres!$B$4*(C498-1)+Paramètres!$B$5*(C498-1)^2),0)</f>
        <v>23</v>
      </c>
      <c r="R498">
        <f>ROUND(INDEX(Catalogue!F$4:F$85,MATCH(A498,Catalogue!A$4:A$85,0))*(1+Paramètres!$B$4*(C498-1)+Paramètres!$B$5*(C498-1)^2),0)</f>
        <v>45</v>
      </c>
      <c r="S498">
        <f t="shared" si="60"/>
        <v>0</v>
      </c>
      <c r="T498" t="str">
        <f t="shared" si="61"/>
        <v>OK</v>
      </c>
      <c r="U498" s="25">
        <f t="shared" si="62"/>
        <v>34</v>
      </c>
      <c r="V498" t="str">
        <f t="shared" si="63"/>
        <v>OK</v>
      </c>
    </row>
    <row r="499" spans="1:22" ht="18" customHeight="1">
      <c r="A499" t="s">
        <v>161</v>
      </c>
      <c r="B499" t="s">
        <v>162</v>
      </c>
      <c r="C499">
        <v>16</v>
      </c>
      <c r="D499" t="s">
        <v>123</v>
      </c>
      <c r="E499" s="6">
        <f t="shared" si="56"/>
        <v>25</v>
      </c>
      <c r="F499" s="6">
        <f t="shared" si="57"/>
        <v>50</v>
      </c>
      <c r="G499" s="6">
        <f>ROUND(Catalogue!G28*SQRT((1+Paramètres!$B$4*(C499-1)+Paramètres!$B$5*(C499-1)^2)),0)</f>
        <v>0</v>
      </c>
      <c r="H499" s="6">
        <f>ROUND(Catalogue!H28*SQRT((1+Paramètres!$B$4*(C499-1)+Paramètres!$B$5*(C499-1)^2)),0)</f>
        <v>0</v>
      </c>
      <c r="I499" s="6">
        <v>2</v>
      </c>
      <c r="J499" s="6">
        <v>1</v>
      </c>
      <c r="K499" s="7">
        <v>1.9</v>
      </c>
      <c r="L499" s="9">
        <f t="shared" si="58"/>
        <v>37.5</v>
      </c>
      <c r="M499">
        <v>5</v>
      </c>
      <c r="N499">
        <v>6</v>
      </c>
      <c r="O499">
        <v>20</v>
      </c>
      <c r="P499" s="13" t="str">
        <f t="shared" si="59"/>
        <v>5d6 + 20</v>
      </c>
      <c r="Q499">
        <f>ROUND(INDEX(Catalogue!E$4:E$85,MATCH(A499,Catalogue!A$4:A$85,0))*(1+Paramètres!$B$4*(C499-1)+Paramètres!$B$5*(C499-1)^2),0)</f>
        <v>25</v>
      </c>
      <c r="R499">
        <f>ROUND(INDEX(Catalogue!F$4:F$85,MATCH(A499,Catalogue!A$4:A$85,0))*(1+Paramètres!$B$4*(C499-1)+Paramètres!$B$5*(C499-1)^2),0)</f>
        <v>50</v>
      </c>
      <c r="S499">
        <f t="shared" si="60"/>
        <v>0</v>
      </c>
      <c r="T499" t="str">
        <f t="shared" si="61"/>
        <v>OK</v>
      </c>
      <c r="U499" s="25">
        <f t="shared" si="62"/>
        <v>37.5</v>
      </c>
      <c r="V499" t="str">
        <f t="shared" si="63"/>
        <v>OK</v>
      </c>
    </row>
    <row r="500" spans="1:22" ht="18" customHeight="1">
      <c r="A500" t="s">
        <v>161</v>
      </c>
      <c r="B500" t="s">
        <v>162</v>
      </c>
      <c r="C500">
        <v>17</v>
      </c>
      <c r="D500" t="s">
        <v>123</v>
      </c>
      <c r="E500" s="6">
        <f t="shared" si="56"/>
        <v>27</v>
      </c>
      <c r="F500" s="6">
        <f t="shared" si="57"/>
        <v>55</v>
      </c>
      <c r="G500" s="6">
        <f>ROUND(Catalogue!G28*SQRT((1+Paramètres!$B$4*(C500-1)+Paramètres!$B$5*(C500-1)^2)),0)</f>
        <v>0</v>
      </c>
      <c r="H500" s="6">
        <f>ROUND(Catalogue!H28*SQRT((1+Paramètres!$B$4*(C500-1)+Paramètres!$B$5*(C500-1)^2)),0)</f>
        <v>0</v>
      </c>
      <c r="I500" s="6">
        <v>2</v>
      </c>
      <c r="J500" s="6">
        <v>1</v>
      </c>
      <c r="K500" s="7">
        <v>1.9</v>
      </c>
      <c r="L500" s="9">
        <f t="shared" si="58"/>
        <v>41</v>
      </c>
      <c r="M500">
        <v>4</v>
      </c>
      <c r="N500">
        <v>8</v>
      </c>
      <c r="O500">
        <v>23</v>
      </c>
      <c r="P500" s="13" t="str">
        <f t="shared" si="59"/>
        <v>4d8 + 23</v>
      </c>
      <c r="Q500">
        <f>ROUND(INDEX(Catalogue!E$4:E$85,MATCH(A500,Catalogue!A$4:A$85,0))*(1+Paramètres!$B$4*(C500-1)+Paramètres!$B$5*(C500-1)^2),0)</f>
        <v>27</v>
      </c>
      <c r="R500">
        <f>ROUND(INDEX(Catalogue!F$4:F$85,MATCH(A500,Catalogue!A$4:A$85,0))*(1+Paramètres!$B$4*(C500-1)+Paramètres!$B$5*(C500-1)^2),0)</f>
        <v>55</v>
      </c>
      <c r="S500">
        <f t="shared" si="60"/>
        <v>0</v>
      </c>
      <c r="T500" t="str">
        <f t="shared" si="61"/>
        <v>OK</v>
      </c>
      <c r="U500" s="25">
        <f t="shared" si="62"/>
        <v>41</v>
      </c>
      <c r="V500" t="str">
        <f t="shared" si="63"/>
        <v>OK</v>
      </c>
    </row>
    <row r="501" spans="1:22" ht="18" customHeight="1">
      <c r="A501" t="s">
        <v>161</v>
      </c>
      <c r="B501" t="s">
        <v>162</v>
      </c>
      <c r="C501">
        <v>18</v>
      </c>
      <c r="D501" t="s">
        <v>123</v>
      </c>
      <c r="E501" s="6">
        <f t="shared" si="56"/>
        <v>30</v>
      </c>
      <c r="F501" s="6">
        <f t="shared" si="57"/>
        <v>60</v>
      </c>
      <c r="G501" s="6">
        <f>ROUND(Catalogue!G28*SQRT((1+Paramètres!$B$4*(C501-1)+Paramètres!$B$5*(C501-1)^2)),0)</f>
        <v>0</v>
      </c>
      <c r="H501" s="6">
        <f>ROUND(Catalogue!H28*SQRT((1+Paramètres!$B$4*(C501-1)+Paramètres!$B$5*(C501-1)^2)),0)</f>
        <v>0</v>
      </c>
      <c r="I501" s="6">
        <v>2</v>
      </c>
      <c r="J501" s="6">
        <v>1</v>
      </c>
      <c r="K501" s="7">
        <v>1.9</v>
      </c>
      <c r="L501" s="9">
        <f t="shared" si="58"/>
        <v>45</v>
      </c>
      <c r="M501">
        <v>6</v>
      </c>
      <c r="N501">
        <v>6</v>
      </c>
      <c r="O501">
        <v>24</v>
      </c>
      <c r="P501" s="13" t="str">
        <f t="shared" si="59"/>
        <v>6d6 + 24</v>
      </c>
      <c r="Q501">
        <f>ROUND(INDEX(Catalogue!E$4:E$85,MATCH(A501,Catalogue!A$4:A$85,0))*(1+Paramètres!$B$4*(C501-1)+Paramètres!$B$5*(C501-1)^2),0)</f>
        <v>30</v>
      </c>
      <c r="R501">
        <f>ROUND(INDEX(Catalogue!F$4:F$85,MATCH(A501,Catalogue!A$4:A$85,0))*(1+Paramètres!$B$4*(C501-1)+Paramètres!$B$5*(C501-1)^2),0)</f>
        <v>60</v>
      </c>
      <c r="S501">
        <f t="shared" si="60"/>
        <v>0</v>
      </c>
      <c r="T501" t="str">
        <f t="shared" si="61"/>
        <v>OK</v>
      </c>
      <c r="U501" s="25">
        <f t="shared" si="62"/>
        <v>45</v>
      </c>
      <c r="V501" t="str">
        <f t="shared" si="63"/>
        <v>OK</v>
      </c>
    </row>
    <row r="502" spans="1:22" ht="18" customHeight="1">
      <c r="A502" t="s">
        <v>161</v>
      </c>
      <c r="B502" t="s">
        <v>162</v>
      </c>
      <c r="C502">
        <v>19</v>
      </c>
      <c r="D502" t="s">
        <v>123</v>
      </c>
      <c r="E502" s="6">
        <f t="shared" si="56"/>
        <v>32</v>
      </c>
      <c r="F502" s="6">
        <f t="shared" si="57"/>
        <v>65</v>
      </c>
      <c r="G502" s="6">
        <f>ROUND(Catalogue!G28*SQRT((1+Paramètres!$B$4*(C502-1)+Paramètres!$B$5*(C502-1)^2)),0)</f>
        <v>0</v>
      </c>
      <c r="H502" s="6">
        <f>ROUND(Catalogue!H28*SQRT((1+Paramètres!$B$4*(C502-1)+Paramètres!$B$5*(C502-1)^2)),0)</f>
        <v>0</v>
      </c>
      <c r="I502" s="6">
        <v>2</v>
      </c>
      <c r="J502" s="6">
        <v>1</v>
      </c>
      <c r="K502" s="7">
        <v>1.9</v>
      </c>
      <c r="L502" s="9">
        <f t="shared" si="58"/>
        <v>48.5</v>
      </c>
      <c r="M502">
        <v>3</v>
      </c>
      <c r="N502">
        <v>12</v>
      </c>
      <c r="O502">
        <v>29</v>
      </c>
      <c r="P502" s="13" t="str">
        <f t="shared" si="59"/>
        <v>3d12 + 29</v>
      </c>
      <c r="Q502">
        <f>ROUND(INDEX(Catalogue!E$4:E$85,MATCH(A502,Catalogue!A$4:A$85,0))*(1+Paramètres!$B$4*(C502-1)+Paramètres!$B$5*(C502-1)^2),0)</f>
        <v>33</v>
      </c>
      <c r="R502">
        <f>ROUND(INDEX(Catalogue!F$4:F$85,MATCH(A502,Catalogue!A$4:A$85,0))*(1+Paramètres!$B$4*(C502-1)+Paramètres!$B$5*(C502-1)^2),0)</f>
        <v>65</v>
      </c>
      <c r="S502">
        <f t="shared" si="60"/>
        <v>-0.5</v>
      </c>
      <c r="T502" t="str">
        <f t="shared" si="61"/>
        <v>OK</v>
      </c>
      <c r="U502" s="25">
        <f t="shared" si="62"/>
        <v>48.5</v>
      </c>
      <c r="V502" t="str">
        <f t="shared" si="63"/>
        <v>OK</v>
      </c>
    </row>
    <row r="503" spans="1:22" ht="18" customHeight="1">
      <c r="A503" t="s">
        <v>161</v>
      </c>
      <c r="B503" t="s">
        <v>162</v>
      </c>
      <c r="C503">
        <v>20</v>
      </c>
      <c r="D503" t="s">
        <v>123</v>
      </c>
      <c r="E503" s="6">
        <f t="shared" si="56"/>
        <v>35</v>
      </c>
      <c r="F503" s="6">
        <f t="shared" si="57"/>
        <v>71</v>
      </c>
      <c r="G503" s="6">
        <f>ROUND(Catalogue!G28*SQRT((1+Paramètres!$B$4*(C503-1)+Paramètres!$B$5*(C503-1)^2)),0)</f>
        <v>0</v>
      </c>
      <c r="H503" s="6">
        <f>ROUND(Catalogue!H28*SQRT((1+Paramètres!$B$4*(C503-1)+Paramètres!$B$5*(C503-1)^2)),0)</f>
        <v>0</v>
      </c>
      <c r="I503" s="6">
        <v>2</v>
      </c>
      <c r="J503" s="6">
        <v>1</v>
      </c>
      <c r="K503" s="7">
        <v>1.9</v>
      </c>
      <c r="L503" s="9">
        <f t="shared" si="58"/>
        <v>53</v>
      </c>
      <c r="M503">
        <v>4</v>
      </c>
      <c r="N503">
        <v>10</v>
      </c>
      <c r="O503">
        <v>31</v>
      </c>
      <c r="P503" s="13" t="str">
        <f t="shared" si="59"/>
        <v>4d10 + 31</v>
      </c>
      <c r="Q503">
        <f>ROUND(INDEX(Catalogue!E$4:E$85,MATCH(A503,Catalogue!A$4:A$85,0))*(1+Paramètres!$B$4*(C503-1)+Paramètres!$B$5*(C503-1)^2),0)</f>
        <v>35</v>
      </c>
      <c r="R503">
        <f>ROUND(INDEX(Catalogue!F$4:F$85,MATCH(A503,Catalogue!A$4:A$85,0))*(1+Paramètres!$B$4*(C503-1)+Paramètres!$B$5*(C503-1)^2),0)</f>
        <v>71</v>
      </c>
      <c r="S503">
        <f t="shared" si="60"/>
        <v>0</v>
      </c>
      <c r="T503" t="str">
        <f t="shared" si="61"/>
        <v>OK</v>
      </c>
      <c r="U503" s="25">
        <f t="shared" si="62"/>
        <v>53</v>
      </c>
      <c r="V503" t="str">
        <f t="shared" si="63"/>
        <v>OK</v>
      </c>
    </row>
    <row r="504" spans="1:22" ht="18" customHeight="1">
      <c r="A504" t="s">
        <v>164</v>
      </c>
      <c r="B504" t="s">
        <v>165</v>
      </c>
      <c r="C504">
        <v>1</v>
      </c>
      <c r="D504" t="s">
        <v>123</v>
      </c>
      <c r="E504" s="6">
        <f t="shared" si="56"/>
        <v>3</v>
      </c>
      <c r="F504" s="6">
        <f t="shared" si="57"/>
        <v>6</v>
      </c>
      <c r="G504" s="6">
        <f>ROUND(Catalogue!G29*SQRT((1+Paramètres!$B$4*(C504-1)+Paramètres!$B$5*(C504-1)^2)),0)</f>
        <v>0</v>
      </c>
      <c r="H504" s="6">
        <f>ROUND(Catalogue!H29*SQRT((1+Paramètres!$B$4*(C504-1)+Paramètres!$B$5*(C504-1)^2)),0)</f>
        <v>0</v>
      </c>
      <c r="I504" s="6">
        <v>2</v>
      </c>
      <c r="J504" s="6">
        <v>1</v>
      </c>
      <c r="K504" s="7">
        <v>1.3</v>
      </c>
      <c r="L504" s="9">
        <f t="shared" si="58"/>
        <v>4.5</v>
      </c>
      <c r="M504">
        <v>1</v>
      </c>
      <c r="N504">
        <v>4</v>
      </c>
      <c r="O504">
        <v>2</v>
      </c>
      <c r="P504" s="13" t="str">
        <f t="shared" si="59"/>
        <v>1d4 + 2</v>
      </c>
      <c r="Q504">
        <f>ROUND(INDEX(Catalogue!E$4:E$85,MATCH(A504,Catalogue!A$4:A$85,0))*(1+Paramètres!$B$4*(C504-1)+Paramètres!$B$5*(C504-1)^2),0)</f>
        <v>3</v>
      </c>
      <c r="R504">
        <f>ROUND(INDEX(Catalogue!F$4:F$85,MATCH(A504,Catalogue!A$4:A$85,0))*(1+Paramètres!$B$4*(C504-1)+Paramètres!$B$5*(C504-1)^2),0)</f>
        <v>6</v>
      </c>
      <c r="S504">
        <f t="shared" si="60"/>
        <v>0</v>
      </c>
      <c r="T504" t="str">
        <f t="shared" si="61"/>
        <v>OK</v>
      </c>
      <c r="U504" s="25">
        <f t="shared" si="62"/>
        <v>4.5</v>
      </c>
      <c r="V504" t="str">
        <f t="shared" si="63"/>
        <v>OK</v>
      </c>
    </row>
    <row r="505" spans="1:22" ht="18" customHeight="1">
      <c r="A505" t="s">
        <v>164</v>
      </c>
      <c r="B505" t="s">
        <v>165</v>
      </c>
      <c r="C505">
        <v>2</v>
      </c>
      <c r="D505" t="s">
        <v>123</v>
      </c>
      <c r="E505" s="6">
        <f t="shared" si="56"/>
        <v>3</v>
      </c>
      <c r="F505" s="6">
        <f t="shared" si="57"/>
        <v>6</v>
      </c>
      <c r="G505" s="6">
        <f>ROUND(Catalogue!G29*SQRT((1+Paramètres!$B$4*(C505-1)+Paramètres!$B$5*(C505-1)^2)),0)</f>
        <v>0</v>
      </c>
      <c r="H505" s="6">
        <f>ROUND(Catalogue!H29*SQRT((1+Paramètres!$B$4*(C505-1)+Paramètres!$B$5*(C505-1)^2)),0)</f>
        <v>0</v>
      </c>
      <c r="I505" s="6">
        <v>2</v>
      </c>
      <c r="J505" s="6">
        <v>1</v>
      </c>
      <c r="K505" s="7">
        <v>1.3</v>
      </c>
      <c r="L505" s="9">
        <f t="shared" si="58"/>
        <v>4.5</v>
      </c>
      <c r="M505">
        <v>1</v>
      </c>
      <c r="N505">
        <v>4</v>
      </c>
      <c r="O505">
        <v>2</v>
      </c>
      <c r="P505" s="13" t="str">
        <f t="shared" si="59"/>
        <v>1d4 + 2</v>
      </c>
      <c r="Q505">
        <f>ROUND(INDEX(Catalogue!E$4:E$85,MATCH(A505,Catalogue!A$4:A$85,0))*(1+Paramètres!$B$4*(C505-1)+Paramètres!$B$5*(C505-1)^2),0)</f>
        <v>3</v>
      </c>
      <c r="R505">
        <f>ROUND(INDEX(Catalogue!F$4:F$85,MATCH(A505,Catalogue!A$4:A$85,0))*(1+Paramètres!$B$4*(C505-1)+Paramètres!$B$5*(C505-1)^2),0)</f>
        <v>7</v>
      </c>
      <c r="S505">
        <f t="shared" si="60"/>
        <v>-0.5</v>
      </c>
      <c r="T505" t="str">
        <f t="shared" si="61"/>
        <v>OK</v>
      </c>
      <c r="U505" s="25">
        <f t="shared" si="62"/>
        <v>4.5</v>
      </c>
      <c r="V505" t="str">
        <f t="shared" si="63"/>
        <v>OK</v>
      </c>
    </row>
    <row r="506" spans="1:22" ht="18" customHeight="1">
      <c r="A506" t="s">
        <v>164</v>
      </c>
      <c r="B506" t="s">
        <v>165</v>
      </c>
      <c r="C506">
        <v>3</v>
      </c>
      <c r="D506" t="s">
        <v>123</v>
      </c>
      <c r="E506" s="6">
        <f t="shared" si="56"/>
        <v>4</v>
      </c>
      <c r="F506" s="6">
        <f t="shared" si="57"/>
        <v>7</v>
      </c>
      <c r="G506" s="6">
        <f>ROUND(Catalogue!G29*SQRT((1+Paramètres!$B$4*(C506-1)+Paramètres!$B$5*(C506-1)^2)),0)</f>
        <v>0</v>
      </c>
      <c r="H506" s="6">
        <f>ROUND(Catalogue!H29*SQRT((1+Paramètres!$B$4*(C506-1)+Paramètres!$B$5*(C506-1)^2)),0)</f>
        <v>0</v>
      </c>
      <c r="I506" s="6">
        <v>2</v>
      </c>
      <c r="J506" s="6">
        <v>1</v>
      </c>
      <c r="K506" s="7">
        <v>1.3</v>
      </c>
      <c r="L506" s="9">
        <f t="shared" si="58"/>
        <v>5.5</v>
      </c>
      <c r="M506">
        <v>1</v>
      </c>
      <c r="N506">
        <v>4</v>
      </c>
      <c r="O506">
        <v>3</v>
      </c>
      <c r="P506" s="13" t="str">
        <f t="shared" si="59"/>
        <v>1d4 + 3</v>
      </c>
      <c r="Q506">
        <f>ROUND(INDEX(Catalogue!E$4:E$85,MATCH(A506,Catalogue!A$4:A$85,0))*(1+Paramètres!$B$4*(C506-1)+Paramètres!$B$5*(C506-1)^2),0)</f>
        <v>4</v>
      </c>
      <c r="R506">
        <f>ROUND(INDEX(Catalogue!F$4:F$85,MATCH(A506,Catalogue!A$4:A$85,0))*(1+Paramètres!$B$4*(C506-1)+Paramètres!$B$5*(C506-1)^2),0)</f>
        <v>8</v>
      </c>
      <c r="S506">
        <f t="shared" si="60"/>
        <v>-0.5</v>
      </c>
      <c r="T506" t="str">
        <f t="shared" si="61"/>
        <v>OK</v>
      </c>
      <c r="U506" s="25">
        <f t="shared" si="62"/>
        <v>5.5</v>
      </c>
      <c r="V506" t="str">
        <f t="shared" si="63"/>
        <v>OK</v>
      </c>
    </row>
    <row r="507" spans="1:22" ht="18" customHeight="1">
      <c r="A507" t="s">
        <v>164</v>
      </c>
      <c r="B507" t="s">
        <v>165</v>
      </c>
      <c r="C507">
        <v>4</v>
      </c>
      <c r="D507" t="s">
        <v>123</v>
      </c>
      <c r="E507" s="6">
        <f t="shared" si="56"/>
        <v>4</v>
      </c>
      <c r="F507" s="6">
        <f t="shared" si="57"/>
        <v>9</v>
      </c>
      <c r="G507" s="6">
        <f>ROUND(Catalogue!G29*SQRT((1+Paramètres!$B$4*(C507-1)+Paramètres!$B$5*(C507-1)^2)),0)</f>
        <v>0</v>
      </c>
      <c r="H507" s="6">
        <f>ROUND(Catalogue!H29*SQRT((1+Paramètres!$B$4*(C507-1)+Paramètres!$B$5*(C507-1)^2)),0)</f>
        <v>0</v>
      </c>
      <c r="I507" s="6">
        <v>2</v>
      </c>
      <c r="J507" s="6">
        <v>1</v>
      </c>
      <c r="K507" s="7">
        <v>1.3</v>
      </c>
      <c r="L507" s="9">
        <f t="shared" si="58"/>
        <v>6.5</v>
      </c>
      <c r="M507">
        <v>1</v>
      </c>
      <c r="N507">
        <v>6</v>
      </c>
      <c r="O507">
        <v>3</v>
      </c>
      <c r="P507" s="13" t="str">
        <f t="shared" si="59"/>
        <v>1d6 + 3</v>
      </c>
      <c r="Q507">
        <f>ROUND(INDEX(Catalogue!E$4:E$85,MATCH(A507,Catalogue!A$4:A$85,0))*(1+Paramètres!$B$4*(C507-1)+Paramètres!$B$5*(C507-1)^2),0)</f>
        <v>4</v>
      </c>
      <c r="R507">
        <f>ROUND(INDEX(Catalogue!F$4:F$85,MATCH(A507,Catalogue!A$4:A$85,0))*(1+Paramètres!$B$4*(C507-1)+Paramètres!$B$5*(C507-1)^2),0)</f>
        <v>9</v>
      </c>
      <c r="S507">
        <f t="shared" si="60"/>
        <v>0</v>
      </c>
      <c r="T507" t="str">
        <f t="shared" si="61"/>
        <v>OK</v>
      </c>
      <c r="U507" s="25">
        <f t="shared" si="62"/>
        <v>6.5</v>
      </c>
      <c r="V507" t="str">
        <f t="shared" si="63"/>
        <v>OK</v>
      </c>
    </row>
    <row r="508" spans="1:22" ht="18" customHeight="1">
      <c r="A508" t="s">
        <v>164</v>
      </c>
      <c r="B508" t="s">
        <v>165</v>
      </c>
      <c r="C508">
        <v>5</v>
      </c>
      <c r="D508" t="s">
        <v>123</v>
      </c>
      <c r="E508" s="6">
        <f t="shared" si="56"/>
        <v>5</v>
      </c>
      <c r="F508" s="6">
        <f t="shared" si="57"/>
        <v>10</v>
      </c>
      <c r="G508" s="6">
        <f>ROUND(Catalogue!G29*SQRT((1+Paramètres!$B$4*(C508-1)+Paramètres!$B$5*(C508-1)^2)),0)</f>
        <v>0</v>
      </c>
      <c r="H508" s="6">
        <f>ROUND(Catalogue!H29*SQRT((1+Paramètres!$B$4*(C508-1)+Paramètres!$B$5*(C508-1)^2)),0)</f>
        <v>0</v>
      </c>
      <c r="I508" s="6">
        <v>2</v>
      </c>
      <c r="J508" s="6">
        <v>1</v>
      </c>
      <c r="K508" s="7">
        <v>1.3</v>
      </c>
      <c r="L508" s="9">
        <f t="shared" si="58"/>
        <v>7.5</v>
      </c>
      <c r="M508">
        <v>1</v>
      </c>
      <c r="N508">
        <v>6</v>
      </c>
      <c r="O508">
        <v>4</v>
      </c>
      <c r="P508" s="13" t="str">
        <f t="shared" si="59"/>
        <v>1d6 + 4</v>
      </c>
      <c r="Q508">
        <f>ROUND(INDEX(Catalogue!E$4:E$85,MATCH(A508,Catalogue!A$4:A$85,0))*(1+Paramètres!$B$4*(C508-1)+Paramètres!$B$5*(C508-1)^2),0)</f>
        <v>5</v>
      </c>
      <c r="R508">
        <f>ROUND(INDEX(Catalogue!F$4:F$85,MATCH(A508,Catalogue!A$4:A$85,0))*(1+Paramètres!$B$4*(C508-1)+Paramètres!$B$5*(C508-1)^2),0)</f>
        <v>10</v>
      </c>
      <c r="S508">
        <f t="shared" si="60"/>
        <v>0</v>
      </c>
      <c r="T508" t="str">
        <f t="shared" si="61"/>
        <v>OK</v>
      </c>
      <c r="U508" s="25">
        <f t="shared" si="62"/>
        <v>7.5</v>
      </c>
      <c r="V508" t="str">
        <f t="shared" si="63"/>
        <v>OK</v>
      </c>
    </row>
    <row r="509" spans="1:22" ht="18" customHeight="1">
      <c r="A509" t="s">
        <v>164</v>
      </c>
      <c r="B509" t="s">
        <v>165</v>
      </c>
      <c r="C509">
        <v>6</v>
      </c>
      <c r="D509" t="s">
        <v>123</v>
      </c>
      <c r="E509" s="6">
        <f t="shared" si="56"/>
        <v>6</v>
      </c>
      <c r="F509" s="6">
        <f t="shared" si="57"/>
        <v>12</v>
      </c>
      <c r="G509" s="6">
        <f>ROUND(Catalogue!G29*SQRT((1+Paramètres!$B$4*(C509-1)+Paramètres!$B$5*(C509-1)^2)),0)</f>
        <v>0</v>
      </c>
      <c r="H509" s="6">
        <f>ROUND(Catalogue!H29*SQRT((1+Paramètres!$B$4*(C509-1)+Paramètres!$B$5*(C509-1)^2)),0)</f>
        <v>0</v>
      </c>
      <c r="I509" s="6">
        <v>2</v>
      </c>
      <c r="J509" s="6">
        <v>1</v>
      </c>
      <c r="K509" s="7">
        <v>1.3</v>
      </c>
      <c r="L509" s="9">
        <f t="shared" si="58"/>
        <v>9</v>
      </c>
      <c r="M509">
        <v>2</v>
      </c>
      <c r="N509">
        <v>4</v>
      </c>
      <c r="O509">
        <v>4</v>
      </c>
      <c r="P509" s="13" t="str">
        <f t="shared" si="59"/>
        <v>2d4 + 4</v>
      </c>
      <c r="Q509">
        <f>ROUND(INDEX(Catalogue!E$4:E$85,MATCH(A509,Catalogue!A$4:A$85,0))*(1+Paramètres!$B$4*(C509-1)+Paramètres!$B$5*(C509-1)^2),0)</f>
        <v>6</v>
      </c>
      <c r="R509">
        <f>ROUND(INDEX(Catalogue!F$4:F$85,MATCH(A509,Catalogue!A$4:A$85,0))*(1+Paramètres!$B$4*(C509-1)+Paramètres!$B$5*(C509-1)^2),0)</f>
        <v>12</v>
      </c>
      <c r="S509">
        <f t="shared" si="60"/>
        <v>0</v>
      </c>
      <c r="T509" t="str">
        <f t="shared" si="61"/>
        <v>OK</v>
      </c>
      <c r="U509" s="25">
        <f t="shared" si="62"/>
        <v>9</v>
      </c>
      <c r="V509" t="str">
        <f t="shared" si="63"/>
        <v>OK</v>
      </c>
    </row>
    <row r="510" spans="1:22" ht="18" customHeight="1">
      <c r="A510" t="s">
        <v>164</v>
      </c>
      <c r="B510" t="s">
        <v>165</v>
      </c>
      <c r="C510">
        <v>7</v>
      </c>
      <c r="D510" t="s">
        <v>123</v>
      </c>
      <c r="E510" s="6">
        <f t="shared" si="56"/>
        <v>7</v>
      </c>
      <c r="F510" s="6">
        <f t="shared" si="57"/>
        <v>13</v>
      </c>
      <c r="G510" s="6">
        <f>ROUND(Catalogue!G29*SQRT((1+Paramètres!$B$4*(C510-1)+Paramètres!$B$5*(C510-1)^2)),0)</f>
        <v>0</v>
      </c>
      <c r="H510" s="6">
        <f>ROUND(Catalogue!H29*SQRT((1+Paramètres!$B$4*(C510-1)+Paramètres!$B$5*(C510-1)^2)),0)</f>
        <v>0</v>
      </c>
      <c r="I510" s="6">
        <v>2</v>
      </c>
      <c r="J510" s="6">
        <v>1</v>
      </c>
      <c r="K510" s="7">
        <v>1.3</v>
      </c>
      <c r="L510" s="9">
        <f t="shared" si="58"/>
        <v>10</v>
      </c>
      <c r="M510">
        <v>2</v>
      </c>
      <c r="N510">
        <v>4</v>
      </c>
      <c r="O510">
        <v>5</v>
      </c>
      <c r="P510" s="13" t="str">
        <f t="shared" si="59"/>
        <v>2d4 + 5</v>
      </c>
      <c r="Q510">
        <f>ROUND(INDEX(Catalogue!E$4:E$85,MATCH(A510,Catalogue!A$4:A$85,0))*(1+Paramètres!$B$4*(C510-1)+Paramètres!$B$5*(C510-1)^2),0)</f>
        <v>7</v>
      </c>
      <c r="R510">
        <f>ROUND(INDEX(Catalogue!F$4:F$85,MATCH(A510,Catalogue!A$4:A$85,0))*(1+Paramètres!$B$4*(C510-1)+Paramètres!$B$5*(C510-1)^2),0)</f>
        <v>13</v>
      </c>
      <c r="S510">
        <f t="shared" si="60"/>
        <v>0</v>
      </c>
      <c r="T510" t="str">
        <f t="shared" si="61"/>
        <v>OK</v>
      </c>
      <c r="U510" s="25">
        <f t="shared" si="62"/>
        <v>10</v>
      </c>
      <c r="V510" t="str">
        <f t="shared" si="63"/>
        <v>OK</v>
      </c>
    </row>
    <row r="511" spans="1:22" ht="18" customHeight="1">
      <c r="A511" t="s">
        <v>164</v>
      </c>
      <c r="B511" t="s">
        <v>165</v>
      </c>
      <c r="C511">
        <v>8</v>
      </c>
      <c r="D511" t="s">
        <v>123</v>
      </c>
      <c r="E511" s="6">
        <f t="shared" si="56"/>
        <v>8</v>
      </c>
      <c r="F511" s="6">
        <f t="shared" si="57"/>
        <v>15</v>
      </c>
      <c r="G511" s="6">
        <f>ROUND(Catalogue!G29*SQRT((1+Paramètres!$B$4*(C511-1)+Paramètres!$B$5*(C511-1)^2)),0)</f>
        <v>0</v>
      </c>
      <c r="H511" s="6">
        <f>ROUND(Catalogue!H29*SQRT((1+Paramètres!$B$4*(C511-1)+Paramètres!$B$5*(C511-1)^2)),0)</f>
        <v>0</v>
      </c>
      <c r="I511" s="6">
        <v>2</v>
      </c>
      <c r="J511" s="6">
        <v>1</v>
      </c>
      <c r="K511" s="7">
        <v>1.3</v>
      </c>
      <c r="L511" s="9">
        <f t="shared" si="58"/>
        <v>11.5</v>
      </c>
      <c r="M511">
        <v>1</v>
      </c>
      <c r="N511">
        <v>8</v>
      </c>
      <c r="O511">
        <v>7</v>
      </c>
      <c r="P511" s="13" t="str">
        <f t="shared" si="59"/>
        <v>1d8 + 7</v>
      </c>
      <c r="Q511">
        <f>ROUND(INDEX(Catalogue!E$4:E$85,MATCH(A511,Catalogue!A$4:A$85,0))*(1+Paramètres!$B$4*(C511-1)+Paramètres!$B$5*(C511-1)^2),0)</f>
        <v>8</v>
      </c>
      <c r="R511">
        <f>ROUND(INDEX(Catalogue!F$4:F$85,MATCH(A511,Catalogue!A$4:A$85,0))*(1+Paramètres!$B$4*(C511-1)+Paramètres!$B$5*(C511-1)^2),0)</f>
        <v>15</v>
      </c>
      <c r="S511">
        <f t="shared" si="60"/>
        <v>0</v>
      </c>
      <c r="T511" t="str">
        <f t="shared" si="61"/>
        <v>OK</v>
      </c>
      <c r="U511" s="25">
        <f t="shared" si="62"/>
        <v>11.5</v>
      </c>
      <c r="V511" t="str">
        <f t="shared" si="63"/>
        <v>OK</v>
      </c>
    </row>
    <row r="512" spans="1:22" ht="18" customHeight="1">
      <c r="A512" t="s">
        <v>164</v>
      </c>
      <c r="B512" t="s">
        <v>165</v>
      </c>
      <c r="C512">
        <v>9</v>
      </c>
      <c r="D512" t="s">
        <v>123</v>
      </c>
      <c r="E512" s="6">
        <f t="shared" si="56"/>
        <v>8</v>
      </c>
      <c r="F512" s="6">
        <f t="shared" si="57"/>
        <v>17</v>
      </c>
      <c r="G512" s="6">
        <f>ROUND(Catalogue!G29*SQRT((1+Paramètres!$B$4*(C512-1)+Paramètres!$B$5*(C512-1)^2)),0)</f>
        <v>0</v>
      </c>
      <c r="H512" s="6">
        <f>ROUND(Catalogue!H29*SQRT((1+Paramètres!$B$4*(C512-1)+Paramètres!$B$5*(C512-1)^2)),0)</f>
        <v>0</v>
      </c>
      <c r="I512" s="6">
        <v>2</v>
      </c>
      <c r="J512" s="6">
        <v>1</v>
      </c>
      <c r="K512" s="7">
        <v>1.3</v>
      </c>
      <c r="L512" s="9">
        <f t="shared" si="58"/>
        <v>12.5</v>
      </c>
      <c r="M512">
        <v>3</v>
      </c>
      <c r="N512">
        <v>4</v>
      </c>
      <c r="O512">
        <v>5</v>
      </c>
      <c r="P512" s="13" t="str">
        <f t="shared" si="59"/>
        <v>3d4 + 5</v>
      </c>
      <c r="Q512">
        <f>ROUND(INDEX(Catalogue!E$4:E$85,MATCH(A512,Catalogue!A$4:A$85,0))*(1+Paramètres!$B$4*(C512-1)+Paramètres!$B$5*(C512-1)^2),0)</f>
        <v>9</v>
      </c>
      <c r="R512">
        <f>ROUND(INDEX(Catalogue!F$4:F$85,MATCH(A512,Catalogue!A$4:A$85,0))*(1+Paramètres!$B$4*(C512-1)+Paramètres!$B$5*(C512-1)^2),0)</f>
        <v>17</v>
      </c>
      <c r="S512">
        <f t="shared" si="60"/>
        <v>-0.5</v>
      </c>
      <c r="T512" t="str">
        <f t="shared" si="61"/>
        <v>OK</v>
      </c>
      <c r="U512" s="25">
        <f t="shared" si="62"/>
        <v>12.5</v>
      </c>
      <c r="V512" t="str">
        <f t="shared" si="63"/>
        <v>OK</v>
      </c>
    </row>
    <row r="513" spans="1:22" ht="18" customHeight="1">
      <c r="A513" t="s">
        <v>164</v>
      </c>
      <c r="B513" t="s">
        <v>165</v>
      </c>
      <c r="C513">
        <v>10</v>
      </c>
      <c r="D513" t="s">
        <v>123</v>
      </c>
      <c r="E513" s="6">
        <f t="shared" si="56"/>
        <v>10</v>
      </c>
      <c r="F513" s="6">
        <f t="shared" si="57"/>
        <v>20</v>
      </c>
      <c r="G513" s="6">
        <f>ROUND(Catalogue!G29*SQRT((1+Paramètres!$B$4*(C513-1)+Paramètres!$B$5*(C513-1)^2)),0)</f>
        <v>0</v>
      </c>
      <c r="H513" s="6">
        <f>ROUND(Catalogue!H29*SQRT((1+Paramètres!$B$4*(C513-1)+Paramètres!$B$5*(C513-1)^2)),0)</f>
        <v>0</v>
      </c>
      <c r="I513" s="6">
        <v>2</v>
      </c>
      <c r="J513" s="6">
        <v>1</v>
      </c>
      <c r="K513" s="7">
        <v>1.3</v>
      </c>
      <c r="L513" s="9">
        <f t="shared" si="58"/>
        <v>15</v>
      </c>
      <c r="M513">
        <v>2</v>
      </c>
      <c r="N513">
        <v>6</v>
      </c>
      <c r="O513">
        <v>8</v>
      </c>
      <c r="P513" s="13" t="str">
        <f t="shared" si="59"/>
        <v>2d6 + 8</v>
      </c>
      <c r="Q513">
        <f>ROUND(INDEX(Catalogue!E$4:E$85,MATCH(A513,Catalogue!A$4:A$85,0))*(1+Paramètres!$B$4*(C513-1)+Paramètres!$B$5*(C513-1)^2),0)</f>
        <v>10</v>
      </c>
      <c r="R513">
        <f>ROUND(INDEX(Catalogue!F$4:F$85,MATCH(A513,Catalogue!A$4:A$85,0))*(1+Paramètres!$B$4*(C513-1)+Paramètres!$B$5*(C513-1)^2),0)</f>
        <v>20</v>
      </c>
      <c r="S513">
        <f t="shared" si="60"/>
        <v>0</v>
      </c>
      <c r="T513" t="str">
        <f t="shared" si="61"/>
        <v>OK</v>
      </c>
      <c r="U513" s="25">
        <f t="shared" si="62"/>
        <v>15</v>
      </c>
      <c r="V513" t="str">
        <f t="shared" si="63"/>
        <v>OK</v>
      </c>
    </row>
    <row r="514" spans="1:22" ht="18" customHeight="1">
      <c r="A514" t="s">
        <v>164</v>
      </c>
      <c r="B514" t="s">
        <v>165</v>
      </c>
      <c r="C514">
        <v>11</v>
      </c>
      <c r="D514" t="s">
        <v>123</v>
      </c>
      <c r="E514" s="6">
        <f t="shared" si="56"/>
        <v>11</v>
      </c>
      <c r="F514" s="6">
        <f t="shared" si="57"/>
        <v>22</v>
      </c>
      <c r="G514" s="6">
        <f>ROUND(Catalogue!G29*SQRT((1+Paramètres!$B$4*(C514-1)+Paramètres!$B$5*(C514-1)^2)),0)</f>
        <v>0</v>
      </c>
      <c r="H514" s="6">
        <f>ROUND(Catalogue!H29*SQRT((1+Paramètres!$B$4*(C514-1)+Paramètres!$B$5*(C514-1)^2)),0)</f>
        <v>0</v>
      </c>
      <c r="I514" s="6">
        <v>2</v>
      </c>
      <c r="J514" s="6">
        <v>1</v>
      </c>
      <c r="K514" s="7">
        <v>1.3</v>
      </c>
      <c r="L514" s="9">
        <f t="shared" si="58"/>
        <v>16.5</v>
      </c>
      <c r="M514">
        <v>1</v>
      </c>
      <c r="N514">
        <v>12</v>
      </c>
      <c r="O514">
        <v>10</v>
      </c>
      <c r="P514" s="13" t="str">
        <f t="shared" si="59"/>
        <v>1d12 + 10</v>
      </c>
      <c r="Q514">
        <f>ROUND(INDEX(Catalogue!E$4:E$85,MATCH(A514,Catalogue!A$4:A$85,0))*(1+Paramètres!$B$4*(C514-1)+Paramètres!$B$5*(C514-1)^2),0)</f>
        <v>11</v>
      </c>
      <c r="R514">
        <f>ROUND(INDEX(Catalogue!F$4:F$85,MATCH(A514,Catalogue!A$4:A$85,0))*(1+Paramètres!$B$4*(C514-1)+Paramètres!$B$5*(C514-1)^2),0)</f>
        <v>22</v>
      </c>
      <c r="S514">
        <f t="shared" si="60"/>
        <v>0</v>
      </c>
      <c r="T514" t="str">
        <f t="shared" si="61"/>
        <v>OK</v>
      </c>
      <c r="U514" s="25">
        <f t="shared" si="62"/>
        <v>16.5</v>
      </c>
      <c r="V514" t="str">
        <f t="shared" si="63"/>
        <v>OK</v>
      </c>
    </row>
    <row r="515" spans="1:22" ht="18" customHeight="1">
      <c r="A515" t="s">
        <v>164</v>
      </c>
      <c r="B515" t="s">
        <v>165</v>
      </c>
      <c r="C515">
        <v>12</v>
      </c>
      <c r="D515" t="s">
        <v>123</v>
      </c>
      <c r="E515" s="6">
        <f t="shared" si="56"/>
        <v>11</v>
      </c>
      <c r="F515" s="6">
        <f t="shared" si="57"/>
        <v>25</v>
      </c>
      <c r="G515" s="6">
        <f>ROUND(Catalogue!G29*SQRT((1+Paramètres!$B$4*(C515-1)+Paramètres!$B$5*(C515-1)^2)),0)</f>
        <v>0</v>
      </c>
      <c r="H515" s="6">
        <f>ROUND(Catalogue!H29*SQRT((1+Paramètres!$B$4*(C515-1)+Paramètres!$B$5*(C515-1)^2)),0)</f>
        <v>0</v>
      </c>
      <c r="I515" s="6">
        <v>2</v>
      </c>
      <c r="J515" s="6">
        <v>1</v>
      </c>
      <c r="K515" s="7">
        <v>1.3</v>
      </c>
      <c r="L515" s="9">
        <f t="shared" si="58"/>
        <v>18</v>
      </c>
      <c r="M515">
        <v>2</v>
      </c>
      <c r="N515">
        <v>8</v>
      </c>
      <c r="O515">
        <v>9</v>
      </c>
      <c r="P515" s="13" t="str">
        <f t="shared" si="59"/>
        <v>2d8 + 9</v>
      </c>
      <c r="Q515">
        <f>ROUND(INDEX(Catalogue!E$4:E$85,MATCH(A515,Catalogue!A$4:A$85,0))*(1+Paramètres!$B$4*(C515-1)+Paramètres!$B$5*(C515-1)^2),0)</f>
        <v>12</v>
      </c>
      <c r="R515">
        <f>ROUND(INDEX(Catalogue!F$4:F$85,MATCH(A515,Catalogue!A$4:A$85,0))*(1+Paramètres!$B$4*(C515-1)+Paramètres!$B$5*(C515-1)^2),0)</f>
        <v>25</v>
      </c>
      <c r="S515">
        <f t="shared" si="60"/>
        <v>-0.5</v>
      </c>
      <c r="T515" t="str">
        <f t="shared" si="61"/>
        <v>OK</v>
      </c>
      <c r="U515" s="25">
        <f t="shared" si="62"/>
        <v>18</v>
      </c>
      <c r="V515" t="str">
        <f t="shared" si="63"/>
        <v>OK</v>
      </c>
    </row>
    <row r="516" spans="1:22" ht="18" customHeight="1">
      <c r="A516" t="s">
        <v>164</v>
      </c>
      <c r="B516" t="s">
        <v>165</v>
      </c>
      <c r="C516">
        <v>13</v>
      </c>
      <c r="D516" t="s">
        <v>123</v>
      </c>
      <c r="E516" s="6">
        <f t="shared" ref="E516:E579" si="64">IF(M516=0,0,M516+O516)</f>
        <v>14</v>
      </c>
      <c r="F516" s="6">
        <f t="shared" ref="F516:F579" si="65">IF(M516=0,0,M516*N516+O516)</f>
        <v>28</v>
      </c>
      <c r="G516" s="6">
        <f>ROUND(Catalogue!G29*SQRT((1+Paramètres!$B$4*(C516-1)+Paramètres!$B$5*(C516-1)^2)),0)</f>
        <v>0</v>
      </c>
      <c r="H516" s="6">
        <f>ROUND(Catalogue!H29*SQRT((1+Paramètres!$B$4*(C516-1)+Paramètres!$B$5*(C516-1)^2)),0)</f>
        <v>0</v>
      </c>
      <c r="I516" s="6">
        <v>2</v>
      </c>
      <c r="J516" s="6">
        <v>1</v>
      </c>
      <c r="K516" s="7">
        <v>1.3</v>
      </c>
      <c r="L516" s="9">
        <f t="shared" ref="L516:L579" si="66">IF(M516=0,0,(E516+F516)/2)</f>
        <v>21</v>
      </c>
      <c r="M516">
        <v>2</v>
      </c>
      <c r="N516">
        <v>8</v>
      </c>
      <c r="O516">
        <v>12</v>
      </c>
      <c r="P516" s="13" t="str">
        <f t="shared" ref="P516:P579" si="67">IF(M516=0,"—",M516&amp;"d"&amp;N516&amp;IF(O516=0,""," + "&amp;O516))</f>
        <v>2d8 + 12</v>
      </c>
      <c r="Q516">
        <f>ROUND(INDEX(Catalogue!E$4:E$85,MATCH(A516,Catalogue!A$4:A$85,0))*(1+Paramètres!$B$4*(C516-1)+Paramètres!$B$5*(C516-1)^2),0)</f>
        <v>14</v>
      </c>
      <c r="R516">
        <f>ROUND(INDEX(Catalogue!F$4:F$85,MATCH(A516,Catalogue!A$4:A$85,0))*(1+Paramètres!$B$4*(C516-1)+Paramètres!$B$5*(C516-1)^2),0)</f>
        <v>28</v>
      </c>
      <c r="S516">
        <f t="shared" ref="S516:S579" si="68">L516-AVERAGE(Q516:R516)</f>
        <v>0</v>
      </c>
      <c r="T516" t="str">
        <f t="shared" ref="T516:T579" si="69">IF(M516=0,IF(AND(N516=0,O516=0,E516=0,F516=0),"OK","ERREUR"),IF(AND(M516&gt;=1,M516&lt;=32,OR(N516=4,N516=6,N516=8,N516=10,N516=12,N516=20),O516&gt;=0,E516=M516+O516,F516=M516*N516+O516),"OK","ERREUR"))</f>
        <v>OK</v>
      </c>
      <c r="U516" s="25">
        <f t="shared" ref="U516:U579" si="70">IF(M516&gt;0,M516*(N516+1)/2+O516,0)</f>
        <v>21</v>
      </c>
      <c r="V516" t="str">
        <f t="shared" ref="V516:V579" si="71">IF(ABS(L516-U516)&lt;0.001,"OK","ERREUR")</f>
        <v>OK</v>
      </c>
    </row>
    <row r="517" spans="1:22" ht="18" customHeight="1">
      <c r="A517" t="s">
        <v>164</v>
      </c>
      <c r="B517" t="s">
        <v>165</v>
      </c>
      <c r="C517">
        <v>14</v>
      </c>
      <c r="D517" t="s">
        <v>123</v>
      </c>
      <c r="E517" s="6">
        <f t="shared" si="64"/>
        <v>15</v>
      </c>
      <c r="F517" s="6">
        <f t="shared" si="65"/>
        <v>30</v>
      </c>
      <c r="G517" s="6">
        <f>ROUND(Catalogue!G29*SQRT((1+Paramètres!$B$4*(C517-1)+Paramètres!$B$5*(C517-1)^2)),0)</f>
        <v>0</v>
      </c>
      <c r="H517" s="6">
        <f>ROUND(Catalogue!H29*SQRT((1+Paramètres!$B$4*(C517-1)+Paramètres!$B$5*(C517-1)^2)),0)</f>
        <v>0</v>
      </c>
      <c r="I517" s="6">
        <v>2</v>
      </c>
      <c r="J517" s="6">
        <v>1</v>
      </c>
      <c r="K517" s="7">
        <v>1.3</v>
      </c>
      <c r="L517" s="9">
        <f t="shared" si="66"/>
        <v>22.5</v>
      </c>
      <c r="M517">
        <v>3</v>
      </c>
      <c r="N517">
        <v>6</v>
      </c>
      <c r="O517">
        <v>12</v>
      </c>
      <c r="P517" s="13" t="str">
        <f t="shared" si="67"/>
        <v>3d6 + 12</v>
      </c>
      <c r="Q517">
        <f>ROUND(INDEX(Catalogue!E$4:E$85,MATCH(A517,Catalogue!A$4:A$85,0))*(1+Paramètres!$B$4*(C517-1)+Paramètres!$B$5*(C517-1)^2),0)</f>
        <v>15</v>
      </c>
      <c r="R517">
        <f>ROUND(INDEX(Catalogue!F$4:F$85,MATCH(A517,Catalogue!A$4:A$85,0))*(1+Paramètres!$B$4*(C517-1)+Paramètres!$B$5*(C517-1)^2),0)</f>
        <v>31</v>
      </c>
      <c r="S517">
        <f t="shared" si="68"/>
        <v>-0.5</v>
      </c>
      <c r="T517" t="str">
        <f t="shared" si="69"/>
        <v>OK</v>
      </c>
      <c r="U517" s="25">
        <f t="shared" si="70"/>
        <v>22.5</v>
      </c>
      <c r="V517" t="str">
        <f t="shared" si="71"/>
        <v>OK</v>
      </c>
    </row>
    <row r="518" spans="1:22" ht="18" customHeight="1">
      <c r="A518" t="s">
        <v>164</v>
      </c>
      <c r="B518" t="s">
        <v>165</v>
      </c>
      <c r="C518">
        <v>15</v>
      </c>
      <c r="D518" t="s">
        <v>123</v>
      </c>
      <c r="E518" s="6">
        <f t="shared" si="64"/>
        <v>16</v>
      </c>
      <c r="F518" s="6">
        <f t="shared" si="65"/>
        <v>34</v>
      </c>
      <c r="G518" s="6">
        <f>ROUND(Catalogue!G29*SQRT((1+Paramètres!$B$4*(C518-1)+Paramètres!$B$5*(C518-1)^2)),0)</f>
        <v>0</v>
      </c>
      <c r="H518" s="6">
        <f>ROUND(Catalogue!H29*SQRT((1+Paramètres!$B$4*(C518-1)+Paramètres!$B$5*(C518-1)^2)),0)</f>
        <v>0</v>
      </c>
      <c r="I518" s="6">
        <v>2</v>
      </c>
      <c r="J518" s="6">
        <v>1</v>
      </c>
      <c r="K518" s="7">
        <v>1.3</v>
      </c>
      <c r="L518" s="9">
        <f t="shared" si="66"/>
        <v>25</v>
      </c>
      <c r="M518">
        <v>2</v>
      </c>
      <c r="N518">
        <v>10</v>
      </c>
      <c r="O518">
        <v>14</v>
      </c>
      <c r="P518" s="13" t="str">
        <f t="shared" si="67"/>
        <v>2d10 + 14</v>
      </c>
      <c r="Q518">
        <f>ROUND(INDEX(Catalogue!E$4:E$85,MATCH(A518,Catalogue!A$4:A$85,0))*(1+Paramètres!$B$4*(C518-1)+Paramètres!$B$5*(C518-1)^2),0)</f>
        <v>17</v>
      </c>
      <c r="R518">
        <f>ROUND(INDEX(Catalogue!F$4:F$85,MATCH(A518,Catalogue!A$4:A$85,0))*(1+Paramètres!$B$4*(C518-1)+Paramètres!$B$5*(C518-1)^2),0)</f>
        <v>34</v>
      </c>
      <c r="S518">
        <f t="shared" si="68"/>
        <v>-0.5</v>
      </c>
      <c r="T518" t="str">
        <f t="shared" si="69"/>
        <v>OK</v>
      </c>
      <c r="U518" s="25">
        <f t="shared" si="70"/>
        <v>25</v>
      </c>
      <c r="V518" t="str">
        <f t="shared" si="71"/>
        <v>OK</v>
      </c>
    </row>
    <row r="519" spans="1:22" ht="18" customHeight="1">
      <c r="A519" t="s">
        <v>164</v>
      </c>
      <c r="B519" t="s">
        <v>165</v>
      </c>
      <c r="C519">
        <v>16</v>
      </c>
      <c r="D519" t="s">
        <v>123</v>
      </c>
      <c r="E519" s="6">
        <f t="shared" si="64"/>
        <v>19</v>
      </c>
      <c r="F519" s="6">
        <f t="shared" si="65"/>
        <v>37</v>
      </c>
      <c r="G519" s="6">
        <f>ROUND(Catalogue!G29*SQRT((1+Paramètres!$B$4*(C519-1)+Paramètres!$B$5*(C519-1)^2)),0)</f>
        <v>0</v>
      </c>
      <c r="H519" s="6">
        <f>ROUND(Catalogue!H29*SQRT((1+Paramètres!$B$4*(C519-1)+Paramètres!$B$5*(C519-1)^2)),0)</f>
        <v>0</v>
      </c>
      <c r="I519" s="6">
        <v>2</v>
      </c>
      <c r="J519" s="6">
        <v>1</v>
      </c>
      <c r="K519" s="7">
        <v>1.3</v>
      </c>
      <c r="L519" s="9">
        <f t="shared" si="66"/>
        <v>28</v>
      </c>
      <c r="M519">
        <v>2</v>
      </c>
      <c r="N519">
        <v>10</v>
      </c>
      <c r="O519">
        <v>17</v>
      </c>
      <c r="P519" s="13" t="str">
        <f t="shared" si="67"/>
        <v>2d10 + 17</v>
      </c>
      <c r="Q519">
        <f>ROUND(INDEX(Catalogue!E$4:E$85,MATCH(A519,Catalogue!A$4:A$85,0))*(1+Paramètres!$B$4*(C519-1)+Paramètres!$B$5*(C519-1)^2),0)</f>
        <v>19</v>
      </c>
      <c r="R519">
        <f>ROUND(INDEX(Catalogue!F$4:F$85,MATCH(A519,Catalogue!A$4:A$85,0))*(1+Paramètres!$B$4*(C519-1)+Paramètres!$B$5*(C519-1)^2),0)</f>
        <v>38</v>
      </c>
      <c r="S519">
        <f t="shared" si="68"/>
        <v>-0.5</v>
      </c>
      <c r="T519" t="str">
        <f t="shared" si="69"/>
        <v>OK</v>
      </c>
      <c r="U519" s="25">
        <f t="shared" si="70"/>
        <v>28</v>
      </c>
      <c r="V519" t="str">
        <f t="shared" si="71"/>
        <v>OK</v>
      </c>
    </row>
    <row r="520" spans="1:22" ht="18" customHeight="1">
      <c r="A520" t="s">
        <v>164</v>
      </c>
      <c r="B520" t="s">
        <v>165</v>
      </c>
      <c r="C520">
        <v>17</v>
      </c>
      <c r="D520" t="s">
        <v>123</v>
      </c>
      <c r="E520" s="6">
        <f t="shared" si="64"/>
        <v>21</v>
      </c>
      <c r="F520" s="6">
        <f t="shared" si="65"/>
        <v>41</v>
      </c>
      <c r="G520" s="6">
        <f>ROUND(Catalogue!G29*SQRT((1+Paramètres!$B$4*(C520-1)+Paramètres!$B$5*(C520-1)^2)),0)</f>
        <v>0</v>
      </c>
      <c r="H520" s="6">
        <f>ROUND(Catalogue!H29*SQRT((1+Paramètres!$B$4*(C520-1)+Paramètres!$B$5*(C520-1)^2)),0)</f>
        <v>0</v>
      </c>
      <c r="I520" s="6">
        <v>2</v>
      </c>
      <c r="J520" s="6">
        <v>1</v>
      </c>
      <c r="K520" s="7">
        <v>1.3</v>
      </c>
      <c r="L520" s="9">
        <f t="shared" si="66"/>
        <v>31</v>
      </c>
      <c r="M520">
        <v>4</v>
      </c>
      <c r="N520">
        <v>6</v>
      </c>
      <c r="O520">
        <v>17</v>
      </c>
      <c r="P520" s="13" t="str">
        <f t="shared" si="67"/>
        <v>4d6 + 17</v>
      </c>
      <c r="Q520">
        <f>ROUND(INDEX(Catalogue!E$4:E$85,MATCH(A520,Catalogue!A$4:A$85,0))*(1+Paramètres!$B$4*(C520-1)+Paramètres!$B$5*(C520-1)^2),0)</f>
        <v>21</v>
      </c>
      <c r="R520">
        <f>ROUND(INDEX(Catalogue!F$4:F$85,MATCH(A520,Catalogue!A$4:A$85,0))*(1+Paramètres!$B$4*(C520-1)+Paramètres!$B$5*(C520-1)^2),0)</f>
        <v>41</v>
      </c>
      <c r="S520">
        <f t="shared" si="68"/>
        <v>0</v>
      </c>
      <c r="T520" t="str">
        <f t="shared" si="69"/>
        <v>OK</v>
      </c>
      <c r="U520" s="25">
        <f t="shared" si="70"/>
        <v>31</v>
      </c>
      <c r="V520" t="str">
        <f t="shared" si="71"/>
        <v>OK</v>
      </c>
    </row>
    <row r="521" spans="1:22" ht="18" customHeight="1">
      <c r="A521" t="s">
        <v>164</v>
      </c>
      <c r="B521" t="s">
        <v>165</v>
      </c>
      <c r="C521">
        <v>18</v>
      </c>
      <c r="D521" t="s">
        <v>123</v>
      </c>
      <c r="E521" s="6">
        <f t="shared" si="64"/>
        <v>22</v>
      </c>
      <c r="F521" s="6">
        <f t="shared" si="65"/>
        <v>44</v>
      </c>
      <c r="G521" s="6">
        <f>ROUND(Catalogue!G29*SQRT((1+Paramètres!$B$4*(C521-1)+Paramètres!$B$5*(C521-1)^2)),0)</f>
        <v>0</v>
      </c>
      <c r="H521" s="6">
        <f>ROUND(Catalogue!H29*SQRT((1+Paramètres!$B$4*(C521-1)+Paramètres!$B$5*(C521-1)^2)),0)</f>
        <v>0</v>
      </c>
      <c r="I521" s="6">
        <v>2</v>
      </c>
      <c r="J521" s="6">
        <v>1</v>
      </c>
      <c r="K521" s="7">
        <v>1.3</v>
      </c>
      <c r="L521" s="9">
        <f t="shared" si="66"/>
        <v>33</v>
      </c>
      <c r="M521">
        <v>2</v>
      </c>
      <c r="N521">
        <v>12</v>
      </c>
      <c r="O521">
        <v>20</v>
      </c>
      <c r="P521" s="13" t="str">
        <f t="shared" si="67"/>
        <v>2d12 + 20</v>
      </c>
      <c r="Q521">
        <f>ROUND(INDEX(Catalogue!E$4:E$85,MATCH(A521,Catalogue!A$4:A$85,0))*(1+Paramètres!$B$4*(C521-1)+Paramètres!$B$5*(C521-1)^2),0)</f>
        <v>22</v>
      </c>
      <c r="R521">
        <f>ROUND(INDEX(Catalogue!F$4:F$85,MATCH(A521,Catalogue!A$4:A$85,0))*(1+Paramètres!$B$4*(C521-1)+Paramètres!$B$5*(C521-1)^2),0)</f>
        <v>45</v>
      </c>
      <c r="S521">
        <f t="shared" si="68"/>
        <v>-0.5</v>
      </c>
      <c r="T521" t="str">
        <f t="shared" si="69"/>
        <v>OK</v>
      </c>
      <c r="U521" s="25">
        <f t="shared" si="70"/>
        <v>33</v>
      </c>
      <c r="V521" t="str">
        <f t="shared" si="71"/>
        <v>OK</v>
      </c>
    </row>
    <row r="522" spans="1:22" ht="18" customHeight="1">
      <c r="A522" t="s">
        <v>164</v>
      </c>
      <c r="B522" t="s">
        <v>165</v>
      </c>
      <c r="C522">
        <v>19</v>
      </c>
      <c r="D522" t="s">
        <v>123</v>
      </c>
      <c r="E522" s="6">
        <f t="shared" si="64"/>
        <v>24</v>
      </c>
      <c r="F522" s="6">
        <f t="shared" si="65"/>
        <v>49</v>
      </c>
      <c r="G522" s="6">
        <f>ROUND(Catalogue!G29*SQRT((1+Paramètres!$B$4*(C522-1)+Paramètres!$B$5*(C522-1)^2)),0)</f>
        <v>0</v>
      </c>
      <c r="H522" s="6">
        <f>ROUND(Catalogue!H29*SQRT((1+Paramètres!$B$4*(C522-1)+Paramètres!$B$5*(C522-1)^2)),0)</f>
        <v>0</v>
      </c>
      <c r="I522" s="6">
        <v>2</v>
      </c>
      <c r="J522" s="6">
        <v>1</v>
      </c>
      <c r="K522" s="7">
        <v>1.3</v>
      </c>
      <c r="L522" s="9">
        <f t="shared" si="66"/>
        <v>36.5</v>
      </c>
      <c r="M522">
        <v>5</v>
      </c>
      <c r="N522">
        <v>6</v>
      </c>
      <c r="O522">
        <v>19</v>
      </c>
      <c r="P522" s="13" t="str">
        <f t="shared" si="67"/>
        <v>5d6 + 19</v>
      </c>
      <c r="Q522">
        <f>ROUND(INDEX(Catalogue!E$4:E$85,MATCH(A522,Catalogue!A$4:A$85,0))*(1+Paramètres!$B$4*(C522-1)+Paramètres!$B$5*(C522-1)^2),0)</f>
        <v>24</v>
      </c>
      <c r="R522">
        <f>ROUND(INDEX(Catalogue!F$4:F$85,MATCH(A522,Catalogue!A$4:A$85,0))*(1+Paramètres!$B$4*(C522-1)+Paramètres!$B$5*(C522-1)^2),0)</f>
        <v>49</v>
      </c>
      <c r="S522">
        <f t="shared" si="68"/>
        <v>0</v>
      </c>
      <c r="T522" t="str">
        <f t="shared" si="69"/>
        <v>OK</v>
      </c>
      <c r="U522" s="25">
        <f t="shared" si="70"/>
        <v>36.5</v>
      </c>
      <c r="V522" t="str">
        <f t="shared" si="71"/>
        <v>OK</v>
      </c>
    </row>
    <row r="523" spans="1:22" ht="18" customHeight="1">
      <c r="A523" t="s">
        <v>164</v>
      </c>
      <c r="B523" t="s">
        <v>165</v>
      </c>
      <c r="C523">
        <v>20</v>
      </c>
      <c r="D523" t="s">
        <v>123</v>
      </c>
      <c r="E523" s="6">
        <f t="shared" si="64"/>
        <v>27</v>
      </c>
      <c r="F523" s="6">
        <f t="shared" si="65"/>
        <v>54</v>
      </c>
      <c r="G523" s="6">
        <f>ROUND(Catalogue!G29*SQRT((1+Paramètres!$B$4*(C523-1)+Paramètres!$B$5*(C523-1)^2)),0)</f>
        <v>0</v>
      </c>
      <c r="H523" s="6">
        <f>ROUND(Catalogue!H29*SQRT((1+Paramètres!$B$4*(C523-1)+Paramètres!$B$5*(C523-1)^2)),0)</f>
        <v>0</v>
      </c>
      <c r="I523" s="6">
        <v>2</v>
      </c>
      <c r="J523" s="6">
        <v>1</v>
      </c>
      <c r="K523" s="7">
        <v>1.3</v>
      </c>
      <c r="L523" s="9">
        <f t="shared" si="66"/>
        <v>40.5</v>
      </c>
      <c r="M523">
        <v>3</v>
      </c>
      <c r="N523">
        <v>10</v>
      </c>
      <c r="O523">
        <v>24</v>
      </c>
      <c r="P523" s="13" t="str">
        <f t="shared" si="67"/>
        <v>3d10 + 24</v>
      </c>
      <c r="Q523">
        <f>ROUND(INDEX(Catalogue!E$4:E$85,MATCH(A523,Catalogue!A$4:A$85,0))*(1+Paramètres!$B$4*(C523-1)+Paramètres!$B$5*(C523-1)^2),0)</f>
        <v>27</v>
      </c>
      <c r="R523">
        <f>ROUND(INDEX(Catalogue!F$4:F$85,MATCH(A523,Catalogue!A$4:A$85,0))*(1+Paramètres!$B$4*(C523-1)+Paramètres!$B$5*(C523-1)^2),0)</f>
        <v>53</v>
      </c>
      <c r="S523">
        <f t="shared" si="68"/>
        <v>0.5</v>
      </c>
      <c r="T523" t="str">
        <f t="shared" si="69"/>
        <v>OK</v>
      </c>
      <c r="U523" s="25">
        <f t="shared" si="70"/>
        <v>40.5</v>
      </c>
      <c r="V523" t="str">
        <f t="shared" si="71"/>
        <v>OK</v>
      </c>
    </row>
    <row r="524" spans="1:22" ht="18" customHeight="1">
      <c r="A524" t="s">
        <v>167</v>
      </c>
      <c r="B524" t="s">
        <v>168</v>
      </c>
      <c r="C524">
        <v>1</v>
      </c>
      <c r="D524" t="s">
        <v>169</v>
      </c>
      <c r="E524" s="6">
        <f t="shared" si="64"/>
        <v>6</v>
      </c>
      <c r="F524" s="6">
        <f t="shared" si="65"/>
        <v>11</v>
      </c>
      <c r="G524" s="6">
        <f>ROUND(Catalogue!G30*SQRT((1+Paramètres!$B$4*(C524-1)+Paramètres!$B$5*(C524-1)^2)),0)</f>
        <v>0</v>
      </c>
      <c r="H524" s="6">
        <f>ROUND(Catalogue!H30*SQRT((1+Paramètres!$B$4*(C524-1)+Paramètres!$B$5*(C524-1)^2)),0)</f>
        <v>0</v>
      </c>
      <c r="I524" s="6">
        <v>3</v>
      </c>
      <c r="J524" s="6">
        <v>1</v>
      </c>
      <c r="K524" s="7">
        <v>3.6</v>
      </c>
      <c r="L524" s="9">
        <f t="shared" si="66"/>
        <v>8.5</v>
      </c>
      <c r="M524">
        <v>1</v>
      </c>
      <c r="N524">
        <v>6</v>
      </c>
      <c r="O524">
        <v>5</v>
      </c>
      <c r="P524" s="13" t="str">
        <f t="shared" si="67"/>
        <v>1d6 + 5</v>
      </c>
      <c r="Q524">
        <f>ROUND(INDEX(Catalogue!E$4:E$85,MATCH(A524,Catalogue!A$4:A$85,0))*(1+Paramètres!$B$4*(C524-1)+Paramètres!$B$5*(C524-1)^2),0)</f>
        <v>7</v>
      </c>
      <c r="R524">
        <f>ROUND(INDEX(Catalogue!F$4:F$85,MATCH(A524,Catalogue!A$4:A$85,0))*(1+Paramètres!$B$4*(C524-1)+Paramètres!$B$5*(C524-1)^2),0)</f>
        <v>11</v>
      </c>
      <c r="S524">
        <f t="shared" si="68"/>
        <v>-0.5</v>
      </c>
      <c r="T524" t="str">
        <f t="shared" si="69"/>
        <v>OK</v>
      </c>
      <c r="U524" s="25">
        <f t="shared" si="70"/>
        <v>8.5</v>
      </c>
      <c r="V524" t="str">
        <f t="shared" si="71"/>
        <v>OK</v>
      </c>
    </row>
    <row r="525" spans="1:22" ht="18" customHeight="1">
      <c r="A525" t="s">
        <v>167</v>
      </c>
      <c r="B525" t="s">
        <v>168</v>
      </c>
      <c r="C525">
        <v>2</v>
      </c>
      <c r="D525" t="s">
        <v>169</v>
      </c>
      <c r="E525" s="6">
        <f t="shared" si="64"/>
        <v>7</v>
      </c>
      <c r="F525" s="6">
        <f t="shared" si="65"/>
        <v>12</v>
      </c>
      <c r="G525" s="6">
        <f>ROUND(Catalogue!G30*SQRT((1+Paramètres!$B$4*(C525-1)+Paramètres!$B$5*(C525-1)^2)),0)</f>
        <v>0</v>
      </c>
      <c r="H525" s="6">
        <f>ROUND(Catalogue!H30*SQRT((1+Paramètres!$B$4*(C525-1)+Paramètres!$B$5*(C525-1)^2)),0)</f>
        <v>0</v>
      </c>
      <c r="I525" s="6">
        <v>3</v>
      </c>
      <c r="J525" s="6">
        <v>1</v>
      </c>
      <c r="K525" s="7">
        <v>3.6</v>
      </c>
      <c r="L525" s="9">
        <f t="shared" si="66"/>
        <v>9.5</v>
      </c>
      <c r="M525">
        <v>1</v>
      </c>
      <c r="N525">
        <v>6</v>
      </c>
      <c r="O525">
        <v>6</v>
      </c>
      <c r="P525" s="13" t="str">
        <f t="shared" si="67"/>
        <v>1d6 + 6</v>
      </c>
      <c r="Q525">
        <f>ROUND(INDEX(Catalogue!E$4:E$85,MATCH(A525,Catalogue!A$4:A$85,0))*(1+Paramètres!$B$4*(C525-1)+Paramètres!$B$5*(C525-1)^2),0)</f>
        <v>8</v>
      </c>
      <c r="R525">
        <f>ROUND(INDEX(Catalogue!F$4:F$85,MATCH(A525,Catalogue!A$4:A$85,0))*(1+Paramètres!$B$4*(C525-1)+Paramètres!$B$5*(C525-1)^2),0)</f>
        <v>12</v>
      </c>
      <c r="S525">
        <f t="shared" si="68"/>
        <v>-0.5</v>
      </c>
      <c r="T525" t="str">
        <f t="shared" si="69"/>
        <v>OK</v>
      </c>
      <c r="U525" s="25">
        <f t="shared" si="70"/>
        <v>9.5</v>
      </c>
      <c r="V525" t="str">
        <f t="shared" si="71"/>
        <v>OK</v>
      </c>
    </row>
    <row r="526" spans="1:22" ht="18" customHeight="1">
      <c r="A526" t="s">
        <v>167</v>
      </c>
      <c r="B526" t="s">
        <v>168</v>
      </c>
      <c r="C526">
        <v>3</v>
      </c>
      <c r="D526" t="s">
        <v>169</v>
      </c>
      <c r="E526" s="6">
        <f t="shared" si="64"/>
        <v>9</v>
      </c>
      <c r="F526" s="6">
        <f t="shared" si="65"/>
        <v>14</v>
      </c>
      <c r="G526" s="6">
        <f>ROUND(Catalogue!G30*SQRT((1+Paramètres!$B$4*(C526-1)+Paramètres!$B$5*(C526-1)^2)),0)</f>
        <v>0</v>
      </c>
      <c r="H526" s="6">
        <f>ROUND(Catalogue!H30*SQRT((1+Paramètres!$B$4*(C526-1)+Paramètres!$B$5*(C526-1)^2)),0)</f>
        <v>0</v>
      </c>
      <c r="I526" s="6">
        <v>3</v>
      </c>
      <c r="J526" s="6">
        <v>1</v>
      </c>
      <c r="K526" s="7">
        <v>3.6</v>
      </c>
      <c r="L526" s="9">
        <f t="shared" si="66"/>
        <v>11.5</v>
      </c>
      <c r="M526">
        <v>1</v>
      </c>
      <c r="N526">
        <v>6</v>
      </c>
      <c r="O526">
        <v>8</v>
      </c>
      <c r="P526" s="13" t="str">
        <f t="shared" si="67"/>
        <v>1d6 + 8</v>
      </c>
      <c r="Q526">
        <f>ROUND(INDEX(Catalogue!E$4:E$85,MATCH(A526,Catalogue!A$4:A$85,0))*(1+Paramètres!$B$4*(C526-1)+Paramètres!$B$5*(C526-1)^2),0)</f>
        <v>9</v>
      </c>
      <c r="R526">
        <f>ROUND(INDEX(Catalogue!F$4:F$85,MATCH(A526,Catalogue!A$4:A$85,0))*(1+Paramètres!$B$4*(C526-1)+Paramètres!$B$5*(C526-1)^2),0)</f>
        <v>14</v>
      </c>
      <c r="S526">
        <f t="shared" si="68"/>
        <v>0</v>
      </c>
      <c r="T526" t="str">
        <f t="shared" si="69"/>
        <v>OK</v>
      </c>
      <c r="U526" s="25">
        <f t="shared" si="70"/>
        <v>11.5</v>
      </c>
      <c r="V526" t="str">
        <f t="shared" si="71"/>
        <v>OK</v>
      </c>
    </row>
    <row r="527" spans="1:22" ht="18" customHeight="1">
      <c r="A527" t="s">
        <v>167</v>
      </c>
      <c r="B527" t="s">
        <v>168</v>
      </c>
      <c r="C527">
        <v>4</v>
      </c>
      <c r="D527" t="s">
        <v>169</v>
      </c>
      <c r="E527" s="6">
        <f t="shared" si="64"/>
        <v>10</v>
      </c>
      <c r="F527" s="6">
        <f t="shared" si="65"/>
        <v>15</v>
      </c>
      <c r="G527" s="6">
        <f>ROUND(Catalogue!G30*SQRT((1+Paramètres!$B$4*(C527-1)+Paramètres!$B$5*(C527-1)^2)),0)</f>
        <v>0</v>
      </c>
      <c r="H527" s="6">
        <f>ROUND(Catalogue!H30*SQRT((1+Paramètres!$B$4*(C527-1)+Paramètres!$B$5*(C527-1)^2)),0)</f>
        <v>0</v>
      </c>
      <c r="I527" s="6">
        <v>3</v>
      </c>
      <c r="J527" s="6">
        <v>1</v>
      </c>
      <c r="K527" s="7">
        <v>3.6</v>
      </c>
      <c r="L527" s="9">
        <f t="shared" si="66"/>
        <v>12.5</v>
      </c>
      <c r="M527">
        <v>1</v>
      </c>
      <c r="N527">
        <v>6</v>
      </c>
      <c r="O527">
        <v>9</v>
      </c>
      <c r="P527" s="13" t="str">
        <f t="shared" si="67"/>
        <v>1d6 + 9</v>
      </c>
      <c r="Q527">
        <f>ROUND(INDEX(Catalogue!E$4:E$85,MATCH(A527,Catalogue!A$4:A$85,0))*(1+Paramètres!$B$4*(C527-1)+Paramètres!$B$5*(C527-1)^2),0)</f>
        <v>10</v>
      </c>
      <c r="R527">
        <f>ROUND(INDEX(Catalogue!F$4:F$85,MATCH(A527,Catalogue!A$4:A$85,0))*(1+Paramètres!$B$4*(C527-1)+Paramètres!$B$5*(C527-1)^2),0)</f>
        <v>16</v>
      </c>
      <c r="S527">
        <f t="shared" si="68"/>
        <v>-0.5</v>
      </c>
      <c r="T527" t="str">
        <f t="shared" si="69"/>
        <v>OK</v>
      </c>
      <c r="U527" s="25">
        <f t="shared" si="70"/>
        <v>12.5</v>
      </c>
      <c r="V527" t="str">
        <f t="shared" si="71"/>
        <v>OK</v>
      </c>
    </row>
    <row r="528" spans="1:22" ht="18" customHeight="1">
      <c r="A528" t="s">
        <v>167</v>
      </c>
      <c r="B528" t="s">
        <v>168</v>
      </c>
      <c r="C528">
        <v>5</v>
      </c>
      <c r="D528" t="s">
        <v>169</v>
      </c>
      <c r="E528" s="6">
        <f t="shared" si="64"/>
        <v>12</v>
      </c>
      <c r="F528" s="6">
        <f t="shared" si="65"/>
        <v>19</v>
      </c>
      <c r="G528" s="6">
        <f>ROUND(Catalogue!G30*SQRT((1+Paramètres!$B$4*(C528-1)+Paramètres!$B$5*(C528-1)^2)),0)</f>
        <v>0</v>
      </c>
      <c r="H528" s="6">
        <f>ROUND(Catalogue!H30*SQRT((1+Paramètres!$B$4*(C528-1)+Paramètres!$B$5*(C528-1)^2)),0)</f>
        <v>0</v>
      </c>
      <c r="I528" s="6">
        <v>3</v>
      </c>
      <c r="J528" s="6">
        <v>1</v>
      </c>
      <c r="K528" s="7">
        <v>3.6</v>
      </c>
      <c r="L528" s="9">
        <f t="shared" si="66"/>
        <v>15.5</v>
      </c>
      <c r="M528">
        <v>1</v>
      </c>
      <c r="N528">
        <v>8</v>
      </c>
      <c r="O528">
        <v>11</v>
      </c>
      <c r="P528" s="13" t="str">
        <f t="shared" si="67"/>
        <v>1d8 + 11</v>
      </c>
      <c r="Q528">
        <f>ROUND(INDEX(Catalogue!E$4:E$85,MATCH(A528,Catalogue!A$4:A$85,0))*(1+Paramètres!$B$4*(C528-1)+Paramètres!$B$5*(C528-1)^2),0)</f>
        <v>12</v>
      </c>
      <c r="R528">
        <f>ROUND(INDEX(Catalogue!F$4:F$85,MATCH(A528,Catalogue!A$4:A$85,0))*(1+Paramètres!$B$4*(C528-1)+Paramètres!$B$5*(C528-1)^2),0)</f>
        <v>19</v>
      </c>
      <c r="S528">
        <f t="shared" si="68"/>
        <v>0</v>
      </c>
      <c r="T528" t="str">
        <f t="shared" si="69"/>
        <v>OK</v>
      </c>
      <c r="U528" s="25">
        <f t="shared" si="70"/>
        <v>15.5</v>
      </c>
      <c r="V528" t="str">
        <f t="shared" si="71"/>
        <v>OK</v>
      </c>
    </row>
    <row r="529" spans="1:22" ht="18" customHeight="1">
      <c r="A529" t="s">
        <v>167</v>
      </c>
      <c r="B529" t="s">
        <v>168</v>
      </c>
      <c r="C529">
        <v>6</v>
      </c>
      <c r="D529" t="s">
        <v>169</v>
      </c>
      <c r="E529" s="6">
        <f t="shared" si="64"/>
        <v>14</v>
      </c>
      <c r="F529" s="6">
        <f t="shared" si="65"/>
        <v>21</v>
      </c>
      <c r="G529" s="6">
        <f>ROUND(Catalogue!G30*SQRT((1+Paramètres!$B$4*(C529-1)+Paramètres!$B$5*(C529-1)^2)),0)</f>
        <v>0</v>
      </c>
      <c r="H529" s="6">
        <f>ROUND(Catalogue!H30*SQRT((1+Paramètres!$B$4*(C529-1)+Paramètres!$B$5*(C529-1)^2)),0)</f>
        <v>0</v>
      </c>
      <c r="I529" s="6">
        <v>3</v>
      </c>
      <c r="J529" s="6">
        <v>1</v>
      </c>
      <c r="K529" s="7">
        <v>3.6</v>
      </c>
      <c r="L529" s="9">
        <f t="shared" si="66"/>
        <v>17.5</v>
      </c>
      <c r="M529">
        <v>1</v>
      </c>
      <c r="N529">
        <v>8</v>
      </c>
      <c r="O529">
        <v>13</v>
      </c>
      <c r="P529" s="13" t="str">
        <f t="shared" si="67"/>
        <v>1d8 + 13</v>
      </c>
      <c r="Q529">
        <f>ROUND(INDEX(Catalogue!E$4:E$85,MATCH(A529,Catalogue!A$4:A$85,0))*(1+Paramètres!$B$4*(C529-1)+Paramètres!$B$5*(C529-1)^2),0)</f>
        <v>14</v>
      </c>
      <c r="R529">
        <f>ROUND(INDEX(Catalogue!F$4:F$85,MATCH(A529,Catalogue!A$4:A$85,0))*(1+Paramètres!$B$4*(C529-1)+Paramètres!$B$5*(C529-1)^2),0)</f>
        <v>21</v>
      </c>
      <c r="S529">
        <f t="shared" si="68"/>
        <v>0</v>
      </c>
      <c r="T529" t="str">
        <f t="shared" si="69"/>
        <v>OK</v>
      </c>
      <c r="U529" s="25">
        <f t="shared" si="70"/>
        <v>17.5</v>
      </c>
      <c r="V529" t="str">
        <f t="shared" si="71"/>
        <v>OK</v>
      </c>
    </row>
    <row r="530" spans="1:22" ht="18" customHeight="1">
      <c r="A530" t="s">
        <v>167</v>
      </c>
      <c r="B530" t="s">
        <v>168</v>
      </c>
      <c r="C530">
        <v>7</v>
      </c>
      <c r="D530" t="s">
        <v>169</v>
      </c>
      <c r="E530" s="6">
        <f t="shared" si="64"/>
        <v>16</v>
      </c>
      <c r="F530" s="6">
        <f t="shared" si="65"/>
        <v>25</v>
      </c>
      <c r="G530" s="6">
        <f>ROUND(Catalogue!G30*SQRT((1+Paramètres!$B$4*(C530-1)+Paramètres!$B$5*(C530-1)^2)),0)</f>
        <v>0</v>
      </c>
      <c r="H530" s="6">
        <f>ROUND(Catalogue!H30*SQRT((1+Paramètres!$B$4*(C530-1)+Paramètres!$B$5*(C530-1)^2)),0)</f>
        <v>0</v>
      </c>
      <c r="I530" s="6">
        <v>3</v>
      </c>
      <c r="J530" s="6">
        <v>1</v>
      </c>
      <c r="K530" s="7">
        <v>3.6</v>
      </c>
      <c r="L530" s="9">
        <f t="shared" si="66"/>
        <v>20.5</v>
      </c>
      <c r="M530">
        <v>1</v>
      </c>
      <c r="N530">
        <v>10</v>
      </c>
      <c r="O530">
        <v>15</v>
      </c>
      <c r="P530" s="13" t="str">
        <f t="shared" si="67"/>
        <v>1d10 + 15</v>
      </c>
      <c r="Q530">
        <f>ROUND(INDEX(Catalogue!E$4:E$85,MATCH(A530,Catalogue!A$4:A$85,0))*(1+Paramètres!$B$4*(C530-1)+Paramètres!$B$5*(C530-1)^2),0)</f>
        <v>16</v>
      </c>
      <c r="R530">
        <f>ROUND(INDEX(Catalogue!F$4:F$85,MATCH(A530,Catalogue!A$4:A$85,0))*(1+Paramètres!$B$4*(C530-1)+Paramètres!$B$5*(C530-1)^2),0)</f>
        <v>25</v>
      </c>
      <c r="S530">
        <f t="shared" si="68"/>
        <v>0</v>
      </c>
      <c r="T530" t="str">
        <f t="shared" si="69"/>
        <v>OK</v>
      </c>
      <c r="U530" s="25">
        <f t="shared" si="70"/>
        <v>20.5</v>
      </c>
      <c r="V530" t="str">
        <f t="shared" si="71"/>
        <v>OK</v>
      </c>
    </row>
    <row r="531" spans="1:22" ht="18" customHeight="1">
      <c r="A531" t="s">
        <v>167</v>
      </c>
      <c r="B531" t="s">
        <v>168</v>
      </c>
      <c r="C531">
        <v>8</v>
      </c>
      <c r="D531" t="s">
        <v>169</v>
      </c>
      <c r="E531" s="6">
        <f t="shared" si="64"/>
        <v>18</v>
      </c>
      <c r="F531" s="6">
        <f t="shared" si="65"/>
        <v>28</v>
      </c>
      <c r="G531" s="6">
        <f>ROUND(Catalogue!G30*SQRT((1+Paramètres!$B$4*(C531-1)+Paramètres!$B$5*(C531-1)^2)),0)</f>
        <v>0</v>
      </c>
      <c r="H531" s="6">
        <f>ROUND(Catalogue!H30*SQRT((1+Paramètres!$B$4*(C531-1)+Paramètres!$B$5*(C531-1)^2)),0)</f>
        <v>0</v>
      </c>
      <c r="I531" s="6">
        <v>3</v>
      </c>
      <c r="J531" s="6">
        <v>1</v>
      </c>
      <c r="K531" s="7">
        <v>3.6</v>
      </c>
      <c r="L531" s="9">
        <f t="shared" si="66"/>
        <v>23</v>
      </c>
      <c r="M531">
        <v>2</v>
      </c>
      <c r="N531">
        <v>6</v>
      </c>
      <c r="O531">
        <v>16</v>
      </c>
      <c r="P531" s="13" t="str">
        <f t="shared" si="67"/>
        <v>2d6 + 16</v>
      </c>
      <c r="Q531">
        <f>ROUND(INDEX(Catalogue!E$4:E$85,MATCH(A531,Catalogue!A$4:A$85,0))*(1+Paramètres!$B$4*(C531-1)+Paramètres!$B$5*(C531-1)^2),0)</f>
        <v>18</v>
      </c>
      <c r="R531">
        <f>ROUND(INDEX(Catalogue!F$4:F$85,MATCH(A531,Catalogue!A$4:A$85,0))*(1+Paramètres!$B$4*(C531-1)+Paramètres!$B$5*(C531-1)^2),0)</f>
        <v>28</v>
      </c>
      <c r="S531">
        <f t="shared" si="68"/>
        <v>0</v>
      </c>
      <c r="T531" t="str">
        <f t="shared" si="69"/>
        <v>OK</v>
      </c>
      <c r="U531" s="25">
        <f t="shared" si="70"/>
        <v>23</v>
      </c>
      <c r="V531" t="str">
        <f t="shared" si="71"/>
        <v>OK</v>
      </c>
    </row>
    <row r="532" spans="1:22" ht="18" customHeight="1">
      <c r="A532" t="s">
        <v>167</v>
      </c>
      <c r="B532" t="s">
        <v>168</v>
      </c>
      <c r="C532">
        <v>9</v>
      </c>
      <c r="D532" t="s">
        <v>169</v>
      </c>
      <c r="E532" s="6">
        <f t="shared" si="64"/>
        <v>20</v>
      </c>
      <c r="F532" s="6">
        <f t="shared" si="65"/>
        <v>31</v>
      </c>
      <c r="G532" s="6">
        <f>ROUND(Catalogue!G30*SQRT((1+Paramètres!$B$4*(C532-1)+Paramètres!$B$5*(C532-1)^2)),0)</f>
        <v>0</v>
      </c>
      <c r="H532" s="6">
        <f>ROUND(Catalogue!H30*SQRT((1+Paramètres!$B$4*(C532-1)+Paramètres!$B$5*(C532-1)^2)),0)</f>
        <v>0</v>
      </c>
      <c r="I532" s="6">
        <v>3</v>
      </c>
      <c r="J532" s="6">
        <v>1</v>
      </c>
      <c r="K532" s="7">
        <v>3.6</v>
      </c>
      <c r="L532" s="9">
        <f t="shared" si="66"/>
        <v>25.5</v>
      </c>
      <c r="M532">
        <v>1</v>
      </c>
      <c r="N532">
        <v>12</v>
      </c>
      <c r="O532">
        <v>19</v>
      </c>
      <c r="P532" s="13" t="str">
        <f t="shared" si="67"/>
        <v>1d12 + 19</v>
      </c>
      <c r="Q532">
        <f>ROUND(INDEX(Catalogue!E$4:E$85,MATCH(A532,Catalogue!A$4:A$85,0))*(1+Paramètres!$B$4*(C532-1)+Paramètres!$B$5*(C532-1)^2),0)</f>
        <v>20</v>
      </c>
      <c r="R532">
        <f>ROUND(INDEX(Catalogue!F$4:F$85,MATCH(A532,Catalogue!A$4:A$85,0))*(1+Paramètres!$B$4*(C532-1)+Paramètres!$B$5*(C532-1)^2),0)</f>
        <v>32</v>
      </c>
      <c r="S532">
        <f t="shared" si="68"/>
        <v>-0.5</v>
      </c>
      <c r="T532" t="str">
        <f t="shared" si="69"/>
        <v>OK</v>
      </c>
      <c r="U532" s="25">
        <f t="shared" si="70"/>
        <v>25.5</v>
      </c>
      <c r="V532" t="str">
        <f t="shared" si="71"/>
        <v>OK</v>
      </c>
    </row>
    <row r="533" spans="1:22" ht="18" customHeight="1">
      <c r="A533" t="s">
        <v>167</v>
      </c>
      <c r="B533" t="s">
        <v>168</v>
      </c>
      <c r="C533">
        <v>10</v>
      </c>
      <c r="D533" t="s">
        <v>169</v>
      </c>
      <c r="E533" s="6">
        <f t="shared" si="64"/>
        <v>22</v>
      </c>
      <c r="F533" s="6">
        <f t="shared" si="65"/>
        <v>36</v>
      </c>
      <c r="G533" s="6">
        <f>ROUND(Catalogue!G30*SQRT((1+Paramètres!$B$4*(C533-1)+Paramètres!$B$5*(C533-1)^2)),0)</f>
        <v>0</v>
      </c>
      <c r="H533" s="6">
        <f>ROUND(Catalogue!H30*SQRT((1+Paramètres!$B$4*(C533-1)+Paramètres!$B$5*(C533-1)^2)),0)</f>
        <v>0</v>
      </c>
      <c r="I533" s="6">
        <v>3</v>
      </c>
      <c r="J533" s="6">
        <v>1</v>
      </c>
      <c r="K533" s="7">
        <v>3.6</v>
      </c>
      <c r="L533" s="9">
        <f t="shared" si="66"/>
        <v>29</v>
      </c>
      <c r="M533">
        <v>2</v>
      </c>
      <c r="N533">
        <v>8</v>
      </c>
      <c r="O533">
        <v>20</v>
      </c>
      <c r="P533" s="13" t="str">
        <f t="shared" si="67"/>
        <v>2d8 + 20</v>
      </c>
      <c r="Q533">
        <f>ROUND(INDEX(Catalogue!E$4:E$85,MATCH(A533,Catalogue!A$4:A$85,0))*(1+Paramètres!$B$4*(C533-1)+Paramètres!$B$5*(C533-1)^2),0)</f>
        <v>23</v>
      </c>
      <c r="R533">
        <f>ROUND(INDEX(Catalogue!F$4:F$85,MATCH(A533,Catalogue!A$4:A$85,0))*(1+Paramètres!$B$4*(C533-1)+Paramètres!$B$5*(C533-1)^2),0)</f>
        <v>36</v>
      </c>
      <c r="S533">
        <f t="shared" si="68"/>
        <v>-0.5</v>
      </c>
      <c r="T533" t="str">
        <f t="shared" si="69"/>
        <v>OK</v>
      </c>
      <c r="U533" s="25">
        <f t="shared" si="70"/>
        <v>29</v>
      </c>
      <c r="V533" t="str">
        <f t="shared" si="71"/>
        <v>OK</v>
      </c>
    </row>
    <row r="534" spans="1:22" ht="18" customHeight="1">
      <c r="A534" t="s">
        <v>167</v>
      </c>
      <c r="B534" t="s">
        <v>168</v>
      </c>
      <c r="C534">
        <v>11</v>
      </c>
      <c r="D534" t="s">
        <v>169</v>
      </c>
      <c r="E534" s="6">
        <f t="shared" si="64"/>
        <v>26</v>
      </c>
      <c r="F534" s="6">
        <f t="shared" si="65"/>
        <v>41</v>
      </c>
      <c r="G534" s="6">
        <f>ROUND(Catalogue!G30*SQRT((1+Paramètres!$B$4*(C534-1)+Paramètres!$B$5*(C534-1)^2)),0)</f>
        <v>0</v>
      </c>
      <c r="H534" s="6">
        <f>ROUND(Catalogue!H30*SQRT((1+Paramètres!$B$4*(C534-1)+Paramètres!$B$5*(C534-1)^2)),0)</f>
        <v>0</v>
      </c>
      <c r="I534" s="6">
        <v>3</v>
      </c>
      <c r="J534" s="6">
        <v>1</v>
      </c>
      <c r="K534" s="7">
        <v>3.6</v>
      </c>
      <c r="L534" s="9">
        <f t="shared" si="66"/>
        <v>33.5</v>
      </c>
      <c r="M534">
        <v>3</v>
      </c>
      <c r="N534">
        <v>6</v>
      </c>
      <c r="O534">
        <v>23</v>
      </c>
      <c r="P534" s="13" t="str">
        <f t="shared" si="67"/>
        <v>3d6 + 23</v>
      </c>
      <c r="Q534">
        <f>ROUND(INDEX(Catalogue!E$4:E$85,MATCH(A534,Catalogue!A$4:A$85,0))*(1+Paramètres!$B$4*(C534-1)+Paramètres!$B$5*(C534-1)^2),0)</f>
        <v>26</v>
      </c>
      <c r="R534">
        <f>ROUND(INDEX(Catalogue!F$4:F$85,MATCH(A534,Catalogue!A$4:A$85,0))*(1+Paramètres!$B$4*(C534-1)+Paramètres!$B$5*(C534-1)^2),0)</f>
        <v>41</v>
      </c>
      <c r="S534">
        <f t="shared" si="68"/>
        <v>0</v>
      </c>
      <c r="T534" t="str">
        <f t="shared" si="69"/>
        <v>OK</v>
      </c>
      <c r="U534" s="25">
        <f t="shared" si="70"/>
        <v>33.5</v>
      </c>
      <c r="V534" t="str">
        <f t="shared" si="71"/>
        <v>OK</v>
      </c>
    </row>
    <row r="535" spans="1:22" ht="18" customHeight="1">
      <c r="A535" t="s">
        <v>167</v>
      </c>
      <c r="B535" t="s">
        <v>168</v>
      </c>
      <c r="C535">
        <v>12</v>
      </c>
      <c r="D535" t="s">
        <v>169</v>
      </c>
      <c r="E535" s="6">
        <f t="shared" si="64"/>
        <v>28</v>
      </c>
      <c r="F535" s="6">
        <f t="shared" si="65"/>
        <v>46</v>
      </c>
      <c r="G535" s="6">
        <f>ROUND(Catalogue!G30*SQRT((1+Paramètres!$B$4*(C535-1)+Paramètres!$B$5*(C535-1)^2)),0)</f>
        <v>0</v>
      </c>
      <c r="H535" s="6">
        <f>ROUND(Catalogue!H30*SQRT((1+Paramètres!$B$4*(C535-1)+Paramètres!$B$5*(C535-1)^2)),0)</f>
        <v>0</v>
      </c>
      <c r="I535" s="6">
        <v>3</v>
      </c>
      <c r="J535" s="6">
        <v>1</v>
      </c>
      <c r="K535" s="7">
        <v>3.6</v>
      </c>
      <c r="L535" s="9">
        <f t="shared" si="66"/>
        <v>37</v>
      </c>
      <c r="M535">
        <v>2</v>
      </c>
      <c r="N535">
        <v>10</v>
      </c>
      <c r="O535">
        <v>26</v>
      </c>
      <c r="P535" s="13" t="str">
        <f t="shared" si="67"/>
        <v>2d10 + 26</v>
      </c>
      <c r="Q535">
        <f>ROUND(INDEX(Catalogue!E$4:E$85,MATCH(A535,Catalogue!A$4:A$85,0))*(1+Paramètres!$B$4*(C535-1)+Paramètres!$B$5*(C535-1)^2),0)</f>
        <v>29</v>
      </c>
      <c r="R535">
        <f>ROUND(INDEX(Catalogue!F$4:F$85,MATCH(A535,Catalogue!A$4:A$85,0))*(1+Paramètres!$B$4*(C535-1)+Paramètres!$B$5*(C535-1)^2),0)</f>
        <v>46</v>
      </c>
      <c r="S535">
        <f t="shared" si="68"/>
        <v>-0.5</v>
      </c>
      <c r="T535" t="str">
        <f t="shared" si="69"/>
        <v>OK</v>
      </c>
      <c r="U535" s="25">
        <f t="shared" si="70"/>
        <v>37</v>
      </c>
      <c r="V535" t="str">
        <f t="shared" si="71"/>
        <v>OK</v>
      </c>
    </row>
    <row r="536" spans="1:22" ht="18" customHeight="1">
      <c r="A536" t="s">
        <v>167</v>
      </c>
      <c r="B536" t="s">
        <v>168</v>
      </c>
      <c r="C536">
        <v>13</v>
      </c>
      <c r="D536" t="s">
        <v>169</v>
      </c>
      <c r="E536" s="6">
        <f t="shared" si="64"/>
        <v>32</v>
      </c>
      <c r="F536" s="6">
        <f t="shared" si="65"/>
        <v>50</v>
      </c>
      <c r="G536" s="6">
        <f>ROUND(Catalogue!G30*SQRT((1+Paramètres!$B$4*(C536-1)+Paramètres!$B$5*(C536-1)^2)),0)</f>
        <v>0</v>
      </c>
      <c r="H536" s="6">
        <f>ROUND(Catalogue!H30*SQRT((1+Paramètres!$B$4*(C536-1)+Paramètres!$B$5*(C536-1)^2)),0)</f>
        <v>0</v>
      </c>
      <c r="I536" s="6">
        <v>3</v>
      </c>
      <c r="J536" s="6">
        <v>1</v>
      </c>
      <c r="K536" s="7">
        <v>3.6</v>
      </c>
      <c r="L536" s="9">
        <f t="shared" si="66"/>
        <v>41</v>
      </c>
      <c r="M536">
        <v>2</v>
      </c>
      <c r="N536">
        <v>10</v>
      </c>
      <c r="O536">
        <v>30</v>
      </c>
      <c r="P536" s="13" t="str">
        <f t="shared" si="67"/>
        <v>2d10 + 30</v>
      </c>
      <c r="Q536">
        <f>ROUND(INDEX(Catalogue!E$4:E$85,MATCH(A536,Catalogue!A$4:A$85,0))*(1+Paramètres!$B$4*(C536-1)+Paramètres!$B$5*(C536-1)^2),0)</f>
        <v>32</v>
      </c>
      <c r="R536">
        <f>ROUND(INDEX(Catalogue!F$4:F$85,MATCH(A536,Catalogue!A$4:A$85,0))*(1+Paramètres!$B$4*(C536-1)+Paramètres!$B$5*(C536-1)^2),0)</f>
        <v>51</v>
      </c>
      <c r="S536">
        <f t="shared" si="68"/>
        <v>-0.5</v>
      </c>
      <c r="T536" t="str">
        <f t="shared" si="69"/>
        <v>OK</v>
      </c>
      <c r="U536" s="25">
        <f t="shared" si="70"/>
        <v>41</v>
      </c>
      <c r="V536" t="str">
        <f t="shared" si="71"/>
        <v>OK</v>
      </c>
    </row>
    <row r="537" spans="1:22" ht="18" customHeight="1">
      <c r="A537" t="s">
        <v>167</v>
      </c>
      <c r="B537" t="s">
        <v>168</v>
      </c>
      <c r="C537">
        <v>14</v>
      </c>
      <c r="D537" t="s">
        <v>169</v>
      </c>
      <c r="E537" s="6">
        <f t="shared" si="64"/>
        <v>36</v>
      </c>
      <c r="F537" s="6">
        <f t="shared" si="65"/>
        <v>56</v>
      </c>
      <c r="G537" s="6">
        <f>ROUND(Catalogue!G30*SQRT((1+Paramètres!$B$4*(C537-1)+Paramètres!$B$5*(C537-1)^2)),0)</f>
        <v>0</v>
      </c>
      <c r="H537" s="6">
        <f>ROUND(Catalogue!H30*SQRT((1+Paramètres!$B$4*(C537-1)+Paramètres!$B$5*(C537-1)^2)),0)</f>
        <v>0</v>
      </c>
      <c r="I537" s="6">
        <v>3</v>
      </c>
      <c r="J537" s="6">
        <v>1</v>
      </c>
      <c r="K537" s="7">
        <v>3.6</v>
      </c>
      <c r="L537" s="9">
        <f t="shared" si="66"/>
        <v>46</v>
      </c>
      <c r="M537">
        <v>4</v>
      </c>
      <c r="N537">
        <v>6</v>
      </c>
      <c r="O537">
        <v>32</v>
      </c>
      <c r="P537" s="13" t="str">
        <f t="shared" si="67"/>
        <v>4d6 + 32</v>
      </c>
      <c r="Q537">
        <f>ROUND(INDEX(Catalogue!E$4:E$85,MATCH(A537,Catalogue!A$4:A$85,0))*(1+Paramètres!$B$4*(C537-1)+Paramètres!$B$5*(C537-1)^2),0)</f>
        <v>36</v>
      </c>
      <c r="R537">
        <f>ROUND(INDEX(Catalogue!F$4:F$85,MATCH(A537,Catalogue!A$4:A$85,0))*(1+Paramètres!$B$4*(C537-1)+Paramètres!$B$5*(C537-1)^2),0)</f>
        <v>56</v>
      </c>
      <c r="S537">
        <f t="shared" si="68"/>
        <v>0</v>
      </c>
      <c r="T537" t="str">
        <f t="shared" si="69"/>
        <v>OK</v>
      </c>
      <c r="U537" s="25">
        <f t="shared" si="70"/>
        <v>46</v>
      </c>
      <c r="V537" t="str">
        <f t="shared" si="71"/>
        <v>OK</v>
      </c>
    </row>
    <row r="538" spans="1:22" ht="18" customHeight="1">
      <c r="A538" t="s">
        <v>167</v>
      </c>
      <c r="B538" t="s">
        <v>168</v>
      </c>
      <c r="C538">
        <v>15</v>
      </c>
      <c r="D538" t="s">
        <v>169</v>
      </c>
      <c r="E538" s="6">
        <f t="shared" si="64"/>
        <v>40</v>
      </c>
      <c r="F538" s="6">
        <f t="shared" si="65"/>
        <v>62</v>
      </c>
      <c r="G538" s="6">
        <f>ROUND(Catalogue!G30*SQRT((1+Paramètres!$B$4*(C538-1)+Paramètres!$B$5*(C538-1)^2)),0)</f>
        <v>0</v>
      </c>
      <c r="H538" s="6">
        <f>ROUND(Catalogue!H30*SQRT((1+Paramètres!$B$4*(C538-1)+Paramètres!$B$5*(C538-1)^2)),0)</f>
        <v>0</v>
      </c>
      <c r="I538" s="6">
        <v>3</v>
      </c>
      <c r="J538" s="6">
        <v>1</v>
      </c>
      <c r="K538" s="7">
        <v>3.6</v>
      </c>
      <c r="L538" s="9">
        <f t="shared" si="66"/>
        <v>51</v>
      </c>
      <c r="M538">
        <v>2</v>
      </c>
      <c r="N538">
        <v>12</v>
      </c>
      <c r="O538">
        <v>38</v>
      </c>
      <c r="P538" s="13" t="str">
        <f t="shared" si="67"/>
        <v>2d12 + 38</v>
      </c>
      <c r="Q538">
        <f>ROUND(INDEX(Catalogue!E$4:E$85,MATCH(A538,Catalogue!A$4:A$85,0))*(1+Paramètres!$B$4*(C538-1)+Paramètres!$B$5*(C538-1)^2),0)</f>
        <v>40</v>
      </c>
      <c r="R538">
        <f>ROUND(INDEX(Catalogue!F$4:F$85,MATCH(A538,Catalogue!A$4:A$85,0))*(1+Paramètres!$B$4*(C538-1)+Paramètres!$B$5*(C538-1)^2),0)</f>
        <v>62</v>
      </c>
      <c r="S538">
        <f t="shared" si="68"/>
        <v>0</v>
      </c>
      <c r="T538" t="str">
        <f t="shared" si="69"/>
        <v>OK</v>
      </c>
      <c r="U538" s="25">
        <f t="shared" si="70"/>
        <v>51</v>
      </c>
      <c r="V538" t="str">
        <f t="shared" si="71"/>
        <v>OK</v>
      </c>
    </row>
    <row r="539" spans="1:22" ht="18" customHeight="1">
      <c r="A539" t="s">
        <v>167</v>
      </c>
      <c r="B539" t="s">
        <v>168</v>
      </c>
      <c r="C539">
        <v>16</v>
      </c>
      <c r="D539" t="s">
        <v>169</v>
      </c>
      <c r="E539" s="6">
        <f t="shared" si="64"/>
        <v>44</v>
      </c>
      <c r="F539" s="6">
        <f t="shared" si="65"/>
        <v>69</v>
      </c>
      <c r="G539" s="6">
        <f>ROUND(Catalogue!G30*SQRT((1+Paramètres!$B$4*(C539-1)+Paramètres!$B$5*(C539-1)^2)),0)</f>
        <v>0</v>
      </c>
      <c r="H539" s="6">
        <f>ROUND(Catalogue!H30*SQRT((1+Paramètres!$B$4*(C539-1)+Paramètres!$B$5*(C539-1)^2)),0)</f>
        <v>0</v>
      </c>
      <c r="I539" s="6">
        <v>3</v>
      </c>
      <c r="J539" s="6">
        <v>1</v>
      </c>
      <c r="K539" s="7">
        <v>3.6</v>
      </c>
      <c r="L539" s="9">
        <f t="shared" si="66"/>
        <v>56.5</v>
      </c>
      <c r="M539">
        <v>5</v>
      </c>
      <c r="N539">
        <v>6</v>
      </c>
      <c r="O539">
        <v>39</v>
      </c>
      <c r="P539" s="13" t="str">
        <f t="shared" si="67"/>
        <v>5d6 + 39</v>
      </c>
      <c r="Q539">
        <f>ROUND(INDEX(Catalogue!E$4:E$85,MATCH(A539,Catalogue!A$4:A$85,0))*(1+Paramètres!$B$4*(C539-1)+Paramètres!$B$5*(C539-1)^2),0)</f>
        <v>44</v>
      </c>
      <c r="R539">
        <f>ROUND(INDEX(Catalogue!F$4:F$85,MATCH(A539,Catalogue!A$4:A$85,0))*(1+Paramètres!$B$4*(C539-1)+Paramètres!$B$5*(C539-1)^2),0)</f>
        <v>69</v>
      </c>
      <c r="S539">
        <f t="shared" si="68"/>
        <v>0</v>
      </c>
      <c r="T539" t="str">
        <f t="shared" si="69"/>
        <v>OK</v>
      </c>
      <c r="U539" s="25">
        <f t="shared" si="70"/>
        <v>56.5</v>
      </c>
      <c r="V539" t="str">
        <f t="shared" si="71"/>
        <v>OK</v>
      </c>
    </row>
    <row r="540" spans="1:22" ht="18" customHeight="1">
      <c r="A540" t="s">
        <v>167</v>
      </c>
      <c r="B540" t="s">
        <v>168</v>
      </c>
      <c r="C540">
        <v>17</v>
      </c>
      <c r="D540" t="s">
        <v>169</v>
      </c>
      <c r="E540" s="6">
        <f t="shared" si="64"/>
        <v>48</v>
      </c>
      <c r="F540" s="6">
        <f t="shared" si="65"/>
        <v>75</v>
      </c>
      <c r="G540" s="6">
        <f>ROUND(Catalogue!G30*SQRT((1+Paramètres!$B$4*(C540-1)+Paramètres!$B$5*(C540-1)^2)),0)</f>
        <v>0</v>
      </c>
      <c r="H540" s="6">
        <f>ROUND(Catalogue!H30*SQRT((1+Paramètres!$B$4*(C540-1)+Paramètres!$B$5*(C540-1)^2)),0)</f>
        <v>0</v>
      </c>
      <c r="I540" s="6">
        <v>3</v>
      </c>
      <c r="J540" s="6">
        <v>1</v>
      </c>
      <c r="K540" s="7">
        <v>3.6</v>
      </c>
      <c r="L540" s="9">
        <f t="shared" si="66"/>
        <v>61.5</v>
      </c>
      <c r="M540">
        <v>3</v>
      </c>
      <c r="N540">
        <v>10</v>
      </c>
      <c r="O540">
        <v>45</v>
      </c>
      <c r="P540" s="13" t="str">
        <f t="shared" si="67"/>
        <v>3d10 + 45</v>
      </c>
      <c r="Q540">
        <f>ROUND(INDEX(Catalogue!E$4:E$85,MATCH(A540,Catalogue!A$4:A$85,0))*(1+Paramètres!$B$4*(C540-1)+Paramètres!$B$5*(C540-1)^2),0)</f>
        <v>48</v>
      </c>
      <c r="R540">
        <f>ROUND(INDEX(Catalogue!F$4:F$85,MATCH(A540,Catalogue!A$4:A$85,0))*(1+Paramètres!$B$4*(C540-1)+Paramètres!$B$5*(C540-1)^2),0)</f>
        <v>75</v>
      </c>
      <c r="S540">
        <f t="shared" si="68"/>
        <v>0</v>
      </c>
      <c r="T540" t="str">
        <f t="shared" si="69"/>
        <v>OK</v>
      </c>
      <c r="U540" s="25">
        <f t="shared" si="70"/>
        <v>61.5</v>
      </c>
      <c r="V540" t="str">
        <f t="shared" si="71"/>
        <v>OK</v>
      </c>
    </row>
    <row r="541" spans="1:22" ht="18" customHeight="1">
      <c r="A541" t="s">
        <v>167</v>
      </c>
      <c r="B541" t="s">
        <v>168</v>
      </c>
      <c r="C541">
        <v>18</v>
      </c>
      <c r="D541" t="s">
        <v>169</v>
      </c>
      <c r="E541" s="6">
        <f t="shared" si="64"/>
        <v>52</v>
      </c>
      <c r="F541" s="6">
        <f t="shared" si="65"/>
        <v>82</v>
      </c>
      <c r="G541" s="6">
        <f>ROUND(Catalogue!G30*SQRT((1+Paramètres!$B$4*(C541-1)+Paramètres!$B$5*(C541-1)^2)),0)</f>
        <v>0</v>
      </c>
      <c r="H541" s="6">
        <f>ROUND(Catalogue!H30*SQRT((1+Paramètres!$B$4*(C541-1)+Paramètres!$B$5*(C541-1)^2)),0)</f>
        <v>0</v>
      </c>
      <c r="I541" s="6">
        <v>3</v>
      </c>
      <c r="J541" s="6">
        <v>1</v>
      </c>
      <c r="K541" s="7">
        <v>3.6</v>
      </c>
      <c r="L541" s="9">
        <f t="shared" si="66"/>
        <v>67</v>
      </c>
      <c r="M541">
        <v>6</v>
      </c>
      <c r="N541">
        <v>6</v>
      </c>
      <c r="O541">
        <v>46</v>
      </c>
      <c r="P541" s="13" t="str">
        <f t="shared" si="67"/>
        <v>6d6 + 46</v>
      </c>
      <c r="Q541">
        <f>ROUND(INDEX(Catalogue!E$4:E$85,MATCH(A541,Catalogue!A$4:A$85,0))*(1+Paramètres!$B$4*(C541-1)+Paramètres!$B$5*(C541-1)^2),0)</f>
        <v>52</v>
      </c>
      <c r="R541">
        <f>ROUND(INDEX(Catalogue!F$4:F$85,MATCH(A541,Catalogue!A$4:A$85,0))*(1+Paramètres!$B$4*(C541-1)+Paramètres!$B$5*(C541-1)^2),0)</f>
        <v>82</v>
      </c>
      <c r="S541">
        <f t="shared" si="68"/>
        <v>0</v>
      </c>
      <c r="T541" t="str">
        <f t="shared" si="69"/>
        <v>OK</v>
      </c>
      <c r="U541" s="25">
        <f t="shared" si="70"/>
        <v>67</v>
      </c>
      <c r="V541" t="str">
        <f t="shared" si="71"/>
        <v>OK</v>
      </c>
    </row>
    <row r="542" spans="1:22" ht="18" customHeight="1">
      <c r="A542" t="s">
        <v>167</v>
      </c>
      <c r="B542" t="s">
        <v>168</v>
      </c>
      <c r="C542">
        <v>19</v>
      </c>
      <c r="D542" t="s">
        <v>169</v>
      </c>
      <c r="E542" s="6">
        <f t="shared" si="64"/>
        <v>57</v>
      </c>
      <c r="F542" s="6">
        <f t="shared" si="65"/>
        <v>90</v>
      </c>
      <c r="G542" s="6">
        <f>ROUND(Catalogue!G30*SQRT((1+Paramètres!$B$4*(C542-1)+Paramètres!$B$5*(C542-1)^2)),0)</f>
        <v>0</v>
      </c>
      <c r="H542" s="6">
        <f>ROUND(Catalogue!H30*SQRT((1+Paramètres!$B$4*(C542-1)+Paramètres!$B$5*(C542-1)^2)),0)</f>
        <v>0</v>
      </c>
      <c r="I542" s="6">
        <v>3</v>
      </c>
      <c r="J542" s="6">
        <v>1</v>
      </c>
      <c r="K542" s="7">
        <v>3.6</v>
      </c>
      <c r="L542" s="9">
        <f t="shared" si="66"/>
        <v>73.5</v>
      </c>
      <c r="M542">
        <v>3</v>
      </c>
      <c r="N542">
        <v>12</v>
      </c>
      <c r="O542">
        <v>54</v>
      </c>
      <c r="P542" s="13" t="str">
        <f t="shared" si="67"/>
        <v>3d12 + 54</v>
      </c>
      <c r="Q542">
        <f>ROUND(INDEX(Catalogue!E$4:E$85,MATCH(A542,Catalogue!A$4:A$85,0))*(1+Paramètres!$B$4*(C542-1)+Paramètres!$B$5*(C542-1)^2),0)</f>
        <v>57</v>
      </c>
      <c r="R542">
        <f>ROUND(INDEX(Catalogue!F$4:F$85,MATCH(A542,Catalogue!A$4:A$85,0))*(1+Paramètres!$B$4*(C542-1)+Paramètres!$B$5*(C542-1)^2),0)</f>
        <v>90</v>
      </c>
      <c r="S542">
        <f t="shared" si="68"/>
        <v>0</v>
      </c>
      <c r="T542" t="str">
        <f t="shared" si="69"/>
        <v>OK</v>
      </c>
      <c r="U542" s="25">
        <f t="shared" si="70"/>
        <v>73.5</v>
      </c>
      <c r="V542" t="str">
        <f t="shared" si="71"/>
        <v>OK</v>
      </c>
    </row>
    <row r="543" spans="1:22" ht="18" customHeight="1">
      <c r="A543" t="s">
        <v>167</v>
      </c>
      <c r="B543" t="s">
        <v>168</v>
      </c>
      <c r="C543">
        <v>20</v>
      </c>
      <c r="D543" t="s">
        <v>169</v>
      </c>
      <c r="E543" s="6">
        <f t="shared" si="64"/>
        <v>62</v>
      </c>
      <c r="F543" s="6">
        <f t="shared" si="65"/>
        <v>98</v>
      </c>
      <c r="G543" s="6">
        <f>ROUND(Catalogue!G30*SQRT((1+Paramètres!$B$4*(C543-1)+Paramètres!$B$5*(C543-1)^2)),0)</f>
        <v>0</v>
      </c>
      <c r="H543" s="6">
        <f>ROUND(Catalogue!H30*SQRT((1+Paramètres!$B$4*(C543-1)+Paramètres!$B$5*(C543-1)^2)),0)</f>
        <v>0</v>
      </c>
      <c r="I543" s="6">
        <v>3</v>
      </c>
      <c r="J543" s="6">
        <v>1</v>
      </c>
      <c r="K543" s="7">
        <v>3.6</v>
      </c>
      <c r="L543" s="9">
        <f t="shared" si="66"/>
        <v>80</v>
      </c>
      <c r="M543">
        <v>4</v>
      </c>
      <c r="N543">
        <v>10</v>
      </c>
      <c r="O543">
        <v>58</v>
      </c>
      <c r="P543" s="13" t="str">
        <f t="shared" si="67"/>
        <v>4d10 + 58</v>
      </c>
      <c r="Q543">
        <f>ROUND(INDEX(Catalogue!E$4:E$85,MATCH(A543,Catalogue!A$4:A$85,0))*(1+Paramètres!$B$4*(C543-1)+Paramètres!$B$5*(C543-1)^2),0)</f>
        <v>62</v>
      </c>
      <c r="R543">
        <f>ROUND(INDEX(Catalogue!F$4:F$85,MATCH(A543,Catalogue!A$4:A$85,0))*(1+Paramètres!$B$4*(C543-1)+Paramètres!$B$5*(C543-1)^2),0)</f>
        <v>98</v>
      </c>
      <c r="S543">
        <f t="shared" si="68"/>
        <v>0</v>
      </c>
      <c r="T543" t="str">
        <f t="shared" si="69"/>
        <v>OK</v>
      </c>
      <c r="U543" s="25">
        <f t="shared" si="70"/>
        <v>80</v>
      </c>
      <c r="V543" t="str">
        <f t="shared" si="71"/>
        <v>OK</v>
      </c>
    </row>
    <row r="544" spans="1:22" ht="18" customHeight="1">
      <c r="A544" t="s">
        <v>175</v>
      </c>
      <c r="B544" t="s">
        <v>176</v>
      </c>
      <c r="C544">
        <v>1</v>
      </c>
      <c r="D544" t="s">
        <v>169</v>
      </c>
      <c r="E544" s="6">
        <f t="shared" si="64"/>
        <v>7</v>
      </c>
      <c r="F544" s="6">
        <f t="shared" si="65"/>
        <v>12</v>
      </c>
      <c r="G544" s="6">
        <f>ROUND(Catalogue!G31*SQRT((1+Paramètres!$B$4*(C544-1)+Paramètres!$B$5*(C544-1)^2)),0)</f>
        <v>0</v>
      </c>
      <c r="H544" s="6">
        <f>ROUND(Catalogue!H31*SQRT((1+Paramètres!$B$4*(C544-1)+Paramètres!$B$5*(C544-1)^2)),0)</f>
        <v>0</v>
      </c>
      <c r="I544" s="6">
        <v>3</v>
      </c>
      <c r="J544" s="6">
        <v>1</v>
      </c>
      <c r="K544" s="7">
        <v>3.8</v>
      </c>
      <c r="L544" s="9">
        <f t="shared" si="66"/>
        <v>9.5</v>
      </c>
      <c r="M544">
        <v>1</v>
      </c>
      <c r="N544">
        <v>6</v>
      </c>
      <c r="O544">
        <v>6</v>
      </c>
      <c r="P544" s="13" t="str">
        <f t="shared" si="67"/>
        <v>1d6 + 6</v>
      </c>
      <c r="Q544">
        <f>ROUND(INDEX(Catalogue!E$4:E$85,MATCH(A544,Catalogue!A$4:A$85,0))*(1+Paramètres!$B$4*(C544-1)+Paramètres!$B$5*(C544-1)^2),0)</f>
        <v>7</v>
      </c>
      <c r="R544">
        <f>ROUND(INDEX(Catalogue!F$4:F$85,MATCH(A544,Catalogue!A$4:A$85,0))*(1+Paramètres!$B$4*(C544-1)+Paramètres!$B$5*(C544-1)^2),0)</f>
        <v>12</v>
      </c>
      <c r="S544">
        <f t="shared" si="68"/>
        <v>0</v>
      </c>
      <c r="T544" t="str">
        <f t="shared" si="69"/>
        <v>OK</v>
      </c>
      <c r="U544" s="25">
        <f t="shared" si="70"/>
        <v>9.5</v>
      </c>
      <c r="V544" t="str">
        <f t="shared" si="71"/>
        <v>OK</v>
      </c>
    </row>
    <row r="545" spans="1:22" ht="18" customHeight="1">
      <c r="A545" t="s">
        <v>175</v>
      </c>
      <c r="B545" t="s">
        <v>176</v>
      </c>
      <c r="C545">
        <v>2</v>
      </c>
      <c r="D545" t="s">
        <v>169</v>
      </c>
      <c r="E545" s="6">
        <f t="shared" si="64"/>
        <v>9</v>
      </c>
      <c r="F545" s="6">
        <f t="shared" si="65"/>
        <v>14</v>
      </c>
      <c r="G545" s="6">
        <f>ROUND(Catalogue!G31*SQRT((1+Paramètres!$B$4*(C545-1)+Paramètres!$B$5*(C545-1)^2)),0)</f>
        <v>0</v>
      </c>
      <c r="H545" s="6">
        <f>ROUND(Catalogue!H31*SQRT((1+Paramètres!$B$4*(C545-1)+Paramètres!$B$5*(C545-1)^2)),0)</f>
        <v>0</v>
      </c>
      <c r="I545" s="6">
        <v>3</v>
      </c>
      <c r="J545" s="6">
        <v>1</v>
      </c>
      <c r="K545" s="7">
        <v>3.8</v>
      </c>
      <c r="L545" s="9">
        <f t="shared" si="66"/>
        <v>11.5</v>
      </c>
      <c r="M545">
        <v>1</v>
      </c>
      <c r="N545">
        <v>6</v>
      </c>
      <c r="O545">
        <v>8</v>
      </c>
      <c r="P545" s="13" t="str">
        <f t="shared" si="67"/>
        <v>1d6 + 8</v>
      </c>
      <c r="Q545">
        <f>ROUND(INDEX(Catalogue!E$4:E$85,MATCH(A545,Catalogue!A$4:A$85,0))*(1+Paramètres!$B$4*(C545-1)+Paramètres!$B$5*(C545-1)^2),0)</f>
        <v>8</v>
      </c>
      <c r="R545">
        <f>ROUND(INDEX(Catalogue!F$4:F$85,MATCH(A545,Catalogue!A$4:A$85,0))*(1+Paramètres!$B$4*(C545-1)+Paramètres!$B$5*(C545-1)^2),0)</f>
        <v>14</v>
      </c>
      <c r="S545">
        <f t="shared" si="68"/>
        <v>0.5</v>
      </c>
      <c r="T545" t="str">
        <f t="shared" si="69"/>
        <v>OK</v>
      </c>
      <c r="U545" s="25">
        <f t="shared" si="70"/>
        <v>11.5</v>
      </c>
      <c r="V545" t="str">
        <f t="shared" si="71"/>
        <v>OK</v>
      </c>
    </row>
    <row r="546" spans="1:22" ht="18" customHeight="1">
      <c r="A546" t="s">
        <v>175</v>
      </c>
      <c r="B546" t="s">
        <v>176</v>
      </c>
      <c r="C546">
        <v>3</v>
      </c>
      <c r="D546" t="s">
        <v>169</v>
      </c>
      <c r="E546" s="6">
        <f t="shared" si="64"/>
        <v>9</v>
      </c>
      <c r="F546" s="6">
        <f t="shared" si="65"/>
        <v>14</v>
      </c>
      <c r="G546" s="6">
        <f>ROUND(Catalogue!G31*SQRT((1+Paramètres!$B$4*(C546-1)+Paramètres!$B$5*(C546-1)^2)),0)</f>
        <v>0</v>
      </c>
      <c r="H546" s="6">
        <f>ROUND(Catalogue!H31*SQRT((1+Paramètres!$B$4*(C546-1)+Paramètres!$B$5*(C546-1)^2)),0)</f>
        <v>0</v>
      </c>
      <c r="I546" s="6">
        <v>3</v>
      </c>
      <c r="J546" s="6">
        <v>1</v>
      </c>
      <c r="K546" s="7">
        <v>3.8</v>
      </c>
      <c r="L546" s="9">
        <f t="shared" si="66"/>
        <v>11.5</v>
      </c>
      <c r="M546">
        <v>1</v>
      </c>
      <c r="N546">
        <v>6</v>
      </c>
      <c r="O546">
        <v>8</v>
      </c>
      <c r="P546" s="13" t="str">
        <f t="shared" si="67"/>
        <v>1d6 + 8</v>
      </c>
      <c r="Q546">
        <f>ROUND(INDEX(Catalogue!E$4:E$85,MATCH(A546,Catalogue!A$4:A$85,0))*(1+Paramètres!$B$4*(C546-1)+Paramètres!$B$5*(C546-1)^2),0)</f>
        <v>9</v>
      </c>
      <c r="R546">
        <f>ROUND(INDEX(Catalogue!F$4:F$85,MATCH(A546,Catalogue!A$4:A$85,0))*(1+Paramètres!$B$4*(C546-1)+Paramètres!$B$5*(C546-1)^2),0)</f>
        <v>15</v>
      </c>
      <c r="S546">
        <f t="shared" si="68"/>
        <v>-0.5</v>
      </c>
      <c r="T546" t="str">
        <f t="shared" si="69"/>
        <v>OK</v>
      </c>
      <c r="U546" s="25">
        <f t="shared" si="70"/>
        <v>11.5</v>
      </c>
      <c r="V546" t="str">
        <f t="shared" si="71"/>
        <v>OK</v>
      </c>
    </row>
    <row r="547" spans="1:22" ht="18" customHeight="1">
      <c r="A547" t="s">
        <v>175</v>
      </c>
      <c r="B547" t="s">
        <v>176</v>
      </c>
      <c r="C547">
        <v>4</v>
      </c>
      <c r="D547" t="s">
        <v>169</v>
      </c>
      <c r="E547" s="6">
        <f t="shared" si="64"/>
        <v>10</v>
      </c>
      <c r="F547" s="6">
        <f t="shared" si="65"/>
        <v>17</v>
      </c>
      <c r="G547" s="6">
        <f>ROUND(Catalogue!G31*SQRT((1+Paramètres!$B$4*(C547-1)+Paramètres!$B$5*(C547-1)^2)),0)</f>
        <v>0</v>
      </c>
      <c r="H547" s="6">
        <f>ROUND(Catalogue!H31*SQRT((1+Paramètres!$B$4*(C547-1)+Paramètres!$B$5*(C547-1)^2)),0)</f>
        <v>0</v>
      </c>
      <c r="I547" s="6">
        <v>3</v>
      </c>
      <c r="J547" s="6">
        <v>1</v>
      </c>
      <c r="K547" s="7">
        <v>3.8</v>
      </c>
      <c r="L547" s="9">
        <f t="shared" si="66"/>
        <v>13.5</v>
      </c>
      <c r="M547">
        <v>1</v>
      </c>
      <c r="N547">
        <v>8</v>
      </c>
      <c r="O547">
        <v>9</v>
      </c>
      <c r="P547" s="13" t="str">
        <f t="shared" si="67"/>
        <v>1d8 + 9</v>
      </c>
      <c r="Q547">
        <f>ROUND(INDEX(Catalogue!E$4:E$85,MATCH(A547,Catalogue!A$4:A$85,0))*(1+Paramètres!$B$4*(C547-1)+Paramètres!$B$5*(C547-1)^2),0)</f>
        <v>10</v>
      </c>
      <c r="R547">
        <f>ROUND(INDEX(Catalogue!F$4:F$85,MATCH(A547,Catalogue!A$4:A$85,0))*(1+Paramètres!$B$4*(C547-1)+Paramètres!$B$5*(C547-1)^2),0)</f>
        <v>18</v>
      </c>
      <c r="S547">
        <f t="shared" si="68"/>
        <v>-0.5</v>
      </c>
      <c r="T547" t="str">
        <f t="shared" si="69"/>
        <v>OK</v>
      </c>
      <c r="U547" s="25">
        <f t="shared" si="70"/>
        <v>13.5</v>
      </c>
      <c r="V547" t="str">
        <f t="shared" si="71"/>
        <v>OK</v>
      </c>
    </row>
    <row r="548" spans="1:22" ht="18" customHeight="1">
      <c r="A548" t="s">
        <v>175</v>
      </c>
      <c r="B548" t="s">
        <v>176</v>
      </c>
      <c r="C548">
        <v>5</v>
      </c>
      <c r="D548" t="s">
        <v>169</v>
      </c>
      <c r="E548" s="6">
        <f t="shared" si="64"/>
        <v>12</v>
      </c>
      <c r="F548" s="6">
        <f t="shared" si="65"/>
        <v>19</v>
      </c>
      <c r="G548" s="6">
        <f>ROUND(Catalogue!G31*SQRT((1+Paramètres!$B$4*(C548-1)+Paramètres!$B$5*(C548-1)^2)),0)</f>
        <v>0</v>
      </c>
      <c r="H548" s="6">
        <f>ROUND(Catalogue!H31*SQRT((1+Paramètres!$B$4*(C548-1)+Paramètres!$B$5*(C548-1)^2)),0)</f>
        <v>0</v>
      </c>
      <c r="I548" s="6">
        <v>3</v>
      </c>
      <c r="J548" s="6">
        <v>1</v>
      </c>
      <c r="K548" s="7">
        <v>3.8</v>
      </c>
      <c r="L548" s="9">
        <f t="shared" si="66"/>
        <v>15.5</v>
      </c>
      <c r="M548">
        <v>1</v>
      </c>
      <c r="N548">
        <v>8</v>
      </c>
      <c r="O548">
        <v>11</v>
      </c>
      <c r="P548" s="13" t="str">
        <f t="shared" si="67"/>
        <v>1d8 + 11</v>
      </c>
      <c r="Q548">
        <f>ROUND(INDEX(Catalogue!E$4:E$85,MATCH(A548,Catalogue!A$4:A$85,0))*(1+Paramètres!$B$4*(C548-1)+Paramètres!$B$5*(C548-1)^2),0)</f>
        <v>12</v>
      </c>
      <c r="R548">
        <f>ROUND(INDEX(Catalogue!F$4:F$85,MATCH(A548,Catalogue!A$4:A$85,0))*(1+Paramètres!$B$4*(C548-1)+Paramètres!$B$5*(C548-1)^2),0)</f>
        <v>20</v>
      </c>
      <c r="S548">
        <f t="shared" si="68"/>
        <v>-0.5</v>
      </c>
      <c r="T548" t="str">
        <f t="shared" si="69"/>
        <v>OK</v>
      </c>
      <c r="U548" s="25">
        <f t="shared" si="70"/>
        <v>15.5</v>
      </c>
      <c r="V548" t="str">
        <f t="shared" si="71"/>
        <v>OK</v>
      </c>
    </row>
    <row r="549" spans="1:22" ht="18" customHeight="1">
      <c r="A549" t="s">
        <v>175</v>
      </c>
      <c r="B549" t="s">
        <v>176</v>
      </c>
      <c r="C549">
        <v>6</v>
      </c>
      <c r="D549" t="s">
        <v>169</v>
      </c>
      <c r="E549" s="6">
        <f t="shared" si="64"/>
        <v>14</v>
      </c>
      <c r="F549" s="6">
        <f t="shared" si="65"/>
        <v>23</v>
      </c>
      <c r="G549" s="6">
        <f>ROUND(Catalogue!G31*SQRT((1+Paramètres!$B$4*(C549-1)+Paramètres!$B$5*(C549-1)^2)),0)</f>
        <v>0</v>
      </c>
      <c r="H549" s="6">
        <f>ROUND(Catalogue!H31*SQRT((1+Paramètres!$B$4*(C549-1)+Paramètres!$B$5*(C549-1)^2)),0)</f>
        <v>0</v>
      </c>
      <c r="I549" s="6">
        <v>3</v>
      </c>
      <c r="J549" s="6">
        <v>1</v>
      </c>
      <c r="K549" s="7">
        <v>3.8</v>
      </c>
      <c r="L549" s="9">
        <f t="shared" si="66"/>
        <v>18.5</v>
      </c>
      <c r="M549">
        <v>1</v>
      </c>
      <c r="N549">
        <v>10</v>
      </c>
      <c r="O549">
        <v>13</v>
      </c>
      <c r="P549" s="13" t="str">
        <f t="shared" si="67"/>
        <v>1d10 + 13</v>
      </c>
      <c r="Q549">
        <f>ROUND(INDEX(Catalogue!E$4:E$85,MATCH(A549,Catalogue!A$4:A$85,0))*(1+Paramètres!$B$4*(C549-1)+Paramètres!$B$5*(C549-1)^2),0)</f>
        <v>14</v>
      </c>
      <c r="R549">
        <f>ROUND(INDEX(Catalogue!F$4:F$85,MATCH(A549,Catalogue!A$4:A$85,0))*(1+Paramètres!$B$4*(C549-1)+Paramètres!$B$5*(C549-1)^2),0)</f>
        <v>23</v>
      </c>
      <c r="S549">
        <f t="shared" si="68"/>
        <v>0</v>
      </c>
      <c r="T549" t="str">
        <f t="shared" si="69"/>
        <v>OK</v>
      </c>
      <c r="U549" s="25">
        <f t="shared" si="70"/>
        <v>18.5</v>
      </c>
      <c r="V549" t="str">
        <f t="shared" si="71"/>
        <v>OK</v>
      </c>
    </row>
    <row r="550" spans="1:22" ht="18" customHeight="1">
      <c r="A550" t="s">
        <v>175</v>
      </c>
      <c r="B550" t="s">
        <v>176</v>
      </c>
      <c r="C550">
        <v>7</v>
      </c>
      <c r="D550" t="s">
        <v>169</v>
      </c>
      <c r="E550" s="6">
        <f t="shared" si="64"/>
        <v>16</v>
      </c>
      <c r="F550" s="6">
        <f t="shared" si="65"/>
        <v>27</v>
      </c>
      <c r="G550" s="6">
        <f>ROUND(Catalogue!G31*SQRT((1+Paramètres!$B$4*(C550-1)+Paramètres!$B$5*(C550-1)^2)),0)</f>
        <v>0</v>
      </c>
      <c r="H550" s="6">
        <f>ROUND(Catalogue!H31*SQRT((1+Paramètres!$B$4*(C550-1)+Paramètres!$B$5*(C550-1)^2)),0)</f>
        <v>0</v>
      </c>
      <c r="I550" s="6">
        <v>3</v>
      </c>
      <c r="J550" s="6">
        <v>1</v>
      </c>
      <c r="K550" s="7">
        <v>3.8</v>
      </c>
      <c r="L550" s="9">
        <f t="shared" si="66"/>
        <v>21.5</v>
      </c>
      <c r="M550">
        <v>1</v>
      </c>
      <c r="N550">
        <v>12</v>
      </c>
      <c r="O550">
        <v>15</v>
      </c>
      <c r="P550" s="13" t="str">
        <f t="shared" si="67"/>
        <v>1d12 + 15</v>
      </c>
      <c r="Q550">
        <f>ROUND(INDEX(Catalogue!E$4:E$85,MATCH(A550,Catalogue!A$4:A$85,0))*(1+Paramètres!$B$4*(C550-1)+Paramètres!$B$5*(C550-1)^2),0)</f>
        <v>16</v>
      </c>
      <c r="R550">
        <f>ROUND(INDEX(Catalogue!F$4:F$85,MATCH(A550,Catalogue!A$4:A$85,0))*(1+Paramètres!$B$4*(C550-1)+Paramètres!$B$5*(C550-1)^2),0)</f>
        <v>27</v>
      </c>
      <c r="S550">
        <f t="shared" si="68"/>
        <v>0</v>
      </c>
      <c r="T550" t="str">
        <f t="shared" si="69"/>
        <v>OK</v>
      </c>
      <c r="U550" s="25">
        <f t="shared" si="70"/>
        <v>21.5</v>
      </c>
      <c r="V550" t="str">
        <f t="shared" si="71"/>
        <v>OK</v>
      </c>
    </row>
    <row r="551" spans="1:22" ht="18" customHeight="1">
      <c r="A551" t="s">
        <v>175</v>
      </c>
      <c r="B551" t="s">
        <v>176</v>
      </c>
      <c r="C551">
        <v>8</v>
      </c>
      <c r="D551" t="s">
        <v>169</v>
      </c>
      <c r="E551" s="6">
        <f t="shared" si="64"/>
        <v>18</v>
      </c>
      <c r="F551" s="6">
        <f t="shared" si="65"/>
        <v>32</v>
      </c>
      <c r="G551" s="6">
        <f>ROUND(Catalogue!G31*SQRT((1+Paramètres!$B$4*(C551-1)+Paramètres!$B$5*(C551-1)^2)),0)</f>
        <v>0</v>
      </c>
      <c r="H551" s="6">
        <f>ROUND(Catalogue!H31*SQRT((1+Paramètres!$B$4*(C551-1)+Paramètres!$B$5*(C551-1)^2)),0)</f>
        <v>0</v>
      </c>
      <c r="I551" s="6">
        <v>3</v>
      </c>
      <c r="J551" s="6">
        <v>1</v>
      </c>
      <c r="K551" s="7">
        <v>3.8</v>
      </c>
      <c r="L551" s="9">
        <f t="shared" si="66"/>
        <v>25</v>
      </c>
      <c r="M551">
        <v>2</v>
      </c>
      <c r="N551">
        <v>8</v>
      </c>
      <c r="O551">
        <v>16</v>
      </c>
      <c r="P551" s="13" t="str">
        <f t="shared" si="67"/>
        <v>2d8 + 16</v>
      </c>
      <c r="Q551">
        <f>ROUND(INDEX(Catalogue!E$4:E$85,MATCH(A551,Catalogue!A$4:A$85,0))*(1+Paramètres!$B$4*(C551-1)+Paramètres!$B$5*(C551-1)^2),0)</f>
        <v>18</v>
      </c>
      <c r="R551">
        <f>ROUND(INDEX(Catalogue!F$4:F$85,MATCH(A551,Catalogue!A$4:A$85,0))*(1+Paramètres!$B$4*(C551-1)+Paramètres!$B$5*(C551-1)^2),0)</f>
        <v>31</v>
      </c>
      <c r="S551">
        <f t="shared" si="68"/>
        <v>0.5</v>
      </c>
      <c r="T551" t="str">
        <f t="shared" si="69"/>
        <v>OK</v>
      </c>
      <c r="U551" s="25">
        <f t="shared" si="70"/>
        <v>25</v>
      </c>
      <c r="V551" t="str">
        <f t="shared" si="71"/>
        <v>OK</v>
      </c>
    </row>
    <row r="552" spans="1:22" ht="18" customHeight="1">
      <c r="A552" t="s">
        <v>175</v>
      </c>
      <c r="B552" t="s">
        <v>176</v>
      </c>
      <c r="C552">
        <v>9</v>
      </c>
      <c r="D552" t="s">
        <v>169</v>
      </c>
      <c r="E552" s="6">
        <f t="shared" si="64"/>
        <v>20</v>
      </c>
      <c r="F552" s="6">
        <f t="shared" si="65"/>
        <v>35</v>
      </c>
      <c r="G552" s="6">
        <f>ROUND(Catalogue!G31*SQRT((1+Paramètres!$B$4*(C552-1)+Paramètres!$B$5*(C552-1)^2)),0)</f>
        <v>0</v>
      </c>
      <c r="H552" s="6">
        <f>ROUND(Catalogue!H31*SQRT((1+Paramètres!$B$4*(C552-1)+Paramètres!$B$5*(C552-1)^2)),0)</f>
        <v>0</v>
      </c>
      <c r="I552" s="6">
        <v>3</v>
      </c>
      <c r="J552" s="6">
        <v>1</v>
      </c>
      <c r="K552" s="7">
        <v>3.8</v>
      </c>
      <c r="L552" s="9">
        <f t="shared" si="66"/>
        <v>27.5</v>
      </c>
      <c r="M552">
        <v>3</v>
      </c>
      <c r="N552">
        <v>6</v>
      </c>
      <c r="O552">
        <v>17</v>
      </c>
      <c r="P552" s="13" t="str">
        <f t="shared" si="67"/>
        <v>3d6 + 17</v>
      </c>
      <c r="Q552">
        <f>ROUND(INDEX(Catalogue!E$4:E$85,MATCH(A552,Catalogue!A$4:A$85,0))*(1+Paramètres!$B$4*(C552-1)+Paramètres!$B$5*(C552-1)^2),0)</f>
        <v>20</v>
      </c>
      <c r="R552">
        <f>ROUND(INDEX(Catalogue!F$4:F$85,MATCH(A552,Catalogue!A$4:A$85,0))*(1+Paramètres!$B$4*(C552-1)+Paramètres!$B$5*(C552-1)^2),0)</f>
        <v>35</v>
      </c>
      <c r="S552">
        <f t="shared" si="68"/>
        <v>0</v>
      </c>
      <c r="T552" t="str">
        <f t="shared" si="69"/>
        <v>OK</v>
      </c>
      <c r="U552" s="25">
        <f t="shared" si="70"/>
        <v>27.5</v>
      </c>
      <c r="V552" t="str">
        <f t="shared" si="71"/>
        <v>OK</v>
      </c>
    </row>
    <row r="553" spans="1:22" ht="18" customHeight="1">
      <c r="A553" t="s">
        <v>175</v>
      </c>
      <c r="B553" t="s">
        <v>176</v>
      </c>
      <c r="C553">
        <v>10</v>
      </c>
      <c r="D553" t="s">
        <v>169</v>
      </c>
      <c r="E553" s="6">
        <f t="shared" si="64"/>
        <v>23</v>
      </c>
      <c r="F553" s="6">
        <f t="shared" si="65"/>
        <v>38</v>
      </c>
      <c r="G553" s="6">
        <f>ROUND(Catalogue!G31*SQRT((1+Paramètres!$B$4*(C553-1)+Paramètres!$B$5*(C553-1)^2)),0)</f>
        <v>0</v>
      </c>
      <c r="H553" s="6">
        <f>ROUND(Catalogue!H31*SQRT((1+Paramètres!$B$4*(C553-1)+Paramètres!$B$5*(C553-1)^2)),0)</f>
        <v>0</v>
      </c>
      <c r="I553" s="6">
        <v>3</v>
      </c>
      <c r="J553" s="6">
        <v>1</v>
      </c>
      <c r="K553" s="7">
        <v>3.8</v>
      </c>
      <c r="L553" s="9">
        <f t="shared" si="66"/>
        <v>30.5</v>
      </c>
      <c r="M553">
        <v>3</v>
      </c>
      <c r="N553">
        <v>6</v>
      </c>
      <c r="O553">
        <v>20</v>
      </c>
      <c r="P553" s="13" t="str">
        <f t="shared" si="67"/>
        <v>3d6 + 20</v>
      </c>
      <c r="Q553">
        <f>ROUND(INDEX(Catalogue!E$4:E$85,MATCH(A553,Catalogue!A$4:A$85,0))*(1+Paramètres!$B$4*(C553-1)+Paramètres!$B$5*(C553-1)^2),0)</f>
        <v>23</v>
      </c>
      <c r="R553">
        <f>ROUND(INDEX(Catalogue!F$4:F$85,MATCH(A553,Catalogue!A$4:A$85,0))*(1+Paramètres!$B$4*(C553-1)+Paramètres!$B$5*(C553-1)^2),0)</f>
        <v>39</v>
      </c>
      <c r="S553">
        <f t="shared" si="68"/>
        <v>-0.5</v>
      </c>
      <c r="T553" t="str">
        <f t="shared" si="69"/>
        <v>OK</v>
      </c>
      <c r="U553" s="25">
        <f t="shared" si="70"/>
        <v>30.5</v>
      </c>
      <c r="V553" t="str">
        <f t="shared" si="71"/>
        <v>OK</v>
      </c>
    </row>
    <row r="554" spans="1:22" ht="18" customHeight="1">
      <c r="A554" t="s">
        <v>175</v>
      </c>
      <c r="B554" t="s">
        <v>176</v>
      </c>
      <c r="C554">
        <v>11</v>
      </c>
      <c r="D554" t="s">
        <v>169</v>
      </c>
      <c r="E554" s="6">
        <f t="shared" si="64"/>
        <v>26</v>
      </c>
      <c r="F554" s="6">
        <f t="shared" si="65"/>
        <v>44</v>
      </c>
      <c r="G554" s="6">
        <f>ROUND(Catalogue!G31*SQRT((1+Paramètres!$B$4*(C554-1)+Paramètres!$B$5*(C554-1)^2)),0)</f>
        <v>0</v>
      </c>
      <c r="H554" s="6">
        <f>ROUND(Catalogue!H31*SQRT((1+Paramètres!$B$4*(C554-1)+Paramètres!$B$5*(C554-1)^2)),0)</f>
        <v>0</v>
      </c>
      <c r="I554" s="6">
        <v>3</v>
      </c>
      <c r="J554" s="6">
        <v>1</v>
      </c>
      <c r="K554" s="7">
        <v>3.8</v>
      </c>
      <c r="L554" s="9">
        <f t="shared" si="66"/>
        <v>35</v>
      </c>
      <c r="M554">
        <v>2</v>
      </c>
      <c r="N554">
        <v>10</v>
      </c>
      <c r="O554">
        <v>24</v>
      </c>
      <c r="P554" s="13" t="str">
        <f t="shared" si="67"/>
        <v>2d10 + 24</v>
      </c>
      <c r="Q554">
        <f>ROUND(INDEX(Catalogue!E$4:E$85,MATCH(A554,Catalogue!A$4:A$85,0))*(1+Paramètres!$B$4*(C554-1)+Paramètres!$B$5*(C554-1)^2),0)</f>
        <v>26</v>
      </c>
      <c r="R554">
        <f>ROUND(INDEX(Catalogue!F$4:F$85,MATCH(A554,Catalogue!A$4:A$85,0))*(1+Paramètres!$B$4*(C554-1)+Paramètres!$B$5*(C554-1)^2),0)</f>
        <v>44</v>
      </c>
      <c r="S554">
        <f t="shared" si="68"/>
        <v>0</v>
      </c>
      <c r="T554" t="str">
        <f t="shared" si="69"/>
        <v>OK</v>
      </c>
      <c r="U554" s="25">
        <f t="shared" si="70"/>
        <v>35</v>
      </c>
      <c r="V554" t="str">
        <f t="shared" si="71"/>
        <v>OK</v>
      </c>
    </row>
    <row r="555" spans="1:22" ht="18" customHeight="1">
      <c r="A555" t="s">
        <v>175</v>
      </c>
      <c r="B555" t="s">
        <v>176</v>
      </c>
      <c r="C555">
        <v>12</v>
      </c>
      <c r="D555" t="s">
        <v>169</v>
      </c>
      <c r="E555" s="6">
        <f t="shared" si="64"/>
        <v>29</v>
      </c>
      <c r="F555" s="6">
        <f t="shared" si="65"/>
        <v>50</v>
      </c>
      <c r="G555" s="6">
        <f>ROUND(Catalogue!G31*SQRT((1+Paramètres!$B$4*(C555-1)+Paramètres!$B$5*(C555-1)^2)),0)</f>
        <v>0</v>
      </c>
      <c r="H555" s="6">
        <f>ROUND(Catalogue!H31*SQRT((1+Paramètres!$B$4*(C555-1)+Paramètres!$B$5*(C555-1)^2)),0)</f>
        <v>0</v>
      </c>
      <c r="I555" s="6">
        <v>3</v>
      </c>
      <c r="J555" s="6">
        <v>1</v>
      </c>
      <c r="K555" s="7">
        <v>3.8</v>
      </c>
      <c r="L555" s="9">
        <f t="shared" si="66"/>
        <v>39.5</v>
      </c>
      <c r="M555">
        <v>3</v>
      </c>
      <c r="N555">
        <v>8</v>
      </c>
      <c r="O555">
        <v>26</v>
      </c>
      <c r="P555" s="13" t="str">
        <f t="shared" si="67"/>
        <v>3d8 + 26</v>
      </c>
      <c r="Q555">
        <f>ROUND(INDEX(Catalogue!E$4:E$85,MATCH(A555,Catalogue!A$4:A$85,0))*(1+Paramètres!$B$4*(C555-1)+Paramètres!$B$5*(C555-1)^2),0)</f>
        <v>29</v>
      </c>
      <c r="R555">
        <f>ROUND(INDEX(Catalogue!F$4:F$85,MATCH(A555,Catalogue!A$4:A$85,0))*(1+Paramètres!$B$4*(C555-1)+Paramètres!$B$5*(C555-1)^2),0)</f>
        <v>50</v>
      </c>
      <c r="S555">
        <f t="shared" si="68"/>
        <v>0</v>
      </c>
      <c r="T555" t="str">
        <f t="shared" si="69"/>
        <v>OK</v>
      </c>
      <c r="U555" s="25">
        <f t="shared" si="70"/>
        <v>39.5</v>
      </c>
      <c r="V555" t="str">
        <f t="shared" si="71"/>
        <v>OK</v>
      </c>
    </row>
    <row r="556" spans="1:22" ht="18" customHeight="1">
      <c r="A556" t="s">
        <v>175</v>
      </c>
      <c r="B556" t="s">
        <v>176</v>
      </c>
      <c r="C556">
        <v>13</v>
      </c>
      <c r="D556" t="s">
        <v>169</v>
      </c>
      <c r="E556" s="6">
        <f t="shared" si="64"/>
        <v>32</v>
      </c>
      <c r="F556" s="6">
        <f t="shared" si="65"/>
        <v>54</v>
      </c>
      <c r="G556" s="6">
        <f>ROUND(Catalogue!G31*SQRT((1+Paramètres!$B$4*(C556-1)+Paramètres!$B$5*(C556-1)^2)),0)</f>
        <v>0</v>
      </c>
      <c r="H556" s="6">
        <f>ROUND(Catalogue!H31*SQRT((1+Paramètres!$B$4*(C556-1)+Paramètres!$B$5*(C556-1)^2)),0)</f>
        <v>0</v>
      </c>
      <c r="I556" s="6">
        <v>3</v>
      </c>
      <c r="J556" s="6">
        <v>1</v>
      </c>
      <c r="K556" s="7">
        <v>3.8</v>
      </c>
      <c r="L556" s="9">
        <f t="shared" si="66"/>
        <v>43</v>
      </c>
      <c r="M556">
        <v>2</v>
      </c>
      <c r="N556">
        <v>12</v>
      </c>
      <c r="O556">
        <v>30</v>
      </c>
      <c r="P556" s="13" t="str">
        <f t="shared" si="67"/>
        <v>2d12 + 30</v>
      </c>
      <c r="Q556">
        <f>ROUND(INDEX(Catalogue!E$4:E$85,MATCH(A556,Catalogue!A$4:A$85,0))*(1+Paramètres!$B$4*(C556-1)+Paramètres!$B$5*(C556-1)^2),0)</f>
        <v>32</v>
      </c>
      <c r="R556">
        <f>ROUND(INDEX(Catalogue!F$4:F$85,MATCH(A556,Catalogue!A$4:A$85,0))*(1+Paramètres!$B$4*(C556-1)+Paramètres!$B$5*(C556-1)^2),0)</f>
        <v>55</v>
      </c>
      <c r="S556">
        <f t="shared" si="68"/>
        <v>-0.5</v>
      </c>
      <c r="T556" t="str">
        <f t="shared" si="69"/>
        <v>OK</v>
      </c>
      <c r="U556" s="25">
        <f t="shared" si="70"/>
        <v>43</v>
      </c>
      <c r="V556" t="str">
        <f t="shared" si="71"/>
        <v>OK</v>
      </c>
    </row>
    <row r="557" spans="1:22" ht="18" customHeight="1">
      <c r="A557" t="s">
        <v>175</v>
      </c>
      <c r="B557" t="s">
        <v>176</v>
      </c>
      <c r="C557">
        <v>14</v>
      </c>
      <c r="D557" t="s">
        <v>169</v>
      </c>
      <c r="E557" s="6">
        <f t="shared" si="64"/>
        <v>35</v>
      </c>
      <c r="F557" s="6">
        <f t="shared" si="65"/>
        <v>62</v>
      </c>
      <c r="G557" s="6">
        <f>ROUND(Catalogue!G31*SQRT((1+Paramètres!$B$4*(C557-1)+Paramètres!$B$5*(C557-1)^2)),0)</f>
        <v>0</v>
      </c>
      <c r="H557" s="6">
        <f>ROUND(Catalogue!H31*SQRT((1+Paramètres!$B$4*(C557-1)+Paramètres!$B$5*(C557-1)^2)),0)</f>
        <v>0</v>
      </c>
      <c r="I557" s="6">
        <v>3</v>
      </c>
      <c r="J557" s="6">
        <v>1</v>
      </c>
      <c r="K557" s="7">
        <v>3.8</v>
      </c>
      <c r="L557" s="9">
        <f t="shared" si="66"/>
        <v>48.5</v>
      </c>
      <c r="M557">
        <v>3</v>
      </c>
      <c r="N557">
        <v>10</v>
      </c>
      <c r="O557">
        <v>32</v>
      </c>
      <c r="P557" s="13" t="str">
        <f t="shared" si="67"/>
        <v>3d10 + 32</v>
      </c>
      <c r="Q557">
        <f>ROUND(INDEX(Catalogue!E$4:E$85,MATCH(A557,Catalogue!A$4:A$85,0))*(1+Paramètres!$B$4*(C557-1)+Paramètres!$B$5*(C557-1)^2),0)</f>
        <v>36</v>
      </c>
      <c r="R557">
        <f>ROUND(INDEX(Catalogue!F$4:F$85,MATCH(A557,Catalogue!A$4:A$85,0))*(1+Paramètres!$B$4*(C557-1)+Paramètres!$B$5*(C557-1)^2),0)</f>
        <v>62</v>
      </c>
      <c r="S557">
        <f t="shared" si="68"/>
        <v>-0.5</v>
      </c>
      <c r="T557" t="str">
        <f t="shared" si="69"/>
        <v>OK</v>
      </c>
      <c r="U557" s="25">
        <f t="shared" si="70"/>
        <v>48.5</v>
      </c>
      <c r="V557" t="str">
        <f t="shared" si="71"/>
        <v>OK</v>
      </c>
    </row>
    <row r="558" spans="1:22" ht="18" customHeight="1">
      <c r="A558" t="s">
        <v>175</v>
      </c>
      <c r="B558" t="s">
        <v>176</v>
      </c>
      <c r="C558">
        <v>15</v>
      </c>
      <c r="D558" t="s">
        <v>169</v>
      </c>
      <c r="E558" s="6">
        <f t="shared" si="64"/>
        <v>40</v>
      </c>
      <c r="F558" s="6">
        <f t="shared" si="65"/>
        <v>68</v>
      </c>
      <c r="G558" s="6">
        <f>ROUND(Catalogue!G31*SQRT((1+Paramètres!$B$4*(C558-1)+Paramètres!$B$5*(C558-1)^2)),0)</f>
        <v>0</v>
      </c>
      <c r="H558" s="6">
        <f>ROUND(Catalogue!H31*SQRT((1+Paramètres!$B$4*(C558-1)+Paramètres!$B$5*(C558-1)^2)),0)</f>
        <v>0</v>
      </c>
      <c r="I558" s="6">
        <v>3</v>
      </c>
      <c r="J558" s="6">
        <v>1</v>
      </c>
      <c r="K558" s="7">
        <v>3.8</v>
      </c>
      <c r="L558" s="9">
        <f t="shared" si="66"/>
        <v>54</v>
      </c>
      <c r="M558">
        <v>4</v>
      </c>
      <c r="N558">
        <v>8</v>
      </c>
      <c r="O558">
        <v>36</v>
      </c>
      <c r="P558" s="13" t="str">
        <f t="shared" si="67"/>
        <v>4d8 + 36</v>
      </c>
      <c r="Q558">
        <f>ROUND(INDEX(Catalogue!E$4:E$85,MATCH(A558,Catalogue!A$4:A$85,0))*(1+Paramètres!$B$4*(C558-1)+Paramètres!$B$5*(C558-1)^2),0)</f>
        <v>40</v>
      </c>
      <c r="R558">
        <f>ROUND(INDEX(Catalogue!F$4:F$85,MATCH(A558,Catalogue!A$4:A$85,0))*(1+Paramètres!$B$4*(C558-1)+Paramètres!$B$5*(C558-1)^2),0)</f>
        <v>68</v>
      </c>
      <c r="S558">
        <f t="shared" si="68"/>
        <v>0</v>
      </c>
      <c r="T558" t="str">
        <f t="shared" si="69"/>
        <v>OK</v>
      </c>
      <c r="U558" s="25">
        <f t="shared" si="70"/>
        <v>54</v>
      </c>
      <c r="V558" t="str">
        <f t="shared" si="71"/>
        <v>OK</v>
      </c>
    </row>
    <row r="559" spans="1:22" ht="18" customHeight="1">
      <c r="A559" t="s">
        <v>175</v>
      </c>
      <c r="B559" t="s">
        <v>176</v>
      </c>
      <c r="C559">
        <v>16</v>
      </c>
      <c r="D559" t="s">
        <v>169</v>
      </c>
      <c r="E559" s="6">
        <f t="shared" si="64"/>
        <v>44</v>
      </c>
      <c r="F559" s="6">
        <f t="shared" si="65"/>
        <v>74</v>
      </c>
      <c r="G559" s="6">
        <f>ROUND(Catalogue!G31*SQRT((1+Paramètres!$B$4*(C559-1)+Paramètres!$B$5*(C559-1)^2)),0)</f>
        <v>0</v>
      </c>
      <c r="H559" s="6">
        <f>ROUND(Catalogue!H31*SQRT((1+Paramètres!$B$4*(C559-1)+Paramètres!$B$5*(C559-1)^2)),0)</f>
        <v>0</v>
      </c>
      <c r="I559" s="6">
        <v>3</v>
      </c>
      <c r="J559" s="6">
        <v>1</v>
      </c>
      <c r="K559" s="7">
        <v>3.8</v>
      </c>
      <c r="L559" s="9">
        <f t="shared" si="66"/>
        <v>59</v>
      </c>
      <c r="M559">
        <v>6</v>
      </c>
      <c r="N559">
        <v>6</v>
      </c>
      <c r="O559">
        <v>38</v>
      </c>
      <c r="P559" s="13" t="str">
        <f t="shared" si="67"/>
        <v>6d6 + 38</v>
      </c>
      <c r="Q559">
        <f>ROUND(INDEX(Catalogue!E$4:E$85,MATCH(A559,Catalogue!A$4:A$85,0))*(1+Paramètres!$B$4*(C559-1)+Paramètres!$B$5*(C559-1)^2),0)</f>
        <v>44</v>
      </c>
      <c r="R559">
        <f>ROUND(INDEX(Catalogue!F$4:F$85,MATCH(A559,Catalogue!A$4:A$85,0))*(1+Paramètres!$B$4*(C559-1)+Paramètres!$B$5*(C559-1)^2),0)</f>
        <v>75</v>
      </c>
      <c r="S559">
        <f t="shared" si="68"/>
        <v>-0.5</v>
      </c>
      <c r="T559" t="str">
        <f t="shared" si="69"/>
        <v>OK</v>
      </c>
      <c r="U559" s="25">
        <f t="shared" si="70"/>
        <v>59</v>
      </c>
      <c r="V559" t="str">
        <f t="shared" si="71"/>
        <v>OK</v>
      </c>
    </row>
    <row r="560" spans="1:22" ht="18" customHeight="1">
      <c r="A560" t="s">
        <v>175</v>
      </c>
      <c r="B560" t="s">
        <v>176</v>
      </c>
      <c r="C560">
        <v>17</v>
      </c>
      <c r="D560" t="s">
        <v>169</v>
      </c>
      <c r="E560" s="6">
        <f t="shared" si="64"/>
        <v>48</v>
      </c>
      <c r="F560" s="6">
        <f t="shared" si="65"/>
        <v>81</v>
      </c>
      <c r="G560" s="6">
        <f>ROUND(Catalogue!G31*SQRT((1+Paramètres!$B$4*(C560-1)+Paramètres!$B$5*(C560-1)^2)),0)</f>
        <v>0</v>
      </c>
      <c r="H560" s="6">
        <f>ROUND(Catalogue!H31*SQRT((1+Paramètres!$B$4*(C560-1)+Paramètres!$B$5*(C560-1)^2)),0)</f>
        <v>0</v>
      </c>
      <c r="I560" s="6">
        <v>3</v>
      </c>
      <c r="J560" s="6">
        <v>1</v>
      </c>
      <c r="K560" s="7">
        <v>3.8</v>
      </c>
      <c r="L560" s="9">
        <f t="shared" si="66"/>
        <v>64.5</v>
      </c>
      <c r="M560">
        <v>3</v>
      </c>
      <c r="N560">
        <v>12</v>
      </c>
      <c r="O560">
        <v>45</v>
      </c>
      <c r="P560" s="13" t="str">
        <f t="shared" si="67"/>
        <v>3d12 + 45</v>
      </c>
      <c r="Q560">
        <f>ROUND(INDEX(Catalogue!E$4:E$85,MATCH(A560,Catalogue!A$4:A$85,0))*(1+Paramètres!$B$4*(C560-1)+Paramètres!$B$5*(C560-1)^2),0)</f>
        <v>48</v>
      </c>
      <c r="R560">
        <f>ROUND(INDEX(Catalogue!F$4:F$85,MATCH(A560,Catalogue!A$4:A$85,0))*(1+Paramètres!$B$4*(C560-1)+Paramètres!$B$5*(C560-1)^2),0)</f>
        <v>82</v>
      </c>
      <c r="S560">
        <f t="shared" si="68"/>
        <v>-0.5</v>
      </c>
      <c r="T560" t="str">
        <f t="shared" si="69"/>
        <v>OK</v>
      </c>
      <c r="U560" s="25">
        <f t="shared" si="70"/>
        <v>64.5</v>
      </c>
      <c r="V560" t="str">
        <f t="shared" si="71"/>
        <v>OK</v>
      </c>
    </row>
    <row r="561" spans="1:22" ht="18" customHeight="1">
      <c r="A561" t="s">
        <v>175</v>
      </c>
      <c r="B561" t="s">
        <v>176</v>
      </c>
      <c r="C561">
        <v>18</v>
      </c>
      <c r="D561" t="s">
        <v>169</v>
      </c>
      <c r="E561" s="6">
        <f t="shared" si="64"/>
        <v>52</v>
      </c>
      <c r="F561" s="6">
        <f t="shared" si="65"/>
        <v>90</v>
      </c>
      <c r="G561" s="6">
        <f>ROUND(Catalogue!G31*SQRT((1+Paramètres!$B$4*(C561-1)+Paramètres!$B$5*(C561-1)^2)),0)</f>
        <v>0</v>
      </c>
      <c r="H561" s="6">
        <f>ROUND(Catalogue!H31*SQRT((1+Paramètres!$B$4*(C561-1)+Paramètres!$B$5*(C561-1)^2)),0)</f>
        <v>0</v>
      </c>
      <c r="I561" s="6">
        <v>3</v>
      </c>
      <c r="J561" s="6">
        <v>1</v>
      </c>
      <c r="K561" s="7">
        <v>3.8</v>
      </c>
      <c r="L561" s="9">
        <f t="shared" si="66"/>
        <v>71</v>
      </c>
      <c r="M561">
        <v>2</v>
      </c>
      <c r="N561">
        <v>20</v>
      </c>
      <c r="O561">
        <v>50</v>
      </c>
      <c r="P561" s="13" t="str">
        <f t="shared" si="67"/>
        <v>2d20 + 50</v>
      </c>
      <c r="Q561">
        <f>ROUND(INDEX(Catalogue!E$4:E$85,MATCH(A561,Catalogue!A$4:A$85,0))*(1+Paramètres!$B$4*(C561-1)+Paramètres!$B$5*(C561-1)^2),0)</f>
        <v>52</v>
      </c>
      <c r="R561">
        <f>ROUND(INDEX(Catalogue!F$4:F$85,MATCH(A561,Catalogue!A$4:A$85,0))*(1+Paramètres!$B$4*(C561-1)+Paramètres!$B$5*(C561-1)^2),0)</f>
        <v>90</v>
      </c>
      <c r="S561">
        <f t="shared" si="68"/>
        <v>0</v>
      </c>
      <c r="T561" t="str">
        <f t="shared" si="69"/>
        <v>OK</v>
      </c>
      <c r="U561" s="25">
        <f t="shared" si="70"/>
        <v>71</v>
      </c>
      <c r="V561" t="str">
        <f t="shared" si="71"/>
        <v>OK</v>
      </c>
    </row>
    <row r="562" spans="1:22" ht="18" customHeight="1">
      <c r="A562" t="s">
        <v>175</v>
      </c>
      <c r="B562" t="s">
        <v>176</v>
      </c>
      <c r="C562">
        <v>19</v>
      </c>
      <c r="D562" t="s">
        <v>169</v>
      </c>
      <c r="E562" s="6">
        <f t="shared" si="64"/>
        <v>56</v>
      </c>
      <c r="F562" s="6">
        <f t="shared" si="65"/>
        <v>98</v>
      </c>
      <c r="G562" s="6">
        <f>ROUND(Catalogue!G31*SQRT((1+Paramètres!$B$4*(C562-1)+Paramètres!$B$5*(C562-1)^2)),0)</f>
        <v>0</v>
      </c>
      <c r="H562" s="6">
        <f>ROUND(Catalogue!H31*SQRT((1+Paramètres!$B$4*(C562-1)+Paramètres!$B$5*(C562-1)^2)),0)</f>
        <v>0</v>
      </c>
      <c r="I562" s="6">
        <v>3</v>
      </c>
      <c r="J562" s="6">
        <v>1</v>
      </c>
      <c r="K562" s="7">
        <v>3.8</v>
      </c>
      <c r="L562" s="9">
        <f t="shared" si="66"/>
        <v>77</v>
      </c>
      <c r="M562">
        <v>6</v>
      </c>
      <c r="N562">
        <v>8</v>
      </c>
      <c r="O562">
        <v>50</v>
      </c>
      <c r="P562" s="13" t="str">
        <f t="shared" si="67"/>
        <v>6d8 + 50</v>
      </c>
      <c r="Q562">
        <f>ROUND(INDEX(Catalogue!E$4:E$85,MATCH(A562,Catalogue!A$4:A$85,0))*(1+Paramètres!$B$4*(C562-1)+Paramètres!$B$5*(C562-1)^2),0)</f>
        <v>57</v>
      </c>
      <c r="R562">
        <f>ROUND(INDEX(Catalogue!F$4:F$85,MATCH(A562,Catalogue!A$4:A$85,0))*(1+Paramètres!$B$4*(C562-1)+Paramètres!$B$5*(C562-1)^2),0)</f>
        <v>98</v>
      </c>
      <c r="S562">
        <f t="shared" si="68"/>
        <v>-0.5</v>
      </c>
      <c r="T562" t="str">
        <f t="shared" si="69"/>
        <v>OK</v>
      </c>
      <c r="U562" s="25">
        <f t="shared" si="70"/>
        <v>77</v>
      </c>
      <c r="V562" t="str">
        <f t="shared" si="71"/>
        <v>OK</v>
      </c>
    </row>
    <row r="563" spans="1:22" ht="18" customHeight="1">
      <c r="A563" t="s">
        <v>175</v>
      </c>
      <c r="B563" t="s">
        <v>176</v>
      </c>
      <c r="C563">
        <v>20</v>
      </c>
      <c r="D563" t="s">
        <v>169</v>
      </c>
      <c r="E563" s="6">
        <f t="shared" si="64"/>
        <v>62</v>
      </c>
      <c r="F563" s="6">
        <f t="shared" si="65"/>
        <v>106</v>
      </c>
      <c r="G563" s="6">
        <f>ROUND(Catalogue!G31*SQRT((1+Paramètres!$B$4*(C563-1)+Paramètres!$B$5*(C563-1)^2)),0)</f>
        <v>0</v>
      </c>
      <c r="H563" s="6">
        <f>ROUND(Catalogue!H31*SQRT((1+Paramètres!$B$4*(C563-1)+Paramètres!$B$5*(C563-1)^2)),0)</f>
        <v>0</v>
      </c>
      <c r="I563" s="6">
        <v>3</v>
      </c>
      <c r="J563" s="6">
        <v>1</v>
      </c>
      <c r="K563" s="7">
        <v>3.8</v>
      </c>
      <c r="L563" s="9">
        <f t="shared" si="66"/>
        <v>84</v>
      </c>
      <c r="M563">
        <v>4</v>
      </c>
      <c r="N563">
        <v>12</v>
      </c>
      <c r="O563">
        <v>58</v>
      </c>
      <c r="P563" s="13" t="str">
        <f t="shared" si="67"/>
        <v>4d12 + 58</v>
      </c>
      <c r="Q563">
        <f>ROUND(INDEX(Catalogue!E$4:E$85,MATCH(A563,Catalogue!A$4:A$85,0))*(1+Paramètres!$B$4*(C563-1)+Paramètres!$B$5*(C563-1)^2),0)</f>
        <v>62</v>
      </c>
      <c r="R563">
        <f>ROUND(INDEX(Catalogue!F$4:F$85,MATCH(A563,Catalogue!A$4:A$85,0))*(1+Paramètres!$B$4*(C563-1)+Paramètres!$B$5*(C563-1)^2),0)</f>
        <v>106</v>
      </c>
      <c r="S563">
        <f t="shared" si="68"/>
        <v>0</v>
      </c>
      <c r="T563" t="str">
        <f t="shared" si="69"/>
        <v>OK</v>
      </c>
      <c r="U563" s="25">
        <f t="shared" si="70"/>
        <v>84</v>
      </c>
      <c r="V563" t="str">
        <f t="shared" si="71"/>
        <v>OK</v>
      </c>
    </row>
    <row r="564" spans="1:22" ht="18" customHeight="1">
      <c r="A564" t="s">
        <v>179</v>
      </c>
      <c r="B564" t="s">
        <v>180</v>
      </c>
      <c r="C564">
        <v>1</v>
      </c>
      <c r="D564" t="s">
        <v>169</v>
      </c>
      <c r="E564" s="6">
        <f t="shared" si="64"/>
        <v>7</v>
      </c>
      <c r="F564" s="6">
        <f t="shared" si="65"/>
        <v>12</v>
      </c>
      <c r="G564" s="6">
        <f>ROUND(Catalogue!G32*SQRT((1+Paramètres!$B$4*(C564-1)+Paramètres!$B$5*(C564-1)^2)),0)</f>
        <v>0</v>
      </c>
      <c r="H564" s="6">
        <f>ROUND(Catalogue!H32*SQRT((1+Paramètres!$B$4*(C564-1)+Paramètres!$B$5*(C564-1)^2)),0)</f>
        <v>0</v>
      </c>
      <c r="I564" s="6">
        <v>3</v>
      </c>
      <c r="J564" s="6">
        <v>1</v>
      </c>
      <c r="K564" s="7">
        <v>4.4000000000000004</v>
      </c>
      <c r="L564" s="9">
        <f t="shared" si="66"/>
        <v>9.5</v>
      </c>
      <c r="M564">
        <v>1</v>
      </c>
      <c r="N564">
        <v>6</v>
      </c>
      <c r="O564">
        <v>6</v>
      </c>
      <c r="P564" s="13" t="str">
        <f t="shared" si="67"/>
        <v>1d6 + 6</v>
      </c>
      <c r="Q564">
        <f>ROUND(INDEX(Catalogue!E$4:E$85,MATCH(A564,Catalogue!A$4:A$85,0))*(1+Paramètres!$B$4*(C564-1)+Paramètres!$B$5*(C564-1)^2),0)</f>
        <v>8</v>
      </c>
      <c r="R564">
        <f>ROUND(INDEX(Catalogue!F$4:F$85,MATCH(A564,Catalogue!A$4:A$85,0))*(1+Paramètres!$B$4*(C564-1)+Paramètres!$B$5*(C564-1)^2),0)</f>
        <v>12</v>
      </c>
      <c r="S564">
        <f t="shared" si="68"/>
        <v>-0.5</v>
      </c>
      <c r="T564" t="str">
        <f t="shared" si="69"/>
        <v>OK</v>
      </c>
      <c r="U564" s="25">
        <f t="shared" si="70"/>
        <v>9.5</v>
      </c>
      <c r="V564" t="str">
        <f t="shared" si="71"/>
        <v>OK</v>
      </c>
    </row>
    <row r="565" spans="1:22" ht="18" customHeight="1">
      <c r="A565" t="s">
        <v>179</v>
      </c>
      <c r="B565" t="s">
        <v>180</v>
      </c>
      <c r="C565">
        <v>2</v>
      </c>
      <c r="D565" t="s">
        <v>169</v>
      </c>
      <c r="E565" s="6">
        <f t="shared" si="64"/>
        <v>9</v>
      </c>
      <c r="F565" s="6">
        <f t="shared" si="65"/>
        <v>14</v>
      </c>
      <c r="G565" s="6">
        <f>ROUND(Catalogue!G32*SQRT((1+Paramètres!$B$4*(C565-1)+Paramètres!$B$5*(C565-1)^2)),0)</f>
        <v>0</v>
      </c>
      <c r="H565" s="6">
        <f>ROUND(Catalogue!H32*SQRT((1+Paramètres!$B$4*(C565-1)+Paramètres!$B$5*(C565-1)^2)),0)</f>
        <v>0</v>
      </c>
      <c r="I565" s="6">
        <v>3</v>
      </c>
      <c r="J565" s="6">
        <v>1</v>
      </c>
      <c r="K565" s="7">
        <v>4.4000000000000004</v>
      </c>
      <c r="L565" s="9">
        <f t="shared" si="66"/>
        <v>11.5</v>
      </c>
      <c r="M565">
        <v>1</v>
      </c>
      <c r="N565">
        <v>6</v>
      </c>
      <c r="O565">
        <v>8</v>
      </c>
      <c r="P565" s="13" t="str">
        <f t="shared" si="67"/>
        <v>1d6 + 8</v>
      </c>
      <c r="Q565">
        <f>ROUND(INDEX(Catalogue!E$4:E$85,MATCH(A565,Catalogue!A$4:A$85,0))*(1+Paramètres!$B$4*(C565-1)+Paramètres!$B$5*(C565-1)^2),0)</f>
        <v>9</v>
      </c>
      <c r="R565">
        <f>ROUND(INDEX(Catalogue!F$4:F$85,MATCH(A565,Catalogue!A$4:A$85,0))*(1+Paramètres!$B$4*(C565-1)+Paramètres!$B$5*(C565-1)^2),0)</f>
        <v>14</v>
      </c>
      <c r="S565">
        <f t="shared" si="68"/>
        <v>0</v>
      </c>
      <c r="T565" t="str">
        <f t="shared" si="69"/>
        <v>OK</v>
      </c>
      <c r="U565" s="25">
        <f t="shared" si="70"/>
        <v>11.5</v>
      </c>
      <c r="V565" t="str">
        <f t="shared" si="71"/>
        <v>OK</v>
      </c>
    </row>
    <row r="566" spans="1:22" ht="18" customHeight="1">
      <c r="A566" t="s">
        <v>179</v>
      </c>
      <c r="B566" t="s">
        <v>180</v>
      </c>
      <c r="C566">
        <v>3</v>
      </c>
      <c r="D566" t="s">
        <v>169</v>
      </c>
      <c r="E566" s="6">
        <f t="shared" si="64"/>
        <v>10</v>
      </c>
      <c r="F566" s="6">
        <f t="shared" si="65"/>
        <v>15</v>
      </c>
      <c r="G566" s="6">
        <f>ROUND(Catalogue!G32*SQRT((1+Paramètres!$B$4*(C566-1)+Paramètres!$B$5*(C566-1)^2)),0)</f>
        <v>0</v>
      </c>
      <c r="H566" s="6">
        <f>ROUND(Catalogue!H32*SQRT((1+Paramètres!$B$4*(C566-1)+Paramètres!$B$5*(C566-1)^2)),0)</f>
        <v>0</v>
      </c>
      <c r="I566" s="6">
        <v>3</v>
      </c>
      <c r="J566" s="6">
        <v>1</v>
      </c>
      <c r="K566" s="7">
        <v>4.4000000000000004</v>
      </c>
      <c r="L566" s="9">
        <f t="shared" si="66"/>
        <v>12.5</v>
      </c>
      <c r="M566">
        <v>1</v>
      </c>
      <c r="N566">
        <v>6</v>
      </c>
      <c r="O566">
        <v>9</v>
      </c>
      <c r="P566" s="13" t="str">
        <f t="shared" si="67"/>
        <v>1d6 + 9</v>
      </c>
      <c r="Q566">
        <f>ROUND(INDEX(Catalogue!E$4:E$85,MATCH(A566,Catalogue!A$4:A$85,0))*(1+Paramètres!$B$4*(C566-1)+Paramètres!$B$5*(C566-1)^2),0)</f>
        <v>10</v>
      </c>
      <c r="R566">
        <f>ROUND(INDEX(Catalogue!F$4:F$85,MATCH(A566,Catalogue!A$4:A$85,0))*(1+Paramètres!$B$4*(C566-1)+Paramètres!$B$5*(C566-1)^2),0)</f>
        <v>15</v>
      </c>
      <c r="S566">
        <f t="shared" si="68"/>
        <v>0</v>
      </c>
      <c r="T566" t="str">
        <f t="shared" si="69"/>
        <v>OK</v>
      </c>
      <c r="U566" s="25">
        <f t="shared" si="70"/>
        <v>12.5</v>
      </c>
      <c r="V566" t="str">
        <f t="shared" si="71"/>
        <v>OK</v>
      </c>
    </row>
    <row r="567" spans="1:22" ht="18" customHeight="1">
      <c r="A567" t="s">
        <v>179</v>
      </c>
      <c r="B567" t="s">
        <v>180</v>
      </c>
      <c r="C567">
        <v>4</v>
      </c>
      <c r="D567" t="s">
        <v>169</v>
      </c>
      <c r="E567" s="6">
        <f t="shared" si="64"/>
        <v>12</v>
      </c>
      <c r="F567" s="6">
        <f t="shared" si="65"/>
        <v>17</v>
      </c>
      <c r="G567" s="6">
        <f>ROUND(Catalogue!G32*SQRT((1+Paramètres!$B$4*(C567-1)+Paramètres!$B$5*(C567-1)^2)),0)</f>
        <v>0</v>
      </c>
      <c r="H567" s="6">
        <f>ROUND(Catalogue!H32*SQRT((1+Paramètres!$B$4*(C567-1)+Paramètres!$B$5*(C567-1)^2)),0)</f>
        <v>0</v>
      </c>
      <c r="I567" s="6">
        <v>3</v>
      </c>
      <c r="J567" s="6">
        <v>1</v>
      </c>
      <c r="K567" s="7">
        <v>4.4000000000000004</v>
      </c>
      <c r="L567" s="9">
        <f t="shared" si="66"/>
        <v>14.5</v>
      </c>
      <c r="M567">
        <v>1</v>
      </c>
      <c r="N567">
        <v>6</v>
      </c>
      <c r="O567">
        <v>11</v>
      </c>
      <c r="P567" s="13" t="str">
        <f t="shared" si="67"/>
        <v>1d6 + 11</v>
      </c>
      <c r="Q567">
        <f>ROUND(INDEX(Catalogue!E$4:E$85,MATCH(A567,Catalogue!A$4:A$85,0))*(1+Paramètres!$B$4*(C567-1)+Paramètres!$B$5*(C567-1)^2),0)</f>
        <v>12</v>
      </c>
      <c r="R567">
        <f>ROUND(INDEX(Catalogue!F$4:F$85,MATCH(A567,Catalogue!A$4:A$85,0))*(1+Paramètres!$B$4*(C567-1)+Paramètres!$B$5*(C567-1)^2),0)</f>
        <v>18</v>
      </c>
      <c r="S567">
        <f t="shared" si="68"/>
        <v>-0.5</v>
      </c>
      <c r="T567" t="str">
        <f t="shared" si="69"/>
        <v>OK</v>
      </c>
      <c r="U567" s="25">
        <f t="shared" si="70"/>
        <v>14.5</v>
      </c>
      <c r="V567" t="str">
        <f t="shared" si="71"/>
        <v>OK</v>
      </c>
    </row>
    <row r="568" spans="1:22" ht="18" customHeight="1">
      <c r="A568" t="s">
        <v>179</v>
      </c>
      <c r="B568" t="s">
        <v>180</v>
      </c>
      <c r="C568">
        <v>5</v>
      </c>
      <c r="D568" t="s">
        <v>169</v>
      </c>
      <c r="E568" s="6">
        <f t="shared" si="64"/>
        <v>14</v>
      </c>
      <c r="F568" s="6">
        <f t="shared" si="65"/>
        <v>19</v>
      </c>
      <c r="G568" s="6">
        <f>ROUND(Catalogue!G32*SQRT((1+Paramètres!$B$4*(C568-1)+Paramètres!$B$5*(C568-1)^2)),0)</f>
        <v>0</v>
      </c>
      <c r="H568" s="6">
        <f>ROUND(Catalogue!H32*SQRT((1+Paramètres!$B$4*(C568-1)+Paramètres!$B$5*(C568-1)^2)),0)</f>
        <v>0</v>
      </c>
      <c r="I568" s="6">
        <v>3</v>
      </c>
      <c r="J568" s="6">
        <v>1</v>
      </c>
      <c r="K568" s="7">
        <v>4.4000000000000004</v>
      </c>
      <c r="L568" s="9">
        <f t="shared" si="66"/>
        <v>16.5</v>
      </c>
      <c r="M568">
        <v>1</v>
      </c>
      <c r="N568">
        <v>6</v>
      </c>
      <c r="O568">
        <v>13</v>
      </c>
      <c r="P568" s="13" t="str">
        <f t="shared" si="67"/>
        <v>1d6 + 13</v>
      </c>
      <c r="Q568">
        <f>ROUND(INDEX(Catalogue!E$4:E$85,MATCH(A568,Catalogue!A$4:A$85,0))*(1+Paramètres!$B$4*(C568-1)+Paramètres!$B$5*(C568-1)^2),0)</f>
        <v>14</v>
      </c>
      <c r="R568">
        <f>ROUND(INDEX(Catalogue!F$4:F$85,MATCH(A568,Catalogue!A$4:A$85,0))*(1+Paramètres!$B$4*(C568-1)+Paramètres!$B$5*(C568-1)^2),0)</f>
        <v>20</v>
      </c>
      <c r="S568">
        <f t="shared" si="68"/>
        <v>-0.5</v>
      </c>
      <c r="T568" t="str">
        <f t="shared" si="69"/>
        <v>OK</v>
      </c>
      <c r="U568" s="25">
        <f t="shared" si="70"/>
        <v>16.5</v>
      </c>
      <c r="V568" t="str">
        <f t="shared" si="71"/>
        <v>OK</v>
      </c>
    </row>
    <row r="569" spans="1:22" ht="18" customHeight="1">
      <c r="A569" t="s">
        <v>179</v>
      </c>
      <c r="B569" t="s">
        <v>180</v>
      </c>
      <c r="C569">
        <v>6</v>
      </c>
      <c r="D569" t="s">
        <v>169</v>
      </c>
      <c r="E569" s="6">
        <f t="shared" si="64"/>
        <v>16</v>
      </c>
      <c r="F569" s="6">
        <f t="shared" si="65"/>
        <v>23</v>
      </c>
      <c r="G569" s="6">
        <f>ROUND(Catalogue!G32*SQRT((1+Paramètres!$B$4*(C569-1)+Paramètres!$B$5*(C569-1)^2)),0)</f>
        <v>0</v>
      </c>
      <c r="H569" s="6">
        <f>ROUND(Catalogue!H32*SQRT((1+Paramètres!$B$4*(C569-1)+Paramètres!$B$5*(C569-1)^2)),0)</f>
        <v>0</v>
      </c>
      <c r="I569" s="6">
        <v>3</v>
      </c>
      <c r="J569" s="6">
        <v>1</v>
      </c>
      <c r="K569" s="7">
        <v>4.4000000000000004</v>
      </c>
      <c r="L569" s="9">
        <f t="shared" si="66"/>
        <v>19.5</v>
      </c>
      <c r="M569">
        <v>1</v>
      </c>
      <c r="N569">
        <v>8</v>
      </c>
      <c r="O569">
        <v>15</v>
      </c>
      <c r="P569" s="13" t="str">
        <f t="shared" si="67"/>
        <v>1d8 + 15</v>
      </c>
      <c r="Q569">
        <f>ROUND(INDEX(Catalogue!E$4:E$85,MATCH(A569,Catalogue!A$4:A$85,0))*(1+Paramètres!$B$4*(C569-1)+Paramètres!$B$5*(C569-1)^2),0)</f>
        <v>16</v>
      </c>
      <c r="R569">
        <f>ROUND(INDEX(Catalogue!F$4:F$85,MATCH(A569,Catalogue!A$4:A$85,0))*(1+Paramètres!$B$4*(C569-1)+Paramètres!$B$5*(C569-1)^2),0)</f>
        <v>23</v>
      </c>
      <c r="S569">
        <f t="shared" si="68"/>
        <v>0</v>
      </c>
      <c r="T569" t="str">
        <f t="shared" si="69"/>
        <v>OK</v>
      </c>
      <c r="U569" s="25">
        <f t="shared" si="70"/>
        <v>19.5</v>
      </c>
      <c r="V569" t="str">
        <f t="shared" si="71"/>
        <v>OK</v>
      </c>
    </row>
    <row r="570" spans="1:22" ht="18" customHeight="1">
      <c r="A570" t="s">
        <v>179</v>
      </c>
      <c r="B570" t="s">
        <v>180</v>
      </c>
      <c r="C570">
        <v>7</v>
      </c>
      <c r="D570" t="s">
        <v>169</v>
      </c>
      <c r="E570" s="6">
        <f t="shared" si="64"/>
        <v>18</v>
      </c>
      <c r="F570" s="6">
        <f t="shared" si="65"/>
        <v>27</v>
      </c>
      <c r="G570" s="6">
        <f>ROUND(Catalogue!G32*SQRT((1+Paramètres!$B$4*(C570-1)+Paramètres!$B$5*(C570-1)^2)),0)</f>
        <v>0</v>
      </c>
      <c r="H570" s="6">
        <f>ROUND(Catalogue!H32*SQRT((1+Paramètres!$B$4*(C570-1)+Paramètres!$B$5*(C570-1)^2)),0)</f>
        <v>0</v>
      </c>
      <c r="I570" s="6">
        <v>3</v>
      </c>
      <c r="J570" s="6">
        <v>1</v>
      </c>
      <c r="K570" s="7">
        <v>4.4000000000000004</v>
      </c>
      <c r="L570" s="9">
        <f t="shared" si="66"/>
        <v>22.5</v>
      </c>
      <c r="M570">
        <v>1</v>
      </c>
      <c r="N570">
        <v>10</v>
      </c>
      <c r="O570">
        <v>17</v>
      </c>
      <c r="P570" s="13" t="str">
        <f t="shared" si="67"/>
        <v>1d10 + 17</v>
      </c>
      <c r="Q570">
        <f>ROUND(INDEX(Catalogue!E$4:E$85,MATCH(A570,Catalogue!A$4:A$85,0))*(1+Paramètres!$B$4*(C570-1)+Paramètres!$B$5*(C570-1)^2),0)</f>
        <v>18</v>
      </c>
      <c r="R570">
        <f>ROUND(INDEX(Catalogue!F$4:F$85,MATCH(A570,Catalogue!A$4:A$85,0))*(1+Paramètres!$B$4*(C570-1)+Paramètres!$B$5*(C570-1)^2),0)</f>
        <v>27</v>
      </c>
      <c r="S570">
        <f t="shared" si="68"/>
        <v>0</v>
      </c>
      <c r="T570" t="str">
        <f t="shared" si="69"/>
        <v>OK</v>
      </c>
      <c r="U570" s="25">
        <f t="shared" si="70"/>
        <v>22.5</v>
      </c>
      <c r="V570" t="str">
        <f t="shared" si="71"/>
        <v>OK</v>
      </c>
    </row>
    <row r="571" spans="1:22" ht="18" customHeight="1">
      <c r="A571" t="s">
        <v>179</v>
      </c>
      <c r="B571" t="s">
        <v>180</v>
      </c>
      <c r="C571">
        <v>8</v>
      </c>
      <c r="D571" t="s">
        <v>169</v>
      </c>
      <c r="E571" s="6">
        <f t="shared" si="64"/>
        <v>20</v>
      </c>
      <c r="F571" s="6">
        <f t="shared" si="65"/>
        <v>31</v>
      </c>
      <c r="G571" s="6">
        <f>ROUND(Catalogue!G32*SQRT((1+Paramètres!$B$4*(C571-1)+Paramètres!$B$5*(C571-1)^2)),0)</f>
        <v>0</v>
      </c>
      <c r="H571" s="6">
        <f>ROUND(Catalogue!H32*SQRT((1+Paramètres!$B$4*(C571-1)+Paramètres!$B$5*(C571-1)^2)),0)</f>
        <v>0</v>
      </c>
      <c r="I571" s="6">
        <v>3</v>
      </c>
      <c r="J571" s="6">
        <v>1</v>
      </c>
      <c r="K571" s="7">
        <v>4.4000000000000004</v>
      </c>
      <c r="L571" s="9">
        <f t="shared" si="66"/>
        <v>25.5</v>
      </c>
      <c r="M571">
        <v>1</v>
      </c>
      <c r="N571">
        <v>12</v>
      </c>
      <c r="O571">
        <v>19</v>
      </c>
      <c r="P571" s="13" t="str">
        <f t="shared" si="67"/>
        <v>1d12 + 19</v>
      </c>
      <c r="Q571">
        <f>ROUND(INDEX(Catalogue!E$4:E$85,MATCH(A571,Catalogue!A$4:A$85,0))*(1+Paramètres!$B$4*(C571-1)+Paramètres!$B$5*(C571-1)^2),0)</f>
        <v>20</v>
      </c>
      <c r="R571">
        <f>ROUND(INDEX(Catalogue!F$4:F$85,MATCH(A571,Catalogue!A$4:A$85,0))*(1+Paramètres!$B$4*(C571-1)+Paramètres!$B$5*(C571-1)^2),0)</f>
        <v>31</v>
      </c>
      <c r="S571">
        <f t="shared" si="68"/>
        <v>0</v>
      </c>
      <c r="T571" t="str">
        <f t="shared" si="69"/>
        <v>OK</v>
      </c>
      <c r="U571" s="25">
        <f t="shared" si="70"/>
        <v>25.5</v>
      </c>
      <c r="V571" t="str">
        <f t="shared" si="71"/>
        <v>OK</v>
      </c>
    </row>
    <row r="572" spans="1:22" ht="18" customHeight="1">
      <c r="A572" t="s">
        <v>179</v>
      </c>
      <c r="B572" t="s">
        <v>180</v>
      </c>
      <c r="C572">
        <v>9</v>
      </c>
      <c r="D572" t="s">
        <v>169</v>
      </c>
      <c r="E572" s="6">
        <f t="shared" si="64"/>
        <v>23</v>
      </c>
      <c r="F572" s="6">
        <f t="shared" si="65"/>
        <v>34</v>
      </c>
      <c r="G572" s="6">
        <f>ROUND(Catalogue!G32*SQRT((1+Paramètres!$B$4*(C572-1)+Paramètres!$B$5*(C572-1)^2)),0)</f>
        <v>0</v>
      </c>
      <c r="H572" s="6">
        <f>ROUND(Catalogue!H32*SQRT((1+Paramètres!$B$4*(C572-1)+Paramètres!$B$5*(C572-1)^2)),0)</f>
        <v>0</v>
      </c>
      <c r="I572" s="6">
        <v>3</v>
      </c>
      <c r="J572" s="6">
        <v>1</v>
      </c>
      <c r="K572" s="7">
        <v>4.4000000000000004</v>
      </c>
      <c r="L572" s="9">
        <f t="shared" si="66"/>
        <v>28.5</v>
      </c>
      <c r="M572">
        <v>1</v>
      </c>
      <c r="N572">
        <v>12</v>
      </c>
      <c r="O572">
        <v>22</v>
      </c>
      <c r="P572" s="13" t="str">
        <f t="shared" si="67"/>
        <v>1d12 + 22</v>
      </c>
      <c r="Q572">
        <f>ROUND(INDEX(Catalogue!E$4:E$85,MATCH(A572,Catalogue!A$4:A$85,0))*(1+Paramètres!$B$4*(C572-1)+Paramètres!$B$5*(C572-1)^2),0)</f>
        <v>23</v>
      </c>
      <c r="R572">
        <f>ROUND(INDEX(Catalogue!F$4:F$85,MATCH(A572,Catalogue!A$4:A$85,0))*(1+Paramètres!$B$4*(C572-1)+Paramètres!$B$5*(C572-1)^2),0)</f>
        <v>35</v>
      </c>
      <c r="S572">
        <f t="shared" si="68"/>
        <v>-0.5</v>
      </c>
      <c r="T572" t="str">
        <f t="shared" si="69"/>
        <v>OK</v>
      </c>
      <c r="U572" s="25">
        <f t="shared" si="70"/>
        <v>28.5</v>
      </c>
      <c r="V572" t="str">
        <f t="shared" si="71"/>
        <v>OK</v>
      </c>
    </row>
    <row r="573" spans="1:22" ht="18" customHeight="1">
      <c r="A573" t="s">
        <v>179</v>
      </c>
      <c r="B573" t="s">
        <v>180</v>
      </c>
      <c r="C573">
        <v>10</v>
      </c>
      <c r="D573" t="s">
        <v>169</v>
      </c>
      <c r="E573" s="6">
        <f t="shared" si="64"/>
        <v>26</v>
      </c>
      <c r="F573" s="6">
        <f t="shared" si="65"/>
        <v>40</v>
      </c>
      <c r="G573" s="6">
        <f>ROUND(Catalogue!G32*SQRT((1+Paramètres!$B$4*(C573-1)+Paramètres!$B$5*(C573-1)^2)),0)</f>
        <v>0</v>
      </c>
      <c r="H573" s="6">
        <f>ROUND(Catalogue!H32*SQRT((1+Paramètres!$B$4*(C573-1)+Paramètres!$B$5*(C573-1)^2)),0)</f>
        <v>0</v>
      </c>
      <c r="I573" s="6">
        <v>3</v>
      </c>
      <c r="J573" s="6">
        <v>1</v>
      </c>
      <c r="K573" s="7">
        <v>4.4000000000000004</v>
      </c>
      <c r="L573" s="9">
        <f t="shared" si="66"/>
        <v>33</v>
      </c>
      <c r="M573">
        <v>2</v>
      </c>
      <c r="N573">
        <v>8</v>
      </c>
      <c r="O573">
        <v>24</v>
      </c>
      <c r="P573" s="13" t="str">
        <f t="shared" si="67"/>
        <v>2d8 + 24</v>
      </c>
      <c r="Q573">
        <f>ROUND(INDEX(Catalogue!E$4:E$85,MATCH(A573,Catalogue!A$4:A$85,0))*(1+Paramètres!$B$4*(C573-1)+Paramètres!$B$5*(C573-1)^2),0)</f>
        <v>26</v>
      </c>
      <c r="R573">
        <f>ROUND(INDEX(Catalogue!F$4:F$85,MATCH(A573,Catalogue!A$4:A$85,0))*(1+Paramètres!$B$4*(C573-1)+Paramètres!$B$5*(C573-1)^2),0)</f>
        <v>39</v>
      </c>
      <c r="S573">
        <f t="shared" si="68"/>
        <v>0.5</v>
      </c>
      <c r="T573" t="str">
        <f t="shared" si="69"/>
        <v>OK</v>
      </c>
      <c r="U573" s="25">
        <f t="shared" si="70"/>
        <v>33</v>
      </c>
      <c r="V573" t="str">
        <f t="shared" si="71"/>
        <v>OK</v>
      </c>
    </row>
    <row r="574" spans="1:22" ht="18" customHeight="1">
      <c r="A574" t="s">
        <v>179</v>
      </c>
      <c r="B574" t="s">
        <v>180</v>
      </c>
      <c r="C574">
        <v>11</v>
      </c>
      <c r="D574" t="s">
        <v>169</v>
      </c>
      <c r="E574" s="6">
        <f t="shared" si="64"/>
        <v>30</v>
      </c>
      <c r="F574" s="6">
        <f t="shared" si="65"/>
        <v>44</v>
      </c>
      <c r="G574" s="6">
        <f>ROUND(Catalogue!G32*SQRT((1+Paramètres!$B$4*(C574-1)+Paramètres!$B$5*(C574-1)^2)),0)</f>
        <v>0</v>
      </c>
      <c r="H574" s="6">
        <f>ROUND(Catalogue!H32*SQRT((1+Paramètres!$B$4*(C574-1)+Paramètres!$B$5*(C574-1)^2)),0)</f>
        <v>0</v>
      </c>
      <c r="I574" s="6">
        <v>3</v>
      </c>
      <c r="J574" s="6">
        <v>1</v>
      </c>
      <c r="K574" s="7">
        <v>4.4000000000000004</v>
      </c>
      <c r="L574" s="9">
        <f t="shared" si="66"/>
        <v>37</v>
      </c>
      <c r="M574">
        <v>2</v>
      </c>
      <c r="N574">
        <v>8</v>
      </c>
      <c r="O574">
        <v>28</v>
      </c>
      <c r="P574" s="13" t="str">
        <f t="shared" si="67"/>
        <v>2d8 + 28</v>
      </c>
      <c r="Q574">
        <f>ROUND(INDEX(Catalogue!E$4:E$85,MATCH(A574,Catalogue!A$4:A$85,0))*(1+Paramètres!$B$4*(C574-1)+Paramètres!$B$5*(C574-1)^2),0)</f>
        <v>30</v>
      </c>
      <c r="R574">
        <f>ROUND(INDEX(Catalogue!F$4:F$85,MATCH(A574,Catalogue!A$4:A$85,0))*(1+Paramètres!$B$4*(C574-1)+Paramètres!$B$5*(C574-1)^2),0)</f>
        <v>44</v>
      </c>
      <c r="S574">
        <f t="shared" si="68"/>
        <v>0</v>
      </c>
      <c r="T574" t="str">
        <f t="shared" si="69"/>
        <v>OK</v>
      </c>
      <c r="U574" s="25">
        <f t="shared" si="70"/>
        <v>37</v>
      </c>
      <c r="V574" t="str">
        <f t="shared" si="71"/>
        <v>OK</v>
      </c>
    </row>
    <row r="575" spans="1:22" ht="18" customHeight="1">
      <c r="A575" t="s">
        <v>179</v>
      </c>
      <c r="B575" t="s">
        <v>180</v>
      </c>
      <c r="C575">
        <v>12</v>
      </c>
      <c r="D575" t="s">
        <v>169</v>
      </c>
      <c r="E575" s="6">
        <f t="shared" si="64"/>
        <v>32</v>
      </c>
      <c r="F575" s="6">
        <f t="shared" si="65"/>
        <v>50</v>
      </c>
      <c r="G575" s="6">
        <f>ROUND(Catalogue!G32*SQRT((1+Paramètres!$B$4*(C575-1)+Paramètres!$B$5*(C575-1)^2)),0)</f>
        <v>0</v>
      </c>
      <c r="H575" s="6">
        <f>ROUND(Catalogue!H32*SQRT((1+Paramètres!$B$4*(C575-1)+Paramètres!$B$5*(C575-1)^2)),0)</f>
        <v>0</v>
      </c>
      <c r="I575" s="6">
        <v>3</v>
      </c>
      <c r="J575" s="6">
        <v>1</v>
      </c>
      <c r="K575" s="7">
        <v>4.4000000000000004</v>
      </c>
      <c r="L575" s="9">
        <f t="shared" si="66"/>
        <v>41</v>
      </c>
      <c r="M575">
        <v>2</v>
      </c>
      <c r="N575">
        <v>10</v>
      </c>
      <c r="O575">
        <v>30</v>
      </c>
      <c r="P575" s="13" t="str">
        <f t="shared" si="67"/>
        <v>2d10 + 30</v>
      </c>
      <c r="Q575">
        <f>ROUND(INDEX(Catalogue!E$4:E$85,MATCH(A575,Catalogue!A$4:A$85,0))*(1+Paramètres!$B$4*(C575-1)+Paramètres!$B$5*(C575-1)^2),0)</f>
        <v>33</v>
      </c>
      <c r="R575">
        <f>ROUND(INDEX(Catalogue!F$4:F$85,MATCH(A575,Catalogue!A$4:A$85,0))*(1+Paramètres!$B$4*(C575-1)+Paramètres!$B$5*(C575-1)^2),0)</f>
        <v>50</v>
      </c>
      <c r="S575">
        <f t="shared" si="68"/>
        <v>-0.5</v>
      </c>
      <c r="T575" t="str">
        <f t="shared" si="69"/>
        <v>OK</v>
      </c>
      <c r="U575" s="25">
        <f t="shared" si="70"/>
        <v>41</v>
      </c>
      <c r="V575" t="str">
        <f t="shared" si="71"/>
        <v>OK</v>
      </c>
    </row>
    <row r="576" spans="1:22" ht="18" customHeight="1">
      <c r="A576" t="s">
        <v>179</v>
      </c>
      <c r="B576" t="s">
        <v>180</v>
      </c>
      <c r="C576">
        <v>13</v>
      </c>
      <c r="D576" t="s">
        <v>169</v>
      </c>
      <c r="E576" s="6">
        <f t="shared" si="64"/>
        <v>37</v>
      </c>
      <c r="F576" s="6">
        <f t="shared" si="65"/>
        <v>55</v>
      </c>
      <c r="G576" s="6">
        <f>ROUND(Catalogue!G32*SQRT((1+Paramètres!$B$4*(C576-1)+Paramètres!$B$5*(C576-1)^2)),0)</f>
        <v>0</v>
      </c>
      <c r="H576" s="6">
        <f>ROUND(Catalogue!H32*SQRT((1+Paramètres!$B$4*(C576-1)+Paramètres!$B$5*(C576-1)^2)),0)</f>
        <v>0</v>
      </c>
      <c r="I576" s="6">
        <v>3</v>
      </c>
      <c r="J576" s="6">
        <v>1</v>
      </c>
      <c r="K576" s="7">
        <v>4.4000000000000004</v>
      </c>
      <c r="L576" s="9">
        <f t="shared" si="66"/>
        <v>46</v>
      </c>
      <c r="M576">
        <v>2</v>
      </c>
      <c r="N576">
        <v>10</v>
      </c>
      <c r="O576">
        <v>35</v>
      </c>
      <c r="P576" s="13" t="str">
        <f t="shared" si="67"/>
        <v>2d10 + 35</v>
      </c>
      <c r="Q576">
        <f>ROUND(INDEX(Catalogue!E$4:E$85,MATCH(A576,Catalogue!A$4:A$85,0))*(1+Paramètres!$B$4*(C576-1)+Paramètres!$B$5*(C576-1)^2),0)</f>
        <v>37</v>
      </c>
      <c r="R576">
        <f>ROUND(INDEX(Catalogue!F$4:F$85,MATCH(A576,Catalogue!A$4:A$85,0))*(1+Paramètres!$B$4*(C576-1)+Paramètres!$B$5*(C576-1)^2),0)</f>
        <v>55</v>
      </c>
      <c r="S576">
        <f t="shared" si="68"/>
        <v>0</v>
      </c>
      <c r="T576" t="str">
        <f t="shared" si="69"/>
        <v>OK</v>
      </c>
      <c r="U576" s="25">
        <f t="shared" si="70"/>
        <v>46</v>
      </c>
      <c r="V576" t="str">
        <f t="shared" si="71"/>
        <v>OK</v>
      </c>
    </row>
    <row r="577" spans="1:22" ht="18" customHeight="1">
      <c r="A577" t="s">
        <v>179</v>
      </c>
      <c r="B577" t="s">
        <v>180</v>
      </c>
      <c r="C577">
        <v>14</v>
      </c>
      <c r="D577" t="s">
        <v>169</v>
      </c>
      <c r="E577" s="6">
        <f t="shared" si="64"/>
        <v>41</v>
      </c>
      <c r="F577" s="6">
        <f t="shared" si="65"/>
        <v>62</v>
      </c>
      <c r="G577" s="6">
        <f>ROUND(Catalogue!G32*SQRT((1+Paramètres!$B$4*(C577-1)+Paramètres!$B$5*(C577-1)^2)),0)</f>
        <v>0</v>
      </c>
      <c r="H577" s="6">
        <f>ROUND(Catalogue!H32*SQRT((1+Paramètres!$B$4*(C577-1)+Paramètres!$B$5*(C577-1)^2)),0)</f>
        <v>0</v>
      </c>
      <c r="I577" s="6">
        <v>3</v>
      </c>
      <c r="J577" s="6">
        <v>1</v>
      </c>
      <c r="K577" s="7">
        <v>4.4000000000000004</v>
      </c>
      <c r="L577" s="9">
        <f t="shared" si="66"/>
        <v>51.5</v>
      </c>
      <c r="M577">
        <v>3</v>
      </c>
      <c r="N577">
        <v>8</v>
      </c>
      <c r="O577">
        <v>38</v>
      </c>
      <c r="P577" s="13" t="str">
        <f t="shared" si="67"/>
        <v>3d8 + 38</v>
      </c>
      <c r="Q577">
        <f>ROUND(INDEX(Catalogue!E$4:E$85,MATCH(A577,Catalogue!A$4:A$85,0))*(1+Paramètres!$B$4*(C577-1)+Paramètres!$B$5*(C577-1)^2),0)</f>
        <v>41</v>
      </c>
      <c r="R577">
        <f>ROUND(INDEX(Catalogue!F$4:F$85,MATCH(A577,Catalogue!A$4:A$85,0))*(1+Paramètres!$B$4*(C577-1)+Paramètres!$B$5*(C577-1)^2),0)</f>
        <v>62</v>
      </c>
      <c r="S577">
        <f t="shared" si="68"/>
        <v>0</v>
      </c>
      <c r="T577" t="str">
        <f t="shared" si="69"/>
        <v>OK</v>
      </c>
      <c r="U577" s="25">
        <f t="shared" si="70"/>
        <v>51.5</v>
      </c>
      <c r="V577" t="str">
        <f t="shared" si="71"/>
        <v>OK</v>
      </c>
    </row>
    <row r="578" spans="1:22" ht="18" customHeight="1">
      <c r="A578" t="s">
        <v>179</v>
      </c>
      <c r="B578" t="s">
        <v>180</v>
      </c>
      <c r="C578">
        <v>15</v>
      </c>
      <c r="D578" t="s">
        <v>169</v>
      </c>
      <c r="E578" s="6">
        <f t="shared" si="64"/>
        <v>45</v>
      </c>
      <c r="F578" s="6">
        <f t="shared" si="65"/>
        <v>67</v>
      </c>
      <c r="G578" s="6">
        <f>ROUND(Catalogue!G32*SQRT((1+Paramètres!$B$4*(C578-1)+Paramètres!$B$5*(C578-1)^2)),0)</f>
        <v>0</v>
      </c>
      <c r="H578" s="6">
        <f>ROUND(Catalogue!H32*SQRT((1+Paramètres!$B$4*(C578-1)+Paramètres!$B$5*(C578-1)^2)),0)</f>
        <v>0</v>
      </c>
      <c r="I578" s="6">
        <v>3</v>
      </c>
      <c r="J578" s="6">
        <v>1</v>
      </c>
      <c r="K578" s="7">
        <v>4.4000000000000004</v>
      </c>
      <c r="L578" s="9">
        <f t="shared" si="66"/>
        <v>56</v>
      </c>
      <c r="M578">
        <v>2</v>
      </c>
      <c r="N578">
        <v>12</v>
      </c>
      <c r="O578">
        <v>43</v>
      </c>
      <c r="P578" s="13" t="str">
        <f t="shared" si="67"/>
        <v>2d12 + 43</v>
      </c>
      <c r="Q578">
        <f>ROUND(INDEX(Catalogue!E$4:E$85,MATCH(A578,Catalogue!A$4:A$85,0))*(1+Paramètres!$B$4*(C578-1)+Paramètres!$B$5*(C578-1)^2),0)</f>
        <v>45</v>
      </c>
      <c r="R578">
        <f>ROUND(INDEX(Catalogue!F$4:F$85,MATCH(A578,Catalogue!A$4:A$85,0))*(1+Paramètres!$B$4*(C578-1)+Paramètres!$B$5*(C578-1)^2),0)</f>
        <v>68</v>
      </c>
      <c r="S578">
        <f t="shared" si="68"/>
        <v>-0.5</v>
      </c>
      <c r="T578" t="str">
        <f t="shared" si="69"/>
        <v>OK</v>
      </c>
      <c r="U578" s="25">
        <f t="shared" si="70"/>
        <v>56</v>
      </c>
      <c r="V578" t="str">
        <f t="shared" si="71"/>
        <v>OK</v>
      </c>
    </row>
    <row r="579" spans="1:22" ht="18" customHeight="1">
      <c r="A579" t="s">
        <v>179</v>
      </c>
      <c r="B579" t="s">
        <v>180</v>
      </c>
      <c r="C579">
        <v>16</v>
      </c>
      <c r="D579" t="s">
        <v>169</v>
      </c>
      <c r="E579" s="6">
        <f t="shared" si="64"/>
        <v>50</v>
      </c>
      <c r="F579" s="6">
        <f t="shared" si="65"/>
        <v>75</v>
      </c>
      <c r="G579" s="6">
        <f>ROUND(Catalogue!G32*SQRT((1+Paramètres!$B$4*(C579-1)+Paramètres!$B$5*(C579-1)^2)),0)</f>
        <v>0</v>
      </c>
      <c r="H579" s="6">
        <f>ROUND(Catalogue!H32*SQRT((1+Paramètres!$B$4*(C579-1)+Paramètres!$B$5*(C579-1)^2)),0)</f>
        <v>0</v>
      </c>
      <c r="I579" s="6">
        <v>3</v>
      </c>
      <c r="J579" s="6">
        <v>1</v>
      </c>
      <c r="K579" s="7">
        <v>4.4000000000000004</v>
      </c>
      <c r="L579" s="9">
        <f t="shared" si="66"/>
        <v>62.5</v>
      </c>
      <c r="M579">
        <v>5</v>
      </c>
      <c r="N579">
        <v>6</v>
      </c>
      <c r="O579">
        <v>45</v>
      </c>
      <c r="P579" s="13" t="str">
        <f t="shared" si="67"/>
        <v>5d6 + 45</v>
      </c>
      <c r="Q579">
        <f>ROUND(INDEX(Catalogue!E$4:E$85,MATCH(A579,Catalogue!A$4:A$85,0))*(1+Paramètres!$B$4*(C579-1)+Paramètres!$B$5*(C579-1)^2),0)</f>
        <v>50</v>
      </c>
      <c r="R579">
        <f>ROUND(INDEX(Catalogue!F$4:F$85,MATCH(A579,Catalogue!A$4:A$85,0))*(1+Paramètres!$B$4*(C579-1)+Paramètres!$B$5*(C579-1)^2),0)</f>
        <v>75</v>
      </c>
      <c r="S579">
        <f t="shared" si="68"/>
        <v>0</v>
      </c>
      <c r="T579" t="str">
        <f t="shared" si="69"/>
        <v>OK</v>
      </c>
      <c r="U579" s="25">
        <f t="shared" si="70"/>
        <v>62.5</v>
      </c>
      <c r="V579" t="str">
        <f t="shared" si="71"/>
        <v>OK</v>
      </c>
    </row>
    <row r="580" spans="1:22" ht="18" customHeight="1">
      <c r="A580" t="s">
        <v>179</v>
      </c>
      <c r="B580" t="s">
        <v>180</v>
      </c>
      <c r="C580">
        <v>17</v>
      </c>
      <c r="D580" t="s">
        <v>169</v>
      </c>
      <c r="E580" s="6">
        <f t="shared" ref="E580:E643" si="72">IF(M580=0,0,M580+O580)</f>
        <v>55</v>
      </c>
      <c r="F580" s="6">
        <f t="shared" ref="F580:F643" si="73">IF(M580=0,0,M580*N580+O580)</f>
        <v>82</v>
      </c>
      <c r="G580" s="6">
        <f>ROUND(Catalogue!G32*SQRT((1+Paramètres!$B$4*(C580-1)+Paramètres!$B$5*(C580-1)^2)),0)</f>
        <v>0</v>
      </c>
      <c r="H580" s="6">
        <f>ROUND(Catalogue!H32*SQRT((1+Paramètres!$B$4*(C580-1)+Paramètres!$B$5*(C580-1)^2)),0)</f>
        <v>0</v>
      </c>
      <c r="I580" s="6">
        <v>3</v>
      </c>
      <c r="J580" s="6">
        <v>1</v>
      </c>
      <c r="K580" s="7">
        <v>4.4000000000000004</v>
      </c>
      <c r="L580" s="9">
        <f t="shared" ref="L580:L643" si="74">IF(M580=0,0,(E580+F580)/2)</f>
        <v>68.5</v>
      </c>
      <c r="M580">
        <v>3</v>
      </c>
      <c r="N580">
        <v>10</v>
      </c>
      <c r="O580">
        <v>52</v>
      </c>
      <c r="P580" s="13" t="str">
        <f t="shared" ref="P580:P643" si="75">IF(M580=0,"—",M580&amp;"d"&amp;N580&amp;IF(O580=0,""," + "&amp;O580))</f>
        <v>3d10 + 52</v>
      </c>
      <c r="Q580">
        <f>ROUND(INDEX(Catalogue!E$4:E$85,MATCH(A580,Catalogue!A$4:A$85,0))*(1+Paramètres!$B$4*(C580-1)+Paramètres!$B$5*(C580-1)^2),0)</f>
        <v>55</v>
      </c>
      <c r="R580">
        <f>ROUND(INDEX(Catalogue!F$4:F$85,MATCH(A580,Catalogue!A$4:A$85,0))*(1+Paramètres!$B$4*(C580-1)+Paramètres!$B$5*(C580-1)^2),0)</f>
        <v>82</v>
      </c>
      <c r="S580">
        <f t="shared" ref="S580:S643" si="76">L580-AVERAGE(Q580:R580)</f>
        <v>0</v>
      </c>
      <c r="T580" t="str">
        <f t="shared" ref="T580:T643" si="77">IF(M580=0,IF(AND(N580=0,O580=0,E580=0,F580=0),"OK","ERREUR"),IF(AND(M580&gt;=1,M580&lt;=32,OR(N580=4,N580=6,N580=8,N580=10,N580=12,N580=20),O580&gt;=0,E580=M580+O580,F580=M580*N580+O580),"OK","ERREUR"))</f>
        <v>OK</v>
      </c>
      <c r="U580" s="25">
        <f t="shared" ref="U580:U643" si="78">IF(M580&gt;0,M580*(N580+1)/2+O580,0)</f>
        <v>68.5</v>
      </c>
      <c r="V580" t="str">
        <f t="shared" ref="V580:V643" si="79">IF(ABS(L580-U580)&lt;0.001,"OK","ERREUR")</f>
        <v>OK</v>
      </c>
    </row>
    <row r="581" spans="1:22" ht="18" customHeight="1">
      <c r="A581" t="s">
        <v>179</v>
      </c>
      <c r="B581" t="s">
        <v>180</v>
      </c>
      <c r="C581">
        <v>18</v>
      </c>
      <c r="D581" t="s">
        <v>169</v>
      </c>
      <c r="E581" s="6">
        <f t="shared" si="72"/>
        <v>60</v>
      </c>
      <c r="F581" s="6">
        <f t="shared" si="73"/>
        <v>90</v>
      </c>
      <c r="G581" s="6">
        <f>ROUND(Catalogue!G32*SQRT((1+Paramètres!$B$4*(C581-1)+Paramètres!$B$5*(C581-1)^2)),0)</f>
        <v>0</v>
      </c>
      <c r="H581" s="6">
        <f>ROUND(Catalogue!H32*SQRT((1+Paramètres!$B$4*(C581-1)+Paramètres!$B$5*(C581-1)^2)),0)</f>
        <v>0</v>
      </c>
      <c r="I581" s="6">
        <v>3</v>
      </c>
      <c r="J581" s="6">
        <v>1</v>
      </c>
      <c r="K581" s="7">
        <v>4.4000000000000004</v>
      </c>
      <c r="L581" s="9">
        <f t="shared" si="74"/>
        <v>75</v>
      </c>
      <c r="M581">
        <v>6</v>
      </c>
      <c r="N581">
        <v>6</v>
      </c>
      <c r="O581">
        <v>54</v>
      </c>
      <c r="P581" s="13" t="str">
        <f t="shared" si="75"/>
        <v>6d6 + 54</v>
      </c>
      <c r="Q581">
        <f>ROUND(INDEX(Catalogue!E$4:E$85,MATCH(A581,Catalogue!A$4:A$85,0))*(1+Paramètres!$B$4*(C581-1)+Paramètres!$B$5*(C581-1)^2),0)</f>
        <v>60</v>
      </c>
      <c r="R581">
        <f>ROUND(INDEX(Catalogue!F$4:F$85,MATCH(A581,Catalogue!A$4:A$85,0))*(1+Paramètres!$B$4*(C581-1)+Paramètres!$B$5*(C581-1)^2),0)</f>
        <v>90</v>
      </c>
      <c r="S581">
        <f t="shared" si="76"/>
        <v>0</v>
      </c>
      <c r="T581" t="str">
        <f t="shared" si="77"/>
        <v>OK</v>
      </c>
      <c r="U581" s="25">
        <f t="shared" si="78"/>
        <v>75</v>
      </c>
      <c r="V581" t="str">
        <f t="shared" si="79"/>
        <v>OK</v>
      </c>
    </row>
    <row r="582" spans="1:22" ht="18" customHeight="1">
      <c r="A582" t="s">
        <v>179</v>
      </c>
      <c r="B582" t="s">
        <v>180</v>
      </c>
      <c r="C582">
        <v>19</v>
      </c>
      <c r="D582" t="s">
        <v>169</v>
      </c>
      <c r="E582" s="6">
        <f t="shared" si="72"/>
        <v>65</v>
      </c>
      <c r="F582" s="6">
        <f t="shared" si="73"/>
        <v>98</v>
      </c>
      <c r="G582" s="6">
        <f>ROUND(Catalogue!G32*SQRT((1+Paramètres!$B$4*(C582-1)+Paramètres!$B$5*(C582-1)^2)),0)</f>
        <v>0</v>
      </c>
      <c r="H582" s="6">
        <f>ROUND(Catalogue!H32*SQRT((1+Paramètres!$B$4*(C582-1)+Paramètres!$B$5*(C582-1)^2)),0)</f>
        <v>0</v>
      </c>
      <c r="I582" s="6">
        <v>3</v>
      </c>
      <c r="J582" s="6">
        <v>1</v>
      </c>
      <c r="K582" s="7">
        <v>4.4000000000000004</v>
      </c>
      <c r="L582" s="9">
        <f t="shared" si="74"/>
        <v>81.5</v>
      </c>
      <c r="M582">
        <v>3</v>
      </c>
      <c r="N582">
        <v>12</v>
      </c>
      <c r="O582">
        <v>62</v>
      </c>
      <c r="P582" s="13" t="str">
        <f t="shared" si="75"/>
        <v>3d12 + 62</v>
      </c>
      <c r="Q582">
        <f>ROUND(INDEX(Catalogue!E$4:E$85,MATCH(A582,Catalogue!A$4:A$85,0))*(1+Paramètres!$B$4*(C582-1)+Paramètres!$B$5*(C582-1)^2),0)</f>
        <v>65</v>
      </c>
      <c r="R582">
        <f>ROUND(INDEX(Catalogue!F$4:F$85,MATCH(A582,Catalogue!A$4:A$85,0))*(1+Paramètres!$B$4*(C582-1)+Paramètres!$B$5*(C582-1)^2),0)</f>
        <v>98</v>
      </c>
      <c r="S582">
        <f t="shared" si="76"/>
        <v>0</v>
      </c>
      <c r="T582" t="str">
        <f t="shared" si="77"/>
        <v>OK</v>
      </c>
      <c r="U582" s="25">
        <f t="shared" si="78"/>
        <v>81.5</v>
      </c>
      <c r="V582" t="str">
        <f t="shared" si="79"/>
        <v>OK</v>
      </c>
    </row>
    <row r="583" spans="1:22" ht="18" customHeight="1">
      <c r="A583" t="s">
        <v>179</v>
      </c>
      <c r="B583" t="s">
        <v>180</v>
      </c>
      <c r="C583">
        <v>20</v>
      </c>
      <c r="D583" t="s">
        <v>169</v>
      </c>
      <c r="E583" s="6">
        <f t="shared" si="72"/>
        <v>71</v>
      </c>
      <c r="F583" s="6">
        <f t="shared" si="73"/>
        <v>106</v>
      </c>
      <c r="G583" s="6">
        <f>ROUND(Catalogue!G32*SQRT((1+Paramètres!$B$4*(C583-1)+Paramètres!$B$5*(C583-1)^2)),0)</f>
        <v>0</v>
      </c>
      <c r="H583" s="6">
        <f>ROUND(Catalogue!H32*SQRT((1+Paramètres!$B$4*(C583-1)+Paramètres!$B$5*(C583-1)^2)),0)</f>
        <v>0</v>
      </c>
      <c r="I583" s="6">
        <v>3</v>
      </c>
      <c r="J583" s="6">
        <v>1</v>
      </c>
      <c r="K583" s="7">
        <v>4.4000000000000004</v>
      </c>
      <c r="L583" s="9">
        <f t="shared" si="74"/>
        <v>88.5</v>
      </c>
      <c r="M583">
        <v>5</v>
      </c>
      <c r="N583">
        <v>8</v>
      </c>
      <c r="O583">
        <v>66</v>
      </c>
      <c r="P583" s="13" t="str">
        <f t="shared" si="75"/>
        <v>5d8 + 66</v>
      </c>
      <c r="Q583">
        <f>ROUND(INDEX(Catalogue!E$4:E$85,MATCH(A583,Catalogue!A$4:A$85,0))*(1+Paramètres!$B$4*(C583-1)+Paramètres!$B$5*(C583-1)^2),0)</f>
        <v>71</v>
      </c>
      <c r="R583">
        <f>ROUND(INDEX(Catalogue!F$4:F$85,MATCH(A583,Catalogue!A$4:A$85,0))*(1+Paramètres!$B$4*(C583-1)+Paramètres!$B$5*(C583-1)^2),0)</f>
        <v>106</v>
      </c>
      <c r="S583">
        <f t="shared" si="76"/>
        <v>0</v>
      </c>
      <c r="T583" t="str">
        <f t="shared" si="77"/>
        <v>OK</v>
      </c>
      <c r="U583" s="25">
        <f t="shared" si="78"/>
        <v>88.5</v>
      </c>
      <c r="V583" t="str">
        <f t="shared" si="79"/>
        <v>OK</v>
      </c>
    </row>
    <row r="584" spans="1:22" ht="18" customHeight="1">
      <c r="A584" t="s">
        <v>182</v>
      </c>
      <c r="B584" t="s">
        <v>183</v>
      </c>
      <c r="C584">
        <v>1</v>
      </c>
      <c r="D584" t="s">
        <v>169</v>
      </c>
      <c r="E584" s="6">
        <f t="shared" si="72"/>
        <v>8</v>
      </c>
      <c r="F584" s="6">
        <f t="shared" si="73"/>
        <v>13</v>
      </c>
      <c r="G584" s="6">
        <f>ROUND(Catalogue!G33*SQRT((1+Paramètres!$B$4*(C584-1)+Paramètres!$B$5*(C584-1)^2)),0)</f>
        <v>0</v>
      </c>
      <c r="H584" s="6">
        <f>ROUND(Catalogue!H33*SQRT((1+Paramètres!$B$4*(C584-1)+Paramètres!$B$5*(C584-1)^2)),0)</f>
        <v>0</v>
      </c>
      <c r="I584" s="6">
        <v>3</v>
      </c>
      <c r="J584" s="6">
        <v>1</v>
      </c>
      <c r="K584" s="7">
        <v>4.8</v>
      </c>
      <c r="L584" s="9">
        <f t="shared" si="74"/>
        <v>10.5</v>
      </c>
      <c r="M584">
        <v>1</v>
      </c>
      <c r="N584">
        <v>6</v>
      </c>
      <c r="O584">
        <v>7</v>
      </c>
      <c r="P584" s="13" t="str">
        <f t="shared" si="75"/>
        <v>1d6 + 7</v>
      </c>
      <c r="Q584">
        <f>ROUND(INDEX(Catalogue!E$4:E$85,MATCH(A584,Catalogue!A$4:A$85,0))*(1+Paramètres!$B$4*(C584-1)+Paramètres!$B$5*(C584-1)^2),0)</f>
        <v>8</v>
      </c>
      <c r="R584">
        <f>ROUND(INDEX(Catalogue!F$4:F$85,MATCH(A584,Catalogue!A$4:A$85,0))*(1+Paramètres!$B$4*(C584-1)+Paramètres!$B$5*(C584-1)^2),0)</f>
        <v>13</v>
      </c>
      <c r="S584">
        <f t="shared" si="76"/>
        <v>0</v>
      </c>
      <c r="T584" t="str">
        <f t="shared" si="77"/>
        <v>OK</v>
      </c>
      <c r="U584" s="25">
        <f t="shared" si="78"/>
        <v>10.5</v>
      </c>
      <c r="V584" t="str">
        <f t="shared" si="79"/>
        <v>OK</v>
      </c>
    </row>
    <row r="585" spans="1:22" ht="18" customHeight="1">
      <c r="A585" t="s">
        <v>182</v>
      </c>
      <c r="B585" t="s">
        <v>183</v>
      </c>
      <c r="C585">
        <v>2</v>
      </c>
      <c r="D585" t="s">
        <v>169</v>
      </c>
      <c r="E585" s="6">
        <f t="shared" si="72"/>
        <v>9</v>
      </c>
      <c r="F585" s="6">
        <f t="shared" si="73"/>
        <v>14</v>
      </c>
      <c r="G585" s="6">
        <f>ROUND(Catalogue!G33*SQRT((1+Paramètres!$B$4*(C585-1)+Paramètres!$B$5*(C585-1)^2)),0)</f>
        <v>0</v>
      </c>
      <c r="H585" s="6">
        <f>ROUND(Catalogue!H33*SQRT((1+Paramètres!$B$4*(C585-1)+Paramètres!$B$5*(C585-1)^2)),0)</f>
        <v>0</v>
      </c>
      <c r="I585" s="6">
        <v>3</v>
      </c>
      <c r="J585" s="6">
        <v>1</v>
      </c>
      <c r="K585" s="7">
        <v>4.8</v>
      </c>
      <c r="L585" s="9">
        <f t="shared" si="74"/>
        <v>11.5</v>
      </c>
      <c r="M585">
        <v>1</v>
      </c>
      <c r="N585">
        <v>6</v>
      </c>
      <c r="O585">
        <v>8</v>
      </c>
      <c r="P585" s="13" t="str">
        <f t="shared" si="75"/>
        <v>1d6 + 8</v>
      </c>
      <c r="Q585">
        <f>ROUND(INDEX(Catalogue!E$4:E$85,MATCH(A585,Catalogue!A$4:A$85,0))*(1+Paramètres!$B$4*(C585-1)+Paramètres!$B$5*(C585-1)^2),0)</f>
        <v>9</v>
      </c>
      <c r="R585">
        <f>ROUND(INDEX(Catalogue!F$4:F$85,MATCH(A585,Catalogue!A$4:A$85,0))*(1+Paramètres!$B$4*(C585-1)+Paramètres!$B$5*(C585-1)^2),0)</f>
        <v>15</v>
      </c>
      <c r="S585">
        <f t="shared" si="76"/>
        <v>-0.5</v>
      </c>
      <c r="T585" t="str">
        <f t="shared" si="77"/>
        <v>OK</v>
      </c>
      <c r="U585" s="25">
        <f t="shared" si="78"/>
        <v>11.5</v>
      </c>
      <c r="V585" t="str">
        <f t="shared" si="79"/>
        <v>OK</v>
      </c>
    </row>
    <row r="586" spans="1:22" ht="18" customHeight="1">
      <c r="A586" t="s">
        <v>182</v>
      </c>
      <c r="B586" t="s">
        <v>183</v>
      </c>
      <c r="C586">
        <v>3</v>
      </c>
      <c r="D586" t="s">
        <v>169</v>
      </c>
      <c r="E586" s="6">
        <f t="shared" si="72"/>
        <v>10</v>
      </c>
      <c r="F586" s="6">
        <f t="shared" si="73"/>
        <v>17</v>
      </c>
      <c r="G586" s="6">
        <f>ROUND(Catalogue!G33*SQRT((1+Paramètres!$B$4*(C586-1)+Paramètres!$B$5*(C586-1)^2)),0)</f>
        <v>0</v>
      </c>
      <c r="H586" s="6">
        <f>ROUND(Catalogue!H33*SQRT((1+Paramètres!$B$4*(C586-1)+Paramètres!$B$5*(C586-1)^2)),0)</f>
        <v>0</v>
      </c>
      <c r="I586" s="6">
        <v>3</v>
      </c>
      <c r="J586" s="6">
        <v>1</v>
      </c>
      <c r="K586" s="7">
        <v>4.8</v>
      </c>
      <c r="L586" s="9">
        <f t="shared" si="74"/>
        <v>13.5</v>
      </c>
      <c r="M586">
        <v>1</v>
      </c>
      <c r="N586">
        <v>8</v>
      </c>
      <c r="O586">
        <v>9</v>
      </c>
      <c r="P586" s="13" t="str">
        <f t="shared" si="75"/>
        <v>1d8 + 9</v>
      </c>
      <c r="Q586">
        <f>ROUND(INDEX(Catalogue!E$4:E$85,MATCH(A586,Catalogue!A$4:A$85,0))*(1+Paramètres!$B$4*(C586-1)+Paramètres!$B$5*(C586-1)^2),0)</f>
        <v>10</v>
      </c>
      <c r="R586">
        <f>ROUND(INDEX(Catalogue!F$4:F$85,MATCH(A586,Catalogue!A$4:A$85,0))*(1+Paramètres!$B$4*(C586-1)+Paramètres!$B$5*(C586-1)^2),0)</f>
        <v>17</v>
      </c>
      <c r="S586">
        <f t="shared" si="76"/>
        <v>0</v>
      </c>
      <c r="T586" t="str">
        <f t="shared" si="77"/>
        <v>OK</v>
      </c>
      <c r="U586" s="25">
        <f t="shared" si="78"/>
        <v>13.5</v>
      </c>
      <c r="V586" t="str">
        <f t="shared" si="79"/>
        <v>OK</v>
      </c>
    </row>
    <row r="587" spans="1:22" ht="18" customHeight="1">
      <c r="A587" t="s">
        <v>182</v>
      </c>
      <c r="B587" t="s">
        <v>183</v>
      </c>
      <c r="C587">
        <v>4</v>
      </c>
      <c r="D587" t="s">
        <v>169</v>
      </c>
      <c r="E587" s="6">
        <f t="shared" si="72"/>
        <v>12</v>
      </c>
      <c r="F587" s="6">
        <f t="shared" si="73"/>
        <v>19</v>
      </c>
      <c r="G587" s="6">
        <f>ROUND(Catalogue!G33*SQRT((1+Paramètres!$B$4*(C587-1)+Paramètres!$B$5*(C587-1)^2)),0)</f>
        <v>0</v>
      </c>
      <c r="H587" s="6">
        <f>ROUND(Catalogue!H33*SQRT((1+Paramètres!$B$4*(C587-1)+Paramètres!$B$5*(C587-1)^2)),0)</f>
        <v>0</v>
      </c>
      <c r="I587" s="6">
        <v>3</v>
      </c>
      <c r="J587" s="6">
        <v>1</v>
      </c>
      <c r="K587" s="7">
        <v>4.8</v>
      </c>
      <c r="L587" s="9">
        <f t="shared" si="74"/>
        <v>15.5</v>
      </c>
      <c r="M587">
        <v>1</v>
      </c>
      <c r="N587">
        <v>8</v>
      </c>
      <c r="O587">
        <v>11</v>
      </c>
      <c r="P587" s="13" t="str">
        <f t="shared" si="75"/>
        <v>1d8 + 11</v>
      </c>
      <c r="Q587">
        <f>ROUND(INDEX(Catalogue!E$4:E$85,MATCH(A587,Catalogue!A$4:A$85,0))*(1+Paramètres!$B$4*(C587-1)+Paramètres!$B$5*(C587-1)^2),0)</f>
        <v>12</v>
      </c>
      <c r="R587">
        <f>ROUND(INDEX(Catalogue!F$4:F$85,MATCH(A587,Catalogue!A$4:A$85,0))*(1+Paramètres!$B$4*(C587-1)+Paramètres!$B$5*(C587-1)^2),0)</f>
        <v>19</v>
      </c>
      <c r="S587">
        <f t="shared" si="76"/>
        <v>0</v>
      </c>
      <c r="T587" t="str">
        <f t="shared" si="77"/>
        <v>OK</v>
      </c>
      <c r="U587" s="25">
        <f t="shared" si="78"/>
        <v>15.5</v>
      </c>
      <c r="V587" t="str">
        <f t="shared" si="79"/>
        <v>OK</v>
      </c>
    </row>
    <row r="588" spans="1:22" ht="18" customHeight="1">
      <c r="A588" t="s">
        <v>182</v>
      </c>
      <c r="B588" t="s">
        <v>183</v>
      </c>
      <c r="C588">
        <v>5</v>
      </c>
      <c r="D588" t="s">
        <v>169</v>
      </c>
      <c r="E588" s="6">
        <f t="shared" si="72"/>
        <v>14</v>
      </c>
      <c r="F588" s="6">
        <f t="shared" si="73"/>
        <v>21</v>
      </c>
      <c r="G588" s="6">
        <f>ROUND(Catalogue!G33*SQRT((1+Paramètres!$B$4*(C588-1)+Paramètres!$B$5*(C588-1)^2)),0)</f>
        <v>0</v>
      </c>
      <c r="H588" s="6">
        <f>ROUND(Catalogue!H33*SQRT((1+Paramètres!$B$4*(C588-1)+Paramètres!$B$5*(C588-1)^2)),0)</f>
        <v>0</v>
      </c>
      <c r="I588" s="6">
        <v>3</v>
      </c>
      <c r="J588" s="6">
        <v>1</v>
      </c>
      <c r="K588" s="7">
        <v>4.8</v>
      </c>
      <c r="L588" s="9">
        <f t="shared" si="74"/>
        <v>17.5</v>
      </c>
      <c r="M588">
        <v>1</v>
      </c>
      <c r="N588">
        <v>8</v>
      </c>
      <c r="O588">
        <v>13</v>
      </c>
      <c r="P588" s="13" t="str">
        <f t="shared" si="75"/>
        <v>1d8 + 13</v>
      </c>
      <c r="Q588">
        <f>ROUND(INDEX(Catalogue!E$4:E$85,MATCH(A588,Catalogue!A$4:A$85,0))*(1+Paramètres!$B$4*(C588-1)+Paramètres!$B$5*(C588-1)^2),0)</f>
        <v>14</v>
      </c>
      <c r="R588">
        <f>ROUND(INDEX(Catalogue!F$4:F$85,MATCH(A588,Catalogue!A$4:A$85,0))*(1+Paramètres!$B$4*(C588-1)+Paramètres!$B$5*(C588-1)^2),0)</f>
        <v>22</v>
      </c>
      <c r="S588">
        <f t="shared" si="76"/>
        <v>-0.5</v>
      </c>
      <c r="T588" t="str">
        <f t="shared" si="77"/>
        <v>OK</v>
      </c>
      <c r="U588" s="25">
        <f t="shared" si="78"/>
        <v>17.5</v>
      </c>
      <c r="V588" t="str">
        <f t="shared" si="79"/>
        <v>OK</v>
      </c>
    </row>
    <row r="589" spans="1:22" ht="18" customHeight="1">
      <c r="A589" t="s">
        <v>182</v>
      </c>
      <c r="B589" t="s">
        <v>183</v>
      </c>
      <c r="C589">
        <v>6</v>
      </c>
      <c r="D589" t="s">
        <v>169</v>
      </c>
      <c r="E589" s="6">
        <f t="shared" si="72"/>
        <v>16</v>
      </c>
      <c r="F589" s="6">
        <f t="shared" si="73"/>
        <v>25</v>
      </c>
      <c r="G589" s="6">
        <f>ROUND(Catalogue!G33*SQRT((1+Paramètres!$B$4*(C589-1)+Paramètres!$B$5*(C589-1)^2)),0)</f>
        <v>0</v>
      </c>
      <c r="H589" s="6">
        <f>ROUND(Catalogue!H33*SQRT((1+Paramètres!$B$4*(C589-1)+Paramètres!$B$5*(C589-1)^2)),0)</f>
        <v>0</v>
      </c>
      <c r="I589" s="6">
        <v>3</v>
      </c>
      <c r="J589" s="6">
        <v>1</v>
      </c>
      <c r="K589" s="7">
        <v>4.8</v>
      </c>
      <c r="L589" s="9">
        <f t="shared" si="74"/>
        <v>20.5</v>
      </c>
      <c r="M589">
        <v>1</v>
      </c>
      <c r="N589">
        <v>10</v>
      </c>
      <c r="O589">
        <v>15</v>
      </c>
      <c r="P589" s="13" t="str">
        <f t="shared" si="75"/>
        <v>1d10 + 15</v>
      </c>
      <c r="Q589">
        <f>ROUND(INDEX(Catalogue!E$4:E$85,MATCH(A589,Catalogue!A$4:A$85,0))*(1+Paramètres!$B$4*(C589-1)+Paramètres!$B$5*(C589-1)^2),0)</f>
        <v>16</v>
      </c>
      <c r="R589">
        <f>ROUND(INDEX(Catalogue!F$4:F$85,MATCH(A589,Catalogue!A$4:A$85,0))*(1+Paramètres!$B$4*(C589-1)+Paramètres!$B$5*(C589-1)^2),0)</f>
        <v>25</v>
      </c>
      <c r="S589">
        <f t="shared" si="76"/>
        <v>0</v>
      </c>
      <c r="T589" t="str">
        <f t="shared" si="77"/>
        <v>OK</v>
      </c>
      <c r="U589" s="25">
        <f t="shared" si="78"/>
        <v>20.5</v>
      </c>
      <c r="V589" t="str">
        <f t="shared" si="79"/>
        <v>OK</v>
      </c>
    </row>
    <row r="590" spans="1:22" ht="18" customHeight="1">
      <c r="A590" t="s">
        <v>182</v>
      </c>
      <c r="B590" t="s">
        <v>183</v>
      </c>
      <c r="C590">
        <v>7</v>
      </c>
      <c r="D590" t="s">
        <v>169</v>
      </c>
      <c r="E590" s="6">
        <f t="shared" si="72"/>
        <v>18</v>
      </c>
      <c r="F590" s="6">
        <f t="shared" si="73"/>
        <v>29</v>
      </c>
      <c r="G590" s="6">
        <f>ROUND(Catalogue!G33*SQRT((1+Paramètres!$B$4*(C590-1)+Paramètres!$B$5*(C590-1)^2)),0)</f>
        <v>0</v>
      </c>
      <c r="H590" s="6">
        <f>ROUND(Catalogue!H33*SQRT((1+Paramètres!$B$4*(C590-1)+Paramètres!$B$5*(C590-1)^2)),0)</f>
        <v>0</v>
      </c>
      <c r="I590" s="6">
        <v>3</v>
      </c>
      <c r="J590" s="6">
        <v>1</v>
      </c>
      <c r="K590" s="7">
        <v>4.8</v>
      </c>
      <c r="L590" s="9">
        <f t="shared" si="74"/>
        <v>23.5</v>
      </c>
      <c r="M590">
        <v>1</v>
      </c>
      <c r="N590">
        <v>12</v>
      </c>
      <c r="O590">
        <v>17</v>
      </c>
      <c r="P590" s="13" t="str">
        <f t="shared" si="75"/>
        <v>1d12 + 17</v>
      </c>
      <c r="Q590">
        <f>ROUND(INDEX(Catalogue!E$4:E$85,MATCH(A590,Catalogue!A$4:A$85,0))*(1+Paramètres!$B$4*(C590-1)+Paramètres!$B$5*(C590-1)^2),0)</f>
        <v>18</v>
      </c>
      <c r="R590">
        <f>ROUND(INDEX(Catalogue!F$4:F$85,MATCH(A590,Catalogue!A$4:A$85,0))*(1+Paramètres!$B$4*(C590-1)+Paramètres!$B$5*(C590-1)^2),0)</f>
        <v>29</v>
      </c>
      <c r="S590">
        <f t="shared" si="76"/>
        <v>0</v>
      </c>
      <c r="T590" t="str">
        <f t="shared" si="77"/>
        <v>OK</v>
      </c>
      <c r="U590" s="25">
        <f t="shared" si="78"/>
        <v>23.5</v>
      </c>
      <c r="V590" t="str">
        <f t="shared" si="79"/>
        <v>OK</v>
      </c>
    </row>
    <row r="591" spans="1:22" ht="18" customHeight="1">
      <c r="A591" t="s">
        <v>182</v>
      </c>
      <c r="B591" t="s">
        <v>183</v>
      </c>
      <c r="C591">
        <v>8</v>
      </c>
      <c r="D591" t="s">
        <v>169</v>
      </c>
      <c r="E591" s="6">
        <f t="shared" si="72"/>
        <v>19</v>
      </c>
      <c r="F591" s="6">
        <f t="shared" si="73"/>
        <v>33</v>
      </c>
      <c r="G591" s="6">
        <f>ROUND(Catalogue!G33*SQRT((1+Paramètres!$B$4*(C591-1)+Paramètres!$B$5*(C591-1)^2)),0)</f>
        <v>0</v>
      </c>
      <c r="H591" s="6">
        <f>ROUND(Catalogue!H33*SQRT((1+Paramètres!$B$4*(C591-1)+Paramètres!$B$5*(C591-1)^2)),0)</f>
        <v>0</v>
      </c>
      <c r="I591" s="6">
        <v>3</v>
      </c>
      <c r="J591" s="6">
        <v>1</v>
      </c>
      <c r="K591" s="7">
        <v>4.8</v>
      </c>
      <c r="L591" s="9">
        <f t="shared" si="74"/>
        <v>26</v>
      </c>
      <c r="M591">
        <v>2</v>
      </c>
      <c r="N591">
        <v>8</v>
      </c>
      <c r="O591">
        <v>17</v>
      </c>
      <c r="P591" s="13" t="str">
        <f t="shared" si="75"/>
        <v>2d8 + 17</v>
      </c>
      <c r="Q591">
        <f>ROUND(INDEX(Catalogue!E$4:E$85,MATCH(A591,Catalogue!A$4:A$85,0))*(1+Paramètres!$B$4*(C591-1)+Paramètres!$B$5*(C591-1)^2),0)</f>
        <v>20</v>
      </c>
      <c r="R591">
        <f>ROUND(INDEX(Catalogue!F$4:F$85,MATCH(A591,Catalogue!A$4:A$85,0))*(1+Paramètres!$B$4*(C591-1)+Paramètres!$B$5*(C591-1)^2),0)</f>
        <v>33</v>
      </c>
      <c r="S591">
        <f t="shared" si="76"/>
        <v>-0.5</v>
      </c>
      <c r="T591" t="str">
        <f t="shared" si="77"/>
        <v>OK</v>
      </c>
      <c r="U591" s="25">
        <f t="shared" si="78"/>
        <v>26</v>
      </c>
      <c r="V591" t="str">
        <f t="shared" si="79"/>
        <v>OK</v>
      </c>
    </row>
    <row r="592" spans="1:22" ht="18" customHeight="1">
      <c r="A592" t="s">
        <v>182</v>
      </c>
      <c r="B592" t="s">
        <v>183</v>
      </c>
      <c r="C592">
        <v>9</v>
      </c>
      <c r="D592" t="s">
        <v>169</v>
      </c>
      <c r="E592" s="6">
        <f t="shared" si="72"/>
        <v>23</v>
      </c>
      <c r="F592" s="6">
        <f t="shared" si="73"/>
        <v>38</v>
      </c>
      <c r="G592" s="6">
        <f>ROUND(Catalogue!G33*SQRT((1+Paramètres!$B$4*(C592-1)+Paramètres!$B$5*(C592-1)^2)),0)</f>
        <v>0</v>
      </c>
      <c r="H592" s="6">
        <f>ROUND(Catalogue!H33*SQRT((1+Paramètres!$B$4*(C592-1)+Paramètres!$B$5*(C592-1)^2)),0)</f>
        <v>0</v>
      </c>
      <c r="I592" s="6">
        <v>3</v>
      </c>
      <c r="J592" s="6">
        <v>1</v>
      </c>
      <c r="K592" s="7">
        <v>4.8</v>
      </c>
      <c r="L592" s="9">
        <f t="shared" si="74"/>
        <v>30.5</v>
      </c>
      <c r="M592">
        <v>3</v>
      </c>
      <c r="N592">
        <v>6</v>
      </c>
      <c r="O592">
        <v>20</v>
      </c>
      <c r="P592" s="13" t="str">
        <f t="shared" si="75"/>
        <v>3d6 + 20</v>
      </c>
      <c r="Q592">
        <f>ROUND(INDEX(Catalogue!E$4:E$85,MATCH(A592,Catalogue!A$4:A$85,0))*(1+Paramètres!$B$4*(C592-1)+Paramètres!$B$5*(C592-1)^2),0)</f>
        <v>23</v>
      </c>
      <c r="R592">
        <f>ROUND(INDEX(Catalogue!F$4:F$85,MATCH(A592,Catalogue!A$4:A$85,0))*(1+Paramètres!$B$4*(C592-1)+Paramètres!$B$5*(C592-1)^2),0)</f>
        <v>38</v>
      </c>
      <c r="S592">
        <f t="shared" si="76"/>
        <v>0</v>
      </c>
      <c r="T592" t="str">
        <f t="shared" si="77"/>
        <v>OK</v>
      </c>
      <c r="U592" s="25">
        <f t="shared" si="78"/>
        <v>30.5</v>
      </c>
      <c r="V592" t="str">
        <f t="shared" si="79"/>
        <v>OK</v>
      </c>
    </row>
    <row r="593" spans="1:22" ht="18" customHeight="1">
      <c r="A593" t="s">
        <v>182</v>
      </c>
      <c r="B593" t="s">
        <v>183</v>
      </c>
      <c r="C593">
        <v>10</v>
      </c>
      <c r="D593" t="s">
        <v>169</v>
      </c>
      <c r="E593" s="6">
        <f t="shared" si="72"/>
        <v>25</v>
      </c>
      <c r="F593" s="6">
        <f t="shared" si="73"/>
        <v>44</v>
      </c>
      <c r="G593" s="6">
        <f>ROUND(Catalogue!G33*SQRT((1+Paramètres!$B$4*(C593-1)+Paramètres!$B$5*(C593-1)^2)),0)</f>
        <v>0</v>
      </c>
      <c r="H593" s="6">
        <f>ROUND(Catalogue!H33*SQRT((1+Paramètres!$B$4*(C593-1)+Paramètres!$B$5*(C593-1)^2)),0)</f>
        <v>0</v>
      </c>
      <c r="I593" s="6">
        <v>3</v>
      </c>
      <c r="J593" s="6">
        <v>1</v>
      </c>
      <c r="K593" s="7">
        <v>4.8</v>
      </c>
      <c r="L593" s="9">
        <f t="shared" si="74"/>
        <v>34.5</v>
      </c>
      <c r="M593">
        <v>1</v>
      </c>
      <c r="N593">
        <v>20</v>
      </c>
      <c r="O593">
        <v>24</v>
      </c>
      <c r="P593" s="13" t="str">
        <f t="shared" si="75"/>
        <v>1d20 + 24</v>
      </c>
      <c r="Q593">
        <f>ROUND(INDEX(Catalogue!E$4:E$85,MATCH(A593,Catalogue!A$4:A$85,0))*(1+Paramètres!$B$4*(C593-1)+Paramètres!$B$5*(C593-1)^2),0)</f>
        <v>26</v>
      </c>
      <c r="R593">
        <f>ROUND(INDEX(Catalogue!F$4:F$85,MATCH(A593,Catalogue!A$4:A$85,0))*(1+Paramètres!$B$4*(C593-1)+Paramètres!$B$5*(C593-1)^2),0)</f>
        <v>43</v>
      </c>
      <c r="S593">
        <f t="shared" si="76"/>
        <v>0</v>
      </c>
      <c r="T593" t="str">
        <f t="shared" si="77"/>
        <v>OK</v>
      </c>
      <c r="U593" s="25">
        <f t="shared" si="78"/>
        <v>34.5</v>
      </c>
      <c r="V593" t="str">
        <f t="shared" si="79"/>
        <v>OK</v>
      </c>
    </row>
    <row r="594" spans="1:22" ht="18" customHeight="1">
      <c r="A594" t="s">
        <v>182</v>
      </c>
      <c r="B594" t="s">
        <v>183</v>
      </c>
      <c r="C594">
        <v>11</v>
      </c>
      <c r="D594" t="s">
        <v>169</v>
      </c>
      <c r="E594" s="6">
        <f t="shared" si="72"/>
        <v>29</v>
      </c>
      <c r="F594" s="6">
        <f t="shared" si="73"/>
        <v>48</v>
      </c>
      <c r="G594" s="6">
        <f>ROUND(Catalogue!G33*SQRT((1+Paramètres!$B$4*(C594-1)+Paramètres!$B$5*(C594-1)^2)),0)</f>
        <v>0</v>
      </c>
      <c r="H594" s="6">
        <f>ROUND(Catalogue!H33*SQRT((1+Paramètres!$B$4*(C594-1)+Paramètres!$B$5*(C594-1)^2)),0)</f>
        <v>0</v>
      </c>
      <c r="I594" s="6">
        <v>3</v>
      </c>
      <c r="J594" s="6">
        <v>1</v>
      </c>
      <c r="K594" s="7">
        <v>4.8</v>
      </c>
      <c r="L594" s="9">
        <f t="shared" si="74"/>
        <v>38.5</v>
      </c>
      <c r="M594">
        <v>1</v>
      </c>
      <c r="N594">
        <v>20</v>
      </c>
      <c r="O594">
        <v>28</v>
      </c>
      <c r="P594" s="13" t="str">
        <f t="shared" si="75"/>
        <v>1d20 + 28</v>
      </c>
      <c r="Q594">
        <f>ROUND(INDEX(Catalogue!E$4:E$85,MATCH(A594,Catalogue!A$4:A$85,0))*(1+Paramètres!$B$4*(C594-1)+Paramètres!$B$5*(C594-1)^2),0)</f>
        <v>30</v>
      </c>
      <c r="R594">
        <f>ROUND(INDEX(Catalogue!F$4:F$85,MATCH(A594,Catalogue!A$4:A$85,0))*(1+Paramètres!$B$4*(C594-1)+Paramètres!$B$5*(C594-1)^2),0)</f>
        <v>48</v>
      </c>
      <c r="S594">
        <f t="shared" si="76"/>
        <v>-0.5</v>
      </c>
      <c r="T594" t="str">
        <f t="shared" si="77"/>
        <v>OK</v>
      </c>
      <c r="U594" s="25">
        <f t="shared" si="78"/>
        <v>38.5</v>
      </c>
      <c r="V594" t="str">
        <f t="shared" si="79"/>
        <v>OK</v>
      </c>
    </row>
    <row r="595" spans="1:22" ht="18" customHeight="1">
      <c r="A595" t="s">
        <v>182</v>
      </c>
      <c r="B595" t="s">
        <v>183</v>
      </c>
      <c r="C595">
        <v>12</v>
      </c>
      <c r="D595" t="s">
        <v>169</v>
      </c>
      <c r="E595" s="6">
        <f t="shared" si="72"/>
        <v>34</v>
      </c>
      <c r="F595" s="6">
        <f t="shared" si="73"/>
        <v>53</v>
      </c>
      <c r="G595" s="6">
        <f>ROUND(Catalogue!G33*SQRT((1+Paramètres!$B$4*(C595-1)+Paramètres!$B$5*(C595-1)^2)),0)</f>
        <v>0</v>
      </c>
      <c r="H595" s="6">
        <f>ROUND(Catalogue!H33*SQRT((1+Paramètres!$B$4*(C595-1)+Paramètres!$B$5*(C595-1)^2)),0)</f>
        <v>0</v>
      </c>
      <c r="I595" s="6">
        <v>3</v>
      </c>
      <c r="J595" s="6">
        <v>1</v>
      </c>
      <c r="K595" s="7">
        <v>4.8</v>
      </c>
      <c r="L595" s="9">
        <f t="shared" si="74"/>
        <v>43.5</v>
      </c>
      <c r="M595">
        <v>1</v>
      </c>
      <c r="N595">
        <v>20</v>
      </c>
      <c r="O595">
        <v>33</v>
      </c>
      <c r="P595" s="13" t="str">
        <f t="shared" si="75"/>
        <v>1d20 + 33</v>
      </c>
      <c r="Q595">
        <f>ROUND(INDEX(Catalogue!E$4:E$85,MATCH(A595,Catalogue!A$4:A$85,0))*(1+Paramètres!$B$4*(C595-1)+Paramètres!$B$5*(C595-1)^2),0)</f>
        <v>33</v>
      </c>
      <c r="R595">
        <f>ROUND(INDEX(Catalogue!F$4:F$85,MATCH(A595,Catalogue!A$4:A$85,0))*(1+Paramètres!$B$4*(C595-1)+Paramètres!$B$5*(C595-1)^2),0)</f>
        <v>54</v>
      </c>
      <c r="S595">
        <f t="shared" si="76"/>
        <v>0</v>
      </c>
      <c r="T595" t="str">
        <f t="shared" si="77"/>
        <v>OK</v>
      </c>
      <c r="U595" s="25">
        <f t="shared" si="78"/>
        <v>43.5</v>
      </c>
      <c r="V595" t="str">
        <f t="shared" si="79"/>
        <v>OK</v>
      </c>
    </row>
    <row r="596" spans="1:22" ht="18" customHeight="1">
      <c r="A596" t="s">
        <v>182</v>
      </c>
      <c r="B596" t="s">
        <v>183</v>
      </c>
      <c r="C596">
        <v>13</v>
      </c>
      <c r="D596" t="s">
        <v>169</v>
      </c>
      <c r="E596" s="6">
        <f t="shared" si="72"/>
        <v>37</v>
      </c>
      <c r="F596" s="6">
        <f t="shared" si="73"/>
        <v>59</v>
      </c>
      <c r="G596" s="6">
        <f>ROUND(Catalogue!G33*SQRT((1+Paramètres!$B$4*(C596-1)+Paramètres!$B$5*(C596-1)^2)),0)</f>
        <v>0</v>
      </c>
      <c r="H596" s="6">
        <f>ROUND(Catalogue!H33*SQRT((1+Paramètres!$B$4*(C596-1)+Paramètres!$B$5*(C596-1)^2)),0)</f>
        <v>0</v>
      </c>
      <c r="I596" s="6">
        <v>3</v>
      </c>
      <c r="J596" s="6">
        <v>1</v>
      </c>
      <c r="K596" s="7">
        <v>4.8</v>
      </c>
      <c r="L596" s="9">
        <f t="shared" si="74"/>
        <v>48</v>
      </c>
      <c r="M596">
        <v>2</v>
      </c>
      <c r="N596">
        <v>12</v>
      </c>
      <c r="O596">
        <v>35</v>
      </c>
      <c r="P596" s="13" t="str">
        <f t="shared" si="75"/>
        <v>2d12 + 35</v>
      </c>
      <c r="Q596">
        <f>ROUND(INDEX(Catalogue!E$4:E$85,MATCH(A596,Catalogue!A$4:A$85,0))*(1+Paramètres!$B$4*(C596-1)+Paramètres!$B$5*(C596-1)^2),0)</f>
        <v>37</v>
      </c>
      <c r="R596">
        <f>ROUND(INDEX(Catalogue!F$4:F$85,MATCH(A596,Catalogue!A$4:A$85,0))*(1+Paramètres!$B$4*(C596-1)+Paramètres!$B$5*(C596-1)^2),0)</f>
        <v>60</v>
      </c>
      <c r="S596">
        <f t="shared" si="76"/>
        <v>-0.5</v>
      </c>
      <c r="T596" t="str">
        <f t="shared" si="77"/>
        <v>OK</v>
      </c>
      <c r="U596" s="25">
        <f t="shared" si="78"/>
        <v>48</v>
      </c>
      <c r="V596" t="str">
        <f t="shared" si="79"/>
        <v>OK</v>
      </c>
    </row>
    <row r="597" spans="1:22" ht="18" customHeight="1">
      <c r="A597" t="s">
        <v>182</v>
      </c>
      <c r="B597" t="s">
        <v>183</v>
      </c>
      <c r="C597">
        <v>14</v>
      </c>
      <c r="D597" t="s">
        <v>169</v>
      </c>
      <c r="E597" s="6">
        <f t="shared" si="72"/>
        <v>40</v>
      </c>
      <c r="F597" s="6">
        <f t="shared" si="73"/>
        <v>67</v>
      </c>
      <c r="G597" s="6">
        <f>ROUND(Catalogue!G33*SQRT((1+Paramètres!$B$4*(C597-1)+Paramètres!$B$5*(C597-1)^2)),0)</f>
        <v>0</v>
      </c>
      <c r="H597" s="6">
        <f>ROUND(Catalogue!H33*SQRT((1+Paramètres!$B$4*(C597-1)+Paramètres!$B$5*(C597-1)^2)),0)</f>
        <v>0</v>
      </c>
      <c r="I597" s="6">
        <v>3</v>
      </c>
      <c r="J597" s="6">
        <v>1</v>
      </c>
      <c r="K597" s="7">
        <v>4.8</v>
      </c>
      <c r="L597" s="9">
        <f t="shared" si="74"/>
        <v>53.5</v>
      </c>
      <c r="M597">
        <v>3</v>
      </c>
      <c r="N597">
        <v>10</v>
      </c>
      <c r="O597">
        <v>37</v>
      </c>
      <c r="P597" s="13" t="str">
        <f t="shared" si="75"/>
        <v>3d10 + 37</v>
      </c>
      <c r="Q597">
        <f>ROUND(INDEX(Catalogue!E$4:E$85,MATCH(A597,Catalogue!A$4:A$85,0))*(1+Paramètres!$B$4*(C597-1)+Paramètres!$B$5*(C597-1)^2),0)</f>
        <v>41</v>
      </c>
      <c r="R597">
        <f>ROUND(INDEX(Catalogue!F$4:F$85,MATCH(A597,Catalogue!A$4:A$85,0))*(1+Paramètres!$B$4*(C597-1)+Paramètres!$B$5*(C597-1)^2),0)</f>
        <v>67</v>
      </c>
      <c r="S597">
        <f t="shared" si="76"/>
        <v>-0.5</v>
      </c>
      <c r="T597" t="str">
        <f t="shared" si="77"/>
        <v>OK</v>
      </c>
      <c r="U597" s="25">
        <f t="shared" si="78"/>
        <v>53.5</v>
      </c>
      <c r="V597" t="str">
        <f t="shared" si="79"/>
        <v>OK</v>
      </c>
    </row>
    <row r="598" spans="1:22" ht="18" customHeight="1">
      <c r="A598" t="s">
        <v>182</v>
      </c>
      <c r="B598" t="s">
        <v>183</v>
      </c>
      <c r="C598">
        <v>15</v>
      </c>
      <c r="D598" t="s">
        <v>169</v>
      </c>
      <c r="E598" s="6">
        <f t="shared" si="72"/>
        <v>45</v>
      </c>
      <c r="F598" s="6">
        <f t="shared" si="73"/>
        <v>73</v>
      </c>
      <c r="G598" s="6">
        <f>ROUND(Catalogue!G33*SQRT((1+Paramètres!$B$4*(C598-1)+Paramètres!$B$5*(C598-1)^2)),0)</f>
        <v>0</v>
      </c>
      <c r="H598" s="6">
        <f>ROUND(Catalogue!H33*SQRT((1+Paramètres!$B$4*(C598-1)+Paramètres!$B$5*(C598-1)^2)),0)</f>
        <v>0</v>
      </c>
      <c r="I598" s="6">
        <v>3</v>
      </c>
      <c r="J598" s="6">
        <v>1</v>
      </c>
      <c r="K598" s="7">
        <v>4.8</v>
      </c>
      <c r="L598" s="9">
        <f t="shared" si="74"/>
        <v>59</v>
      </c>
      <c r="M598">
        <v>4</v>
      </c>
      <c r="N598">
        <v>8</v>
      </c>
      <c r="O598">
        <v>41</v>
      </c>
      <c r="P598" s="13" t="str">
        <f t="shared" si="75"/>
        <v>4d8 + 41</v>
      </c>
      <c r="Q598">
        <f>ROUND(INDEX(Catalogue!E$4:E$85,MATCH(A598,Catalogue!A$4:A$85,0))*(1+Paramètres!$B$4*(C598-1)+Paramètres!$B$5*(C598-1)^2),0)</f>
        <v>45</v>
      </c>
      <c r="R598">
        <f>ROUND(INDEX(Catalogue!F$4:F$85,MATCH(A598,Catalogue!A$4:A$85,0))*(1+Paramètres!$B$4*(C598-1)+Paramètres!$B$5*(C598-1)^2),0)</f>
        <v>74</v>
      </c>
      <c r="S598">
        <f t="shared" si="76"/>
        <v>-0.5</v>
      </c>
      <c r="T598" t="str">
        <f t="shared" si="77"/>
        <v>OK</v>
      </c>
      <c r="U598" s="25">
        <f t="shared" si="78"/>
        <v>59</v>
      </c>
      <c r="V598" t="str">
        <f t="shared" si="79"/>
        <v>OK</v>
      </c>
    </row>
    <row r="599" spans="1:22" ht="18" customHeight="1">
      <c r="A599" t="s">
        <v>182</v>
      </c>
      <c r="B599" t="s">
        <v>183</v>
      </c>
      <c r="C599">
        <v>16</v>
      </c>
      <c r="D599" t="s">
        <v>169</v>
      </c>
      <c r="E599" s="6">
        <f t="shared" si="72"/>
        <v>50</v>
      </c>
      <c r="F599" s="6">
        <f t="shared" si="73"/>
        <v>80</v>
      </c>
      <c r="G599" s="6">
        <f>ROUND(Catalogue!G33*SQRT((1+Paramètres!$B$4*(C599-1)+Paramètres!$B$5*(C599-1)^2)),0)</f>
        <v>0</v>
      </c>
      <c r="H599" s="6">
        <f>ROUND(Catalogue!H33*SQRT((1+Paramètres!$B$4*(C599-1)+Paramètres!$B$5*(C599-1)^2)),0)</f>
        <v>0</v>
      </c>
      <c r="I599" s="6">
        <v>3</v>
      </c>
      <c r="J599" s="6">
        <v>1</v>
      </c>
      <c r="K599" s="7">
        <v>4.8</v>
      </c>
      <c r="L599" s="9">
        <f t="shared" si="74"/>
        <v>65</v>
      </c>
      <c r="M599">
        <v>6</v>
      </c>
      <c r="N599">
        <v>6</v>
      </c>
      <c r="O599">
        <v>44</v>
      </c>
      <c r="P599" s="13" t="str">
        <f t="shared" si="75"/>
        <v>6d6 + 44</v>
      </c>
      <c r="Q599">
        <f>ROUND(INDEX(Catalogue!E$4:E$85,MATCH(A599,Catalogue!A$4:A$85,0))*(1+Paramètres!$B$4*(C599-1)+Paramètres!$B$5*(C599-1)^2),0)</f>
        <v>50</v>
      </c>
      <c r="R599">
        <f>ROUND(INDEX(Catalogue!F$4:F$85,MATCH(A599,Catalogue!A$4:A$85,0))*(1+Paramètres!$B$4*(C599-1)+Paramètres!$B$5*(C599-1)^2),0)</f>
        <v>81</v>
      </c>
      <c r="S599">
        <f t="shared" si="76"/>
        <v>-0.5</v>
      </c>
      <c r="T599" t="str">
        <f t="shared" si="77"/>
        <v>OK</v>
      </c>
      <c r="U599" s="25">
        <f t="shared" si="78"/>
        <v>65</v>
      </c>
      <c r="V599" t="str">
        <f t="shared" si="79"/>
        <v>OK</v>
      </c>
    </row>
    <row r="600" spans="1:22" ht="18" customHeight="1">
      <c r="A600" t="s">
        <v>182</v>
      </c>
      <c r="B600" t="s">
        <v>183</v>
      </c>
      <c r="C600">
        <v>17</v>
      </c>
      <c r="D600" t="s">
        <v>169</v>
      </c>
      <c r="E600" s="6">
        <f t="shared" si="72"/>
        <v>53</v>
      </c>
      <c r="F600" s="6">
        <f t="shared" si="73"/>
        <v>91</v>
      </c>
      <c r="G600" s="6">
        <f>ROUND(Catalogue!G33*SQRT((1+Paramètres!$B$4*(C600-1)+Paramètres!$B$5*(C600-1)^2)),0)</f>
        <v>0</v>
      </c>
      <c r="H600" s="6">
        <f>ROUND(Catalogue!H33*SQRT((1+Paramètres!$B$4*(C600-1)+Paramètres!$B$5*(C600-1)^2)),0)</f>
        <v>0</v>
      </c>
      <c r="I600" s="6">
        <v>3</v>
      </c>
      <c r="J600" s="6">
        <v>1</v>
      </c>
      <c r="K600" s="7">
        <v>4.8</v>
      </c>
      <c r="L600" s="9">
        <f t="shared" si="74"/>
        <v>72</v>
      </c>
      <c r="M600">
        <v>2</v>
      </c>
      <c r="N600">
        <v>20</v>
      </c>
      <c r="O600">
        <v>51</v>
      </c>
      <c r="P600" s="13" t="str">
        <f t="shared" si="75"/>
        <v>2d20 + 51</v>
      </c>
      <c r="Q600">
        <f>ROUND(INDEX(Catalogue!E$4:E$85,MATCH(A600,Catalogue!A$4:A$85,0))*(1+Paramètres!$B$4*(C600-1)+Paramètres!$B$5*(C600-1)^2),0)</f>
        <v>55</v>
      </c>
      <c r="R600">
        <f>ROUND(INDEX(Catalogue!F$4:F$85,MATCH(A600,Catalogue!A$4:A$85,0))*(1+Paramètres!$B$4*(C600-1)+Paramètres!$B$5*(C600-1)^2),0)</f>
        <v>89</v>
      </c>
      <c r="S600">
        <f t="shared" si="76"/>
        <v>0</v>
      </c>
      <c r="T600" t="str">
        <f t="shared" si="77"/>
        <v>OK</v>
      </c>
      <c r="U600" s="25">
        <f t="shared" si="78"/>
        <v>72</v>
      </c>
      <c r="V600" t="str">
        <f t="shared" si="79"/>
        <v>OK</v>
      </c>
    </row>
    <row r="601" spans="1:22" ht="18" customHeight="1">
      <c r="A601" t="s">
        <v>182</v>
      </c>
      <c r="B601" t="s">
        <v>183</v>
      </c>
      <c r="C601">
        <v>18</v>
      </c>
      <c r="D601" t="s">
        <v>169</v>
      </c>
      <c r="E601" s="6">
        <f t="shared" si="72"/>
        <v>59</v>
      </c>
      <c r="F601" s="6">
        <f t="shared" si="73"/>
        <v>97</v>
      </c>
      <c r="G601" s="6">
        <f>ROUND(Catalogue!G33*SQRT((1+Paramètres!$B$4*(C601-1)+Paramètres!$B$5*(C601-1)^2)),0)</f>
        <v>0</v>
      </c>
      <c r="H601" s="6">
        <f>ROUND(Catalogue!H33*SQRT((1+Paramètres!$B$4*(C601-1)+Paramètres!$B$5*(C601-1)^2)),0)</f>
        <v>0</v>
      </c>
      <c r="I601" s="6">
        <v>3</v>
      </c>
      <c r="J601" s="6">
        <v>1</v>
      </c>
      <c r="K601" s="7">
        <v>4.8</v>
      </c>
      <c r="L601" s="9">
        <f t="shared" si="74"/>
        <v>78</v>
      </c>
      <c r="M601">
        <v>2</v>
      </c>
      <c r="N601">
        <v>20</v>
      </c>
      <c r="O601">
        <v>57</v>
      </c>
      <c r="P601" s="13" t="str">
        <f t="shared" si="75"/>
        <v>2d20 + 57</v>
      </c>
      <c r="Q601">
        <f>ROUND(INDEX(Catalogue!E$4:E$85,MATCH(A601,Catalogue!A$4:A$85,0))*(1+Paramètres!$B$4*(C601-1)+Paramètres!$B$5*(C601-1)^2),0)</f>
        <v>60</v>
      </c>
      <c r="R601">
        <f>ROUND(INDEX(Catalogue!F$4:F$85,MATCH(A601,Catalogue!A$4:A$85,0))*(1+Paramètres!$B$4*(C601-1)+Paramètres!$B$5*(C601-1)^2),0)</f>
        <v>97</v>
      </c>
      <c r="S601">
        <f t="shared" si="76"/>
        <v>-0.5</v>
      </c>
      <c r="T601" t="str">
        <f t="shared" si="77"/>
        <v>OK</v>
      </c>
      <c r="U601" s="25">
        <f t="shared" si="78"/>
        <v>78</v>
      </c>
      <c r="V601" t="str">
        <f t="shared" si="79"/>
        <v>OK</v>
      </c>
    </row>
    <row r="602" spans="1:22" ht="18" customHeight="1">
      <c r="A602" t="s">
        <v>182</v>
      </c>
      <c r="B602" t="s">
        <v>183</v>
      </c>
      <c r="C602">
        <v>19</v>
      </c>
      <c r="D602" t="s">
        <v>169</v>
      </c>
      <c r="E602" s="6">
        <f t="shared" si="72"/>
        <v>66</v>
      </c>
      <c r="F602" s="6">
        <f t="shared" si="73"/>
        <v>104</v>
      </c>
      <c r="G602" s="6">
        <f>ROUND(Catalogue!G33*SQRT((1+Paramètres!$B$4*(C602-1)+Paramètres!$B$5*(C602-1)^2)),0)</f>
        <v>0</v>
      </c>
      <c r="H602" s="6">
        <f>ROUND(Catalogue!H33*SQRT((1+Paramètres!$B$4*(C602-1)+Paramètres!$B$5*(C602-1)^2)),0)</f>
        <v>0</v>
      </c>
      <c r="I602" s="6">
        <v>3</v>
      </c>
      <c r="J602" s="6">
        <v>1</v>
      </c>
      <c r="K602" s="7">
        <v>4.8</v>
      </c>
      <c r="L602" s="9">
        <f t="shared" si="74"/>
        <v>85</v>
      </c>
      <c r="M602">
        <v>2</v>
      </c>
      <c r="N602">
        <v>20</v>
      </c>
      <c r="O602">
        <v>64</v>
      </c>
      <c r="P602" s="13" t="str">
        <f t="shared" si="75"/>
        <v>2d20 + 64</v>
      </c>
      <c r="Q602">
        <f>ROUND(INDEX(Catalogue!E$4:E$85,MATCH(A602,Catalogue!A$4:A$85,0))*(1+Paramètres!$B$4*(C602-1)+Paramètres!$B$5*(C602-1)^2),0)</f>
        <v>65</v>
      </c>
      <c r="R602">
        <f>ROUND(INDEX(Catalogue!F$4:F$85,MATCH(A602,Catalogue!A$4:A$85,0))*(1+Paramètres!$B$4*(C602-1)+Paramètres!$B$5*(C602-1)^2),0)</f>
        <v>106</v>
      </c>
      <c r="S602">
        <f t="shared" si="76"/>
        <v>-0.5</v>
      </c>
      <c r="T602" t="str">
        <f t="shared" si="77"/>
        <v>OK</v>
      </c>
      <c r="U602" s="25">
        <f t="shared" si="78"/>
        <v>85</v>
      </c>
      <c r="V602" t="str">
        <f t="shared" si="79"/>
        <v>OK</v>
      </c>
    </row>
    <row r="603" spans="1:22" ht="18" customHeight="1">
      <c r="A603" t="s">
        <v>182</v>
      </c>
      <c r="B603" t="s">
        <v>183</v>
      </c>
      <c r="C603">
        <v>20</v>
      </c>
      <c r="D603" t="s">
        <v>169</v>
      </c>
      <c r="E603" s="6">
        <f t="shared" si="72"/>
        <v>74</v>
      </c>
      <c r="F603" s="6">
        <f t="shared" si="73"/>
        <v>112</v>
      </c>
      <c r="G603" s="6">
        <f>ROUND(Catalogue!G33*SQRT((1+Paramètres!$B$4*(C603-1)+Paramètres!$B$5*(C603-1)^2)),0)</f>
        <v>0</v>
      </c>
      <c r="H603" s="6">
        <f>ROUND(Catalogue!H33*SQRT((1+Paramètres!$B$4*(C603-1)+Paramètres!$B$5*(C603-1)^2)),0)</f>
        <v>0</v>
      </c>
      <c r="I603" s="6">
        <v>3</v>
      </c>
      <c r="J603" s="6">
        <v>1</v>
      </c>
      <c r="K603" s="7">
        <v>4.8</v>
      </c>
      <c r="L603" s="9">
        <f t="shared" si="74"/>
        <v>93</v>
      </c>
      <c r="M603">
        <v>2</v>
      </c>
      <c r="N603">
        <v>20</v>
      </c>
      <c r="O603">
        <v>72</v>
      </c>
      <c r="P603" s="13" t="str">
        <f t="shared" si="75"/>
        <v>2d20 + 72</v>
      </c>
      <c r="Q603">
        <f>ROUND(INDEX(Catalogue!E$4:E$85,MATCH(A603,Catalogue!A$4:A$85,0))*(1+Paramètres!$B$4*(C603-1)+Paramètres!$B$5*(C603-1)^2),0)</f>
        <v>71</v>
      </c>
      <c r="R603">
        <f>ROUND(INDEX(Catalogue!F$4:F$85,MATCH(A603,Catalogue!A$4:A$85,0))*(1+Paramètres!$B$4*(C603-1)+Paramètres!$B$5*(C603-1)^2),0)</f>
        <v>115</v>
      </c>
      <c r="S603">
        <f t="shared" si="76"/>
        <v>0</v>
      </c>
      <c r="T603" t="str">
        <f t="shared" si="77"/>
        <v>OK</v>
      </c>
      <c r="U603" s="25">
        <f t="shared" si="78"/>
        <v>93</v>
      </c>
      <c r="V603" t="str">
        <f t="shared" si="79"/>
        <v>OK</v>
      </c>
    </row>
    <row r="604" spans="1:22" ht="18" customHeight="1">
      <c r="A604" t="s">
        <v>186</v>
      </c>
      <c r="B604" t="s">
        <v>187</v>
      </c>
      <c r="C604">
        <v>1</v>
      </c>
      <c r="D604" t="s">
        <v>169</v>
      </c>
      <c r="E604" s="6">
        <f t="shared" si="72"/>
        <v>8</v>
      </c>
      <c r="F604" s="6">
        <f t="shared" si="73"/>
        <v>13</v>
      </c>
      <c r="G604" s="6">
        <f>ROUND(Catalogue!G34*SQRT((1+Paramètres!$B$4*(C604-1)+Paramètres!$B$5*(C604-1)^2)),0)</f>
        <v>0</v>
      </c>
      <c r="H604" s="6">
        <f>ROUND(Catalogue!H34*SQRT((1+Paramètres!$B$4*(C604-1)+Paramètres!$B$5*(C604-1)^2)),0)</f>
        <v>0</v>
      </c>
      <c r="I604" s="6">
        <v>3</v>
      </c>
      <c r="J604" s="6">
        <v>1</v>
      </c>
      <c r="K604" s="7">
        <v>4.7</v>
      </c>
      <c r="L604" s="9">
        <f t="shared" si="74"/>
        <v>10.5</v>
      </c>
      <c r="M604">
        <v>1</v>
      </c>
      <c r="N604">
        <v>6</v>
      </c>
      <c r="O604">
        <v>7</v>
      </c>
      <c r="P604" s="13" t="str">
        <f t="shared" si="75"/>
        <v>1d6 + 7</v>
      </c>
      <c r="Q604">
        <f>ROUND(INDEX(Catalogue!E$4:E$85,MATCH(A604,Catalogue!A$4:A$85,0))*(1+Paramètres!$B$4*(C604-1)+Paramètres!$B$5*(C604-1)^2),0)</f>
        <v>8</v>
      </c>
      <c r="R604">
        <f>ROUND(INDEX(Catalogue!F$4:F$85,MATCH(A604,Catalogue!A$4:A$85,0))*(1+Paramètres!$B$4*(C604-1)+Paramètres!$B$5*(C604-1)^2),0)</f>
        <v>13</v>
      </c>
      <c r="S604">
        <f t="shared" si="76"/>
        <v>0</v>
      </c>
      <c r="T604" t="str">
        <f t="shared" si="77"/>
        <v>OK</v>
      </c>
      <c r="U604" s="25">
        <f t="shared" si="78"/>
        <v>10.5</v>
      </c>
      <c r="V604" t="str">
        <f t="shared" si="79"/>
        <v>OK</v>
      </c>
    </row>
    <row r="605" spans="1:22" ht="18" customHeight="1">
      <c r="A605" t="s">
        <v>186</v>
      </c>
      <c r="B605" t="s">
        <v>187</v>
      </c>
      <c r="C605">
        <v>2</v>
      </c>
      <c r="D605" t="s">
        <v>169</v>
      </c>
      <c r="E605" s="6">
        <f t="shared" si="72"/>
        <v>9</v>
      </c>
      <c r="F605" s="6">
        <f t="shared" si="73"/>
        <v>14</v>
      </c>
      <c r="G605" s="6">
        <f>ROUND(Catalogue!G34*SQRT((1+Paramètres!$B$4*(C605-1)+Paramètres!$B$5*(C605-1)^2)),0)</f>
        <v>0</v>
      </c>
      <c r="H605" s="6">
        <f>ROUND(Catalogue!H34*SQRT((1+Paramètres!$B$4*(C605-1)+Paramètres!$B$5*(C605-1)^2)),0)</f>
        <v>0</v>
      </c>
      <c r="I605" s="6">
        <v>3</v>
      </c>
      <c r="J605" s="6">
        <v>1</v>
      </c>
      <c r="K605" s="7">
        <v>4.7</v>
      </c>
      <c r="L605" s="9">
        <f t="shared" si="74"/>
        <v>11.5</v>
      </c>
      <c r="M605">
        <v>1</v>
      </c>
      <c r="N605">
        <v>6</v>
      </c>
      <c r="O605">
        <v>8</v>
      </c>
      <c r="P605" s="13" t="str">
        <f t="shared" si="75"/>
        <v>1d6 + 8</v>
      </c>
      <c r="Q605">
        <f>ROUND(INDEX(Catalogue!E$4:E$85,MATCH(A605,Catalogue!A$4:A$85,0))*(1+Paramètres!$B$4*(C605-1)+Paramètres!$B$5*(C605-1)^2),0)</f>
        <v>9</v>
      </c>
      <c r="R605">
        <f>ROUND(INDEX(Catalogue!F$4:F$85,MATCH(A605,Catalogue!A$4:A$85,0))*(1+Paramètres!$B$4*(C605-1)+Paramètres!$B$5*(C605-1)^2),0)</f>
        <v>15</v>
      </c>
      <c r="S605">
        <f t="shared" si="76"/>
        <v>-0.5</v>
      </c>
      <c r="T605" t="str">
        <f t="shared" si="77"/>
        <v>OK</v>
      </c>
      <c r="U605" s="25">
        <f t="shared" si="78"/>
        <v>11.5</v>
      </c>
      <c r="V605" t="str">
        <f t="shared" si="79"/>
        <v>OK</v>
      </c>
    </row>
    <row r="606" spans="1:22" ht="18" customHeight="1">
      <c r="A606" t="s">
        <v>186</v>
      </c>
      <c r="B606" t="s">
        <v>187</v>
      </c>
      <c r="C606">
        <v>3</v>
      </c>
      <c r="D606" t="s">
        <v>169</v>
      </c>
      <c r="E606" s="6">
        <f t="shared" si="72"/>
        <v>10</v>
      </c>
      <c r="F606" s="6">
        <f t="shared" si="73"/>
        <v>17</v>
      </c>
      <c r="G606" s="6">
        <f>ROUND(Catalogue!G34*SQRT((1+Paramètres!$B$4*(C606-1)+Paramètres!$B$5*(C606-1)^2)),0)</f>
        <v>0</v>
      </c>
      <c r="H606" s="6">
        <f>ROUND(Catalogue!H34*SQRT((1+Paramètres!$B$4*(C606-1)+Paramètres!$B$5*(C606-1)^2)),0)</f>
        <v>0</v>
      </c>
      <c r="I606" s="6">
        <v>3</v>
      </c>
      <c r="J606" s="6">
        <v>1</v>
      </c>
      <c r="K606" s="7">
        <v>4.7</v>
      </c>
      <c r="L606" s="9">
        <f t="shared" si="74"/>
        <v>13.5</v>
      </c>
      <c r="M606">
        <v>1</v>
      </c>
      <c r="N606">
        <v>8</v>
      </c>
      <c r="O606">
        <v>9</v>
      </c>
      <c r="P606" s="13" t="str">
        <f t="shared" si="75"/>
        <v>1d8 + 9</v>
      </c>
      <c r="Q606">
        <f>ROUND(INDEX(Catalogue!E$4:E$85,MATCH(A606,Catalogue!A$4:A$85,0))*(1+Paramètres!$B$4*(C606-1)+Paramètres!$B$5*(C606-1)^2),0)</f>
        <v>10</v>
      </c>
      <c r="R606">
        <f>ROUND(INDEX(Catalogue!F$4:F$85,MATCH(A606,Catalogue!A$4:A$85,0))*(1+Paramètres!$B$4*(C606-1)+Paramètres!$B$5*(C606-1)^2),0)</f>
        <v>17</v>
      </c>
      <c r="S606">
        <f t="shared" si="76"/>
        <v>0</v>
      </c>
      <c r="T606" t="str">
        <f t="shared" si="77"/>
        <v>OK</v>
      </c>
      <c r="U606" s="25">
        <f t="shared" si="78"/>
        <v>13.5</v>
      </c>
      <c r="V606" t="str">
        <f t="shared" si="79"/>
        <v>OK</v>
      </c>
    </row>
    <row r="607" spans="1:22" ht="18" customHeight="1">
      <c r="A607" t="s">
        <v>186</v>
      </c>
      <c r="B607" t="s">
        <v>187</v>
      </c>
      <c r="C607">
        <v>4</v>
      </c>
      <c r="D607" t="s">
        <v>169</v>
      </c>
      <c r="E607" s="6">
        <f t="shared" si="72"/>
        <v>12</v>
      </c>
      <c r="F607" s="6">
        <f t="shared" si="73"/>
        <v>19</v>
      </c>
      <c r="G607" s="6">
        <f>ROUND(Catalogue!G34*SQRT((1+Paramètres!$B$4*(C607-1)+Paramètres!$B$5*(C607-1)^2)),0)</f>
        <v>0</v>
      </c>
      <c r="H607" s="6">
        <f>ROUND(Catalogue!H34*SQRT((1+Paramètres!$B$4*(C607-1)+Paramètres!$B$5*(C607-1)^2)),0)</f>
        <v>0</v>
      </c>
      <c r="I607" s="6">
        <v>3</v>
      </c>
      <c r="J607" s="6">
        <v>1</v>
      </c>
      <c r="K607" s="7">
        <v>4.7</v>
      </c>
      <c r="L607" s="9">
        <f t="shared" si="74"/>
        <v>15.5</v>
      </c>
      <c r="M607">
        <v>1</v>
      </c>
      <c r="N607">
        <v>8</v>
      </c>
      <c r="O607">
        <v>11</v>
      </c>
      <c r="P607" s="13" t="str">
        <f t="shared" si="75"/>
        <v>1d8 + 11</v>
      </c>
      <c r="Q607">
        <f>ROUND(INDEX(Catalogue!E$4:E$85,MATCH(A607,Catalogue!A$4:A$85,0))*(1+Paramètres!$B$4*(C607-1)+Paramètres!$B$5*(C607-1)^2),0)</f>
        <v>12</v>
      </c>
      <c r="R607">
        <f>ROUND(INDEX(Catalogue!F$4:F$85,MATCH(A607,Catalogue!A$4:A$85,0))*(1+Paramètres!$B$4*(C607-1)+Paramètres!$B$5*(C607-1)^2),0)</f>
        <v>19</v>
      </c>
      <c r="S607">
        <f t="shared" si="76"/>
        <v>0</v>
      </c>
      <c r="T607" t="str">
        <f t="shared" si="77"/>
        <v>OK</v>
      </c>
      <c r="U607" s="25">
        <f t="shared" si="78"/>
        <v>15.5</v>
      </c>
      <c r="V607" t="str">
        <f t="shared" si="79"/>
        <v>OK</v>
      </c>
    </row>
    <row r="608" spans="1:22" ht="18" customHeight="1">
      <c r="A608" t="s">
        <v>186</v>
      </c>
      <c r="B608" t="s">
        <v>187</v>
      </c>
      <c r="C608">
        <v>5</v>
      </c>
      <c r="D608" t="s">
        <v>169</v>
      </c>
      <c r="E608" s="6">
        <f t="shared" si="72"/>
        <v>14</v>
      </c>
      <c r="F608" s="6">
        <f t="shared" si="73"/>
        <v>21</v>
      </c>
      <c r="G608" s="6">
        <f>ROUND(Catalogue!G34*SQRT((1+Paramètres!$B$4*(C608-1)+Paramètres!$B$5*(C608-1)^2)),0)</f>
        <v>0</v>
      </c>
      <c r="H608" s="6">
        <f>ROUND(Catalogue!H34*SQRT((1+Paramètres!$B$4*(C608-1)+Paramètres!$B$5*(C608-1)^2)),0)</f>
        <v>0</v>
      </c>
      <c r="I608" s="6">
        <v>3</v>
      </c>
      <c r="J608" s="6">
        <v>1</v>
      </c>
      <c r="K608" s="7">
        <v>4.7</v>
      </c>
      <c r="L608" s="9">
        <f t="shared" si="74"/>
        <v>17.5</v>
      </c>
      <c r="M608">
        <v>1</v>
      </c>
      <c r="N608">
        <v>8</v>
      </c>
      <c r="O608">
        <v>13</v>
      </c>
      <c r="P608" s="13" t="str">
        <f t="shared" si="75"/>
        <v>1d8 + 13</v>
      </c>
      <c r="Q608">
        <f>ROUND(INDEX(Catalogue!E$4:E$85,MATCH(A608,Catalogue!A$4:A$85,0))*(1+Paramètres!$B$4*(C608-1)+Paramètres!$B$5*(C608-1)^2),0)</f>
        <v>14</v>
      </c>
      <c r="R608">
        <f>ROUND(INDEX(Catalogue!F$4:F$85,MATCH(A608,Catalogue!A$4:A$85,0))*(1+Paramètres!$B$4*(C608-1)+Paramètres!$B$5*(C608-1)^2),0)</f>
        <v>22</v>
      </c>
      <c r="S608">
        <f t="shared" si="76"/>
        <v>-0.5</v>
      </c>
      <c r="T608" t="str">
        <f t="shared" si="77"/>
        <v>OK</v>
      </c>
      <c r="U608" s="25">
        <f t="shared" si="78"/>
        <v>17.5</v>
      </c>
      <c r="V608" t="str">
        <f t="shared" si="79"/>
        <v>OK</v>
      </c>
    </row>
    <row r="609" spans="1:22" ht="18" customHeight="1">
      <c r="A609" t="s">
        <v>186</v>
      </c>
      <c r="B609" t="s">
        <v>187</v>
      </c>
      <c r="C609">
        <v>6</v>
      </c>
      <c r="D609" t="s">
        <v>169</v>
      </c>
      <c r="E609" s="6">
        <f t="shared" si="72"/>
        <v>16</v>
      </c>
      <c r="F609" s="6">
        <f t="shared" si="73"/>
        <v>25</v>
      </c>
      <c r="G609" s="6">
        <f>ROUND(Catalogue!G34*SQRT((1+Paramètres!$B$4*(C609-1)+Paramètres!$B$5*(C609-1)^2)),0)</f>
        <v>0</v>
      </c>
      <c r="H609" s="6">
        <f>ROUND(Catalogue!H34*SQRT((1+Paramètres!$B$4*(C609-1)+Paramètres!$B$5*(C609-1)^2)),0)</f>
        <v>0</v>
      </c>
      <c r="I609" s="6">
        <v>3</v>
      </c>
      <c r="J609" s="6">
        <v>1</v>
      </c>
      <c r="K609" s="7">
        <v>4.7</v>
      </c>
      <c r="L609" s="9">
        <f t="shared" si="74"/>
        <v>20.5</v>
      </c>
      <c r="M609">
        <v>1</v>
      </c>
      <c r="N609">
        <v>10</v>
      </c>
      <c r="O609">
        <v>15</v>
      </c>
      <c r="P609" s="13" t="str">
        <f t="shared" si="75"/>
        <v>1d10 + 15</v>
      </c>
      <c r="Q609">
        <f>ROUND(INDEX(Catalogue!E$4:E$85,MATCH(A609,Catalogue!A$4:A$85,0))*(1+Paramètres!$B$4*(C609-1)+Paramètres!$B$5*(C609-1)^2),0)</f>
        <v>16</v>
      </c>
      <c r="R609">
        <f>ROUND(INDEX(Catalogue!F$4:F$85,MATCH(A609,Catalogue!A$4:A$85,0))*(1+Paramètres!$B$4*(C609-1)+Paramètres!$B$5*(C609-1)^2),0)</f>
        <v>25</v>
      </c>
      <c r="S609">
        <f t="shared" si="76"/>
        <v>0</v>
      </c>
      <c r="T609" t="str">
        <f t="shared" si="77"/>
        <v>OK</v>
      </c>
      <c r="U609" s="25">
        <f t="shared" si="78"/>
        <v>20.5</v>
      </c>
      <c r="V609" t="str">
        <f t="shared" si="79"/>
        <v>OK</v>
      </c>
    </row>
    <row r="610" spans="1:22" ht="18" customHeight="1">
      <c r="A610" t="s">
        <v>186</v>
      </c>
      <c r="B610" t="s">
        <v>187</v>
      </c>
      <c r="C610">
        <v>7</v>
      </c>
      <c r="D610" t="s">
        <v>169</v>
      </c>
      <c r="E610" s="6">
        <f t="shared" si="72"/>
        <v>18</v>
      </c>
      <c r="F610" s="6">
        <f t="shared" si="73"/>
        <v>29</v>
      </c>
      <c r="G610" s="6">
        <f>ROUND(Catalogue!G34*SQRT((1+Paramètres!$B$4*(C610-1)+Paramètres!$B$5*(C610-1)^2)),0)</f>
        <v>0</v>
      </c>
      <c r="H610" s="6">
        <f>ROUND(Catalogue!H34*SQRT((1+Paramètres!$B$4*(C610-1)+Paramètres!$B$5*(C610-1)^2)),0)</f>
        <v>0</v>
      </c>
      <c r="I610" s="6">
        <v>3</v>
      </c>
      <c r="J610" s="6">
        <v>1</v>
      </c>
      <c r="K610" s="7">
        <v>4.7</v>
      </c>
      <c r="L610" s="9">
        <f t="shared" si="74"/>
        <v>23.5</v>
      </c>
      <c r="M610">
        <v>1</v>
      </c>
      <c r="N610">
        <v>12</v>
      </c>
      <c r="O610">
        <v>17</v>
      </c>
      <c r="P610" s="13" t="str">
        <f t="shared" si="75"/>
        <v>1d12 + 17</v>
      </c>
      <c r="Q610">
        <f>ROUND(INDEX(Catalogue!E$4:E$85,MATCH(A610,Catalogue!A$4:A$85,0))*(1+Paramètres!$B$4*(C610-1)+Paramètres!$B$5*(C610-1)^2),0)</f>
        <v>18</v>
      </c>
      <c r="R610">
        <f>ROUND(INDEX(Catalogue!F$4:F$85,MATCH(A610,Catalogue!A$4:A$85,0))*(1+Paramètres!$B$4*(C610-1)+Paramètres!$B$5*(C610-1)^2),0)</f>
        <v>29</v>
      </c>
      <c r="S610">
        <f t="shared" si="76"/>
        <v>0</v>
      </c>
      <c r="T610" t="str">
        <f t="shared" si="77"/>
        <v>OK</v>
      </c>
      <c r="U610" s="25">
        <f t="shared" si="78"/>
        <v>23.5</v>
      </c>
      <c r="V610" t="str">
        <f t="shared" si="79"/>
        <v>OK</v>
      </c>
    </row>
    <row r="611" spans="1:22" ht="18" customHeight="1">
      <c r="A611" t="s">
        <v>186</v>
      </c>
      <c r="B611" t="s">
        <v>187</v>
      </c>
      <c r="C611">
        <v>8</v>
      </c>
      <c r="D611" t="s">
        <v>169</v>
      </c>
      <c r="E611" s="6">
        <f t="shared" si="72"/>
        <v>19</v>
      </c>
      <c r="F611" s="6">
        <f t="shared" si="73"/>
        <v>33</v>
      </c>
      <c r="G611" s="6">
        <f>ROUND(Catalogue!G34*SQRT((1+Paramètres!$B$4*(C611-1)+Paramètres!$B$5*(C611-1)^2)),0)</f>
        <v>0</v>
      </c>
      <c r="H611" s="6">
        <f>ROUND(Catalogue!H34*SQRT((1+Paramètres!$B$4*(C611-1)+Paramètres!$B$5*(C611-1)^2)),0)</f>
        <v>0</v>
      </c>
      <c r="I611" s="6">
        <v>3</v>
      </c>
      <c r="J611" s="6">
        <v>1</v>
      </c>
      <c r="K611" s="7">
        <v>4.7</v>
      </c>
      <c r="L611" s="9">
        <f t="shared" si="74"/>
        <v>26</v>
      </c>
      <c r="M611">
        <v>2</v>
      </c>
      <c r="N611">
        <v>8</v>
      </c>
      <c r="O611">
        <v>17</v>
      </c>
      <c r="P611" s="13" t="str">
        <f t="shared" si="75"/>
        <v>2d8 + 17</v>
      </c>
      <c r="Q611">
        <f>ROUND(INDEX(Catalogue!E$4:E$85,MATCH(A611,Catalogue!A$4:A$85,0))*(1+Paramètres!$B$4*(C611-1)+Paramètres!$B$5*(C611-1)^2),0)</f>
        <v>20</v>
      </c>
      <c r="R611">
        <f>ROUND(INDEX(Catalogue!F$4:F$85,MATCH(A611,Catalogue!A$4:A$85,0))*(1+Paramètres!$B$4*(C611-1)+Paramètres!$B$5*(C611-1)^2),0)</f>
        <v>33</v>
      </c>
      <c r="S611">
        <f t="shared" si="76"/>
        <v>-0.5</v>
      </c>
      <c r="T611" t="str">
        <f t="shared" si="77"/>
        <v>OK</v>
      </c>
      <c r="U611" s="25">
        <f t="shared" si="78"/>
        <v>26</v>
      </c>
      <c r="V611" t="str">
        <f t="shared" si="79"/>
        <v>OK</v>
      </c>
    </row>
    <row r="612" spans="1:22" ht="18" customHeight="1">
      <c r="A612" t="s">
        <v>186</v>
      </c>
      <c r="B612" t="s">
        <v>187</v>
      </c>
      <c r="C612">
        <v>9</v>
      </c>
      <c r="D612" t="s">
        <v>169</v>
      </c>
      <c r="E612" s="6">
        <f t="shared" si="72"/>
        <v>23</v>
      </c>
      <c r="F612" s="6">
        <f t="shared" si="73"/>
        <v>38</v>
      </c>
      <c r="G612" s="6">
        <f>ROUND(Catalogue!G34*SQRT((1+Paramètres!$B$4*(C612-1)+Paramètres!$B$5*(C612-1)^2)),0)</f>
        <v>0</v>
      </c>
      <c r="H612" s="6">
        <f>ROUND(Catalogue!H34*SQRT((1+Paramètres!$B$4*(C612-1)+Paramètres!$B$5*(C612-1)^2)),0)</f>
        <v>0</v>
      </c>
      <c r="I612" s="6">
        <v>3</v>
      </c>
      <c r="J612" s="6">
        <v>1</v>
      </c>
      <c r="K612" s="7">
        <v>4.7</v>
      </c>
      <c r="L612" s="9">
        <f t="shared" si="74"/>
        <v>30.5</v>
      </c>
      <c r="M612">
        <v>3</v>
      </c>
      <c r="N612">
        <v>6</v>
      </c>
      <c r="O612">
        <v>20</v>
      </c>
      <c r="P612" s="13" t="str">
        <f t="shared" si="75"/>
        <v>3d6 + 20</v>
      </c>
      <c r="Q612">
        <f>ROUND(INDEX(Catalogue!E$4:E$85,MATCH(A612,Catalogue!A$4:A$85,0))*(1+Paramètres!$B$4*(C612-1)+Paramètres!$B$5*(C612-1)^2),0)</f>
        <v>23</v>
      </c>
      <c r="R612">
        <f>ROUND(INDEX(Catalogue!F$4:F$85,MATCH(A612,Catalogue!A$4:A$85,0))*(1+Paramètres!$B$4*(C612-1)+Paramètres!$B$5*(C612-1)^2),0)</f>
        <v>38</v>
      </c>
      <c r="S612">
        <f t="shared" si="76"/>
        <v>0</v>
      </c>
      <c r="T612" t="str">
        <f t="shared" si="77"/>
        <v>OK</v>
      </c>
      <c r="U612" s="25">
        <f t="shared" si="78"/>
        <v>30.5</v>
      </c>
      <c r="V612" t="str">
        <f t="shared" si="79"/>
        <v>OK</v>
      </c>
    </row>
    <row r="613" spans="1:22" ht="18" customHeight="1">
      <c r="A613" t="s">
        <v>186</v>
      </c>
      <c r="B613" t="s">
        <v>187</v>
      </c>
      <c r="C613">
        <v>10</v>
      </c>
      <c r="D613" t="s">
        <v>169</v>
      </c>
      <c r="E613" s="6">
        <f t="shared" si="72"/>
        <v>26</v>
      </c>
      <c r="F613" s="6">
        <f t="shared" si="73"/>
        <v>44</v>
      </c>
      <c r="G613" s="6">
        <f>ROUND(Catalogue!G34*SQRT((1+Paramètres!$B$4*(C613-1)+Paramètres!$B$5*(C613-1)^2)),0)</f>
        <v>0</v>
      </c>
      <c r="H613" s="6">
        <f>ROUND(Catalogue!H34*SQRT((1+Paramètres!$B$4*(C613-1)+Paramètres!$B$5*(C613-1)^2)),0)</f>
        <v>0</v>
      </c>
      <c r="I613" s="6">
        <v>3</v>
      </c>
      <c r="J613" s="6">
        <v>1</v>
      </c>
      <c r="K613" s="7">
        <v>4.7</v>
      </c>
      <c r="L613" s="9">
        <f t="shared" si="74"/>
        <v>35</v>
      </c>
      <c r="M613">
        <v>2</v>
      </c>
      <c r="N613">
        <v>10</v>
      </c>
      <c r="O613">
        <v>24</v>
      </c>
      <c r="P613" s="13" t="str">
        <f t="shared" si="75"/>
        <v>2d10 + 24</v>
      </c>
      <c r="Q613">
        <f>ROUND(INDEX(Catalogue!E$4:E$85,MATCH(A613,Catalogue!A$4:A$85,0))*(1+Paramètres!$B$4*(C613-1)+Paramètres!$B$5*(C613-1)^2),0)</f>
        <v>26</v>
      </c>
      <c r="R613">
        <f>ROUND(INDEX(Catalogue!F$4:F$85,MATCH(A613,Catalogue!A$4:A$85,0))*(1+Paramètres!$B$4*(C613-1)+Paramètres!$B$5*(C613-1)^2),0)</f>
        <v>43</v>
      </c>
      <c r="S613">
        <f t="shared" si="76"/>
        <v>0.5</v>
      </c>
      <c r="T613" t="str">
        <f t="shared" si="77"/>
        <v>OK</v>
      </c>
      <c r="U613" s="25">
        <f t="shared" si="78"/>
        <v>35</v>
      </c>
      <c r="V613" t="str">
        <f t="shared" si="79"/>
        <v>OK</v>
      </c>
    </row>
    <row r="614" spans="1:22" ht="18" customHeight="1">
      <c r="A614" t="s">
        <v>186</v>
      </c>
      <c r="B614" t="s">
        <v>187</v>
      </c>
      <c r="C614">
        <v>11</v>
      </c>
      <c r="D614" t="s">
        <v>169</v>
      </c>
      <c r="E614" s="6">
        <f t="shared" si="72"/>
        <v>30</v>
      </c>
      <c r="F614" s="6">
        <f t="shared" si="73"/>
        <v>48</v>
      </c>
      <c r="G614" s="6">
        <f>ROUND(Catalogue!G34*SQRT((1+Paramètres!$B$4*(C614-1)+Paramètres!$B$5*(C614-1)^2)),0)</f>
        <v>0</v>
      </c>
      <c r="H614" s="6">
        <f>ROUND(Catalogue!H34*SQRT((1+Paramètres!$B$4*(C614-1)+Paramètres!$B$5*(C614-1)^2)),0)</f>
        <v>0</v>
      </c>
      <c r="I614" s="6">
        <v>3</v>
      </c>
      <c r="J614" s="6">
        <v>1</v>
      </c>
      <c r="K614" s="7">
        <v>4.7</v>
      </c>
      <c r="L614" s="9">
        <f t="shared" si="74"/>
        <v>39</v>
      </c>
      <c r="M614">
        <v>2</v>
      </c>
      <c r="N614">
        <v>10</v>
      </c>
      <c r="O614">
        <v>28</v>
      </c>
      <c r="P614" s="13" t="str">
        <f t="shared" si="75"/>
        <v>2d10 + 28</v>
      </c>
      <c r="Q614">
        <f>ROUND(INDEX(Catalogue!E$4:E$85,MATCH(A614,Catalogue!A$4:A$85,0))*(1+Paramètres!$B$4*(C614-1)+Paramètres!$B$5*(C614-1)^2),0)</f>
        <v>30</v>
      </c>
      <c r="R614">
        <f>ROUND(INDEX(Catalogue!F$4:F$85,MATCH(A614,Catalogue!A$4:A$85,0))*(1+Paramètres!$B$4*(C614-1)+Paramètres!$B$5*(C614-1)^2),0)</f>
        <v>48</v>
      </c>
      <c r="S614">
        <f t="shared" si="76"/>
        <v>0</v>
      </c>
      <c r="T614" t="str">
        <f t="shared" si="77"/>
        <v>OK</v>
      </c>
      <c r="U614" s="25">
        <f t="shared" si="78"/>
        <v>39</v>
      </c>
      <c r="V614" t="str">
        <f t="shared" si="79"/>
        <v>OK</v>
      </c>
    </row>
    <row r="615" spans="1:22" ht="18" customHeight="1">
      <c r="A615" t="s">
        <v>186</v>
      </c>
      <c r="B615" t="s">
        <v>187</v>
      </c>
      <c r="C615">
        <v>12</v>
      </c>
      <c r="D615" t="s">
        <v>169</v>
      </c>
      <c r="E615" s="6">
        <f t="shared" si="72"/>
        <v>33</v>
      </c>
      <c r="F615" s="6">
        <f t="shared" si="73"/>
        <v>54</v>
      </c>
      <c r="G615" s="6">
        <f>ROUND(Catalogue!G34*SQRT((1+Paramètres!$B$4*(C615-1)+Paramètres!$B$5*(C615-1)^2)),0)</f>
        <v>0</v>
      </c>
      <c r="H615" s="6">
        <f>ROUND(Catalogue!H34*SQRT((1+Paramètres!$B$4*(C615-1)+Paramètres!$B$5*(C615-1)^2)),0)</f>
        <v>0</v>
      </c>
      <c r="I615" s="6">
        <v>3</v>
      </c>
      <c r="J615" s="6">
        <v>1</v>
      </c>
      <c r="K615" s="7">
        <v>4.7</v>
      </c>
      <c r="L615" s="9">
        <f t="shared" si="74"/>
        <v>43.5</v>
      </c>
      <c r="M615">
        <v>3</v>
      </c>
      <c r="N615">
        <v>8</v>
      </c>
      <c r="O615">
        <v>30</v>
      </c>
      <c r="P615" s="13" t="str">
        <f t="shared" si="75"/>
        <v>3d8 + 30</v>
      </c>
      <c r="Q615">
        <f>ROUND(INDEX(Catalogue!E$4:E$85,MATCH(A615,Catalogue!A$4:A$85,0))*(1+Paramètres!$B$4*(C615-1)+Paramètres!$B$5*(C615-1)^2),0)</f>
        <v>33</v>
      </c>
      <c r="R615">
        <f>ROUND(INDEX(Catalogue!F$4:F$85,MATCH(A615,Catalogue!A$4:A$85,0))*(1+Paramètres!$B$4*(C615-1)+Paramètres!$B$5*(C615-1)^2),0)</f>
        <v>54</v>
      </c>
      <c r="S615">
        <f t="shared" si="76"/>
        <v>0</v>
      </c>
      <c r="T615" t="str">
        <f t="shared" si="77"/>
        <v>OK</v>
      </c>
      <c r="U615" s="25">
        <f t="shared" si="78"/>
        <v>43.5</v>
      </c>
      <c r="V615" t="str">
        <f t="shared" si="79"/>
        <v>OK</v>
      </c>
    </row>
    <row r="616" spans="1:22" ht="18" customHeight="1">
      <c r="A616" t="s">
        <v>186</v>
      </c>
      <c r="B616" t="s">
        <v>187</v>
      </c>
      <c r="C616">
        <v>13</v>
      </c>
      <c r="D616" t="s">
        <v>169</v>
      </c>
      <c r="E616" s="6">
        <f t="shared" si="72"/>
        <v>37</v>
      </c>
      <c r="F616" s="6">
        <f t="shared" si="73"/>
        <v>59</v>
      </c>
      <c r="G616" s="6">
        <f>ROUND(Catalogue!G34*SQRT((1+Paramètres!$B$4*(C616-1)+Paramètres!$B$5*(C616-1)^2)),0)</f>
        <v>0</v>
      </c>
      <c r="H616" s="6">
        <f>ROUND(Catalogue!H34*SQRT((1+Paramètres!$B$4*(C616-1)+Paramètres!$B$5*(C616-1)^2)),0)</f>
        <v>0</v>
      </c>
      <c r="I616" s="6">
        <v>3</v>
      </c>
      <c r="J616" s="6">
        <v>1</v>
      </c>
      <c r="K616" s="7">
        <v>4.7</v>
      </c>
      <c r="L616" s="9">
        <f t="shared" si="74"/>
        <v>48</v>
      </c>
      <c r="M616">
        <v>2</v>
      </c>
      <c r="N616">
        <v>12</v>
      </c>
      <c r="O616">
        <v>35</v>
      </c>
      <c r="P616" s="13" t="str">
        <f t="shared" si="75"/>
        <v>2d12 + 35</v>
      </c>
      <c r="Q616">
        <f>ROUND(INDEX(Catalogue!E$4:E$85,MATCH(A616,Catalogue!A$4:A$85,0))*(1+Paramètres!$B$4*(C616-1)+Paramètres!$B$5*(C616-1)^2),0)</f>
        <v>37</v>
      </c>
      <c r="R616">
        <f>ROUND(INDEX(Catalogue!F$4:F$85,MATCH(A616,Catalogue!A$4:A$85,0))*(1+Paramètres!$B$4*(C616-1)+Paramètres!$B$5*(C616-1)^2),0)</f>
        <v>60</v>
      </c>
      <c r="S616">
        <f t="shared" si="76"/>
        <v>-0.5</v>
      </c>
      <c r="T616" t="str">
        <f t="shared" si="77"/>
        <v>OK</v>
      </c>
      <c r="U616" s="25">
        <f t="shared" si="78"/>
        <v>48</v>
      </c>
      <c r="V616" t="str">
        <f t="shared" si="79"/>
        <v>OK</v>
      </c>
    </row>
    <row r="617" spans="1:22" ht="18" customHeight="1">
      <c r="A617" t="s">
        <v>186</v>
      </c>
      <c r="B617" t="s">
        <v>187</v>
      </c>
      <c r="C617">
        <v>14</v>
      </c>
      <c r="D617" t="s">
        <v>169</v>
      </c>
      <c r="E617" s="6">
        <f t="shared" si="72"/>
        <v>40</v>
      </c>
      <c r="F617" s="6">
        <f t="shared" si="73"/>
        <v>67</v>
      </c>
      <c r="G617" s="6">
        <f>ROUND(Catalogue!G34*SQRT((1+Paramètres!$B$4*(C617-1)+Paramètres!$B$5*(C617-1)^2)),0)</f>
        <v>0</v>
      </c>
      <c r="H617" s="6">
        <f>ROUND(Catalogue!H34*SQRT((1+Paramètres!$B$4*(C617-1)+Paramètres!$B$5*(C617-1)^2)),0)</f>
        <v>0</v>
      </c>
      <c r="I617" s="6">
        <v>3</v>
      </c>
      <c r="J617" s="6">
        <v>1</v>
      </c>
      <c r="K617" s="7">
        <v>4.7</v>
      </c>
      <c r="L617" s="9">
        <f t="shared" si="74"/>
        <v>53.5</v>
      </c>
      <c r="M617">
        <v>3</v>
      </c>
      <c r="N617">
        <v>10</v>
      </c>
      <c r="O617">
        <v>37</v>
      </c>
      <c r="P617" s="13" t="str">
        <f t="shared" si="75"/>
        <v>3d10 + 37</v>
      </c>
      <c r="Q617">
        <f>ROUND(INDEX(Catalogue!E$4:E$85,MATCH(A617,Catalogue!A$4:A$85,0))*(1+Paramètres!$B$4*(C617-1)+Paramètres!$B$5*(C617-1)^2),0)</f>
        <v>41</v>
      </c>
      <c r="R617">
        <f>ROUND(INDEX(Catalogue!F$4:F$85,MATCH(A617,Catalogue!A$4:A$85,0))*(1+Paramètres!$B$4*(C617-1)+Paramètres!$B$5*(C617-1)^2),0)</f>
        <v>67</v>
      </c>
      <c r="S617">
        <f t="shared" si="76"/>
        <v>-0.5</v>
      </c>
      <c r="T617" t="str">
        <f t="shared" si="77"/>
        <v>OK</v>
      </c>
      <c r="U617" s="25">
        <f t="shared" si="78"/>
        <v>53.5</v>
      </c>
      <c r="V617" t="str">
        <f t="shared" si="79"/>
        <v>OK</v>
      </c>
    </row>
    <row r="618" spans="1:22" ht="18" customHeight="1">
      <c r="A618" t="s">
        <v>186</v>
      </c>
      <c r="B618" t="s">
        <v>187</v>
      </c>
      <c r="C618">
        <v>15</v>
      </c>
      <c r="D618" t="s">
        <v>169</v>
      </c>
      <c r="E618" s="6">
        <f t="shared" si="72"/>
        <v>45</v>
      </c>
      <c r="F618" s="6">
        <f t="shared" si="73"/>
        <v>73</v>
      </c>
      <c r="G618" s="6">
        <f>ROUND(Catalogue!G34*SQRT((1+Paramètres!$B$4*(C618-1)+Paramètres!$B$5*(C618-1)^2)),0)</f>
        <v>0</v>
      </c>
      <c r="H618" s="6">
        <f>ROUND(Catalogue!H34*SQRT((1+Paramètres!$B$4*(C618-1)+Paramètres!$B$5*(C618-1)^2)),0)</f>
        <v>0</v>
      </c>
      <c r="I618" s="6">
        <v>3</v>
      </c>
      <c r="J618" s="6">
        <v>1</v>
      </c>
      <c r="K618" s="7">
        <v>4.7</v>
      </c>
      <c r="L618" s="9">
        <f t="shared" si="74"/>
        <v>59</v>
      </c>
      <c r="M618">
        <v>4</v>
      </c>
      <c r="N618">
        <v>8</v>
      </c>
      <c r="O618">
        <v>41</v>
      </c>
      <c r="P618" s="13" t="str">
        <f t="shared" si="75"/>
        <v>4d8 + 41</v>
      </c>
      <c r="Q618">
        <f>ROUND(INDEX(Catalogue!E$4:E$85,MATCH(A618,Catalogue!A$4:A$85,0))*(1+Paramètres!$B$4*(C618-1)+Paramètres!$B$5*(C618-1)^2),0)</f>
        <v>45</v>
      </c>
      <c r="R618">
        <f>ROUND(INDEX(Catalogue!F$4:F$85,MATCH(A618,Catalogue!A$4:A$85,0))*(1+Paramètres!$B$4*(C618-1)+Paramètres!$B$5*(C618-1)^2),0)</f>
        <v>74</v>
      </c>
      <c r="S618">
        <f t="shared" si="76"/>
        <v>-0.5</v>
      </c>
      <c r="T618" t="str">
        <f t="shared" si="77"/>
        <v>OK</v>
      </c>
      <c r="U618" s="25">
        <f t="shared" si="78"/>
        <v>59</v>
      </c>
      <c r="V618" t="str">
        <f t="shared" si="79"/>
        <v>OK</v>
      </c>
    </row>
    <row r="619" spans="1:22" ht="18" customHeight="1">
      <c r="A619" t="s">
        <v>186</v>
      </c>
      <c r="B619" t="s">
        <v>187</v>
      </c>
      <c r="C619">
        <v>16</v>
      </c>
      <c r="D619" t="s">
        <v>169</v>
      </c>
      <c r="E619" s="6">
        <f t="shared" si="72"/>
        <v>50</v>
      </c>
      <c r="F619" s="6">
        <f t="shared" si="73"/>
        <v>80</v>
      </c>
      <c r="G619" s="6">
        <f>ROUND(Catalogue!G34*SQRT((1+Paramètres!$B$4*(C619-1)+Paramètres!$B$5*(C619-1)^2)),0)</f>
        <v>0</v>
      </c>
      <c r="H619" s="6">
        <f>ROUND(Catalogue!H34*SQRT((1+Paramètres!$B$4*(C619-1)+Paramètres!$B$5*(C619-1)^2)),0)</f>
        <v>0</v>
      </c>
      <c r="I619" s="6">
        <v>3</v>
      </c>
      <c r="J619" s="6">
        <v>1</v>
      </c>
      <c r="K619" s="7">
        <v>4.7</v>
      </c>
      <c r="L619" s="9">
        <f t="shared" si="74"/>
        <v>65</v>
      </c>
      <c r="M619">
        <v>6</v>
      </c>
      <c r="N619">
        <v>6</v>
      </c>
      <c r="O619">
        <v>44</v>
      </c>
      <c r="P619" s="13" t="str">
        <f t="shared" si="75"/>
        <v>6d6 + 44</v>
      </c>
      <c r="Q619">
        <f>ROUND(INDEX(Catalogue!E$4:E$85,MATCH(A619,Catalogue!A$4:A$85,0))*(1+Paramètres!$B$4*(C619-1)+Paramètres!$B$5*(C619-1)^2),0)</f>
        <v>50</v>
      </c>
      <c r="R619">
        <f>ROUND(INDEX(Catalogue!F$4:F$85,MATCH(A619,Catalogue!A$4:A$85,0))*(1+Paramètres!$B$4*(C619-1)+Paramètres!$B$5*(C619-1)^2),0)</f>
        <v>81</v>
      </c>
      <c r="S619">
        <f t="shared" si="76"/>
        <v>-0.5</v>
      </c>
      <c r="T619" t="str">
        <f t="shared" si="77"/>
        <v>OK</v>
      </c>
      <c r="U619" s="25">
        <f t="shared" si="78"/>
        <v>65</v>
      </c>
      <c r="V619" t="str">
        <f t="shared" si="79"/>
        <v>OK</v>
      </c>
    </row>
    <row r="620" spans="1:22" ht="18" customHeight="1">
      <c r="A620" t="s">
        <v>186</v>
      </c>
      <c r="B620" t="s">
        <v>187</v>
      </c>
      <c r="C620">
        <v>17</v>
      </c>
      <c r="D620" t="s">
        <v>169</v>
      </c>
      <c r="E620" s="6">
        <f t="shared" si="72"/>
        <v>55</v>
      </c>
      <c r="F620" s="6">
        <f t="shared" si="73"/>
        <v>88</v>
      </c>
      <c r="G620" s="6">
        <f>ROUND(Catalogue!G34*SQRT((1+Paramètres!$B$4*(C620-1)+Paramètres!$B$5*(C620-1)^2)),0)</f>
        <v>0</v>
      </c>
      <c r="H620" s="6">
        <f>ROUND(Catalogue!H34*SQRT((1+Paramètres!$B$4*(C620-1)+Paramètres!$B$5*(C620-1)^2)),0)</f>
        <v>0</v>
      </c>
      <c r="I620" s="6">
        <v>3</v>
      </c>
      <c r="J620" s="6">
        <v>1</v>
      </c>
      <c r="K620" s="7">
        <v>4.7</v>
      </c>
      <c r="L620" s="9">
        <f t="shared" si="74"/>
        <v>71.5</v>
      </c>
      <c r="M620">
        <v>3</v>
      </c>
      <c r="N620">
        <v>12</v>
      </c>
      <c r="O620">
        <v>52</v>
      </c>
      <c r="P620" s="13" t="str">
        <f t="shared" si="75"/>
        <v>3d12 + 52</v>
      </c>
      <c r="Q620">
        <f>ROUND(INDEX(Catalogue!E$4:E$85,MATCH(A620,Catalogue!A$4:A$85,0))*(1+Paramètres!$B$4*(C620-1)+Paramètres!$B$5*(C620-1)^2),0)</f>
        <v>55</v>
      </c>
      <c r="R620">
        <f>ROUND(INDEX(Catalogue!F$4:F$85,MATCH(A620,Catalogue!A$4:A$85,0))*(1+Paramètres!$B$4*(C620-1)+Paramètres!$B$5*(C620-1)^2),0)</f>
        <v>89</v>
      </c>
      <c r="S620">
        <f t="shared" si="76"/>
        <v>-0.5</v>
      </c>
      <c r="T620" t="str">
        <f t="shared" si="77"/>
        <v>OK</v>
      </c>
      <c r="U620" s="25">
        <f t="shared" si="78"/>
        <v>71.5</v>
      </c>
      <c r="V620" t="str">
        <f t="shared" si="79"/>
        <v>OK</v>
      </c>
    </row>
    <row r="621" spans="1:22" ht="18" customHeight="1">
      <c r="A621" t="s">
        <v>186</v>
      </c>
      <c r="B621" t="s">
        <v>187</v>
      </c>
      <c r="C621">
        <v>18</v>
      </c>
      <c r="D621" t="s">
        <v>169</v>
      </c>
      <c r="E621" s="6">
        <f t="shared" si="72"/>
        <v>60</v>
      </c>
      <c r="F621" s="6">
        <f t="shared" si="73"/>
        <v>96</v>
      </c>
      <c r="G621" s="6">
        <f>ROUND(Catalogue!G34*SQRT((1+Paramètres!$B$4*(C621-1)+Paramètres!$B$5*(C621-1)^2)),0)</f>
        <v>0</v>
      </c>
      <c r="H621" s="6">
        <f>ROUND(Catalogue!H34*SQRT((1+Paramètres!$B$4*(C621-1)+Paramètres!$B$5*(C621-1)^2)),0)</f>
        <v>0</v>
      </c>
      <c r="I621" s="6">
        <v>3</v>
      </c>
      <c r="J621" s="6">
        <v>1</v>
      </c>
      <c r="K621" s="7">
        <v>4.7</v>
      </c>
      <c r="L621" s="9">
        <f t="shared" si="74"/>
        <v>78</v>
      </c>
      <c r="M621">
        <v>4</v>
      </c>
      <c r="N621">
        <v>10</v>
      </c>
      <c r="O621">
        <v>56</v>
      </c>
      <c r="P621" s="13" t="str">
        <f t="shared" si="75"/>
        <v>4d10 + 56</v>
      </c>
      <c r="Q621">
        <f>ROUND(INDEX(Catalogue!E$4:E$85,MATCH(A621,Catalogue!A$4:A$85,0))*(1+Paramètres!$B$4*(C621-1)+Paramètres!$B$5*(C621-1)^2),0)</f>
        <v>60</v>
      </c>
      <c r="R621">
        <f>ROUND(INDEX(Catalogue!F$4:F$85,MATCH(A621,Catalogue!A$4:A$85,0))*(1+Paramètres!$B$4*(C621-1)+Paramètres!$B$5*(C621-1)^2),0)</f>
        <v>97</v>
      </c>
      <c r="S621">
        <f t="shared" si="76"/>
        <v>-0.5</v>
      </c>
      <c r="T621" t="str">
        <f t="shared" si="77"/>
        <v>OK</v>
      </c>
      <c r="U621" s="25">
        <f t="shared" si="78"/>
        <v>78</v>
      </c>
      <c r="V621" t="str">
        <f t="shared" si="79"/>
        <v>OK</v>
      </c>
    </row>
    <row r="622" spans="1:22" ht="18" customHeight="1">
      <c r="A622" t="s">
        <v>186</v>
      </c>
      <c r="B622" t="s">
        <v>187</v>
      </c>
      <c r="C622">
        <v>19</v>
      </c>
      <c r="D622" t="s">
        <v>169</v>
      </c>
      <c r="E622" s="6">
        <f t="shared" si="72"/>
        <v>64</v>
      </c>
      <c r="F622" s="6">
        <f t="shared" si="73"/>
        <v>106</v>
      </c>
      <c r="G622" s="6">
        <f>ROUND(Catalogue!G34*SQRT((1+Paramètres!$B$4*(C622-1)+Paramètres!$B$5*(C622-1)^2)),0)</f>
        <v>0</v>
      </c>
      <c r="H622" s="6">
        <f>ROUND(Catalogue!H34*SQRT((1+Paramètres!$B$4*(C622-1)+Paramètres!$B$5*(C622-1)^2)),0)</f>
        <v>0</v>
      </c>
      <c r="I622" s="6">
        <v>3</v>
      </c>
      <c r="J622" s="6">
        <v>1</v>
      </c>
      <c r="K622" s="7">
        <v>4.7</v>
      </c>
      <c r="L622" s="9">
        <f t="shared" si="74"/>
        <v>85</v>
      </c>
      <c r="M622">
        <v>6</v>
      </c>
      <c r="N622">
        <v>8</v>
      </c>
      <c r="O622">
        <v>58</v>
      </c>
      <c r="P622" s="13" t="str">
        <f t="shared" si="75"/>
        <v>6d8 + 58</v>
      </c>
      <c r="Q622">
        <f>ROUND(INDEX(Catalogue!E$4:E$85,MATCH(A622,Catalogue!A$4:A$85,0))*(1+Paramètres!$B$4*(C622-1)+Paramètres!$B$5*(C622-1)^2),0)</f>
        <v>65</v>
      </c>
      <c r="R622">
        <f>ROUND(INDEX(Catalogue!F$4:F$85,MATCH(A622,Catalogue!A$4:A$85,0))*(1+Paramètres!$B$4*(C622-1)+Paramètres!$B$5*(C622-1)^2),0)</f>
        <v>106</v>
      </c>
      <c r="S622">
        <f t="shared" si="76"/>
        <v>-0.5</v>
      </c>
      <c r="T622" t="str">
        <f t="shared" si="77"/>
        <v>OK</v>
      </c>
      <c r="U622" s="25">
        <f t="shared" si="78"/>
        <v>85</v>
      </c>
      <c r="V622" t="str">
        <f t="shared" si="79"/>
        <v>OK</v>
      </c>
    </row>
    <row r="623" spans="1:22" ht="18" customHeight="1">
      <c r="A623" t="s">
        <v>186</v>
      </c>
      <c r="B623" t="s">
        <v>187</v>
      </c>
      <c r="C623">
        <v>20</v>
      </c>
      <c r="D623" t="s">
        <v>169</v>
      </c>
      <c r="E623" s="6">
        <f t="shared" si="72"/>
        <v>71</v>
      </c>
      <c r="F623" s="6">
        <f t="shared" si="73"/>
        <v>115</v>
      </c>
      <c r="G623" s="6">
        <f>ROUND(Catalogue!G34*SQRT((1+Paramètres!$B$4*(C623-1)+Paramètres!$B$5*(C623-1)^2)),0)</f>
        <v>0</v>
      </c>
      <c r="H623" s="6">
        <f>ROUND(Catalogue!H34*SQRT((1+Paramètres!$B$4*(C623-1)+Paramètres!$B$5*(C623-1)^2)),0)</f>
        <v>0</v>
      </c>
      <c r="I623" s="6">
        <v>3</v>
      </c>
      <c r="J623" s="6">
        <v>1</v>
      </c>
      <c r="K623" s="7">
        <v>4.7</v>
      </c>
      <c r="L623" s="9">
        <f t="shared" si="74"/>
        <v>93</v>
      </c>
      <c r="M623">
        <v>4</v>
      </c>
      <c r="N623">
        <v>12</v>
      </c>
      <c r="O623">
        <v>67</v>
      </c>
      <c r="P623" s="13" t="str">
        <f t="shared" si="75"/>
        <v>4d12 + 67</v>
      </c>
      <c r="Q623">
        <f>ROUND(INDEX(Catalogue!E$4:E$85,MATCH(A623,Catalogue!A$4:A$85,0))*(1+Paramètres!$B$4*(C623-1)+Paramètres!$B$5*(C623-1)^2),0)</f>
        <v>71</v>
      </c>
      <c r="R623">
        <f>ROUND(INDEX(Catalogue!F$4:F$85,MATCH(A623,Catalogue!A$4:A$85,0))*(1+Paramètres!$B$4*(C623-1)+Paramètres!$B$5*(C623-1)^2),0)</f>
        <v>115</v>
      </c>
      <c r="S623">
        <f t="shared" si="76"/>
        <v>0</v>
      </c>
      <c r="T623" t="str">
        <f t="shared" si="77"/>
        <v>OK</v>
      </c>
      <c r="U623" s="25">
        <f t="shared" si="78"/>
        <v>93</v>
      </c>
      <c r="V623" t="str">
        <f t="shared" si="79"/>
        <v>OK</v>
      </c>
    </row>
    <row r="624" spans="1:22" ht="18" customHeight="1">
      <c r="A624" t="s">
        <v>189</v>
      </c>
      <c r="B624" t="s">
        <v>190</v>
      </c>
      <c r="C624">
        <v>1</v>
      </c>
      <c r="D624" t="s">
        <v>169</v>
      </c>
      <c r="E624" s="6">
        <f t="shared" si="72"/>
        <v>7</v>
      </c>
      <c r="F624" s="6">
        <f t="shared" si="73"/>
        <v>14</v>
      </c>
      <c r="G624" s="6">
        <f>ROUND(Catalogue!G35*SQRT((1+Paramètres!$B$4*(C624-1)+Paramètres!$B$5*(C624-1)^2)),0)</f>
        <v>0</v>
      </c>
      <c r="H624" s="6">
        <f>ROUND(Catalogue!H35*SQRT((1+Paramètres!$B$4*(C624-1)+Paramètres!$B$5*(C624-1)^2)),0)</f>
        <v>0</v>
      </c>
      <c r="I624" s="6">
        <v>3</v>
      </c>
      <c r="J624" s="6">
        <v>1</v>
      </c>
      <c r="K624" s="7">
        <v>5</v>
      </c>
      <c r="L624" s="9">
        <f t="shared" si="74"/>
        <v>10.5</v>
      </c>
      <c r="M624">
        <v>1</v>
      </c>
      <c r="N624">
        <v>8</v>
      </c>
      <c r="O624">
        <v>6</v>
      </c>
      <c r="P624" s="13" t="str">
        <f t="shared" si="75"/>
        <v>1d8 + 6</v>
      </c>
      <c r="Q624">
        <f>ROUND(INDEX(Catalogue!E$4:E$85,MATCH(A624,Catalogue!A$4:A$85,0))*(1+Paramètres!$B$4*(C624-1)+Paramètres!$B$5*(C624-1)^2),0)</f>
        <v>7</v>
      </c>
      <c r="R624">
        <f>ROUND(INDEX(Catalogue!F$4:F$85,MATCH(A624,Catalogue!A$4:A$85,0))*(1+Paramètres!$B$4*(C624-1)+Paramètres!$B$5*(C624-1)^2),0)</f>
        <v>14</v>
      </c>
      <c r="S624">
        <f t="shared" si="76"/>
        <v>0</v>
      </c>
      <c r="T624" t="str">
        <f t="shared" si="77"/>
        <v>OK</v>
      </c>
      <c r="U624" s="25">
        <f t="shared" si="78"/>
        <v>10.5</v>
      </c>
      <c r="V624" t="str">
        <f t="shared" si="79"/>
        <v>OK</v>
      </c>
    </row>
    <row r="625" spans="1:22" ht="18" customHeight="1">
      <c r="A625" t="s">
        <v>189</v>
      </c>
      <c r="B625" t="s">
        <v>190</v>
      </c>
      <c r="C625">
        <v>2</v>
      </c>
      <c r="D625" t="s">
        <v>169</v>
      </c>
      <c r="E625" s="6">
        <f t="shared" si="72"/>
        <v>9</v>
      </c>
      <c r="F625" s="6">
        <f t="shared" si="73"/>
        <v>16</v>
      </c>
      <c r="G625" s="6">
        <f>ROUND(Catalogue!G35*SQRT((1+Paramètres!$B$4*(C625-1)+Paramètres!$B$5*(C625-1)^2)),0)</f>
        <v>0</v>
      </c>
      <c r="H625" s="6">
        <f>ROUND(Catalogue!H35*SQRT((1+Paramètres!$B$4*(C625-1)+Paramètres!$B$5*(C625-1)^2)),0)</f>
        <v>0</v>
      </c>
      <c r="I625" s="6">
        <v>3</v>
      </c>
      <c r="J625" s="6">
        <v>1</v>
      </c>
      <c r="K625" s="7">
        <v>5</v>
      </c>
      <c r="L625" s="9">
        <f t="shared" si="74"/>
        <v>12.5</v>
      </c>
      <c r="M625">
        <v>1</v>
      </c>
      <c r="N625">
        <v>8</v>
      </c>
      <c r="O625">
        <v>8</v>
      </c>
      <c r="P625" s="13" t="str">
        <f t="shared" si="75"/>
        <v>1d8 + 8</v>
      </c>
      <c r="Q625">
        <f>ROUND(INDEX(Catalogue!E$4:E$85,MATCH(A625,Catalogue!A$4:A$85,0))*(1+Paramètres!$B$4*(C625-1)+Paramètres!$B$5*(C625-1)^2),0)</f>
        <v>8</v>
      </c>
      <c r="R625">
        <f>ROUND(INDEX(Catalogue!F$4:F$85,MATCH(A625,Catalogue!A$4:A$85,0))*(1+Paramètres!$B$4*(C625-1)+Paramètres!$B$5*(C625-1)^2),0)</f>
        <v>16</v>
      </c>
      <c r="S625">
        <f t="shared" si="76"/>
        <v>0.5</v>
      </c>
      <c r="T625" t="str">
        <f t="shared" si="77"/>
        <v>OK</v>
      </c>
      <c r="U625" s="25">
        <f t="shared" si="78"/>
        <v>12.5</v>
      </c>
      <c r="V625" t="str">
        <f t="shared" si="79"/>
        <v>OK</v>
      </c>
    </row>
    <row r="626" spans="1:22" ht="18" customHeight="1">
      <c r="A626" t="s">
        <v>189</v>
      </c>
      <c r="B626" t="s">
        <v>190</v>
      </c>
      <c r="C626">
        <v>3</v>
      </c>
      <c r="D626" t="s">
        <v>169</v>
      </c>
      <c r="E626" s="6">
        <f t="shared" si="72"/>
        <v>9</v>
      </c>
      <c r="F626" s="6">
        <f t="shared" si="73"/>
        <v>18</v>
      </c>
      <c r="G626" s="6">
        <f>ROUND(Catalogue!G35*SQRT((1+Paramètres!$B$4*(C626-1)+Paramètres!$B$5*(C626-1)^2)),0)</f>
        <v>0</v>
      </c>
      <c r="H626" s="6">
        <f>ROUND(Catalogue!H35*SQRT((1+Paramètres!$B$4*(C626-1)+Paramètres!$B$5*(C626-1)^2)),0)</f>
        <v>0</v>
      </c>
      <c r="I626" s="6">
        <v>3</v>
      </c>
      <c r="J626" s="6">
        <v>1</v>
      </c>
      <c r="K626" s="7">
        <v>5</v>
      </c>
      <c r="L626" s="9">
        <f t="shared" si="74"/>
        <v>13.5</v>
      </c>
      <c r="M626">
        <v>1</v>
      </c>
      <c r="N626">
        <v>10</v>
      </c>
      <c r="O626">
        <v>8</v>
      </c>
      <c r="P626" s="13" t="str">
        <f t="shared" si="75"/>
        <v>1d10 + 8</v>
      </c>
      <c r="Q626">
        <f>ROUND(INDEX(Catalogue!E$4:E$85,MATCH(A626,Catalogue!A$4:A$85,0))*(1+Paramètres!$B$4*(C626-1)+Paramètres!$B$5*(C626-1)^2),0)</f>
        <v>9</v>
      </c>
      <c r="R626">
        <f>ROUND(INDEX(Catalogue!F$4:F$85,MATCH(A626,Catalogue!A$4:A$85,0))*(1+Paramètres!$B$4*(C626-1)+Paramètres!$B$5*(C626-1)^2),0)</f>
        <v>18</v>
      </c>
      <c r="S626">
        <f t="shared" si="76"/>
        <v>0</v>
      </c>
      <c r="T626" t="str">
        <f t="shared" si="77"/>
        <v>OK</v>
      </c>
      <c r="U626" s="25">
        <f t="shared" si="78"/>
        <v>13.5</v>
      </c>
      <c r="V626" t="str">
        <f t="shared" si="79"/>
        <v>OK</v>
      </c>
    </row>
    <row r="627" spans="1:22" ht="18" customHeight="1">
      <c r="A627" t="s">
        <v>189</v>
      </c>
      <c r="B627" t="s">
        <v>190</v>
      </c>
      <c r="C627">
        <v>4</v>
      </c>
      <c r="D627" t="s">
        <v>169</v>
      </c>
      <c r="E627" s="6">
        <f t="shared" si="72"/>
        <v>10</v>
      </c>
      <c r="F627" s="6">
        <f t="shared" si="73"/>
        <v>21</v>
      </c>
      <c r="G627" s="6">
        <f>ROUND(Catalogue!G35*SQRT((1+Paramètres!$B$4*(C627-1)+Paramètres!$B$5*(C627-1)^2)),0)</f>
        <v>0</v>
      </c>
      <c r="H627" s="6">
        <f>ROUND(Catalogue!H35*SQRT((1+Paramètres!$B$4*(C627-1)+Paramètres!$B$5*(C627-1)^2)),0)</f>
        <v>0</v>
      </c>
      <c r="I627" s="6">
        <v>3</v>
      </c>
      <c r="J627" s="6">
        <v>1</v>
      </c>
      <c r="K627" s="7">
        <v>5</v>
      </c>
      <c r="L627" s="9">
        <f t="shared" si="74"/>
        <v>15.5</v>
      </c>
      <c r="M627">
        <v>1</v>
      </c>
      <c r="N627">
        <v>12</v>
      </c>
      <c r="O627">
        <v>9</v>
      </c>
      <c r="P627" s="13" t="str">
        <f t="shared" si="75"/>
        <v>1d12 + 9</v>
      </c>
      <c r="Q627">
        <f>ROUND(INDEX(Catalogue!E$4:E$85,MATCH(A627,Catalogue!A$4:A$85,0))*(1+Paramètres!$B$4*(C627-1)+Paramètres!$B$5*(C627-1)^2),0)</f>
        <v>10</v>
      </c>
      <c r="R627">
        <f>ROUND(INDEX(Catalogue!F$4:F$85,MATCH(A627,Catalogue!A$4:A$85,0))*(1+Paramètres!$B$4*(C627-1)+Paramètres!$B$5*(C627-1)^2),0)</f>
        <v>21</v>
      </c>
      <c r="S627">
        <f t="shared" si="76"/>
        <v>0</v>
      </c>
      <c r="T627" t="str">
        <f t="shared" si="77"/>
        <v>OK</v>
      </c>
      <c r="U627" s="25">
        <f t="shared" si="78"/>
        <v>15.5</v>
      </c>
      <c r="V627" t="str">
        <f t="shared" si="79"/>
        <v>OK</v>
      </c>
    </row>
    <row r="628" spans="1:22" ht="18" customHeight="1">
      <c r="A628" t="s">
        <v>189</v>
      </c>
      <c r="B628" t="s">
        <v>190</v>
      </c>
      <c r="C628">
        <v>5</v>
      </c>
      <c r="D628" t="s">
        <v>169</v>
      </c>
      <c r="E628" s="6">
        <f t="shared" si="72"/>
        <v>12</v>
      </c>
      <c r="F628" s="6">
        <f t="shared" si="73"/>
        <v>23</v>
      </c>
      <c r="G628" s="6">
        <f>ROUND(Catalogue!G35*SQRT((1+Paramètres!$B$4*(C628-1)+Paramètres!$B$5*(C628-1)^2)),0)</f>
        <v>0</v>
      </c>
      <c r="H628" s="6">
        <f>ROUND(Catalogue!H35*SQRT((1+Paramètres!$B$4*(C628-1)+Paramètres!$B$5*(C628-1)^2)),0)</f>
        <v>0</v>
      </c>
      <c r="I628" s="6">
        <v>3</v>
      </c>
      <c r="J628" s="6">
        <v>1</v>
      </c>
      <c r="K628" s="7">
        <v>5</v>
      </c>
      <c r="L628" s="9">
        <f t="shared" si="74"/>
        <v>17.5</v>
      </c>
      <c r="M628">
        <v>1</v>
      </c>
      <c r="N628">
        <v>12</v>
      </c>
      <c r="O628">
        <v>11</v>
      </c>
      <c r="P628" s="13" t="str">
        <f t="shared" si="75"/>
        <v>1d12 + 11</v>
      </c>
      <c r="Q628">
        <f>ROUND(INDEX(Catalogue!E$4:E$85,MATCH(A628,Catalogue!A$4:A$85,0))*(1+Paramètres!$B$4*(C628-1)+Paramètres!$B$5*(C628-1)^2),0)</f>
        <v>12</v>
      </c>
      <c r="R628">
        <f>ROUND(INDEX(Catalogue!F$4:F$85,MATCH(A628,Catalogue!A$4:A$85,0))*(1+Paramètres!$B$4*(C628-1)+Paramètres!$B$5*(C628-1)^2),0)</f>
        <v>24</v>
      </c>
      <c r="S628">
        <f t="shared" si="76"/>
        <v>-0.5</v>
      </c>
      <c r="T628" t="str">
        <f t="shared" si="77"/>
        <v>OK</v>
      </c>
      <c r="U628" s="25">
        <f t="shared" si="78"/>
        <v>17.5</v>
      </c>
      <c r="V628" t="str">
        <f t="shared" si="79"/>
        <v>OK</v>
      </c>
    </row>
    <row r="629" spans="1:22" ht="18" customHeight="1">
      <c r="A629" t="s">
        <v>189</v>
      </c>
      <c r="B629" t="s">
        <v>190</v>
      </c>
      <c r="C629">
        <v>6</v>
      </c>
      <c r="D629" t="s">
        <v>169</v>
      </c>
      <c r="E629" s="6">
        <f t="shared" si="72"/>
        <v>13</v>
      </c>
      <c r="F629" s="6">
        <f t="shared" si="73"/>
        <v>27</v>
      </c>
      <c r="G629" s="6">
        <f>ROUND(Catalogue!G35*SQRT((1+Paramètres!$B$4*(C629-1)+Paramètres!$B$5*(C629-1)^2)),0)</f>
        <v>0</v>
      </c>
      <c r="H629" s="6">
        <f>ROUND(Catalogue!H35*SQRT((1+Paramètres!$B$4*(C629-1)+Paramètres!$B$5*(C629-1)^2)),0)</f>
        <v>0</v>
      </c>
      <c r="I629" s="6">
        <v>3</v>
      </c>
      <c r="J629" s="6">
        <v>1</v>
      </c>
      <c r="K629" s="7">
        <v>5</v>
      </c>
      <c r="L629" s="9">
        <f t="shared" si="74"/>
        <v>20</v>
      </c>
      <c r="M629">
        <v>2</v>
      </c>
      <c r="N629">
        <v>8</v>
      </c>
      <c r="O629">
        <v>11</v>
      </c>
      <c r="P629" s="13" t="str">
        <f t="shared" si="75"/>
        <v>2d8 + 11</v>
      </c>
      <c r="Q629">
        <f>ROUND(INDEX(Catalogue!E$4:E$85,MATCH(A629,Catalogue!A$4:A$85,0))*(1+Paramètres!$B$4*(C629-1)+Paramètres!$B$5*(C629-1)^2),0)</f>
        <v>14</v>
      </c>
      <c r="R629">
        <f>ROUND(INDEX(Catalogue!F$4:F$85,MATCH(A629,Catalogue!A$4:A$85,0))*(1+Paramètres!$B$4*(C629-1)+Paramètres!$B$5*(C629-1)^2),0)</f>
        <v>27</v>
      </c>
      <c r="S629">
        <f t="shared" si="76"/>
        <v>-0.5</v>
      </c>
      <c r="T629" t="str">
        <f t="shared" si="77"/>
        <v>OK</v>
      </c>
      <c r="U629" s="25">
        <f t="shared" si="78"/>
        <v>20</v>
      </c>
      <c r="V629" t="str">
        <f t="shared" si="79"/>
        <v>OK</v>
      </c>
    </row>
    <row r="630" spans="1:22" ht="18" customHeight="1">
      <c r="A630" t="s">
        <v>189</v>
      </c>
      <c r="B630" t="s">
        <v>190</v>
      </c>
      <c r="C630">
        <v>7</v>
      </c>
      <c r="D630" t="s">
        <v>169</v>
      </c>
      <c r="E630" s="6">
        <f t="shared" si="72"/>
        <v>16</v>
      </c>
      <c r="F630" s="6">
        <f t="shared" si="73"/>
        <v>31</v>
      </c>
      <c r="G630" s="6">
        <f>ROUND(Catalogue!G35*SQRT((1+Paramètres!$B$4*(C630-1)+Paramètres!$B$5*(C630-1)^2)),0)</f>
        <v>0</v>
      </c>
      <c r="H630" s="6">
        <f>ROUND(Catalogue!H35*SQRT((1+Paramètres!$B$4*(C630-1)+Paramètres!$B$5*(C630-1)^2)),0)</f>
        <v>0</v>
      </c>
      <c r="I630" s="6">
        <v>3</v>
      </c>
      <c r="J630" s="6">
        <v>1</v>
      </c>
      <c r="K630" s="7">
        <v>5</v>
      </c>
      <c r="L630" s="9">
        <f t="shared" si="74"/>
        <v>23.5</v>
      </c>
      <c r="M630">
        <v>3</v>
      </c>
      <c r="N630">
        <v>6</v>
      </c>
      <c r="O630">
        <v>13</v>
      </c>
      <c r="P630" s="13" t="str">
        <f t="shared" si="75"/>
        <v>3d6 + 13</v>
      </c>
      <c r="Q630">
        <f>ROUND(INDEX(Catalogue!E$4:E$85,MATCH(A630,Catalogue!A$4:A$85,0))*(1+Paramètres!$B$4*(C630-1)+Paramètres!$B$5*(C630-1)^2),0)</f>
        <v>16</v>
      </c>
      <c r="R630">
        <f>ROUND(INDEX(Catalogue!F$4:F$85,MATCH(A630,Catalogue!A$4:A$85,0))*(1+Paramètres!$B$4*(C630-1)+Paramètres!$B$5*(C630-1)^2),0)</f>
        <v>31</v>
      </c>
      <c r="S630">
        <f t="shared" si="76"/>
        <v>0</v>
      </c>
      <c r="T630" t="str">
        <f t="shared" si="77"/>
        <v>OK</v>
      </c>
      <c r="U630" s="25">
        <f t="shared" si="78"/>
        <v>23.5</v>
      </c>
      <c r="V630" t="str">
        <f t="shared" si="79"/>
        <v>OK</v>
      </c>
    </row>
    <row r="631" spans="1:22" ht="18" customHeight="1">
      <c r="A631" t="s">
        <v>189</v>
      </c>
      <c r="B631" t="s">
        <v>190</v>
      </c>
      <c r="C631">
        <v>8</v>
      </c>
      <c r="D631" t="s">
        <v>169</v>
      </c>
      <c r="E631" s="6">
        <f t="shared" si="72"/>
        <v>18</v>
      </c>
      <c r="F631" s="6">
        <f t="shared" si="73"/>
        <v>36</v>
      </c>
      <c r="G631" s="6">
        <f>ROUND(Catalogue!G35*SQRT((1+Paramètres!$B$4*(C631-1)+Paramètres!$B$5*(C631-1)^2)),0)</f>
        <v>0</v>
      </c>
      <c r="H631" s="6">
        <f>ROUND(Catalogue!H35*SQRT((1+Paramètres!$B$4*(C631-1)+Paramètres!$B$5*(C631-1)^2)),0)</f>
        <v>0</v>
      </c>
      <c r="I631" s="6">
        <v>3</v>
      </c>
      <c r="J631" s="6">
        <v>1</v>
      </c>
      <c r="K631" s="7">
        <v>5</v>
      </c>
      <c r="L631" s="9">
        <f t="shared" si="74"/>
        <v>27</v>
      </c>
      <c r="M631">
        <v>2</v>
      </c>
      <c r="N631">
        <v>10</v>
      </c>
      <c r="O631">
        <v>16</v>
      </c>
      <c r="P631" s="13" t="str">
        <f t="shared" si="75"/>
        <v>2d10 + 16</v>
      </c>
      <c r="Q631">
        <f>ROUND(INDEX(Catalogue!E$4:E$85,MATCH(A631,Catalogue!A$4:A$85,0))*(1+Paramètres!$B$4*(C631-1)+Paramètres!$B$5*(C631-1)^2),0)</f>
        <v>18</v>
      </c>
      <c r="R631">
        <f>ROUND(INDEX(Catalogue!F$4:F$85,MATCH(A631,Catalogue!A$4:A$85,0))*(1+Paramètres!$B$4*(C631-1)+Paramètres!$B$5*(C631-1)^2),0)</f>
        <v>36</v>
      </c>
      <c r="S631">
        <f t="shared" si="76"/>
        <v>0</v>
      </c>
      <c r="T631" t="str">
        <f t="shared" si="77"/>
        <v>OK</v>
      </c>
      <c r="U631" s="25">
        <f t="shared" si="78"/>
        <v>27</v>
      </c>
      <c r="V631" t="str">
        <f t="shared" si="79"/>
        <v>OK</v>
      </c>
    </row>
    <row r="632" spans="1:22" ht="18" customHeight="1">
      <c r="A632" t="s">
        <v>189</v>
      </c>
      <c r="B632" t="s">
        <v>190</v>
      </c>
      <c r="C632">
        <v>9</v>
      </c>
      <c r="D632" t="s">
        <v>169</v>
      </c>
      <c r="E632" s="6">
        <f t="shared" si="72"/>
        <v>20</v>
      </c>
      <c r="F632" s="6">
        <f t="shared" si="73"/>
        <v>41</v>
      </c>
      <c r="G632" s="6">
        <f>ROUND(Catalogue!G35*SQRT((1+Paramètres!$B$4*(C632-1)+Paramètres!$B$5*(C632-1)^2)),0)</f>
        <v>0</v>
      </c>
      <c r="H632" s="6">
        <f>ROUND(Catalogue!H35*SQRT((1+Paramètres!$B$4*(C632-1)+Paramètres!$B$5*(C632-1)^2)),0)</f>
        <v>0</v>
      </c>
      <c r="I632" s="6">
        <v>3</v>
      </c>
      <c r="J632" s="6">
        <v>1</v>
      </c>
      <c r="K632" s="7">
        <v>5</v>
      </c>
      <c r="L632" s="9">
        <f t="shared" si="74"/>
        <v>30.5</v>
      </c>
      <c r="M632">
        <v>3</v>
      </c>
      <c r="N632">
        <v>8</v>
      </c>
      <c r="O632">
        <v>17</v>
      </c>
      <c r="P632" s="13" t="str">
        <f t="shared" si="75"/>
        <v>3d8 + 17</v>
      </c>
      <c r="Q632">
        <f>ROUND(INDEX(Catalogue!E$4:E$85,MATCH(A632,Catalogue!A$4:A$85,0))*(1+Paramètres!$B$4*(C632-1)+Paramètres!$B$5*(C632-1)^2),0)</f>
        <v>20</v>
      </c>
      <c r="R632">
        <f>ROUND(INDEX(Catalogue!F$4:F$85,MATCH(A632,Catalogue!A$4:A$85,0))*(1+Paramètres!$B$4*(C632-1)+Paramètres!$B$5*(C632-1)^2),0)</f>
        <v>41</v>
      </c>
      <c r="S632">
        <f t="shared" si="76"/>
        <v>0</v>
      </c>
      <c r="T632" t="str">
        <f t="shared" si="77"/>
        <v>OK</v>
      </c>
      <c r="U632" s="25">
        <f t="shared" si="78"/>
        <v>30.5</v>
      </c>
      <c r="V632" t="str">
        <f t="shared" si="79"/>
        <v>OK</v>
      </c>
    </row>
    <row r="633" spans="1:22" ht="18" customHeight="1">
      <c r="A633" t="s">
        <v>189</v>
      </c>
      <c r="B633" t="s">
        <v>190</v>
      </c>
      <c r="C633">
        <v>10</v>
      </c>
      <c r="D633" t="s">
        <v>169</v>
      </c>
      <c r="E633" s="6">
        <f t="shared" si="72"/>
        <v>23</v>
      </c>
      <c r="F633" s="6">
        <f t="shared" si="73"/>
        <v>45</v>
      </c>
      <c r="G633" s="6">
        <f>ROUND(Catalogue!G35*SQRT((1+Paramètres!$B$4*(C633-1)+Paramètres!$B$5*(C633-1)^2)),0)</f>
        <v>0</v>
      </c>
      <c r="H633" s="6">
        <f>ROUND(Catalogue!H35*SQRT((1+Paramètres!$B$4*(C633-1)+Paramètres!$B$5*(C633-1)^2)),0)</f>
        <v>0</v>
      </c>
      <c r="I633" s="6">
        <v>3</v>
      </c>
      <c r="J633" s="6">
        <v>1</v>
      </c>
      <c r="K633" s="7">
        <v>5</v>
      </c>
      <c r="L633" s="9">
        <f t="shared" si="74"/>
        <v>34</v>
      </c>
      <c r="M633">
        <v>2</v>
      </c>
      <c r="N633">
        <v>12</v>
      </c>
      <c r="O633">
        <v>21</v>
      </c>
      <c r="P633" s="13" t="str">
        <f t="shared" si="75"/>
        <v>2d12 + 21</v>
      </c>
      <c r="Q633">
        <f>ROUND(INDEX(Catalogue!E$4:E$85,MATCH(A633,Catalogue!A$4:A$85,0))*(1+Paramètres!$B$4*(C633-1)+Paramètres!$B$5*(C633-1)^2),0)</f>
        <v>23</v>
      </c>
      <c r="R633">
        <f>ROUND(INDEX(Catalogue!F$4:F$85,MATCH(A633,Catalogue!A$4:A$85,0))*(1+Paramètres!$B$4*(C633-1)+Paramètres!$B$5*(C633-1)^2),0)</f>
        <v>46</v>
      </c>
      <c r="S633">
        <f t="shared" si="76"/>
        <v>-0.5</v>
      </c>
      <c r="T633" t="str">
        <f t="shared" si="77"/>
        <v>OK</v>
      </c>
      <c r="U633" s="25">
        <f t="shared" si="78"/>
        <v>34</v>
      </c>
      <c r="V633" t="str">
        <f t="shared" si="79"/>
        <v>OK</v>
      </c>
    </row>
    <row r="634" spans="1:22" ht="18" customHeight="1">
      <c r="A634" t="s">
        <v>189</v>
      </c>
      <c r="B634" t="s">
        <v>190</v>
      </c>
      <c r="C634">
        <v>11</v>
      </c>
      <c r="D634" t="s">
        <v>169</v>
      </c>
      <c r="E634" s="6">
        <f t="shared" si="72"/>
        <v>25</v>
      </c>
      <c r="F634" s="6">
        <f t="shared" si="73"/>
        <v>52</v>
      </c>
      <c r="G634" s="6">
        <f>ROUND(Catalogue!G35*SQRT((1+Paramètres!$B$4*(C634-1)+Paramètres!$B$5*(C634-1)^2)),0)</f>
        <v>0</v>
      </c>
      <c r="H634" s="6">
        <f>ROUND(Catalogue!H35*SQRT((1+Paramètres!$B$4*(C634-1)+Paramètres!$B$5*(C634-1)^2)),0)</f>
        <v>0</v>
      </c>
      <c r="I634" s="6">
        <v>3</v>
      </c>
      <c r="J634" s="6">
        <v>1</v>
      </c>
      <c r="K634" s="7">
        <v>5</v>
      </c>
      <c r="L634" s="9">
        <f t="shared" si="74"/>
        <v>38.5</v>
      </c>
      <c r="M634">
        <v>3</v>
      </c>
      <c r="N634">
        <v>10</v>
      </c>
      <c r="O634">
        <v>22</v>
      </c>
      <c r="P634" s="13" t="str">
        <f t="shared" si="75"/>
        <v>3d10 + 22</v>
      </c>
      <c r="Q634">
        <f>ROUND(INDEX(Catalogue!E$4:E$85,MATCH(A634,Catalogue!A$4:A$85,0))*(1+Paramètres!$B$4*(C634-1)+Paramètres!$B$5*(C634-1)^2),0)</f>
        <v>26</v>
      </c>
      <c r="R634">
        <f>ROUND(INDEX(Catalogue!F$4:F$85,MATCH(A634,Catalogue!A$4:A$85,0))*(1+Paramètres!$B$4*(C634-1)+Paramètres!$B$5*(C634-1)^2),0)</f>
        <v>52</v>
      </c>
      <c r="S634">
        <f t="shared" si="76"/>
        <v>-0.5</v>
      </c>
      <c r="T634" t="str">
        <f t="shared" si="77"/>
        <v>OK</v>
      </c>
      <c r="U634" s="25">
        <f t="shared" si="78"/>
        <v>38.5</v>
      </c>
      <c r="V634" t="str">
        <f t="shared" si="79"/>
        <v>OK</v>
      </c>
    </row>
    <row r="635" spans="1:22" ht="18" customHeight="1">
      <c r="A635" t="s">
        <v>189</v>
      </c>
      <c r="B635" t="s">
        <v>190</v>
      </c>
      <c r="C635">
        <v>12</v>
      </c>
      <c r="D635" t="s">
        <v>169</v>
      </c>
      <c r="E635" s="6">
        <f t="shared" si="72"/>
        <v>29</v>
      </c>
      <c r="F635" s="6">
        <f t="shared" si="73"/>
        <v>57</v>
      </c>
      <c r="G635" s="6">
        <f>ROUND(Catalogue!G35*SQRT((1+Paramètres!$B$4*(C635-1)+Paramètres!$B$5*(C635-1)^2)),0)</f>
        <v>0</v>
      </c>
      <c r="H635" s="6">
        <f>ROUND(Catalogue!H35*SQRT((1+Paramètres!$B$4*(C635-1)+Paramètres!$B$5*(C635-1)^2)),0)</f>
        <v>0</v>
      </c>
      <c r="I635" s="6">
        <v>3</v>
      </c>
      <c r="J635" s="6">
        <v>1</v>
      </c>
      <c r="K635" s="7">
        <v>5</v>
      </c>
      <c r="L635" s="9">
        <f t="shared" si="74"/>
        <v>43</v>
      </c>
      <c r="M635">
        <v>4</v>
      </c>
      <c r="N635">
        <v>8</v>
      </c>
      <c r="O635">
        <v>25</v>
      </c>
      <c r="P635" s="13" t="str">
        <f t="shared" si="75"/>
        <v>4d8 + 25</v>
      </c>
      <c r="Q635">
        <f>ROUND(INDEX(Catalogue!E$4:E$85,MATCH(A635,Catalogue!A$4:A$85,0))*(1+Paramètres!$B$4*(C635-1)+Paramètres!$B$5*(C635-1)^2),0)</f>
        <v>29</v>
      </c>
      <c r="R635">
        <f>ROUND(INDEX(Catalogue!F$4:F$85,MATCH(A635,Catalogue!A$4:A$85,0))*(1+Paramètres!$B$4*(C635-1)+Paramètres!$B$5*(C635-1)^2),0)</f>
        <v>58</v>
      </c>
      <c r="S635">
        <f t="shared" si="76"/>
        <v>-0.5</v>
      </c>
      <c r="T635" t="str">
        <f t="shared" si="77"/>
        <v>OK</v>
      </c>
      <c r="U635" s="25">
        <f t="shared" si="78"/>
        <v>43</v>
      </c>
      <c r="V635" t="str">
        <f t="shared" si="79"/>
        <v>OK</v>
      </c>
    </row>
    <row r="636" spans="1:22" ht="18" customHeight="1">
      <c r="A636" t="s">
        <v>189</v>
      </c>
      <c r="B636" t="s">
        <v>190</v>
      </c>
      <c r="C636">
        <v>13</v>
      </c>
      <c r="D636" t="s">
        <v>169</v>
      </c>
      <c r="E636" s="6">
        <f t="shared" si="72"/>
        <v>32</v>
      </c>
      <c r="F636" s="6">
        <f t="shared" si="73"/>
        <v>65</v>
      </c>
      <c r="G636" s="6">
        <f>ROUND(Catalogue!G35*SQRT((1+Paramètres!$B$4*(C636-1)+Paramètres!$B$5*(C636-1)^2)),0)</f>
        <v>0</v>
      </c>
      <c r="H636" s="6">
        <f>ROUND(Catalogue!H35*SQRT((1+Paramètres!$B$4*(C636-1)+Paramètres!$B$5*(C636-1)^2)),0)</f>
        <v>0</v>
      </c>
      <c r="I636" s="6">
        <v>3</v>
      </c>
      <c r="J636" s="6">
        <v>1</v>
      </c>
      <c r="K636" s="7">
        <v>5</v>
      </c>
      <c r="L636" s="9">
        <f t="shared" si="74"/>
        <v>48.5</v>
      </c>
      <c r="M636">
        <v>3</v>
      </c>
      <c r="N636">
        <v>12</v>
      </c>
      <c r="O636">
        <v>29</v>
      </c>
      <c r="P636" s="13" t="str">
        <f t="shared" si="75"/>
        <v>3d12 + 29</v>
      </c>
      <c r="Q636">
        <f>ROUND(INDEX(Catalogue!E$4:E$85,MATCH(A636,Catalogue!A$4:A$85,0))*(1+Paramètres!$B$4*(C636-1)+Paramètres!$B$5*(C636-1)^2),0)</f>
        <v>32</v>
      </c>
      <c r="R636">
        <f>ROUND(INDEX(Catalogue!F$4:F$85,MATCH(A636,Catalogue!A$4:A$85,0))*(1+Paramètres!$B$4*(C636-1)+Paramètres!$B$5*(C636-1)^2),0)</f>
        <v>65</v>
      </c>
      <c r="S636">
        <f t="shared" si="76"/>
        <v>0</v>
      </c>
      <c r="T636" t="str">
        <f t="shared" si="77"/>
        <v>OK</v>
      </c>
      <c r="U636" s="25">
        <f t="shared" si="78"/>
        <v>48.5</v>
      </c>
      <c r="V636" t="str">
        <f t="shared" si="79"/>
        <v>OK</v>
      </c>
    </row>
    <row r="637" spans="1:22" ht="18" customHeight="1">
      <c r="A637" t="s">
        <v>189</v>
      </c>
      <c r="B637" t="s">
        <v>190</v>
      </c>
      <c r="C637">
        <v>14</v>
      </c>
      <c r="D637" t="s">
        <v>169</v>
      </c>
      <c r="E637" s="6">
        <f t="shared" si="72"/>
        <v>36</v>
      </c>
      <c r="F637" s="6">
        <f t="shared" si="73"/>
        <v>72</v>
      </c>
      <c r="G637" s="6">
        <f>ROUND(Catalogue!G35*SQRT((1+Paramètres!$B$4*(C637-1)+Paramètres!$B$5*(C637-1)^2)),0)</f>
        <v>0</v>
      </c>
      <c r="H637" s="6">
        <f>ROUND(Catalogue!H35*SQRT((1+Paramètres!$B$4*(C637-1)+Paramètres!$B$5*(C637-1)^2)),0)</f>
        <v>0</v>
      </c>
      <c r="I637" s="6">
        <v>3</v>
      </c>
      <c r="J637" s="6">
        <v>1</v>
      </c>
      <c r="K637" s="7">
        <v>5</v>
      </c>
      <c r="L637" s="9">
        <f t="shared" si="74"/>
        <v>54</v>
      </c>
      <c r="M637">
        <v>4</v>
      </c>
      <c r="N637">
        <v>10</v>
      </c>
      <c r="O637">
        <v>32</v>
      </c>
      <c r="P637" s="13" t="str">
        <f t="shared" si="75"/>
        <v>4d10 + 32</v>
      </c>
      <c r="Q637">
        <f>ROUND(INDEX(Catalogue!E$4:E$85,MATCH(A637,Catalogue!A$4:A$85,0))*(1+Paramètres!$B$4*(C637-1)+Paramètres!$B$5*(C637-1)^2),0)</f>
        <v>36</v>
      </c>
      <c r="R637">
        <f>ROUND(INDEX(Catalogue!F$4:F$85,MATCH(A637,Catalogue!A$4:A$85,0))*(1+Paramètres!$B$4*(C637-1)+Paramètres!$B$5*(C637-1)^2),0)</f>
        <v>72</v>
      </c>
      <c r="S637">
        <f t="shared" si="76"/>
        <v>0</v>
      </c>
      <c r="T637" t="str">
        <f t="shared" si="77"/>
        <v>OK</v>
      </c>
      <c r="U637" s="25">
        <f t="shared" si="78"/>
        <v>54</v>
      </c>
      <c r="V637" t="str">
        <f t="shared" si="79"/>
        <v>OK</v>
      </c>
    </row>
    <row r="638" spans="1:22" ht="18" customHeight="1">
      <c r="A638" t="s">
        <v>189</v>
      </c>
      <c r="B638" t="s">
        <v>190</v>
      </c>
      <c r="C638">
        <v>15</v>
      </c>
      <c r="D638" t="s">
        <v>169</v>
      </c>
      <c r="E638" s="6">
        <f t="shared" si="72"/>
        <v>40</v>
      </c>
      <c r="F638" s="6">
        <f t="shared" si="73"/>
        <v>78</v>
      </c>
      <c r="G638" s="6">
        <f>ROUND(Catalogue!G35*SQRT((1+Paramètres!$B$4*(C638-1)+Paramètres!$B$5*(C638-1)^2)),0)</f>
        <v>0</v>
      </c>
      <c r="H638" s="6">
        <f>ROUND(Catalogue!H35*SQRT((1+Paramètres!$B$4*(C638-1)+Paramètres!$B$5*(C638-1)^2)),0)</f>
        <v>0</v>
      </c>
      <c r="I638" s="6">
        <v>3</v>
      </c>
      <c r="J638" s="6">
        <v>1</v>
      </c>
      <c r="K638" s="7">
        <v>5</v>
      </c>
      <c r="L638" s="9">
        <f t="shared" si="74"/>
        <v>59</v>
      </c>
      <c r="M638">
        <v>2</v>
      </c>
      <c r="N638">
        <v>20</v>
      </c>
      <c r="O638">
        <v>38</v>
      </c>
      <c r="P638" s="13" t="str">
        <f t="shared" si="75"/>
        <v>2d20 + 38</v>
      </c>
      <c r="Q638">
        <f>ROUND(INDEX(Catalogue!E$4:E$85,MATCH(A638,Catalogue!A$4:A$85,0))*(1+Paramètres!$B$4*(C638-1)+Paramètres!$B$5*(C638-1)^2),0)</f>
        <v>40</v>
      </c>
      <c r="R638">
        <f>ROUND(INDEX(Catalogue!F$4:F$85,MATCH(A638,Catalogue!A$4:A$85,0))*(1+Paramètres!$B$4*(C638-1)+Paramètres!$B$5*(C638-1)^2),0)</f>
        <v>79</v>
      </c>
      <c r="S638">
        <f t="shared" si="76"/>
        <v>-0.5</v>
      </c>
      <c r="T638" t="str">
        <f t="shared" si="77"/>
        <v>OK</v>
      </c>
      <c r="U638" s="25">
        <f t="shared" si="78"/>
        <v>59</v>
      </c>
      <c r="V638" t="str">
        <f t="shared" si="79"/>
        <v>OK</v>
      </c>
    </row>
    <row r="639" spans="1:22" ht="18" customHeight="1">
      <c r="A639" t="s">
        <v>189</v>
      </c>
      <c r="B639" t="s">
        <v>190</v>
      </c>
      <c r="C639">
        <v>16</v>
      </c>
      <c r="D639" t="s">
        <v>169</v>
      </c>
      <c r="E639" s="6">
        <f t="shared" si="72"/>
        <v>44</v>
      </c>
      <c r="F639" s="6">
        <f t="shared" si="73"/>
        <v>88</v>
      </c>
      <c r="G639" s="6">
        <f>ROUND(Catalogue!G35*SQRT((1+Paramètres!$B$4*(C639-1)+Paramètres!$B$5*(C639-1)^2)),0)</f>
        <v>0</v>
      </c>
      <c r="H639" s="6">
        <f>ROUND(Catalogue!H35*SQRT((1+Paramètres!$B$4*(C639-1)+Paramètres!$B$5*(C639-1)^2)),0)</f>
        <v>0</v>
      </c>
      <c r="I639" s="6">
        <v>3</v>
      </c>
      <c r="J639" s="6">
        <v>1</v>
      </c>
      <c r="K639" s="7">
        <v>5</v>
      </c>
      <c r="L639" s="9">
        <f t="shared" si="74"/>
        <v>66</v>
      </c>
      <c r="M639">
        <v>4</v>
      </c>
      <c r="N639">
        <v>12</v>
      </c>
      <c r="O639">
        <v>40</v>
      </c>
      <c r="P639" s="13" t="str">
        <f t="shared" si="75"/>
        <v>4d12 + 40</v>
      </c>
      <c r="Q639">
        <f>ROUND(INDEX(Catalogue!E$4:E$85,MATCH(A639,Catalogue!A$4:A$85,0))*(1+Paramètres!$B$4*(C639-1)+Paramètres!$B$5*(C639-1)^2),0)</f>
        <v>44</v>
      </c>
      <c r="R639">
        <f>ROUND(INDEX(Catalogue!F$4:F$85,MATCH(A639,Catalogue!A$4:A$85,0))*(1+Paramètres!$B$4*(C639-1)+Paramètres!$B$5*(C639-1)^2),0)</f>
        <v>88</v>
      </c>
      <c r="S639">
        <f t="shared" si="76"/>
        <v>0</v>
      </c>
      <c r="T639" t="str">
        <f t="shared" si="77"/>
        <v>OK</v>
      </c>
      <c r="U639" s="25">
        <f t="shared" si="78"/>
        <v>66</v>
      </c>
      <c r="V639" t="str">
        <f t="shared" si="79"/>
        <v>OK</v>
      </c>
    </row>
    <row r="640" spans="1:22" ht="18" customHeight="1">
      <c r="A640" t="s">
        <v>189</v>
      </c>
      <c r="B640" t="s">
        <v>190</v>
      </c>
      <c r="C640">
        <v>17</v>
      </c>
      <c r="D640" t="s">
        <v>169</v>
      </c>
      <c r="E640" s="6">
        <f t="shared" si="72"/>
        <v>49</v>
      </c>
      <c r="F640" s="6">
        <f t="shared" si="73"/>
        <v>94</v>
      </c>
      <c r="G640" s="6">
        <f>ROUND(Catalogue!G35*SQRT((1+Paramètres!$B$4*(C640-1)+Paramètres!$B$5*(C640-1)^2)),0)</f>
        <v>0</v>
      </c>
      <c r="H640" s="6">
        <f>ROUND(Catalogue!H35*SQRT((1+Paramètres!$B$4*(C640-1)+Paramètres!$B$5*(C640-1)^2)),0)</f>
        <v>0</v>
      </c>
      <c r="I640" s="6">
        <v>3</v>
      </c>
      <c r="J640" s="6">
        <v>1</v>
      </c>
      <c r="K640" s="7">
        <v>5</v>
      </c>
      <c r="L640" s="9">
        <f t="shared" si="74"/>
        <v>71.5</v>
      </c>
      <c r="M640">
        <v>5</v>
      </c>
      <c r="N640">
        <v>10</v>
      </c>
      <c r="O640">
        <v>44</v>
      </c>
      <c r="P640" s="13" t="str">
        <f t="shared" si="75"/>
        <v>5d10 + 44</v>
      </c>
      <c r="Q640">
        <f>ROUND(INDEX(Catalogue!E$4:E$85,MATCH(A640,Catalogue!A$4:A$85,0))*(1+Paramètres!$B$4*(C640-1)+Paramètres!$B$5*(C640-1)^2),0)</f>
        <v>48</v>
      </c>
      <c r="R640">
        <f>ROUND(INDEX(Catalogue!F$4:F$85,MATCH(A640,Catalogue!A$4:A$85,0))*(1+Paramètres!$B$4*(C640-1)+Paramètres!$B$5*(C640-1)^2),0)</f>
        <v>96</v>
      </c>
      <c r="S640">
        <f t="shared" si="76"/>
        <v>-0.5</v>
      </c>
      <c r="T640" t="str">
        <f t="shared" si="77"/>
        <v>OK</v>
      </c>
      <c r="U640" s="25">
        <f t="shared" si="78"/>
        <v>71.5</v>
      </c>
      <c r="V640" t="str">
        <f t="shared" si="79"/>
        <v>OK</v>
      </c>
    </row>
    <row r="641" spans="1:22" ht="18" customHeight="1">
      <c r="A641" t="s">
        <v>189</v>
      </c>
      <c r="B641" t="s">
        <v>190</v>
      </c>
      <c r="C641">
        <v>18</v>
      </c>
      <c r="D641" t="s">
        <v>169</v>
      </c>
      <c r="E641" s="6">
        <f t="shared" si="72"/>
        <v>51</v>
      </c>
      <c r="F641" s="6">
        <f t="shared" si="73"/>
        <v>105</v>
      </c>
      <c r="G641" s="6">
        <f>ROUND(Catalogue!G35*SQRT((1+Paramètres!$B$4*(C641-1)+Paramètres!$B$5*(C641-1)^2)),0)</f>
        <v>0</v>
      </c>
      <c r="H641" s="6">
        <f>ROUND(Catalogue!H35*SQRT((1+Paramètres!$B$4*(C641-1)+Paramètres!$B$5*(C641-1)^2)),0)</f>
        <v>0</v>
      </c>
      <c r="I641" s="6">
        <v>3</v>
      </c>
      <c r="J641" s="6">
        <v>1</v>
      </c>
      <c r="K641" s="7">
        <v>5</v>
      </c>
      <c r="L641" s="9">
        <f t="shared" si="74"/>
        <v>78</v>
      </c>
      <c r="M641">
        <v>6</v>
      </c>
      <c r="N641">
        <v>10</v>
      </c>
      <c r="O641">
        <v>45</v>
      </c>
      <c r="P641" s="13" t="str">
        <f t="shared" si="75"/>
        <v>6d10 + 45</v>
      </c>
      <c r="Q641">
        <f>ROUND(INDEX(Catalogue!E$4:E$85,MATCH(A641,Catalogue!A$4:A$85,0))*(1+Paramètres!$B$4*(C641-1)+Paramètres!$B$5*(C641-1)^2),0)</f>
        <v>52</v>
      </c>
      <c r="R641">
        <f>ROUND(INDEX(Catalogue!F$4:F$85,MATCH(A641,Catalogue!A$4:A$85,0))*(1+Paramètres!$B$4*(C641-1)+Paramètres!$B$5*(C641-1)^2),0)</f>
        <v>105</v>
      </c>
      <c r="S641">
        <f t="shared" si="76"/>
        <v>-0.5</v>
      </c>
      <c r="T641" t="str">
        <f t="shared" si="77"/>
        <v>OK</v>
      </c>
      <c r="U641" s="25">
        <f t="shared" si="78"/>
        <v>78</v>
      </c>
      <c r="V641" t="str">
        <f t="shared" si="79"/>
        <v>OK</v>
      </c>
    </row>
    <row r="642" spans="1:22" ht="18" customHeight="1">
      <c r="A642" t="s">
        <v>189</v>
      </c>
      <c r="B642" t="s">
        <v>190</v>
      </c>
      <c r="C642">
        <v>19</v>
      </c>
      <c r="D642" t="s">
        <v>169</v>
      </c>
      <c r="E642" s="6">
        <f t="shared" si="72"/>
        <v>57</v>
      </c>
      <c r="F642" s="6">
        <f t="shared" si="73"/>
        <v>114</v>
      </c>
      <c r="G642" s="6">
        <f>ROUND(Catalogue!G35*SQRT((1+Paramètres!$B$4*(C642-1)+Paramètres!$B$5*(C642-1)^2)),0)</f>
        <v>0</v>
      </c>
      <c r="H642" s="6">
        <f>ROUND(Catalogue!H35*SQRT((1+Paramètres!$B$4*(C642-1)+Paramètres!$B$5*(C642-1)^2)),0)</f>
        <v>0</v>
      </c>
      <c r="I642" s="6">
        <v>3</v>
      </c>
      <c r="J642" s="6">
        <v>1</v>
      </c>
      <c r="K642" s="7">
        <v>5</v>
      </c>
      <c r="L642" s="9">
        <f t="shared" si="74"/>
        <v>85.5</v>
      </c>
      <c r="M642">
        <v>3</v>
      </c>
      <c r="N642">
        <v>20</v>
      </c>
      <c r="O642">
        <v>54</v>
      </c>
      <c r="P642" s="13" t="str">
        <f t="shared" si="75"/>
        <v>3d20 + 54</v>
      </c>
      <c r="Q642">
        <f>ROUND(INDEX(Catalogue!E$4:E$85,MATCH(A642,Catalogue!A$4:A$85,0))*(1+Paramètres!$B$4*(C642-1)+Paramètres!$B$5*(C642-1)^2),0)</f>
        <v>57</v>
      </c>
      <c r="R642">
        <f>ROUND(INDEX(Catalogue!F$4:F$85,MATCH(A642,Catalogue!A$4:A$85,0))*(1+Paramètres!$B$4*(C642-1)+Paramètres!$B$5*(C642-1)^2),0)</f>
        <v>114</v>
      </c>
      <c r="S642">
        <f t="shared" si="76"/>
        <v>0</v>
      </c>
      <c r="T642" t="str">
        <f t="shared" si="77"/>
        <v>OK</v>
      </c>
      <c r="U642" s="25">
        <f t="shared" si="78"/>
        <v>85.5</v>
      </c>
      <c r="V642" t="str">
        <f t="shared" si="79"/>
        <v>OK</v>
      </c>
    </row>
    <row r="643" spans="1:22" ht="18" customHeight="1">
      <c r="A643" t="s">
        <v>189</v>
      </c>
      <c r="B643" t="s">
        <v>190</v>
      </c>
      <c r="C643">
        <v>20</v>
      </c>
      <c r="D643" t="s">
        <v>169</v>
      </c>
      <c r="E643" s="6">
        <f t="shared" si="72"/>
        <v>60</v>
      </c>
      <c r="F643" s="6">
        <f t="shared" si="73"/>
        <v>126</v>
      </c>
      <c r="G643" s="6">
        <f>ROUND(Catalogue!G35*SQRT((1+Paramètres!$B$4*(C643-1)+Paramètres!$B$5*(C643-1)^2)),0)</f>
        <v>0</v>
      </c>
      <c r="H643" s="6">
        <f>ROUND(Catalogue!H35*SQRT((1+Paramètres!$B$4*(C643-1)+Paramètres!$B$5*(C643-1)^2)),0)</f>
        <v>0</v>
      </c>
      <c r="I643" s="6">
        <v>3</v>
      </c>
      <c r="J643" s="6">
        <v>1</v>
      </c>
      <c r="K643" s="7">
        <v>5</v>
      </c>
      <c r="L643" s="9">
        <f t="shared" si="74"/>
        <v>93</v>
      </c>
      <c r="M643">
        <v>6</v>
      </c>
      <c r="N643">
        <v>12</v>
      </c>
      <c r="O643">
        <v>54</v>
      </c>
      <c r="P643" s="13" t="str">
        <f t="shared" si="75"/>
        <v>6d12 + 54</v>
      </c>
      <c r="Q643">
        <f>ROUND(INDEX(Catalogue!E$4:E$85,MATCH(A643,Catalogue!A$4:A$85,0))*(1+Paramètres!$B$4*(C643-1)+Paramètres!$B$5*(C643-1)^2),0)</f>
        <v>62</v>
      </c>
      <c r="R643">
        <f>ROUND(INDEX(Catalogue!F$4:F$85,MATCH(A643,Catalogue!A$4:A$85,0))*(1+Paramètres!$B$4*(C643-1)+Paramètres!$B$5*(C643-1)^2),0)</f>
        <v>124</v>
      </c>
      <c r="S643">
        <f t="shared" si="76"/>
        <v>0</v>
      </c>
      <c r="T643" t="str">
        <f t="shared" si="77"/>
        <v>OK</v>
      </c>
      <c r="U643" s="25">
        <f t="shared" si="78"/>
        <v>93</v>
      </c>
      <c r="V643" t="str">
        <f t="shared" si="79"/>
        <v>OK</v>
      </c>
    </row>
    <row r="644" spans="1:22" ht="18" customHeight="1">
      <c r="A644" t="s">
        <v>193</v>
      </c>
      <c r="B644" t="s">
        <v>194</v>
      </c>
      <c r="C644">
        <v>1</v>
      </c>
      <c r="D644" t="s">
        <v>169</v>
      </c>
      <c r="E644" s="6">
        <f t="shared" ref="E644:E707" si="80">IF(M644=0,0,M644+O644)</f>
        <v>7</v>
      </c>
      <c r="F644" s="6">
        <f t="shared" ref="F644:F707" si="81">IF(M644=0,0,M644*N644+O644)</f>
        <v>12</v>
      </c>
      <c r="G644" s="6">
        <f>ROUND(Catalogue!G36*SQRT((1+Paramètres!$B$4*(C644-1)+Paramètres!$B$5*(C644-1)^2)),0)</f>
        <v>0</v>
      </c>
      <c r="H644" s="6">
        <f>ROUND(Catalogue!H36*SQRT((1+Paramètres!$B$4*(C644-1)+Paramètres!$B$5*(C644-1)^2)),0)</f>
        <v>0</v>
      </c>
      <c r="I644" s="6">
        <v>3</v>
      </c>
      <c r="J644" s="6">
        <v>1</v>
      </c>
      <c r="K644" s="7">
        <v>4.3</v>
      </c>
      <c r="L644" s="9">
        <f t="shared" ref="L644:L707" si="82">IF(M644=0,0,(E644+F644)/2)</f>
        <v>9.5</v>
      </c>
      <c r="M644">
        <v>1</v>
      </c>
      <c r="N644">
        <v>6</v>
      </c>
      <c r="O644">
        <v>6</v>
      </c>
      <c r="P644" s="13" t="str">
        <f t="shared" ref="P644:P707" si="83">IF(M644=0,"—",M644&amp;"d"&amp;N644&amp;IF(O644=0,""," + "&amp;O644))</f>
        <v>1d6 + 6</v>
      </c>
      <c r="Q644">
        <f>ROUND(INDEX(Catalogue!E$4:E$85,MATCH(A644,Catalogue!A$4:A$85,0))*(1+Paramètres!$B$4*(C644-1)+Paramètres!$B$5*(C644-1)^2),0)</f>
        <v>7</v>
      </c>
      <c r="R644">
        <f>ROUND(INDEX(Catalogue!F$4:F$85,MATCH(A644,Catalogue!A$4:A$85,0))*(1+Paramètres!$B$4*(C644-1)+Paramètres!$B$5*(C644-1)^2),0)</f>
        <v>12</v>
      </c>
      <c r="S644">
        <f t="shared" ref="S644:S707" si="84">L644-AVERAGE(Q644:R644)</f>
        <v>0</v>
      </c>
      <c r="T644" t="str">
        <f t="shared" ref="T644:T707" si="85">IF(M644=0,IF(AND(N644=0,O644=0,E644=0,F644=0),"OK","ERREUR"),IF(AND(M644&gt;=1,M644&lt;=32,OR(N644=4,N644=6,N644=8,N644=10,N644=12,N644=20),O644&gt;=0,E644=M644+O644,F644=M644*N644+O644),"OK","ERREUR"))</f>
        <v>OK</v>
      </c>
      <c r="U644" s="25">
        <f t="shared" ref="U644:U707" si="86">IF(M644&gt;0,M644*(N644+1)/2+O644,0)</f>
        <v>9.5</v>
      </c>
      <c r="V644" t="str">
        <f t="shared" ref="V644:V707" si="87">IF(ABS(L644-U644)&lt;0.001,"OK","ERREUR")</f>
        <v>OK</v>
      </c>
    </row>
    <row r="645" spans="1:22" ht="18" customHeight="1">
      <c r="A645" t="s">
        <v>193</v>
      </c>
      <c r="B645" t="s">
        <v>194</v>
      </c>
      <c r="C645">
        <v>2</v>
      </c>
      <c r="D645" t="s">
        <v>169</v>
      </c>
      <c r="E645" s="6">
        <f t="shared" si="80"/>
        <v>9</v>
      </c>
      <c r="F645" s="6">
        <f t="shared" si="81"/>
        <v>14</v>
      </c>
      <c r="G645" s="6">
        <f>ROUND(Catalogue!G36*SQRT((1+Paramètres!$B$4*(C645-1)+Paramètres!$B$5*(C645-1)^2)),0)</f>
        <v>0</v>
      </c>
      <c r="H645" s="6">
        <f>ROUND(Catalogue!H36*SQRT((1+Paramètres!$B$4*(C645-1)+Paramètres!$B$5*(C645-1)^2)),0)</f>
        <v>0</v>
      </c>
      <c r="I645" s="6">
        <v>3</v>
      </c>
      <c r="J645" s="6">
        <v>1</v>
      </c>
      <c r="K645" s="7">
        <v>4.3</v>
      </c>
      <c r="L645" s="9">
        <f t="shared" si="82"/>
        <v>11.5</v>
      </c>
      <c r="M645">
        <v>1</v>
      </c>
      <c r="N645">
        <v>6</v>
      </c>
      <c r="O645">
        <v>8</v>
      </c>
      <c r="P645" s="13" t="str">
        <f t="shared" si="83"/>
        <v>1d6 + 8</v>
      </c>
      <c r="Q645">
        <f>ROUND(INDEX(Catalogue!E$4:E$85,MATCH(A645,Catalogue!A$4:A$85,0))*(1+Paramètres!$B$4*(C645-1)+Paramètres!$B$5*(C645-1)^2),0)</f>
        <v>8</v>
      </c>
      <c r="R645">
        <f>ROUND(INDEX(Catalogue!F$4:F$85,MATCH(A645,Catalogue!A$4:A$85,0))*(1+Paramètres!$B$4*(C645-1)+Paramètres!$B$5*(C645-1)^2),0)</f>
        <v>14</v>
      </c>
      <c r="S645">
        <f t="shared" si="84"/>
        <v>0.5</v>
      </c>
      <c r="T645" t="str">
        <f t="shared" si="85"/>
        <v>OK</v>
      </c>
      <c r="U645" s="25">
        <f t="shared" si="86"/>
        <v>11.5</v>
      </c>
      <c r="V645" t="str">
        <f t="shared" si="87"/>
        <v>OK</v>
      </c>
    </row>
    <row r="646" spans="1:22" ht="18" customHeight="1">
      <c r="A646" t="s">
        <v>193</v>
      </c>
      <c r="B646" t="s">
        <v>194</v>
      </c>
      <c r="C646">
        <v>3</v>
      </c>
      <c r="D646" t="s">
        <v>169</v>
      </c>
      <c r="E646" s="6">
        <f t="shared" si="80"/>
        <v>9</v>
      </c>
      <c r="F646" s="6">
        <f t="shared" si="81"/>
        <v>14</v>
      </c>
      <c r="G646" s="6">
        <f>ROUND(Catalogue!G36*SQRT((1+Paramètres!$B$4*(C646-1)+Paramètres!$B$5*(C646-1)^2)),0)</f>
        <v>0</v>
      </c>
      <c r="H646" s="6">
        <f>ROUND(Catalogue!H36*SQRT((1+Paramètres!$B$4*(C646-1)+Paramètres!$B$5*(C646-1)^2)),0)</f>
        <v>0</v>
      </c>
      <c r="I646" s="6">
        <v>3</v>
      </c>
      <c r="J646" s="6">
        <v>1</v>
      </c>
      <c r="K646" s="7">
        <v>4.3</v>
      </c>
      <c r="L646" s="9">
        <f t="shared" si="82"/>
        <v>11.5</v>
      </c>
      <c r="M646">
        <v>1</v>
      </c>
      <c r="N646">
        <v>6</v>
      </c>
      <c r="O646">
        <v>8</v>
      </c>
      <c r="P646" s="13" t="str">
        <f t="shared" si="83"/>
        <v>1d6 + 8</v>
      </c>
      <c r="Q646">
        <f>ROUND(INDEX(Catalogue!E$4:E$85,MATCH(A646,Catalogue!A$4:A$85,0))*(1+Paramètres!$B$4*(C646-1)+Paramètres!$B$5*(C646-1)^2),0)</f>
        <v>9</v>
      </c>
      <c r="R646">
        <f>ROUND(INDEX(Catalogue!F$4:F$85,MATCH(A646,Catalogue!A$4:A$85,0))*(1+Paramètres!$B$4*(C646-1)+Paramètres!$B$5*(C646-1)^2),0)</f>
        <v>15</v>
      </c>
      <c r="S646">
        <f t="shared" si="84"/>
        <v>-0.5</v>
      </c>
      <c r="T646" t="str">
        <f t="shared" si="85"/>
        <v>OK</v>
      </c>
      <c r="U646" s="25">
        <f t="shared" si="86"/>
        <v>11.5</v>
      </c>
      <c r="V646" t="str">
        <f t="shared" si="87"/>
        <v>OK</v>
      </c>
    </row>
    <row r="647" spans="1:22" ht="18" customHeight="1">
      <c r="A647" t="s">
        <v>193</v>
      </c>
      <c r="B647" t="s">
        <v>194</v>
      </c>
      <c r="C647">
        <v>4</v>
      </c>
      <c r="D647" t="s">
        <v>169</v>
      </c>
      <c r="E647" s="6">
        <f t="shared" si="80"/>
        <v>10</v>
      </c>
      <c r="F647" s="6">
        <f t="shared" si="81"/>
        <v>17</v>
      </c>
      <c r="G647" s="6">
        <f>ROUND(Catalogue!G36*SQRT((1+Paramètres!$B$4*(C647-1)+Paramètres!$B$5*(C647-1)^2)),0)</f>
        <v>0</v>
      </c>
      <c r="H647" s="6">
        <f>ROUND(Catalogue!H36*SQRT((1+Paramètres!$B$4*(C647-1)+Paramètres!$B$5*(C647-1)^2)),0)</f>
        <v>0</v>
      </c>
      <c r="I647" s="6">
        <v>3</v>
      </c>
      <c r="J647" s="6">
        <v>1</v>
      </c>
      <c r="K647" s="7">
        <v>4.3</v>
      </c>
      <c r="L647" s="9">
        <f t="shared" si="82"/>
        <v>13.5</v>
      </c>
      <c r="M647">
        <v>1</v>
      </c>
      <c r="N647">
        <v>8</v>
      </c>
      <c r="O647">
        <v>9</v>
      </c>
      <c r="P647" s="13" t="str">
        <f t="shared" si="83"/>
        <v>1d8 + 9</v>
      </c>
      <c r="Q647">
        <f>ROUND(INDEX(Catalogue!E$4:E$85,MATCH(A647,Catalogue!A$4:A$85,0))*(1+Paramètres!$B$4*(C647-1)+Paramètres!$B$5*(C647-1)^2),0)</f>
        <v>10</v>
      </c>
      <c r="R647">
        <f>ROUND(INDEX(Catalogue!F$4:F$85,MATCH(A647,Catalogue!A$4:A$85,0))*(1+Paramètres!$B$4*(C647-1)+Paramètres!$B$5*(C647-1)^2),0)</f>
        <v>18</v>
      </c>
      <c r="S647">
        <f t="shared" si="84"/>
        <v>-0.5</v>
      </c>
      <c r="T647" t="str">
        <f t="shared" si="85"/>
        <v>OK</v>
      </c>
      <c r="U647" s="25">
        <f t="shared" si="86"/>
        <v>13.5</v>
      </c>
      <c r="V647" t="str">
        <f t="shared" si="87"/>
        <v>OK</v>
      </c>
    </row>
    <row r="648" spans="1:22" ht="18" customHeight="1">
      <c r="A648" t="s">
        <v>193</v>
      </c>
      <c r="B648" t="s">
        <v>194</v>
      </c>
      <c r="C648">
        <v>5</v>
      </c>
      <c r="D648" t="s">
        <v>169</v>
      </c>
      <c r="E648" s="6">
        <f t="shared" si="80"/>
        <v>12</v>
      </c>
      <c r="F648" s="6">
        <f t="shared" si="81"/>
        <v>19</v>
      </c>
      <c r="G648" s="6">
        <f>ROUND(Catalogue!G36*SQRT((1+Paramètres!$B$4*(C648-1)+Paramètres!$B$5*(C648-1)^2)),0)</f>
        <v>0</v>
      </c>
      <c r="H648" s="6">
        <f>ROUND(Catalogue!H36*SQRT((1+Paramètres!$B$4*(C648-1)+Paramètres!$B$5*(C648-1)^2)),0)</f>
        <v>0</v>
      </c>
      <c r="I648" s="6">
        <v>3</v>
      </c>
      <c r="J648" s="6">
        <v>1</v>
      </c>
      <c r="K648" s="7">
        <v>4.3</v>
      </c>
      <c r="L648" s="9">
        <f t="shared" si="82"/>
        <v>15.5</v>
      </c>
      <c r="M648">
        <v>1</v>
      </c>
      <c r="N648">
        <v>8</v>
      </c>
      <c r="O648">
        <v>11</v>
      </c>
      <c r="P648" s="13" t="str">
        <f t="shared" si="83"/>
        <v>1d8 + 11</v>
      </c>
      <c r="Q648">
        <f>ROUND(INDEX(Catalogue!E$4:E$85,MATCH(A648,Catalogue!A$4:A$85,0))*(1+Paramètres!$B$4*(C648-1)+Paramètres!$B$5*(C648-1)^2),0)</f>
        <v>12</v>
      </c>
      <c r="R648">
        <f>ROUND(INDEX(Catalogue!F$4:F$85,MATCH(A648,Catalogue!A$4:A$85,0))*(1+Paramètres!$B$4*(C648-1)+Paramètres!$B$5*(C648-1)^2),0)</f>
        <v>20</v>
      </c>
      <c r="S648">
        <f t="shared" si="84"/>
        <v>-0.5</v>
      </c>
      <c r="T648" t="str">
        <f t="shared" si="85"/>
        <v>OK</v>
      </c>
      <c r="U648" s="25">
        <f t="shared" si="86"/>
        <v>15.5</v>
      </c>
      <c r="V648" t="str">
        <f t="shared" si="87"/>
        <v>OK</v>
      </c>
    </row>
    <row r="649" spans="1:22" ht="18" customHeight="1">
      <c r="A649" t="s">
        <v>193</v>
      </c>
      <c r="B649" t="s">
        <v>194</v>
      </c>
      <c r="C649">
        <v>6</v>
      </c>
      <c r="D649" t="s">
        <v>169</v>
      </c>
      <c r="E649" s="6">
        <f t="shared" si="80"/>
        <v>14</v>
      </c>
      <c r="F649" s="6">
        <f t="shared" si="81"/>
        <v>23</v>
      </c>
      <c r="G649" s="6">
        <f>ROUND(Catalogue!G36*SQRT((1+Paramètres!$B$4*(C649-1)+Paramètres!$B$5*(C649-1)^2)),0)</f>
        <v>0</v>
      </c>
      <c r="H649" s="6">
        <f>ROUND(Catalogue!H36*SQRT((1+Paramètres!$B$4*(C649-1)+Paramètres!$B$5*(C649-1)^2)),0)</f>
        <v>0</v>
      </c>
      <c r="I649" s="6">
        <v>3</v>
      </c>
      <c r="J649" s="6">
        <v>1</v>
      </c>
      <c r="K649" s="7">
        <v>4.3</v>
      </c>
      <c r="L649" s="9">
        <f t="shared" si="82"/>
        <v>18.5</v>
      </c>
      <c r="M649">
        <v>1</v>
      </c>
      <c r="N649">
        <v>10</v>
      </c>
      <c r="O649">
        <v>13</v>
      </c>
      <c r="P649" s="13" t="str">
        <f t="shared" si="83"/>
        <v>1d10 + 13</v>
      </c>
      <c r="Q649">
        <f>ROUND(INDEX(Catalogue!E$4:E$85,MATCH(A649,Catalogue!A$4:A$85,0))*(1+Paramètres!$B$4*(C649-1)+Paramètres!$B$5*(C649-1)^2),0)</f>
        <v>14</v>
      </c>
      <c r="R649">
        <f>ROUND(INDEX(Catalogue!F$4:F$85,MATCH(A649,Catalogue!A$4:A$85,0))*(1+Paramètres!$B$4*(C649-1)+Paramètres!$B$5*(C649-1)^2),0)</f>
        <v>23</v>
      </c>
      <c r="S649">
        <f t="shared" si="84"/>
        <v>0</v>
      </c>
      <c r="T649" t="str">
        <f t="shared" si="85"/>
        <v>OK</v>
      </c>
      <c r="U649" s="25">
        <f t="shared" si="86"/>
        <v>18.5</v>
      </c>
      <c r="V649" t="str">
        <f t="shared" si="87"/>
        <v>OK</v>
      </c>
    </row>
    <row r="650" spans="1:22" ht="18" customHeight="1">
      <c r="A650" t="s">
        <v>193</v>
      </c>
      <c r="B650" t="s">
        <v>194</v>
      </c>
      <c r="C650">
        <v>7</v>
      </c>
      <c r="D650" t="s">
        <v>169</v>
      </c>
      <c r="E650" s="6">
        <f t="shared" si="80"/>
        <v>16</v>
      </c>
      <c r="F650" s="6">
        <f t="shared" si="81"/>
        <v>27</v>
      </c>
      <c r="G650" s="6">
        <f>ROUND(Catalogue!G36*SQRT((1+Paramètres!$B$4*(C650-1)+Paramètres!$B$5*(C650-1)^2)),0)</f>
        <v>0</v>
      </c>
      <c r="H650" s="6">
        <f>ROUND(Catalogue!H36*SQRT((1+Paramètres!$B$4*(C650-1)+Paramètres!$B$5*(C650-1)^2)),0)</f>
        <v>0</v>
      </c>
      <c r="I650" s="6">
        <v>3</v>
      </c>
      <c r="J650" s="6">
        <v>1</v>
      </c>
      <c r="K650" s="7">
        <v>4.3</v>
      </c>
      <c r="L650" s="9">
        <f t="shared" si="82"/>
        <v>21.5</v>
      </c>
      <c r="M650">
        <v>1</v>
      </c>
      <c r="N650">
        <v>12</v>
      </c>
      <c r="O650">
        <v>15</v>
      </c>
      <c r="P650" s="13" t="str">
        <f t="shared" si="83"/>
        <v>1d12 + 15</v>
      </c>
      <c r="Q650">
        <f>ROUND(INDEX(Catalogue!E$4:E$85,MATCH(A650,Catalogue!A$4:A$85,0))*(1+Paramètres!$B$4*(C650-1)+Paramètres!$B$5*(C650-1)^2),0)</f>
        <v>16</v>
      </c>
      <c r="R650">
        <f>ROUND(INDEX(Catalogue!F$4:F$85,MATCH(A650,Catalogue!A$4:A$85,0))*(1+Paramètres!$B$4*(C650-1)+Paramètres!$B$5*(C650-1)^2),0)</f>
        <v>27</v>
      </c>
      <c r="S650">
        <f t="shared" si="84"/>
        <v>0</v>
      </c>
      <c r="T650" t="str">
        <f t="shared" si="85"/>
        <v>OK</v>
      </c>
      <c r="U650" s="25">
        <f t="shared" si="86"/>
        <v>21.5</v>
      </c>
      <c r="V650" t="str">
        <f t="shared" si="87"/>
        <v>OK</v>
      </c>
    </row>
    <row r="651" spans="1:22" ht="18" customHeight="1">
      <c r="A651" t="s">
        <v>193</v>
      </c>
      <c r="B651" t="s">
        <v>194</v>
      </c>
      <c r="C651">
        <v>8</v>
      </c>
      <c r="D651" t="s">
        <v>169</v>
      </c>
      <c r="E651" s="6">
        <f t="shared" si="80"/>
        <v>18</v>
      </c>
      <c r="F651" s="6">
        <f t="shared" si="81"/>
        <v>32</v>
      </c>
      <c r="G651" s="6">
        <f>ROUND(Catalogue!G36*SQRT((1+Paramètres!$B$4*(C651-1)+Paramètres!$B$5*(C651-1)^2)),0)</f>
        <v>0</v>
      </c>
      <c r="H651" s="6">
        <f>ROUND(Catalogue!H36*SQRT((1+Paramètres!$B$4*(C651-1)+Paramètres!$B$5*(C651-1)^2)),0)</f>
        <v>0</v>
      </c>
      <c r="I651" s="6">
        <v>3</v>
      </c>
      <c r="J651" s="6">
        <v>1</v>
      </c>
      <c r="K651" s="7">
        <v>4.3</v>
      </c>
      <c r="L651" s="9">
        <f t="shared" si="82"/>
        <v>25</v>
      </c>
      <c r="M651">
        <v>2</v>
      </c>
      <c r="N651">
        <v>8</v>
      </c>
      <c r="O651">
        <v>16</v>
      </c>
      <c r="P651" s="13" t="str">
        <f t="shared" si="83"/>
        <v>2d8 + 16</v>
      </c>
      <c r="Q651">
        <f>ROUND(INDEX(Catalogue!E$4:E$85,MATCH(A651,Catalogue!A$4:A$85,0))*(1+Paramètres!$B$4*(C651-1)+Paramètres!$B$5*(C651-1)^2),0)</f>
        <v>18</v>
      </c>
      <c r="R651">
        <f>ROUND(INDEX(Catalogue!F$4:F$85,MATCH(A651,Catalogue!A$4:A$85,0))*(1+Paramètres!$B$4*(C651-1)+Paramètres!$B$5*(C651-1)^2),0)</f>
        <v>31</v>
      </c>
      <c r="S651">
        <f t="shared" si="84"/>
        <v>0.5</v>
      </c>
      <c r="T651" t="str">
        <f t="shared" si="85"/>
        <v>OK</v>
      </c>
      <c r="U651" s="25">
        <f t="shared" si="86"/>
        <v>25</v>
      </c>
      <c r="V651" t="str">
        <f t="shared" si="87"/>
        <v>OK</v>
      </c>
    </row>
    <row r="652" spans="1:22" ht="18" customHeight="1">
      <c r="A652" t="s">
        <v>193</v>
      </c>
      <c r="B652" t="s">
        <v>194</v>
      </c>
      <c r="C652">
        <v>9</v>
      </c>
      <c r="D652" t="s">
        <v>169</v>
      </c>
      <c r="E652" s="6">
        <f t="shared" si="80"/>
        <v>20</v>
      </c>
      <c r="F652" s="6">
        <f t="shared" si="81"/>
        <v>35</v>
      </c>
      <c r="G652" s="6">
        <f>ROUND(Catalogue!G36*SQRT((1+Paramètres!$B$4*(C652-1)+Paramètres!$B$5*(C652-1)^2)),0)</f>
        <v>0</v>
      </c>
      <c r="H652" s="6">
        <f>ROUND(Catalogue!H36*SQRT((1+Paramètres!$B$4*(C652-1)+Paramètres!$B$5*(C652-1)^2)),0)</f>
        <v>0</v>
      </c>
      <c r="I652" s="6">
        <v>3</v>
      </c>
      <c r="J652" s="6">
        <v>1</v>
      </c>
      <c r="K652" s="7">
        <v>4.3</v>
      </c>
      <c r="L652" s="9">
        <f t="shared" si="82"/>
        <v>27.5</v>
      </c>
      <c r="M652">
        <v>3</v>
      </c>
      <c r="N652">
        <v>6</v>
      </c>
      <c r="O652">
        <v>17</v>
      </c>
      <c r="P652" s="13" t="str">
        <f t="shared" si="83"/>
        <v>3d6 + 17</v>
      </c>
      <c r="Q652">
        <f>ROUND(INDEX(Catalogue!E$4:E$85,MATCH(A652,Catalogue!A$4:A$85,0))*(1+Paramètres!$B$4*(C652-1)+Paramètres!$B$5*(C652-1)^2),0)</f>
        <v>20</v>
      </c>
      <c r="R652">
        <f>ROUND(INDEX(Catalogue!F$4:F$85,MATCH(A652,Catalogue!A$4:A$85,0))*(1+Paramètres!$B$4*(C652-1)+Paramètres!$B$5*(C652-1)^2),0)</f>
        <v>35</v>
      </c>
      <c r="S652">
        <f t="shared" si="84"/>
        <v>0</v>
      </c>
      <c r="T652" t="str">
        <f t="shared" si="85"/>
        <v>OK</v>
      </c>
      <c r="U652" s="25">
        <f t="shared" si="86"/>
        <v>27.5</v>
      </c>
      <c r="V652" t="str">
        <f t="shared" si="87"/>
        <v>OK</v>
      </c>
    </row>
    <row r="653" spans="1:22" ht="18" customHeight="1">
      <c r="A653" t="s">
        <v>193</v>
      </c>
      <c r="B653" t="s">
        <v>194</v>
      </c>
      <c r="C653">
        <v>10</v>
      </c>
      <c r="D653" t="s">
        <v>169</v>
      </c>
      <c r="E653" s="6">
        <f t="shared" si="80"/>
        <v>23</v>
      </c>
      <c r="F653" s="6">
        <f t="shared" si="81"/>
        <v>38</v>
      </c>
      <c r="G653" s="6">
        <f>ROUND(Catalogue!G36*SQRT((1+Paramètres!$B$4*(C653-1)+Paramètres!$B$5*(C653-1)^2)),0)</f>
        <v>0</v>
      </c>
      <c r="H653" s="6">
        <f>ROUND(Catalogue!H36*SQRT((1+Paramètres!$B$4*(C653-1)+Paramètres!$B$5*(C653-1)^2)),0)</f>
        <v>0</v>
      </c>
      <c r="I653" s="6">
        <v>3</v>
      </c>
      <c r="J653" s="6">
        <v>1</v>
      </c>
      <c r="K653" s="7">
        <v>4.3</v>
      </c>
      <c r="L653" s="9">
        <f t="shared" si="82"/>
        <v>30.5</v>
      </c>
      <c r="M653">
        <v>3</v>
      </c>
      <c r="N653">
        <v>6</v>
      </c>
      <c r="O653">
        <v>20</v>
      </c>
      <c r="P653" s="13" t="str">
        <f t="shared" si="83"/>
        <v>3d6 + 20</v>
      </c>
      <c r="Q653">
        <f>ROUND(INDEX(Catalogue!E$4:E$85,MATCH(A653,Catalogue!A$4:A$85,0))*(1+Paramètres!$B$4*(C653-1)+Paramètres!$B$5*(C653-1)^2),0)</f>
        <v>23</v>
      </c>
      <c r="R653">
        <f>ROUND(INDEX(Catalogue!F$4:F$85,MATCH(A653,Catalogue!A$4:A$85,0))*(1+Paramètres!$B$4*(C653-1)+Paramètres!$B$5*(C653-1)^2),0)</f>
        <v>39</v>
      </c>
      <c r="S653">
        <f t="shared" si="84"/>
        <v>-0.5</v>
      </c>
      <c r="T653" t="str">
        <f t="shared" si="85"/>
        <v>OK</v>
      </c>
      <c r="U653" s="25">
        <f t="shared" si="86"/>
        <v>30.5</v>
      </c>
      <c r="V653" t="str">
        <f t="shared" si="87"/>
        <v>OK</v>
      </c>
    </row>
    <row r="654" spans="1:22" ht="18" customHeight="1">
      <c r="A654" t="s">
        <v>193</v>
      </c>
      <c r="B654" t="s">
        <v>194</v>
      </c>
      <c r="C654">
        <v>11</v>
      </c>
      <c r="D654" t="s">
        <v>169</v>
      </c>
      <c r="E654" s="6">
        <f t="shared" si="80"/>
        <v>26</v>
      </c>
      <c r="F654" s="6">
        <f t="shared" si="81"/>
        <v>44</v>
      </c>
      <c r="G654" s="6">
        <f>ROUND(Catalogue!G36*SQRT((1+Paramètres!$B$4*(C654-1)+Paramètres!$B$5*(C654-1)^2)),0)</f>
        <v>0</v>
      </c>
      <c r="H654" s="6">
        <f>ROUND(Catalogue!H36*SQRT((1+Paramètres!$B$4*(C654-1)+Paramètres!$B$5*(C654-1)^2)),0)</f>
        <v>0</v>
      </c>
      <c r="I654" s="6">
        <v>3</v>
      </c>
      <c r="J654" s="6">
        <v>1</v>
      </c>
      <c r="K654" s="7">
        <v>4.3</v>
      </c>
      <c r="L654" s="9">
        <f t="shared" si="82"/>
        <v>35</v>
      </c>
      <c r="M654">
        <v>2</v>
      </c>
      <c r="N654">
        <v>10</v>
      </c>
      <c r="O654">
        <v>24</v>
      </c>
      <c r="P654" s="13" t="str">
        <f t="shared" si="83"/>
        <v>2d10 + 24</v>
      </c>
      <c r="Q654">
        <f>ROUND(INDEX(Catalogue!E$4:E$85,MATCH(A654,Catalogue!A$4:A$85,0))*(1+Paramètres!$B$4*(C654-1)+Paramètres!$B$5*(C654-1)^2),0)</f>
        <v>26</v>
      </c>
      <c r="R654">
        <f>ROUND(INDEX(Catalogue!F$4:F$85,MATCH(A654,Catalogue!A$4:A$85,0))*(1+Paramètres!$B$4*(C654-1)+Paramètres!$B$5*(C654-1)^2),0)</f>
        <v>44</v>
      </c>
      <c r="S654">
        <f t="shared" si="84"/>
        <v>0</v>
      </c>
      <c r="T654" t="str">
        <f t="shared" si="85"/>
        <v>OK</v>
      </c>
      <c r="U654" s="25">
        <f t="shared" si="86"/>
        <v>35</v>
      </c>
      <c r="V654" t="str">
        <f t="shared" si="87"/>
        <v>OK</v>
      </c>
    </row>
    <row r="655" spans="1:22" ht="18" customHeight="1">
      <c r="A655" t="s">
        <v>193</v>
      </c>
      <c r="B655" t="s">
        <v>194</v>
      </c>
      <c r="C655">
        <v>12</v>
      </c>
      <c r="D655" t="s">
        <v>169</v>
      </c>
      <c r="E655" s="6">
        <f t="shared" si="80"/>
        <v>29</v>
      </c>
      <c r="F655" s="6">
        <f t="shared" si="81"/>
        <v>50</v>
      </c>
      <c r="G655" s="6">
        <f>ROUND(Catalogue!G36*SQRT((1+Paramètres!$B$4*(C655-1)+Paramètres!$B$5*(C655-1)^2)),0)</f>
        <v>0</v>
      </c>
      <c r="H655" s="6">
        <f>ROUND(Catalogue!H36*SQRT((1+Paramètres!$B$4*(C655-1)+Paramètres!$B$5*(C655-1)^2)),0)</f>
        <v>0</v>
      </c>
      <c r="I655" s="6">
        <v>3</v>
      </c>
      <c r="J655" s="6">
        <v>1</v>
      </c>
      <c r="K655" s="7">
        <v>4.3</v>
      </c>
      <c r="L655" s="9">
        <f t="shared" si="82"/>
        <v>39.5</v>
      </c>
      <c r="M655">
        <v>3</v>
      </c>
      <c r="N655">
        <v>8</v>
      </c>
      <c r="O655">
        <v>26</v>
      </c>
      <c r="P655" s="13" t="str">
        <f t="shared" si="83"/>
        <v>3d8 + 26</v>
      </c>
      <c r="Q655">
        <f>ROUND(INDEX(Catalogue!E$4:E$85,MATCH(A655,Catalogue!A$4:A$85,0))*(1+Paramètres!$B$4*(C655-1)+Paramètres!$B$5*(C655-1)^2),0)</f>
        <v>29</v>
      </c>
      <c r="R655">
        <f>ROUND(INDEX(Catalogue!F$4:F$85,MATCH(A655,Catalogue!A$4:A$85,0))*(1+Paramètres!$B$4*(C655-1)+Paramètres!$B$5*(C655-1)^2),0)</f>
        <v>50</v>
      </c>
      <c r="S655">
        <f t="shared" si="84"/>
        <v>0</v>
      </c>
      <c r="T655" t="str">
        <f t="shared" si="85"/>
        <v>OK</v>
      </c>
      <c r="U655" s="25">
        <f t="shared" si="86"/>
        <v>39.5</v>
      </c>
      <c r="V655" t="str">
        <f t="shared" si="87"/>
        <v>OK</v>
      </c>
    </row>
    <row r="656" spans="1:22" ht="18" customHeight="1">
      <c r="A656" t="s">
        <v>193</v>
      </c>
      <c r="B656" t="s">
        <v>194</v>
      </c>
      <c r="C656">
        <v>13</v>
      </c>
      <c r="D656" t="s">
        <v>169</v>
      </c>
      <c r="E656" s="6">
        <f t="shared" si="80"/>
        <v>32</v>
      </c>
      <c r="F656" s="6">
        <f t="shared" si="81"/>
        <v>54</v>
      </c>
      <c r="G656" s="6">
        <f>ROUND(Catalogue!G36*SQRT((1+Paramètres!$B$4*(C656-1)+Paramètres!$B$5*(C656-1)^2)),0)</f>
        <v>0</v>
      </c>
      <c r="H656" s="6">
        <f>ROUND(Catalogue!H36*SQRT((1+Paramètres!$B$4*(C656-1)+Paramètres!$B$5*(C656-1)^2)),0)</f>
        <v>0</v>
      </c>
      <c r="I656" s="6">
        <v>3</v>
      </c>
      <c r="J656" s="6">
        <v>1</v>
      </c>
      <c r="K656" s="7">
        <v>4.3</v>
      </c>
      <c r="L656" s="9">
        <f t="shared" si="82"/>
        <v>43</v>
      </c>
      <c r="M656">
        <v>2</v>
      </c>
      <c r="N656">
        <v>12</v>
      </c>
      <c r="O656">
        <v>30</v>
      </c>
      <c r="P656" s="13" t="str">
        <f t="shared" si="83"/>
        <v>2d12 + 30</v>
      </c>
      <c r="Q656">
        <f>ROUND(INDEX(Catalogue!E$4:E$85,MATCH(A656,Catalogue!A$4:A$85,0))*(1+Paramètres!$B$4*(C656-1)+Paramètres!$B$5*(C656-1)^2),0)</f>
        <v>32</v>
      </c>
      <c r="R656">
        <f>ROUND(INDEX(Catalogue!F$4:F$85,MATCH(A656,Catalogue!A$4:A$85,0))*(1+Paramètres!$B$4*(C656-1)+Paramètres!$B$5*(C656-1)^2),0)</f>
        <v>55</v>
      </c>
      <c r="S656">
        <f t="shared" si="84"/>
        <v>-0.5</v>
      </c>
      <c r="T656" t="str">
        <f t="shared" si="85"/>
        <v>OK</v>
      </c>
      <c r="U656" s="25">
        <f t="shared" si="86"/>
        <v>43</v>
      </c>
      <c r="V656" t="str">
        <f t="shared" si="87"/>
        <v>OK</v>
      </c>
    </row>
    <row r="657" spans="1:22" ht="18" customHeight="1">
      <c r="A657" t="s">
        <v>193</v>
      </c>
      <c r="B657" t="s">
        <v>194</v>
      </c>
      <c r="C657">
        <v>14</v>
      </c>
      <c r="D657" t="s">
        <v>169</v>
      </c>
      <c r="E657" s="6">
        <f t="shared" si="80"/>
        <v>35</v>
      </c>
      <c r="F657" s="6">
        <f t="shared" si="81"/>
        <v>62</v>
      </c>
      <c r="G657" s="6">
        <f>ROUND(Catalogue!G36*SQRT((1+Paramètres!$B$4*(C657-1)+Paramètres!$B$5*(C657-1)^2)),0)</f>
        <v>0</v>
      </c>
      <c r="H657" s="6">
        <f>ROUND(Catalogue!H36*SQRT((1+Paramètres!$B$4*(C657-1)+Paramètres!$B$5*(C657-1)^2)),0)</f>
        <v>0</v>
      </c>
      <c r="I657" s="6">
        <v>3</v>
      </c>
      <c r="J657" s="6">
        <v>1</v>
      </c>
      <c r="K657" s="7">
        <v>4.3</v>
      </c>
      <c r="L657" s="9">
        <f t="shared" si="82"/>
        <v>48.5</v>
      </c>
      <c r="M657">
        <v>3</v>
      </c>
      <c r="N657">
        <v>10</v>
      </c>
      <c r="O657">
        <v>32</v>
      </c>
      <c r="P657" s="13" t="str">
        <f t="shared" si="83"/>
        <v>3d10 + 32</v>
      </c>
      <c r="Q657">
        <f>ROUND(INDEX(Catalogue!E$4:E$85,MATCH(A657,Catalogue!A$4:A$85,0))*(1+Paramètres!$B$4*(C657-1)+Paramètres!$B$5*(C657-1)^2),0)</f>
        <v>36</v>
      </c>
      <c r="R657">
        <f>ROUND(INDEX(Catalogue!F$4:F$85,MATCH(A657,Catalogue!A$4:A$85,0))*(1+Paramètres!$B$4*(C657-1)+Paramètres!$B$5*(C657-1)^2),0)</f>
        <v>62</v>
      </c>
      <c r="S657">
        <f t="shared" si="84"/>
        <v>-0.5</v>
      </c>
      <c r="T657" t="str">
        <f t="shared" si="85"/>
        <v>OK</v>
      </c>
      <c r="U657" s="25">
        <f t="shared" si="86"/>
        <v>48.5</v>
      </c>
      <c r="V657" t="str">
        <f t="shared" si="87"/>
        <v>OK</v>
      </c>
    </row>
    <row r="658" spans="1:22" ht="18" customHeight="1">
      <c r="A658" t="s">
        <v>193</v>
      </c>
      <c r="B658" t="s">
        <v>194</v>
      </c>
      <c r="C658">
        <v>15</v>
      </c>
      <c r="D658" t="s">
        <v>169</v>
      </c>
      <c r="E658" s="6">
        <f t="shared" si="80"/>
        <v>40</v>
      </c>
      <c r="F658" s="6">
        <f t="shared" si="81"/>
        <v>68</v>
      </c>
      <c r="G658" s="6">
        <f>ROUND(Catalogue!G36*SQRT((1+Paramètres!$B$4*(C658-1)+Paramètres!$B$5*(C658-1)^2)),0)</f>
        <v>0</v>
      </c>
      <c r="H658" s="6">
        <f>ROUND(Catalogue!H36*SQRT((1+Paramètres!$B$4*(C658-1)+Paramètres!$B$5*(C658-1)^2)),0)</f>
        <v>0</v>
      </c>
      <c r="I658" s="6">
        <v>3</v>
      </c>
      <c r="J658" s="6">
        <v>1</v>
      </c>
      <c r="K658" s="7">
        <v>4.3</v>
      </c>
      <c r="L658" s="9">
        <f t="shared" si="82"/>
        <v>54</v>
      </c>
      <c r="M658">
        <v>4</v>
      </c>
      <c r="N658">
        <v>8</v>
      </c>
      <c r="O658">
        <v>36</v>
      </c>
      <c r="P658" s="13" t="str">
        <f t="shared" si="83"/>
        <v>4d8 + 36</v>
      </c>
      <c r="Q658">
        <f>ROUND(INDEX(Catalogue!E$4:E$85,MATCH(A658,Catalogue!A$4:A$85,0))*(1+Paramètres!$B$4*(C658-1)+Paramètres!$B$5*(C658-1)^2),0)</f>
        <v>40</v>
      </c>
      <c r="R658">
        <f>ROUND(INDEX(Catalogue!F$4:F$85,MATCH(A658,Catalogue!A$4:A$85,0))*(1+Paramètres!$B$4*(C658-1)+Paramètres!$B$5*(C658-1)^2),0)</f>
        <v>68</v>
      </c>
      <c r="S658">
        <f t="shared" si="84"/>
        <v>0</v>
      </c>
      <c r="T658" t="str">
        <f t="shared" si="85"/>
        <v>OK</v>
      </c>
      <c r="U658" s="25">
        <f t="shared" si="86"/>
        <v>54</v>
      </c>
      <c r="V658" t="str">
        <f t="shared" si="87"/>
        <v>OK</v>
      </c>
    </row>
    <row r="659" spans="1:22" ht="18" customHeight="1">
      <c r="A659" t="s">
        <v>193</v>
      </c>
      <c r="B659" t="s">
        <v>194</v>
      </c>
      <c r="C659">
        <v>16</v>
      </c>
      <c r="D659" t="s">
        <v>169</v>
      </c>
      <c r="E659" s="6">
        <f t="shared" si="80"/>
        <v>44</v>
      </c>
      <c r="F659" s="6">
        <f t="shared" si="81"/>
        <v>74</v>
      </c>
      <c r="G659" s="6">
        <f>ROUND(Catalogue!G36*SQRT((1+Paramètres!$B$4*(C659-1)+Paramètres!$B$5*(C659-1)^2)),0)</f>
        <v>0</v>
      </c>
      <c r="H659" s="6">
        <f>ROUND(Catalogue!H36*SQRT((1+Paramètres!$B$4*(C659-1)+Paramètres!$B$5*(C659-1)^2)),0)</f>
        <v>0</v>
      </c>
      <c r="I659" s="6">
        <v>3</v>
      </c>
      <c r="J659" s="6">
        <v>1</v>
      </c>
      <c r="K659" s="7">
        <v>4.3</v>
      </c>
      <c r="L659" s="9">
        <f t="shared" si="82"/>
        <v>59</v>
      </c>
      <c r="M659">
        <v>6</v>
      </c>
      <c r="N659">
        <v>6</v>
      </c>
      <c r="O659">
        <v>38</v>
      </c>
      <c r="P659" s="13" t="str">
        <f t="shared" si="83"/>
        <v>6d6 + 38</v>
      </c>
      <c r="Q659">
        <f>ROUND(INDEX(Catalogue!E$4:E$85,MATCH(A659,Catalogue!A$4:A$85,0))*(1+Paramètres!$B$4*(C659-1)+Paramètres!$B$5*(C659-1)^2),0)</f>
        <v>44</v>
      </c>
      <c r="R659">
        <f>ROUND(INDEX(Catalogue!F$4:F$85,MATCH(A659,Catalogue!A$4:A$85,0))*(1+Paramètres!$B$4*(C659-1)+Paramètres!$B$5*(C659-1)^2),0)</f>
        <v>75</v>
      </c>
      <c r="S659">
        <f t="shared" si="84"/>
        <v>-0.5</v>
      </c>
      <c r="T659" t="str">
        <f t="shared" si="85"/>
        <v>OK</v>
      </c>
      <c r="U659" s="25">
        <f t="shared" si="86"/>
        <v>59</v>
      </c>
      <c r="V659" t="str">
        <f t="shared" si="87"/>
        <v>OK</v>
      </c>
    </row>
    <row r="660" spans="1:22" ht="18" customHeight="1">
      <c r="A660" t="s">
        <v>193</v>
      </c>
      <c r="B660" t="s">
        <v>194</v>
      </c>
      <c r="C660">
        <v>17</v>
      </c>
      <c r="D660" t="s">
        <v>169</v>
      </c>
      <c r="E660" s="6">
        <f t="shared" si="80"/>
        <v>48</v>
      </c>
      <c r="F660" s="6">
        <f t="shared" si="81"/>
        <v>81</v>
      </c>
      <c r="G660" s="6">
        <f>ROUND(Catalogue!G36*SQRT((1+Paramètres!$B$4*(C660-1)+Paramètres!$B$5*(C660-1)^2)),0)</f>
        <v>0</v>
      </c>
      <c r="H660" s="6">
        <f>ROUND(Catalogue!H36*SQRT((1+Paramètres!$B$4*(C660-1)+Paramètres!$B$5*(C660-1)^2)),0)</f>
        <v>0</v>
      </c>
      <c r="I660" s="6">
        <v>3</v>
      </c>
      <c r="J660" s="6">
        <v>1</v>
      </c>
      <c r="K660" s="7">
        <v>4.3</v>
      </c>
      <c r="L660" s="9">
        <f t="shared" si="82"/>
        <v>64.5</v>
      </c>
      <c r="M660">
        <v>3</v>
      </c>
      <c r="N660">
        <v>12</v>
      </c>
      <c r="O660">
        <v>45</v>
      </c>
      <c r="P660" s="13" t="str">
        <f t="shared" si="83"/>
        <v>3d12 + 45</v>
      </c>
      <c r="Q660">
        <f>ROUND(INDEX(Catalogue!E$4:E$85,MATCH(A660,Catalogue!A$4:A$85,0))*(1+Paramètres!$B$4*(C660-1)+Paramètres!$B$5*(C660-1)^2),0)</f>
        <v>48</v>
      </c>
      <c r="R660">
        <f>ROUND(INDEX(Catalogue!F$4:F$85,MATCH(A660,Catalogue!A$4:A$85,0))*(1+Paramètres!$B$4*(C660-1)+Paramètres!$B$5*(C660-1)^2),0)</f>
        <v>82</v>
      </c>
      <c r="S660">
        <f t="shared" si="84"/>
        <v>-0.5</v>
      </c>
      <c r="T660" t="str">
        <f t="shared" si="85"/>
        <v>OK</v>
      </c>
      <c r="U660" s="25">
        <f t="shared" si="86"/>
        <v>64.5</v>
      </c>
      <c r="V660" t="str">
        <f t="shared" si="87"/>
        <v>OK</v>
      </c>
    </row>
    <row r="661" spans="1:22" ht="18" customHeight="1">
      <c r="A661" t="s">
        <v>193</v>
      </c>
      <c r="B661" t="s">
        <v>194</v>
      </c>
      <c r="C661">
        <v>18</v>
      </c>
      <c r="D661" t="s">
        <v>169</v>
      </c>
      <c r="E661" s="6">
        <f t="shared" si="80"/>
        <v>52</v>
      </c>
      <c r="F661" s="6">
        <f t="shared" si="81"/>
        <v>90</v>
      </c>
      <c r="G661" s="6">
        <f>ROUND(Catalogue!G36*SQRT((1+Paramètres!$B$4*(C661-1)+Paramètres!$B$5*(C661-1)^2)),0)</f>
        <v>0</v>
      </c>
      <c r="H661" s="6">
        <f>ROUND(Catalogue!H36*SQRT((1+Paramètres!$B$4*(C661-1)+Paramètres!$B$5*(C661-1)^2)),0)</f>
        <v>0</v>
      </c>
      <c r="I661" s="6">
        <v>3</v>
      </c>
      <c r="J661" s="6">
        <v>1</v>
      </c>
      <c r="K661" s="7">
        <v>4.3</v>
      </c>
      <c r="L661" s="9">
        <f t="shared" si="82"/>
        <v>71</v>
      </c>
      <c r="M661">
        <v>2</v>
      </c>
      <c r="N661">
        <v>20</v>
      </c>
      <c r="O661">
        <v>50</v>
      </c>
      <c r="P661" s="13" t="str">
        <f t="shared" si="83"/>
        <v>2d20 + 50</v>
      </c>
      <c r="Q661">
        <f>ROUND(INDEX(Catalogue!E$4:E$85,MATCH(A661,Catalogue!A$4:A$85,0))*(1+Paramètres!$B$4*(C661-1)+Paramètres!$B$5*(C661-1)^2),0)</f>
        <v>52</v>
      </c>
      <c r="R661">
        <f>ROUND(INDEX(Catalogue!F$4:F$85,MATCH(A661,Catalogue!A$4:A$85,0))*(1+Paramètres!$B$4*(C661-1)+Paramètres!$B$5*(C661-1)^2),0)</f>
        <v>90</v>
      </c>
      <c r="S661">
        <f t="shared" si="84"/>
        <v>0</v>
      </c>
      <c r="T661" t="str">
        <f t="shared" si="85"/>
        <v>OK</v>
      </c>
      <c r="U661" s="25">
        <f t="shared" si="86"/>
        <v>71</v>
      </c>
      <c r="V661" t="str">
        <f t="shared" si="87"/>
        <v>OK</v>
      </c>
    </row>
    <row r="662" spans="1:22" ht="18" customHeight="1">
      <c r="A662" t="s">
        <v>193</v>
      </c>
      <c r="B662" t="s">
        <v>194</v>
      </c>
      <c r="C662">
        <v>19</v>
      </c>
      <c r="D662" t="s">
        <v>169</v>
      </c>
      <c r="E662" s="6">
        <f t="shared" si="80"/>
        <v>56</v>
      </c>
      <c r="F662" s="6">
        <f t="shared" si="81"/>
        <v>98</v>
      </c>
      <c r="G662" s="6">
        <f>ROUND(Catalogue!G36*SQRT((1+Paramètres!$B$4*(C662-1)+Paramètres!$B$5*(C662-1)^2)),0)</f>
        <v>0</v>
      </c>
      <c r="H662" s="6">
        <f>ROUND(Catalogue!H36*SQRT((1+Paramètres!$B$4*(C662-1)+Paramètres!$B$5*(C662-1)^2)),0)</f>
        <v>0</v>
      </c>
      <c r="I662" s="6">
        <v>3</v>
      </c>
      <c r="J662" s="6">
        <v>1</v>
      </c>
      <c r="K662" s="7">
        <v>4.3</v>
      </c>
      <c r="L662" s="9">
        <f t="shared" si="82"/>
        <v>77</v>
      </c>
      <c r="M662">
        <v>6</v>
      </c>
      <c r="N662">
        <v>8</v>
      </c>
      <c r="O662">
        <v>50</v>
      </c>
      <c r="P662" s="13" t="str">
        <f t="shared" si="83"/>
        <v>6d8 + 50</v>
      </c>
      <c r="Q662">
        <f>ROUND(INDEX(Catalogue!E$4:E$85,MATCH(A662,Catalogue!A$4:A$85,0))*(1+Paramètres!$B$4*(C662-1)+Paramètres!$B$5*(C662-1)^2),0)</f>
        <v>57</v>
      </c>
      <c r="R662">
        <f>ROUND(INDEX(Catalogue!F$4:F$85,MATCH(A662,Catalogue!A$4:A$85,0))*(1+Paramètres!$B$4*(C662-1)+Paramètres!$B$5*(C662-1)^2),0)</f>
        <v>98</v>
      </c>
      <c r="S662">
        <f t="shared" si="84"/>
        <v>-0.5</v>
      </c>
      <c r="T662" t="str">
        <f t="shared" si="85"/>
        <v>OK</v>
      </c>
      <c r="U662" s="25">
        <f t="shared" si="86"/>
        <v>77</v>
      </c>
      <c r="V662" t="str">
        <f t="shared" si="87"/>
        <v>OK</v>
      </c>
    </row>
    <row r="663" spans="1:22" ht="18" customHeight="1">
      <c r="A663" t="s">
        <v>193</v>
      </c>
      <c r="B663" t="s">
        <v>194</v>
      </c>
      <c r="C663">
        <v>20</v>
      </c>
      <c r="D663" t="s">
        <v>169</v>
      </c>
      <c r="E663" s="6">
        <f t="shared" si="80"/>
        <v>62</v>
      </c>
      <c r="F663" s="6">
        <f t="shared" si="81"/>
        <v>106</v>
      </c>
      <c r="G663" s="6">
        <f>ROUND(Catalogue!G36*SQRT((1+Paramètres!$B$4*(C663-1)+Paramètres!$B$5*(C663-1)^2)),0)</f>
        <v>0</v>
      </c>
      <c r="H663" s="6">
        <f>ROUND(Catalogue!H36*SQRT((1+Paramètres!$B$4*(C663-1)+Paramètres!$B$5*(C663-1)^2)),0)</f>
        <v>0</v>
      </c>
      <c r="I663" s="6">
        <v>3</v>
      </c>
      <c r="J663" s="6">
        <v>1</v>
      </c>
      <c r="K663" s="7">
        <v>4.3</v>
      </c>
      <c r="L663" s="9">
        <f t="shared" si="82"/>
        <v>84</v>
      </c>
      <c r="M663">
        <v>4</v>
      </c>
      <c r="N663">
        <v>12</v>
      </c>
      <c r="O663">
        <v>58</v>
      </c>
      <c r="P663" s="13" t="str">
        <f t="shared" si="83"/>
        <v>4d12 + 58</v>
      </c>
      <c r="Q663">
        <f>ROUND(INDEX(Catalogue!E$4:E$85,MATCH(A663,Catalogue!A$4:A$85,0))*(1+Paramètres!$B$4*(C663-1)+Paramètres!$B$5*(C663-1)^2),0)</f>
        <v>62</v>
      </c>
      <c r="R663">
        <f>ROUND(INDEX(Catalogue!F$4:F$85,MATCH(A663,Catalogue!A$4:A$85,0))*(1+Paramètres!$B$4*(C663-1)+Paramètres!$B$5*(C663-1)^2),0)</f>
        <v>106</v>
      </c>
      <c r="S663">
        <f t="shared" si="84"/>
        <v>0</v>
      </c>
      <c r="T663" t="str">
        <f t="shared" si="85"/>
        <v>OK</v>
      </c>
      <c r="U663" s="25">
        <f t="shared" si="86"/>
        <v>84</v>
      </c>
      <c r="V663" t="str">
        <f t="shared" si="87"/>
        <v>OK</v>
      </c>
    </row>
    <row r="664" spans="1:22" ht="18" customHeight="1">
      <c r="A664" t="s">
        <v>196</v>
      </c>
      <c r="B664" t="s">
        <v>197</v>
      </c>
      <c r="C664">
        <v>1</v>
      </c>
      <c r="D664" t="s">
        <v>169</v>
      </c>
      <c r="E664" s="6">
        <f t="shared" si="80"/>
        <v>8</v>
      </c>
      <c r="F664" s="6">
        <f t="shared" si="81"/>
        <v>13</v>
      </c>
      <c r="G664" s="6">
        <f>ROUND(Catalogue!G37*SQRT((1+Paramètres!$B$4*(C664-1)+Paramètres!$B$5*(C664-1)^2)),0)</f>
        <v>0</v>
      </c>
      <c r="H664" s="6">
        <f>ROUND(Catalogue!H37*SQRT((1+Paramètres!$B$4*(C664-1)+Paramètres!$B$5*(C664-1)^2)),0)</f>
        <v>0</v>
      </c>
      <c r="I664" s="6">
        <v>3</v>
      </c>
      <c r="J664" s="6">
        <v>1</v>
      </c>
      <c r="K664" s="7">
        <v>5.3</v>
      </c>
      <c r="L664" s="9">
        <f t="shared" si="82"/>
        <v>10.5</v>
      </c>
      <c r="M664">
        <v>1</v>
      </c>
      <c r="N664">
        <v>6</v>
      </c>
      <c r="O664">
        <v>7</v>
      </c>
      <c r="P664" s="13" t="str">
        <f t="shared" si="83"/>
        <v>1d6 + 7</v>
      </c>
      <c r="Q664">
        <f>ROUND(INDEX(Catalogue!E$4:E$85,MATCH(A664,Catalogue!A$4:A$85,0))*(1+Paramètres!$B$4*(C664-1)+Paramètres!$B$5*(C664-1)^2),0)</f>
        <v>8</v>
      </c>
      <c r="R664">
        <f>ROUND(INDEX(Catalogue!F$4:F$85,MATCH(A664,Catalogue!A$4:A$85,0))*(1+Paramètres!$B$4*(C664-1)+Paramètres!$B$5*(C664-1)^2),0)</f>
        <v>13</v>
      </c>
      <c r="S664">
        <f t="shared" si="84"/>
        <v>0</v>
      </c>
      <c r="T664" t="str">
        <f t="shared" si="85"/>
        <v>OK</v>
      </c>
      <c r="U664" s="25">
        <f t="shared" si="86"/>
        <v>10.5</v>
      </c>
      <c r="V664" t="str">
        <f t="shared" si="87"/>
        <v>OK</v>
      </c>
    </row>
    <row r="665" spans="1:22" ht="18" customHeight="1">
      <c r="A665" t="s">
        <v>196</v>
      </c>
      <c r="B665" t="s">
        <v>197</v>
      </c>
      <c r="C665">
        <v>2</v>
      </c>
      <c r="D665" t="s">
        <v>169</v>
      </c>
      <c r="E665" s="6">
        <f t="shared" si="80"/>
        <v>9</v>
      </c>
      <c r="F665" s="6">
        <f t="shared" si="81"/>
        <v>14</v>
      </c>
      <c r="G665" s="6">
        <f>ROUND(Catalogue!G37*SQRT((1+Paramètres!$B$4*(C665-1)+Paramètres!$B$5*(C665-1)^2)),0)</f>
        <v>0</v>
      </c>
      <c r="H665" s="6">
        <f>ROUND(Catalogue!H37*SQRT((1+Paramètres!$B$4*(C665-1)+Paramètres!$B$5*(C665-1)^2)),0)</f>
        <v>0</v>
      </c>
      <c r="I665" s="6">
        <v>3</v>
      </c>
      <c r="J665" s="6">
        <v>1</v>
      </c>
      <c r="K665" s="7">
        <v>5.3</v>
      </c>
      <c r="L665" s="9">
        <f t="shared" si="82"/>
        <v>11.5</v>
      </c>
      <c r="M665">
        <v>1</v>
      </c>
      <c r="N665">
        <v>6</v>
      </c>
      <c r="O665">
        <v>8</v>
      </c>
      <c r="P665" s="13" t="str">
        <f t="shared" si="83"/>
        <v>1d6 + 8</v>
      </c>
      <c r="Q665">
        <f>ROUND(INDEX(Catalogue!E$4:E$85,MATCH(A665,Catalogue!A$4:A$85,0))*(1+Paramètres!$B$4*(C665-1)+Paramètres!$B$5*(C665-1)^2),0)</f>
        <v>9</v>
      </c>
      <c r="R665">
        <f>ROUND(INDEX(Catalogue!F$4:F$85,MATCH(A665,Catalogue!A$4:A$85,0))*(1+Paramètres!$B$4*(C665-1)+Paramètres!$B$5*(C665-1)^2),0)</f>
        <v>15</v>
      </c>
      <c r="S665">
        <f t="shared" si="84"/>
        <v>-0.5</v>
      </c>
      <c r="T665" t="str">
        <f t="shared" si="85"/>
        <v>OK</v>
      </c>
      <c r="U665" s="25">
        <f t="shared" si="86"/>
        <v>11.5</v>
      </c>
      <c r="V665" t="str">
        <f t="shared" si="87"/>
        <v>OK</v>
      </c>
    </row>
    <row r="666" spans="1:22" ht="18" customHeight="1">
      <c r="A666" t="s">
        <v>196</v>
      </c>
      <c r="B666" t="s">
        <v>197</v>
      </c>
      <c r="C666">
        <v>3</v>
      </c>
      <c r="D666" t="s">
        <v>169</v>
      </c>
      <c r="E666" s="6">
        <f t="shared" si="80"/>
        <v>10</v>
      </c>
      <c r="F666" s="6">
        <f t="shared" si="81"/>
        <v>17</v>
      </c>
      <c r="G666" s="6">
        <f>ROUND(Catalogue!G37*SQRT((1+Paramètres!$B$4*(C666-1)+Paramètres!$B$5*(C666-1)^2)),0)</f>
        <v>0</v>
      </c>
      <c r="H666" s="6">
        <f>ROUND(Catalogue!H37*SQRT((1+Paramètres!$B$4*(C666-1)+Paramètres!$B$5*(C666-1)^2)),0)</f>
        <v>0</v>
      </c>
      <c r="I666" s="6">
        <v>3</v>
      </c>
      <c r="J666" s="6">
        <v>1</v>
      </c>
      <c r="K666" s="7">
        <v>5.3</v>
      </c>
      <c r="L666" s="9">
        <f t="shared" si="82"/>
        <v>13.5</v>
      </c>
      <c r="M666">
        <v>1</v>
      </c>
      <c r="N666">
        <v>8</v>
      </c>
      <c r="O666">
        <v>9</v>
      </c>
      <c r="P666" s="13" t="str">
        <f t="shared" si="83"/>
        <v>1d8 + 9</v>
      </c>
      <c r="Q666">
        <f>ROUND(INDEX(Catalogue!E$4:E$85,MATCH(A666,Catalogue!A$4:A$85,0))*(1+Paramètres!$B$4*(C666-1)+Paramètres!$B$5*(C666-1)^2),0)</f>
        <v>10</v>
      </c>
      <c r="R666">
        <f>ROUND(INDEX(Catalogue!F$4:F$85,MATCH(A666,Catalogue!A$4:A$85,0))*(1+Paramètres!$B$4*(C666-1)+Paramètres!$B$5*(C666-1)^2),0)</f>
        <v>17</v>
      </c>
      <c r="S666">
        <f t="shared" si="84"/>
        <v>0</v>
      </c>
      <c r="T666" t="str">
        <f t="shared" si="85"/>
        <v>OK</v>
      </c>
      <c r="U666" s="25">
        <f t="shared" si="86"/>
        <v>13.5</v>
      </c>
      <c r="V666" t="str">
        <f t="shared" si="87"/>
        <v>OK</v>
      </c>
    </row>
    <row r="667" spans="1:22" ht="18" customHeight="1">
      <c r="A667" t="s">
        <v>196</v>
      </c>
      <c r="B667" t="s">
        <v>197</v>
      </c>
      <c r="C667">
        <v>4</v>
      </c>
      <c r="D667" t="s">
        <v>169</v>
      </c>
      <c r="E667" s="6">
        <f t="shared" si="80"/>
        <v>12</v>
      </c>
      <c r="F667" s="6">
        <f t="shared" si="81"/>
        <v>19</v>
      </c>
      <c r="G667" s="6">
        <f>ROUND(Catalogue!G37*SQRT((1+Paramètres!$B$4*(C667-1)+Paramètres!$B$5*(C667-1)^2)),0)</f>
        <v>0</v>
      </c>
      <c r="H667" s="6">
        <f>ROUND(Catalogue!H37*SQRT((1+Paramètres!$B$4*(C667-1)+Paramètres!$B$5*(C667-1)^2)),0)</f>
        <v>0</v>
      </c>
      <c r="I667" s="6">
        <v>3</v>
      </c>
      <c r="J667" s="6">
        <v>1</v>
      </c>
      <c r="K667" s="7">
        <v>5.3</v>
      </c>
      <c r="L667" s="9">
        <f t="shared" si="82"/>
        <v>15.5</v>
      </c>
      <c r="M667">
        <v>1</v>
      </c>
      <c r="N667">
        <v>8</v>
      </c>
      <c r="O667">
        <v>11</v>
      </c>
      <c r="P667" s="13" t="str">
        <f t="shared" si="83"/>
        <v>1d8 + 11</v>
      </c>
      <c r="Q667">
        <f>ROUND(INDEX(Catalogue!E$4:E$85,MATCH(A667,Catalogue!A$4:A$85,0))*(1+Paramètres!$B$4*(C667-1)+Paramètres!$B$5*(C667-1)^2),0)</f>
        <v>12</v>
      </c>
      <c r="R667">
        <f>ROUND(INDEX(Catalogue!F$4:F$85,MATCH(A667,Catalogue!A$4:A$85,0))*(1+Paramètres!$B$4*(C667-1)+Paramètres!$B$5*(C667-1)^2),0)</f>
        <v>19</v>
      </c>
      <c r="S667">
        <f t="shared" si="84"/>
        <v>0</v>
      </c>
      <c r="T667" t="str">
        <f t="shared" si="85"/>
        <v>OK</v>
      </c>
      <c r="U667" s="25">
        <f t="shared" si="86"/>
        <v>15.5</v>
      </c>
      <c r="V667" t="str">
        <f t="shared" si="87"/>
        <v>OK</v>
      </c>
    </row>
    <row r="668" spans="1:22" ht="18" customHeight="1">
      <c r="A668" t="s">
        <v>196</v>
      </c>
      <c r="B668" t="s">
        <v>197</v>
      </c>
      <c r="C668">
        <v>5</v>
      </c>
      <c r="D668" t="s">
        <v>169</v>
      </c>
      <c r="E668" s="6">
        <f t="shared" si="80"/>
        <v>14</v>
      </c>
      <c r="F668" s="6">
        <f t="shared" si="81"/>
        <v>21</v>
      </c>
      <c r="G668" s="6">
        <f>ROUND(Catalogue!G37*SQRT((1+Paramètres!$B$4*(C668-1)+Paramètres!$B$5*(C668-1)^2)),0)</f>
        <v>0</v>
      </c>
      <c r="H668" s="6">
        <f>ROUND(Catalogue!H37*SQRT((1+Paramètres!$B$4*(C668-1)+Paramètres!$B$5*(C668-1)^2)),0)</f>
        <v>0</v>
      </c>
      <c r="I668" s="6">
        <v>3</v>
      </c>
      <c r="J668" s="6">
        <v>1</v>
      </c>
      <c r="K668" s="7">
        <v>5.3</v>
      </c>
      <c r="L668" s="9">
        <f t="shared" si="82"/>
        <v>17.5</v>
      </c>
      <c r="M668">
        <v>1</v>
      </c>
      <c r="N668">
        <v>8</v>
      </c>
      <c r="O668">
        <v>13</v>
      </c>
      <c r="P668" s="13" t="str">
        <f t="shared" si="83"/>
        <v>1d8 + 13</v>
      </c>
      <c r="Q668">
        <f>ROUND(INDEX(Catalogue!E$4:E$85,MATCH(A668,Catalogue!A$4:A$85,0))*(1+Paramètres!$B$4*(C668-1)+Paramètres!$B$5*(C668-1)^2),0)</f>
        <v>14</v>
      </c>
      <c r="R668">
        <f>ROUND(INDEX(Catalogue!F$4:F$85,MATCH(A668,Catalogue!A$4:A$85,0))*(1+Paramètres!$B$4*(C668-1)+Paramètres!$B$5*(C668-1)^2),0)</f>
        <v>22</v>
      </c>
      <c r="S668">
        <f t="shared" si="84"/>
        <v>-0.5</v>
      </c>
      <c r="T668" t="str">
        <f t="shared" si="85"/>
        <v>OK</v>
      </c>
      <c r="U668" s="25">
        <f t="shared" si="86"/>
        <v>17.5</v>
      </c>
      <c r="V668" t="str">
        <f t="shared" si="87"/>
        <v>OK</v>
      </c>
    </row>
    <row r="669" spans="1:22" ht="18" customHeight="1">
      <c r="A669" t="s">
        <v>196</v>
      </c>
      <c r="B669" t="s">
        <v>197</v>
      </c>
      <c r="C669">
        <v>6</v>
      </c>
      <c r="D669" t="s">
        <v>169</v>
      </c>
      <c r="E669" s="6">
        <f t="shared" si="80"/>
        <v>16</v>
      </c>
      <c r="F669" s="6">
        <f t="shared" si="81"/>
        <v>25</v>
      </c>
      <c r="G669" s="6">
        <f>ROUND(Catalogue!G37*SQRT((1+Paramètres!$B$4*(C669-1)+Paramètres!$B$5*(C669-1)^2)),0)</f>
        <v>0</v>
      </c>
      <c r="H669" s="6">
        <f>ROUND(Catalogue!H37*SQRT((1+Paramètres!$B$4*(C669-1)+Paramètres!$B$5*(C669-1)^2)),0)</f>
        <v>0</v>
      </c>
      <c r="I669" s="6">
        <v>3</v>
      </c>
      <c r="J669" s="6">
        <v>1</v>
      </c>
      <c r="K669" s="7">
        <v>5.3</v>
      </c>
      <c r="L669" s="9">
        <f t="shared" si="82"/>
        <v>20.5</v>
      </c>
      <c r="M669">
        <v>1</v>
      </c>
      <c r="N669">
        <v>10</v>
      </c>
      <c r="O669">
        <v>15</v>
      </c>
      <c r="P669" s="13" t="str">
        <f t="shared" si="83"/>
        <v>1d10 + 15</v>
      </c>
      <c r="Q669">
        <f>ROUND(INDEX(Catalogue!E$4:E$85,MATCH(A669,Catalogue!A$4:A$85,0))*(1+Paramètres!$B$4*(C669-1)+Paramètres!$B$5*(C669-1)^2),0)</f>
        <v>16</v>
      </c>
      <c r="R669">
        <f>ROUND(INDEX(Catalogue!F$4:F$85,MATCH(A669,Catalogue!A$4:A$85,0))*(1+Paramètres!$B$4*(C669-1)+Paramètres!$B$5*(C669-1)^2),0)</f>
        <v>25</v>
      </c>
      <c r="S669">
        <f t="shared" si="84"/>
        <v>0</v>
      </c>
      <c r="T669" t="str">
        <f t="shared" si="85"/>
        <v>OK</v>
      </c>
      <c r="U669" s="25">
        <f t="shared" si="86"/>
        <v>20.5</v>
      </c>
      <c r="V669" t="str">
        <f t="shared" si="87"/>
        <v>OK</v>
      </c>
    </row>
    <row r="670" spans="1:22" ht="18" customHeight="1">
      <c r="A670" t="s">
        <v>196</v>
      </c>
      <c r="B670" t="s">
        <v>197</v>
      </c>
      <c r="C670">
        <v>7</v>
      </c>
      <c r="D670" t="s">
        <v>169</v>
      </c>
      <c r="E670" s="6">
        <f t="shared" si="80"/>
        <v>18</v>
      </c>
      <c r="F670" s="6">
        <f t="shared" si="81"/>
        <v>29</v>
      </c>
      <c r="G670" s="6">
        <f>ROUND(Catalogue!G37*SQRT((1+Paramètres!$B$4*(C670-1)+Paramètres!$B$5*(C670-1)^2)),0)</f>
        <v>0</v>
      </c>
      <c r="H670" s="6">
        <f>ROUND(Catalogue!H37*SQRT((1+Paramètres!$B$4*(C670-1)+Paramètres!$B$5*(C670-1)^2)),0)</f>
        <v>0</v>
      </c>
      <c r="I670" s="6">
        <v>3</v>
      </c>
      <c r="J670" s="6">
        <v>1</v>
      </c>
      <c r="K670" s="7">
        <v>5.3</v>
      </c>
      <c r="L670" s="9">
        <f t="shared" si="82"/>
        <v>23.5</v>
      </c>
      <c r="M670">
        <v>1</v>
      </c>
      <c r="N670">
        <v>12</v>
      </c>
      <c r="O670">
        <v>17</v>
      </c>
      <c r="P670" s="13" t="str">
        <f t="shared" si="83"/>
        <v>1d12 + 17</v>
      </c>
      <c r="Q670">
        <f>ROUND(INDEX(Catalogue!E$4:E$85,MATCH(A670,Catalogue!A$4:A$85,0))*(1+Paramètres!$B$4*(C670-1)+Paramètres!$B$5*(C670-1)^2),0)</f>
        <v>18</v>
      </c>
      <c r="R670">
        <f>ROUND(INDEX(Catalogue!F$4:F$85,MATCH(A670,Catalogue!A$4:A$85,0))*(1+Paramètres!$B$4*(C670-1)+Paramètres!$B$5*(C670-1)^2),0)</f>
        <v>29</v>
      </c>
      <c r="S670">
        <f t="shared" si="84"/>
        <v>0</v>
      </c>
      <c r="T670" t="str">
        <f t="shared" si="85"/>
        <v>OK</v>
      </c>
      <c r="U670" s="25">
        <f t="shared" si="86"/>
        <v>23.5</v>
      </c>
      <c r="V670" t="str">
        <f t="shared" si="87"/>
        <v>OK</v>
      </c>
    </row>
    <row r="671" spans="1:22" ht="18" customHeight="1">
      <c r="A671" t="s">
        <v>196</v>
      </c>
      <c r="B671" t="s">
        <v>197</v>
      </c>
      <c r="C671">
        <v>8</v>
      </c>
      <c r="D671" t="s">
        <v>169</v>
      </c>
      <c r="E671" s="6">
        <f t="shared" si="80"/>
        <v>19</v>
      </c>
      <c r="F671" s="6">
        <f t="shared" si="81"/>
        <v>33</v>
      </c>
      <c r="G671" s="6">
        <f>ROUND(Catalogue!G37*SQRT((1+Paramètres!$B$4*(C671-1)+Paramètres!$B$5*(C671-1)^2)),0)</f>
        <v>0</v>
      </c>
      <c r="H671" s="6">
        <f>ROUND(Catalogue!H37*SQRT((1+Paramètres!$B$4*(C671-1)+Paramètres!$B$5*(C671-1)^2)),0)</f>
        <v>0</v>
      </c>
      <c r="I671" s="6">
        <v>3</v>
      </c>
      <c r="J671" s="6">
        <v>1</v>
      </c>
      <c r="K671" s="7">
        <v>5.3</v>
      </c>
      <c r="L671" s="9">
        <f t="shared" si="82"/>
        <v>26</v>
      </c>
      <c r="M671">
        <v>2</v>
      </c>
      <c r="N671">
        <v>8</v>
      </c>
      <c r="O671">
        <v>17</v>
      </c>
      <c r="P671" s="13" t="str">
        <f t="shared" si="83"/>
        <v>2d8 + 17</v>
      </c>
      <c r="Q671">
        <f>ROUND(INDEX(Catalogue!E$4:E$85,MATCH(A671,Catalogue!A$4:A$85,0))*(1+Paramètres!$B$4*(C671-1)+Paramètres!$B$5*(C671-1)^2),0)</f>
        <v>20</v>
      </c>
      <c r="R671">
        <f>ROUND(INDEX(Catalogue!F$4:F$85,MATCH(A671,Catalogue!A$4:A$85,0))*(1+Paramètres!$B$4*(C671-1)+Paramètres!$B$5*(C671-1)^2),0)</f>
        <v>33</v>
      </c>
      <c r="S671">
        <f t="shared" si="84"/>
        <v>-0.5</v>
      </c>
      <c r="T671" t="str">
        <f t="shared" si="85"/>
        <v>OK</v>
      </c>
      <c r="U671" s="25">
        <f t="shared" si="86"/>
        <v>26</v>
      </c>
      <c r="V671" t="str">
        <f t="shared" si="87"/>
        <v>OK</v>
      </c>
    </row>
    <row r="672" spans="1:22" ht="18" customHeight="1">
      <c r="A672" t="s">
        <v>196</v>
      </c>
      <c r="B672" t="s">
        <v>197</v>
      </c>
      <c r="C672">
        <v>9</v>
      </c>
      <c r="D672" t="s">
        <v>169</v>
      </c>
      <c r="E672" s="6">
        <f t="shared" si="80"/>
        <v>23</v>
      </c>
      <c r="F672" s="6">
        <f t="shared" si="81"/>
        <v>38</v>
      </c>
      <c r="G672" s="6">
        <f>ROUND(Catalogue!G37*SQRT((1+Paramètres!$B$4*(C672-1)+Paramètres!$B$5*(C672-1)^2)),0)</f>
        <v>0</v>
      </c>
      <c r="H672" s="6">
        <f>ROUND(Catalogue!H37*SQRT((1+Paramètres!$B$4*(C672-1)+Paramètres!$B$5*(C672-1)^2)),0)</f>
        <v>0</v>
      </c>
      <c r="I672" s="6">
        <v>3</v>
      </c>
      <c r="J672" s="6">
        <v>1</v>
      </c>
      <c r="K672" s="7">
        <v>5.3</v>
      </c>
      <c r="L672" s="9">
        <f t="shared" si="82"/>
        <v>30.5</v>
      </c>
      <c r="M672">
        <v>3</v>
      </c>
      <c r="N672">
        <v>6</v>
      </c>
      <c r="O672">
        <v>20</v>
      </c>
      <c r="P672" s="13" t="str">
        <f t="shared" si="83"/>
        <v>3d6 + 20</v>
      </c>
      <c r="Q672">
        <f>ROUND(INDEX(Catalogue!E$4:E$85,MATCH(A672,Catalogue!A$4:A$85,0))*(1+Paramètres!$B$4*(C672-1)+Paramètres!$B$5*(C672-1)^2),0)</f>
        <v>23</v>
      </c>
      <c r="R672">
        <f>ROUND(INDEX(Catalogue!F$4:F$85,MATCH(A672,Catalogue!A$4:A$85,0))*(1+Paramètres!$B$4*(C672-1)+Paramètres!$B$5*(C672-1)^2),0)</f>
        <v>38</v>
      </c>
      <c r="S672">
        <f t="shared" si="84"/>
        <v>0</v>
      </c>
      <c r="T672" t="str">
        <f t="shared" si="85"/>
        <v>OK</v>
      </c>
      <c r="U672" s="25">
        <f t="shared" si="86"/>
        <v>30.5</v>
      </c>
      <c r="V672" t="str">
        <f t="shared" si="87"/>
        <v>OK</v>
      </c>
    </row>
    <row r="673" spans="1:22" ht="18" customHeight="1">
      <c r="A673" t="s">
        <v>196</v>
      </c>
      <c r="B673" t="s">
        <v>197</v>
      </c>
      <c r="C673">
        <v>10</v>
      </c>
      <c r="D673" t="s">
        <v>169</v>
      </c>
      <c r="E673" s="6">
        <f t="shared" si="80"/>
        <v>26</v>
      </c>
      <c r="F673" s="6">
        <f t="shared" si="81"/>
        <v>44</v>
      </c>
      <c r="G673" s="6">
        <f>ROUND(Catalogue!G37*SQRT((1+Paramètres!$B$4*(C673-1)+Paramètres!$B$5*(C673-1)^2)),0)</f>
        <v>0</v>
      </c>
      <c r="H673" s="6">
        <f>ROUND(Catalogue!H37*SQRT((1+Paramètres!$B$4*(C673-1)+Paramètres!$B$5*(C673-1)^2)),0)</f>
        <v>0</v>
      </c>
      <c r="I673" s="6">
        <v>3</v>
      </c>
      <c r="J673" s="6">
        <v>1</v>
      </c>
      <c r="K673" s="7">
        <v>5.3</v>
      </c>
      <c r="L673" s="9">
        <f t="shared" si="82"/>
        <v>35</v>
      </c>
      <c r="M673">
        <v>2</v>
      </c>
      <c r="N673">
        <v>10</v>
      </c>
      <c r="O673">
        <v>24</v>
      </c>
      <c r="P673" s="13" t="str">
        <f t="shared" si="83"/>
        <v>2d10 + 24</v>
      </c>
      <c r="Q673">
        <f>ROUND(INDEX(Catalogue!E$4:E$85,MATCH(A673,Catalogue!A$4:A$85,0))*(1+Paramètres!$B$4*(C673-1)+Paramètres!$B$5*(C673-1)^2),0)</f>
        <v>26</v>
      </c>
      <c r="R673">
        <f>ROUND(INDEX(Catalogue!F$4:F$85,MATCH(A673,Catalogue!A$4:A$85,0))*(1+Paramètres!$B$4*(C673-1)+Paramètres!$B$5*(C673-1)^2),0)</f>
        <v>43</v>
      </c>
      <c r="S673">
        <f t="shared" si="84"/>
        <v>0.5</v>
      </c>
      <c r="T673" t="str">
        <f t="shared" si="85"/>
        <v>OK</v>
      </c>
      <c r="U673" s="25">
        <f t="shared" si="86"/>
        <v>35</v>
      </c>
      <c r="V673" t="str">
        <f t="shared" si="87"/>
        <v>OK</v>
      </c>
    </row>
    <row r="674" spans="1:22" ht="18" customHeight="1">
      <c r="A674" t="s">
        <v>196</v>
      </c>
      <c r="B674" t="s">
        <v>197</v>
      </c>
      <c r="C674">
        <v>11</v>
      </c>
      <c r="D674" t="s">
        <v>169</v>
      </c>
      <c r="E674" s="6">
        <f t="shared" si="80"/>
        <v>30</v>
      </c>
      <c r="F674" s="6">
        <f t="shared" si="81"/>
        <v>48</v>
      </c>
      <c r="G674" s="6">
        <f>ROUND(Catalogue!G37*SQRT((1+Paramètres!$B$4*(C674-1)+Paramètres!$B$5*(C674-1)^2)),0)</f>
        <v>0</v>
      </c>
      <c r="H674" s="6">
        <f>ROUND(Catalogue!H37*SQRT((1+Paramètres!$B$4*(C674-1)+Paramètres!$B$5*(C674-1)^2)),0)</f>
        <v>0</v>
      </c>
      <c r="I674" s="6">
        <v>3</v>
      </c>
      <c r="J674" s="6">
        <v>1</v>
      </c>
      <c r="K674" s="7">
        <v>5.3</v>
      </c>
      <c r="L674" s="9">
        <f t="shared" si="82"/>
        <v>39</v>
      </c>
      <c r="M674">
        <v>2</v>
      </c>
      <c r="N674">
        <v>10</v>
      </c>
      <c r="O674">
        <v>28</v>
      </c>
      <c r="P674" s="13" t="str">
        <f t="shared" si="83"/>
        <v>2d10 + 28</v>
      </c>
      <c r="Q674">
        <f>ROUND(INDEX(Catalogue!E$4:E$85,MATCH(A674,Catalogue!A$4:A$85,0))*(1+Paramètres!$B$4*(C674-1)+Paramètres!$B$5*(C674-1)^2),0)</f>
        <v>30</v>
      </c>
      <c r="R674">
        <f>ROUND(INDEX(Catalogue!F$4:F$85,MATCH(A674,Catalogue!A$4:A$85,0))*(1+Paramètres!$B$4*(C674-1)+Paramètres!$B$5*(C674-1)^2),0)</f>
        <v>48</v>
      </c>
      <c r="S674">
        <f t="shared" si="84"/>
        <v>0</v>
      </c>
      <c r="T674" t="str">
        <f t="shared" si="85"/>
        <v>OK</v>
      </c>
      <c r="U674" s="25">
        <f t="shared" si="86"/>
        <v>39</v>
      </c>
      <c r="V674" t="str">
        <f t="shared" si="87"/>
        <v>OK</v>
      </c>
    </row>
    <row r="675" spans="1:22" ht="18" customHeight="1">
      <c r="A675" t="s">
        <v>196</v>
      </c>
      <c r="B675" t="s">
        <v>197</v>
      </c>
      <c r="C675">
        <v>12</v>
      </c>
      <c r="D675" t="s">
        <v>169</v>
      </c>
      <c r="E675" s="6">
        <f t="shared" si="80"/>
        <v>33</v>
      </c>
      <c r="F675" s="6">
        <f t="shared" si="81"/>
        <v>54</v>
      </c>
      <c r="G675" s="6">
        <f>ROUND(Catalogue!G37*SQRT((1+Paramètres!$B$4*(C675-1)+Paramètres!$B$5*(C675-1)^2)),0)</f>
        <v>0</v>
      </c>
      <c r="H675" s="6">
        <f>ROUND(Catalogue!H37*SQRT((1+Paramètres!$B$4*(C675-1)+Paramètres!$B$5*(C675-1)^2)),0)</f>
        <v>0</v>
      </c>
      <c r="I675" s="6">
        <v>3</v>
      </c>
      <c r="J675" s="6">
        <v>1</v>
      </c>
      <c r="K675" s="7">
        <v>5.3</v>
      </c>
      <c r="L675" s="9">
        <f t="shared" si="82"/>
        <v>43.5</v>
      </c>
      <c r="M675">
        <v>3</v>
      </c>
      <c r="N675">
        <v>8</v>
      </c>
      <c r="O675">
        <v>30</v>
      </c>
      <c r="P675" s="13" t="str">
        <f t="shared" si="83"/>
        <v>3d8 + 30</v>
      </c>
      <c r="Q675">
        <f>ROUND(INDEX(Catalogue!E$4:E$85,MATCH(A675,Catalogue!A$4:A$85,0))*(1+Paramètres!$B$4*(C675-1)+Paramètres!$B$5*(C675-1)^2),0)</f>
        <v>33</v>
      </c>
      <c r="R675">
        <f>ROUND(INDEX(Catalogue!F$4:F$85,MATCH(A675,Catalogue!A$4:A$85,0))*(1+Paramètres!$B$4*(C675-1)+Paramètres!$B$5*(C675-1)^2),0)</f>
        <v>54</v>
      </c>
      <c r="S675">
        <f t="shared" si="84"/>
        <v>0</v>
      </c>
      <c r="T675" t="str">
        <f t="shared" si="85"/>
        <v>OK</v>
      </c>
      <c r="U675" s="25">
        <f t="shared" si="86"/>
        <v>43.5</v>
      </c>
      <c r="V675" t="str">
        <f t="shared" si="87"/>
        <v>OK</v>
      </c>
    </row>
    <row r="676" spans="1:22" ht="18" customHeight="1">
      <c r="A676" t="s">
        <v>196</v>
      </c>
      <c r="B676" t="s">
        <v>197</v>
      </c>
      <c r="C676">
        <v>13</v>
      </c>
      <c r="D676" t="s">
        <v>169</v>
      </c>
      <c r="E676" s="6">
        <f t="shared" si="80"/>
        <v>37</v>
      </c>
      <c r="F676" s="6">
        <f t="shared" si="81"/>
        <v>59</v>
      </c>
      <c r="G676" s="6">
        <f>ROUND(Catalogue!G37*SQRT((1+Paramètres!$B$4*(C676-1)+Paramètres!$B$5*(C676-1)^2)),0)</f>
        <v>0</v>
      </c>
      <c r="H676" s="6">
        <f>ROUND(Catalogue!H37*SQRT((1+Paramètres!$B$4*(C676-1)+Paramètres!$B$5*(C676-1)^2)),0)</f>
        <v>0</v>
      </c>
      <c r="I676" s="6">
        <v>3</v>
      </c>
      <c r="J676" s="6">
        <v>1</v>
      </c>
      <c r="K676" s="7">
        <v>5.3</v>
      </c>
      <c r="L676" s="9">
        <f t="shared" si="82"/>
        <v>48</v>
      </c>
      <c r="M676">
        <v>2</v>
      </c>
      <c r="N676">
        <v>12</v>
      </c>
      <c r="O676">
        <v>35</v>
      </c>
      <c r="P676" s="13" t="str">
        <f t="shared" si="83"/>
        <v>2d12 + 35</v>
      </c>
      <c r="Q676">
        <f>ROUND(INDEX(Catalogue!E$4:E$85,MATCH(A676,Catalogue!A$4:A$85,0))*(1+Paramètres!$B$4*(C676-1)+Paramètres!$B$5*(C676-1)^2),0)</f>
        <v>37</v>
      </c>
      <c r="R676">
        <f>ROUND(INDEX(Catalogue!F$4:F$85,MATCH(A676,Catalogue!A$4:A$85,0))*(1+Paramètres!$B$4*(C676-1)+Paramètres!$B$5*(C676-1)^2),0)</f>
        <v>60</v>
      </c>
      <c r="S676">
        <f t="shared" si="84"/>
        <v>-0.5</v>
      </c>
      <c r="T676" t="str">
        <f t="shared" si="85"/>
        <v>OK</v>
      </c>
      <c r="U676" s="25">
        <f t="shared" si="86"/>
        <v>48</v>
      </c>
      <c r="V676" t="str">
        <f t="shared" si="87"/>
        <v>OK</v>
      </c>
    </row>
    <row r="677" spans="1:22" ht="18" customHeight="1">
      <c r="A677" t="s">
        <v>196</v>
      </c>
      <c r="B677" t="s">
        <v>197</v>
      </c>
      <c r="C677">
        <v>14</v>
      </c>
      <c r="D677" t="s">
        <v>169</v>
      </c>
      <c r="E677" s="6">
        <f t="shared" si="80"/>
        <v>40</v>
      </c>
      <c r="F677" s="6">
        <f t="shared" si="81"/>
        <v>67</v>
      </c>
      <c r="G677" s="6">
        <f>ROUND(Catalogue!G37*SQRT((1+Paramètres!$B$4*(C677-1)+Paramètres!$B$5*(C677-1)^2)),0)</f>
        <v>0</v>
      </c>
      <c r="H677" s="6">
        <f>ROUND(Catalogue!H37*SQRT((1+Paramètres!$B$4*(C677-1)+Paramètres!$B$5*(C677-1)^2)),0)</f>
        <v>0</v>
      </c>
      <c r="I677" s="6">
        <v>3</v>
      </c>
      <c r="J677" s="6">
        <v>1</v>
      </c>
      <c r="K677" s="7">
        <v>5.3</v>
      </c>
      <c r="L677" s="9">
        <f t="shared" si="82"/>
        <v>53.5</v>
      </c>
      <c r="M677">
        <v>3</v>
      </c>
      <c r="N677">
        <v>10</v>
      </c>
      <c r="O677">
        <v>37</v>
      </c>
      <c r="P677" s="13" t="str">
        <f t="shared" si="83"/>
        <v>3d10 + 37</v>
      </c>
      <c r="Q677">
        <f>ROUND(INDEX(Catalogue!E$4:E$85,MATCH(A677,Catalogue!A$4:A$85,0))*(1+Paramètres!$B$4*(C677-1)+Paramètres!$B$5*(C677-1)^2),0)</f>
        <v>41</v>
      </c>
      <c r="R677">
        <f>ROUND(INDEX(Catalogue!F$4:F$85,MATCH(A677,Catalogue!A$4:A$85,0))*(1+Paramètres!$B$4*(C677-1)+Paramètres!$B$5*(C677-1)^2),0)</f>
        <v>67</v>
      </c>
      <c r="S677">
        <f t="shared" si="84"/>
        <v>-0.5</v>
      </c>
      <c r="T677" t="str">
        <f t="shared" si="85"/>
        <v>OK</v>
      </c>
      <c r="U677" s="25">
        <f t="shared" si="86"/>
        <v>53.5</v>
      </c>
      <c r="V677" t="str">
        <f t="shared" si="87"/>
        <v>OK</v>
      </c>
    </row>
    <row r="678" spans="1:22" ht="18" customHeight="1">
      <c r="A678" t="s">
        <v>196</v>
      </c>
      <c r="B678" t="s">
        <v>197</v>
      </c>
      <c r="C678">
        <v>15</v>
      </c>
      <c r="D678" t="s">
        <v>169</v>
      </c>
      <c r="E678" s="6">
        <f t="shared" si="80"/>
        <v>45</v>
      </c>
      <c r="F678" s="6">
        <f t="shared" si="81"/>
        <v>73</v>
      </c>
      <c r="G678" s="6">
        <f>ROUND(Catalogue!G37*SQRT((1+Paramètres!$B$4*(C678-1)+Paramètres!$B$5*(C678-1)^2)),0)</f>
        <v>0</v>
      </c>
      <c r="H678" s="6">
        <f>ROUND(Catalogue!H37*SQRT((1+Paramètres!$B$4*(C678-1)+Paramètres!$B$5*(C678-1)^2)),0)</f>
        <v>0</v>
      </c>
      <c r="I678" s="6">
        <v>3</v>
      </c>
      <c r="J678" s="6">
        <v>1</v>
      </c>
      <c r="K678" s="7">
        <v>5.3</v>
      </c>
      <c r="L678" s="9">
        <f t="shared" si="82"/>
        <v>59</v>
      </c>
      <c r="M678">
        <v>4</v>
      </c>
      <c r="N678">
        <v>8</v>
      </c>
      <c r="O678">
        <v>41</v>
      </c>
      <c r="P678" s="13" t="str">
        <f t="shared" si="83"/>
        <v>4d8 + 41</v>
      </c>
      <c r="Q678">
        <f>ROUND(INDEX(Catalogue!E$4:E$85,MATCH(A678,Catalogue!A$4:A$85,0))*(1+Paramètres!$B$4*(C678-1)+Paramètres!$B$5*(C678-1)^2),0)</f>
        <v>45</v>
      </c>
      <c r="R678">
        <f>ROUND(INDEX(Catalogue!F$4:F$85,MATCH(A678,Catalogue!A$4:A$85,0))*(1+Paramètres!$B$4*(C678-1)+Paramètres!$B$5*(C678-1)^2),0)</f>
        <v>74</v>
      </c>
      <c r="S678">
        <f t="shared" si="84"/>
        <v>-0.5</v>
      </c>
      <c r="T678" t="str">
        <f t="shared" si="85"/>
        <v>OK</v>
      </c>
      <c r="U678" s="25">
        <f t="shared" si="86"/>
        <v>59</v>
      </c>
      <c r="V678" t="str">
        <f t="shared" si="87"/>
        <v>OK</v>
      </c>
    </row>
    <row r="679" spans="1:22" ht="18" customHeight="1">
      <c r="A679" t="s">
        <v>196</v>
      </c>
      <c r="B679" t="s">
        <v>197</v>
      </c>
      <c r="C679">
        <v>16</v>
      </c>
      <c r="D679" t="s">
        <v>169</v>
      </c>
      <c r="E679" s="6">
        <f t="shared" si="80"/>
        <v>50</v>
      </c>
      <c r="F679" s="6">
        <f t="shared" si="81"/>
        <v>80</v>
      </c>
      <c r="G679" s="6">
        <f>ROUND(Catalogue!G37*SQRT((1+Paramètres!$B$4*(C679-1)+Paramètres!$B$5*(C679-1)^2)),0)</f>
        <v>0</v>
      </c>
      <c r="H679" s="6">
        <f>ROUND(Catalogue!H37*SQRT((1+Paramètres!$B$4*(C679-1)+Paramètres!$B$5*(C679-1)^2)),0)</f>
        <v>0</v>
      </c>
      <c r="I679" s="6">
        <v>3</v>
      </c>
      <c r="J679" s="6">
        <v>1</v>
      </c>
      <c r="K679" s="7">
        <v>5.3</v>
      </c>
      <c r="L679" s="9">
        <f t="shared" si="82"/>
        <v>65</v>
      </c>
      <c r="M679">
        <v>6</v>
      </c>
      <c r="N679">
        <v>6</v>
      </c>
      <c r="O679">
        <v>44</v>
      </c>
      <c r="P679" s="13" t="str">
        <f t="shared" si="83"/>
        <v>6d6 + 44</v>
      </c>
      <c r="Q679">
        <f>ROUND(INDEX(Catalogue!E$4:E$85,MATCH(A679,Catalogue!A$4:A$85,0))*(1+Paramètres!$B$4*(C679-1)+Paramètres!$B$5*(C679-1)^2),0)</f>
        <v>50</v>
      </c>
      <c r="R679">
        <f>ROUND(INDEX(Catalogue!F$4:F$85,MATCH(A679,Catalogue!A$4:A$85,0))*(1+Paramètres!$B$4*(C679-1)+Paramètres!$B$5*(C679-1)^2),0)</f>
        <v>81</v>
      </c>
      <c r="S679">
        <f t="shared" si="84"/>
        <v>-0.5</v>
      </c>
      <c r="T679" t="str">
        <f t="shared" si="85"/>
        <v>OK</v>
      </c>
      <c r="U679" s="25">
        <f t="shared" si="86"/>
        <v>65</v>
      </c>
      <c r="V679" t="str">
        <f t="shared" si="87"/>
        <v>OK</v>
      </c>
    </row>
    <row r="680" spans="1:22" ht="18" customHeight="1">
      <c r="A680" t="s">
        <v>196</v>
      </c>
      <c r="B680" t="s">
        <v>197</v>
      </c>
      <c r="C680">
        <v>17</v>
      </c>
      <c r="D680" t="s">
        <v>169</v>
      </c>
      <c r="E680" s="6">
        <f t="shared" si="80"/>
        <v>55</v>
      </c>
      <c r="F680" s="6">
        <f t="shared" si="81"/>
        <v>88</v>
      </c>
      <c r="G680" s="6">
        <f>ROUND(Catalogue!G37*SQRT((1+Paramètres!$B$4*(C680-1)+Paramètres!$B$5*(C680-1)^2)),0)</f>
        <v>0</v>
      </c>
      <c r="H680" s="6">
        <f>ROUND(Catalogue!H37*SQRT((1+Paramètres!$B$4*(C680-1)+Paramètres!$B$5*(C680-1)^2)),0)</f>
        <v>0</v>
      </c>
      <c r="I680" s="6">
        <v>3</v>
      </c>
      <c r="J680" s="6">
        <v>1</v>
      </c>
      <c r="K680" s="7">
        <v>5.3</v>
      </c>
      <c r="L680" s="9">
        <f t="shared" si="82"/>
        <v>71.5</v>
      </c>
      <c r="M680">
        <v>3</v>
      </c>
      <c r="N680">
        <v>12</v>
      </c>
      <c r="O680">
        <v>52</v>
      </c>
      <c r="P680" s="13" t="str">
        <f t="shared" si="83"/>
        <v>3d12 + 52</v>
      </c>
      <c r="Q680">
        <f>ROUND(INDEX(Catalogue!E$4:E$85,MATCH(A680,Catalogue!A$4:A$85,0))*(1+Paramètres!$B$4*(C680-1)+Paramètres!$B$5*(C680-1)^2),0)</f>
        <v>55</v>
      </c>
      <c r="R680">
        <f>ROUND(INDEX(Catalogue!F$4:F$85,MATCH(A680,Catalogue!A$4:A$85,0))*(1+Paramètres!$B$4*(C680-1)+Paramètres!$B$5*(C680-1)^2),0)</f>
        <v>89</v>
      </c>
      <c r="S680">
        <f t="shared" si="84"/>
        <v>-0.5</v>
      </c>
      <c r="T680" t="str">
        <f t="shared" si="85"/>
        <v>OK</v>
      </c>
      <c r="U680" s="25">
        <f t="shared" si="86"/>
        <v>71.5</v>
      </c>
      <c r="V680" t="str">
        <f t="shared" si="87"/>
        <v>OK</v>
      </c>
    </row>
    <row r="681" spans="1:22" ht="18" customHeight="1">
      <c r="A681" t="s">
        <v>196</v>
      </c>
      <c r="B681" t="s">
        <v>197</v>
      </c>
      <c r="C681">
        <v>18</v>
      </c>
      <c r="D681" t="s">
        <v>169</v>
      </c>
      <c r="E681" s="6">
        <f t="shared" si="80"/>
        <v>60</v>
      </c>
      <c r="F681" s="6">
        <f t="shared" si="81"/>
        <v>96</v>
      </c>
      <c r="G681" s="6">
        <f>ROUND(Catalogue!G37*SQRT((1+Paramètres!$B$4*(C681-1)+Paramètres!$B$5*(C681-1)^2)),0)</f>
        <v>0</v>
      </c>
      <c r="H681" s="6">
        <f>ROUND(Catalogue!H37*SQRT((1+Paramètres!$B$4*(C681-1)+Paramètres!$B$5*(C681-1)^2)),0)</f>
        <v>0</v>
      </c>
      <c r="I681" s="6">
        <v>3</v>
      </c>
      <c r="J681" s="6">
        <v>1</v>
      </c>
      <c r="K681" s="7">
        <v>5.3</v>
      </c>
      <c r="L681" s="9">
        <f t="shared" si="82"/>
        <v>78</v>
      </c>
      <c r="M681">
        <v>4</v>
      </c>
      <c r="N681">
        <v>10</v>
      </c>
      <c r="O681">
        <v>56</v>
      </c>
      <c r="P681" s="13" t="str">
        <f t="shared" si="83"/>
        <v>4d10 + 56</v>
      </c>
      <c r="Q681">
        <f>ROUND(INDEX(Catalogue!E$4:E$85,MATCH(A681,Catalogue!A$4:A$85,0))*(1+Paramètres!$B$4*(C681-1)+Paramètres!$B$5*(C681-1)^2),0)</f>
        <v>60</v>
      </c>
      <c r="R681">
        <f>ROUND(INDEX(Catalogue!F$4:F$85,MATCH(A681,Catalogue!A$4:A$85,0))*(1+Paramètres!$B$4*(C681-1)+Paramètres!$B$5*(C681-1)^2),0)</f>
        <v>97</v>
      </c>
      <c r="S681">
        <f t="shared" si="84"/>
        <v>-0.5</v>
      </c>
      <c r="T681" t="str">
        <f t="shared" si="85"/>
        <v>OK</v>
      </c>
      <c r="U681" s="25">
        <f t="shared" si="86"/>
        <v>78</v>
      </c>
      <c r="V681" t="str">
        <f t="shared" si="87"/>
        <v>OK</v>
      </c>
    </row>
    <row r="682" spans="1:22" ht="18" customHeight="1">
      <c r="A682" t="s">
        <v>196</v>
      </c>
      <c r="B682" t="s">
        <v>197</v>
      </c>
      <c r="C682">
        <v>19</v>
      </c>
      <c r="D682" t="s">
        <v>169</v>
      </c>
      <c r="E682" s="6">
        <f t="shared" si="80"/>
        <v>64</v>
      </c>
      <c r="F682" s="6">
        <f t="shared" si="81"/>
        <v>106</v>
      </c>
      <c r="G682" s="6">
        <f>ROUND(Catalogue!G37*SQRT((1+Paramètres!$B$4*(C682-1)+Paramètres!$B$5*(C682-1)^2)),0)</f>
        <v>0</v>
      </c>
      <c r="H682" s="6">
        <f>ROUND(Catalogue!H37*SQRT((1+Paramètres!$B$4*(C682-1)+Paramètres!$B$5*(C682-1)^2)),0)</f>
        <v>0</v>
      </c>
      <c r="I682" s="6">
        <v>3</v>
      </c>
      <c r="J682" s="6">
        <v>1</v>
      </c>
      <c r="K682" s="7">
        <v>5.3</v>
      </c>
      <c r="L682" s="9">
        <f t="shared" si="82"/>
        <v>85</v>
      </c>
      <c r="M682">
        <v>6</v>
      </c>
      <c r="N682">
        <v>8</v>
      </c>
      <c r="O682">
        <v>58</v>
      </c>
      <c r="P682" s="13" t="str">
        <f t="shared" si="83"/>
        <v>6d8 + 58</v>
      </c>
      <c r="Q682">
        <f>ROUND(INDEX(Catalogue!E$4:E$85,MATCH(A682,Catalogue!A$4:A$85,0))*(1+Paramètres!$B$4*(C682-1)+Paramètres!$B$5*(C682-1)^2),0)</f>
        <v>65</v>
      </c>
      <c r="R682">
        <f>ROUND(INDEX(Catalogue!F$4:F$85,MATCH(A682,Catalogue!A$4:A$85,0))*(1+Paramètres!$B$4*(C682-1)+Paramètres!$B$5*(C682-1)^2),0)</f>
        <v>106</v>
      </c>
      <c r="S682">
        <f t="shared" si="84"/>
        <v>-0.5</v>
      </c>
      <c r="T682" t="str">
        <f t="shared" si="85"/>
        <v>OK</v>
      </c>
      <c r="U682" s="25">
        <f t="shared" si="86"/>
        <v>85</v>
      </c>
      <c r="V682" t="str">
        <f t="shared" si="87"/>
        <v>OK</v>
      </c>
    </row>
    <row r="683" spans="1:22" ht="18" customHeight="1">
      <c r="A683" t="s">
        <v>196</v>
      </c>
      <c r="B683" t="s">
        <v>197</v>
      </c>
      <c r="C683">
        <v>20</v>
      </c>
      <c r="D683" t="s">
        <v>169</v>
      </c>
      <c r="E683" s="6">
        <f t="shared" si="80"/>
        <v>71</v>
      </c>
      <c r="F683" s="6">
        <f t="shared" si="81"/>
        <v>115</v>
      </c>
      <c r="G683" s="6">
        <f>ROUND(Catalogue!G37*SQRT((1+Paramètres!$B$4*(C683-1)+Paramètres!$B$5*(C683-1)^2)),0)</f>
        <v>0</v>
      </c>
      <c r="H683" s="6">
        <f>ROUND(Catalogue!H37*SQRT((1+Paramètres!$B$4*(C683-1)+Paramètres!$B$5*(C683-1)^2)),0)</f>
        <v>0</v>
      </c>
      <c r="I683" s="6">
        <v>3</v>
      </c>
      <c r="J683" s="6">
        <v>1</v>
      </c>
      <c r="K683" s="7">
        <v>5.3</v>
      </c>
      <c r="L683" s="9">
        <f t="shared" si="82"/>
        <v>93</v>
      </c>
      <c r="M683">
        <v>4</v>
      </c>
      <c r="N683">
        <v>12</v>
      </c>
      <c r="O683">
        <v>67</v>
      </c>
      <c r="P683" s="13" t="str">
        <f t="shared" si="83"/>
        <v>4d12 + 67</v>
      </c>
      <c r="Q683">
        <f>ROUND(INDEX(Catalogue!E$4:E$85,MATCH(A683,Catalogue!A$4:A$85,0))*(1+Paramètres!$B$4*(C683-1)+Paramètres!$B$5*(C683-1)^2),0)</f>
        <v>71</v>
      </c>
      <c r="R683">
        <f>ROUND(INDEX(Catalogue!F$4:F$85,MATCH(A683,Catalogue!A$4:A$85,0))*(1+Paramètres!$B$4*(C683-1)+Paramètres!$B$5*(C683-1)^2),0)</f>
        <v>115</v>
      </c>
      <c r="S683">
        <f t="shared" si="84"/>
        <v>0</v>
      </c>
      <c r="T683" t="str">
        <f t="shared" si="85"/>
        <v>OK</v>
      </c>
      <c r="U683" s="25">
        <f t="shared" si="86"/>
        <v>93</v>
      </c>
      <c r="V683" t="str">
        <f t="shared" si="87"/>
        <v>OK</v>
      </c>
    </row>
    <row r="684" spans="1:22" ht="18" customHeight="1">
      <c r="A684" t="s">
        <v>199</v>
      </c>
      <c r="B684" t="s">
        <v>200</v>
      </c>
      <c r="C684">
        <v>1</v>
      </c>
      <c r="D684" t="s">
        <v>169</v>
      </c>
      <c r="E684" s="6">
        <f t="shared" si="80"/>
        <v>7</v>
      </c>
      <c r="F684" s="6">
        <f t="shared" si="81"/>
        <v>12</v>
      </c>
      <c r="G684" s="6">
        <f>ROUND(Catalogue!G38*SQRT((1+Paramètres!$B$4*(C684-1)+Paramètres!$B$5*(C684-1)^2)),0)</f>
        <v>0</v>
      </c>
      <c r="H684" s="6">
        <f>ROUND(Catalogue!H38*SQRT((1+Paramètres!$B$4*(C684-1)+Paramètres!$B$5*(C684-1)^2)),0)</f>
        <v>0</v>
      </c>
      <c r="I684" s="6">
        <v>3</v>
      </c>
      <c r="J684" s="6">
        <v>1</v>
      </c>
      <c r="K684" s="7">
        <v>5.5</v>
      </c>
      <c r="L684" s="9">
        <f t="shared" si="82"/>
        <v>9.5</v>
      </c>
      <c r="M684">
        <v>1</v>
      </c>
      <c r="N684">
        <v>6</v>
      </c>
      <c r="O684">
        <v>6</v>
      </c>
      <c r="P684" s="13" t="str">
        <f t="shared" si="83"/>
        <v>1d6 + 6</v>
      </c>
      <c r="Q684">
        <f>ROUND(INDEX(Catalogue!E$4:E$85,MATCH(A684,Catalogue!A$4:A$85,0))*(1+Paramètres!$B$4*(C684-1)+Paramètres!$B$5*(C684-1)^2),0)</f>
        <v>7</v>
      </c>
      <c r="R684">
        <f>ROUND(INDEX(Catalogue!F$4:F$85,MATCH(A684,Catalogue!A$4:A$85,0))*(1+Paramètres!$B$4*(C684-1)+Paramètres!$B$5*(C684-1)^2),0)</f>
        <v>13</v>
      </c>
      <c r="S684">
        <f t="shared" si="84"/>
        <v>-0.5</v>
      </c>
      <c r="T684" t="str">
        <f t="shared" si="85"/>
        <v>OK</v>
      </c>
      <c r="U684" s="25">
        <f t="shared" si="86"/>
        <v>9.5</v>
      </c>
      <c r="V684" t="str">
        <f t="shared" si="87"/>
        <v>OK</v>
      </c>
    </row>
    <row r="685" spans="1:22" ht="18" customHeight="1">
      <c r="A685" t="s">
        <v>199</v>
      </c>
      <c r="B685" t="s">
        <v>200</v>
      </c>
      <c r="C685">
        <v>2</v>
      </c>
      <c r="D685" t="s">
        <v>169</v>
      </c>
      <c r="E685" s="6">
        <f t="shared" si="80"/>
        <v>8</v>
      </c>
      <c r="F685" s="6">
        <f t="shared" si="81"/>
        <v>15</v>
      </c>
      <c r="G685" s="6">
        <f>ROUND(Catalogue!G38*SQRT((1+Paramètres!$B$4*(C685-1)+Paramètres!$B$5*(C685-1)^2)),0)</f>
        <v>0</v>
      </c>
      <c r="H685" s="6">
        <f>ROUND(Catalogue!H38*SQRT((1+Paramètres!$B$4*(C685-1)+Paramètres!$B$5*(C685-1)^2)),0)</f>
        <v>0</v>
      </c>
      <c r="I685" s="6">
        <v>3</v>
      </c>
      <c r="J685" s="6">
        <v>1</v>
      </c>
      <c r="K685" s="7">
        <v>5.5</v>
      </c>
      <c r="L685" s="9">
        <f t="shared" si="82"/>
        <v>11.5</v>
      </c>
      <c r="M685">
        <v>1</v>
      </c>
      <c r="N685">
        <v>8</v>
      </c>
      <c r="O685">
        <v>7</v>
      </c>
      <c r="P685" s="13" t="str">
        <f t="shared" si="83"/>
        <v>1d8 + 7</v>
      </c>
      <c r="Q685">
        <f>ROUND(INDEX(Catalogue!E$4:E$85,MATCH(A685,Catalogue!A$4:A$85,0))*(1+Paramètres!$B$4*(C685-1)+Paramètres!$B$5*(C685-1)^2),0)</f>
        <v>8</v>
      </c>
      <c r="R685">
        <f>ROUND(INDEX(Catalogue!F$4:F$85,MATCH(A685,Catalogue!A$4:A$85,0))*(1+Paramètres!$B$4*(C685-1)+Paramètres!$B$5*(C685-1)^2),0)</f>
        <v>15</v>
      </c>
      <c r="S685">
        <f t="shared" si="84"/>
        <v>0</v>
      </c>
      <c r="T685" t="str">
        <f t="shared" si="85"/>
        <v>OK</v>
      </c>
      <c r="U685" s="25">
        <f t="shared" si="86"/>
        <v>11.5</v>
      </c>
      <c r="V685" t="str">
        <f t="shared" si="87"/>
        <v>OK</v>
      </c>
    </row>
    <row r="686" spans="1:22" ht="18" customHeight="1">
      <c r="A686" t="s">
        <v>199</v>
      </c>
      <c r="B686" t="s">
        <v>200</v>
      </c>
      <c r="C686">
        <v>3</v>
      </c>
      <c r="D686" t="s">
        <v>169</v>
      </c>
      <c r="E686" s="6">
        <f t="shared" si="80"/>
        <v>9</v>
      </c>
      <c r="F686" s="6">
        <f t="shared" si="81"/>
        <v>16</v>
      </c>
      <c r="G686" s="6">
        <f>ROUND(Catalogue!G38*SQRT((1+Paramètres!$B$4*(C686-1)+Paramètres!$B$5*(C686-1)^2)),0)</f>
        <v>0</v>
      </c>
      <c r="H686" s="6">
        <f>ROUND(Catalogue!H38*SQRT((1+Paramètres!$B$4*(C686-1)+Paramètres!$B$5*(C686-1)^2)),0)</f>
        <v>0</v>
      </c>
      <c r="I686" s="6">
        <v>3</v>
      </c>
      <c r="J686" s="6">
        <v>1</v>
      </c>
      <c r="K686" s="7">
        <v>5.5</v>
      </c>
      <c r="L686" s="9">
        <f t="shared" si="82"/>
        <v>12.5</v>
      </c>
      <c r="M686">
        <v>1</v>
      </c>
      <c r="N686">
        <v>8</v>
      </c>
      <c r="O686">
        <v>8</v>
      </c>
      <c r="P686" s="13" t="str">
        <f t="shared" si="83"/>
        <v>1d8 + 8</v>
      </c>
      <c r="Q686">
        <f>ROUND(INDEX(Catalogue!E$4:E$85,MATCH(A686,Catalogue!A$4:A$85,0))*(1+Paramètres!$B$4*(C686-1)+Paramètres!$B$5*(C686-1)^2),0)</f>
        <v>9</v>
      </c>
      <c r="R686">
        <f>ROUND(INDEX(Catalogue!F$4:F$85,MATCH(A686,Catalogue!A$4:A$85,0))*(1+Paramètres!$B$4*(C686-1)+Paramètres!$B$5*(C686-1)^2),0)</f>
        <v>17</v>
      </c>
      <c r="S686">
        <f t="shared" si="84"/>
        <v>-0.5</v>
      </c>
      <c r="T686" t="str">
        <f t="shared" si="85"/>
        <v>OK</v>
      </c>
      <c r="U686" s="25">
        <f t="shared" si="86"/>
        <v>12.5</v>
      </c>
      <c r="V686" t="str">
        <f t="shared" si="87"/>
        <v>OK</v>
      </c>
    </row>
    <row r="687" spans="1:22" ht="18" customHeight="1">
      <c r="A687" t="s">
        <v>199</v>
      </c>
      <c r="B687" t="s">
        <v>200</v>
      </c>
      <c r="C687">
        <v>4</v>
      </c>
      <c r="D687" t="s">
        <v>169</v>
      </c>
      <c r="E687" s="6">
        <f t="shared" si="80"/>
        <v>10</v>
      </c>
      <c r="F687" s="6">
        <f t="shared" si="81"/>
        <v>19</v>
      </c>
      <c r="G687" s="6">
        <f>ROUND(Catalogue!G38*SQRT((1+Paramètres!$B$4*(C687-1)+Paramètres!$B$5*(C687-1)^2)),0)</f>
        <v>0</v>
      </c>
      <c r="H687" s="6">
        <f>ROUND(Catalogue!H38*SQRT((1+Paramètres!$B$4*(C687-1)+Paramètres!$B$5*(C687-1)^2)),0)</f>
        <v>0</v>
      </c>
      <c r="I687" s="6">
        <v>3</v>
      </c>
      <c r="J687" s="6">
        <v>1</v>
      </c>
      <c r="K687" s="7">
        <v>5.5</v>
      </c>
      <c r="L687" s="9">
        <f t="shared" si="82"/>
        <v>14.5</v>
      </c>
      <c r="M687">
        <v>1</v>
      </c>
      <c r="N687">
        <v>10</v>
      </c>
      <c r="O687">
        <v>9</v>
      </c>
      <c r="P687" s="13" t="str">
        <f t="shared" si="83"/>
        <v>1d10 + 9</v>
      </c>
      <c r="Q687">
        <f>ROUND(INDEX(Catalogue!E$4:E$85,MATCH(A687,Catalogue!A$4:A$85,0))*(1+Paramètres!$B$4*(C687-1)+Paramètres!$B$5*(C687-1)^2),0)</f>
        <v>10</v>
      </c>
      <c r="R687">
        <f>ROUND(INDEX(Catalogue!F$4:F$85,MATCH(A687,Catalogue!A$4:A$85,0))*(1+Paramètres!$B$4*(C687-1)+Paramètres!$B$5*(C687-1)^2),0)</f>
        <v>19</v>
      </c>
      <c r="S687">
        <f t="shared" si="84"/>
        <v>0</v>
      </c>
      <c r="T687" t="str">
        <f t="shared" si="85"/>
        <v>OK</v>
      </c>
      <c r="U687" s="25">
        <f t="shared" si="86"/>
        <v>14.5</v>
      </c>
      <c r="V687" t="str">
        <f t="shared" si="87"/>
        <v>OK</v>
      </c>
    </row>
    <row r="688" spans="1:22" ht="18" customHeight="1">
      <c r="A688" t="s">
        <v>199</v>
      </c>
      <c r="B688" t="s">
        <v>200</v>
      </c>
      <c r="C688">
        <v>5</v>
      </c>
      <c r="D688" t="s">
        <v>169</v>
      </c>
      <c r="E688" s="6">
        <f t="shared" si="80"/>
        <v>12</v>
      </c>
      <c r="F688" s="6">
        <f t="shared" si="81"/>
        <v>22</v>
      </c>
      <c r="G688" s="6">
        <f>ROUND(Catalogue!G38*SQRT((1+Paramètres!$B$4*(C688-1)+Paramètres!$B$5*(C688-1)^2)),0)</f>
        <v>0</v>
      </c>
      <c r="H688" s="6">
        <f>ROUND(Catalogue!H38*SQRT((1+Paramètres!$B$4*(C688-1)+Paramètres!$B$5*(C688-1)^2)),0)</f>
        <v>0</v>
      </c>
      <c r="I688" s="6">
        <v>3</v>
      </c>
      <c r="J688" s="6">
        <v>1</v>
      </c>
      <c r="K688" s="7">
        <v>5.5</v>
      </c>
      <c r="L688" s="9">
        <f t="shared" si="82"/>
        <v>17</v>
      </c>
      <c r="M688">
        <v>2</v>
      </c>
      <c r="N688">
        <v>6</v>
      </c>
      <c r="O688">
        <v>10</v>
      </c>
      <c r="P688" s="13" t="str">
        <f t="shared" si="83"/>
        <v>2d6 + 10</v>
      </c>
      <c r="Q688">
        <f>ROUND(INDEX(Catalogue!E$4:E$85,MATCH(A688,Catalogue!A$4:A$85,0))*(1+Paramètres!$B$4*(C688-1)+Paramètres!$B$5*(C688-1)^2),0)</f>
        <v>12</v>
      </c>
      <c r="R688">
        <f>ROUND(INDEX(Catalogue!F$4:F$85,MATCH(A688,Catalogue!A$4:A$85,0))*(1+Paramètres!$B$4*(C688-1)+Paramètres!$B$5*(C688-1)^2),0)</f>
        <v>22</v>
      </c>
      <c r="S688">
        <f t="shared" si="84"/>
        <v>0</v>
      </c>
      <c r="T688" t="str">
        <f t="shared" si="85"/>
        <v>OK</v>
      </c>
      <c r="U688" s="25">
        <f t="shared" si="86"/>
        <v>17</v>
      </c>
      <c r="V688" t="str">
        <f t="shared" si="87"/>
        <v>OK</v>
      </c>
    </row>
    <row r="689" spans="1:22" ht="18" customHeight="1">
      <c r="A689" t="s">
        <v>199</v>
      </c>
      <c r="B689" t="s">
        <v>200</v>
      </c>
      <c r="C689">
        <v>6</v>
      </c>
      <c r="D689" t="s">
        <v>169</v>
      </c>
      <c r="E689" s="6">
        <f t="shared" si="80"/>
        <v>14</v>
      </c>
      <c r="F689" s="6">
        <f t="shared" si="81"/>
        <v>25</v>
      </c>
      <c r="G689" s="6">
        <f>ROUND(Catalogue!G38*SQRT((1+Paramètres!$B$4*(C689-1)+Paramètres!$B$5*(C689-1)^2)),0)</f>
        <v>0</v>
      </c>
      <c r="H689" s="6">
        <f>ROUND(Catalogue!H38*SQRT((1+Paramètres!$B$4*(C689-1)+Paramètres!$B$5*(C689-1)^2)),0)</f>
        <v>0</v>
      </c>
      <c r="I689" s="6">
        <v>3</v>
      </c>
      <c r="J689" s="6">
        <v>1</v>
      </c>
      <c r="K689" s="7">
        <v>5.5</v>
      </c>
      <c r="L689" s="9">
        <f t="shared" si="82"/>
        <v>19.5</v>
      </c>
      <c r="M689">
        <v>1</v>
      </c>
      <c r="N689">
        <v>12</v>
      </c>
      <c r="O689">
        <v>13</v>
      </c>
      <c r="P689" s="13" t="str">
        <f t="shared" si="83"/>
        <v>1d12 + 13</v>
      </c>
      <c r="Q689">
        <f>ROUND(INDEX(Catalogue!E$4:E$85,MATCH(A689,Catalogue!A$4:A$85,0))*(1+Paramètres!$B$4*(C689-1)+Paramètres!$B$5*(C689-1)^2),0)</f>
        <v>14</v>
      </c>
      <c r="R689">
        <f>ROUND(INDEX(Catalogue!F$4:F$85,MATCH(A689,Catalogue!A$4:A$85,0))*(1+Paramètres!$B$4*(C689-1)+Paramètres!$B$5*(C689-1)^2),0)</f>
        <v>25</v>
      </c>
      <c r="S689">
        <f t="shared" si="84"/>
        <v>0</v>
      </c>
      <c r="T689" t="str">
        <f t="shared" si="85"/>
        <v>OK</v>
      </c>
      <c r="U689" s="25">
        <f t="shared" si="86"/>
        <v>19.5</v>
      </c>
      <c r="V689" t="str">
        <f t="shared" si="87"/>
        <v>OK</v>
      </c>
    </row>
    <row r="690" spans="1:22" ht="18" customHeight="1">
      <c r="A690" t="s">
        <v>199</v>
      </c>
      <c r="B690" t="s">
        <v>200</v>
      </c>
      <c r="C690">
        <v>7</v>
      </c>
      <c r="D690" t="s">
        <v>169</v>
      </c>
      <c r="E690" s="6">
        <f t="shared" si="80"/>
        <v>15</v>
      </c>
      <c r="F690" s="6">
        <f t="shared" si="81"/>
        <v>29</v>
      </c>
      <c r="G690" s="6">
        <f>ROUND(Catalogue!G38*SQRT((1+Paramètres!$B$4*(C690-1)+Paramètres!$B$5*(C690-1)^2)),0)</f>
        <v>0</v>
      </c>
      <c r="H690" s="6">
        <f>ROUND(Catalogue!H38*SQRT((1+Paramètres!$B$4*(C690-1)+Paramètres!$B$5*(C690-1)^2)),0)</f>
        <v>0</v>
      </c>
      <c r="I690" s="6">
        <v>3</v>
      </c>
      <c r="J690" s="6">
        <v>1</v>
      </c>
      <c r="K690" s="7">
        <v>5.5</v>
      </c>
      <c r="L690" s="9">
        <f t="shared" si="82"/>
        <v>22</v>
      </c>
      <c r="M690">
        <v>2</v>
      </c>
      <c r="N690">
        <v>8</v>
      </c>
      <c r="O690">
        <v>13</v>
      </c>
      <c r="P690" s="13" t="str">
        <f t="shared" si="83"/>
        <v>2d8 + 13</v>
      </c>
      <c r="Q690">
        <f>ROUND(INDEX(Catalogue!E$4:E$85,MATCH(A690,Catalogue!A$4:A$85,0))*(1+Paramètres!$B$4*(C690-1)+Paramètres!$B$5*(C690-1)^2),0)</f>
        <v>16</v>
      </c>
      <c r="R690">
        <f>ROUND(INDEX(Catalogue!F$4:F$85,MATCH(A690,Catalogue!A$4:A$85,0))*(1+Paramètres!$B$4*(C690-1)+Paramètres!$B$5*(C690-1)^2),0)</f>
        <v>29</v>
      </c>
      <c r="S690">
        <f t="shared" si="84"/>
        <v>-0.5</v>
      </c>
      <c r="T690" t="str">
        <f t="shared" si="85"/>
        <v>OK</v>
      </c>
      <c r="U690" s="25">
        <f t="shared" si="86"/>
        <v>22</v>
      </c>
      <c r="V690" t="str">
        <f t="shared" si="87"/>
        <v>OK</v>
      </c>
    </row>
    <row r="691" spans="1:22" ht="18" customHeight="1">
      <c r="A691" t="s">
        <v>199</v>
      </c>
      <c r="B691" t="s">
        <v>200</v>
      </c>
      <c r="C691">
        <v>8</v>
      </c>
      <c r="D691" t="s">
        <v>169</v>
      </c>
      <c r="E691" s="6">
        <f t="shared" si="80"/>
        <v>18</v>
      </c>
      <c r="F691" s="6">
        <f t="shared" si="81"/>
        <v>33</v>
      </c>
      <c r="G691" s="6">
        <f>ROUND(Catalogue!G38*SQRT((1+Paramètres!$B$4*(C691-1)+Paramètres!$B$5*(C691-1)^2)),0)</f>
        <v>0</v>
      </c>
      <c r="H691" s="6">
        <f>ROUND(Catalogue!H38*SQRT((1+Paramètres!$B$4*(C691-1)+Paramètres!$B$5*(C691-1)^2)),0)</f>
        <v>0</v>
      </c>
      <c r="I691" s="6">
        <v>3</v>
      </c>
      <c r="J691" s="6">
        <v>1</v>
      </c>
      <c r="K691" s="7">
        <v>5.5</v>
      </c>
      <c r="L691" s="9">
        <f t="shared" si="82"/>
        <v>25.5</v>
      </c>
      <c r="M691">
        <v>3</v>
      </c>
      <c r="N691">
        <v>6</v>
      </c>
      <c r="O691">
        <v>15</v>
      </c>
      <c r="P691" s="13" t="str">
        <f t="shared" si="83"/>
        <v>3d6 + 15</v>
      </c>
      <c r="Q691">
        <f>ROUND(INDEX(Catalogue!E$4:E$85,MATCH(A691,Catalogue!A$4:A$85,0))*(1+Paramètres!$B$4*(C691-1)+Paramètres!$B$5*(C691-1)^2),0)</f>
        <v>18</v>
      </c>
      <c r="R691">
        <f>ROUND(INDEX(Catalogue!F$4:F$85,MATCH(A691,Catalogue!A$4:A$85,0))*(1+Paramètres!$B$4*(C691-1)+Paramètres!$B$5*(C691-1)^2),0)</f>
        <v>33</v>
      </c>
      <c r="S691">
        <f t="shared" si="84"/>
        <v>0</v>
      </c>
      <c r="T691" t="str">
        <f t="shared" si="85"/>
        <v>OK</v>
      </c>
      <c r="U691" s="25">
        <f t="shared" si="86"/>
        <v>25.5</v>
      </c>
      <c r="V691" t="str">
        <f t="shared" si="87"/>
        <v>OK</v>
      </c>
    </row>
    <row r="692" spans="1:22" ht="18" customHeight="1">
      <c r="A692" t="s">
        <v>199</v>
      </c>
      <c r="B692" t="s">
        <v>200</v>
      </c>
      <c r="C692">
        <v>9</v>
      </c>
      <c r="D692" t="s">
        <v>169</v>
      </c>
      <c r="E692" s="6">
        <f t="shared" si="80"/>
        <v>20</v>
      </c>
      <c r="F692" s="6">
        <f t="shared" si="81"/>
        <v>38</v>
      </c>
      <c r="G692" s="6">
        <f>ROUND(Catalogue!G38*SQRT((1+Paramètres!$B$4*(C692-1)+Paramètres!$B$5*(C692-1)^2)),0)</f>
        <v>0</v>
      </c>
      <c r="H692" s="6">
        <f>ROUND(Catalogue!H38*SQRT((1+Paramètres!$B$4*(C692-1)+Paramètres!$B$5*(C692-1)^2)),0)</f>
        <v>0</v>
      </c>
      <c r="I692" s="6">
        <v>3</v>
      </c>
      <c r="J692" s="6">
        <v>1</v>
      </c>
      <c r="K692" s="7">
        <v>5.5</v>
      </c>
      <c r="L692" s="9">
        <f t="shared" si="82"/>
        <v>29</v>
      </c>
      <c r="M692">
        <v>2</v>
      </c>
      <c r="N692">
        <v>10</v>
      </c>
      <c r="O692">
        <v>18</v>
      </c>
      <c r="P692" s="13" t="str">
        <f t="shared" si="83"/>
        <v>2d10 + 18</v>
      </c>
      <c r="Q692">
        <f>ROUND(INDEX(Catalogue!E$4:E$85,MATCH(A692,Catalogue!A$4:A$85,0))*(1+Paramètres!$B$4*(C692-1)+Paramètres!$B$5*(C692-1)^2),0)</f>
        <v>20</v>
      </c>
      <c r="R692">
        <f>ROUND(INDEX(Catalogue!F$4:F$85,MATCH(A692,Catalogue!A$4:A$85,0))*(1+Paramètres!$B$4*(C692-1)+Paramètres!$B$5*(C692-1)^2),0)</f>
        <v>38</v>
      </c>
      <c r="S692">
        <f t="shared" si="84"/>
        <v>0</v>
      </c>
      <c r="T692" t="str">
        <f t="shared" si="85"/>
        <v>OK</v>
      </c>
      <c r="U692" s="25">
        <f t="shared" si="86"/>
        <v>29</v>
      </c>
      <c r="V692" t="str">
        <f t="shared" si="87"/>
        <v>OK</v>
      </c>
    </row>
    <row r="693" spans="1:22" ht="18" customHeight="1">
      <c r="A693" t="s">
        <v>199</v>
      </c>
      <c r="B693" t="s">
        <v>200</v>
      </c>
      <c r="C693">
        <v>10</v>
      </c>
      <c r="D693" t="s">
        <v>169</v>
      </c>
      <c r="E693" s="6">
        <f t="shared" si="80"/>
        <v>23</v>
      </c>
      <c r="F693" s="6">
        <f t="shared" si="81"/>
        <v>43</v>
      </c>
      <c r="G693" s="6">
        <f>ROUND(Catalogue!G38*SQRT((1+Paramètres!$B$4*(C693-1)+Paramètres!$B$5*(C693-1)^2)),0)</f>
        <v>0</v>
      </c>
      <c r="H693" s="6">
        <f>ROUND(Catalogue!H38*SQRT((1+Paramètres!$B$4*(C693-1)+Paramètres!$B$5*(C693-1)^2)),0)</f>
        <v>0</v>
      </c>
      <c r="I693" s="6">
        <v>3</v>
      </c>
      <c r="J693" s="6">
        <v>1</v>
      </c>
      <c r="K693" s="7">
        <v>5.5</v>
      </c>
      <c r="L693" s="9">
        <f t="shared" si="82"/>
        <v>33</v>
      </c>
      <c r="M693">
        <v>4</v>
      </c>
      <c r="N693">
        <v>6</v>
      </c>
      <c r="O693">
        <v>19</v>
      </c>
      <c r="P693" s="13" t="str">
        <f t="shared" si="83"/>
        <v>4d6 + 19</v>
      </c>
      <c r="Q693">
        <f>ROUND(INDEX(Catalogue!E$4:E$85,MATCH(A693,Catalogue!A$4:A$85,0))*(1+Paramètres!$B$4*(C693-1)+Paramètres!$B$5*(C693-1)^2),0)</f>
        <v>23</v>
      </c>
      <c r="R693">
        <f>ROUND(INDEX(Catalogue!F$4:F$85,MATCH(A693,Catalogue!A$4:A$85,0))*(1+Paramètres!$B$4*(C693-1)+Paramètres!$B$5*(C693-1)^2),0)</f>
        <v>43</v>
      </c>
      <c r="S693">
        <f t="shared" si="84"/>
        <v>0</v>
      </c>
      <c r="T693" t="str">
        <f t="shared" si="85"/>
        <v>OK</v>
      </c>
      <c r="U693" s="25">
        <f t="shared" si="86"/>
        <v>33</v>
      </c>
      <c r="V693" t="str">
        <f t="shared" si="87"/>
        <v>OK</v>
      </c>
    </row>
    <row r="694" spans="1:22" ht="18" customHeight="1">
      <c r="A694" t="s">
        <v>199</v>
      </c>
      <c r="B694" t="s">
        <v>200</v>
      </c>
      <c r="C694">
        <v>11</v>
      </c>
      <c r="D694" t="s">
        <v>169</v>
      </c>
      <c r="E694" s="6">
        <f t="shared" si="80"/>
        <v>26</v>
      </c>
      <c r="F694" s="6">
        <f t="shared" si="81"/>
        <v>48</v>
      </c>
      <c r="G694" s="6">
        <f>ROUND(Catalogue!G38*SQRT((1+Paramètres!$B$4*(C694-1)+Paramètres!$B$5*(C694-1)^2)),0)</f>
        <v>0</v>
      </c>
      <c r="H694" s="6">
        <f>ROUND(Catalogue!H38*SQRT((1+Paramètres!$B$4*(C694-1)+Paramètres!$B$5*(C694-1)^2)),0)</f>
        <v>0</v>
      </c>
      <c r="I694" s="6">
        <v>3</v>
      </c>
      <c r="J694" s="6">
        <v>1</v>
      </c>
      <c r="K694" s="7">
        <v>5.5</v>
      </c>
      <c r="L694" s="9">
        <f t="shared" si="82"/>
        <v>37</v>
      </c>
      <c r="M694">
        <v>2</v>
      </c>
      <c r="N694">
        <v>12</v>
      </c>
      <c r="O694">
        <v>24</v>
      </c>
      <c r="P694" s="13" t="str">
        <f t="shared" si="83"/>
        <v>2d12 + 24</v>
      </c>
      <c r="Q694">
        <f>ROUND(INDEX(Catalogue!E$4:E$85,MATCH(A694,Catalogue!A$4:A$85,0))*(1+Paramètres!$B$4*(C694-1)+Paramètres!$B$5*(C694-1)^2),0)</f>
        <v>26</v>
      </c>
      <c r="R694">
        <f>ROUND(INDEX(Catalogue!F$4:F$85,MATCH(A694,Catalogue!A$4:A$85,0))*(1+Paramètres!$B$4*(C694-1)+Paramètres!$B$5*(C694-1)^2),0)</f>
        <v>48</v>
      </c>
      <c r="S694">
        <f t="shared" si="84"/>
        <v>0</v>
      </c>
      <c r="T694" t="str">
        <f t="shared" si="85"/>
        <v>OK</v>
      </c>
      <c r="U694" s="25">
        <f t="shared" si="86"/>
        <v>37</v>
      </c>
      <c r="V694" t="str">
        <f t="shared" si="87"/>
        <v>OK</v>
      </c>
    </row>
    <row r="695" spans="1:22" ht="18" customHeight="1">
      <c r="A695" t="s">
        <v>199</v>
      </c>
      <c r="B695" t="s">
        <v>200</v>
      </c>
      <c r="C695">
        <v>12</v>
      </c>
      <c r="D695" t="s">
        <v>169</v>
      </c>
      <c r="E695" s="6">
        <f t="shared" si="80"/>
        <v>28</v>
      </c>
      <c r="F695" s="6">
        <f t="shared" si="81"/>
        <v>55</v>
      </c>
      <c r="G695" s="6">
        <f>ROUND(Catalogue!G38*SQRT((1+Paramètres!$B$4*(C695-1)+Paramètres!$B$5*(C695-1)^2)),0)</f>
        <v>0</v>
      </c>
      <c r="H695" s="6">
        <f>ROUND(Catalogue!H38*SQRT((1+Paramètres!$B$4*(C695-1)+Paramètres!$B$5*(C695-1)^2)),0)</f>
        <v>0</v>
      </c>
      <c r="I695" s="6">
        <v>3</v>
      </c>
      <c r="J695" s="6">
        <v>1</v>
      </c>
      <c r="K695" s="7">
        <v>5.5</v>
      </c>
      <c r="L695" s="9">
        <f t="shared" si="82"/>
        <v>41.5</v>
      </c>
      <c r="M695">
        <v>3</v>
      </c>
      <c r="N695">
        <v>10</v>
      </c>
      <c r="O695">
        <v>25</v>
      </c>
      <c r="P695" s="13" t="str">
        <f t="shared" si="83"/>
        <v>3d10 + 25</v>
      </c>
      <c r="Q695">
        <f>ROUND(INDEX(Catalogue!E$4:E$85,MATCH(A695,Catalogue!A$4:A$85,0))*(1+Paramètres!$B$4*(C695-1)+Paramètres!$B$5*(C695-1)^2),0)</f>
        <v>29</v>
      </c>
      <c r="R695">
        <f>ROUND(INDEX(Catalogue!F$4:F$85,MATCH(A695,Catalogue!A$4:A$85,0))*(1+Paramètres!$B$4*(C695-1)+Paramètres!$B$5*(C695-1)^2),0)</f>
        <v>54</v>
      </c>
      <c r="S695">
        <f t="shared" si="84"/>
        <v>0</v>
      </c>
      <c r="T695" t="str">
        <f t="shared" si="85"/>
        <v>OK</v>
      </c>
      <c r="U695" s="25">
        <f t="shared" si="86"/>
        <v>41.5</v>
      </c>
      <c r="V695" t="str">
        <f t="shared" si="87"/>
        <v>OK</v>
      </c>
    </row>
    <row r="696" spans="1:22" ht="18" customHeight="1">
      <c r="A696" t="s">
        <v>199</v>
      </c>
      <c r="B696" t="s">
        <v>200</v>
      </c>
      <c r="C696">
        <v>13</v>
      </c>
      <c r="D696" t="s">
        <v>169</v>
      </c>
      <c r="E696" s="6">
        <f t="shared" si="80"/>
        <v>32</v>
      </c>
      <c r="F696" s="6">
        <f t="shared" si="81"/>
        <v>60</v>
      </c>
      <c r="G696" s="6">
        <f>ROUND(Catalogue!G38*SQRT((1+Paramètres!$B$4*(C696-1)+Paramètres!$B$5*(C696-1)^2)),0)</f>
        <v>0</v>
      </c>
      <c r="H696" s="6">
        <f>ROUND(Catalogue!H38*SQRT((1+Paramètres!$B$4*(C696-1)+Paramètres!$B$5*(C696-1)^2)),0)</f>
        <v>0</v>
      </c>
      <c r="I696" s="6">
        <v>3</v>
      </c>
      <c r="J696" s="6">
        <v>1</v>
      </c>
      <c r="K696" s="7">
        <v>5.5</v>
      </c>
      <c r="L696" s="9">
        <f t="shared" si="82"/>
        <v>46</v>
      </c>
      <c r="M696">
        <v>4</v>
      </c>
      <c r="N696">
        <v>8</v>
      </c>
      <c r="O696">
        <v>28</v>
      </c>
      <c r="P696" s="13" t="str">
        <f t="shared" si="83"/>
        <v>4d8 + 28</v>
      </c>
      <c r="Q696">
        <f>ROUND(INDEX(Catalogue!E$4:E$85,MATCH(A696,Catalogue!A$4:A$85,0))*(1+Paramètres!$B$4*(C696-1)+Paramètres!$B$5*(C696-1)^2),0)</f>
        <v>32</v>
      </c>
      <c r="R696">
        <f>ROUND(INDEX(Catalogue!F$4:F$85,MATCH(A696,Catalogue!A$4:A$85,0))*(1+Paramètres!$B$4*(C696-1)+Paramètres!$B$5*(C696-1)^2),0)</f>
        <v>60</v>
      </c>
      <c r="S696">
        <f t="shared" si="84"/>
        <v>0</v>
      </c>
      <c r="T696" t="str">
        <f t="shared" si="85"/>
        <v>OK</v>
      </c>
      <c r="U696" s="25">
        <f t="shared" si="86"/>
        <v>46</v>
      </c>
      <c r="V696" t="str">
        <f t="shared" si="87"/>
        <v>OK</v>
      </c>
    </row>
    <row r="697" spans="1:22" ht="18" customHeight="1">
      <c r="A697" t="s">
        <v>199</v>
      </c>
      <c r="B697" t="s">
        <v>200</v>
      </c>
      <c r="C697">
        <v>14</v>
      </c>
      <c r="D697" t="s">
        <v>169</v>
      </c>
      <c r="E697" s="6">
        <f t="shared" si="80"/>
        <v>35</v>
      </c>
      <c r="F697" s="6">
        <f t="shared" si="81"/>
        <v>68</v>
      </c>
      <c r="G697" s="6">
        <f>ROUND(Catalogue!G38*SQRT((1+Paramètres!$B$4*(C697-1)+Paramètres!$B$5*(C697-1)^2)),0)</f>
        <v>0</v>
      </c>
      <c r="H697" s="6">
        <f>ROUND(Catalogue!H38*SQRT((1+Paramètres!$B$4*(C697-1)+Paramètres!$B$5*(C697-1)^2)),0)</f>
        <v>0</v>
      </c>
      <c r="I697" s="6">
        <v>3</v>
      </c>
      <c r="J697" s="6">
        <v>1</v>
      </c>
      <c r="K697" s="7">
        <v>5.5</v>
      </c>
      <c r="L697" s="9">
        <f t="shared" si="82"/>
        <v>51.5</v>
      </c>
      <c r="M697">
        <v>3</v>
      </c>
      <c r="N697">
        <v>12</v>
      </c>
      <c r="O697">
        <v>32</v>
      </c>
      <c r="P697" s="13" t="str">
        <f t="shared" si="83"/>
        <v>3d12 + 32</v>
      </c>
      <c r="Q697">
        <f>ROUND(INDEX(Catalogue!E$4:E$85,MATCH(A697,Catalogue!A$4:A$85,0))*(1+Paramètres!$B$4*(C697-1)+Paramètres!$B$5*(C697-1)^2),0)</f>
        <v>36</v>
      </c>
      <c r="R697">
        <f>ROUND(INDEX(Catalogue!F$4:F$85,MATCH(A697,Catalogue!A$4:A$85,0))*(1+Paramètres!$B$4*(C697-1)+Paramètres!$B$5*(C697-1)^2),0)</f>
        <v>67</v>
      </c>
      <c r="S697">
        <f t="shared" si="84"/>
        <v>0</v>
      </c>
      <c r="T697" t="str">
        <f t="shared" si="85"/>
        <v>OK</v>
      </c>
      <c r="U697" s="25">
        <f t="shared" si="86"/>
        <v>51.5</v>
      </c>
      <c r="V697" t="str">
        <f t="shared" si="87"/>
        <v>OK</v>
      </c>
    </row>
    <row r="698" spans="1:22" ht="18" customHeight="1">
      <c r="A698" t="s">
        <v>199</v>
      </c>
      <c r="B698" t="s">
        <v>200</v>
      </c>
      <c r="C698">
        <v>15</v>
      </c>
      <c r="D698" t="s">
        <v>169</v>
      </c>
      <c r="E698" s="6">
        <f t="shared" si="80"/>
        <v>40</v>
      </c>
      <c r="F698" s="6">
        <f t="shared" si="81"/>
        <v>73</v>
      </c>
      <c r="G698" s="6">
        <f>ROUND(Catalogue!G38*SQRT((1+Paramètres!$B$4*(C698-1)+Paramètres!$B$5*(C698-1)^2)),0)</f>
        <v>0</v>
      </c>
      <c r="H698" s="6">
        <f>ROUND(Catalogue!H38*SQRT((1+Paramètres!$B$4*(C698-1)+Paramètres!$B$5*(C698-1)^2)),0)</f>
        <v>0</v>
      </c>
      <c r="I698" s="6">
        <v>3</v>
      </c>
      <c r="J698" s="6">
        <v>1</v>
      </c>
      <c r="K698" s="7">
        <v>5.5</v>
      </c>
      <c r="L698" s="9">
        <f t="shared" si="82"/>
        <v>56.5</v>
      </c>
      <c r="M698">
        <v>3</v>
      </c>
      <c r="N698">
        <v>12</v>
      </c>
      <c r="O698">
        <v>37</v>
      </c>
      <c r="P698" s="13" t="str">
        <f t="shared" si="83"/>
        <v>3d12 + 37</v>
      </c>
      <c r="Q698">
        <f>ROUND(INDEX(Catalogue!E$4:E$85,MATCH(A698,Catalogue!A$4:A$85,0))*(1+Paramètres!$B$4*(C698-1)+Paramètres!$B$5*(C698-1)^2),0)</f>
        <v>40</v>
      </c>
      <c r="R698">
        <f>ROUND(INDEX(Catalogue!F$4:F$85,MATCH(A698,Catalogue!A$4:A$85,0))*(1+Paramètres!$B$4*(C698-1)+Paramètres!$B$5*(C698-1)^2),0)</f>
        <v>74</v>
      </c>
      <c r="S698">
        <f t="shared" si="84"/>
        <v>-0.5</v>
      </c>
      <c r="T698" t="str">
        <f t="shared" si="85"/>
        <v>OK</v>
      </c>
      <c r="U698" s="25">
        <f t="shared" si="86"/>
        <v>56.5</v>
      </c>
      <c r="V698" t="str">
        <f t="shared" si="87"/>
        <v>OK</v>
      </c>
    </row>
    <row r="699" spans="1:22" ht="18" customHeight="1">
      <c r="A699" t="s">
        <v>199</v>
      </c>
      <c r="B699" t="s">
        <v>200</v>
      </c>
      <c r="C699">
        <v>16</v>
      </c>
      <c r="D699" t="s">
        <v>169</v>
      </c>
      <c r="E699" s="6">
        <f t="shared" si="80"/>
        <v>44</v>
      </c>
      <c r="F699" s="6">
        <f t="shared" si="81"/>
        <v>80</v>
      </c>
      <c r="G699" s="6">
        <f>ROUND(Catalogue!G38*SQRT((1+Paramètres!$B$4*(C699-1)+Paramètres!$B$5*(C699-1)^2)),0)</f>
        <v>0</v>
      </c>
      <c r="H699" s="6">
        <f>ROUND(Catalogue!H38*SQRT((1+Paramètres!$B$4*(C699-1)+Paramètres!$B$5*(C699-1)^2)),0)</f>
        <v>0</v>
      </c>
      <c r="I699" s="6">
        <v>3</v>
      </c>
      <c r="J699" s="6">
        <v>1</v>
      </c>
      <c r="K699" s="7">
        <v>5.5</v>
      </c>
      <c r="L699" s="9">
        <f t="shared" si="82"/>
        <v>62</v>
      </c>
      <c r="M699">
        <v>4</v>
      </c>
      <c r="N699">
        <v>10</v>
      </c>
      <c r="O699">
        <v>40</v>
      </c>
      <c r="P699" s="13" t="str">
        <f t="shared" si="83"/>
        <v>4d10 + 40</v>
      </c>
      <c r="Q699">
        <f>ROUND(INDEX(Catalogue!E$4:E$85,MATCH(A699,Catalogue!A$4:A$85,0))*(1+Paramètres!$B$4*(C699-1)+Paramètres!$B$5*(C699-1)^2),0)</f>
        <v>44</v>
      </c>
      <c r="R699">
        <f>ROUND(INDEX(Catalogue!F$4:F$85,MATCH(A699,Catalogue!A$4:A$85,0))*(1+Paramètres!$B$4*(C699-1)+Paramètres!$B$5*(C699-1)^2),0)</f>
        <v>81</v>
      </c>
      <c r="S699">
        <f t="shared" si="84"/>
        <v>-0.5</v>
      </c>
      <c r="T699" t="str">
        <f t="shared" si="85"/>
        <v>OK</v>
      </c>
      <c r="U699" s="25">
        <f t="shared" si="86"/>
        <v>62</v>
      </c>
      <c r="V699" t="str">
        <f t="shared" si="87"/>
        <v>OK</v>
      </c>
    </row>
    <row r="700" spans="1:22" ht="18" customHeight="1">
      <c r="A700" t="s">
        <v>199</v>
      </c>
      <c r="B700" t="s">
        <v>200</v>
      </c>
      <c r="C700">
        <v>17</v>
      </c>
      <c r="D700" t="s">
        <v>169</v>
      </c>
      <c r="E700" s="6">
        <f t="shared" si="80"/>
        <v>47</v>
      </c>
      <c r="F700" s="6">
        <f t="shared" si="81"/>
        <v>89</v>
      </c>
      <c r="G700" s="6">
        <f>ROUND(Catalogue!G38*SQRT((1+Paramètres!$B$4*(C700-1)+Paramètres!$B$5*(C700-1)^2)),0)</f>
        <v>0</v>
      </c>
      <c r="H700" s="6">
        <f>ROUND(Catalogue!H38*SQRT((1+Paramètres!$B$4*(C700-1)+Paramètres!$B$5*(C700-1)^2)),0)</f>
        <v>0</v>
      </c>
      <c r="I700" s="6">
        <v>3</v>
      </c>
      <c r="J700" s="6">
        <v>1</v>
      </c>
      <c r="K700" s="7">
        <v>5.5</v>
      </c>
      <c r="L700" s="9">
        <f t="shared" si="82"/>
        <v>68</v>
      </c>
      <c r="M700">
        <v>6</v>
      </c>
      <c r="N700">
        <v>8</v>
      </c>
      <c r="O700">
        <v>41</v>
      </c>
      <c r="P700" s="13" t="str">
        <f t="shared" si="83"/>
        <v>6d8 + 41</v>
      </c>
      <c r="Q700">
        <f>ROUND(INDEX(Catalogue!E$4:E$85,MATCH(A700,Catalogue!A$4:A$85,0))*(1+Paramètres!$B$4*(C700-1)+Paramètres!$B$5*(C700-1)^2),0)</f>
        <v>48</v>
      </c>
      <c r="R700">
        <f>ROUND(INDEX(Catalogue!F$4:F$85,MATCH(A700,Catalogue!A$4:A$85,0))*(1+Paramètres!$B$4*(C700-1)+Paramètres!$B$5*(C700-1)^2),0)</f>
        <v>89</v>
      </c>
      <c r="S700">
        <f t="shared" si="84"/>
        <v>-0.5</v>
      </c>
      <c r="T700" t="str">
        <f t="shared" si="85"/>
        <v>OK</v>
      </c>
      <c r="U700" s="25">
        <f t="shared" si="86"/>
        <v>68</v>
      </c>
      <c r="V700" t="str">
        <f t="shared" si="87"/>
        <v>OK</v>
      </c>
    </row>
    <row r="701" spans="1:22" ht="18" customHeight="1">
      <c r="A701" t="s">
        <v>199</v>
      </c>
      <c r="B701" t="s">
        <v>200</v>
      </c>
      <c r="C701">
        <v>18</v>
      </c>
      <c r="D701" t="s">
        <v>169</v>
      </c>
      <c r="E701" s="6">
        <f t="shared" si="80"/>
        <v>52</v>
      </c>
      <c r="F701" s="6">
        <f t="shared" si="81"/>
        <v>97</v>
      </c>
      <c r="G701" s="6">
        <f>ROUND(Catalogue!G38*SQRT((1+Paramètres!$B$4*(C701-1)+Paramètres!$B$5*(C701-1)^2)),0)</f>
        <v>0</v>
      </c>
      <c r="H701" s="6">
        <f>ROUND(Catalogue!H38*SQRT((1+Paramètres!$B$4*(C701-1)+Paramètres!$B$5*(C701-1)^2)),0)</f>
        <v>0</v>
      </c>
      <c r="I701" s="6">
        <v>3</v>
      </c>
      <c r="J701" s="6">
        <v>1</v>
      </c>
      <c r="K701" s="7">
        <v>5.5</v>
      </c>
      <c r="L701" s="9">
        <f t="shared" si="82"/>
        <v>74.5</v>
      </c>
      <c r="M701">
        <v>5</v>
      </c>
      <c r="N701">
        <v>10</v>
      </c>
      <c r="O701">
        <v>47</v>
      </c>
      <c r="P701" s="13" t="str">
        <f t="shared" si="83"/>
        <v>5d10 + 47</v>
      </c>
      <c r="Q701">
        <f>ROUND(INDEX(Catalogue!E$4:E$85,MATCH(A701,Catalogue!A$4:A$85,0))*(1+Paramètres!$B$4*(C701-1)+Paramètres!$B$5*(C701-1)^2),0)</f>
        <v>52</v>
      </c>
      <c r="R701">
        <f>ROUND(INDEX(Catalogue!F$4:F$85,MATCH(A701,Catalogue!A$4:A$85,0))*(1+Paramètres!$B$4*(C701-1)+Paramètres!$B$5*(C701-1)^2),0)</f>
        <v>97</v>
      </c>
      <c r="S701">
        <f t="shared" si="84"/>
        <v>0</v>
      </c>
      <c r="T701" t="str">
        <f t="shared" si="85"/>
        <v>OK</v>
      </c>
      <c r="U701" s="25">
        <f t="shared" si="86"/>
        <v>74.5</v>
      </c>
      <c r="V701" t="str">
        <f t="shared" si="87"/>
        <v>OK</v>
      </c>
    </row>
    <row r="702" spans="1:22" ht="18" customHeight="1">
      <c r="A702" t="s">
        <v>199</v>
      </c>
      <c r="B702" t="s">
        <v>200</v>
      </c>
      <c r="C702">
        <v>19</v>
      </c>
      <c r="D702" t="s">
        <v>169</v>
      </c>
      <c r="E702" s="6">
        <f t="shared" si="80"/>
        <v>59</v>
      </c>
      <c r="F702" s="6">
        <f t="shared" si="81"/>
        <v>104</v>
      </c>
      <c r="G702" s="6">
        <f>ROUND(Catalogue!G38*SQRT((1+Paramètres!$B$4*(C702-1)+Paramètres!$B$5*(C702-1)^2)),0)</f>
        <v>0</v>
      </c>
      <c r="H702" s="6">
        <f>ROUND(Catalogue!H38*SQRT((1+Paramètres!$B$4*(C702-1)+Paramètres!$B$5*(C702-1)^2)),0)</f>
        <v>0</v>
      </c>
      <c r="I702" s="6">
        <v>3</v>
      </c>
      <c r="J702" s="6">
        <v>1</v>
      </c>
      <c r="K702" s="7">
        <v>5.5</v>
      </c>
      <c r="L702" s="9">
        <f t="shared" si="82"/>
        <v>81.5</v>
      </c>
      <c r="M702">
        <v>5</v>
      </c>
      <c r="N702">
        <v>10</v>
      </c>
      <c r="O702">
        <v>54</v>
      </c>
      <c r="P702" s="13" t="str">
        <f t="shared" si="83"/>
        <v>5d10 + 54</v>
      </c>
      <c r="Q702">
        <f>ROUND(INDEX(Catalogue!E$4:E$85,MATCH(A702,Catalogue!A$4:A$85,0))*(1+Paramètres!$B$4*(C702-1)+Paramètres!$B$5*(C702-1)^2),0)</f>
        <v>57</v>
      </c>
      <c r="R702">
        <f>ROUND(INDEX(Catalogue!F$4:F$85,MATCH(A702,Catalogue!A$4:A$85,0))*(1+Paramètres!$B$4*(C702-1)+Paramètres!$B$5*(C702-1)^2),0)</f>
        <v>106</v>
      </c>
      <c r="S702">
        <f t="shared" si="84"/>
        <v>0</v>
      </c>
      <c r="T702" t="str">
        <f t="shared" si="85"/>
        <v>OK</v>
      </c>
      <c r="U702" s="25">
        <f t="shared" si="86"/>
        <v>81.5</v>
      </c>
      <c r="V702" t="str">
        <f t="shared" si="87"/>
        <v>OK</v>
      </c>
    </row>
    <row r="703" spans="1:22" ht="18" customHeight="1">
      <c r="A703" t="s">
        <v>199</v>
      </c>
      <c r="B703" t="s">
        <v>200</v>
      </c>
      <c r="C703">
        <v>20</v>
      </c>
      <c r="D703" t="s">
        <v>169</v>
      </c>
      <c r="E703" s="6">
        <f t="shared" si="80"/>
        <v>62</v>
      </c>
      <c r="F703" s="6">
        <f t="shared" si="81"/>
        <v>116</v>
      </c>
      <c r="G703" s="6">
        <f>ROUND(Catalogue!G38*SQRT((1+Paramètres!$B$4*(C703-1)+Paramètres!$B$5*(C703-1)^2)),0)</f>
        <v>0</v>
      </c>
      <c r="H703" s="6">
        <f>ROUND(Catalogue!H38*SQRT((1+Paramètres!$B$4*(C703-1)+Paramètres!$B$5*(C703-1)^2)),0)</f>
        <v>0</v>
      </c>
      <c r="I703" s="6">
        <v>3</v>
      </c>
      <c r="J703" s="6">
        <v>1</v>
      </c>
      <c r="K703" s="7">
        <v>5.5</v>
      </c>
      <c r="L703" s="9">
        <f t="shared" si="82"/>
        <v>89</v>
      </c>
      <c r="M703">
        <v>6</v>
      </c>
      <c r="N703">
        <v>10</v>
      </c>
      <c r="O703">
        <v>56</v>
      </c>
      <c r="P703" s="13" t="str">
        <f t="shared" si="83"/>
        <v>6d10 + 56</v>
      </c>
      <c r="Q703">
        <f>ROUND(INDEX(Catalogue!E$4:E$85,MATCH(A703,Catalogue!A$4:A$85,0))*(1+Paramètres!$B$4*(C703-1)+Paramètres!$B$5*(C703-1)^2),0)</f>
        <v>62</v>
      </c>
      <c r="R703">
        <f>ROUND(INDEX(Catalogue!F$4:F$85,MATCH(A703,Catalogue!A$4:A$85,0))*(1+Paramètres!$B$4*(C703-1)+Paramètres!$B$5*(C703-1)^2),0)</f>
        <v>115</v>
      </c>
      <c r="S703">
        <f t="shared" si="84"/>
        <v>0.5</v>
      </c>
      <c r="T703" t="str">
        <f t="shared" si="85"/>
        <v>OK</v>
      </c>
      <c r="U703" s="25">
        <f t="shared" si="86"/>
        <v>89</v>
      </c>
      <c r="V703" t="str">
        <f t="shared" si="87"/>
        <v>OK</v>
      </c>
    </row>
    <row r="704" spans="1:22" ht="18" customHeight="1">
      <c r="A704" t="s">
        <v>202</v>
      </c>
      <c r="B704" t="s">
        <v>203</v>
      </c>
      <c r="C704">
        <v>1</v>
      </c>
      <c r="D704" t="s">
        <v>169</v>
      </c>
      <c r="E704" s="6">
        <f t="shared" si="80"/>
        <v>9</v>
      </c>
      <c r="F704" s="6">
        <f t="shared" si="81"/>
        <v>14</v>
      </c>
      <c r="G704" s="6">
        <f>ROUND(Catalogue!G39*SQRT((1+Paramètres!$B$4*(C704-1)+Paramètres!$B$5*(C704-1)^2)),0)</f>
        <v>0</v>
      </c>
      <c r="H704" s="6">
        <f>ROUND(Catalogue!H39*SQRT((1+Paramètres!$B$4*(C704-1)+Paramètres!$B$5*(C704-1)^2)),0)</f>
        <v>0</v>
      </c>
      <c r="I704" s="6">
        <v>3</v>
      </c>
      <c r="J704" s="6">
        <v>1</v>
      </c>
      <c r="K704" s="7">
        <v>6</v>
      </c>
      <c r="L704" s="9">
        <f t="shared" si="82"/>
        <v>11.5</v>
      </c>
      <c r="M704">
        <v>1</v>
      </c>
      <c r="N704">
        <v>6</v>
      </c>
      <c r="O704">
        <v>8</v>
      </c>
      <c r="P704" s="13" t="str">
        <f t="shared" si="83"/>
        <v>1d6 + 8</v>
      </c>
      <c r="Q704">
        <f>ROUND(INDEX(Catalogue!E$4:E$85,MATCH(A704,Catalogue!A$4:A$85,0))*(1+Paramètres!$B$4*(C704-1)+Paramètres!$B$5*(C704-1)^2),0)</f>
        <v>9</v>
      </c>
      <c r="R704">
        <f>ROUND(INDEX(Catalogue!F$4:F$85,MATCH(A704,Catalogue!A$4:A$85,0))*(1+Paramètres!$B$4*(C704-1)+Paramètres!$B$5*(C704-1)^2),0)</f>
        <v>14</v>
      </c>
      <c r="S704">
        <f t="shared" si="84"/>
        <v>0</v>
      </c>
      <c r="T704" t="str">
        <f t="shared" si="85"/>
        <v>OK</v>
      </c>
      <c r="U704" s="25">
        <f t="shared" si="86"/>
        <v>11.5</v>
      </c>
      <c r="V704" t="str">
        <f t="shared" si="87"/>
        <v>OK</v>
      </c>
    </row>
    <row r="705" spans="1:22" ht="18" customHeight="1">
      <c r="A705" t="s">
        <v>202</v>
      </c>
      <c r="B705" t="s">
        <v>203</v>
      </c>
      <c r="C705">
        <v>2</v>
      </c>
      <c r="D705" t="s">
        <v>169</v>
      </c>
      <c r="E705" s="6">
        <f t="shared" si="80"/>
        <v>10</v>
      </c>
      <c r="F705" s="6">
        <f t="shared" si="81"/>
        <v>15</v>
      </c>
      <c r="G705" s="6">
        <f>ROUND(Catalogue!G39*SQRT((1+Paramètres!$B$4*(C705-1)+Paramètres!$B$5*(C705-1)^2)),0)</f>
        <v>0</v>
      </c>
      <c r="H705" s="6">
        <f>ROUND(Catalogue!H39*SQRT((1+Paramètres!$B$4*(C705-1)+Paramètres!$B$5*(C705-1)^2)),0)</f>
        <v>0</v>
      </c>
      <c r="I705" s="6">
        <v>3</v>
      </c>
      <c r="J705" s="6">
        <v>1</v>
      </c>
      <c r="K705" s="7">
        <v>6</v>
      </c>
      <c r="L705" s="9">
        <f t="shared" si="82"/>
        <v>12.5</v>
      </c>
      <c r="M705">
        <v>1</v>
      </c>
      <c r="N705">
        <v>6</v>
      </c>
      <c r="O705">
        <v>9</v>
      </c>
      <c r="P705" s="13" t="str">
        <f t="shared" si="83"/>
        <v>1d6 + 9</v>
      </c>
      <c r="Q705">
        <f>ROUND(INDEX(Catalogue!E$4:E$85,MATCH(A705,Catalogue!A$4:A$85,0))*(1+Paramètres!$B$4*(C705-1)+Paramètres!$B$5*(C705-1)^2),0)</f>
        <v>10</v>
      </c>
      <c r="R705">
        <f>ROUND(INDEX(Catalogue!F$4:F$85,MATCH(A705,Catalogue!A$4:A$85,0))*(1+Paramètres!$B$4*(C705-1)+Paramètres!$B$5*(C705-1)^2),0)</f>
        <v>16</v>
      </c>
      <c r="S705">
        <f t="shared" si="84"/>
        <v>-0.5</v>
      </c>
      <c r="T705" t="str">
        <f t="shared" si="85"/>
        <v>OK</v>
      </c>
      <c r="U705" s="25">
        <f t="shared" si="86"/>
        <v>12.5</v>
      </c>
      <c r="V705" t="str">
        <f t="shared" si="87"/>
        <v>OK</v>
      </c>
    </row>
    <row r="706" spans="1:22" ht="18" customHeight="1">
      <c r="A706" t="s">
        <v>202</v>
      </c>
      <c r="B706" t="s">
        <v>203</v>
      </c>
      <c r="C706">
        <v>3</v>
      </c>
      <c r="D706" t="s">
        <v>169</v>
      </c>
      <c r="E706" s="6">
        <f t="shared" si="80"/>
        <v>12</v>
      </c>
      <c r="F706" s="6">
        <f t="shared" si="81"/>
        <v>17</v>
      </c>
      <c r="G706" s="6">
        <f>ROUND(Catalogue!G39*SQRT((1+Paramètres!$B$4*(C706-1)+Paramètres!$B$5*(C706-1)^2)),0)</f>
        <v>0</v>
      </c>
      <c r="H706" s="6">
        <f>ROUND(Catalogue!H39*SQRT((1+Paramètres!$B$4*(C706-1)+Paramètres!$B$5*(C706-1)^2)),0)</f>
        <v>0</v>
      </c>
      <c r="I706" s="6">
        <v>3</v>
      </c>
      <c r="J706" s="6">
        <v>1</v>
      </c>
      <c r="K706" s="7">
        <v>6</v>
      </c>
      <c r="L706" s="9">
        <f t="shared" si="82"/>
        <v>14.5</v>
      </c>
      <c r="M706">
        <v>1</v>
      </c>
      <c r="N706">
        <v>6</v>
      </c>
      <c r="O706">
        <v>11</v>
      </c>
      <c r="P706" s="13" t="str">
        <f t="shared" si="83"/>
        <v>1d6 + 11</v>
      </c>
      <c r="Q706">
        <f>ROUND(INDEX(Catalogue!E$4:E$85,MATCH(A706,Catalogue!A$4:A$85,0))*(1+Paramètres!$B$4*(C706-1)+Paramètres!$B$5*(C706-1)^2),0)</f>
        <v>12</v>
      </c>
      <c r="R706">
        <f>ROUND(INDEX(Catalogue!F$4:F$85,MATCH(A706,Catalogue!A$4:A$85,0))*(1+Paramètres!$B$4*(C706-1)+Paramètres!$B$5*(C706-1)^2),0)</f>
        <v>18</v>
      </c>
      <c r="S706">
        <f t="shared" si="84"/>
        <v>-0.5</v>
      </c>
      <c r="T706" t="str">
        <f t="shared" si="85"/>
        <v>OK</v>
      </c>
      <c r="U706" s="25">
        <f t="shared" si="86"/>
        <v>14.5</v>
      </c>
      <c r="V706" t="str">
        <f t="shared" si="87"/>
        <v>OK</v>
      </c>
    </row>
    <row r="707" spans="1:22" ht="18" customHeight="1">
      <c r="A707" t="s">
        <v>202</v>
      </c>
      <c r="B707" t="s">
        <v>203</v>
      </c>
      <c r="C707">
        <v>4</v>
      </c>
      <c r="D707" t="s">
        <v>169</v>
      </c>
      <c r="E707" s="6">
        <f t="shared" si="80"/>
        <v>13</v>
      </c>
      <c r="F707" s="6">
        <f t="shared" si="81"/>
        <v>20</v>
      </c>
      <c r="G707" s="6">
        <f>ROUND(Catalogue!G39*SQRT((1+Paramètres!$B$4*(C707-1)+Paramètres!$B$5*(C707-1)^2)),0)</f>
        <v>0</v>
      </c>
      <c r="H707" s="6">
        <f>ROUND(Catalogue!H39*SQRT((1+Paramètres!$B$4*(C707-1)+Paramètres!$B$5*(C707-1)^2)),0)</f>
        <v>0</v>
      </c>
      <c r="I707" s="6">
        <v>3</v>
      </c>
      <c r="J707" s="6">
        <v>1</v>
      </c>
      <c r="K707" s="7">
        <v>6</v>
      </c>
      <c r="L707" s="9">
        <f t="shared" si="82"/>
        <v>16.5</v>
      </c>
      <c r="M707">
        <v>1</v>
      </c>
      <c r="N707">
        <v>8</v>
      </c>
      <c r="O707">
        <v>12</v>
      </c>
      <c r="P707" s="13" t="str">
        <f t="shared" si="83"/>
        <v>1d8 + 12</v>
      </c>
      <c r="Q707">
        <f>ROUND(INDEX(Catalogue!E$4:E$85,MATCH(A707,Catalogue!A$4:A$85,0))*(1+Paramètres!$B$4*(C707-1)+Paramètres!$B$5*(C707-1)^2),0)</f>
        <v>13</v>
      </c>
      <c r="R707">
        <f>ROUND(INDEX(Catalogue!F$4:F$85,MATCH(A707,Catalogue!A$4:A$85,0))*(1+Paramètres!$B$4*(C707-1)+Paramètres!$B$5*(C707-1)^2),0)</f>
        <v>21</v>
      </c>
      <c r="S707">
        <f t="shared" si="84"/>
        <v>-0.5</v>
      </c>
      <c r="T707" t="str">
        <f t="shared" si="85"/>
        <v>OK</v>
      </c>
      <c r="U707" s="25">
        <f t="shared" si="86"/>
        <v>16.5</v>
      </c>
      <c r="V707" t="str">
        <f t="shared" si="87"/>
        <v>OK</v>
      </c>
    </row>
    <row r="708" spans="1:22" ht="18" customHeight="1">
      <c r="A708" t="s">
        <v>202</v>
      </c>
      <c r="B708" t="s">
        <v>203</v>
      </c>
      <c r="C708">
        <v>5</v>
      </c>
      <c r="D708" t="s">
        <v>169</v>
      </c>
      <c r="E708" s="6">
        <f t="shared" ref="E708:E771" si="88">IF(M708=0,0,M708+O708)</f>
        <v>15</v>
      </c>
      <c r="F708" s="6">
        <f t="shared" ref="F708:F771" si="89">IF(M708=0,0,M708*N708+O708)</f>
        <v>24</v>
      </c>
      <c r="G708" s="6">
        <f>ROUND(Catalogue!G39*SQRT((1+Paramètres!$B$4*(C708-1)+Paramètres!$B$5*(C708-1)^2)),0)</f>
        <v>0</v>
      </c>
      <c r="H708" s="6">
        <f>ROUND(Catalogue!H39*SQRT((1+Paramètres!$B$4*(C708-1)+Paramètres!$B$5*(C708-1)^2)),0)</f>
        <v>0</v>
      </c>
      <c r="I708" s="6">
        <v>3</v>
      </c>
      <c r="J708" s="6">
        <v>1</v>
      </c>
      <c r="K708" s="7">
        <v>6</v>
      </c>
      <c r="L708" s="9">
        <f t="shared" ref="L708:L771" si="90">IF(M708=0,0,(E708+F708)/2)</f>
        <v>19.5</v>
      </c>
      <c r="M708">
        <v>1</v>
      </c>
      <c r="N708">
        <v>10</v>
      </c>
      <c r="O708">
        <v>14</v>
      </c>
      <c r="P708" s="13" t="str">
        <f t="shared" ref="P708:P771" si="91">IF(M708=0,"—",M708&amp;"d"&amp;N708&amp;IF(O708=0,""," + "&amp;O708))</f>
        <v>1d10 + 14</v>
      </c>
      <c r="Q708">
        <f>ROUND(INDEX(Catalogue!E$4:E$85,MATCH(A708,Catalogue!A$4:A$85,0))*(1+Paramètres!$B$4*(C708-1)+Paramètres!$B$5*(C708-1)^2),0)</f>
        <v>15</v>
      </c>
      <c r="R708">
        <f>ROUND(INDEX(Catalogue!F$4:F$85,MATCH(A708,Catalogue!A$4:A$85,0))*(1+Paramètres!$B$4*(C708-1)+Paramètres!$B$5*(C708-1)^2),0)</f>
        <v>24</v>
      </c>
      <c r="S708">
        <f t="shared" ref="S708:S771" si="92">L708-AVERAGE(Q708:R708)</f>
        <v>0</v>
      </c>
      <c r="T708" t="str">
        <f t="shared" ref="T708:T771" si="93">IF(M708=0,IF(AND(N708=0,O708=0,E708=0,F708=0),"OK","ERREUR"),IF(AND(M708&gt;=1,M708&lt;=32,OR(N708=4,N708=6,N708=8,N708=10,N708=12,N708=20),O708&gt;=0,E708=M708+O708,F708=M708*N708+O708),"OK","ERREUR"))</f>
        <v>OK</v>
      </c>
      <c r="U708" s="25">
        <f t="shared" ref="U708:U771" si="94">IF(M708&gt;0,M708*(N708+1)/2+O708,0)</f>
        <v>19.5</v>
      </c>
      <c r="V708" t="str">
        <f t="shared" ref="V708:V771" si="95">IF(ABS(L708-U708)&lt;0.001,"OK","ERREUR")</f>
        <v>OK</v>
      </c>
    </row>
    <row r="709" spans="1:22" ht="18" customHeight="1">
      <c r="A709" t="s">
        <v>202</v>
      </c>
      <c r="B709" t="s">
        <v>203</v>
      </c>
      <c r="C709">
        <v>6</v>
      </c>
      <c r="D709" t="s">
        <v>169</v>
      </c>
      <c r="E709" s="6">
        <f t="shared" si="88"/>
        <v>18</v>
      </c>
      <c r="F709" s="6">
        <f t="shared" si="89"/>
        <v>27</v>
      </c>
      <c r="G709" s="6">
        <f>ROUND(Catalogue!G39*SQRT((1+Paramètres!$B$4*(C709-1)+Paramètres!$B$5*(C709-1)^2)),0)</f>
        <v>0</v>
      </c>
      <c r="H709" s="6">
        <f>ROUND(Catalogue!H39*SQRT((1+Paramètres!$B$4*(C709-1)+Paramètres!$B$5*(C709-1)^2)),0)</f>
        <v>0</v>
      </c>
      <c r="I709" s="6">
        <v>3</v>
      </c>
      <c r="J709" s="6">
        <v>1</v>
      </c>
      <c r="K709" s="7">
        <v>6</v>
      </c>
      <c r="L709" s="9">
        <f t="shared" si="90"/>
        <v>22.5</v>
      </c>
      <c r="M709">
        <v>1</v>
      </c>
      <c r="N709">
        <v>10</v>
      </c>
      <c r="O709">
        <v>17</v>
      </c>
      <c r="P709" s="13" t="str">
        <f t="shared" si="91"/>
        <v>1d10 + 17</v>
      </c>
      <c r="Q709">
        <f>ROUND(INDEX(Catalogue!E$4:E$85,MATCH(A709,Catalogue!A$4:A$85,0))*(1+Paramètres!$B$4*(C709-1)+Paramètres!$B$5*(C709-1)^2),0)</f>
        <v>18</v>
      </c>
      <c r="R709">
        <f>ROUND(INDEX(Catalogue!F$4:F$85,MATCH(A709,Catalogue!A$4:A$85,0))*(1+Paramètres!$B$4*(C709-1)+Paramètres!$B$5*(C709-1)^2),0)</f>
        <v>27</v>
      </c>
      <c r="S709">
        <f t="shared" si="92"/>
        <v>0</v>
      </c>
      <c r="T709" t="str">
        <f t="shared" si="93"/>
        <v>OK</v>
      </c>
      <c r="U709" s="25">
        <f t="shared" si="94"/>
        <v>22.5</v>
      </c>
      <c r="V709" t="str">
        <f t="shared" si="95"/>
        <v>OK</v>
      </c>
    </row>
    <row r="710" spans="1:22" ht="18" customHeight="1">
      <c r="A710" t="s">
        <v>202</v>
      </c>
      <c r="B710" t="s">
        <v>203</v>
      </c>
      <c r="C710">
        <v>7</v>
      </c>
      <c r="D710" t="s">
        <v>169</v>
      </c>
      <c r="E710" s="6">
        <f t="shared" si="88"/>
        <v>20</v>
      </c>
      <c r="F710" s="6">
        <f t="shared" si="89"/>
        <v>31</v>
      </c>
      <c r="G710" s="6">
        <f>ROUND(Catalogue!G39*SQRT((1+Paramètres!$B$4*(C710-1)+Paramètres!$B$5*(C710-1)^2)),0)</f>
        <v>0</v>
      </c>
      <c r="H710" s="6">
        <f>ROUND(Catalogue!H39*SQRT((1+Paramètres!$B$4*(C710-1)+Paramètres!$B$5*(C710-1)^2)),0)</f>
        <v>0</v>
      </c>
      <c r="I710" s="6">
        <v>3</v>
      </c>
      <c r="J710" s="6">
        <v>1</v>
      </c>
      <c r="K710" s="7">
        <v>6</v>
      </c>
      <c r="L710" s="9">
        <f t="shared" si="90"/>
        <v>25.5</v>
      </c>
      <c r="M710">
        <v>1</v>
      </c>
      <c r="N710">
        <v>12</v>
      </c>
      <c r="O710">
        <v>19</v>
      </c>
      <c r="P710" s="13" t="str">
        <f t="shared" si="91"/>
        <v>1d12 + 19</v>
      </c>
      <c r="Q710">
        <f>ROUND(INDEX(Catalogue!E$4:E$85,MATCH(A710,Catalogue!A$4:A$85,0))*(1+Paramètres!$B$4*(C710-1)+Paramètres!$B$5*(C710-1)^2),0)</f>
        <v>20</v>
      </c>
      <c r="R710">
        <f>ROUND(INDEX(Catalogue!F$4:F$85,MATCH(A710,Catalogue!A$4:A$85,0))*(1+Paramètres!$B$4*(C710-1)+Paramètres!$B$5*(C710-1)^2),0)</f>
        <v>31</v>
      </c>
      <c r="S710">
        <f t="shared" si="92"/>
        <v>0</v>
      </c>
      <c r="T710" t="str">
        <f t="shared" si="93"/>
        <v>OK</v>
      </c>
      <c r="U710" s="25">
        <f t="shared" si="94"/>
        <v>25.5</v>
      </c>
      <c r="V710" t="str">
        <f t="shared" si="95"/>
        <v>OK</v>
      </c>
    </row>
    <row r="711" spans="1:22" ht="18" customHeight="1">
      <c r="A711" t="s">
        <v>202</v>
      </c>
      <c r="B711" t="s">
        <v>203</v>
      </c>
      <c r="C711">
        <v>8</v>
      </c>
      <c r="D711" t="s">
        <v>169</v>
      </c>
      <c r="E711" s="6">
        <f t="shared" si="88"/>
        <v>22</v>
      </c>
      <c r="F711" s="6">
        <f t="shared" si="89"/>
        <v>36</v>
      </c>
      <c r="G711" s="6">
        <f>ROUND(Catalogue!G39*SQRT((1+Paramètres!$B$4*(C711-1)+Paramètres!$B$5*(C711-1)^2)),0)</f>
        <v>0</v>
      </c>
      <c r="H711" s="6">
        <f>ROUND(Catalogue!H39*SQRT((1+Paramètres!$B$4*(C711-1)+Paramètres!$B$5*(C711-1)^2)),0)</f>
        <v>0</v>
      </c>
      <c r="I711" s="6">
        <v>3</v>
      </c>
      <c r="J711" s="6">
        <v>1</v>
      </c>
      <c r="K711" s="7">
        <v>6</v>
      </c>
      <c r="L711" s="9">
        <f t="shared" si="90"/>
        <v>29</v>
      </c>
      <c r="M711">
        <v>2</v>
      </c>
      <c r="N711">
        <v>8</v>
      </c>
      <c r="O711">
        <v>20</v>
      </c>
      <c r="P711" s="13" t="str">
        <f t="shared" si="91"/>
        <v>2d8 + 20</v>
      </c>
      <c r="Q711">
        <f>ROUND(INDEX(Catalogue!E$4:E$85,MATCH(A711,Catalogue!A$4:A$85,0))*(1+Paramètres!$B$4*(C711-1)+Paramètres!$B$5*(C711-1)^2),0)</f>
        <v>23</v>
      </c>
      <c r="R711">
        <f>ROUND(INDEX(Catalogue!F$4:F$85,MATCH(A711,Catalogue!A$4:A$85,0))*(1+Paramètres!$B$4*(C711-1)+Paramètres!$B$5*(C711-1)^2),0)</f>
        <v>36</v>
      </c>
      <c r="S711">
        <f t="shared" si="92"/>
        <v>-0.5</v>
      </c>
      <c r="T711" t="str">
        <f t="shared" si="93"/>
        <v>OK</v>
      </c>
      <c r="U711" s="25">
        <f t="shared" si="94"/>
        <v>29</v>
      </c>
      <c r="V711" t="str">
        <f t="shared" si="95"/>
        <v>OK</v>
      </c>
    </row>
    <row r="712" spans="1:22" ht="18" customHeight="1">
      <c r="A712" t="s">
        <v>202</v>
      </c>
      <c r="B712" t="s">
        <v>203</v>
      </c>
      <c r="C712">
        <v>9</v>
      </c>
      <c r="D712" t="s">
        <v>169</v>
      </c>
      <c r="E712" s="6">
        <f t="shared" si="88"/>
        <v>26</v>
      </c>
      <c r="F712" s="6">
        <f t="shared" si="89"/>
        <v>41</v>
      </c>
      <c r="G712" s="6">
        <f>ROUND(Catalogue!G39*SQRT((1+Paramètres!$B$4*(C712-1)+Paramètres!$B$5*(C712-1)^2)),0)</f>
        <v>0</v>
      </c>
      <c r="H712" s="6">
        <f>ROUND(Catalogue!H39*SQRT((1+Paramètres!$B$4*(C712-1)+Paramètres!$B$5*(C712-1)^2)),0)</f>
        <v>0</v>
      </c>
      <c r="I712" s="6">
        <v>3</v>
      </c>
      <c r="J712" s="6">
        <v>1</v>
      </c>
      <c r="K712" s="7">
        <v>6</v>
      </c>
      <c r="L712" s="9">
        <f t="shared" si="90"/>
        <v>33.5</v>
      </c>
      <c r="M712">
        <v>3</v>
      </c>
      <c r="N712">
        <v>6</v>
      </c>
      <c r="O712">
        <v>23</v>
      </c>
      <c r="P712" s="13" t="str">
        <f t="shared" si="91"/>
        <v>3d6 + 23</v>
      </c>
      <c r="Q712">
        <f>ROUND(INDEX(Catalogue!E$4:E$85,MATCH(A712,Catalogue!A$4:A$85,0))*(1+Paramètres!$B$4*(C712-1)+Paramètres!$B$5*(C712-1)^2),0)</f>
        <v>26</v>
      </c>
      <c r="R712">
        <f>ROUND(INDEX(Catalogue!F$4:F$85,MATCH(A712,Catalogue!A$4:A$85,0))*(1+Paramètres!$B$4*(C712-1)+Paramètres!$B$5*(C712-1)^2),0)</f>
        <v>41</v>
      </c>
      <c r="S712">
        <f t="shared" si="92"/>
        <v>0</v>
      </c>
      <c r="T712" t="str">
        <f t="shared" si="93"/>
        <v>OK</v>
      </c>
      <c r="U712" s="25">
        <f t="shared" si="94"/>
        <v>33.5</v>
      </c>
      <c r="V712" t="str">
        <f t="shared" si="95"/>
        <v>OK</v>
      </c>
    </row>
    <row r="713" spans="1:22" ht="18" customHeight="1">
      <c r="A713" t="s">
        <v>202</v>
      </c>
      <c r="B713" t="s">
        <v>203</v>
      </c>
      <c r="C713">
        <v>10</v>
      </c>
      <c r="D713" t="s">
        <v>169</v>
      </c>
      <c r="E713" s="6">
        <f t="shared" si="88"/>
        <v>30</v>
      </c>
      <c r="F713" s="6">
        <f t="shared" si="89"/>
        <v>45</v>
      </c>
      <c r="G713" s="6">
        <f>ROUND(Catalogue!G39*SQRT((1+Paramètres!$B$4*(C713-1)+Paramètres!$B$5*(C713-1)^2)),0)</f>
        <v>0</v>
      </c>
      <c r="H713" s="6">
        <f>ROUND(Catalogue!H39*SQRT((1+Paramètres!$B$4*(C713-1)+Paramètres!$B$5*(C713-1)^2)),0)</f>
        <v>0</v>
      </c>
      <c r="I713" s="6">
        <v>3</v>
      </c>
      <c r="J713" s="6">
        <v>1</v>
      </c>
      <c r="K713" s="7">
        <v>6</v>
      </c>
      <c r="L713" s="9">
        <f t="shared" si="90"/>
        <v>37.5</v>
      </c>
      <c r="M713">
        <v>3</v>
      </c>
      <c r="N713">
        <v>6</v>
      </c>
      <c r="O713">
        <v>27</v>
      </c>
      <c r="P713" s="13" t="str">
        <f t="shared" si="91"/>
        <v>3d6 + 27</v>
      </c>
      <c r="Q713">
        <f>ROUND(INDEX(Catalogue!E$4:E$85,MATCH(A713,Catalogue!A$4:A$85,0))*(1+Paramètres!$B$4*(C713-1)+Paramètres!$B$5*(C713-1)^2),0)</f>
        <v>30</v>
      </c>
      <c r="R713">
        <f>ROUND(INDEX(Catalogue!F$4:F$85,MATCH(A713,Catalogue!A$4:A$85,0))*(1+Paramètres!$B$4*(C713-1)+Paramètres!$B$5*(C713-1)^2),0)</f>
        <v>46</v>
      </c>
      <c r="S713">
        <f t="shared" si="92"/>
        <v>-0.5</v>
      </c>
      <c r="T713" t="str">
        <f t="shared" si="93"/>
        <v>OK</v>
      </c>
      <c r="U713" s="25">
        <f t="shared" si="94"/>
        <v>37.5</v>
      </c>
      <c r="V713" t="str">
        <f t="shared" si="95"/>
        <v>OK</v>
      </c>
    </row>
    <row r="714" spans="1:22" ht="18" customHeight="1">
      <c r="A714" t="s">
        <v>202</v>
      </c>
      <c r="B714" t="s">
        <v>203</v>
      </c>
      <c r="C714">
        <v>11</v>
      </c>
      <c r="D714" t="s">
        <v>169</v>
      </c>
      <c r="E714" s="6">
        <f t="shared" si="88"/>
        <v>34</v>
      </c>
      <c r="F714" s="6">
        <f t="shared" si="89"/>
        <v>52</v>
      </c>
      <c r="G714" s="6">
        <f>ROUND(Catalogue!G39*SQRT((1+Paramètres!$B$4*(C714-1)+Paramètres!$B$5*(C714-1)^2)),0)</f>
        <v>0</v>
      </c>
      <c r="H714" s="6">
        <f>ROUND(Catalogue!H39*SQRT((1+Paramètres!$B$4*(C714-1)+Paramètres!$B$5*(C714-1)^2)),0)</f>
        <v>0</v>
      </c>
      <c r="I714" s="6">
        <v>3</v>
      </c>
      <c r="J714" s="6">
        <v>1</v>
      </c>
      <c r="K714" s="7">
        <v>6</v>
      </c>
      <c r="L714" s="9">
        <f t="shared" si="90"/>
        <v>43</v>
      </c>
      <c r="M714">
        <v>2</v>
      </c>
      <c r="N714">
        <v>10</v>
      </c>
      <c r="O714">
        <v>32</v>
      </c>
      <c r="P714" s="13" t="str">
        <f t="shared" si="91"/>
        <v>2d10 + 32</v>
      </c>
      <c r="Q714">
        <f>ROUND(INDEX(Catalogue!E$4:E$85,MATCH(A714,Catalogue!A$4:A$85,0))*(1+Paramètres!$B$4*(C714-1)+Paramètres!$B$5*(C714-1)^2),0)</f>
        <v>33</v>
      </c>
      <c r="R714">
        <f>ROUND(INDEX(Catalogue!F$4:F$85,MATCH(A714,Catalogue!A$4:A$85,0))*(1+Paramètres!$B$4*(C714-1)+Paramètres!$B$5*(C714-1)^2),0)</f>
        <v>52</v>
      </c>
      <c r="S714">
        <f t="shared" si="92"/>
        <v>0.5</v>
      </c>
      <c r="T714" t="str">
        <f t="shared" si="93"/>
        <v>OK</v>
      </c>
      <c r="U714" s="25">
        <f t="shared" si="94"/>
        <v>43</v>
      </c>
      <c r="V714" t="str">
        <f t="shared" si="95"/>
        <v>OK</v>
      </c>
    </row>
    <row r="715" spans="1:22" ht="18" customHeight="1">
      <c r="A715" t="s">
        <v>202</v>
      </c>
      <c r="B715" t="s">
        <v>203</v>
      </c>
      <c r="C715">
        <v>12</v>
      </c>
      <c r="D715" t="s">
        <v>169</v>
      </c>
      <c r="E715" s="6">
        <f t="shared" si="88"/>
        <v>37</v>
      </c>
      <c r="F715" s="6">
        <f t="shared" si="89"/>
        <v>58</v>
      </c>
      <c r="G715" s="6">
        <f>ROUND(Catalogue!G39*SQRT((1+Paramètres!$B$4*(C715-1)+Paramètres!$B$5*(C715-1)^2)),0)</f>
        <v>0</v>
      </c>
      <c r="H715" s="6">
        <f>ROUND(Catalogue!H39*SQRT((1+Paramètres!$B$4*(C715-1)+Paramètres!$B$5*(C715-1)^2)),0)</f>
        <v>0</v>
      </c>
      <c r="I715" s="6">
        <v>3</v>
      </c>
      <c r="J715" s="6">
        <v>1</v>
      </c>
      <c r="K715" s="7">
        <v>6</v>
      </c>
      <c r="L715" s="9">
        <f t="shared" si="90"/>
        <v>47.5</v>
      </c>
      <c r="M715">
        <v>3</v>
      </c>
      <c r="N715">
        <v>8</v>
      </c>
      <c r="O715">
        <v>34</v>
      </c>
      <c r="P715" s="13" t="str">
        <f t="shared" si="91"/>
        <v>3d8 + 34</v>
      </c>
      <c r="Q715">
        <f>ROUND(INDEX(Catalogue!E$4:E$85,MATCH(A715,Catalogue!A$4:A$85,0))*(1+Paramètres!$B$4*(C715-1)+Paramètres!$B$5*(C715-1)^2),0)</f>
        <v>37</v>
      </c>
      <c r="R715">
        <f>ROUND(INDEX(Catalogue!F$4:F$85,MATCH(A715,Catalogue!A$4:A$85,0))*(1+Paramètres!$B$4*(C715-1)+Paramètres!$B$5*(C715-1)^2),0)</f>
        <v>58</v>
      </c>
      <c r="S715">
        <f t="shared" si="92"/>
        <v>0</v>
      </c>
      <c r="T715" t="str">
        <f t="shared" si="93"/>
        <v>OK</v>
      </c>
      <c r="U715" s="25">
        <f t="shared" si="94"/>
        <v>47.5</v>
      </c>
      <c r="V715" t="str">
        <f t="shared" si="95"/>
        <v>OK</v>
      </c>
    </row>
    <row r="716" spans="1:22" ht="18" customHeight="1">
      <c r="A716" t="s">
        <v>202</v>
      </c>
      <c r="B716" t="s">
        <v>203</v>
      </c>
      <c r="C716">
        <v>13</v>
      </c>
      <c r="D716" t="s">
        <v>169</v>
      </c>
      <c r="E716" s="6">
        <f t="shared" si="88"/>
        <v>42</v>
      </c>
      <c r="F716" s="6">
        <f t="shared" si="89"/>
        <v>64</v>
      </c>
      <c r="G716" s="6">
        <f>ROUND(Catalogue!G39*SQRT((1+Paramètres!$B$4*(C716-1)+Paramètres!$B$5*(C716-1)^2)),0)</f>
        <v>0</v>
      </c>
      <c r="H716" s="6">
        <f>ROUND(Catalogue!H39*SQRT((1+Paramètres!$B$4*(C716-1)+Paramètres!$B$5*(C716-1)^2)),0)</f>
        <v>0</v>
      </c>
      <c r="I716" s="6">
        <v>3</v>
      </c>
      <c r="J716" s="6">
        <v>1</v>
      </c>
      <c r="K716" s="7">
        <v>6</v>
      </c>
      <c r="L716" s="9">
        <f t="shared" si="90"/>
        <v>53</v>
      </c>
      <c r="M716">
        <v>2</v>
      </c>
      <c r="N716">
        <v>12</v>
      </c>
      <c r="O716">
        <v>40</v>
      </c>
      <c r="P716" s="13" t="str">
        <f t="shared" si="91"/>
        <v>2d12 + 40</v>
      </c>
      <c r="Q716">
        <f>ROUND(INDEX(Catalogue!E$4:E$85,MATCH(A716,Catalogue!A$4:A$85,0))*(1+Paramètres!$B$4*(C716-1)+Paramètres!$B$5*(C716-1)^2),0)</f>
        <v>42</v>
      </c>
      <c r="R716">
        <f>ROUND(INDEX(Catalogue!F$4:F$85,MATCH(A716,Catalogue!A$4:A$85,0))*(1+Paramètres!$B$4*(C716-1)+Paramètres!$B$5*(C716-1)^2),0)</f>
        <v>65</v>
      </c>
      <c r="S716">
        <f t="shared" si="92"/>
        <v>-0.5</v>
      </c>
      <c r="T716" t="str">
        <f t="shared" si="93"/>
        <v>OK</v>
      </c>
      <c r="U716" s="25">
        <f t="shared" si="94"/>
        <v>53</v>
      </c>
      <c r="V716" t="str">
        <f t="shared" si="95"/>
        <v>OK</v>
      </c>
    </row>
    <row r="717" spans="1:22" ht="18" customHeight="1">
      <c r="A717" t="s">
        <v>202</v>
      </c>
      <c r="B717" t="s">
        <v>203</v>
      </c>
      <c r="C717">
        <v>14</v>
      </c>
      <c r="D717" t="s">
        <v>169</v>
      </c>
      <c r="E717" s="6">
        <f t="shared" si="88"/>
        <v>45</v>
      </c>
      <c r="F717" s="6">
        <f t="shared" si="89"/>
        <v>72</v>
      </c>
      <c r="G717" s="6">
        <f>ROUND(Catalogue!G39*SQRT((1+Paramètres!$B$4*(C717-1)+Paramètres!$B$5*(C717-1)^2)),0)</f>
        <v>0</v>
      </c>
      <c r="H717" s="6">
        <f>ROUND(Catalogue!H39*SQRT((1+Paramètres!$B$4*(C717-1)+Paramètres!$B$5*(C717-1)^2)),0)</f>
        <v>0</v>
      </c>
      <c r="I717" s="6">
        <v>3</v>
      </c>
      <c r="J717" s="6">
        <v>1</v>
      </c>
      <c r="K717" s="7">
        <v>6</v>
      </c>
      <c r="L717" s="9">
        <f t="shared" si="90"/>
        <v>58.5</v>
      </c>
      <c r="M717">
        <v>3</v>
      </c>
      <c r="N717">
        <v>10</v>
      </c>
      <c r="O717">
        <v>42</v>
      </c>
      <c r="P717" s="13" t="str">
        <f t="shared" si="91"/>
        <v>3d10 + 42</v>
      </c>
      <c r="Q717">
        <f>ROUND(INDEX(Catalogue!E$4:E$85,MATCH(A717,Catalogue!A$4:A$85,0))*(1+Paramètres!$B$4*(C717-1)+Paramètres!$B$5*(C717-1)^2),0)</f>
        <v>46</v>
      </c>
      <c r="R717">
        <f>ROUND(INDEX(Catalogue!F$4:F$85,MATCH(A717,Catalogue!A$4:A$85,0))*(1+Paramètres!$B$4*(C717-1)+Paramètres!$B$5*(C717-1)^2),0)</f>
        <v>72</v>
      </c>
      <c r="S717">
        <f t="shared" si="92"/>
        <v>-0.5</v>
      </c>
      <c r="T717" t="str">
        <f t="shared" si="93"/>
        <v>OK</v>
      </c>
      <c r="U717" s="25">
        <f t="shared" si="94"/>
        <v>58.5</v>
      </c>
      <c r="V717" t="str">
        <f t="shared" si="95"/>
        <v>OK</v>
      </c>
    </row>
    <row r="718" spans="1:22" ht="18" customHeight="1">
      <c r="A718" t="s">
        <v>202</v>
      </c>
      <c r="B718" t="s">
        <v>203</v>
      </c>
      <c r="C718">
        <v>15</v>
      </c>
      <c r="D718" t="s">
        <v>169</v>
      </c>
      <c r="E718" s="6">
        <f t="shared" si="88"/>
        <v>51</v>
      </c>
      <c r="F718" s="6">
        <f t="shared" si="89"/>
        <v>79</v>
      </c>
      <c r="G718" s="6">
        <f>ROUND(Catalogue!G39*SQRT((1+Paramètres!$B$4*(C718-1)+Paramètres!$B$5*(C718-1)^2)),0)</f>
        <v>0</v>
      </c>
      <c r="H718" s="6">
        <f>ROUND(Catalogue!H39*SQRT((1+Paramètres!$B$4*(C718-1)+Paramètres!$B$5*(C718-1)^2)),0)</f>
        <v>0</v>
      </c>
      <c r="I718" s="6">
        <v>3</v>
      </c>
      <c r="J718" s="6">
        <v>1</v>
      </c>
      <c r="K718" s="7">
        <v>6</v>
      </c>
      <c r="L718" s="9">
        <f t="shared" si="90"/>
        <v>65</v>
      </c>
      <c r="M718">
        <v>4</v>
      </c>
      <c r="N718">
        <v>8</v>
      </c>
      <c r="O718">
        <v>47</v>
      </c>
      <c r="P718" s="13" t="str">
        <f t="shared" si="91"/>
        <v>4d8 + 47</v>
      </c>
      <c r="Q718">
        <f>ROUND(INDEX(Catalogue!E$4:E$85,MATCH(A718,Catalogue!A$4:A$85,0))*(1+Paramètres!$B$4*(C718-1)+Paramètres!$B$5*(C718-1)^2),0)</f>
        <v>51</v>
      </c>
      <c r="R718">
        <f>ROUND(INDEX(Catalogue!F$4:F$85,MATCH(A718,Catalogue!A$4:A$85,0))*(1+Paramètres!$B$4*(C718-1)+Paramètres!$B$5*(C718-1)^2),0)</f>
        <v>79</v>
      </c>
      <c r="S718">
        <f t="shared" si="92"/>
        <v>0</v>
      </c>
      <c r="T718" t="str">
        <f t="shared" si="93"/>
        <v>OK</v>
      </c>
      <c r="U718" s="25">
        <f t="shared" si="94"/>
        <v>65</v>
      </c>
      <c r="V718" t="str">
        <f t="shared" si="95"/>
        <v>OK</v>
      </c>
    </row>
    <row r="719" spans="1:22" ht="18" customHeight="1">
      <c r="A719" t="s">
        <v>202</v>
      </c>
      <c r="B719" t="s">
        <v>203</v>
      </c>
      <c r="C719">
        <v>16</v>
      </c>
      <c r="D719" t="s">
        <v>169</v>
      </c>
      <c r="E719" s="6">
        <f t="shared" si="88"/>
        <v>55</v>
      </c>
      <c r="F719" s="6">
        <f t="shared" si="89"/>
        <v>88</v>
      </c>
      <c r="G719" s="6">
        <f>ROUND(Catalogue!G39*SQRT((1+Paramètres!$B$4*(C719-1)+Paramètres!$B$5*(C719-1)^2)),0)</f>
        <v>0</v>
      </c>
      <c r="H719" s="6">
        <f>ROUND(Catalogue!H39*SQRT((1+Paramètres!$B$4*(C719-1)+Paramètres!$B$5*(C719-1)^2)),0)</f>
        <v>0</v>
      </c>
      <c r="I719" s="6">
        <v>3</v>
      </c>
      <c r="J719" s="6">
        <v>1</v>
      </c>
      <c r="K719" s="7">
        <v>6</v>
      </c>
      <c r="L719" s="9">
        <f t="shared" si="90"/>
        <v>71.5</v>
      </c>
      <c r="M719">
        <v>3</v>
      </c>
      <c r="N719">
        <v>12</v>
      </c>
      <c r="O719">
        <v>52</v>
      </c>
      <c r="P719" s="13" t="str">
        <f t="shared" si="91"/>
        <v>3d12 + 52</v>
      </c>
      <c r="Q719">
        <f>ROUND(INDEX(Catalogue!E$4:E$85,MATCH(A719,Catalogue!A$4:A$85,0))*(1+Paramètres!$B$4*(C719-1)+Paramètres!$B$5*(C719-1)^2),0)</f>
        <v>56</v>
      </c>
      <c r="R719">
        <f>ROUND(INDEX(Catalogue!F$4:F$85,MATCH(A719,Catalogue!A$4:A$85,0))*(1+Paramètres!$B$4*(C719-1)+Paramètres!$B$5*(C719-1)^2),0)</f>
        <v>88</v>
      </c>
      <c r="S719">
        <f t="shared" si="92"/>
        <v>-0.5</v>
      </c>
      <c r="T719" t="str">
        <f t="shared" si="93"/>
        <v>OK</v>
      </c>
      <c r="U719" s="25">
        <f t="shared" si="94"/>
        <v>71.5</v>
      </c>
      <c r="V719" t="str">
        <f t="shared" si="95"/>
        <v>OK</v>
      </c>
    </row>
    <row r="720" spans="1:22" ht="18" customHeight="1">
      <c r="A720" t="s">
        <v>202</v>
      </c>
      <c r="B720" t="s">
        <v>203</v>
      </c>
      <c r="C720">
        <v>17</v>
      </c>
      <c r="D720" t="s">
        <v>169</v>
      </c>
      <c r="E720" s="6">
        <f t="shared" si="88"/>
        <v>62</v>
      </c>
      <c r="F720" s="6">
        <f t="shared" si="89"/>
        <v>95</v>
      </c>
      <c r="G720" s="6">
        <f>ROUND(Catalogue!G39*SQRT((1+Paramètres!$B$4*(C720-1)+Paramètres!$B$5*(C720-1)^2)),0)</f>
        <v>0</v>
      </c>
      <c r="H720" s="6">
        <f>ROUND(Catalogue!H39*SQRT((1+Paramètres!$B$4*(C720-1)+Paramètres!$B$5*(C720-1)^2)),0)</f>
        <v>0</v>
      </c>
      <c r="I720" s="6">
        <v>3</v>
      </c>
      <c r="J720" s="6">
        <v>1</v>
      </c>
      <c r="K720" s="7">
        <v>6</v>
      </c>
      <c r="L720" s="9">
        <f t="shared" si="90"/>
        <v>78.5</v>
      </c>
      <c r="M720">
        <v>3</v>
      </c>
      <c r="N720">
        <v>12</v>
      </c>
      <c r="O720">
        <v>59</v>
      </c>
      <c r="P720" s="13" t="str">
        <f t="shared" si="91"/>
        <v>3d12 + 59</v>
      </c>
      <c r="Q720">
        <f>ROUND(INDEX(Catalogue!E$4:E$85,MATCH(A720,Catalogue!A$4:A$85,0))*(1+Paramètres!$B$4*(C720-1)+Paramètres!$B$5*(C720-1)^2),0)</f>
        <v>62</v>
      </c>
      <c r="R720">
        <f>ROUND(INDEX(Catalogue!F$4:F$85,MATCH(A720,Catalogue!A$4:A$85,0))*(1+Paramètres!$B$4*(C720-1)+Paramètres!$B$5*(C720-1)^2),0)</f>
        <v>96</v>
      </c>
      <c r="S720">
        <f t="shared" si="92"/>
        <v>-0.5</v>
      </c>
      <c r="T720" t="str">
        <f t="shared" si="93"/>
        <v>OK</v>
      </c>
      <c r="U720" s="25">
        <f t="shared" si="94"/>
        <v>78.5</v>
      </c>
      <c r="V720" t="str">
        <f t="shared" si="95"/>
        <v>OK</v>
      </c>
    </row>
    <row r="721" spans="1:22" ht="18" customHeight="1">
      <c r="A721" t="s">
        <v>202</v>
      </c>
      <c r="B721" t="s">
        <v>203</v>
      </c>
      <c r="C721">
        <v>18</v>
      </c>
      <c r="D721" t="s">
        <v>169</v>
      </c>
      <c r="E721" s="6">
        <f t="shared" si="88"/>
        <v>67</v>
      </c>
      <c r="F721" s="6">
        <f t="shared" si="89"/>
        <v>105</v>
      </c>
      <c r="G721" s="6">
        <f>ROUND(Catalogue!G39*SQRT((1+Paramètres!$B$4*(C721-1)+Paramètres!$B$5*(C721-1)^2)),0)</f>
        <v>0</v>
      </c>
      <c r="H721" s="6">
        <f>ROUND(Catalogue!H39*SQRT((1+Paramètres!$B$4*(C721-1)+Paramètres!$B$5*(C721-1)^2)),0)</f>
        <v>0</v>
      </c>
      <c r="I721" s="6">
        <v>3</v>
      </c>
      <c r="J721" s="6">
        <v>1</v>
      </c>
      <c r="K721" s="7">
        <v>6</v>
      </c>
      <c r="L721" s="9">
        <f t="shared" si="90"/>
        <v>86</v>
      </c>
      <c r="M721">
        <v>2</v>
      </c>
      <c r="N721">
        <v>20</v>
      </c>
      <c r="O721">
        <v>65</v>
      </c>
      <c r="P721" s="13" t="str">
        <f t="shared" si="91"/>
        <v>2d20 + 65</v>
      </c>
      <c r="Q721">
        <f>ROUND(INDEX(Catalogue!E$4:E$85,MATCH(A721,Catalogue!A$4:A$85,0))*(1+Paramètres!$B$4*(C721-1)+Paramètres!$B$5*(C721-1)^2),0)</f>
        <v>67</v>
      </c>
      <c r="R721">
        <f>ROUND(INDEX(Catalogue!F$4:F$85,MATCH(A721,Catalogue!A$4:A$85,0))*(1+Paramètres!$B$4*(C721-1)+Paramètres!$B$5*(C721-1)^2),0)</f>
        <v>105</v>
      </c>
      <c r="S721">
        <f t="shared" si="92"/>
        <v>0</v>
      </c>
      <c r="T721" t="str">
        <f t="shared" si="93"/>
        <v>OK</v>
      </c>
      <c r="U721" s="25">
        <f t="shared" si="94"/>
        <v>86</v>
      </c>
      <c r="V721" t="str">
        <f t="shared" si="95"/>
        <v>OK</v>
      </c>
    </row>
    <row r="722" spans="1:22" ht="18" customHeight="1">
      <c r="A722" t="s">
        <v>202</v>
      </c>
      <c r="B722" t="s">
        <v>203</v>
      </c>
      <c r="C722">
        <v>19</v>
      </c>
      <c r="D722" t="s">
        <v>169</v>
      </c>
      <c r="E722" s="6">
        <f t="shared" si="88"/>
        <v>72</v>
      </c>
      <c r="F722" s="6">
        <f t="shared" si="89"/>
        <v>114</v>
      </c>
      <c r="G722" s="6">
        <f>ROUND(Catalogue!G39*SQRT((1+Paramètres!$B$4*(C722-1)+Paramètres!$B$5*(C722-1)^2)),0)</f>
        <v>0</v>
      </c>
      <c r="H722" s="6">
        <f>ROUND(Catalogue!H39*SQRT((1+Paramètres!$B$4*(C722-1)+Paramètres!$B$5*(C722-1)^2)),0)</f>
        <v>0</v>
      </c>
      <c r="I722" s="6">
        <v>3</v>
      </c>
      <c r="J722" s="6">
        <v>1</v>
      </c>
      <c r="K722" s="7">
        <v>6</v>
      </c>
      <c r="L722" s="9">
        <f t="shared" si="90"/>
        <v>93</v>
      </c>
      <c r="M722">
        <v>6</v>
      </c>
      <c r="N722">
        <v>8</v>
      </c>
      <c r="O722">
        <v>66</v>
      </c>
      <c r="P722" s="13" t="str">
        <f t="shared" si="91"/>
        <v>6d8 + 66</v>
      </c>
      <c r="Q722">
        <f>ROUND(INDEX(Catalogue!E$4:E$85,MATCH(A722,Catalogue!A$4:A$85,0))*(1+Paramètres!$B$4*(C722-1)+Paramètres!$B$5*(C722-1)^2),0)</f>
        <v>73</v>
      </c>
      <c r="R722">
        <f>ROUND(INDEX(Catalogue!F$4:F$85,MATCH(A722,Catalogue!A$4:A$85,0))*(1+Paramètres!$B$4*(C722-1)+Paramètres!$B$5*(C722-1)^2),0)</f>
        <v>114</v>
      </c>
      <c r="S722">
        <f t="shared" si="92"/>
        <v>-0.5</v>
      </c>
      <c r="T722" t="str">
        <f t="shared" si="93"/>
        <v>OK</v>
      </c>
      <c r="U722" s="25">
        <f t="shared" si="94"/>
        <v>93</v>
      </c>
      <c r="V722" t="str">
        <f t="shared" si="95"/>
        <v>OK</v>
      </c>
    </row>
    <row r="723" spans="1:22" ht="18" customHeight="1">
      <c r="A723" t="s">
        <v>202</v>
      </c>
      <c r="B723" t="s">
        <v>203</v>
      </c>
      <c r="C723">
        <v>20</v>
      </c>
      <c r="D723" t="s">
        <v>169</v>
      </c>
      <c r="E723" s="6">
        <f t="shared" si="88"/>
        <v>80</v>
      </c>
      <c r="F723" s="6">
        <f t="shared" si="89"/>
        <v>124</v>
      </c>
      <c r="G723" s="6">
        <f>ROUND(Catalogue!G39*SQRT((1+Paramètres!$B$4*(C723-1)+Paramètres!$B$5*(C723-1)^2)),0)</f>
        <v>0</v>
      </c>
      <c r="H723" s="6">
        <f>ROUND(Catalogue!H39*SQRT((1+Paramètres!$B$4*(C723-1)+Paramètres!$B$5*(C723-1)^2)),0)</f>
        <v>0</v>
      </c>
      <c r="I723" s="6">
        <v>3</v>
      </c>
      <c r="J723" s="6">
        <v>1</v>
      </c>
      <c r="K723" s="7">
        <v>6</v>
      </c>
      <c r="L723" s="9">
        <f t="shared" si="90"/>
        <v>102</v>
      </c>
      <c r="M723">
        <v>4</v>
      </c>
      <c r="N723">
        <v>12</v>
      </c>
      <c r="O723">
        <v>76</v>
      </c>
      <c r="P723" s="13" t="str">
        <f t="shared" si="91"/>
        <v>4d12 + 76</v>
      </c>
      <c r="Q723">
        <f>ROUND(INDEX(Catalogue!E$4:E$85,MATCH(A723,Catalogue!A$4:A$85,0))*(1+Paramètres!$B$4*(C723-1)+Paramètres!$B$5*(C723-1)^2),0)</f>
        <v>80</v>
      </c>
      <c r="R723">
        <f>ROUND(INDEX(Catalogue!F$4:F$85,MATCH(A723,Catalogue!A$4:A$85,0))*(1+Paramètres!$B$4*(C723-1)+Paramètres!$B$5*(C723-1)^2),0)</f>
        <v>124</v>
      </c>
      <c r="S723">
        <f t="shared" si="92"/>
        <v>0</v>
      </c>
      <c r="T723" t="str">
        <f t="shared" si="93"/>
        <v>OK</v>
      </c>
      <c r="U723" s="25">
        <f t="shared" si="94"/>
        <v>102</v>
      </c>
      <c r="V723" t="str">
        <f t="shared" si="95"/>
        <v>OK</v>
      </c>
    </row>
    <row r="724" spans="1:22" ht="18" customHeight="1">
      <c r="A724" t="s">
        <v>206</v>
      </c>
      <c r="B724" t="s">
        <v>207</v>
      </c>
      <c r="C724">
        <v>1</v>
      </c>
      <c r="D724" t="s">
        <v>169</v>
      </c>
      <c r="E724" s="6">
        <f t="shared" si="88"/>
        <v>6</v>
      </c>
      <c r="F724" s="6">
        <f t="shared" si="89"/>
        <v>11</v>
      </c>
      <c r="G724" s="6">
        <f>ROUND(Catalogue!G40*SQRT((1+Paramètres!$B$4*(C724-1)+Paramètres!$B$5*(C724-1)^2)),0)</f>
        <v>0</v>
      </c>
      <c r="H724" s="6">
        <f>ROUND(Catalogue!H40*SQRT((1+Paramètres!$B$4*(C724-1)+Paramètres!$B$5*(C724-1)^2)),0)</f>
        <v>0</v>
      </c>
      <c r="I724" s="6">
        <v>3</v>
      </c>
      <c r="J724" s="6">
        <v>1</v>
      </c>
      <c r="K724" s="7">
        <v>3.7</v>
      </c>
      <c r="L724" s="9">
        <f t="shared" si="90"/>
        <v>8.5</v>
      </c>
      <c r="M724">
        <v>1</v>
      </c>
      <c r="N724">
        <v>6</v>
      </c>
      <c r="O724">
        <v>5</v>
      </c>
      <c r="P724" s="13" t="str">
        <f t="shared" si="91"/>
        <v>1d6 + 5</v>
      </c>
      <c r="Q724">
        <f>ROUND(INDEX(Catalogue!E$4:E$85,MATCH(A724,Catalogue!A$4:A$85,0))*(1+Paramètres!$B$4*(C724-1)+Paramètres!$B$5*(C724-1)^2),0)</f>
        <v>6</v>
      </c>
      <c r="R724">
        <f>ROUND(INDEX(Catalogue!F$4:F$85,MATCH(A724,Catalogue!A$4:A$85,0))*(1+Paramètres!$B$4*(C724-1)+Paramètres!$B$5*(C724-1)^2),0)</f>
        <v>12</v>
      </c>
      <c r="S724">
        <f t="shared" si="92"/>
        <v>-0.5</v>
      </c>
      <c r="T724" t="str">
        <f t="shared" si="93"/>
        <v>OK</v>
      </c>
      <c r="U724" s="25">
        <f t="shared" si="94"/>
        <v>8.5</v>
      </c>
      <c r="V724" t="str">
        <f t="shared" si="95"/>
        <v>OK</v>
      </c>
    </row>
    <row r="725" spans="1:22" ht="18" customHeight="1">
      <c r="A725" t="s">
        <v>206</v>
      </c>
      <c r="B725" t="s">
        <v>207</v>
      </c>
      <c r="C725">
        <v>2</v>
      </c>
      <c r="D725" t="s">
        <v>169</v>
      </c>
      <c r="E725" s="6">
        <f t="shared" si="88"/>
        <v>7</v>
      </c>
      <c r="F725" s="6">
        <f t="shared" si="89"/>
        <v>14</v>
      </c>
      <c r="G725" s="6">
        <f>ROUND(Catalogue!G40*SQRT((1+Paramètres!$B$4*(C725-1)+Paramètres!$B$5*(C725-1)^2)),0)</f>
        <v>0</v>
      </c>
      <c r="H725" s="6">
        <f>ROUND(Catalogue!H40*SQRT((1+Paramètres!$B$4*(C725-1)+Paramètres!$B$5*(C725-1)^2)),0)</f>
        <v>0</v>
      </c>
      <c r="I725" s="6">
        <v>3</v>
      </c>
      <c r="J725" s="6">
        <v>1</v>
      </c>
      <c r="K725" s="7">
        <v>3.7</v>
      </c>
      <c r="L725" s="9">
        <f t="shared" si="90"/>
        <v>10.5</v>
      </c>
      <c r="M725">
        <v>1</v>
      </c>
      <c r="N725">
        <v>8</v>
      </c>
      <c r="O725">
        <v>6</v>
      </c>
      <c r="P725" s="13" t="str">
        <f t="shared" si="91"/>
        <v>1d8 + 6</v>
      </c>
      <c r="Q725">
        <f>ROUND(INDEX(Catalogue!E$4:E$85,MATCH(A725,Catalogue!A$4:A$85,0))*(1+Paramètres!$B$4*(C725-1)+Paramètres!$B$5*(C725-1)^2),0)</f>
        <v>7</v>
      </c>
      <c r="R725">
        <f>ROUND(INDEX(Catalogue!F$4:F$85,MATCH(A725,Catalogue!A$4:A$85,0))*(1+Paramètres!$B$4*(C725-1)+Paramètres!$B$5*(C725-1)^2),0)</f>
        <v>14</v>
      </c>
      <c r="S725">
        <f t="shared" si="92"/>
        <v>0</v>
      </c>
      <c r="T725" t="str">
        <f t="shared" si="93"/>
        <v>OK</v>
      </c>
      <c r="U725" s="25">
        <f t="shared" si="94"/>
        <v>10.5</v>
      </c>
      <c r="V725" t="str">
        <f t="shared" si="95"/>
        <v>OK</v>
      </c>
    </row>
    <row r="726" spans="1:22" ht="18" customHeight="1">
      <c r="A726" t="s">
        <v>206</v>
      </c>
      <c r="B726" t="s">
        <v>207</v>
      </c>
      <c r="C726">
        <v>3</v>
      </c>
      <c r="D726" t="s">
        <v>169</v>
      </c>
      <c r="E726" s="6">
        <f t="shared" si="88"/>
        <v>8</v>
      </c>
      <c r="F726" s="6">
        <f t="shared" si="89"/>
        <v>15</v>
      </c>
      <c r="G726" s="6">
        <f>ROUND(Catalogue!G40*SQRT((1+Paramètres!$B$4*(C726-1)+Paramètres!$B$5*(C726-1)^2)),0)</f>
        <v>0</v>
      </c>
      <c r="H726" s="6">
        <f>ROUND(Catalogue!H40*SQRT((1+Paramètres!$B$4*(C726-1)+Paramètres!$B$5*(C726-1)^2)),0)</f>
        <v>0</v>
      </c>
      <c r="I726" s="6">
        <v>3</v>
      </c>
      <c r="J726" s="6">
        <v>1</v>
      </c>
      <c r="K726" s="7">
        <v>3.7</v>
      </c>
      <c r="L726" s="9">
        <f t="shared" si="90"/>
        <v>11.5</v>
      </c>
      <c r="M726">
        <v>1</v>
      </c>
      <c r="N726">
        <v>8</v>
      </c>
      <c r="O726">
        <v>7</v>
      </c>
      <c r="P726" s="13" t="str">
        <f t="shared" si="91"/>
        <v>1d8 + 7</v>
      </c>
      <c r="Q726">
        <f>ROUND(INDEX(Catalogue!E$4:E$85,MATCH(A726,Catalogue!A$4:A$85,0))*(1+Paramètres!$B$4*(C726-1)+Paramètres!$B$5*(C726-1)^2),0)</f>
        <v>8</v>
      </c>
      <c r="R726">
        <f>ROUND(INDEX(Catalogue!F$4:F$85,MATCH(A726,Catalogue!A$4:A$85,0))*(1+Paramètres!$B$4*(C726-1)+Paramètres!$B$5*(C726-1)^2),0)</f>
        <v>15</v>
      </c>
      <c r="S726">
        <f t="shared" si="92"/>
        <v>0</v>
      </c>
      <c r="T726" t="str">
        <f t="shared" si="93"/>
        <v>OK</v>
      </c>
      <c r="U726" s="25">
        <f t="shared" si="94"/>
        <v>11.5</v>
      </c>
      <c r="V726" t="str">
        <f t="shared" si="95"/>
        <v>OK</v>
      </c>
    </row>
    <row r="727" spans="1:22" ht="18" customHeight="1">
      <c r="A727" t="s">
        <v>206</v>
      </c>
      <c r="B727" t="s">
        <v>207</v>
      </c>
      <c r="C727">
        <v>4</v>
      </c>
      <c r="D727" t="s">
        <v>169</v>
      </c>
      <c r="E727" s="6">
        <f t="shared" si="88"/>
        <v>9</v>
      </c>
      <c r="F727" s="6">
        <f t="shared" si="89"/>
        <v>18</v>
      </c>
      <c r="G727" s="6">
        <f>ROUND(Catalogue!G40*SQRT((1+Paramètres!$B$4*(C727-1)+Paramètres!$B$5*(C727-1)^2)),0)</f>
        <v>0</v>
      </c>
      <c r="H727" s="6">
        <f>ROUND(Catalogue!H40*SQRT((1+Paramètres!$B$4*(C727-1)+Paramètres!$B$5*(C727-1)^2)),0)</f>
        <v>0</v>
      </c>
      <c r="I727" s="6">
        <v>3</v>
      </c>
      <c r="J727" s="6">
        <v>1</v>
      </c>
      <c r="K727" s="7">
        <v>3.7</v>
      </c>
      <c r="L727" s="9">
        <f t="shared" si="90"/>
        <v>13.5</v>
      </c>
      <c r="M727">
        <v>1</v>
      </c>
      <c r="N727">
        <v>10</v>
      </c>
      <c r="O727">
        <v>8</v>
      </c>
      <c r="P727" s="13" t="str">
        <f t="shared" si="91"/>
        <v>1d10 + 8</v>
      </c>
      <c r="Q727">
        <f>ROUND(INDEX(Catalogue!E$4:E$85,MATCH(A727,Catalogue!A$4:A$85,0))*(1+Paramètres!$B$4*(C727-1)+Paramètres!$B$5*(C727-1)^2),0)</f>
        <v>9</v>
      </c>
      <c r="R727">
        <f>ROUND(INDEX(Catalogue!F$4:F$85,MATCH(A727,Catalogue!A$4:A$85,0))*(1+Paramètres!$B$4*(C727-1)+Paramètres!$B$5*(C727-1)^2),0)</f>
        <v>18</v>
      </c>
      <c r="S727">
        <f t="shared" si="92"/>
        <v>0</v>
      </c>
      <c r="T727" t="str">
        <f t="shared" si="93"/>
        <v>OK</v>
      </c>
      <c r="U727" s="25">
        <f t="shared" si="94"/>
        <v>13.5</v>
      </c>
      <c r="V727" t="str">
        <f t="shared" si="95"/>
        <v>OK</v>
      </c>
    </row>
    <row r="728" spans="1:22" ht="18" customHeight="1">
      <c r="A728" t="s">
        <v>206</v>
      </c>
      <c r="B728" t="s">
        <v>207</v>
      </c>
      <c r="C728">
        <v>5</v>
      </c>
      <c r="D728" t="s">
        <v>169</v>
      </c>
      <c r="E728" s="6">
        <f t="shared" si="88"/>
        <v>10</v>
      </c>
      <c r="F728" s="6">
        <f t="shared" si="89"/>
        <v>20</v>
      </c>
      <c r="G728" s="6">
        <f>ROUND(Catalogue!G40*SQRT((1+Paramètres!$B$4*(C728-1)+Paramètres!$B$5*(C728-1)^2)),0)</f>
        <v>0</v>
      </c>
      <c r="H728" s="6">
        <f>ROUND(Catalogue!H40*SQRT((1+Paramètres!$B$4*(C728-1)+Paramètres!$B$5*(C728-1)^2)),0)</f>
        <v>0</v>
      </c>
      <c r="I728" s="6">
        <v>3</v>
      </c>
      <c r="J728" s="6">
        <v>1</v>
      </c>
      <c r="K728" s="7">
        <v>3.7</v>
      </c>
      <c r="L728" s="9">
        <f t="shared" si="90"/>
        <v>15</v>
      </c>
      <c r="M728">
        <v>2</v>
      </c>
      <c r="N728">
        <v>6</v>
      </c>
      <c r="O728">
        <v>8</v>
      </c>
      <c r="P728" s="13" t="str">
        <f t="shared" si="91"/>
        <v>2d6 + 8</v>
      </c>
      <c r="Q728">
        <f>ROUND(INDEX(Catalogue!E$4:E$85,MATCH(A728,Catalogue!A$4:A$85,0))*(1+Paramètres!$B$4*(C728-1)+Paramètres!$B$5*(C728-1)^2),0)</f>
        <v>10</v>
      </c>
      <c r="R728">
        <f>ROUND(INDEX(Catalogue!F$4:F$85,MATCH(A728,Catalogue!A$4:A$85,0))*(1+Paramètres!$B$4*(C728-1)+Paramètres!$B$5*(C728-1)^2),0)</f>
        <v>20</v>
      </c>
      <c r="S728">
        <f t="shared" si="92"/>
        <v>0</v>
      </c>
      <c r="T728" t="str">
        <f t="shared" si="93"/>
        <v>OK</v>
      </c>
      <c r="U728" s="25">
        <f t="shared" si="94"/>
        <v>15</v>
      </c>
      <c r="V728" t="str">
        <f t="shared" si="95"/>
        <v>OK</v>
      </c>
    </row>
    <row r="729" spans="1:22" ht="18" customHeight="1">
      <c r="A729" t="s">
        <v>206</v>
      </c>
      <c r="B729" t="s">
        <v>207</v>
      </c>
      <c r="C729">
        <v>6</v>
      </c>
      <c r="D729" t="s">
        <v>169</v>
      </c>
      <c r="E729" s="6">
        <f t="shared" si="88"/>
        <v>12</v>
      </c>
      <c r="F729" s="6">
        <f t="shared" si="89"/>
        <v>23</v>
      </c>
      <c r="G729" s="6">
        <f>ROUND(Catalogue!G40*SQRT((1+Paramètres!$B$4*(C729-1)+Paramètres!$B$5*(C729-1)^2)),0)</f>
        <v>0</v>
      </c>
      <c r="H729" s="6">
        <f>ROUND(Catalogue!H40*SQRT((1+Paramètres!$B$4*(C729-1)+Paramètres!$B$5*(C729-1)^2)),0)</f>
        <v>0</v>
      </c>
      <c r="I729" s="6">
        <v>3</v>
      </c>
      <c r="J729" s="6">
        <v>1</v>
      </c>
      <c r="K729" s="7">
        <v>3.7</v>
      </c>
      <c r="L729" s="9">
        <f t="shared" si="90"/>
        <v>17.5</v>
      </c>
      <c r="M729">
        <v>1</v>
      </c>
      <c r="N729">
        <v>12</v>
      </c>
      <c r="O729">
        <v>11</v>
      </c>
      <c r="P729" s="13" t="str">
        <f t="shared" si="91"/>
        <v>1d12 + 11</v>
      </c>
      <c r="Q729">
        <f>ROUND(INDEX(Catalogue!E$4:E$85,MATCH(A729,Catalogue!A$4:A$85,0))*(1+Paramètres!$B$4*(C729-1)+Paramètres!$B$5*(C729-1)^2),0)</f>
        <v>12</v>
      </c>
      <c r="R729">
        <f>ROUND(INDEX(Catalogue!F$4:F$85,MATCH(A729,Catalogue!A$4:A$85,0))*(1+Paramètres!$B$4*(C729-1)+Paramètres!$B$5*(C729-1)^2),0)</f>
        <v>23</v>
      </c>
      <c r="S729">
        <f t="shared" si="92"/>
        <v>0</v>
      </c>
      <c r="T729" t="str">
        <f t="shared" si="93"/>
        <v>OK</v>
      </c>
      <c r="U729" s="25">
        <f t="shared" si="94"/>
        <v>17.5</v>
      </c>
      <c r="V729" t="str">
        <f t="shared" si="95"/>
        <v>OK</v>
      </c>
    </row>
    <row r="730" spans="1:22" ht="18" customHeight="1">
      <c r="A730" t="s">
        <v>206</v>
      </c>
      <c r="B730" t="s">
        <v>207</v>
      </c>
      <c r="C730">
        <v>7</v>
      </c>
      <c r="D730" t="s">
        <v>169</v>
      </c>
      <c r="E730" s="6">
        <f t="shared" si="88"/>
        <v>13</v>
      </c>
      <c r="F730" s="6">
        <f t="shared" si="89"/>
        <v>27</v>
      </c>
      <c r="G730" s="6">
        <f>ROUND(Catalogue!G40*SQRT((1+Paramètres!$B$4*(C730-1)+Paramètres!$B$5*(C730-1)^2)),0)</f>
        <v>0</v>
      </c>
      <c r="H730" s="6">
        <f>ROUND(Catalogue!H40*SQRT((1+Paramètres!$B$4*(C730-1)+Paramètres!$B$5*(C730-1)^2)),0)</f>
        <v>0</v>
      </c>
      <c r="I730" s="6">
        <v>3</v>
      </c>
      <c r="J730" s="6">
        <v>1</v>
      </c>
      <c r="K730" s="7">
        <v>3.7</v>
      </c>
      <c r="L730" s="9">
        <f t="shared" si="90"/>
        <v>20</v>
      </c>
      <c r="M730">
        <v>2</v>
      </c>
      <c r="N730">
        <v>8</v>
      </c>
      <c r="O730">
        <v>11</v>
      </c>
      <c r="P730" s="13" t="str">
        <f t="shared" si="91"/>
        <v>2d8 + 11</v>
      </c>
      <c r="Q730">
        <f>ROUND(INDEX(Catalogue!E$4:E$85,MATCH(A730,Catalogue!A$4:A$85,0))*(1+Paramètres!$B$4*(C730-1)+Paramètres!$B$5*(C730-1)^2),0)</f>
        <v>13</v>
      </c>
      <c r="R730">
        <f>ROUND(INDEX(Catalogue!F$4:F$85,MATCH(A730,Catalogue!A$4:A$85,0))*(1+Paramètres!$B$4*(C730-1)+Paramètres!$B$5*(C730-1)^2),0)</f>
        <v>27</v>
      </c>
      <c r="S730">
        <f t="shared" si="92"/>
        <v>0</v>
      </c>
      <c r="T730" t="str">
        <f t="shared" si="93"/>
        <v>OK</v>
      </c>
      <c r="U730" s="25">
        <f t="shared" si="94"/>
        <v>20</v>
      </c>
      <c r="V730" t="str">
        <f t="shared" si="95"/>
        <v>OK</v>
      </c>
    </row>
    <row r="731" spans="1:22" ht="18" customHeight="1">
      <c r="A731" t="s">
        <v>206</v>
      </c>
      <c r="B731" t="s">
        <v>207</v>
      </c>
      <c r="C731">
        <v>8</v>
      </c>
      <c r="D731" t="s">
        <v>169</v>
      </c>
      <c r="E731" s="6">
        <f t="shared" si="88"/>
        <v>15</v>
      </c>
      <c r="F731" s="6">
        <f t="shared" si="89"/>
        <v>30</v>
      </c>
      <c r="G731" s="6">
        <f>ROUND(Catalogue!G40*SQRT((1+Paramètres!$B$4*(C731-1)+Paramètres!$B$5*(C731-1)^2)),0)</f>
        <v>0</v>
      </c>
      <c r="H731" s="6">
        <f>ROUND(Catalogue!H40*SQRT((1+Paramètres!$B$4*(C731-1)+Paramètres!$B$5*(C731-1)^2)),0)</f>
        <v>0</v>
      </c>
      <c r="I731" s="6">
        <v>3</v>
      </c>
      <c r="J731" s="6">
        <v>1</v>
      </c>
      <c r="K731" s="7">
        <v>3.7</v>
      </c>
      <c r="L731" s="9">
        <f t="shared" si="90"/>
        <v>22.5</v>
      </c>
      <c r="M731">
        <v>3</v>
      </c>
      <c r="N731">
        <v>6</v>
      </c>
      <c r="O731">
        <v>12</v>
      </c>
      <c r="P731" s="13" t="str">
        <f t="shared" si="91"/>
        <v>3d6 + 12</v>
      </c>
      <c r="Q731">
        <f>ROUND(INDEX(Catalogue!E$4:E$85,MATCH(A731,Catalogue!A$4:A$85,0))*(1+Paramètres!$B$4*(C731-1)+Paramètres!$B$5*(C731-1)^2),0)</f>
        <v>15</v>
      </c>
      <c r="R731">
        <f>ROUND(INDEX(Catalogue!F$4:F$85,MATCH(A731,Catalogue!A$4:A$85,0))*(1+Paramètres!$B$4*(C731-1)+Paramètres!$B$5*(C731-1)^2),0)</f>
        <v>31</v>
      </c>
      <c r="S731">
        <f t="shared" si="92"/>
        <v>-0.5</v>
      </c>
      <c r="T731" t="str">
        <f t="shared" si="93"/>
        <v>OK</v>
      </c>
      <c r="U731" s="25">
        <f t="shared" si="94"/>
        <v>22.5</v>
      </c>
      <c r="V731" t="str">
        <f t="shared" si="95"/>
        <v>OK</v>
      </c>
    </row>
    <row r="732" spans="1:22" ht="18" customHeight="1">
      <c r="A732" t="s">
        <v>206</v>
      </c>
      <c r="B732" t="s">
        <v>207</v>
      </c>
      <c r="C732">
        <v>9</v>
      </c>
      <c r="D732" t="s">
        <v>169</v>
      </c>
      <c r="E732" s="6">
        <f t="shared" si="88"/>
        <v>17</v>
      </c>
      <c r="F732" s="6">
        <f t="shared" si="89"/>
        <v>35</v>
      </c>
      <c r="G732" s="6">
        <f>ROUND(Catalogue!G40*SQRT((1+Paramètres!$B$4*(C732-1)+Paramètres!$B$5*(C732-1)^2)),0)</f>
        <v>0</v>
      </c>
      <c r="H732" s="6">
        <f>ROUND(Catalogue!H40*SQRT((1+Paramètres!$B$4*(C732-1)+Paramètres!$B$5*(C732-1)^2)),0)</f>
        <v>0</v>
      </c>
      <c r="I732" s="6">
        <v>3</v>
      </c>
      <c r="J732" s="6">
        <v>1</v>
      </c>
      <c r="K732" s="7">
        <v>3.7</v>
      </c>
      <c r="L732" s="9">
        <f t="shared" si="90"/>
        <v>26</v>
      </c>
      <c r="M732">
        <v>2</v>
      </c>
      <c r="N732">
        <v>10</v>
      </c>
      <c r="O732">
        <v>15</v>
      </c>
      <c r="P732" s="13" t="str">
        <f t="shared" si="91"/>
        <v>2d10 + 15</v>
      </c>
      <c r="Q732">
        <f>ROUND(INDEX(Catalogue!E$4:E$85,MATCH(A732,Catalogue!A$4:A$85,0))*(1+Paramètres!$B$4*(C732-1)+Paramètres!$B$5*(C732-1)^2),0)</f>
        <v>17</v>
      </c>
      <c r="R732">
        <f>ROUND(INDEX(Catalogue!F$4:F$85,MATCH(A732,Catalogue!A$4:A$85,0))*(1+Paramètres!$B$4*(C732-1)+Paramètres!$B$5*(C732-1)^2),0)</f>
        <v>35</v>
      </c>
      <c r="S732">
        <f t="shared" si="92"/>
        <v>0</v>
      </c>
      <c r="T732" t="str">
        <f t="shared" si="93"/>
        <v>OK</v>
      </c>
      <c r="U732" s="25">
        <f t="shared" si="94"/>
        <v>26</v>
      </c>
      <c r="V732" t="str">
        <f t="shared" si="95"/>
        <v>OK</v>
      </c>
    </row>
    <row r="733" spans="1:22" ht="18" customHeight="1">
      <c r="A733" t="s">
        <v>206</v>
      </c>
      <c r="B733" t="s">
        <v>207</v>
      </c>
      <c r="C733">
        <v>10</v>
      </c>
      <c r="D733" t="s">
        <v>169</v>
      </c>
      <c r="E733" s="6">
        <f t="shared" si="88"/>
        <v>20</v>
      </c>
      <c r="F733" s="6">
        <f t="shared" si="89"/>
        <v>38</v>
      </c>
      <c r="G733" s="6">
        <f>ROUND(Catalogue!G40*SQRT((1+Paramètres!$B$4*(C733-1)+Paramètres!$B$5*(C733-1)^2)),0)</f>
        <v>0</v>
      </c>
      <c r="H733" s="6">
        <f>ROUND(Catalogue!H40*SQRT((1+Paramètres!$B$4*(C733-1)+Paramètres!$B$5*(C733-1)^2)),0)</f>
        <v>0</v>
      </c>
      <c r="I733" s="6">
        <v>3</v>
      </c>
      <c r="J733" s="6">
        <v>1</v>
      </c>
      <c r="K733" s="7">
        <v>3.7</v>
      </c>
      <c r="L733" s="9">
        <f t="shared" si="90"/>
        <v>29</v>
      </c>
      <c r="M733">
        <v>2</v>
      </c>
      <c r="N733">
        <v>10</v>
      </c>
      <c r="O733">
        <v>18</v>
      </c>
      <c r="P733" s="13" t="str">
        <f t="shared" si="91"/>
        <v>2d10 + 18</v>
      </c>
      <c r="Q733">
        <f>ROUND(INDEX(Catalogue!E$4:E$85,MATCH(A733,Catalogue!A$4:A$85,0))*(1+Paramètres!$B$4*(C733-1)+Paramètres!$B$5*(C733-1)^2),0)</f>
        <v>20</v>
      </c>
      <c r="R733">
        <f>ROUND(INDEX(Catalogue!F$4:F$85,MATCH(A733,Catalogue!A$4:A$85,0))*(1+Paramètres!$B$4*(C733-1)+Paramètres!$B$5*(C733-1)^2),0)</f>
        <v>39</v>
      </c>
      <c r="S733">
        <f t="shared" si="92"/>
        <v>-0.5</v>
      </c>
      <c r="T733" t="str">
        <f t="shared" si="93"/>
        <v>OK</v>
      </c>
      <c r="U733" s="25">
        <f t="shared" si="94"/>
        <v>29</v>
      </c>
      <c r="V733" t="str">
        <f t="shared" si="95"/>
        <v>OK</v>
      </c>
    </row>
    <row r="734" spans="1:22" ht="18" customHeight="1">
      <c r="A734" t="s">
        <v>206</v>
      </c>
      <c r="B734" t="s">
        <v>207</v>
      </c>
      <c r="C734">
        <v>11</v>
      </c>
      <c r="D734" t="s">
        <v>169</v>
      </c>
      <c r="E734" s="6">
        <f t="shared" si="88"/>
        <v>22</v>
      </c>
      <c r="F734" s="6">
        <f t="shared" si="89"/>
        <v>44</v>
      </c>
      <c r="G734" s="6">
        <f>ROUND(Catalogue!G40*SQRT((1+Paramètres!$B$4*(C734-1)+Paramètres!$B$5*(C734-1)^2)),0)</f>
        <v>0</v>
      </c>
      <c r="H734" s="6">
        <f>ROUND(Catalogue!H40*SQRT((1+Paramètres!$B$4*(C734-1)+Paramètres!$B$5*(C734-1)^2)),0)</f>
        <v>0</v>
      </c>
      <c r="I734" s="6">
        <v>3</v>
      </c>
      <c r="J734" s="6">
        <v>1</v>
      </c>
      <c r="K734" s="7">
        <v>3.7</v>
      </c>
      <c r="L734" s="9">
        <f t="shared" si="90"/>
        <v>33</v>
      </c>
      <c r="M734">
        <v>2</v>
      </c>
      <c r="N734">
        <v>12</v>
      </c>
      <c r="O734">
        <v>20</v>
      </c>
      <c r="P734" s="13" t="str">
        <f t="shared" si="91"/>
        <v>2d12 + 20</v>
      </c>
      <c r="Q734">
        <f>ROUND(INDEX(Catalogue!E$4:E$85,MATCH(A734,Catalogue!A$4:A$85,0))*(1+Paramètres!$B$4*(C734-1)+Paramètres!$B$5*(C734-1)^2),0)</f>
        <v>22</v>
      </c>
      <c r="R734">
        <f>ROUND(INDEX(Catalogue!F$4:F$85,MATCH(A734,Catalogue!A$4:A$85,0))*(1+Paramètres!$B$4*(C734-1)+Paramètres!$B$5*(C734-1)^2),0)</f>
        <v>44</v>
      </c>
      <c r="S734">
        <f t="shared" si="92"/>
        <v>0</v>
      </c>
      <c r="T734" t="str">
        <f t="shared" si="93"/>
        <v>OK</v>
      </c>
      <c r="U734" s="25">
        <f t="shared" si="94"/>
        <v>33</v>
      </c>
      <c r="V734" t="str">
        <f t="shared" si="95"/>
        <v>OK</v>
      </c>
    </row>
    <row r="735" spans="1:22" ht="18" customHeight="1">
      <c r="A735" t="s">
        <v>206</v>
      </c>
      <c r="B735" t="s">
        <v>207</v>
      </c>
      <c r="C735">
        <v>12</v>
      </c>
      <c r="D735" t="s">
        <v>169</v>
      </c>
      <c r="E735" s="6">
        <f t="shared" si="88"/>
        <v>24</v>
      </c>
      <c r="F735" s="6">
        <f t="shared" si="89"/>
        <v>51</v>
      </c>
      <c r="G735" s="6">
        <f>ROUND(Catalogue!G40*SQRT((1+Paramètres!$B$4*(C735-1)+Paramètres!$B$5*(C735-1)^2)),0)</f>
        <v>0</v>
      </c>
      <c r="H735" s="6">
        <f>ROUND(Catalogue!H40*SQRT((1+Paramètres!$B$4*(C735-1)+Paramètres!$B$5*(C735-1)^2)),0)</f>
        <v>0</v>
      </c>
      <c r="I735" s="6">
        <v>3</v>
      </c>
      <c r="J735" s="6">
        <v>1</v>
      </c>
      <c r="K735" s="7">
        <v>3.7</v>
      </c>
      <c r="L735" s="9">
        <f t="shared" si="90"/>
        <v>37.5</v>
      </c>
      <c r="M735">
        <v>3</v>
      </c>
      <c r="N735">
        <v>10</v>
      </c>
      <c r="O735">
        <v>21</v>
      </c>
      <c r="P735" s="13" t="str">
        <f t="shared" si="91"/>
        <v>3d10 + 21</v>
      </c>
      <c r="Q735">
        <f>ROUND(INDEX(Catalogue!E$4:E$85,MATCH(A735,Catalogue!A$4:A$85,0))*(1+Paramètres!$B$4*(C735-1)+Paramètres!$B$5*(C735-1)^2),0)</f>
        <v>25</v>
      </c>
      <c r="R735">
        <f>ROUND(INDEX(Catalogue!F$4:F$85,MATCH(A735,Catalogue!A$4:A$85,0))*(1+Paramètres!$B$4*(C735-1)+Paramètres!$B$5*(C735-1)^2),0)</f>
        <v>50</v>
      </c>
      <c r="S735">
        <f t="shared" si="92"/>
        <v>0</v>
      </c>
      <c r="T735" t="str">
        <f t="shared" si="93"/>
        <v>OK</v>
      </c>
      <c r="U735" s="25">
        <f t="shared" si="94"/>
        <v>37.5</v>
      </c>
      <c r="V735" t="str">
        <f t="shared" si="95"/>
        <v>OK</v>
      </c>
    </row>
    <row r="736" spans="1:22" ht="18" customHeight="1">
      <c r="A736" t="s">
        <v>206</v>
      </c>
      <c r="B736" t="s">
        <v>207</v>
      </c>
      <c r="C736">
        <v>13</v>
      </c>
      <c r="D736" t="s">
        <v>169</v>
      </c>
      <c r="E736" s="6">
        <f t="shared" si="88"/>
        <v>28</v>
      </c>
      <c r="F736" s="6">
        <f t="shared" si="89"/>
        <v>55</v>
      </c>
      <c r="G736" s="6">
        <f>ROUND(Catalogue!G40*SQRT((1+Paramètres!$B$4*(C736-1)+Paramètres!$B$5*(C736-1)^2)),0)</f>
        <v>0</v>
      </c>
      <c r="H736" s="6">
        <f>ROUND(Catalogue!H40*SQRT((1+Paramètres!$B$4*(C736-1)+Paramètres!$B$5*(C736-1)^2)),0)</f>
        <v>0</v>
      </c>
      <c r="I736" s="6">
        <v>3</v>
      </c>
      <c r="J736" s="6">
        <v>1</v>
      </c>
      <c r="K736" s="7">
        <v>3.7</v>
      </c>
      <c r="L736" s="9">
        <f t="shared" si="90"/>
        <v>41.5</v>
      </c>
      <c r="M736">
        <v>3</v>
      </c>
      <c r="N736">
        <v>10</v>
      </c>
      <c r="O736">
        <v>25</v>
      </c>
      <c r="P736" s="13" t="str">
        <f t="shared" si="91"/>
        <v>3d10 + 25</v>
      </c>
      <c r="Q736">
        <f>ROUND(INDEX(Catalogue!E$4:E$85,MATCH(A736,Catalogue!A$4:A$85,0))*(1+Paramètres!$B$4*(C736-1)+Paramètres!$B$5*(C736-1)^2),0)</f>
        <v>28</v>
      </c>
      <c r="R736">
        <f>ROUND(INDEX(Catalogue!F$4:F$85,MATCH(A736,Catalogue!A$4:A$85,0))*(1+Paramètres!$B$4*(C736-1)+Paramètres!$B$5*(C736-1)^2),0)</f>
        <v>55</v>
      </c>
      <c r="S736">
        <f t="shared" si="92"/>
        <v>0</v>
      </c>
      <c r="T736" t="str">
        <f t="shared" si="93"/>
        <v>OK</v>
      </c>
      <c r="U736" s="25">
        <f t="shared" si="94"/>
        <v>41.5</v>
      </c>
      <c r="V736" t="str">
        <f t="shared" si="95"/>
        <v>OK</v>
      </c>
    </row>
    <row r="737" spans="1:22" ht="18" customHeight="1">
      <c r="A737" t="s">
        <v>206</v>
      </c>
      <c r="B737" t="s">
        <v>207</v>
      </c>
      <c r="C737">
        <v>14</v>
      </c>
      <c r="D737" t="s">
        <v>169</v>
      </c>
      <c r="E737" s="6">
        <f t="shared" si="88"/>
        <v>30</v>
      </c>
      <c r="F737" s="6">
        <f t="shared" si="89"/>
        <v>63</v>
      </c>
      <c r="G737" s="6">
        <f>ROUND(Catalogue!G40*SQRT((1+Paramètres!$B$4*(C737-1)+Paramètres!$B$5*(C737-1)^2)),0)</f>
        <v>0</v>
      </c>
      <c r="H737" s="6">
        <f>ROUND(Catalogue!H40*SQRT((1+Paramètres!$B$4*(C737-1)+Paramètres!$B$5*(C737-1)^2)),0)</f>
        <v>0</v>
      </c>
      <c r="I737" s="6">
        <v>3</v>
      </c>
      <c r="J737" s="6">
        <v>1</v>
      </c>
      <c r="K737" s="7">
        <v>3.7</v>
      </c>
      <c r="L737" s="9">
        <f t="shared" si="90"/>
        <v>46.5</v>
      </c>
      <c r="M737">
        <v>3</v>
      </c>
      <c r="N737">
        <v>12</v>
      </c>
      <c r="O737">
        <v>27</v>
      </c>
      <c r="P737" s="13" t="str">
        <f t="shared" si="91"/>
        <v>3d12 + 27</v>
      </c>
      <c r="Q737">
        <f>ROUND(INDEX(Catalogue!E$4:E$85,MATCH(A737,Catalogue!A$4:A$85,0))*(1+Paramètres!$B$4*(C737-1)+Paramètres!$B$5*(C737-1)^2),0)</f>
        <v>31</v>
      </c>
      <c r="R737">
        <f>ROUND(INDEX(Catalogue!F$4:F$85,MATCH(A737,Catalogue!A$4:A$85,0))*(1+Paramètres!$B$4*(C737-1)+Paramètres!$B$5*(C737-1)^2),0)</f>
        <v>62</v>
      </c>
      <c r="S737">
        <f t="shared" si="92"/>
        <v>0</v>
      </c>
      <c r="T737" t="str">
        <f t="shared" si="93"/>
        <v>OK</v>
      </c>
      <c r="U737" s="25">
        <f t="shared" si="94"/>
        <v>46.5</v>
      </c>
      <c r="V737" t="str">
        <f t="shared" si="95"/>
        <v>OK</v>
      </c>
    </row>
    <row r="738" spans="1:22" ht="18" customHeight="1">
      <c r="A738" t="s">
        <v>206</v>
      </c>
      <c r="B738" t="s">
        <v>207</v>
      </c>
      <c r="C738">
        <v>15</v>
      </c>
      <c r="D738" t="s">
        <v>169</v>
      </c>
      <c r="E738" s="6">
        <f t="shared" si="88"/>
        <v>35</v>
      </c>
      <c r="F738" s="6">
        <f t="shared" si="89"/>
        <v>68</v>
      </c>
      <c r="G738" s="6">
        <f>ROUND(Catalogue!G40*SQRT((1+Paramètres!$B$4*(C738-1)+Paramètres!$B$5*(C738-1)^2)),0)</f>
        <v>0</v>
      </c>
      <c r="H738" s="6">
        <f>ROUND(Catalogue!H40*SQRT((1+Paramètres!$B$4*(C738-1)+Paramètres!$B$5*(C738-1)^2)),0)</f>
        <v>0</v>
      </c>
      <c r="I738" s="6">
        <v>3</v>
      </c>
      <c r="J738" s="6">
        <v>1</v>
      </c>
      <c r="K738" s="7">
        <v>3.7</v>
      </c>
      <c r="L738" s="9">
        <f t="shared" si="90"/>
        <v>51.5</v>
      </c>
      <c r="M738">
        <v>3</v>
      </c>
      <c r="N738">
        <v>12</v>
      </c>
      <c r="O738">
        <v>32</v>
      </c>
      <c r="P738" s="13" t="str">
        <f t="shared" si="91"/>
        <v>3d12 + 32</v>
      </c>
      <c r="Q738">
        <f>ROUND(INDEX(Catalogue!E$4:E$85,MATCH(A738,Catalogue!A$4:A$85,0))*(1+Paramètres!$B$4*(C738-1)+Paramètres!$B$5*(C738-1)^2),0)</f>
        <v>34</v>
      </c>
      <c r="R738">
        <f>ROUND(INDEX(Catalogue!F$4:F$85,MATCH(A738,Catalogue!A$4:A$85,0))*(1+Paramètres!$B$4*(C738-1)+Paramètres!$B$5*(C738-1)^2),0)</f>
        <v>68</v>
      </c>
      <c r="S738">
        <f t="shared" si="92"/>
        <v>0.5</v>
      </c>
      <c r="T738" t="str">
        <f t="shared" si="93"/>
        <v>OK</v>
      </c>
      <c r="U738" s="25">
        <f t="shared" si="94"/>
        <v>51.5</v>
      </c>
      <c r="V738" t="str">
        <f t="shared" si="95"/>
        <v>OK</v>
      </c>
    </row>
    <row r="739" spans="1:22" ht="18" customHeight="1">
      <c r="A739" t="s">
        <v>206</v>
      </c>
      <c r="B739" t="s">
        <v>207</v>
      </c>
      <c r="C739">
        <v>16</v>
      </c>
      <c r="D739" t="s">
        <v>169</v>
      </c>
      <c r="E739" s="6">
        <f t="shared" si="88"/>
        <v>38</v>
      </c>
      <c r="F739" s="6">
        <f t="shared" si="89"/>
        <v>74</v>
      </c>
      <c r="G739" s="6">
        <f>ROUND(Catalogue!G40*SQRT((1+Paramètres!$B$4*(C739-1)+Paramètres!$B$5*(C739-1)^2)),0)</f>
        <v>0</v>
      </c>
      <c r="H739" s="6">
        <f>ROUND(Catalogue!H40*SQRT((1+Paramètres!$B$4*(C739-1)+Paramètres!$B$5*(C739-1)^2)),0)</f>
        <v>0</v>
      </c>
      <c r="I739" s="6">
        <v>3</v>
      </c>
      <c r="J739" s="6">
        <v>1</v>
      </c>
      <c r="K739" s="7">
        <v>3.7</v>
      </c>
      <c r="L739" s="9">
        <f t="shared" si="90"/>
        <v>56</v>
      </c>
      <c r="M739">
        <v>4</v>
      </c>
      <c r="N739">
        <v>10</v>
      </c>
      <c r="O739">
        <v>34</v>
      </c>
      <c r="P739" s="13" t="str">
        <f t="shared" si="91"/>
        <v>4d10 + 34</v>
      </c>
      <c r="Q739">
        <f>ROUND(INDEX(Catalogue!E$4:E$85,MATCH(A739,Catalogue!A$4:A$85,0))*(1+Paramètres!$B$4*(C739-1)+Paramètres!$B$5*(C739-1)^2),0)</f>
        <v>38</v>
      </c>
      <c r="R739">
        <f>ROUND(INDEX(Catalogue!F$4:F$85,MATCH(A739,Catalogue!A$4:A$85,0))*(1+Paramètres!$B$4*(C739-1)+Paramètres!$B$5*(C739-1)^2),0)</f>
        <v>75</v>
      </c>
      <c r="S739">
        <f t="shared" si="92"/>
        <v>-0.5</v>
      </c>
      <c r="T739" t="str">
        <f t="shared" si="93"/>
        <v>OK</v>
      </c>
      <c r="U739" s="25">
        <f t="shared" si="94"/>
        <v>56</v>
      </c>
      <c r="V739" t="str">
        <f t="shared" si="95"/>
        <v>OK</v>
      </c>
    </row>
    <row r="740" spans="1:22" ht="18" customHeight="1">
      <c r="A740" t="s">
        <v>206</v>
      </c>
      <c r="B740" t="s">
        <v>207</v>
      </c>
      <c r="C740">
        <v>17</v>
      </c>
      <c r="D740" t="s">
        <v>169</v>
      </c>
      <c r="E740" s="6">
        <f t="shared" si="88"/>
        <v>40</v>
      </c>
      <c r="F740" s="6">
        <f t="shared" si="89"/>
        <v>82</v>
      </c>
      <c r="G740" s="6">
        <f>ROUND(Catalogue!G40*SQRT((1+Paramètres!$B$4*(C740-1)+Paramètres!$B$5*(C740-1)^2)),0)</f>
        <v>0</v>
      </c>
      <c r="H740" s="6">
        <f>ROUND(Catalogue!H40*SQRT((1+Paramètres!$B$4*(C740-1)+Paramètres!$B$5*(C740-1)^2)),0)</f>
        <v>0</v>
      </c>
      <c r="I740" s="6">
        <v>3</v>
      </c>
      <c r="J740" s="6">
        <v>1</v>
      </c>
      <c r="K740" s="7">
        <v>3.7</v>
      </c>
      <c r="L740" s="9">
        <f t="shared" si="90"/>
        <v>61</v>
      </c>
      <c r="M740">
        <v>6</v>
      </c>
      <c r="N740">
        <v>8</v>
      </c>
      <c r="O740">
        <v>34</v>
      </c>
      <c r="P740" s="13" t="str">
        <f t="shared" si="91"/>
        <v>6d8 + 34</v>
      </c>
      <c r="Q740">
        <f>ROUND(INDEX(Catalogue!E$4:E$85,MATCH(A740,Catalogue!A$4:A$85,0))*(1+Paramètres!$B$4*(C740-1)+Paramètres!$B$5*(C740-1)^2),0)</f>
        <v>41</v>
      </c>
      <c r="R740">
        <f>ROUND(INDEX(Catalogue!F$4:F$85,MATCH(A740,Catalogue!A$4:A$85,0))*(1+Paramètres!$B$4*(C740-1)+Paramètres!$B$5*(C740-1)^2),0)</f>
        <v>82</v>
      </c>
      <c r="S740">
        <f t="shared" si="92"/>
        <v>-0.5</v>
      </c>
      <c r="T740" t="str">
        <f t="shared" si="93"/>
        <v>OK</v>
      </c>
      <c r="U740" s="25">
        <f t="shared" si="94"/>
        <v>61</v>
      </c>
      <c r="V740" t="str">
        <f t="shared" si="95"/>
        <v>OK</v>
      </c>
    </row>
    <row r="741" spans="1:22" ht="18" customHeight="1">
      <c r="A741" t="s">
        <v>206</v>
      </c>
      <c r="B741" t="s">
        <v>207</v>
      </c>
      <c r="C741">
        <v>18</v>
      </c>
      <c r="D741" t="s">
        <v>169</v>
      </c>
      <c r="E741" s="6">
        <f t="shared" si="88"/>
        <v>45</v>
      </c>
      <c r="F741" s="6">
        <f t="shared" si="89"/>
        <v>90</v>
      </c>
      <c r="G741" s="6">
        <f>ROUND(Catalogue!G40*SQRT((1+Paramètres!$B$4*(C741-1)+Paramètres!$B$5*(C741-1)^2)),0)</f>
        <v>0</v>
      </c>
      <c r="H741" s="6">
        <f>ROUND(Catalogue!H40*SQRT((1+Paramètres!$B$4*(C741-1)+Paramètres!$B$5*(C741-1)^2)),0)</f>
        <v>0</v>
      </c>
      <c r="I741" s="6">
        <v>3</v>
      </c>
      <c r="J741" s="6">
        <v>1</v>
      </c>
      <c r="K741" s="7">
        <v>3.7</v>
      </c>
      <c r="L741" s="9">
        <f t="shared" si="90"/>
        <v>67.5</v>
      </c>
      <c r="M741">
        <v>5</v>
      </c>
      <c r="N741">
        <v>10</v>
      </c>
      <c r="O741">
        <v>40</v>
      </c>
      <c r="P741" s="13" t="str">
        <f t="shared" si="91"/>
        <v>5d10 + 40</v>
      </c>
      <c r="Q741">
        <f>ROUND(INDEX(Catalogue!E$4:E$85,MATCH(A741,Catalogue!A$4:A$85,0))*(1+Paramètres!$B$4*(C741-1)+Paramètres!$B$5*(C741-1)^2),0)</f>
        <v>45</v>
      </c>
      <c r="R741">
        <f>ROUND(INDEX(Catalogue!F$4:F$85,MATCH(A741,Catalogue!A$4:A$85,0))*(1+Paramètres!$B$4*(C741-1)+Paramètres!$B$5*(C741-1)^2),0)</f>
        <v>90</v>
      </c>
      <c r="S741">
        <f t="shared" si="92"/>
        <v>0</v>
      </c>
      <c r="T741" t="str">
        <f t="shared" si="93"/>
        <v>OK</v>
      </c>
      <c r="U741" s="25">
        <f t="shared" si="94"/>
        <v>67.5</v>
      </c>
      <c r="V741" t="str">
        <f t="shared" si="95"/>
        <v>OK</v>
      </c>
    </row>
    <row r="742" spans="1:22" ht="18" customHeight="1">
      <c r="A742" t="s">
        <v>206</v>
      </c>
      <c r="B742" t="s">
        <v>207</v>
      </c>
      <c r="C742">
        <v>19</v>
      </c>
      <c r="D742" t="s">
        <v>169</v>
      </c>
      <c r="E742" s="6">
        <f t="shared" si="88"/>
        <v>51</v>
      </c>
      <c r="F742" s="6">
        <f t="shared" si="89"/>
        <v>96</v>
      </c>
      <c r="G742" s="6">
        <f>ROUND(Catalogue!G40*SQRT((1+Paramètres!$B$4*(C742-1)+Paramètres!$B$5*(C742-1)^2)),0)</f>
        <v>0</v>
      </c>
      <c r="H742" s="6">
        <f>ROUND(Catalogue!H40*SQRT((1+Paramètres!$B$4*(C742-1)+Paramètres!$B$5*(C742-1)^2)),0)</f>
        <v>0</v>
      </c>
      <c r="I742" s="6">
        <v>3</v>
      </c>
      <c r="J742" s="6">
        <v>1</v>
      </c>
      <c r="K742" s="7">
        <v>3.7</v>
      </c>
      <c r="L742" s="9">
        <f t="shared" si="90"/>
        <v>73.5</v>
      </c>
      <c r="M742">
        <v>5</v>
      </c>
      <c r="N742">
        <v>10</v>
      </c>
      <c r="O742">
        <v>46</v>
      </c>
      <c r="P742" s="13" t="str">
        <f t="shared" si="91"/>
        <v>5d10 + 46</v>
      </c>
      <c r="Q742">
        <f>ROUND(INDEX(Catalogue!E$4:E$85,MATCH(A742,Catalogue!A$4:A$85,0))*(1+Paramètres!$B$4*(C742-1)+Paramètres!$B$5*(C742-1)^2),0)</f>
        <v>49</v>
      </c>
      <c r="R742">
        <f>ROUND(INDEX(Catalogue!F$4:F$85,MATCH(A742,Catalogue!A$4:A$85,0))*(1+Paramètres!$B$4*(C742-1)+Paramètres!$B$5*(C742-1)^2),0)</f>
        <v>98</v>
      </c>
      <c r="S742">
        <f t="shared" si="92"/>
        <v>0</v>
      </c>
      <c r="T742" t="str">
        <f t="shared" si="93"/>
        <v>OK</v>
      </c>
      <c r="U742" s="25">
        <f t="shared" si="94"/>
        <v>73.5</v>
      </c>
      <c r="V742" t="str">
        <f t="shared" si="95"/>
        <v>OK</v>
      </c>
    </row>
    <row r="743" spans="1:22" ht="18" customHeight="1">
      <c r="A743" t="s">
        <v>206</v>
      </c>
      <c r="B743" t="s">
        <v>207</v>
      </c>
      <c r="C743">
        <v>20</v>
      </c>
      <c r="D743" t="s">
        <v>169</v>
      </c>
      <c r="E743" s="6">
        <f t="shared" si="88"/>
        <v>52</v>
      </c>
      <c r="F743" s="6">
        <f t="shared" si="89"/>
        <v>106</v>
      </c>
      <c r="G743" s="6">
        <f>ROUND(Catalogue!G40*SQRT((1+Paramètres!$B$4*(C743-1)+Paramètres!$B$5*(C743-1)^2)),0)</f>
        <v>0</v>
      </c>
      <c r="H743" s="6">
        <f>ROUND(Catalogue!H40*SQRT((1+Paramètres!$B$4*(C743-1)+Paramètres!$B$5*(C743-1)^2)),0)</f>
        <v>0</v>
      </c>
      <c r="I743" s="6">
        <v>3</v>
      </c>
      <c r="J743" s="6">
        <v>1</v>
      </c>
      <c r="K743" s="7">
        <v>3.7</v>
      </c>
      <c r="L743" s="9">
        <f t="shared" si="90"/>
        <v>79</v>
      </c>
      <c r="M743">
        <v>6</v>
      </c>
      <c r="N743">
        <v>10</v>
      </c>
      <c r="O743">
        <v>46</v>
      </c>
      <c r="P743" s="13" t="str">
        <f t="shared" si="91"/>
        <v>6d10 + 46</v>
      </c>
      <c r="Q743">
        <f>ROUND(INDEX(Catalogue!E$4:E$85,MATCH(A743,Catalogue!A$4:A$85,0))*(1+Paramètres!$B$4*(C743-1)+Paramètres!$B$5*(C743-1)^2),0)</f>
        <v>53</v>
      </c>
      <c r="R743">
        <f>ROUND(INDEX(Catalogue!F$4:F$85,MATCH(A743,Catalogue!A$4:A$85,0))*(1+Paramètres!$B$4*(C743-1)+Paramètres!$B$5*(C743-1)^2),0)</f>
        <v>106</v>
      </c>
      <c r="S743">
        <f t="shared" si="92"/>
        <v>-0.5</v>
      </c>
      <c r="T743" t="str">
        <f t="shared" si="93"/>
        <v>OK</v>
      </c>
      <c r="U743" s="25">
        <f t="shared" si="94"/>
        <v>79</v>
      </c>
      <c r="V743" t="str">
        <f t="shared" si="95"/>
        <v>OK</v>
      </c>
    </row>
    <row r="744" spans="1:22" ht="18" customHeight="1">
      <c r="A744" t="s">
        <v>209</v>
      </c>
      <c r="B744" t="s">
        <v>210</v>
      </c>
      <c r="C744">
        <v>1</v>
      </c>
      <c r="D744" t="s">
        <v>211</v>
      </c>
      <c r="E744" s="6">
        <f t="shared" si="88"/>
        <v>3</v>
      </c>
      <c r="F744" s="6">
        <f t="shared" si="89"/>
        <v>8</v>
      </c>
      <c r="G744" s="6">
        <f>ROUND(Catalogue!G41*SQRT((1+Paramètres!$B$4*(C744-1)+Paramètres!$B$5*(C744-1)^2)),0)</f>
        <v>0</v>
      </c>
      <c r="H744" s="6">
        <f>ROUND(Catalogue!H41*SQRT((1+Paramètres!$B$4*(C744-1)+Paramètres!$B$5*(C744-1)^2)),0)</f>
        <v>0</v>
      </c>
      <c r="I744" s="6">
        <v>3</v>
      </c>
      <c r="J744" s="6">
        <v>2</v>
      </c>
      <c r="K744" s="7">
        <v>1.8</v>
      </c>
      <c r="L744" s="9">
        <f t="shared" si="90"/>
        <v>5.5</v>
      </c>
      <c r="M744">
        <v>1</v>
      </c>
      <c r="N744">
        <v>6</v>
      </c>
      <c r="O744">
        <v>2</v>
      </c>
      <c r="P744" s="13" t="str">
        <f t="shared" si="91"/>
        <v>1d6 + 2</v>
      </c>
      <c r="Q744">
        <f>ROUND(INDEX(Catalogue!E$4:E$85,MATCH(A744,Catalogue!A$4:A$85,0))*(1+Paramètres!$B$4*(C744-1)+Paramètres!$B$5*(C744-1)^2),0)</f>
        <v>4</v>
      </c>
      <c r="R744">
        <f>ROUND(INDEX(Catalogue!F$4:F$85,MATCH(A744,Catalogue!A$4:A$85,0))*(1+Paramètres!$B$4*(C744-1)+Paramètres!$B$5*(C744-1)^2),0)</f>
        <v>7</v>
      </c>
      <c r="S744">
        <f t="shared" si="92"/>
        <v>0</v>
      </c>
      <c r="T744" t="str">
        <f t="shared" si="93"/>
        <v>OK</v>
      </c>
      <c r="U744" s="25">
        <f t="shared" si="94"/>
        <v>5.5</v>
      </c>
      <c r="V744" t="str">
        <f t="shared" si="95"/>
        <v>OK</v>
      </c>
    </row>
    <row r="745" spans="1:22" ht="18" customHeight="1">
      <c r="A745" t="s">
        <v>209</v>
      </c>
      <c r="B745" t="s">
        <v>210</v>
      </c>
      <c r="C745">
        <v>2</v>
      </c>
      <c r="D745" t="s">
        <v>211</v>
      </c>
      <c r="E745" s="6">
        <f t="shared" si="88"/>
        <v>4</v>
      </c>
      <c r="F745" s="6">
        <f t="shared" si="89"/>
        <v>9</v>
      </c>
      <c r="G745" s="6">
        <f>ROUND(Catalogue!G41*SQRT((1+Paramètres!$B$4*(C745-1)+Paramètres!$B$5*(C745-1)^2)),0)</f>
        <v>0</v>
      </c>
      <c r="H745" s="6">
        <f>ROUND(Catalogue!H41*SQRT((1+Paramètres!$B$4*(C745-1)+Paramètres!$B$5*(C745-1)^2)),0)</f>
        <v>0</v>
      </c>
      <c r="I745" s="6">
        <v>3</v>
      </c>
      <c r="J745" s="6">
        <v>2</v>
      </c>
      <c r="K745" s="7">
        <v>1.8</v>
      </c>
      <c r="L745" s="9">
        <f t="shared" si="90"/>
        <v>6.5</v>
      </c>
      <c r="M745">
        <v>1</v>
      </c>
      <c r="N745">
        <v>6</v>
      </c>
      <c r="O745">
        <v>3</v>
      </c>
      <c r="P745" s="13" t="str">
        <f t="shared" si="91"/>
        <v>1d6 + 3</v>
      </c>
      <c r="Q745">
        <f>ROUND(INDEX(Catalogue!E$4:E$85,MATCH(A745,Catalogue!A$4:A$85,0))*(1+Paramètres!$B$4*(C745-1)+Paramètres!$B$5*(C745-1)^2),0)</f>
        <v>5</v>
      </c>
      <c r="R745">
        <f>ROUND(INDEX(Catalogue!F$4:F$85,MATCH(A745,Catalogue!A$4:A$85,0))*(1+Paramètres!$B$4*(C745-1)+Paramètres!$B$5*(C745-1)^2),0)</f>
        <v>8</v>
      </c>
      <c r="S745">
        <f t="shared" si="92"/>
        <v>0</v>
      </c>
      <c r="T745" t="str">
        <f t="shared" si="93"/>
        <v>OK</v>
      </c>
      <c r="U745" s="25">
        <f t="shared" si="94"/>
        <v>6.5</v>
      </c>
      <c r="V745" t="str">
        <f t="shared" si="95"/>
        <v>OK</v>
      </c>
    </row>
    <row r="746" spans="1:22" ht="18" customHeight="1">
      <c r="A746" t="s">
        <v>209</v>
      </c>
      <c r="B746" t="s">
        <v>210</v>
      </c>
      <c r="C746">
        <v>3</v>
      </c>
      <c r="D746" t="s">
        <v>211</v>
      </c>
      <c r="E746" s="6">
        <f t="shared" si="88"/>
        <v>4</v>
      </c>
      <c r="F746" s="6">
        <f t="shared" si="89"/>
        <v>9</v>
      </c>
      <c r="G746" s="6">
        <f>ROUND(Catalogue!G41*SQRT((1+Paramètres!$B$4*(C746-1)+Paramètres!$B$5*(C746-1)^2)),0)</f>
        <v>0</v>
      </c>
      <c r="H746" s="6">
        <f>ROUND(Catalogue!H41*SQRT((1+Paramètres!$B$4*(C746-1)+Paramètres!$B$5*(C746-1)^2)),0)</f>
        <v>0</v>
      </c>
      <c r="I746" s="6">
        <v>3</v>
      </c>
      <c r="J746" s="6">
        <v>2</v>
      </c>
      <c r="K746" s="7">
        <v>1.8</v>
      </c>
      <c r="L746" s="9">
        <f t="shared" si="90"/>
        <v>6.5</v>
      </c>
      <c r="M746">
        <v>1</v>
      </c>
      <c r="N746">
        <v>6</v>
      </c>
      <c r="O746">
        <v>3</v>
      </c>
      <c r="P746" s="13" t="str">
        <f t="shared" si="91"/>
        <v>1d6 + 3</v>
      </c>
      <c r="Q746">
        <f>ROUND(INDEX(Catalogue!E$4:E$85,MATCH(A746,Catalogue!A$4:A$85,0))*(1+Paramètres!$B$4*(C746-1)+Paramètres!$B$5*(C746-1)^2),0)</f>
        <v>5</v>
      </c>
      <c r="R746">
        <f>ROUND(INDEX(Catalogue!F$4:F$85,MATCH(A746,Catalogue!A$4:A$85,0))*(1+Paramètres!$B$4*(C746-1)+Paramètres!$B$5*(C746-1)^2),0)</f>
        <v>9</v>
      </c>
      <c r="S746">
        <f t="shared" si="92"/>
        <v>-0.5</v>
      </c>
      <c r="T746" t="str">
        <f t="shared" si="93"/>
        <v>OK</v>
      </c>
      <c r="U746" s="25">
        <f t="shared" si="94"/>
        <v>6.5</v>
      </c>
      <c r="V746" t="str">
        <f t="shared" si="95"/>
        <v>OK</v>
      </c>
    </row>
    <row r="747" spans="1:22" ht="18" customHeight="1">
      <c r="A747" t="s">
        <v>209</v>
      </c>
      <c r="B747" t="s">
        <v>210</v>
      </c>
      <c r="C747">
        <v>4</v>
      </c>
      <c r="D747" t="s">
        <v>211</v>
      </c>
      <c r="E747" s="6">
        <f t="shared" si="88"/>
        <v>5</v>
      </c>
      <c r="F747" s="6">
        <f t="shared" si="89"/>
        <v>10</v>
      </c>
      <c r="G747" s="6">
        <f>ROUND(Catalogue!G41*SQRT((1+Paramètres!$B$4*(C747-1)+Paramètres!$B$5*(C747-1)^2)),0)</f>
        <v>0</v>
      </c>
      <c r="H747" s="6">
        <f>ROUND(Catalogue!H41*SQRT((1+Paramètres!$B$4*(C747-1)+Paramètres!$B$5*(C747-1)^2)),0)</f>
        <v>0</v>
      </c>
      <c r="I747" s="6">
        <v>3</v>
      </c>
      <c r="J747" s="6">
        <v>2</v>
      </c>
      <c r="K747" s="7">
        <v>1.8</v>
      </c>
      <c r="L747" s="9">
        <f t="shared" si="90"/>
        <v>7.5</v>
      </c>
      <c r="M747">
        <v>1</v>
      </c>
      <c r="N747">
        <v>6</v>
      </c>
      <c r="O747">
        <v>4</v>
      </c>
      <c r="P747" s="13" t="str">
        <f t="shared" si="91"/>
        <v>1d6 + 4</v>
      </c>
      <c r="Q747">
        <f>ROUND(INDEX(Catalogue!E$4:E$85,MATCH(A747,Catalogue!A$4:A$85,0))*(1+Paramètres!$B$4*(C747-1)+Paramètres!$B$5*(C747-1)^2),0)</f>
        <v>6</v>
      </c>
      <c r="R747">
        <f>ROUND(INDEX(Catalogue!F$4:F$85,MATCH(A747,Catalogue!A$4:A$85,0))*(1+Paramètres!$B$4*(C747-1)+Paramètres!$B$5*(C747-1)^2),0)</f>
        <v>10</v>
      </c>
      <c r="S747">
        <f t="shared" si="92"/>
        <v>-0.5</v>
      </c>
      <c r="T747" t="str">
        <f t="shared" si="93"/>
        <v>OK</v>
      </c>
      <c r="U747" s="25">
        <f t="shared" si="94"/>
        <v>7.5</v>
      </c>
      <c r="V747" t="str">
        <f t="shared" si="95"/>
        <v>OK</v>
      </c>
    </row>
    <row r="748" spans="1:22" ht="18" customHeight="1">
      <c r="A748" t="s">
        <v>209</v>
      </c>
      <c r="B748" t="s">
        <v>210</v>
      </c>
      <c r="C748">
        <v>5</v>
      </c>
      <c r="D748" t="s">
        <v>211</v>
      </c>
      <c r="E748" s="6">
        <f t="shared" si="88"/>
        <v>7</v>
      </c>
      <c r="F748" s="6">
        <f t="shared" si="89"/>
        <v>12</v>
      </c>
      <c r="G748" s="6">
        <f>ROUND(Catalogue!G41*SQRT((1+Paramètres!$B$4*(C748-1)+Paramètres!$B$5*(C748-1)^2)),0)</f>
        <v>0</v>
      </c>
      <c r="H748" s="6">
        <f>ROUND(Catalogue!H41*SQRT((1+Paramètres!$B$4*(C748-1)+Paramètres!$B$5*(C748-1)^2)),0)</f>
        <v>0</v>
      </c>
      <c r="I748" s="6">
        <v>3</v>
      </c>
      <c r="J748" s="6">
        <v>2</v>
      </c>
      <c r="K748" s="7">
        <v>1.8</v>
      </c>
      <c r="L748" s="9">
        <f t="shared" si="90"/>
        <v>9.5</v>
      </c>
      <c r="M748">
        <v>1</v>
      </c>
      <c r="N748">
        <v>6</v>
      </c>
      <c r="O748">
        <v>6</v>
      </c>
      <c r="P748" s="13" t="str">
        <f t="shared" si="91"/>
        <v>1d6 + 6</v>
      </c>
      <c r="Q748">
        <f>ROUND(INDEX(Catalogue!E$4:E$85,MATCH(A748,Catalogue!A$4:A$85,0))*(1+Paramètres!$B$4*(C748-1)+Paramètres!$B$5*(C748-1)^2),0)</f>
        <v>7</v>
      </c>
      <c r="R748">
        <f>ROUND(INDEX(Catalogue!F$4:F$85,MATCH(A748,Catalogue!A$4:A$85,0))*(1+Paramètres!$B$4*(C748-1)+Paramètres!$B$5*(C748-1)^2),0)</f>
        <v>12</v>
      </c>
      <c r="S748">
        <f t="shared" si="92"/>
        <v>0</v>
      </c>
      <c r="T748" t="str">
        <f t="shared" si="93"/>
        <v>OK</v>
      </c>
      <c r="U748" s="25">
        <f t="shared" si="94"/>
        <v>9.5</v>
      </c>
      <c r="V748" t="str">
        <f t="shared" si="95"/>
        <v>OK</v>
      </c>
    </row>
    <row r="749" spans="1:22" ht="18" customHeight="1">
      <c r="A749" t="s">
        <v>209</v>
      </c>
      <c r="B749" t="s">
        <v>210</v>
      </c>
      <c r="C749">
        <v>6</v>
      </c>
      <c r="D749" t="s">
        <v>211</v>
      </c>
      <c r="E749" s="6">
        <f t="shared" si="88"/>
        <v>9</v>
      </c>
      <c r="F749" s="6">
        <f t="shared" si="89"/>
        <v>14</v>
      </c>
      <c r="G749" s="6">
        <f>ROUND(Catalogue!G41*SQRT((1+Paramètres!$B$4*(C749-1)+Paramètres!$B$5*(C749-1)^2)),0)</f>
        <v>0</v>
      </c>
      <c r="H749" s="6">
        <f>ROUND(Catalogue!H41*SQRT((1+Paramètres!$B$4*(C749-1)+Paramètres!$B$5*(C749-1)^2)),0)</f>
        <v>0</v>
      </c>
      <c r="I749" s="6">
        <v>3</v>
      </c>
      <c r="J749" s="6">
        <v>2</v>
      </c>
      <c r="K749" s="7">
        <v>1.8</v>
      </c>
      <c r="L749" s="9">
        <f t="shared" si="90"/>
        <v>11.5</v>
      </c>
      <c r="M749">
        <v>1</v>
      </c>
      <c r="N749">
        <v>6</v>
      </c>
      <c r="O749">
        <v>8</v>
      </c>
      <c r="P749" s="13" t="str">
        <f t="shared" si="91"/>
        <v>1d6 + 8</v>
      </c>
      <c r="Q749">
        <f>ROUND(INDEX(Catalogue!E$4:E$85,MATCH(A749,Catalogue!A$4:A$85,0))*(1+Paramètres!$B$4*(C749-1)+Paramètres!$B$5*(C749-1)^2),0)</f>
        <v>8</v>
      </c>
      <c r="R749">
        <f>ROUND(INDEX(Catalogue!F$4:F$85,MATCH(A749,Catalogue!A$4:A$85,0))*(1+Paramètres!$B$4*(C749-1)+Paramètres!$B$5*(C749-1)^2),0)</f>
        <v>14</v>
      </c>
      <c r="S749">
        <f t="shared" si="92"/>
        <v>0.5</v>
      </c>
      <c r="T749" t="str">
        <f t="shared" si="93"/>
        <v>OK</v>
      </c>
      <c r="U749" s="25">
        <f t="shared" si="94"/>
        <v>11.5</v>
      </c>
      <c r="V749" t="str">
        <f t="shared" si="95"/>
        <v>OK</v>
      </c>
    </row>
    <row r="750" spans="1:22" ht="18" customHeight="1">
      <c r="A750" t="s">
        <v>209</v>
      </c>
      <c r="B750" t="s">
        <v>210</v>
      </c>
      <c r="C750">
        <v>7</v>
      </c>
      <c r="D750" t="s">
        <v>211</v>
      </c>
      <c r="E750" s="6">
        <f t="shared" si="88"/>
        <v>9</v>
      </c>
      <c r="F750" s="6">
        <f t="shared" si="89"/>
        <v>16</v>
      </c>
      <c r="G750" s="6">
        <f>ROUND(Catalogue!G41*SQRT((1+Paramètres!$B$4*(C750-1)+Paramètres!$B$5*(C750-1)^2)),0)</f>
        <v>0</v>
      </c>
      <c r="H750" s="6">
        <f>ROUND(Catalogue!H41*SQRT((1+Paramètres!$B$4*(C750-1)+Paramètres!$B$5*(C750-1)^2)),0)</f>
        <v>0</v>
      </c>
      <c r="I750" s="6">
        <v>3</v>
      </c>
      <c r="J750" s="6">
        <v>2</v>
      </c>
      <c r="K750" s="7">
        <v>1.8</v>
      </c>
      <c r="L750" s="9">
        <f t="shared" si="90"/>
        <v>12.5</v>
      </c>
      <c r="M750">
        <v>1</v>
      </c>
      <c r="N750">
        <v>8</v>
      </c>
      <c r="O750">
        <v>8</v>
      </c>
      <c r="P750" s="13" t="str">
        <f t="shared" si="91"/>
        <v>1d8 + 8</v>
      </c>
      <c r="Q750">
        <f>ROUND(INDEX(Catalogue!E$4:E$85,MATCH(A750,Catalogue!A$4:A$85,0))*(1+Paramètres!$B$4*(C750-1)+Paramètres!$B$5*(C750-1)^2),0)</f>
        <v>9</v>
      </c>
      <c r="R750">
        <f>ROUND(INDEX(Catalogue!F$4:F$85,MATCH(A750,Catalogue!A$4:A$85,0))*(1+Paramètres!$B$4*(C750-1)+Paramètres!$B$5*(C750-1)^2),0)</f>
        <v>16</v>
      </c>
      <c r="S750">
        <f t="shared" si="92"/>
        <v>0</v>
      </c>
      <c r="T750" t="str">
        <f t="shared" si="93"/>
        <v>OK</v>
      </c>
      <c r="U750" s="25">
        <f t="shared" si="94"/>
        <v>12.5</v>
      </c>
      <c r="V750" t="str">
        <f t="shared" si="95"/>
        <v>OK</v>
      </c>
    </row>
    <row r="751" spans="1:22" ht="18" customHeight="1">
      <c r="A751" t="s">
        <v>209</v>
      </c>
      <c r="B751" t="s">
        <v>210</v>
      </c>
      <c r="C751">
        <v>8</v>
      </c>
      <c r="D751" t="s">
        <v>211</v>
      </c>
      <c r="E751" s="6">
        <f t="shared" si="88"/>
        <v>10</v>
      </c>
      <c r="F751" s="6">
        <f t="shared" si="89"/>
        <v>17</v>
      </c>
      <c r="G751" s="6">
        <f>ROUND(Catalogue!G41*SQRT((1+Paramètres!$B$4*(C751-1)+Paramètres!$B$5*(C751-1)^2)),0)</f>
        <v>0</v>
      </c>
      <c r="H751" s="6">
        <f>ROUND(Catalogue!H41*SQRT((1+Paramètres!$B$4*(C751-1)+Paramètres!$B$5*(C751-1)^2)),0)</f>
        <v>0</v>
      </c>
      <c r="I751" s="6">
        <v>3</v>
      </c>
      <c r="J751" s="6">
        <v>2</v>
      </c>
      <c r="K751" s="7">
        <v>1.8</v>
      </c>
      <c r="L751" s="9">
        <f t="shared" si="90"/>
        <v>13.5</v>
      </c>
      <c r="M751">
        <v>1</v>
      </c>
      <c r="N751">
        <v>8</v>
      </c>
      <c r="O751">
        <v>9</v>
      </c>
      <c r="P751" s="13" t="str">
        <f t="shared" si="91"/>
        <v>1d8 + 9</v>
      </c>
      <c r="Q751">
        <f>ROUND(INDEX(Catalogue!E$4:E$85,MATCH(A751,Catalogue!A$4:A$85,0))*(1+Paramètres!$B$4*(C751-1)+Paramètres!$B$5*(C751-1)^2),0)</f>
        <v>10</v>
      </c>
      <c r="R751">
        <f>ROUND(INDEX(Catalogue!F$4:F$85,MATCH(A751,Catalogue!A$4:A$85,0))*(1+Paramètres!$B$4*(C751-1)+Paramètres!$B$5*(C751-1)^2),0)</f>
        <v>18</v>
      </c>
      <c r="S751">
        <f t="shared" si="92"/>
        <v>-0.5</v>
      </c>
      <c r="T751" t="str">
        <f t="shared" si="93"/>
        <v>OK</v>
      </c>
      <c r="U751" s="25">
        <f t="shared" si="94"/>
        <v>13.5</v>
      </c>
      <c r="V751" t="str">
        <f t="shared" si="95"/>
        <v>OK</v>
      </c>
    </row>
    <row r="752" spans="1:22" ht="18" customHeight="1">
      <c r="A752" t="s">
        <v>209</v>
      </c>
      <c r="B752" t="s">
        <v>210</v>
      </c>
      <c r="C752">
        <v>9</v>
      </c>
      <c r="D752" t="s">
        <v>211</v>
      </c>
      <c r="E752" s="6">
        <f t="shared" si="88"/>
        <v>12</v>
      </c>
      <c r="F752" s="6">
        <f t="shared" si="89"/>
        <v>19</v>
      </c>
      <c r="G752" s="6">
        <f>ROUND(Catalogue!G41*SQRT((1+Paramètres!$B$4*(C752-1)+Paramètres!$B$5*(C752-1)^2)),0)</f>
        <v>0</v>
      </c>
      <c r="H752" s="6">
        <f>ROUND(Catalogue!H41*SQRT((1+Paramètres!$B$4*(C752-1)+Paramètres!$B$5*(C752-1)^2)),0)</f>
        <v>0</v>
      </c>
      <c r="I752" s="6">
        <v>3</v>
      </c>
      <c r="J752" s="6">
        <v>2</v>
      </c>
      <c r="K752" s="7">
        <v>1.8</v>
      </c>
      <c r="L752" s="9">
        <f t="shared" si="90"/>
        <v>15.5</v>
      </c>
      <c r="M752">
        <v>1</v>
      </c>
      <c r="N752">
        <v>8</v>
      </c>
      <c r="O752">
        <v>11</v>
      </c>
      <c r="P752" s="13" t="str">
        <f t="shared" si="91"/>
        <v>1d8 + 11</v>
      </c>
      <c r="Q752">
        <f>ROUND(INDEX(Catalogue!E$4:E$85,MATCH(A752,Catalogue!A$4:A$85,0))*(1+Paramètres!$B$4*(C752-1)+Paramètres!$B$5*(C752-1)^2),0)</f>
        <v>12</v>
      </c>
      <c r="R752">
        <f>ROUND(INDEX(Catalogue!F$4:F$85,MATCH(A752,Catalogue!A$4:A$85,0))*(1+Paramètres!$B$4*(C752-1)+Paramètres!$B$5*(C752-1)^2),0)</f>
        <v>20</v>
      </c>
      <c r="S752">
        <f t="shared" si="92"/>
        <v>-0.5</v>
      </c>
      <c r="T752" t="str">
        <f t="shared" si="93"/>
        <v>OK</v>
      </c>
      <c r="U752" s="25">
        <f t="shared" si="94"/>
        <v>15.5</v>
      </c>
      <c r="V752" t="str">
        <f t="shared" si="95"/>
        <v>OK</v>
      </c>
    </row>
    <row r="753" spans="1:22" ht="18" customHeight="1">
      <c r="A753" t="s">
        <v>209</v>
      </c>
      <c r="B753" t="s">
        <v>210</v>
      </c>
      <c r="C753">
        <v>10</v>
      </c>
      <c r="D753" t="s">
        <v>211</v>
      </c>
      <c r="E753" s="6">
        <f t="shared" si="88"/>
        <v>13</v>
      </c>
      <c r="F753" s="6">
        <f t="shared" si="89"/>
        <v>23</v>
      </c>
      <c r="G753" s="6">
        <f>ROUND(Catalogue!G41*SQRT((1+Paramètres!$B$4*(C753-1)+Paramètres!$B$5*(C753-1)^2)),0)</f>
        <v>0</v>
      </c>
      <c r="H753" s="6">
        <f>ROUND(Catalogue!H41*SQRT((1+Paramètres!$B$4*(C753-1)+Paramètres!$B$5*(C753-1)^2)),0)</f>
        <v>0</v>
      </c>
      <c r="I753" s="6">
        <v>3</v>
      </c>
      <c r="J753" s="6">
        <v>2</v>
      </c>
      <c r="K753" s="7">
        <v>1.8</v>
      </c>
      <c r="L753" s="9">
        <f t="shared" si="90"/>
        <v>18</v>
      </c>
      <c r="M753">
        <v>2</v>
      </c>
      <c r="N753">
        <v>6</v>
      </c>
      <c r="O753">
        <v>11</v>
      </c>
      <c r="P753" s="13" t="str">
        <f t="shared" si="91"/>
        <v>2d6 + 11</v>
      </c>
      <c r="Q753">
        <f>ROUND(INDEX(Catalogue!E$4:E$85,MATCH(A753,Catalogue!A$4:A$85,0))*(1+Paramètres!$B$4*(C753-1)+Paramètres!$B$5*(C753-1)^2),0)</f>
        <v>13</v>
      </c>
      <c r="R753">
        <f>ROUND(INDEX(Catalogue!F$4:F$85,MATCH(A753,Catalogue!A$4:A$85,0))*(1+Paramètres!$B$4*(C753-1)+Paramètres!$B$5*(C753-1)^2),0)</f>
        <v>23</v>
      </c>
      <c r="S753">
        <f t="shared" si="92"/>
        <v>0</v>
      </c>
      <c r="T753" t="str">
        <f t="shared" si="93"/>
        <v>OK</v>
      </c>
      <c r="U753" s="25">
        <f t="shared" si="94"/>
        <v>18</v>
      </c>
      <c r="V753" t="str">
        <f t="shared" si="95"/>
        <v>OK</v>
      </c>
    </row>
    <row r="754" spans="1:22" ht="18" customHeight="1">
      <c r="A754" t="s">
        <v>209</v>
      </c>
      <c r="B754" t="s">
        <v>210</v>
      </c>
      <c r="C754">
        <v>11</v>
      </c>
      <c r="D754" t="s">
        <v>211</v>
      </c>
      <c r="E754" s="6">
        <f t="shared" si="88"/>
        <v>15</v>
      </c>
      <c r="F754" s="6">
        <f t="shared" si="89"/>
        <v>26</v>
      </c>
      <c r="G754" s="6">
        <f>ROUND(Catalogue!G41*SQRT((1+Paramètres!$B$4*(C754-1)+Paramètres!$B$5*(C754-1)^2)),0)</f>
        <v>0</v>
      </c>
      <c r="H754" s="6">
        <f>ROUND(Catalogue!H41*SQRT((1+Paramètres!$B$4*(C754-1)+Paramètres!$B$5*(C754-1)^2)),0)</f>
        <v>0</v>
      </c>
      <c r="I754" s="6">
        <v>3</v>
      </c>
      <c r="J754" s="6">
        <v>2</v>
      </c>
      <c r="K754" s="7">
        <v>1.8</v>
      </c>
      <c r="L754" s="9">
        <f t="shared" si="90"/>
        <v>20.5</v>
      </c>
      <c r="M754">
        <v>1</v>
      </c>
      <c r="N754">
        <v>12</v>
      </c>
      <c r="O754">
        <v>14</v>
      </c>
      <c r="P754" s="13" t="str">
        <f t="shared" si="91"/>
        <v>1d12 + 14</v>
      </c>
      <c r="Q754">
        <f>ROUND(INDEX(Catalogue!E$4:E$85,MATCH(A754,Catalogue!A$4:A$85,0))*(1+Paramètres!$B$4*(C754-1)+Paramètres!$B$5*(C754-1)^2),0)</f>
        <v>15</v>
      </c>
      <c r="R754">
        <f>ROUND(INDEX(Catalogue!F$4:F$85,MATCH(A754,Catalogue!A$4:A$85,0))*(1+Paramètres!$B$4*(C754-1)+Paramètres!$B$5*(C754-1)^2),0)</f>
        <v>26</v>
      </c>
      <c r="S754">
        <f t="shared" si="92"/>
        <v>0</v>
      </c>
      <c r="T754" t="str">
        <f t="shared" si="93"/>
        <v>OK</v>
      </c>
      <c r="U754" s="25">
        <f t="shared" si="94"/>
        <v>20.5</v>
      </c>
      <c r="V754" t="str">
        <f t="shared" si="95"/>
        <v>OK</v>
      </c>
    </row>
    <row r="755" spans="1:22" ht="18" customHeight="1">
      <c r="A755" t="s">
        <v>209</v>
      </c>
      <c r="B755" t="s">
        <v>210</v>
      </c>
      <c r="C755">
        <v>12</v>
      </c>
      <c r="D755" t="s">
        <v>211</v>
      </c>
      <c r="E755" s="6">
        <f t="shared" si="88"/>
        <v>17</v>
      </c>
      <c r="F755" s="6">
        <f t="shared" si="89"/>
        <v>28</v>
      </c>
      <c r="G755" s="6">
        <f>ROUND(Catalogue!G41*SQRT((1+Paramètres!$B$4*(C755-1)+Paramètres!$B$5*(C755-1)^2)),0)</f>
        <v>0</v>
      </c>
      <c r="H755" s="6">
        <f>ROUND(Catalogue!H41*SQRT((1+Paramètres!$B$4*(C755-1)+Paramètres!$B$5*(C755-1)^2)),0)</f>
        <v>0</v>
      </c>
      <c r="I755" s="6">
        <v>3</v>
      </c>
      <c r="J755" s="6">
        <v>2</v>
      </c>
      <c r="K755" s="7">
        <v>1.8</v>
      </c>
      <c r="L755" s="9">
        <f t="shared" si="90"/>
        <v>22.5</v>
      </c>
      <c r="M755">
        <v>1</v>
      </c>
      <c r="N755">
        <v>12</v>
      </c>
      <c r="O755">
        <v>16</v>
      </c>
      <c r="P755" s="13" t="str">
        <f t="shared" si="91"/>
        <v>1d12 + 16</v>
      </c>
      <c r="Q755">
        <f>ROUND(INDEX(Catalogue!E$4:E$85,MATCH(A755,Catalogue!A$4:A$85,0))*(1+Paramètres!$B$4*(C755-1)+Paramètres!$B$5*(C755-1)^2),0)</f>
        <v>17</v>
      </c>
      <c r="R755">
        <f>ROUND(INDEX(Catalogue!F$4:F$85,MATCH(A755,Catalogue!A$4:A$85,0))*(1+Paramètres!$B$4*(C755-1)+Paramètres!$B$5*(C755-1)^2),0)</f>
        <v>29</v>
      </c>
      <c r="S755">
        <f t="shared" si="92"/>
        <v>-0.5</v>
      </c>
      <c r="T755" t="str">
        <f t="shared" si="93"/>
        <v>OK</v>
      </c>
      <c r="U755" s="25">
        <f t="shared" si="94"/>
        <v>22.5</v>
      </c>
      <c r="V755" t="str">
        <f t="shared" si="95"/>
        <v>OK</v>
      </c>
    </row>
    <row r="756" spans="1:22" ht="18" customHeight="1">
      <c r="A756" t="s">
        <v>209</v>
      </c>
      <c r="B756" t="s">
        <v>210</v>
      </c>
      <c r="C756">
        <v>13</v>
      </c>
      <c r="D756" t="s">
        <v>211</v>
      </c>
      <c r="E756" s="6">
        <f t="shared" si="88"/>
        <v>18</v>
      </c>
      <c r="F756" s="6">
        <f t="shared" si="89"/>
        <v>32</v>
      </c>
      <c r="G756" s="6">
        <f>ROUND(Catalogue!G41*SQRT((1+Paramètres!$B$4*(C756-1)+Paramètres!$B$5*(C756-1)^2)),0)</f>
        <v>0</v>
      </c>
      <c r="H756" s="6">
        <f>ROUND(Catalogue!H41*SQRT((1+Paramètres!$B$4*(C756-1)+Paramètres!$B$5*(C756-1)^2)),0)</f>
        <v>0</v>
      </c>
      <c r="I756" s="6">
        <v>3</v>
      </c>
      <c r="J756" s="6">
        <v>2</v>
      </c>
      <c r="K756" s="7">
        <v>1.8</v>
      </c>
      <c r="L756" s="9">
        <f t="shared" si="90"/>
        <v>25</v>
      </c>
      <c r="M756">
        <v>2</v>
      </c>
      <c r="N756">
        <v>8</v>
      </c>
      <c r="O756">
        <v>16</v>
      </c>
      <c r="P756" s="13" t="str">
        <f t="shared" si="91"/>
        <v>2d8 + 16</v>
      </c>
      <c r="Q756">
        <f>ROUND(INDEX(Catalogue!E$4:E$85,MATCH(A756,Catalogue!A$4:A$85,0))*(1+Paramètres!$B$4*(C756-1)+Paramètres!$B$5*(C756-1)^2),0)</f>
        <v>18</v>
      </c>
      <c r="R756">
        <f>ROUND(INDEX(Catalogue!F$4:F$85,MATCH(A756,Catalogue!A$4:A$85,0))*(1+Paramètres!$B$4*(C756-1)+Paramètres!$B$5*(C756-1)^2),0)</f>
        <v>32</v>
      </c>
      <c r="S756">
        <f t="shared" si="92"/>
        <v>0</v>
      </c>
      <c r="T756" t="str">
        <f t="shared" si="93"/>
        <v>OK</v>
      </c>
      <c r="U756" s="25">
        <f t="shared" si="94"/>
        <v>25</v>
      </c>
      <c r="V756" t="str">
        <f t="shared" si="95"/>
        <v>OK</v>
      </c>
    </row>
    <row r="757" spans="1:22" ht="18" customHeight="1">
      <c r="A757" t="s">
        <v>209</v>
      </c>
      <c r="B757" t="s">
        <v>210</v>
      </c>
      <c r="C757">
        <v>14</v>
      </c>
      <c r="D757" t="s">
        <v>211</v>
      </c>
      <c r="E757" s="6">
        <f t="shared" si="88"/>
        <v>21</v>
      </c>
      <c r="F757" s="6">
        <f t="shared" si="89"/>
        <v>36</v>
      </c>
      <c r="G757" s="6">
        <f>ROUND(Catalogue!G41*SQRT((1+Paramètres!$B$4*(C757-1)+Paramètres!$B$5*(C757-1)^2)),0)</f>
        <v>0</v>
      </c>
      <c r="H757" s="6">
        <f>ROUND(Catalogue!H41*SQRT((1+Paramètres!$B$4*(C757-1)+Paramètres!$B$5*(C757-1)^2)),0)</f>
        <v>0</v>
      </c>
      <c r="I757" s="6">
        <v>3</v>
      </c>
      <c r="J757" s="6">
        <v>2</v>
      </c>
      <c r="K757" s="7">
        <v>1.8</v>
      </c>
      <c r="L757" s="9">
        <f t="shared" si="90"/>
        <v>28.5</v>
      </c>
      <c r="M757">
        <v>3</v>
      </c>
      <c r="N757">
        <v>6</v>
      </c>
      <c r="O757">
        <v>18</v>
      </c>
      <c r="P757" s="13" t="str">
        <f t="shared" si="91"/>
        <v>3d6 + 18</v>
      </c>
      <c r="Q757">
        <f>ROUND(INDEX(Catalogue!E$4:E$85,MATCH(A757,Catalogue!A$4:A$85,0))*(1+Paramètres!$B$4*(C757-1)+Paramètres!$B$5*(C757-1)^2),0)</f>
        <v>21</v>
      </c>
      <c r="R757">
        <f>ROUND(INDEX(Catalogue!F$4:F$85,MATCH(A757,Catalogue!A$4:A$85,0))*(1+Paramètres!$B$4*(C757-1)+Paramètres!$B$5*(C757-1)^2),0)</f>
        <v>36</v>
      </c>
      <c r="S757">
        <f t="shared" si="92"/>
        <v>0</v>
      </c>
      <c r="T757" t="str">
        <f t="shared" si="93"/>
        <v>OK</v>
      </c>
      <c r="U757" s="25">
        <f t="shared" si="94"/>
        <v>28.5</v>
      </c>
      <c r="V757" t="str">
        <f t="shared" si="95"/>
        <v>OK</v>
      </c>
    </row>
    <row r="758" spans="1:22" ht="18" customHeight="1">
      <c r="A758" t="s">
        <v>209</v>
      </c>
      <c r="B758" t="s">
        <v>210</v>
      </c>
      <c r="C758">
        <v>15</v>
      </c>
      <c r="D758" t="s">
        <v>211</v>
      </c>
      <c r="E758" s="6">
        <f t="shared" si="88"/>
        <v>22</v>
      </c>
      <c r="F758" s="6">
        <f t="shared" si="89"/>
        <v>40</v>
      </c>
      <c r="G758" s="6">
        <f>ROUND(Catalogue!G41*SQRT((1+Paramètres!$B$4*(C758-1)+Paramètres!$B$5*(C758-1)^2)),0)</f>
        <v>0</v>
      </c>
      <c r="H758" s="6">
        <f>ROUND(Catalogue!H41*SQRT((1+Paramètres!$B$4*(C758-1)+Paramètres!$B$5*(C758-1)^2)),0)</f>
        <v>0</v>
      </c>
      <c r="I758" s="6">
        <v>3</v>
      </c>
      <c r="J758" s="6">
        <v>2</v>
      </c>
      <c r="K758" s="7">
        <v>1.8</v>
      </c>
      <c r="L758" s="9">
        <f t="shared" si="90"/>
        <v>31</v>
      </c>
      <c r="M758">
        <v>2</v>
      </c>
      <c r="N758">
        <v>10</v>
      </c>
      <c r="O758">
        <v>20</v>
      </c>
      <c r="P758" s="13" t="str">
        <f t="shared" si="91"/>
        <v>2d10 + 20</v>
      </c>
      <c r="Q758">
        <f>ROUND(INDEX(Catalogue!E$4:E$85,MATCH(A758,Catalogue!A$4:A$85,0))*(1+Paramètres!$B$4*(C758-1)+Paramètres!$B$5*(C758-1)^2),0)</f>
        <v>23</v>
      </c>
      <c r="R758">
        <f>ROUND(INDEX(Catalogue!F$4:F$85,MATCH(A758,Catalogue!A$4:A$85,0))*(1+Paramètres!$B$4*(C758-1)+Paramètres!$B$5*(C758-1)^2),0)</f>
        <v>40</v>
      </c>
      <c r="S758">
        <f t="shared" si="92"/>
        <v>-0.5</v>
      </c>
      <c r="T758" t="str">
        <f t="shared" si="93"/>
        <v>OK</v>
      </c>
      <c r="U758" s="25">
        <f t="shared" si="94"/>
        <v>31</v>
      </c>
      <c r="V758" t="str">
        <f t="shared" si="95"/>
        <v>OK</v>
      </c>
    </row>
    <row r="759" spans="1:22" ht="18" customHeight="1">
      <c r="A759" t="s">
        <v>209</v>
      </c>
      <c r="B759" t="s">
        <v>210</v>
      </c>
      <c r="C759">
        <v>16</v>
      </c>
      <c r="D759" t="s">
        <v>211</v>
      </c>
      <c r="E759" s="6">
        <f t="shared" si="88"/>
        <v>26</v>
      </c>
      <c r="F759" s="6">
        <f t="shared" si="89"/>
        <v>44</v>
      </c>
      <c r="G759" s="6">
        <f>ROUND(Catalogue!G41*SQRT((1+Paramètres!$B$4*(C759-1)+Paramètres!$B$5*(C759-1)^2)),0)</f>
        <v>0</v>
      </c>
      <c r="H759" s="6">
        <f>ROUND(Catalogue!H41*SQRT((1+Paramètres!$B$4*(C759-1)+Paramètres!$B$5*(C759-1)^2)),0)</f>
        <v>0</v>
      </c>
      <c r="I759" s="6">
        <v>3</v>
      </c>
      <c r="J759" s="6">
        <v>2</v>
      </c>
      <c r="K759" s="7">
        <v>1.8</v>
      </c>
      <c r="L759" s="9">
        <f t="shared" si="90"/>
        <v>35</v>
      </c>
      <c r="M759">
        <v>2</v>
      </c>
      <c r="N759">
        <v>10</v>
      </c>
      <c r="O759">
        <v>24</v>
      </c>
      <c r="P759" s="13" t="str">
        <f t="shared" si="91"/>
        <v>2d10 + 24</v>
      </c>
      <c r="Q759">
        <f>ROUND(INDEX(Catalogue!E$4:E$85,MATCH(A759,Catalogue!A$4:A$85,0))*(1+Paramètres!$B$4*(C759-1)+Paramètres!$B$5*(C759-1)^2),0)</f>
        <v>25</v>
      </c>
      <c r="R759">
        <f>ROUND(INDEX(Catalogue!F$4:F$85,MATCH(A759,Catalogue!A$4:A$85,0))*(1+Paramètres!$B$4*(C759-1)+Paramètres!$B$5*(C759-1)^2),0)</f>
        <v>44</v>
      </c>
      <c r="S759">
        <f t="shared" si="92"/>
        <v>0.5</v>
      </c>
      <c r="T759" t="str">
        <f t="shared" si="93"/>
        <v>OK</v>
      </c>
      <c r="U759" s="25">
        <f t="shared" si="94"/>
        <v>35</v>
      </c>
      <c r="V759" t="str">
        <f t="shared" si="95"/>
        <v>OK</v>
      </c>
    </row>
    <row r="760" spans="1:22" ht="18" customHeight="1">
      <c r="A760" t="s">
        <v>209</v>
      </c>
      <c r="B760" t="s">
        <v>210</v>
      </c>
      <c r="C760">
        <v>17</v>
      </c>
      <c r="D760" t="s">
        <v>211</v>
      </c>
      <c r="E760" s="6">
        <f t="shared" si="88"/>
        <v>27</v>
      </c>
      <c r="F760" s="6">
        <f t="shared" si="89"/>
        <v>48</v>
      </c>
      <c r="G760" s="6">
        <f>ROUND(Catalogue!G41*SQRT((1+Paramètres!$B$4*(C760-1)+Paramètres!$B$5*(C760-1)^2)),0)</f>
        <v>0</v>
      </c>
      <c r="H760" s="6">
        <f>ROUND(Catalogue!H41*SQRT((1+Paramètres!$B$4*(C760-1)+Paramètres!$B$5*(C760-1)^2)),0)</f>
        <v>0</v>
      </c>
      <c r="I760" s="6">
        <v>3</v>
      </c>
      <c r="J760" s="6">
        <v>2</v>
      </c>
      <c r="K760" s="7">
        <v>1.8</v>
      </c>
      <c r="L760" s="9">
        <f t="shared" si="90"/>
        <v>37.5</v>
      </c>
      <c r="M760">
        <v>3</v>
      </c>
      <c r="N760">
        <v>8</v>
      </c>
      <c r="O760">
        <v>24</v>
      </c>
      <c r="P760" s="13" t="str">
        <f t="shared" si="91"/>
        <v>3d8 + 24</v>
      </c>
      <c r="Q760">
        <f>ROUND(INDEX(Catalogue!E$4:E$85,MATCH(A760,Catalogue!A$4:A$85,0))*(1+Paramètres!$B$4*(C760-1)+Paramètres!$B$5*(C760-1)^2),0)</f>
        <v>27</v>
      </c>
      <c r="R760">
        <f>ROUND(INDEX(Catalogue!F$4:F$85,MATCH(A760,Catalogue!A$4:A$85,0))*(1+Paramètres!$B$4*(C760-1)+Paramètres!$B$5*(C760-1)^2),0)</f>
        <v>48</v>
      </c>
      <c r="S760">
        <f t="shared" si="92"/>
        <v>0</v>
      </c>
      <c r="T760" t="str">
        <f t="shared" si="93"/>
        <v>OK</v>
      </c>
      <c r="U760" s="25">
        <f t="shared" si="94"/>
        <v>37.5</v>
      </c>
      <c r="V760" t="str">
        <f t="shared" si="95"/>
        <v>OK</v>
      </c>
    </row>
    <row r="761" spans="1:22" ht="18" customHeight="1">
      <c r="A761" t="s">
        <v>209</v>
      </c>
      <c r="B761" t="s">
        <v>210</v>
      </c>
      <c r="C761">
        <v>18</v>
      </c>
      <c r="D761" t="s">
        <v>211</v>
      </c>
      <c r="E761" s="6">
        <f t="shared" si="88"/>
        <v>30</v>
      </c>
      <c r="F761" s="6">
        <f t="shared" si="89"/>
        <v>52</v>
      </c>
      <c r="G761" s="6">
        <f>ROUND(Catalogue!G41*SQRT((1+Paramètres!$B$4*(C761-1)+Paramètres!$B$5*(C761-1)^2)),0)</f>
        <v>0</v>
      </c>
      <c r="H761" s="6">
        <f>ROUND(Catalogue!H41*SQRT((1+Paramètres!$B$4*(C761-1)+Paramètres!$B$5*(C761-1)^2)),0)</f>
        <v>0</v>
      </c>
      <c r="I761" s="6">
        <v>3</v>
      </c>
      <c r="J761" s="6">
        <v>2</v>
      </c>
      <c r="K761" s="7">
        <v>1.8</v>
      </c>
      <c r="L761" s="9">
        <f t="shared" si="90"/>
        <v>41</v>
      </c>
      <c r="M761">
        <v>2</v>
      </c>
      <c r="N761">
        <v>12</v>
      </c>
      <c r="O761">
        <v>28</v>
      </c>
      <c r="P761" s="13" t="str">
        <f t="shared" si="91"/>
        <v>2d12 + 28</v>
      </c>
      <c r="Q761">
        <f>ROUND(INDEX(Catalogue!E$4:E$85,MATCH(A761,Catalogue!A$4:A$85,0))*(1+Paramètres!$B$4*(C761-1)+Paramètres!$B$5*(C761-1)^2),0)</f>
        <v>30</v>
      </c>
      <c r="R761">
        <f>ROUND(INDEX(Catalogue!F$4:F$85,MATCH(A761,Catalogue!A$4:A$85,0))*(1+Paramètres!$B$4*(C761-1)+Paramètres!$B$5*(C761-1)^2),0)</f>
        <v>52</v>
      </c>
      <c r="S761">
        <f t="shared" si="92"/>
        <v>0</v>
      </c>
      <c r="T761" t="str">
        <f t="shared" si="93"/>
        <v>OK</v>
      </c>
      <c r="U761" s="25">
        <f t="shared" si="94"/>
        <v>41</v>
      </c>
      <c r="V761" t="str">
        <f t="shared" si="95"/>
        <v>OK</v>
      </c>
    </row>
    <row r="762" spans="1:22" ht="18" customHeight="1">
      <c r="A762" t="s">
        <v>209</v>
      </c>
      <c r="B762" t="s">
        <v>210</v>
      </c>
      <c r="C762">
        <v>19</v>
      </c>
      <c r="D762" t="s">
        <v>211</v>
      </c>
      <c r="E762" s="6">
        <f t="shared" si="88"/>
        <v>32</v>
      </c>
      <c r="F762" s="6">
        <f t="shared" si="89"/>
        <v>57</v>
      </c>
      <c r="G762" s="6">
        <f>ROUND(Catalogue!G41*SQRT((1+Paramètres!$B$4*(C762-1)+Paramètres!$B$5*(C762-1)^2)),0)</f>
        <v>0</v>
      </c>
      <c r="H762" s="6">
        <f>ROUND(Catalogue!H41*SQRT((1+Paramètres!$B$4*(C762-1)+Paramètres!$B$5*(C762-1)^2)),0)</f>
        <v>0</v>
      </c>
      <c r="I762" s="6">
        <v>3</v>
      </c>
      <c r="J762" s="6">
        <v>2</v>
      </c>
      <c r="K762" s="7">
        <v>1.8</v>
      </c>
      <c r="L762" s="9">
        <f t="shared" si="90"/>
        <v>44.5</v>
      </c>
      <c r="M762">
        <v>5</v>
      </c>
      <c r="N762">
        <v>6</v>
      </c>
      <c r="O762">
        <v>27</v>
      </c>
      <c r="P762" s="13" t="str">
        <f t="shared" si="91"/>
        <v>5d6 + 27</v>
      </c>
      <c r="Q762">
        <f>ROUND(INDEX(Catalogue!E$4:E$85,MATCH(A762,Catalogue!A$4:A$85,0))*(1+Paramètres!$B$4*(C762-1)+Paramètres!$B$5*(C762-1)^2),0)</f>
        <v>33</v>
      </c>
      <c r="R762">
        <f>ROUND(INDEX(Catalogue!F$4:F$85,MATCH(A762,Catalogue!A$4:A$85,0))*(1+Paramètres!$B$4*(C762-1)+Paramètres!$B$5*(C762-1)^2),0)</f>
        <v>57</v>
      </c>
      <c r="S762">
        <f t="shared" si="92"/>
        <v>-0.5</v>
      </c>
      <c r="T762" t="str">
        <f t="shared" si="93"/>
        <v>OK</v>
      </c>
      <c r="U762" s="25">
        <f t="shared" si="94"/>
        <v>44.5</v>
      </c>
      <c r="V762" t="str">
        <f t="shared" si="95"/>
        <v>OK</v>
      </c>
    </row>
    <row r="763" spans="1:22" ht="18" customHeight="1">
      <c r="A763" t="s">
        <v>209</v>
      </c>
      <c r="B763" t="s">
        <v>210</v>
      </c>
      <c r="C763">
        <v>20</v>
      </c>
      <c r="D763" t="s">
        <v>211</v>
      </c>
      <c r="E763" s="6">
        <f t="shared" si="88"/>
        <v>35</v>
      </c>
      <c r="F763" s="6">
        <f t="shared" si="89"/>
        <v>62</v>
      </c>
      <c r="G763" s="6">
        <f>ROUND(Catalogue!G41*SQRT((1+Paramètres!$B$4*(C763-1)+Paramètres!$B$5*(C763-1)^2)),0)</f>
        <v>0</v>
      </c>
      <c r="H763" s="6">
        <f>ROUND(Catalogue!H41*SQRT((1+Paramètres!$B$4*(C763-1)+Paramètres!$B$5*(C763-1)^2)),0)</f>
        <v>0</v>
      </c>
      <c r="I763" s="6">
        <v>3</v>
      </c>
      <c r="J763" s="6">
        <v>2</v>
      </c>
      <c r="K763" s="7">
        <v>1.8</v>
      </c>
      <c r="L763" s="9">
        <f t="shared" si="90"/>
        <v>48.5</v>
      </c>
      <c r="M763">
        <v>3</v>
      </c>
      <c r="N763">
        <v>10</v>
      </c>
      <c r="O763">
        <v>32</v>
      </c>
      <c r="P763" s="13" t="str">
        <f t="shared" si="91"/>
        <v>3d10 + 32</v>
      </c>
      <c r="Q763">
        <f>ROUND(INDEX(Catalogue!E$4:E$85,MATCH(A763,Catalogue!A$4:A$85,0))*(1+Paramètres!$B$4*(C763-1)+Paramètres!$B$5*(C763-1)^2),0)</f>
        <v>35</v>
      </c>
      <c r="R763">
        <f>ROUND(INDEX(Catalogue!F$4:F$85,MATCH(A763,Catalogue!A$4:A$85,0))*(1+Paramètres!$B$4*(C763-1)+Paramètres!$B$5*(C763-1)^2),0)</f>
        <v>62</v>
      </c>
      <c r="S763">
        <f t="shared" si="92"/>
        <v>0</v>
      </c>
      <c r="T763" t="str">
        <f t="shared" si="93"/>
        <v>OK</v>
      </c>
      <c r="U763" s="25">
        <f t="shared" si="94"/>
        <v>48.5</v>
      </c>
      <c r="V763" t="str">
        <f t="shared" si="95"/>
        <v>OK</v>
      </c>
    </row>
    <row r="764" spans="1:22" ht="18" customHeight="1">
      <c r="A764" t="s">
        <v>216</v>
      </c>
      <c r="B764" t="s">
        <v>217</v>
      </c>
      <c r="C764">
        <v>1</v>
      </c>
      <c r="D764" t="s">
        <v>211</v>
      </c>
      <c r="E764" s="6">
        <f t="shared" si="88"/>
        <v>4</v>
      </c>
      <c r="F764" s="6">
        <f t="shared" si="89"/>
        <v>9</v>
      </c>
      <c r="G764" s="6">
        <f>ROUND(Catalogue!G42*SQRT((1+Paramètres!$B$4*(C764-1)+Paramètres!$B$5*(C764-1)^2)),0)</f>
        <v>0</v>
      </c>
      <c r="H764" s="6">
        <f>ROUND(Catalogue!H42*SQRT((1+Paramètres!$B$4*(C764-1)+Paramètres!$B$5*(C764-1)^2)),0)</f>
        <v>0</v>
      </c>
      <c r="I764" s="6">
        <v>3</v>
      </c>
      <c r="J764" s="6">
        <v>2</v>
      </c>
      <c r="K764" s="7">
        <v>2.6</v>
      </c>
      <c r="L764" s="9">
        <f t="shared" si="90"/>
        <v>6.5</v>
      </c>
      <c r="M764">
        <v>1</v>
      </c>
      <c r="N764">
        <v>6</v>
      </c>
      <c r="O764">
        <v>3</v>
      </c>
      <c r="P764" s="13" t="str">
        <f t="shared" si="91"/>
        <v>1d6 + 3</v>
      </c>
      <c r="Q764">
        <f>ROUND(INDEX(Catalogue!E$4:E$85,MATCH(A764,Catalogue!A$4:A$85,0))*(1+Paramètres!$B$4*(C764-1)+Paramètres!$B$5*(C764-1)^2),0)</f>
        <v>5</v>
      </c>
      <c r="R764">
        <f>ROUND(INDEX(Catalogue!F$4:F$85,MATCH(A764,Catalogue!A$4:A$85,0))*(1+Paramètres!$B$4*(C764-1)+Paramètres!$B$5*(C764-1)^2),0)</f>
        <v>9</v>
      </c>
      <c r="S764">
        <f t="shared" si="92"/>
        <v>-0.5</v>
      </c>
      <c r="T764" t="str">
        <f t="shared" si="93"/>
        <v>OK</v>
      </c>
      <c r="U764" s="25">
        <f t="shared" si="94"/>
        <v>6.5</v>
      </c>
      <c r="V764" t="str">
        <f t="shared" si="95"/>
        <v>OK</v>
      </c>
    </row>
    <row r="765" spans="1:22" ht="18" customHeight="1">
      <c r="A765" t="s">
        <v>216</v>
      </c>
      <c r="B765" t="s">
        <v>217</v>
      </c>
      <c r="C765">
        <v>2</v>
      </c>
      <c r="D765" t="s">
        <v>211</v>
      </c>
      <c r="E765" s="6">
        <f t="shared" si="88"/>
        <v>5</v>
      </c>
      <c r="F765" s="6">
        <f t="shared" si="89"/>
        <v>10</v>
      </c>
      <c r="G765" s="6">
        <f>ROUND(Catalogue!G42*SQRT((1+Paramètres!$B$4*(C765-1)+Paramètres!$B$5*(C765-1)^2)),0)</f>
        <v>0</v>
      </c>
      <c r="H765" s="6">
        <f>ROUND(Catalogue!H42*SQRT((1+Paramètres!$B$4*(C765-1)+Paramètres!$B$5*(C765-1)^2)),0)</f>
        <v>0</v>
      </c>
      <c r="I765" s="6">
        <v>3</v>
      </c>
      <c r="J765" s="6">
        <v>2</v>
      </c>
      <c r="K765" s="7">
        <v>2.6</v>
      </c>
      <c r="L765" s="9">
        <f t="shared" si="90"/>
        <v>7.5</v>
      </c>
      <c r="M765">
        <v>1</v>
      </c>
      <c r="N765">
        <v>6</v>
      </c>
      <c r="O765">
        <v>4</v>
      </c>
      <c r="P765" s="13" t="str">
        <f t="shared" si="91"/>
        <v>1d6 + 4</v>
      </c>
      <c r="Q765">
        <f>ROUND(INDEX(Catalogue!E$4:E$85,MATCH(A765,Catalogue!A$4:A$85,0))*(1+Paramètres!$B$4*(C765-1)+Paramètres!$B$5*(C765-1)^2),0)</f>
        <v>6</v>
      </c>
      <c r="R765">
        <f>ROUND(INDEX(Catalogue!F$4:F$85,MATCH(A765,Catalogue!A$4:A$85,0))*(1+Paramètres!$B$4*(C765-1)+Paramètres!$B$5*(C765-1)^2),0)</f>
        <v>10</v>
      </c>
      <c r="S765">
        <f t="shared" si="92"/>
        <v>-0.5</v>
      </c>
      <c r="T765" t="str">
        <f t="shared" si="93"/>
        <v>OK</v>
      </c>
      <c r="U765" s="25">
        <f t="shared" si="94"/>
        <v>7.5</v>
      </c>
      <c r="V765" t="str">
        <f t="shared" si="95"/>
        <v>OK</v>
      </c>
    </row>
    <row r="766" spans="1:22" ht="18" customHeight="1">
      <c r="A766" t="s">
        <v>216</v>
      </c>
      <c r="B766" t="s">
        <v>217</v>
      </c>
      <c r="C766">
        <v>3</v>
      </c>
      <c r="D766" t="s">
        <v>211</v>
      </c>
      <c r="E766" s="6">
        <f t="shared" si="88"/>
        <v>6</v>
      </c>
      <c r="F766" s="6">
        <f t="shared" si="89"/>
        <v>11</v>
      </c>
      <c r="G766" s="6">
        <f>ROUND(Catalogue!G42*SQRT((1+Paramètres!$B$4*(C766-1)+Paramètres!$B$5*(C766-1)^2)),0)</f>
        <v>0</v>
      </c>
      <c r="H766" s="6">
        <f>ROUND(Catalogue!H42*SQRT((1+Paramètres!$B$4*(C766-1)+Paramètres!$B$5*(C766-1)^2)),0)</f>
        <v>0</v>
      </c>
      <c r="I766" s="6">
        <v>3</v>
      </c>
      <c r="J766" s="6">
        <v>2</v>
      </c>
      <c r="K766" s="7">
        <v>2.6</v>
      </c>
      <c r="L766" s="9">
        <f t="shared" si="90"/>
        <v>8.5</v>
      </c>
      <c r="M766">
        <v>1</v>
      </c>
      <c r="N766">
        <v>6</v>
      </c>
      <c r="O766">
        <v>5</v>
      </c>
      <c r="P766" s="13" t="str">
        <f t="shared" si="91"/>
        <v>1d6 + 5</v>
      </c>
      <c r="Q766">
        <f>ROUND(INDEX(Catalogue!E$4:E$85,MATCH(A766,Catalogue!A$4:A$85,0))*(1+Paramètres!$B$4*(C766-1)+Paramètres!$B$5*(C766-1)^2),0)</f>
        <v>6</v>
      </c>
      <c r="R766">
        <f>ROUND(INDEX(Catalogue!F$4:F$85,MATCH(A766,Catalogue!A$4:A$85,0))*(1+Paramètres!$B$4*(C766-1)+Paramètres!$B$5*(C766-1)^2),0)</f>
        <v>12</v>
      </c>
      <c r="S766">
        <f t="shared" si="92"/>
        <v>-0.5</v>
      </c>
      <c r="T766" t="str">
        <f t="shared" si="93"/>
        <v>OK</v>
      </c>
      <c r="U766" s="25">
        <f t="shared" si="94"/>
        <v>8.5</v>
      </c>
      <c r="V766" t="str">
        <f t="shared" si="95"/>
        <v>OK</v>
      </c>
    </row>
    <row r="767" spans="1:22" ht="18" customHeight="1">
      <c r="A767" t="s">
        <v>216</v>
      </c>
      <c r="B767" t="s">
        <v>217</v>
      </c>
      <c r="C767">
        <v>4</v>
      </c>
      <c r="D767" t="s">
        <v>211</v>
      </c>
      <c r="E767" s="6">
        <f t="shared" si="88"/>
        <v>7</v>
      </c>
      <c r="F767" s="6">
        <f t="shared" si="89"/>
        <v>12</v>
      </c>
      <c r="G767" s="6">
        <f>ROUND(Catalogue!G42*SQRT((1+Paramètres!$B$4*(C767-1)+Paramètres!$B$5*(C767-1)^2)),0)</f>
        <v>0</v>
      </c>
      <c r="H767" s="6">
        <f>ROUND(Catalogue!H42*SQRT((1+Paramètres!$B$4*(C767-1)+Paramètres!$B$5*(C767-1)^2)),0)</f>
        <v>0</v>
      </c>
      <c r="I767" s="6">
        <v>3</v>
      </c>
      <c r="J767" s="6">
        <v>2</v>
      </c>
      <c r="K767" s="7">
        <v>2.6</v>
      </c>
      <c r="L767" s="9">
        <f t="shared" si="90"/>
        <v>9.5</v>
      </c>
      <c r="M767">
        <v>1</v>
      </c>
      <c r="N767">
        <v>6</v>
      </c>
      <c r="O767">
        <v>6</v>
      </c>
      <c r="P767" s="13" t="str">
        <f t="shared" si="91"/>
        <v>1d6 + 6</v>
      </c>
      <c r="Q767">
        <f>ROUND(INDEX(Catalogue!E$4:E$85,MATCH(A767,Catalogue!A$4:A$85,0))*(1+Paramètres!$B$4*(C767-1)+Paramètres!$B$5*(C767-1)^2),0)</f>
        <v>7</v>
      </c>
      <c r="R767">
        <f>ROUND(INDEX(Catalogue!F$4:F$85,MATCH(A767,Catalogue!A$4:A$85,0))*(1+Paramètres!$B$4*(C767-1)+Paramètres!$B$5*(C767-1)^2),0)</f>
        <v>13</v>
      </c>
      <c r="S767">
        <f t="shared" si="92"/>
        <v>-0.5</v>
      </c>
      <c r="T767" t="str">
        <f t="shared" si="93"/>
        <v>OK</v>
      </c>
      <c r="U767" s="25">
        <f t="shared" si="94"/>
        <v>9.5</v>
      </c>
      <c r="V767" t="str">
        <f t="shared" si="95"/>
        <v>OK</v>
      </c>
    </row>
    <row r="768" spans="1:22" ht="18" customHeight="1">
      <c r="A768" t="s">
        <v>216</v>
      </c>
      <c r="B768" t="s">
        <v>217</v>
      </c>
      <c r="C768">
        <v>5</v>
      </c>
      <c r="D768" t="s">
        <v>211</v>
      </c>
      <c r="E768" s="6">
        <f t="shared" si="88"/>
        <v>8</v>
      </c>
      <c r="F768" s="6">
        <f t="shared" si="89"/>
        <v>15</v>
      </c>
      <c r="G768" s="6">
        <f>ROUND(Catalogue!G42*SQRT((1+Paramètres!$B$4*(C768-1)+Paramètres!$B$5*(C768-1)^2)),0)</f>
        <v>0</v>
      </c>
      <c r="H768" s="6">
        <f>ROUND(Catalogue!H42*SQRT((1+Paramètres!$B$4*(C768-1)+Paramètres!$B$5*(C768-1)^2)),0)</f>
        <v>0</v>
      </c>
      <c r="I768" s="6">
        <v>3</v>
      </c>
      <c r="J768" s="6">
        <v>2</v>
      </c>
      <c r="K768" s="7">
        <v>2.6</v>
      </c>
      <c r="L768" s="9">
        <f t="shared" si="90"/>
        <v>11.5</v>
      </c>
      <c r="M768">
        <v>1</v>
      </c>
      <c r="N768">
        <v>8</v>
      </c>
      <c r="O768">
        <v>7</v>
      </c>
      <c r="P768" s="13" t="str">
        <f t="shared" si="91"/>
        <v>1d8 + 7</v>
      </c>
      <c r="Q768">
        <f>ROUND(INDEX(Catalogue!E$4:E$85,MATCH(A768,Catalogue!A$4:A$85,0))*(1+Paramètres!$B$4*(C768-1)+Paramètres!$B$5*(C768-1)^2),0)</f>
        <v>8</v>
      </c>
      <c r="R768">
        <f>ROUND(INDEX(Catalogue!F$4:F$85,MATCH(A768,Catalogue!A$4:A$85,0))*(1+Paramètres!$B$4*(C768-1)+Paramètres!$B$5*(C768-1)^2),0)</f>
        <v>15</v>
      </c>
      <c r="S768">
        <f t="shared" si="92"/>
        <v>0</v>
      </c>
      <c r="T768" t="str">
        <f t="shared" si="93"/>
        <v>OK</v>
      </c>
      <c r="U768" s="25">
        <f t="shared" si="94"/>
        <v>11.5</v>
      </c>
      <c r="V768" t="str">
        <f t="shared" si="95"/>
        <v>OK</v>
      </c>
    </row>
    <row r="769" spans="1:22" ht="18" customHeight="1">
      <c r="A769" t="s">
        <v>216</v>
      </c>
      <c r="B769" t="s">
        <v>217</v>
      </c>
      <c r="C769">
        <v>6</v>
      </c>
      <c r="D769" t="s">
        <v>211</v>
      </c>
      <c r="E769" s="6">
        <f t="shared" si="88"/>
        <v>10</v>
      </c>
      <c r="F769" s="6">
        <f t="shared" si="89"/>
        <v>17</v>
      </c>
      <c r="G769" s="6">
        <f>ROUND(Catalogue!G42*SQRT((1+Paramètres!$B$4*(C769-1)+Paramètres!$B$5*(C769-1)^2)),0)</f>
        <v>0</v>
      </c>
      <c r="H769" s="6">
        <f>ROUND(Catalogue!H42*SQRT((1+Paramètres!$B$4*(C769-1)+Paramètres!$B$5*(C769-1)^2)),0)</f>
        <v>0</v>
      </c>
      <c r="I769" s="6">
        <v>3</v>
      </c>
      <c r="J769" s="6">
        <v>2</v>
      </c>
      <c r="K769" s="7">
        <v>2.6</v>
      </c>
      <c r="L769" s="9">
        <f t="shared" si="90"/>
        <v>13.5</v>
      </c>
      <c r="M769">
        <v>1</v>
      </c>
      <c r="N769">
        <v>8</v>
      </c>
      <c r="O769">
        <v>9</v>
      </c>
      <c r="P769" s="13" t="str">
        <f t="shared" si="91"/>
        <v>1d8 + 9</v>
      </c>
      <c r="Q769">
        <f>ROUND(INDEX(Catalogue!E$4:E$85,MATCH(A769,Catalogue!A$4:A$85,0))*(1+Paramètres!$B$4*(C769-1)+Paramètres!$B$5*(C769-1)^2),0)</f>
        <v>10</v>
      </c>
      <c r="R769">
        <f>ROUND(INDEX(Catalogue!F$4:F$85,MATCH(A769,Catalogue!A$4:A$85,0))*(1+Paramètres!$B$4*(C769-1)+Paramètres!$B$5*(C769-1)^2),0)</f>
        <v>18</v>
      </c>
      <c r="S769">
        <f t="shared" si="92"/>
        <v>-0.5</v>
      </c>
      <c r="T769" t="str">
        <f t="shared" si="93"/>
        <v>OK</v>
      </c>
      <c r="U769" s="25">
        <f t="shared" si="94"/>
        <v>13.5</v>
      </c>
      <c r="V769" t="str">
        <f t="shared" si="95"/>
        <v>OK</v>
      </c>
    </row>
    <row r="770" spans="1:22" ht="18" customHeight="1">
      <c r="A770" t="s">
        <v>216</v>
      </c>
      <c r="B770" t="s">
        <v>217</v>
      </c>
      <c r="C770">
        <v>7</v>
      </c>
      <c r="D770" t="s">
        <v>211</v>
      </c>
      <c r="E770" s="6">
        <f t="shared" si="88"/>
        <v>11</v>
      </c>
      <c r="F770" s="6">
        <f t="shared" si="89"/>
        <v>20</v>
      </c>
      <c r="G770" s="6">
        <f>ROUND(Catalogue!G42*SQRT((1+Paramètres!$B$4*(C770-1)+Paramètres!$B$5*(C770-1)^2)),0)</f>
        <v>0</v>
      </c>
      <c r="H770" s="6">
        <f>ROUND(Catalogue!H42*SQRT((1+Paramètres!$B$4*(C770-1)+Paramètres!$B$5*(C770-1)^2)),0)</f>
        <v>0</v>
      </c>
      <c r="I770" s="6">
        <v>3</v>
      </c>
      <c r="J770" s="6">
        <v>2</v>
      </c>
      <c r="K770" s="7">
        <v>2.6</v>
      </c>
      <c r="L770" s="9">
        <f t="shared" si="90"/>
        <v>15.5</v>
      </c>
      <c r="M770">
        <v>1</v>
      </c>
      <c r="N770">
        <v>10</v>
      </c>
      <c r="O770">
        <v>10</v>
      </c>
      <c r="P770" s="13" t="str">
        <f t="shared" si="91"/>
        <v>1d10 + 10</v>
      </c>
      <c r="Q770">
        <f>ROUND(INDEX(Catalogue!E$4:E$85,MATCH(A770,Catalogue!A$4:A$85,0))*(1+Paramètres!$B$4*(C770-1)+Paramètres!$B$5*(C770-1)^2),0)</f>
        <v>11</v>
      </c>
      <c r="R770">
        <f>ROUND(INDEX(Catalogue!F$4:F$85,MATCH(A770,Catalogue!A$4:A$85,0))*(1+Paramètres!$B$4*(C770-1)+Paramètres!$B$5*(C770-1)^2),0)</f>
        <v>20</v>
      </c>
      <c r="S770">
        <f t="shared" si="92"/>
        <v>0</v>
      </c>
      <c r="T770" t="str">
        <f t="shared" si="93"/>
        <v>OK</v>
      </c>
      <c r="U770" s="25">
        <f t="shared" si="94"/>
        <v>15.5</v>
      </c>
      <c r="V770" t="str">
        <f t="shared" si="95"/>
        <v>OK</v>
      </c>
    </row>
    <row r="771" spans="1:22" ht="18" customHeight="1">
      <c r="A771" t="s">
        <v>216</v>
      </c>
      <c r="B771" t="s">
        <v>217</v>
      </c>
      <c r="C771">
        <v>8</v>
      </c>
      <c r="D771" t="s">
        <v>211</v>
      </c>
      <c r="E771" s="6">
        <f t="shared" si="88"/>
        <v>13</v>
      </c>
      <c r="F771" s="6">
        <f t="shared" si="89"/>
        <v>23</v>
      </c>
      <c r="G771" s="6">
        <f>ROUND(Catalogue!G42*SQRT((1+Paramètres!$B$4*(C771-1)+Paramètres!$B$5*(C771-1)^2)),0)</f>
        <v>0</v>
      </c>
      <c r="H771" s="6">
        <f>ROUND(Catalogue!H42*SQRT((1+Paramètres!$B$4*(C771-1)+Paramètres!$B$5*(C771-1)^2)),0)</f>
        <v>0</v>
      </c>
      <c r="I771" s="6">
        <v>3</v>
      </c>
      <c r="J771" s="6">
        <v>2</v>
      </c>
      <c r="K771" s="7">
        <v>2.6</v>
      </c>
      <c r="L771" s="9">
        <f t="shared" si="90"/>
        <v>18</v>
      </c>
      <c r="M771">
        <v>2</v>
      </c>
      <c r="N771">
        <v>6</v>
      </c>
      <c r="O771">
        <v>11</v>
      </c>
      <c r="P771" s="13" t="str">
        <f t="shared" si="91"/>
        <v>2d6 + 11</v>
      </c>
      <c r="Q771">
        <f>ROUND(INDEX(Catalogue!E$4:E$85,MATCH(A771,Catalogue!A$4:A$85,0))*(1+Paramètres!$B$4*(C771-1)+Paramètres!$B$5*(C771-1)^2),0)</f>
        <v>13</v>
      </c>
      <c r="R771">
        <f>ROUND(INDEX(Catalogue!F$4:F$85,MATCH(A771,Catalogue!A$4:A$85,0))*(1+Paramètres!$B$4*(C771-1)+Paramètres!$B$5*(C771-1)^2),0)</f>
        <v>23</v>
      </c>
      <c r="S771">
        <f t="shared" si="92"/>
        <v>0</v>
      </c>
      <c r="T771" t="str">
        <f t="shared" si="93"/>
        <v>OK</v>
      </c>
      <c r="U771" s="25">
        <f t="shared" si="94"/>
        <v>18</v>
      </c>
      <c r="V771" t="str">
        <f t="shared" si="95"/>
        <v>OK</v>
      </c>
    </row>
    <row r="772" spans="1:22" ht="18" customHeight="1">
      <c r="A772" t="s">
        <v>216</v>
      </c>
      <c r="B772" t="s">
        <v>217</v>
      </c>
      <c r="C772">
        <v>9</v>
      </c>
      <c r="D772" t="s">
        <v>211</v>
      </c>
      <c r="E772" s="6">
        <f t="shared" ref="E772:E835" si="96">IF(M772=0,0,M772+O772)</f>
        <v>15</v>
      </c>
      <c r="F772" s="6">
        <f t="shared" ref="F772:F835" si="97">IF(M772=0,0,M772*N772+O772)</f>
        <v>26</v>
      </c>
      <c r="G772" s="6">
        <f>ROUND(Catalogue!G42*SQRT((1+Paramètres!$B$4*(C772-1)+Paramètres!$B$5*(C772-1)^2)),0)</f>
        <v>0</v>
      </c>
      <c r="H772" s="6">
        <f>ROUND(Catalogue!H42*SQRT((1+Paramètres!$B$4*(C772-1)+Paramètres!$B$5*(C772-1)^2)),0)</f>
        <v>0</v>
      </c>
      <c r="I772" s="6">
        <v>3</v>
      </c>
      <c r="J772" s="6">
        <v>2</v>
      </c>
      <c r="K772" s="7">
        <v>2.6</v>
      </c>
      <c r="L772" s="9">
        <f t="shared" ref="L772:L835" si="98">IF(M772=0,0,(E772+F772)/2)</f>
        <v>20.5</v>
      </c>
      <c r="M772">
        <v>1</v>
      </c>
      <c r="N772">
        <v>12</v>
      </c>
      <c r="O772">
        <v>14</v>
      </c>
      <c r="P772" s="13" t="str">
        <f t="shared" ref="P772:P835" si="99">IF(M772=0,"—",M772&amp;"d"&amp;N772&amp;IF(O772=0,""," + "&amp;O772))</f>
        <v>1d12 + 14</v>
      </c>
      <c r="Q772">
        <f>ROUND(INDEX(Catalogue!E$4:E$85,MATCH(A772,Catalogue!A$4:A$85,0))*(1+Paramètres!$B$4*(C772-1)+Paramètres!$B$5*(C772-1)^2),0)</f>
        <v>15</v>
      </c>
      <c r="R772">
        <f>ROUND(INDEX(Catalogue!F$4:F$85,MATCH(A772,Catalogue!A$4:A$85,0))*(1+Paramètres!$B$4*(C772-1)+Paramètres!$B$5*(C772-1)^2),0)</f>
        <v>26</v>
      </c>
      <c r="S772">
        <f t="shared" ref="S772:S835" si="100">L772-AVERAGE(Q772:R772)</f>
        <v>0</v>
      </c>
      <c r="T772" t="str">
        <f t="shared" ref="T772:T835" si="101">IF(M772=0,IF(AND(N772=0,O772=0,E772=0,F772=0),"OK","ERREUR"),IF(AND(M772&gt;=1,M772&lt;=32,OR(N772=4,N772=6,N772=8,N772=10,N772=12,N772=20),O772&gt;=0,E772=M772+O772,F772=M772*N772+O772),"OK","ERREUR"))</f>
        <v>OK</v>
      </c>
      <c r="U772" s="25">
        <f t="shared" ref="U772:U835" si="102">IF(M772&gt;0,M772*(N772+1)/2+O772,0)</f>
        <v>20.5</v>
      </c>
      <c r="V772" t="str">
        <f t="shared" ref="V772:V835" si="103">IF(ABS(L772-U772)&lt;0.001,"OK","ERREUR")</f>
        <v>OK</v>
      </c>
    </row>
    <row r="773" spans="1:22" ht="18" customHeight="1">
      <c r="A773" t="s">
        <v>216</v>
      </c>
      <c r="B773" t="s">
        <v>217</v>
      </c>
      <c r="C773">
        <v>10</v>
      </c>
      <c r="D773" t="s">
        <v>211</v>
      </c>
      <c r="E773" s="6">
        <f t="shared" si="96"/>
        <v>16</v>
      </c>
      <c r="F773" s="6">
        <f t="shared" si="97"/>
        <v>30</v>
      </c>
      <c r="G773" s="6">
        <f>ROUND(Catalogue!G42*SQRT((1+Paramètres!$B$4*(C773-1)+Paramètres!$B$5*(C773-1)^2)),0)</f>
        <v>0</v>
      </c>
      <c r="H773" s="6">
        <f>ROUND(Catalogue!H42*SQRT((1+Paramètres!$B$4*(C773-1)+Paramètres!$B$5*(C773-1)^2)),0)</f>
        <v>0</v>
      </c>
      <c r="I773" s="6">
        <v>3</v>
      </c>
      <c r="J773" s="6">
        <v>2</v>
      </c>
      <c r="K773" s="7">
        <v>2.6</v>
      </c>
      <c r="L773" s="9">
        <f t="shared" si="98"/>
        <v>23</v>
      </c>
      <c r="M773">
        <v>2</v>
      </c>
      <c r="N773">
        <v>8</v>
      </c>
      <c r="O773">
        <v>14</v>
      </c>
      <c r="P773" s="13" t="str">
        <f t="shared" si="99"/>
        <v>2d8 + 14</v>
      </c>
      <c r="Q773">
        <f>ROUND(INDEX(Catalogue!E$4:E$85,MATCH(A773,Catalogue!A$4:A$85,0))*(1+Paramètres!$B$4*(C773-1)+Paramètres!$B$5*(C773-1)^2),0)</f>
        <v>16</v>
      </c>
      <c r="R773">
        <f>ROUND(INDEX(Catalogue!F$4:F$85,MATCH(A773,Catalogue!A$4:A$85,0))*(1+Paramètres!$B$4*(C773-1)+Paramètres!$B$5*(C773-1)^2),0)</f>
        <v>30</v>
      </c>
      <c r="S773">
        <f t="shared" si="100"/>
        <v>0</v>
      </c>
      <c r="T773" t="str">
        <f t="shared" si="101"/>
        <v>OK</v>
      </c>
      <c r="U773" s="25">
        <f t="shared" si="102"/>
        <v>23</v>
      </c>
      <c r="V773" t="str">
        <f t="shared" si="103"/>
        <v>OK</v>
      </c>
    </row>
    <row r="774" spans="1:22" ht="18" customHeight="1">
      <c r="A774" t="s">
        <v>216</v>
      </c>
      <c r="B774" t="s">
        <v>217</v>
      </c>
      <c r="C774">
        <v>11</v>
      </c>
      <c r="D774" t="s">
        <v>211</v>
      </c>
      <c r="E774" s="6">
        <f t="shared" si="96"/>
        <v>19</v>
      </c>
      <c r="F774" s="6">
        <f t="shared" si="97"/>
        <v>33</v>
      </c>
      <c r="G774" s="6">
        <f>ROUND(Catalogue!G42*SQRT((1+Paramètres!$B$4*(C774-1)+Paramètres!$B$5*(C774-1)^2)),0)</f>
        <v>0</v>
      </c>
      <c r="H774" s="6">
        <f>ROUND(Catalogue!H42*SQRT((1+Paramètres!$B$4*(C774-1)+Paramètres!$B$5*(C774-1)^2)),0)</f>
        <v>0</v>
      </c>
      <c r="I774" s="6">
        <v>3</v>
      </c>
      <c r="J774" s="6">
        <v>2</v>
      </c>
      <c r="K774" s="7">
        <v>2.6</v>
      </c>
      <c r="L774" s="9">
        <f t="shared" si="98"/>
        <v>26</v>
      </c>
      <c r="M774">
        <v>2</v>
      </c>
      <c r="N774">
        <v>8</v>
      </c>
      <c r="O774">
        <v>17</v>
      </c>
      <c r="P774" s="13" t="str">
        <f t="shared" si="99"/>
        <v>2d8 + 17</v>
      </c>
      <c r="Q774">
        <f>ROUND(INDEX(Catalogue!E$4:E$85,MATCH(A774,Catalogue!A$4:A$85,0))*(1+Paramètres!$B$4*(C774-1)+Paramètres!$B$5*(C774-1)^2),0)</f>
        <v>19</v>
      </c>
      <c r="R774">
        <f>ROUND(INDEX(Catalogue!F$4:F$85,MATCH(A774,Catalogue!A$4:A$85,0))*(1+Paramètres!$B$4*(C774-1)+Paramètres!$B$5*(C774-1)^2),0)</f>
        <v>33</v>
      </c>
      <c r="S774">
        <f t="shared" si="100"/>
        <v>0</v>
      </c>
      <c r="T774" t="str">
        <f t="shared" si="101"/>
        <v>OK</v>
      </c>
      <c r="U774" s="25">
        <f t="shared" si="102"/>
        <v>26</v>
      </c>
      <c r="V774" t="str">
        <f t="shared" si="103"/>
        <v>OK</v>
      </c>
    </row>
    <row r="775" spans="1:22" ht="18" customHeight="1">
      <c r="A775" t="s">
        <v>216</v>
      </c>
      <c r="B775" t="s">
        <v>217</v>
      </c>
      <c r="C775">
        <v>12</v>
      </c>
      <c r="D775" t="s">
        <v>211</v>
      </c>
      <c r="E775" s="6">
        <f t="shared" si="96"/>
        <v>21</v>
      </c>
      <c r="F775" s="6">
        <f t="shared" si="97"/>
        <v>36</v>
      </c>
      <c r="G775" s="6">
        <f>ROUND(Catalogue!G42*SQRT((1+Paramètres!$B$4*(C775-1)+Paramètres!$B$5*(C775-1)^2)),0)</f>
        <v>0</v>
      </c>
      <c r="H775" s="6">
        <f>ROUND(Catalogue!H42*SQRT((1+Paramètres!$B$4*(C775-1)+Paramètres!$B$5*(C775-1)^2)),0)</f>
        <v>0</v>
      </c>
      <c r="I775" s="6">
        <v>3</v>
      </c>
      <c r="J775" s="6">
        <v>2</v>
      </c>
      <c r="K775" s="7">
        <v>2.6</v>
      </c>
      <c r="L775" s="9">
        <f t="shared" si="98"/>
        <v>28.5</v>
      </c>
      <c r="M775">
        <v>3</v>
      </c>
      <c r="N775">
        <v>6</v>
      </c>
      <c r="O775">
        <v>18</v>
      </c>
      <c r="P775" s="13" t="str">
        <f t="shared" si="99"/>
        <v>3d6 + 18</v>
      </c>
      <c r="Q775">
        <f>ROUND(INDEX(Catalogue!E$4:E$85,MATCH(A775,Catalogue!A$4:A$85,0))*(1+Paramètres!$B$4*(C775-1)+Paramètres!$B$5*(C775-1)^2),0)</f>
        <v>21</v>
      </c>
      <c r="R775">
        <f>ROUND(INDEX(Catalogue!F$4:F$85,MATCH(A775,Catalogue!A$4:A$85,0))*(1+Paramètres!$B$4*(C775-1)+Paramètres!$B$5*(C775-1)^2),0)</f>
        <v>37</v>
      </c>
      <c r="S775">
        <f t="shared" si="100"/>
        <v>-0.5</v>
      </c>
      <c r="T775" t="str">
        <f t="shared" si="101"/>
        <v>OK</v>
      </c>
      <c r="U775" s="25">
        <f t="shared" si="102"/>
        <v>28.5</v>
      </c>
      <c r="V775" t="str">
        <f t="shared" si="103"/>
        <v>OK</v>
      </c>
    </row>
    <row r="776" spans="1:22" ht="18" customHeight="1">
      <c r="A776" t="s">
        <v>216</v>
      </c>
      <c r="B776" t="s">
        <v>217</v>
      </c>
      <c r="C776">
        <v>13</v>
      </c>
      <c r="D776" t="s">
        <v>211</v>
      </c>
      <c r="E776" s="6">
        <f t="shared" si="96"/>
        <v>23</v>
      </c>
      <c r="F776" s="6">
        <f t="shared" si="97"/>
        <v>41</v>
      </c>
      <c r="G776" s="6">
        <f>ROUND(Catalogue!G42*SQRT((1+Paramètres!$B$4*(C776-1)+Paramètres!$B$5*(C776-1)^2)),0)</f>
        <v>0</v>
      </c>
      <c r="H776" s="6">
        <f>ROUND(Catalogue!H42*SQRT((1+Paramètres!$B$4*(C776-1)+Paramètres!$B$5*(C776-1)^2)),0)</f>
        <v>0</v>
      </c>
      <c r="I776" s="6">
        <v>3</v>
      </c>
      <c r="J776" s="6">
        <v>2</v>
      </c>
      <c r="K776" s="7">
        <v>2.6</v>
      </c>
      <c r="L776" s="9">
        <f t="shared" si="98"/>
        <v>32</v>
      </c>
      <c r="M776">
        <v>2</v>
      </c>
      <c r="N776">
        <v>10</v>
      </c>
      <c r="O776">
        <v>21</v>
      </c>
      <c r="P776" s="13" t="str">
        <f t="shared" si="99"/>
        <v>2d10 + 21</v>
      </c>
      <c r="Q776">
        <f>ROUND(INDEX(Catalogue!E$4:E$85,MATCH(A776,Catalogue!A$4:A$85,0))*(1+Paramètres!$B$4*(C776-1)+Paramètres!$B$5*(C776-1)^2),0)</f>
        <v>23</v>
      </c>
      <c r="R776">
        <f>ROUND(INDEX(Catalogue!F$4:F$85,MATCH(A776,Catalogue!A$4:A$85,0))*(1+Paramètres!$B$4*(C776-1)+Paramètres!$B$5*(C776-1)^2),0)</f>
        <v>42</v>
      </c>
      <c r="S776">
        <f t="shared" si="100"/>
        <v>-0.5</v>
      </c>
      <c r="T776" t="str">
        <f t="shared" si="101"/>
        <v>OK</v>
      </c>
      <c r="U776" s="25">
        <f t="shared" si="102"/>
        <v>32</v>
      </c>
      <c r="V776" t="str">
        <f t="shared" si="103"/>
        <v>OK</v>
      </c>
    </row>
    <row r="777" spans="1:22" ht="18" customHeight="1">
      <c r="A777" t="s">
        <v>216</v>
      </c>
      <c r="B777" t="s">
        <v>217</v>
      </c>
      <c r="C777">
        <v>14</v>
      </c>
      <c r="D777" t="s">
        <v>211</v>
      </c>
      <c r="E777" s="6">
        <f t="shared" si="96"/>
        <v>26</v>
      </c>
      <c r="F777" s="6">
        <f t="shared" si="97"/>
        <v>46</v>
      </c>
      <c r="G777" s="6">
        <f>ROUND(Catalogue!G42*SQRT((1+Paramètres!$B$4*(C777-1)+Paramètres!$B$5*(C777-1)^2)),0)</f>
        <v>0</v>
      </c>
      <c r="H777" s="6">
        <f>ROUND(Catalogue!H42*SQRT((1+Paramètres!$B$4*(C777-1)+Paramètres!$B$5*(C777-1)^2)),0)</f>
        <v>0</v>
      </c>
      <c r="I777" s="6">
        <v>3</v>
      </c>
      <c r="J777" s="6">
        <v>2</v>
      </c>
      <c r="K777" s="7">
        <v>2.6</v>
      </c>
      <c r="L777" s="9">
        <f t="shared" si="98"/>
        <v>36</v>
      </c>
      <c r="M777">
        <v>4</v>
      </c>
      <c r="N777">
        <v>6</v>
      </c>
      <c r="O777">
        <v>22</v>
      </c>
      <c r="P777" s="13" t="str">
        <f t="shared" si="99"/>
        <v>4d6 + 22</v>
      </c>
      <c r="Q777">
        <f>ROUND(INDEX(Catalogue!E$4:E$85,MATCH(A777,Catalogue!A$4:A$85,0))*(1+Paramètres!$B$4*(C777-1)+Paramètres!$B$5*(C777-1)^2),0)</f>
        <v>26</v>
      </c>
      <c r="R777">
        <f>ROUND(INDEX(Catalogue!F$4:F$85,MATCH(A777,Catalogue!A$4:A$85,0))*(1+Paramètres!$B$4*(C777-1)+Paramètres!$B$5*(C777-1)^2),0)</f>
        <v>46</v>
      </c>
      <c r="S777">
        <f t="shared" si="100"/>
        <v>0</v>
      </c>
      <c r="T777" t="str">
        <f t="shared" si="101"/>
        <v>OK</v>
      </c>
      <c r="U777" s="25">
        <f t="shared" si="102"/>
        <v>36</v>
      </c>
      <c r="V777" t="str">
        <f t="shared" si="103"/>
        <v>OK</v>
      </c>
    </row>
    <row r="778" spans="1:22" ht="18" customHeight="1">
      <c r="A778" t="s">
        <v>216</v>
      </c>
      <c r="B778" t="s">
        <v>217</v>
      </c>
      <c r="C778">
        <v>15</v>
      </c>
      <c r="D778" t="s">
        <v>211</v>
      </c>
      <c r="E778" s="6">
        <f t="shared" si="96"/>
        <v>28</v>
      </c>
      <c r="F778" s="6">
        <f t="shared" si="97"/>
        <v>50</v>
      </c>
      <c r="G778" s="6">
        <f>ROUND(Catalogue!G42*SQRT((1+Paramètres!$B$4*(C778-1)+Paramètres!$B$5*(C778-1)^2)),0)</f>
        <v>0</v>
      </c>
      <c r="H778" s="6">
        <f>ROUND(Catalogue!H42*SQRT((1+Paramètres!$B$4*(C778-1)+Paramètres!$B$5*(C778-1)^2)),0)</f>
        <v>0</v>
      </c>
      <c r="I778" s="6">
        <v>3</v>
      </c>
      <c r="J778" s="6">
        <v>2</v>
      </c>
      <c r="K778" s="7">
        <v>2.6</v>
      </c>
      <c r="L778" s="9">
        <f t="shared" si="98"/>
        <v>39</v>
      </c>
      <c r="M778">
        <v>2</v>
      </c>
      <c r="N778">
        <v>12</v>
      </c>
      <c r="O778">
        <v>26</v>
      </c>
      <c r="P778" s="13" t="str">
        <f t="shared" si="99"/>
        <v>2d12 + 26</v>
      </c>
      <c r="Q778">
        <f>ROUND(INDEX(Catalogue!E$4:E$85,MATCH(A778,Catalogue!A$4:A$85,0))*(1+Paramètres!$B$4*(C778-1)+Paramètres!$B$5*(C778-1)^2),0)</f>
        <v>28</v>
      </c>
      <c r="R778">
        <f>ROUND(INDEX(Catalogue!F$4:F$85,MATCH(A778,Catalogue!A$4:A$85,0))*(1+Paramètres!$B$4*(C778-1)+Paramètres!$B$5*(C778-1)^2),0)</f>
        <v>51</v>
      </c>
      <c r="S778">
        <f t="shared" si="100"/>
        <v>-0.5</v>
      </c>
      <c r="T778" t="str">
        <f t="shared" si="101"/>
        <v>OK</v>
      </c>
      <c r="U778" s="25">
        <f t="shared" si="102"/>
        <v>39</v>
      </c>
      <c r="V778" t="str">
        <f t="shared" si="103"/>
        <v>OK</v>
      </c>
    </row>
    <row r="779" spans="1:22" ht="18" customHeight="1">
      <c r="A779" t="s">
        <v>216</v>
      </c>
      <c r="B779" t="s">
        <v>217</v>
      </c>
      <c r="C779">
        <v>16</v>
      </c>
      <c r="D779" t="s">
        <v>211</v>
      </c>
      <c r="E779" s="6">
        <f t="shared" si="96"/>
        <v>31</v>
      </c>
      <c r="F779" s="6">
        <f t="shared" si="97"/>
        <v>56</v>
      </c>
      <c r="G779" s="6">
        <f>ROUND(Catalogue!G42*SQRT((1+Paramètres!$B$4*(C779-1)+Paramètres!$B$5*(C779-1)^2)),0)</f>
        <v>0</v>
      </c>
      <c r="H779" s="6">
        <f>ROUND(Catalogue!H42*SQRT((1+Paramètres!$B$4*(C779-1)+Paramètres!$B$5*(C779-1)^2)),0)</f>
        <v>0</v>
      </c>
      <c r="I779" s="6">
        <v>3</v>
      </c>
      <c r="J779" s="6">
        <v>2</v>
      </c>
      <c r="K779" s="7">
        <v>2.6</v>
      </c>
      <c r="L779" s="9">
        <f t="shared" si="98"/>
        <v>43.5</v>
      </c>
      <c r="M779">
        <v>5</v>
      </c>
      <c r="N779">
        <v>6</v>
      </c>
      <c r="O779">
        <v>26</v>
      </c>
      <c r="P779" s="13" t="str">
        <f t="shared" si="99"/>
        <v>5d6 + 26</v>
      </c>
      <c r="Q779">
        <f>ROUND(INDEX(Catalogue!E$4:E$85,MATCH(A779,Catalogue!A$4:A$85,0))*(1+Paramètres!$B$4*(C779-1)+Paramètres!$B$5*(C779-1)^2),0)</f>
        <v>31</v>
      </c>
      <c r="R779">
        <f>ROUND(INDEX(Catalogue!F$4:F$85,MATCH(A779,Catalogue!A$4:A$85,0))*(1+Paramètres!$B$4*(C779-1)+Paramètres!$B$5*(C779-1)^2),0)</f>
        <v>56</v>
      </c>
      <c r="S779">
        <f t="shared" si="100"/>
        <v>0</v>
      </c>
      <c r="T779" t="str">
        <f t="shared" si="101"/>
        <v>OK</v>
      </c>
      <c r="U779" s="25">
        <f t="shared" si="102"/>
        <v>43.5</v>
      </c>
      <c r="V779" t="str">
        <f t="shared" si="103"/>
        <v>OK</v>
      </c>
    </row>
    <row r="780" spans="1:22" ht="18" customHeight="1">
      <c r="A780" t="s">
        <v>216</v>
      </c>
      <c r="B780" t="s">
        <v>217</v>
      </c>
      <c r="C780">
        <v>17</v>
      </c>
      <c r="D780" t="s">
        <v>211</v>
      </c>
      <c r="E780" s="6">
        <f t="shared" si="96"/>
        <v>34</v>
      </c>
      <c r="F780" s="6">
        <f t="shared" si="97"/>
        <v>62</v>
      </c>
      <c r="G780" s="6">
        <f>ROUND(Catalogue!G42*SQRT((1+Paramètres!$B$4*(C780-1)+Paramètres!$B$5*(C780-1)^2)),0)</f>
        <v>0</v>
      </c>
      <c r="H780" s="6">
        <f>ROUND(Catalogue!H42*SQRT((1+Paramètres!$B$4*(C780-1)+Paramètres!$B$5*(C780-1)^2)),0)</f>
        <v>0</v>
      </c>
      <c r="I780" s="6">
        <v>3</v>
      </c>
      <c r="J780" s="6">
        <v>2</v>
      </c>
      <c r="K780" s="7">
        <v>2.6</v>
      </c>
      <c r="L780" s="9">
        <f t="shared" si="98"/>
        <v>48</v>
      </c>
      <c r="M780">
        <v>4</v>
      </c>
      <c r="N780">
        <v>8</v>
      </c>
      <c r="O780">
        <v>30</v>
      </c>
      <c r="P780" s="13" t="str">
        <f t="shared" si="99"/>
        <v>4d8 + 30</v>
      </c>
      <c r="Q780">
        <f>ROUND(INDEX(Catalogue!E$4:E$85,MATCH(A780,Catalogue!A$4:A$85,0))*(1+Paramètres!$B$4*(C780-1)+Paramètres!$B$5*(C780-1)^2),0)</f>
        <v>34</v>
      </c>
      <c r="R780">
        <f>ROUND(INDEX(Catalogue!F$4:F$85,MATCH(A780,Catalogue!A$4:A$85,0))*(1+Paramètres!$B$4*(C780-1)+Paramètres!$B$5*(C780-1)^2),0)</f>
        <v>62</v>
      </c>
      <c r="S780">
        <f t="shared" si="100"/>
        <v>0</v>
      </c>
      <c r="T780" t="str">
        <f t="shared" si="101"/>
        <v>OK</v>
      </c>
      <c r="U780" s="25">
        <f t="shared" si="102"/>
        <v>48</v>
      </c>
      <c r="V780" t="str">
        <f t="shared" si="103"/>
        <v>OK</v>
      </c>
    </row>
    <row r="781" spans="1:22" ht="18" customHeight="1">
      <c r="A781" t="s">
        <v>216</v>
      </c>
      <c r="B781" t="s">
        <v>217</v>
      </c>
      <c r="C781">
        <v>18</v>
      </c>
      <c r="D781" t="s">
        <v>211</v>
      </c>
      <c r="E781" s="6">
        <f t="shared" si="96"/>
        <v>37</v>
      </c>
      <c r="F781" s="6">
        <f t="shared" si="97"/>
        <v>67</v>
      </c>
      <c r="G781" s="6">
        <f>ROUND(Catalogue!G42*SQRT((1+Paramètres!$B$4*(C781-1)+Paramètres!$B$5*(C781-1)^2)),0)</f>
        <v>0</v>
      </c>
      <c r="H781" s="6">
        <f>ROUND(Catalogue!H42*SQRT((1+Paramètres!$B$4*(C781-1)+Paramètres!$B$5*(C781-1)^2)),0)</f>
        <v>0</v>
      </c>
      <c r="I781" s="6">
        <v>3</v>
      </c>
      <c r="J781" s="6">
        <v>2</v>
      </c>
      <c r="K781" s="7">
        <v>2.6</v>
      </c>
      <c r="L781" s="9">
        <f t="shared" si="98"/>
        <v>52</v>
      </c>
      <c r="M781">
        <v>6</v>
      </c>
      <c r="N781">
        <v>6</v>
      </c>
      <c r="O781">
        <v>31</v>
      </c>
      <c r="P781" s="13" t="str">
        <f t="shared" si="99"/>
        <v>6d6 + 31</v>
      </c>
      <c r="Q781">
        <f>ROUND(INDEX(Catalogue!E$4:E$85,MATCH(A781,Catalogue!A$4:A$85,0))*(1+Paramètres!$B$4*(C781-1)+Paramètres!$B$5*(C781-1)^2),0)</f>
        <v>37</v>
      </c>
      <c r="R781">
        <f>ROUND(INDEX(Catalogue!F$4:F$85,MATCH(A781,Catalogue!A$4:A$85,0))*(1+Paramètres!$B$4*(C781-1)+Paramètres!$B$5*(C781-1)^2),0)</f>
        <v>67</v>
      </c>
      <c r="S781">
        <f t="shared" si="100"/>
        <v>0</v>
      </c>
      <c r="T781" t="str">
        <f t="shared" si="101"/>
        <v>OK</v>
      </c>
      <c r="U781" s="25">
        <f t="shared" si="102"/>
        <v>52</v>
      </c>
      <c r="V781" t="str">
        <f t="shared" si="103"/>
        <v>OK</v>
      </c>
    </row>
    <row r="782" spans="1:22" ht="18" customHeight="1">
      <c r="A782" t="s">
        <v>216</v>
      </c>
      <c r="B782" t="s">
        <v>217</v>
      </c>
      <c r="C782">
        <v>19</v>
      </c>
      <c r="D782" t="s">
        <v>211</v>
      </c>
      <c r="E782" s="6">
        <f t="shared" si="96"/>
        <v>40</v>
      </c>
      <c r="F782" s="6">
        <f t="shared" si="97"/>
        <v>73</v>
      </c>
      <c r="G782" s="6">
        <f>ROUND(Catalogue!G42*SQRT((1+Paramètres!$B$4*(C782-1)+Paramètres!$B$5*(C782-1)^2)),0)</f>
        <v>0</v>
      </c>
      <c r="H782" s="6">
        <f>ROUND(Catalogue!H42*SQRT((1+Paramètres!$B$4*(C782-1)+Paramètres!$B$5*(C782-1)^2)),0)</f>
        <v>0</v>
      </c>
      <c r="I782" s="6">
        <v>3</v>
      </c>
      <c r="J782" s="6">
        <v>2</v>
      </c>
      <c r="K782" s="7">
        <v>2.6</v>
      </c>
      <c r="L782" s="9">
        <f t="shared" si="98"/>
        <v>56.5</v>
      </c>
      <c r="M782">
        <v>3</v>
      </c>
      <c r="N782">
        <v>12</v>
      </c>
      <c r="O782">
        <v>37</v>
      </c>
      <c r="P782" s="13" t="str">
        <f t="shared" si="99"/>
        <v>3d12 + 37</v>
      </c>
      <c r="Q782">
        <f>ROUND(INDEX(Catalogue!E$4:E$85,MATCH(A782,Catalogue!A$4:A$85,0))*(1+Paramètres!$B$4*(C782-1)+Paramètres!$B$5*(C782-1)^2),0)</f>
        <v>41</v>
      </c>
      <c r="R782">
        <f>ROUND(INDEX(Catalogue!F$4:F$85,MATCH(A782,Catalogue!A$4:A$85,0))*(1+Paramètres!$B$4*(C782-1)+Paramètres!$B$5*(C782-1)^2),0)</f>
        <v>73</v>
      </c>
      <c r="S782">
        <f t="shared" si="100"/>
        <v>-0.5</v>
      </c>
      <c r="T782" t="str">
        <f t="shared" si="101"/>
        <v>OK</v>
      </c>
      <c r="U782" s="25">
        <f t="shared" si="102"/>
        <v>56.5</v>
      </c>
      <c r="V782" t="str">
        <f t="shared" si="103"/>
        <v>OK</v>
      </c>
    </row>
    <row r="783" spans="1:22" ht="18" customHeight="1">
      <c r="A783" t="s">
        <v>216</v>
      </c>
      <c r="B783" t="s">
        <v>217</v>
      </c>
      <c r="C783">
        <v>20</v>
      </c>
      <c r="D783" t="s">
        <v>211</v>
      </c>
      <c r="E783" s="6">
        <f t="shared" si="96"/>
        <v>44</v>
      </c>
      <c r="F783" s="6">
        <f t="shared" si="97"/>
        <v>80</v>
      </c>
      <c r="G783" s="6">
        <f>ROUND(Catalogue!G42*SQRT((1+Paramètres!$B$4*(C783-1)+Paramètres!$B$5*(C783-1)^2)),0)</f>
        <v>0</v>
      </c>
      <c r="H783" s="6">
        <f>ROUND(Catalogue!H42*SQRT((1+Paramètres!$B$4*(C783-1)+Paramètres!$B$5*(C783-1)^2)),0)</f>
        <v>0</v>
      </c>
      <c r="I783" s="6">
        <v>3</v>
      </c>
      <c r="J783" s="6">
        <v>2</v>
      </c>
      <c r="K783" s="7">
        <v>2.6</v>
      </c>
      <c r="L783" s="9">
        <f t="shared" si="98"/>
        <v>62</v>
      </c>
      <c r="M783">
        <v>4</v>
      </c>
      <c r="N783">
        <v>10</v>
      </c>
      <c r="O783">
        <v>40</v>
      </c>
      <c r="P783" s="13" t="str">
        <f t="shared" si="99"/>
        <v>4d10 + 40</v>
      </c>
      <c r="Q783">
        <f>ROUND(INDEX(Catalogue!E$4:E$85,MATCH(A783,Catalogue!A$4:A$85,0))*(1+Paramètres!$B$4*(C783-1)+Paramètres!$B$5*(C783-1)^2),0)</f>
        <v>44</v>
      </c>
      <c r="R783">
        <f>ROUND(INDEX(Catalogue!F$4:F$85,MATCH(A783,Catalogue!A$4:A$85,0))*(1+Paramètres!$B$4*(C783-1)+Paramètres!$B$5*(C783-1)^2),0)</f>
        <v>80</v>
      </c>
      <c r="S783">
        <f t="shared" si="100"/>
        <v>0</v>
      </c>
      <c r="T783" t="str">
        <f t="shared" si="101"/>
        <v>OK</v>
      </c>
      <c r="U783" s="25">
        <f t="shared" si="102"/>
        <v>62</v>
      </c>
      <c r="V783" t="str">
        <f t="shared" si="103"/>
        <v>OK</v>
      </c>
    </row>
    <row r="784" spans="1:22" ht="18" customHeight="1">
      <c r="A784" t="s">
        <v>220</v>
      </c>
      <c r="B784" t="s">
        <v>221</v>
      </c>
      <c r="C784">
        <v>1</v>
      </c>
      <c r="D784" t="s">
        <v>211</v>
      </c>
      <c r="E784" s="6">
        <f t="shared" si="96"/>
        <v>5</v>
      </c>
      <c r="F784" s="6">
        <f t="shared" si="97"/>
        <v>10</v>
      </c>
      <c r="G784" s="6">
        <f>ROUND(Catalogue!G43*SQRT((1+Paramètres!$B$4*(C784-1)+Paramètres!$B$5*(C784-1)^2)),0)</f>
        <v>0</v>
      </c>
      <c r="H784" s="6">
        <f>ROUND(Catalogue!H43*SQRT((1+Paramètres!$B$4*(C784-1)+Paramètres!$B$5*(C784-1)^2)),0)</f>
        <v>0</v>
      </c>
      <c r="I784" s="6">
        <v>3</v>
      </c>
      <c r="J784" s="6">
        <v>2</v>
      </c>
      <c r="K784" s="7">
        <v>3.4</v>
      </c>
      <c r="L784" s="9">
        <f t="shared" si="98"/>
        <v>7.5</v>
      </c>
      <c r="M784">
        <v>1</v>
      </c>
      <c r="N784">
        <v>6</v>
      </c>
      <c r="O784">
        <v>4</v>
      </c>
      <c r="P784" s="13" t="str">
        <f t="shared" si="99"/>
        <v>1d6 + 4</v>
      </c>
      <c r="Q784">
        <f>ROUND(INDEX(Catalogue!E$4:E$85,MATCH(A784,Catalogue!A$4:A$85,0))*(1+Paramètres!$B$4*(C784-1)+Paramètres!$B$5*(C784-1)^2),0)</f>
        <v>5</v>
      </c>
      <c r="R784">
        <f>ROUND(INDEX(Catalogue!F$4:F$85,MATCH(A784,Catalogue!A$4:A$85,0))*(1+Paramètres!$B$4*(C784-1)+Paramètres!$B$5*(C784-1)^2),0)</f>
        <v>10</v>
      </c>
      <c r="S784">
        <f t="shared" si="100"/>
        <v>0</v>
      </c>
      <c r="T784" t="str">
        <f t="shared" si="101"/>
        <v>OK</v>
      </c>
      <c r="U784" s="25">
        <f t="shared" si="102"/>
        <v>7.5</v>
      </c>
      <c r="V784" t="str">
        <f t="shared" si="103"/>
        <v>OK</v>
      </c>
    </row>
    <row r="785" spans="1:22" ht="18" customHeight="1">
      <c r="A785" t="s">
        <v>220</v>
      </c>
      <c r="B785" t="s">
        <v>221</v>
      </c>
      <c r="C785">
        <v>2</v>
      </c>
      <c r="D785" t="s">
        <v>211</v>
      </c>
      <c r="E785" s="6">
        <f t="shared" si="96"/>
        <v>6</v>
      </c>
      <c r="F785" s="6">
        <f t="shared" si="97"/>
        <v>11</v>
      </c>
      <c r="G785" s="6">
        <f>ROUND(Catalogue!G43*SQRT((1+Paramètres!$B$4*(C785-1)+Paramètres!$B$5*(C785-1)^2)),0)</f>
        <v>0</v>
      </c>
      <c r="H785" s="6">
        <f>ROUND(Catalogue!H43*SQRT((1+Paramètres!$B$4*(C785-1)+Paramètres!$B$5*(C785-1)^2)),0)</f>
        <v>0</v>
      </c>
      <c r="I785" s="6">
        <v>3</v>
      </c>
      <c r="J785" s="6">
        <v>2</v>
      </c>
      <c r="K785" s="7">
        <v>3.4</v>
      </c>
      <c r="L785" s="9">
        <f t="shared" si="98"/>
        <v>8.5</v>
      </c>
      <c r="M785">
        <v>1</v>
      </c>
      <c r="N785">
        <v>6</v>
      </c>
      <c r="O785">
        <v>5</v>
      </c>
      <c r="P785" s="13" t="str">
        <f t="shared" si="99"/>
        <v>1d6 + 5</v>
      </c>
      <c r="Q785">
        <f>ROUND(INDEX(Catalogue!E$4:E$85,MATCH(A785,Catalogue!A$4:A$85,0))*(1+Paramètres!$B$4*(C785-1)+Paramètres!$B$5*(C785-1)^2),0)</f>
        <v>6</v>
      </c>
      <c r="R785">
        <f>ROUND(INDEX(Catalogue!F$4:F$85,MATCH(A785,Catalogue!A$4:A$85,0))*(1+Paramètres!$B$4*(C785-1)+Paramètres!$B$5*(C785-1)^2),0)</f>
        <v>11</v>
      </c>
      <c r="S785">
        <f t="shared" si="100"/>
        <v>0</v>
      </c>
      <c r="T785" t="str">
        <f t="shared" si="101"/>
        <v>OK</v>
      </c>
      <c r="U785" s="25">
        <f t="shared" si="102"/>
        <v>8.5</v>
      </c>
      <c r="V785" t="str">
        <f t="shared" si="103"/>
        <v>OK</v>
      </c>
    </row>
    <row r="786" spans="1:22" ht="18" customHeight="1">
      <c r="A786" t="s">
        <v>220</v>
      </c>
      <c r="B786" t="s">
        <v>221</v>
      </c>
      <c r="C786">
        <v>3</v>
      </c>
      <c r="D786" t="s">
        <v>211</v>
      </c>
      <c r="E786" s="6">
        <f t="shared" si="96"/>
        <v>6</v>
      </c>
      <c r="F786" s="6">
        <f t="shared" si="97"/>
        <v>13</v>
      </c>
      <c r="G786" s="6">
        <f>ROUND(Catalogue!G43*SQRT((1+Paramètres!$B$4*(C786-1)+Paramètres!$B$5*(C786-1)^2)),0)</f>
        <v>0</v>
      </c>
      <c r="H786" s="6">
        <f>ROUND(Catalogue!H43*SQRT((1+Paramètres!$B$4*(C786-1)+Paramètres!$B$5*(C786-1)^2)),0)</f>
        <v>0</v>
      </c>
      <c r="I786" s="6">
        <v>3</v>
      </c>
      <c r="J786" s="6">
        <v>2</v>
      </c>
      <c r="K786" s="7">
        <v>3.4</v>
      </c>
      <c r="L786" s="9">
        <f t="shared" si="98"/>
        <v>9.5</v>
      </c>
      <c r="M786">
        <v>1</v>
      </c>
      <c r="N786">
        <v>8</v>
      </c>
      <c r="O786">
        <v>5</v>
      </c>
      <c r="P786" s="13" t="str">
        <f t="shared" si="99"/>
        <v>1d8 + 5</v>
      </c>
      <c r="Q786">
        <f>ROUND(INDEX(Catalogue!E$4:E$85,MATCH(A786,Catalogue!A$4:A$85,0))*(1+Paramètres!$B$4*(C786-1)+Paramètres!$B$5*(C786-1)^2),0)</f>
        <v>6</v>
      </c>
      <c r="R786">
        <f>ROUND(INDEX(Catalogue!F$4:F$85,MATCH(A786,Catalogue!A$4:A$85,0))*(1+Paramètres!$B$4*(C786-1)+Paramètres!$B$5*(C786-1)^2),0)</f>
        <v>13</v>
      </c>
      <c r="S786">
        <f t="shared" si="100"/>
        <v>0</v>
      </c>
      <c r="T786" t="str">
        <f t="shared" si="101"/>
        <v>OK</v>
      </c>
      <c r="U786" s="25">
        <f t="shared" si="102"/>
        <v>9.5</v>
      </c>
      <c r="V786" t="str">
        <f t="shared" si="103"/>
        <v>OK</v>
      </c>
    </row>
    <row r="787" spans="1:22" ht="18" customHeight="1">
      <c r="A787" t="s">
        <v>220</v>
      </c>
      <c r="B787" t="s">
        <v>221</v>
      </c>
      <c r="C787">
        <v>4</v>
      </c>
      <c r="D787" t="s">
        <v>211</v>
      </c>
      <c r="E787" s="6">
        <f t="shared" si="96"/>
        <v>7</v>
      </c>
      <c r="F787" s="6">
        <f t="shared" si="97"/>
        <v>14</v>
      </c>
      <c r="G787" s="6">
        <f>ROUND(Catalogue!G43*SQRT((1+Paramètres!$B$4*(C787-1)+Paramètres!$B$5*(C787-1)^2)),0)</f>
        <v>0</v>
      </c>
      <c r="H787" s="6">
        <f>ROUND(Catalogue!H43*SQRT((1+Paramètres!$B$4*(C787-1)+Paramètres!$B$5*(C787-1)^2)),0)</f>
        <v>0</v>
      </c>
      <c r="I787" s="6">
        <v>3</v>
      </c>
      <c r="J787" s="6">
        <v>2</v>
      </c>
      <c r="K787" s="7">
        <v>3.4</v>
      </c>
      <c r="L787" s="9">
        <f t="shared" si="98"/>
        <v>10.5</v>
      </c>
      <c r="M787">
        <v>1</v>
      </c>
      <c r="N787">
        <v>8</v>
      </c>
      <c r="O787">
        <v>6</v>
      </c>
      <c r="P787" s="13" t="str">
        <f t="shared" si="99"/>
        <v>1d8 + 6</v>
      </c>
      <c r="Q787">
        <f>ROUND(INDEX(Catalogue!E$4:E$85,MATCH(A787,Catalogue!A$4:A$85,0))*(1+Paramètres!$B$4*(C787-1)+Paramètres!$B$5*(C787-1)^2),0)</f>
        <v>7</v>
      </c>
      <c r="R787">
        <f>ROUND(INDEX(Catalogue!F$4:F$85,MATCH(A787,Catalogue!A$4:A$85,0))*(1+Paramètres!$B$4*(C787-1)+Paramètres!$B$5*(C787-1)^2),0)</f>
        <v>15</v>
      </c>
      <c r="S787">
        <f t="shared" si="100"/>
        <v>-0.5</v>
      </c>
      <c r="T787" t="str">
        <f t="shared" si="101"/>
        <v>OK</v>
      </c>
      <c r="U787" s="25">
        <f t="shared" si="102"/>
        <v>10.5</v>
      </c>
      <c r="V787" t="str">
        <f t="shared" si="103"/>
        <v>OK</v>
      </c>
    </row>
    <row r="788" spans="1:22" ht="18" customHeight="1">
      <c r="A788" t="s">
        <v>220</v>
      </c>
      <c r="B788" t="s">
        <v>221</v>
      </c>
      <c r="C788">
        <v>5</v>
      </c>
      <c r="D788" t="s">
        <v>211</v>
      </c>
      <c r="E788" s="6">
        <f t="shared" si="96"/>
        <v>8</v>
      </c>
      <c r="F788" s="6">
        <f t="shared" si="97"/>
        <v>17</v>
      </c>
      <c r="G788" s="6">
        <f>ROUND(Catalogue!G43*SQRT((1+Paramètres!$B$4*(C788-1)+Paramètres!$B$5*(C788-1)^2)),0)</f>
        <v>0</v>
      </c>
      <c r="H788" s="6">
        <f>ROUND(Catalogue!H43*SQRT((1+Paramètres!$B$4*(C788-1)+Paramètres!$B$5*(C788-1)^2)),0)</f>
        <v>0</v>
      </c>
      <c r="I788" s="6">
        <v>3</v>
      </c>
      <c r="J788" s="6">
        <v>2</v>
      </c>
      <c r="K788" s="7">
        <v>3.4</v>
      </c>
      <c r="L788" s="9">
        <f t="shared" si="98"/>
        <v>12.5</v>
      </c>
      <c r="M788">
        <v>1</v>
      </c>
      <c r="N788">
        <v>10</v>
      </c>
      <c r="O788">
        <v>7</v>
      </c>
      <c r="P788" s="13" t="str">
        <f t="shared" si="99"/>
        <v>1d10 + 7</v>
      </c>
      <c r="Q788">
        <f>ROUND(INDEX(Catalogue!E$4:E$85,MATCH(A788,Catalogue!A$4:A$85,0))*(1+Paramètres!$B$4*(C788-1)+Paramètres!$B$5*(C788-1)^2),0)</f>
        <v>8</v>
      </c>
      <c r="R788">
        <f>ROUND(INDEX(Catalogue!F$4:F$85,MATCH(A788,Catalogue!A$4:A$85,0))*(1+Paramètres!$B$4*(C788-1)+Paramètres!$B$5*(C788-1)^2),0)</f>
        <v>17</v>
      </c>
      <c r="S788">
        <f t="shared" si="100"/>
        <v>0</v>
      </c>
      <c r="T788" t="str">
        <f t="shared" si="101"/>
        <v>OK</v>
      </c>
      <c r="U788" s="25">
        <f t="shared" si="102"/>
        <v>12.5</v>
      </c>
      <c r="V788" t="str">
        <f t="shared" si="103"/>
        <v>OK</v>
      </c>
    </row>
    <row r="789" spans="1:22" ht="18" customHeight="1">
      <c r="A789" t="s">
        <v>220</v>
      </c>
      <c r="B789" t="s">
        <v>221</v>
      </c>
      <c r="C789">
        <v>6</v>
      </c>
      <c r="D789" t="s">
        <v>211</v>
      </c>
      <c r="E789" s="6">
        <f t="shared" si="96"/>
        <v>10</v>
      </c>
      <c r="F789" s="6">
        <f t="shared" si="97"/>
        <v>20</v>
      </c>
      <c r="G789" s="6">
        <f>ROUND(Catalogue!G43*SQRT((1+Paramètres!$B$4*(C789-1)+Paramètres!$B$5*(C789-1)^2)),0)</f>
        <v>0</v>
      </c>
      <c r="H789" s="6">
        <f>ROUND(Catalogue!H43*SQRT((1+Paramètres!$B$4*(C789-1)+Paramètres!$B$5*(C789-1)^2)),0)</f>
        <v>0</v>
      </c>
      <c r="I789" s="6">
        <v>3</v>
      </c>
      <c r="J789" s="6">
        <v>2</v>
      </c>
      <c r="K789" s="7">
        <v>3.4</v>
      </c>
      <c r="L789" s="9">
        <f t="shared" si="98"/>
        <v>15</v>
      </c>
      <c r="M789">
        <v>2</v>
      </c>
      <c r="N789">
        <v>6</v>
      </c>
      <c r="O789">
        <v>8</v>
      </c>
      <c r="P789" s="13" t="str">
        <f t="shared" si="99"/>
        <v>2d6 + 8</v>
      </c>
      <c r="Q789">
        <f>ROUND(INDEX(Catalogue!E$4:E$85,MATCH(A789,Catalogue!A$4:A$85,0))*(1+Paramètres!$B$4*(C789-1)+Paramètres!$B$5*(C789-1)^2),0)</f>
        <v>10</v>
      </c>
      <c r="R789">
        <f>ROUND(INDEX(Catalogue!F$4:F$85,MATCH(A789,Catalogue!A$4:A$85,0))*(1+Paramètres!$B$4*(C789-1)+Paramètres!$B$5*(C789-1)^2),0)</f>
        <v>20</v>
      </c>
      <c r="S789">
        <f t="shared" si="100"/>
        <v>0</v>
      </c>
      <c r="T789" t="str">
        <f t="shared" si="101"/>
        <v>OK</v>
      </c>
      <c r="U789" s="25">
        <f t="shared" si="102"/>
        <v>15</v>
      </c>
      <c r="V789" t="str">
        <f t="shared" si="103"/>
        <v>OK</v>
      </c>
    </row>
    <row r="790" spans="1:22" ht="18" customHeight="1">
      <c r="A790" t="s">
        <v>220</v>
      </c>
      <c r="B790" t="s">
        <v>221</v>
      </c>
      <c r="C790">
        <v>7</v>
      </c>
      <c r="D790" t="s">
        <v>211</v>
      </c>
      <c r="E790" s="6">
        <f t="shared" si="96"/>
        <v>11</v>
      </c>
      <c r="F790" s="6">
        <f t="shared" si="97"/>
        <v>22</v>
      </c>
      <c r="G790" s="6">
        <f>ROUND(Catalogue!G43*SQRT((1+Paramètres!$B$4*(C790-1)+Paramètres!$B$5*(C790-1)^2)),0)</f>
        <v>0</v>
      </c>
      <c r="H790" s="6">
        <f>ROUND(Catalogue!H43*SQRT((1+Paramètres!$B$4*(C790-1)+Paramètres!$B$5*(C790-1)^2)),0)</f>
        <v>0</v>
      </c>
      <c r="I790" s="6">
        <v>3</v>
      </c>
      <c r="J790" s="6">
        <v>2</v>
      </c>
      <c r="K790" s="7">
        <v>3.4</v>
      </c>
      <c r="L790" s="9">
        <f t="shared" si="98"/>
        <v>16.5</v>
      </c>
      <c r="M790">
        <v>1</v>
      </c>
      <c r="N790">
        <v>12</v>
      </c>
      <c r="O790">
        <v>10</v>
      </c>
      <c r="P790" s="13" t="str">
        <f t="shared" si="99"/>
        <v>1d12 + 10</v>
      </c>
      <c r="Q790">
        <f>ROUND(INDEX(Catalogue!E$4:E$85,MATCH(A790,Catalogue!A$4:A$85,0))*(1+Paramètres!$B$4*(C790-1)+Paramètres!$B$5*(C790-1)^2),0)</f>
        <v>11</v>
      </c>
      <c r="R790">
        <f>ROUND(INDEX(Catalogue!F$4:F$85,MATCH(A790,Catalogue!A$4:A$85,0))*(1+Paramètres!$B$4*(C790-1)+Paramètres!$B$5*(C790-1)^2),0)</f>
        <v>22</v>
      </c>
      <c r="S790">
        <f t="shared" si="100"/>
        <v>0</v>
      </c>
      <c r="T790" t="str">
        <f t="shared" si="101"/>
        <v>OK</v>
      </c>
      <c r="U790" s="25">
        <f t="shared" si="102"/>
        <v>16.5</v>
      </c>
      <c r="V790" t="str">
        <f t="shared" si="103"/>
        <v>OK</v>
      </c>
    </row>
    <row r="791" spans="1:22" ht="18" customHeight="1">
      <c r="A791" t="s">
        <v>220</v>
      </c>
      <c r="B791" t="s">
        <v>221</v>
      </c>
      <c r="C791">
        <v>8</v>
      </c>
      <c r="D791" t="s">
        <v>211</v>
      </c>
      <c r="E791" s="6">
        <f t="shared" si="96"/>
        <v>12</v>
      </c>
      <c r="F791" s="6">
        <f t="shared" si="97"/>
        <v>26</v>
      </c>
      <c r="G791" s="6">
        <f>ROUND(Catalogue!G43*SQRT((1+Paramètres!$B$4*(C791-1)+Paramètres!$B$5*(C791-1)^2)),0)</f>
        <v>0</v>
      </c>
      <c r="H791" s="6">
        <f>ROUND(Catalogue!H43*SQRT((1+Paramètres!$B$4*(C791-1)+Paramètres!$B$5*(C791-1)^2)),0)</f>
        <v>0</v>
      </c>
      <c r="I791" s="6">
        <v>3</v>
      </c>
      <c r="J791" s="6">
        <v>2</v>
      </c>
      <c r="K791" s="7">
        <v>3.4</v>
      </c>
      <c r="L791" s="9">
        <f t="shared" si="98"/>
        <v>19</v>
      </c>
      <c r="M791">
        <v>2</v>
      </c>
      <c r="N791">
        <v>8</v>
      </c>
      <c r="O791">
        <v>10</v>
      </c>
      <c r="P791" s="13" t="str">
        <f t="shared" si="99"/>
        <v>2d8 + 10</v>
      </c>
      <c r="Q791">
        <f>ROUND(INDEX(Catalogue!E$4:E$85,MATCH(A791,Catalogue!A$4:A$85,0))*(1+Paramètres!$B$4*(C791-1)+Paramètres!$B$5*(C791-1)^2),0)</f>
        <v>13</v>
      </c>
      <c r="R791">
        <f>ROUND(INDEX(Catalogue!F$4:F$85,MATCH(A791,Catalogue!A$4:A$85,0))*(1+Paramètres!$B$4*(C791-1)+Paramètres!$B$5*(C791-1)^2),0)</f>
        <v>26</v>
      </c>
      <c r="S791">
        <f t="shared" si="100"/>
        <v>-0.5</v>
      </c>
      <c r="T791" t="str">
        <f t="shared" si="101"/>
        <v>OK</v>
      </c>
      <c r="U791" s="25">
        <f t="shared" si="102"/>
        <v>19</v>
      </c>
      <c r="V791" t="str">
        <f t="shared" si="103"/>
        <v>OK</v>
      </c>
    </row>
    <row r="792" spans="1:22" ht="18" customHeight="1">
      <c r="A792" t="s">
        <v>220</v>
      </c>
      <c r="B792" t="s">
        <v>221</v>
      </c>
      <c r="C792">
        <v>9</v>
      </c>
      <c r="D792" t="s">
        <v>211</v>
      </c>
      <c r="E792" s="6">
        <f t="shared" si="96"/>
        <v>15</v>
      </c>
      <c r="F792" s="6">
        <f t="shared" si="97"/>
        <v>29</v>
      </c>
      <c r="G792" s="6">
        <f>ROUND(Catalogue!G43*SQRT((1+Paramètres!$B$4*(C792-1)+Paramètres!$B$5*(C792-1)^2)),0)</f>
        <v>0</v>
      </c>
      <c r="H792" s="6">
        <f>ROUND(Catalogue!H43*SQRT((1+Paramètres!$B$4*(C792-1)+Paramètres!$B$5*(C792-1)^2)),0)</f>
        <v>0</v>
      </c>
      <c r="I792" s="6">
        <v>3</v>
      </c>
      <c r="J792" s="6">
        <v>2</v>
      </c>
      <c r="K792" s="7">
        <v>3.4</v>
      </c>
      <c r="L792" s="9">
        <f t="shared" si="98"/>
        <v>22</v>
      </c>
      <c r="M792">
        <v>2</v>
      </c>
      <c r="N792">
        <v>8</v>
      </c>
      <c r="O792">
        <v>13</v>
      </c>
      <c r="P792" s="13" t="str">
        <f t="shared" si="99"/>
        <v>2d8 + 13</v>
      </c>
      <c r="Q792">
        <f>ROUND(INDEX(Catalogue!E$4:E$85,MATCH(A792,Catalogue!A$4:A$85,0))*(1+Paramètres!$B$4*(C792-1)+Paramètres!$B$5*(C792-1)^2),0)</f>
        <v>15</v>
      </c>
      <c r="R792">
        <f>ROUND(INDEX(Catalogue!F$4:F$85,MATCH(A792,Catalogue!A$4:A$85,0))*(1+Paramètres!$B$4*(C792-1)+Paramètres!$B$5*(C792-1)^2),0)</f>
        <v>29</v>
      </c>
      <c r="S792">
        <f t="shared" si="100"/>
        <v>0</v>
      </c>
      <c r="T792" t="str">
        <f t="shared" si="101"/>
        <v>OK</v>
      </c>
      <c r="U792" s="25">
        <f t="shared" si="102"/>
        <v>22</v>
      </c>
      <c r="V792" t="str">
        <f t="shared" si="103"/>
        <v>OK</v>
      </c>
    </row>
    <row r="793" spans="1:22" ht="18" customHeight="1">
      <c r="A793" t="s">
        <v>220</v>
      </c>
      <c r="B793" t="s">
        <v>221</v>
      </c>
      <c r="C793">
        <v>10</v>
      </c>
      <c r="D793" t="s">
        <v>211</v>
      </c>
      <c r="E793" s="6">
        <f t="shared" si="96"/>
        <v>15</v>
      </c>
      <c r="F793" s="6">
        <f t="shared" si="97"/>
        <v>33</v>
      </c>
      <c r="G793" s="6">
        <f>ROUND(Catalogue!G43*SQRT((1+Paramètres!$B$4*(C793-1)+Paramètres!$B$5*(C793-1)^2)),0)</f>
        <v>0</v>
      </c>
      <c r="H793" s="6">
        <f>ROUND(Catalogue!H43*SQRT((1+Paramètres!$B$4*(C793-1)+Paramètres!$B$5*(C793-1)^2)),0)</f>
        <v>0</v>
      </c>
      <c r="I793" s="6">
        <v>3</v>
      </c>
      <c r="J793" s="6">
        <v>2</v>
      </c>
      <c r="K793" s="7">
        <v>3.4</v>
      </c>
      <c r="L793" s="9">
        <f t="shared" si="98"/>
        <v>24</v>
      </c>
      <c r="M793">
        <v>2</v>
      </c>
      <c r="N793">
        <v>10</v>
      </c>
      <c r="O793">
        <v>13</v>
      </c>
      <c r="P793" s="13" t="str">
        <f t="shared" si="99"/>
        <v>2d10 + 13</v>
      </c>
      <c r="Q793">
        <f>ROUND(INDEX(Catalogue!E$4:E$85,MATCH(A793,Catalogue!A$4:A$85,0))*(1+Paramètres!$B$4*(C793-1)+Paramètres!$B$5*(C793-1)^2),0)</f>
        <v>16</v>
      </c>
      <c r="R793">
        <f>ROUND(INDEX(Catalogue!F$4:F$85,MATCH(A793,Catalogue!A$4:A$85,0))*(1+Paramètres!$B$4*(C793-1)+Paramètres!$B$5*(C793-1)^2),0)</f>
        <v>33</v>
      </c>
      <c r="S793">
        <f t="shared" si="100"/>
        <v>-0.5</v>
      </c>
      <c r="T793" t="str">
        <f t="shared" si="101"/>
        <v>OK</v>
      </c>
      <c r="U793" s="25">
        <f t="shared" si="102"/>
        <v>24</v>
      </c>
      <c r="V793" t="str">
        <f t="shared" si="103"/>
        <v>OK</v>
      </c>
    </row>
    <row r="794" spans="1:22" ht="18" customHeight="1">
      <c r="A794" t="s">
        <v>220</v>
      </c>
      <c r="B794" t="s">
        <v>221</v>
      </c>
      <c r="C794">
        <v>11</v>
      </c>
      <c r="D794" t="s">
        <v>211</v>
      </c>
      <c r="E794" s="6">
        <f t="shared" si="96"/>
        <v>19</v>
      </c>
      <c r="F794" s="6">
        <f t="shared" si="97"/>
        <v>37</v>
      </c>
      <c r="G794" s="6">
        <f>ROUND(Catalogue!G43*SQRT((1+Paramètres!$B$4*(C794-1)+Paramètres!$B$5*(C794-1)^2)),0)</f>
        <v>0</v>
      </c>
      <c r="H794" s="6">
        <f>ROUND(Catalogue!H43*SQRT((1+Paramètres!$B$4*(C794-1)+Paramètres!$B$5*(C794-1)^2)),0)</f>
        <v>0</v>
      </c>
      <c r="I794" s="6">
        <v>3</v>
      </c>
      <c r="J794" s="6">
        <v>2</v>
      </c>
      <c r="K794" s="7">
        <v>3.4</v>
      </c>
      <c r="L794" s="9">
        <f t="shared" si="98"/>
        <v>28</v>
      </c>
      <c r="M794">
        <v>2</v>
      </c>
      <c r="N794">
        <v>10</v>
      </c>
      <c r="O794">
        <v>17</v>
      </c>
      <c r="P794" s="13" t="str">
        <f t="shared" si="99"/>
        <v>2d10 + 17</v>
      </c>
      <c r="Q794">
        <f>ROUND(INDEX(Catalogue!E$4:E$85,MATCH(A794,Catalogue!A$4:A$85,0))*(1+Paramètres!$B$4*(C794-1)+Paramètres!$B$5*(C794-1)^2),0)</f>
        <v>19</v>
      </c>
      <c r="R794">
        <f>ROUND(INDEX(Catalogue!F$4:F$85,MATCH(A794,Catalogue!A$4:A$85,0))*(1+Paramètres!$B$4*(C794-1)+Paramètres!$B$5*(C794-1)^2),0)</f>
        <v>37</v>
      </c>
      <c r="S794">
        <f t="shared" si="100"/>
        <v>0</v>
      </c>
      <c r="T794" t="str">
        <f t="shared" si="101"/>
        <v>OK</v>
      </c>
      <c r="U794" s="25">
        <f t="shared" si="102"/>
        <v>28</v>
      </c>
      <c r="V794" t="str">
        <f t="shared" si="103"/>
        <v>OK</v>
      </c>
    </row>
    <row r="795" spans="1:22" ht="18" customHeight="1">
      <c r="A795" t="s">
        <v>220</v>
      </c>
      <c r="B795" t="s">
        <v>221</v>
      </c>
      <c r="C795">
        <v>12</v>
      </c>
      <c r="D795" t="s">
        <v>211</v>
      </c>
      <c r="E795" s="6">
        <f t="shared" si="96"/>
        <v>21</v>
      </c>
      <c r="F795" s="6">
        <f t="shared" si="97"/>
        <v>41</v>
      </c>
      <c r="G795" s="6">
        <f>ROUND(Catalogue!G43*SQRT((1+Paramètres!$B$4*(C795-1)+Paramètres!$B$5*(C795-1)^2)),0)</f>
        <v>0</v>
      </c>
      <c r="H795" s="6">
        <f>ROUND(Catalogue!H43*SQRT((1+Paramètres!$B$4*(C795-1)+Paramètres!$B$5*(C795-1)^2)),0)</f>
        <v>0</v>
      </c>
      <c r="I795" s="6">
        <v>3</v>
      </c>
      <c r="J795" s="6">
        <v>2</v>
      </c>
      <c r="K795" s="7">
        <v>3.4</v>
      </c>
      <c r="L795" s="9">
        <f t="shared" si="98"/>
        <v>31</v>
      </c>
      <c r="M795">
        <v>4</v>
      </c>
      <c r="N795">
        <v>6</v>
      </c>
      <c r="O795">
        <v>17</v>
      </c>
      <c r="P795" s="13" t="str">
        <f t="shared" si="99"/>
        <v>4d6 + 17</v>
      </c>
      <c r="Q795">
        <f>ROUND(INDEX(Catalogue!E$4:E$85,MATCH(A795,Catalogue!A$4:A$85,0))*(1+Paramètres!$B$4*(C795-1)+Paramètres!$B$5*(C795-1)^2),0)</f>
        <v>21</v>
      </c>
      <c r="R795">
        <f>ROUND(INDEX(Catalogue!F$4:F$85,MATCH(A795,Catalogue!A$4:A$85,0))*(1+Paramètres!$B$4*(C795-1)+Paramètres!$B$5*(C795-1)^2),0)</f>
        <v>41</v>
      </c>
      <c r="S795">
        <f t="shared" si="100"/>
        <v>0</v>
      </c>
      <c r="T795" t="str">
        <f t="shared" si="101"/>
        <v>OK</v>
      </c>
      <c r="U795" s="25">
        <f t="shared" si="102"/>
        <v>31</v>
      </c>
      <c r="V795" t="str">
        <f t="shared" si="103"/>
        <v>OK</v>
      </c>
    </row>
    <row r="796" spans="1:22" ht="18" customHeight="1">
      <c r="A796" t="s">
        <v>220</v>
      </c>
      <c r="B796" t="s">
        <v>221</v>
      </c>
      <c r="C796">
        <v>13</v>
      </c>
      <c r="D796" t="s">
        <v>211</v>
      </c>
      <c r="E796" s="6">
        <f t="shared" si="96"/>
        <v>23</v>
      </c>
      <c r="F796" s="6">
        <f t="shared" si="97"/>
        <v>45</v>
      </c>
      <c r="G796" s="6">
        <f>ROUND(Catalogue!G43*SQRT((1+Paramètres!$B$4*(C796-1)+Paramètres!$B$5*(C796-1)^2)),0)</f>
        <v>0</v>
      </c>
      <c r="H796" s="6">
        <f>ROUND(Catalogue!H43*SQRT((1+Paramètres!$B$4*(C796-1)+Paramètres!$B$5*(C796-1)^2)),0)</f>
        <v>0</v>
      </c>
      <c r="I796" s="6">
        <v>3</v>
      </c>
      <c r="J796" s="6">
        <v>2</v>
      </c>
      <c r="K796" s="7">
        <v>3.4</v>
      </c>
      <c r="L796" s="9">
        <f t="shared" si="98"/>
        <v>34</v>
      </c>
      <c r="M796">
        <v>2</v>
      </c>
      <c r="N796">
        <v>12</v>
      </c>
      <c r="O796">
        <v>21</v>
      </c>
      <c r="P796" s="13" t="str">
        <f t="shared" si="99"/>
        <v>2d12 + 21</v>
      </c>
      <c r="Q796">
        <f>ROUND(INDEX(Catalogue!E$4:E$85,MATCH(A796,Catalogue!A$4:A$85,0))*(1+Paramètres!$B$4*(C796-1)+Paramètres!$B$5*(C796-1)^2),0)</f>
        <v>23</v>
      </c>
      <c r="R796">
        <f>ROUND(INDEX(Catalogue!F$4:F$85,MATCH(A796,Catalogue!A$4:A$85,0))*(1+Paramètres!$B$4*(C796-1)+Paramètres!$B$5*(C796-1)^2),0)</f>
        <v>46</v>
      </c>
      <c r="S796">
        <f t="shared" si="100"/>
        <v>-0.5</v>
      </c>
      <c r="T796" t="str">
        <f t="shared" si="101"/>
        <v>OK</v>
      </c>
      <c r="U796" s="25">
        <f t="shared" si="102"/>
        <v>34</v>
      </c>
      <c r="V796" t="str">
        <f t="shared" si="103"/>
        <v>OK</v>
      </c>
    </row>
    <row r="797" spans="1:22" ht="18" customHeight="1">
      <c r="A797" t="s">
        <v>220</v>
      </c>
      <c r="B797" t="s">
        <v>221</v>
      </c>
      <c r="C797">
        <v>14</v>
      </c>
      <c r="D797" t="s">
        <v>211</v>
      </c>
      <c r="E797" s="6">
        <f t="shared" si="96"/>
        <v>26</v>
      </c>
      <c r="F797" s="6">
        <f t="shared" si="97"/>
        <v>51</v>
      </c>
      <c r="G797" s="6">
        <f>ROUND(Catalogue!G43*SQRT((1+Paramètres!$B$4*(C797-1)+Paramètres!$B$5*(C797-1)^2)),0)</f>
        <v>0</v>
      </c>
      <c r="H797" s="6">
        <f>ROUND(Catalogue!H43*SQRT((1+Paramètres!$B$4*(C797-1)+Paramètres!$B$5*(C797-1)^2)),0)</f>
        <v>0</v>
      </c>
      <c r="I797" s="6">
        <v>3</v>
      </c>
      <c r="J797" s="6">
        <v>2</v>
      </c>
      <c r="K797" s="7">
        <v>3.4</v>
      </c>
      <c r="L797" s="9">
        <f t="shared" si="98"/>
        <v>38.5</v>
      </c>
      <c r="M797">
        <v>5</v>
      </c>
      <c r="N797">
        <v>6</v>
      </c>
      <c r="O797">
        <v>21</v>
      </c>
      <c r="P797" s="13" t="str">
        <f t="shared" si="99"/>
        <v>5d6 + 21</v>
      </c>
      <c r="Q797">
        <f>ROUND(INDEX(Catalogue!E$4:E$85,MATCH(A797,Catalogue!A$4:A$85,0))*(1+Paramètres!$B$4*(C797-1)+Paramètres!$B$5*(C797-1)^2),0)</f>
        <v>26</v>
      </c>
      <c r="R797">
        <f>ROUND(INDEX(Catalogue!F$4:F$85,MATCH(A797,Catalogue!A$4:A$85,0))*(1+Paramètres!$B$4*(C797-1)+Paramètres!$B$5*(C797-1)^2),0)</f>
        <v>51</v>
      </c>
      <c r="S797">
        <f t="shared" si="100"/>
        <v>0</v>
      </c>
      <c r="T797" t="str">
        <f t="shared" si="101"/>
        <v>OK</v>
      </c>
      <c r="U797" s="25">
        <f t="shared" si="102"/>
        <v>38.5</v>
      </c>
      <c r="V797" t="str">
        <f t="shared" si="103"/>
        <v>OK</v>
      </c>
    </row>
    <row r="798" spans="1:22" ht="18" customHeight="1">
      <c r="A798" t="s">
        <v>220</v>
      </c>
      <c r="B798" t="s">
        <v>221</v>
      </c>
      <c r="C798">
        <v>15</v>
      </c>
      <c r="D798" t="s">
        <v>211</v>
      </c>
      <c r="E798" s="6">
        <f t="shared" si="96"/>
        <v>28</v>
      </c>
      <c r="F798" s="6">
        <f t="shared" si="97"/>
        <v>56</v>
      </c>
      <c r="G798" s="6">
        <f>ROUND(Catalogue!G43*SQRT((1+Paramètres!$B$4*(C798-1)+Paramètres!$B$5*(C798-1)^2)),0)</f>
        <v>0</v>
      </c>
      <c r="H798" s="6">
        <f>ROUND(Catalogue!H43*SQRT((1+Paramètres!$B$4*(C798-1)+Paramètres!$B$5*(C798-1)^2)),0)</f>
        <v>0</v>
      </c>
      <c r="I798" s="6">
        <v>3</v>
      </c>
      <c r="J798" s="6">
        <v>2</v>
      </c>
      <c r="K798" s="7">
        <v>3.4</v>
      </c>
      <c r="L798" s="9">
        <f t="shared" si="98"/>
        <v>42</v>
      </c>
      <c r="M798">
        <v>4</v>
      </c>
      <c r="N798">
        <v>8</v>
      </c>
      <c r="O798">
        <v>24</v>
      </c>
      <c r="P798" s="13" t="str">
        <f t="shared" si="99"/>
        <v>4d8 + 24</v>
      </c>
      <c r="Q798">
        <f>ROUND(INDEX(Catalogue!E$4:E$85,MATCH(A798,Catalogue!A$4:A$85,0))*(1+Paramètres!$B$4*(C798-1)+Paramètres!$B$5*(C798-1)^2),0)</f>
        <v>28</v>
      </c>
      <c r="R798">
        <f>ROUND(INDEX(Catalogue!F$4:F$85,MATCH(A798,Catalogue!A$4:A$85,0))*(1+Paramètres!$B$4*(C798-1)+Paramètres!$B$5*(C798-1)^2),0)</f>
        <v>57</v>
      </c>
      <c r="S798">
        <f t="shared" si="100"/>
        <v>-0.5</v>
      </c>
      <c r="T798" t="str">
        <f t="shared" si="101"/>
        <v>OK</v>
      </c>
      <c r="U798" s="25">
        <f t="shared" si="102"/>
        <v>42</v>
      </c>
      <c r="V798" t="str">
        <f t="shared" si="103"/>
        <v>OK</v>
      </c>
    </row>
    <row r="799" spans="1:22" ht="18" customHeight="1">
      <c r="A799" t="s">
        <v>220</v>
      </c>
      <c r="B799" t="s">
        <v>221</v>
      </c>
      <c r="C799">
        <v>16</v>
      </c>
      <c r="D799" t="s">
        <v>211</v>
      </c>
      <c r="E799" s="6">
        <f t="shared" si="96"/>
        <v>30</v>
      </c>
      <c r="F799" s="6">
        <f t="shared" si="97"/>
        <v>63</v>
      </c>
      <c r="G799" s="6">
        <f>ROUND(Catalogue!G43*SQRT((1+Paramètres!$B$4*(C799-1)+Paramètres!$B$5*(C799-1)^2)),0)</f>
        <v>0</v>
      </c>
      <c r="H799" s="6">
        <f>ROUND(Catalogue!H43*SQRT((1+Paramètres!$B$4*(C799-1)+Paramètres!$B$5*(C799-1)^2)),0)</f>
        <v>0</v>
      </c>
      <c r="I799" s="6">
        <v>3</v>
      </c>
      <c r="J799" s="6">
        <v>2</v>
      </c>
      <c r="K799" s="7">
        <v>3.4</v>
      </c>
      <c r="L799" s="9">
        <f t="shared" si="98"/>
        <v>46.5</v>
      </c>
      <c r="M799">
        <v>3</v>
      </c>
      <c r="N799">
        <v>12</v>
      </c>
      <c r="O799">
        <v>27</v>
      </c>
      <c r="P799" s="13" t="str">
        <f t="shared" si="99"/>
        <v>3d12 + 27</v>
      </c>
      <c r="Q799">
        <f>ROUND(INDEX(Catalogue!E$4:E$85,MATCH(A799,Catalogue!A$4:A$85,0))*(1+Paramètres!$B$4*(C799-1)+Paramètres!$B$5*(C799-1)^2),0)</f>
        <v>31</v>
      </c>
      <c r="R799">
        <f>ROUND(INDEX(Catalogue!F$4:F$85,MATCH(A799,Catalogue!A$4:A$85,0))*(1+Paramètres!$B$4*(C799-1)+Paramètres!$B$5*(C799-1)^2),0)</f>
        <v>63</v>
      </c>
      <c r="S799">
        <f t="shared" si="100"/>
        <v>-0.5</v>
      </c>
      <c r="T799" t="str">
        <f t="shared" si="101"/>
        <v>OK</v>
      </c>
      <c r="U799" s="25">
        <f t="shared" si="102"/>
        <v>46.5</v>
      </c>
      <c r="V799" t="str">
        <f t="shared" si="103"/>
        <v>OK</v>
      </c>
    </row>
    <row r="800" spans="1:22" ht="18" customHeight="1">
      <c r="A800" t="s">
        <v>220</v>
      </c>
      <c r="B800" t="s">
        <v>221</v>
      </c>
      <c r="C800">
        <v>17</v>
      </c>
      <c r="D800" t="s">
        <v>211</v>
      </c>
      <c r="E800" s="6">
        <f t="shared" si="96"/>
        <v>34</v>
      </c>
      <c r="F800" s="6">
        <f t="shared" si="97"/>
        <v>69</v>
      </c>
      <c r="G800" s="6">
        <f>ROUND(Catalogue!G43*SQRT((1+Paramètres!$B$4*(C800-1)+Paramètres!$B$5*(C800-1)^2)),0)</f>
        <v>0</v>
      </c>
      <c r="H800" s="6">
        <f>ROUND(Catalogue!H43*SQRT((1+Paramètres!$B$4*(C800-1)+Paramètres!$B$5*(C800-1)^2)),0)</f>
        <v>0</v>
      </c>
      <c r="I800" s="6">
        <v>3</v>
      </c>
      <c r="J800" s="6">
        <v>2</v>
      </c>
      <c r="K800" s="7">
        <v>3.4</v>
      </c>
      <c r="L800" s="9">
        <f t="shared" si="98"/>
        <v>51.5</v>
      </c>
      <c r="M800">
        <v>5</v>
      </c>
      <c r="N800">
        <v>8</v>
      </c>
      <c r="O800">
        <v>29</v>
      </c>
      <c r="P800" s="13" t="str">
        <f t="shared" si="99"/>
        <v>5d8 + 29</v>
      </c>
      <c r="Q800">
        <f>ROUND(INDEX(Catalogue!E$4:E$85,MATCH(A800,Catalogue!A$4:A$85,0))*(1+Paramètres!$B$4*(C800-1)+Paramètres!$B$5*(C800-1)^2),0)</f>
        <v>34</v>
      </c>
      <c r="R800">
        <f>ROUND(INDEX(Catalogue!F$4:F$85,MATCH(A800,Catalogue!A$4:A$85,0))*(1+Paramètres!$B$4*(C800-1)+Paramètres!$B$5*(C800-1)^2),0)</f>
        <v>69</v>
      </c>
      <c r="S800">
        <f t="shared" si="100"/>
        <v>0</v>
      </c>
      <c r="T800" t="str">
        <f t="shared" si="101"/>
        <v>OK</v>
      </c>
      <c r="U800" s="25">
        <f t="shared" si="102"/>
        <v>51.5</v>
      </c>
      <c r="V800" t="str">
        <f t="shared" si="103"/>
        <v>OK</v>
      </c>
    </row>
    <row r="801" spans="1:22" ht="18" customHeight="1">
      <c r="A801" t="s">
        <v>220</v>
      </c>
      <c r="B801" t="s">
        <v>221</v>
      </c>
      <c r="C801">
        <v>18</v>
      </c>
      <c r="D801" t="s">
        <v>211</v>
      </c>
      <c r="E801" s="6">
        <f t="shared" si="96"/>
        <v>38</v>
      </c>
      <c r="F801" s="6">
        <f t="shared" si="97"/>
        <v>74</v>
      </c>
      <c r="G801" s="6">
        <f>ROUND(Catalogue!G43*SQRT((1+Paramètres!$B$4*(C801-1)+Paramètres!$B$5*(C801-1)^2)),0)</f>
        <v>0</v>
      </c>
      <c r="H801" s="6">
        <f>ROUND(Catalogue!H43*SQRT((1+Paramètres!$B$4*(C801-1)+Paramètres!$B$5*(C801-1)^2)),0)</f>
        <v>0</v>
      </c>
      <c r="I801" s="6">
        <v>3</v>
      </c>
      <c r="J801" s="6">
        <v>2</v>
      </c>
      <c r="K801" s="7">
        <v>3.4</v>
      </c>
      <c r="L801" s="9">
        <f t="shared" si="98"/>
        <v>56</v>
      </c>
      <c r="M801">
        <v>4</v>
      </c>
      <c r="N801">
        <v>10</v>
      </c>
      <c r="O801">
        <v>34</v>
      </c>
      <c r="P801" s="13" t="str">
        <f t="shared" si="99"/>
        <v>4d10 + 34</v>
      </c>
      <c r="Q801">
        <f>ROUND(INDEX(Catalogue!E$4:E$85,MATCH(A801,Catalogue!A$4:A$85,0))*(1+Paramètres!$B$4*(C801-1)+Paramètres!$B$5*(C801-1)^2),0)</f>
        <v>37</v>
      </c>
      <c r="R801">
        <f>ROUND(INDEX(Catalogue!F$4:F$85,MATCH(A801,Catalogue!A$4:A$85,0))*(1+Paramètres!$B$4*(C801-1)+Paramètres!$B$5*(C801-1)^2),0)</f>
        <v>75</v>
      </c>
      <c r="S801">
        <f t="shared" si="100"/>
        <v>0</v>
      </c>
      <c r="T801" t="str">
        <f t="shared" si="101"/>
        <v>OK</v>
      </c>
      <c r="U801" s="25">
        <f t="shared" si="102"/>
        <v>56</v>
      </c>
      <c r="V801" t="str">
        <f t="shared" si="103"/>
        <v>OK</v>
      </c>
    </row>
    <row r="802" spans="1:22" ht="18" customHeight="1">
      <c r="A802" t="s">
        <v>220</v>
      </c>
      <c r="B802" t="s">
        <v>221</v>
      </c>
      <c r="C802">
        <v>19</v>
      </c>
      <c r="D802" t="s">
        <v>211</v>
      </c>
      <c r="E802" s="6">
        <f t="shared" si="96"/>
        <v>40</v>
      </c>
      <c r="F802" s="6">
        <f t="shared" si="97"/>
        <v>82</v>
      </c>
      <c r="G802" s="6">
        <f>ROUND(Catalogue!G43*SQRT((1+Paramètres!$B$4*(C802-1)+Paramètres!$B$5*(C802-1)^2)),0)</f>
        <v>0</v>
      </c>
      <c r="H802" s="6">
        <f>ROUND(Catalogue!H43*SQRT((1+Paramètres!$B$4*(C802-1)+Paramètres!$B$5*(C802-1)^2)),0)</f>
        <v>0</v>
      </c>
      <c r="I802" s="6">
        <v>3</v>
      </c>
      <c r="J802" s="6">
        <v>2</v>
      </c>
      <c r="K802" s="7">
        <v>3.4</v>
      </c>
      <c r="L802" s="9">
        <f t="shared" si="98"/>
        <v>61</v>
      </c>
      <c r="M802">
        <v>6</v>
      </c>
      <c r="N802">
        <v>8</v>
      </c>
      <c r="O802">
        <v>34</v>
      </c>
      <c r="P802" s="13" t="str">
        <f t="shared" si="99"/>
        <v>6d8 + 34</v>
      </c>
      <c r="Q802">
        <f>ROUND(INDEX(Catalogue!E$4:E$85,MATCH(A802,Catalogue!A$4:A$85,0))*(1+Paramètres!$B$4*(C802-1)+Paramètres!$B$5*(C802-1)^2),0)</f>
        <v>41</v>
      </c>
      <c r="R802">
        <f>ROUND(INDEX(Catalogue!F$4:F$85,MATCH(A802,Catalogue!A$4:A$85,0))*(1+Paramètres!$B$4*(C802-1)+Paramètres!$B$5*(C802-1)^2),0)</f>
        <v>82</v>
      </c>
      <c r="S802">
        <f t="shared" si="100"/>
        <v>-0.5</v>
      </c>
      <c r="T802" t="str">
        <f t="shared" si="101"/>
        <v>OK</v>
      </c>
      <c r="U802" s="25">
        <f t="shared" si="102"/>
        <v>61</v>
      </c>
      <c r="V802" t="str">
        <f t="shared" si="103"/>
        <v>OK</v>
      </c>
    </row>
    <row r="803" spans="1:22" ht="18" customHeight="1">
      <c r="A803" t="s">
        <v>220</v>
      </c>
      <c r="B803" t="s">
        <v>221</v>
      </c>
      <c r="C803">
        <v>20</v>
      </c>
      <c r="D803" t="s">
        <v>211</v>
      </c>
      <c r="E803" s="6">
        <f t="shared" si="96"/>
        <v>44</v>
      </c>
      <c r="F803" s="6">
        <f t="shared" si="97"/>
        <v>89</v>
      </c>
      <c r="G803" s="6">
        <f>ROUND(Catalogue!G43*SQRT((1+Paramètres!$B$4*(C803-1)+Paramètres!$B$5*(C803-1)^2)),0)</f>
        <v>0</v>
      </c>
      <c r="H803" s="6">
        <f>ROUND(Catalogue!H43*SQRT((1+Paramètres!$B$4*(C803-1)+Paramètres!$B$5*(C803-1)^2)),0)</f>
        <v>0</v>
      </c>
      <c r="I803" s="6">
        <v>3</v>
      </c>
      <c r="J803" s="6">
        <v>2</v>
      </c>
      <c r="K803" s="7">
        <v>3.4</v>
      </c>
      <c r="L803" s="9">
        <f t="shared" si="98"/>
        <v>66.5</v>
      </c>
      <c r="M803">
        <v>5</v>
      </c>
      <c r="N803">
        <v>10</v>
      </c>
      <c r="O803">
        <v>39</v>
      </c>
      <c r="P803" s="13" t="str">
        <f t="shared" si="99"/>
        <v>5d10 + 39</v>
      </c>
      <c r="Q803">
        <f>ROUND(INDEX(Catalogue!E$4:E$85,MATCH(A803,Catalogue!A$4:A$85,0))*(1+Paramètres!$B$4*(C803-1)+Paramètres!$B$5*(C803-1)^2),0)</f>
        <v>44</v>
      </c>
      <c r="R803">
        <f>ROUND(INDEX(Catalogue!F$4:F$85,MATCH(A803,Catalogue!A$4:A$85,0))*(1+Paramètres!$B$4*(C803-1)+Paramètres!$B$5*(C803-1)^2),0)</f>
        <v>89</v>
      </c>
      <c r="S803">
        <f t="shared" si="100"/>
        <v>0</v>
      </c>
      <c r="T803" t="str">
        <f t="shared" si="101"/>
        <v>OK</v>
      </c>
      <c r="U803" s="25">
        <f t="shared" si="102"/>
        <v>66.5</v>
      </c>
      <c r="V803" t="str">
        <f t="shared" si="103"/>
        <v>OK</v>
      </c>
    </row>
    <row r="804" spans="1:22" ht="18" customHeight="1">
      <c r="A804" t="s">
        <v>224</v>
      </c>
      <c r="B804" t="s">
        <v>225</v>
      </c>
      <c r="C804">
        <v>1</v>
      </c>
      <c r="D804" t="s">
        <v>211</v>
      </c>
      <c r="E804" s="6">
        <f t="shared" si="96"/>
        <v>7</v>
      </c>
      <c r="F804" s="6">
        <f t="shared" si="97"/>
        <v>12</v>
      </c>
      <c r="G804" s="6">
        <f>ROUND(Catalogue!G44*SQRT((1+Paramètres!$B$4*(C804-1)+Paramètres!$B$5*(C804-1)^2)),0)</f>
        <v>0</v>
      </c>
      <c r="H804" s="6">
        <f>ROUND(Catalogue!H44*SQRT((1+Paramètres!$B$4*(C804-1)+Paramètres!$B$5*(C804-1)^2)),0)</f>
        <v>0</v>
      </c>
      <c r="I804" s="6">
        <v>3</v>
      </c>
      <c r="J804" s="6">
        <v>2</v>
      </c>
      <c r="K804" s="7">
        <v>4.7</v>
      </c>
      <c r="L804" s="9">
        <f t="shared" si="98"/>
        <v>9.5</v>
      </c>
      <c r="M804">
        <v>1</v>
      </c>
      <c r="N804">
        <v>6</v>
      </c>
      <c r="O804">
        <v>6</v>
      </c>
      <c r="P804" s="13" t="str">
        <f t="shared" si="99"/>
        <v>1d6 + 6</v>
      </c>
      <c r="Q804">
        <f>ROUND(INDEX(Catalogue!E$4:E$85,MATCH(A804,Catalogue!A$4:A$85,0))*(1+Paramètres!$B$4*(C804-1)+Paramètres!$B$5*(C804-1)^2),0)</f>
        <v>7</v>
      </c>
      <c r="R804">
        <f>ROUND(INDEX(Catalogue!F$4:F$85,MATCH(A804,Catalogue!A$4:A$85,0))*(1+Paramètres!$B$4*(C804-1)+Paramètres!$B$5*(C804-1)^2),0)</f>
        <v>12</v>
      </c>
      <c r="S804">
        <f t="shared" si="100"/>
        <v>0</v>
      </c>
      <c r="T804" t="str">
        <f t="shared" si="101"/>
        <v>OK</v>
      </c>
      <c r="U804" s="25">
        <f t="shared" si="102"/>
        <v>9.5</v>
      </c>
      <c r="V804" t="str">
        <f t="shared" si="103"/>
        <v>OK</v>
      </c>
    </row>
    <row r="805" spans="1:22" ht="18" customHeight="1">
      <c r="A805" t="s">
        <v>224</v>
      </c>
      <c r="B805" t="s">
        <v>225</v>
      </c>
      <c r="C805">
        <v>2</v>
      </c>
      <c r="D805" t="s">
        <v>211</v>
      </c>
      <c r="E805" s="6">
        <f t="shared" si="96"/>
        <v>9</v>
      </c>
      <c r="F805" s="6">
        <f t="shared" si="97"/>
        <v>14</v>
      </c>
      <c r="G805" s="6">
        <f>ROUND(Catalogue!G44*SQRT((1+Paramètres!$B$4*(C805-1)+Paramètres!$B$5*(C805-1)^2)),0)</f>
        <v>0</v>
      </c>
      <c r="H805" s="6">
        <f>ROUND(Catalogue!H44*SQRT((1+Paramètres!$B$4*(C805-1)+Paramètres!$B$5*(C805-1)^2)),0)</f>
        <v>0</v>
      </c>
      <c r="I805" s="6">
        <v>3</v>
      </c>
      <c r="J805" s="6">
        <v>2</v>
      </c>
      <c r="K805" s="7">
        <v>4.7</v>
      </c>
      <c r="L805" s="9">
        <f t="shared" si="98"/>
        <v>11.5</v>
      </c>
      <c r="M805">
        <v>1</v>
      </c>
      <c r="N805">
        <v>6</v>
      </c>
      <c r="O805">
        <v>8</v>
      </c>
      <c r="P805" s="13" t="str">
        <f t="shared" si="99"/>
        <v>1d6 + 8</v>
      </c>
      <c r="Q805">
        <f>ROUND(INDEX(Catalogue!E$4:E$85,MATCH(A805,Catalogue!A$4:A$85,0))*(1+Paramètres!$B$4*(C805-1)+Paramètres!$B$5*(C805-1)^2),0)</f>
        <v>8</v>
      </c>
      <c r="R805">
        <f>ROUND(INDEX(Catalogue!F$4:F$85,MATCH(A805,Catalogue!A$4:A$85,0))*(1+Paramètres!$B$4*(C805-1)+Paramètres!$B$5*(C805-1)^2),0)</f>
        <v>14</v>
      </c>
      <c r="S805">
        <f t="shared" si="100"/>
        <v>0.5</v>
      </c>
      <c r="T805" t="str">
        <f t="shared" si="101"/>
        <v>OK</v>
      </c>
      <c r="U805" s="25">
        <f t="shared" si="102"/>
        <v>11.5</v>
      </c>
      <c r="V805" t="str">
        <f t="shared" si="103"/>
        <v>OK</v>
      </c>
    </row>
    <row r="806" spans="1:22" ht="18" customHeight="1">
      <c r="A806" t="s">
        <v>224</v>
      </c>
      <c r="B806" t="s">
        <v>225</v>
      </c>
      <c r="C806">
        <v>3</v>
      </c>
      <c r="D806" t="s">
        <v>211</v>
      </c>
      <c r="E806" s="6">
        <f t="shared" si="96"/>
        <v>9</v>
      </c>
      <c r="F806" s="6">
        <f t="shared" si="97"/>
        <v>14</v>
      </c>
      <c r="G806" s="6">
        <f>ROUND(Catalogue!G44*SQRT((1+Paramètres!$B$4*(C806-1)+Paramètres!$B$5*(C806-1)^2)),0)</f>
        <v>0</v>
      </c>
      <c r="H806" s="6">
        <f>ROUND(Catalogue!H44*SQRT((1+Paramètres!$B$4*(C806-1)+Paramètres!$B$5*(C806-1)^2)),0)</f>
        <v>0</v>
      </c>
      <c r="I806" s="6">
        <v>3</v>
      </c>
      <c r="J806" s="6">
        <v>2</v>
      </c>
      <c r="K806" s="7">
        <v>4.7</v>
      </c>
      <c r="L806" s="9">
        <f t="shared" si="98"/>
        <v>11.5</v>
      </c>
      <c r="M806">
        <v>1</v>
      </c>
      <c r="N806">
        <v>6</v>
      </c>
      <c r="O806">
        <v>8</v>
      </c>
      <c r="P806" s="13" t="str">
        <f t="shared" si="99"/>
        <v>1d6 + 8</v>
      </c>
      <c r="Q806">
        <f>ROUND(INDEX(Catalogue!E$4:E$85,MATCH(A806,Catalogue!A$4:A$85,0))*(1+Paramètres!$B$4*(C806-1)+Paramètres!$B$5*(C806-1)^2),0)</f>
        <v>9</v>
      </c>
      <c r="R806">
        <f>ROUND(INDEX(Catalogue!F$4:F$85,MATCH(A806,Catalogue!A$4:A$85,0))*(1+Paramètres!$B$4*(C806-1)+Paramètres!$B$5*(C806-1)^2),0)</f>
        <v>15</v>
      </c>
      <c r="S806">
        <f t="shared" si="100"/>
        <v>-0.5</v>
      </c>
      <c r="T806" t="str">
        <f t="shared" si="101"/>
        <v>OK</v>
      </c>
      <c r="U806" s="25">
        <f t="shared" si="102"/>
        <v>11.5</v>
      </c>
      <c r="V806" t="str">
        <f t="shared" si="103"/>
        <v>OK</v>
      </c>
    </row>
    <row r="807" spans="1:22" ht="18" customHeight="1">
      <c r="A807" t="s">
        <v>224</v>
      </c>
      <c r="B807" t="s">
        <v>225</v>
      </c>
      <c r="C807">
        <v>4</v>
      </c>
      <c r="D807" t="s">
        <v>211</v>
      </c>
      <c r="E807" s="6">
        <f t="shared" si="96"/>
        <v>10</v>
      </c>
      <c r="F807" s="6">
        <f t="shared" si="97"/>
        <v>17</v>
      </c>
      <c r="G807" s="6">
        <f>ROUND(Catalogue!G44*SQRT((1+Paramètres!$B$4*(C807-1)+Paramètres!$B$5*(C807-1)^2)),0)</f>
        <v>0</v>
      </c>
      <c r="H807" s="6">
        <f>ROUND(Catalogue!H44*SQRT((1+Paramètres!$B$4*(C807-1)+Paramètres!$B$5*(C807-1)^2)),0)</f>
        <v>0</v>
      </c>
      <c r="I807" s="6">
        <v>3</v>
      </c>
      <c r="J807" s="6">
        <v>2</v>
      </c>
      <c r="K807" s="7">
        <v>4.7</v>
      </c>
      <c r="L807" s="9">
        <f t="shared" si="98"/>
        <v>13.5</v>
      </c>
      <c r="M807">
        <v>1</v>
      </c>
      <c r="N807">
        <v>8</v>
      </c>
      <c r="O807">
        <v>9</v>
      </c>
      <c r="P807" s="13" t="str">
        <f t="shared" si="99"/>
        <v>1d8 + 9</v>
      </c>
      <c r="Q807">
        <f>ROUND(INDEX(Catalogue!E$4:E$85,MATCH(A807,Catalogue!A$4:A$85,0))*(1+Paramètres!$B$4*(C807-1)+Paramètres!$B$5*(C807-1)^2),0)</f>
        <v>10</v>
      </c>
      <c r="R807">
        <f>ROUND(INDEX(Catalogue!F$4:F$85,MATCH(A807,Catalogue!A$4:A$85,0))*(1+Paramètres!$B$4*(C807-1)+Paramètres!$B$5*(C807-1)^2),0)</f>
        <v>18</v>
      </c>
      <c r="S807">
        <f t="shared" si="100"/>
        <v>-0.5</v>
      </c>
      <c r="T807" t="str">
        <f t="shared" si="101"/>
        <v>OK</v>
      </c>
      <c r="U807" s="25">
        <f t="shared" si="102"/>
        <v>13.5</v>
      </c>
      <c r="V807" t="str">
        <f t="shared" si="103"/>
        <v>OK</v>
      </c>
    </row>
    <row r="808" spans="1:22" ht="18" customHeight="1">
      <c r="A808" t="s">
        <v>224</v>
      </c>
      <c r="B808" t="s">
        <v>225</v>
      </c>
      <c r="C808">
        <v>5</v>
      </c>
      <c r="D808" t="s">
        <v>211</v>
      </c>
      <c r="E808" s="6">
        <f t="shared" si="96"/>
        <v>12</v>
      </c>
      <c r="F808" s="6">
        <f t="shared" si="97"/>
        <v>19</v>
      </c>
      <c r="G808" s="6">
        <f>ROUND(Catalogue!G44*SQRT((1+Paramètres!$B$4*(C808-1)+Paramètres!$B$5*(C808-1)^2)),0)</f>
        <v>0</v>
      </c>
      <c r="H808" s="6">
        <f>ROUND(Catalogue!H44*SQRT((1+Paramètres!$B$4*(C808-1)+Paramètres!$B$5*(C808-1)^2)),0)</f>
        <v>0</v>
      </c>
      <c r="I808" s="6">
        <v>3</v>
      </c>
      <c r="J808" s="6">
        <v>2</v>
      </c>
      <c r="K808" s="7">
        <v>4.7</v>
      </c>
      <c r="L808" s="9">
        <f t="shared" si="98"/>
        <v>15.5</v>
      </c>
      <c r="M808">
        <v>1</v>
      </c>
      <c r="N808">
        <v>8</v>
      </c>
      <c r="O808">
        <v>11</v>
      </c>
      <c r="P808" s="13" t="str">
        <f t="shared" si="99"/>
        <v>1d8 + 11</v>
      </c>
      <c r="Q808">
        <f>ROUND(INDEX(Catalogue!E$4:E$85,MATCH(A808,Catalogue!A$4:A$85,0))*(1+Paramètres!$B$4*(C808-1)+Paramètres!$B$5*(C808-1)^2),0)</f>
        <v>12</v>
      </c>
      <c r="R808">
        <f>ROUND(INDEX(Catalogue!F$4:F$85,MATCH(A808,Catalogue!A$4:A$85,0))*(1+Paramètres!$B$4*(C808-1)+Paramètres!$B$5*(C808-1)^2),0)</f>
        <v>20</v>
      </c>
      <c r="S808">
        <f t="shared" si="100"/>
        <v>-0.5</v>
      </c>
      <c r="T808" t="str">
        <f t="shared" si="101"/>
        <v>OK</v>
      </c>
      <c r="U808" s="25">
        <f t="shared" si="102"/>
        <v>15.5</v>
      </c>
      <c r="V808" t="str">
        <f t="shared" si="103"/>
        <v>OK</v>
      </c>
    </row>
    <row r="809" spans="1:22" ht="18" customHeight="1">
      <c r="A809" t="s">
        <v>224</v>
      </c>
      <c r="B809" t="s">
        <v>225</v>
      </c>
      <c r="C809">
        <v>6</v>
      </c>
      <c r="D809" t="s">
        <v>211</v>
      </c>
      <c r="E809" s="6">
        <f t="shared" si="96"/>
        <v>14</v>
      </c>
      <c r="F809" s="6">
        <f t="shared" si="97"/>
        <v>23</v>
      </c>
      <c r="G809" s="6">
        <f>ROUND(Catalogue!G44*SQRT((1+Paramètres!$B$4*(C809-1)+Paramètres!$B$5*(C809-1)^2)),0)</f>
        <v>0</v>
      </c>
      <c r="H809" s="6">
        <f>ROUND(Catalogue!H44*SQRT((1+Paramètres!$B$4*(C809-1)+Paramètres!$B$5*(C809-1)^2)),0)</f>
        <v>0</v>
      </c>
      <c r="I809" s="6">
        <v>3</v>
      </c>
      <c r="J809" s="6">
        <v>2</v>
      </c>
      <c r="K809" s="7">
        <v>4.7</v>
      </c>
      <c r="L809" s="9">
        <f t="shared" si="98"/>
        <v>18.5</v>
      </c>
      <c r="M809">
        <v>1</v>
      </c>
      <c r="N809">
        <v>10</v>
      </c>
      <c r="O809">
        <v>13</v>
      </c>
      <c r="P809" s="13" t="str">
        <f t="shared" si="99"/>
        <v>1d10 + 13</v>
      </c>
      <c r="Q809">
        <f>ROUND(INDEX(Catalogue!E$4:E$85,MATCH(A809,Catalogue!A$4:A$85,0))*(1+Paramètres!$B$4*(C809-1)+Paramètres!$B$5*(C809-1)^2),0)</f>
        <v>14</v>
      </c>
      <c r="R809">
        <f>ROUND(INDEX(Catalogue!F$4:F$85,MATCH(A809,Catalogue!A$4:A$85,0))*(1+Paramètres!$B$4*(C809-1)+Paramètres!$B$5*(C809-1)^2),0)</f>
        <v>23</v>
      </c>
      <c r="S809">
        <f t="shared" si="100"/>
        <v>0</v>
      </c>
      <c r="T809" t="str">
        <f t="shared" si="101"/>
        <v>OK</v>
      </c>
      <c r="U809" s="25">
        <f t="shared" si="102"/>
        <v>18.5</v>
      </c>
      <c r="V809" t="str">
        <f t="shared" si="103"/>
        <v>OK</v>
      </c>
    </row>
    <row r="810" spans="1:22" ht="18" customHeight="1">
      <c r="A810" t="s">
        <v>224</v>
      </c>
      <c r="B810" t="s">
        <v>225</v>
      </c>
      <c r="C810">
        <v>7</v>
      </c>
      <c r="D810" t="s">
        <v>211</v>
      </c>
      <c r="E810" s="6">
        <f t="shared" si="96"/>
        <v>16</v>
      </c>
      <c r="F810" s="6">
        <f t="shared" si="97"/>
        <v>27</v>
      </c>
      <c r="G810" s="6">
        <f>ROUND(Catalogue!G44*SQRT((1+Paramètres!$B$4*(C810-1)+Paramètres!$B$5*(C810-1)^2)),0)</f>
        <v>0</v>
      </c>
      <c r="H810" s="6">
        <f>ROUND(Catalogue!H44*SQRT((1+Paramètres!$B$4*(C810-1)+Paramètres!$B$5*(C810-1)^2)),0)</f>
        <v>0</v>
      </c>
      <c r="I810" s="6">
        <v>3</v>
      </c>
      <c r="J810" s="6">
        <v>2</v>
      </c>
      <c r="K810" s="7">
        <v>4.7</v>
      </c>
      <c r="L810" s="9">
        <f t="shared" si="98"/>
        <v>21.5</v>
      </c>
      <c r="M810">
        <v>1</v>
      </c>
      <c r="N810">
        <v>12</v>
      </c>
      <c r="O810">
        <v>15</v>
      </c>
      <c r="P810" s="13" t="str">
        <f t="shared" si="99"/>
        <v>1d12 + 15</v>
      </c>
      <c r="Q810">
        <f>ROUND(INDEX(Catalogue!E$4:E$85,MATCH(A810,Catalogue!A$4:A$85,0))*(1+Paramètres!$B$4*(C810-1)+Paramètres!$B$5*(C810-1)^2),0)</f>
        <v>16</v>
      </c>
      <c r="R810">
        <f>ROUND(INDEX(Catalogue!F$4:F$85,MATCH(A810,Catalogue!A$4:A$85,0))*(1+Paramètres!$B$4*(C810-1)+Paramètres!$B$5*(C810-1)^2),0)</f>
        <v>27</v>
      </c>
      <c r="S810">
        <f t="shared" si="100"/>
        <v>0</v>
      </c>
      <c r="T810" t="str">
        <f t="shared" si="101"/>
        <v>OK</v>
      </c>
      <c r="U810" s="25">
        <f t="shared" si="102"/>
        <v>21.5</v>
      </c>
      <c r="V810" t="str">
        <f t="shared" si="103"/>
        <v>OK</v>
      </c>
    </row>
    <row r="811" spans="1:22" ht="18" customHeight="1">
      <c r="A811" t="s">
        <v>224</v>
      </c>
      <c r="B811" t="s">
        <v>225</v>
      </c>
      <c r="C811">
        <v>8</v>
      </c>
      <c r="D811" t="s">
        <v>211</v>
      </c>
      <c r="E811" s="6">
        <f t="shared" si="96"/>
        <v>18</v>
      </c>
      <c r="F811" s="6">
        <f t="shared" si="97"/>
        <v>32</v>
      </c>
      <c r="G811" s="6">
        <f>ROUND(Catalogue!G44*SQRT((1+Paramètres!$B$4*(C811-1)+Paramètres!$B$5*(C811-1)^2)),0)</f>
        <v>0</v>
      </c>
      <c r="H811" s="6">
        <f>ROUND(Catalogue!H44*SQRT((1+Paramètres!$B$4*(C811-1)+Paramètres!$B$5*(C811-1)^2)),0)</f>
        <v>0</v>
      </c>
      <c r="I811" s="6">
        <v>3</v>
      </c>
      <c r="J811" s="6">
        <v>2</v>
      </c>
      <c r="K811" s="7">
        <v>4.7</v>
      </c>
      <c r="L811" s="9">
        <f t="shared" si="98"/>
        <v>25</v>
      </c>
      <c r="M811">
        <v>2</v>
      </c>
      <c r="N811">
        <v>8</v>
      </c>
      <c r="O811">
        <v>16</v>
      </c>
      <c r="P811" s="13" t="str">
        <f t="shared" si="99"/>
        <v>2d8 + 16</v>
      </c>
      <c r="Q811">
        <f>ROUND(INDEX(Catalogue!E$4:E$85,MATCH(A811,Catalogue!A$4:A$85,0))*(1+Paramètres!$B$4*(C811-1)+Paramètres!$B$5*(C811-1)^2),0)</f>
        <v>18</v>
      </c>
      <c r="R811">
        <f>ROUND(INDEX(Catalogue!F$4:F$85,MATCH(A811,Catalogue!A$4:A$85,0))*(1+Paramètres!$B$4*(C811-1)+Paramètres!$B$5*(C811-1)^2),0)</f>
        <v>31</v>
      </c>
      <c r="S811">
        <f t="shared" si="100"/>
        <v>0.5</v>
      </c>
      <c r="T811" t="str">
        <f t="shared" si="101"/>
        <v>OK</v>
      </c>
      <c r="U811" s="25">
        <f t="shared" si="102"/>
        <v>25</v>
      </c>
      <c r="V811" t="str">
        <f t="shared" si="103"/>
        <v>OK</v>
      </c>
    </row>
    <row r="812" spans="1:22" ht="18" customHeight="1">
      <c r="A812" t="s">
        <v>224</v>
      </c>
      <c r="B812" t="s">
        <v>225</v>
      </c>
      <c r="C812">
        <v>9</v>
      </c>
      <c r="D812" t="s">
        <v>211</v>
      </c>
      <c r="E812" s="6">
        <f t="shared" si="96"/>
        <v>20</v>
      </c>
      <c r="F812" s="6">
        <f t="shared" si="97"/>
        <v>35</v>
      </c>
      <c r="G812" s="6">
        <f>ROUND(Catalogue!G44*SQRT((1+Paramètres!$B$4*(C812-1)+Paramètres!$B$5*(C812-1)^2)),0)</f>
        <v>0</v>
      </c>
      <c r="H812" s="6">
        <f>ROUND(Catalogue!H44*SQRT((1+Paramètres!$B$4*(C812-1)+Paramètres!$B$5*(C812-1)^2)),0)</f>
        <v>0</v>
      </c>
      <c r="I812" s="6">
        <v>3</v>
      </c>
      <c r="J812" s="6">
        <v>2</v>
      </c>
      <c r="K812" s="7">
        <v>4.7</v>
      </c>
      <c r="L812" s="9">
        <f t="shared" si="98"/>
        <v>27.5</v>
      </c>
      <c r="M812">
        <v>3</v>
      </c>
      <c r="N812">
        <v>6</v>
      </c>
      <c r="O812">
        <v>17</v>
      </c>
      <c r="P812" s="13" t="str">
        <f t="shared" si="99"/>
        <v>3d6 + 17</v>
      </c>
      <c r="Q812">
        <f>ROUND(INDEX(Catalogue!E$4:E$85,MATCH(A812,Catalogue!A$4:A$85,0))*(1+Paramètres!$B$4*(C812-1)+Paramètres!$B$5*(C812-1)^2),0)</f>
        <v>20</v>
      </c>
      <c r="R812">
        <f>ROUND(INDEX(Catalogue!F$4:F$85,MATCH(A812,Catalogue!A$4:A$85,0))*(1+Paramètres!$B$4*(C812-1)+Paramètres!$B$5*(C812-1)^2),0)</f>
        <v>35</v>
      </c>
      <c r="S812">
        <f t="shared" si="100"/>
        <v>0</v>
      </c>
      <c r="T812" t="str">
        <f t="shared" si="101"/>
        <v>OK</v>
      </c>
      <c r="U812" s="25">
        <f t="shared" si="102"/>
        <v>27.5</v>
      </c>
      <c r="V812" t="str">
        <f t="shared" si="103"/>
        <v>OK</v>
      </c>
    </row>
    <row r="813" spans="1:22" ht="18" customHeight="1">
      <c r="A813" t="s">
        <v>224</v>
      </c>
      <c r="B813" t="s">
        <v>225</v>
      </c>
      <c r="C813">
        <v>10</v>
      </c>
      <c r="D813" t="s">
        <v>211</v>
      </c>
      <c r="E813" s="6">
        <f t="shared" si="96"/>
        <v>23</v>
      </c>
      <c r="F813" s="6">
        <f t="shared" si="97"/>
        <v>38</v>
      </c>
      <c r="G813" s="6">
        <f>ROUND(Catalogue!G44*SQRT((1+Paramètres!$B$4*(C813-1)+Paramètres!$B$5*(C813-1)^2)),0)</f>
        <v>0</v>
      </c>
      <c r="H813" s="6">
        <f>ROUND(Catalogue!H44*SQRT((1+Paramètres!$B$4*(C813-1)+Paramètres!$B$5*(C813-1)^2)),0)</f>
        <v>0</v>
      </c>
      <c r="I813" s="6">
        <v>3</v>
      </c>
      <c r="J813" s="6">
        <v>2</v>
      </c>
      <c r="K813" s="7">
        <v>4.7</v>
      </c>
      <c r="L813" s="9">
        <f t="shared" si="98"/>
        <v>30.5</v>
      </c>
      <c r="M813">
        <v>3</v>
      </c>
      <c r="N813">
        <v>6</v>
      </c>
      <c r="O813">
        <v>20</v>
      </c>
      <c r="P813" s="13" t="str">
        <f t="shared" si="99"/>
        <v>3d6 + 20</v>
      </c>
      <c r="Q813">
        <f>ROUND(INDEX(Catalogue!E$4:E$85,MATCH(A813,Catalogue!A$4:A$85,0))*(1+Paramètres!$B$4*(C813-1)+Paramètres!$B$5*(C813-1)^2),0)</f>
        <v>23</v>
      </c>
      <c r="R813">
        <f>ROUND(INDEX(Catalogue!F$4:F$85,MATCH(A813,Catalogue!A$4:A$85,0))*(1+Paramètres!$B$4*(C813-1)+Paramètres!$B$5*(C813-1)^2),0)</f>
        <v>39</v>
      </c>
      <c r="S813">
        <f t="shared" si="100"/>
        <v>-0.5</v>
      </c>
      <c r="T813" t="str">
        <f t="shared" si="101"/>
        <v>OK</v>
      </c>
      <c r="U813" s="25">
        <f t="shared" si="102"/>
        <v>30.5</v>
      </c>
      <c r="V813" t="str">
        <f t="shared" si="103"/>
        <v>OK</v>
      </c>
    </row>
    <row r="814" spans="1:22" ht="18" customHeight="1">
      <c r="A814" t="s">
        <v>224</v>
      </c>
      <c r="B814" t="s">
        <v>225</v>
      </c>
      <c r="C814">
        <v>11</v>
      </c>
      <c r="D814" t="s">
        <v>211</v>
      </c>
      <c r="E814" s="6">
        <f t="shared" si="96"/>
        <v>26</v>
      </c>
      <c r="F814" s="6">
        <f t="shared" si="97"/>
        <v>44</v>
      </c>
      <c r="G814" s="6">
        <f>ROUND(Catalogue!G44*SQRT((1+Paramètres!$B$4*(C814-1)+Paramètres!$B$5*(C814-1)^2)),0)</f>
        <v>0</v>
      </c>
      <c r="H814" s="6">
        <f>ROUND(Catalogue!H44*SQRT((1+Paramètres!$B$4*(C814-1)+Paramètres!$B$5*(C814-1)^2)),0)</f>
        <v>0</v>
      </c>
      <c r="I814" s="6">
        <v>3</v>
      </c>
      <c r="J814" s="6">
        <v>2</v>
      </c>
      <c r="K814" s="7">
        <v>4.7</v>
      </c>
      <c r="L814" s="9">
        <f t="shared" si="98"/>
        <v>35</v>
      </c>
      <c r="M814">
        <v>2</v>
      </c>
      <c r="N814">
        <v>10</v>
      </c>
      <c r="O814">
        <v>24</v>
      </c>
      <c r="P814" s="13" t="str">
        <f t="shared" si="99"/>
        <v>2d10 + 24</v>
      </c>
      <c r="Q814">
        <f>ROUND(INDEX(Catalogue!E$4:E$85,MATCH(A814,Catalogue!A$4:A$85,0))*(1+Paramètres!$B$4*(C814-1)+Paramètres!$B$5*(C814-1)^2),0)</f>
        <v>26</v>
      </c>
      <c r="R814">
        <f>ROUND(INDEX(Catalogue!F$4:F$85,MATCH(A814,Catalogue!A$4:A$85,0))*(1+Paramètres!$B$4*(C814-1)+Paramètres!$B$5*(C814-1)^2),0)</f>
        <v>44</v>
      </c>
      <c r="S814">
        <f t="shared" si="100"/>
        <v>0</v>
      </c>
      <c r="T814" t="str">
        <f t="shared" si="101"/>
        <v>OK</v>
      </c>
      <c r="U814" s="25">
        <f t="shared" si="102"/>
        <v>35</v>
      </c>
      <c r="V814" t="str">
        <f t="shared" si="103"/>
        <v>OK</v>
      </c>
    </row>
    <row r="815" spans="1:22" ht="18" customHeight="1">
      <c r="A815" t="s">
        <v>224</v>
      </c>
      <c r="B815" t="s">
        <v>225</v>
      </c>
      <c r="C815">
        <v>12</v>
      </c>
      <c r="D815" t="s">
        <v>211</v>
      </c>
      <c r="E815" s="6">
        <f t="shared" si="96"/>
        <v>29</v>
      </c>
      <c r="F815" s="6">
        <f t="shared" si="97"/>
        <v>50</v>
      </c>
      <c r="G815" s="6">
        <f>ROUND(Catalogue!G44*SQRT((1+Paramètres!$B$4*(C815-1)+Paramètres!$B$5*(C815-1)^2)),0)</f>
        <v>0</v>
      </c>
      <c r="H815" s="6">
        <f>ROUND(Catalogue!H44*SQRT((1+Paramètres!$B$4*(C815-1)+Paramètres!$B$5*(C815-1)^2)),0)</f>
        <v>0</v>
      </c>
      <c r="I815" s="6">
        <v>3</v>
      </c>
      <c r="J815" s="6">
        <v>2</v>
      </c>
      <c r="K815" s="7">
        <v>4.7</v>
      </c>
      <c r="L815" s="9">
        <f t="shared" si="98"/>
        <v>39.5</v>
      </c>
      <c r="M815">
        <v>3</v>
      </c>
      <c r="N815">
        <v>8</v>
      </c>
      <c r="O815">
        <v>26</v>
      </c>
      <c r="P815" s="13" t="str">
        <f t="shared" si="99"/>
        <v>3d8 + 26</v>
      </c>
      <c r="Q815">
        <f>ROUND(INDEX(Catalogue!E$4:E$85,MATCH(A815,Catalogue!A$4:A$85,0))*(1+Paramètres!$B$4*(C815-1)+Paramètres!$B$5*(C815-1)^2),0)</f>
        <v>29</v>
      </c>
      <c r="R815">
        <f>ROUND(INDEX(Catalogue!F$4:F$85,MATCH(A815,Catalogue!A$4:A$85,0))*(1+Paramètres!$B$4*(C815-1)+Paramètres!$B$5*(C815-1)^2),0)</f>
        <v>50</v>
      </c>
      <c r="S815">
        <f t="shared" si="100"/>
        <v>0</v>
      </c>
      <c r="T815" t="str">
        <f t="shared" si="101"/>
        <v>OK</v>
      </c>
      <c r="U815" s="25">
        <f t="shared" si="102"/>
        <v>39.5</v>
      </c>
      <c r="V815" t="str">
        <f t="shared" si="103"/>
        <v>OK</v>
      </c>
    </row>
    <row r="816" spans="1:22" ht="18" customHeight="1">
      <c r="A816" t="s">
        <v>224</v>
      </c>
      <c r="B816" t="s">
        <v>225</v>
      </c>
      <c r="C816">
        <v>13</v>
      </c>
      <c r="D816" t="s">
        <v>211</v>
      </c>
      <c r="E816" s="6">
        <f t="shared" si="96"/>
        <v>32</v>
      </c>
      <c r="F816" s="6">
        <f t="shared" si="97"/>
        <v>54</v>
      </c>
      <c r="G816" s="6">
        <f>ROUND(Catalogue!G44*SQRT((1+Paramètres!$B$4*(C816-1)+Paramètres!$B$5*(C816-1)^2)),0)</f>
        <v>0</v>
      </c>
      <c r="H816" s="6">
        <f>ROUND(Catalogue!H44*SQRT((1+Paramètres!$B$4*(C816-1)+Paramètres!$B$5*(C816-1)^2)),0)</f>
        <v>0</v>
      </c>
      <c r="I816" s="6">
        <v>3</v>
      </c>
      <c r="J816" s="6">
        <v>2</v>
      </c>
      <c r="K816" s="7">
        <v>4.7</v>
      </c>
      <c r="L816" s="9">
        <f t="shared" si="98"/>
        <v>43</v>
      </c>
      <c r="M816">
        <v>2</v>
      </c>
      <c r="N816">
        <v>12</v>
      </c>
      <c r="O816">
        <v>30</v>
      </c>
      <c r="P816" s="13" t="str">
        <f t="shared" si="99"/>
        <v>2d12 + 30</v>
      </c>
      <c r="Q816">
        <f>ROUND(INDEX(Catalogue!E$4:E$85,MATCH(A816,Catalogue!A$4:A$85,0))*(1+Paramètres!$B$4*(C816-1)+Paramètres!$B$5*(C816-1)^2),0)</f>
        <v>32</v>
      </c>
      <c r="R816">
        <f>ROUND(INDEX(Catalogue!F$4:F$85,MATCH(A816,Catalogue!A$4:A$85,0))*(1+Paramètres!$B$4*(C816-1)+Paramètres!$B$5*(C816-1)^2),0)</f>
        <v>55</v>
      </c>
      <c r="S816">
        <f t="shared" si="100"/>
        <v>-0.5</v>
      </c>
      <c r="T816" t="str">
        <f t="shared" si="101"/>
        <v>OK</v>
      </c>
      <c r="U816" s="25">
        <f t="shared" si="102"/>
        <v>43</v>
      </c>
      <c r="V816" t="str">
        <f t="shared" si="103"/>
        <v>OK</v>
      </c>
    </row>
    <row r="817" spans="1:22" ht="18" customHeight="1">
      <c r="A817" t="s">
        <v>224</v>
      </c>
      <c r="B817" t="s">
        <v>225</v>
      </c>
      <c r="C817">
        <v>14</v>
      </c>
      <c r="D817" t="s">
        <v>211</v>
      </c>
      <c r="E817" s="6">
        <f t="shared" si="96"/>
        <v>35</v>
      </c>
      <c r="F817" s="6">
        <f t="shared" si="97"/>
        <v>62</v>
      </c>
      <c r="G817" s="6">
        <f>ROUND(Catalogue!G44*SQRT((1+Paramètres!$B$4*(C817-1)+Paramètres!$B$5*(C817-1)^2)),0)</f>
        <v>0</v>
      </c>
      <c r="H817" s="6">
        <f>ROUND(Catalogue!H44*SQRT((1+Paramètres!$B$4*(C817-1)+Paramètres!$B$5*(C817-1)^2)),0)</f>
        <v>0</v>
      </c>
      <c r="I817" s="6">
        <v>3</v>
      </c>
      <c r="J817" s="6">
        <v>2</v>
      </c>
      <c r="K817" s="7">
        <v>4.7</v>
      </c>
      <c r="L817" s="9">
        <f t="shared" si="98"/>
        <v>48.5</v>
      </c>
      <c r="M817">
        <v>3</v>
      </c>
      <c r="N817">
        <v>10</v>
      </c>
      <c r="O817">
        <v>32</v>
      </c>
      <c r="P817" s="13" t="str">
        <f t="shared" si="99"/>
        <v>3d10 + 32</v>
      </c>
      <c r="Q817">
        <f>ROUND(INDEX(Catalogue!E$4:E$85,MATCH(A817,Catalogue!A$4:A$85,0))*(1+Paramètres!$B$4*(C817-1)+Paramètres!$B$5*(C817-1)^2),0)</f>
        <v>36</v>
      </c>
      <c r="R817">
        <f>ROUND(INDEX(Catalogue!F$4:F$85,MATCH(A817,Catalogue!A$4:A$85,0))*(1+Paramètres!$B$4*(C817-1)+Paramètres!$B$5*(C817-1)^2),0)</f>
        <v>62</v>
      </c>
      <c r="S817">
        <f t="shared" si="100"/>
        <v>-0.5</v>
      </c>
      <c r="T817" t="str">
        <f t="shared" si="101"/>
        <v>OK</v>
      </c>
      <c r="U817" s="25">
        <f t="shared" si="102"/>
        <v>48.5</v>
      </c>
      <c r="V817" t="str">
        <f t="shared" si="103"/>
        <v>OK</v>
      </c>
    </row>
    <row r="818" spans="1:22" ht="18" customHeight="1">
      <c r="A818" t="s">
        <v>224</v>
      </c>
      <c r="B818" t="s">
        <v>225</v>
      </c>
      <c r="C818">
        <v>15</v>
      </c>
      <c r="D818" t="s">
        <v>211</v>
      </c>
      <c r="E818" s="6">
        <f t="shared" si="96"/>
        <v>40</v>
      </c>
      <c r="F818" s="6">
        <f t="shared" si="97"/>
        <v>68</v>
      </c>
      <c r="G818" s="6">
        <f>ROUND(Catalogue!G44*SQRT((1+Paramètres!$B$4*(C818-1)+Paramètres!$B$5*(C818-1)^2)),0)</f>
        <v>0</v>
      </c>
      <c r="H818" s="6">
        <f>ROUND(Catalogue!H44*SQRT((1+Paramètres!$B$4*(C818-1)+Paramètres!$B$5*(C818-1)^2)),0)</f>
        <v>0</v>
      </c>
      <c r="I818" s="6">
        <v>3</v>
      </c>
      <c r="J818" s="6">
        <v>2</v>
      </c>
      <c r="K818" s="7">
        <v>4.7</v>
      </c>
      <c r="L818" s="9">
        <f t="shared" si="98"/>
        <v>54</v>
      </c>
      <c r="M818">
        <v>4</v>
      </c>
      <c r="N818">
        <v>8</v>
      </c>
      <c r="O818">
        <v>36</v>
      </c>
      <c r="P818" s="13" t="str">
        <f t="shared" si="99"/>
        <v>4d8 + 36</v>
      </c>
      <c r="Q818">
        <f>ROUND(INDEX(Catalogue!E$4:E$85,MATCH(A818,Catalogue!A$4:A$85,0))*(1+Paramètres!$B$4*(C818-1)+Paramètres!$B$5*(C818-1)^2),0)</f>
        <v>40</v>
      </c>
      <c r="R818">
        <f>ROUND(INDEX(Catalogue!F$4:F$85,MATCH(A818,Catalogue!A$4:A$85,0))*(1+Paramètres!$B$4*(C818-1)+Paramètres!$B$5*(C818-1)^2),0)</f>
        <v>68</v>
      </c>
      <c r="S818">
        <f t="shared" si="100"/>
        <v>0</v>
      </c>
      <c r="T818" t="str">
        <f t="shared" si="101"/>
        <v>OK</v>
      </c>
      <c r="U818" s="25">
        <f t="shared" si="102"/>
        <v>54</v>
      </c>
      <c r="V818" t="str">
        <f t="shared" si="103"/>
        <v>OK</v>
      </c>
    </row>
    <row r="819" spans="1:22" ht="18" customHeight="1">
      <c r="A819" t="s">
        <v>224</v>
      </c>
      <c r="B819" t="s">
        <v>225</v>
      </c>
      <c r="C819">
        <v>16</v>
      </c>
      <c r="D819" t="s">
        <v>211</v>
      </c>
      <c r="E819" s="6">
        <f t="shared" si="96"/>
        <v>44</v>
      </c>
      <c r="F819" s="6">
        <f t="shared" si="97"/>
        <v>74</v>
      </c>
      <c r="G819" s="6">
        <f>ROUND(Catalogue!G44*SQRT((1+Paramètres!$B$4*(C819-1)+Paramètres!$B$5*(C819-1)^2)),0)</f>
        <v>0</v>
      </c>
      <c r="H819" s="6">
        <f>ROUND(Catalogue!H44*SQRT((1+Paramètres!$B$4*(C819-1)+Paramètres!$B$5*(C819-1)^2)),0)</f>
        <v>0</v>
      </c>
      <c r="I819" s="6">
        <v>3</v>
      </c>
      <c r="J819" s="6">
        <v>2</v>
      </c>
      <c r="K819" s="7">
        <v>4.7</v>
      </c>
      <c r="L819" s="9">
        <f t="shared" si="98"/>
        <v>59</v>
      </c>
      <c r="M819">
        <v>6</v>
      </c>
      <c r="N819">
        <v>6</v>
      </c>
      <c r="O819">
        <v>38</v>
      </c>
      <c r="P819" s="13" t="str">
        <f t="shared" si="99"/>
        <v>6d6 + 38</v>
      </c>
      <c r="Q819">
        <f>ROUND(INDEX(Catalogue!E$4:E$85,MATCH(A819,Catalogue!A$4:A$85,0))*(1+Paramètres!$B$4*(C819-1)+Paramètres!$B$5*(C819-1)^2),0)</f>
        <v>44</v>
      </c>
      <c r="R819">
        <f>ROUND(INDEX(Catalogue!F$4:F$85,MATCH(A819,Catalogue!A$4:A$85,0))*(1+Paramètres!$B$4*(C819-1)+Paramètres!$B$5*(C819-1)^2),0)</f>
        <v>75</v>
      </c>
      <c r="S819">
        <f t="shared" si="100"/>
        <v>-0.5</v>
      </c>
      <c r="T819" t="str">
        <f t="shared" si="101"/>
        <v>OK</v>
      </c>
      <c r="U819" s="25">
        <f t="shared" si="102"/>
        <v>59</v>
      </c>
      <c r="V819" t="str">
        <f t="shared" si="103"/>
        <v>OK</v>
      </c>
    </row>
    <row r="820" spans="1:22" ht="18" customHeight="1">
      <c r="A820" t="s">
        <v>224</v>
      </c>
      <c r="B820" t="s">
        <v>225</v>
      </c>
      <c r="C820">
        <v>17</v>
      </c>
      <c r="D820" t="s">
        <v>211</v>
      </c>
      <c r="E820" s="6">
        <f t="shared" si="96"/>
        <v>48</v>
      </c>
      <c r="F820" s="6">
        <f t="shared" si="97"/>
        <v>81</v>
      </c>
      <c r="G820" s="6">
        <f>ROUND(Catalogue!G44*SQRT((1+Paramètres!$B$4*(C820-1)+Paramètres!$B$5*(C820-1)^2)),0)</f>
        <v>0</v>
      </c>
      <c r="H820" s="6">
        <f>ROUND(Catalogue!H44*SQRT((1+Paramètres!$B$4*(C820-1)+Paramètres!$B$5*(C820-1)^2)),0)</f>
        <v>0</v>
      </c>
      <c r="I820" s="6">
        <v>3</v>
      </c>
      <c r="J820" s="6">
        <v>2</v>
      </c>
      <c r="K820" s="7">
        <v>4.7</v>
      </c>
      <c r="L820" s="9">
        <f t="shared" si="98"/>
        <v>64.5</v>
      </c>
      <c r="M820">
        <v>3</v>
      </c>
      <c r="N820">
        <v>12</v>
      </c>
      <c r="O820">
        <v>45</v>
      </c>
      <c r="P820" s="13" t="str">
        <f t="shared" si="99"/>
        <v>3d12 + 45</v>
      </c>
      <c r="Q820">
        <f>ROUND(INDEX(Catalogue!E$4:E$85,MATCH(A820,Catalogue!A$4:A$85,0))*(1+Paramètres!$B$4*(C820-1)+Paramètres!$B$5*(C820-1)^2),0)</f>
        <v>48</v>
      </c>
      <c r="R820">
        <f>ROUND(INDEX(Catalogue!F$4:F$85,MATCH(A820,Catalogue!A$4:A$85,0))*(1+Paramètres!$B$4*(C820-1)+Paramètres!$B$5*(C820-1)^2),0)</f>
        <v>82</v>
      </c>
      <c r="S820">
        <f t="shared" si="100"/>
        <v>-0.5</v>
      </c>
      <c r="T820" t="str">
        <f t="shared" si="101"/>
        <v>OK</v>
      </c>
      <c r="U820" s="25">
        <f t="shared" si="102"/>
        <v>64.5</v>
      </c>
      <c r="V820" t="str">
        <f t="shared" si="103"/>
        <v>OK</v>
      </c>
    </row>
    <row r="821" spans="1:22" ht="18" customHeight="1">
      <c r="A821" t="s">
        <v>224</v>
      </c>
      <c r="B821" t="s">
        <v>225</v>
      </c>
      <c r="C821">
        <v>18</v>
      </c>
      <c r="D821" t="s">
        <v>211</v>
      </c>
      <c r="E821" s="6">
        <f t="shared" si="96"/>
        <v>53</v>
      </c>
      <c r="F821" s="6">
        <f t="shared" si="97"/>
        <v>89</v>
      </c>
      <c r="G821" s="6">
        <f>ROUND(Catalogue!G44*SQRT((1+Paramètres!$B$4*(C821-1)+Paramètres!$B$5*(C821-1)^2)),0)</f>
        <v>0</v>
      </c>
      <c r="H821" s="6">
        <f>ROUND(Catalogue!H44*SQRT((1+Paramètres!$B$4*(C821-1)+Paramètres!$B$5*(C821-1)^2)),0)</f>
        <v>0</v>
      </c>
      <c r="I821" s="6">
        <v>3</v>
      </c>
      <c r="J821" s="6">
        <v>2</v>
      </c>
      <c r="K821" s="7">
        <v>4.7</v>
      </c>
      <c r="L821" s="9">
        <f t="shared" si="98"/>
        <v>71</v>
      </c>
      <c r="M821">
        <v>4</v>
      </c>
      <c r="N821">
        <v>10</v>
      </c>
      <c r="O821">
        <v>49</v>
      </c>
      <c r="P821" s="13" t="str">
        <f t="shared" si="99"/>
        <v>4d10 + 49</v>
      </c>
      <c r="Q821">
        <f>ROUND(INDEX(Catalogue!E$4:E$85,MATCH(A821,Catalogue!A$4:A$85,0))*(1+Paramètres!$B$4*(C821-1)+Paramètres!$B$5*(C821-1)^2),0)</f>
        <v>52</v>
      </c>
      <c r="R821">
        <f>ROUND(INDEX(Catalogue!F$4:F$85,MATCH(A821,Catalogue!A$4:A$85,0))*(1+Paramètres!$B$4*(C821-1)+Paramètres!$B$5*(C821-1)^2),0)</f>
        <v>90</v>
      </c>
      <c r="S821">
        <f t="shared" si="100"/>
        <v>0</v>
      </c>
      <c r="T821" t="str">
        <f t="shared" si="101"/>
        <v>OK</v>
      </c>
      <c r="U821" s="25">
        <f t="shared" si="102"/>
        <v>71</v>
      </c>
      <c r="V821" t="str">
        <f t="shared" si="103"/>
        <v>OK</v>
      </c>
    </row>
    <row r="822" spans="1:22" ht="18" customHeight="1">
      <c r="A822" t="s">
        <v>224</v>
      </c>
      <c r="B822" t="s">
        <v>225</v>
      </c>
      <c r="C822">
        <v>19</v>
      </c>
      <c r="D822" t="s">
        <v>211</v>
      </c>
      <c r="E822" s="6">
        <f t="shared" si="96"/>
        <v>56</v>
      </c>
      <c r="F822" s="6">
        <f t="shared" si="97"/>
        <v>98</v>
      </c>
      <c r="G822" s="6">
        <f>ROUND(Catalogue!G44*SQRT((1+Paramètres!$B$4*(C822-1)+Paramètres!$B$5*(C822-1)^2)),0)</f>
        <v>0</v>
      </c>
      <c r="H822" s="6">
        <f>ROUND(Catalogue!H44*SQRT((1+Paramètres!$B$4*(C822-1)+Paramètres!$B$5*(C822-1)^2)),0)</f>
        <v>0</v>
      </c>
      <c r="I822" s="6">
        <v>3</v>
      </c>
      <c r="J822" s="6">
        <v>2</v>
      </c>
      <c r="K822" s="7">
        <v>4.7</v>
      </c>
      <c r="L822" s="9">
        <f t="shared" si="98"/>
        <v>77</v>
      </c>
      <c r="M822">
        <v>6</v>
      </c>
      <c r="N822">
        <v>8</v>
      </c>
      <c r="O822">
        <v>50</v>
      </c>
      <c r="P822" s="13" t="str">
        <f t="shared" si="99"/>
        <v>6d8 + 50</v>
      </c>
      <c r="Q822">
        <f>ROUND(INDEX(Catalogue!E$4:E$85,MATCH(A822,Catalogue!A$4:A$85,0))*(1+Paramètres!$B$4*(C822-1)+Paramètres!$B$5*(C822-1)^2),0)</f>
        <v>57</v>
      </c>
      <c r="R822">
        <f>ROUND(INDEX(Catalogue!F$4:F$85,MATCH(A822,Catalogue!A$4:A$85,0))*(1+Paramètres!$B$4*(C822-1)+Paramètres!$B$5*(C822-1)^2),0)</f>
        <v>98</v>
      </c>
      <c r="S822">
        <f t="shared" si="100"/>
        <v>-0.5</v>
      </c>
      <c r="T822" t="str">
        <f t="shared" si="101"/>
        <v>OK</v>
      </c>
      <c r="U822" s="25">
        <f t="shared" si="102"/>
        <v>77</v>
      </c>
      <c r="V822" t="str">
        <f t="shared" si="103"/>
        <v>OK</v>
      </c>
    </row>
    <row r="823" spans="1:22" ht="18" customHeight="1">
      <c r="A823" t="s">
        <v>224</v>
      </c>
      <c r="B823" t="s">
        <v>225</v>
      </c>
      <c r="C823">
        <v>20</v>
      </c>
      <c r="D823" t="s">
        <v>211</v>
      </c>
      <c r="E823" s="6">
        <f t="shared" si="96"/>
        <v>62</v>
      </c>
      <c r="F823" s="6">
        <f t="shared" si="97"/>
        <v>106</v>
      </c>
      <c r="G823" s="6">
        <f>ROUND(Catalogue!G44*SQRT((1+Paramètres!$B$4*(C823-1)+Paramètres!$B$5*(C823-1)^2)),0)</f>
        <v>0</v>
      </c>
      <c r="H823" s="6">
        <f>ROUND(Catalogue!H44*SQRT((1+Paramètres!$B$4*(C823-1)+Paramètres!$B$5*(C823-1)^2)),0)</f>
        <v>0</v>
      </c>
      <c r="I823" s="6">
        <v>3</v>
      </c>
      <c r="J823" s="6">
        <v>2</v>
      </c>
      <c r="K823" s="7">
        <v>4.7</v>
      </c>
      <c r="L823" s="9">
        <f t="shared" si="98"/>
        <v>84</v>
      </c>
      <c r="M823">
        <v>4</v>
      </c>
      <c r="N823">
        <v>12</v>
      </c>
      <c r="O823">
        <v>58</v>
      </c>
      <c r="P823" s="13" t="str">
        <f t="shared" si="99"/>
        <v>4d12 + 58</v>
      </c>
      <c r="Q823">
        <f>ROUND(INDEX(Catalogue!E$4:E$85,MATCH(A823,Catalogue!A$4:A$85,0))*(1+Paramètres!$B$4*(C823-1)+Paramètres!$B$5*(C823-1)^2),0)</f>
        <v>62</v>
      </c>
      <c r="R823">
        <f>ROUND(INDEX(Catalogue!F$4:F$85,MATCH(A823,Catalogue!A$4:A$85,0))*(1+Paramètres!$B$4*(C823-1)+Paramètres!$B$5*(C823-1)^2),0)</f>
        <v>106</v>
      </c>
      <c r="S823">
        <f t="shared" si="100"/>
        <v>0</v>
      </c>
      <c r="T823" t="str">
        <f t="shared" si="101"/>
        <v>OK</v>
      </c>
      <c r="U823" s="25">
        <f t="shared" si="102"/>
        <v>84</v>
      </c>
      <c r="V823" t="str">
        <f t="shared" si="103"/>
        <v>OK</v>
      </c>
    </row>
    <row r="824" spans="1:22" ht="18" customHeight="1">
      <c r="A824" t="s">
        <v>227</v>
      </c>
      <c r="B824" t="s">
        <v>228</v>
      </c>
      <c r="C824">
        <v>1</v>
      </c>
      <c r="D824" t="s">
        <v>211</v>
      </c>
      <c r="E824" s="6">
        <f t="shared" si="96"/>
        <v>6</v>
      </c>
      <c r="F824" s="6">
        <f t="shared" si="97"/>
        <v>11</v>
      </c>
      <c r="G824" s="6">
        <f>ROUND(Catalogue!G45*SQRT((1+Paramètres!$B$4*(C824-1)+Paramètres!$B$5*(C824-1)^2)),0)</f>
        <v>0</v>
      </c>
      <c r="H824" s="6">
        <f>ROUND(Catalogue!H45*SQRT((1+Paramètres!$B$4*(C824-1)+Paramètres!$B$5*(C824-1)^2)),0)</f>
        <v>0</v>
      </c>
      <c r="I824" s="6">
        <v>3</v>
      </c>
      <c r="J824" s="6">
        <v>2</v>
      </c>
      <c r="K824" s="7">
        <v>3.7</v>
      </c>
      <c r="L824" s="9">
        <f t="shared" si="98"/>
        <v>8.5</v>
      </c>
      <c r="M824">
        <v>1</v>
      </c>
      <c r="N824">
        <v>6</v>
      </c>
      <c r="O824">
        <v>5</v>
      </c>
      <c r="P824" s="13" t="str">
        <f t="shared" si="99"/>
        <v>1d6 + 5</v>
      </c>
      <c r="Q824">
        <f>ROUND(INDEX(Catalogue!E$4:E$85,MATCH(A824,Catalogue!A$4:A$85,0))*(1+Paramètres!$B$4*(C824-1)+Paramètres!$B$5*(C824-1)^2),0)</f>
        <v>6</v>
      </c>
      <c r="R824">
        <f>ROUND(INDEX(Catalogue!F$4:F$85,MATCH(A824,Catalogue!A$4:A$85,0))*(1+Paramètres!$B$4*(C824-1)+Paramètres!$B$5*(C824-1)^2),0)</f>
        <v>11</v>
      </c>
      <c r="S824">
        <f t="shared" si="100"/>
        <v>0</v>
      </c>
      <c r="T824" t="str">
        <f t="shared" si="101"/>
        <v>OK</v>
      </c>
      <c r="U824" s="25">
        <f t="shared" si="102"/>
        <v>8.5</v>
      </c>
      <c r="V824" t="str">
        <f t="shared" si="103"/>
        <v>OK</v>
      </c>
    </row>
    <row r="825" spans="1:22" ht="18" customHeight="1">
      <c r="A825" t="s">
        <v>227</v>
      </c>
      <c r="B825" t="s">
        <v>228</v>
      </c>
      <c r="C825">
        <v>2</v>
      </c>
      <c r="D825" t="s">
        <v>211</v>
      </c>
      <c r="E825" s="6">
        <f t="shared" si="96"/>
        <v>7</v>
      </c>
      <c r="F825" s="6">
        <f t="shared" si="97"/>
        <v>12</v>
      </c>
      <c r="G825" s="6">
        <f>ROUND(Catalogue!G45*SQRT((1+Paramètres!$B$4*(C825-1)+Paramètres!$B$5*(C825-1)^2)),0)</f>
        <v>0</v>
      </c>
      <c r="H825" s="6">
        <f>ROUND(Catalogue!H45*SQRT((1+Paramètres!$B$4*(C825-1)+Paramètres!$B$5*(C825-1)^2)),0)</f>
        <v>0</v>
      </c>
      <c r="I825" s="6">
        <v>3</v>
      </c>
      <c r="J825" s="6">
        <v>2</v>
      </c>
      <c r="K825" s="7">
        <v>3.7</v>
      </c>
      <c r="L825" s="9">
        <f t="shared" si="98"/>
        <v>9.5</v>
      </c>
      <c r="M825">
        <v>1</v>
      </c>
      <c r="N825">
        <v>6</v>
      </c>
      <c r="O825">
        <v>6</v>
      </c>
      <c r="P825" s="13" t="str">
        <f t="shared" si="99"/>
        <v>1d6 + 6</v>
      </c>
      <c r="Q825">
        <f>ROUND(INDEX(Catalogue!E$4:E$85,MATCH(A825,Catalogue!A$4:A$85,0))*(1+Paramètres!$B$4*(C825-1)+Paramètres!$B$5*(C825-1)^2),0)</f>
        <v>7</v>
      </c>
      <c r="R825">
        <f>ROUND(INDEX(Catalogue!F$4:F$85,MATCH(A825,Catalogue!A$4:A$85,0))*(1+Paramètres!$B$4*(C825-1)+Paramètres!$B$5*(C825-1)^2),0)</f>
        <v>12</v>
      </c>
      <c r="S825">
        <f t="shared" si="100"/>
        <v>0</v>
      </c>
      <c r="T825" t="str">
        <f t="shared" si="101"/>
        <v>OK</v>
      </c>
      <c r="U825" s="25">
        <f t="shared" si="102"/>
        <v>9.5</v>
      </c>
      <c r="V825" t="str">
        <f t="shared" si="103"/>
        <v>OK</v>
      </c>
    </row>
    <row r="826" spans="1:22" ht="18" customHeight="1">
      <c r="A826" t="s">
        <v>227</v>
      </c>
      <c r="B826" t="s">
        <v>228</v>
      </c>
      <c r="C826">
        <v>3</v>
      </c>
      <c r="D826" t="s">
        <v>211</v>
      </c>
      <c r="E826" s="6">
        <f t="shared" si="96"/>
        <v>9</v>
      </c>
      <c r="F826" s="6">
        <f t="shared" si="97"/>
        <v>14</v>
      </c>
      <c r="G826" s="6">
        <f>ROUND(Catalogue!G45*SQRT((1+Paramètres!$B$4*(C826-1)+Paramètres!$B$5*(C826-1)^2)),0)</f>
        <v>0</v>
      </c>
      <c r="H826" s="6">
        <f>ROUND(Catalogue!H45*SQRT((1+Paramètres!$B$4*(C826-1)+Paramètres!$B$5*(C826-1)^2)),0)</f>
        <v>0</v>
      </c>
      <c r="I826" s="6">
        <v>3</v>
      </c>
      <c r="J826" s="6">
        <v>2</v>
      </c>
      <c r="K826" s="7">
        <v>3.7</v>
      </c>
      <c r="L826" s="9">
        <f t="shared" si="98"/>
        <v>11.5</v>
      </c>
      <c r="M826">
        <v>1</v>
      </c>
      <c r="N826">
        <v>6</v>
      </c>
      <c r="O826">
        <v>8</v>
      </c>
      <c r="P826" s="13" t="str">
        <f t="shared" si="99"/>
        <v>1d6 + 8</v>
      </c>
      <c r="Q826">
        <f>ROUND(INDEX(Catalogue!E$4:E$85,MATCH(A826,Catalogue!A$4:A$85,0))*(1+Paramètres!$B$4*(C826-1)+Paramètres!$B$5*(C826-1)^2),0)</f>
        <v>8</v>
      </c>
      <c r="R826">
        <f>ROUND(INDEX(Catalogue!F$4:F$85,MATCH(A826,Catalogue!A$4:A$85,0))*(1+Paramètres!$B$4*(C826-1)+Paramètres!$B$5*(C826-1)^2),0)</f>
        <v>14</v>
      </c>
      <c r="S826">
        <f t="shared" si="100"/>
        <v>0.5</v>
      </c>
      <c r="T826" t="str">
        <f t="shared" si="101"/>
        <v>OK</v>
      </c>
      <c r="U826" s="25">
        <f t="shared" si="102"/>
        <v>11.5</v>
      </c>
      <c r="V826" t="str">
        <f t="shared" si="103"/>
        <v>OK</v>
      </c>
    </row>
    <row r="827" spans="1:22" ht="18" customHeight="1">
      <c r="A827" t="s">
        <v>227</v>
      </c>
      <c r="B827" t="s">
        <v>228</v>
      </c>
      <c r="C827">
        <v>4</v>
      </c>
      <c r="D827" t="s">
        <v>211</v>
      </c>
      <c r="E827" s="6">
        <f t="shared" si="96"/>
        <v>9</v>
      </c>
      <c r="F827" s="6">
        <f t="shared" si="97"/>
        <v>16</v>
      </c>
      <c r="G827" s="6">
        <f>ROUND(Catalogue!G45*SQRT((1+Paramètres!$B$4*(C827-1)+Paramètres!$B$5*(C827-1)^2)),0)</f>
        <v>0</v>
      </c>
      <c r="H827" s="6">
        <f>ROUND(Catalogue!H45*SQRT((1+Paramètres!$B$4*(C827-1)+Paramètres!$B$5*(C827-1)^2)),0)</f>
        <v>0</v>
      </c>
      <c r="I827" s="6">
        <v>3</v>
      </c>
      <c r="J827" s="6">
        <v>2</v>
      </c>
      <c r="K827" s="7">
        <v>3.7</v>
      </c>
      <c r="L827" s="9">
        <f t="shared" si="98"/>
        <v>12.5</v>
      </c>
      <c r="M827">
        <v>1</v>
      </c>
      <c r="N827">
        <v>8</v>
      </c>
      <c r="O827">
        <v>8</v>
      </c>
      <c r="P827" s="13" t="str">
        <f t="shared" si="99"/>
        <v>1d8 + 8</v>
      </c>
      <c r="Q827">
        <f>ROUND(INDEX(Catalogue!E$4:E$85,MATCH(A827,Catalogue!A$4:A$85,0))*(1+Paramètres!$B$4*(C827-1)+Paramètres!$B$5*(C827-1)^2),0)</f>
        <v>9</v>
      </c>
      <c r="R827">
        <f>ROUND(INDEX(Catalogue!F$4:F$85,MATCH(A827,Catalogue!A$4:A$85,0))*(1+Paramètres!$B$4*(C827-1)+Paramètres!$B$5*(C827-1)^2),0)</f>
        <v>16</v>
      </c>
      <c r="S827">
        <f t="shared" si="100"/>
        <v>0</v>
      </c>
      <c r="T827" t="str">
        <f t="shared" si="101"/>
        <v>OK</v>
      </c>
      <c r="U827" s="25">
        <f t="shared" si="102"/>
        <v>12.5</v>
      </c>
      <c r="V827" t="str">
        <f t="shared" si="103"/>
        <v>OK</v>
      </c>
    </row>
    <row r="828" spans="1:22" ht="18" customHeight="1">
      <c r="A828" t="s">
        <v>227</v>
      </c>
      <c r="B828" t="s">
        <v>228</v>
      </c>
      <c r="C828">
        <v>5</v>
      </c>
      <c r="D828" t="s">
        <v>211</v>
      </c>
      <c r="E828" s="6">
        <f t="shared" si="96"/>
        <v>10</v>
      </c>
      <c r="F828" s="6">
        <f t="shared" si="97"/>
        <v>19</v>
      </c>
      <c r="G828" s="6">
        <f>ROUND(Catalogue!G45*SQRT((1+Paramètres!$B$4*(C828-1)+Paramètres!$B$5*(C828-1)^2)),0)</f>
        <v>0</v>
      </c>
      <c r="H828" s="6">
        <f>ROUND(Catalogue!H45*SQRT((1+Paramètres!$B$4*(C828-1)+Paramètres!$B$5*(C828-1)^2)),0)</f>
        <v>0</v>
      </c>
      <c r="I828" s="6">
        <v>3</v>
      </c>
      <c r="J828" s="6">
        <v>2</v>
      </c>
      <c r="K828" s="7">
        <v>3.7</v>
      </c>
      <c r="L828" s="9">
        <f t="shared" si="98"/>
        <v>14.5</v>
      </c>
      <c r="M828">
        <v>1</v>
      </c>
      <c r="N828">
        <v>10</v>
      </c>
      <c r="O828">
        <v>9</v>
      </c>
      <c r="P828" s="13" t="str">
        <f t="shared" si="99"/>
        <v>1d10 + 9</v>
      </c>
      <c r="Q828">
        <f>ROUND(INDEX(Catalogue!E$4:E$85,MATCH(A828,Catalogue!A$4:A$85,0))*(1+Paramètres!$B$4*(C828-1)+Paramètres!$B$5*(C828-1)^2),0)</f>
        <v>10</v>
      </c>
      <c r="R828">
        <f>ROUND(INDEX(Catalogue!F$4:F$85,MATCH(A828,Catalogue!A$4:A$85,0))*(1+Paramètres!$B$4*(C828-1)+Paramètres!$B$5*(C828-1)^2),0)</f>
        <v>19</v>
      </c>
      <c r="S828">
        <f t="shared" si="100"/>
        <v>0</v>
      </c>
      <c r="T828" t="str">
        <f t="shared" si="101"/>
        <v>OK</v>
      </c>
      <c r="U828" s="25">
        <f t="shared" si="102"/>
        <v>14.5</v>
      </c>
      <c r="V828" t="str">
        <f t="shared" si="103"/>
        <v>OK</v>
      </c>
    </row>
    <row r="829" spans="1:22" ht="18" customHeight="1">
      <c r="A829" t="s">
        <v>227</v>
      </c>
      <c r="B829" t="s">
        <v>228</v>
      </c>
      <c r="C829">
        <v>6</v>
      </c>
      <c r="D829" t="s">
        <v>211</v>
      </c>
      <c r="E829" s="6">
        <f t="shared" si="96"/>
        <v>12</v>
      </c>
      <c r="F829" s="6">
        <f t="shared" si="97"/>
        <v>21</v>
      </c>
      <c r="G829" s="6">
        <f>ROUND(Catalogue!G45*SQRT((1+Paramètres!$B$4*(C829-1)+Paramètres!$B$5*(C829-1)^2)),0)</f>
        <v>0</v>
      </c>
      <c r="H829" s="6">
        <f>ROUND(Catalogue!H45*SQRT((1+Paramètres!$B$4*(C829-1)+Paramètres!$B$5*(C829-1)^2)),0)</f>
        <v>0</v>
      </c>
      <c r="I829" s="6">
        <v>3</v>
      </c>
      <c r="J829" s="6">
        <v>2</v>
      </c>
      <c r="K829" s="7">
        <v>3.7</v>
      </c>
      <c r="L829" s="9">
        <f t="shared" si="98"/>
        <v>16.5</v>
      </c>
      <c r="M829">
        <v>1</v>
      </c>
      <c r="N829">
        <v>10</v>
      </c>
      <c r="O829">
        <v>11</v>
      </c>
      <c r="P829" s="13" t="str">
        <f t="shared" si="99"/>
        <v>1d10 + 11</v>
      </c>
      <c r="Q829">
        <f>ROUND(INDEX(Catalogue!E$4:E$85,MATCH(A829,Catalogue!A$4:A$85,0))*(1+Paramètres!$B$4*(C829-1)+Paramètres!$B$5*(C829-1)^2),0)</f>
        <v>12</v>
      </c>
      <c r="R829">
        <f>ROUND(INDEX(Catalogue!F$4:F$85,MATCH(A829,Catalogue!A$4:A$85,0))*(1+Paramètres!$B$4*(C829-1)+Paramètres!$B$5*(C829-1)^2),0)</f>
        <v>21</v>
      </c>
      <c r="S829">
        <f t="shared" si="100"/>
        <v>0</v>
      </c>
      <c r="T829" t="str">
        <f t="shared" si="101"/>
        <v>OK</v>
      </c>
      <c r="U829" s="25">
        <f t="shared" si="102"/>
        <v>16.5</v>
      </c>
      <c r="V829" t="str">
        <f t="shared" si="103"/>
        <v>OK</v>
      </c>
    </row>
    <row r="830" spans="1:22" ht="18" customHeight="1">
      <c r="A830" t="s">
        <v>227</v>
      </c>
      <c r="B830" t="s">
        <v>228</v>
      </c>
      <c r="C830">
        <v>7</v>
      </c>
      <c r="D830" t="s">
        <v>211</v>
      </c>
      <c r="E830" s="6">
        <f t="shared" si="96"/>
        <v>13</v>
      </c>
      <c r="F830" s="6">
        <f t="shared" si="97"/>
        <v>24</v>
      </c>
      <c r="G830" s="6">
        <f>ROUND(Catalogue!G45*SQRT((1+Paramètres!$B$4*(C830-1)+Paramètres!$B$5*(C830-1)^2)),0)</f>
        <v>0</v>
      </c>
      <c r="H830" s="6">
        <f>ROUND(Catalogue!H45*SQRT((1+Paramètres!$B$4*(C830-1)+Paramètres!$B$5*(C830-1)^2)),0)</f>
        <v>0</v>
      </c>
      <c r="I830" s="6">
        <v>3</v>
      </c>
      <c r="J830" s="6">
        <v>2</v>
      </c>
      <c r="K830" s="7">
        <v>3.7</v>
      </c>
      <c r="L830" s="9">
        <f t="shared" si="98"/>
        <v>18.5</v>
      </c>
      <c r="M830">
        <v>1</v>
      </c>
      <c r="N830">
        <v>12</v>
      </c>
      <c r="O830">
        <v>12</v>
      </c>
      <c r="P830" s="13" t="str">
        <f t="shared" si="99"/>
        <v>1d12 + 12</v>
      </c>
      <c r="Q830">
        <f>ROUND(INDEX(Catalogue!E$4:E$85,MATCH(A830,Catalogue!A$4:A$85,0))*(1+Paramètres!$B$4*(C830-1)+Paramètres!$B$5*(C830-1)^2),0)</f>
        <v>13</v>
      </c>
      <c r="R830">
        <f>ROUND(INDEX(Catalogue!F$4:F$85,MATCH(A830,Catalogue!A$4:A$85,0))*(1+Paramètres!$B$4*(C830-1)+Paramètres!$B$5*(C830-1)^2),0)</f>
        <v>25</v>
      </c>
      <c r="S830">
        <f t="shared" si="100"/>
        <v>-0.5</v>
      </c>
      <c r="T830" t="str">
        <f t="shared" si="101"/>
        <v>OK</v>
      </c>
      <c r="U830" s="25">
        <f t="shared" si="102"/>
        <v>18.5</v>
      </c>
      <c r="V830" t="str">
        <f t="shared" si="103"/>
        <v>OK</v>
      </c>
    </row>
    <row r="831" spans="1:22" ht="18" customHeight="1">
      <c r="A831" t="s">
        <v>227</v>
      </c>
      <c r="B831" t="s">
        <v>228</v>
      </c>
      <c r="C831">
        <v>8</v>
      </c>
      <c r="D831" t="s">
        <v>211</v>
      </c>
      <c r="E831" s="6">
        <f t="shared" si="96"/>
        <v>14</v>
      </c>
      <c r="F831" s="6">
        <f t="shared" si="97"/>
        <v>28</v>
      </c>
      <c r="G831" s="6">
        <f>ROUND(Catalogue!G45*SQRT((1+Paramètres!$B$4*(C831-1)+Paramètres!$B$5*(C831-1)^2)),0)</f>
        <v>0</v>
      </c>
      <c r="H831" s="6">
        <f>ROUND(Catalogue!H45*SQRT((1+Paramètres!$B$4*(C831-1)+Paramètres!$B$5*(C831-1)^2)),0)</f>
        <v>0</v>
      </c>
      <c r="I831" s="6">
        <v>3</v>
      </c>
      <c r="J831" s="6">
        <v>2</v>
      </c>
      <c r="K831" s="7">
        <v>3.7</v>
      </c>
      <c r="L831" s="9">
        <f t="shared" si="98"/>
        <v>21</v>
      </c>
      <c r="M831">
        <v>2</v>
      </c>
      <c r="N831">
        <v>8</v>
      </c>
      <c r="O831">
        <v>12</v>
      </c>
      <c r="P831" s="13" t="str">
        <f t="shared" si="99"/>
        <v>2d8 + 12</v>
      </c>
      <c r="Q831">
        <f>ROUND(INDEX(Catalogue!E$4:E$85,MATCH(A831,Catalogue!A$4:A$85,0))*(1+Paramètres!$B$4*(C831-1)+Paramètres!$B$5*(C831-1)^2),0)</f>
        <v>15</v>
      </c>
      <c r="R831">
        <f>ROUND(INDEX(Catalogue!F$4:F$85,MATCH(A831,Catalogue!A$4:A$85,0))*(1+Paramètres!$B$4*(C831-1)+Paramètres!$B$5*(C831-1)^2),0)</f>
        <v>28</v>
      </c>
      <c r="S831">
        <f t="shared" si="100"/>
        <v>-0.5</v>
      </c>
      <c r="T831" t="str">
        <f t="shared" si="101"/>
        <v>OK</v>
      </c>
      <c r="U831" s="25">
        <f t="shared" si="102"/>
        <v>21</v>
      </c>
      <c r="V831" t="str">
        <f t="shared" si="103"/>
        <v>OK</v>
      </c>
    </row>
    <row r="832" spans="1:22" ht="18" customHeight="1">
      <c r="A832" t="s">
        <v>227</v>
      </c>
      <c r="B832" t="s">
        <v>228</v>
      </c>
      <c r="C832">
        <v>9</v>
      </c>
      <c r="D832" t="s">
        <v>211</v>
      </c>
      <c r="E832" s="6">
        <f t="shared" si="96"/>
        <v>17</v>
      </c>
      <c r="F832" s="6">
        <f t="shared" si="97"/>
        <v>32</v>
      </c>
      <c r="G832" s="6">
        <f>ROUND(Catalogue!G45*SQRT((1+Paramètres!$B$4*(C832-1)+Paramètres!$B$5*(C832-1)^2)),0)</f>
        <v>0</v>
      </c>
      <c r="H832" s="6">
        <f>ROUND(Catalogue!H45*SQRT((1+Paramètres!$B$4*(C832-1)+Paramètres!$B$5*(C832-1)^2)),0)</f>
        <v>0</v>
      </c>
      <c r="I832" s="6">
        <v>3</v>
      </c>
      <c r="J832" s="6">
        <v>2</v>
      </c>
      <c r="K832" s="7">
        <v>3.7</v>
      </c>
      <c r="L832" s="9">
        <f t="shared" si="98"/>
        <v>24.5</v>
      </c>
      <c r="M832">
        <v>3</v>
      </c>
      <c r="N832">
        <v>6</v>
      </c>
      <c r="O832">
        <v>14</v>
      </c>
      <c r="P832" s="13" t="str">
        <f t="shared" si="99"/>
        <v>3d6 + 14</v>
      </c>
      <c r="Q832">
        <f>ROUND(INDEX(Catalogue!E$4:E$85,MATCH(A832,Catalogue!A$4:A$85,0))*(1+Paramètres!$B$4*(C832-1)+Paramètres!$B$5*(C832-1)^2),0)</f>
        <v>17</v>
      </c>
      <c r="R832">
        <f>ROUND(INDEX(Catalogue!F$4:F$85,MATCH(A832,Catalogue!A$4:A$85,0))*(1+Paramètres!$B$4*(C832-1)+Paramètres!$B$5*(C832-1)^2),0)</f>
        <v>32</v>
      </c>
      <c r="S832">
        <f t="shared" si="100"/>
        <v>0</v>
      </c>
      <c r="T832" t="str">
        <f t="shared" si="101"/>
        <v>OK</v>
      </c>
      <c r="U832" s="25">
        <f t="shared" si="102"/>
        <v>24.5</v>
      </c>
      <c r="V832" t="str">
        <f t="shared" si="103"/>
        <v>OK</v>
      </c>
    </row>
    <row r="833" spans="1:22" ht="18" customHeight="1">
      <c r="A833" t="s">
        <v>227</v>
      </c>
      <c r="B833" t="s">
        <v>228</v>
      </c>
      <c r="C833">
        <v>10</v>
      </c>
      <c r="D833" t="s">
        <v>211</v>
      </c>
      <c r="E833" s="6">
        <f t="shared" si="96"/>
        <v>20</v>
      </c>
      <c r="F833" s="6">
        <f t="shared" si="97"/>
        <v>35</v>
      </c>
      <c r="G833" s="6">
        <f>ROUND(Catalogue!G45*SQRT((1+Paramètres!$B$4*(C833-1)+Paramètres!$B$5*(C833-1)^2)),0)</f>
        <v>0</v>
      </c>
      <c r="H833" s="6">
        <f>ROUND(Catalogue!H45*SQRT((1+Paramètres!$B$4*(C833-1)+Paramètres!$B$5*(C833-1)^2)),0)</f>
        <v>0</v>
      </c>
      <c r="I833" s="6">
        <v>3</v>
      </c>
      <c r="J833" s="6">
        <v>2</v>
      </c>
      <c r="K833" s="7">
        <v>3.7</v>
      </c>
      <c r="L833" s="9">
        <f t="shared" si="98"/>
        <v>27.5</v>
      </c>
      <c r="M833">
        <v>3</v>
      </c>
      <c r="N833">
        <v>6</v>
      </c>
      <c r="O833">
        <v>17</v>
      </c>
      <c r="P833" s="13" t="str">
        <f t="shared" si="99"/>
        <v>3d6 + 17</v>
      </c>
      <c r="Q833">
        <f>ROUND(INDEX(Catalogue!E$4:E$85,MATCH(A833,Catalogue!A$4:A$85,0))*(1+Paramètres!$B$4*(C833-1)+Paramètres!$B$5*(C833-1)^2),0)</f>
        <v>20</v>
      </c>
      <c r="R833">
        <f>ROUND(INDEX(Catalogue!F$4:F$85,MATCH(A833,Catalogue!A$4:A$85,0))*(1+Paramètres!$B$4*(C833-1)+Paramètres!$B$5*(C833-1)^2),0)</f>
        <v>36</v>
      </c>
      <c r="S833">
        <f t="shared" si="100"/>
        <v>-0.5</v>
      </c>
      <c r="T833" t="str">
        <f t="shared" si="101"/>
        <v>OK</v>
      </c>
      <c r="U833" s="25">
        <f t="shared" si="102"/>
        <v>27.5</v>
      </c>
      <c r="V833" t="str">
        <f t="shared" si="103"/>
        <v>OK</v>
      </c>
    </row>
    <row r="834" spans="1:22" ht="18" customHeight="1">
      <c r="A834" t="s">
        <v>227</v>
      </c>
      <c r="B834" t="s">
        <v>228</v>
      </c>
      <c r="C834">
        <v>11</v>
      </c>
      <c r="D834" t="s">
        <v>211</v>
      </c>
      <c r="E834" s="6">
        <f t="shared" si="96"/>
        <v>22</v>
      </c>
      <c r="F834" s="6">
        <f t="shared" si="97"/>
        <v>40</v>
      </c>
      <c r="G834" s="6">
        <f>ROUND(Catalogue!G45*SQRT((1+Paramètres!$B$4*(C834-1)+Paramètres!$B$5*(C834-1)^2)),0)</f>
        <v>0</v>
      </c>
      <c r="H834" s="6">
        <f>ROUND(Catalogue!H45*SQRT((1+Paramètres!$B$4*(C834-1)+Paramètres!$B$5*(C834-1)^2)),0)</f>
        <v>0</v>
      </c>
      <c r="I834" s="6">
        <v>3</v>
      </c>
      <c r="J834" s="6">
        <v>2</v>
      </c>
      <c r="K834" s="7">
        <v>3.7</v>
      </c>
      <c r="L834" s="9">
        <f t="shared" si="98"/>
        <v>31</v>
      </c>
      <c r="M834">
        <v>2</v>
      </c>
      <c r="N834">
        <v>10</v>
      </c>
      <c r="O834">
        <v>20</v>
      </c>
      <c r="P834" s="13" t="str">
        <f t="shared" si="99"/>
        <v>2d10 + 20</v>
      </c>
      <c r="Q834">
        <f>ROUND(INDEX(Catalogue!E$4:E$85,MATCH(A834,Catalogue!A$4:A$85,0))*(1+Paramètres!$B$4*(C834-1)+Paramètres!$B$5*(C834-1)^2),0)</f>
        <v>22</v>
      </c>
      <c r="R834">
        <f>ROUND(INDEX(Catalogue!F$4:F$85,MATCH(A834,Catalogue!A$4:A$85,0))*(1+Paramètres!$B$4*(C834-1)+Paramètres!$B$5*(C834-1)^2),0)</f>
        <v>41</v>
      </c>
      <c r="S834">
        <f t="shared" si="100"/>
        <v>-0.5</v>
      </c>
      <c r="T834" t="str">
        <f t="shared" si="101"/>
        <v>OK</v>
      </c>
      <c r="U834" s="25">
        <f t="shared" si="102"/>
        <v>31</v>
      </c>
      <c r="V834" t="str">
        <f t="shared" si="103"/>
        <v>OK</v>
      </c>
    </row>
    <row r="835" spans="1:22" ht="18" customHeight="1">
      <c r="A835" t="s">
        <v>227</v>
      </c>
      <c r="B835" t="s">
        <v>228</v>
      </c>
      <c r="C835">
        <v>12</v>
      </c>
      <c r="D835" t="s">
        <v>211</v>
      </c>
      <c r="E835" s="6">
        <f t="shared" si="96"/>
        <v>25</v>
      </c>
      <c r="F835" s="6">
        <f t="shared" si="97"/>
        <v>46</v>
      </c>
      <c r="G835" s="6">
        <f>ROUND(Catalogue!G45*SQRT((1+Paramètres!$B$4*(C835-1)+Paramètres!$B$5*(C835-1)^2)),0)</f>
        <v>0</v>
      </c>
      <c r="H835" s="6">
        <f>ROUND(Catalogue!H45*SQRT((1+Paramètres!$B$4*(C835-1)+Paramètres!$B$5*(C835-1)^2)),0)</f>
        <v>0</v>
      </c>
      <c r="I835" s="6">
        <v>3</v>
      </c>
      <c r="J835" s="6">
        <v>2</v>
      </c>
      <c r="K835" s="7">
        <v>3.7</v>
      </c>
      <c r="L835" s="9">
        <f t="shared" si="98"/>
        <v>35.5</v>
      </c>
      <c r="M835">
        <v>3</v>
      </c>
      <c r="N835">
        <v>8</v>
      </c>
      <c r="O835">
        <v>22</v>
      </c>
      <c r="P835" s="13" t="str">
        <f t="shared" si="99"/>
        <v>3d8 + 22</v>
      </c>
      <c r="Q835">
        <f>ROUND(INDEX(Catalogue!E$4:E$85,MATCH(A835,Catalogue!A$4:A$85,0))*(1+Paramètres!$B$4*(C835-1)+Paramètres!$B$5*(C835-1)^2),0)</f>
        <v>25</v>
      </c>
      <c r="R835">
        <f>ROUND(INDEX(Catalogue!F$4:F$85,MATCH(A835,Catalogue!A$4:A$85,0))*(1+Paramètres!$B$4*(C835-1)+Paramètres!$B$5*(C835-1)^2),0)</f>
        <v>46</v>
      </c>
      <c r="S835">
        <f t="shared" si="100"/>
        <v>0</v>
      </c>
      <c r="T835" t="str">
        <f t="shared" si="101"/>
        <v>OK</v>
      </c>
      <c r="U835" s="25">
        <f t="shared" si="102"/>
        <v>35.5</v>
      </c>
      <c r="V835" t="str">
        <f t="shared" si="103"/>
        <v>OK</v>
      </c>
    </row>
    <row r="836" spans="1:22" ht="18" customHeight="1">
      <c r="A836" t="s">
        <v>227</v>
      </c>
      <c r="B836" t="s">
        <v>228</v>
      </c>
      <c r="C836">
        <v>13</v>
      </c>
      <c r="D836" t="s">
        <v>211</v>
      </c>
      <c r="E836" s="6">
        <f t="shared" ref="E836:E899" si="104">IF(M836=0,0,M836+O836)</f>
        <v>28</v>
      </c>
      <c r="F836" s="6">
        <f t="shared" ref="F836:F899" si="105">IF(M836=0,0,M836*N836+O836)</f>
        <v>50</v>
      </c>
      <c r="G836" s="6">
        <f>ROUND(Catalogue!G45*SQRT((1+Paramètres!$B$4*(C836-1)+Paramètres!$B$5*(C836-1)^2)),0)</f>
        <v>0</v>
      </c>
      <c r="H836" s="6">
        <f>ROUND(Catalogue!H45*SQRT((1+Paramètres!$B$4*(C836-1)+Paramètres!$B$5*(C836-1)^2)),0)</f>
        <v>0</v>
      </c>
      <c r="I836" s="6">
        <v>3</v>
      </c>
      <c r="J836" s="6">
        <v>2</v>
      </c>
      <c r="K836" s="7">
        <v>3.7</v>
      </c>
      <c r="L836" s="9">
        <f t="shared" ref="L836:L899" si="106">IF(M836=0,0,(E836+F836)/2)</f>
        <v>39</v>
      </c>
      <c r="M836">
        <v>2</v>
      </c>
      <c r="N836">
        <v>12</v>
      </c>
      <c r="O836">
        <v>26</v>
      </c>
      <c r="P836" s="13" t="str">
        <f t="shared" ref="P836:P899" si="107">IF(M836=0,"—",M836&amp;"d"&amp;N836&amp;IF(O836=0,""," + "&amp;O836))</f>
        <v>2d12 + 26</v>
      </c>
      <c r="Q836">
        <f>ROUND(INDEX(Catalogue!E$4:E$85,MATCH(A836,Catalogue!A$4:A$85,0))*(1+Paramètres!$B$4*(C836-1)+Paramètres!$B$5*(C836-1)^2),0)</f>
        <v>28</v>
      </c>
      <c r="R836">
        <f>ROUND(INDEX(Catalogue!F$4:F$85,MATCH(A836,Catalogue!A$4:A$85,0))*(1+Paramètres!$B$4*(C836-1)+Paramètres!$B$5*(C836-1)^2),0)</f>
        <v>51</v>
      </c>
      <c r="S836">
        <f t="shared" ref="S836:S899" si="108">L836-AVERAGE(Q836:R836)</f>
        <v>-0.5</v>
      </c>
      <c r="T836" t="str">
        <f t="shared" ref="T836:T899" si="109">IF(M836=0,IF(AND(N836=0,O836=0,E836=0,F836=0),"OK","ERREUR"),IF(AND(M836&gt;=1,M836&lt;=32,OR(N836=4,N836=6,N836=8,N836=10,N836=12,N836=20),O836&gt;=0,E836=M836+O836,F836=M836*N836+O836),"OK","ERREUR"))</f>
        <v>OK</v>
      </c>
      <c r="U836" s="25">
        <f t="shared" ref="U836:U899" si="110">IF(M836&gt;0,M836*(N836+1)/2+O836,0)</f>
        <v>39</v>
      </c>
      <c r="V836" t="str">
        <f t="shared" ref="V836:V899" si="111">IF(ABS(L836-U836)&lt;0.001,"OK","ERREUR")</f>
        <v>OK</v>
      </c>
    </row>
    <row r="837" spans="1:22" ht="18" customHeight="1">
      <c r="A837" t="s">
        <v>227</v>
      </c>
      <c r="B837" t="s">
        <v>228</v>
      </c>
      <c r="C837">
        <v>14</v>
      </c>
      <c r="D837" t="s">
        <v>211</v>
      </c>
      <c r="E837" s="6">
        <f t="shared" si="104"/>
        <v>31</v>
      </c>
      <c r="F837" s="6">
        <f t="shared" si="105"/>
        <v>56</v>
      </c>
      <c r="G837" s="6">
        <f>ROUND(Catalogue!G45*SQRT((1+Paramètres!$B$4*(C837-1)+Paramètres!$B$5*(C837-1)^2)),0)</f>
        <v>0</v>
      </c>
      <c r="H837" s="6">
        <f>ROUND(Catalogue!H45*SQRT((1+Paramètres!$B$4*(C837-1)+Paramètres!$B$5*(C837-1)^2)),0)</f>
        <v>0</v>
      </c>
      <c r="I837" s="6">
        <v>3</v>
      </c>
      <c r="J837" s="6">
        <v>2</v>
      </c>
      <c r="K837" s="7">
        <v>3.7</v>
      </c>
      <c r="L837" s="9">
        <f t="shared" si="106"/>
        <v>43.5</v>
      </c>
      <c r="M837">
        <v>5</v>
      </c>
      <c r="N837">
        <v>6</v>
      </c>
      <c r="O837">
        <v>26</v>
      </c>
      <c r="P837" s="13" t="str">
        <f t="shared" si="107"/>
        <v>5d6 + 26</v>
      </c>
      <c r="Q837">
        <f>ROUND(INDEX(Catalogue!E$4:E$85,MATCH(A837,Catalogue!A$4:A$85,0))*(1+Paramètres!$B$4*(C837-1)+Paramètres!$B$5*(C837-1)^2),0)</f>
        <v>31</v>
      </c>
      <c r="R837">
        <f>ROUND(INDEX(Catalogue!F$4:F$85,MATCH(A837,Catalogue!A$4:A$85,0))*(1+Paramètres!$B$4*(C837-1)+Paramètres!$B$5*(C837-1)^2),0)</f>
        <v>56</v>
      </c>
      <c r="S837">
        <f t="shared" si="108"/>
        <v>0</v>
      </c>
      <c r="T837" t="str">
        <f t="shared" si="109"/>
        <v>OK</v>
      </c>
      <c r="U837" s="25">
        <f t="shared" si="110"/>
        <v>43.5</v>
      </c>
      <c r="V837" t="str">
        <f t="shared" si="111"/>
        <v>OK</v>
      </c>
    </row>
    <row r="838" spans="1:22" ht="18" customHeight="1">
      <c r="A838" t="s">
        <v>227</v>
      </c>
      <c r="B838" t="s">
        <v>228</v>
      </c>
      <c r="C838">
        <v>15</v>
      </c>
      <c r="D838" t="s">
        <v>211</v>
      </c>
      <c r="E838" s="6">
        <f t="shared" si="104"/>
        <v>34</v>
      </c>
      <c r="F838" s="6">
        <f t="shared" si="105"/>
        <v>62</v>
      </c>
      <c r="G838" s="6">
        <f>ROUND(Catalogue!G45*SQRT((1+Paramètres!$B$4*(C838-1)+Paramètres!$B$5*(C838-1)^2)),0)</f>
        <v>0</v>
      </c>
      <c r="H838" s="6">
        <f>ROUND(Catalogue!H45*SQRT((1+Paramètres!$B$4*(C838-1)+Paramètres!$B$5*(C838-1)^2)),0)</f>
        <v>0</v>
      </c>
      <c r="I838" s="6">
        <v>3</v>
      </c>
      <c r="J838" s="6">
        <v>2</v>
      </c>
      <c r="K838" s="7">
        <v>3.7</v>
      </c>
      <c r="L838" s="9">
        <f t="shared" si="106"/>
        <v>48</v>
      </c>
      <c r="M838">
        <v>4</v>
      </c>
      <c r="N838">
        <v>8</v>
      </c>
      <c r="O838">
        <v>30</v>
      </c>
      <c r="P838" s="13" t="str">
        <f t="shared" si="107"/>
        <v>4d8 + 30</v>
      </c>
      <c r="Q838">
        <f>ROUND(INDEX(Catalogue!E$4:E$85,MATCH(A838,Catalogue!A$4:A$85,0))*(1+Paramètres!$B$4*(C838-1)+Paramètres!$B$5*(C838-1)^2),0)</f>
        <v>34</v>
      </c>
      <c r="R838">
        <f>ROUND(INDEX(Catalogue!F$4:F$85,MATCH(A838,Catalogue!A$4:A$85,0))*(1+Paramètres!$B$4*(C838-1)+Paramètres!$B$5*(C838-1)^2),0)</f>
        <v>62</v>
      </c>
      <c r="S838">
        <f t="shared" si="108"/>
        <v>0</v>
      </c>
      <c r="T838" t="str">
        <f t="shared" si="109"/>
        <v>OK</v>
      </c>
      <c r="U838" s="25">
        <f t="shared" si="110"/>
        <v>48</v>
      </c>
      <c r="V838" t="str">
        <f t="shared" si="111"/>
        <v>OK</v>
      </c>
    </row>
    <row r="839" spans="1:22" ht="18" customHeight="1">
      <c r="A839" t="s">
        <v>227</v>
      </c>
      <c r="B839" t="s">
        <v>228</v>
      </c>
      <c r="C839">
        <v>16</v>
      </c>
      <c r="D839" t="s">
        <v>211</v>
      </c>
      <c r="E839" s="6">
        <f t="shared" si="104"/>
        <v>38</v>
      </c>
      <c r="F839" s="6">
        <f t="shared" si="105"/>
        <v>68</v>
      </c>
      <c r="G839" s="6">
        <f>ROUND(Catalogue!G45*SQRT((1+Paramètres!$B$4*(C839-1)+Paramètres!$B$5*(C839-1)^2)),0)</f>
        <v>0</v>
      </c>
      <c r="H839" s="6">
        <f>ROUND(Catalogue!H45*SQRT((1+Paramètres!$B$4*(C839-1)+Paramètres!$B$5*(C839-1)^2)),0)</f>
        <v>0</v>
      </c>
      <c r="I839" s="6">
        <v>3</v>
      </c>
      <c r="J839" s="6">
        <v>2</v>
      </c>
      <c r="K839" s="7">
        <v>3.7</v>
      </c>
      <c r="L839" s="9">
        <f t="shared" si="106"/>
        <v>53</v>
      </c>
      <c r="M839">
        <v>6</v>
      </c>
      <c r="N839">
        <v>6</v>
      </c>
      <c r="O839">
        <v>32</v>
      </c>
      <c r="P839" s="13" t="str">
        <f t="shared" si="107"/>
        <v>6d6 + 32</v>
      </c>
      <c r="Q839">
        <f>ROUND(INDEX(Catalogue!E$4:E$85,MATCH(A839,Catalogue!A$4:A$85,0))*(1+Paramètres!$B$4*(C839-1)+Paramètres!$B$5*(C839-1)^2),0)</f>
        <v>38</v>
      </c>
      <c r="R839">
        <f>ROUND(INDEX(Catalogue!F$4:F$85,MATCH(A839,Catalogue!A$4:A$85,0))*(1+Paramètres!$B$4*(C839-1)+Paramètres!$B$5*(C839-1)^2),0)</f>
        <v>69</v>
      </c>
      <c r="S839">
        <f t="shared" si="108"/>
        <v>-0.5</v>
      </c>
      <c r="T839" t="str">
        <f t="shared" si="109"/>
        <v>OK</v>
      </c>
      <c r="U839" s="25">
        <f t="shared" si="110"/>
        <v>53</v>
      </c>
      <c r="V839" t="str">
        <f t="shared" si="111"/>
        <v>OK</v>
      </c>
    </row>
    <row r="840" spans="1:22" ht="18" customHeight="1">
      <c r="A840" t="s">
        <v>227</v>
      </c>
      <c r="B840" t="s">
        <v>228</v>
      </c>
      <c r="C840">
        <v>17</v>
      </c>
      <c r="D840" t="s">
        <v>211</v>
      </c>
      <c r="E840" s="6">
        <f t="shared" si="104"/>
        <v>41</v>
      </c>
      <c r="F840" s="6">
        <f t="shared" si="105"/>
        <v>74</v>
      </c>
      <c r="G840" s="6">
        <f>ROUND(Catalogue!G45*SQRT((1+Paramètres!$B$4*(C840-1)+Paramètres!$B$5*(C840-1)^2)),0)</f>
        <v>0</v>
      </c>
      <c r="H840" s="6">
        <f>ROUND(Catalogue!H45*SQRT((1+Paramètres!$B$4*(C840-1)+Paramètres!$B$5*(C840-1)^2)),0)</f>
        <v>0</v>
      </c>
      <c r="I840" s="6">
        <v>3</v>
      </c>
      <c r="J840" s="6">
        <v>2</v>
      </c>
      <c r="K840" s="7">
        <v>3.7</v>
      </c>
      <c r="L840" s="9">
        <f t="shared" si="106"/>
        <v>57.5</v>
      </c>
      <c r="M840">
        <v>3</v>
      </c>
      <c r="N840">
        <v>12</v>
      </c>
      <c r="O840">
        <v>38</v>
      </c>
      <c r="P840" s="13" t="str">
        <f t="shared" si="107"/>
        <v>3d12 + 38</v>
      </c>
      <c r="Q840">
        <f>ROUND(INDEX(Catalogue!E$4:E$85,MATCH(A840,Catalogue!A$4:A$85,0))*(1+Paramètres!$B$4*(C840-1)+Paramètres!$B$5*(C840-1)^2),0)</f>
        <v>41</v>
      </c>
      <c r="R840">
        <f>ROUND(INDEX(Catalogue!F$4:F$85,MATCH(A840,Catalogue!A$4:A$85,0))*(1+Paramètres!$B$4*(C840-1)+Paramètres!$B$5*(C840-1)^2),0)</f>
        <v>75</v>
      </c>
      <c r="S840">
        <f t="shared" si="108"/>
        <v>-0.5</v>
      </c>
      <c r="T840" t="str">
        <f t="shared" si="109"/>
        <v>OK</v>
      </c>
      <c r="U840" s="25">
        <f t="shared" si="110"/>
        <v>57.5</v>
      </c>
      <c r="V840" t="str">
        <f t="shared" si="111"/>
        <v>OK</v>
      </c>
    </row>
    <row r="841" spans="1:22" ht="18" customHeight="1">
      <c r="A841" t="s">
        <v>227</v>
      </c>
      <c r="B841" t="s">
        <v>228</v>
      </c>
      <c r="C841">
        <v>18</v>
      </c>
      <c r="D841" t="s">
        <v>211</v>
      </c>
      <c r="E841" s="6">
        <f t="shared" si="104"/>
        <v>45</v>
      </c>
      <c r="F841" s="6">
        <f t="shared" si="105"/>
        <v>81</v>
      </c>
      <c r="G841" s="6">
        <f>ROUND(Catalogue!G45*SQRT((1+Paramètres!$B$4*(C841-1)+Paramètres!$B$5*(C841-1)^2)),0)</f>
        <v>0</v>
      </c>
      <c r="H841" s="6">
        <f>ROUND(Catalogue!H45*SQRT((1+Paramètres!$B$4*(C841-1)+Paramètres!$B$5*(C841-1)^2)),0)</f>
        <v>0</v>
      </c>
      <c r="I841" s="6">
        <v>3</v>
      </c>
      <c r="J841" s="6">
        <v>2</v>
      </c>
      <c r="K841" s="7">
        <v>3.7</v>
      </c>
      <c r="L841" s="9">
        <f t="shared" si="106"/>
        <v>63</v>
      </c>
      <c r="M841">
        <v>4</v>
      </c>
      <c r="N841">
        <v>10</v>
      </c>
      <c r="O841">
        <v>41</v>
      </c>
      <c r="P841" s="13" t="str">
        <f t="shared" si="107"/>
        <v>4d10 + 41</v>
      </c>
      <c r="Q841">
        <f>ROUND(INDEX(Catalogue!E$4:E$85,MATCH(A841,Catalogue!A$4:A$85,0))*(1+Paramètres!$B$4*(C841-1)+Paramètres!$B$5*(C841-1)^2),0)</f>
        <v>45</v>
      </c>
      <c r="R841">
        <f>ROUND(INDEX(Catalogue!F$4:F$85,MATCH(A841,Catalogue!A$4:A$85,0))*(1+Paramètres!$B$4*(C841-1)+Paramètres!$B$5*(C841-1)^2),0)</f>
        <v>82</v>
      </c>
      <c r="S841">
        <f t="shared" si="108"/>
        <v>-0.5</v>
      </c>
      <c r="T841" t="str">
        <f t="shared" si="109"/>
        <v>OK</v>
      </c>
      <c r="U841" s="25">
        <f t="shared" si="110"/>
        <v>63</v>
      </c>
      <c r="V841" t="str">
        <f t="shared" si="111"/>
        <v>OK</v>
      </c>
    </row>
    <row r="842" spans="1:22" ht="18" customHeight="1">
      <c r="A842" t="s">
        <v>227</v>
      </c>
      <c r="B842" t="s">
        <v>228</v>
      </c>
      <c r="C842">
        <v>19</v>
      </c>
      <c r="D842" t="s">
        <v>211</v>
      </c>
      <c r="E842" s="6">
        <f t="shared" si="104"/>
        <v>48</v>
      </c>
      <c r="F842" s="6">
        <f t="shared" si="105"/>
        <v>90</v>
      </c>
      <c r="G842" s="6">
        <f>ROUND(Catalogue!G45*SQRT((1+Paramètres!$B$4*(C842-1)+Paramètres!$B$5*(C842-1)^2)),0)</f>
        <v>0</v>
      </c>
      <c r="H842" s="6">
        <f>ROUND(Catalogue!H45*SQRT((1+Paramètres!$B$4*(C842-1)+Paramètres!$B$5*(C842-1)^2)),0)</f>
        <v>0</v>
      </c>
      <c r="I842" s="6">
        <v>3</v>
      </c>
      <c r="J842" s="6">
        <v>2</v>
      </c>
      <c r="K842" s="7">
        <v>3.7</v>
      </c>
      <c r="L842" s="9">
        <f t="shared" si="106"/>
        <v>69</v>
      </c>
      <c r="M842">
        <v>6</v>
      </c>
      <c r="N842">
        <v>8</v>
      </c>
      <c r="O842">
        <v>42</v>
      </c>
      <c r="P842" s="13" t="str">
        <f t="shared" si="107"/>
        <v>6d8 + 42</v>
      </c>
      <c r="Q842">
        <f>ROUND(INDEX(Catalogue!E$4:E$85,MATCH(A842,Catalogue!A$4:A$85,0))*(1+Paramètres!$B$4*(C842-1)+Paramètres!$B$5*(C842-1)^2),0)</f>
        <v>49</v>
      </c>
      <c r="R842">
        <f>ROUND(INDEX(Catalogue!F$4:F$85,MATCH(A842,Catalogue!A$4:A$85,0))*(1+Paramètres!$B$4*(C842-1)+Paramètres!$B$5*(C842-1)^2),0)</f>
        <v>90</v>
      </c>
      <c r="S842">
        <f t="shared" si="108"/>
        <v>-0.5</v>
      </c>
      <c r="T842" t="str">
        <f t="shared" si="109"/>
        <v>OK</v>
      </c>
      <c r="U842" s="25">
        <f t="shared" si="110"/>
        <v>69</v>
      </c>
      <c r="V842" t="str">
        <f t="shared" si="111"/>
        <v>OK</v>
      </c>
    </row>
    <row r="843" spans="1:22" ht="18" customHeight="1">
      <c r="A843" t="s">
        <v>227</v>
      </c>
      <c r="B843" t="s">
        <v>228</v>
      </c>
      <c r="C843">
        <v>20</v>
      </c>
      <c r="D843" t="s">
        <v>211</v>
      </c>
      <c r="E843" s="6">
        <f t="shared" si="104"/>
        <v>53</v>
      </c>
      <c r="F843" s="6">
        <f t="shared" si="105"/>
        <v>98</v>
      </c>
      <c r="G843" s="6">
        <f>ROUND(Catalogue!G45*SQRT((1+Paramètres!$B$4*(C843-1)+Paramètres!$B$5*(C843-1)^2)),0)</f>
        <v>0</v>
      </c>
      <c r="H843" s="6">
        <f>ROUND(Catalogue!H45*SQRT((1+Paramètres!$B$4*(C843-1)+Paramètres!$B$5*(C843-1)^2)),0)</f>
        <v>0</v>
      </c>
      <c r="I843" s="6">
        <v>3</v>
      </c>
      <c r="J843" s="6">
        <v>2</v>
      </c>
      <c r="K843" s="7">
        <v>3.7</v>
      </c>
      <c r="L843" s="9">
        <f t="shared" si="106"/>
        <v>75.5</v>
      </c>
      <c r="M843">
        <v>5</v>
      </c>
      <c r="N843">
        <v>10</v>
      </c>
      <c r="O843">
        <v>48</v>
      </c>
      <c r="P843" s="13" t="str">
        <f t="shared" si="107"/>
        <v>5d10 + 48</v>
      </c>
      <c r="Q843">
        <f>ROUND(INDEX(Catalogue!E$4:E$85,MATCH(A843,Catalogue!A$4:A$85,0))*(1+Paramètres!$B$4*(C843-1)+Paramètres!$B$5*(C843-1)^2),0)</f>
        <v>53</v>
      </c>
      <c r="R843">
        <f>ROUND(INDEX(Catalogue!F$4:F$85,MATCH(A843,Catalogue!A$4:A$85,0))*(1+Paramètres!$B$4*(C843-1)+Paramètres!$B$5*(C843-1)^2),0)</f>
        <v>98</v>
      </c>
      <c r="S843">
        <f t="shared" si="108"/>
        <v>0</v>
      </c>
      <c r="T843" t="str">
        <f t="shared" si="109"/>
        <v>OK</v>
      </c>
      <c r="U843" s="25">
        <f t="shared" si="110"/>
        <v>75.5</v>
      </c>
      <c r="V843" t="str">
        <f t="shared" si="111"/>
        <v>OK</v>
      </c>
    </row>
    <row r="844" spans="1:22" ht="18" customHeight="1">
      <c r="A844" t="s">
        <v>229</v>
      </c>
      <c r="B844" t="s">
        <v>230</v>
      </c>
      <c r="C844">
        <v>1</v>
      </c>
      <c r="D844" t="s">
        <v>211</v>
      </c>
      <c r="E844" s="6">
        <f t="shared" si="104"/>
        <v>6</v>
      </c>
      <c r="F844" s="6">
        <f t="shared" si="105"/>
        <v>11</v>
      </c>
      <c r="G844" s="6">
        <f>ROUND(Catalogue!G46*SQRT((1+Paramètres!$B$4*(C844-1)+Paramètres!$B$5*(C844-1)^2)),0)</f>
        <v>0</v>
      </c>
      <c r="H844" s="6">
        <f>ROUND(Catalogue!H46*SQRT((1+Paramètres!$B$4*(C844-1)+Paramètres!$B$5*(C844-1)^2)),0)</f>
        <v>0</v>
      </c>
      <c r="I844" s="6">
        <v>3</v>
      </c>
      <c r="J844" s="6">
        <v>2</v>
      </c>
      <c r="K844" s="7">
        <v>3.8</v>
      </c>
      <c r="L844" s="9">
        <f t="shared" si="106"/>
        <v>8.5</v>
      </c>
      <c r="M844">
        <v>1</v>
      </c>
      <c r="N844">
        <v>6</v>
      </c>
      <c r="O844">
        <v>5</v>
      </c>
      <c r="P844" s="13" t="str">
        <f t="shared" si="107"/>
        <v>1d6 + 5</v>
      </c>
      <c r="Q844">
        <f>ROUND(INDEX(Catalogue!E$4:E$85,MATCH(A844,Catalogue!A$4:A$85,0))*(1+Paramètres!$B$4*(C844-1)+Paramètres!$B$5*(C844-1)^2),0)</f>
        <v>6</v>
      </c>
      <c r="R844">
        <f>ROUND(INDEX(Catalogue!F$4:F$85,MATCH(A844,Catalogue!A$4:A$85,0))*(1+Paramètres!$B$4*(C844-1)+Paramètres!$B$5*(C844-1)^2),0)</f>
        <v>11</v>
      </c>
      <c r="S844">
        <f t="shared" si="108"/>
        <v>0</v>
      </c>
      <c r="T844" t="str">
        <f t="shared" si="109"/>
        <v>OK</v>
      </c>
      <c r="U844" s="25">
        <f t="shared" si="110"/>
        <v>8.5</v>
      </c>
      <c r="V844" t="str">
        <f t="shared" si="111"/>
        <v>OK</v>
      </c>
    </row>
    <row r="845" spans="1:22" ht="18" customHeight="1">
      <c r="A845" t="s">
        <v>229</v>
      </c>
      <c r="B845" t="s">
        <v>230</v>
      </c>
      <c r="C845">
        <v>2</v>
      </c>
      <c r="D845" t="s">
        <v>211</v>
      </c>
      <c r="E845" s="6">
        <f t="shared" si="104"/>
        <v>7</v>
      </c>
      <c r="F845" s="6">
        <f t="shared" si="105"/>
        <v>12</v>
      </c>
      <c r="G845" s="6">
        <f>ROUND(Catalogue!G46*SQRT((1+Paramètres!$B$4*(C845-1)+Paramètres!$B$5*(C845-1)^2)),0)</f>
        <v>0</v>
      </c>
      <c r="H845" s="6">
        <f>ROUND(Catalogue!H46*SQRT((1+Paramètres!$B$4*(C845-1)+Paramètres!$B$5*(C845-1)^2)),0)</f>
        <v>0</v>
      </c>
      <c r="I845" s="6">
        <v>3</v>
      </c>
      <c r="J845" s="6">
        <v>2</v>
      </c>
      <c r="K845" s="7">
        <v>3.8</v>
      </c>
      <c r="L845" s="9">
        <f t="shared" si="106"/>
        <v>9.5</v>
      </c>
      <c r="M845">
        <v>1</v>
      </c>
      <c r="N845">
        <v>6</v>
      </c>
      <c r="O845">
        <v>6</v>
      </c>
      <c r="P845" s="13" t="str">
        <f t="shared" si="107"/>
        <v>1d6 + 6</v>
      </c>
      <c r="Q845">
        <f>ROUND(INDEX(Catalogue!E$4:E$85,MATCH(A845,Catalogue!A$4:A$85,0))*(1+Paramètres!$B$4*(C845-1)+Paramètres!$B$5*(C845-1)^2),0)</f>
        <v>7</v>
      </c>
      <c r="R845">
        <f>ROUND(INDEX(Catalogue!F$4:F$85,MATCH(A845,Catalogue!A$4:A$85,0))*(1+Paramètres!$B$4*(C845-1)+Paramètres!$B$5*(C845-1)^2),0)</f>
        <v>12</v>
      </c>
      <c r="S845">
        <f t="shared" si="108"/>
        <v>0</v>
      </c>
      <c r="T845" t="str">
        <f t="shared" si="109"/>
        <v>OK</v>
      </c>
      <c r="U845" s="25">
        <f t="shared" si="110"/>
        <v>9.5</v>
      </c>
      <c r="V845" t="str">
        <f t="shared" si="111"/>
        <v>OK</v>
      </c>
    </row>
    <row r="846" spans="1:22" ht="18" customHeight="1">
      <c r="A846" t="s">
        <v>229</v>
      </c>
      <c r="B846" t="s">
        <v>230</v>
      </c>
      <c r="C846">
        <v>3</v>
      </c>
      <c r="D846" t="s">
        <v>211</v>
      </c>
      <c r="E846" s="6">
        <f t="shared" si="104"/>
        <v>9</v>
      </c>
      <c r="F846" s="6">
        <f t="shared" si="105"/>
        <v>14</v>
      </c>
      <c r="G846" s="6">
        <f>ROUND(Catalogue!G46*SQRT((1+Paramètres!$B$4*(C846-1)+Paramètres!$B$5*(C846-1)^2)),0)</f>
        <v>0</v>
      </c>
      <c r="H846" s="6">
        <f>ROUND(Catalogue!H46*SQRT((1+Paramètres!$B$4*(C846-1)+Paramètres!$B$5*(C846-1)^2)),0)</f>
        <v>0</v>
      </c>
      <c r="I846" s="6">
        <v>3</v>
      </c>
      <c r="J846" s="6">
        <v>2</v>
      </c>
      <c r="K846" s="7">
        <v>3.8</v>
      </c>
      <c r="L846" s="9">
        <f t="shared" si="106"/>
        <v>11.5</v>
      </c>
      <c r="M846">
        <v>1</v>
      </c>
      <c r="N846">
        <v>6</v>
      </c>
      <c r="O846">
        <v>8</v>
      </c>
      <c r="P846" s="13" t="str">
        <f t="shared" si="107"/>
        <v>1d6 + 8</v>
      </c>
      <c r="Q846">
        <f>ROUND(INDEX(Catalogue!E$4:E$85,MATCH(A846,Catalogue!A$4:A$85,0))*(1+Paramètres!$B$4*(C846-1)+Paramètres!$B$5*(C846-1)^2),0)</f>
        <v>8</v>
      </c>
      <c r="R846">
        <f>ROUND(INDEX(Catalogue!F$4:F$85,MATCH(A846,Catalogue!A$4:A$85,0))*(1+Paramètres!$B$4*(C846-1)+Paramètres!$B$5*(C846-1)^2),0)</f>
        <v>14</v>
      </c>
      <c r="S846">
        <f t="shared" si="108"/>
        <v>0.5</v>
      </c>
      <c r="T846" t="str">
        <f t="shared" si="109"/>
        <v>OK</v>
      </c>
      <c r="U846" s="25">
        <f t="shared" si="110"/>
        <v>11.5</v>
      </c>
      <c r="V846" t="str">
        <f t="shared" si="111"/>
        <v>OK</v>
      </c>
    </row>
    <row r="847" spans="1:22" ht="18" customHeight="1">
      <c r="A847" t="s">
        <v>229</v>
      </c>
      <c r="B847" t="s">
        <v>230</v>
      </c>
      <c r="C847">
        <v>4</v>
      </c>
      <c r="D847" t="s">
        <v>211</v>
      </c>
      <c r="E847" s="6">
        <f t="shared" si="104"/>
        <v>9</v>
      </c>
      <c r="F847" s="6">
        <f t="shared" si="105"/>
        <v>16</v>
      </c>
      <c r="G847" s="6">
        <f>ROUND(Catalogue!G46*SQRT((1+Paramètres!$B$4*(C847-1)+Paramètres!$B$5*(C847-1)^2)),0)</f>
        <v>0</v>
      </c>
      <c r="H847" s="6">
        <f>ROUND(Catalogue!H46*SQRT((1+Paramètres!$B$4*(C847-1)+Paramètres!$B$5*(C847-1)^2)),0)</f>
        <v>0</v>
      </c>
      <c r="I847" s="6">
        <v>3</v>
      </c>
      <c r="J847" s="6">
        <v>2</v>
      </c>
      <c r="K847" s="7">
        <v>3.8</v>
      </c>
      <c r="L847" s="9">
        <f t="shared" si="106"/>
        <v>12.5</v>
      </c>
      <c r="M847">
        <v>1</v>
      </c>
      <c r="N847">
        <v>8</v>
      </c>
      <c r="O847">
        <v>8</v>
      </c>
      <c r="P847" s="13" t="str">
        <f t="shared" si="107"/>
        <v>1d8 + 8</v>
      </c>
      <c r="Q847">
        <f>ROUND(INDEX(Catalogue!E$4:E$85,MATCH(A847,Catalogue!A$4:A$85,0))*(1+Paramètres!$B$4*(C847-1)+Paramètres!$B$5*(C847-1)^2),0)</f>
        <v>9</v>
      </c>
      <c r="R847">
        <f>ROUND(INDEX(Catalogue!F$4:F$85,MATCH(A847,Catalogue!A$4:A$85,0))*(1+Paramètres!$B$4*(C847-1)+Paramètres!$B$5*(C847-1)^2),0)</f>
        <v>16</v>
      </c>
      <c r="S847">
        <f t="shared" si="108"/>
        <v>0</v>
      </c>
      <c r="T847" t="str">
        <f t="shared" si="109"/>
        <v>OK</v>
      </c>
      <c r="U847" s="25">
        <f t="shared" si="110"/>
        <v>12.5</v>
      </c>
      <c r="V847" t="str">
        <f t="shared" si="111"/>
        <v>OK</v>
      </c>
    </row>
    <row r="848" spans="1:22" ht="18" customHeight="1">
      <c r="A848" t="s">
        <v>229</v>
      </c>
      <c r="B848" t="s">
        <v>230</v>
      </c>
      <c r="C848">
        <v>5</v>
      </c>
      <c r="D848" t="s">
        <v>211</v>
      </c>
      <c r="E848" s="6">
        <f t="shared" si="104"/>
        <v>10</v>
      </c>
      <c r="F848" s="6">
        <f t="shared" si="105"/>
        <v>19</v>
      </c>
      <c r="G848" s="6">
        <f>ROUND(Catalogue!G46*SQRT((1+Paramètres!$B$4*(C848-1)+Paramètres!$B$5*(C848-1)^2)),0)</f>
        <v>0</v>
      </c>
      <c r="H848" s="6">
        <f>ROUND(Catalogue!H46*SQRT((1+Paramètres!$B$4*(C848-1)+Paramètres!$B$5*(C848-1)^2)),0)</f>
        <v>0</v>
      </c>
      <c r="I848" s="6">
        <v>3</v>
      </c>
      <c r="J848" s="6">
        <v>2</v>
      </c>
      <c r="K848" s="7">
        <v>3.8</v>
      </c>
      <c r="L848" s="9">
        <f t="shared" si="106"/>
        <v>14.5</v>
      </c>
      <c r="M848">
        <v>1</v>
      </c>
      <c r="N848">
        <v>10</v>
      </c>
      <c r="O848">
        <v>9</v>
      </c>
      <c r="P848" s="13" t="str">
        <f t="shared" si="107"/>
        <v>1d10 + 9</v>
      </c>
      <c r="Q848">
        <f>ROUND(INDEX(Catalogue!E$4:E$85,MATCH(A848,Catalogue!A$4:A$85,0))*(1+Paramètres!$B$4*(C848-1)+Paramètres!$B$5*(C848-1)^2),0)</f>
        <v>10</v>
      </c>
      <c r="R848">
        <f>ROUND(INDEX(Catalogue!F$4:F$85,MATCH(A848,Catalogue!A$4:A$85,0))*(1+Paramètres!$B$4*(C848-1)+Paramètres!$B$5*(C848-1)^2),0)</f>
        <v>19</v>
      </c>
      <c r="S848">
        <f t="shared" si="108"/>
        <v>0</v>
      </c>
      <c r="T848" t="str">
        <f t="shared" si="109"/>
        <v>OK</v>
      </c>
      <c r="U848" s="25">
        <f t="shared" si="110"/>
        <v>14.5</v>
      </c>
      <c r="V848" t="str">
        <f t="shared" si="111"/>
        <v>OK</v>
      </c>
    </row>
    <row r="849" spans="1:22" ht="18" customHeight="1">
      <c r="A849" t="s">
        <v>229</v>
      </c>
      <c r="B849" t="s">
        <v>230</v>
      </c>
      <c r="C849">
        <v>6</v>
      </c>
      <c r="D849" t="s">
        <v>211</v>
      </c>
      <c r="E849" s="6">
        <f t="shared" si="104"/>
        <v>12</v>
      </c>
      <c r="F849" s="6">
        <f t="shared" si="105"/>
        <v>21</v>
      </c>
      <c r="G849" s="6">
        <f>ROUND(Catalogue!G46*SQRT((1+Paramètres!$B$4*(C849-1)+Paramètres!$B$5*(C849-1)^2)),0)</f>
        <v>0</v>
      </c>
      <c r="H849" s="6">
        <f>ROUND(Catalogue!H46*SQRT((1+Paramètres!$B$4*(C849-1)+Paramètres!$B$5*(C849-1)^2)),0)</f>
        <v>0</v>
      </c>
      <c r="I849" s="6">
        <v>3</v>
      </c>
      <c r="J849" s="6">
        <v>2</v>
      </c>
      <c r="K849" s="7">
        <v>3.8</v>
      </c>
      <c r="L849" s="9">
        <f t="shared" si="106"/>
        <v>16.5</v>
      </c>
      <c r="M849">
        <v>1</v>
      </c>
      <c r="N849">
        <v>10</v>
      </c>
      <c r="O849">
        <v>11</v>
      </c>
      <c r="P849" s="13" t="str">
        <f t="shared" si="107"/>
        <v>1d10 + 11</v>
      </c>
      <c r="Q849">
        <f>ROUND(INDEX(Catalogue!E$4:E$85,MATCH(A849,Catalogue!A$4:A$85,0))*(1+Paramètres!$B$4*(C849-1)+Paramètres!$B$5*(C849-1)^2),0)</f>
        <v>12</v>
      </c>
      <c r="R849">
        <f>ROUND(INDEX(Catalogue!F$4:F$85,MATCH(A849,Catalogue!A$4:A$85,0))*(1+Paramètres!$B$4*(C849-1)+Paramètres!$B$5*(C849-1)^2),0)</f>
        <v>21</v>
      </c>
      <c r="S849">
        <f t="shared" si="108"/>
        <v>0</v>
      </c>
      <c r="T849" t="str">
        <f t="shared" si="109"/>
        <v>OK</v>
      </c>
      <c r="U849" s="25">
        <f t="shared" si="110"/>
        <v>16.5</v>
      </c>
      <c r="V849" t="str">
        <f t="shared" si="111"/>
        <v>OK</v>
      </c>
    </row>
    <row r="850" spans="1:22" ht="18" customHeight="1">
      <c r="A850" t="s">
        <v>229</v>
      </c>
      <c r="B850" t="s">
        <v>230</v>
      </c>
      <c r="C850">
        <v>7</v>
      </c>
      <c r="D850" t="s">
        <v>211</v>
      </c>
      <c r="E850" s="6">
        <f t="shared" si="104"/>
        <v>13</v>
      </c>
      <c r="F850" s="6">
        <f t="shared" si="105"/>
        <v>24</v>
      </c>
      <c r="G850" s="6">
        <f>ROUND(Catalogue!G46*SQRT((1+Paramètres!$B$4*(C850-1)+Paramètres!$B$5*(C850-1)^2)),0)</f>
        <v>0</v>
      </c>
      <c r="H850" s="6">
        <f>ROUND(Catalogue!H46*SQRT((1+Paramètres!$B$4*(C850-1)+Paramètres!$B$5*(C850-1)^2)),0)</f>
        <v>0</v>
      </c>
      <c r="I850" s="6">
        <v>3</v>
      </c>
      <c r="J850" s="6">
        <v>2</v>
      </c>
      <c r="K850" s="7">
        <v>3.8</v>
      </c>
      <c r="L850" s="9">
        <f t="shared" si="106"/>
        <v>18.5</v>
      </c>
      <c r="M850">
        <v>1</v>
      </c>
      <c r="N850">
        <v>12</v>
      </c>
      <c r="O850">
        <v>12</v>
      </c>
      <c r="P850" s="13" t="str">
        <f t="shared" si="107"/>
        <v>1d12 + 12</v>
      </c>
      <c r="Q850">
        <f>ROUND(INDEX(Catalogue!E$4:E$85,MATCH(A850,Catalogue!A$4:A$85,0))*(1+Paramètres!$B$4*(C850-1)+Paramètres!$B$5*(C850-1)^2),0)</f>
        <v>13</v>
      </c>
      <c r="R850">
        <f>ROUND(INDEX(Catalogue!F$4:F$85,MATCH(A850,Catalogue!A$4:A$85,0))*(1+Paramètres!$B$4*(C850-1)+Paramètres!$B$5*(C850-1)^2),0)</f>
        <v>25</v>
      </c>
      <c r="S850">
        <f t="shared" si="108"/>
        <v>-0.5</v>
      </c>
      <c r="T850" t="str">
        <f t="shared" si="109"/>
        <v>OK</v>
      </c>
      <c r="U850" s="25">
        <f t="shared" si="110"/>
        <v>18.5</v>
      </c>
      <c r="V850" t="str">
        <f t="shared" si="111"/>
        <v>OK</v>
      </c>
    </row>
    <row r="851" spans="1:22" ht="18" customHeight="1">
      <c r="A851" t="s">
        <v>229</v>
      </c>
      <c r="B851" t="s">
        <v>230</v>
      </c>
      <c r="C851">
        <v>8</v>
      </c>
      <c r="D851" t="s">
        <v>211</v>
      </c>
      <c r="E851" s="6">
        <f t="shared" si="104"/>
        <v>14</v>
      </c>
      <c r="F851" s="6">
        <f t="shared" si="105"/>
        <v>28</v>
      </c>
      <c r="G851" s="6">
        <f>ROUND(Catalogue!G46*SQRT((1+Paramètres!$B$4*(C851-1)+Paramètres!$B$5*(C851-1)^2)),0)</f>
        <v>0</v>
      </c>
      <c r="H851" s="6">
        <f>ROUND(Catalogue!H46*SQRT((1+Paramètres!$B$4*(C851-1)+Paramètres!$B$5*(C851-1)^2)),0)</f>
        <v>0</v>
      </c>
      <c r="I851" s="6">
        <v>3</v>
      </c>
      <c r="J851" s="6">
        <v>2</v>
      </c>
      <c r="K851" s="7">
        <v>3.8</v>
      </c>
      <c r="L851" s="9">
        <f t="shared" si="106"/>
        <v>21</v>
      </c>
      <c r="M851">
        <v>2</v>
      </c>
      <c r="N851">
        <v>8</v>
      </c>
      <c r="O851">
        <v>12</v>
      </c>
      <c r="P851" s="13" t="str">
        <f t="shared" si="107"/>
        <v>2d8 + 12</v>
      </c>
      <c r="Q851">
        <f>ROUND(INDEX(Catalogue!E$4:E$85,MATCH(A851,Catalogue!A$4:A$85,0))*(1+Paramètres!$B$4*(C851-1)+Paramètres!$B$5*(C851-1)^2),0)</f>
        <v>15</v>
      </c>
      <c r="R851">
        <f>ROUND(INDEX(Catalogue!F$4:F$85,MATCH(A851,Catalogue!A$4:A$85,0))*(1+Paramètres!$B$4*(C851-1)+Paramètres!$B$5*(C851-1)^2),0)</f>
        <v>28</v>
      </c>
      <c r="S851">
        <f t="shared" si="108"/>
        <v>-0.5</v>
      </c>
      <c r="T851" t="str">
        <f t="shared" si="109"/>
        <v>OK</v>
      </c>
      <c r="U851" s="25">
        <f t="shared" si="110"/>
        <v>21</v>
      </c>
      <c r="V851" t="str">
        <f t="shared" si="111"/>
        <v>OK</v>
      </c>
    </row>
    <row r="852" spans="1:22" ht="18" customHeight="1">
      <c r="A852" t="s">
        <v>229</v>
      </c>
      <c r="B852" t="s">
        <v>230</v>
      </c>
      <c r="C852">
        <v>9</v>
      </c>
      <c r="D852" t="s">
        <v>211</v>
      </c>
      <c r="E852" s="6">
        <f t="shared" si="104"/>
        <v>17</v>
      </c>
      <c r="F852" s="6">
        <f t="shared" si="105"/>
        <v>32</v>
      </c>
      <c r="G852" s="6">
        <f>ROUND(Catalogue!G46*SQRT((1+Paramètres!$B$4*(C852-1)+Paramètres!$B$5*(C852-1)^2)),0)</f>
        <v>0</v>
      </c>
      <c r="H852" s="6">
        <f>ROUND(Catalogue!H46*SQRT((1+Paramètres!$B$4*(C852-1)+Paramètres!$B$5*(C852-1)^2)),0)</f>
        <v>0</v>
      </c>
      <c r="I852" s="6">
        <v>3</v>
      </c>
      <c r="J852" s="6">
        <v>2</v>
      </c>
      <c r="K852" s="7">
        <v>3.8</v>
      </c>
      <c r="L852" s="9">
        <f t="shared" si="106"/>
        <v>24.5</v>
      </c>
      <c r="M852">
        <v>3</v>
      </c>
      <c r="N852">
        <v>6</v>
      </c>
      <c r="O852">
        <v>14</v>
      </c>
      <c r="P852" s="13" t="str">
        <f t="shared" si="107"/>
        <v>3d6 + 14</v>
      </c>
      <c r="Q852">
        <f>ROUND(INDEX(Catalogue!E$4:E$85,MATCH(A852,Catalogue!A$4:A$85,0))*(1+Paramètres!$B$4*(C852-1)+Paramètres!$B$5*(C852-1)^2),0)</f>
        <v>17</v>
      </c>
      <c r="R852">
        <f>ROUND(INDEX(Catalogue!F$4:F$85,MATCH(A852,Catalogue!A$4:A$85,0))*(1+Paramètres!$B$4*(C852-1)+Paramètres!$B$5*(C852-1)^2),0)</f>
        <v>32</v>
      </c>
      <c r="S852">
        <f t="shared" si="108"/>
        <v>0</v>
      </c>
      <c r="T852" t="str">
        <f t="shared" si="109"/>
        <v>OK</v>
      </c>
      <c r="U852" s="25">
        <f t="shared" si="110"/>
        <v>24.5</v>
      </c>
      <c r="V852" t="str">
        <f t="shared" si="111"/>
        <v>OK</v>
      </c>
    </row>
    <row r="853" spans="1:22" ht="18" customHeight="1">
      <c r="A853" t="s">
        <v>229</v>
      </c>
      <c r="B853" t="s">
        <v>230</v>
      </c>
      <c r="C853">
        <v>10</v>
      </c>
      <c r="D853" t="s">
        <v>211</v>
      </c>
      <c r="E853" s="6">
        <f t="shared" si="104"/>
        <v>20</v>
      </c>
      <c r="F853" s="6">
        <f t="shared" si="105"/>
        <v>35</v>
      </c>
      <c r="G853" s="6">
        <f>ROUND(Catalogue!G46*SQRT((1+Paramètres!$B$4*(C853-1)+Paramètres!$B$5*(C853-1)^2)),0)</f>
        <v>0</v>
      </c>
      <c r="H853" s="6">
        <f>ROUND(Catalogue!H46*SQRT((1+Paramètres!$B$4*(C853-1)+Paramètres!$B$5*(C853-1)^2)),0)</f>
        <v>0</v>
      </c>
      <c r="I853" s="6">
        <v>3</v>
      </c>
      <c r="J853" s="6">
        <v>2</v>
      </c>
      <c r="K853" s="7">
        <v>3.8</v>
      </c>
      <c r="L853" s="9">
        <f t="shared" si="106"/>
        <v>27.5</v>
      </c>
      <c r="M853">
        <v>3</v>
      </c>
      <c r="N853">
        <v>6</v>
      </c>
      <c r="O853">
        <v>17</v>
      </c>
      <c r="P853" s="13" t="str">
        <f t="shared" si="107"/>
        <v>3d6 + 17</v>
      </c>
      <c r="Q853">
        <f>ROUND(INDEX(Catalogue!E$4:E$85,MATCH(A853,Catalogue!A$4:A$85,0))*(1+Paramètres!$B$4*(C853-1)+Paramètres!$B$5*(C853-1)^2),0)</f>
        <v>20</v>
      </c>
      <c r="R853">
        <f>ROUND(INDEX(Catalogue!F$4:F$85,MATCH(A853,Catalogue!A$4:A$85,0))*(1+Paramètres!$B$4*(C853-1)+Paramètres!$B$5*(C853-1)^2),0)</f>
        <v>36</v>
      </c>
      <c r="S853">
        <f t="shared" si="108"/>
        <v>-0.5</v>
      </c>
      <c r="T853" t="str">
        <f t="shared" si="109"/>
        <v>OK</v>
      </c>
      <c r="U853" s="25">
        <f t="shared" si="110"/>
        <v>27.5</v>
      </c>
      <c r="V853" t="str">
        <f t="shared" si="111"/>
        <v>OK</v>
      </c>
    </row>
    <row r="854" spans="1:22" ht="18" customHeight="1">
      <c r="A854" t="s">
        <v>229</v>
      </c>
      <c r="B854" t="s">
        <v>230</v>
      </c>
      <c r="C854">
        <v>11</v>
      </c>
      <c r="D854" t="s">
        <v>211</v>
      </c>
      <c r="E854" s="6">
        <f t="shared" si="104"/>
        <v>22</v>
      </c>
      <c r="F854" s="6">
        <f t="shared" si="105"/>
        <v>40</v>
      </c>
      <c r="G854" s="6">
        <f>ROUND(Catalogue!G46*SQRT((1+Paramètres!$B$4*(C854-1)+Paramètres!$B$5*(C854-1)^2)),0)</f>
        <v>0</v>
      </c>
      <c r="H854" s="6">
        <f>ROUND(Catalogue!H46*SQRT((1+Paramètres!$B$4*(C854-1)+Paramètres!$B$5*(C854-1)^2)),0)</f>
        <v>0</v>
      </c>
      <c r="I854" s="6">
        <v>3</v>
      </c>
      <c r="J854" s="6">
        <v>2</v>
      </c>
      <c r="K854" s="7">
        <v>3.8</v>
      </c>
      <c r="L854" s="9">
        <f t="shared" si="106"/>
        <v>31</v>
      </c>
      <c r="M854">
        <v>2</v>
      </c>
      <c r="N854">
        <v>10</v>
      </c>
      <c r="O854">
        <v>20</v>
      </c>
      <c r="P854" s="13" t="str">
        <f t="shared" si="107"/>
        <v>2d10 + 20</v>
      </c>
      <c r="Q854">
        <f>ROUND(INDEX(Catalogue!E$4:E$85,MATCH(A854,Catalogue!A$4:A$85,0))*(1+Paramètres!$B$4*(C854-1)+Paramètres!$B$5*(C854-1)^2),0)</f>
        <v>22</v>
      </c>
      <c r="R854">
        <f>ROUND(INDEX(Catalogue!F$4:F$85,MATCH(A854,Catalogue!A$4:A$85,0))*(1+Paramètres!$B$4*(C854-1)+Paramètres!$B$5*(C854-1)^2),0)</f>
        <v>41</v>
      </c>
      <c r="S854">
        <f t="shared" si="108"/>
        <v>-0.5</v>
      </c>
      <c r="T854" t="str">
        <f t="shared" si="109"/>
        <v>OK</v>
      </c>
      <c r="U854" s="25">
        <f t="shared" si="110"/>
        <v>31</v>
      </c>
      <c r="V854" t="str">
        <f t="shared" si="111"/>
        <v>OK</v>
      </c>
    </row>
    <row r="855" spans="1:22" ht="18" customHeight="1">
      <c r="A855" t="s">
        <v>229</v>
      </c>
      <c r="B855" t="s">
        <v>230</v>
      </c>
      <c r="C855">
        <v>12</v>
      </c>
      <c r="D855" t="s">
        <v>211</v>
      </c>
      <c r="E855" s="6">
        <f t="shared" si="104"/>
        <v>25</v>
      </c>
      <c r="F855" s="6">
        <f t="shared" si="105"/>
        <v>46</v>
      </c>
      <c r="G855" s="6">
        <f>ROUND(Catalogue!G46*SQRT((1+Paramètres!$B$4*(C855-1)+Paramètres!$B$5*(C855-1)^2)),0)</f>
        <v>0</v>
      </c>
      <c r="H855" s="6">
        <f>ROUND(Catalogue!H46*SQRT((1+Paramètres!$B$4*(C855-1)+Paramètres!$B$5*(C855-1)^2)),0)</f>
        <v>0</v>
      </c>
      <c r="I855" s="6">
        <v>3</v>
      </c>
      <c r="J855" s="6">
        <v>2</v>
      </c>
      <c r="K855" s="7">
        <v>3.8</v>
      </c>
      <c r="L855" s="9">
        <f t="shared" si="106"/>
        <v>35.5</v>
      </c>
      <c r="M855">
        <v>3</v>
      </c>
      <c r="N855">
        <v>8</v>
      </c>
      <c r="O855">
        <v>22</v>
      </c>
      <c r="P855" s="13" t="str">
        <f t="shared" si="107"/>
        <v>3d8 + 22</v>
      </c>
      <c r="Q855">
        <f>ROUND(INDEX(Catalogue!E$4:E$85,MATCH(A855,Catalogue!A$4:A$85,0))*(1+Paramètres!$B$4*(C855-1)+Paramètres!$B$5*(C855-1)^2),0)</f>
        <v>25</v>
      </c>
      <c r="R855">
        <f>ROUND(INDEX(Catalogue!F$4:F$85,MATCH(A855,Catalogue!A$4:A$85,0))*(1+Paramètres!$B$4*(C855-1)+Paramètres!$B$5*(C855-1)^2),0)</f>
        <v>46</v>
      </c>
      <c r="S855">
        <f t="shared" si="108"/>
        <v>0</v>
      </c>
      <c r="T855" t="str">
        <f t="shared" si="109"/>
        <v>OK</v>
      </c>
      <c r="U855" s="25">
        <f t="shared" si="110"/>
        <v>35.5</v>
      </c>
      <c r="V855" t="str">
        <f t="shared" si="111"/>
        <v>OK</v>
      </c>
    </row>
    <row r="856" spans="1:22" ht="18" customHeight="1">
      <c r="A856" t="s">
        <v>229</v>
      </c>
      <c r="B856" t="s">
        <v>230</v>
      </c>
      <c r="C856">
        <v>13</v>
      </c>
      <c r="D856" t="s">
        <v>211</v>
      </c>
      <c r="E856" s="6">
        <f t="shared" si="104"/>
        <v>28</v>
      </c>
      <c r="F856" s="6">
        <f t="shared" si="105"/>
        <v>50</v>
      </c>
      <c r="G856" s="6">
        <f>ROUND(Catalogue!G46*SQRT((1+Paramètres!$B$4*(C856-1)+Paramètres!$B$5*(C856-1)^2)),0)</f>
        <v>0</v>
      </c>
      <c r="H856" s="6">
        <f>ROUND(Catalogue!H46*SQRT((1+Paramètres!$B$4*(C856-1)+Paramètres!$B$5*(C856-1)^2)),0)</f>
        <v>0</v>
      </c>
      <c r="I856" s="6">
        <v>3</v>
      </c>
      <c r="J856" s="6">
        <v>2</v>
      </c>
      <c r="K856" s="7">
        <v>3.8</v>
      </c>
      <c r="L856" s="9">
        <f t="shared" si="106"/>
        <v>39</v>
      </c>
      <c r="M856">
        <v>2</v>
      </c>
      <c r="N856">
        <v>12</v>
      </c>
      <c r="O856">
        <v>26</v>
      </c>
      <c r="P856" s="13" t="str">
        <f t="shared" si="107"/>
        <v>2d12 + 26</v>
      </c>
      <c r="Q856">
        <f>ROUND(INDEX(Catalogue!E$4:E$85,MATCH(A856,Catalogue!A$4:A$85,0))*(1+Paramètres!$B$4*(C856-1)+Paramètres!$B$5*(C856-1)^2),0)</f>
        <v>28</v>
      </c>
      <c r="R856">
        <f>ROUND(INDEX(Catalogue!F$4:F$85,MATCH(A856,Catalogue!A$4:A$85,0))*(1+Paramètres!$B$4*(C856-1)+Paramètres!$B$5*(C856-1)^2),0)</f>
        <v>51</v>
      </c>
      <c r="S856">
        <f t="shared" si="108"/>
        <v>-0.5</v>
      </c>
      <c r="T856" t="str">
        <f t="shared" si="109"/>
        <v>OK</v>
      </c>
      <c r="U856" s="25">
        <f t="shared" si="110"/>
        <v>39</v>
      </c>
      <c r="V856" t="str">
        <f t="shared" si="111"/>
        <v>OK</v>
      </c>
    </row>
    <row r="857" spans="1:22" ht="18" customHeight="1">
      <c r="A857" t="s">
        <v>229</v>
      </c>
      <c r="B857" t="s">
        <v>230</v>
      </c>
      <c r="C857">
        <v>14</v>
      </c>
      <c r="D857" t="s">
        <v>211</v>
      </c>
      <c r="E857" s="6">
        <f t="shared" si="104"/>
        <v>31</v>
      </c>
      <c r="F857" s="6">
        <f t="shared" si="105"/>
        <v>56</v>
      </c>
      <c r="G857" s="6">
        <f>ROUND(Catalogue!G46*SQRT((1+Paramètres!$B$4*(C857-1)+Paramètres!$B$5*(C857-1)^2)),0)</f>
        <v>0</v>
      </c>
      <c r="H857" s="6">
        <f>ROUND(Catalogue!H46*SQRT((1+Paramètres!$B$4*(C857-1)+Paramètres!$B$5*(C857-1)^2)),0)</f>
        <v>0</v>
      </c>
      <c r="I857" s="6">
        <v>3</v>
      </c>
      <c r="J857" s="6">
        <v>2</v>
      </c>
      <c r="K857" s="7">
        <v>3.8</v>
      </c>
      <c r="L857" s="9">
        <f t="shared" si="106"/>
        <v>43.5</v>
      </c>
      <c r="M857">
        <v>5</v>
      </c>
      <c r="N857">
        <v>6</v>
      </c>
      <c r="O857">
        <v>26</v>
      </c>
      <c r="P857" s="13" t="str">
        <f t="shared" si="107"/>
        <v>5d6 + 26</v>
      </c>
      <c r="Q857">
        <f>ROUND(INDEX(Catalogue!E$4:E$85,MATCH(A857,Catalogue!A$4:A$85,0))*(1+Paramètres!$B$4*(C857-1)+Paramètres!$B$5*(C857-1)^2),0)</f>
        <v>31</v>
      </c>
      <c r="R857">
        <f>ROUND(INDEX(Catalogue!F$4:F$85,MATCH(A857,Catalogue!A$4:A$85,0))*(1+Paramètres!$B$4*(C857-1)+Paramètres!$B$5*(C857-1)^2),0)</f>
        <v>56</v>
      </c>
      <c r="S857">
        <f t="shared" si="108"/>
        <v>0</v>
      </c>
      <c r="T857" t="str">
        <f t="shared" si="109"/>
        <v>OK</v>
      </c>
      <c r="U857" s="25">
        <f t="shared" si="110"/>
        <v>43.5</v>
      </c>
      <c r="V857" t="str">
        <f t="shared" si="111"/>
        <v>OK</v>
      </c>
    </row>
    <row r="858" spans="1:22" ht="18" customHeight="1">
      <c r="A858" t="s">
        <v>229</v>
      </c>
      <c r="B858" t="s">
        <v>230</v>
      </c>
      <c r="C858">
        <v>15</v>
      </c>
      <c r="D858" t="s">
        <v>211</v>
      </c>
      <c r="E858" s="6">
        <f t="shared" si="104"/>
        <v>34</v>
      </c>
      <c r="F858" s="6">
        <f t="shared" si="105"/>
        <v>62</v>
      </c>
      <c r="G858" s="6">
        <f>ROUND(Catalogue!G46*SQRT((1+Paramètres!$B$4*(C858-1)+Paramètres!$B$5*(C858-1)^2)),0)</f>
        <v>0</v>
      </c>
      <c r="H858" s="6">
        <f>ROUND(Catalogue!H46*SQRT((1+Paramètres!$B$4*(C858-1)+Paramètres!$B$5*(C858-1)^2)),0)</f>
        <v>0</v>
      </c>
      <c r="I858" s="6">
        <v>3</v>
      </c>
      <c r="J858" s="6">
        <v>2</v>
      </c>
      <c r="K858" s="7">
        <v>3.8</v>
      </c>
      <c r="L858" s="9">
        <f t="shared" si="106"/>
        <v>48</v>
      </c>
      <c r="M858">
        <v>4</v>
      </c>
      <c r="N858">
        <v>8</v>
      </c>
      <c r="O858">
        <v>30</v>
      </c>
      <c r="P858" s="13" t="str">
        <f t="shared" si="107"/>
        <v>4d8 + 30</v>
      </c>
      <c r="Q858">
        <f>ROUND(INDEX(Catalogue!E$4:E$85,MATCH(A858,Catalogue!A$4:A$85,0))*(1+Paramètres!$B$4*(C858-1)+Paramètres!$B$5*(C858-1)^2),0)</f>
        <v>34</v>
      </c>
      <c r="R858">
        <f>ROUND(INDEX(Catalogue!F$4:F$85,MATCH(A858,Catalogue!A$4:A$85,0))*(1+Paramètres!$B$4*(C858-1)+Paramètres!$B$5*(C858-1)^2),0)</f>
        <v>62</v>
      </c>
      <c r="S858">
        <f t="shared" si="108"/>
        <v>0</v>
      </c>
      <c r="T858" t="str">
        <f t="shared" si="109"/>
        <v>OK</v>
      </c>
      <c r="U858" s="25">
        <f t="shared" si="110"/>
        <v>48</v>
      </c>
      <c r="V858" t="str">
        <f t="shared" si="111"/>
        <v>OK</v>
      </c>
    </row>
    <row r="859" spans="1:22" ht="18" customHeight="1">
      <c r="A859" t="s">
        <v>229</v>
      </c>
      <c r="B859" t="s">
        <v>230</v>
      </c>
      <c r="C859">
        <v>16</v>
      </c>
      <c r="D859" t="s">
        <v>211</v>
      </c>
      <c r="E859" s="6">
        <f t="shared" si="104"/>
        <v>38</v>
      </c>
      <c r="F859" s="6">
        <f t="shared" si="105"/>
        <v>68</v>
      </c>
      <c r="G859" s="6">
        <f>ROUND(Catalogue!G46*SQRT((1+Paramètres!$B$4*(C859-1)+Paramètres!$B$5*(C859-1)^2)),0)</f>
        <v>0</v>
      </c>
      <c r="H859" s="6">
        <f>ROUND(Catalogue!H46*SQRT((1+Paramètres!$B$4*(C859-1)+Paramètres!$B$5*(C859-1)^2)),0)</f>
        <v>0</v>
      </c>
      <c r="I859" s="6">
        <v>3</v>
      </c>
      <c r="J859" s="6">
        <v>2</v>
      </c>
      <c r="K859" s="7">
        <v>3.8</v>
      </c>
      <c r="L859" s="9">
        <f t="shared" si="106"/>
        <v>53</v>
      </c>
      <c r="M859">
        <v>6</v>
      </c>
      <c r="N859">
        <v>6</v>
      </c>
      <c r="O859">
        <v>32</v>
      </c>
      <c r="P859" s="13" t="str">
        <f t="shared" si="107"/>
        <v>6d6 + 32</v>
      </c>
      <c r="Q859">
        <f>ROUND(INDEX(Catalogue!E$4:E$85,MATCH(A859,Catalogue!A$4:A$85,0))*(1+Paramètres!$B$4*(C859-1)+Paramètres!$B$5*(C859-1)^2),0)</f>
        <v>38</v>
      </c>
      <c r="R859">
        <f>ROUND(INDEX(Catalogue!F$4:F$85,MATCH(A859,Catalogue!A$4:A$85,0))*(1+Paramètres!$B$4*(C859-1)+Paramètres!$B$5*(C859-1)^2),0)</f>
        <v>69</v>
      </c>
      <c r="S859">
        <f t="shared" si="108"/>
        <v>-0.5</v>
      </c>
      <c r="T859" t="str">
        <f t="shared" si="109"/>
        <v>OK</v>
      </c>
      <c r="U859" s="25">
        <f t="shared" si="110"/>
        <v>53</v>
      </c>
      <c r="V859" t="str">
        <f t="shared" si="111"/>
        <v>OK</v>
      </c>
    </row>
    <row r="860" spans="1:22" ht="18" customHeight="1">
      <c r="A860" t="s">
        <v>229</v>
      </c>
      <c r="B860" t="s">
        <v>230</v>
      </c>
      <c r="C860">
        <v>17</v>
      </c>
      <c r="D860" t="s">
        <v>211</v>
      </c>
      <c r="E860" s="6">
        <f t="shared" si="104"/>
        <v>41</v>
      </c>
      <c r="F860" s="6">
        <f t="shared" si="105"/>
        <v>74</v>
      </c>
      <c r="G860" s="6">
        <f>ROUND(Catalogue!G46*SQRT((1+Paramètres!$B$4*(C860-1)+Paramètres!$B$5*(C860-1)^2)),0)</f>
        <v>0</v>
      </c>
      <c r="H860" s="6">
        <f>ROUND(Catalogue!H46*SQRT((1+Paramètres!$B$4*(C860-1)+Paramètres!$B$5*(C860-1)^2)),0)</f>
        <v>0</v>
      </c>
      <c r="I860" s="6">
        <v>3</v>
      </c>
      <c r="J860" s="6">
        <v>2</v>
      </c>
      <c r="K860" s="7">
        <v>3.8</v>
      </c>
      <c r="L860" s="9">
        <f t="shared" si="106"/>
        <v>57.5</v>
      </c>
      <c r="M860">
        <v>3</v>
      </c>
      <c r="N860">
        <v>12</v>
      </c>
      <c r="O860">
        <v>38</v>
      </c>
      <c r="P860" s="13" t="str">
        <f t="shared" si="107"/>
        <v>3d12 + 38</v>
      </c>
      <c r="Q860">
        <f>ROUND(INDEX(Catalogue!E$4:E$85,MATCH(A860,Catalogue!A$4:A$85,0))*(1+Paramètres!$B$4*(C860-1)+Paramètres!$B$5*(C860-1)^2),0)</f>
        <v>41</v>
      </c>
      <c r="R860">
        <f>ROUND(INDEX(Catalogue!F$4:F$85,MATCH(A860,Catalogue!A$4:A$85,0))*(1+Paramètres!$B$4*(C860-1)+Paramètres!$B$5*(C860-1)^2),0)</f>
        <v>75</v>
      </c>
      <c r="S860">
        <f t="shared" si="108"/>
        <v>-0.5</v>
      </c>
      <c r="T860" t="str">
        <f t="shared" si="109"/>
        <v>OK</v>
      </c>
      <c r="U860" s="25">
        <f t="shared" si="110"/>
        <v>57.5</v>
      </c>
      <c r="V860" t="str">
        <f t="shared" si="111"/>
        <v>OK</v>
      </c>
    </row>
    <row r="861" spans="1:22" ht="18" customHeight="1">
      <c r="A861" t="s">
        <v>229</v>
      </c>
      <c r="B861" t="s">
        <v>230</v>
      </c>
      <c r="C861">
        <v>18</v>
      </c>
      <c r="D861" t="s">
        <v>211</v>
      </c>
      <c r="E861" s="6">
        <f t="shared" si="104"/>
        <v>45</v>
      </c>
      <c r="F861" s="6">
        <f t="shared" si="105"/>
        <v>81</v>
      </c>
      <c r="G861" s="6">
        <f>ROUND(Catalogue!G46*SQRT((1+Paramètres!$B$4*(C861-1)+Paramètres!$B$5*(C861-1)^2)),0)</f>
        <v>0</v>
      </c>
      <c r="H861" s="6">
        <f>ROUND(Catalogue!H46*SQRT((1+Paramètres!$B$4*(C861-1)+Paramètres!$B$5*(C861-1)^2)),0)</f>
        <v>0</v>
      </c>
      <c r="I861" s="6">
        <v>3</v>
      </c>
      <c r="J861" s="6">
        <v>2</v>
      </c>
      <c r="K861" s="7">
        <v>3.8</v>
      </c>
      <c r="L861" s="9">
        <f t="shared" si="106"/>
        <v>63</v>
      </c>
      <c r="M861">
        <v>4</v>
      </c>
      <c r="N861">
        <v>10</v>
      </c>
      <c r="O861">
        <v>41</v>
      </c>
      <c r="P861" s="13" t="str">
        <f t="shared" si="107"/>
        <v>4d10 + 41</v>
      </c>
      <c r="Q861">
        <f>ROUND(INDEX(Catalogue!E$4:E$85,MATCH(A861,Catalogue!A$4:A$85,0))*(1+Paramètres!$B$4*(C861-1)+Paramètres!$B$5*(C861-1)^2),0)</f>
        <v>45</v>
      </c>
      <c r="R861">
        <f>ROUND(INDEX(Catalogue!F$4:F$85,MATCH(A861,Catalogue!A$4:A$85,0))*(1+Paramètres!$B$4*(C861-1)+Paramètres!$B$5*(C861-1)^2),0)</f>
        <v>82</v>
      </c>
      <c r="S861">
        <f t="shared" si="108"/>
        <v>-0.5</v>
      </c>
      <c r="T861" t="str">
        <f t="shared" si="109"/>
        <v>OK</v>
      </c>
      <c r="U861" s="25">
        <f t="shared" si="110"/>
        <v>63</v>
      </c>
      <c r="V861" t="str">
        <f t="shared" si="111"/>
        <v>OK</v>
      </c>
    </row>
    <row r="862" spans="1:22" ht="18" customHeight="1">
      <c r="A862" t="s">
        <v>229</v>
      </c>
      <c r="B862" t="s">
        <v>230</v>
      </c>
      <c r="C862">
        <v>19</v>
      </c>
      <c r="D862" t="s">
        <v>211</v>
      </c>
      <c r="E862" s="6">
        <f t="shared" si="104"/>
        <v>48</v>
      </c>
      <c r="F862" s="6">
        <f t="shared" si="105"/>
        <v>90</v>
      </c>
      <c r="G862" s="6">
        <f>ROUND(Catalogue!G46*SQRT((1+Paramètres!$B$4*(C862-1)+Paramètres!$B$5*(C862-1)^2)),0)</f>
        <v>0</v>
      </c>
      <c r="H862" s="6">
        <f>ROUND(Catalogue!H46*SQRT((1+Paramètres!$B$4*(C862-1)+Paramètres!$B$5*(C862-1)^2)),0)</f>
        <v>0</v>
      </c>
      <c r="I862" s="6">
        <v>3</v>
      </c>
      <c r="J862" s="6">
        <v>2</v>
      </c>
      <c r="K862" s="7">
        <v>3.8</v>
      </c>
      <c r="L862" s="9">
        <f t="shared" si="106"/>
        <v>69</v>
      </c>
      <c r="M862">
        <v>6</v>
      </c>
      <c r="N862">
        <v>8</v>
      </c>
      <c r="O862">
        <v>42</v>
      </c>
      <c r="P862" s="13" t="str">
        <f t="shared" si="107"/>
        <v>6d8 + 42</v>
      </c>
      <c r="Q862">
        <f>ROUND(INDEX(Catalogue!E$4:E$85,MATCH(A862,Catalogue!A$4:A$85,0))*(1+Paramètres!$B$4*(C862-1)+Paramètres!$B$5*(C862-1)^2),0)</f>
        <v>49</v>
      </c>
      <c r="R862">
        <f>ROUND(INDEX(Catalogue!F$4:F$85,MATCH(A862,Catalogue!A$4:A$85,0))*(1+Paramètres!$B$4*(C862-1)+Paramètres!$B$5*(C862-1)^2),0)</f>
        <v>90</v>
      </c>
      <c r="S862">
        <f t="shared" si="108"/>
        <v>-0.5</v>
      </c>
      <c r="T862" t="str">
        <f t="shared" si="109"/>
        <v>OK</v>
      </c>
      <c r="U862" s="25">
        <f t="shared" si="110"/>
        <v>69</v>
      </c>
      <c r="V862" t="str">
        <f t="shared" si="111"/>
        <v>OK</v>
      </c>
    </row>
    <row r="863" spans="1:22" ht="18" customHeight="1">
      <c r="A863" t="s">
        <v>229</v>
      </c>
      <c r="B863" t="s">
        <v>230</v>
      </c>
      <c r="C863">
        <v>20</v>
      </c>
      <c r="D863" t="s">
        <v>211</v>
      </c>
      <c r="E863" s="6">
        <f t="shared" si="104"/>
        <v>53</v>
      </c>
      <c r="F863" s="6">
        <f t="shared" si="105"/>
        <v>98</v>
      </c>
      <c r="G863" s="6">
        <f>ROUND(Catalogue!G46*SQRT((1+Paramètres!$B$4*(C863-1)+Paramètres!$B$5*(C863-1)^2)),0)</f>
        <v>0</v>
      </c>
      <c r="H863" s="6">
        <f>ROUND(Catalogue!H46*SQRT((1+Paramètres!$B$4*(C863-1)+Paramètres!$B$5*(C863-1)^2)),0)</f>
        <v>0</v>
      </c>
      <c r="I863" s="6">
        <v>3</v>
      </c>
      <c r="J863" s="6">
        <v>2</v>
      </c>
      <c r="K863" s="7">
        <v>3.8</v>
      </c>
      <c r="L863" s="9">
        <f t="shared" si="106"/>
        <v>75.5</v>
      </c>
      <c r="M863">
        <v>5</v>
      </c>
      <c r="N863">
        <v>10</v>
      </c>
      <c r="O863">
        <v>48</v>
      </c>
      <c r="P863" s="13" t="str">
        <f t="shared" si="107"/>
        <v>5d10 + 48</v>
      </c>
      <c r="Q863">
        <f>ROUND(INDEX(Catalogue!E$4:E$85,MATCH(A863,Catalogue!A$4:A$85,0))*(1+Paramètres!$B$4*(C863-1)+Paramètres!$B$5*(C863-1)^2),0)</f>
        <v>53</v>
      </c>
      <c r="R863">
        <f>ROUND(INDEX(Catalogue!F$4:F$85,MATCH(A863,Catalogue!A$4:A$85,0))*(1+Paramètres!$B$4*(C863-1)+Paramètres!$B$5*(C863-1)^2),0)</f>
        <v>98</v>
      </c>
      <c r="S863">
        <f t="shared" si="108"/>
        <v>0</v>
      </c>
      <c r="T863" t="str">
        <f t="shared" si="109"/>
        <v>OK</v>
      </c>
      <c r="U863" s="25">
        <f t="shared" si="110"/>
        <v>75.5</v>
      </c>
      <c r="V863" t="str">
        <f t="shared" si="111"/>
        <v>OK</v>
      </c>
    </row>
    <row r="864" spans="1:22" ht="18" customHeight="1">
      <c r="A864" t="s">
        <v>232</v>
      </c>
      <c r="B864" t="s">
        <v>233</v>
      </c>
      <c r="C864">
        <v>1</v>
      </c>
      <c r="D864" t="s">
        <v>211</v>
      </c>
      <c r="E864" s="6">
        <f t="shared" si="104"/>
        <v>4</v>
      </c>
      <c r="F864" s="6">
        <f t="shared" si="105"/>
        <v>9</v>
      </c>
      <c r="G864" s="6">
        <f>ROUND(Catalogue!G47*SQRT((1+Paramètres!$B$4*(C864-1)+Paramètres!$B$5*(C864-1)^2)),0)</f>
        <v>0</v>
      </c>
      <c r="H864" s="6">
        <f>ROUND(Catalogue!H47*SQRT((1+Paramètres!$B$4*(C864-1)+Paramètres!$B$5*(C864-1)^2)),0)</f>
        <v>0</v>
      </c>
      <c r="I864" s="6">
        <v>3</v>
      </c>
      <c r="J864" s="6">
        <v>2</v>
      </c>
      <c r="K864" s="7">
        <v>2.9</v>
      </c>
      <c r="L864" s="9">
        <f t="shared" si="106"/>
        <v>6.5</v>
      </c>
      <c r="M864">
        <v>1</v>
      </c>
      <c r="N864">
        <v>6</v>
      </c>
      <c r="O864">
        <v>3</v>
      </c>
      <c r="P864" s="13" t="str">
        <f t="shared" si="107"/>
        <v>1d6 + 3</v>
      </c>
      <c r="Q864">
        <f>ROUND(INDEX(Catalogue!E$4:E$85,MATCH(A864,Catalogue!A$4:A$85,0))*(1+Paramètres!$B$4*(C864-1)+Paramètres!$B$5*(C864-1)^2),0)</f>
        <v>5</v>
      </c>
      <c r="R864">
        <f>ROUND(INDEX(Catalogue!F$4:F$85,MATCH(A864,Catalogue!A$4:A$85,0))*(1+Paramètres!$B$4*(C864-1)+Paramètres!$B$5*(C864-1)^2),0)</f>
        <v>9</v>
      </c>
      <c r="S864">
        <f t="shared" si="108"/>
        <v>-0.5</v>
      </c>
      <c r="T864" t="str">
        <f t="shared" si="109"/>
        <v>OK</v>
      </c>
      <c r="U864" s="25">
        <f t="shared" si="110"/>
        <v>6.5</v>
      </c>
      <c r="V864" t="str">
        <f t="shared" si="111"/>
        <v>OK</v>
      </c>
    </row>
    <row r="865" spans="1:22" ht="18" customHeight="1">
      <c r="A865" t="s">
        <v>232</v>
      </c>
      <c r="B865" t="s">
        <v>233</v>
      </c>
      <c r="C865">
        <v>2</v>
      </c>
      <c r="D865" t="s">
        <v>211</v>
      </c>
      <c r="E865" s="6">
        <f t="shared" si="104"/>
        <v>5</v>
      </c>
      <c r="F865" s="6">
        <f t="shared" si="105"/>
        <v>10</v>
      </c>
      <c r="G865" s="6">
        <f>ROUND(Catalogue!G47*SQRT((1+Paramètres!$B$4*(C865-1)+Paramètres!$B$5*(C865-1)^2)),0)</f>
        <v>0</v>
      </c>
      <c r="H865" s="6">
        <f>ROUND(Catalogue!H47*SQRT((1+Paramètres!$B$4*(C865-1)+Paramètres!$B$5*(C865-1)^2)),0)</f>
        <v>0</v>
      </c>
      <c r="I865" s="6">
        <v>3</v>
      </c>
      <c r="J865" s="6">
        <v>2</v>
      </c>
      <c r="K865" s="7">
        <v>2.9</v>
      </c>
      <c r="L865" s="9">
        <f t="shared" si="106"/>
        <v>7.5</v>
      </c>
      <c r="M865">
        <v>1</v>
      </c>
      <c r="N865">
        <v>6</v>
      </c>
      <c r="O865">
        <v>4</v>
      </c>
      <c r="P865" s="13" t="str">
        <f t="shared" si="107"/>
        <v>1d6 + 4</v>
      </c>
      <c r="Q865">
        <f>ROUND(INDEX(Catalogue!E$4:E$85,MATCH(A865,Catalogue!A$4:A$85,0))*(1+Paramètres!$B$4*(C865-1)+Paramètres!$B$5*(C865-1)^2),0)</f>
        <v>6</v>
      </c>
      <c r="R865">
        <f>ROUND(INDEX(Catalogue!F$4:F$85,MATCH(A865,Catalogue!A$4:A$85,0))*(1+Paramètres!$B$4*(C865-1)+Paramètres!$B$5*(C865-1)^2),0)</f>
        <v>10</v>
      </c>
      <c r="S865">
        <f t="shared" si="108"/>
        <v>-0.5</v>
      </c>
      <c r="T865" t="str">
        <f t="shared" si="109"/>
        <v>OK</v>
      </c>
      <c r="U865" s="25">
        <f t="shared" si="110"/>
        <v>7.5</v>
      </c>
      <c r="V865" t="str">
        <f t="shared" si="111"/>
        <v>OK</v>
      </c>
    </row>
    <row r="866" spans="1:22" ht="18" customHeight="1">
      <c r="A866" t="s">
        <v>232</v>
      </c>
      <c r="B866" t="s">
        <v>233</v>
      </c>
      <c r="C866">
        <v>3</v>
      </c>
      <c r="D866" t="s">
        <v>211</v>
      </c>
      <c r="E866" s="6">
        <f t="shared" si="104"/>
        <v>6</v>
      </c>
      <c r="F866" s="6">
        <f t="shared" si="105"/>
        <v>11</v>
      </c>
      <c r="G866" s="6">
        <f>ROUND(Catalogue!G47*SQRT((1+Paramètres!$B$4*(C866-1)+Paramètres!$B$5*(C866-1)^2)),0)</f>
        <v>0</v>
      </c>
      <c r="H866" s="6">
        <f>ROUND(Catalogue!H47*SQRT((1+Paramètres!$B$4*(C866-1)+Paramètres!$B$5*(C866-1)^2)),0)</f>
        <v>0</v>
      </c>
      <c r="I866" s="6">
        <v>3</v>
      </c>
      <c r="J866" s="6">
        <v>2</v>
      </c>
      <c r="K866" s="7">
        <v>2.9</v>
      </c>
      <c r="L866" s="9">
        <f t="shared" si="106"/>
        <v>8.5</v>
      </c>
      <c r="M866">
        <v>1</v>
      </c>
      <c r="N866">
        <v>6</v>
      </c>
      <c r="O866">
        <v>5</v>
      </c>
      <c r="P866" s="13" t="str">
        <f t="shared" si="107"/>
        <v>1d6 + 5</v>
      </c>
      <c r="Q866">
        <f>ROUND(INDEX(Catalogue!E$4:E$85,MATCH(A866,Catalogue!A$4:A$85,0))*(1+Paramètres!$B$4*(C866-1)+Paramètres!$B$5*(C866-1)^2),0)</f>
        <v>6</v>
      </c>
      <c r="R866">
        <f>ROUND(INDEX(Catalogue!F$4:F$85,MATCH(A866,Catalogue!A$4:A$85,0))*(1+Paramètres!$B$4*(C866-1)+Paramètres!$B$5*(C866-1)^2),0)</f>
        <v>12</v>
      </c>
      <c r="S866">
        <f t="shared" si="108"/>
        <v>-0.5</v>
      </c>
      <c r="T866" t="str">
        <f t="shared" si="109"/>
        <v>OK</v>
      </c>
      <c r="U866" s="25">
        <f t="shared" si="110"/>
        <v>8.5</v>
      </c>
      <c r="V866" t="str">
        <f t="shared" si="111"/>
        <v>OK</v>
      </c>
    </row>
    <row r="867" spans="1:22" ht="18" customHeight="1">
      <c r="A867" t="s">
        <v>232</v>
      </c>
      <c r="B867" t="s">
        <v>233</v>
      </c>
      <c r="C867">
        <v>4</v>
      </c>
      <c r="D867" t="s">
        <v>211</v>
      </c>
      <c r="E867" s="6">
        <f t="shared" si="104"/>
        <v>7</v>
      </c>
      <c r="F867" s="6">
        <f t="shared" si="105"/>
        <v>12</v>
      </c>
      <c r="G867" s="6">
        <f>ROUND(Catalogue!G47*SQRT((1+Paramètres!$B$4*(C867-1)+Paramètres!$B$5*(C867-1)^2)),0)</f>
        <v>0</v>
      </c>
      <c r="H867" s="6">
        <f>ROUND(Catalogue!H47*SQRT((1+Paramètres!$B$4*(C867-1)+Paramètres!$B$5*(C867-1)^2)),0)</f>
        <v>0</v>
      </c>
      <c r="I867" s="6">
        <v>3</v>
      </c>
      <c r="J867" s="6">
        <v>2</v>
      </c>
      <c r="K867" s="7">
        <v>2.9</v>
      </c>
      <c r="L867" s="9">
        <f t="shared" si="106"/>
        <v>9.5</v>
      </c>
      <c r="M867">
        <v>1</v>
      </c>
      <c r="N867">
        <v>6</v>
      </c>
      <c r="O867">
        <v>6</v>
      </c>
      <c r="P867" s="13" t="str">
        <f t="shared" si="107"/>
        <v>1d6 + 6</v>
      </c>
      <c r="Q867">
        <f>ROUND(INDEX(Catalogue!E$4:E$85,MATCH(A867,Catalogue!A$4:A$85,0))*(1+Paramètres!$B$4*(C867-1)+Paramètres!$B$5*(C867-1)^2),0)</f>
        <v>7</v>
      </c>
      <c r="R867">
        <f>ROUND(INDEX(Catalogue!F$4:F$85,MATCH(A867,Catalogue!A$4:A$85,0))*(1+Paramètres!$B$4*(C867-1)+Paramètres!$B$5*(C867-1)^2),0)</f>
        <v>13</v>
      </c>
      <c r="S867">
        <f t="shared" si="108"/>
        <v>-0.5</v>
      </c>
      <c r="T867" t="str">
        <f t="shared" si="109"/>
        <v>OK</v>
      </c>
      <c r="U867" s="25">
        <f t="shared" si="110"/>
        <v>9.5</v>
      </c>
      <c r="V867" t="str">
        <f t="shared" si="111"/>
        <v>OK</v>
      </c>
    </row>
    <row r="868" spans="1:22" ht="18" customHeight="1">
      <c r="A868" t="s">
        <v>232</v>
      </c>
      <c r="B868" t="s">
        <v>233</v>
      </c>
      <c r="C868">
        <v>5</v>
      </c>
      <c r="D868" t="s">
        <v>211</v>
      </c>
      <c r="E868" s="6">
        <f t="shared" si="104"/>
        <v>8</v>
      </c>
      <c r="F868" s="6">
        <f t="shared" si="105"/>
        <v>15</v>
      </c>
      <c r="G868" s="6">
        <f>ROUND(Catalogue!G47*SQRT((1+Paramètres!$B$4*(C868-1)+Paramètres!$B$5*(C868-1)^2)),0)</f>
        <v>0</v>
      </c>
      <c r="H868" s="6">
        <f>ROUND(Catalogue!H47*SQRT((1+Paramètres!$B$4*(C868-1)+Paramètres!$B$5*(C868-1)^2)),0)</f>
        <v>0</v>
      </c>
      <c r="I868" s="6">
        <v>3</v>
      </c>
      <c r="J868" s="6">
        <v>2</v>
      </c>
      <c r="K868" s="7">
        <v>2.9</v>
      </c>
      <c r="L868" s="9">
        <f t="shared" si="106"/>
        <v>11.5</v>
      </c>
      <c r="M868">
        <v>1</v>
      </c>
      <c r="N868">
        <v>8</v>
      </c>
      <c r="O868">
        <v>7</v>
      </c>
      <c r="P868" s="13" t="str">
        <f t="shared" si="107"/>
        <v>1d8 + 7</v>
      </c>
      <c r="Q868">
        <f>ROUND(INDEX(Catalogue!E$4:E$85,MATCH(A868,Catalogue!A$4:A$85,0))*(1+Paramètres!$B$4*(C868-1)+Paramètres!$B$5*(C868-1)^2),0)</f>
        <v>8</v>
      </c>
      <c r="R868">
        <f>ROUND(INDEX(Catalogue!F$4:F$85,MATCH(A868,Catalogue!A$4:A$85,0))*(1+Paramètres!$B$4*(C868-1)+Paramètres!$B$5*(C868-1)^2),0)</f>
        <v>15</v>
      </c>
      <c r="S868">
        <f t="shared" si="108"/>
        <v>0</v>
      </c>
      <c r="T868" t="str">
        <f t="shared" si="109"/>
        <v>OK</v>
      </c>
      <c r="U868" s="25">
        <f t="shared" si="110"/>
        <v>11.5</v>
      </c>
      <c r="V868" t="str">
        <f t="shared" si="111"/>
        <v>OK</v>
      </c>
    </row>
    <row r="869" spans="1:22" ht="18" customHeight="1">
      <c r="A869" t="s">
        <v>232</v>
      </c>
      <c r="B869" t="s">
        <v>233</v>
      </c>
      <c r="C869">
        <v>6</v>
      </c>
      <c r="D869" t="s">
        <v>211</v>
      </c>
      <c r="E869" s="6">
        <f t="shared" si="104"/>
        <v>10</v>
      </c>
      <c r="F869" s="6">
        <f t="shared" si="105"/>
        <v>17</v>
      </c>
      <c r="G869" s="6">
        <f>ROUND(Catalogue!G47*SQRT((1+Paramètres!$B$4*(C869-1)+Paramètres!$B$5*(C869-1)^2)),0)</f>
        <v>0</v>
      </c>
      <c r="H869" s="6">
        <f>ROUND(Catalogue!H47*SQRT((1+Paramètres!$B$4*(C869-1)+Paramètres!$B$5*(C869-1)^2)),0)</f>
        <v>0</v>
      </c>
      <c r="I869" s="6">
        <v>3</v>
      </c>
      <c r="J869" s="6">
        <v>2</v>
      </c>
      <c r="K869" s="7">
        <v>2.9</v>
      </c>
      <c r="L869" s="9">
        <f t="shared" si="106"/>
        <v>13.5</v>
      </c>
      <c r="M869">
        <v>1</v>
      </c>
      <c r="N869">
        <v>8</v>
      </c>
      <c r="O869">
        <v>9</v>
      </c>
      <c r="P869" s="13" t="str">
        <f t="shared" si="107"/>
        <v>1d8 + 9</v>
      </c>
      <c r="Q869">
        <f>ROUND(INDEX(Catalogue!E$4:E$85,MATCH(A869,Catalogue!A$4:A$85,0))*(1+Paramètres!$B$4*(C869-1)+Paramètres!$B$5*(C869-1)^2),0)</f>
        <v>10</v>
      </c>
      <c r="R869">
        <f>ROUND(INDEX(Catalogue!F$4:F$85,MATCH(A869,Catalogue!A$4:A$85,0))*(1+Paramètres!$B$4*(C869-1)+Paramètres!$B$5*(C869-1)^2),0)</f>
        <v>18</v>
      </c>
      <c r="S869">
        <f t="shared" si="108"/>
        <v>-0.5</v>
      </c>
      <c r="T869" t="str">
        <f t="shared" si="109"/>
        <v>OK</v>
      </c>
      <c r="U869" s="25">
        <f t="shared" si="110"/>
        <v>13.5</v>
      </c>
      <c r="V869" t="str">
        <f t="shared" si="111"/>
        <v>OK</v>
      </c>
    </row>
    <row r="870" spans="1:22" ht="18" customHeight="1">
      <c r="A870" t="s">
        <v>232</v>
      </c>
      <c r="B870" t="s">
        <v>233</v>
      </c>
      <c r="C870">
        <v>7</v>
      </c>
      <c r="D870" t="s">
        <v>211</v>
      </c>
      <c r="E870" s="6">
        <f t="shared" si="104"/>
        <v>11</v>
      </c>
      <c r="F870" s="6">
        <f t="shared" si="105"/>
        <v>20</v>
      </c>
      <c r="G870" s="6">
        <f>ROUND(Catalogue!G47*SQRT((1+Paramètres!$B$4*(C870-1)+Paramètres!$B$5*(C870-1)^2)),0)</f>
        <v>0</v>
      </c>
      <c r="H870" s="6">
        <f>ROUND(Catalogue!H47*SQRT((1+Paramètres!$B$4*(C870-1)+Paramètres!$B$5*(C870-1)^2)),0)</f>
        <v>0</v>
      </c>
      <c r="I870" s="6">
        <v>3</v>
      </c>
      <c r="J870" s="6">
        <v>2</v>
      </c>
      <c r="K870" s="7">
        <v>2.9</v>
      </c>
      <c r="L870" s="9">
        <f t="shared" si="106"/>
        <v>15.5</v>
      </c>
      <c r="M870">
        <v>1</v>
      </c>
      <c r="N870">
        <v>10</v>
      </c>
      <c r="O870">
        <v>10</v>
      </c>
      <c r="P870" s="13" t="str">
        <f t="shared" si="107"/>
        <v>1d10 + 10</v>
      </c>
      <c r="Q870">
        <f>ROUND(INDEX(Catalogue!E$4:E$85,MATCH(A870,Catalogue!A$4:A$85,0))*(1+Paramètres!$B$4*(C870-1)+Paramètres!$B$5*(C870-1)^2),0)</f>
        <v>11</v>
      </c>
      <c r="R870">
        <f>ROUND(INDEX(Catalogue!F$4:F$85,MATCH(A870,Catalogue!A$4:A$85,0))*(1+Paramètres!$B$4*(C870-1)+Paramètres!$B$5*(C870-1)^2),0)</f>
        <v>20</v>
      </c>
      <c r="S870">
        <f t="shared" si="108"/>
        <v>0</v>
      </c>
      <c r="T870" t="str">
        <f t="shared" si="109"/>
        <v>OK</v>
      </c>
      <c r="U870" s="25">
        <f t="shared" si="110"/>
        <v>15.5</v>
      </c>
      <c r="V870" t="str">
        <f t="shared" si="111"/>
        <v>OK</v>
      </c>
    </row>
    <row r="871" spans="1:22" ht="18" customHeight="1">
      <c r="A871" t="s">
        <v>232</v>
      </c>
      <c r="B871" t="s">
        <v>233</v>
      </c>
      <c r="C871">
        <v>8</v>
      </c>
      <c r="D871" t="s">
        <v>211</v>
      </c>
      <c r="E871" s="6">
        <f t="shared" si="104"/>
        <v>13</v>
      </c>
      <c r="F871" s="6">
        <f t="shared" si="105"/>
        <v>23</v>
      </c>
      <c r="G871" s="6">
        <f>ROUND(Catalogue!G47*SQRT((1+Paramètres!$B$4*(C871-1)+Paramètres!$B$5*(C871-1)^2)),0)</f>
        <v>0</v>
      </c>
      <c r="H871" s="6">
        <f>ROUND(Catalogue!H47*SQRT((1+Paramètres!$B$4*(C871-1)+Paramètres!$B$5*(C871-1)^2)),0)</f>
        <v>0</v>
      </c>
      <c r="I871" s="6">
        <v>3</v>
      </c>
      <c r="J871" s="6">
        <v>2</v>
      </c>
      <c r="K871" s="7">
        <v>2.9</v>
      </c>
      <c r="L871" s="9">
        <f t="shared" si="106"/>
        <v>18</v>
      </c>
      <c r="M871">
        <v>2</v>
      </c>
      <c r="N871">
        <v>6</v>
      </c>
      <c r="O871">
        <v>11</v>
      </c>
      <c r="P871" s="13" t="str">
        <f t="shared" si="107"/>
        <v>2d6 + 11</v>
      </c>
      <c r="Q871">
        <f>ROUND(INDEX(Catalogue!E$4:E$85,MATCH(A871,Catalogue!A$4:A$85,0))*(1+Paramètres!$B$4*(C871-1)+Paramètres!$B$5*(C871-1)^2),0)</f>
        <v>13</v>
      </c>
      <c r="R871">
        <f>ROUND(INDEX(Catalogue!F$4:F$85,MATCH(A871,Catalogue!A$4:A$85,0))*(1+Paramètres!$B$4*(C871-1)+Paramètres!$B$5*(C871-1)^2),0)</f>
        <v>23</v>
      </c>
      <c r="S871">
        <f t="shared" si="108"/>
        <v>0</v>
      </c>
      <c r="T871" t="str">
        <f t="shared" si="109"/>
        <v>OK</v>
      </c>
      <c r="U871" s="25">
        <f t="shared" si="110"/>
        <v>18</v>
      </c>
      <c r="V871" t="str">
        <f t="shared" si="111"/>
        <v>OK</v>
      </c>
    </row>
    <row r="872" spans="1:22" ht="18" customHeight="1">
      <c r="A872" t="s">
        <v>232</v>
      </c>
      <c r="B872" t="s">
        <v>233</v>
      </c>
      <c r="C872">
        <v>9</v>
      </c>
      <c r="D872" t="s">
        <v>211</v>
      </c>
      <c r="E872" s="6">
        <f t="shared" si="104"/>
        <v>15</v>
      </c>
      <c r="F872" s="6">
        <f t="shared" si="105"/>
        <v>26</v>
      </c>
      <c r="G872" s="6">
        <f>ROUND(Catalogue!G47*SQRT((1+Paramètres!$B$4*(C872-1)+Paramètres!$B$5*(C872-1)^2)),0)</f>
        <v>0</v>
      </c>
      <c r="H872" s="6">
        <f>ROUND(Catalogue!H47*SQRT((1+Paramètres!$B$4*(C872-1)+Paramètres!$B$5*(C872-1)^2)),0)</f>
        <v>0</v>
      </c>
      <c r="I872" s="6">
        <v>3</v>
      </c>
      <c r="J872" s="6">
        <v>2</v>
      </c>
      <c r="K872" s="7">
        <v>2.9</v>
      </c>
      <c r="L872" s="9">
        <f t="shared" si="106"/>
        <v>20.5</v>
      </c>
      <c r="M872">
        <v>1</v>
      </c>
      <c r="N872">
        <v>12</v>
      </c>
      <c r="O872">
        <v>14</v>
      </c>
      <c r="P872" s="13" t="str">
        <f t="shared" si="107"/>
        <v>1d12 + 14</v>
      </c>
      <c r="Q872">
        <f>ROUND(INDEX(Catalogue!E$4:E$85,MATCH(A872,Catalogue!A$4:A$85,0))*(1+Paramètres!$B$4*(C872-1)+Paramètres!$B$5*(C872-1)^2),0)</f>
        <v>15</v>
      </c>
      <c r="R872">
        <f>ROUND(INDEX(Catalogue!F$4:F$85,MATCH(A872,Catalogue!A$4:A$85,0))*(1+Paramètres!$B$4*(C872-1)+Paramètres!$B$5*(C872-1)^2),0)</f>
        <v>26</v>
      </c>
      <c r="S872">
        <f t="shared" si="108"/>
        <v>0</v>
      </c>
      <c r="T872" t="str">
        <f t="shared" si="109"/>
        <v>OK</v>
      </c>
      <c r="U872" s="25">
        <f t="shared" si="110"/>
        <v>20.5</v>
      </c>
      <c r="V872" t="str">
        <f t="shared" si="111"/>
        <v>OK</v>
      </c>
    </row>
    <row r="873" spans="1:22" ht="18" customHeight="1">
      <c r="A873" t="s">
        <v>232</v>
      </c>
      <c r="B873" t="s">
        <v>233</v>
      </c>
      <c r="C873">
        <v>10</v>
      </c>
      <c r="D873" t="s">
        <v>211</v>
      </c>
      <c r="E873" s="6">
        <f t="shared" si="104"/>
        <v>16</v>
      </c>
      <c r="F873" s="6">
        <f t="shared" si="105"/>
        <v>30</v>
      </c>
      <c r="G873" s="6">
        <f>ROUND(Catalogue!G47*SQRT((1+Paramètres!$B$4*(C873-1)+Paramètres!$B$5*(C873-1)^2)),0)</f>
        <v>0</v>
      </c>
      <c r="H873" s="6">
        <f>ROUND(Catalogue!H47*SQRT((1+Paramètres!$B$4*(C873-1)+Paramètres!$B$5*(C873-1)^2)),0)</f>
        <v>0</v>
      </c>
      <c r="I873" s="6">
        <v>3</v>
      </c>
      <c r="J873" s="6">
        <v>2</v>
      </c>
      <c r="K873" s="7">
        <v>2.9</v>
      </c>
      <c r="L873" s="9">
        <f t="shared" si="106"/>
        <v>23</v>
      </c>
      <c r="M873">
        <v>2</v>
      </c>
      <c r="N873">
        <v>8</v>
      </c>
      <c r="O873">
        <v>14</v>
      </c>
      <c r="P873" s="13" t="str">
        <f t="shared" si="107"/>
        <v>2d8 + 14</v>
      </c>
      <c r="Q873">
        <f>ROUND(INDEX(Catalogue!E$4:E$85,MATCH(A873,Catalogue!A$4:A$85,0))*(1+Paramètres!$B$4*(C873-1)+Paramètres!$B$5*(C873-1)^2),0)</f>
        <v>16</v>
      </c>
      <c r="R873">
        <f>ROUND(INDEX(Catalogue!F$4:F$85,MATCH(A873,Catalogue!A$4:A$85,0))*(1+Paramètres!$B$4*(C873-1)+Paramètres!$B$5*(C873-1)^2),0)</f>
        <v>30</v>
      </c>
      <c r="S873">
        <f t="shared" si="108"/>
        <v>0</v>
      </c>
      <c r="T873" t="str">
        <f t="shared" si="109"/>
        <v>OK</v>
      </c>
      <c r="U873" s="25">
        <f t="shared" si="110"/>
        <v>23</v>
      </c>
      <c r="V873" t="str">
        <f t="shared" si="111"/>
        <v>OK</v>
      </c>
    </row>
    <row r="874" spans="1:22" ht="18" customHeight="1">
      <c r="A874" t="s">
        <v>232</v>
      </c>
      <c r="B874" t="s">
        <v>233</v>
      </c>
      <c r="C874">
        <v>11</v>
      </c>
      <c r="D874" t="s">
        <v>211</v>
      </c>
      <c r="E874" s="6">
        <f t="shared" si="104"/>
        <v>19</v>
      </c>
      <c r="F874" s="6">
        <f t="shared" si="105"/>
        <v>33</v>
      </c>
      <c r="G874" s="6">
        <f>ROUND(Catalogue!G47*SQRT((1+Paramètres!$B$4*(C874-1)+Paramètres!$B$5*(C874-1)^2)),0)</f>
        <v>0</v>
      </c>
      <c r="H874" s="6">
        <f>ROUND(Catalogue!H47*SQRT((1+Paramètres!$B$4*(C874-1)+Paramètres!$B$5*(C874-1)^2)),0)</f>
        <v>0</v>
      </c>
      <c r="I874" s="6">
        <v>3</v>
      </c>
      <c r="J874" s="6">
        <v>2</v>
      </c>
      <c r="K874" s="7">
        <v>2.9</v>
      </c>
      <c r="L874" s="9">
        <f t="shared" si="106"/>
        <v>26</v>
      </c>
      <c r="M874">
        <v>2</v>
      </c>
      <c r="N874">
        <v>8</v>
      </c>
      <c r="O874">
        <v>17</v>
      </c>
      <c r="P874" s="13" t="str">
        <f t="shared" si="107"/>
        <v>2d8 + 17</v>
      </c>
      <c r="Q874">
        <f>ROUND(INDEX(Catalogue!E$4:E$85,MATCH(A874,Catalogue!A$4:A$85,0))*(1+Paramètres!$B$4*(C874-1)+Paramètres!$B$5*(C874-1)^2),0)</f>
        <v>19</v>
      </c>
      <c r="R874">
        <f>ROUND(INDEX(Catalogue!F$4:F$85,MATCH(A874,Catalogue!A$4:A$85,0))*(1+Paramètres!$B$4*(C874-1)+Paramètres!$B$5*(C874-1)^2),0)</f>
        <v>33</v>
      </c>
      <c r="S874">
        <f t="shared" si="108"/>
        <v>0</v>
      </c>
      <c r="T874" t="str">
        <f t="shared" si="109"/>
        <v>OK</v>
      </c>
      <c r="U874" s="25">
        <f t="shared" si="110"/>
        <v>26</v>
      </c>
      <c r="V874" t="str">
        <f t="shared" si="111"/>
        <v>OK</v>
      </c>
    </row>
    <row r="875" spans="1:22" ht="18" customHeight="1">
      <c r="A875" t="s">
        <v>232</v>
      </c>
      <c r="B875" t="s">
        <v>233</v>
      </c>
      <c r="C875">
        <v>12</v>
      </c>
      <c r="D875" t="s">
        <v>211</v>
      </c>
      <c r="E875" s="6">
        <f t="shared" si="104"/>
        <v>21</v>
      </c>
      <c r="F875" s="6">
        <f t="shared" si="105"/>
        <v>36</v>
      </c>
      <c r="G875" s="6">
        <f>ROUND(Catalogue!G47*SQRT((1+Paramètres!$B$4*(C875-1)+Paramètres!$B$5*(C875-1)^2)),0)</f>
        <v>0</v>
      </c>
      <c r="H875" s="6">
        <f>ROUND(Catalogue!H47*SQRT((1+Paramètres!$B$4*(C875-1)+Paramètres!$B$5*(C875-1)^2)),0)</f>
        <v>0</v>
      </c>
      <c r="I875" s="6">
        <v>3</v>
      </c>
      <c r="J875" s="6">
        <v>2</v>
      </c>
      <c r="K875" s="7">
        <v>2.9</v>
      </c>
      <c r="L875" s="9">
        <f t="shared" si="106"/>
        <v>28.5</v>
      </c>
      <c r="M875">
        <v>3</v>
      </c>
      <c r="N875">
        <v>6</v>
      </c>
      <c r="O875">
        <v>18</v>
      </c>
      <c r="P875" s="13" t="str">
        <f t="shared" si="107"/>
        <v>3d6 + 18</v>
      </c>
      <c r="Q875">
        <f>ROUND(INDEX(Catalogue!E$4:E$85,MATCH(A875,Catalogue!A$4:A$85,0))*(1+Paramètres!$B$4*(C875-1)+Paramètres!$B$5*(C875-1)^2),0)</f>
        <v>21</v>
      </c>
      <c r="R875">
        <f>ROUND(INDEX(Catalogue!F$4:F$85,MATCH(A875,Catalogue!A$4:A$85,0))*(1+Paramètres!$B$4*(C875-1)+Paramètres!$B$5*(C875-1)^2),0)</f>
        <v>37</v>
      </c>
      <c r="S875">
        <f t="shared" si="108"/>
        <v>-0.5</v>
      </c>
      <c r="T875" t="str">
        <f t="shared" si="109"/>
        <v>OK</v>
      </c>
      <c r="U875" s="25">
        <f t="shared" si="110"/>
        <v>28.5</v>
      </c>
      <c r="V875" t="str">
        <f t="shared" si="111"/>
        <v>OK</v>
      </c>
    </row>
    <row r="876" spans="1:22" ht="18" customHeight="1">
      <c r="A876" t="s">
        <v>232</v>
      </c>
      <c r="B876" t="s">
        <v>233</v>
      </c>
      <c r="C876">
        <v>13</v>
      </c>
      <c r="D876" t="s">
        <v>211</v>
      </c>
      <c r="E876" s="6">
        <f t="shared" si="104"/>
        <v>23</v>
      </c>
      <c r="F876" s="6">
        <f t="shared" si="105"/>
        <v>41</v>
      </c>
      <c r="G876" s="6">
        <f>ROUND(Catalogue!G47*SQRT((1+Paramètres!$B$4*(C876-1)+Paramètres!$B$5*(C876-1)^2)),0)</f>
        <v>0</v>
      </c>
      <c r="H876" s="6">
        <f>ROUND(Catalogue!H47*SQRT((1+Paramètres!$B$4*(C876-1)+Paramètres!$B$5*(C876-1)^2)),0)</f>
        <v>0</v>
      </c>
      <c r="I876" s="6">
        <v>3</v>
      </c>
      <c r="J876" s="6">
        <v>2</v>
      </c>
      <c r="K876" s="7">
        <v>2.9</v>
      </c>
      <c r="L876" s="9">
        <f t="shared" si="106"/>
        <v>32</v>
      </c>
      <c r="M876">
        <v>2</v>
      </c>
      <c r="N876">
        <v>10</v>
      </c>
      <c r="O876">
        <v>21</v>
      </c>
      <c r="P876" s="13" t="str">
        <f t="shared" si="107"/>
        <v>2d10 + 21</v>
      </c>
      <c r="Q876">
        <f>ROUND(INDEX(Catalogue!E$4:E$85,MATCH(A876,Catalogue!A$4:A$85,0))*(1+Paramètres!$B$4*(C876-1)+Paramètres!$B$5*(C876-1)^2),0)</f>
        <v>23</v>
      </c>
      <c r="R876">
        <f>ROUND(INDEX(Catalogue!F$4:F$85,MATCH(A876,Catalogue!A$4:A$85,0))*(1+Paramètres!$B$4*(C876-1)+Paramètres!$B$5*(C876-1)^2),0)</f>
        <v>42</v>
      </c>
      <c r="S876">
        <f t="shared" si="108"/>
        <v>-0.5</v>
      </c>
      <c r="T876" t="str">
        <f t="shared" si="109"/>
        <v>OK</v>
      </c>
      <c r="U876" s="25">
        <f t="shared" si="110"/>
        <v>32</v>
      </c>
      <c r="V876" t="str">
        <f t="shared" si="111"/>
        <v>OK</v>
      </c>
    </row>
    <row r="877" spans="1:22" ht="18" customHeight="1">
      <c r="A877" t="s">
        <v>232</v>
      </c>
      <c r="B877" t="s">
        <v>233</v>
      </c>
      <c r="C877">
        <v>14</v>
      </c>
      <c r="D877" t="s">
        <v>211</v>
      </c>
      <c r="E877" s="6">
        <f t="shared" si="104"/>
        <v>26</v>
      </c>
      <c r="F877" s="6">
        <f t="shared" si="105"/>
        <v>46</v>
      </c>
      <c r="G877" s="6">
        <f>ROUND(Catalogue!G47*SQRT((1+Paramètres!$B$4*(C877-1)+Paramètres!$B$5*(C877-1)^2)),0)</f>
        <v>0</v>
      </c>
      <c r="H877" s="6">
        <f>ROUND(Catalogue!H47*SQRT((1+Paramètres!$B$4*(C877-1)+Paramètres!$B$5*(C877-1)^2)),0)</f>
        <v>0</v>
      </c>
      <c r="I877" s="6">
        <v>3</v>
      </c>
      <c r="J877" s="6">
        <v>2</v>
      </c>
      <c r="K877" s="7">
        <v>2.9</v>
      </c>
      <c r="L877" s="9">
        <f t="shared" si="106"/>
        <v>36</v>
      </c>
      <c r="M877">
        <v>4</v>
      </c>
      <c r="N877">
        <v>6</v>
      </c>
      <c r="O877">
        <v>22</v>
      </c>
      <c r="P877" s="13" t="str">
        <f t="shared" si="107"/>
        <v>4d6 + 22</v>
      </c>
      <c r="Q877">
        <f>ROUND(INDEX(Catalogue!E$4:E$85,MATCH(A877,Catalogue!A$4:A$85,0))*(1+Paramètres!$B$4*(C877-1)+Paramètres!$B$5*(C877-1)^2),0)</f>
        <v>26</v>
      </c>
      <c r="R877">
        <f>ROUND(INDEX(Catalogue!F$4:F$85,MATCH(A877,Catalogue!A$4:A$85,0))*(1+Paramètres!$B$4*(C877-1)+Paramètres!$B$5*(C877-1)^2),0)</f>
        <v>46</v>
      </c>
      <c r="S877">
        <f t="shared" si="108"/>
        <v>0</v>
      </c>
      <c r="T877" t="str">
        <f t="shared" si="109"/>
        <v>OK</v>
      </c>
      <c r="U877" s="25">
        <f t="shared" si="110"/>
        <v>36</v>
      </c>
      <c r="V877" t="str">
        <f t="shared" si="111"/>
        <v>OK</v>
      </c>
    </row>
    <row r="878" spans="1:22" ht="18" customHeight="1">
      <c r="A878" t="s">
        <v>232</v>
      </c>
      <c r="B878" t="s">
        <v>233</v>
      </c>
      <c r="C878">
        <v>15</v>
      </c>
      <c r="D878" t="s">
        <v>211</v>
      </c>
      <c r="E878" s="6">
        <f t="shared" si="104"/>
        <v>28</v>
      </c>
      <c r="F878" s="6">
        <f t="shared" si="105"/>
        <v>50</v>
      </c>
      <c r="G878" s="6">
        <f>ROUND(Catalogue!G47*SQRT((1+Paramètres!$B$4*(C878-1)+Paramètres!$B$5*(C878-1)^2)),0)</f>
        <v>0</v>
      </c>
      <c r="H878" s="6">
        <f>ROUND(Catalogue!H47*SQRT((1+Paramètres!$B$4*(C878-1)+Paramètres!$B$5*(C878-1)^2)),0)</f>
        <v>0</v>
      </c>
      <c r="I878" s="6">
        <v>3</v>
      </c>
      <c r="J878" s="6">
        <v>2</v>
      </c>
      <c r="K878" s="7">
        <v>2.9</v>
      </c>
      <c r="L878" s="9">
        <f t="shared" si="106"/>
        <v>39</v>
      </c>
      <c r="M878">
        <v>2</v>
      </c>
      <c r="N878">
        <v>12</v>
      </c>
      <c r="O878">
        <v>26</v>
      </c>
      <c r="P878" s="13" t="str">
        <f t="shared" si="107"/>
        <v>2d12 + 26</v>
      </c>
      <c r="Q878">
        <f>ROUND(INDEX(Catalogue!E$4:E$85,MATCH(A878,Catalogue!A$4:A$85,0))*(1+Paramètres!$B$4*(C878-1)+Paramètres!$B$5*(C878-1)^2),0)</f>
        <v>28</v>
      </c>
      <c r="R878">
        <f>ROUND(INDEX(Catalogue!F$4:F$85,MATCH(A878,Catalogue!A$4:A$85,0))*(1+Paramètres!$B$4*(C878-1)+Paramètres!$B$5*(C878-1)^2),0)</f>
        <v>51</v>
      </c>
      <c r="S878">
        <f t="shared" si="108"/>
        <v>-0.5</v>
      </c>
      <c r="T878" t="str">
        <f t="shared" si="109"/>
        <v>OK</v>
      </c>
      <c r="U878" s="25">
        <f t="shared" si="110"/>
        <v>39</v>
      </c>
      <c r="V878" t="str">
        <f t="shared" si="111"/>
        <v>OK</v>
      </c>
    </row>
    <row r="879" spans="1:22" ht="18" customHeight="1">
      <c r="A879" t="s">
        <v>232</v>
      </c>
      <c r="B879" t="s">
        <v>233</v>
      </c>
      <c r="C879">
        <v>16</v>
      </c>
      <c r="D879" t="s">
        <v>211</v>
      </c>
      <c r="E879" s="6">
        <f t="shared" si="104"/>
        <v>31</v>
      </c>
      <c r="F879" s="6">
        <f t="shared" si="105"/>
        <v>56</v>
      </c>
      <c r="G879" s="6">
        <f>ROUND(Catalogue!G47*SQRT((1+Paramètres!$B$4*(C879-1)+Paramètres!$B$5*(C879-1)^2)),0)</f>
        <v>0</v>
      </c>
      <c r="H879" s="6">
        <f>ROUND(Catalogue!H47*SQRT((1+Paramètres!$B$4*(C879-1)+Paramètres!$B$5*(C879-1)^2)),0)</f>
        <v>0</v>
      </c>
      <c r="I879" s="6">
        <v>3</v>
      </c>
      <c r="J879" s="6">
        <v>2</v>
      </c>
      <c r="K879" s="7">
        <v>2.9</v>
      </c>
      <c r="L879" s="9">
        <f t="shared" si="106"/>
        <v>43.5</v>
      </c>
      <c r="M879">
        <v>5</v>
      </c>
      <c r="N879">
        <v>6</v>
      </c>
      <c r="O879">
        <v>26</v>
      </c>
      <c r="P879" s="13" t="str">
        <f t="shared" si="107"/>
        <v>5d6 + 26</v>
      </c>
      <c r="Q879">
        <f>ROUND(INDEX(Catalogue!E$4:E$85,MATCH(A879,Catalogue!A$4:A$85,0))*(1+Paramètres!$B$4*(C879-1)+Paramètres!$B$5*(C879-1)^2),0)</f>
        <v>31</v>
      </c>
      <c r="R879">
        <f>ROUND(INDEX(Catalogue!F$4:F$85,MATCH(A879,Catalogue!A$4:A$85,0))*(1+Paramètres!$B$4*(C879-1)+Paramètres!$B$5*(C879-1)^2),0)</f>
        <v>56</v>
      </c>
      <c r="S879">
        <f t="shared" si="108"/>
        <v>0</v>
      </c>
      <c r="T879" t="str">
        <f t="shared" si="109"/>
        <v>OK</v>
      </c>
      <c r="U879" s="25">
        <f t="shared" si="110"/>
        <v>43.5</v>
      </c>
      <c r="V879" t="str">
        <f t="shared" si="111"/>
        <v>OK</v>
      </c>
    </row>
    <row r="880" spans="1:22" ht="18" customHeight="1">
      <c r="A880" t="s">
        <v>232</v>
      </c>
      <c r="B880" t="s">
        <v>233</v>
      </c>
      <c r="C880">
        <v>17</v>
      </c>
      <c r="D880" t="s">
        <v>211</v>
      </c>
      <c r="E880" s="6">
        <f t="shared" si="104"/>
        <v>34</v>
      </c>
      <c r="F880" s="6">
        <f t="shared" si="105"/>
        <v>62</v>
      </c>
      <c r="G880" s="6">
        <f>ROUND(Catalogue!G47*SQRT((1+Paramètres!$B$4*(C880-1)+Paramètres!$B$5*(C880-1)^2)),0)</f>
        <v>0</v>
      </c>
      <c r="H880" s="6">
        <f>ROUND(Catalogue!H47*SQRT((1+Paramètres!$B$4*(C880-1)+Paramètres!$B$5*(C880-1)^2)),0)</f>
        <v>0</v>
      </c>
      <c r="I880" s="6">
        <v>3</v>
      </c>
      <c r="J880" s="6">
        <v>2</v>
      </c>
      <c r="K880" s="7">
        <v>2.9</v>
      </c>
      <c r="L880" s="9">
        <f t="shared" si="106"/>
        <v>48</v>
      </c>
      <c r="M880">
        <v>4</v>
      </c>
      <c r="N880">
        <v>8</v>
      </c>
      <c r="O880">
        <v>30</v>
      </c>
      <c r="P880" s="13" t="str">
        <f t="shared" si="107"/>
        <v>4d8 + 30</v>
      </c>
      <c r="Q880">
        <f>ROUND(INDEX(Catalogue!E$4:E$85,MATCH(A880,Catalogue!A$4:A$85,0))*(1+Paramètres!$B$4*(C880-1)+Paramètres!$B$5*(C880-1)^2),0)</f>
        <v>34</v>
      </c>
      <c r="R880">
        <f>ROUND(INDEX(Catalogue!F$4:F$85,MATCH(A880,Catalogue!A$4:A$85,0))*(1+Paramètres!$B$4*(C880-1)+Paramètres!$B$5*(C880-1)^2),0)</f>
        <v>62</v>
      </c>
      <c r="S880">
        <f t="shared" si="108"/>
        <v>0</v>
      </c>
      <c r="T880" t="str">
        <f t="shared" si="109"/>
        <v>OK</v>
      </c>
      <c r="U880" s="25">
        <f t="shared" si="110"/>
        <v>48</v>
      </c>
      <c r="V880" t="str">
        <f t="shared" si="111"/>
        <v>OK</v>
      </c>
    </row>
    <row r="881" spans="1:22" ht="18" customHeight="1">
      <c r="A881" t="s">
        <v>232</v>
      </c>
      <c r="B881" t="s">
        <v>233</v>
      </c>
      <c r="C881">
        <v>18</v>
      </c>
      <c r="D881" t="s">
        <v>211</v>
      </c>
      <c r="E881" s="6">
        <f t="shared" si="104"/>
        <v>37</v>
      </c>
      <c r="F881" s="6">
        <f t="shared" si="105"/>
        <v>67</v>
      </c>
      <c r="G881" s="6">
        <f>ROUND(Catalogue!G47*SQRT((1+Paramètres!$B$4*(C881-1)+Paramètres!$B$5*(C881-1)^2)),0)</f>
        <v>0</v>
      </c>
      <c r="H881" s="6">
        <f>ROUND(Catalogue!H47*SQRT((1+Paramètres!$B$4*(C881-1)+Paramètres!$B$5*(C881-1)^2)),0)</f>
        <v>0</v>
      </c>
      <c r="I881" s="6">
        <v>3</v>
      </c>
      <c r="J881" s="6">
        <v>2</v>
      </c>
      <c r="K881" s="7">
        <v>2.9</v>
      </c>
      <c r="L881" s="9">
        <f t="shared" si="106"/>
        <v>52</v>
      </c>
      <c r="M881">
        <v>6</v>
      </c>
      <c r="N881">
        <v>6</v>
      </c>
      <c r="O881">
        <v>31</v>
      </c>
      <c r="P881" s="13" t="str">
        <f t="shared" si="107"/>
        <v>6d6 + 31</v>
      </c>
      <c r="Q881">
        <f>ROUND(INDEX(Catalogue!E$4:E$85,MATCH(A881,Catalogue!A$4:A$85,0))*(1+Paramètres!$B$4*(C881-1)+Paramètres!$B$5*(C881-1)^2),0)</f>
        <v>37</v>
      </c>
      <c r="R881">
        <f>ROUND(INDEX(Catalogue!F$4:F$85,MATCH(A881,Catalogue!A$4:A$85,0))*(1+Paramètres!$B$4*(C881-1)+Paramètres!$B$5*(C881-1)^2),0)</f>
        <v>67</v>
      </c>
      <c r="S881">
        <f t="shared" si="108"/>
        <v>0</v>
      </c>
      <c r="T881" t="str">
        <f t="shared" si="109"/>
        <v>OK</v>
      </c>
      <c r="U881" s="25">
        <f t="shared" si="110"/>
        <v>52</v>
      </c>
      <c r="V881" t="str">
        <f t="shared" si="111"/>
        <v>OK</v>
      </c>
    </row>
    <row r="882" spans="1:22" ht="18" customHeight="1">
      <c r="A882" t="s">
        <v>232</v>
      </c>
      <c r="B882" t="s">
        <v>233</v>
      </c>
      <c r="C882">
        <v>19</v>
      </c>
      <c r="D882" t="s">
        <v>211</v>
      </c>
      <c r="E882" s="6">
        <f t="shared" si="104"/>
        <v>40</v>
      </c>
      <c r="F882" s="6">
        <f t="shared" si="105"/>
        <v>73</v>
      </c>
      <c r="G882" s="6">
        <f>ROUND(Catalogue!G47*SQRT((1+Paramètres!$B$4*(C882-1)+Paramètres!$B$5*(C882-1)^2)),0)</f>
        <v>0</v>
      </c>
      <c r="H882" s="6">
        <f>ROUND(Catalogue!H47*SQRT((1+Paramètres!$B$4*(C882-1)+Paramètres!$B$5*(C882-1)^2)),0)</f>
        <v>0</v>
      </c>
      <c r="I882" s="6">
        <v>3</v>
      </c>
      <c r="J882" s="6">
        <v>2</v>
      </c>
      <c r="K882" s="7">
        <v>2.9</v>
      </c>
      <c r="L882" s="9">
        <f t="shared" si="106"/>
        <v>56.5</v>
      </c>
      <c r="M882">
        <v>3</v>
      </c>
      <c r="N882">
        <v>12</v>
      </c>
      <c r="O882">
        <v>37</v>
      </c>
      <c r="P882" s="13" t="str">
        <f t="shared" si="107"/>
        <v>3d12 + 37</v>
      </c>
      <c r="Q882">
        <f>ROUND(INDEX(Catalogue!E$4:E$85,MATCH(A882,Catalogue!A$4:A$85,0))*(1+Paramètres!$B$4*(C882-1)+Paramètres!$B$5*(C882-1)^2),0)</f>
        <v>41</v>
      </c>
      <c r="R882">
        <f>ROUND(INDEX(Catalogue!F$4:F$85,MATCH(A882,Catalogue!A$4:A$85,0))*(1+Paramètres!$B$4*(C882-1)+Paramètres!$B$5*(C882-1)^2),0)</f>
        <v>73</v>
      </c>
      <c r="S882">
        <f t="shared" si="108"/>
        <v>-0.5</v>
      </c>
      <c r="T882" t="str">
        <f t="shared" si="109"/>
        <v>OK</v>
      </c>
      <c r="U882" s="25">
        <f t="shared" si="110"/>
        <v>56.5</v>
      </c>
      <c r="V882" t="str">
        <f t="shared" si="111"/>
        <v>OK</v>
      </c>
    </row>
    <row r="883" spans="1:22" ht="18" customHeight="1">
      <c r="A883" t="s">
        <v>232</v>
      </c>
      <c r="B883" t="s">
        <v>233</v>
      </c>
      <c r="C883">
        <v>20</v>
      </c>
      <c r="D883" t="s">
        <v>211</v>
      </c>
      <c r="E883" s="6">
        <f t="shared" si="104"/>
        <v>44</v>
      </c>
      <c r="F883" s="6">
        <f t="shared" si="105"/>
        <v>80</v>
      </c>
      <c r="G883" s="6">
        <f>ROUND(Catalogue!G47*SQRT((1+Paramètres!$B$4*(C883-1)+Paramètres!$B$5*(C883-1)^2)),0)</f>
        <v>0</v>
      </c>
      <c r="H883" s="6">
        <f>ROUND(Catalogue!H47*SQRT((1+Paramètres!$B$4*(C883-1)+Paramètres!$B$5*(C883-1)^2)),0)</f>
        <v>0</v>
      </c>
      <c r="I883" s="6">
        <v>3</v>
      </c>
      <c r="J883" s="6">
        <v>2</v>
      </c>
      <c r="K883" s="7">
        <v>2.9</v>
      </c>
      <c r="L883" s="9">
        <f t="shared" si="106"/>
        <v>62</v>
      </c>
      <c r="M883">
        <v>4</v>
      </c>
      <c r="N883">
        <v>10</v>
      </c>
      <c r="O883">
        <v>40</v>
      </c>
      <c r="P883" s="13" t="str">
        <f t="shared" si="107"/>
        <v>4d10 + 40</v>
      </c>
      <c r="Q883">
        <f>ROUND(INDEX(Catalogue!E$4:E$85,MATCH(A883,Catalogue!A$4:A$85,0))*(1+Paramètres!$B$4*(C883-1)+Paramètres!$B$5*(C883-1)^2),0)</f>
        <v>44</v>
      </c>
      <c r="R883">
        <f>ROUND(INDEX(Catalogue!F$4:F$85,MATCH(A883,Catalogue!A$4:A$85,0))*(1+Paramètres!$B$4*(C883-1)+Paramètres!$B$5*(C883-1)^2),0)</f>
        <v>80</v>
      </c>
      <c r="S883">
        <f t="shared" si="108"/>
        <v>0</v>
      </c>
      <c r="T883" t="str">
        <f t="shared" si="109"/>
        <v>OK</v>
      </c>
      <c r="U883" s="25">
        <f t="shared" si="110"/>
        <v>62</v>
      </c>
      <c r="V883" t="str">
        <f t="shared" si="111"/>
        <v>OK</v>
      </c>
    </row>
    <row r="884" spans="1:22" ht="18" customHeight="1">
      <c r="A884" t="s">
        <v>235</v>
      </c>
      <c r="B884" t="s">
        <v>236</v>
      </c>
      <c r="C884">
        <v>1</v>
      </c>
      <c r="D884" t="s">
        <v>237</v>
      </c>
      <c r="E884" s="6">
        <f t="shared" si="104"/>
        <v>3</v>
      </c>
      <c r="F884" s="6">
        <f t="shared" si="105"/>
        <v>6</v>
      </c>
      <c r="G884" s="6">
        <f>ROUND(Catalogue!G48*SQRT((1+Paramètres!$B$4*(C884-1)+Paramètres!$B$5*(C884-1)^2)),0)</f>
        <v>0</v>
      </c>
      <c r="H884" s="6">
        <f>ROUND(Catalogue!H48*SQRT((1+Paramètres!$B$4*(C884-1)+Paramètres!$B$5*(C884-1)^2)),0)</f>
        <v>0</v>
      </c>
      <c r="I884" s="6">
        <v>2</v>
      </c>
      <c r="J884" s="6">
        <v>5</v>
      </c>
      <c r="K884" s="7">
        <v>1</v>
      </c>
      <c r="L884" s="9">
        <f t="shared" si="106"/>
        <v>4.5</v>
      </c>
      <c r="M884">
        <v>1</v>
      </c>
      <c r="N884">
        <v>4</v>
      </c>
      <c r="O884">
        <v>2</v>
      </c>
      <c r="P884" s="13" t="str">
        <f t="shared" si="107"/>
        <v>1d4 + 2</v>
      </c>
      <c r="Q884">
        <f>ROUND(INDEX(Catalogue!E$4:E$85,MATCH(A884,Catalogue!A$4:A$85,0))*(1+Paramètres!$B$4*(C884-1)+Paramètres!$B$5*(C884-1)^2),0)</f>
        <v>4</v>
      </c>
      <c r="R884">
        <f>ROUND(INDEX(Catalogue!F$4:F$85,MATCH(A884,Catalogue!A$4:A$85,0))*(1+Paramètres!$B$4*(C884-1)+Paramètres!$B$5*(C884-1)^2),0)</f>
        <v>6</v>
      </c>
      <c r="S884">
        <f t="shared" si="108"/>
        <v>-0.5</v>
      </c>
      <c r="T884" t="str">
        <f t="shared" si="109"/>
        <v>OK</v>
      </c>
      <c r="U884" s="25">
        <f t="shared" si="110"/>
        <v>4.5</v>
      </c>
      <c r="V884" t="str">
        <f t="shared" si="111"/>
        <v>OK</v>
      </c>
    </row>
    <row r="885" spans="1:22" ht="18" customHeight="1">
      <c r="A885" t="s">
        <v>235</v>
      </c>
      <c r="B885" t="s">
        <v>236</v>
      </c>
      <c r="C885">
        <v>2</v>
      </c>
      <c r="D885" t="s">
        <v>237</v>
      </c>
      <c r="E885" s="6">
        <f t="shared" si="104"/>
        <v>4</v>
      </c>
      <c r="F885" s="6">
        <f t="shared" si="105"/>
        <v>7</v>
      </c>
      <c r="G885" s="6">
        <f>ROUND(Catalogue!G48*SQRT((1+Paramètres!$B$4*(C885-1)+Paramètres!$B$5*(C885-1)^2)),0)</f>
        <v>0</v>
      </c>
      <c r="H885" s="6">
        <f>ROUND(Catalogue!H48*SQRT((1+Paramètres!$B$4*(C885-1)+Paramètres!$B$5*(C885-1)^2)),0)</f>
        <v>0</v>
      </c>
      <c r="I885" s="6">
        <v>2</v>
      </c>
      <c r="J885" s="6">
        <v>5</v>
      </c>
      <c r="K885" s="7">
        <v>1</v>
      </c>
      <c r="L885" s="9">
        <f t="shared" si="106"/>
        <v>5.5</v>
      </c>
      <c r="M885">
        <v>1</v>
      </c>
      <c r="N885">
        <v>4</v>
      </c>
      <c r="O885">
        <v>3</v>
      </c>
      <c r="P885" s="13" t="str">
        <f t="shared" si="107"/>
        <v>1d4 + 3</v>
      </c>
      <c r="Q885">
        <f>ROUND(INDEX(Catalogue!E$4:E$85,MATCH(A885,Catalogue!A$4:A$85,0))*(1+Paramètres!$B$4*(C885-1)+Paramètres!$B$5*(C885-1)^2),0)</f>
        <v>5</v>
      </c>
      <c r="R885">
        <f>ROUND(INDEX(Catalogue!F$4:F$85,MATCH(A885,Catalogue!A$4:A$85,0))*(1+Paramètres!$B$4*(C885-1)+Paramètres!$B$5*(C885-1)^2),0)</f>
        <v>7</v>
      </c>
      <c r="S885">
        <f t="shared" si="108"/>
        <v>-0.5</v>
      </c>
      <c r="T885" t="str">
        <f t="shared" si="109"/>
        <v>OK</v>
      </c>
      <c r="U885" s="25">
        <f t="shared" si="110"/>
        <v>5.5</v>
      </c>
      <c r="V885" t="str">
        <f t="shared" si="111"/>
        <v>OK</v>
      </c>
    </row>
    <row r="886" spans="1:22" ht="18" customHeight="1">
      <c r="A886" t="s">
        <v>235</v>
      </c>
      <c r="B886" t="s">
        <v>236</v>
      </c>
      <c r="C886">
        <v>3</v>
      </c>
      <c r="D886" t="s">
        <v>237</v>
      </c>
      <c r="E886" s="6">
        <f t="shared" si="104"/>
        <v>5</v>
      </c>
      <c r="F886" s="6">
        <f t="shared" si="105"/>
        <v>8</v>
      </c>
      <c r="G886" s="6">
        <f>ROUND(Catalogue!G48*SQRT((1+Paramètres!$B$4*(C886-1)+Paramètres!$B$5*(C886-1)^2)),0)</f>
        <v>0</v>
      </c>
      <c r="H886" s="6">
        <f>ROUND(Catalogue!H48*SQRT((1+Paramètres!$B$4*(C886-1)+Paramètres!$B$5*(C886-1)^2)),0)</f>
        <v>0</v>
      </c>
      <c r="I886" s="6">
        <v>2</v>
      </c>
      <c r="J886" s="6">
        <v>5</v>
      </c>
      <c r="K886" s="7">
        <v>1</v>
      </c>
      <c r="L886" s="9">
        <f t="shared" si="106"/>
        <v>6.5</v>
      </c>
      <c r="M886">
        <v>1</v>
      </c>
      <c r="N886">
        <v>4</v>
      </c>
      <c r="O886">
        <v>4</v>
      </c>
      <c r="P886" s="13" t="str">
        <f t="shared" si="107"/>
        <v>1d4 + 4</v>
      </c>
      <c r="Q886">
        <f>ROUND(INDEX(Catalogue!E$4:E$85,MATCH(A886,Catalogue!A$4:A$85,0))*(1+Paramètres!$B$4*(C886-1)+Paramètres!$B$5*(C886-1)^2),0)</f>
        <v>5</v>
      </c>
      <c r="R886">
        <f>ROUND(INDEX(Catalogue!F$4:F$85,MATCH(A886,Catalogue!A$4:A$85,0))*(1+Paramètres!$B$4*(C886-1)+Paramètres!$B$5*(C886-1)^2),0)</f>
        <v>8</v>
      </c>
      <c r="S886">
        <f t="shared" si="108"/>
        <v>0</v>
      </c>
      <c r="T886" t="str">
        <f t="shared" si="109"/>
        <v>OK</v>
      </c>
      <c r="U886" s="25">
        <f t="shared" si="110"/>
        <v>6.5</v>
      </c>
      <c r="V886" t="str">
        <f t="shared" si="111"/>
        <v>OK</v>
      </c>
    </row>
    <row r="887" spans="1:22" ht="18" customHeight="1">
      <c r="A887" t="s">
        <v>235</v>
      </c>
      <c r="B887" t="s">
        <v>236</v>
      </c>
      <c r="C887">
        <v>4</v>
      </c>
      <c r="D887" t="s">
        <v>237</v>
      </c>
      <c r="E887" s="6">
        <f t="shared" si="104"/>
        <v>6</v>
      </c>
      <c r="F887" s="6">
        <f t="shared" si="105"/>
        <v>9</v>
      </c>
      <c r="G887" s="6">
        <f>ROUND(Catalogue!G48*SQRT((1+Paramètres!$B$4*(C887-1)+Paramètres!$B$5*(C887-1)^2)),0)</f>
        <v>0</v>
      </c>
      <c r="H887" s="6">
        <f>ROUND(Catalogue!H48*SQRT((1+Paramètres!$B$4*(C887-1)+Paramètres!$B$5*(C887-1)^2)),0)</f>
        <v>0</v>
      </c>
      <c r="I887" s="6">
        <v>2</v>
      </c>
      <c r="J887" s="6">
        <v>5</v>
      </c>
      <c r="K887" s="7">
        <v>1</v>
      </c>
      <c r="L887" s="9">
        <f t="shared" si="106"/>
        <v>7.5</v>
      </c>
      <c r="M887">
        <v>1</v>
      </c>
      <c r="N887">
        <v>4</v>
      </c>
      <c r="O887">
        <v>5</v>
      </c>
      <c r="P887" s="13" t="str">
        <f t="shared" si="107"/>
        <v>1d4 + 5</v>
      </c>
      <c r="Q887">
        <f>ROUND(INDEX(Catalogue!E$4:E$85,MATCH(A887,Catalogue!A$4:A$85,0))*(1+Paramètres!$B$4*(C887-1)+Paramètres!$B$5*(C887-1)^2),0)</f>
        <v>6</v>
      </c>
      <c r="R887">
        <f>ROUND(INDEX(Catalogue!F$4:F$85,MATCH(A887,Catalogue!A$4:A$85,0))*(1+Paramètres!$B$4*(C887-1)+Paramètres!$B$5*(C887-1)^2),0)</f>
        <v>9</v>
      </c>
      <c r="S887">
        <f t="shared" si="108"/>
        <v>0</v>
      </c>
      <c r="T887" t="str">
        <f t="shared" si="109"/>
        <v>OK</v>
      </c>
      <c r="U887" s="25">
        <f t="shared" si="110"/>
        <v>7.5</v>
      </c>
      <c r="V887" t="str">
        <f t="shared" si="111"/>
        <v>OK</v>
      </c>
    </row>
    <row r="888" spans="1:22" ht="18" customHeight="1">
      <c r="A888" t="s">
        <v>235</v>
      </c>
      <c r="B888" t="s">
        <v>236</v>
      </c>
      <c r="C888">
        <v>5</v>
      </c>
      <c r="D888" t="s">
        <v>237</v>
      </c>
      <c r="E888" s="6">
        <f t="shared" si="104"/>
        <v>7</v>
      </c>
      <c r="F888" s="6">
        <f t="shared" si="105"/>
        <v>10</v>
      </c>
      <c r="G888" s="6">
        <f>ROUND(Catalogue!G48*SQRT((1+Paramètres!$B$4*(C888-1)+Paramètres!$B$5*(C888-1)^2)),0)</f>
        <v>0</v>
      </c>
      <c r="H888" s="6">
        <f>ROUND(Catalogue!H48*SQRT((1+Paramètres!$B$4*(C888-1)+Paramètres!$B$5*(C888-1)^2)),0)</f>
        <v>0</v>
      </c>
      <c r="I888" s="6">
        <v>2</v>
      </c>
      <c r="J888" s="6">
        <v>5</v>
      </c>
      <c r="K888" s="7">
        <v>1</v>
      </c>
      <c r="L888" s="9">
        <f t="shared" si="106"/>
        <v>8.5</v>
      </c>
      <c r="M888">
        <v>1</v>
      </c>
      <c r="N888">
        <v>4</v>
      </c>
      <c r="O888">
        <v>6</v>
      </c>
      <c r="P888" s="13" t="str">
        <f t="shared" si="107"/>
        <v>1d4 + 6</v>
      </c>
      <c r="Q888">
        <f>ROUND(INDEX(Catalogue!E$4:E$85,MATCH(A888,Catalogue!A$4:A$85,0))*(1+Paramètres!$B$4*(C888-1)+Paramètres!$B$5*(C888-1)^2),0)</f>
        <v>7</v>
      </c>
      <c r="R888">
        <f>ROUND(INDEX(Catalogue!F$4:F$85,MATCH(A888,Catalogue!A$4:A$85,0))*(1+Paramètres!$B$4*(C888-1)+Paramètres!$B$5*(C888-1)^2),0)</f>
        <v>10</v>
      </c>
      <c r="S888">
        <f t="shared" si="108"/>
        <v>0</v>
      </c>
      <c r="T888" t="str">
        <f t="shared" si="109"/>
        <v>OK</v>
      </c>
      <c r="U888" s="25">
        <f t="shared" si="110"/>
        <v>8.5</v>
      </c>
      <c r="V888" t="str">
        <f t="shared" si="111"/>
        <v>OK</v>
      </c>
    </row>
    <row r="889" spans="1:22" ht="18" customHeight="1">
      <c r="A889" t="s">
        <v>235</v>
      </c>
      <c r="B889" t="s">
        <v>236</v>
      </c>
      <c r="C889">
        <v>6</v>
      </c>
      <c r="D889" t="s">
        <v>237</v>
      </c>
      <c r="E889" s="6">
        <f t="shared" si="104"/>
        <v>9</v>
      </c>
      <c r="F889" s="6">
        <f t="shared" si="105"/>
        <v>12</v>
      </c>
      <c r="G889" s="6">
        <f>ROUND(Catalogue!G48*SQRT((1+Paramètres!$B$4*(C889-1)+Paramètres!$B$5*(C889-1)^2)),0)</f>
        <v>0</v>
      </c>
      <c r="H889" s="6">
        <f>ROUND(Catalogue!H48*SQRT((1+Paramètres!$B$4*(C889-1)+Paramètres!$B$5*(C889-1)^2)),0)</f>
        <v>0</v>
      </c>
      <c r="I889" s="6">
        <v>2</v>
      </c>
      <c r="J889" s="6">
        <v>5</v>
      </c>
      <c r="K889" s="7">
        <v>1</v>
      </c>
      <c r="L889" s="9">
        <f t="shared" si="106"/>
        <v>10.5</v>
      </c>
      <c r="M889">
        <v>1</v>
      </c>
      <c r="N889">
        <v>4</v>
      </c>
      <c r="O889">
        <v>8</v>
      </c>
      <c r="P889" s="13" t="str">
        <f t="shared" si="107"/>
        <v>1d4 + 8</v>
      </c>
      <c r="Q889">
        <f>ROUND(INDEX(Catalogue!E$4:E$85,MATCH(A889,Catalogue!A$4:A$85,0))*(1+Paramètres!$B$4*(C889-1)+Paramètres!$B$5*(C889-1)^2),0)</f>
        <v>8</v>
      </c>
      <c r="R889">
        <f>ROUND(INDEX(Catalogue!F$4:F$85,MATCH(A889,Catalogue!A$4:A$85,0))*(1+Paramètres!$B$4*(C889-1)+Paramètres!$B$5*(C889-1)^2),0)</f>
        <v>12</v>
      </c>
      <c r="S889">
        <f t="shared" si="108"/>
        <v>0.5</v>
      </c>
      <c r="T889" t="str">
        <f t="shared" si="109"/>
        <v>OK</v>
      </c>
      <c r="U889" s="25">
        <f t="shared" si="110"/>
        <v>10.5</v>
      </c>
      <c r="V889" t="str">
        <f t="shared" si="111"/>
        <v>OK</v>
      </c>
    </row>
    <row r="890" spans="1:22" ht="18" customHeight="1">
      <c r="A890" t="s">
        <v>235</v>
      </c>
      <c r="B890" t="s">
        <v>236</v>
      </c>
      <c r="C890">
        <v>7</v>
      </c>
      <c r="D890" t="s">
        <v>237</v>
      </c>
      <c r="E890" s="6">
        <f t="shared" si="104"/>
        <v>9</v>
      </c>
      <c r="F890" s="6">
        <f t="shared" si="105"/>
        <v>12</v>
      </c>
      <c r="G890" s="6">
        <f>ROUND(Catalogue!G48*SQRT((1+Paramètres!$B$4*(C890-1)+Paramètres!$B$5*(C890-1)^2)),0)</f>
        <v>0</v>
      </c>
      <c r="H890" s="6">
        <f>ROUND(Catalogue!H48*SQRT((1+Paramètres!$B$4*(C890-1)+Paramètres!$B$5*(C890-1)^2)),0)</f>
        <v>0</v>
      </c>
      <c r="I890" s="6">
        <v>2</v>
      </c>
      <c r="J890" s="6">
        <v>5</v>
      </c>
      <c r="K890" s="7">
        <v>1</v>
      </c>
      <c r="L890" s="9">
        <f t="shared" si="106"/>
        <v>10.5</v>
      </c>
      <c r="M890">
        <v>1</v>
      </c>
      <c r="N890">
        <v>4</v>
      </c>
      <c r="O890">
        <v>8</v>
      </c>
      <c r="P890" s="13" t="str">
        <f t="shared" si="107"/>
        <v>1d4 + 8</v>
      </c>
      <c r="Q890">
        <f>ROUND(INDEX(Catalogue!E$4:E$85,MATCH(A890,Catalogue!A$4:A$85,0))*(1+Paramètres!$B$4*(C890-1)+Paramètres!$B$5*(C890-1)^2),0)</f>
        <v>9</v>
      </c>
      <c r="R890">
        <f>ROUND(INDEX(Catalogue!F$4:F$85,MATCH(A890,Catalogue!A$4:A$85,0))*(1+Paramètres!$B$4*(C890-1)+Paramètres!$B$5*(C890-1)^2),0)</f>
        <v>13</v>
      </c>
      <c r="S890">
        <f t="shared" si="108"/>
        <v>-0.5</v>
      </c>
      <c r="T890" t="str">
        <f t="shared" si="109"/>
        <v>OK</v>
      </c>
      <c r="U890" s="25">
        <f t="shared" si="110"/>
        <v>10.5</v>
      </c>
      <c r="V890" t="str">
        <f t="shared" si="111"/>
        <v>OK</v>
      </c>
    </row>
    <row r="891" spans="1:22" ht="18" customHeight="1">
      <c r="A891" t="s">
        <v>235</v>
      </c>
      <c r="B891" t="s">
        <v>236</v>
      </c>
      <c r="C891">
        <v>8</v>
      </c>
      <c r="D891" t="s">
        <v>237</v>
      </c>
      <c r="E891" s="6">
        <f t="shared" si="104"/>
        <v>10</v>
      </c>
      <c r="F891" s="6">
        <f t="shared" si="105"/>
        <v>15</v>
      </c>
      <c r="G891" s="6">
        <f>ROUND(Catalogue!G48*SQRT((1+Paramètres!$B$4*(C891-1)+Paramètres!$B$5*(C891-1)^2)),0)</f>
        <v>0</v>
      </c>
      <c r="H891" s="6">
        <f>ROUND(Catalogue!H48*SQRT((1+Paramètres!$B$4*(C891-1)+Paramètres!$B$5*(C891-1)^2)),0)</f>
        <v>0</v>
      </c>
      <c r="I891" s="6">
        <v>2</v>
      </c>
      <c r="J891" s="6">
        <v>5</v>
      </c>
      <c r="K891" s="7">
        <v>1</v>
      </c>
      <c r="L891" s="9">
        <f t="shared" si="106"/>
        <v>12.5</v>
      </c>
      <c r="M891">
        <v>1</v>
      </c>
      <c r="N891">
        <v>6</v>
      </c>
      <c r="O891">
        <v>9</v>
      </c>
      <c r="P891" s="13" t="str">
        <f t="shared" si="107"/>
        <v>1d6 + 9</v>
      </c>
      <c r="Q891">
        <f>ROUND(INDEX(Catalogue!E$4:E$85,MATCH(A891,Catalogue!A$4:A$85,0))*(1+Paramètres!$B$4*(C891-1)+Paramètres!$B$5*(C891-1)^2),0)</f>
        <v>10</v>
      </c>
      <c r="R891">
        <f>ROUND(INDEX(Catalogue!F$4:F$85,MATCH(A891,Catalogue!A$4:A$85,0))*(1+Paramètres!$B$4*(C891-1)+Paramètres!$B$5*(C891-1)^2),0)</f>
        <v>15</v>
      </c>
      <c r="S891">
        <f t="shared" si="108"/>
        <v>0</v>
      </c>
      <c r="T891" t="str">
        <f t="shared" si="109"/>
        <v>OK</v>
      </c>
      <c r="U891" s="25">
        <f t="shared" si="110"/>
        <v>12.5</v>
      </c>
      <c r="V891" t="str">
        <f t="shared" si="111"/>
        <v>OK</v>
      </c>
    </row>
    <row r="892" spans="1:22" ht="18" customHeight="1">
      <c r="A892" t="s">
        <v>235</v>
      </c>
      <c r="B892" t="s">
        <v>236</v>
      </c>
      <c r="C892">
        <v>9</v>
      </c>
      <c r="D892" t="s">
        <v>237</v>
      </c>
      <c r="E892" s="6">
        <f t="shared" si="104"/>
        <v>12</v>
      </c>
      <c r="F892" s="6">
        <f t="shared" si="105"/>
        <v>17</v>
      </c>
      <c r="G892" s="6">
        <f>ROUND(Catalogue!G48*SQRT((1+Paramètres!$B$4*(C892-1)+Paramètres!$B$5*(C892-1)^2)),0)</f>
        <v>0</v>
      </c>
      <c r="H892" s="6">
        <f>ROUND(Catalogue!H48*SQRT((1+Paramètres!$B$4*(C892-1)+Paramètres!$B$5*(C892-1)^2)),0)</f>
        <v>0</v>
      </c>
      <c r="I892" s="6">
        <v>2</v>
      </c>
      <c r="J892" s="6">
        <v>5</v>
      </c>
      <c r="K892" s="7">
        <v>1</v>
      </c>
      <c r="L892" s="9">
        <f t="shared" si="106"/>
        <v>14.5</v>
      </c>
      <c r="M892">
        <v>1</v>
      </c>
      <c r="N892">
        <v>6</v>
      </c>
      <c r="O892">
        <v>11</v>
      </c>
      <c r="P892" s="13" t="str">
        <f t="shared" si="107"/>
        <v>1d6 + 11</v>
      </c>
      <c r="Q892">
        <f>ROUND(INDEX(Catalogue!E$4:E$85,MATCH(A892,Catalogue!A$4:A$85,0))*(1+Paramètres!$B$4*(C892-1)+Paramètres!$B$5*(C892-1)^2),0)</f>
        <v>12</v>
      </c>
      <c r="R892">
        <f>ROUND(INDEX(Catalogue!F$4:F$85,MATCH(A892,Catalogue!A$4:A$85,0))*(1+Paramètres!$B$4*(C892-1)+Paramètres!$B$5*(C892-1)^2),0)</f>
        <v>17</v>
      </c>
      <c r="S892">
        <f t="shared" si="108"/>
        <v>0</v>
      </c>
      <c r="T892" t="str">
        <f t="shared" si="109"/>
        <v>OK</v>
      </c>
      <c r="U892" s="25">
        <f t="shared" si="110"/>
        <v>14.5</v>
      </c>
      <c r="V892" t="str">
        <f t="shared" si="111"/>
        <v>OK</v>
      </c>
    </row>
    <row r="893" spans="1:22" ht="18" customHeight="1">
      <c r="A893" t="s">
        <v>235</v>
      </c>
      <c r="B893" t="s">
        <v>236</v>
      </c>
      <c r="C893">
        <v>10</v>
      </c>
      <c r="D893" t="s">
        <v>237</v>
      </c>
      <c r="E893" s="6">
        <f t="shared" si="104"/>
        <v>13</v>
      </c>
      <c r="F893" s="6">
        <f t="shared" si="105"/>
        <v>20</v>
      </c>
      <c r="G893" s="6">
        <f>ROUND(Catalogue!G48*SQRT((1+Paramètres!$B$4*(C893-1)+Paramètres!$B$5*(C893-1)^2)),0)</f>
        <v>0</v>
      </c>
      <c r="H893" s="6">
        <f>ROUND(Catalogue!H48*SQRT((1+Paramètres!$B$4*(C893-1)+Paramètres!$B$5*(C893-1)^2)),0)</f>
        <v>0</v>
      </c>
      <c r="I893" s="6">
        <v>2</v>
      </c>
      <c r="J893" s="6">
        <v>5</v>
      </c>
      <c r="K893" s="7">
        <v>1</v>
      </c>
      <c r="L893" s="9">
        <f t="shared" si="106"/>
        <v>16.5</v>
      </c>
      <c r="M893">
        <v>1</v>
      </c>
      <c r="N893">
        <v>8</v>
      </c>
      <c r="O893">
        <v>12</v>
      </c>
      <c r="P893" s="13" t="str">
        <f t="shared" si="107"/>
        <v>1d8 + 12</v>
      </c>
      <c r="Q893">
        <f>ROUND(INDEX(Catalogue!E$4:E$85,MATCH(A893,Catalogue!A$4:A$85,0))*(1+Paramètres!$B$4*(C893-1)+Paramètres!$B$5*(C893-1)^2),0)</f>
        <v>13</v>
      </c>
      <c r="R893">
        <f>ROUND(INDEX(Catalogue!F$4:F$85,MATCH(A893,Catalogue!A$4:A$85,0))*(1+Paramètres!$B$4*(C893-1)+Paramètres!$B$5*(C893-1)^2),0)</f>
        <v>20</v>
      </c>
      <c r="S893">
        <f t="shared" si="108"/>
        <v>0</v>
      </c>
      <c r="T893" t="str">
        <f t="shared" si="109"/>
        <v>OK</v>
      </c>
      <c r="U893" s="25">
        <f t="shared" si="110"/>
        <v>16.5</v>
      </c>
      <c r="V893" t="str">
        <f t="shared" si="111"/>
        <v>OK</v>
      </c>
    </row>
    <row r="894" spans="1:22" ht="18" customHeight="1">
      <c r="A894" t="s">
        <v>235</v>
      </c>
      <c r="B894" t="s">
        <v>236</v>
      </c>
      <c r="C894">
        <v>11</v>
      </c>
      <c r="D894" t="s">
        <v>237</v>
      </c>
      <c r="E894" s="6">
        <f t="shared" si="104"/>
        <v>15</v>
      </c>
      <c r="F894" s="6">
        <f t="shared" si="105"/>
        <v>22</v>
      </c>
      <c r="G894" s="6">
        <f>ROUND(Catalogue!G48*SQRT((1+Paramètres!$B$4*(C894-1)+Paramètres!$B$5*(C894-1)^2)),0)</f>
        <v>0</v>
      </c>
      <c r="H894" s="6">
        <f>ROUND(Catalogue!H48*SQRT((1+Paramètres!$B$4*(C894-1)+Paramètres!$B$5*(C894-1)^2)),0)</f>
        <v>0</v>
      </c>
      <c r="I894" s="6">
        <v>2</v>
      </c>
      <c r="J894" s="6">
        <v>5</v>
      </c>
      <c r="K894" s="7">
        <v>1</v>
      </c>
      <c r="L894" s="9">
        <f t="shared" si="106"/>
        <v>18.5</v>
      </c>
      <c r="M894">
        <v>1</v>
      </c>
      <c r="N894">
        <v>8</v>
      </c>
      <c r="O894">
        <v>14</v>
      </c>
      <c r="P894" s="13" t="str">
        <f t="shared" si="107"/>
        <v>1d8 + 14</v>
      </c>
      <c r="Q894">
        <f>ROUND(INDEX(Catalogue!E$4:E$85,MATCH(A894,Catalogue!A$4:A$85,0))*(1+Paramètres!$B$4*(C894-1)+Paramètres!$B$5*(C894-1)^2),0)</f>
        <v>15</v>
      </c>
      <c r="R894">
        <f>ROUND(INDEX(Catalogue!F$4:F$85,MATCH(A894,Catalogue!A$4:A$85,0))*(1+Paramètres!$B$4*(C894-1)+Paramètres!$B$5*(C894-1)^2),0)</f>
        <v>22</v>
      </c>
      <c r="S894">
        <f t="shared" si="108"/>
        <v>0</v>
      </c>
      <c r="T894" t="str">
        <f t="shared" si="109"/>
        <v>OK</v>
      </c>
      <c r="U894" s="25">
        <f t="shared" si="110"/>
        <v>18.5</v>
      </c>
      <c r="V894" t="str">
        <f t="shared" si="111"/>
        <v>OK</v>
      </c>
    </row>
    <row r="895" spans="1:22" ht="18" customHeight="1">
      <c r="A895" t="s">
        <v>235</v>
      </c>
      <c r="B895" t="s">
        <v>236</v>
      </c>
      <c r="C895">
        <v>12</v>
      </c>
      <c r="D895" t="s">
        <v>237</v>
      </c>
      <c r="E895" s="6">
        <f t="shared" si="104"/>
        <v>16</v>
      </c>
      <c r="F895" s="6">
        <f t="shared" si="105"/>
        <v>25</v>
      </c>
      <c r="G895" s="6">
        <f>ROUND(Catalogue!G48*SQRT((1+Paramètres!$B$4*(C895-1)+Paramètres!$B$5*(C895-1)^2)),0)</f>
        <v>0</v>
      </c>
      <c r="H895" s="6">
        <f>ROUND(Catalogue!H48*SQRT((1+Paramètres!$B$4*(C895-1)+Paramètres!$B$5*(C895-1)^2)),0)</f>
        <v>0</v>
      </c>
      <c r="I895" s="6">
        <v>2</v>
      </c>
      <c r="J895" s="6">
        <v>5</v>
      </c>
      <c r="K895" s="7">
        <v>1</v>
      </c>
      <c r="L895" s="9">
        <f t="shared" si="106"/>
        <v>20.5</v>
      </c>
      <c r="M895">
        <v>3</v>
      </c>
      <c r="N895">
        <v>4</v>
      </c>
      <c r="O895">
        <v>13</v>
      </c>
      <c r="P895" s="13" t="str">
        <f t="shared" si="107"/>
        <v>3d4 + 13</v>
      </c>
      <c r="Q895">
        <f>ROUND(INDEX(Catalogue!E$4:E$85,MATCH(A895,Catalogue!A$4:A$85,0))*(1+Paramètres!$B$4*(C895-1)+Paramètres!$B$5*(C895-1)^2),0)</f>
        <v>17</v>
      </c>
      <c r="R895">
        <f>ROUND(INDEX(Catalogue!F$4:F$85,MATCH(A895,Catalogue!A$4:A$85,0))*(1+Paramètres!$B$4*(C895-1)+Paramètres!$B$5*(C895-1)^2),0)</f>
        <v>25</v>
      </c>
      <c r="S895">
        <f t="shared" si="108"/>
        <v>-0.5</v>
      </c>
      <c r="T895" t="str">
        <f t="shared" si="109"/>
        <v>OK</v>
      </c>
      <c r="U895" s="25">
        <f t="shared" si="110"/>
        <v>20.5</v>
      </c>
      <c r="V895" t="str">
        <f t="shared" si="111"/>
        <v>OK</v>
      </c>
    </row>
    <row r="896" spans="1:22" ht="18" customHeight="1">
      <c r="A896" t="s">
        <v>235</v>
      </c>
      <c r="B896" t="s">
        <v>236</v>
      </c>
      <c r="C896">
        <v>13</v>
      </c>
      <c r="D896" t="s">
        <v>237</v>
      </c>
      <c r="E896" s="6">
        <f t="shared" si="104"/>
        <v>18</v>
      </c>
      <c r="F896" s="6">
        <f t="shared" si="105"/>
        <v>28</v>
      </c>
      <c r="G896" s="6">
        <f>ROUND(Catalogue!G48*SQRT((1+Paramètres!$B$4*(C896-1)+Paramètres!$B$5*(C896-1)^2)),0)</f>
        <v>0</v>
      </c>
      <c r="H896" s="6">
        <f>ROUND(Catalogue!H48*SQRT((1+Paramètres!$B$4*(C896-1)+Paramètres!$B$5*(C896-1)^2)),0)</f>
        <v>0</v>
      </c>
      <c r="I896" s="6">
        <v>2</v>
      </c>
      <c r="J896" s="6">
        <v>5</v>
      </c>
      <c r="K896" s="7">
        <v>1</v>
      </c>
      <c r="L896" s="9">
        <f t="shared" si="106"/>
        <v>23</v>
      </c>
      <c r="M896">
        <v>2</v>
      </c>
      <c r="N896">
        <v>6</v>
      </c>
      <c r="O896">
        <v>16</v>
      </c>
      <c r="P896" s="13" t="str">
        <f t="shared" si="107"/>
        <v>2d6 + 16</v>
      </c>
      <c r="Q896">
        <f>ROUND(INDEX(Catalogue!E$4:E$85,MATCH(A896,Catalogue!A$4:A$85,0))*(1+Paramètres!$B$4*(C896-1)+Paramètres!$B$5*(C896-1)^2),0)</f>
        <v>18</v>
      </c>
      <c r="R896">
        <f>ROUND(INDEX(Catalogue!F$4:F$85,MATCH(A896,Catalogue!A$4:A$85,0))*(1+Paramètres!$B$4*(C896-1)+Paramètres!$B$5*(C896-1)^2),0)</f>
        <v>28</v>
      </c>
      <c r="S896">
        <f t="shared" si="108"/>
        <v>0</v>
      </c>
      <c r="T896" t="str">
        <f t="shared" si="109"/>
        <v>OK</v>
      </c>
      <c r="U896" s="25">
        <f t="shared" si="110"/>
        <v>23</v>
      </c>
      <c r="V896" t="str">
        <f t="shared" si="111"/>
        <v>OK</v>
      </c>
    </row>
    <row r="897" spans="1:22" ht="18" customHeight="1">
      <c r="A897" t="s">
        <v>235</v>
      </c>
      <c r="B897" t="s">
        <v>236</v>
      </c>
      <c r="C897">
        <v>14</v>
      </c>
      <c r="D897" t="s">
        <v>237</v>
      </c>
      <c r="E897" s="6">
        <f t="shared" si="104"/>
        <v>21</v>
      </c>
      <c r="F897" s="6">
        <f t="shared" si="105"/>
        <v>31</v>
      </c>
      <c r="G897" s="6">
        <f>ROUND(Catalogue!G48*SQRT((1+Paramètres!$B$4*(C897-1)+Paramètres!$B$5*(C897-1)^2)),0)</f>
        <v>0</v>
      </c>
      <c r="H897" s="6">
        <f>ROUND(Catalogue!H48*SQRT((1+Paramètres!$B$4*(C897-1)+Paramètres!$B$5*(C897-1)^2)),0)</f>
        <v>0</v>
      </c>
      <c r="I897" s="6">
        <v>2</v>
      </c>
      <c r="J897" s="6">
        <v>5</v>
      </c>
      <c r="K897" s="7">
        <v>1</v>
      </c>
      <c r="L897" s="9">
        <f t="shared" si="106"/>
        <v>26</v>
      </c>
      <c r="M897">
        <v>2</v>
      </c>
      <c r="N897">
        <v>6</v>
      </c>
      <c r="O897">
        <v>19</v>
      </c>
      <c r="P897" s="13" t="str">
        <f t="shared" si="107"/>
        <v>2d6 + 19</v>
      </c>
      <c r="Q897">
        <f>ROUND(INDEX(Catalogue!E$4:E$85,MATCH(A897,Catalogue!A$4:A$85,0))*(1+Paramètres!$B$4*(C897-1)+Paramètres!$B$5*(C897-1)^2),0)</f>
        <v>21</v>
      </c>
      <c r="R897">
        <f>ROUND(INDEX(Catalogue!F$4:F$85,MATCH(A897,Catalogue!A$4:A$85,0))*(1+Paramètres!$B$4*(C897-1)+Paramètres!$B$5*(C897-1)^2),0)</f>
        <v>31</v>
      </c>
      <c r="S897">
        <f t="shared" si="108"/>
        <v>0</v>
      </c>
      <c r="T897" t="str">
        <f t="shared" si="109"/>
        <v>OK</v>
      </c>
      <c r="U897" s="25">
        <f t="shared" si="110"/>
        <v>26</v>
      </c>
      <c r="V897" t="str">
        <f t="shared" si="111"/>
        <v>OK</v>
      </c>
    </row>
    <row r="898" spans="1:22" ht="18" customHeight="1">
      <c r="A898" t="s">
        <v>235</v>
      </c>
      <c r="B898" t="s">
        <v>236</v>
      </c>
      <c r="C898">
        <v>15</v>
      </c>
      <c r="D898" t="s">
        <v>237</v>
      </c>
      <c r="E898" s="6">
        <f t="shared" si="104"/>
        <v>23</v>
      </c>
      <c r="F898" s="6">
        <f t="shared" si="105"/>
        <v>34</v>
      </c>
      <c r="G898" s="6">
        <f>ROUND(Catalogue!G48*SQRT((1+Paramètres!$B$4*(C898-1)+Paramètres!$B$5*(C898-1)^2)),0)</f>
        <v>0</v>
      </c>
      <c r="H898" s="6">
        <f>ROUND(Catalogue!H48*SQRT((1+Paramètres!$B$4*(C898-1)+Paramètres!$B$5*(C898-1)^2)),0)</f>
        <v>0</v>
      </c>
      <c r="I898" s="6">
        <v>2</v>
      </c>
      <c r="J898" s="6">
        <v>5</v>
      </c>
      <c r="K898" s="7">
        <v>1</v>
      </c>
      <c r="L898" s="9">
        <f t="shared" si="106"/>
        <v>28.5</v>
      </c>
      <c r="M898">
        <v>1</v>
      </c>
      <c r="N898">
        <v>12</v>
      </c>
      <c r="O898">
        <v>22</v>
      </c>
      <c r="P898" s="13" t="str">
        <f t="shared" si="107"/>
        <v>1d12 + 22</v>
      </c>
      <c r="Q898">
        <f>ROUND(INDEX(Catalogue!E$4:E$85,MATCH(A898,Catalogue!A$4:A$85,0))*(1+Paramètres!$B$4*(C898-1)+Paramètres!$B$5*(C898-1)^2),0)</f>
        <v>23</v>
      </c>
      <c r="R898">
        <f>ROUND(INDEX(Catalogue!F$4:F$85,MATCH(A898,Catalogue!A$4:A$85,0))*(1+Paramètres!$B$4*(C898-1)+Paramètres!$B$5*(C898-1)^2),0)</f>
        <v>34</v>
      </c>
      <c r="S898">
        <f t="shared" si="108"/>
        <v>0</v>
      </c>
      <c r="T898" t="str">
        <f t="shared" si="109"/>
        <v>OK</v>
      </c>
      <c r="U898" s="25">
        <f t="shared" si="110"/>
        <v>28.5</v>
      </c>
      <c r="V898" t="str">
        <f t="shared" si="111"/>
        <v>OK</v>
      </c>
    </row>
    <row r="899" spans="1:22" ht="18" customHeight="1">
      <c r="A899" t="s">
        <v>235</v>
      </c>
      <c r="B899" t="s">
        <v>236</v>
      </c>
      <c r="C899">
        <v>16</v>
      </c>
      <c r="D899" t="s">
        <v>237</v>
      </c>
      <c r="E899" s="6">
        <f t="shared" si="104"/>
        <v>24</v>
      </c>
      <c r="F899" s="6">
        <f t="shared" si="105"/>
        <v>38</v>
      </c>
      <c r="G899" s="6">
        <f>ROUND(Catalogue!G48*SQRT((1+Paramètres!$B$4*(C899-1)+Paramètres!$B$5*(C899-1)^2)),0)</f>
        <v>0</v>
      </c>
      <c r="H899" s="6">
        <f>ROUND(Catalogue!H48*SQRT((1+Paramètres!$B$4*(C899-1)+Paramètres!$B$5*(C899-1)^2)),0)</f>
        <v>0</v>
      </c>
      <c r="I899" s="6">
        <v>2</v>
      </c>
      <c r="J899" s="6">
        <v>5</v>
      </c>
      <c r="K899" s="7">
        <v>1</v>
      </c>
      <c r="L899" s="9">
        <f t="shared" si="106"/>
        <v>31</v>
      </c>
      <c r="M899">
        <v>2</v>
      </c>
      <c r="N899">
        <v>8</v>
      </c>
      <c r="O899">
        <v>22</v>
      </c>
      <c r="P899" s="13" t="str">
        <f t="shared" si="107"/>
        <v>2d8 + 22</v>
      </c>
      <c r="Q899">
        <f>ROUND(INDEX(Catalogue!E$4:E$85,MATCH(A899,Catalogue!A$4:A$85,0))*(1+Paramètres!$B$4*(C899-1)+Paramètres!$B$5*(C899-1)^2),0)</f>
        <v>25</v>
      </c>
      <c r="R899">
        <f>ROUND(INDEX(Catalogue!F$4:F$85,MATCH(A899,Catalogue!A$4:A$85,0))*(1+Paramètres!$B$4*(C899-1)+Paramètres!$B$5*(C899-1)^2),0)</f>
        <v>38</v>
      </c>
      <c r="S899">
        <f t="shared" si="108"/>
        <v>-0.5</v>
      </c>
      <c r="T899" t="str">
        <f t="shared" si="109"/>
        <v>OK</v>
      </c>
      <c r="U899" s="25">
        <f t="shared" si="110"/>
        <v>31</v>
      </c>
      <c r="V899" t="str">
        <f t="shared" si="111"/>
        <v>OK</v>
      </c>
    </row>
    <row r="900" spans="1:22" ht="18" customHeight="1">
      <c r="A900" t="s">
        <v>235</v>
      </c>
      <c r="B900" t="s">
        <v>236</v>
      </c>
      <c r="C900">
        <v>17</v>
      </c>
      <c r="D900" t="s">
        <v>237</v>
      </c>
      <c r="E900" s="6">
        <f t="shared" ref="E900:E963" si="112">IF(M900=0,0,M900+O900)</f>
        <v>27</v>
      </c>
      <c r="F900" s="6">
        <f t="shared" ref="F900:F963" si="113">IF(M900=0,0,M900*N900+O900)</f>
        <v>41</v>
      </c>
      <c r="G900" s="6">
        <f>ROUND(Catalogue!G48*SQRT((1+Paramètres!$B$4*(C900-1)+Paramètres!$B$5*(C900-1)^2)),0)</f>
        <v>0</v>
      </c>
      <c r="H900" s="6">
        <f>ROUND(Catalogue!H48*SQRT((1+Paramètres!$B$4*(C900-1)+Paramètres!$B$5*(C900-1)^2)),0)</f>
        <v>0</v>
      </c>
      <c r="I900" s="6">
        <v>2</v>
      </c>
      <c r="J900" s="6">
        <v>5</v>
      </c>
      <c r="K900" s="7">
        <v>1</v>
      </c>
      <c r="L900" s="9">
        <f t="shared" ref="L900:L963" si="114">IF(M900=0,0,(E900+F900)/2)</f>
        <v>34</v>
      </c>
      <c r="M900">
        <v>2</v>
      </c>
      <c r="N900">
        <v>8</v>
      </c>
      <c r="O900">
        <v>25</v>
      </c>
      <c r="P900" s="13" t="str">
        <f t="shared" ref="P900:P963" si="115">IF(M900=0,"—",M900&amp;"d"&amp;N900&amp;IF(O900=0,""," + "&amp;O900))</f>
        <v>2d8 + 25</v>
      </c>
      <c r="Q900">
        <f>ROUND(INDEX(Catalogue!E$4:E$85,MATCH(A900,Catalogue!A$4:A$85,0))*(1+Paramètres!$B$4*(C900-1)+Paramètres!$B$5*(C900-1)^2),0)</f>
        <v>27</v>
      </c>
      <c r="R900">
        <f>ROUND(INDEX(Catalogue!F$4:F$85,MATCH(A900,Catalogue!A$4:A$85,0))*(1+Paramètres!$B$4*(C900-1)+Paramètres!$B$5*(C900-1)^2),0)</f>
        <v>41</v>
      </c>
      <c r="S900">
        <f t="shared" ref="S900:S963" si="116">L900-AVERAGE(Q900:R900)</f>
        <v>0</v>
      </c>
      <c r="T900" t="str">
        <f t="shared" ref="T900:T963" si="117">IF(M900=0,IF(AND(N900=0,O900=0,E900=0,F900=0),"OK","ERREUR"),IF(AND(M900&gt;=1,M900&lt;=32,OR(N900=4,N900=6,N900=8,N900=10,N900=12,N900=20),O900&gt;=0,E900=M900+O900,F900=M900*N900+O900),"OK","ERREUR"))</f>
        <v>OK</v>
      </c>
      <c r="U900" s="25">
        <f t="shared" ref="U900:U963" si="118">IF(M900&gt;0,M900*(N900+1)/2+O900,0)</f>
        <v>34</v>
      </c>
      <c r="V900" t="str">
        <f t="shared" ref="V900:V963" si="119">IF(ABS(L900-U900)&lt;0.001,"OK","ERREUR")</f>
        <v>OK</v>
      </c>
    </row>
    <row r="901" spans="1:22" ht="18" customHeight="1">
      <c r="A901" t="s">
        <v>235</v>
      </c>
      <c r="B901" t="s">
        <v>236</v>
      </c>
      <c r="C901">
        <v>18</v>
      </c>
      <c r="D901" t="s">
        <v>237</v>
      </c>
      <c r="E901" s="6">
        <f t="shared" si="112"/>
        <v>30</v>
      </c>
      <c r="F901" s="6">
        <f t="shared" si="113"/>
        <v>45</v>
      </c>
      <c r="G901" s="6">
        <f>ROUND(Catalogue!G48*SQRT((1+Paramètres!$B$4*(C901-1)+Paramètres!$B$5*(C901-1)^2)),0)</f>
        <v>0</v>
      </c>
      <c r="H901" s="6">
        <f>ROUND(Catalogue!H48*SQRT((1+Paramètres!$B$4*(C901-1)+Paramètres!$B$5*(C901-1)^2)),0)</f>
        <v>0</v>
      </c>
      <c r="I901" s="6">
        <v>2</v>
      </c>
      <c r="J901" s="6">
        <v>5</v>
      </c>
      <c r="K901" s="7">
        <v>1</v>
      </c>
      <c r="L901" s="9">
        <f t="shared" si="114"/>
        <v>37.5</v>
      </c>
      <c r="M901">
        <v>3</v>
      </c>
      <c r="N901">
        <v>6</v>
      </c>
      <c r="O901">
        <v>27</v>
      </c>
      <c r="P901" s="13" t="str">
        <f t="shared" si="115"/>
        <v>3d6 + 27</v>
      </c>
      <c r="Q901">
        <f>ROUND(INDEX(Catalogue!E$4:E$85,MATCH(A901,Catalogue!A$4:A$85,0))*(1+Paramètres!$B$4*(C901-1)+Paramètres!$B$5*(C901-1)^2),0)</f>
        <v>30</v>
      </c>
      <c r="R901">
        <f>ROUND(INDEX(Catalogue!F$4:F$85,MATCH(A901,Catalogue!A$4:A$85,0))*(1+Paramètres!$B$4*(C901-1)+Paramètres!$B$5*(C901-1)^2),0)</f>
        <v>45</v>
      </c>
      <c r="S901">
        <f t="shared" si="116"/>
        <v>0</v>
      </c>
      <c r="T901" t="str">
        <f t="shared" si="117"/>
        <v>OK</v>
      </c>
      <c r="U901" s="25">
        <f t="shared" si="118"/>
        <v>37.5</v>
      </c>
      <c r="V901" t="str">
        <f t="shared" si="119"/>
        <v>OK</v>
      </c>
    </row>
    <row r="902" spans="1:22" ht="18" customHeight="1">
      <c r="A902" t="s">
        <v>235</v>
      </c>
      <c r="B902" t="s">
        <v>236</v>
      </c>
      <c r="C902">
        <v>19</v>
      </c>
      <c r="D902" t="s">
        <v>237</v>
      </c>
      <c r="E902" s="6">
        <f t="shared" si="112"/>
        <v>33</v>
      </c>
      <c r="F902" s="6">
        <f t="shared" si="113"/>
        <v>48</v>
      </c>
      <c r="G902" s="6">
        <f>ROUND(Catalogue!G48*SQRT((1+Paramètres!$B$4*(C902-1)+Paramètres!$B$5*(C902-1)^2)),0)</f>
        <v>0</v>
      </c>
      <c r="H902" s="6">
        <f>ROUND(Catalogue!H48*SQRT((1+Paramètres!$B$4*(C902-1)+Paramètres!$B$5*(C902-1)^2)),0)</f>
        <v>0</v>
      </c>
      <c r="I902" s="6">
        <v>2</v>
      </c>
      <c r="J902" s="6">
        <v>5</v>
      </c>
      <c r="K902" s="7">
        <v>1</v>
      </c>
      <c r="L902" s="9">
        <f t="shared" si="114"/>
        <v>40.5</v>
      </c>
      <c r="M902">
        <v>3</v>
      </c>
      <c r="N902">
        <v>6</v>
      </c>
      <c r="O902">
        <v>30</v>
      </c>
      <c r="P902" s="13" t="str">
        <f t="shared" si="115"/>
        <v>3d6 + 30</v>
      </c>
      <c r="Q902">
        <f>ROUND(INDEX(Catalogue!E$4:E$85,MATCH(A902,Catalogue!A$4:A$85,0))*(1+Paramètres!$B$4*(C902-1)+Paramètres!$B$5*(C902-1)^2),0)</f>
        <v>33</v>
      </c>
      <c r="R902">
        <f>ROUND(INDEX(Catalogue!F$4:F$85,MATCH(A902,Catalogue!A$4:A$85,0))*(1+Paramètres!$B$4*(C902-1)+Paramètres!$B$5*(C902-1)^2),0)</f>
        <v>49</v>
      </c>
      <c r="S902">
        <f t="shared" si="116"/>
        <v>-0.5</v>
      </c>
      <c r="T902" t="str">
        <f t="shared" si="117"/>
        <v>OK</v>
      </c>
      <c r="U902" s="25">
        <f t="shared" si="118"/>
        <v>40.5</v>
      </c>
      <c r="V902" t="str">
        <f t="shared" si="119"/>
        <v>OK</v>
      </c>
    </row>
    <row r="903" spans="1:22" ht="18" customHeight="1">
      <c r="A903" t="s">
        <v>235</v>
      </c>
      <c r="B903" t="s">
        <v>236</v>
      </c>
      <c r="C903">
        <v>20</v>
      </c>
      <c r="D903" t="s">
        <v>237</v>
      </c>
      <c r="E903" s="6">
        <f t="shared" si="112"/>
        <v>35</v>
      </c>
      <c r="F903" s="6">
        <f t="shared" si="113"/>
        <v>53</v>
      </c>
      <c r="G903" s="6">
        <f>ROUND(Catalogue!G48*SQRT((1+Paramètres!$B$4*(C903-1)+Paramètres!$B$5*(C903-1)^2)),0)</f>
        <v>0</v>
      </c>
      <c r="H903" s="6">
        <f>ROUND(Catalogue!H48*SQRT((1+Paramètres!$B$4*(C903-1)+Paramètres!$B$5*(C903-1)^2)),0)</f>
        <v>0</v>
      </c>
      <c r="I903" s="6">
        <v>2</v>
      </c>
      <c r="J903" s="6">
        <v>5</v>
      </c>
      <c r="K903" s="7">
        <v>1</v>
      </c>
      <c r="L903" s="9">
        <f t="shared" si="114"/>
        <v>44</v>
      </c>
      <c r="M903">
        <v>2</v>
      </c>
      <c r="N903">
        <v>10</v>
      </c>
      <c r="O903">
        <v>33</v>
      </c>
      <c r="P903" s="13" t="str">
        <f t="shared" si="115"/>
        <v>2d10 + 33</v>
      </c>
      <c r="Q903">
        <f>ROUND(INDEX(Catalogue!E$4:E$85,MATCH(A903,Catalogue!A$4:A$85,0))*(1+Paramètres!$B$4*(C903-1)+Paramètres!$B$5*(C903-1)^2),0)</f>
        <v>35</v>
      </c>
      <c r="R903">
        <f>ROUND(INDEX(Catalogue!F$4:F$85,MATCH(A903,Catalogue!A$4:A$85,0))*(1+Paramètres!$B$4*(C903-1)+Paramètres!$B$5*(C903-1)^2),0)</f>
        <v>53</v>
      </c>
      <c r="S903">
        <f t="shared" si="116"/>
        <v>0</v>
      </c>
      <c r="T903" t="str">
        <f t="shared" si="117"/>
        <v>OK</v>
      </c>
      <c r="U903" s="25">
        <f t="shared" si="118"/>
        <v>44</v>
      </c>
      <c r="V903" t="str">
        <f t="shared" si="119"/>
        <v>OK</v>
      </c>
    </row>
    <row r="904" spans="1:22" ht="18" customHeight="1">
      <c r="A904" t="s">
        <v>241</v>
      </c>
      <c r="B904" t="s">
        <v>242</v>
      </c>
      <c r="C904">
        <v>1</v>
      </c>
      <c r="D904" t="s">
        <v>237</v>
      </c>
      <c r="E904" s="6">
        <f t="shared" si="112"/>
        <v>5</v>
      </c>
      <c r="F904" s="6">
        <f t="shared" si="113"/>
        <v>8</v>
      </c>
      <c r="G904" s="6">
        <f>ROUND(Catalogue!G49*SQRT((1+Paramètres!$B$4*(C904-1)+Paramètres!$B$5*(C904-1)^2)),0)</f>
        <v>0</v>
      </c>
      <c r="H904" s="6">
        <f>ROUND(Catalogue!H49*SQRT((1+Paramètres!$B$4*(C904-1)+Paramètres!$B$5*(C904-1)^2)),0)</f>
        <v>0</v>
      </c>
      <c r="I904" s="6">
        <v>2</v>
      </c>
      <c r="J904" s="6">
        <v>7</v>
      </c>
      <c r="K904" s="7">
        <v>1.5</v>
      </c>
      <c r="L904" s="9">
        <f t="shared" si="114"/>
        <v>6.5</v>
      </c>
      <c r="M904">
        <v>1</v>
      </c>
      <c r="N904">
        <v>4</v>
      </c>
      <c r="O904">
        <v>4</v>
      </c>
      <c r="P904" s="13" t="str">
        <f t="shared" si="115"/>
        <v>1d4 + 4</v>
      </c>
      <c r="Q904">
        <f>ROUND(INDEX(Catalogue!E$4:E$85,MATCH(A904,Catalogue!A$4:A$85,0))*(1+Paramètres!$B$4*(C904-1)+Paramètres!$B$5*(C904-1)^2),0)</f>
        <v>5</v>
      </c>
      <c r="R904">
        <f>ROUND(INDEX(Catalogue!F$4:F$85,MATCH(A904,Catalogue!A$4:A$85,0))*(1+Paramètres!$B$4*(C904-1)+Paramètres!$B$5*(C904-1)^2),0)</f>
        <v>8</v>
      </c>
      <c r="S904">
        <f t="shared" si="116"/>
        <v>0</v>
      </c>
      <c r="T904" t="str">
        <f t="shared" si="117"/>
        <v>OK</v>
      </c>
      <c r="U904" s="25">
        <f t="shared" si="118"/>
        <v>6.5</v>
      </c>
      <c r="V904" t="str">
        <f t="shared" si="119"/>
        <v>OK</v>
      </c>
    </row>
    <row r="905" spans="1:22" ht="18" customHeight="1">
      <c r="A905" t="s">
        <v>241</v>
      </c>
      <c r="B905" t="s">
        <v>242</v>
      </c>
      <c r="C905">
        <v>2</v>
      </c>
      <c r="D905" t="s">
        <v>237</v>
      </c>
      <c r="E905" s="6">
        <f t="shared" si="112"/>
        <v>6</v>
      </c>
      <c r="F905" s="6">
        <f t="shared" si="113"/>
        <v>9</v>
      </c>
      <c r="G905" s="6">
        <f>ROUND(Catalogue!G49*SQRT((1+Paramètres!$B$4*(C905-1)+Paramètres!$B$5*(C905-1)^2)),0)</f>
        <v>0</v>
      </c>
      <c r="H905" s="6">
        <f>ROUND(Catalogue!H49*SQRT((1+Paramètres!$B$4*(C905-1)+Paramètres!$B$5*(C905-1)^2)),0)</f>
        <v>0</v>
      </c>
      <c r="I905" s="6">
        <v>2</v>
      </c>
      <c r="J905" s="6">
        <v>7</v>
      </c>
      <c r="K905" s="7">
        <v>1.5</v>
      </c>
      <c r="L905" s="9">
        <f t="shared" si="114"/>
        <v>7.5</v>
      </c>
      <c r="M905">
        <v>1</v>
      </c>
      <c r="N905">
        <v>4</v>
      </c>
      <c r="O905">
        <v>5</v>
      </c>
      <c r="P905" s="13" t="str">
        <f t="shared" si="115"/>
        <v>1d4 + 5</v>
      </c>
      <c r="Q905">
        <f>ROUND(INDEX(Catalogue!E$4:E$85,MATCH(A905,Catalogue!A$4:A$85,0))*(1+Paramètres!$B$4*(C905-1)+Paramètres!$B$5*(C905-1)^2),0)</f>
        <v>6</v>
      </c>
      <c r="R905">
        <f>ROUND(INDEX(Catalogue!F$4:F$85,MATCH(A905,Catalogue!A$4:A$85,0))*(1+Paramètres!$B$4*(C905-1)+Paramètres!$B$5*(C905-1)^2),0)</f>
        <v>9</v>
      </c>
      <c r="S905">
        <f t="shared" si="116"/>
        <v>0</v>
      </c>
      <c r="T905" t="str">
        <f t="shared" si="117"/>
        <v>OK</v>
      </c>
      <c r="U905" s="25">
        <f t="shared" si="118"/>
        <v>7.5</v>
      </c>
      <c r="V905" t="str">
        <f t="shared" si="119"/>
        <v>OK</v>
      </c>
    </row>
    <row r="906" spans="1:22" ht="18" customHeight="1">
      <c r="A906" t="s">
        <v>241</v>
      </c>
      <c r="B906" t="s">
        <v>242</v>
      </c>
      <c r="C906">
        <v>3</v>
      </c>
      <c r="D906" t="s">
        <v>237</v>
      </c>
      <c r="E906" s="6">
        <f t="shared" si="112"/>
        <v>6</v>
      </c>
      <c r="F906" s="6">
        <f t="shared" si="113"/>
        <v>9</v>
      </c>
      <c r="G906" s="6">
        <f>ROUND(Catalogue!G49*SQRT((1+Paramètres!$B$4*(C906-1)+Paramètres!$B$5*(C906-1)^2)),0)</f>
        <v>0</v>
      </c>
      <c r="H906" s="6">
        <f>ROUND(Catalogue!H49*SQRT((1+Paramètres!$B$4*(C906-1)+Paramètres!$B$5*(C906-1)^2)),0)</f>
        <v>0</v>
      </c>
      <c r="I906" s="6">
        <v>2</v>
      </c>
      <c r="J906" s="6">
        <v>7</v>
      </c>
      <c r="K906" s="7">
        <v>1.5</v>
      </c>
      <c r="L906" s="9">
        <f t="shared" si="114"/>
        <v>7.5</v>
      </c>
      <c r="M906">
        <v>1</v>
      </c>
      <c r="N906">
        <v>4</v>
      </c>
      <c r="O906">
        <v>5</v>
      </c>
      <c r="P906" s="13" t="str">
        <f t="shared" si="115"/>
        <v>1d4 + 5</v>
      </c>
      <c r="Q906">
        <f>ROUND(INDEX(Catalogue!E$4:E$85,MATCH(A906,Catalogue!A$4:A$85,0))*(1+Paramètres!$B$4*(C906-1)+Paramètres!$B$5*(C906-1)^2),0)</f>
        <v>6</v>
      </c>
      <c r="R906">
        <f>ROUND(INDEX(Catalogue!F$4:F$85,MATCH(A906,Catalogue!A$4:A$85,0))*(1+Paramètres!$B$4*(C906-1)+Paramètres!$B$5*(C906-1)^2),0)</f>
        <v>10</v>
      </c>
      <c r="S906">
        <f t="shared" si="116"/>
        <v>-0.5</v>
      </c>
      <c r="T906" t="str">
        <f t="shared" si="117"/>
        <v>OK</v>
      </c>
      <c r="U906" s="25">
        <f t="shared" si="118"/>
        <v>7.5</v>
      </c>
      <c r="V906" t="str">
        <f t="shared" si="119"/>
        <v>OK</v>
      </c>
    </row>
    <row r="907" spans="1:22" ht="18" customHeight="1">
      <c r="A907" t="s">
        <v>241</v>
      </c>
      <c r="B907" t="s">
        <v>242</v>
      </c>
      <c r="C907">
        <v>4</v>
      </c>
      <c r="D907" t="s">
        <v>237</v>
      </c>
      <c r="E907" s="6">
        <f t="shared" si="112"/>
        <v>7</v>
      </c>
      <c r="F907" s="6">
        <f t="shared" si="113"/>
        <v>12</v>
      </c>
      <c r="G907" s="6">
        <f>ROUND(Catalogue!G49*SQRT((1+Paramètres!$B$4*(C907-1)+Paramètres!$B$5*(C907-1)^2)),0)</f>
        <v>0</v>
      </c>
      <c r="H907" s="6">
        <f>ROUND(Catalogue!H49*SQRT((1+Paramètres!$B$4*(C907-1)+Paramètres!$B$5*(C907-1)^2)),0)</f>
        <v>0</v>
      </c>
      <c r="I907" s="6">
        <v>2</v>
      </c>
      <c r="J907" s="6">
        <v>7</v>
      </c>
      <c r="K907" s="7">
        <v>1.5</v>
      </c>
      <c r="L907" s="9">
        <f t="shared" si="114"/>
        <v>9.5</v>
      </c>
      <c r="M907">
        <v>1</v>
      </c>
      <c r="N907">
        <v>6</v>
      </c>
      <c r="O907">
        <v>6</v>
      </c>
      <c r="P907" s="13" t="str">
        <f t="shared" si="115"/>
        <v>1d6 + 6</v>
      </c>
      <c r="Q907">
        <f>ROUND(INDEX(Catalogue!E$4:E$85,MATCH(A907,Catalogue!A$4:A$85,0))*(1+Paramètres!$B$4*(C907-1)+Paramètres!$B$5*(C907-1)^2),0)</f>
        <v>7</v>
      </c>
      <c r="R907">
        <f>ROUND(INDEX(Catalogue!F$4:F$85,MATCH(A907,Catalogue!A$4:A$85,0))*(1+Paramètres!$B$4*(C907-1)+Paramètres!$B$5*(C907-1)^2),0)</f>
        <v>12</v>
      </c>
      <c r="S907">
        <f t="shared" si="116"/>
        <v>0</v>
      </c>
      <c r="T907" t="str">
        <f t="shared" si="117"/>
        <v>OK</v>
      </c>
      <c r="U907" s="25">
        <f t="shared" si="118"/>
        <v>9.5</v>
      </c>
      <c r="V907" t="str">
        <f t="shared" si="119"/>
        <v>OK</v>
      </c>
    </row>
    <row r="908" spans="1:22" ht="18" customHeight="1">
      <c r="A908" t="s">
        <v>241</v>
      </c>
      <c r="B908" t="s">
        <v>242</v>
      </c>
      <c r="C908">
        <v>5</v>
      </c>
      <c r="D908" t="s">
        <v>237</v>
      </c>
      <c r="E908" s="6">
        <f t="shared" si="112"/>
        <v>8</v>
      </c>
      <c r="F908" s="6">
        <f t="shared" si="113"/>
        <v>14</v>
      </c>
      <c r="G908" s="6">
        <f>ROUND(Catalogue!G49*SQRT((1+Paramètres!$B$4*(C908-1)+Paramètres!$B$5*(C908-1)^2)),0)</f>
        <v>0</v>
      </c>
      <c r="H908" s="6">
        <f>ROUND(Catalogue!H49*SQRT((1+Paramètres!$B$4*(C908-1)+Paramètres!$B$5*(C908-1)^2)),0)</f>
        <v>0</v>
      </c>
      <c r="I908" s="6">
        <v>2</v>
      </c>
      <c r="J908" s="6">
        <v>7</v>
      </c>
      <c r="K908" s="7">
        <v>1.5</v>
      </c>
      <c r="L908" s="9">
        <f t="shared" si="114"/>
        <v>11</v>
      </c>
      <c r="M908">
        <v>2</v>
      </c>
      <c r="N908">
        <v>4</v>
      </c>
      <c r="O908">
        <v>6</v>
      </c>
      <c r="P908" s="13" t="str">
        <f t="shared" si="115"/>
        <v>2d4 + 6</v>
      </c>
      <c r="Q908">
        <f>ROUND(INDEX(Catalogue!E$4:E$85,MATCH(A908,Catalogue!A$4:A$85,0))*(1+Paramètres!$B$4*(C908-1)+Paramètres!$B$5*(C908-1)^2),0)</f>
        <v>8</v>
      </c>
      <c r="R908">
        <f>ROUND(INDEX(Catalogue!F$4:F$85,MATCH(A908,Catalogue!A$4:A$85,0))*(1+Paramètres!$B$4*(C908-1)+Paramètres!$B$5*(C908-1)^2),0)</f>
        <v>14</v>
      </c>
      <c r="S908">
        <f t="shared" si="116"/>
        <v>0</v>
      </c>
      <c r="T908" t="str">
        <f t="shared" si="117"/>
        <v>OK</v>
      </c>
      <c r="U908" s="25">
        <f t="shared" si="118"/>
        <v>11</v>
      </c>
      <c r="V908" t="str">
        <f t="shared" si="119"/>
        <v>OK</v>
      </c>
    </row>
    <row r="909" spans="1:22" ht="18" customHeight="1">
      <c r="A909" t="s">
        <v>241</v>
      </c>
      <c r="B909" t="s">
        <v>242</v>
      </c>
      <c r="C909">
        <v>6</v>
      </c>
      <c r="D909" t="s">
        <v>237</v>
      </c>
      <c r="E909" s="6">
        <f t="shared" si="112"/>
        <v>10</v>
      </c>
      <c r="F909" s="6">
        <f t="shared" si="113"/>
        <v>16</v>
      </c>
      <c r="G909" s="6">
        <f>ROUND(Catalogue!G49*SQRT((1+Paramètres!$B$4*(C909-1)+Paramètres!$B$5*(C909-1)^2)),0)</f>
        <v>0</v>
      </c>
      <c r="H909" s="6">
        <f>ROUND(Catalogue!H49*SQRT((1+Paramètres!$B$4*(C909-1)+Paramètres!$B$5*(C909-1)^2)),0)</f>
        <v>0</v>
      </c>
      <c r="I909" s="6">
        <v>2</v>
      </c>
      <c r="J909" s="6">
        <v>7</v>
      </c>
      <c r="K909" s="7">
        <v>1.5</v>
      </c>
      <c r="L909" s="9">
        <f t="shared" si="114"/>
        <v>13</v>
      </c>
      <c r="M909">
        <v>2</v>
      </c>
      <c r="N909">
        <v>4</v>
      </c>
      <c r="O909">
        <v>8</v>
      </c>
      <c r="P909" s="13" t="str">
        <f t="shared" si="115"/>
        <v>2d4 + 8</v>
      </c>
      <c r="Q909">
        <f>ROUND(INDEX(Catalogue!E$4:E$85,MATCH(A909,Catalogue!A$4:A$85,0))*(1+Paramètres!$B$4*(C909-1)+Paramètres!$B$5*(C909-1)^2),0)</f>
        <v>10</v>
      </c>
      <c r="R909">
        <f>ROUND(INDEX(Catalogue!F$4:F$85,MATCH(A909,Catalogue!A$4:A$85,0))*(1+Paramètres!$B$4*(C909-1)+Paramètres!$B$5*(C909-1)^2),0)</f>
        <v>16</v>
      </c>
      <c r="S909">
        <f t="shared" si="116"/>
        <v>0</v>
      </c>
      <c r="T909" t="str">
        <f t="shared" si="117"/>
        <v>OK</v>
      </c>
      <c r="U909" s="25">
        <f t="shared" si="118"/>
        <v>13</v>
      </c>
      <c r="V909" t="str">
        <f t="shared" si="119"/>
        <v>OK</v>
      </c>
    </row>
    <row r="910" spans="1:22" ht="18" customHeight="1">
      <c r="A910" t="s">
        <v>241</v>
      </c>
      <c r="B910" t="s">
        <v>242</v>
      </c>
      <c r="C910">
        <v>7</v>
      </c>
      <c r="D910" t="s">
        <v>237</v>
      </c>
      <c r="E910" s="6">
        <f t="shared" si="112"/>
        <v>11</v>
      </c>
      <c r="F910" s="6">
        <f t="shared" si="113"/>
        <v>18</v>
      </c>
      <c r="G910" s="6">
        <f>ROUND(Catalogue!G49*SQRT((1+Paramètres!$B$4*(C910-1)+Paramètres!$B$5*(C910-1)^2)),0)</f>
        <v>0</v>
      </c>
      <c r="H910" s="6">
        <f>ROUND(Catalogue!H49*SQRT((1+Paramètres!$B$4*(C910-1)+Paramètres!$B$5*(C910-1)^2)),0)</f>
        <v>0</v>
      </c>
      <c r="I910" s="6">
        <v>2</v>
      </c>
      <c r="J910" s="6">
        <v>7</v>
      </c>
      <c r="K910" s="7">
        <v>1.5</v>
      </c>
      <c r="L910" s="9">
        <f t="shared" si="114"/>
        <v>14.5</v>
      </c>
      <c r="M910">
        <v>1</v>
      </c>
      <c r="N910">
        <v>8</v>
      </c>
      <c r="O910">
        <v>10</v>
      </c>
      <c r="P910" s="13" t="str">
        <f t="shared" si="115"/>
        <v>1d8 + 10</v>
      </c>
      <c r="Q910">
        <f>ROUND(INDEX(Catalogue!E$4:E$85,MATCH(A910,Catalogue!A$4:A$85,0))*(1+Paramètres!$B$4*(C910-1)+Paramètres!$B$5*(C910-1)^2),0)</f>
        <v>11</v>
      </c>
      <c r="R910">
        <f>ROUND(INDEX(Catalogue!F$4:F$85,MATCH(A910,Catalogue!A$4:A$85,0))*(1+Paramètres!$B$4*(C910-1)+Paramètres!$B$5*(C910-1)^2),0)</f>
        <v>18</v>
      </c>
      <c r="S910">
        <f t="shared" si="116"/>
        <v>0</v>
      </c>
      <c r="T910" t="str">
        <f t="shared" si="117"/>
        <v>OK</v>
      </c>
      <c r="U910" s="25">
        <f t="shared" si="118"/>
        <v>14.5</v>
      </c>
      <c r="V910" t="str">
        <f t="shared" si="119"/>
        <v>OK</v>
      </c>
    </row>
    <row r="911" spans="1:22" ht="18" customHeight="1">
      <c r="A911" t="s">
        <v>241</v>
      </c>
      <c r="B911" t="s">
        <v>242</v>
      </c>
      <c r="C911">
        <v>8</v>
      </c>
      <c r="D911" t="s">
        <v>237</v>
      </c>
      <c r="E911" s="6">
        <f t="shared" si="112"/>
        <v>13</v>
      </c>
      <c r="F911" s="6">
        <f t="shared" si="113"/>
        <v>20</v>
      </c>
      <c r="G911" s="6">
        <f>ROUND(Catalogue!G49*SQRT((1+Paramètres!$B$4*(C911-1)+Paramètres!$B$5*(C911-1)^2)),0)</f>
        <v>0</v>
      </c>
      <c r="H911" s="6">
        <f>ROUND(Catalogue!H49*SQRT((1+Paramètres!$B$4*(C911-1)+Paramètres!$B$5*(C911-1)^2)),0)</f>
        <v>0</v>
      </c>
      <c r="I911" s="6">
        <v>2</v>
      </c>
      <c r="J911" s="6">
        <v>7</v>
      </c>
      <c r="K911" s="7">
        <v>1.5</v>
      </c>
      <c r="L911" s="9">
        <f t="shared" si="114"/>
        <v>16.5</v>
      </c>
      <c r="M911">
        <v>1</v>
      </c>
      <c r="N911">
        <v>8</v>
      </c>
      <c r="O911">
        <v>12</v>
      </c>
      <c r="P911" s="13" t="str">
        <f t="shared" si="115"/>
        <v>1d8 + 12</v>
      </c>
      <c r="Q911">
        <f>ROUND(INDEX(Catalogue!E$4:E$85,MATCH(A911,Catalogue!A$4:A$85,0))*(1+Paramètres!$B$4*(C911-1)+Paramètres!$B$5*(C911-1)^2),0)</f>
        <v>13</v>
      </c>
      <c r="R911">
        <f>ROUND(INDEX(Catalogue!F$4:F$85,MATCH(A911,Catalogue!A$4:A$85,0))*(1+Paramètres!$B$4*(C911-1)+Paramètres!$B$5*(C911-1)^2),0)</f>
        <v>20</v>
      </c>
      <c r="S911">
        <f t="shared" si="116"/>
        <v>0</v>
      </c>
      <c r="T911" t="str">
        <f t="shared" si="117"/>
        <v>OK</v>
      </c>
      <c r="U911" s="25">
        <f t="shared" si="118"/>
        <v>16.5</v>
      </c>
      <c r="V911" t="str">
        <f t="shared" si="119"/>
        <v>OK</v>
      </c>
    </row>
    <row r="912" spans="1:22" ht="18" customHeight="1">
      <c r="A912" t="s">
        <v>241</v>
      </c>
      <c r="B912" t="s">
        <v>242</v>
      </c>
      <c r="C912">
        <v>9</v>
      </c>
      <c r="D912" t="s">
        <v>237</v>
      </c>
      <c r="E912" s="6">
        <f t="shared" si="112"/>
        <v>14</v>
      </c>
      <c r="F912" s="6">
        <f t="shared" si="113"/>
        <v>23</v>
      </c>
      <c r="G912" s="6">
        <f>ROUND(Catalogue!G49*SQRT((1+Paramètres!$B$4*(C912-1)+Paramètres!$B$5*(C912-1)^2)),0)</f>
        <v>0</v>
      </c>
      <c r="H912" s="6">
        <f>ROUND(Catalogue!H49*SQRT((1+Paramètres!$B$4*(C912-1)+Paramètres!$B$5*(C912-1)^2)),0)</f>
        <v>0</v>
      </c>
      <c r="I912" s="6">
        <v>2</v>
      </c>
      <c r="J912" s="6">
        <v>7</v>
      </c>
      <c r="K912" s="7">
        <v>1.5</v>
      </c>
      <c r="L912" s="9">
        <f t="shared" si="114"/>
        <v>18.5</v>
      </c>
      <c r="M912">
        <v>3</v>
      </c>
      <c r="N912">
        <v>4</v>
      </c>
      <c r="O912">
        <v>11</v>
      </c>
      <c r="P912" s="13" t="str">
        <f t="shared" si="115"/>
        <v>3d4 + 11</v>
      </c>
      <c r="Q912">
        <f>ROUND(INDEX(Catalogue!E$4:E$85,MATCH(A912,Catalogue!A$4:A$85,0))*(1+Paramètres!$B$4*(C912-1)+Paramètres!$B$5*(C912-1)^2),0)</f>
        <v>15</v>
      </c>
      <c r="R912">
        <f>ROUND(INDEX(Catalogue!F$4:F$85,MATCH(A912,Catalogue!A$4:A$85,0))*(1+Paramètres!$B$4*(C912-1)+Paramètres!$B$5*(C912-1)^2),0)</f>
        <v>23</v>
      </c>
      <c r="S912">
        <f t="shared" si="116"/>
        <v>-0.5</v>
      </c>
      <c r="T912" t="str">
        <f t="shared" si="117"/>
        <v>OK</v>
      </c>
      <c r="U912" s="25">
        <f t="shared" si="118"/>
        <v>18.5</v>
      </c>
      <c r="V912" t="str">
        <f t="shared" si="119"/>
        <v>OK</v>
      </c>
    </row>
    <row r="913" spans="1:22" ht="18" customHeight="1">
      <c r="A913" t="s">
        <v>241</v>
      </c>
      <c r="B913" t="s">
        <v>242</v>
      </c>
      <c r="C913">
        <v>10</v>
      </c>
      <c r="D913" t="s">
        <v>237</v>
      </c>
      <c r="E913" s="6">
        <f t="shared" si="112"/>
        <v>16</v>
      </c>
      <c r="F913" s="6">
        <f t="shared" si="113"/>
        <v>26</v>
      </c>
      <c r="G913" s="6">
        <f>ROUND(Catalogue!G49*SQRT((1+Paramètres!$B$4*(C913-1)+Paramètres!$B$5*(C913-1)^2)),0)</f>
        <v>0</v>
      </c>
      <c r="H913" s="6">
        <f>ROUND(Catalogue!H49*SQRT((1+Paramètres!$B$4*(C913-1)+Paramètres!$B$5*(C913-1)^2)),0)</f>
        <v>0</v>
      </c>
      <c r="I913" s="6">
        <v>2</v>
      </c>
      <c r="J913" s="6">
        <v>7</v>
      </c>
      <c r="K913" s="7">
        <v>1.5</v>
      </c>
      <c r="L913" s="9">
        <f t="shared" si="114"/>
        <v>21</v>
      </c>
      <c r="M913">
        <v>2</v>
      </c>
      <c r="N913">
        <v>6</v>
      </c>
      <c r="O913">
        <v>14</v>
      </c>
      <c r="P913" s="13" t="str">
        <f t="shared" si="115"/>
        <v>2d6 + 14</v>
      </c>
      <c r="Q913">
        <f>ROUND(INDEX(Catalogue!E$4:E$85,MATCH(A913,Catalogue!A$4:A$85,0))*(1+Paramètres!$B$4*(C913-1)+Paramètres!$B$5*(C913-1)^2),0)</f>
        <v>16</v>
      </c>
      <c r="R913">
        <f>ROUND(INDEX(Catalogue!F$4:F$85,MATCH(A913,Catalogue!A$4:A$85,0))*(1+Paramètres!$B$4*(C913-1)+Paramètres!$B$5*(C913-1)^2),0)</f>
        <v>26</v>
      </c>
      <c r="S913">
        <f t="shared" si="116"/>
        <v>0</v>
      </c>
      <c r="T913" t="str">
        <f t="shared" si="117"/>
        <v>OK</v>
      </c>
      <c r="U913" s="25">
        <f t="shared" si="118"/>
        <v>21</v>
      </c>
      <c r="V913" t="str">
        <f t="shared" si="119"/>
        <v>OK</v>
      </c>
    </row>
    <row r="914" spans="1:22" ht="18" customHeight="1">
      <c r="A914" t="s">
        <v>241</v>
      </c>
      <c r="B914" t="s">
        <v>242</v>
      </c>
      <c r="C914">
        <v>11</v>
      </c>
      <c r="D914" t="s">
        <v>237</v>
      </c>
      <c r="E914" s="6">
        <f t="shared" si="112"/>
        <v>19</v>
      </c>
      <c r="F914" s="6">
        <f t="shared" si="113"/>
        <v>30</v>
      </c>
      <c r="G914" s="6">
        <f>ROUND(Catalogue!G49*SQRT((1+Paramètres!$B$4*(C914-1)+Paramètres!$B$5*(C914-1)^2)),0)</f>
        <v>0</v>
      </c>
      <c r="H914" s="6">
        <f>ROUND(Catalogue!H49*SQRT((1+Paramètres!$B$4*(C914-1)+Paramètres!$B$5*(C914-1)^2)),0)</f>
        <v>0</v>
      </c>
      <c r="I914" s="6">
        <v>2</v>
      </c>
      <c r="J914" s="6">
        <v>7</v>
      </c>
      <c r="K914" s="7">
        <v>1.5</v>
      </c>
      <c r="L914" s="9">
        <f t="shared" si="114"/>
        <v>24.5</v>
      </c>
      <c r="M914">
        <v>1</v>
      </c>
      <c r="N914">
        <v>12</v>
      </c>
      <c r="O914">
        <v>18</v>
      </c>
      <c r="P914" s="13" t="str">
        <f t="shared" si="115"/>
        <v>1d12 + 18</v>
      </c>
      <c r="Q914">
        <f>ROUND(INDEX(Catalogue!E$4:E$85,MATCH(A914,Catalogue!A$4:A$85,0))*(1+Paramètres!$B$4*(C914-1)+Paramètres!$B$5*(C914-1)^2),0)</f>
        <v>19</v>
      </c>
      <c r="R914">
        <f>ROUND(INDEX(Catalogue!F$4:F$85,MATCH(A914,Catalogue!A$4:A$85,0))*(1+Paramètres!$B$4*(C914-1)+Paramètres!$B$5*(C914-1)^2),0)</f>
        <v>30</v>
      </c>
      <c r="S914">
        <f t="shared" si="116"/>
        <v>0</v>
      </c>
      <c r="T914" t="str">
        <f t="shared" si="117"/>
        <v>OK</v>
      </c>
      <c r="U914" s="25">
        <f t="shared" si="118"/>
        <v>24.5</v>
      </c>
      <c r="V914" t="str">
        <f t="shared" si="119"/>
        <v>OK</v>
      </c>
    </row>
    <row r="915" spans="1:22" ht="18" customHeight="1">
      <c r="A915" t="s">
        <v>241</v>
      </c>
      <c r="B915" t="s">
        <v>242</v>
      </c>
      <c r="C915">
        <v>12</v>
      </c>
      <c r="D915" t="s">
        <v>237</v>
      </c>
      <c r="E915" s="6">
        <f t="shared" si="112"/>
        <v>21</v>
      </c>
      <c r="F915" s="6">
        <f t="shared" si="113"/>
        <v>33</v>
      </c>
      <c r="G915" s="6">
        <f>ROUND(Catalogue!G49*SQRT((1+Paramètres!$B$4*(C915-1)+Paramètres!$B$5*(C915-1)^2)),0)</f>
        <v>0</v>
      </c>
      <c r="H915" s="6">
        <f>ROUND(Catalogue!H49*SQRT((1+Paramètres!$B$4*(C915-1)+Paramètres!$B$5*(C915-1)^2)),0)</f>
        <v>0</v>
      </c>
      <c r="I915" s="6">
        <v>2</v>
      </c>
      <c r="J915" s="6">
        <v>7</v>
      </c>
      <c r="K915" s="7">
        <v>1.5</v>
      </c>
      <c r="L915" s="9">
        <f t="shared" si="114"/>
        <v>27</v>
      </c>
      <c r="M915">
        <v>4</v>
      </c>
      <c r="N915">
        <v>4</v>
      </c>
      <c r="O915">
        <v>17</v>
      </c>
      <c r="P915" s="13" t="str">
        <f t="shared" si="115"/>
        <v>4d4 + 17</v>
      </c>
      <c r="Q915">
        <f>ROUND(INDEX(Catalogue!E$4:E$85,MATCH(A915,Catalogue!A$4:A$85,0))*(1+Paramètres!$B$4*(C915-1)+Paramètres!$B$5*(C915-1)^2),0)</f>
        <v>21</v>
      </c>
      <c r="R915">
        <f>ROUND(INDEX(Catalogue!F$4:F$85,MATCH(A915,Catalogue!A$4:A$85,0))*(1+Paramètres!$B$4*(C915-1)+Paramètres!$B$5*(C915-1)^2),0)</f>
        <v>33</v>
      </c>
      <c r="S915">
        <f t="shared" si="116"/>
        <v>0</v>
      </c>
      <c r="T915" t="str">
        <f t="shared" si="117"/>
        <v>OK</v>
      </c>
      <c r="U915" s="25">
        <f t="shared" si="118"/>
        <v>27</v>
      </c>
      <c r="V915" t="str">
        <f t="shared" si="119"/>
        <v>OK</v>
      </c>
    </row>
    <row r="916" spans="1:22" ht="18" customHeight="1">
      <c r="A916" t="s">
        <v>241</v>
      </c>
      <c r="B916" t="s">
        <v>242</v>
      </c>
      <c r="C916">
        <v>13</v>
      </c>
      <c r="D916" t="s">
        <v>237</v>
      </c>
      <c r="E916" s="6">
        <f t="shared" si="112"/>
        <v>23</v>
      </c>
      <c r="F916" s="6">
        <f t="shared" si="113"/>
        <v>37</v>
      </c>
      <c r="G916" s="6">
        <f>ROUND(Catalogue!G49*SQRT((1+Paramètres!$B$4*(C916-1)+Paramètres!$B$5*(C916-1)^2)),0)</f>
        <v>0</v>
      </c>
      <c r="H916" s="6">
        <f>ROUND(Catalogue!H49*SQRT((1+Paramètres!$B$4*(C916-1)+Paramètres!$B$5*(C916-1)^2)),0)</f>
        <v>0</v>
      </c>
      <c r="I916" s="6">
        <v>2</v>
      </c>
      <c r="J916" s="6">
        <v>7</v>
      </c>
      <c r="K916" s="7">
        <v>1.5</v>
      </c>
      <c r="L916" s="9">
        <f t="shared" si="114"/>
        <v>30</v>
      </c>
      <c r="M916">
        <v>2</v>
      </c>
      <c r="N916">
        <v>8</v>
      </c>
      <c r="O916">
        <v>21</v>
      </c>
      <c r="P916" s="13" t="str">
        <f t="shared" si="115"/>
        <v>2d8 + 21</v>
      </c>
      <c r="Q916">
        <f>ROUND(INDEX(Catalogue!E$4:E$85,MATCH(A916,Catalogue!A$4:A$85,0))*(1+Paramètres!$B$4*(C916-1)+Paramètres!$B$5*(C916-1)^2),0)</f>
        <v>23</v>
      </c>
      <c r="R916">
        <f>ROUND(INDEX(Catalogue!F$4:F$85,MATCH(A916,Catalogue!A$4:A$85,0))*(1+Paramètres!$B$4*(C916-1)+Paramètres!$B$5*(C916-1)^2),0)</f>
        <v>37</v>
      </c>
      <c r="S916">
        <f t="shared" si="116"/>
        <v>0</v>
      </c>
      <c r="T916" t="str">
        <f t="shared" si="117"/>
        <v>OK</v>
      </c>
      <c r="U916" s="25">
        <f t="shared" si="118"/>
        <v>30</v>
      </c>
      <c r="V916" t="str">
        <f t="shared" si="119"/>
        <v>OK</v>
      </c>
    </row>
    <row r="917" spans="1:22" ht="18" customHeight="1">
      <c r="A917" t="s">
        <v>241</v>
      </c>
      <c r="B917" t="s">
        <v>242</v>
      </c>
      <c r="C917">
        <v>14</v>
      </c>
      <c r="D917" t="s">
        <v>237</v>
      </c>
      <c r="E917" s="6">
        <f t="shared" si="112"/>
        <v>26</v>
      </c>
      <c r="F917" s="6">
        <f t="shared" si="113"/>
        <v>41</v>
      </c>
      <c r="G917" s="6">
        <f>ROUND(Catalogue!G49*SQRT((1+Paramètres!$B$4*(C917-1)+Paramètres!$B$5*(C917-1)^2)),0)</f>
        <v>0</v>
      </c>
      <c r="H917" s="6">
        <f>ROUND(Catalogue!H49*SQRT((1+Paramètres!$B$4*(C917-1)+Paramètres!$B$5*(C917-1)^2)),0)</f>
        <v>0</v>
      </c>
      <c r="I917" s="6">
        <v>2</v>
      </c>
      <c r="J917" s="6">
        <v>7</v>
      </c>
      <c r="K917" s="7">
        <v>1.5</v>
      </c>
      <c r="L917" s="9">
        <f t="shared" si="114"/>
        <v>33.5</v>
      </c>
      <c r="M917">
        <v>3</v>
      </c>
      <c r="N917">
        <v>6</v>
      </c>
      <c r="O917">
        <v>23</v>
      </c>
      <c r="P917" s="13" t="str">
        <f t="shared" si="115"/>
        <v>3d6 + 23</v>
      </c>
      <c r="Q917">
        <f>ROUND(INDEX(Catalogue!E$4:E$85,MATCH(A917,Catalogue!A$4:A$85,0))*(1+Paramètres!$B$4*(C917-1)+Paramètres!$B$5*(C917-1)^2),0)</f>
        <v>26</v>
      </c>
      <c r="R917">
        <f>ROUND(INDEX(Catalogue!F$4:F$85,MATCH(A917,Catalogue!A$4:A$85,0))*(1+Paramètres!$B$4*(C917-1)+Paramètres!$B$5*(C917-1)^2),0)</f>
        <v>41</v>
      </c>
      <c r="S917">
        <f t="shared" si="116"/>
        <v>0</v>
      </c>
      <c r="T917" t="str">
        <f t="shared" si="117"/>
        <v>OK</v>
      </c>
      <c r="U917" s="25">
        <f t="shared" si="118"/>
        <v>33.5</v>
      </c>
      <c r="V917" t="str">
        <f t="shared" si="119"/>
        <v>OK</v>
      </c>
    </row>
    <row r="918" spans="1:22" ht="18" customHeight="1">
      <c r="A918" t="s">
        <v>241</v>
      </c>
      <c r="B918" t="s">
        <v>242</v>
      </c>
      <c r="C918">
        <v>15</v>
      </c>
      <c r="D918" t="s">
        <v>237</v>
      </c>
      <c r="E918" s="6">
        <f t="shared" si="112"/>
        <v>27</v>
      </c>
      <c r="F918" s="6">
        <f t="shared" si="113"/>
        <v>45</v>
      </c>
      <c r="G918" s="6">
        <f>ROUND(Catalogue!G49*SQRT((1+Paramètres!$B$4*(C918-1)+Paramètres!$B$5*(C918-1)^2)),0)</f>
        <v>0</v>
      </c>
      <c r="H918" s="6">
        <f>ROUND(Catalogue!H49*SQRT((1+Paramètres!$B$4*(C918-1)+Paramètres!$B$5*(C918-1)^2)),0)</f>
        <v>0</v>
      </c>
      <c r="I918" s="6">
        <v>2</v>
      </c>
      <c r="J918" s="6">
        <v>7</v>
      </c>
      <c r="K918" s="7">
        <v>1.5</v>
      </c>
      <c r="L918" s="9">
        <f t="shared" si="114"/>
        <v>36</v>
      </c>
      <c r="M918">
        <v>2</v>
      </c>
      <c r="N918">
        <v>10</v>
      </c>
      <c r="O918">
        <v>25</v>
      </c>
      <c r="P918" s="13" t="str">
        <f t="shared" si="115"/>
        <v>2d10 + 25</v>
      </c>
      <c r="Q918">
        <f>ROUND(INDEX(Catalogue!E$4:E$85,MATCH(A918,Catalogue!A$4:A$85,0))*(1+Paramètres!$B$4*(C918-1)+Paramètres!$B$5*(C918-1)^2),0)</f>
        <v>28</v>
      </c>
      <c r="R918">
        <f>ROUND(INDEX(Catalogue!F$4:F$85,MATCH(A918,Catalogue!A$4:A$85,0))*(1+Paramètres!$B$4*(C918-1)+Paramètres!$B$5*(C918-1)^2),0)</f>
        <v>45</v>
      </c>
      <c r="S918">
        <f t="shared" si="116"/>
        <v>-0.5</v>
      </c>
      <c r="T918" t="str">
        <f t="shared" si="117"/>
        <v>OK</v>
      </c>
      <c r="U918" s="25">
        <f t="shared" si="118"/>
        <v>36</v>
      </c>
      <c r="V918" t="str">
        <f t="shared" si="119"/>
        <v>OK</v>
      </c>
    </row>
    <row r="919" spans="1:22" ht="18" customHeight="1">
      <c r="A919" t="s">
        <v>241</v>
      </c>
      <c r="B919" t="s">
        <v>242</v>
      </c>
      <c r="C919">
        <v>16</v>
      </c>
      <c r="D919" t="s">
        <v>237</v>
      </c>
      <c r="E919" s="6">
        <f t="shared" si="112"/>
        <v>31</v>
      </c>
      <c r="F919" s="6">
        <f t="shared" si="113"/>
        <v>49</v>
      </c>
      <c r="G919" s="6">
        <f>ROUND(Catalogue!G49*SQRT((1+Paramètres!$B$4*(C919-1)+Paramètres!$B$5*(C919-1)^2)),0)</f>
        <v>0</v>
      </c>
      <c r="H919" s="6">
        <f>ROUND(Catalogue!H49*SQRT((1+Paramètres!$B$4*(C919-1)+Paramètres!$B$5*(C919-1)^2)),0)</f>
        <v>0</v>
      </c>
      <c r="I919" s="6">
        <v>2</v>
      </c>
      <c r="J919" s="6">
        <v>7</v>
      </c>
      <c r="K919" s="7">
        <v>1.5</v>
      </c>
      <c r="L919" s="9">
        <f t="shared" si="114"/>
        <v>40</v>
      </c>
      <c r="M919">
        <v>2</v>
      </c>
      <c r="N919">
        <v>10</v>
      </c>
      <c r="O919">
        <v>29</v>
      </c>
      <c r="P919" s="13" t="str">
        <f t="shared" si="115"/>
        <v>2d10 + 29</v>
      </c>
      <c r="Q919">
        <f>ROUND(INDEX(Catalogue!E$4:E$85,MATCH(A919,Catalogue!A$4:A$85,0))*(1+Paramètres!$B$4*(C919-1)+Paramètres!$B$5*(C919-1)^2),0)</f>
        <v>31</v>
      </c>
      <c r="R919">
        <f>ROUND(INDEX(Catalogue!F$4:F$85,MATCH(A919,Catalogue!A$4:A$85,0))*(1+Paramètres!$B$4*(C919-1)+Paramètres!$B$5*(C919-1)^2),0)</f>
        <v>50</v>
      </c>
      <c r="S919">
        <f t="shared" si="116"/>
        <v>-0.5</v>
      </c>
      <c r="T919" t="str">
        <f t="shared" si="117"/>
        <v>OK</v>
      </c>
      <c r="U919" s="25">
        <f t="shared" si="118"/>
        <v>40</v>
      </c>
      <c r="V919" t="str">
        <f t="shared" si="119"/>
        <v>OK</v>
      </c>
    </row>
    <row r="920" spans="1:22" ht="18" customHeight="1">
      <c r="A920" t="s">
        <v>241</v>
      </c>
      <c r="B920" t="s">
        <v>242</v>
      </c>
      <c r="C920">
        <v>17</v>
      </c>
      <c r="D920" t="s">
        <v>237</v>
      </c>
      <c r="E920" s="6">
        <f t="shared" si="112"/>
        <v>34</v>
      </c>
      <c r="F920" s="6">
        <f t="shared" si="113"/>
        <v>55</v>
      </c>
      <c r="G920" s="6">
        <f>ROUND(Catalogue!G49*SQRT((1+Paramètres!$B$4*(C920-1)+Paramètres!$B$5*(C920-1)^2)),0)</f>
        <v>0</v>
      </c>
      <c r="H920" s="6">
        <f>ROUND(Catalogue!H49*SQRT((1+Paramètres!$B$4*(C920-1)+Paramètres!$B$5*(C920-1)^2)),0)</f>
        <v>0</v>
      </c>
      <c r="I920" s="6">
        <v>2</v>
      </c>
      <c r="J920" s="6">
        <v>7</v>
      </c>
      <c r="K920" s="7">
        <v>1.5</v>
      </c>
      <c r="L920" s="9">
        <f t="shared" si="114"/>
        <v>44.5</v>
      </c>
      <c r="M920">
        <v>3</v>
      </c>
      <c r="N920">
        <v>8</v>
      </c>
      <c r="O920">
        <v>31</v>
      </c>
      <c r="P920" s="13" t="str">
        <f t="shared" si="115"/>
        <v>3d8 + 31</v>
      </c>
      <c r="Q920">
        <f>ROUND(INDEX(Catalogue!E$4:E$85,MATCH(A920,Catalogue!A$4:A$85,0))*(1+Paramètres!$B$4*(C920-1)+Paramètres!$B$5*(C920-1)^2),0)</f>
        <v>34</v>
      </c>
      <c r="R920">
        <f>ROUND(INDEX(Catalogue!F$4:F$85,MATCH(A920,Catalogue!A$4:A$85,0))*(1+Paramètres!$B$4*(C920-1)+Paramètres!$B$5*(C920-1)^2),0)</f>
        <v>55</v>
      </c>
      <c r="S920">
        <f t="shared" si="116"/>
        <v>0</v>
      </c>
      <c r="T920" t="str">
        <f t="shared" si="117"/>
        <v>OK</v>
      </c>
      <c r="U920" s="25">
        <f t="shared" si="118"/>
        <v>44.5</v>
      </c>
      <c r="V920" t="str">
        <f t="shared" si="119"/>
        <v>OK</v>
      </c>
    </row>
    <row r="921" spans="1:22" ht="18" customHeight="1">
      <c r="A921" t="s">
        <v>241</v>
      </c>
      <c r="B921" t="s">
        <v>242</v>
      </c>
      <c r="C921">
        <v>18</v>
      </c>
      <c r="D921" t="s">
        <v>237</v>
      </c>
      <c r="E921" s="6">
        <f t="shared" si="112"/>
        <v>37</v>
      </c>
      <c r="F921" s="6">
        <f t="shared" si="113"/>
        <v>59</v>
      </c>
      <c r="G921" s="6">
        <f>ROUND(Catalogue!G49*SQRT((1+Paramètres!$B$4*(C921-1)+Paramètres!$B$5*(C921-1)^2)),0)</f>
        <v>0</v>
      </c>
      <c r="H921" s="6">
        <f>ROUND(Catalogue!H49*SQRT((1+Paramètres!$B$4*(C921-1)+Paramètres!$B$5*(C921-1)^2)),0)</f>
        <v>0</v>
      </c>
      <c r="I921" s="6">
        <v>2</v>
      </c>
      <c r="J921" s="6">
        <v>7</v>
      </c>
      <c r="K921" s="7">
        <v>1.5</v>
      </c>
      <c r="L921" s="9">
        <f t="shared" si="114"/>
        <v>48</v>
      </c>
      <c r="M921">
        <v>2</v>
      </c>
      <c r="N921">
        <v>12</v>
      </c>
      <c r="O921">
        <v>35</v>
      </c>
      <c r="P921" s="13" t="str">
        <f t="shared" si="115"/>
        <v>2d12 + 35</v>
      </c>
      <c r="Q921">
        <f>ROUND(INDEX(Catalogue!E$4:E$85,MATCH(A921,Catalogue!A$4:A$85,0))*(1+Paramètres!$B$4*(C921-1)+Paramètres!$B$5*(C921-1)^2),0)</f>
        <v>37</v>
      </c>
      <c r="R921">
        <f>ROUND(INDEX(Catalogue!F$4:F$85,MATCH(A921,Catalogue!A$4:A$85,0))*(1+Paramètres!$B$4*(C921-1)+Paramètres!$B$5*(C921-1)^2),0)</f>
        <v>60</v>
      </c>
      <c r="S921">
        <f t="shared" si="116"/>
        <v>-0.5</v>
      </c>
      <c r="T921" t="str">
        <f t="shared" si="117"/>
        <v>OK</v>
      </c>
      <c r="U921" s="25">
        <f t="shared" si="118"/>
        <v>48</v>
      </c>
      <c r="V921" t="str">
        <f t="shared" si="119"/>
        <v>OK</v>
      </c>
    </row>
    <row r="922" spans="1:22" ht="18" customHeight="1">
      <c r="A922" t="s">
        <v>241</v>
      </c>
      <c r="B922" t="s">
        <v>242</v>
      </c>
      <c r="C922">
        <v>19</v>
      </c>
      <c r="D922" t="s">
        <v>237</v>
      </c>
      <c r="E922" s="6">
        <f t="shared" si="112"/>
        <v>40</v>
      </c>
      <c r="F922" s="6">
        <f t="shared" si="113"/>
        <v>65</v>
      </c>
      <c r="G922" s="6">
        <f>ROUND(Catalogue!G49*SQRT((1+Paramètres!$B$4*(C922-1)+Paramètres!$B$5*(C922-1)^2)),0)</f>
        <v>0</v>
      </c>
      <c r="H922" s="6">
        <f>ROUND(Catalogue!H49*SQRT((1+Paramètres!$B$4*(C922-1)+Paramètres!$B$5*(C922-1)^2)),0)</f>
        <v>0</v>
      </c>
      <c r="I922" s="6">
        <v>2</v>
      </c>
      <c r="J922" s="6">
        <v>7</v>
      </c>
      <c r="K922" s="7">
        <v>1.5</v>
      </c>
      <c r="L922" s="9">
        <f t="shared" si="114"/>
        <v>52.5</v>
      </c>
      <c r="M922">
        <v>5</v>
      </c>
      <c r="N922">
        <v>6</v>
      </c>
      <c r="O922">
        <v>35</v>
      </c>
      <c r="P922" s="13" t="str">
        <f t="shared" si="115"/>
        <v>5d6 + 35</v>
      </c>
      <c r="Q922">
        <f>ROUND(INDEX(Catalogue!E$4:E$85,MATCH(A922,Catalogue!A$4:A$85,0))*(1+Paramètres!$B$4*(C922-1)+Paramètres!$B$5*(C922-1)^2),0)</f>
        <v>41</v>
      </c>
      <c r="R922">
        <f>ROUND(INDEX(Catalogue!F$4:F$85,MATCH(A922,Catalogue!A$4:A$85,0))*(1+Paramètres!$B$4*(C922-1)+Paramètres!$B$5*(C922-1)^2),0)</f>
        <v>65</v>
      </c>
      <c r="S922">
        <f t="shared" si="116"/>
        <v>-0.5</v>
      </c>
      <c r="T922" t="str">
        <f t="shared" si="117"/>
        <v>OK</v>
      </c>
      <c r="U922" s="25">
        <f t="shared" si="118"/>
        <v>52.5</v>
      </c>
      <c r="V922" t="str">
        <f t="shared" si="119"/>
        <v>OK</v>
      </c>
    </row>
    <row r="923" spans="1:22" ht="18" customHeight="1">
      <c r="A923" t="s">
        <v>241</v>
      </c>
      <c r="B923" t="s">
        <v>242</v>
      </c>
      <c r="C923">
        <v>20</v>
      </c>
      <c r="D923" t="s">
        <v>237</v>
      </c>
      <c r="E923" s="6">
        <f t="shared" si="112"/>
        <v>44</v>
      </c>
      <c r="F923" s="6">
        <f t="shared" si="113"/>
        <v>71</v>
      </c>
      <c r="G923" s="6">
        <f>ROUND(Catalogue!G49*SQRT((1+Paramètres!$B$4*(C923-1)+Paramètres!$B$5*(C923-1)^2)),0)</f>
        <v>0</v>
      </c>
      <c r="H923" s="6">
        <f>ROUND(Catalogue!H49*SQRT((1+Paramètres!$B$4*(C923-1)+Paramètres!$B$5*(C923-1)^2)),0)</f>
        <v>0</v>
      </c>
      <c r="I923" s="6">
        <v>2</v>
      </c>
      <c r="J923" s="6">
        <v>7</v>
      </c>
      <c r="K923" s="7">
        <v>1.5</v>
      </c>
      <c r="L923" s="9">
        <f t="shared" si="114"/>
        <v>57.5</v>
      </c>
      <c r="M923">
        <v>3</v>
      </c>
      <c r="N923">
        <v>10</v>
      </c>
      <c r="O923">
        <v>41</v>
      </c>
      <c r="P923" s="13" t="str">
        <f t="shared" si="115"/>
        <v>3d10 + 41</v>
      </c>
      <c r="Q923">
        <f>ROUND(INDEX(Catalogue!E$4:E$85,MATCH(A923,Catalogue!A$4:A$85,0))*(1+Paramètres!$B$4*(C923-1)+Paramètres!$B$5*(C923-1)^2),0)</f>
        <v>44</v>
      </c>
      <c r="R923">
        <f>ROUND(INDEX(Catalogue!F$4:F$85,MATCH(A923,Catalogue!A$4:A$85,0))*(1+Paramètres!$B$4*(C923-1)+Paramètres!$B$5*(C923-1)^2),0)</f>
        <v>71</v>
      </c>
      <c r="S923">
        <f t="shared" si="116"/>
        <v>0</v>
      </c>
      <c r="T923" t="str">
        <f t="shared" si="117"/>
        <v>OK</v>
      </c>
      <c r="U923" s="25">
        <f t="shared" si="118"/>
        <v>57.5</v>
      </c>
      <c r="V923" t="str">
        <f t="shared" si="119"/>
        <v>OK</v>
      </c>
    </row>
    <row r="924" spans="1:22" ht="18" customHeight="1">
      <c r="A924" t="s">
        <v>244</v>
      </c>
      <c r="B924" t="s">
        <v>245</v>
      </c>
      <c r="C924">
        <v>1</v>
      </c>
      <c r="D924" t="s">
        <v>237</v>
      </c>
      <c r="E924" s="6">
        <f t="shared" si="112"/>
        <v>5</v>
      </c>
      <c r="F924" s="6">
        <f t="shared" si="113"/>
        <v>8</v>
      </c>
      <c r="G924" s="6">
        <f>ROUND(Catalogue!G50*SQRT((1+Paramètres!$B$4*(C924-1)+Paramètres!$B$5*(C924-1)^2)),0)</f>
        <v>0</v>
      </c>
      <c r="H924" s="6">
        <f>ROUND(Catalogue!H50*SQRT((1+Paramètres!$B$4*(C924-1)+Paramètres!$B$5*(C924-1)^2)),0)</f>
        <v>0</v>
      </c>
      <c r="I924" s="6">
        <v>2</v>
      </c>
      <c r="J924" s="6">
        <v>6</v>
      </c>
      <c r="K924" s="7">
        <v>1.8</v>
      </c>
      <c r="L924" s="9">
        <f t="shared" si="114"/>
        <v>6.5</v>
      </c>
      <c r="M924">
        <v>1</v>
      </c>
      <c r="N924">
        <v>4</v>
      </c>
      <c r="O924">
        <v>4</v>
      </c>
      <c r="P924" s="13" t="str">
        <f t="shared" si="115"/>
        <v>1d4 + 4</v>
      </c>
      <c r="Q924">
        <f>ROUND(INDEX(Catalogue!E$4:E$85,MATCH(A924,Catalogue!A$4:A$85,0))*(1+Paramètres!$B$4*(C924-1)+Paramètres!$B$5*(C924-1)^2),0)</f>
        <v>5</v>
      </c>
      <c r="R924">
        <f>ROUND(INDEX(Catalogue!F$4:F$85,MATCH(A924,Catalogue!A$4:A$85,0))*(1+Paramètres!$B$4*(C924-1)+Paramètres!$B$5*(C924-1)^2),0)</f>
        <v>9</v>
      </c>
      <c r="S924">
        <f t="shared" si="116"/>
        <v>-0.5</v>
      </c>
      <c r="T924" t="str">
        <f t="shared" si="117"/>
        <v>OK</v>
      </c>
      <c r="U924" s="25">
        <f t="shared" si="118"/>
        <v>6.5</v>
      </c>
      <c r="V924" t="str">
        <f t="shared" si="119"/>
        <v>OK</v>
      </c>
    </row>
    <row r="925" spans="1:22" ht="18" customHeight="1">
      <c r="A925" t="s">
        <v>244</v>
      </c>
      <c r="B925" t="s">
        <v>245</v>
      </c>
      <c r="C925">
        <v>2</v>
      </c>
      <c r="D925" t="s">
        <v>237</v>
      </c>
      <c r="E925" s="6">
        <f t="shared" si="112"/>
        <v>6</v>
      </c>
      <c r="F925" s="6">
        <f t="shared" si="113"/>
        <v>9</v>
      </c>
      <c r="G925" s="6">
        <f>ROUND(Catalogue!G50*SQRT((1+Paramètres!$B$4*(C925-1)+Paramètres!$B$5*(C925-1)^2)),0)</f>
        <v>0</v>
      </c>
      <c r="H925" s="6">
        <f>ROUND(Catalogue!H50*SQRT((1+Paramètres!$B$4*(C925-1)+Paramètres!$B$5*(C925-1)^2)),0)</f>
        <v>0</v>
      </c>
      <c r="I925" s="6">
        <v>2</v>
      </c>
      <c r="J925" s="6">
        <v>6</v>
      </c>
      <c r="K925" s="7">
        <v>1.8</v>
      </c>
      <c r="L925" s="9">
        <f t="shared" si="114"/>
        <v>7.5</v>
      </c>
      <c r="M925">
        <v>1</v>
      </c>
      <c r="N925">
        <v>4</v>
      </c>
      <c r="O925">
        <v>5</v>
      </c>
      <c r="P925" s="13" t="str">
        <f t="shared" si="115"/>
        <v>1d4 + 5</v>
      </c>
      <c r="Q925">
        <f>ROUND(INDEX(Catalogue!E$4:E$85,MATCH(A925,Catalogue!A$4:A$85,0))*(1+Paramètres!$B$4*(C925-1)+Paramètres!$B$5*(C925-1)^2),0)</f>
        <v>6</v>
      </c>
      <c r="R925">
        <f>ROUND(INDEX(Catalogue!F$4:F$85,MATCH(A925,Catalogue!A$4:A$85,0))*(1+Paramètres!$B$4*(C925-1)+Paramètres!$B$5*(C925-1)^2),0)</f>
        <v>10</v>
      </c>
      <c r="S925">
        <f t="shared" si="116"/>
        <v>-0.5</v>
      </c>
      <c r="T925" t="str">
        <f t="shared" si="117"/>
        <v>OK</v>
      </c>
      <c r="U925" s="25">
        <f t="shared" si="118"/>
        <v>7.5</v>
      </c>
      <c r="V925" t="str">
        <f t="shared" si="119"/>
        <v>OK</v>
      </c>
    </row>
    <row r="926" spans="1:22" ht="18" customHeight="1">
      <c r="A926" t="s">
        <v>244</v>
      </c>
      <c r="B926" t="s">
        <v>245</v>
      </c>
      <c r="C926">
        <v>3</v>
      </c>
      <c r="D926" t="s">
        <v>237</v>
      </c>
      <c r="E926" s="6">
        <f t="shared" si="112"/>
        <v>6</v>
      </c>
      <c r="F926" s="6">
        <f t="shared" si="113"/>
        <v>11</v>
      </c>
      <c r="G926" s="6">
        <f>ROUND(Catalogue!G50*SQRT((1+Paramètres!$B$4*(C926-1)+Paramètres!$B$5*(C926-1)^2)),0)</f>
        <v>0</v>
      </c>
      <c r="H926" s="6">
        <f>ROUND(Catalogue!H50*SQRT((1+Paramètres!$B$4*(C926-1)+Paramètres!$B$5*(C926-1)^2)),0)</f>
        <v>0</v>
      </c>
      <c r="I926" s="6">
        <v>2</v>
      </c>
      <c r="J926" s="6">
        <v>6</v>
      </c>
      <c r="K926" s="7">
        <v>1.8</v>
      </c>
      <c r="L926" s="9">
        <f t="shared" si="114"/>
        <v>8.5</v>
      </c>
      <c r="M926">
        <v>1</v>
      </c>
      <c r="N926">
        <v>6</v>
      </c>
      <c r="O926">
        <v>5</v>
      </c>
      <c r="P926" s="13" t="str">
        <f t="shared" si="115"/>
        <v>1d6 + 5</v>
      </c>
      <c r="Q926">
        <f>ROUND(INDEX(Catalogue!E$4:E$85,MATCH(A926,Catalogue!A$4:A$85,0))*(1+Paramètres!$B$4*(C926-1)+Paramètres!$B$5*(C926-1)^2),0)</f>
        <v>6</v>
      </c>
      <c r="R926">
        <f>ROUND(INDEX(Catalogue!F$4:F$85,MATCH(A926,Catalogue!A$4:A$85,0))*(1+Paramètres!$B$4*(C926-1)+Paramètres!$B$5*(C926-1)^2),0)</f>
        <v>12</v>
      </c>
      <c r="S926">
        <f t="shared" si="116"/>
        <v>-0.5</v>
      </c>
      <c r="T926" t="str">
        <f t="shared" si="117"/>
        <v>OK</v>
      </c>
      <c r="U926" s="25">
        <f t="shared" si="118"/>
        <v>8.5</v>
      </c>
      <c r="V926" t="str">
        <f t="shared" si="119"/>
        <v>OK</v>
      </c>
    </row>
    <row r="927" spans="1:22" ht="18" customHeight="1">
      <c r="A927" t="s">
        <v>244</v>
      </c>
      <c r="B927" t="s">
        <v>245</v>
      </c>
      <c r="C927">
        <v>4</v>
      </c>
      <c r="D927" t="s">
        <v>237</v>
      </c>
      <c r="E927" s="6">
        <f t="shared" si="112"/>
        <v>7</v>
      </c>
      <c r="F927" s="6">
        <f t="shared" si="113"/>
        <v>13</v>
      </c>
      <c r="G927" s="6">
        <f>ROUND(Catalogue!G50*SQRT((1+Paramètres!$B$4*(C927-1)+Paramètres!$B$5*(C927-1)^2)),0)</f>
        <v>0</v>
      </c>
      <c r="H927" s="6">
        <f>ROUND(Catalogue!H50*SQRT((1+Paramètres!$B$4*(C927-1)+Paramètres!$B$5*(C927-1)^2)),0)</f>
        <v>0</v>
      </c>
      <c r="I927" s="6">
        <v>2</v>
      </c>
      <c r="J927" s="6">
        <v>6</v>
      </c>
      <c r="K927" s="7">
        <v>1.8</v>
      </c>
      <c r="L927" s="9">
        <f t="shared" si="114"/>
        <v>10</v>
      </c>
      <c r="M927">
        <v>2</v>
      </c>
      <c r="N927">
        <v>4</v>
      </c>
      <c r="O927">
        <v>5</v>
      </c>
      <c r="P927" s="13" t="str">
        <f t="shared" si="115"/>
        <v>2d4 + 5</v>
      </c>
      <c r="Q927">
        <f>ROUND(INDEX(Catalogue!E$4:E$85,MATCH(A927,Catalogue!A$4:A$85,0))*(1+Paramètres!$B$4*(C927-1)+Paramètres!$B$5*(C927-1)^2),0)</f>
        <v>7</v>
      </c>
      <c r="R927">
        <f>ROUND(INDEX(Catalogue!F$4:F$85,MATCH(A927,Catalogue!A$4:A$85,0))*(1+Paramètres!$B$4*(C927-1)+Paramètres!$B$5*(C927-1)^2),0)</f>
        <v>13</v>
      </c>
      <c r="S927">
        <f t="shared" si="116"/>
        <v>0</v>
      </c>
      <c r="T927" t="str">
        <f t="shared" si="117"/>
        <v>OK</v>
      </c>
      <c r="U927" s="25">
        <f t="shared" si="118"/>
        <v>10</v>
      </c>
      <c r="V927" t="str">
        <f t="shared" si="119"/>
        <v>OK</v>
      </c>
    </row>
    <row r="928" spans="1:22" ht="18" customHeight="1">
      <c r="A928" t="s">
        <v>244</v>
      </c>
      <c r="B928" t="s">
        <v>245</v>
      </c>
      <c r="C928">
        <v>5</v>
      </c>
      <c r="D928" t="s">
        <v>237</v>
      </c>
      <c r="E928" s="6">
        <f t="shared" si="112"/>
        <v>8</v>
      </c>
      <c r="F928" s="6">
        <f t="shared" si="113"/>
        <v>15</v>
      </c>
      <c r="G928" s="6">
        <f>ROUND(Catalogue!G50*SQRT((1+Paramètres!$B$4*(C928-1)+Paramètres!$B$5*(C928-1)^2)),0)</f>
        <v>0</v>
      </c>
      <c r="H928" s="6">
        <f>ROUND(Catalogue!H50*SQRT((1+Paramètres!$B$4*(C928-1)+Paramètres!$B$5*(C928-1)^2)),0)</f>
        <v>0</v>
      </c>
      <c r="I928" s="6">
        <v>2</v>
      </c>
      <c r="J928" s="6">
        <v>6</v>
      </c>
      <c r="K928" s="7">
        <v>1.8</v>
      </c>
      <c r="L928" s="9">
        <f t="shared" si="114"/>
        <v>11.5</v>
      </c>
      <c r="M928">
        <v>1</v>
      </c>
      <c r="N928">
        <v>8</v>
      </c>
      <c r="O928">
        <v>7</v>
      </c>
      <c r="P928" s="13" t="str">
        <f t="shared" si="115"/>
        <v>1d8 + 7</v>
      </c>
      <c r="Q928">
        <f>ROUND(INDEX(Catalogue!E$4:E$85,MATCH(A928,Catalogue!A$4:A$85,0))*(1+Paramètres!$B$4*(C928-1)+Paramètres!$B$5*(C928-1)^2),0)</f>
        <v>8</v>
      </c>
      <c r="R928">
        <f>ROUND(INDEX(Catalogue!F$4:F$85,MATCH(A928,Catalogue!A$4:A$85,0))*(1+Paramètres!$B$4*(C928-1)+Paramètres!$B$5*(C928-1)^2),0)</f>
        <v>15</v>
      </c>
      <c r="S928">
        <f t="shared" si="116"/>
        <v>0</v>
      </c>
      <c r="T928" t="str">
        <f t="shared" si="117"/>
        <v>OK</v>
      </c>
      <c r="U928" s="25">
        <f t="shared" si="118"/>
        <v>11.5</v>
      </c>
      <c r="V928" t="str">
        <f t="shared" si="119"/>
        <v>OK</v>
      </c>
    </row>
    <row r="929" spans="1:22" ht="18" customHeight="1">
      <c r="A929" t="s">
        <v>244</v>
      </c>
      <c r="B929" t="s">
        <v>245</v>
      </c>
      <c r="C929">
        <v>6</v>
      </c>
      <c r="D929" t="s">
        <v>237</v>
      </c>
      <c r="E929" s="6">
        <f t="shared" si="112"/>
        <v>10</v>
      </c>
      <c r="F929" s="6">
        <f t="shared" si="113"/>
        <v>17</v>
      </c>
      <c r="G929" s="6">
        <f>ROUND(Catalogue!G50*SQRT((1+Paramètres!$B$4*(C929-1)+Paramètres!$B$5*(C929-1)^2)),0)</f>
        <v>0</v>
      </c>
      <c r="H929" s="6">
        <f>ROUND(Catalogue!H50*SQRT((1+Paramètres!$B$4*(C929-1)+Paramètres!$B$5*(C929-1)^2)),0)</f>
        <v>0</v>
      </c>
      <c r="I929" s="6">
        <v>2</v>
      </c>
      <c r="J929" s="6">
        <v>6</v>
      </c>
      <c r="K929" s="7">
        <v>1.8</v>
      </c>
      <c r="L929" s="9">
        <f t="shared" si="114"/>
        <v>13.5</v>
      </c>
      <c r="M929">
        <v>1</v>
      </c>
      <c r="N929">
        <v>8</v>
      </c>
      <c r="O929">
        <v>9</v>
      </c>
      <c r="P929" s="13" t="str">
        <f t="shared" si="115"/>
        <v>1d8 + 9</v>
      </c>
      <c r="Q929">
        <f>ROUND(INDEX(Catalogue!E$4:E$85,MATCH(A929,Catalogue!A$4:A$85,0))*(1+Paramètres!$B$4*(C929-1)+Paramètres!$B$5*(C929-1)^2),0)</f>
        <v>10</v>
      </c>
      <c r="R929">
        <f>ROUND(INDEX(Catalogue!F$4:F$85,MATCH(A929,Catalogue!A$4:A$85,0))*(1+Paramètres!$B$4*(C929-1)+Paramètres!$B$5*(C929-1)^2),0)</f>
        <v>18</v>
      </c>
      <c r="S929">
        <f t="shared" si="116"/>
        <v>-0.5</v>
      </c>
      <c r="T929" t="str">
        <f t="shared" si="117"/>
        <v>OK</v>
      </c>
      <c r="U929" s="25">
        <f t="shared" si="118"/>
        <v>13.5</v>
      </c>
      <c r="V929" t="str">
        <f t="shared" si="119"/>
        <v>OK</v>
      </c>
    </row>
    <row r="930" spans="1:22" ht="18" customHeight="1">
      <c r="A930" t="s">
        <v>244</v>
      </c>
      <c r="B930" t="s">
        <v>245</v>
      </c>
      <c r="C930">
        <v>7</v>
      </c>
      <c r="D930" t="s">
        <v>237</v>
      </c>
      <c r="E930" s="6">
        <f t="shared" si="112"/>
        <v>11</v>
      </c>
      <c r="F930" s="6">
        <f t="shared" si="113"/>
        <v>20</v>
      </c>
      <c r="G930" s="6">
        <f>ROUND(Catalogue!G50*SQRT((1+Paramètres!$B$4*(C930-1)+Paramètres!$B$5*(C930-1)^2)),0)</f>
        <v>0</v>
      </c>
      <c r="H930" s="6">
        <f>ROUND(Catalogue!H50*SQRT((1+Paramètres!$B$4*(C930-1)+Paramètres!$B$5*(C930-1)^2)),0)</f>
        <v>0</v>
      </c>
      <c r="I930" s="6">
        <v>2</v>
      </c>
      <c r="J930" s="6">
        <v>6</v>
      </c>
      <c r="K930" s="7">
        <v>1.8</v>
      </c>
      <c r="L930" s="9">
        <f t="shared" si="114"/>
        <v>15.5</v>
      </c>
      <c r="M930">
        <v>1</v>
      </c>
      <c r="N930">
        <v>10</v>
      </c>
      <c r="O930">
        <v>10</v>
      </c>
      <c r="P930" s="13" t="str">
        <f t="shared" si="115"/>
        <v>1d10 + 10</v>
      </c>
      <c r="Q930">
        <f>ROUND(INDEX(Catalogue!E$4:E$85,MATCH(A930,Catalogue!A$4:A$85,0))*(1+Paramètres!$B$4*(C930-1)+Paramètres!$B$5*(C930-1)^2),0)</f>
        <v>11</v>
      </c>
      <c r="R930">
        <f>ROUND(INDEX(Catalogue!F$4:F$85,MATCH(A930,Catalogue!A$4:A$85,0))*(1+Paramètres!$B$4*(C930-1)+Paramètres!$B$5*(C930-1)^2),0)</f>
        <v>20</v>
      </c>
      <c r="S930">
        <f t="shared" si="116"/>
        <v>0</v>
      </c>
      <c r="T930" t="str">
        <f t="shared" si="117"/>
        <v>OK</v>
      </c>
      <c r="U930" s="25">
        <f t="shared" si="118"/>
        <v>15.5</v>
      </c>
      <c r="V930" t="str">
        <f t="shared" si="119"/>
        <v>OK</v>
      </c>
    </row>
    <row r="931" spans="1:22" ht="18" customHeight="1">
      <c r="A931" t="s">
        <v>244</v>
      </c>
      <c r="B931" t="s">
        <v>245</v>
      </c>
      <c r="C931">
        <v>8</v>
      </c>
      <c r="D931" t="s">
        <v>237</v>
      </c>
      <c r="E931" s="6">
        <f t="shared" si="112"/>
        <v>13</v>
      </c>
      <c r="F931" s="6">
        <f t="shared" si="113"/>
        <v>23</v>
      </c>
      <c r="G931" s="6">
        <f>ROUND(Catalogue!G50*SQRT((1+Paramètres!$B$4*(C931-1)+Paramètres!$B$5*(C931-1)^2)),0)</f>
        <v>0</v>
      </c>
      <c r="H931" s="6">
        <f>ROUND(Catalogue!H50*SQRT((1+Paramètres!$B$4*(C931-1)+Paramètres!$B$5*(C931-1)^2)),0)</f>
        <v>0</v>
      </c>
      <c r="I931" s="6">
        <v>2</v>
      </c>
      <c r="J931" s="6">
        <v>6</v>
      </c>
      <c r="K931" s="7">
        <v>1.8</v>
      </c>
      <c r="L931" s="9">
        <f t="shared" si="114"/>
        <v>18</v>
      </c>
      <c r="M931">
        <v>2</v>
      </c>
      <c r="N931">
        <v>6</v>
      </c>
      <c r="O931">
        <v>11</v>
      </c>
      <c r="P931" s="13" t="str">
        <f t="shared" si="115"/>
        <v>2d6 + 11</v>
      </c>
      <c r="Q931">
        <f>ROUND(INDEX(Catalogue!E$4:E$85,MATCH(A931,Catalogue!A$4:A$85,0))*(1+Paramètres!$B$4*(C931-1)+Paramètres!$B$5*(C931-1)^2),0)</f>
        <v>13</v>
      </c>
      <c r="R931">
        <f>ROUND(INDEX(Catalogue!F$4:F$85,MATCH(A931,Catalogue!A$4:A$85,0))*(1+Paramètres!$B$4*(C931-1)+Paramètres!$B$5*(C931-1)^2),0)</f>
        <v>23</v>
      </c>
      <c r="S931">
        <f t="shared" si="116"/>
        <v>0</v>
      </c>
      <c r="T931" t="str">
        <f t="shared" si="117"/>
        <v>OK</v>
      </c>
      <c r="U931" s="25">
        <f t="shared" si="118"/>
        <v>18</v>
      </c>
      <c r="V931" t="str">
        <f t="shared" si="119"/>
        <v>OK</v>
      </c>
    </row>
    <row r="932" spans="1:22" ht="18" customHeight="1">
      <c r="A932" t="s">
        <v>244</v>
      </c>
      <c r="B932" t="s">
        <v>245</v>
      </c>
      <c r="C932">
        <v>9</v>
      </c>
      <c r="D932" t="s">
        <v>237</v>
      </c>
      <c r="E932" s="6">
        <f t="shared" si="112"/>
        <v>15</v>
      </c>
      <c r="F932" s="6">
        <f t="shared" si="113"/>
        <v>26</v>
      </c>
      <c r="G932" s="6">
        <f>ROUND(Catalogue!G50*SQRT((1+Paramètres!$B$4*(C932-1)+Paramètres!$B$5*(C932-1)^2)),0)</f>
        <v>0</v>
      </c>
      <c r="H932" s="6">
        <f>ROUND(Catalogue!H50*SQRT((1+Paramètres!$B$4*(C932-1)+Paramètres!$B$5*(C932-1)^2)),0)</f>
        <v>0</v>
      </c>
      <c r="I932" s="6">
        <v>2</v>
      </c>
      <c r="J932" s="6">
        <v>6</v>
      </c>
      <c r="K932" s="7">
        <v>1.8</v>
      </c>
      <c r="L932" s="9">
        <f t="shared" si="114"/>
        <v>20.5</v>
      </c>
      <c r="M932">
        <v>1</v>
      </c>
      <c r="N932">
        <v>12</v>
      </c>
      <c r="O932">
        <v>14</v>
      </c>
      <c r="P932" s="13" t="str">
        <f t="shared" si="115"/>
        <v>1d12 + 14</v>
      </c>
      <c r="Q932">
        <f>ROUND(INDEX(Catalogue!E$4:E$85,MATCH(A932,Catalogue!A$4:A$85,0))*(1+Paramètres!$B$4*(C932-1)+Paramètres!$B$5*(C932-1)^2),0)</f>
        <v>15</v>
      </c>
      <c r="R932">
        <f>ROUND(INDEX(Catalogue!F$4:F$85,MATCH(A932,Catalogue!A$4:A$85,0))*(1+Paramètres!$B$4*(C932-1)+Paramètres!$B$5*(C932-1)^2),0)</f>
        <v>26</v>
      </c>
      <c r="S932">
        <f t="shared" si="116"/>
        <v>0</v>
      </c>
      <c r="T932" t="str">
        <f t="shared" si="117"/>
        <v>OK</v>
      </c>
      <c r="U932" s="25">
        <f t="shared" si="118"/>
        <v>20.5</v>
      </c>
      <c r="V932" t="str">
        <f t="shared" si="119"/>
        <v>OK</v>
      </c>
    </row>
    <row r="933" spans="1:22" ht="18" customHeight="1">
      <c r="A933" t="s">
        <v>244</v>
      </c>
      <c r="B933" t="s">
        <v>245</v>
      </c>
      <c r="C933">
        <v>10</v>
      </c>
      <c r="D933" t="s">
        <v>237</v>
      </c>
      <c r="E933" s="6">
        <f t="shared" si="112"/>
        <v>16</v>
      </c>
      <c r="F933" s="6">
        <f t="shared" si="113"/>
        <v>30</v>
      </c>
      <c r="G933" s="6">
        <f>ROUND(Catalogue!G50*SQRT((1+Paramètres!$B$4*(C933-1)+Paramètres!$B$5*(C933-1)^2)),0)</f>
        <v>0</v>
      </c>
      <c r="H933" s="6">
        <f>ROUND(Catalogue!H50*SQRT((1+Paramètres!$B$4*(C933-1)+Paramètres!$B$5*(C933-1)^2)),0)</f>
        <v>0</v>
      </c>
      <c r="I933" s="6">
        <v>2</v>
      </c>
      <c r="J933" s="6">
        <v>6</v>
      </c>
      <c r="K933" s="7">
        <v>1.8</v>
      </c>
      <c r="L933" s="9">
        <f t="shared" si="114"/>
        <v>23</v>
      </c>
      <c r="M933">
        <v>2</v>
      </c>
      <c r="N933">
        <v>8</v>
      </c>
      <c r="O933">
        <v>14</v>
      </c>
      <c r="P933" s="13" t="str">
        <f t="shared" si="115"/>
        <v>2d8 + 14</v>
      </c>
      <c r="Q933">
        <f>ROUND(INDEX(Catalogue!E$4:E$85,MATCH(A933,Catalogue!A$4:A$85,0))*(1+Paramètres!$B$4*(C933-1)+Paramètres!$B$5*(C933-1)^2),0)</f>
        <v>16</v>
      </c>
      <c r="R933">
        <f>ROUND(INDEX(Catalogue!F$4:F$85,MATCH(A933,Catalogue!A$4:A$85,0))*(1+Paramètres!$B$4*(C933-1)+Paramètres!$B$5*(C933-1)^2),0)</f>
        <v>30</v>
      </c>
      <c r="S933">
        <f t="shared" si="116"/>
        <v>0</v>
      </c>
      <c r="T933" t="str">
        <f t="shared" si="117"/>
        <v>OK</v>
      </c>
      <c r="U933" s="25">
        <f t="shared" si="118"/>
        <v>23</v>
      </c>
      <c r="V933" t="str">
        <f t="shared" si="119"/>
        <v>OK</v>
      </c>
    </row>
    <row r="934" spans="1:22" ht="18" customHeight="1">
      <c r="A934" t="s">
        <v>244</v>
      </c>
      <c r="B934" t="s">
        <v>245</v>
      </c>
      <c r="C934">
        <v>11</v>
      </c>
      <c r="D934" t="s">
        <v>237</v>
      </c>
      <c r="E934" s="6">
        <f t="shared" si="112"/>
        <v>19</v>
      </c>
      <c r="F934" s="6">
        <f t="shared" si="113"/>
        <v>33</v>
      </c>
      <c r="G934" s="6">
        <f>ROUND(Catalogue!G50*SQRT((1+Paramètres!$B$4*(C934-1)+Paramètres!$B$5*(C934-1)^2)),0)</f>
        <v>0</v>
      </c>
      <c r="H934" s="6">
        <f>ROUND(Catalogue!H50*SQRT((1+Paramètres!$B$4*(C934-1)+Paramètres!$B$5*(C934-1)^2)),0)</f>
        <v>0</v>
      </c>
      <c r="I934" s="6">
        <v>2</v>
      </c>
      <c r="J934" s="6">
        <v>6</v>
      </c>
      <c r="K934" s="7">
        <v>1.8</v>
      </c>
      <c r="L934" s="9">
        <f t="shared" si="114"/>
        <v>26</v>
      </c>
      <c r="M934">
        <v>2</v>
      </c>
      <c r="N934">
        <v>8</v>
      </c>
      <c r="O934">
        <v>17</v>
      </c>
      <c r="P934" s="13" t="str">
        <f t="shared" si="115"/>
        <v>2d8 + 17</v>
      </c>
      <c r="Q934">
        <f>ROUND(INDEX(Catalogue!E$4:E$85,MATCH(A934,Catalogue!A$4:A$85,0))*(1+Paramètres!$B$4*(C934-1)+Paramètres!$B$5*(C934-1)^2),0)</f>
        <v>19</v>
      </c>
      <c r="R934">
        <f>ROUND(INDEX(Catalogue!F$4:F$85,MATCH(A934,Catalogue!A$4:A$85,0))*(1+Paramètres!$B$4*(C934-1)+Paramètres!$B$5*(C934-1)^2),0)</f>
        <v>33</v>
      </c>
      <c r="S934">
        <f t="shared" si="116"/>
        <v>0</v>
      </c>
      <c r="T934" t="str">
        <f t="shared" si="117"/>
        <v>OK</v>
      </c>
      <c r="U934" s="25">
        <f t="shared" si="118"/>
        <v>26</v>
      </c>
      <c r="V934" t="str">
        <f t="shared" si="119"/>
        <v>OK</v>
      </c>
    </row>
    <row r="935" spans="1:22" ht="18" customHeight="1">
      <c r="A935" t="s">
        <v>244</v>
      </c>
      <c r="B935" t="s">
        <v>245</v>
      </c>
      <c r="C935">
        <v>12</v>
      </c>
      <c r="D935" t="s">
        <v>237</v>
      </c>
      <c r="E935" s="6">
        <f t="shared" si="112"/>
        <v>21</v>
      </c>
      <c r="F935" s="6">
        <f t="shared" si="113"/>
        <v>36</v>
      </c>
      <c r="G935" s="6">
        <f>ROUND(Catalogue!G50*SQRT((1+Paramètres!$B$4*(C935-1)+Paramètres!$B$5*(C935-1)^2)),0)</f>
        <v>0</v>
      </c>
      <c r="H935" s="6">
        <f>ROUND(Catalogue!H50*SQRT((1+Paramètres!$B$4*(C935-1)+Paramètres!$B$5*(C935-1)^2)),0)</f>
        <v>0</v>
      </c>
      <c r="I935" s="6">
        <v>2</v>
      </c>
      <c r="J935" s="6">
        <v>6</v>
      </c>
      <c r="K935" s="7">
        <v>1.8</v>
      </c>
      <c r="L935" s="9">
        <f t="shared" si="114"/>
        <v>28.5</v>
      </c>
      <c r="M935">
        <v>3</v>
      </c>
      <c r="N935">
        <v>6</v>
      </c>
      <c r="O935">
        <v>18</v>
      </c>
      <c r="P935" s="13" t="str">
        <f t="shared" si="115"/>
        <v>3d6 + 18</v>
      </c>
      <c r="Q935">
        <f>ROUND(INDEX(Catalogue!E$4:E$85,MATCH(A935,Catalogue!A$4:A$85,0))*(1+Paramètres!$B$4*(C935-1)+Paramètres!$B$5*(C935-1)^2),0)</f>
        <v>21</v>
      </c>
      <c r="R935">
        <f>ROUND(INDEX(Catalogue!F$4:F$85,MATCH(A935,Catalogue!A$4:A$85,0))*(1+Paramètres!$B$4*(C935-1)+Paramètres!$B$5*(C935-1)^2),0)</f>
        <v>37</v>
      </c>
      <c r="S935">
        <f t="shared" si="116"/>
        <v>-0.5</v>
      </c>
      <c r="T935" t="str">
        <f t="shared" si="117"/>
        <v>OK</v>
      </c>
      <c r="U935" s="25">
        <f t="shared" si="118"/>
        <v>28.5</v>
      </c>
      <c r="V935" t="str">
        <f t="shared" si="119"/>
        <v>OK</v>
      </c>
    </row>
    <row r="936" spans="1:22" ht="18" customHeight="1">
      <c r="A936" t="s">
        <v>244</v>
      </c>
      <c r="B936" t="s">
        <v>245</v>
      </c>
      <c r="C936">
        <v>13</v>
      </c>
      <c r="D936" t="s">
        <v>237</v>
      </c>
      <c r="E936" s="6">
        <f t="shared" si="112"/>
        <v>23</v>
      </c>
      <c r="F936" s="6">
        <f t="shared" si="113"/>
        <v>41</v>
      </c>
      <c r="G936" s="6">
        <f>ROUND(Catalogue!G50*SQRT((1+Paramètres!$B$4*(C936-1)+Paramètres!$B$5*(C936-1)^2)),0)</f>
        <v>0</v>
      </c>
      <c r="H936" s="6">
        <f>ROUND(Catalogue!H50*SQRT((1+Paramètres!$B$4*(C936-1)+Paramètres!$B$5*(C936-1)^2)),0)</f>
        <v>0</v>
      </c>
      <c r="I936" s="6">
        <v>2</v>
      </c>
      <c r="J936" s="6">
        <v>6</v>
      </c>
      <c r="K936" s="7">
        <v>1.8</v>
      </c>
      <c r="L936" s="9">
        <f t="shared" si="114"/>
        <v>32</v>
      </c>
      <c r="M936">
        <v>2</v>
      </c>
      <c r="N936">
        <v>10</v>
      </c>
      <c r="O936">
        <v>21</v>
      </c>
      <c r="P936" s="13" t="str">
        <f t="shared" si="115"/>
        <v>2d10 + 21</v>
      </c>
      <c r="Q936">
        <f>ROUND(INDEX(Catalogue!E$4:E$85,MATCH(A936,Catalogue!A$4:A$85,0))*(1+Paramètres!$B$4*(C936-1)+Paramètres!$B$5*(C936-1)^2),0)</f>
        <v>23</v>
      </c>
      <c r="R936">
        <f>ROUND(INDEX(Catalogue!F$4:F$85,MATCH(A936,Catalogue!A$4:A$85,0))*(1+Paramètres!$B$4*(C936-1)+Paramètres!$B$5*(C936-1)^2),0)</f>
        <v>42</v>
      </c>
      <c r="S936">
        <f t="shared" si="116"/>
        <v>-0.5</v>
      </c>
      <c r="T936" t="str">
        <f t="shared" si="117"/>
        <v>OK</v>
      </c>
      <c r="U936" s="25">
        <f t="shared" si="118"/>
        <v>32</v>
      </c>
      <c r="V936" t="str">
        <f t="shared" si="119"/>
        <v>OK</v>
      </c>
    </row>
    <row r="937" spans="1:22" ht="18" customHeight="1">
      <c r="A937" t="s">
        <v>244</v>
      </c>
      <c r="B937" t="s">
        <v>245</v>
      </c>
      <c r="C937">
        <v>14</v>
      </c>
      <c r="D937" t="s">
        <v>237</v>
      </c>
      <c r="E937" s="6">
        <f t="shared" si="112"/>
        <v>26</v>
      </c>
      <c r="F937" s="6">
        <f t="shared" si="113"/>
        <v>46</v>
      </c>
      <c r="G937" s="6">
        <f>ROUND(Catalogue!G50*SQRT((1+Paramètres!$B$4*(C937-1)+Paramètres!$B$5*(C937-1)^2)),0)</f>
        <v>0</v>
      </c>
      <c r="H937" s="6">
        <f>ROUND(Catalogue!H50*SQRT((1+Paramètres!$B$4*(C937-1)+Paramètres!$B$5*(C937-1)^2)),0)</f>
        <v>0</v>
      </c>
      <c r="I937" s="6">
        <v>2</v>
      </c>
      <c r="J937" s="6">
        <v>6</v>
      </c>
      <c r="K937" s="7">
        <v>1.8</v>
      </c>
      <c r="L937" s="9">
        <f t="shared" si="114"/>
        <v>36</v>
      </c>
      <c r="M937">
        <v>4</v>
      </c>
      <c r="N937">
        <v>6</v>
      </c>
      <c r="O937">
        <v>22</v>
      </c>
      <c r="P937" s="13" t="str">
        <f t="shared" si="115"/>
        <v>4d6 + 22</v>
      </c>
      <c r="Q937">
        <f>ROUND(INDEX(Catalogue!E$4:E$85,MATCH(A937,Catalogue!A$4:A$85,0))*(1+Paramètres!$B$4*(C937-1)+Paramètres!$B$5*(C937-1)^2),0)</f>
        <v>26</v>
      </c>
      <c r="R937">
        <f>ROUND(INDEX(Catalogue!F$4:F$85,MATCH(A937,Catalogue!A$4:A$85,0))*(1+Paramètres!$B$4*(C937-1)+Paramètres!$B$5*(C937-1)^2),0)</f>
        <v>46</v>
      </c>
      <c r="S937">
        <f t="shared" si="116"/>
        <v>0</v>
      </c>
      <c r="T937" t="str">
        <f t="shared" si="117"/>
        <v>OK</v>
      </c>
      <c r="U937" s="25">
        <f t="shared" si="118"/>
        <v>36</v>
      </c>
      <c r="V937" t="str">
        <f t="shared" si="119"/>
        <v>OK</v>
      </c>
    </row>
    <row r="938" spans="1:22" ht="18" customHeight="1">
      <c r="A938" t="s">
        <v>244</v>
      </c>
      <c r="B938" t="s">
        <v>245</v>
      </c>
      <c r="C938">
        <v>15</v>
      </c>
      <c r="D938" t="s">
        <v>237</v>
      </c>
      <c r="E938" s="6">
        <f t="shared" si="112"/>
        <v>28</v>
      </c>
      <c r="F938" s="6">
        <f t="shared" si="113"/>
        <v>50</v>
      </c>
      <c r="G938" s="6">
        <f>ROUND(Catalogue!G50*SQRT((1+Paramètres!$B$4*(C938-1)+Paramètres!$B$5*(C938-1)^2)),0)</f>
        <v>0</v>
      </c>
      <c r="H938" s="6">
        <f>ROUND(Catalogue!H50*SQRT((1+Paramètres!$B$4*(C938-1)+Paramètres!$B$5*(C938-1)^2)),0)</f>
        <v>0</v>
      </c>
      <c r="I938" s="6">
        <v>2</v>
      </c>
      <c r="J938" s="6">
        <v>6</v>
      </c>
      <c r="K938" s="7">
        <v>1.8</v>
      </c>
      <c r="L938" s="9">
        <f t="shared" si="114"/>
        <v>39</v>
      </c>
      <c r="M938">
        <v>2</v>
      </c>
      <c r="N938">
        <v>12</v>
      </c>
      <c r="O938">
        <v>26</v>
      </c>
      <c r="P938" s="13" t="str">
        <f t="shared" si="115"/>
        <v>2d12 + 26</v>
      </c>
      <c r="Q938">
        <f>ROUND(INDEX(Catalogue!E$4:E$85,MATCH(A938,Catalogue!A$4:A$85,0))*(1+Paramètres!$B$4*(C938-1)+Paramètres!$B$5*(C938-1)^2),0)</f>
        <v>28</v>
      </c>
      <c r="R938">
        <f>ROUND(INDEX(Catalogue!F$4:F$85,MATCH(A938,Catalogue!A$4:A$85,0))*(1+Paramètres!$B$4*(C938-1)+Paramètres!$B$5*(C938-1)^2),0)</f>
        <v>51</v>
      </c>
      <c r="S938">
        <f t="shared" si="116"/>
        <v>-0.5</v>
      </c>
      <c r="T938" t="str">
        <f t="shared" si="117"/>
        <v>OK</v>
      </c>
      <c r="U938" s="25">
        <f t="shared" si="118"/>
        <v>39</v>
      </c>
      <c r="V938" t="str">
        <f t="shared" si="119"/>
        <v>OK</v>
      </c>
    </row>
    <row r="939" spans="1:22" ht="18" customHeight="1">
      <c r="A939" t="s">
        <v>244</v>
      </c>
      <c r="B939" t="s">
        <v>245</v>
      </c>
      <c r="C939">
        <v>16</v>
      </c>
      <c r="D939" t="s">
        <v>237</v>
      </c>
      <c r="E939" s="6">
        <f t="shared" si="112"/>
        <v>31</v>
      </c>
      <c r="F939" s="6">
        <f t="shared" si="113"/>
        <v>56</v>
      </c>
      <c r="G939" s="6">
        <f>ROUND(Catalogue!G50*SQRT((1+Paramètres!$B$4*(C939-1)+Paramètres!$B$5*(C939-1)^2)),0)</f>
        <v>0</v>
      </c>
      <c r="H939" s="6">
        <f>ROUND(Catalogue!H50*SQRT((1+Paramètres!$B$4*(C939-1)+Paramètres!$B$5*(C939-1)^2)),0)</f>
        <v>0</v>
      </c>
      <c r="I939" s="6">
        <v>2</v>
      </c>
      <c r="J939" s="6">
        <v>6</v>
      </c>
      <c r="K939" s="7">
        <v>1.8</v>
      </c>
      <c r="L939" s="9">
        <f t="shared" si="114"/>
        <v>43.5</v>
      </c>
      <c r="M939">
        <v>5</v>
      </c>
      <c r="N939">
        <v>6</v>
      </c>
      <c r="O939">
        <v>26</v>
      </c>
      <c r="P939" s="13" t="str">
        <f t="shared" si="115"/>
        <v>5d6 + 26</v>
      </c>
      <c r="Q939">
        <f>ROUND(INDEX(Catalogue!E$4:E$85,MATCH(A939,Catalogue!A$4:A$85,0))*(1+Paramètres!$B$4*(C939-1)+Paramètres!$B$5*(C939-1)^2),0)</f>
        <v>31</v>
      </c>
      <c r="R939">
        <f>ROUND(INDEX(Catalogue!F$4:F$85,MATCH(A939,Catalogue!A$4:A$85,0))*(1+Paramètres!$B$4*(C939-1)+Paramètres!$B$5*(C939-1)^2),0)</f>
        <v>56</v>
      </c>
      <c r="S939">
        <f t="shared" si="116"/>
        <v>0</v>
      </c>
      <c r="T939" t="str">
        <f t="shared" si="117"/>
        <v>OK</v>
      </c>
      <c r="U939" s="25">
        <f t="shared" si="118"/>
        <v>43.5</v>
      </c>
      <c r="V939" t="str">
        <f t="shared" si="119"/>
        <v>OK</v>
      </c>
    </row>
    <row r="940" spans="1:22" ht="18" customHeight="1">
      <c r="A940" t="s">
        <v>244</v>
      </c>
      <c r="B940" t="s">
        <v>245</v>
      </c>
      <c r="C940">
        <v>17</v>
      </c>
      <c r="D940" t="s">
        <v>237</v>
      </c>
      <c r="E940" s="6">
        <f t="shared" si="112"/>
        <v>34</v>
      </c>
      <c r="F940" s="6">
        <f t="shared" si="113"/>
        <v>62</v>
      </c>
      <c r="G940" s="6">
        <f>ROUND(Catalogue!G50*SQRT((1+Paramètres!$B$4*(C940-1)+Paramètres!$B$5*(C940-1)^2)),0)</f>
        <v>0</v>
      </c>
      <c r="H940" s="6">
        <f>ROUND(Catalogue!H50*SQRT((1+Paramètres!$B$4*(C940-1)+Paramètres!$B$5*(C940-1)^2)),0)</f>
        <v>0</v>
      </c>
      <c r="I940" s="6">
        <v>2</v>
      </c>
      <c r="J940" s="6">
        <v>6</v>
      </c>
      <c r="K940" s="7">
        <v>1.8</v>
      </c>
      <c r="L940" s="9">
        <f t="shared" si="114"/>
        <v>48</v>
      </c>
      <c r="M940">
        <v>4</v>
      </c>
      <c r="N940">
        <v>8</v>
      </c>
      <c r="O940">
        <v>30</v>
      </c>
      <c r="P940" s="13" t="str">
        <f t="shared" si="115"/>
        <v>4d8 + 30</v>
      </c>
      <c r="Q940">
        <f>ROUND(INDEX(Catalogue!E$4:E$85,MATCH(A940,Catalogue!A$4:A$85,0))*(1+Paramètres!$B$4*(C940-1)+Paramètres!$B$5*(C940-1)^2),0)</f>
        <v>34</v>
      </c>
      <c r="R940">
        <f>ROUND(INDEX(Catalogue!F$4:F$85,MATCH(A940,Catalogue!A$4:A$85,0))*(1+Paramètres!$B$4*(C940-1)+Paramètres!$B$5*(C940-1)^2),0)</f>
        <v>62</v>
      </c>
      <c r="S940">
        <f t="shared" si="116"/>
        <v>0</v>
      </c>
      <c r="T940" t="str">
        <f t="shared" si="117"/>
        <v>OK</v>
      </c>
      <c r="U940" s="25">
        <f t="shared" si="118"/>
        <v>48</v>
      </c>
      <c r="V940" t="str">
        <f t="shared" si="119"/>
        <v>OK</v>
      </c>
    </row>
    <row r="941" spans="1:22" ht="18" customHeight="1">
      <c r="A941" t="s">
        <v>244</v>
      </c>
      <c r="B941" t="s">
        <v>245</v>
      </c>
      <c r="C941">
        <v>18</v>
      </c>
      <c r="D941" t="s">
        <v>237</v>
      </c>
      <c r="E941" s="6">
        <f t="shared" si="112"/>
        <v>37</v>
      </c>
      <c r="F941" s="6">
        <f t="shared" si="113"/>
        <v>67</v>
      </c>
      <c r="G941" s="6">
        <f>ROUND(Catalogue!G50*SQRT((1+Paramètres!$B$4*(C941-1)+Paramètres!$B$5*(C941-1)^2)),0)</f>
        <v>0</v>
      </c>
      <c r="H941" s="6">
        <f>ROUND(Catalogue!H50*SQRT((1+Paramètres!$B$4*(C941-1)+Paramètres!$B$5*(C941-1)^2)),0)</f>
        <v>0</v>
      </c>
      <c r="I941" s="6">
        <v>2</v>
      </c>
      <c r="J941" s="6">
        <v>6</v>
      </c>
      <c r="K941" s="7">
        <v>1.8</v>
      </c>
      <c r="L941" s="9">
        <f t="shared" si="114"/>
        <v>52</v>
      </c>
      <c r="M941">
        <v>6</v>
      </c>
      <c r="N941">
        <v>6</v>
      </c>
      <c r="O941">
        <v>31</v>
      </c>
      <c r="P941" s="13" t="str">
        <f t="shared" si="115"/>
        <v>6d6 + 31</v>
      </c>
      <c r="Q941">
        <f>ROUND(INDEX(Catalogue!E$4:E$85,MATCH(A941,Catalogue!A$4:A$85,0))*(1+Paramètres!$B$4*(C941-1)+Paramètres!$B$5*(C941-1)^2),0)</f>
        <v>37</v>
      </c>
      <c r="R941">
        <f>ROUND(INDEX(Catalogue!F$4:F$85,MATCH(A941,Catalogue!A$4:A$85,0))*(1+Paramètres!$B$4*(C941-1)+Paramètres!$B$5*(C941-1)^2),0)</f>
        <v>67</v>
      </c>
      <c r="S941">
        <f t="shared" si="116"/>
        <v>0</v>
      </c>
      <c r="T941" t="str">
        <f t="shared" si="117"/>
        <v>OK</v>
      </c>
      <c r="U941" s="25">
        <f t="shared" si="118"/>
        <v>52</v>
      </c>
      <c r="V941" t="str">
        <f t="shared" si="119"/>
        <v>OK</v>
      </c>
    </row>
    <row r="942" spans="1:22" ht="18" customHeight="1">
      <c r="A942" t="s">
        <v>244</v>
      </c>
      <c r="B942" t="s">
        <v>245</v>
      </c>
      <c r="C942">
        <v>19</v>
      </c>
      <c r="D942" t="s">
        <v>237</v>
      </c>
      <c r="E942" s="6">
        <f t="shared" si="112"/>
        <v>40</v>
      </c>
      <c r="F942" s="6">
        <f t="shared" si="113"/>
        <v>73</v>
      </c>
      <c r="G942" s="6">
        <f>ROUND(Catalogue!G50*SQRT((1+Paramètres!$B$4*(C942-1)+Paramètres!$B$5*(C942-1)^2)),0)</f>
        <v>0</v>
      </c>
      <c r="H942" s="6">
        <f>ROUND(Catalogue!H50*SQRT((1+Paramètres!$B$4*(C942-1)+Paramètres!$B$5*(C942-1)^2)),0)</f>
        <v>0</v>
      </c>
      <c r="I942" s="6">
        <v>2</v>
      </c>
      <c r="J942" s="6">
        <v>6</v>
      </c>
      <c r="K942" s="7">
        <v>1.8</v>
      </c>
      <c r="L942" s="9">
        <f t="shared" si="114"/>
        <v>56.5</v>
      </c>
      <c r="M942">
        <v>3</v>
      </c>
      <c r="N942">
        <v>12</v>
      </c>
      <c r="O942">
        <v>37</v>
      </c>
      <c r="P942" s="13" t="str">
        <f t="shared" si="115"/>
        <v>3d12 + 37</v>
      </c>
      <c r="Q942">
        <f>ROUND(INDEX(Catalogue!E$4:E$85,MATCH(A942,Catalogue!A$4:A$85,0))*(1+Paramètres!$B$4*(C942-1)+Paramètres!$B$5*(C942-1)^2),0)</f>
        <v>41</v>
      </c>
      <c r="R942">
        <f>ROUND(INDEX(Catalogue!F$4:F$85,MATCH(A942,Catalogue!A$4:A$85,0))*(1+Paramètres!$B$4*(C942-1)+Paramètres!$B$5*(C942-1)^2),0)</f>
        <v>73</v>
      </c>
      <c r="S942">
        <f t="shared" si="116"/>
        <v>-0.5</v>
      </c>
      <c r="T942" t="str">
        <f t="shared" si="117"/>
        <v>OK</v>
      </c>
      <c r="U942" s="25">
        <f t="shared" si="118"/>
        <v>56.5</v>
      </c>
      <c r="V942" t="str">
        <f t="shared" si="119"/>
        <v>OK</v>
      </c>
    </row>
    <row r="943" spans="1:22" ht="18" customHeight="1">
      <c r="A943" t="s">
        <v>244</v>
      </c>
      <c r="B943" t="s">
        <v>245</v>
      </c>
      <c r="C943">
        <v>20</v>
      </c>
      <c r="D943" t="s">
        <v>237</v>
      </c>
      <c r="E943" s="6">
        <f t="shared" si="112"/>
        <v>44</v>
      </c>
      <c r="F943" s="6">
        <f t="shared" si="113"/>
        <v>80</v>
      </c>
      <c r="G943" s="6">
        <f>ROUND(Catalogue!G50*SQRT((1+Paramètres!$B$4*(C943-1)+Paramètres!$B$5*(C943-1)^2)),0)</f>
        <v>0</v>
      </c>
      <c r="H943" s="6">
        <f>ROUND(Catalogue!H50*SQRT((1+Paramètres!$B$4*(C943-1)+Paramètres!$B$5*(C943-1)^2)),0)</f>
        <v>0</v>
      </c>
      <c r="I943" s="6">
        <v>2</v>
      </c>
      <c r="J943" s="6">
        <v>6</v>
      </c>
      <c r="K943" s="7">
        <v>1.8</v>
      </c>
      <c r="L943" s="9">
        <f t="shared" si="114"/>
        <v>62</v>
      </c>
      <c r="M943">
        <v>4</v>
      </c>
      <c r="N943">
        <v>10</v>
      </c>
      <c r="O943">
        <v>40</v>
      </c>
      <c r="P943" s="13" t="str">
        <f t="shared" si="115"/>
        <v>4d10 + 40</v>
      </c>
      <c r="Q943">
        <f>ROUND(INDEX(Catalogue!E$4:E$85,MATCH(A943,Catalogue!A$4:A$85,0))*(1+Paramètres!$B$4*(C943-1)+Paramètres!$B$5*(C943-1)^2),0)</f>
        <v>44</v>
      </c>
      <c r="R943">
        <f>ROUND(INDEX(Catalogue!F$4:F$85,MATCH(A943,Catalogue!A$4:A$85,0))*(1+Paramètres!$B$4*(C943-1)+Paramètres!$B$5*(C943-1)^2),0)</f>
        <v>80</v>
      </c>
      <c r="S943">
        <f t="shared" si="116"/>
        <v>0</v>
      </c>
      <c r="T943" t="str">
        <f t="shared" si="117"/>
        <v>OK</v>
      </c>
      <c r="U943" s="25">
        <f t="shared" si="118"/>
        <v>62</v>
      </c>
      <c r="V943" t="str">
        <f t="shared" si="119"/>
        <v>OK</v>
      </c>
    </row>
    <row r="944" spans="1:22" ht="18" customHeight="1">
      <c r="A944" t="s">
        <v>247</v>
      </c>
      <c r="B944" t="s">
        <v>248</v>
      </c>
      <c r="C944">
        <v>1</v>
      </c>
      <c r="D944" t="s">
        <v>237</v>
      </c>
      <c r="E944" s="6">
        <f t="shared" si="112"/>
        <v>4</v>
      </c>
      <c r="F944" s="6">
        <f t="shared" si="113"/>
        <v>7</v>
      </c>
      <c r="G944" s="6">
        <f>ROUND(Catalogue!G51*SQRT((1+Paramètres!$B$4*(C944-1)+Paramètres!$B$5*(C944-1)^2)),0)</f>
        <v>0</v>
      </c>
      <c r="H944" s="6">
        <f>ROUND(Catalogue!H51*SQRT((1+Paramètres!$B$4*(C944-1)+Paramètres!$B$5*(C944-1)^2)),0)</f>
        <v>0</v>
      </c>
      <c r="I944" s="6">
        <v>2</v>
      </c>
      <c r="J944" s="6">
        <v>5</v>
      </c>
      <c r="K944" s="7">
        <v>1.4</v>
      </c>
      <c r="L944" s="9">
        <f t="shared" si="114"/>
        <v>5.5</v>
      </c>
      <c r="M944">
        <v>1</v>
      </c>
      <c r="N944">
        <v>4</v>
      </c>
      <c r="O944">
        <v>3</v>
      </c>
      <c r="P944" s="13" t="str">
        <f t="shared" si="115"/>
        <v>1d4 + 3</v>
      </c>
      <c r="Q944">
        <f>ROUND(INDEX(Catalogue!E$4:E$85,MATCH(A944,Catalogue!A$4:A$85,0))*(1+Paramètres!$B$4*(C944-1)+Paramètres!$B$5*(C944-1)^2),0)</f>
        <v>4</v>
      </c>
      <c r="R944">
        <f>ROUND(INDEX(Catalogue!F$4:F$85,MATCH(A944,Catalogue!A$4:A$85,0))*(1+Paramètres!$B$4*(C944-1)+Paramètres!$B$5*(C944-1)^2),0)</f>
        <v>8</v>
      </c>
      <c r="S944">
        <f t="shared" si="116"/>
        <v>-0.5</v>
      </c>
      <c r="T944" t="str">
        <f t="shared" si="117"/>
        <v>OK</v>
      </c>
      <c r="U944" s="25">
        <f t="shared" si="118"/>
        <v>5.5</v>
      </c>
      <c r="V944" t="str">
        <f t="shared" si="119"/>
        <v>OK</v>
      </c>
    </row>
    <row r="945" spans="1:22" ht="18" customHeight="1">
      <c r="A945" t="s">
        <v>247</v>
      </c>
      <c r="B945" t="s">
        <v>248</v>
      </c>
      <c r="C945">
        <v>2</v>
      </c>
      <c r="D945" t="s">
        <v>237</v>
      </c>
      <c r="E945" s="6">
        <f t="shared" si="112"/>
        <v>5</v>
      </c>
      <c r="F945" s="6">
        <f t="shared" si="113"/>
        <v>8</v>
      </c>
      <c r="G945" s="6">
        <f>ROUND(Catalogue!G51*SQRT((1+Paramètres!$B$4*(C945-1)+Paramètres!$B$5*(C945-1)^2)),0)</f>
        <v>0</v>
      </c>
      <c r="H945" s="6">
        <f>ROUND(Catalogue!H51*SQRT((1+Paramètres!$B$4*(C945-1)+Paramètres!$B$5*(C945-1)^2)),0)</f>
        <v>0</v>
      </c>
      <c r="I945" s="6">
        <v>2</v>
      </c>
      <c r="J945" s="6">
        <v>5</v>
      </c>
      <c r="K945" s="7">
        <v>1.4</v>
      </c>
      <c r="L945" s="9">
        <f t="shared" si="114"/>
        <v>6.5</v>
      </c>
      <c r="M945">
        <v>1</v>
      </c>
      <c r="N945">
        <v>4</v>
      </c>
      <c r="O945">
        <v>4</v>
      </c>
      <c r="P945" s="13" t="str">
        <f t="shared" si="115"/>
        <v>1d4 + 4</v>
      </c>
      <c r="Q945">
        <f>ROUND(INDEX(Catalogue!E$4:E$85,MATCH(A945,Catalogue!A$4:A$85,0))*(1+Paramètres!$B$4*(C945-1)+Paramètres!$B$5*(C945-1)^2),0)</f>
        <v>5</v>
      </c>
      <c r="R945">
        <f>ROUND(INDEX(Catalogue!F$4:F$85,MATCH(A945,Catalogue!A$4:A$85,0))*(1+Paramètres!$B$4*(C945-1)+Paramètres!$B$5*(C945-1)^2),0)</f>
        <v>9</v>
      </c>
      <c r="S945">
        <f t="shared" si="116"/>
        <v>-0.5</v>
      </c>
      <c r="T945" t="str">
        <f t="shared" si="117"/>
        <v>OK</v>
      </c>
      <c r="U945" s="25">
        <f t="shared" si="118"/>
        <v>6.5</v>
      </c>
      <c r="V945" t="str">
        <f t="shared" si="119"/>
        <v>OK</v>
      </c>
    </row>
    <row r="946" spans="1:22" ht="18" customHeight="1">
      <c r="A946" t="s">
        <v>247</v>
      </c>
      <c r="B946" t="s">
        <v>248</v>
      </c>
      <c r="C946">
        <v>3</v>
      </c>
      <c r="D946" t="s">
        <v>237</v>
      </c>
      <c r="E946" s="6">
        <f t="shared" si="112"/>
        <v>5</v>
      </c>
      <c r="F946" s="6">
        <f t="shared" si="113"/>
        <v>10</v>
      </c>
      <c r="G946" s="6">
        <f>ROUND(Catalogue!G51*SQRT((1+Paramètres!$B$4*(C946-1)+Paramètres!$B$5*(C946-1)^2)),0)</f>
        <v>0</v>
      </c>
      <c r="H946" s="6">
        <f>ROUND(Catalogue!H51*SQRT((1+Paramètres!$B$4*(C946-1)+Paramètres!$B$5*(C946-1)^2)),0)</f>
        <v>0</v>
      </c>
      <c r="I946" s="6">
        <v>2</v>
      </c>
      <c r="J946" s="6">
        <v>5</v>
      </c>
      <c r="K946" s="7">
        <v>1.4</v>
      </c>
      <c r="L946" s="9">
        <f t="shared" si="114"/>
        <v>7.5</v>
      </c>
      <c r="M946">
        <v>1</v>
      </c>
      <c r="N946">
        <v>6</v>
      </c>
      <c r="O946">
        <v>4</v>
      </c>
      <c r="P946" s="13" t="str">
        <f t="shared" si="115"/>
        <v>1d6 + 4</v>
      </c>
      <c r="Q946">
        <f>ROUND(INDEX(Catalogue!E$4:E$85,MATCH(A946,Catalogue!A$4:A$85,0))*(1+Paramètres!$B$4*(C946-1)+Paramètres!$B$5*(C946-1)^2),0)</f>
        <v>5</v>
      </c>
      <c r="R946">
        <f>ROUND(INDEX(Catalogue!F$4:F$85,MATCH(A946,Catalogue!A$4:A$85,0))*(1+Paramètres!$B$4*(C946-1)+Paramètres!$B$5*(C946-1)^2),0)</f>
        <v>10</v>
      </c>
      <c r="S946">
        <f t="shared" si="116"/>
        <v>0</v>
      </c>
      <c r="T946" t="str">
        <f t="shared" si="117"/>
        <v>OK</v>
      </c>
      <c r="U946" s="25">
        <f t="shared" si="118"/>
        <v>7.5</v>
      </c>
      <c r="V946" t="str">
        <f t="shared" si="119"/>
        <v>OK</v>
      </c>
    </row>
    <row r="947" spans="1:22" ht="18" customHeight="1">
      <c r="A947" t="s">
        <v>247</v>
      </c>
      <c r="B947" t="s">
        <v>248</v>
      </c>
      <c r="C947">
        <v>4</v>
      </c>
      <c r="D947" t="s">
        <v>237</v>
      </c>
      <c r="E947" s="6">
        <f t="shared" si="112"/>
        <v>6</v>
      </c>
      <c r="F947" s="6">
        <f t="shared" si="113"/>
        <v>12</v>
      </c>
      <c r="G947" s="6">
        <f>ROUND(Catalogue!G51*SQRT((1+Paramètres!$B$4*(C947-1)+Paramètres!$B$5*(C947-1)^2)),0)</f>
        <v>0</v>
      </c>
      <c r="H947" s="6">
        <f>ROUND(Catalogue!H51*SQRT((1+Paramètres!$B$4*(C947-1)+Paramètres!$B$5*(C947-1)^2)),0)</f>
        <v>0</v>
      </c>
      <c r="I947" s="6">
        <v>2</v>
      </c>
      <c r="J947" s="6">
        <v>5</v>
      </c>
      <c r="K947" s="7">
        <v>1.4</v>
      </c>
      <c r="L947" s="9">
        <f t="shared" si="114"/>
        <v>9</v>
      </c>
      <c r="M947">
        <v>2</v>
      </c>
      <c r="N947">
        <v>4</v>
      </c>
      <c r="O947">
        <v>4</v>
      </c>
      <c r="P947" s="13" t="str">
        <f t="shared" si="115"/>
        <v>2d4 + 4</v>
      </c>
      <c r="Q947">
        <f>ROUND(INDEX(Catalogue!E$4:E$85,MATCH(A947,Catalogue!A$4:A$85,0))*(1+Paramètres!$B$4*(C947-1)+Paramètres!$B$5*(C947-1)^2),0)</f>
        <v>6</v>
      </c>
      <c r="R947">
        <f>ROUND(INDEX(Catalogue!F$4:F$85,MATCH(A947,Catalogue!A$4:A$85,0))*(1+Paramètres!$B$4*(C947-1)+Paramètres!$B$5*(C947-1)^2),0)</f>
        <v>12</v>
      </c>
      <c r="S947">
        <f t="shared" si="116"/>
        <v>0</v>
      </c>
      <c r="T947" t="str">
        <f t="shared" si="117"/>
        <v>OK</v>
      </c>
      <c r="U947" s="25">
        <f t="shared" si="118"/>
        <v>9</v>
      </c>
      <c r="V947" t="str">
        <f t="shared" si="119"/>
        <v>OK</v>
      </c>
    </row>
    <row r="948" spans="1:22" ht="18" customHeight="1">
      <c r="A948" t="s">
        <v>247</v>
      </c>
      <c r="B948" t="s">
        <v>248</v>
      </c>
      <c r="C948">
        <v>5</v>
      </c>
      <c r="D948" t="s">
        <v>237</v>
      </c>
      <c r="E948" s="6">
        <f t="shared" si="112"/>
        <v>7</v>
      </c>
      <c r="F948" s="6">
        <f t="shared" si="113"/>
        <v>14</v>
      </c>
      <c r="G948" s="6">
        <f>ROUND(Catalogue!G51*SQRT((1+Paramètres!$B$4*(C948-1)+Paramètres!$B$5*(C948-1)^2)),0)</f>
        <v>0</v>
      </c>
      <c r="H948" s="6">
        <f>ROUND(Catalogue!H51*SQRT((1+Paramètres!$B$4*(C948-1)+Paramètres!$B$5*(C948-1)^2)),0)</f>
        <v>0</v>
      </c>
      <c r="I948" s="6">
        <v>2</v>
      </c>
      <c r="J948" s="6">
        <v>5</v>
      </c>
      <c r="K948" s="7">
        <v>1.4</v>
      </c>
      <c r="L948" s="9">
        <f t="shared" si="114"/>
        <v>10.5</v>
      </c>
      <c r="M948">
        <v>1</v>
      </c>
      <c r="N948">
        <v>8</v>
      </c>
      <c r="O948">
        <v>6</v>
      </c>
      <c r="P948" s="13" t="str">
        <f t="shared" si="115"/>
        <v>1d8 + 6</v>
      </c>
      <c r="Q948">
        <f>ROUND(INDEX(Catalogue!E$4:E$85,MATCH(A948,Catalogue!A$4:A$85,0))*(1+Paramètres!$B$4*(C948-1)+Paramètres!$B$5*(C948-1)^2),0)</f>
        <v>7</v>
      </c>
      <c r="R948">
        <f>ROUND(INDEX(Catalogue!F$4:F$85,MATCH(A948,Catalogue!A$4:A$85,0))*(1+Paramètres!$B$4*(C948-1)+Paramètres!$B$5*(C948-1)^2),0)</f>
        <v>14</v>
      </c>
      <c r="S948">
        <f t="shared" si="116"/>
        <v>0</v>
      </c>
      <c r="T948" t="str">
        <f t="shared" si="117"/>
        <v>OK</v>
      </c>
      <c r="U948" s="25">
        <f t="shared" si="118"/>
        <v>10.5</v>
      </c>
      <c r="V948" t="str">
        <f t="shared" si="119"/>
        <v>OK</v>
      </c>
    </row>
    <row r="949" spans="1:22" ht="18" customHeight="1">
      <c r="A949" t="s">
        <v>247</v>
      </c>
      <c r="B949" t="s">
        <v>248</v>
      </c>
      <c r="C949">
        <v>6</v>
      </c>
      <c r="D949" t="s">
        <v>237</v>
      </c>
      <c r="E949" s="6">
        <f t="shared" si="112"/>
        <v>9</v>
      </c>
      <c r="F949" s="6">
        <f t="shared" si="113"/>
        <v>16</v>
      </c>
      <c r="G949" s="6">
        <f>ROUND(Catalogue!G51*SQRT((1+Paramètres!$B$4*(C949-1)+Paramètres!$B$5*(C949-1)^2)),0)</f>
        <v>0</v>
      </c>
      <c r="H949" s="6">
        <f>ROUND(Catalogue!H51*SQRT((1+Paramètres!$B$4*(C949-1)+Paramètres!$B$5*(C949-1)^2)),0)</f>
        <v>0</v>
      </c>
      <c r="I949" s="6">
        <v>2</v>
      </c>
      <c r="J949" s="6">
        <v>5</v>
      </c>
      <c r="K949" s="7">
        <v>1.4</v>
      </c>
      <c r="L949" s="9">
        <f t="shared" si="114"/>
        <v>12.5</v>
      </c>
      <c r="M949">
        <v>1</v>
      </c>
      <c r="N949">
        <v>8</v>
      </c>
      <c r="O949">
        <v>8</v>
      </c>
      <c r="P949" s="13" t="str">
        <f t="shared" si="115"/>
        <v>1d8 + 8</v>
      </c>
      <c r="Q949">
        <f>ROUND(INDEX(Catalogue!E$4:E$85,MATCH(A949,Catalogue!A$4:A$85,0))*(1+Paramètres!$B$4*(C949-1)+Paramètres!$B$5*(C949-1)^2),0)</f>
        <v>8</v>
      </c>
      <c r="R949">
        <f>ROUND(INDEX(Catalogue!F$4:F$85,MATCH(A949,Catalogue!A$4:A$85,0))*(1+Paramètres!$B$4*(C949-1)+Paramètres!$B$5*(C949-1)^2),0)</f>
        <v>16</v>
      </c>
      <c r="S949">
        <f t="shared" si="116"/>
        <v>0.5</v>
      </c>
      <c r="T949" t="str">
        <f t="shared" si="117"/>
        <v>OK</v>
      </c>
      <c r="U949" s="25">
        <f t="shared" si="118"/>
        <v>12.5</v>
      </c>
      <c r="V949" t="str">
        <f t="shared" si="119"/>
        <v>OK</v>
      </c>
    </row>
    <row r="950" spans="1:22" ht="18" customHeight="1">
      <c r="A950" t="s">
        <v>247</v>
      </c>
      <c r="B950" t="s">
        <v>248</v>
      </c>
      <c r="C950">
        <v>7</v>
      </c>
      <c r="D950" t="s">
        <v>237</v>
      </c>
      <c r="E950" s="6">
        <f t="shared" si="112"/>
        <v>9</v>
      </c>
      <c r="F950" s="6">
        <f t="shared" si="113"/>
        <v>18</v>
      </c>
      <c r="G950" s="6">
        <f>ROUND(Catalogue!G51*SQRT((1+Paramètres!$B$4*(C950-1)+Paramètres!$B$5*(C950-1)^2)),0)</f>
        <v>0</v>
      </c>
      <c r="H950" s="6">
        <f>ROUND(Catalogue!H51*SQRT((1+Paramètres!$B$4*(C950-1)+Paramètres!$B$5*(C950-1)^2)),0)</f>
        <v>0</v>
      </c>
      <c r="I950" s="6">
        <v>2</v>
      </c>
      <c r="J950" s="6">
        <v>5</v>
      </c>
      <c r="K950" s="7">
        <v>1.4</v>
      </c>
      <c r="L950" s="9">
        <f t="shared" si="114"/>
        <v>13.5</v>
      </c>
      <c r="M950">
        <v>1</v>
      </c>
      <c r="N950">
        <v>10</v>
      </c>
      <c r="O950">
        <v>8</v>
      </c>
      <c r="P950" s="13" t="str">
        <f t="shared" si="115"/>
        <v>1d10 + 8</v>
      </c>
      <c r="Q950">
        <f>ROUND(INDEX(Catalogue!E$4:E$85,MATCH(A950,Catalogue!A$4:A$85,0))*(1+Paramètres!$B$4*(C950-1)+Paramètres!$B$5*(C950-1)^2),0)</f>
        <v>9</v>
      </c>
      <c r="R950">
        <f>ROUND(INDEX(Catalogue!F$4:F$85,MATCH(A950,Catalogue!A$4:A$85,0))*(1+Paramètres!$B$4*(C950-1)+Paramètres!$B$5*(C950-1)^2),0)</f>
        <v>18</v>
      </c>
      <c r="S950">
        <f t="shared" si="116"/>
        <v>0</v>
      </c>
      <c r="T950" t="str">
        <f t="shared" si="117"/>
        <v>OK</v>
      </c>
      <c r="U950" s="25">
        <f t="shared" si="118"/>
        <v>13.5</v>
      </c>
      <c r="V950" t="str">
        <f t="shared" si="119"/>
        <v>OK</v>
      </c>
    </row>
    <row r="951" spans="1:22" ht="18" customHeight="1">
      <c r="A951" t="s">
        <v>247</v>
      </c>
      <c r="B951" t="s">
        <v>248</v>
      </c>
      <c r="C951">
        <v>8</v>
      </c>
      <c r="D951" t="s">
        <v>237</v>
      </c>
      <c r="E951" s="6">
        <f t="shared" si="112"/>
        <v>10</v>
      </c>
      <c r="F951" s="6">
        <f t="shared" si="113"/>
        <v>20</v>
      </c>
      <c r="G951" s="6">
        <f>ROUND(Catalogue!G51*SQRT((1+Paramètres!$B$4*(C951-1)+Paramètres!$B$5*(C951-1)^2)),0)</f>
        <v>0</v>
      </c>
      <c r="H951" s="6">
        <f>ROUND(Catalogue!H51*SQRT((1+Paramètres!$B$4*(C951-1)+Paramètres!$B$5*(C951-1)^2)),0)</f>
        <v>0</v>
      </c>
      <c r="I951" s="6">
        <v>2</v>
      </c>
      <c r="J951" s="6">
        <v>5</v>
      </c>
      <c r="K951" s="7">
        <v>1.4</v>
      </c>
      <c r="L951" s="9">
        <f t="shared" si="114"/>
        <v>15</v>
      </c>
      <c r="M951">
        <v>2</v>
      </c>
      <c r="N951">
        <v>6</v>
      </c>
      <c r="O951">
        <v>8</v>
      </c>
      <c r="P951" s="13" t="str">
        <f t="shared" si="115"/>
        <v>2d6 + 8</v>
      </c>
      <c r="Q951">
        <f>ROUND(INDEX(Catalogue!E$4:E$85,MATCH(A951,Catalogue!A$4:A$85,0))*(1+Paramètres!$B$4*(C951-1)+Paramètres!$B$5*(C951-1)^2),0)</f>
        <v>10</v>
      </c>
      <c r="R951">
        <f>ROUND(INDEX(Catalogue!F$4:F$85,MATCH(A951,Catalogue!A$4:A$85,0))*(1+Paramètres!$B$4*(C951-1)+Paramètres!$B$5*(C951-1)^2),0)</f>
        <v>20</v>
      </c>
      <c r="S951">
        <f t="shared" si="116"/>
        <v>0</v>
      </c>
      <c r="T951" t="str">
        <f t="shared" si="117"/>
        <v>OK</v>
      </c>
      <c r="U951" s="25">
        <f t="shared" si="118"/>
        <v>15</v>
      </c>
      <c r="V951" t="str">
        <f t="shared" si="119"/>
        <v>OK</v>
      </c>
    </row>
    <row r="952" spans="1:22" ht="18" customHeight="1">
      <c r="A952" t="s">
        <v>247</v>
      </c>
      <c r="B952" t="s">
        <v>248</v>
      </c>
      <c r="C952">
        <v>9</v>
      </c>
      <c r="D952" t="s">
        <v>237</v>
      </c>
      <c r="E952" s="6">
        <f t="shared" si="112"/>
        <v>12</v>
      </c>
      <c r="F952" s="6">
        <f t="shared" si="113"/>
        <v>23</v>
      </c>
      <c r="G952" s="6">
        <f>ROUND(Catalogue!G51*SQRT((1+Paramètres!$B$4*(C952-1)+Paramètres!$B$5*(C952-1)^2)),0)</f>
        <v>0</v>
      </c>
      <c r="H952" s="6">
        <f>ROUND(Catalogue!H51*SQRT((1+Paramètres!$B$4*(C952-1)+Paramètres!$B$5*(C952-1)^2)),0)</f>
        <v>0</v>
      </c>
      <c r="I952" s="6">
        <v>2</v>
      </c>
      <c r="J952" s="6">
        <v>5</v>
      </c>
      <c r="K952" s="7">
        <v>1.4</v>
      </c>
      <c r="L952" s="9">
        <f t="shared" si="114"/>
        <v>17.5</v>
      </c>
      <c r="M952">
        <v>1</v>
      </c>
      <c r="N952">
        <v>12</v>
      </c>
      <c r="O952">
        <v>11</v>
      </c>
      <c r="P952" s="13" t="str">
        <f t="shared" si="115"/>
        <v>1d12 + 11</v>
      </c>
      <c r="Q952">
        <f>ROUND(INDEX(Catalogue!E$4:E$85,MATCH(A952,Catalogue!A$4:A$85,0))*(1+Paramètres!$B$4*(C952-1)+Paramètres!$B$5*(C952-1)^2),0)</f>
        <v>12</v>
      </c>
      <c r="R952">
        <f>ROUND(INDEX(Catalogue!F$4:F$85,MATCH(A952,Catalogue!A$4:A$85,0))*(1+Paramètres!$B$4*(C952-1)+Paramètres!$B$5*(C952-1)^2),0)</f>
        <v>23</v>
      </c>
      <c r="S952">
        <f t="shared" si="116"/>
        <v>0</v>
      </c>
      <c r="T952" t="str">
        <f t="shared" si="117"/>
        <v>OK</v>
      </c>
      <c r="U952" s="25">
        <f t="shared" si="118"/>
        <v>17.5</v>
      </c>
      <c r="V952" t="str">
        <f t="shared" si="119"/>
        <v>OK</v>
      </c>
    </row>
    <row r="953" spans="1:22" ht="18" customHeight="1">
      <c r="A953" t="s">
        <v>247</v>
      </c>
      <c r="B953" t="s">
        <v>248</v>
      </c>
      <c r="C953">
        <v>10</v>
      </c>
      <c r="D953" t="s">
        <v>237</v>
      </c>
      <c r="E953" s="6">
        <f t="shared" si="112"/>
        <v>12</v>
      </c>
      <c r="F953" s="6">
        <f t="shared" si="113"/>
        <v>26</v>
      </c>
      <c r="G953" s="6">
        <f>ROUND(Catalogue!G51*SQRT((1+Paramètres!$B$4*(C953-1)+Paramètres!$B$5*(C953-1)^2)),0)</f>
        <v>0</v>
      </c>
      <c r="H953" s="6">
        <f>ROUND(Catalogue!H51*SQRT((1+Paramètres!$B$4*(C953-1)+Paramètres!$B$5*(C953-1)^2)),0)</f>
        <v>0</v>
      </c>
      <c r="I953" s="6">
        <v>2</v>
      </c>
      <c r="J953" s="6">
        <v>5</v>
      </c>
      <c r="K953" s="7">
        <v>1.4</v>
      </c>
      <c r="L953" s="9">
        <f t="shared" si="114"/>
        <v>19</v>
      </c>
      <c r="M953">
        <v>2</v>
      </c>
      <c r="N953">
        <v>8</v>
      </c>
      <c r="O953">
        <v>10</v>
      </c>
      <c r="P953" s="13" t="str">
        <f t="shared" si="115"/>
        <v>2d8 + 10</v>
      </c>
      <c r="Q953">
        <f>ROUND(INDEX(Catalogue!E$4:E$85,MATCH(A953,Catalogue!A$4:A$85,0))*(1+Paramètres!$B$4*(C953-1)+Paramètres!$B$5*(C953-1)^2),0)</f>
        <v>13</v>
      </c>
      <c r="R953">
        <f>ROUND(INDEX(Catalogue!F$4:F$85,MATCH(A953,Catalogue!A$4:A$85,0))*(1+Paramètres!$B$4*(C953-1)+Paramètres!$B$5*(C953-1)^2),0)</f>
        <v>26</v>
      </c>
      <c r="S953">
        <f t="shared" si="116"/>
        <v>-0.5</v>
      </c>
      <c r="T953" t="str">
        <f t="shared" si="117"/>
        <v>OK</v>
      </c>
      <c r="U953" s="25">
        <f t="shared" si="118"/>
        <v>19</v>
      </c>
      <c r="V953" t="str">
        <f t="shared" si="119"/>
        <v>OK</v>
      </c>
    </row>
    <row r="954" spans="1:22" ht="18" customHeight="1">
      <c r="A954" t="s">
        <v>247</v>
      </c>
      <c r="B954" t="s">
        <v>248</v>
      </c>
      <c r="C954">
        <v>11</v>
      </c>
      <c r="D954" t="s">
        <v>237</v>
      </c>
      <c r="E954" s="6">
        <f t="shared" si="112"/>
        <v>15</v>
      </c>
      <c r="F954" s="6">
        <f t="shared" si="113"/>
        <v>30</v>
      </c>
      <c r="G954" s="6">
        <f>ROUND(Catalogue!G51*SQRT((1+Paramètres!$B$4*(C954-1)+Paramètres!$B$5*(C954-1)^2)),0)</f>
        <v>0</v>
      </c>
      <c r="H954" s="6">
        <f>ROUND(Catalogue!H51*SQRT((1+Paramètres!$B$4*(C954-1)+Paramètres!$B$5*(C954-1)^2)),0)</f>
        <v>0</v>
      </c>
      <c r="I954" s="6">
        <v>2</v>
      </c>
      <c r="J954" s="6">
        <v>5</v>
      </c>
      <c r="K954" s="7">
        <v>1.4</v>
      </c>
      <c r="L954" s="9">
        <f t="shared" si="114"/>
        <v>22.5</v>
      </c>
      <c r="M954">
        <v>3</v>
      </c>
      <c r="N954">
        <v>6</v>
      </c>
      <c r="O954">
        <v>12</v>
      </c>
      <c r="P954" s="13" t="str">
        <f t="shared" si="115"/>
        <v>3d6 + 12</v>
      </c>
      <c r="Q954">
        <f>ROUND(INDEX(Catalogue!E$4:E$85,MATCH(A954,Catalogue!A$4:A$85,0))*(1+Paramètres!$B$4*(C954-1)+Paramètres!$B$5*(C954-1)^2),0)</f>
        <v>15</v>
      </c>
      <c r="R954">
        <f>ROUND(INDEX(Catalogue!F$4:F$85,MATCH(A954,Catalogue!A$4:A$85,0))*(1+Paramètres!$B$4*(C954-1)+Paramètres!$B$5*(C954-1)^2),0)</f>
        <v>30</v>
      </c>
      <c r="S954">
        <f t="shared" si="116"/>
        <v>0</v>
      </c>
      <c r="T954" t="str">
        <f t="shared" si="117"/>
        <v>OK</v>
      </c>
      <c r="U954" s="25">
        <f t="shared" si="118"/>
        <v>22.5</v>
      </c>
      <c r="V954" t="str">
        <f t="shared" si="119"/>
        <v>OK</v>
      </c>
    </row>
    <row r="955" spans="1:22" ht="18" customHeight="1">
      <c r="A955" t="s">
        <v>247</v>
      </c>
      <c r="B955" t="s">
        <v>248</v>
      </c>
      <c r="C955">
        <v>12</v>
      </c>
      <c r="D955" t="s">
        <v>237</v>
      </c>
      <c r="E955" s="6">
        <f t="shared" si="112"/>
        <v>17</v>
      </c>
      <c r="F955" s="6">
        <f t="shared" si="113"/>
        <v>32</v>
      </c>
      <c r="G955" s="6">
        <f>ROUND(Catalogue!G51*SQRT((1+Paramètres!$B$4*(C955-1)+Paramètres!$B$5*(C955-1)^2)),0)</f>
        <v>0</v>
      </c>
      <c r="H955" s="6">
        <f>ROUND(Catalogue!H51*SQRT((1+Paramètres!$B$4*(C955-1)+Paramètres!$B$5*(C955-1)^2)),0)</f>
        <v>0</v>
      </c>
      <c r="I955" s="6">
        <v>2</v>
      </c>
      <c r="J955" s="6">
        <v>5</v>
      </c>
      <c r="K955" s="7">
        <v>1.4</v>
      </c>
      <c r="L955" s="9">
        <f t="shared" si="114"/>
        <v>24.5</v>
      </c>
      <c r="M955">
        <v>3</v>
      </c>
      <c r="N955">
        <v>6</v>
      </c>
      <c r="O955">
        <v>14</v>
      </c>
      <c r="P955" s="13" t="str">
        <f t="shared" si="115"/>
        <v>3d6 + 14</v>
      </c>
      <c r="Q955">
        <f>ROUND(INDEX(Catalogue!E$4:E$85,MATCH(A955,Catalogue!A$4:A$85,0))*(1+Paramètres!$B$4*(C955-1)+Paramètres!$B$5*(C955-1)^2),0)</f>
        <v>17</v>
      </c>
      <c r="R955">
        <f>ROUND(INDEX(Catalogue!F$4:F$85,MATCH(A955,Catalogue!A$4:A$85,0))*(1+Paramètres!$B$4*(C955-1)+Paramètres!$B$5*(C955-1)^2),0)</f>
        <v>33</v>
      </c>
      <c r="S955">
        <f t="shared" si="116"/>
        <v>-0.5</v>
      </c>
      <c r="T955" t="str">
        <f t="shared" si="117"/>
        <v>OK</v>
      </c>
      <c r="U955" s="25">
        <f t="shared" si="118"/>
        <v>24.5</v>
      </c>
      <c r="V955" t="str">
        <f t="shared" si="119"/>
        <v>OK</v>
      </c>
    </row>
    <row r="956" spans="1:22" ht="18" customHeight="1">
      <c r="A956" t="s">
        <v>247</v>
      </c>
      <c r="B956" t="s">
        <v>248</v>
      </c>
      <c r="C956">
        <v>13</v>
      </c>
      <c r="D956" t="s">
        <v>237</v>
      </c>
      <c r="E956" s="6">
        <f t="shared" si="112"/>
        <v>18</v>
      </c>
      <c r="F956" s="6">
        <f t="shared" si="113"/>
        <v>36</v>
      </c>
      <c r="G956" s="6">
        <f>ROUND(Catalogue!G51*SQRT((1+Paramètres!$B$4*(C956-1)+Paramètres!$B$5*(C956-1)^2)),0)</f>
        <v>0</v>
      </c>
      <c r="H956" s="6">
        <f>ROUND(Catalogue!H51*SQRT((1+Paramètres!$B$4*(C956-1)+Paramètres!$B$5*(C956-1)^2)),0)</f>
        <v>0</v>
      </c>
      <c r="I956" s="6">
        <v>2</v>
      </c>
      <c r="J956" s="6">
        <v>5</v>
      </c>
      <c r="K956" s="7">
        <v>1.4</v>
      </c>
      <c r="L956" s="9">
        <f t="shared" si="114"/>
        <v>27</v>
      </c>
      <c r="M956">
        <v>2</v>
      </c>
      <c r="N956">
        <v>10</v>
      </c>
      <c r="O956">
        <v>16</v>
      </c>
      <c r="P956" s="13" t="str">
        <f t="shared" si="115"/>
        <v>2d10 + 16</v>
      </c>
      <c r="Q956">
        <f>ROUND(INDEX(Catalogue!E$4:E$85,MATCH(A956,Catalogue!A$4:A$85,0))*(1+Paramètres!$B$4*(C956-1)+Paramètres!$B$5*(C956-1)^2),0)</f>
        <v>18</v>
      </c>
      <c r="R956">
        <f>ROUND(INDEX(Catalogue!F$4:F$85,MATCH(A956,Catalogue!A$4:A$85,0))*(1+Paramètres!$B$4*(C956-1)+Paramètres!$B$5*(C956-1)^2),0)</f>
        <v>37</v>
      </c>
      <c r="S956">
        <f t="shared" si="116"/>
        <v>-0.5</v>
      </c>
      <c r="T956" t="str">
        <f t="shared" si="117"/>
        <v>OK</v>
      </c>
      <c r="U956" s="25">
        <f t="shared" si="118"/>
        <v>27</v>
      </c>
      <c r="V956" t="str">
        <f t="shared" si="119"/>
        <v>OK</v>
      </c>
    </row>
    <row r="957" spans="1:22" ht="18" customHeight="1">
      <c r="A957" t="s">
        <v>247</v>
      </c>
      <c r="B957" t="s">
        <v>248</v>
      </c>
      <c r="C957">
        <v>14</v>
      </c>
      <c r="D957" t="s">
        <v>237</v>
      </c>
      <c r="E957" s="6">
        <f t="shared" si="112"/>
        <v>21</v>
      </c>
      <c r="F957" s="6">
        <f t="shared" si="113"/>
        <v>41</v>
      </c>
      <c r="G957" s="6">
        <f>ROUND(Catalogue!G51*SQRT((1+Paramètres!$B$4*(C957-1)+Paramètres!$B$5*(C957-1)^2)),0)</f>
        <v>0</v>
      </c>
      <c r="H957" s="6">
        <f>ROUND(Catalogue!H51*SQRT((1+Paramètres!$B$4*(C957-1)+Paramètres!$B$5*(C957-1)^2)),0)</f>
        <v>0</v>
      </c>
      <c r="I957" s="6">
        <v>2</v>
      </c>
      <c r="J957" s="6">
        <v>5</v>
      </c>
      <c r="K957" s="7">
        <v>1.4</v>
      </c>
      <c r="L957" s="9">
        <f t="shared" si="114"/>
        <v>31</v>
      </c>
      <c r="M957">
        <v>4</v>
      </c>
      <c r="N957">
        <v>6</v>
      </c>
      <c r="O957">
        <v>17</v>
      </c>
      <c r="P957" s="13" t="str">
        <f t="shared" si="115"/>
        <v>4d6 + 17</v>
      </c>
      <c r="Q957">
        <f>ROUND(INDEX(Catalogue!E$4:E$85,MATCH(A957,Catalogue!A$4:A$85,0))*(1+Paramètres!$B$4*(C957-1)+Paramètres!$B$5*(C957-1)^2),0)</f>
        <v>21</v>
      </c>
      <c r="R957">
        <f>ROUND(INDEX(Catalogue!F$4:F$85,MATCH(A957,Catalogue!A$4:A$85,0))*(1+Paramètres!$B$4*(C957-1)+Paramètres!$B$5*(C957-1)^2),0)</f>
        <v>41</v>
      </c>
      <c r="S957">
        <f t="shared" si="116"/>
        <v>0</v>
      </c>
      <c r="T957" t="str">
        <f t="shared" si="117"/>
        <v>OK</v>
      </c>
      <c r="U957" s="25">
        <f t="shared" si="118"/>
        <v>31</v>
      </c>
      <c r="V957" t="str">
        <f t="shared" si="119"/>
        <v>OK</v>
      </c>
    </row>
    <row r="958" spans="1:22" ht="18" customHeight="1">
      <c r="A958" t="s">
        <v>247</v>
      </c>
      <c r="B958" t="s">
        <v>248</v>
      </c>
      <c r="C958">
        <v>15</v>
      </c>
      <c r="D958" t="s">
        <v>237</v>
      </c>
      <c r="E958" s="6">
        <f t="shared" si="112"/>
        <v>23</v>
      </c>
      <c r="F958" s="6">
        <f t="shared" si="113"/>
        <v>45</v>
      </c>
      <c r="G958" s="6">
        <f>ROUND(Catalogue!G51*SQRT((1+Paramètres!$B$4*(C958-1)+Paramètres!$B$5*(C958-1)^2)),0)</f>
        <v>0</v>
      </c>
      <c r="H958" s="6">
        <f>ROUND(Catalogue!H51*SQRT((1+Paramètres!$B$4*(C958-1)+Paramètres!$B$5*(C958-1)^2)),0)</f>
        <v>0</v>
      </c>
      <c r="I958" s="6">
        <v>2</v>
      </c>
      <c r="J958" s="6">
        <v>5</v>
      </c>
      <c r="K958" s="7">
        <v>1.4</v>
      </c>
      <c r="L958" s="9">
        <f t="shared" si="114"/>
        <v>34</v>
      </c>
      <c r="M958">
        <v>2</v>
      </c>
      <c r="N958">
        <v>12</v>
      </c>
      <c r="O958">
        <v>21</v>
      </c>
      <c r="P958" s="13" t="str">
        <f t="shared" si="115"/>
        <v>2d12 + 21</v>
      </c>
      <c r="Q958">
        <f>ROUND(INDEX(Catalogue!E$4:E$85,MATCH(A958,Catalogue!A$4:A$85,0))*(1+Paramètres!$B$4*(C958-1)+Paramètres!$B$5*(C958-1)^2),0)</f>
        <v>23</v>
      </c>
      <c r="R958">
        <f>ROUND(INDEX(Catalogue!F$4:F$85,MATCH(A958,Catalogue!A$4:A$85,0))*(1+Paramètres!$B$4*(C958-1)+Paramètres!$B$5*(C958-1)^2),0)</f>
        <v>45</v>
      </c>
      <c r="S958">
        <f t="shared" si="116"/>
        <v>0</v>
      </c>
      <c r="T958" t="str">
        <f t="shared" si="117"/>
        <v>OK</v>
      </c>
      <c r="U958" s="25">
        <f t="shared" si="118"/>
        <v>34</v>
      </c>
      <c r="V958" t="str">
        <f t="shared" si="119"/>
        <v>OK</v>
      </c>
    </row>
    <row r="959" spans="1:22" ht="18" customHeight="1">
      <c r="A959" t="s">
        <v>247</v>
      </c>
      <c r="B959" t="s">
        <v>248</v>
      </c>
      <c r="C959">
        <v>16</v>
      </c>
      <c r="D959" t="s">
        <v>237</v>
      </c>
      <c r="E959" s="6">
        <f t="shared" si="112"/>
        <v>25</v>
      </c>
      <c r="F959" s="6">
        <f t="shared" si="113"/>
        <v>50</v>
      </c>
      <c r="G959" s="6">
        <f>ROUND(Catalogue!G51*SQRT((1+Paramètres!$B$4*(C959-1)+Paramètres!$B$5*(C959-1)^2)),0)</f>
        <v>0</v>
      </c>
      <c r="H959" s="6">
        <f>ROUND(Catalogue!H51*SQRT((1+Paramètres!$B$4*(C959-1)+Paramètres!$B$5*(C959-1)^2)),0)</f>
        <v>0</v>
      </c>
      <c r="I959" s="6">
        <v>2</v>
      </c>
      <c r="J959" s="6">
        <v>5</v>
      </c>
      <c r="K959" s="7">
        <v>1.4</v>
      </c>
      <c r="L959" s="9">
        <f t="shared" si="114"/>
        <v>37.5</v>
      </c>
      <c r="M959">
        <v>5</v>
      </c>
      <c r="N959">
        <v>6</v>
      </c>
      <c r="O959">
        <v>20</v>
      </c>
      <c r="P959" s="13" t="str">
        <f t="shared" si="115"/>
        <v>5d6 + 20</v>
      </c>
      <c r="Q959">
        <f>ROUND(INDEX(Catalogue!E$4:E$85,MATCH(A959,Catalogue!A$4:A$85,0))*(1+Paramètres!$B$4*(C959-1)+Paramètres!$B$5*(C959-1)^2),0)</f>
        <v>25</v>
      </c>
      <c r="R959">
        <f>ROUND(INDEX(Catalogue!F$4:F$85,MATCH(A959,Catalogue!A$4:A$85,0))*(1+Paramètres!$B$4*(C959-1)+Paramètres!$B$5*(C959-1)^2),0)</f>
        <v>50</v>
      </c>
      <c r="S959">
        <f t="shared" si="116"/>
        <v>0</v>
      </c>
      <c r="T959" t="str">
        <f t="shared" si="117"/>
        <v>OK</v>
      </c>
      <c r="U959" s="25">
        <f t="shared" si="118"/>
        <v>37.5</v>
      </c>
      <c r="V959" t="str">
        <f t="shared" si="119"/>
        <v>OK</v>
      </c>
    </row>
    <row r="960" spans="1:22" ht="18" customHeight="1">
      <c r="A960" t="s">
        <v>247</v>
      </c>
      <c r="B960" t="s">
        <v>248</v>
      </c>
      <c r="C960">
        <v>17</v>
      </c>
      <c r="D960" t="s">
        <v>237</v>
      </c>
      <c r="E960" s="6">
        <f t="shared" si="112"/>
        <v>27</v>
      </c>
      <c r="F960" s="6">
        <f t="shared" si="113"/>
        <v>55</v>
      </c>
      <c r="G960" s="6">
        <f>ROUND(Catalogue!G51*SQRT((1+Paramètres!$B$4*(C960-1)+Paramètres!$B$5*(C960-1)^2)),0)</f>
        <v>0</v>
      </c>
      <c r="H960" s="6">
        <f>ROUND(Catalogue!H51*SQRT((1+Paramètres!$B$4*(C960-1)+Paramètres!$B$5*(C960-1)^2)),0)</f>
        <v>0</v>
      </c>
      <c r="I960" s="6">
        <v>2</v>
      </c>
      <c r="J960" s="6">
        <v>5</v>
      </c>
      <c r="K960" s="7">
        <v>1.4</v>
      </c>
      <c r="L960" s="9">
        <f t="shared" si="114"/>
        <v>41</v>
      </c>
      <c r="M960">
        <v>4</v>
      </c>
      <c r="N960">
        <v>8</v>
      </c>
      <c r="O960">
        <v>23</v>
      </c>
      <c r="P960" s="13" t="str">
        <f t="shared" si="115"/>
        <v>4d8 + 23</v>
      </c>
      <c r="Q960">
        <f>ROUND(INDEX(Catalogue!E$4:E$85,MATCH(A960,Catalogue!A$4:A$85,0))*(1+Paramètres!$B$4*(C960-1)+Paramètres!$B$5*(C960-1)^2),0)</f>
        <v>27</v>
      </c>
      <c r="R960">
        <f>ROUND(INDEX(Catalogue!F$4:F$85,MATCH(A960,Catalogue!A$4:A$85,0))*(1+Paramètres!$B$4*(C960-1)+Paramètres!$B$5*(C960-1)^2),0)</f>
        <v>55</v>
      </c>
      <c r="S960">
        <f t="shared" si="116"/>
        <v>0</v>
      </c>
      <c r="T960" t="str">
        <f t="shared" si="117"/>
        <v>OK</v>
      </c>
      <c r="U960" s="25">
        <f t="shared" si="118"/>
        <v>41</v>
      </c>
      <c r="V960" t="str">
        <f t="shared" si="119"/>
        <v>OK</v>
      </c>
    </row>
    <row r="961" spans="1:22" ht="18" customHeight="1">
      <c r="A961" t="s">
        <v>247</v>
      </c>
      <c r="B961" t="s">
        <v>248</v>
      </c>
      <c r="C961">
        <v>18</v>
      </c>
      <c r="D961" t="s">
        <v>237</v>
      </c>
      <c r="E961" s="6">
        <f t="shared" si="112"/>
        <v>30</v>
      </c>
      <c r="F961" s="6">
        <f t="shared" si="113"/>
        <v>60</v>
      </c>
      <c r="G961" s="6">
        <f>ROUND(Catalogue!G51*SQRT((1+Paramètres!$B$4*(C961-1)+Paramètres!$B$5*(C961-1)^2)),0)</f>
        <v>0</v>
      </c>
      <c r="H961" s="6">
        <f>ROUND(Catalogue!H51*SQRT((1+Paramètres!$B$4*(C961-1)+Paramètres!$B$5*(C961-1)^2)),0)</f>
        <v>0</v>
      </c>
      <c r="I961" s="6">
        <v>2</v>
      </c>
      <c r="J961" s="6">
        <v>5</v>
      </c>
      <c r="K961" s="7">
        <v>1.4</v>
      </c>
      <c r="L961" s="9">
        <f t="shared" si="114"/>
        <v>45</v>
      </c>
      <c r="M961">
        <v>6</v>
      </c>
      <c r="N961">
        <v>6</v>
      </c>
      <c r="O961">
        <v>24</v>
      </c>
      <c r="P961" s="13" t="str">
        <f t="shared" si="115"/>
        <v>6d6 + 24</v>
      </c>
      <c r="Q961">
        <f>ROUND(INDEX(Catalogue!E$4:E$85,MATCH(A961,Catalogue!A$4:A$85,0))*(1+Paramètres!$B$4*(C961-1)+Paramètres!$B$5*(C961-1)^2),0)</f>
        <v>30</v>
      </c>
      <c r="R961">
        <f>ROUND(INDEX(Catalogue!F$4:F$85,MATCH(A961,Catalogue!A$4:A$85,0))*(1+Paramètres!$B$4*(C961-1)+Paramètres!$B$5*(C961-1)^2),0)</f>
        <v>60</v>
      </c>
      <c r="S961">
        <f t="shared" si="116"/>
        <v>0</v>
      </c>
      <c r="T961" t="str">
        <f t="shared" si="117"/>
        <v>OK</v>
      </c>
      <c r="U961" s="25">
        <f t="shared" si="118"/>
        <v>45</v>
      </c>
      <c r="V961" t="str">
        <f t="shared" si="119"/>
        <v>OK</v>
      </c>
    </row>
    <row r="962" spans="1:22" ht="18" customHeight="1">
      <c r="A962" t="s">
        <v>247</v>
      </c>
      <c r="B962" t="s">
        <v>248</v>
      </c>
      <c r="C962">
        <v>19</v>
      </c>
      <c r="D962" t="s">
        <v>237</v>
      </c>
      <c r="E962" s="6">
        <f t="shared" si="112"/>
        <v>32</v>
      </c>
      <c r="F962" s="6">
        <f t="shared" si="113"/>
        <v>65</v>
      </c>
      <c r="G962" s="6">
        <f>ROUND(Catalogue!G51*SQRT((1+Paramètres!$B$4*(C962-1)+Paramètres!$B$5*(C962-1)^2)),0)</f>
        <v>0</v>
      </c>
      <c r="H962" s="6">
        <f>ROUND(Catalogue!H51*SQRT((1+Paramètres!$B$4*(C962-1)+Paramètres!$B$5*(C962-1)^2)),0)</f>
        <v>0</v>
      </c>
      <c r="I962" s="6">
        <v>2</v>
      </c>
      <c r="J962" s="6">
        <v>5</v>
      </c>
      <c r="K962" s="7">
        <v>1.4</v>
      </c>
      <c r="L962" s="9">
        <f t="shared" si="114"/>
        <v>48.5</v>
      </c>
      <c r="M962">
        <v>3</v>
      </c>
      <c r="N962">
        <v>12</v>
      </c>
      <c r="O962">
        <v>29</v>
      </c>
      <c r="P962" s="13" t="str">
        <f t="shared" si="115"/>
        <v>3d12 + 29</v>
      </c>
      <c r="Q962">
        <f>ROUND(INDEX(Catalogue!E$4:E$85,MATCH(A962,Catalogue!A$4:A$85,0))*(1+Paramètres!$B$4*(C962-1)+Paramètres!$B$5*(C962-1)^2),0)</f>
        <v>33</v>
      </c>
      <c r="R962">
        <f>ROUND(INDEX(Catalogue!F$4:F$85,MATCH(A962,Catalogue!A$4:A$85,0))*(1+Paramètres!$B$4*(C962-1)+Paramètres!$B$5*(C962-1)^2),0)</f>
        <v>65</v>
      </c>
      <c r="S962">
        <f t="shared" si="116"/>
        <v>-0.5</v>
      </c>
      <c r="T962" t="str">
        <f t="shared" si="117"/>
        <v>OK</v>
      </c>
      <c r="U962" s="25">
        <f t="shared" si="118"/>
        <v>48.5</v>
      </c>
      <c r="V962" t="str">
        <f t="shared" si="119"/>
        <v>OK</v>
      </c>
    </row>
    <row r="963" spans="1:22" ht="18" customHeight="1">
      <c r="A963" t="s">
        <v>247</v>
      </c>
      <c r="B963" t="s">
        <v>248</v>
      </c>
      <c r="C963">
        <v>20</v>
      </c>
      <c r="D963" t="s">
        <v>237</v>
      </c>
      <c r="E963" s="6">
        <f t="shared" si="112"/>
        <v>35</v>
      </c>
      <c r="F963" s="6">
        <f t="shared" si="113"/>
        <v>71</v>
      </c>
      <c r="G963" s="6">
        <f>ROUND(Catalogue!G51*SQRT((1+Paramètres!$B$4*(C963-1)+Paramètres!$B$5*(C963-1)^2)),0)</f>
        <v>0</v>
      </c>
      <c r="H963" s="6">
        <f>ROUND(Catalogue!H51*SQRT((1+Paramètres!$B$4*(C963-1)+Paramètres!$B$5*(C963-1)^2)),0)</f>
        <v>0</v>
      </c>
      <c r="I963" s="6">
        <v>2</v>
      </c>
      <c r="J963" s="6">
        <v>5</v>
      </c>
      <c r="K963" s="7">
        <v>1.4</v>
      </c>
      <c r="L963" s="9">
        <f t="shared" si="114"/>
        <v>53</v>
      </c>
      <c r="M963">
        <v>4</v>
      </c>
      <c r="N963">
        <v>10</v>
      </c>
      <c r="O963">
        <v>31</v>
      </c>
      <c r="P963" s="13" t="str">
        <f t="shared" si="115"/>
        <v>4d10 + 31</v>
      </c>
      <c r="Q963">
        <f>ROUND(INDEX(Catalogue!E$4:E$85,MATCH(A963,Catalogue!A$4:A$85,0))*(1+Paramètres!$B$4*(C963-1)+Paramètres!$B$5*(C963-1)^2),0)</f>
        <v>35</v>
      </c>
      <c r="R963">
        <f>ROUND(INDEX(Catalogue!F$4:F$85,MATCH(A963,Catalogue!A$4:A$85,0))*(1+Paramètres!$B$4*(C963-1)+Paramètres!$B$5*(C963-1)^2),0)</f>
        <v>71</v>
      </c>
      <c r="S963">
        <f t="shared" si="116"/>
        <v>0</v>
      </c>
      <c r="T963" t="str">
        <f t="shared" si="117"/>
        <v>OK</v>
      </c>
      <c r="U963" s="25">
        <f t="shared" si="118"/>
        <v>53</v>
      </c>
      <c r="V963" t="str">
        <f t="shared" si="119"/>
        <v>OK</v>
      </c>
    </row>
    <row r="964" spans="1:22" ht="18" customHeight="1">
      <c r="A964" t="s">
        <v>249</v>
      </c>
      <c r="B964" t="s">
        <v>250</v>
      </c>
      <c r="C964">
        <v>1</v>
      </c>
      <c r="D964" t="s">
        <v>237</v>
      </c>
      <c r="E964" s="6">
        <f t="shared" ref="E964:E1027" si="120">IF(M964=0,0,M964+O964)</f>
        <v>5</v>
      </c>
      <c r="F964" s="6">
        <f t="shared" ref="F964:F1027" si="121">IF(M964=0,0,M964*N964+O964)</f>
        <v>8</v>
      </c>
      <c r="G964" s="6">
        <f>ROUND(Catalogue!G52*SQRT((1+Paramètres!$B$4*(C964-1)+Paramètres!$B$5*(C964-1)^2)),0)</f>
        <v>0</v>
      </c>
      <c r="H964" s="6">
        <f>ROUND(Catalogue!H52*SQRT((1+Paramètres!$B$4*(C964-1)+Paramètres!$B$5*(C964-1)^2)),0)</f>
        <v>0</v>
      </c>
      <c r="I964" s="6">
        <v>2</v>
      </c>
      <c r="J964" s="6">
        <v>5</v>
      </c>
      <c r="K964" s="7">
        <v>2.2999999999999998</v>
      </c>
      <c r="L964" s="9">
        <f t="shared" ref="L964:L1027" si="122">IF(M964=0,0,(E964+F964)/2)</f>
        <v>6.5</v>
      </c>
      <c r="M964">
        <v>1</v>
      </c>
      <c r="N964">
        <v>4</v>
      </c>
      <c r="O964">
        <v>4</v>
      </c>
      <c r="P964" s="13" t="str">
        <f t="shared" ref="P964:P1027" si="123">IF(M964=0,"—",M964&amp;"d"&amp;N964&amp;IF(O964=0,""," + "&amp;O964))</f>
        <v>1d4 + 4</v>
      </c>
      <c r="Q964">
        <f>ROUND(INDEX(Catalogue!E$4:E$85,MATCH(A964,Catalogue!A$4:A$85,0))*(1+Paramètres!$B$4*(C964-1)+Paramètres!$B$5*(C964-1)^2),0)</f>
        <v>5</v>
      </c>
      <c r="R964">
        <f>ROUND(INDEX(Catalogue!F$4:F$85,MATCH(A964,Catalogue!A$4:A$85,0))*(1+Paramètres!$B$4*(C964-1)+Paramètres!$B$5*(C964-1)^2),0)</f>
        <v>8</v>
      </c>
      <c r="S964">
        <f t="shared" ref="S964:S1027" si="124">L964-AVERAGE(Q964:R964)</f>
        <v>0</v>
      </c>
      <c r="T964" t="str">
        <f t="shared" ref="T964:T1027" si="125">IF(M964=0,IF(AND(N964=0,O964=0,E964=0,F964=0),"OK","ERREUR"),IF(AND(M964&gt;=1,M964&lt;=32,OR(N964=4,N964=6,N964=8,N964=10,N964=12,N964=20),O964&gt;=0,E964=M964+O964,F964=M964*N964+O964),"OK","ERREUR"))</f>
        <v>OK</v>
      </c>
      <c r="U964" s="25">
        <f t="shared" ref="U964:U1027" si="126">IF(M964&gt;0,M964*(N964+1)/2+O964,0)</f>
        <v>6.5</v>
      </c>
      <c r="V964" t="str">
        <f t="shared" ref="V964:V1027" si="127">IF(ABS(L964-U964)&lt;0.001,"OK","ERREUR")</f>
        <v>OK</v>
      </c>
    </row>
    <row r="965" spans="1:22" ht="18" customHeight="1">
      <c r="A965" t="s">
        <v>249</v>
      </c>
      <c r="B965" t="s">
        <v>250</v>
      </c>
      <c r="C965">
        <v>2</v>
      </c>
      <c r="D965" t="s">
        <v>237</v>
      </c>
      <c r="E965" s="6">
        <f t="shared" si="120"/>
        <v>6</v>
      </c>
      <c r="F965" s="6">
        <f t="shared" si="121"/>
        <v>9</v>
      </c>
      <c r="G965" s="6">
        <f>ROUND(Catalogue!G52*SQRT((1+Paramètres!$B$4*(C965-1)+Paramètres!$B$5*(C965-1)^2)),0)</f>
        <v>0</v>
      </c>
      <c r="H965" s="6">
        <f>ROUND(Catalogue!H52*SQRT((1+Paramètres!$B$4*(C965-1)+Paramètres!$B$5*(C965-1)^2)),0)</f>
        <v>0</v>
      </c>
      <c r="I965" s="6">
        <v>2</v>
      </c>
      <c r="J965" s="6">
        <v>5</v>
      </c>
      <c r="K965" s="7">
        <v>2.2999999999999998</v>
      </c>
      <c r="L965" s="9">
        <f t="shared" si="122"/>
        <v>7.5</v>
      </c>
      <c r="M965">
        <v>1</v>
      </c>
      <c r="N965">
        <v>4</v>
      </c>
      <c r="O965">
        <v>5</v>
      </c>
      <c r="P965" s="13" t="str">
        <f t="shared" si="123"/>
        <v>1d4 + 5</v>
      </c>
      <c r="Q965">
        <f>ROUND(INDEX(Catalogue!E$4:E$85,MATCH(A965,Catalogue!A$4:A$85,0))*(1+Paramètres!$B$4*(C965-1)+Paramètres!$B$5*(C965-1)^2),0)</f>
        <v>6</v>
      </c>
      <c r="R965">
        <f>ROUND(INDEX(Catalogue!F$4:F$85,MATCH(A965,Catalogue!A$4:A$85,0))*(1+Paramètres!$B$4*(C965-1)+Paramètres!$B$5*(C965-1)^2),0)</f>
        <v>9</v>
      </c>
      <c r="S965">
        <f t="shared" si="124"/>
        <v>0</v>
      </c>
      <c r="T965" t="str">
        <f t="shared" si="125"/>
        <v>OK</v>
      </c>
      <c r="U965" s="25">
        <f t="shared" si="126"/>
        <v>7.5</v>
      </c>
      <c r="V965" t="str">
        <f t="shared" si="127"/>
        <v>OK</v>
      </c>
    </row>
    <row r="966" spans="1:22" ht="18" customHeight="1">
      <c r="A966" t="s">
        <v>249</v>
      </c>
      <c r="B966" t="s">
        <v>250</v>
      </c>
      <c r="C966">
        <v>3</v>
      </c>
      <c r="D966" t="s">
        <v>237</v>
      </c>
      <c r="E966" s="6">
        <f t="shared" si="120"/>
        <v>6</v>
      </c>
      <c r="F966" s="6">
        <f t="shared" si="121"/>
        <v>9</v>
      </c>
      <c r="G966" s="6">
        <f>ROUND(Catalogue!G52*SQRT((1+Paramètres!$B$4*(C966-1)+Paramètres!$B$5*(C966-1)^2)),0)</f>
        <v>0</v>
      </c>
      <c r="H966" s="6">
        <f>ROUND(Catalogue!H52*SQRT((1+Paramètres!$B$4*(C966-1)+Paramètres!$B$5*(C966-1)^2)),0)</f>
        <v>0</v>
      </c>
      <c r="I966" s="6">
        <v>2</v>
      </c>
      <c r="J966" s="6">
        <v>5</v>
      </c>
      <c r="K966" s="7">
        <v>2.2999999999999998</v>
      </c>
      <c r="L966" s="9">
        <f t="shared" si="122"/>
        <v>7.5</v>
      </c>
      <c r="M966">
        <v>1</v>
      </c>
      <c r="N966">
        <v>4</v>
      </c>
      <c r="O966">
        <v>5</v>
      </c>
      <c r="P966" s="13" t="str">
        <f t="shared" si="123"/>
        <v>1d4 + 5</v>
      </c>
      <c r="Q966">
        <f>ROUND(INDEX(Catalogue!E$4:E$85,MATCH(A966,Catalogue!A$4:A$85,0))*(1+Paramètres!$B$4*(C966-1)+Paramètres!$B$5*(C966-1)^2),0)</f>
        <v>6</v>
      </c>
      <c r="R966">
        <f>ROUND(INDEX(Catalogue!F$4:F$85,MATCH(A966,Catalogue!A$4:A$85,0))*(1+Paramètres!$B$4*(C966-1)+Paramètres!$B$5*(C966-1)^2),0)</f>
        <v>10</v>
      </c>
      <c r="S966">
        <f t="shared" si="124"/>
        <v>-0.5</v>
      </c>
      <c r="T966" t="str">
        <f t="shared" si="125"/>
        <v>OK</v>
      </c>
      <c r="U966" s="25">
        <f t="shared" si="126"/>
        <v>7.5</v>
      </c>
      <c r="V966" t="str">
        <f t="shared" si="127"/>
        <v>OK</v>
      </c>
    </row>
    <row r="967" spans="1:22" ht="18" customHeight="1">
      <c r="A967" t="s">
        <v>249</v>
      </c>
      <c r="B967" t="s">
        <v>250</v>
      </c>
      <c r="C967">
        <v>4</v>
      </c>
      <c r="D967" t="s">
        <v>237</v>
      </c>
      <c r="E967" s="6">
        <f t="shared" si="120"/>
        <v>7</v>
      </c>
      <c r="F967" s="6">
        <f t="shared" si="121"/>
        <v>12</v>
      </c>
      <c r="G967" s="6">
        <f>ROUND(Catalogue!G52*SQRT((1+Paramètres!$B$4*(C967-1)+Paramètres!$B$5*(C967-1)^2)),0)</f>
        <v>0</v>
      </c>
      <c r="H967" s="6">
        <f>ROUND(Catalogue!H52*SQRT((1+Paramètres!$B$4*(C967-1)+Paramètres!$B$5*(C967-1)^2)),0)</f>
        <v>0</v>
      </c>
      <c r="I967" s="6">
        <v>2</v>
      </c>
      <c r="J967" s="6">
        <v>5</v>
      </c>
      <c r="K967" s="7">
        <v>2.2999999999999998</v>
      </c>
      <c r="L967" s="9">
        <f t="shared" si="122"/>
        <v>9.5</v>
      </c>
      <c r="M967">
        <v>1</v>
      </c>
      <c r="N967">
        <v>6</v>
      </c>
      <c r="O967">
        <v>6</v>
      </c>
      <c r="P967" s="13" t="str">
        <f t="shared" si="123"/>
        <v>1d6 + 6</v>
      </c>
      <c r="Q967">
        <f>ROUND(INDEX(Catalogue!E$4:E$85,MATCH(A967,Catalogue!A$4:A$85,0))*(1+Paramètres!$B$4*(C967-1)+Paramètres!$B$5*(C967-1)^2),0)</f>
        <v>7</v>
      </c>
      <c r="R967">
        <f>ROUND(INDEX(Catalogue!F$4:F$85,MATCH(A967,Catalogue!A$4:A$85,0))*(1+Paramètres!$B$4*(C967-1)+Paramètres!$B$5*(C967-1)^2),0)</f>
        <v>12</v>
      </c>
      <c r="S967">
        <f t="shared" si="124"/>
        <v>0</v>
      </c>
      <c r="T967" t="str">
        <f t="shared" si="125"/>
        <v>OK</v>
      </c>
      <c r="U967" s="25">
        <f t="shared" si="126"/>
        <v>9.5</v>
      </c>
      <c r="V967" t="str">
        <f t="shared" si="127"/>
        <v>OK</v>
      </c>
    </row>
    <row r="968" spans="1:22" ht="18" customHeight="1">
      <c r="A968" t="s">
        <v>249</v>
      </c>
      <c r="B968" t="s">
        <v>250</v>
      </c>
      <c r="C968">
        <v>5</v>
      </c>
      <c r="D968" t="s">
        <v>237</v>
      </c>
      <c r="E968" s="6">
        <f t="shared" si="120"/>
        <v>8</v>
      </c>
      <c r="F968" s="6">
        <f t="shared" si="121"/>
        <v>14</v>
      </c>
      <c r="G968" s="6">
        <f>ROUND(Catalogue!G52*SQRT((1+Paramètres!$B$4*(C968-1)+Paramètres!$B$5*(C968-1)^2)),0)</f>
        <v>0</v>
      </c>
      <c r="H968" s="6">
        <f>ROUND(Catalogue!H52*SQRT((1+Paramètres!$B$4*(C968-1)+Paramètres!$B$5*(C968-1)^2)),0)</f>
        <v>0</v>
      </c>
      <c r="I968" s="6">
        <v>2</v>
      </c>
      <c r="J968" s="6">
        <v>5</v>
      </c>
      <c r="K968" s="7">
        <v>2.2999999999999998</v>
      </c>
      <c r="L968" s="9">
        <f t="shared" si="122"/>
        <v>11</v>
      </c>
      <c r="M968">
        <v>2</v>
      </c>
      <c r="N968">
        <v>4</v>
      </c>
      <c r="O968">
        <v>6</v>
      </c>
      <c r="P968" s="13" t="str">
        <f t="shared" si="123"/>
        <v>2d4 + 6</v>
      </c>
      <c r="Q968">
        <f>ROUND(INDEX(Catalogue!E$4:E$85,MATCH(A968,Catalogue!A$4:A$85,0))*(1+Paramètres!$B$4*(C968-1)+Paramètres!$B$5*(C968-1)^2),0)</f>
        <v>8</v>
      </c>
      <c r="R968">
        <f>ROUND(INDEX(Catalogue!F$4:F$85,MATCH(A968,Catalogue!A$4:A$85,0))*(1+Paramètres!$B$4*(C968-1)+Paramètres!$B$5*(C968-1)^2),0)</f>
        <v>14</v>
      </c>
      <c r="S968">
        <f t="shared" si="124"/>
        <v>0</v>
      </c>
      <c r="T968" t="str">
        <f t="shared" si="125"/>
        <v>OK</v>
      </c>
      <c r="U968" s="25">
        <f t="shared" si="126"/>
        <v>11</v>
      </c>
      <c r="V968" t="str">
        <f t="shared" si="127"/>
        <v>OK</v>
      </c>
    </row>
    <row r="969" spans="1:22" ht="18" customHeight="1">
      <c r="A969" t="s">
        <v>249</v>
      </c>
      <c r="B969" t="s">
        <v>250</v>
      </c>
      <c r="C969">
        <v>6</v>
      </c>
      <c r="D969" t="s">
        <v>237</v>
      </c>
      <c r="E969" s="6">
        <f t="shared" si="120"/>
        <v>10</v>
      </c>
      <c r="F969" s="6">
        <f t="shared" si="121"/>
        <v>16</v>
      </c>
      <c r="G969" s="6">
        <f>ROUND(Catalogue!G52*SQRT((1+Paramètres!$B$4*(C969-1)+Paramètres!$B$5*(C969-1)^2)),0)</f>
        <v>0</v>
      </c>
      <c r="H969" s="6">
        <f>ROUND(Catalogue!H52*SQRT((1+Paramètres!$B$4*(C969-1)+Paramètres!$B$5*(C969-1)^2)),0)</f>
        <v>0</v>
      </c>
      <c r="I969" s="6">
        <v>2</v>
      </c>
      <c r="J969" s="6">
        <v>5</v>
      </c>
      <c r="K969" s="7">
        <v>2.2999999999999998</v>
      </c>
      <c r="L969" s="9">
        <f t="shared" si="122"/>
        <v>13</v>
      </c>
      <c r="M969">
        <v>2</v>
      </c>
      <c r="N969">
        <v>4</v>
      </c>
      <c r="O969">
        <v>8</v>
      </c>
      <c r="P969" s="13" t="str">
        <f t="shared" si="123"/>
        <v>2d4 + 8</v>
      </c>
      <c r="Q969">
        <f>ROUND(INDEX(Catalogue!E$4:E$85,MATCH(A969,Catalogue!A$4:A$85,0))*(1+Paramètres!$B$4*(C969-1)+Paramètres!$B$5*(C969-1)^2),0)</f>
        <v>10</v>
      </c>
      <c r="R969">
        <f>ROUND(INDEX(Catalogue!F$4:F$85,MATCH(A969,Catalogue!A$4:A$85,0))*(1+Paramètres!$B$4*(C969-1)+Paramètres!$B$5*(C969-1)^2),0)</f>
        <v>16</v>
      </c>
      <c r="S969">
        <f t="shared" si="124"/>
        <v>0</v>
      </c>
      <c r="T969" t="str">
        <f t="shared" si="125"/>
        <v>OK</v>
      </c>
      <c r="U969" s="25">
        <f t="shared" si="126"/>
        <v>13</v>
      </c>
      <c r="V969" t="str">
        <f t="shared" si="127"/>
        <v>OK</v>
      </c>
    </row>
    <row r="970" spans="1:22" ht="18" customHeight="1">
      <c r="A970" t="s">
        <v>249</v>
      </c>
      <c r="B970" t="s">
        <v>250</v>
      </c>
      <c r="C970">
        <v>7</v>
      </c>
      <c r="D970" t="s">
        <v>237</v>
      </c>
      <c r="E970" s="6">
        <f t="shared" si="120"/>
        <v>11</v>
      </c>
      <c r="F970" s="6">
        <f t="shared" si="121"/>
        <v>18</v>
      </c>
      <c r="G970" s="6">
        <f>ROUND(Catalogue!G52*SQRT((1+Paramètres!$B$4*(C970-1)+Paramètres!$B$5*(C970-1)^2)),0)</f>
        <v>0</v>
      </c>
      <c r="H970" s="6">
        <f>ROUND(Catalogue!H52*SQRT((1+Paramètres!$B$4*(C970-1)+Paramètres!$B$5*(C970-1)^2)),0)</f>
        <v>0</v>
      </c>
      <c r="I970" s="6">
        <v>2</v>
      </c>
      <c r="J970" s="6">
        <v>5</v>
      </c>
      <c r="K970" s="7">
        <v>2.2999999999999998</v>
      </c>
      <c r="L970" s="9">
        <f t="shared" si="122"/>
        <v>14.5</v>
      </c>
      <c r="M970">
        <v>1</v>
      </c>
      <c r="N970">
        <v>8</v>
      </c>
      <c r="O970">
        <v>10</v>
      </c>
      <c r="P970" s="13" t="str">
        <f t="shared" si="123"/>
        <v>1d8 + 10</v>
      </c>
      <c r="Q970">
        <f>ROUND(INDEX(Catalogue!E$4:E$85,MATCH(A970,Catalogue!A$4:A$85,0))*(1+Paramètres!$B$4*(C970-1)+Paramètres!$B$5*(C970-1)^2),0)</f>
        <v>11</v>
      </c>
      <c r="R970">
        <f>ROUND(INDEX(Catalogue!F$4:F$85,MATCH(A970,Catalogue!A$4:A$85,0))*(1+Paramètres!$B$4*(C970-1)+Paramètres!$B$5*(C970-1)^2),0)</f>
        <v>18</v>
      </c>
      <c r="S970">
        <f t="shared" si="124"/>
        <v>0</v>
      </c>
      <c r="T970" t="str">
        <f t="shared" si="125"/>
        <v>OK</v>
      </c>
      <c r="U970" s="25">
        <f t="shared" si="126"/>
        <v>14.5</v>
      </c>
      <c r="V970" t="str">
        <f t="shared" si="127"/>
        <v>OK</v>
      </c>
    </row>
    <row r="971" spans="1:22" ht="18" customHeight="1">
      <c r="A971" t="s">
        <v>249</v>
      </c>
      <c r="B971" t="s">
        <v>250</v>
      </c>
      <c r="C971">
        <v>8</v>
      </c>
      <c r="D971" t="s">
        <v>237</v>
      </c>
      <c r="E971" s="6">
        <f t="shared" si="120"/>
        <v>13</v>
      </c>
      <c r="F971" s="6">
        <f t="shared" si="121"/>
        <v>20</v>
      </c>
      <c r="G971" s="6">
        <f>ROUND(Catalogue!G52*SQRT((1+Paramètres!$B$4*(C971-1)+Paramètres!$B$5*(C971-1)^2)),0)</f>
        <v>0</v>
      </c>
      <c r="H971" s="6">
        <f>ROUND(Catalogue!H52*SQRT((1+Paramètres!$B$4*(C971-1)+Paramètres!$B$5*(C971-1)^2)),0)</f>
        <v>0</v>
      </c>
      <c r="I971" s="6">
        <v>2</v>
      </c>
      <c r="J971" s="6">
        <v>5</v>
      </c>
      <c r="K971" s="7">
        <v>2.2999999999999998</v>
      </c>
      <c r="L971" s="9">
        <f t="shared" si="122"/>
        <v>16.5</v>
      </c>
      <c r="M971">
        <v>1</v>
      </c>
      <c r="N971">
        <v>8</v>
      </c>
      <c r="O971">
        <v>12</v>
      </c>
      <c r="P971" s="13" t="str">
        <f t="shared" si="123"/>
        <v>1d8 + 12</v>
      </c>
      <c r="Q971">
        <f>ROUND(INDEX(Catalogue!E$4:E$85,MATCH(A971,Catalogue!A$4:A$85,0))*(1+Paramètres!$B$4*(C971-1)+Paramètres!$B$5*(C971-1)^2),0)</f>
        <v>13</v>
      </c>
      <c r="R971">
        <f>ROUND(INDEX(Catalogue!F$4:F$85,MATCH(A971,Catalogue!A$4:A$85,0))*(1+Paramètres!$B$4*(C971-1)+Paramètres!$B$5*(C971-1)^2),0)</f>
        <v>20</v>
      </c>
      <c r="S971">
        <f t="shared" si="124"/>
        <v>0</v>
      </c>
      <c r="T971" t="str">
        <f t="shared" si="125"/>
        <v>OK</v>
      </c>
      <c r="U971" s="25">
        <f t="shared" si="126"/>
        <v>16.5</v>
      </c>
      <c r="V971" t="str">
        <f t="shared" si="127"/>
        <v>OK</v>
      </c>
    </row>
    <row r="972" spans="1:22" ht="18" customHeight="1">
      <c r="A972" t="s">
        <v>249</v>
      </c>
      <c r="B972" t="s">
        <v>250</v>
      </c>
      <c r="C972">
        <v>9</v>
      </c>
      <c r="D972" t="s">
        <v>237</v>
      </c>
      <c r="E972" s="6">
        <f t="shared" si="120"/>
        <v>14</v>
      </c>
      <c r="F972" s="6">
        <f t="shared" si="121"/>
        <v>23</v>
      </c>
      <c r="G972" s="6">
        <f>ROUND(Catalogue!G52*SQRT((1+Paramètres!$B$4*(C972-1)+Paramètres!$B$5*(C972-1)^2)),0)</f>
        <v>0</v>
      </c>
      <c r="H972" s="6">
        <f>ROUND(Catalogue!H52*SQRT((1+Paramètres!$B$4*(C972-1)+Paramètres!$B$5*(C972-1)^2)),0)</f>
        <v>0</v>
      </c>
      <c r="I972" s="6">
        <v>2</v>
      </c>
      <c r="J972" s="6">
        <v>5</v>
      </c>
      <c r="K972" s="7">
        <v>2.2999999999999998</v>
      </c>
      <c r="L972" s="9">
        <f t="shared" si="122"/>
        <v>18.5</v>
      </c>
      <c r="M972">
        <v>3</v>
      </c>
      <c r="N972">
        <v>4</v>
      </c>
      <c r="O972">
        <v>11</v>
      </c>
      <c r="P972" s="13" t="str">
        <f t="shared" si="123"/>
        <v>3d4 + 11</v>
      </c>
      <c r="Q972">
        <f>ROUND(INDEX(Catalogue!E$4:E$85,MATCH(A972,Catalogue!A$4:A$85,0))*(1+Paramètres!$B$4*(C972-1)+Paramètres!$B$5*(C972-1)^2),0)</f>
        <v>15</v>
      </c>
      <c r="R972">
        <f>ROUND(INDEX(Catalogue!F$4:F$85,MATCH(A972,Catalogue!A$4:A$85,0))*(1+Paramètres!$B$4*(C972-1)+Paramètres!$B$5*(C972-1)^2),0)</f>
        <v>23</v>
      </c>
      <c r="S972">
        <f t="shared" si="124"/>
        <v>-0.5</v>
      </c>
      <c r="T972" t="str">
        <f t="shared" si="125"/>
        <v>OK</v>
      </c>
      <c r="U972" s="25">
        <f t="shared" si="126"/>
        <v>18.5</v>
      </c>
      <c r="V972" t="str">
        <f t="shared" si="127"/>
        <v>OK</v>
      </c>
    </row>
    <row r="973" spans="1:22" ht="18" customHeight="1">
      <c r="A973" t="s">
        <v>249</v>
      </c>
      <c r="B973" t="s">
        <v>250</v>
      </c>
      <c r="C973">
        <v>10</v>
      </c>
      <c r="D973" t="s">
        <v>237</v>
      </c>
      <c r="E973" s="6">
        <f t="shared" si="120"/>
        <v>16</v>
      </c>
      <c r="F973" s="6">
        <f t="shared" si="121"/>
        <v>26</v>
      </c>
      <c r="G973" s="6">
        <f>ROUND(Catalogue!G52*SQRT((1+Paramètres!$B$4*(C973-1)+Paramètres!$B$5*(C973-1)^2)),0)</f>
        <v>0</v>
      </c>
      <c r="H973" s="6">
        <f>ROUND(Catalogue!H52*SQRT((1+Paramètres!$B$4*(C973-1)+Paramètres!$B$5*(C973-1)^2)),0)</f>
        <v>0</v>
      </c>
      <c r="I973" s="6">
        <v>2</v>
      </c>
      <c r="J973" s="6">
        <v>5</v>
      </c>
      <c r="K973" s="7">
        <v>2.2999999999999998</v>
      </c>
      <c r="L973" s="9">
        <f t="shared" si="122"/>
        <v>21</v>
      </c>
      <c r="M973">
        <v>2</v>
      </c>
      <c r="N973">
        <v>6</v>
      </c>
      <c r="O973">
        <v>14</v>
      </c>
      <c r="P973" s="13" t="str">
        <f t="shared" si="123"/>
        <v>2d6 + 14</v>
      </c>
      <c r="Q973">
        <f>ROUND(INDEX(Catalogue!E$4:E$85,MATCH(A973,Catalogue!A$4:A$85,0))*(1+Paramètres!$B$4*(C973-1)+Paramètres!$B$5*(C973-1)^2),0)</f>
        <v>16</v>
      </c>
      <c r="R973">
        <f>ROUND(INDEX(Catalogue!F$4:F$85,MATCH(A973,Catalogue!A$4:A$85,0))*(1+Paramètres!$B$4*(C973-1)+Paramètres!$B$5*(C973-1)^2),0)</f>
        <v>26</v>
      </c>
      <c r="S973">
        <f t="shared" si="124"/>
        <v>0</v>
      </c>
      <c r="T973" t="str">
        <f t="shared" si="125"/>
        <v>OK</v>
      </c>
      <c r="U973" s="25">
        <f t="shared" si="126"/>
        <v>21</v>
      </c>
      <c r="V973" t="str">
        <f t="shared" si="127"/>
        <v>OK</v>
      </c>
    </row>
    <row r="974" spans="1:22" ht="18" customHeight="1">
      <c r="A974" t="s">
        <v>249</v>
      </c>
      <c r="B974" t="s">
        <v>250</v>
      </c>
      <c r="C974">
        <v>11</v>
      </c>
      <c r="D974" t="s">
        <v>237</v>
      </c>
      <c r="E974" s="6">
        <f t="shared" si="120"/>
        <v>19</v>
      </c>
      <c r="F974" s="6">
        <f t="shared" si="121"/>
        <v>30</v>
      </c>
      <c r="G974" s="6">
        <f>ROUND(Catalogue!G52*SQRT((1+Paramètres!$B$4*(C974-1)+Paramètres!$B$5*(C974-1)^2)),0)</f>
        <v>0</v>
      </c>
      <c r="H974" s="6">
        <f>ROUND(Catalogue!H52*SQRT((1+Paramètres!$B$4*(C974-1)+Paramètres!$B$5*(C974-1)^2)),0)</f>
        <v>0</v>
      </c>
      <c r="I974" s="6">
        <v>2</v>
      </c>
      <c r="J974" s="6">
        <v>5</v>
      </c>
      <c r="K974" s="7">
        <v>2.2999999999999998</v>
      </c>
      <c r="L974" s="9">
        <f t="shared" si="122"/>
        <v>24.5</v>
      </c>
      <c r="M974">
        <v>1</v>
      </c>
      <c r="N974">
        <v>12</v>
      </c>
      <c r="O974">
        <v>18</v>
      </c>
      <c r="P974" s="13" t="str">
        <f t="shared" si="123"/>
        <v>1d12 + 18</v>
      </c>
      <c r="Q974">
        <f>ROUND(INDEX(Catalogue!E$4:E$85,MATCH(A974,Catalogue!A$4:A$85,0))*(1+Paramètres!$B$4*(C974-1)+Paramètres!$B$5*(C974-1)^2),0)</f>
        <v>19</v>
      </c>
      <c r="R974">
        <f>ROUND(INDEX(Catalogue!F$4:F$85,MATCH(A974,Catalogue!A$4:A$85,0))*(1+Paramètres!$B$4*(C974-1)+Paramètres!$B$5*(C974-1)^2),0)</f>
        <v>30</v>
      </c>
      <c r="S974">
        <f t="shared" si="124"/>
        <v>0</v>
      </c>
      <c r="T974" t="str">
        <f t="shared" si="125"/>
        <v>OK</v>
      </c>
      <c r="U974" s="25">
        <f t="shared" si="126"/>
        <v>24.5</v>
      </c>
      <c r="V974" t="str">
        <f t="shared" si="127"/>
        <v>OK</v>
      </c>
    </row>
    <row r="975" spans="1:22" ht="18" customHeight="1">
      <c r="A975" t="s">
        <v>249</v>
      </c>
      <c r="B975" t="s">
        <v>250</v>
      </c>
      <c r="C975">
        <v>12</v>
      </c>
      <c r="D975" t="s">
        <v>237</v>
      </c>
      <c r="E975" s="6">
        <f t="shared" si="120"/>
        <v>21</v>
      </c>
      <c r="F975" s="6">
        <f t="shared" si="121"/>
        <v>33</v>
      </c>
      <c r="G975" s="6">
        <f>ROUND(Catalogue!G52*SQRT((1+Paramètres!$B$4*(C975-1)+Paramètres!$B$5*(C975-1)^2)),0)</f>
        <v>0</v>
      </c>
      <c r="H975" s="6">
        <f>ROUND(Catalogue!H52*SQRT((1+Paramètres!$B$4*(C975-1)+Paramètres!$B$5*(C975-1)^2)),0)</f>
        <v>0</v>
      </c>
      <c r="I975" s="6">
        <v>2</v>
      </c>
      <c r="J975" s="6">
        <v>5</v>
      </c>
      <c r="K975" s="7">
        <v>2.2999999999999998</v>
      </c>
      <c r="L975" s="9">
        <f t="shared" si="122"/>
        <v>27</v>
      </c>
      <c r="M975">
        <v>4</v>
      </c>
      <c r="N975">
        <v>4</v>
      </c>
      <c r="O975">
        <v>17</v>
      </c>
      <c r="P975" s="13" t="str">
        <f t="shared" si="123"/>
        <v>4d4 + 17</v>
      </c>
      <c r="Q975">
        <f>ROUND(INDEX(Catalogue!E$4:E$85,MATCH(A975,Catalogue!A$4:A$85,0))*(1+Paramètres!$B$4*(C975-1)+Paramètres!$B$5*(C975-1)^2),0)</f>
        <v>21</v>
      </c>
      <c r="R975">
        <f>ROUND(INDEX(Catalogue!F$4:F$85,MATCH(A975,Catalogue!A$4:A$85,0))*(1+Paramètres!$B$4*(C975-1)+Paramètres!$B$5*(C975-1)^2),0)</f>
        <v>33</v>
      </c>
      <c r="S975">
        <f t="shared" si="124"/>
        <v>0</v>
      </c>
      <c r="T975" t="str">
        <f t="shared" si="125"/>
        <v>OK</v>
      </c>
      <c r="U975" s="25">
        <f t="shared" si="126"/>
        <v>27</v>
      </c>
      <c r="V975" t="str">
        <f t="shared" si="127"/>
        <v>OK</v>
      </c>
    </row>
    <row r="976" spans="1:22" ht="18" customHeight="1">
      <c r="A976" t="s">
        <v>249</v>
      </c>
      <c r="B976" t="s">
        <v>250</v>
      </c>
      <c r="C976">
        <v>13</v>
      </c>
      <c r="D976" t="s">
        <v>237</v>
      </c>
      <c r="E976" s="6">
        <f t="shared" si="120"/>
        <v>23</v>
      </c>
      <c r="F976" s="6">
        <f t="shared" si="121"/>
        <v>37</v>
      </c>
      <c r="G976" s="6">
        <f>ROUND(Catalogue!G52*SQRT((1+Paramètres!$B$4*(C976-1)+Paramètres!$B$5*(C976-1)^2)),0)</f>
        <v>0</v>
      </c>
      <c r="H976" s="6">
        <f>ROUND(Catalogue!H52*SQRT((1+Paramètres!$B$4*(C976-1)+Paramètres!$B$5*(C976-1)^2)),0)</f>
        <v>0</v>
      </c>
      <c r="I976" s="6">
        <v>2</v>
      </c>
      <c r="J976" s="6">
        <v>5</v>
      </c>
      <c r="K976" s="7">
        <v>2.2999999999999998</v>
      </c>
      <c r="L976" s="9">
        <f t="shared" si="122"/>
        <v>30</v>
      </c>
      <c r="M976">
        <v>2</v>
      </c>
      <c r="N976">
        <v>8</v>
      </c>
      <c r="O976">
        <v>21</v>
      </c>
      <c r="P976" s="13" t="str">
        <f t="shared" si="123"/>
        <v>2d8 + 21</v>
      </c>
      <c r="Q976">
        <f>ROUND(INDEX(Catalogue!E$4:E$85,MATCH(A976,Catalogue!A$4:A$85,0))*(1+Paramètres!$B$4*(C976-1)+Paramètres!$B$5*(C976-1)^2),0)</f>
        <v>23</v>
      </c>
      <c r="R976">
        <f>ROUND(INDEX(Catalogue!F$4:F$85,MATCH(A976,Catalogue!A$4:A$85,0))*(1+Paramètres!$B$4*(C976-1)+Paramètres!$B$5*(C976-1)^2),0)</f>
        <v>37</v>
      </c>
      <c r="S976">
        <f t="shared" si="124"/>
        <v>0</v>
      </c>
      <c r="T976" t="str">
        <f t="shared" si="125"/>
        <v>OK</v>
      </c>
      <c r="U976" s="25">
        <f t="shared" si="126"/>
        <v>30</v>
      </c>
      <c r="V976" t="str">
        <f t="shared" si="127"/>
        <v>OK</v>
      </c>
    </row>
    <row r="977" spans="1:22" ht="18" customHeight="1">
      <c r="A977" t="s">
        <v>249</v>
      </c>
      <c r="B977" t="s">
        <v>250</v>
      </c>
      <c r="C977">
        <v>14</v>
      </c>
      <c r="D977" t="s">
        <v>237</v>
      </c>
      <c r="E977" s="6">
        <f t="shared" si="120"/>
        <v>26</v>
      </c>
      <c r="F977" s="6">
        <f t="shared" si="121"/>
        <v>41</v>
      </c>
      <c r="G977" s="6">
        <f>ROUND(Catalogue!G52*SQRT((1+Paramètres!$B$4*(C977-1)+Paramètres!$B$5*(C977-1)^2)),0)</f>
        <v>0</v>
      </c>
      <c r="H977" s="6">
        <f>ROUND(Catalogue!H52*SQRT((1+Paramètres!$B$4*(C977-1)+Paramètres!$B$5*(C977-1)^2)),0)</f>
        <v>0</v>
      </c>
      <c r="I977" s="6">
        <v>2</v>
      </c>
      <c r="J977" s="6">
        <v>5</v>
      </c>
      <c r="K977" s="7">
        <v>2.2999999999999998</v>
      </c>
      <c r="L977" s="9">
        <f t="shared" si="122"/>
        <v>33.5</v>
      </c>
      <c r="M977">
        <v>3</v>
      </c>
      <c r="N977">
        <v>6</v>
      </c>
      <c r="O977">
        <v>23</v>
      </c>
      <c r="P977" s="13" t="str">
        <f t="shared" si="123"/>
        <v>3d6 + 23</v>
      </c>
      <c r="Q977">
        <f>ROUND(INDEX(Catalogue!E$4:E$85,MATCH(A977,Catalogue!A$4:A$85,0))*(1+Paramètres!$B$4*(C977-1)+Paramètres!$B$5*(C977-1)^2),0)</f>
        <v>26</v>
      </c>
      <c r="R977">
        <f>ROUND(INDEX(Catalogue!F$4:F$85,MATCH(A977,Catalogue!A$4:A$85,0))*(1+Paramètres!$B$4*(C977-1)+Paramètres!$B$5*(C977-1)^2),0)</f>
        <v>41</v>
      </c>
      <c r="S977">
        <f t="shared" si="124"/>
        <v>0</v>
      </c>
      <c r="T977" t="str">
        <f t="shared" si="125"/>
        <v>OK</v>
      </c>
      <c r="U977" s="25">
        <f t="shared" si="126"/>
        <v>33.5</v>
      </c>
      <c r="V977" t="str">
        <f t="shared" si="127"/>
        <v>OK</v>
      </c>
    </row>
    <row r="978" spans="1:22" ht="18" customHeight="1">
      <c r="A978" t="s">
        <v>249</v>
      </c>
      <c r="B978" t="s">
        <v>250</v>
      </c>
      <c r="C978">
        <v>15</v>
      </c>
      <c r="D978" t="s">
        <v>237</v>
      </c>
      <c r="E978" s="6">
        <f t="shared" si="120"/>
        <v>27</v>
      </c>
      <c r="F978" s="6">
        <f t="shared" si="121"/>
        <v>45</v>
      </c>
      <c r="G978" s="6">
        <f>ROUND(Catalogue!G52*SQRT((1+Paramètres!$B$4*(C978-1)+Paramètres!$B$5*(C978-1)^2)),0)</f>
        <v>0</v>
      </c>
      <c r="H978" s="6">
        <f>ROUND(Catalogue!H52*SQRT((1+Paramètres!$B$4*(C978-1)+Paramètres!$B$5*(C978-1)^2)),0)</f>
        <v>0</v>
      </c>
      <c r="I978" s="6">
        <v>2</v>
      </c>
      <c r="J978" s="6">
        <v>5</v>
      </c>
      <c r="K978" s="7">
        <v>2.2999999999999998</v>
      </c>
      <c r="L978" s="9">
        <f t="shared" si="122"/>
        <v>36</v>
      </c>
      <c r="M978">
        <v>2</v>
      </c>
      <c r="N978">
        <v>10</v>
      </c>
      <c r="O978">
        <v>25</v>
      </c>
      <c r="P978" s="13" t="str">
        <f t="shared" si="123"/>
        <v>2d10 + 25</v>
      </c>
      <c r="Q978">
        <f>ROUND(INDEX(Catalogue!E$4:E$85,MATCH(A978,Catalogue!A$4:A$85,0))*(1+Paramètres!$B$4*(C978-1)+Paramètres!$B$5*(C978-1)^2),0)</f>
        <v>28</v>
      </c>
      <c r="R978">
        <f>ROUND(INDEX(Catalogue!F$4:F$85,MATCH(A978,Catalogue!A$4:A$85,0))*(1+Paramètres!$B$4*(C978-1)+Paramètres!$B$5*(C978-1)^2),0)</f>
        <v>45</v>
      </c>
      <c r="S978">
        <f t="shared" si="124"/>
        <v>-0.5</v>
      </c>
      <c r="T978" t="str">
        <f t="shared" si="125"/>
        <v>OK</v>
      </c>
      <c r="U978" s="25">
        <f t="shared" si="126"/>
        <v>36</v>
      </c>
      <c r="V978" t="str">
        <f t="shared" si="127"/>
        <v>OK</v>
      </c>
    </row>
    <row r="979" spans="1:22" ht="18" customHeight="1">
      <c r="A979" t="s">
        <v>249</v>
      </c>
      <c r="B979" t="s">
        <v>250</v>
      </c>
      <c r="C979">
        <v>16</v>
      </c>
      <c r="D979" t="s">
        <v>237</v>
      </c>
      <c r="E979" s="6">
        <f t="shared" si="120"/>
        <v>31</v>
      </c>
      <c r="F979" s="6">
        <f t="shared" si="121"/>
        <v>49</v>
      </c>
      <c r="G979" s="6">
        <f>ROUND(Catalogue!G52*SQRT((1+Paramètres!$B$4*(C979-1)+Paramètres!$B$5*(C979-1)^2)),0)</f>
        <v>0</v>
      </c>
      <c r="H979" s="6">
        <f>ROUND(Catalogue!H52*SQRT((1+Paramètres!$B$4*(C979-1)+Paramètres!$B$5*(C979-1)^2)),0)</f>
        <v>0</v>
      </c>
      <c r="I979" s="6">
        <v>2</v>
      </c>
      <c r="J979" s="6">
        <v>5</v>
      </c>
      <c r="K979" s="7">
        <v>2.2999999999999998</v>
      </c>
      <c r="L979" s="9">
        <f t="shared" si="122"/>
        <v>40</v>
      </c>
      <c r="M979">
        <v>2</v>
      </c>
      <c r="N979">
        <v>10</v>
      </c>
      <c r="O979">
        <v>29</v>
      </c>
      <c r="P979" s="13" t="str">
        <f t="shared" si="123"/>
        <v>2d10 + 29</v>
      </c>
      <c r="Q979">
        <f>ROUND(INDEX(Catalogue!E$4:E$85,MATCH(A979,Catalogue!A$4:A$85,0))*(1+Paramètres!$B$4*(C979-1)+Paramètres!$B$5*(C979-1)^2),0)</f>
        <v>31</v>
      </c>
      <c r="R979">
        <f>ROUND(INDEX(Catalogue!F$4:F$85,MATCH(A979,Catalogue!A$4:A$85,0))*(1+Paramètres!$B$4*(C979-1)+Paramètres!$B$5*(C979-1)^2),0)</f>
        <v>50</v>
      </c>
      <c r="S979">
        <f t="shared" si="124"/>
        <v>-0.5</v>
      </c>
      <c r="T979" t="str">
        <f t="shared" si="125"/>
        <v>OK</v>
      </c>
      <c r="U979" s="25">
        <f t="shared" si="126"/>
        <v>40</v>
      </c>
      <c r="V979" t="str">
        <f t="shared" si="127"/>
        <v>OK</v>
      </c>
    </row>
    <row r="980" spans="1:22" ht="18" customHeight="1">
      <c r="A980" t="s">
        <v>249</v>
      </c>
      <c r="B980" t="s">
        <v>250</v>
      </c>
      <c r="C980">
        <v>17</v>
      </c>
      <c r="D980" t="s">
        <v>237</v>
      </c>
      <c r="E980" s="6">
        <f t="shared" si="120"/>
        <v>34</v>
      </c>
      <c r="F980" s="6">
        <f t="shared" si="121"/>
        <v>55</v>
      </c>
      <c r="G980" s="6">
        <f>ROUND(Catalogue!G52*SQRT((1+Paramètres!$B$4*(C980-1)+Paramètres!$B$5*(C980-1)^2)),0)</f>
        <v>0</v>
      </c>
      <c r="H980" s="6">
        <f>ROUND(Catalogue!H52*SQRT((1+Paramètres!$B$4*(C980-1)+Paramètres!$B$5*(C980-1)^2)),0)</f>
        <v>0</v>
      </c>
      <c r="I980" s="6">
        <v>2</v>
      </c>
      <c r="J980" s="6">
        <v>5</v>
      </c>
      <c r="K980" s="7">
        <v>2.2999999999999998</v>
      </c>
      <c r="L980" s="9">
        <f t="shared" si="122"/>
        <v>44.5</v>
      </c>
      <c r="M980">
        <v>3</v>
      </c>
      <c r="N980">
        <v>8</v>
      </c>
      <c r="O980">
        <v>31</v>
      </c>
      <c r="P980" s="13" t="str">
        <f t="shared" si="123"/>
        <v>3d8 + 31</v>
      </c>
      <c r="Q980">
        <f>ROUND(INDEX(Catalogue!E$4:E$85,MATCH(A980,Catalogue!A$4:A$85,0))*(1+Paramètres!$B$4*(C980-1)+Paramètres!$B$5*(C980-1)^2),0)</f>
        <v>34</v>
      </c>
      <c r="R980">
        <f>ROUND(INDEX(Catalogue!F$4:F$85,MATCH(A980,Catalogue!A$4:A$85,0))*(1+Paramètres!$B$4*(C980-1)+Paramètres!$B$5*(C980-1)^2),0)</f>
        <v>55</v>
      </c>
      <c r="S980">
        <f t="shared" si="124"/>
        <v>0</v>
      </c>
      <c r="T980" t="str">
        <f t="shared" si="125"/>
        <v>OK</v>
      </c>
      <c r="U980" s="25">
        <f t="shared" si="126"/>
        <v>44.5</v>
      </c>
      <c r="V980" t="str">
        <f t="shared" si="127"/>
        <v>OK</v>
      </c>
    </row>
    <row r="981" spans="1:22" ht="18" customHeight="1">
      <c r="A981" t="s">
        <v>249</v>
      </c>
      <c r="B981" t="s">
        <v>250</v>
      </c>
      <c r="C981">
        <v>18</v>
      </c>
      <c r="D981" t="s">
        <v>237</v>
      </c>
      <c r="E981" s="6">
        <f t="shared" si="120"/>
        <v>37</v>
      </c>
      <c r="F981" s="6">
        <f t="shared" si="121"/>
        <v>59</v>
      </c>
      <c r="G981" s="6">
        <f>ROUND(Catalogue!G52*SQRT((1+Paramètres!$B$4*(C981-1)+Paramètres!$B$5*(C981-1)^2)),0)</f>
        <v>0</v>
      </c>
      <c r="H981" s="6">
        <f>ROUND(Catalogue!H52*SQRT((1+Paramètres!$B$4*(C981-1)+Paramètres!$B$5*(C981-1)^2)),0)</f>
        <v>0</v>
      </c>
      <c r="I981" s="6">
        <v>2</v>
      </c>
      <c r="J981" s="6">
        <v>5</v>
      </c>
      <c r="K981" s="7">
        <v>2.2999999999999998</v>
      </c>
      <c r="L981" s="9">
        <f t="shared" si="122"/>
        <v>48</v>
      </c>
      <c r="M981">
        <v>2</v>
      </c>
      <c r="N981">
        <v>12</v>
      </c>
      <c r="O981">
        <v>35</v>
      </c>
      <c r="P981" s="13" t="str">
        <f t="shared" si="123"/>
        <v>2d12 + 35</v>
      </c>
      <c r="Q981">
        <f>ROUND(INDEX(Catalogue!E$4:E$85,MATCH(A981,Catalogue!A$4:A$85,0))*(1+Paramètres!$B$4*(C981-1)+Paramètres!$B$5*(C981-1)^2),0)</f>
        <v>37</v>
      </c>
      <c r="R981">
        <f>ROUND(INDEX(Catalogue!F$4:F$85,MATCH(A981,Catalogue!A$4:A$85,0))*(1+Paramètres!$B$4*(C981-1)+Paramètres!$B$5*(C981-1)^2),0)</f>
        <v>60</v>
      </c>
      <c r="S981">
        <f t="shared" si="124"/>
        <v>-0.5</v>
      </c>
      <c r="T981" t="str">
        <f t="shared" si="125"/>
        <v>OK</v>
      </c>
      <c r="U981" s="25">
        <f t="shared" si="126"/>
        <v>48</v>
      </c>
      <c r="V981" t="str">
        <f t="shared" si="127"/>
        <v>OK</v>
      </c>
    </row>
    <row r="982" spans="1:22" ht="18" customHeight="1">
      <c r="A982" t="s">
        <v>249</v>
      </c>
      <c r="B982" t="s">
        <v>250</v>
      </c>
      <c r="C982">
        <v>19</v>
      </c>
      <c r="D982" t="s">
        <v>237</v>
      </c>
      <c r="E982" s="6">
        <f t="shared" si="120"/>
        <v>40</v>
      </c>
      <c r="F982" s="6">
        <f t="shared" si="121"/>
        <v>65</v>
      </c>
      <c r="G982" s="6">
        <f>ROUND(Catalogue!G52*SQRT((1+Paramètres!$B$4*(C982-1)+Paramètres!$B$5*(C982-1)^2)),0)</f>
        <v>0</v>
      </c>
      <c r="H982" s="6">
        <f>ROUND(Catalogue!H52*SQRT((1+Paramètres!$B$4*(C982-1)+Paramètres!$B$5*(C982-1)^2)),0)</f>
        <v>0</v>
      </c>
      <c r="I982" s="6">
        <v>2</v>
      </c>
      <c r="J982" s="6">
        <v>5</v>
      </c>
      <c r="K982" s="7">
        <v>2.2999999999999998</v>
      </c>
      <c r="L982" s="9">
        <f t="shared" si="122"/>
        <v>52.5</v>
      </c>
      <c r="M982">
        <v>5</v>
      </c>
      <c r="N982">
        <v>6</v>
      </c>
      <c r="O982">
        <v>35</v>
      </c>
      <c r="P982" s="13" t="str">
        <f t="shared" si="123"/>
        <v>5d6 + 35</v>
      </c>
      <c r="Q982">
        <f>ROUND(INDEX(Catalogue!E$4:E$85,MATCH(A982,Catalogue!A$4:A$85,0))*(1+Paramètres!$B$4*(C982-1)+Paramètres!$B$5*(C982-1)^2),0)</f>
        <v>41</v>
      </c>
      <c r="R982">
        <f>ROUND(INDEX(Catalogue!F$4:F$85,MATCH(A982,Catalogue!A$4:A$85,0))*(1+Paramètres!$B$4*(C982-1)+Paramètres!$B$5*(C982-1)^2),0)</f>
        <v>65</v>
      </c>
      <c r="S982">
        <f t="shared" si="124"/>
        <v>-0.5</v>
      </c>
      <c r="T982" t="str">
        <f t="shared" si="125"/>
        <v>OK</v>
      </c>
      <c r="U982" s="25">
        <f t="shared" si="126"/>
        <v>52.5</v>
      </c>
      <c r="V982" t="str">
        <f t="shared" si="127"/>
        <v>OK</v>
      </c>
    </row>
    <row r="983" spans="1:22" ht="18" customHeight="1">
      <c r="A983" t="s">
        <v>249</v>
      </c>
      <c r="B983" t="s">
        <v>250</v>
      </c>
      <c r="C983">
        <v>20</v>
      </c>
      <c r="D983" t="s">
        <v>237</v>
      </c>
      <c r="E983" s="6">
        <f t="shared" si="120"/>
        <v>44</v>
      </c>
      <c r="F983" s="6">
        <f t="shared" si="121"/>
        <v>71</v>
      </c>
      <c r="G983" s="6">
        <f>ROUND(Catalogue!G52*SQRT((1+Paramètres!$B$4*(C983-1)+Paramètres!$B$5*(C983-1)^2)),0)</f>
        <v>0</v>
      </c>
      <c r="H983" s="6">
        <f>ROUND(Catalogue!H52*SQRT((1+Paramètres!$B$4*(C983-1)+Paramètres!$B$5*(C983-1)^2)),0)</f>
        <v>0</v>
      </c>
      <c r="I983" s="6">
        <v>2</v>
      </c>
      <c r="J983" s="6">
        <v>5</v>
      </c>
      <c r="K983" s="7">
        <v>2.2999999999999998</v>
      </c>
      <c r="L983" s="9">
        <f t="shared" si="122"/>
        <v>57.5</v>
      </c>
      <c r="M983">
        <v>3</v>
      </c>
      <c r="N983">
        <v>10</v>
      </c>
      <c r="O983">
        <v>41</v>
      </c>
      <c r="P983" s="13" t="str">
        <f t="shared" si="123"/>
        <v>3d10 + 41</v>
      </c>
      <c r="Q983">
        <f>ROUND(INDEX(Catalogue!E$4:E$85,MATCH(A983,Catalogue!A$4:A$85,0))*(1+Paramètres!$B$4*(C983-1)+Paramètres!$B$5*(C983-1)^2),0)</f>
        <v>44</v>
      </c>
      <c r="R983">
        <f>ROUND(INDEX(Catalogue!F$4:F$85,MATCH(A983,Catalogue!A$4:A$85,0))*(1+Paramètres!$B$4*(C983-1)+Paramètres!$B$5*(C983-1)^2),0)</f>
        <v>71</v>
      </c>
      <c r="S983">
        <f t="shared" si="124"/>
        <v>0</v>
      </c>
      <c r="T983" t="str">
        <f t="shared" si="125"/>
        <v>OK</v>
      </c>
      <c r="U983" s="25">
        <f t="shared" si="126"/>
        <v>57.5</v>
      </c>
      <c r="V983" t="str">
        <f t="shared" si="127"/>
        <v>OK</v>
      </c>
    </row>
    <row r="984" spans="1:22" ht="18" customHeight="1">
      <c r="A984" t="s">
        <v>252</v>
      </c>
      <c r="B984" t="s">
        <v>253</v>
      </c>
      <c r="C984">
        <v>1</v>
      </c>
      <c r="D984" t="s">
        <v>237</v>
      </c>
      <c r="E984" s="6">
        <f t="shared" si="120"/>
        <v>7</v>
      </c>
      <c r="F984" s="6">
        <f t="shared" si="121"/>
        <v>10</v>
      </c>
      <c r="G984" s="6">
        <f>ROUND(Catalogue!G53*SQRT((1+Paramètres!$B$4*(C984-1)+Paramètres!$B$5*(C984-1)^2)),0)</f>
        <v>0</v>
      </c>
      <c r="H984" s="6">
        <f>ROUND(Catalogue!H53*SQRT((1+Paramètres!$B$4*(C984-1)+Paramètres!$B$5*(C984-1)^2)),0)</f>
        <v>0</v>
      </c>
      <c r="I984" s="6">
        <v>3</v>
      </c>
      <c r="J984" s="6">
        <v>6</v>
      </c>
      <c r="K984" s="7">
        <v>4</v>
      </c>
      <c r="L984" s="9">
        <f t="shared" si="122"/>
        <v>8.5</v>
      </c>
      <c r="M984">
        <v>1</v>
      </c>
      <c r="N984">
        <v>4</v>
      </c>
      <c r="O984">
        <v>6</v>
      </c>
      <c r="P984" s="13" t="str">
        <f t="shared" si="123"/>
        <v>1d4 + 6</v>
      </c>
      <c r="Q984">
        <f>ROUND(INDEX(Catalogue!E$4:E$85,MATCH(A984,Catalogue!A$4:A$85,0))*(1+Paramètres!$B$4*(C984-1)+Paramètres!$B$5*(C984-1)^2),0)</f>
        <v>7</v>
      </c>
      <c r="R984">
        <f>ROUND(INDEX(Catalogue!F$4:F$85,MATCH(A984,Catalogue!A$4:A$85,0))*(1+Paramètres!$B$4*(C984-1)+Paramètres!$B$5*(C984-1)^2),0)</f>
        <v>11</v>
      </c>
      <c r="S984">
        <f t="shared" si="124"/>
        <v>-0.5</v>
      </c>
      <c r="T984" t="str">
        <f t="shared" si="125"/>
        <v>OK</v>
      </c>
      <c r="U984" s="25">
        <f t="shared" si="126"/>
        <v>8.5</v>
      </c>
      <c r="V984" t="str">
        <f t="shared" si="127"/>
        <v>OK</v>
      </c>
    </row>
    <row r="985" spans="1:22" ht="18" customHeight="1">
      <c r="A985" t="s">
        <v>252</v>
      </c>
      <c r="B985" t="s">
        <v>253</v>
      </c>
      <c r="C985">
        <v>2</v>
      </c>
      <c r="D985" t="s">
        <v>237</v>
      </c>
      <c r="E985" s="6">
        <f t="shared" si="120"/>
        <v>9</v>
      </c>
      <c r="F985" s="6">
        <f t="shared" si="121"/>
        <v>12</v>
      </c>
      <c r="G985" s="6">
        <f>ROUND(Catalogue!G53*SQRT((1+Paramètres!$B$4*(C985-1)+Paramètres!$B$5*(C985-1)^2)),0)</f>
        <v>0</v>
      </c>
      <c r="H985" s="6">
        <f>ROUND(Catalogue!H53*SQRT((1+Paramètres!$B$4*(C985-1)+Paramètres!$B$5*(C985-1)^2)),0)</f>
        <v>0</v>
      </c>
      <c r="I985" s="6">
        <v>3</v>
      </c>
      <c r="J985" s="6">
        <v>6</v>
      </c>
      <c r="K985" s="7">
        <v>4</v>
      </c>
      <c r="L985" s="9">
        <f t="shared" si="122"/>
        <v>10.5</v>
      </c>
      <c r="M985">
        <v>1</v>
      </c>
      <c r="N985">
        <v>4</v>
      </c>
      <c r="O985">
        <v>8</v>
      </c>
      <c r="P985" s="13" t="str">
        <f t="shared" si="123"/>
        <v>1d4 + 8</v>
      </c>
      <c r="Q985">
        <f>ROUND(INDEX(Catalogue!E$4:E$85,MATCH(A985,Catalogue!A$4:A$85,0))*(1+Paramètres!$B$4*(C985-1)+Paramètres!$B$5*(C985-1)^2),0)</f>
        <v>8</v>
      </c>
      <c r="R985">
        <f>ROUND(INDEX(Catalogue!F$4:F$85,MATCH(A985,Catalogue!A$4:A$85,0))*(1+Paramètres!$B$4*(C985-1)+Paramètres!$B$5*(C985-1)^2),0)</f>
        <v>12</v>
      </c>
      <c r="S985">
        <f t="shared" si="124"/>
        <v>0.5</v>
      </c>
      <c r="T985" t="str">
        <f t="shared" si="125"/>
        <v>OK</v>
      </c>
      <c r="U985" s="25">
        <f t="shared" si="126"/>
        <v>10.5</v>
      </c>
      <c r="V985" t="str">
        <f t="shared" si="127"/>
        <v>OK</v>
      </c>
    </row>
    <row r="986" spans="1:22" ht="18" customHeight="1">
      <c r="A986" t="s">
        <v>252</v>
      </c>
      <c r="B986" t="s">
        <v>253</v>
      </c>
      <c r="C986">
        <v>3</v>
      </c>
      <c r="D986" t="s">
        <v>237</v>
      </c>
      <c r="E986" s="6">
        <f t="shared" si="120"/>
        <v>9</v>
      </c>
      <c r="F986" s="6">
        <f t="shared" si="121"/>
        <v>14</v>
      </c>
      <c r="G986" s="6">
        <f>ROUND(Catalogue!G53*SQRT((1+Paramètres!$B$4*(C986-1)+Paramètres!$B$5*(C986-1)^2)),0)</f>
        <v>0</v>
      </c>
      <c r="H986" s="6">
        <f>ROUND(Catalogue!H53*SQRT((1+Paramètres!$B$4*(C986-1)+Paramètres!$B$5*(C986-1)^2)),0)</f>
        <v>0</v>
      </c>
      <c r="I986" s="6">
        <v>3</v>
      </c>
      <c r="J986" s="6">
        <v>6</v>
      </c>
      <c r="K986" s="7">
        <v>4</v>
      </c>
      <c r="L986" s="9">
        <f t="shared" si="122"/>
        <v>11.5</v>
      </c>
      <c r="M986">
        <v>1</v>
      </c>
      <c r="N986">
        <v>6</v>
      </c>
      <c r="O986">
        <v>8</v>
      </c>
      <c r="P986" s="13" t="str">
        <f t="shared" si="123"/>
        <v>1d6 + 8</v>
      </c>
      <c r="Q986">
        <f>ROUND(INDEX(Catalogue!E$4:E$85,MATCH(A986,Catalogue!A$4:A$85,0))*(1+Paramètres!$B$4*(C986-1)+Paramètres!$B$5*(C986-1)^2),0)</f>
        <v>9</v>
      </c>
      <c r="R986">
        <f>ROUND(INDEX(Catalogue!F$4:F$85,MATCH(A986,Catalogue!A$4:A$85,0))*(1+Paramètres!$B$4*(C986-1)+Paramètres!$B$5*(C986-1)^2),0)</f>
        <v>14</v>
      </c>
      <c r="S986">
        <f t="shared" si="124"/>
        <v>0</v>
      </c>
      <c r="T986" t="str">
        <f t="shared" si="125"/>
        <v>OK</v>
      </c>
      <c r="U986" s="25">
        <f t="shared" si="126"/>
        <v>11.5</v>
      </c>
      <c r="V986" t="str">
        <f t="shared" si="127"/>
        <v>OK</v>
      </c>
    </row>
    <row r="987" spans="1:22" ht="18" customHeight="1">
      <c r="A987" t="s">
        <v>252</v>
      </c>
      <c r="B987" t="s">
        <v>253</v>
      </c>
      <c r="C987">
        <v>4</v>
      </c>
      <c r="D987" t="s">
        <v>237</v>
      </c>
      <c r="E987" s="6">
        <f t="shared" si="120"/>
        <v>10</v>
      </c>
      <c r="F987" s="6">
        <f t="shared" si="121"/>
        <v>16</v>
      </c>
      <c r="G987" s="6">
        <f>ROUND(Catalogue!G53*SQRT((1+Paramètres!$B$4*(C987-1)+Paramètres!$B$5*(C987-1)^2)),0)</f>
        <v>0</v>
      </c>
      <c r="H987" s="6">
        <f>ROUND(Catalogue!H53*SQRT((1+Paramètres!$B$4*(C987-1)+Paramètres!$B$5*(C987-1)^2)),0)</f>
        <v>0</v>
      </c>
      <c r="I987" s="6">
        <v>3</v>
      </c>
      <c r="J987" s="6">
        <v>6</v>
      </c>
      <c r="K987" s="7">
        <v>4</v>
      </c>
      <c r="L987" s="9">
        <f t="shared" si="122"/>
        <v>13</v>
      </c>
      <c r="M987">
        <v>2</v>
      </c>
      <c r="N987">
        <v>4</v>
      </c>
      <c r="O987">
        <v>8</v>
      </c>
      <c r="P987" s="13" t="str">
        <f t="shared" si="123"/>
        <v>2d4 + 8</v>
      </c>
      <c r="Q987">
        <f>ROUND(INDEX(Catalogue!E$4:E$85,MATCH(A987,Catalogue!A$4:A$85,0))*(1+Paramètres!$B$4*(C987-1)+Paramètres!$B$5*(C987-1)^2),0)</f>
        <v>10</v>
      </c>
      <c r="R987">
        <f>ROUND(INDEX(Catalogue!F$4:F$85,MATCH(A987,Catalogue!A$4:A$85,0))*(1+Paramètres!$B$4*(C987-1)+Paramètres!$B$5*(C987-1)^2),0)</f>
        <v>16</v>
      </c>
      <c r="S987">
        <f t="shared" si="124"/>
        <v>0</v>
      </c>
      <c r="T987" t="str">
        <f t="shared" si="125"/>
        <v>OK</v>
      </c>
      <c r="U987" s="25">
        <f t="shared" si="126"/>
        <v>13</v>
      </c>
      <c r="V987" t="str">
        <f t="shared" si="127"/>
        <v>OK</v>
      </c>
    </row>
    <row r="988" spans="1:22" ht="18" customHeight="1">
      <c r="A988" t="s">
        <v>252</v>
      </c>
      <c r="B988" t="s">
        <v>253</v>
      </c>
      <c r="C988">
        <v>5</v>
      </c>
      <c r="D988" t="s">
        <v>237</v>
      </c>
      <c r="E988" s="6">
        <f t="shared" si="120"/>
        <v>12</v>
      </c>
      <c r="F988" s="6">
        <f t="shared" si="121"/>
        <v>19</v>
      </c>
      <c r="G988" s="6">
        <f>ROUND(Catalogue!G53*SQRT((1+Paramètres!$B$4*(C988-1)+Paramètres!$B$5*(C988-1)^2)),0)</f>
        <v>0</v>
      </c>
      <c r="H988" s="6">
        <f>ROUND(Catalogue!H53*SQRT((1+Paramètres!$B$4*(C988-1)+Paramètres!$B$5*(C988-1)^2)),0)</f>
        <v>0</v>
      </c>
      <c r="I988" s="6">
        <v>3</v>
      </c>
      <c r="J988" s="6">
        <v>6</v>
      </c>
      <c r="K988" s="7">
        <v>4</v>
      </c>
      <c r="L988" s="9">
        <f t="shared" si="122"/>
        <v>15.5</v>
      </c>
      <c r="M988">
        <v>1</v>
      </c>
      <c r="N988">
        <v>8</v>
      </c>
      <c r="O988">
        <v>11</v>
      </c>
      <c r="P988" s="13" t="str">
        <f t="shared" si="123"/>
        <v>1d8 + 11</v>
      </c>
      <c r="Q988">
        <f>ROUND(INDEX(Catalogue!E$4:E$85,MATCH(A988,Catalogue!A$4:A$85,0))*(1+Paramètres!$B$4*(C988-1)+Paramètres!$B$5*(C988-1)^2),0)</f>
        <v>12</v>
      </c>
      <c r="R988">
        <f>ROUND(INDEX(Catalogue!F$4:F$85,MATCH(A988,Catalogue!A$4:A$85,0))*(1+Paramètres!$B$4*(C988-1)+Paramètres!$B$5*(C988-1)^2),0)</f>
        <v>19</v>
      </c>
      <c r="S988">
        <f t="shared" si="124"/>
        <v>0</v>
      </c>
      <c r="T988" t="str">
        <f t="shared" si="125"/>
        <v>OK</v>
      </c>
      <c r="U988" s="25">
        <f t="shared" si="126"/>
        <v>15.5</v>
      </c>
      <c r="V988" t="str">
        <f t="shared" si="127"/>
        <v>OK</v>
      </c>
    </row>
    <row r="989" spans="1:22" ht="18" customHeight="1">
      <c r="A989" t="s">
        <v>252</v>
      </c>
      <c r="B989" t="s">
        <v>253</v>
      </c>
      <c r="C989">
        <v>6</v>
      </c>
      <c r="D989" t="s">
        <v>237</v>
      </c>
      <c r="E989" s="6">
        <f t="shared" si="120"/>
        <v>14</v>
      </c>
      <c r="F989" s="6">
        <f t="shared" si="121"/>
        <v>21</v>
      </c>
      <c r="G989" s="6">
        <f>ROUND(Catalogue!G53*SQRT((1+Paramètres!$B$4*(C989-1)+Paramètres!$B$5*(C989-1)^2)),0)</f>
        <v>0</v>
      </c>
      <c r="H989" s="6">
        <f>ROUND(Catalogue!H53*SQRT((1+Paramètres!$B$4*(C989-1)+Paramètres!$B$5*(C989-1)^2)),0)</f>
        <v>0</v>
      </c>
      <c r="I989" s="6">
        <v>3</v>
      </c>
      <c r="J989" s="6">
        <v>6</v>
      </c>
      <c r="K989" s="7">
        <v>4</v>
      </c>
      <c r="L989" s="9">
        <f t="shared" si="122"/>
        <v>17.5</v>
      </c>
      <c r="M989">
        <v>1</v>
      </c>
      <c r="N989">
        <v>8</v>
      </c>
      <c r="O989">
        <v>13</v>
      </c>
      <c r="P989" s="13" t="str">
        <f t="shared" si="123"/>
        <v>1d8 + 13</v>
      </c>
      <c r="Q989">
        <f>ROUND(INDEX(Catalogue!E$4:E$85,MATCH(A989,Catalogue!A$4:A$85,0))*(1+Paramètres!$B$4*(C989-1)+Paramètres!$B$5*(C989-1)^2),0)</f>
        <v>14</v>
      </c>
      <c r="R989">
        <f>ROUND(INDEX(Catalogue!F$4:F$85,MATCH(A989,Catalogue!A$4:A$85,0))*(1+Paramètres!$B$4*(C989-1)+Paramètres!$B$5*(C989-1)^2),0)</f>
        <v>21</v>
      </c>
      <c r="S989">
        <f t="shared" si="124"/>
        <v>0</v>
      </c>
      <c r="T989" t="str">
        <f t="shared" si="125"/>
        <v>OK</v>
      </c>
      <c r="U989" s="25">
        <f t="shared" si="126"/>
        <v>17.5</v>
      </c>
      <c r="V989" t="str">
        <f t="shared" si="127"/>
        <v>OK</v>
      </c>
    </row>
    <row r="990" spans="1:22" ht="18" customHeight="1">
      <c r="A990" t="s">
        <v>252</v>
      </c>
      <c r="B990" t="s">
        <v>253</v>
      </c>
      <c r="C990">
        <v>7</v>
      </c>
      <c r="D990" t="s">
        <v>237</v>
      </c>
      <c r="E990" s="6">
        <f t="shared" si="120"/>
        <v>16</v>
      </c>
      <c r="F990" s="6">
        <f t="shared" si="121"/>
        <v>25</v>
      </c>
      <c r="G990" s="6">
        <f>ROUND(Catalogue!G53*SQRT((1+Paramètres!$B$4*(C990-1)+Paramètres!$B$5*(C990-1)^2)),0)</f>
        <v>0</v>
      </c>
      <c r="H990" s="6">
        <f>ROUND(Catalogue!H53*SQRT((1+Paramètres!$B$4*(C990-1)+Paramètres!$B$5*(C990-1)^2)),0)</f>
        <v>0</v>
      </c>
      <c r="I990" s="6">
        <v>3</v>
      </c>
      <c r="J990" s="6">
        <v>6</v>
      </c>
      <c r="K990" s="7">
        <v>4</v>
      </c>
      <c r="L990" s="9">
        <f t="shared" si="122"/>
        <v>20.5</v>
      </c>
      <c r="M990">
        <v>1</v>
      </c>
      <c r="N990">
        <v>10</v>
      </c>
      <c r="O990">
        <v>15</v>
      </c>
      <c r="P990" s="13" t="str">
        <f t="shared" si="123"/>
        <v>1d10 + 15</v>
      </c>
      <c r="Q990">
        <f>ROUND(INDEX(Catalogue!E$4:E$85,MATCH(A990,Catalogue!A$4:A$85,0))*(1+Paramètres!$B$4*(C990-1)+Paramètres!$B$5*(C990-1)^2),0)</f>
        <v>16</v>
      </c>
      <c r="R990">
        <f>ROUND(INDEX(Catalogue!F$4:F$85,MATCH(A990,Catalogue!A$4:A$85,0))*(1+Paramètres!$B$4*(C990-1)+Paramètres!$B$5*(C990-1)^2),0)</f>
        <v>25</v>
      </c>
      <c r="S990">
        <f t="shared" si="124"/>
        <v>0</v>
      </c>
      <c r="T990" t="str">
        <f t="shared" si="125"/>
        <v>OK</v>
      </c>
      <c r="U990" s="25">
        <f t="shared" si="126"/>
        <v>20.5</v>
      </c>
      <c r="V990" t="str">
        <f t="shared" si="127"/>
        <v>OK</v>
      </c>
    </row>
    <row r="991" spans="1:22" ht="18" customHeight="1">
      <c r="A991" t="s">
        <v>252</v>
      </c>
      <c r="B991" t="s">
        <v>253</v>
      </c>
      <c r="C991">
        <v>8</v>
      </c>
      <c r="D991" t="s">
        <v>237</v>
      </c>
      <c r="E991" s="6">
        <f t="shared" si="120"/>
        <v>18</v>
      </c>
      <c r="F991" s="6">
        <f t="shared" si="121"/>
        <v>28</v>
      </c>
      <c r="G991" s="6">
        <f>ROUND(Catalogue!G53*SQRT((1+Paramètres!$B$4*(C991-1)+Paramètres!$B$5*(C991-1)^2)),0)</f>
        <v>0</v>
      </c>
      <c r="H991" s="6">
        <f>ROUND(Catalogue!H53*SQRT((1+Paramètres!$B$4*(C991-1)+Paramètres!$B$5*(C991-1)^2)),0)</f>
        <v>0</v>
      </c>
      <c r="I991" s="6">
        <v>3</v>
      </c>
      <c r="J991" s="6">
        <v>6</v>
      </c>
      <c r="K991" s="7">
        <v>4</v>
      </c>
      <c r="L991" s="9">
        <f t="shared" si="122"/>
        <v>23</v>
      </c>
      <c r="M991">
        <v>2</v>
      </c>
      <c r="N991">
        <v>6</v>
      </c>
      <c r="O991">
        <v>16</v>
      </c>
      <c r="P991" s="13" t="str">
        <f t="shared" si="123"/>
        <v>2d6 + 16</v>
      </c>
      <c r="Q991">
        <f>ROUND(INDEX(Catalogue!E$4:E$85,MATCH(A991,Catalogue!A$4:A$85,0))*(1+Paramètres!$B$4*(C991-1)+Paramètres!$B$5*(C991-1)^2),0)</f>
        <v>18</v>
      </c>
      <c r="R991">
        <f>ROUND(INDEX(Catalogue!F$4:F$85,MATCH(A991,Catalogue!A$4:A$85,0))*(1+Paramètres!$B$4*(C991-1)+Paramètres!$B$5*(C991-1)^2),0)</f>
        <v>28</v>
      </c>
      <c r="S991">
        <f t="shared" si="124"/>
        <v>0</v>
      </c>
      <c r="T991" t="str">
        <f t="shared" si="125"/>
        <v>OK</v>
      </c>
      <c r="U991" s="25">
        <f t="shared" si="126"/>
        <v>23</v>
      </c>
      <c r="V991" t="str">
        <f t="shared" si="127"/>
        <v>OK</v>
      </c>
    </row>
    <row r="992" spans="1:22" ht="18" customHeight="1">
      <c r="A992" t="s">
        <v>252</v>
      </c>
      <c r="B992" t="s">
        <v>253</v>
      </c>
      <c r="C992">
        <v>9</v>
      </c>
      <c r="D992" t="s">
        <v>237</v>
      </c>
      <c r="E992" s="6">
        <f t="shared" si="120"/>
        <v>20</v>
      </c>
      <c r="F992" s="6">
        <f t="shared" si="121"/>
        <v>31</v>
      </c>
      <c r="G992" s="6">
        <f>ROUND(Catalogue!G53*SQRT((1+Paramètres!$B$4*(C992-1)+Paramètres!$B$5*(C992-1)^2)),0)</f>
        <v>0</v>
      </c>
      <c r="H992" s="6">
        <f>ROUND(Catalogue!H53*SQRT((1+Paramètres!$B$4*(C992-1)+Paramètres!$B$5*(C992-1)^2)),0)</f>
        <v>0</v>
      </c>
      <c r="I992" s="6">
        <v>3</v>
      </c>
      <c r="J992" s="6">
        <v>6</v>
      </c>
      <c r="K992" s="7">
        <v>4</v>
      </c>
      <c r="L992" s="9">
        <f t="shared" si="122"/>
        <v>25.5</v>
      </c>
      <c r="M992">
        <v>1</v>
      </c>
      <c r="N992">
        <v>12</v>
      </c>
      <c r="O992">
        <v>19</v>
      </c>
      <c r="P992" s="13" t="str">
        <f t="shared" si="123"/>
        <v>1d12 + 19</v>
      </c>
      <c r="Q992">
        <f>ROUND(INDEX(Catalogue!E$4:E$85,MATCH(A992,Catalogue!A$4:A$85,0))*(1+Paramètres!$B$4*(C992-1)+Paramètres!$B$5*(C992-1)^2),0)</f>
        <v>20</v>
      </c>
      <c r="R992">
        <f>ROUND(INDEX(Catalogue!F$4:F$85,MATCH(A992,Catalogue!A$4:A$85,0))*(1+Paramètres!$B$4*(C992-1)+Paramètres!$B$5*(C992-1)^2),0)</f>
        <v>32</v>
      </c>
      <c r="S992">
        <f t="shared" si="124"/>
        <v>-0.5</v>
      </c>
      <c r="T992" t="str">
        <f t="shared" si="125"/>
        <v>OK</v>
      </c>
      <c r="U992" s="25">
        <f t="shared" si="126"/>
        <v>25.5</v>
      </c>
      <c r="V992" t="str">
        <f t="shared" si="127"/>
        <v>OK</v>
      </c>
    </row>
    <row r="993" spans="1:22" ht="18" customHeight="1">
      <c r="A993" t="s">
        <v>252</v>
      </c>
      <c r="B993" t="s">
        <v>253</v>
      </c>
      <c r="C993">
        <v>10</v>
      </c>
      <c r="D993" t="s">
        <v>237</v>
      </c>
      <c r="E993" s="6">
        <f t="shared" si="120"/>
        <v>22</v>
      </c>
      <c r="F993" s="6">
        <f t="shared" si="121"/>
        <v>36</v>
      </c>
      <c r="G993" s="6">
        <f>ROUND(Catalogue!G53*SQRT((1+Paramètres!$B$4*(C993-1)+Paramètres!$B$5*(C993-1)^2)),0)</f>
        <v>0</v>
      </c>
      <c r="H993" s="6">
        <f>ROUND(Catalogue!H53*SQRT((1+Paramètres!$B$4*(C993-1)+Paramètres!$B$5*(C993-1)^2)),0)</f>
        <v>0</v>
      </c>
      <c r="I993" s="6">
        <v>3</v>
      </c>
      <c r="J993" s="6">
        <v>6</v>
      </c>
      <c r="K993" s="7">
        <v>4</v>
      </c>
      <c r="L993" s="9">
        <f t="shared" si="122"/>
        <v>29</v>
      </c>
      <c r="M993">
        <v>2</v>
      </c>
      <c r="N993">
        <v>8</v>
      </c>
      <c r="O993">
        <v>20</v>
      </c>
      <c r="P993" s="13" t="str">
        <f t="shared" si="123"/>
        <v>2d8 + 20</v>
      </c>
      <c r="Q993">
        <f>ROUND(INDEX(Catalogue!E$4:E$85,MATCH(A993,Catalogue!A$4:A$85,0))*(1+Paramètres!$B$4*(C993-1)+Paramètres!$B$5*(C993-1)^2),0)</f>
        <v>23</v>
      </c>
      <c r="R993">
        <f>ROUND(INDEX(Catalogue!F$4:F$85,MATCH(A993,Catalogue!A$4:A$85,0))*(1+Paramètres!$B$4*(C993-1)+Paramètres!$B$5*(C993-1)^2),0)</f>
        <v>36</v>
      </c>
      <c r="S993">
        <f t="shared" si="124"/>
        <v>-0.5</v>
      </c>
      <c r="T993" t="str">
        <f t="shared" si="125"/>
        <v>OK</v>
      </c>
      <c r="U993" s="25">
        <f t="shared" si="126"/>
        <v>29</v>
      </c>
      <c r="V993" t="str">
        <f t="shared" si="127"/>
        <v>OK</v>
      </c>
    </row>
    <row r="994" spans="1:22" ht="18" customHeight="1">
      <c r="A994" t="s">
        <v>252</v>
      </c>
      <c r="B994" t="s">
        <v>253</v>
      </c>
      <c r="C994">
        <v>11</v>
      </c>
      <c r="D994" t="s">
        <v>237</v>
      </c>
      <c r="E994" s="6">
        <f t="shared" si="120"/>
        <v>26</v>
      </c>
      <c r="F994" s="6">
        <f t="shared" si="121"/>
        <v>41</v>
      </c>
      <c r="G994" s="6">
        <f>ROUND(Catalogue!G53*SQRT((1+Paramètres!$B$4*(C994-1)+Paramètres!$B$5*(C994-1)^2)),0)</f>
        <v>0</v>
      </c>
      <c r="H994" s="6">
        <f>ROUND(Catalogue!H53*SQRT((1+Paramètres!$B$4*(C994-1)+Paramètres!$B$5*(C994-1)^2)),0)</f>
        <v>0</v>
      </c>
      <c r="I994" s="6">
        <v>3</v>
      </c>
      <c r="J994" s="6">
        <v>6</v>
      </c>
      <c r="K994" s="7">
        <v>4</v>
      </c>
      <c r="L994" s="9">
        <f t="shared" si="122"/>
        <v>33.5</v>
      </c>
      <c r="M994">
        <v>3</v>
      </c>
      <c r="N994">
        <v>6</v>
      </c>
      <c r="O994">
        <v>23</v>
      </c>
      <c r="P994" s="13" t="str">
        <f t="shared" si="123"/>
        <v>3d6 + 23</v>
      </c>
      <c r="Q994">
        <f>ROUND(INDEX(Catalogue!E$4:E$85,MATCH(A994,Catalogue!A$4:A$85,0))*(1+Paramètres!$B$4*(C994-1)+Paramètres!$B$5*(C994-1)^2),0)</f>
        <v>26</v>
      </c>
      <c r="R994">
        <f>ROUND(INDEX(Catalogue!F$4:F$85,MATCH(A994,Catalogue!A$4:A$85,0))*(1+Paramètres!$B$4*(C994-1)+Paramètres!$B$5*(C994-1)^2),0)</f>
        <v>41</v>
      </c>
      <c r="S994">
        <f t="shared" si="124"/>
        <v>0</v>
      </c>
      <c r="T994" t="str">
        <f t="shared" si="125"/>
        <v>OK</v>
      </c>
      <c r="U994" s="25">
        <f t="shared" si="126"/>
        <v>33.5</v>
      </c>
      <c r="V994" t="str">
        <f t="shared" si="127"/>
        <v>OK</v>
      </c>
    </row>
    <row r="995" spans="1:22" ht="18" customHeight="1">
      <c r="A995" t="s">
        <v>252</v>
      </c>
      <c r="B995" t="s">
        <v>253</v>
      </c>
      <c r="C995">
        <v>12</v>
      </c>
      <c r="D995" t="s">
        <v>237</v>
      </c>
      <c r="E995" s="6">
        <f t="shared" si="120"/>
        <v>28</v>
      </c>
      <c r="F995" s="6">
        <f t="shared" si="121"/>
        <v>46</v>
      </c>
      <c r="G995" s="6">
        <f>ROUND(Catalogue!G53*SQRT((1+Paramètres!$B$4*(C995-1)+Paramètres!$B$5*(C995-1)^2)),0)</f>
        <v>0</v>
      </c>
      <c r="H995" s="6">
        <f>ROUND(Catalogue!H53*SQRT((1+Paramètres!$B$4*(C995-1)+Paramètres!$B$5*(C995-1)^2)),0)</f>
        <v>0</v>
      </c>
      <c r="I995" s="6">
        <v>3</v>
      </c>
      <c r="J995" s="6">
        <v>6</v>
      </c>
      <c r="K995" s="7">
        <v>4</v>
      </c>
      <c r="L995" s="9">
        <f t="shared" si="122"/>
        <v>37</v>
      </c>
      <c r="M995">
        <v>2</v>
      </c>
      <c r="N995">
        <v>10</v>
      </c>
      <c r="O995">
        <v>26</v>
      </c>
      <c r="P995" s="13" t="str">
        <f t="shared" si="123"/>
        <v>2d10 + 26</v>
      </c>
      <c r="Q995">
        <f>ROUND(INDEX(Catalogue!E$4:E$85,MATCH(A995,Catalogue!A$4:A$85,0))*(1+Paramètres!$B$4*(C995-1)+Paramètres!$B$5*(C995-1)^2),0)</f>
        <v>29</v>
      </c>
      <c r="R995">
        <f>ROUND(INDEX(Catalogue!F$4:F$85,MATCH(A995,Catalogue!A$4:A$85,0))*(1+Paramètres!$B$4*(C995-1)+Paramètres!$B$5*(C995-1)^2),0)</f>
        <v>46</v>
      </c>
      <c r="S995">
        <f t="shared" si="124"/>
        <v>-0.5</v>
      </c>
      <c r="T995" t="str">
        <f t="shared" si="125"/>
        <v>OK</v>
      </c>
      <c r="U995" s="25">
        <f t="shared" si="126"/>
        <v>37</v>
      </c>
      <c r="V995" t="str">
        <f t="shared" si="127"/>
        <v>OK</v>
      </c>
    </row>
    <row r="996" spans="1:22" ht="18" customHeight="1">
      <c r="A996" t="s">
        <v>252</v>
      </c>
      <c r="B996" t="s">
        <v>253</v>
      </c>
      <c r="C996">
        <v>13</v>
      </c>
      <c r="D996" t="s">
        <v>237</v>
      </c>
      <c r="E996" s="6">
        <f t="shared" si="120"/>
        <v>32</v>
      </c>
      <c r="F996" s="6">
        <f t="shared" si="121"/>
        <v>50</v>
      </c>
      <c r="G996" s="6">
        <f>ROUND(Catalogue!G53*SQRT((1+Paramètres!$B$4*(C996-1)+Paramètres!$B$5*(C996-1)^2)),0)</f>
        <v>0</v>
      </c>
      <c r="H996" s="6">
        <f>ROUND(Catalogue!H53*SQRT((1+Paramètres!$B$4*(C996-1)+Paramètres!$B$5*(C996-1)^2)),0)</f>
        <v>0</v>
      </c>
      <c r="I996" s="6">
        <v>3</v>
      </c>
      <c r="J996" s="6">
        <v>6</v>
      </c>
      <c r="K996" s="7">
        <v>4</v>
      </c>
      <c r="L996" s="9">
        <f t="shared" si="122"/>
        <v>41</v>
      </c>
      <c r="M996">
        <v>2</v>
      </c>
      <c r="N996">
        <v>10</v>
      </c>
      <c r="O996">
        <v>30</v>
      </c>
      <c r="P996" s="13" t="str">
        <f t="shared" si="123"/>
        <v>2d10 + 30</v>
      </c>
      <c r="Q996">
        <f>ROUND(INDEX(Catalogue!E$4:E$85,MATCH(A996,Catalogue!A$4:A$85,0))*(1+Paramètres!$B$4*(C996-1)+Paramètres!$B$5*(C996-1)^2),0)</f>
        <v>32</v>
      </c>
      <c r="R996">
        <f>ROUND(INDEX(Catalogue!F$4:F$85,MATCH(A996,Catalogue!A$4:A$85,0))*(1+Paramètres!$B$4*(C996-1)+Paramètres!$B$5*(C996-1)^2),0)</f>
        <v>51</v>
      </c>
      <c r="S996">
        <f t="shared" si="124"/>
        <v>-0.5</v>
      </c>
      <c r="T996" t="str">
        <f t="shared" si="125"/>
        <v>OK</v>
      </c>
      <c r="U996" s="25">
        <f t="shared" si="126"/>
        <v>41</v>
      </c>
      <c r="V996" t="str">
        <f t="shared" si="127"/>
        <v>OK</v>
      </c>
    </row>
    <row r="997" spans="1:22" ht="18" customHeight="1">
      <c r="A997" t="s">
        <v>252</v>
      </c>
      <c r="B997" t="s">
        <v>253</v>
      </c>
      <c r="C997">
        <v>14</v>
      </c>
      <c r="D997" t="s">
        <v>237</v>
      </c>
      <c r="E997" s="6">
        <f t="shared" si="120"/>
        <v>36</v>
      </c>
      <c r="F997" s="6">
        <f t="shared" si="121"/>
        <v>56</v>
      </c>
      <c r="G997" s="6">
        <f>ROUND(Catalogue!G53*SQRT((1+Paramètres!$B$4*(C997-1)+Paramètres!$B$5*(C997-1)^2)),0)</f>
        <v>0</v>
      </c>
      <c r="H997" s="6">
        <f>ROUND(Catalogue!H53*SQRT((1+Paramètres!$B$4*(C997-1)+Paramètres!$B$5*(C997-1)^2)),0)</f>
        <v>0</v>
      </c>
      <c r="I997" s="6">
        <v>3</v>
      </c>
      <c r="J997" s="6">
        <v>6</v>
      </c>
      <c r="K997" s="7">
        <v>4</v>
      </c>
      <c r="L997" s="9">
        <f t="shared" si="122"/>
        <v>46</v>
      </c>
      <c r="M997">
        <v>4</v>
      </c>
      <c r="N997">
        <v>6</v>
      </c>
      <c r="O997">
        <v>32</v>
      </c>
      <c r="P997" s="13" t="str">
        <f t="shared" si="123"/>
        <v>4d6 + 32</v>
      </c>
      <c r="Q997">
        <f>ROUND(INDEX(Catalogue!E$4:E$85,MATCH(A997,Catalogue!A$4:A$85,0))*(1+Paramètres!$B$4*(C997-1)+Paramètres!$B$5*(C997-1)^2),0)</f>
        <v>36</v>
      </c>
      <c r="R997">
        <f>ROUND(INDEX(Catalogue!F$4:F$85,MATCH(A997,Catalogue!A$4:A$85,0))*(1+Paramètres!$B$4*(C997-1)+Paramètres!$B$5*(C997-1)^2),0)</f>
        <v>56</v>
      </c>
      <c r="S997">
        <f t="shared" si="124"/>
        <v>0</v>
      </c>
      <c r="T997" t="str">
        <f t="shared" si="125"/>
        <v>OK</v>
      </c>
      <c r="U997" s="25">
        <f t="shared" si="126"/>
        <v>46</v>
      </c>
      <c r="V997" t="str">
        <f t="shared" si="127"/>
        <v>OK</v>
      </c>
    </row>
    <row r="998" spans="1:22" ht="18" customHeight="1">
      <c r="A998" t="s">
        <v>252</v>
      </c>
      <c r="B998" t="s">
        <v>253</v>
      </c>
      <c r="C998">
        <v>15</v>
      </c>
      <c r="D998" t="s">
        <v>237</v>
      </c>
      <c r="E998" s="6">
        <f t="shared" si="120"/>
        <v>40</v>
      </c>
      <c r="F998" s="6">
        <f t="shared" si="121"/>
        <v>62</v>
      </c>
      <c r="G998" s="6">
        <f>ROUND(Catalogue!G53*SQRT((1+Paramètres!$B$4*(C998-1)+Paramètres!$B$5*(C998-1)^2)),0)</f>
        <v>0</v>
      </c>
      <c r="H998" s="6">
        <f>ROUND(Catalogue!H53*SQRT((1+Paramètres!$B$4*(C998-1)+Paramètres!$B$5*(C998-1)^2)),0)</f>
        <v>0</v>
      </c>
      <c r="I998" s="6">
        <v>3</v>
      </c>
      <c r="J998" s="6">
        <v>6</v>
      </c>
      <c r="K998" s="7">
        <v>4</v>
      </c>
      <c r="L998" s="9">
        <f t="shared" si="122"/>
        <v>51</v>
      </c>
      <c r="M998">
        <v>2</v>
      </c>
      <c r="N998">
        <v>12</v>
      </c>
      <c r="O998">
        <v>38</v>
      </c>
      <c r="P998" s="13" t="str">
        <f t="shared" si="123"/>
        <v>2d12 + 38</v>
      </c>
      <c r="Q998">
        <f>ROUND(INDEX(Catalogue!E$4:E$85,MATCH(A998,Catalogue!A$4:A$85,0))*(1+Paramètres!$B$4*(C998-1)+Paramètres!$B$5*(C998-1)^2),0)</f>
        <v>40</v>
      </c>
      <c r="R998">
        <f>ROUND(INDEX(Catalogue!F$4:F$85,MATCH(A998,Catalogue!A$4:A$85,0))*(1+Paramètres!$B$4*(C998-1)+Paramètres!$B$5*(C998-1)^2),0)</f>
        <v>62</v>
      </c>
      <c r="S998">
        <f t="shared" si="124"/>
        <v>0</v>
      </c>
      <c r="T998" t="str">
        <f t="shared" si="125"/>
        <v>OK</v>
      </c>
      <c r="U998" s="25">
        <f t="shared" si="126"/>
        <v>51</v>
      </c>
      <c r="V998" t="str">
        <f t="shared" si="127"/>
        <v>OK</v>
      </c>
    </row>
    <row r="999" spans="1:22" ht="18" customHeight="1">
      <c r="A999" t="s">
        <v>252</v>
      </c>
      <c r="B999" t="s">
        <v>253</v>
      </c>
      <c r="C999">
        <v>16</v>
      </c>
      <c r="D999" t="s">
        <v>237</v>
      </c>
      <c r="E999" s="6">
        <f t="shared" si="120"/>
        <v>44</v>
      </c>
      <c r="F999" s="6">
        <f t="shared" si="121"/>
        <v>69</v>
      </c>
      <c r="G999" s="6">
        <f>ROUND(Catalogue!G53*SQRT((1+Paramètres!$B$4*(C999-1)+Paramètres!$B$5*(C999-1)^2)),0)</f>
        <v>0</v>
      </c>
      <c r="H999" s="6">
        <f>ROUND(Catalogue!H53*SQRT((1+Paramètres!$B$4*(C999-1)+Paramètres!$B$5*(C999-1)^2)),0)</f>
        <v>0</v>
      </c>
      <c r="I999" s="6">
        <v>3</v>
      </c>
      <c r="J999" s="6">
        <v>6</v>
      </c>
      <c r="K999" s="7">
        <v>4</v>
      </c>
      <c r="L999" s="9">
        <f t="shared" si="122"/>
        <v>56.5</v>
      </c>
      <c r="M999">
        <v>5</v>
      </c>
      <c r="N999">
        <v>6</v>
      </c>
      <c r="O999">
        <v>39</v>
      </c>
      <c r="P999" s="13" t="str">
        <f t="shared" si="123"/>
        <v>5d6 + 39</v>
      </c>
      <c r="Q999">
        <f>ROUND(INDEX(Catalogue!E$4:E$85,MATCH(A999,Catalogue!A$4:A$85,0))*(1+Paramètres!$B$4*(C999-1)+Paramètres!$B$5*(C999-1)^2),0)</f>
        <v>44</v>
      </c>
      <c r="R999">
        <f>ROUND(INDEX(Catalogue!F$4:F$85,MATCH(A999,Catalogue!A$4:A$85,0))*(1+Paramètres!$B$4*(C999-1)+Paramètres!$B$5*(C999-1)^2),0)</f>
        <v>69</v>
      </c>
      <c r="S999">
        <f t="shared" si="124"/>
        <v>0</v>
      </c>
      <c r="T999" t="str">
        <f t="shared" si="125"/>
        <v>OK</v>
      </c>
      <c r="U999" s="25">
        <f t="shared" si="126"/>
        <v>56.5</v>
      </c>
      <c r="V999" t="str">
        <f t="shared" si="127"/>
        <v>OK</v>
      </c>
    </row>
    <row r="1000" spans="1:22" ht="18" customHeight="1">
      <c r="A1000" t="s">
        <v>252</v>
      </c>
      <c r="B1000" t="s">
        <v>253</v>
      </c>
      <c r="C1000">
        <v>17</v>
      </c>
      <c r="D1000" t="s">
        <v>237</v>
      </c>
      <c r="E1000" s="6">
        <f t="shared" si="120"/>
        <v>48</v>
      </c>
      <c r="F1000" s="6">
        <f t="shared" si="121"/>
        <v>75</v>
      </c>
      <c r="G1000" s="6">
        <f>ROUND(Catalogue!G53*SQRT((1+Paramètres!$B$4*(C1000-1)+Paramètres!$B$5*(C1000-1)^2)),0)</f>
        <v>0</v>
      </c>
      <c r="H1000" s="6">
        <f>ROUND(Catalogue!H53*SQRT((1+Paramètres!$B$4*(C1000-1)+Paramètres!$B$5*(C1000-1)^2)),0)</f>
        <v>0</v>
      </c>
      <c r="I1000" s="6">
        <v>3</v>
      </c>
      <c r="J1000" s="6">
        <v>6</v>
      </c>
      <c r="K1000" s="7">
        <v>4</v>
      </c>
      <c r="L1000" s="9">
        <f t="shared" si="122"/>
        <v>61.5</v>
      </c>
      <c r="M1000">
        <v>3</v>
      </c>
      <c r="N1000">
        <v>10</v>
      </c>
      <c r="O1000">
        <v>45</v>
      </c>
      <c r="P1000" s="13" t="str">
        <f t="shared" si="123"/>
        <v>3d10 + 45</v>
      </c>
      <c r="Q1000">
        <f>ROUND(INDEX(Catalogue!E$4:E$85,MATCH(A1000,Catalogue!A$4:A$85,0))*(1+Paramètres!$B$4*(C1000-1)+Paramètres!$B$5*(C1000-1)^2),0)</f>
        <v>48</v>
      </c>
      <c r="R1000">
        <f>ROUND(INDEX(Catalogue!F$4:F$85,MATCH(A1000,Catalogue!A$4:A$85,0))*(1+Paramètres!$B$4*(C1000-1)+Paramètres!$B$5*(C1000-1)^2),0)</f>
        <v>75</v>
      </c>
      <c r="S1000">
        <f t="shared" si="124"/>
        <v>0</v>
      </c>
      <c r="T1000" t="str">
        <f t="shared" si="125"/>
        <v>OK</v>
      </c>
      <c r="U1000" s="25">
        <f t="shared" si="126"/>
        <v>61.5</v>
      </c>
      <c r="V1000" t="str">
        <f t="shared" si="127"/>
        <v>OK</v>
      </c>
    </row>
    <row r="1001" spans="1:22" ht="18" customHeight="1">
      <c r="A1001" t="s">
        <v>252</v>
      </c>
      <c r="B1001" t="s">
        <v>253</v>
      </c>
      <c r="C1001">
        <v>18</v>
      </c>
      <c r="D1001" t="s">
        <v>237</v>
      </c>
      <c r="E1001" s="6">
        <f t="shared" si="120"/>
        <v>52</v>
      </c>
      <c r="F1001" s="6">
        <f t="shared" si="121"/>
        <v>82</v>
      </c>
      <c r="G1001" s="6">
        <f>ROUND(Catalogue!G53*SQRT((1+Paramètres!$B$4*(C1001-1)+Paramètres!$B$5*(C1001-1)^2)),0)</f>
        <v>0</v>
      </c>
      <c r="H1001" s="6">
        <f>ROUND(Catalogue!H53*SQRT((1+Paramètres!$B$4*(C1001-1)+Paramètres!$B$5*(C1001-1)^2)),0)</f>
        <v>0</v>
      </c>
      <c r="I1001" s="6">
        <v>3</v>
      </c>
      <c r="J1001" s="6">
        <v>6</v>
      </c>
      <c r="K1001" s="7">
        <v>4</v>
      </c>
      <c r="L1001" s="9">
        <f t="shared" si="122"/>
        <v>67</v>
      </c>
      <c r="M1001">
        <v>6</v>
      </c>
      <c r="N1001">
        <v>6</v>
      </c>
      <c r="O1001">
        <v>46</v>
      </c>
      <c r="P1001" s="13" t="str">
        <f t="shared" si="123"/>
        <v>6d6 + 46</v>
      </c>
      <c r="Q1001">
        <f>ROUND(INDEX(Catalogue!E$4:E$85,MATCH(A1001,Catalogue!A$4:A$85,0))*(1+Paramètres!$B$4*(C1001-1)+Paramètres!$B$5*(C1001-1)^2),0)</f>
        <v>52</v>
      </c>
      <c r="R1001">
        <f>ROUND(INDEX(Catalogue!F$4:F$85,MATCH(A1001,Catalogue!A$4:A$85,0))*(1+Paramètres!$B$4*(C1001-1)+Paramètres!$B$5*(C1001-1)^2),0)</f>
        <v>82</v>
      </c>
      <c r="S1001">
        <f t="shared" si="124"/>
        <v>0</v>
      </c>
      <c r="T1001" t="str">
        <f t="shared" si="125"/>
        <v>OK</v>
      </c>
      <c r="U1001" s="25">
        <f t="shared" si="126"/>
        <v>67</v>
      </c>
      <c r="V1001" t="str">
        <f t="shared" si="127"/>
        <v>OK</v>
      </c>
    </row>
    <row r="1002" spans="1:22" ht="18" customHeight="1">
      <c r="A1002" t="s">
        <v>252</v>
      </c>
      <c r="B1002" t="s">
        <v>253</v>
      </c>
      <c r="C1002">
        <v>19</v>
      </c>
      <c r="D1002" t="s">
        <v>237</v>
      </c>
      <c r="E1002" s="6">
        <f t="shared" si="120"/>
        <v>57</v>
      </c>
      <c r="F1002" s="6">
        <f t="shared" si="121"/>
        <v>90</v>
      </c>
      <c r="G1002" s="6">
        <f>ROUND(Catalogue!G53*SQRT((1+Paramètres!$B$4*(C1002-1)+Paramètres!$B$5*(C1002-1)^2)),0)</f>
        <v>0</v>
      </c>
      <c r="H1002" s="6">
        <f>ROUND(Catalogue!H53*SQRT((1+Paramètres!$B$4*(C1002-1)+Paramètres!$B$5*(C1002-1)^2)),0)</f>
        <v>0</v>
      </c>
      <c r="I1002" s="6">
        <v>3</v>
      </c>
      <c r="J1002" s="6">
        <v>6</v>
      </c>
      <c r="K1002" s="7">
        <v>4</v>
      </c>
      <c r="L1002" s="9">
        <f t="shared" si="122"/>
        <v>73.5</v>
      </c>
      <c r="M1002">
        <v>3</v>
      </c>
      <c r="N1002">
        <v>12</v>
      </c>
      <c r="O1002">
        <v>54</v>
      </c>
      <c r="P1002" s="13" t="str">
        <f t="shared" si="123"/>
        <v>3d12 + 54</v>
      </c>
      <c r="Q1002">
        <f>ROUND(INDEX(Catalogue!E$4:E$85,MATCH(A1002,Catalogue!A$4:A$85,0))*(1+Paramètres!$B$4*(C1002-1)+Paramètres!$B$5*(C1002-1)^2),0)</f>
        <v>57</v>
      </c>
      <c r="R1002">
        <f>ROUND(INDEX(Catalogue!F$4:F$85,MATCH(A1002,Catalogue!A$4:A$85,0))*(1+Paramètres!$B$4*(C1002-1)+Paramètres!$B$5*(C1002-1)^2),0)</f>
        <v>90</v>
      </c>
      <c r="S1002">
        <f t="shared" si="124"/>
        <v>0</v>
      </c>
      <c r="T1002" t="str">
        <f t="shared" si="125"/>
        <v>OK</v>
      </c>
      <c r="U1002" s="25">
        <f t="shared" si="126"/>
        <v>73.5</v>
      </c>
      <c r="V1002" t="str">
        <f t="shared" si="127"/>
        <v>OK</v>
      </c>
    </row>
    <row r="1003" spans="1:22" ht="18" customHeight="1">
      <c r="A1003" t="s">
        <v>252</v>
      </c>
      <c r="B1003" t="s">
        <v>253</v>
      </c>
      <c r="C1003">
        <v>20</v>
      </c>
      <c r="D1003" t="s">
        <v>237</v>
      </c>
      <c r="E1003" s="6">
        <f t="shared" si="120"/>
        <v>62</v>
      </c>
      <c r="F1003" s="6">
        <f t="shared" si="121"/>
        <v>98</v>
      </c>
      <c r="G1003" s="6">
        <f>ROUND(Catalogue!G53*SQRT((1+Paramètres!$B$4*(C1003-1)+Paramètres!$B$5*(C1003-1)^2)),0)</f>
        <v>0</v>
      </c>
      <c r="H1003" s="6">
        <f>ROUND(Catalogue!H53*SQRT((1+Paramètres!$B$4*(C1003-1)+Paramètres!$B$5*(C1003-1)^2)),0)</f>
        <v>0</v>
      </c>
      <c r="I1003" s="6">
        <v>3</v>
      </c>
      <c r="J1003" s="6">
        <v>6</v>
      </c>
      <c r="K1003" s="7">
        <v>4</v>
      </c>
      <c r="L1003" s="9">
        <f t="shared" si="122"/>
        <v>80</v>
      </c>
      <c r="M1003">
        <v>4</v>
      </c>
      <c r="N1003">
        <v>10</v>
      </c>
      <c r="O1003">
        <v>58</v>
      </c>
      <c r="P1003" s="13" t="str">
        <f t="shared" si="123"/>
        <v>4d10 + 58</v>
      </c>
      <c r="Q1003">
        <f>ROUND(INDEX(Catalogue!E$4:E$85,MATCH(A1003,Catalogue!A$4:A$85,0))*(1+Paramètres!$B$4*(C1003-1)+Paramètres!$B$5*(C1003-1)^2),0)</f>
        <v>62</v>
      </c>
      <c r="R1003">
        <f>ROUND(INDEX(Catalogue!F$4:F$85,MATCH(A1003,Catalogue!A$4:A$85,0))*(1+Paramètres!$B$4*(C1003-1)+Paramètres!$B$5*(C1003-1)^2),0)</f>
        <v>98</v>
      </c>
      <c r="S1003">
        <f t="shared" si="124"/>
        <v>0</v>
      </c>
      <c r="T1003" t="str">
        <f t="shared" si="125"/>
        <v>OK</v>
      </c>
      <c r="U1003" s="25">
        <f t="shared" si="126"/>
        <v>80</v>
      </c>
      <c r="V1003" t="str">
        <f t="shared" si="127"/>
        <v>OK</v>
      </c>
    </row>
    <row r="1004" spans="1:22" ht="18" customHeight="1">
      <c r="A1004" t="s">
        <v>256</v>
      </c>
      <c r="B1004" t="s">
        <v>257</v>
      </c>
      <c r="C1004">
        <v>1</v>
      </c>
      <c r="D1004" t="s">
        <v>237</v>
      </c>
      <c r="E1004" s="6">
        <f t="shared" si="120"/>
        <v>2</v>
      </c>
      <c r="F1004" s="6">
        <f t="shared" si="121"/>
        <v>5</v>
      </c>
      <c r="G1004" s="6">
        <f>ROUND(Catalogue!G54*SQRT((1+Paramètres!$B$4*(C1004-1)+Paramètres!$B$5*(C1004-1)^2)),0)</f>
        <v>0</v>
      </c>
      <c r="H1004" s="6">
        <f>ROUND(Catalogue!H54*SQRT((1+Paramètres!$B$4*(C1004-1)+Paramètres!$B$5*(C1004-1)^2)),0)</f>
        <v>0</v>
      </c>
      <c r="I1004" s="6">
        <v>2</v>
      </c>
      <c r="J1004" s="6">
        <v>5</v>
      </c>
      <c r="K1004" s="7">
        <v>3.8</v>
      </c>
      <c r="L1004" s="9">
        <f t="shared" si="122"/>
        <v>3.5</v>
      </c>
      <c r="M1004">
        <v>1</v>
      </c>
      <c r="N1004">
        <v>4</v>
      </c>
      <c r="O1004">
        <v>1</v>
      </c>
      <c r="P1004" s="13" t="str">
        <f t="shared" si="123"/>
        <v>1d4 + 1</v>
      </c>
      <c r="Q1004">
        <f>ROUND(INDEX(Catalogue!E$4:E$85,MATCH(A1004,Catalogue!A$4:A$85,0))*(1+Paramètres!$B$4*(C1004-1)+Paramètres!$B$5*(C1004-1)^2),0)</f>
        <v>3</v>
      </c>
      <c r="R1004">
        <f>ROUND(INDEX(Catalogue!F$4:F$85,MATCH(A1004,Catalogue!A$4:A$85,0))*(1+Paramètres!$B$4*(C1004-1)+Paramètres!$B$5*(C1004-1)^2),0)</f>
        <v>5</v>
      </c>
      <c r="S1004">
        <f t="shared" si="124"/>
        <v>-0.5</v>
      </c>
      <c r="T1004" t="str">
        <f t="shared" si="125"/>
        <v>OK</v>
      </c>
      <c r="U1004" s="25">
        <f t="shared" si="126"/>
        <v>3.5</v>
      </c>
      <c r="V1004" t="str">
        <f t="shared" si="127"/>
        <v>OK</v>
      </c>
    </row>
    <row r="1005" spans="1:22" ht="18" customHeight="1">
      <c r="A1005" t="s">
        <v>256</v>
      </c>
      <c r="B1005" t="s">
        <v>257</v>
      </c>
      <c r="C1005">
        <v>2</v>
      </c>
      <c r="D1005" t="s">
        <v>237</v>
      </c>
      <c r="E1005" s="6">
        <f t="shared" si="120"/>
        <v>3</v>
      </c>
      <c r="F1005" s="6">
        <f t="shared" si="121"/>
        <v>6</v>
      </c>
      <c r="G1005" s="6">
        <f>ROUND(Catalogue!G54*SQRT((1+Paramètres!$B$4*(C1005-1)+Paramètres!$B$5*(C1005-1)^2)),0)</f>
        <v>0</v>
      </c>
      <c r="H1005" s="6">
        <f>ROUND(Catalogue!H54*SQRT((1+Paramètres!$B$4*(C1005-1)+Paramètres!$B$5*(C1005-1)^2)),0)</f>
        <v>0</v>
      </c>
      <c r="I1005" s="6">
        <v>2</v>
      </c>
      <c r="J1005" s="6">
        <v>5</v>
      </c>
      <c r="K1005" s="7">
        <v>3.8</v>
      </c>
      <c r="L1005" s="9">
        <f t="shared" si="122"/>
        <v>4.5</v>
      </c>
      <c r="M1005">
        <v>1</v>
      </c>
      <c r="N1005">
        <v>4</v>
      </c>
      <c r="O1005">
        <v>2</v>
      </c>
      <c r="P1005" s="13" t="str">
        <f t="shared" si="123"/>
        <v>1d4 + 2</v>
      </c>
      <c r="Q1005">
        <f>ROUND(INDEX(Catalogue!E$4:E$85,MATCH(A1005,Catalogue!A$4:A$85,0))*(1+Paramètres!$B$4*(C1005-1)+Paramètres!$B$5*(C1005-1)^2),0)</f>
        <v>3</v>
      </c>
      <c r="R1005">
        <f>ROUND(INDEX(Catalogue!F$4:F$85,MATCH(A1005,Catalogue!A$4:A$85,0))*(1+Paramètres!$B$4*(C1005-1)+Paramètres!$B$5*(C1005-1)^2),0)</f>
        <v>6</v>
      </c>
      <c r="S1005">
        <f t="shared" si="124"/>
        <v>0</v>
      </c>
      <c r="T1005" t="str">
        <f t="shared" si="125"/>
        <v>OK</v>
      </c>
      <c r="U1005" s="25">
        <f t="shared" si="126"/>
        <v>4.5</v>
      </c>
      <c r="V1005" t="str">
        <f t="shared" si="127"/>
        <v>OK</v>
      </c>
    </row>
    <row r="1006" spans="1:22" ht="18" customHeight="1">
      <c r="A1006" t="s">
        <v>256</v>
      </c>
      <c r="B1006" t="s">
        <v>257</v>
      </c>
      <c r="C1006">
        <v>3</v>
      </c>
      <c r="D1006" t="s">
        <v>237</v>
      </c>
      <c r="E1006" s="6">
        <f t="shared" si="120"/>
        <v>3</v>
      </c>
      <c r="F1006" s="6">
        <f t="shared" si="121"/>
        <v>6</v>
      </c>
      <c r="G1006" s="6">
        <f>ROUND(Catalogue!G54*SQRT((1+Paramètres!$B$4*(C1006-1)+Paramètres!$B$5*(C1006-1)^2)),0)</f>
        <v>0</v>
      </c>
      <c r="H1006" s="6">
        <f>ROUND(Catalogue!H54*SQRT((1+Paramètres!$B$4*(C1006-1)+Paramètres!$B$5*(C1006-1)^2)),0)</f>
        <v>0</v>
      </c>
      <c r="I1006" s="6">
        <v>2</v>
      </c>
      <c r="J1006" s="6">
        <v>5</v>
      </c>
      <c r="K1006" s="7">
        <v>3.8</v>
      </c>
      <c r="L1006" s="9">
        <f t="shared" si="122"/>
        <v>4.5</v>
      </c>
      <c r="M1006">
        <v>1</v>
      </c>
      <c r="N1006">
        <v>4</v>
      </c>
      <c r="O1006">
        <v>2</v>
      </c>
      <c r="P1006" s="13" t="str">
        <f t="shared" si="123"/>
        <v>1d4 + 2</v>
      </c>
      <c r="Q1006">
        <f>ROUND(INDEX(Catalogue!E$4:E$85,MATCH(A1006,Catalogue!A$4:A$85,0))*(1+Paramètres!$B$4*(C1006-1)+Paramètres!$B$5*(C1006-1)^2),0)</f>
        <v>4</v>
      </c>
      <c r="R1006">
        <f>ROUND(INDEX(Catalogue!F$4:F$85,MATCH(A1006,Catalogue!A$4:A$85,0))*(1+Paramètres!$B$4*(C1006-1)+Paramètres!$B$5*(C1006-1)^2),0)</f>
        <v>6</v>
      </c>
      <c r="S1006">
        <f t="shared" si="124"/>
        <v>-0.5</v>
      </c>
      <c r="T1006" t="str">
        <f t="shared" si="125"/>
        <v>OK</v>
      </c>
      <c r="U1006" s="25">
        <f t="shared" si="126"/>
        <v>4.5</v>
      </c>
      <c r="V1006" t="str">
        <f t="shared" si="127"/>
        <v>OK</v>
      </c>
    </row>
    <row r="1007" spans="1:22" ht="18" customHeight="1">
      <c r="A1007" t="s">
        <v>256</v>
      </c>
      <c r="B1007" t="s">
        <v>257</v>
      </c>
      <c r="C1007">
        <v>4</v>
      </c>
      <c r="D1007" t="s">
        <v>237</v>
      </c>
      <c r="E1007" s="6">
        <f t="shared" si="120"/>
        <v>4</v>
      </c>
      <c r="F1007" s="6">
        <f t="shared" si="121"/>
        <v>7</v>
      </c>
      <c r="G1007" s="6">
        <f>ROUND(Catalogue!G54*SQRT((1+Paramètres!$B$4*(C1007-1)+Paramètres!$B$5*(C1007-1)^2)),0)</f>
        <v>0</v>
      </c>
      <c r="H1007" s="6">
        <f>ROUND(Catalogue!H54*SQRT((1+Paramètres!$B$4*(C1007-1)+Paramètres!$B$5*(C1007-1)^2)),0)</f>
        <v>0</v>
      </c>
      <c r="I1007" s="6">
        <v>2</v>
      </c>
      <c r="J1007" s="6">
        <v>5</v>
      </c>
      <c r="K1007" s="7">
        <v>3.8</v>
      </c>
      <c r="L1007" s="9">
        <f t="shared" si="122"/>
        <v>5.5</v>
      </c>
      <c r="M1007">
        <v>1</v>
      </c>
      <c r="N1007">
        <v>4</v>
      </c>
      <c r="O1007">
        <v>3</v>
      </c>
      <c r="P1007" s="13" t="str">
        <f t="shared" si="123"/>
        <v>1d4 + 3</v>
      </c>
      <c r="Q1007">
        <f>ROUND(INDEX(Catalogue!E$4:E$85,MATCH(A1007,Catalogue!A$4:A$85,0))*(1+Paramètres!$B$4*(C1007-1)+Paramètres!$B$5*(C1007-1)^2),0)</f>
        <v>4</v>
      </c>
      <c r="R1007">
        <f>ROUND(INDEX(Catalogue!F$4:F$85,MATCH(A1007,Catalogue!A$4:A$85,0))*(1+Paramètres!$B$4*(C1007-1)+Paramètres!$B$5*(C1007-1)^2),0)</f>
        <v>7</v>
      </c>
      <c r="S1007">
        <f t="shared" si="124"/>
        <v>0</v>
      </c>
      <c r="T1007" t="str">
        <f t="shared" si="125"/>
        <v>OK</v>
      </c>
      <c r="U1007" s="25">
        <f t="shared" si="126"/>
        <v>5.5</v>
      </c>
      <c r="V1007" t="str">
        <f t="shared" si="127"/>
        <v>OK</v>
      </c>
    </row>
    <row r="1008" spans="1:22" ht="18" customHeight="1">
      <c r="A1008" t="s">
        <v>256</v>
      </c>
      <c r="B1008" t="s">
        <v>257</v>
      </c>
      <c r="C1008">
        <v>5</v>
      </c>
      <c r="D1008" t="s">
        <v>237</v>
      </c>
      <c r="E1008" s="6">
        <f t="shared" si="120"/>
        <v>5</v>
      </c>
      <c r="F1008" s="6">
        <f t="shared" si="121"/>
        <v>8</v>
      </c>
      <c r="G1008" s="6">
        <f>ROUND(Catalogue!G54*SQRT((1+Paramètres!$B$4*(C1008-1)+Paramètres!$B$5*(C1008-1)^2)),0)</f>
        <v>0</v>
      </c>
      <c r="H1008" s="6">
        <f>ROUND(Catalogue!H54*SQRT((1+Paramètres!$B$4*(C1008-1)+Paramètres!$B$5*(C1008-1)^2)),0)</f>
        <v>0</v>
      </c>
      <c r="I1008" s="6">
        <v>2</v>
      </c>
      <c r="J1008" s="6">
        <v>5</v>
      </c>
      <c r="K1008" s="7">
        <v>3.8</v>
      </c>
      <c r="L1008" s="9">
        <f t="shared" si="122"/>
        <v>6.5</v>
      </c>
      <c r="M1008">
        <v>1</v>
      </c>
      <c r="N1008">
        <v>4</v>
      </c>
      <c r="O1008">
        <v>4</v>
      </c>
      <c r="P1008" s="13" t="str">
        <f t="shared" si="123"/>
        <v>1d4 + 4</v>
      </c>
      <c r="Q1008">
        <f>ROUND(INDEX(Catalogue!E$4:E$85,MATCH(A1008,Catalogue!A$4:A$85,0))*(1+Paramètres!$B$4*(C1008-1)+Paramètres!$B$5*(C1008-1)^2),0)</f>
        <v>5</v>
      </c>
      <c r="R1008">
        <f>ROUND(INDEX(Catalogue!F$4:F$85,MATCH(A1008,Catalogue!A$4:A$85,0))*(1+Paramètres!$B$4*(C1008-1)+Paramètres!$B$5*(C1008-1)^2),0)</f>
        <v>8</v>
      </c>
      <c r="S1008">
        <f t="shared" si="124"/>
        <v>0</v>
      </c>
      <c r="T1008" t="str">
        <f t="shared" si="125"/>
        <v>OK</v>
      </c>
      <c r="U1008" s="25">
        <f t="shared" si="126"/>
        <v>6.5</v>
      </c>
      <c r="V1008" t="str">
        <f t="shared" si="127"/>
        <v>OK</v>
      </c>
    </row>
    <row r="1009" spans="1:22" ht="18" customHeight="1">
      <c r="A1009" t="s">
        <v>256</v>
      </c>
      <c r="B1009" t="s">
        <v>257</v>
      </c>
      <c r="C1009">
        <v>6</v>
      </c>
      <c r="D1009" t="s">
        <v>237</v>
      </c>
      <c r="E1009" s="6">
        <f t="shared" si="120"/>
        <v>6</v>
      </c>
      <c r="F1009" s="6">
        <f t="shared" si="121"/>
        <v>9</v>
      </c>
      <c r="G1009" s="6">
        <f>ROUND(Catalogue!G54*SQRT((1+Paramètres!$B$4*(C1009-1)+Paramètres!$B$5*(C1009-1)^2)),0)</f>
        <v>0</v>
      </c>
      <c r="H1009" s="6">
        <f>ROUND(Catalogue!H54*SQRT((1+Paramètres!$B$4*(C1009-1)+Paramètres!$B$5*(C1009-1)^2)),0)</f>
        <v>0</v>
      </c>
      <c r="I1009" s="6">
        <v>2</v>
      </c>
      <c r="J1009" s="6">
        <v>5</v>
      </c>
      <c r="K1009" s="7">
        <v>3.8</v>
      </c>
      <c r="L1009" s="9">
        <f t="shared" si="122"/>
        <v>7.5</v>
      </c>
      <c r="M1009">
        <v>1</v>
      </c>
      <c r="N1009">
        <v>4</v>
      </c>
      <c r="O1009">
        <v>5</v>
      </c>
      <c r="P1009" s="13" t="str">
        <f t="shared" si="123"/>
        <v>1d4 + 5</v>
      </c>
      <c r="Q1009">
        <f>ROUND(INDEX(Catalogue!E$4:E$85,MATCH(A1009,Catalogue!A$4:A$85,0))*(1+Paramètres!$B$4*(C1009-1)+Paramètres!$B$5*(C1009-1)^2),0)</f>
        <v>6</v>
      </c>
      <c r="R1009">
        <f>ROUND(INDEX(Catalogue!F$4:F$85,MATCH(A1009,Catalogue!A$4:A$85,0))*(1+Paramètres!$B$4*(C1009-1)+Paramètres!$B$5*(C1009-1)^2),0)</f>
        <v>10</v>
      </c>
      <c r="S1009">
        <f t="shared" si="124"/>
        <v>-0.5</v>
      </c>
      <c r="T1009" t="str">
        <f t="shared" si="125"/>
        <v>OK</v>
      </c>
      <c r="U1009" s="25">
        <f t="shared" si="126"/>
        <v>7.5</v>
      </c>
      <c r="V1009" t="str">
        <f t="shared" si="127"/>
        <v>OK</v>
      </c>
    </row>
    <row r="1010" spans="1:22" ht="18" customHeight="1">
      <c r="A1010" t="s">
        <v>256</v>
      </c>
      <c r="B1010" t="s">
        <v>257</v>
      </c>
      <c r="C1010">
        <v>7</v>
      </c>
      <c r="D1010" t="s">
        <v>237</v>
      </c>
      <c r="E1010" s="6">
        <f t="shared" si="120"/>
        <v>7</v>
      </c>
      <c r="F1010" s="6">
        <f t="shared" si="121"/>
        <v>10</v>
      </c>
      <c r="G1010" s="6">
        <f>ROUND(Catalogue!G54*SQRT((1+Paramètres!$B$4*(C1010-1)+Paramètres!$B$5*(C1010-1)^2)),0)</f>
        <v>0</v>
      </c>
      <c r="H1010" s="6">
        <f>ROUND(Catalogue!H54*SQRT((1+Paramètres!$B$4*(C1010-1)+Paramètres!$B$5*(C1010-1)^2)),0)</f>
        <v>0</v>
      </c>
      <c r="I1010" s="6">
        <v>2</v>
      </c>
      <c r="J1010" s="6">
        <v>5</v>
      </c>
      <c r="K1010" s="7">
        <v>3.8</v>
      </c>
      <c r="L1010" s="9">
        <f t="shared" si="122"/>
        <v>8.5</v>
      </c>
      <c r="M1010">
        <v>1</v>
      </c>
      <c r="N1010">
        <v>4</v>
      </c>
      <c r="O1010">
        <v>6</v>
      </c>
      <c r="P1010" s="13" t="str">
        <f t="shared" si="123"/>
        <v>1d4 + 6</v>
      </c>
      <c r="Q1010">
        <f>ROUND(INDEX(Catalogue!E$4:E$85,MATCH(A1010,Catalogue!A$4:A$85,0))*(1+Paramètres!$B$4*(C1010-1)+Paramètres!$B$5*(C1010-1)^2),0)</f>
        <v>7</v>
      </c>
      <c r="R1010">
        <f>ROUND(INDEX(Catalogue!F$4:F$85,MATCH(A1010,Catalogue!A$4:A$85,0))*(1+Paramètres!$B$4*(C1010-1)+Paramètres!$B$5*(C1010-1)^2),0)</f>
        <v>11</v>
      </c>
      <c r="S1010">
        <f t="shared" si="124"/>
        <v>-0.5</v>
      </c>
      <c r="T1010" t="str">
        <f t="shared" si="125"/>
        <v>OK</v>
      </c>
      <c r="U1010" s="25">
        <f t="shared" si="126"/>
        <v>8.5</v>
      </c>
      <c r="V1010" t="str">
        <f t="shared" si="127"/>
        <v>OK</v>
      </c>
    </row>
    <row r="1011" spans="1:22" ht="18" customHeight="1">
      <c r="A1011" t="s">
        <v>256</v>
      </c>
      <c r="B1011" t="s">
        <v>257</v>
      </c>
      <c r="C1011">
        <v>8</v>
      </c>
      <c r="D1011" t="s">
        <v>237</v>
      </c>
      <c r="E1011" s="6">
        <f t="shared" si="120"/>
        <v>8</v>
      </c>
      <c r="F1011" s="6">
        <f t="shared" si="121"/>
        <v>13</v>
      </c>
      <c r="G1011" s="6">
        <f>ROUND(Catalogue!G54*SQRT((1+Paramètres!$B$4*(C1011-1)+Paramètres!$B$5*(C1011-1)^2)),0)</f>
        <v>0</v>
      </c>
      <c r="H1011" s="6">
        <f>ROUND(Catalogue!H54*SQRT((1+Paramètres!$B$4*(C1011-1)+Paramètres!$B$5*(C1011-1)^2)),0)</f>
        <v>0</v>
      </c>
      <c r="I1011" s="6">
        <v>2</v>
      </c>
      <c r="J1011" s="6">
        <v>5</v>
      </c>
      <c r="K1011" s="7">
        <v>3.8</v>
      </c>
      <c r="L1011" s="9">
        <f t="shared" si="122"/>
        <v>10.5</v>
      </c>
      <c r="M1011">
        <v>1</v>
      </c>
      <c r="N1011">
        <v>6</v>
      </c>
      <c r="O1011">
        <v>7</v>
      </c>
      <c r="P1011" s="13" t="str">
        <f t="shared" si="123"/>
        <v>1d6 + 7</v>
      </c>
      <c r="Q1011">
        <f>ROUND(INDEX(Catalogue!E$4:E$85,MATCH(A1011,Catalogue!A$4:A$85,0))*(1+Paramètres!$B$4*(C1011-1)+Paramètres!$B$5*(C1011-1)^2),0)</f>
        <v>8</v>
      </c>
      <c r="R1011">
        <f>ROUND(INDEX(Catalogue!F$4:F$85,MATCH(A1011,Catalogue!A$4:A$85,0))*(1+Paramètres!$B$4*(C1011-1)+Paramètres!$B$5*(C1011-1)^2),0)</f>
        <v>13</v>
      </c>
      <c r="S1011">
        <f t="shared" si="124"/>
        <v>0</v>
      </c>
      <c r="T1011" t="str">
        <f t="shared" si="125"/>
        <v>OK</v>
      </c>
      <c r="U1011" s="25">
        <f t="shared" si="126"/>
        <v>10.5</v>
      </c>
      <c r="V1011" t="str">
        <f t="shared" si="127"/>
        <v>OK</v>
      </c>
    </row>
    <row r="1012" spans="1:22" ht="18" customHeight="1">
      <c r="A1012" t="s">
        <v>256</v>
      </c>
      <c r="B1012" t="s">
        <v>257</v>
      </c>
      <c r="C1012">
        <v>9</v>
      </c>
      <c r="D1012" t="s">
        <v>237</v>
      </c>
      <c r="E1012" s="6">
        <f t="shared" si="120"/>
        <v>9</v>
      </c>
      <c r="F1012" s="6">
        <f t="shared" si="121"/>
        <v>15</v>
      </c>
      <c r="G1012" s="6">
        <f>ROUND(Catalogue!G54*SQRT((1+Paramètres!$B$4*(C1012-1)+Paramètres!$B$5*(C1012-1)^2)),0)</f>
        <v>0</v>
      </c>
      <c r="H1012" s="6">
        <f>ROUND(Catalogue!H54*SQRT((1+Paramètres!$B$4*(C1012-1)+Paramètres!$B$5*(C1012-1)^2)),0)</f>
        <v>0</v>
      </c>
      <c r="I1012" s="6">
        <v>2</v>
      </c>
      <c r="J1012" s="6">
        <v>5</v>
      </c>
      <c r="K1012" s="7">
        <v>3.8</v>
      </c>
      <c r="L1012" s="9">
        <f t="shared" si="122"/>
        <v>12</v>
      </c>
      <c r="M1012">
        <v>2</v>
      </c>
      <c r="N1012">
        <v>4</v>
      </c>
      <c r="O1012">
        <v>7</v>
      </c>
      <c r="P1012" s="13" t="str">
        <f t="shared" si="123"/>
        <v>2d4 + 7</v>
      </c>
      <c r="Q1012">
        <f>ROUND(INDEX(Catalogue!E$4:E$85,MATCH(A1012,Catalogue!A$4:A$85,0))*(1+Paramètres!$B$4*(C1012-1)+Paramètres!$B$5*(C1012-1)^2),0)</f>
        <v>9</v>
      </c>
      <c r="R1012">
        <f>ROUND(INDEX(Catalogue!F$4:F$85,MATCH(A1012,Catalogue!A$4:A$85,0))*(1+Paramètres!$B$4*(C1012-1)+Paramètres!$B$5*(C1012-1)^2),0)</f>
        <v>15</v>
      </c>
      <c r="S1012">
        <f t="shared" si="124"/>
        <v>0</v>
      </c>
      <c r="T1012" t="str">
        <f t="shared" si="125"/>
        <v>OK</v>
      </c>
      <c r="U1012" s="25">
        <f t="shared" si="126"/>
        <v>12</v>
      </c>
      <c r="V1012" t="str">
        <f t="shared" si="127"/>
        <v>OK</v>
      </c>
    </row>
    <row r="1013" spans="1:22" ht="18" customHeight="1">
      <c r="A1013" t="s">
        <v>256</v>
      </c>
      <c r="B1013" t="s">
        <v>257</v>
      </c>
      <c r="C1013">
        <v>10</v>
      </c>
      <c r="D1013" t="s">
        <v>237</v>
      </c>
      <c r="E1013" s="6">
        <f t="shared" si="120"/>
        <v>10</v>
      </c>
      <c r="F1013" s="6">
        <f t="shared" si="121"/>
        <v>16</v>
      </c>
      <c r="G1013" s="6">
        <f>ROUND(Catalogue!G54*SQRT((1+Paramètres!$B$4*(C1013-1)+Paramètres!$B$5*(C1013-1)^2)),0)</f>
        <v>0</v>
      </c>
      <c r="H1013" s="6">
        <f>ROUND(Catalogue!H54*SQRT((1+Paramètres!$B$4*(C1013-1)+Paramètres!$B$5*(C1013-1)^2)),0)</f>
        <v>0</v>
      </c>
      <c r="I1013" s="6">
        <v>2</v>
      </c>
      <c r="J1013" s="6">
        <v>5</v>
      </c>
      <c r="K1013" s="7">
        <v>3.8</v>
      </c>
      <c r="L1013" s="9">
        <f t="shared" si="122"/>
        <v>13</v>
      </c>
      <c r="M1013">
        <v>2</v>
      </c>
      <c r="N1013">
        <v>4</v>
      </c>
      <c r="O1013">
        <v>8</v>
      </c>
      <c r="P1013" s="13" t="str">
        <f t="shared" si="123"/>
        <v>2d4 + 8</v>
      </c>
      <c r="Q1013">
        <f>ROUND(INDEX(Catalogue!E$4:E$85,MATCH(A1013,Catalogue!A$4:A$85,0))*(1+Paramètres!$B$4*(C1013-1)+Paramètres!$B$5*(C1013-1)^2),0)</f>
        <v>10</v>
      </c>
      <c r="R1013">
        <f>ROUND(INDEX(Catalogue!F$4:F$85,MATCH(A1013,Catalogue!A$4:A$85,0))*(1+Paramètres!$B$4*(C1013-1)+Paramètres!$B$5*(C1013-1)^2),0)</f>
        <v>16</v>
      </c>
      <c r="S1013">
        <f t="shared" si="124"/>
        <v>0</v>
      </c>
      <c r="T1013" t="str">
        <f t="shared" si="125"/>
        <v>OK</v>
      </c>
      <c r="U1013" s="25">
        <f t="shared" si="126"/>
        <v>13</v>
      </c>
      <c r="V1013" t="str">
        <f t="shared" si="127"/>
        <v>OK</v>
      </c>
    </row>
    <row r="1014" spans="1:22" ht="18" customHeight="1">
      <c r="A1014" t="s">
        <v>256</v>
      </c>
      <c r="B1014" t="s">
        <v>257</v>
      </c>
      <c r="C1014">
        <v>11</v>
      </c>
      <c r="D1014" t="s">
        <v>237</v>
      </c>
      <c r="E1014" s="6">
        <f t="shared" si="120"/>
        <v>11</v>
      </c>
      <c r="F1014" s="6">
        <f t="shared" si="121"/>
        <v>20</v>
      </c>
      <c r="G1014" s="6">
        <f>ROUND(Catalogue!G54*SQRT((1+Paramètres!$B$4*(C1014-1)+Paramètres!$B$5*(C1014-1)^2)),0)</f>
        <v>0</v>
      </c>
      <c r="H1014" s="6">
        <f>ROUND(Catalogue!H54*SQRT((1+Paramètres!$B$4*(C1014-1)+Paramètres!$B$5*(C1014-1)^2)),0)</f>
        <v>0</v>
      </c>
      <c r="I1014" s="6">
        <v>2</v>
      </c>
      <c r="J1014" s="6">
        <v>5</v>
      </c>
      <c r="K1014" s="7">
        <v>3.8</v>
      </c>
      <c r="L1014" s="9">
        <f t="shared" si="122"/>
        <v>15.5</v>
      </c>
      <c r="M1014">
        <v>3</v>
      </c>
      <c r="N1014">
        <v>4</v>
      </c>
      <c r="O1014">
        <v>8</v>
      </c>
      <c r="P1014" s="13" t="str">
        <f t="shared" si="123"/>
        <v>3d4 + 8</v>
      </c>
      <c r="Q1014">
        <f>ROUND(INDEX(Catalogue!E$4:E$85,MATCH(A1014,Catalogue!A$4:A$85,0))*(1+Paramètres!$B$4*(C1014-1)+Paramètres!$B$5*(C1014-1)^2),0)</f>
        <v>11</v>
      </c>
      <c r="R1014">
        <f>ROUND(INDEX(Catalogue!F$4:F$85,MATCH(A1014,Catalogue!A$4:A$85,0))*(1+Paramètres!$B$4*(C1014-1)+Paramètres!$B$5*(C1014-1)^2),0)</f>
        <v>19</v>
      </c>
      <c r="S1014">
        <f t="shared" si="124"/>
        <v>0.5</v>
      </c>
      <c r="T1014" t="str">
        <f t="shared" si="125"/>
        <v>OK</v>
      </c>
      <c r="U1014" s="25">
        <f t="shared" si="126"/>
        <v>15.5</v>
      </c>
      <c r="V1014" t="str">
        <f t="shared" si="127"/>
        <v>OK</v>
      </c>
    </row>
    <row r="1015" spans="1:22" ht="18" customHeight="1">
      <c r="A1015" t="s">
        <v>256</v>
      </c>
      <c r="B1015" t="s">
        <v>257</v>
      </c>
      <c r="C1015">
        <v>12</v>
      </c>
      <c r="D1015" t="s">
        <v>237</v>
      </c>
      <c r="E1015" s="6">
        <f t="shared" si="120"/>
        <v>12</v>
      </c>
      <c r="F1015" s="6">
        <f t="shared" si="121"/>
        <v>21</v>
      </c>
      <c r="G1015" s="6">
        <f>ROUND(Catalogue!G54*SQRT((1+Paramètres!$B$4*(C1015-1)+Paramètres!$B$5*(C1015-1)^2)),0)</f>
        <v>0</v>
      </c>
      <c r="H1015" s="6">
        <f>ROUND(Catalogue!H54*SQRT((1+Paramètres!$B$4*(C1015-1)+Paramètres!$B$5*(C1015-1)^2)),0)</f>
        <v>0</v>
      </c>
      <c r="I1015" s="6">
        <v>2</v>
      </c>
      <c r="J1015" s="6">
        <v>5</v>
      </c>
      <c r="K1015" s="7">
        <v>3.8</v>
      </c>
      <c r="L1015" s="9">
        <f t="shared" si="122"/>
        <v>16.5</v>
      </c>
      <c r="M1015">
        <v>3</v>
      </c>
      <c r="N1015">
        <v>4</v>
      </c>
      <c r="O1015">
        <v>9</v>
      </c>
      <c r="P1015" s="13" t="str">
        <f t="shared" si="123"/>
        <v>3d4 + 9</v>
      </c>
      <c r="Q1015">
        <f>ROUND(INDEX(Catalogue!E$4:E$85,MATCH(A1015,Catalogue!A$4:A$85,0))*(1+Paramètres!$B$4*(C1015-1)+Paramètres!$B$5*(C1015-1)^2),0)</f>
        <v>12</v>
      </c>
      <c r="R1015">
        <f>ROUND(INDEX(Catalogue!F$4:F$85,MATCH(A1015,Catalogue!A$4:A$85,0))*(1+Paramètres!$B$4*(C1015-1)+Paramètres!$B$5*(C1015-1)^2),0)</f>
        <v>21</v>
      </c>
      <c r="S1015">
        <f t="shared" si="124"/>
        <v>0</v>
      </c>
      <c r="T1015" t="str">
        <f t="shared" si="125"/>
        <v>OK</v>
      </c>
      <c r="U1015" s="25">
        <f t="shared" si="126"/>
        <v>16.5</v>
      </c>
      <c r="V1015" t="str">
        <f t="shared" si="127"/>
        <v>OK</v>
      </c>
    </row>
    <row r="1016" spans="1:22" ht="18" customHeight="1">
      <c r="A1016" t="s">
        <v>256</v>
      </c>
      <c r="B1016" t="s">
        <v>257</v>
      </c>
      <c r="C1016">
        <v>13</v>
      </c>
      <c r="D1016" t="s">
        <v>237</v>
      </c>
      <c r="E1016" s="6">
        <f t="shared" si="120"/>
        <v>14</v>
      </c>
      <c r="F1016" s="6">
        <f t="shared" si="121"/>
        <v>23</v>
      </c>
      <c r="G1016" s="6">
        <f>ROUND(Catalogue!G54*SQRT((1+Paramètres!$B$4*(C1016-1)+Paramètres!$B$5*(C1016-1)^2)),0)</f>
        <v>0</v>
      </c>
      <c r="H1016" s="6">
        <f>ROUND(Catalogue!H54*SQRT((1+Paramètres!$B$4*(C1016-1)+Paramètres!$B$5*(C1016-1)^2)),0)</f>
        <v>0</v>
      </c>
      <c r="I1016" s="6">
        <v>2</v>
      </c>
      <c r="J1016" s="6">
        <v>5</v>
      </c>
      <c r="K1016" s="7">
        <v>3.8</v>
      </c>
      <c r="L1016" s="9">
        <f t="shared" si="122"/>
        <v>18.5</v>
      </c>
      <c r="M1016">
        <v>3</v>
      </c>
      <c r="N1016">
        <v>4</v>
      </c>
      <c r="O1016">
        <v>11</v>
      </c>
      <c r="P1016" s="13" t="str">
        <f t="shared" si="123"/>
        <v>3d4 + 11</v>
      </c>
      <c r="Q1016">
        <f>ROUND(INDEX(Catalogue!E$4:E$85,MATCH(A1016,Catalogue!A$4:A$85,0))*(1+Paramètres!$B$4*(C1016-1)+Paramètres!$B$5*(C1016-1)^2),0)</f>
        <v>14</v>
      </c>
      <c r="R1016">
        <f>ROUND(INDEX(Catalogue!F$4:F$85,MATCH(A1016,Catalogue!A$4:A$85,0))*(1+Paramètres!$B$4*(C1016-1)+Paramètres!$B$5*(C1016-1)^2),0)</f>
        <v>23</v>
      </c>
      <c r="S1016">
        <f t="shared" si="124"/>
        <v>0</v>
      </c>
      <c r="T1016" t="str">
        <f t="shared" si="125"/>
        <v>OK</v>
      </c>
      <c r="U1016" s="25">
        <f t="shared" si="126"/>
        <v>18.5</v>
      </c>
      <c r="V1016" t="str">
        <f t="shared" si="127"/>
        <v>OK</v>
      </c>
    </row>
    <row r="1017" spans="1:22" ht="18" customHeight="1">
      <c r="A1017" t="s">
        <v>256</v>
      </c>
      <c r="B1017" t="s">
        <v>257</v>
      </c>
      <c r="C1017">
        <v>14</v>
      </c>
      <c r="D1017" t="s">
        <v>237</v>
      </c>
      <c r="E1017" s="6">
        <f t="shared" si="120"/>
        <v>15</v>
      </c>
      <c r="F1017" s="6">
        <f t="shared" si="121"/>
        <v>26</v>
      </c>
      <c r="G1017" s="6">
        <f>ROUND(Catalogue!G54*SQRT((1+Paramètres!$B$4*(C1017-1)+Paramètres!$B$5*(C1017-1)^2)),0)</f>
        <v>0</v>
      </c>
      <c r="H1017" s="6">
        <f>ROUND(Catalogue!H54*SQRT((1+Paramètres!$B$4*(C1017-1)+Paramètres!$B$5*(C1017-1)^2)),0)</f>
        <v>0</v>
      </c>
      <c r="I1017" s="6">
        <v>2</v>
      </c>
      <c r="J1017" s="6">
        <v>5</v>
      </c>
      <c r="K1017" s="7">
        <v>3.8</v>
      </c>
      <c r="L1017" s="9">
        <f t="shared" si="122"/>
        <v>20.5</v>
      </c>
      <c r="M1017">
        <v>1</v>
      </c>
      <c r="N1017">
        <v>12</v>
      </c>
      <c r="O1017">
        <v>14</v>
      </c>
      <c r="P1017" s="13" t="str">
        <f t="shared" si="123"/>
        <v>1d12 + 14</v>
      </c>
      <c r="Q1017">
        <f>ROUND(INDEX(Catalogue!E$4:E$85,MATCH(A1017,Catalogue!A$4:A$85,0))*(1+Paramètres!$B$4*(C1017-1)+Paramètres!$B$5*(C1017-1)^2),0)</f>
        <v>15</v>
      </c>
      <c r="R1017">
        <f>ROUND(INDEX(Catalogue!F$4:F$85,MATCH(A1017,Catalogue!A$4:A$85,0))*(1+Paramètres!$B$4*(C1017-1)+Paramètres!$B$5*(C1017-1)^2),0)</f>
        <v>26</v>
      </c>
      <c r="S1017">
        <f t="shared" si="124"/>
        <v>0</v>
      </c>
      <c r="T1017" t="str">
        <f t="shared" si="125"/>
        <v>OK</v>
      </c>
      <c r="U1017" s="25">
        <f t="shared" si="126"/>
        <v>20.5</v>
      </c>
      <c r="V1017" t="str">
        <f t="shared" si="127"/>
        <v>OK</v>
      </c>
    </row>
    <row r="1018" spans="1:22" ht="18" customHeight="1">
      <c r="A1018" t="s">
        <v>256</v>
      </c>
      <c r="B1018" t="s">
        <v>257</v>
      </c>
      <c r="C1018">
        <v>15</v>
      </c>
      <c r="D1018" t="s">
        <v>237</v>
      </c>
      <c r="E1018" s="6">
        <f t="shared" si="120"/>
        <v>17</v>
      </c>
      <c r="F1018" s="6">
        <f t="shared" si="121"/>
        <v>28</v>
      </c>
      <c r="G1018" s="6">
        <f>ROUND(Catalogue!G54*SQRT((1+Paramètres!$B$4*(C1018-1)+Paramètres!$B$5*(C1018-1)^2)),0)</f>
        <v>0</v>
      </c>
      <c r="H1018" s="6">
        <f>ROUND(Catalogue!H54*SQRT((1+Paramètres!$B$4*(C1018-1)+Paramètres!$B$5*(C1018-1)^2)),0)</f>
        <v>0</v>
      </c>
      <c r="I1018" s="6">
        <v>2</v>
      </c>
      <c r="J1018" s="6">
        <v>5</v>
      </c>
      <c r="K1018" s="7">
        <v>3.8</v>
      </c>
      <c r="L1018" s="9">
        <f t="shared" si="122"/>
        <v>22.5</v>
      </c>
      <c r="M1018">
        <v>1</v>
      </c>
      <c r="N1018">
        <v>12</v>
      </c>
      <c r="O1018">
        <v>16</v>
      </c>
      <c r="P1018" s="13" t="str">
        <f t="shared" si="123"/>
        <v>1d12 + 16</v>
      </c>
      <c r="Q1018">
        <f>ROUND(INDEX(Catalogue!E$4:E$85,MATCH(A1018,Catalogue!A$4:A$85,0))*(1+Paramètres!$B$4*(C1018-1)+Paramètres!$B$5*(C1018-1)^2),0)</f>
        <v>17</v>
      </c>
      <c r="R1018">
        <f>ROUND(INDEX(Catalogue!F$4:F$85,MATCH(A1018,Catalogue!A$4:A$85,0))*(1+Paramètres!$B$4*(C1018-1)+Paramètres!$B$5*(C1018-1)^2),0)</f>
        <v>28</v>
      </c>
      <c r="S1018">
        <f t="shared" si="124"/>
        <v>0</v>
      </c>
      <c r="T1018" t="str">
        <f t="shared" si="125"/>
        <v>OK</v>
      </c>
      <c r="U1018" s="25">
        <f t="shared" si="126"/>
        <v>22.5</v>
      </c>
      <c r="V1018" t="str">
        <f t="shared" si="127"/>
        <v>OK</v>
      </c>
    </row>
    <row r="1019" spans="1:22" ht="18" customHeight="1">
      <c r="A1019" t="s">
        <v>256</v>
      </c>
      <c r="B1019" t="s">
        <v>257</v>
      </c>
      <c r="C1019">
        <v>16</v>
      </c>
      <c r="D1019" t="s">
        <v>237</v>
      </c>
      <c r="E1019" s="6">
        <f t="shared" si="120"/>
        <v>19</v>
      </c>
      <c r="F1019" s="6">
        <f t="shared" si="121"/>
        <v>31</v>
      </c>
      <c r="G1019" s="6">
        <f>ROUND(Catalogue!G54*SQRT((1+Paramètres!$B$4*(C1019-1)+Paramètres!$B$5*(C1019-1)^2)),0)</f>
        <v>0</v>
      </c>
      <c r="H1019" s="6">
        <f>ROUND(Catalogue!H54*SQRT((1+Paramètres!$B$4*(C1019-1)+Paramètres!$B$5*(C1019-1)^2)),0)</f>
        <v>0</v>
      </c>
      <c r="I1019" s="6">
        <v>2</v>
      </c>
      <c r="J1019" s="6">
        <v>5</v>
      </c>
      <c r="K1019" s="7">
        <v>3.8</v>
      </c>
      <c r="L1019" s="9">
        <f t="shared" si="122"/>
        <v>25</v>
      </c>
      <c r="M1019">
        <v>4</v>
      </c>
      <c r="N1019">
        <v>4</v>
      </c>
      <c r="O1019">
        <v>15</v>
      </c>
      <c r="P1019" s="13" t="str">
        <f t="shared" si="123"/>
        <v>4d4 + 15</v>
      </c>
      <c r="Q1019">
        <f>ROUND(INDEX(Catalogue!E$4:E$85,MATCH(A1019,Catalogue!A$4:A$85,0))*(1+Paramètres!$B$4*(C1019-1)+Paramètres!$B$5*(C1019-1)^2),0)</f>
        <v>19</v>
      </c>
      <c r="R1019">
        <f>ROUND(INDEX(Catalogue!F$4:F$85,MATCH(A1019,Catalogue!A$4:A$85,0))*(1+Paramètres!$B$4*(C1019-1)+Paramètres!$B$5*(C1019-1)^2),0)</f>
        <v>31</v>
      </c>
      <c r="S1019">
        <f t="shared" si="124"/>
        <v>0</v>
      </c>
      <c r="T1019" t="str">
        <f t="shared" si="125"/>
        <v>OK</v>
      </c>
      <c r="U1019" s="25">
        <f t="shared" si="126"/>
        <v>25</v>
      </c>
      <c r="V1019" t="str">
        <f t="shared" si="127"/>
        <v>OK</v>
      </c>
    </row>
    <row r="1020" spans="1:22" ht="18" customHeight="1">
      <c r="A1020" t="s">
        <v>256</v>
      </c>
      <c r="B1020" t="s">
        <v>257</v>
      </c>
      <c r="C1020">
        <v>17</v>
      </c>
      <c r="D1020" t="s">
        <v>237</v>
      </c>
      <c r="E1020" s="6">
        <f t="shared" si="120"/>
        <v>20</v>
      </c>
      <c r="F1020" s="6">
        <f t="shared" si="121"/>
        <v>34</v>
      </c>
      <c r="G1020" s="6">
        <f>ROUND(Catalogue!G54*SQRT((1+Paramètres!$B$4*(C1020-1)+Paramètres!$B$5*(C1020-1)^2)),0)</f>
        <v>0</v>
      </c>
      <c r="H1020" s="6">
        <f>ROUND(Catalogue!H54*SQRT((1+Paramètres!$B$4*(C1020-1)+Paramètres!$B$5*(C1020-1)^2)),0)</f>
        <v>0</v>
      </c>
      <c r="I1020" s="6">
        <v>2</v>
      </c>
      <c r="J1020" s="6">
        <v>5</v>
      </c>
      <c r="K1020" s="7">
        <v>3.8</v>
      </c>
      <c r="L1020" s="9">
        <f t="shared" si="122"/>
        <v>27</v>
      </c>
      <c r="M1020">
        <v>2</v>
      </c>
      <c r="N1020">
        <v>8</v>
      </c>
      <c r="O1020">
        <v>18</v>
      </c>
      <c r="P1020" s="13" t="str">
        <f t="shared" si="123"/>
        <v>2d8 + 18</v>
      </c>
      <c r="Q1020">
        <f>ROUND(INDEX(Catalogue!E$4:E$85,MATCH(A1020,Catalogue!A$4:A$85,0))*(1+Paramètres!$B$4*(C1020-1)+Paramètres!$B$5*(C1020-1)^2),0)</f>
        <v>21</v>
      </c>
      <c r="R1020">
        <f>ROUND(INDEX(Catalogue!F$4:F$85,MATCH(A1020,Catalogue!A$4:A$85,0))*(1+Paramètres!$B$4*(C1020-1)+Paramètres!$B$5*(C1020-1)^2),0)</f>
        <v>34</v>
      </c>
      <c r="S1020">
        <f t="shared" si="124"/>
        <v>-0.5</v>
      </c>
      <c r="T1020" t="str">
        <f t="shared" si="125"/>
        <v>OK</v>
      </c>
      <c r="U1020" s="25">
        <f t="shared" si="126"/>
        <v>27</v>
      </c>
      <c r="V1020" t="str">
        <f t="shared" si="127"/>
        <v>OK</v>
      </c>
    </row>
    <row r="1021" spans="1:22" ht="18" customHeight="1">
      <c r="A1021" t="s">
        <v>256</v>
      </c>
      <c r="B1021" t="s">
        <v>257</v>
      </c>
      <c r="C1021">
        <v>18</v>
      </c>
      <c r="D1021" t="s">
        <v>237</v>
      </c>
      <c r="E1021" s="6">
        <f t="shared" si="120"/>
        <v>22</v>
      </c>
      <c r="F1021" s="6">
        <f t="shared" si="121"/>
        <v>37</v>
      </c>
      <c r="G1021" s="6">
        <f>ROUND(Catalogue!G54*SQRT((1+Paramètres!$B$4*(C1021-1)+Paramètres!$B$5*(C1021-1)^2)),0)</f>
        <v>0</v>
      </c>
      <c r="H1021" s="6">
        <f>ROUND(Catalogue!H54*SQRT((1+Paramètres!$B$4*(C1021-1)+Paramètres!$B$5*(C1021-1)^2)),0)</f>
        <v>0</v>
      </c>
      <c r="I1021" s="6">
        <v>2</v>
      </c>
      <c r="J1021" s="6">
        <v>5</v>
      </c>
      <c r="K1021" s="7">
        <v>3.8</v>
      </c>
      <c r="L1021" s="9">
        <f t="shared" si="122"/>
        <v>29.5</v>
      </c>
      <c r="M1021">
        <v>3</v>
      </c>
      <c r="N1021">
        <v>6</v>
      </c>
      <c r="O1021">
        <v>19</v>
      </c>
      <c r="P1021" s="13" t="str">
        <f t="shared" si="123"/>
        <v>3d6 + 19</v>
      </c>
      <c r="Q1021">
        <f>ROUND(INDEX(Catalogue!E$4:E$85,MATCH(A1021,Catalogue!A$4:A$85,0))*(1+Paramètres!$B$4*(C1021-1)+Paramètres!$B$5*(C1021-1)^2),0)</f>
        <v>22</v>
      </c>
      <c r="R1021">
        <f>ROUND(INDEX(Catalogue!F$4:F$85,MATCH(A1021,Catalogue!A$4:A$85,0))*(1+Paramètres!$B$4*(C1021-1)+Paramètres!$B$5*(C1021-1)^2),0)</f>
        <v>37</v>
      </c>
      <c r="S1021">
        <f t="shared" si="124"/>
        <v>0</v>
      </c>
      <c r="T1021" t="str">
        <f t="shared" si="125"/>
        <v>OK</v>
      </c>
      <c r="U1021" s="25">
        <f t="shared" si="126"/>
        <v>29.5</v>
      </c>
      <c r="V1021" t="str">
        <f t="shared" si="127"/>
        <v>OK</v>
      </c>
    </row>
    <row r="1022" spans="1:22" ht="18" customHeight="1">
      <c r="A1022" t="s">
        <v>256</v>
      </c>
      <c r="B1022" t="s">
        <v>257</v>
      </c>
      <c r="C1022">
        <v>19</v>
      </c>
      <c r="D1022" t="s">
        <v>237</v>
      </c>
      <c r="E1022" s="6">
        <f t="shared" si="120"/>
        <v>23</v>
      </c>
      <c r="F1022" s="6">
        <f t="shared" si="121"/>
        <v>41</v>
      </c>
      <c r="G1022" s="6">
        <f>ROUND(Catalogue!G54*SQRT((1+Paramètres!$B$4*(C1022-1)+Paramètres!$B$5*(C1022-1)^2)),0)</f>
        <v>0</v>
      </c>
      <c r="H1022" s="6">
        <f>ROUND(Catalogue!H54*SQRT((1+Paramètres!$B$4*(C1022-1)+Paramètres!$B$5*(C1022-1)^2)),0)</f>
        <v>0</v>
      </c>
      <c r="I1022" s="6">
        <v>2</v>
      </c>
      <c r="J1022" s="6">
        <v>5</v>
      </c>
      <c r="K1022" s="7">
        <v>3.8</v>
      </c>
      <c r="L1022" s="9">
        <f t="shared" si="122"/>
        <v>32</v>
      </c>
      <c r="M1022">
        <v>2</v>
      </c>
      <c r="N1022">
        <v>10</v>
      </c>
      <c r="O1022">
        <v>21</v>
      </c>
      <c r="P1022" s="13" t="str">
        <f t="shared" si="123"/>
        <v>2d10 + 21</v>
      </c>
      <c r="Q1022">
        <f>ROUND(INDEX(Catalogue!E$4:E$85,MATCH(A1022,Catalogue!A$4:A$85,0))*(1+Paramètres!$B$4*(C1022-1)+Paramètres!$B$5*(C1022-1)^2),0)</f>
        <v>24</v>
      </c>
      <c r="R1022">
        <f>ROUND(INDEX(Catalogue!F$4:F$85,MATCH(A1022,Catalogue!A$4:A$85,0))*(1+Paramètres!$B$4*(C1022-1)+Paramètres!$B$5*(C1022-1)^2),0)</f>
        <v>41</v>
      </c>
      <c r="S1022">
        <f t="shared" si="124"/>
        <v>-0.5</v>
      </c>
      <c r="T1022" t="str">
        <f t="shared" si="125"/>
        <v>OK</v>
      </c>
      <c r="U1022" s="25">
        <f t="shared" si="126"/>
        <v>32</v>
      </c>
      <c r="V1022" t="str">
        <f t="shared" si="127"/>
        <v>OK</v>
      </c>
    </row>
    <row r="1023" spans="1:22" ht="18" customHeight="1">
      <c r="A1023" t="s">
        <v>256</v>
      </c>
      <c r="B1023" t="s">
        <v>257</v>
      </c>
      <c r="C1023">
        <v>20</v>
      </c>
      <c r="D1023" t="s">
        <v>237</v>
      </c>
      <c r="E1023" s="6">
        <f t="shared" si="120"/>
        <v>26</v>
      </c>
      <c r="F1023" s="6">
        <f t="shared" si="121"/>
        <v>44</v>
      </c>
      <c r="G1023" s="6">
        <f>ROUND(Catalogue!G54*SQRT((1+Paramètres!$B$4*(C1023-1)+Paramètres!$B$5*(C1023-1)^2)),0)</f>
        <v>0</v>
      </c>
      <c r="H1023" s="6">
        <f>ROUND(Catalogue!H54*SQRT((1+Paramètres!$B$4*(C1023-1)+Paramètres!$B$5*(C1023-1)^2)),0)</f>
        <v>0</v>
      </c>
      <c r="I1023" s="6">
        <v>2</v>
      </c>
      <c r="J1023" s="6">
        <v>5</v>
      </c>
      <c r="K1023" s="7">
        <v>3.8</v>
      </c>
      <c r="L1023" s="9">
        <f t="shared" si="122"/>
        <v>35</v>
      </c>
      <c r="M1023">
        <v>2</v>
      </c>
      <c r="N1023">
        <v>10</v>
      </c>
      <c r="O1023">
        <v>24</v>
      </c>
      <c r="P1023" s="13" t="str">
        <f t="shared" si="123"/>
        <v>2d10 + 24</v>
      </c>
      <c r="Q1023">
        <f>ROUND(INDEX(Catalogue!E$4:E$85,MATCH(A1023,Catalogue!A$4:A$85,0))*(1+Paramètres!$B$4*(C1023-1)+Paramètres!$B$5*(C1023-1)^2),0)</f>
        <v>27</v>
      </c>
      <c r="R1023">
        <f>ROUND(INDEX(Catalogue!F$4:F$85,MATCH(A1023,Catalogue!A$4:A$85,0))*(1+Paramètres!$B$4*(C1023-1)+Paramètres!$B$5*(C1023-1)^2),0)</f>
        <v>44</v>
      </c>
      <c r="S1023">
        <f t="shared" si="124"/>
        <v>-0.5</v>
      </c>
      <c r="T1023" t="str">
        <f t="shared" si="125"/>
        <v>OK</v>
      </c>
      <c r="U1023" s="25">
        <f t="shared" si="126"/>
        <v>35</v>
      </c>
      <c r="V1023" t="str">
        <f t="shared" si="127"/>
        <v>OK</v>
      </c>
    </row>
    <row r="1024" spans="1:22" ht="18" customHeight="1">
      <c r="A1024" t="s">
        <v>259</v>
      </c>
      <c r="B1024" t="s">
        <v>260</v>
      </c>
      <c r="C1024">
        <v>1</v>
      </c>
      <c r="D1024" t="s">
        <v>237</v>
      </c>
      <c r="E1024" s="6">
        <f t="shared" si="120"/>
        <v>2</v>
      </c>
      <c r="F1024" s="6">
        <f t="shared" si="121"/>
        <v>5</v>
      </c>
      <c r="G1024" s="6">
        <f>ROUND(Catalogue!G55*SQRT((1+Paramètres!$B$4*(C1024-1)+Paramètres!$B$5*(C1024-1)^2)),0)</f>
        <v>0</v>
      </c>
      <c r="H1024" s="6">
        <f>ROUND(Catalogue!H55*SQRT((1+Paramètres!$B$4*(C1024-1)+Paramètres!$B$5*(C1024-1)^2)),0)</f>
        <v>0</v>
      </c>
      <c r="I1024" s="6">
        <v>2</v>
      </c>
      <c r="J1024" s="6">
        <v>4</v>
      </c>
      <c r="K1024" s="7">
        <v>0.4</v>
      </c>
      <c r="L1024" s="9">
        <f t="shared" si="122"/>
        <v>3.5</v>
      </c>
      <c r="M1024">
        <v>1</v>
      </c>
      <c r="N1024">
        <v>4</v>
      </c>
      <c r="O1024">
        <v>1</v>
      </c>
      <c r="P1024" s="13" t="str">
        <f t="shared" si="123"/>
        <v>1d4 + 1</v>
      </c>
      <c r="Q1024">
        <f>ROUND(INDEX(Catalogue!E$4:E$85,MATCH(A1024,Catalogue!A$4:A$85,0))*(1+Paramètres!$B$4*(C1024-1)+Paramètres!$B$5*(C1024-1)^2),0)</f>
        <v>2</v>
      </c>
      <c r="R1024">
        <f>ROUND(INDEX(Catalogue!F$4:F$85,MATCH(A1024,Catalogue!A$4:A$85,0))*(1+Paramètres!$B$4*(C1024-1)+Paramètres!$B$5*(C1024-1)^2),0)</f>
        <v>5</v>
      </c>
      <c r="S1024">
        <f t="shared" si="124"/>
        <v>0</v>
      </c>
      <c r="T1024" t="str">
        <f t="shared" si="125"/>
        <v>OK</v>
      </c>
      <c r="U1024" s="25">
        <f t="shared" si="126"/>
        <v>3.5</v>
      </c>
      <c r="V1024" t="str">
        <f t="shared" si="127"/>
        <v>OK</v>
      </c>
    </row>
    <row r="1025" spans="1:22" ht="18" customHeight="1">
      <c r="A1025" t="s">
        <v>259</v>
      </c>
      <c r="B1025" t="s">
        <v>260</v>
      </c>
      <c r="C1025">
        <v>2</v>
      </c>
      <c r="D1025" t="s">
        <v>237</v>
      </c>
      <c r="E1025" s="6">
        <f t="shared" si="120"/>
        <v>2</v>
      </c>
      <c r="F1025" s="6">
        <f t="shared" si="121"/>
        <v>5</v>
      </c>
      <c r="G1025" s="6">
        <f>ROUND(Catalogue!G55*SQRT((1+Paramètres!$B$4*(C1025-1)+Paramètres!$B$5*(C1025-1)^2)),0)</f>
        <v>0</v>
      </c>
      <c r="H1025" s="6">
        <f>ROUND(Catalogue!H55*SQRT((1+Paramètres!$B$4*(C1025-1)+Paramètres!$B$5*(C1025-1)^2)),0)</f>
        <v>0</v>
      </c>
      <c r="I1025" s="6">
        <v>2</v>
      </c>
      <c r="J1025" s="6">
        <v>4</v>
      </c>
      <c r="K1025" s="7">
        <v>0.4</v>
      </c>
      <c r="L1025" s="9">
        <f t="shared" si="122"/>
        <v>3.5</v>
      </c>
      <c r="M1025">
        <v>1</v>
      </c>
      <c r="N1025">
        <v>4</v>
      </c>
      <c r="O1025">
        <v>1</v>
      </c>
      <c r="P1025" s="13" t="str">
        <f t="shared" si="123"/>
        <v>1d4 + 1</v>
      </c>
      <c r="Q1025">
        <f>ROUND(INDEX(Catalogue!E$4:E$85,MATCH(A1025,Catalogue!A$4:A$85,0))*(1+Paramètres!$B$4*(C1025-1)+Paramètres!$B$5*(C1025-1)^2),0)</f>
        <v>2</v>
      </c>
      <c r="R1025">
        <f>ROUND(INDEX(Catalogue!F$4:F$85,MATCH(A1025,Catalogue!A$4:A$85,0))*(1+Paramètres!$B$4*(C1025-1)+Paramètres!$B$5*(C1025-1)^2),0)</f>
        <v>6</v>
      </c>
      <c r="S1025">
        <f t="shared" si="124"/>
        <v>-0.5</v>
      </c>
      <c r="T1025" t="str">
        <f t="shared" si="125"/>
        <v>OK</v>
      </c>
      <c r="U1025" s="25">
        <f t="shared" si="126"/>
        <v>3.5</v>
      </c>
      <c r="V1025" t="str">
        <f t="shared" si="127"/>
        <v>OK</v>
      </c>
    </row>
    <row r="1026" spans="1:22" ht="18" customHeight="1">
      <c r="A1026" t="s">
        <v>259</v>
      </c>
      <c r="B1026" t="s">
        <v>260</v>
      </c>
      <c r="C1026">
        <v>3</v>
      </c>
      <c r="D1026" t="s">
        <v>237</v>
      </c>
      <c r="E1026" s="6">
        <f t="shared" si="120"/>
        <v>3</v>
      </c>
      <c r="F1026" s="6">
        <f t="shared" si="121"/>
        <v>6</v>
      </c>
      <c r="G1026" s="6">
        <f>ROUND(Catalogue!G55*SQRT((1+Paramètres!$B$4*(C1026-1)+Paramètres!$B$5*(C1026-1)^2)),0)</f>
        <v>0</v>
      </c>
      <c r="H1026" s="6">
        <f>ROUND(Catalogue!H55*SQRT((1+Paramètres!$B$4*(C1026-1)+Paramètres!$B$5*(C1026-1)^2)),0)</f>
        <v>0</v>
      </c>
      <c r="I1026" s="6">
        <v>2</v>
      </c>
      <c r="J1026" s="6">
        <v>4</v>
      </c>
      <c r="K1026" s="7">
        <v>0.4</v>
      </c>
      <c r="L1026" s="9">
        <f t="shared" si="122"/>
        <v>4.5</v>
      </c>
      <c r="M1026">
        <v>1</v>
      </c>
      <c r="N1026">
        <v>4</v>
      </c>
      <c r="O1026">
        <v>2</v>
      </c>
      <c r="P1026" s="13" t="str">
        <f t="shared" si="123"/>
        <v>1d4 + 2</v>
      </c>
      <c r="Q1026">
        <f>ROUND(INDEX(Catalogue!E$4:E$85,MATCH(A1026,Catalogue!A$4:A$85,0))*(1+Paramètres!$B$4*(C1026-1)+Paramètres!$B$5*(C1026-1)^2),0)</f>
        <v>3</v>
      </c>
      <c r="R1026">
        <f>ROUND(INDEX(Catalogue!F$4:F$85,MATCH(A1026,Catalogue!A$4:A$85,0))*(1+Paramètres!$B$4*(C1026-1)+Paramètres!$B$5*(C1026-1)^2),0)</f>
        <v>6</v>
      </c>
      <c r="S1026">
        <f t="shared" si="124"/>
        <v>0</v>
      </c>
      <c r="T1026" t="str">
        <f t="shared" si="125"/>
        <v>OK</v>
      </c>
      <c r="U1026" s="25">
        <f t="shared" si="126"/>
        <v>4.5</v>
      </c>
      <c r="V1026" t="str">
        <f t="shared" si="127"/>
        <v>OK</v>
      </c>
    </row>
    <row r="1027" spans="1:22" ht="18" customHeight="1">
      <c r="A1027" t="s">
        <v>259</v>
      </c>
      <c r="B1027" t="s">
        <v>260</v>
      </c>
      <c r="C1027">
        <v>4</v>
      </c>
      <c r="D1027" t="s">
        <v>237</v>
      </c>
      <c r="E1027" s="6">
        <f t="shared" si="120"/>
        <v>3</v>
      </c>
      <c r="F1027" s="6">
        <f t="shared" si="121"/>
        <v>6</v>
      </c>
      <c r="G1027" s="6">
        <f>ROUND(Catalogue!G55*SQRT((1+Paramètres!$B$4*(C1027-1)+Paramètres!$B$5*(C1027-1)^2)),0)</f>
        <v>0</v>
      </c>
      <c r="H1027" s="6">
        <f>ROUND(Catalogue!H55*SQRT((1+Paramètres!$B$4*(C1027-1)+Paramètres!$B$5*(C1027-1)^2)),0)</f>
        <v>0</v>
      </c>
      <c r="I1027" s="6">
        <v>2</v>
      </c>
      <c r="J1027" s="6">
        <v>4</v>
      </c>
      <c r="K1027" s="7">
        <v>0.4</v>
      </c>
      <c r="L1027" s="9">
        <f t="shared" si="122"/>
        <v>4.5</v>
      </c>
      <c r="M1027">
        <v>1</v>
      </c>
      <c r="N1027">
        <v>4</v>
      </c>
      <c r="O1027">
        <v>2</v>
      </c>
      <c r="P1027" s="13" t="str">
        <f t="shared" si="123"/>
        <v>1d4 + 2</v>
      </c>
      <c r="Q1027">
        <f>ROUND(INDEX(Catalogue!E$4:E$85,MATCH(A1027,Catalogue!A$4:A$85,0))*(1+Paramètres!$B$4*(C1027-1)+Paramètres!$B$5*(C1027-1)^2),0)</f>
        <v>3</v>
      </c>
      <c r="R1027">
        <f>ROUND(INDEX(Catalogue!F$4:F$85,MATCH(A1027,Catalogue!A$4:A$85,0))*(1+Paramètres!$B$4*(C1027-1)+Paramètres!$B$5*(C1027-1)^2),0)</f>
        <v>7</v>
      </c>
      <c r="S1027">
        <f t="shared" si="124"/>
        <v>-0.5</v>
      </c>
      <c r="T1027" t="str">
        <f t="shared" si="125"/>
        <v>OK</v>
      </c>
      <c r="U1027" s="25">
        <f t="shared" si="126"/>
        <v>4.5</v>
      </c>
      <c r="V1027" t="str">
        <f t="shared" si="127"/>
        <v>OK</v>
      </c>
    </row>
    <row r="1028" spans="1:22" ht="18" customHeight="1">
      <c r="A1028" t="s">
        <v>259</v>
      </c>
      <c r="B1028" t="s">
        <v>260</v>
      </c>
      <c r="C1028">
        <v>5</v>
      </c>
      <c r="D1028" t="s">
        <v>237</v>
      </c>
      <c r="E1028" s="6">
        <f t="shared" ref="E1028:E1091" si="128">IF(M1028=0,0,M1028+O1028)</f>
        <v>3</v>
      </c>
      <c r="F1028" s="6">
        <f t="shared" ref="F1028:F1091" si="129">IF(M1028=0,0,M1028*N1028+O1028)</f>
        <v>8</v>
      </c>
      <c r="G1028" s="6">
        <f>ROUND(Catalogue!G55*SQRT((1+Paramètres!$B$4*(C1028-1)+Paramètres!$B$5*(C1028-1)^2)),0)</f>
        <v>0</v>
      </c>
      <c r="H1028" s="6">
        <f>ROUND(Catalogue!H55*SQRT((1+Paramètres!$B$4*(C1028-1)+Paramètres!$B$5*(C1028-1)^2)),0)</f>
        <v>0</v>
      </c>
      <c r="I1028" s="6">
        <v>2</v>
      </c>
      <c r="J1028" s="6">
        <v>4</v>
      </c>
      <c r="K1028" s="7">
        <v>0.4</v>
      </c>
      <c r="L1028" s="9">
        <f t="shared" ref="L1028:L1091" si="130">IF(M1028=0,0,(E1028+F1028)/2)</f>
        <v>5.5</v>
      </c>
      <c r="M1028">
        <v>1</v>
      </c>
      <c r="N1028">
        <v>6</v>
      </c>
      <c r="O1028">
        <v>2</v>
      </c>
      <c r="P1028" s="13" t="str">
        <f t="shared" ref="P1028:P1091" si="131">IF(M1028=0,"—",M1028&amp;"d"&amp;N1028&amp;IF(O1028=0,""," + "&amp;O1028))</f>
        <v>1d6 + 2</v>
      </c>
      <c r="Q1028">
        <f>ROUND(INDEX(Catalogue!E$4:E$85,MATCH(A1028,Catalogue!A$4:A$85,0))*(1+Paramètres!$B$4*(C1028-1)+Paramètres!$B$5*(C1028-1)^2),0)</f>
        <v>3</v>
      </c>
      <c r="R1028">
        <f>ROUND(INDEX(Catalogue!F$4:F$85,MATCH(A1028,Catalogue!A$4:A$85,0))*(1+Paramètres!$B$4*(C1028-1)+Paramètres!$B$5*(C1028-1)^2),0)</f>
        <v>8</v>
      </c>
      <c r="S1028">
        <f t="shared" ref="S1028:S1091" si="132">L1028-AVERAGE(Q1028:R1028)</f>
        <v>0</v>
      </c>
      <c r="T1028" t="str">
        <f t="shared" ref="T1028:T1091" si="133">IF(M1028=0,IF(AND(N1028=0,O1028=0,E1028=0,F1028=0),"OK","ERREUR"),IF(AND(M1028&gt;=1,M1028&lt;=32,OR(N1028=4,N1028=6,N1028=8,N1028=10,N1028=12,N1028=20),O1028&gt;=0,E1028=M1028+O1028,F1028=M1028*N1028+O1028),"OK","ERREUR"))</f>
        <v>OK</v>
      </c>
      <c r="U1028" s="25">
        <f t="shared" ref="U1028:U1091" si="134">IF(M1028&gt;0,M1028*(N1028+1)/2+O1028,0)</f>
        <v>5.5</v>
      </c>
      <c r="V1028" t="str">
        <f t="shared" ref="V1028:V1091" si="135">IF(ABS(L1028-U1028)&lt;0.001,"OK","ERREUR")</f>
        <v>OK</v>
      </c>
    </row>
    <row r="1029" spans="1:22" ht="18" customHeight="1">
      <c r="A1029" t="s">
        <v>259</v>
      </c>
      <c r="B1029" t="s">
        <v>260</v>
      </c>
      <c r="C1029">
        <v>6</v>
      </c>
      <c r="D1029" t="s">
        <v>237</v>
      </c>
      <c r="E1029" s="6">
        <f t="shared" si="128"/>
        <v>4</v>
      </c>
      <c r="F1029" s="6">
        <f t="shared" si="129"/>
        <v>10</v>
      </c>
      <c r="G1029" s="6">
        <f>ROUND(Catalogue!G55*SQRT((1+Paramètres!$B$4*(C1029-1)+Paramètres!$B$5*(C1029-1)^2)),0)</f>
        <v>0</v>
      </c>
      <c r="H1029" s="6">
        <f>ROUND(Catalogue!H55*SQRT((1+Paramètres!$B$4*(C1029-1)+Paramètres!$B$5*(C1029-1)^2)),0)</f>
        <v>0</v>
      </c>
      <c r="I1029" s="6">
        <v>2</v>
      </c>
      <c r="J1029" s="6">
        <v>4</v>
      </c>
      <c r="K1029" s="7">
        <v>0.4</v>
      </c>
      <c r="L1029" s="9">
        <f t="shared" si="130"/>
        <v>7</v>
      </c>
      <c r="M1029">
        <v>2</v>
      </c>
      <c r="N1029">
        <v>4</v>
      </c>
      <c r="O1029">
        <v>2</v>
      </c>
      <c r="P1029" s="13" t="str">
        <f t="shared" si="131"/>
        <v>2d4 + 2</v>
      </c>
      <c r="Q1029">
        <f>ROUND(INDEX(Catalogue!E$4:E$85,MATCH(A1029,Catalogue!A$4:A$85,0))*(1+Paramètres!$B$4*(C1029-1)+Paramètres!$B$5*(C1029-1)^2),0)</f>
        <v>4</v>
      </c>
      <c r="R1029">
        <f>ROUND(INDEX(Catalogue!F$4:F$85,MATCH(A1029,Catalogue!A$4:A$85,0))*(1+Paramètres!$B$4*(C1029-1)+Paramètres!$B$5*(C1029-1)^2),0)</f>
        <v>10</v>
      </c>
      <c r="S1029">
        <f t="shared" si="132"/>
        <v>0</v>
      </c>
      <c r="T1029" t="str">
        <f t="shared" si="133"/>
        <v>OK</v>
      </c>
      <c r="U1029" s="25">
        <f t="shared" si="134"/>
        <v>7</v>
      </c>
      <c r="V1029" t="str">
        <f t="shared" si="135"/>
        <v>OK</v>
      </c>
    </row>
    <row r="1030" spans="1:22" ht="18" customHeight="1">
      <c r="A1030" t="s">
        <v>259</v>
      </c>
      <c r="B1030" t="s">
        <v>260</v>
      </c>
      <c r="C1030">
        <v>7</v>
      </c>
      <c r="D1030" t="s">
        <v>237</v>
      </c>
      <c r="E1030" s="6">
        <f t="shared" si="128"/>
        <v>4</v>
      </c>
      <c r="F1030" s="6">
        <f t="shared" si="129"/>
        <v>11</v>
      </c>
      <c r="G1030" s="6">
        <f>ROUND(Catalogue!G55*SQRT((1+Paramètres!$B$4*(C1030-1)+Paramètres!$B$5*(C1030-1)^2)),0)</f>
        <v>0</v>
      </c>
      <c r="H1030" s="6">
        <f>ROUND(Catalogue!H55*SQRT((1+Paramètres!$B$4*(C1030-1)+Paramètres!$B$5*(C1030-1)^2)),0)</f>
        <v>0</v>
      </c>
      <c r="I1030" s="6">
        <v>2</v>
      </c>
      <c r="J1030" s="6">
        <v>4</v>
      </c>
      <c r="K1030" s="7">
        <v>0.4</v>
      </c>
      <c r="L1030" s="9">
        <f t="shared" si="130"/>
        <v>7.5</v>
      </c>
      <c r="M1030">
        <v>1</v>
      </c>
      <c r="N1030">
        <v>8</v>
      </c>
      <c r="O1030">
        <v>3</v>
      </c>
      <c r="P1030" s="13" t="str">
        <f t="shared" si="131"/>
        <v>1d8 + 3</v>
      </c>
      <c r="Q1030">
        <f>ROUND(INDEX(Catalogue!E$4:E$85,MATCH(A1030,Catalogue!A$4:A$85,0))*(1+Paramètres!$B$4*(C1030-1)+Paramètres!$B$5*(C1030-1)^2),0)</f>
        <v>4</v>
      </c>
      <c r="R1030">
        <f>ROUND(INDEX(Catalogue!F$4:F$85,MATCH(A1030,Catalogue!A$4:A$85,0))*(1+Paramètres!$B$4*(C1030-1)+Paramètres!$B$5*(C1030-1)^2),0)</f>
        <v>11</v>
      </c>
      <c r="S1030">
        <f t="shared" si="132"/>
        <v>0</v>
      </c>
      <c r="T1030" t="str">
        <f t="shared" si="133"/>
        <v>OK</v>
      </c>
      <c r="U1030" s="25">
        <f t="shared" si="134"/>
        <v>7.5</v>
      </c>
      <c r="V1030" t="str">
        <f t="shared" si="135"/>
        <v>OK</v>
      </c>
    </row>
    <row r="1031" spans="1:22" ht="18" customHeight="1">
      <c r="A1031" t="s">
        <v>259</v>
      </c>
      <c r="B1031" t="s">
        <v>260</v>
      </c>
      <c r="C1031">
        <v>8</v>
      </c>
      <c r="D1031" t="s">
        <v>237</v>
      </c>
      <c r="E1031" s="6">
        <f t="shared" si="128"/>
        <v>4</v>
      </c>
      <c r="F1031" s="6">
        <f t="shared" si="129"/>
        <v>13</v>
      </c>
      <c r="G1031" s="6">
        <f>ROUND(Catalogue!G55*SQRT((1+Paramètres!$B$4*(C1031-1)+Paramètres!$B$5*(C1031-1)^2)),0)</f>
        <v>0</v>
      </c>
      <c r="H1031" s="6">
        <f>ROUND(Catalogue!H55*SQRT((1+Paramètres!$B$4*(C1031-1)+Paramètres!$B$5*(C1031-1)^2)),0)</f>
        <v>0</v>
      </c>
      <c r="I1031" s="6">
        <v>2</v>
      </c>
      <c r="J1031" s="6">
        <v>4</v>
      </c>
      <c r="K1031" s="7">
        <v>0.4</v>
      </c>
      <c r="L1031" s="9">
        <f t="shared" si="130"/>
        <v>8.5</v>
      </c>
      <c r="M1031">
        <v>3</v>
      </c>
      <c r="N1031">
        <v>4</v>
      </c>
      <c r="O1031">
        <v>1</v>
      </c>
      <c r="P1031" s="13" t="str">
        <f t="shared" si="131"/>
        <v>3d4 + 1</v>
      </c>
      <c r="Q1031">
        <f>ROUND(INDEX(Catalogue!E$4:E$85,MATCH(A1031,Catalogue!A$4:A$85,0))*(1+Paramètres!$B$4*(C1031-1)+Paramètres!$B$5*(C1031-1)^2),0)</f>
        <v>5</v>
      </c>
      <c r="R1031">
        <f>ROUND(INDEX(Catalogue!F$4:F$85,MATCH(A1031,Catalogue!A$4:A$85,0))*(1+Paramètres!$B$4*(C1031-1)+Paramètres!$B$5*(C1031-1)^2),0)</f>
        <v>13</v>
      </c>
      <c r="S1031">
        <f t="shared" si="132"/>
        <v>-0.5</v>
      </c>
      <c r="T1031" t="str">
        <f t="shared" si="133"/>
        <v>OK</v>
      </c>
      <c r="U1031" s="25">
        <f t="shared" si="134"/>
        <v>8.5</v>
      </c>
      <c r="V1031" t="str">
        <f t="shared" si="135"/>
        <v>OK</v>
      </c>
    </row>
    <row r="1032" spans="1:22" ht="18" customHeight="1">
      <c r="A1032" t="s">
        <v>259</v>
      </c>
      <c r="B1032" t="s">
        <v>260</v>
      </c>
      <c r="C1032">
        <v>9</v>
      </c>
      <c r="D1032" t="s">
        <v>237</v>
      </c>
      <c r="E1032" s="6">
        <f t="shared" si="128"/>
        <v>6</v>
      </c>
      <c r="F1032" s="6">
        <f t="shared" si="129"/>
        <v>15</v>
      </c>
      <c r="G1032" s="6">
        <f>ROUND(Catalogue!G55*SQRT((1+Paramètres!$B$4*(C1032-1)+Paramètres!$B$5*(C1032-1)^2)),0)</f>
        <v>0</v>
      </c>
      <c r="H1032" s="6">
        <f>ROUND(Catalogue!H55*SQRT((1+Paramètres!$B$4*(C1032-1)+Paramètres!$B$5*(C1032-1)^2)),0)</f>
        <v>0</v>
      </c>
      <c r="I1032" s="6">
        <v>2</v>
      </c>
      <c r="J1032" s="6">
        <v>4</v>
      </c>
      <c r="K1032" s="7">
        <v>0.4</v>
      </c>
      <c r="L1032" s="9">
        <f t="shared" si="130"/>
        <v>10.5</v>
      </c>
      <c r="M1032">
        <v>3</v>
      </c>
      <c r="N1032">
        <v>4</v>
      </c>
      <c r="O1032">
        <v>3</v>
      </c>
      <c r="P1032" s="13" t="str">
        <f t="shared" si="131"/>
        <v>3d4 + 3</v>
      </c>
      <c r="Q1032">
        <f>ROUND(INDEX(Catalogue!E$4:E$85,MATCH(A1032,Catalogue!A$4:A$85,0))*(1+Paramètres!$B$4*(C1032-1)+Paramètres!$B$5*(C1032-1)^2),0)</f>
        <v>6</v>
      </c>
      <c r="R1032">
        <f>ROUND(INDEX(Catalogue!F$4:F$85,MATCH(A1032,Catalogue!A$4:A$85,0))*(1+Paramètres!$B$4*(C1032-1)+Paramètres!$B$5*(C1032-1)^2),0)</f>
        <v>15</v>
      </c>
      <c r="S1032">
        <f t="shared" si="132"/>
        <v>0</v>
      </c>
      <c r="T1032" t="str">
        <f t="shared" si="133"/>
        <v>OK</v>
      </c>
      <c r="U1032" s="25">
        <f t="shared" si="134"/>
        <v>10.5</v>
      </c>
      <c r="V1032" t="str">
        <f t="shared" si="135"/>
        <v>OK</v>
      </c>
    </row>
    <row r="1033" spans="1:22" ht="18" customHeight="1">
      <c r="A1033" t="s">
        <v>259</v>
      </c>
      <c r="B1033" t="s">
        <v>260</v>
      </c>
      <c r="C1033">
        <v>10</v>
      </c>
      <c r="D1033" t="s">
        <v>237</v>
      </c>
      <c r="E1033" s="6">
        <f t="shared" si="128"/>
        <v>7</v>
      </c>
      <c r="F1033" s="6">
        <f t="shared" si="129"/>
        <v>16</v>
      </c>
      <c r="G1033" s="6">
        <f>ROUND(Catalogue!G55*SQRT((1+Paramètres!$B$4*(C1033-1)+Paramètres!$B$5*(C1033-1)^2)),0)</f>
        <v>0</v>
      </c>
      <c r="H1033" s="6">
        <f>ROUND(Catalogue!H55*SQRT((1+Paramètres!$B$4*(C1033-1)+Paramètres!$B$5*(C1033-1)^2)),0)</f>
        <v>0</v>
      </c>
      <c r="I1033" s="6">
        <v>2</v>
      </c>
      <c r="J1033" s="6">
        <v>4</v>
      </c>
      <c r="K1033" s="7">
        <v>0.4</v>
      </c>
      <c r="L1033" s="9">
        <f t="shared" si="130"/>
        <v>11.5</v>
      </c>
      <c r="M1033">
        <v>3</v>
      </c>
      <c r="N1033">
        <v>4</v>
      </c>
      <c r="O1033">
        <v>4</v>
      </c>
      <c r="P1033" s="13" t="str">
        <f t="shared" si="131"/>
        <v>3d4 + 4</v>
      </c>
      <c r="Q1033">
        <f>ROUND(INDEX(Catalogue!E$4:E$85,MATCH(A1033,Catalogue!A$4:A$85,0))*(1+Paramètres!$B$4*(C1033-1)+Paramètres!$B$5*(C1033-1)^2),0)</f>
        <v>7</v>
      </c>
      <c r="R1033">
        <f>ROUND(INDEX(Catalogue!F$4:F$85,MATCH(A1033,Catalogue!A$4:A$85,0))*(1+Paramètres!$B$4*(C1033-1)+Paramètres!$B$5*(C1033-1)^2),0)</f>
        <v>16</v>
      </c>
      <c r="S1033">
        <f t="shared" si="132"/>
        <v>0</v>
      </c>
      <c r="T1033" t="str">
        <f t="shared" si="133"/>
        <v>OK</v>
      </c>
      <c r="U1033" s="25">
        <f t="shared" si="134"/>
        <v>11.5</v>
      </c>
      <c r="V1033" t="str">
        <f t="shared" si="135"/>
        <v>OK</v>
      </c>
    </row>
    <row r="1034" spans="1:22" ht="18" customHeight="1">
      <c r="A1034" t="s">
        <v>259</v>
      </c>
      <c r="B1034" t="s">
        <v>260</v>
      </c>
      <c r="C1034">
        <v>11</v>
      </c>
      <c r="D1034" t="s">
        <v>237</v>
      </c>
      <c r="E1034" s="6">
        <f t="shared" si="128"/>
        <v>7</v>
      </c>
      <c r="F1034" s="6">
        <f t="shared" si="129"/>
        <v>19</v>
      </c>
      <c r="G1034" s="6">
        <f>ROUND(Catalogue!G55*SQRT((1+Paramètres!$B$4*(C1034-1)+Paramètres!$B$5*(C1034-1)^2)),0)</f>
        <v>0</v>
      </c>
      <c r="H1034" s="6">
        <f>ROUND(Catalogue!H55*SQRT((1+Paramètres!$B$4*(C1034-1)+Paramètres!$B$5*(C1034-1)^2)),0)</f>
        <v>0</v>
      </c>
      <c r="I1034" s="6">
        <v>2</v>
      </c>
      <c r="J1034" s="6">
        <v>4</v>
      </c>
      <c r="K1034" s="7">
        <v>0.4</v>
      </c>
      <c r="L1034" s="9">
        <f t="shared" si="130"/>
        <v>13</v>
      </c>
      <c r="M1034">
        <v>4</v>
      </c>
      <c r="N1034">
        <v>4</v>
      </c>
      <c r="O1034">
        <v>3</v>
      </c>
      <c r="P1034" s="13" t="str">
        <f t="shared" si="131"/>
        <v>4d4 + 3</v>
      </c>
      <c r="Q1034">
        <f>ROUND(INDEX(Catalogue!E$4:E$85,MATCH(A1034,Catalogue!A$4:A$85,0))*(1+Paramètres!$B$4*(C1034-1)+Paramètres!$B$5*(C1034-1)^2),0)</f>
        <v>7</v>
      </c>
      <c r="R1034">
        <f>ROUND(INDEX(Catalogue!F$4:F$85,MATCH(A1034,Catalogue!A$4:A$85,0))*(1+Paramètres!$B$4*(C1034-1)+Paramètres!$B$5*(C1034-1)^2),0)</f>
        <v>19</v>
      </c>
      <c r="S1034">
        <f t="shared" si="132"/>
        <v>0</v>
      </c>
      <c r="T1034" t="str">
        <f t="shared" si="133"/>
        <v>OK</v>
      </c>
      <c r="U1034" s="25">
        <f t="shared" si="134"/>
        <v>13</v>
      </c>
      <c r="V1034" t="str">
        <f t="shared" si="135"/>
        <v>OK</v>
      </c>
    </row>
    <row r="1035" spans="1:22" ht="18" customHeight="1">
      <c r="A1035" t="s">
        <v>259</v>
      </c>
      <c r="B1035" t="s">
        <v>260</v>
      </c>
      <c r="C1035">
        <v>12</v>
      </c>
      <c r="D1035" t="s">
        <v>237</v>
      </c>
      <c r="E1035" s="6">
        <f t="shared" si="128"/>
        <v>7</v>
      </c>
      <c r="F1035" s="6">
        <f t="shared" si="129"/>
        <v>21</v>
      </c>
      <c r="G1035" s="6">
        <f>ROUND(Catalogue!G55*SQRT((1+Paramètres!$B$4*(C1035-1)+Paramètres!$B$5*(C1035-1)^2)),0)</f>
        <v>0</v>
      </c>
      <c r="H1035" s="6">
        <f>ROUND(Catalogue!H55*SQRT((1+Paramètres!$B$4*(C1035-1)+Paramètres!$B$5*(C1035-1)^2)),0)</f>
        <v>0</v>
      </c>
      <c r="I1035" s="6">
        <v>2</v>
      </c>
      <c r="J1035" s="6">
        <v>4</v>
      </c>
      <c r="K1035" s="7">
        <v>0.4</v>
      </c>
      <c r="L1035" s="9">
        <f t="shared" si="130"/>
        <v>14</v>
      </c>
      <c r="M1035">
        <v>2</v>
      </c>
      <c r="N1035">
        <v>8</v>
      </c>
      <c r="O1035">
        <v>5</v>
      </c>
      <c r="P1035" s="13" t="str">
        <f t="shared" si="131"/>
        <v>2d8 + 5</v>
      </c>
      <c r="Q1035">
        <f>ROUND(INDEX(Catalogue!E$4:E$85,MATCH(A1035,Catalogue!A$4:A$85,0))*(1+Paramètres!$B$4*(C1035-1)+Paramètres!$B$5*(C1035-1)^2),0)</f>
        <v>8</v>
      </c>
      <c r="R1035">
        <f>ROUND(INDEX(Catalogue!F$4:F$85,MATCH(A1035,Catalogue!A$4:A$85,0))*(1+Paramètres!$B$4*(C1035-1)+Paramètres!$B$5*(C1035-1)^2),0)</f>
        <v>21</v>
      </c>
      <c r="S1035">
        <f t="shared" si="132"/>
        <v>-0.5</v>
      </c>
      <c r="T1035" t="str">
        <f t="shared" si="133"/>
        <v>OK</v>
      </c>
      <c r="U1035" s="25">
        <f t="shared" si="134"/>
        <v>14</v>
      </c>
      <c r="V1035" t="str">
        <f t="shared" si="135"/>
        <v>OK</v>
      </c>
    </row>
    <row r="1036" spans="1:22" ht="18" customHeight="1">
      <c r="A1036" t="s">
        <v>259</v>
      </c>
      <c r="B1036" t="s">
        <v>260</v>
      </c>
      <c r="C1036">
        <v>13</v>
      </c>
      <c r="D1036" t="s">
        <v>237</v>
      </c>
      <c r="E1036" s="6">
        <f t="shared" si="128"/>
        <v>9</v>
      </c>
      <c r="F1036" s="6">
        <f t="shared" si="129"/>
        <v>23</v>
      </c>
      <c r="G1036" s="6">
        <f>ROUND(Catalogue!G55*SQRT((1+Paramètres!$B$4*(C1036-1)+Paramètres!$B$5*(C1036-1)^2)),0)</f>
        <v>0</v>
      </c>
      <c r="H1036" s="6">
        <f>ROUND(Catalogue!H55*SQRT((1+Paramètres!$B$4*(C1036-1)+Paramètres!$B$5*(C1036-1)^2)),0)</f>
        <v>0</v>
      </c>
      <c r="I1036" s="6">
        <v>2</v>
      </c>
      <c r="J1036" s="6">
        <v>4</v>
      </c>
      <c r="K1036" s="7">
        <v>0.4</v>
      </c>
      <c r="L1036" s="9">
        <f t="shared" si="130"/>
        <v>16</v>
      </c>
      <c r="M1036">
        <v>2</v>
      </c>
      <c r="N1036">
        <v>8</v>
      </c>
      <c r="O1036">
        <v>7</v>
      </c>
      <c r="P1036" s="13" t="str">
        <f t="shared" si="131"/>
        <v>2d8 + 7</v>
      </c>
      <c r="Q1036">
        <f>ROUND(INDEX(Catalogue!E$4:E$85,MATCH(A1036,Catalogue!A$4:A$85,0))*(1+Paramètres!$B$4*(C1036-1)+Paramètres!$B$5*(C1036-1)^2),0)</f>
        <v>9</v>
      </c>
      <c r="R1036">
        <f>ROUND(INDEX(Catalogue!F$4:F$85,MATCH(A1036,Catalogue!A$4:A$85,0))*(1+Paramètres!$B$4*(C1036-1)+Paramètres!$B$5*(C1036-1)^2),0)</f>
        <v>23</v>
      </c>
      <c r="S1036">
        <f t="shared" si="132"/>
        <v>0</v>
      </c>
      <c r="T1036" t="str">
        <f t="shared" si="133"/>
        <v>OK</v>
      </c>
      <c r="U1036" s="25">
        <f t="shared" si="134"/>
        <v>16</v>
      </c>
      <c r="V1036" t="str">
        <f t="shared" si="135"/>
        <v>OK</v>
      </c>
    </row>
    <row r="1037" spans="1:22" ht="18" customHeight="1">
      <c r="A1037" t="s">
        <v>259</v>
      </c>
      <c r="B1037" t="s">
        <v>260</v>
      </c>
      <c r="C1037">
        <v>14</v>
      </c>
      <c r="D1037" t="s">
        <v>237</v>
      </c>
      <c r="E1037" s="6">
        <f t="shared" si="128"/>
        <v>11</v>
      </c>
      <c r="F1037" s="6">
        <f t="shared" si="129"/>
        <v>26</v>
      </c>
      <c r="G1037" s="6">
        <f>ROUND(Catalogue!G55*SQRT((1+Paramètres!$B$4*(C1037-1)+Paramètres!$B$5*(C1037-1)^2)),0)</f>
        <v>0</v>
      </c>
      <c r="H1037" s="6">
        <f>ROUND(Catalogue!H55*SQRT((1+Paramètres!$B$4*(C1037-1)+Paramètres!$B$5*(C1037-1)^2)),0)</f>
        <v>0</v>
      </c>
      <c r="I1037" s="6">
        <v>2</v>
      </c>
      <c r="J1037" s="6">
        <v>4</v>
      </c>
      <c r="K1037" s="7">
        <v>0.4</v>
      </c>
      <c r="L1037" s="9">
        <f t="shared" si="130"/>
        <v>18.5</v>
      </c>
      <c r="M1037">
        <v>3</v>
      </c>
      <c r="N1037">
        <v>6</v>
      </c>
      <c r="O1037">
        <v>8</v>
      </c>
      <c r="P1037" s="13" t="str">
        <f t="shared" si="131"/>
        <v>3d6 + 8</v>
      </c>
      <c r="Q1037">
        <f>ROUND(INDEX(Catalogue!E$4:E$85,MATCH(A1037,Catalogue!A$4:A$85,0))*(1+Paramètres!$B$4*(C1037-1)+Paramètres!$B$5*(C1037-1)^2),0)</f>
        <v>10</v>
      </c>
      <c r="R1037">
        <f>ROUND(INDEX(Catalogue!F$4:F$85,MATCH(A1037,Catalogue!A$4:A$85,0))*(1+Paramètres!$B$4*(C1037-1)+Paramètres!$B$5*(C1037-1)^2),0)</f>
        <v>26</v>
      </c>
      <c r="S1037">
        <f t="shared" si="132"/>
        <v>0.5</v>
      </c>
      <c r="T1037" t="str">
        <f t="shared" si="133"/>
        <v>OK</v>
      </c>
      <c r="U1037" s="25">
        <f t="shared" si="134"/>
        <v>18.5</v>
      </c>
      <c r="V1037" t="str">
        <f t="shared" si="135"/>
        <v>OK</v>
      </c>
    </row>
    <row r="1038" spans="1:22" ht="18" customHeight="1">
      <c r="A1038" t="s">
        <v>259</v>
      </c>
      <c r="B1038" t="s">
        <v>260</v>
      </c>
      <c r="C1038">
        <v>15</v>
      </c>
      <c r="D1038" t="s">
        <v>237</v>
      </c>
      <c r="E1038" s="6">
        <f t="shared" si="128"/>
        <v>10</v>
      </c>
      <c r="F1038" s="6">
        <f t="shared" si="129"/>
        <v>28</v>
      </c>
      <c r="G1038" s="6">
        <f>ROUND(Catalogue!G55*SQRT((1+Paramètres!$B$4*(C1038-1)+Paramètres!$B$5*(C1038-1)^2)),0)</f>
        <v>0</v>
      </c>
      <c r="H1038" s="6">
        <f>ROUND(Catalogue!H55*SQRT((1+Paramètres!$B$4*(C1038-1)+Paramètres!$B$5*(C1038-1)^2)),0)</f>
        <v>0</v>
      </c>
      <c r="I1038" s="6">
        <v>2</v>
      </c>
      <c r="J1038" s="6">
        <v>4</v>
      </c>
      <c r="K1038" s="7">
        <v>0.4</v>
      </c>
      <c r="L1038" s="9">
        <f t="shared" si="130"/>
        <v>19</v>
      </c>
      <c r="M1038">
        <v>2</v>
      </c>
      <c r="N1038">
        <v>10</v>
      </c>
      <c r="O1038">
        <v>8</v>
      </c>
      <c r="P1038" s="13" t="str">
        <f t="shared" si="131"/>
        <v>2d10 + 8</v>
      </c>
      <c r="Q1038">
        <f>ROUND(INDEX(Catalogue!E$4:E$85,MATCH(A1038,Catalogue!A$4:A$85,0))*(1+Paramètres!$B$4*(C1038-1)+Paramètres!$B$5*(C1038-1)^2),0)</f>
        <v>11</v>
      </c>
      <c r="R1038">
        <f>ROUND(INDEX(Catalogue!F$4:F$85,MATCH(A1038,Catalogue!A$4:A$85,0))*(1+Paramètres!$B$4*(C1038-1)+Paramètres!$B$5*(C1038-1)^2),0)</f>
        <v>28</v>
      </c>
      <c r="S1038">
        <f t="shared" si="132"/>
        <v>-0.5</v>
      </c>
      <c r="T1038" t="str">
        <f t="shared" si="133"/>
        <v>OK</v>
      </c>
      <c r="U1038" s="25">
        <f t="shared" si="134"/>
        <v>19</v>
      </c>
      <c r="V1038" t="str">
        <f t="shared" si="135"/>
        <v>OK</v>
      </c>
    </row>
    <row r="1039" spans="1:22" ht="18" customHeight="1">
      <c r="A1039" t="s">
        <v>259</v>
      </c>
      <c r="B1039" t="s">
        <v>260</v>
      </c>
      <c r="C1039">
        <v>16</v>
      </c>
      <c r="D1039" t="s">
        <v>237</v>
      </c>
      <c r="E1039" s="6">
        <f t="shared" si="128"/>
        <v>13</v>
      </c>
      <c r="F1039" s="6">
        <f t="shared" si="129"/>
        <v>31</v>
      </c>
      <c r="G1039" s="6">
        <f>ROUND(Catalogue!G55*SQRT((1+Paramètres!$B$4*(C1039-1)+Paramètres!$B$5*(C1039-1)^2)),0)</f>
        <v>0</v>
      </c>
      <c r="H1039" s="6">
        <f>ROUND(Catalogue!H55*SQRT((1+Paramètres!$B$4*(C1039-1)+Paramètres!$B$5*(C1039-1)^2)),0)</f>
        <v>0</v>
      </c>
      <c r="I1039" s="6">
        <v>2</v>
      </c>
      <c r="J1039" s="6">
        <v>4</v>
      </c>
      <c r="K1039" s="7">
        <v>0.4</v>
      </c>
      <c r="L1039" s="9">
        <f t="shared" si="130"/>
        <v>22</v>
      </c>
      <c r="M1039">
        <v>2</v>
      </c>
      <c r="N1039">
        <v>10</v>
      </c>
      <c r="O1039">
        <v>11</v>
      </c>
      <c r="P1039" s="13" t="str">
        <f t="shared" si="131"/>
        <v>2d10 + 11</v>
      </c>
      <c r="Q1039">
        <f>ROUND(INDEX(Catalogue!E$4:E$85,MATCH(A1039,Catalogue!A$4:A$85,0))*(1+Paramètres!$B$4*(C1039-1)+Paramètres!$B$5*(C1039-1)^2),0)</f>
        <v>13</v>
      </c>
      <c r="R1039">
        <f>ROUND(INDEX(Catalogue!F$4:F$85,MATCH(A1039,Catalogue!A$4:A$85,0))*(1+Paramètres!$B$4*(C1039-1)+Paramètres!$B$5*(C1039-1)^2),0)</f>
        <v>31</v>
      </c>
      <c r="S1039">
        <f t="shared" si="132"/>
        <v>0</v>
      </c>
      <c r="T1039" t="str">
        <f t="shared" si="133"/>
        <v>OK</v>
      </c>
      <c r="U1039" s="25">
        <f t="shared" si="134"/>
        <v>22</v>
      </c>
      <c r="V1039" t="str">
        <f t="shared" si="135"/>
        <v>OK</v>
      </c>
    </row>
    <row r="1040" spans="1:22" ht="18" customHeight="1">
      <c r="A1040" t="s">
        <v>259</v>
      </c>
      <c r="B1040" t="s">
        <v>260</v>
      </c>
      <c r="C1040">
        <v>17</v>
      </c>
      <c r="D1040" t="s">
        <v>237</v>
      </c>
      <c r="E1040" s="6">
        <f t="shared" si="128"/>
        <v>14</v>
      </c>
      <c r="F1040" s="6">
        <f t="shared" si="129"/>
        <v>34</v>
      </c>
      <c r="G1040" s="6">
        <f>ROUND(Catalogue!G55*SQRT((1+Paramètres!$B$4*(C1040-1)+Paramètres!$B$5*(C1040-1)^2)),0)</f>
        <v>0</v>
      </c>
      <c r="H1040" s="6">
        <f>ROUND(Catalogue!H55*SQRT((1+Paramètres!$B$4*(C1040-1)+Paramètres!$B$5*(C1040-1)^2)),0)</f>
        <v>0</v>
      </c>
      <c r="I1040" s="6">
        <v>2</v>
      </c>
      <c r="J1040" s="6">
        <v>4</v>
      </c>
      <c r="K1040" s="7">
        <v>0.4</v>
      </c>
      <c r="L1040" s="9">
        <f t="shared" si="130"/>
        <v>24</v>
      </c>
      <c r="M1040">
        <v>4</v>
      </c>
      <c r="N1040">
        <v>6</v>
      </c>
      <c r="O1040">
        <v>10</v>
      </c>
      <c r="P1040" s="13" t="str">
        <f t="shared" si="131"/>
        <v>4d6 + 10</v>
      </c>
      <c r="Q1040">
        <f>ROUND(INDEX(Catalogue!E$4:E$85,MATCH(A1040,Catalogue!A$4:A$85,0))*(1+Paramètres!$B$4*(C1040-1)+Paramètres!$B$5*(C1040-1)^2),0)</f>
        <v>14</v>
      </c>
      <c r="R1040">
        <f>ROUND(INDEX(Catalogue!F$4:F$85,MATCH(A1040,Catalogue!A$4:A$85,0))*(1+Paramètres!$B$4*(C1040-1)+Paramètres!$B$5*(C1040-1)^2),0)</f>
        <v>34</v>
      </c>
      <c r="S1040">
        <f t="shared" si="132"/>
        <v>0</v>
      </c>
      <c r="T1040" t="str">
        <f t="shared" si="133"/>
        <v>OK</v>
      </c>
      <c r="U1040" s="25">
        <f t="shared" si="134"/>
        <v>24</v>
      </c>
      <c r="V1040" t="str">
        <f t="shared" si="135"/>
        <v>OK</v>
      </c>
    </row>
    <row r="1041" spans="1:22" ht="18" customHeight="1">
      <c r="A1041" t="s">
        <v>259</v>
      </c>
      <c r="B1041" t="s">
        <v>260</v>
      </c>
      <c r="C1041">
        <v>18</v>
      </c>
      <c r="D1041" t="s">
        <v>237</v>
      </c>
      <c r="E1041" s="6">
        <f t="shared" si="128"/>
        <v>15</v>
      </c>
      <c r="F1041" s="6">
        <f t="shared" si="129"/>
        <v>37</v>
      </c>
      <c r="G1041" s="6">
        <f>ROUND(Catalogue!G55*SQRT((1+Paramètres!$B$4*(C1041-1)+Paramètres!$B$5*(C1041-1)^2)),0)</f>
        <v>0</v>
      </c>
      <c r="H1041" s="6">
        <f>ROUND(Catalogue!H55*SQRT((1+Paramètres!$B$4*(C1041-1)+Paramètres!$B$5*(C1041-1)^2)),0)</f>
        <v>0</v>
      </c>
      <c r="I1041" s="6">
        <v>2</v>
      </c>
      <c r="J1041" s="6">
        <v>4</v>
      </c>
      <c r="K1041" s="7">
        <v>0.4</v>
      </c>
      <c r="L1041" s="9">
        <f t="shared" si="130"/>
        <v>26</v>
      </c>
      <c r="M1041">
        <v>2</v>
      </c>
      <c r="N1041">
        <v>12</v>
      </c>
      <c r="O1041">
        <v>13</v>
      </c>
      <c r="P1041" s="13" t="str">
        <f t="shared" si="131"/>
        <v>2d12 + 13</v>
      </c>
      <c r="Q1041">
        <f>ROUND(INDEX(Catalogue!E$4:E$85,MATCH(A1041,Catalogue!A$4:A$85,0))*(1+Paramètres!$B$4*(C1041-1)+Paramètres!$B$5*(C1041-1)^2),0)</f>
        <v>15</v>
      </c>
      <c r="R1041">
        <f>ROUND(INDEX(Catalogue!F$4:F$85,MATCH(A1041,Catalogue!A$4:A$85,0))*(1+Paramètres!$B$4*(C1041-1)+Paramètres!$B$5*(C1041-1)^2),0)</f>
        <v>37</v>
      </c>
      <c r="S1041">
        <f t="shared" si="132"/>
        <v>0</v>
      </c>
      <c r="T1041" t="str">
        <f t="shared" si="133"/>
        <v>OK</v>
      </c>
      <c r="U1041" s="25">
        <f t="shared" si="134"/>
        <v>26</v>
      </c>
      <c r="V1041" t="str">
        <f t="shared" si="135"/>
        <v>OK</v>
      </c>
    </row>
    <row r="1042" spans="1:22" ht="18" customHeight="1">
      <c r="A1042" t="s">
        <v>259</v>
      </c>
      <c r="B1042" t="s">
        <v>260</v>
      </c>
      <c r="C1042">
        <v>19</v>
      </c>
      <c r="D1042" t="s">
        <v>237</v>
      </c>
      <c r="E1042" s="6">
        <f t="shared" si="128"/>
        <v>16</v>
      </c>
      <c r="F1042" s="6">
        <f t="shared" si="129"/>
        <v>41</v>
      </c>
      <c r="G1042" s="6">
        <f>ROUND(Catalogue!G55*SQRT((1+Paramètres!$B$4*(C1042-1)+Paramètres!$B$5*(C1042-1)^2)),0)</f>
        <v>0</v>
      </c>
      <c r="H1042" s="6">
        <f>ROUND(Catalogue!H55*SQRT((1+Paramètres!$B$4*(C1042-1)+Paramètres!$B$5*(C1042-1)^2)),0)</f>
        <v>0</v>
      </c>
      <c r="I1042" s="6">
        <v>2</v>
      </c>
      <c r="J1042" s="6">
        <v>4</v>
      </c>
      <c r="K1042" s="7">
        <v>0.4</v>
      </c>
      <c r="L1042" s="9">
        <f t="shared" si="130"/>
        <v>28.5</v>
      </c>
      <c r="M1042">
        <v>5</v>
      </c>
      <c r="N1042">
        <v>6</v>
      </c>
      <c r="O1042">
        <v>11</v>
      </c>
      <c r="P1042" s="13" t="str">
        <f t="shared" si="131"/>
        <v>5d6 + 11</v>
      </c>
      <c r="Q1042">
        <f>ROUND(INDEX(Catalogue!E$4:E$85,MATCH(A1042,Catalogue!A$4:A$85,0))*(1+Paramètres!$B$4*(C1042-1)+Paramètres!$B$5*(C1042-1)^2),0)</f>
        <v>16</v>
      </c>
      <c r="R1042">
        <f>ROUND(INDEX(Catalogue!F$4:F$85,MATCH(A1042,Catalogue!A$4:A$85,0))*(1+Paramètres!$B$4*(C1042-1)+Paramètres!$B$5*(C1042-1)^2),0)</f>
        <v>41</v>
      </c>
      <c r="S1042">
        <f t="shared" si="132"/>
        <v>0</v>
      </c>
      <c r="T1042" t="str">
        <f t="shared" si="133"/>
        <v>OK</v>
      </c>
      <c r="U1042" s="25">
        <f t="shared" si="134"/>
        <v>28.5</v>
      </c>
      <c r="V1042" t="str">
        <f t="shared" si="135"/>
        <v>OK</v>
      </c>
    </row>
    <row r="1043" spans="1:22" ht="18" customHeight="1">
      <c r="A1043" t="s">
        <v>259</v>
      </c>
      <c r="B1043" t="s">
        <v>260</v>
      </c>
      <c r="C1043">
        <v>20</v>
      </c>
      <c r="D1043" t="s">
        <v>237</v>
      </c>
      <c r="E1043" s="6">
        <f t="shared" si="128"/>
        <v>17</v>
      </c>
      <c r="F1043" s="6">
        <f t="shared" si="129"/>
        <v>44</v>
      </c>
      <c r="G1043" s="6">
        <f>ROUND(Catalogue!G55*SQRT((1+Paramètres!$B$4*(C1043-1)+Paramètres!$B$5*(C1043-1)^2)),0)</f>
        <v>0</v>
      </c>
      <c r="H1043" s="6">
        <f>ROUND(Catalogue!H55*SQRT((1+Paramètres!$B$4*(C1043-1)+Paramètres!$B$5*(C1043-1)^2)),0)</f>
        <v>0</v>
      </c>
      <c r="I1043" s="6">
        <v>2</v>
      </c>
      <c r="J1043" s="6">
        <v>4</v>
      </c>
      <c r="K1043" s="7">
        <v>0.4</v>
      </c>
      <c r="L1043" s="9">
        <f t="shared" si="130"/>
        <v>30.5</v>
      </c>
      <c r="M1043">
        <v>3</v>
      </c>
      <c r="N1043">
        <v>10</v>
      </c>
      <c r="O1043">
        <v>14</v>
      </c>
      <c r="P1043" s="13" t="str">
        <f t="shared" si="131"/>
        <v>3d10 + 14</v>
      </c>
      <c r="Q1043">
        <f>ROUND(INDEX(Catalogue!E$4:E$85,MATCH(A1043,Catalogue!A$4:A$85,0))*(1+Paramètres!$B$4*(C1043-1)+Paramètres!$B$5*(C1043-1)^2),0)</f>
        <v>18</v>
      </c>
      <c r="R1043">
        <f>ROUND(INDEX(Catalogue!F$4:F$85,MATCH(A1043,Catalogue!A$4:A$85,0))*(1+Paramètres!$B$4*(C1043-1)+Paramètres!$B$5*(C1043-1)^2),0)</f>
        <v>44</v>
      </c>
      <c r="S1043">
        <f t="shared" si="132"/>
        <v>-0.5</v>
      </c>
      <c r="T1043" t="str">
        <f t="shared" si="133"/>
        <v>OK</v>
      </c>
      <c r="U1043" s="25">
        <f t="shared" si="134"/>
        <v>30.5</v>
      </c>
      <c r="V1043" t="str">
        <f t="shared" si="135"/>
        <v>OK</v>
      </c>
    </row>
    <row r="1044" spans="1:22" ht="18" customHeight="1">
      <c r="A1044" t="s">
        <v>262</v>
      </c>
      <c r="B1044" t="s">
        <v>263</v>
      </c>
      <c r="C1044">
        <v>1</v>
      </c>
      <c r="D1044" t="s">
        <v>237</v>
      </c>
      <c r="E1044" s="6">
        <f t="shared" si="128"/>
        <v>1</v>
      </c>
      <c r="F1044" s="6">
        <f t="shared" si="129"/>
        <v>4</v>
      </c>
      <c r="G1044" s="6">
        <f>ROUND(Catalogue!G56*SQRT((1+Paramètres!$B$4*(C1044-1)+Paramètres!$B$5*(C1044-1)^2)),0)</f>
        <v>0</v>
      </c>
      <c r="H1044" s="6">
        <f>ROUND(Catalogue!H56*SQRT((1+Paramètres!$B$4*(C1044-1)+Paramètres!$B$5*(C1044-1)^2)),0)</f>
        <v>0</v>
      </c>
      <c r="I1044" s="6">
        <v>2</v>
      </c>
      <c r="J1044" s="6">
        <v>3</v>
      </c>
      <c r="K1044" s="7">
        <v>0.5</v>
      </c>
      <c r="L1044" s="9">
        <f t="shared" si="130"/>
        <v>2.5</v>
      </c>
      <c r="M1044">
        <v>1</v>
      </c>
      <c r="N1044">
        <v>4</v>
      </c>
      <c r="O1044">
        <v>0</v>
      </c>
      <c r="P1044" s="13" t="str">
        <f t="shared" si="131"/>
        <v>1d4</v>
      </c>
      <c r="Q1044">
        <f>ROUND(INDEX(Catalogue!E$4:E$85,MATCH(A1044,Catalogue!A$4:A$85,0))*(1+Paramètres!$B$4*(C1044-1)+Paramètres!$B$5*(C1044-1)^2),0)</f>
        <v>1</v>
      </c>
      <c r="R1044">
        <f>ROUND(INDEX(Catalogue!F$4:F$85,MATCH(A1044,Catalogue!A$4:A$85,0))*(1+Paramètres!$B$4*(C1044-1)+Paramètres!$B$5*(C1044-1)^2),0)</f>
        <v>3</v>
      </c>
      <c r="S1044">
        <f t="shared" si="132"/>
        <v>0.5</v>
      </c>
      <c r="T1044" t="str">
        <f t="shared" si="133"/>
        <v>OK</v>
      </c>
      <c r="U1044" s="25">
        <f t="shared" si="134"/>
        <v>2.5</v>
      </c>
      <c r="V1044" t="str">
        <f t="shared" si="135"/>
        <v>OK</v>
      </c>
    </row>
    <row r="1045" spans="1:22" ht="18" customHeight="1">
      <c r="A1045" t="s">
        <v>262</v>
      </c>
      <c r="B1045" t="s">
        <v>263</v>
      </c>
      <c r="C1045">
        <v>2</v>
      </c>
      <c r="D1045" t="s">
        <v>237</v>
      </c>
      <c r="E1045" s="6">
        <f t="shared" si="128"/>
        <v>1</v>
      </c>
      <c r="F1045" s="6">
        <f t="shared" si="129"/>
        <v>4</v>
      </c>
      <c r="G1045" s="6">
        <f>ROUND(Catalogue!G56*SQRT((1+Paramètres!$B$4*(C1045-1)+Paramètres!$B$5*(C1045-1)^2)),0)</f>
        <v>0</v>
      </c>
      <c r="H1045" s="6">
        <f>ROUND(Catalogue!H56*SQRT((1+Paramètres!$B$4*(C1045-1)+Paramètres!$B$5*(C1045-1)^2)),0)</f>
        <v>0</v>
      </c>
      <c r="I1045" s="6">
        <v>2</v>
      </c>
      <c r="J1045" s="6">
        <v>3</v>
      </c>
      <c r="K1045" s="7">
        <v>0.5</v>
      </c>
      <c r="L1045" s="9">
        <f t="shared" si="130"/>
        <v>2.5</v>
      </c>
      <c r="M1045">
        <v>1</v>
      </c>
      <c r="N1045">
        <v>4</v>
      </c>
      <c r="O1045">
        <v>0</v>
      </c>
      <c r="P1045" s="13" t="str">
        <f t="shared" si="131"/>
        <v>1d4</v>
      </c>
      <c r="Q1045">
        <f>ROUND(INDEX(Catalogue!E$4:E$85,MATCH(A1045,Catalogue!A$4:A$85,0))*(1+Paramètres!$B$4*(C1045-1)+Paramètres!$B$5*(C1045-1)^2),0)</f>
        <v>1</v>
      </c>
      <c r="R1045">
        <f>ROUND(INDEX(Catalogue!F$4:F$85,MATCH(A1045,Catalogue!A$4:A$85,0))*(1+Paramètres!$B$4*(C1045-1)+Paramètres!$B$5*(C1045-1)^2),0)</f>
        <v>3</v>
      </c>
      <c r="S1045">
        <f t="shared" si="132"/>
        <v>0.5</v>
      </c>
      <c r="T1045" t="str">
        <f t="shared" si="133"/>
        <v>OK</v>
      </c>
      <c r="U1045" s="25">
        <f t="shared" si="134"/>
        <v>2.5</v>
      </c>
      <c r="V1045" t="str">
        <f t="shared" si="135"/>
        <v>OK</v>
      </c>
    </row>
    <row r="1046" spans="1:22" ht="18" customHeight="1">
      <c r="A1046" t="s">
        <v>262</v>
      </c>
      <c r="B1046" t="s">
        <v>263</v>
      </c>
      <c r="C1046">
        <v>3</v>
      </c>
      <c r="D1046" t="s">
        <v>237</v>
      </c>
      <c r="E1046" s="6">
        <f t="shared" si="128"/>
        <v>1</v>
      </c>
      <c r="F1046" s="6">
        <f t="shared" si="129"/>
        <v>4</v>
      </c>
      <c r="G1046" s="6">
        <f>ROUND(Catalogue!G56*SQRT((1+Paramètres!$B$4*(C1046-1)+Paramètres!$B$5*(C1046-1)^2)),0)</f>
        <v>0</v>
      </c>
      <c r="H1046" s="6">
        <f>ROUND(Catalogue!H56*SQRT((1+Paramètres!$B$4*(C1046-1)+Paramètres!$B$5*(C1046-1)^2)),0)</f>
        <v>0</v>
      </c>
      <c r="I1046" s="6">
        <v>2</v>
      </c>
      <c r="J1046" s="6">
        <v>3</v>
      </c>
      <c r="K1046" s="7">
        <v>0.5</v>
      </c>
      <c r="L1046" s="9">
        <f t="shared" si="130"/>
        <v>2.5</v>
      </c>
      <c r="M1046">
        <v>1</v>
      </c>
      <c r="N1046">
        <v>4</v>
      </c>
      <c r="O1046">
        <v>0</v>
      </c>
      <c r="P1046" s="13" t="str">
        <f t="shared" si="131"/>
        <v>1d4</v>
      </c>
      <c r="Q1046">
        <f>ROUND(INDEX(Catalogue!E$4:E$85,MATCH(A1046,Catalogue!A$4:A$85,0))*(1+Paramètres!$B$4*(C1046-1)+Paramètres!$B$5*(C1046-1)^2),0)</f>
        <v>1</v>
      </c>
      <c r="R1046">
        <f>ROUND(INDEX(Catalogue!F$4:F$85,MATCH(A1046,Catalogue!A$4:A$85,0))*(1+Paramètres!$B$4*(C1046-1)+Paramètres!$B$5*(C1046-1)^2),0)</f>
        <v>4</v>
      </c>
      <c r="S1046">
        <f t="shared" si="132"/>
        <v>0</v>
      </c>
      <c r="T1046" t="str">
        <f t="shared" si="133"/>
        <v>OK</v>
      </c>
      <c r="U1046" s="25">
        <f t="shared" si="134"/>
        <v>2.5</v>
      </c>
      <c r="V1046" t="str">
        <f t="shared" si="135"/>
        <v>OK</v>
      </c>
    </row>
    <row r="1047" spans="1:22" ht="18" customHeight="1">
      <c r="A1047" t="s">
        <v>262</v>
      </c>
      <c r="B1047" t="s">
        <v>263</v>
      </c>
      <c r="C1047">
        <v>4</v>
      </c>
      <c r="D1047" t="s">
        <v>237</v>
      </c>
      <c r="E1047" s="6">
        <f t="shared" si="128"/>
        <v>1</v>
      </c>
      <c r="F1047" s="6">
        <f t="shared" si="129"/>
        <v>4</v>
      </c>
      <c r="G1047" s="6">
        <f>ROUND(Catalogue!G56*SQRT((1+Paramètres!$B$4*(C1047-1)+Paramètres!$B$5*(C1047-1)^2)),0)</f>
        <v>0</v>
      </c>
      <c r="H1047" s="6">
        <f>ROUND(Catalogue!H56*SQRT((1+Paramètres!$B$4*(C1047-1)+Paramètres!$B$5*(C1047-1)^2)),0)</f>
        <v>0</v>
      </c>
      <c r="I1047" s="6">
        <v>2</v>
      </c>
      <c r="J1047" s="6">
        <v>3</v>
      </c>
      <c r="K1047" s="7">
        <v>0.5</v>
      </c>
      <c r="L1047" s="9">
        <f t="shared" si="130"/>
        <v>2.5</v>
      </c>
      <c r="M1047">
        <v>1</v>
      </c>
      <c r="N1047">
        <v>4</v>
      </c>
      <c r="O1047">
        <v>0</v>
      </c>
      <c r="P1047" s="13" t="str">
        <f t="shared" si="131"/>
        <v>1d4</v>
      </c>
      <c r="Q1047">
        <f>ROUND(INDEX(Catalogue!E$4:E$85,MATCH(A1047,Catalogue!A$4:A$85,0))*(1+Paramètres!$B$4*(C1047-1)+Paramètres!$B$5*(C1047-1)^2),0)</f>
        <v>1</v>
      </c>
      <c r="R1047">
        <f>ROUND(INDEX(Catalogue!F$4:F$85,MATCH(A1047,Catalogue!A$4:A$85,0))*(1+Paramètres!$B$4*(C1047-1)+Paramètres!$B$5*(C1047-1)^2),0)</f>
        <v>4</v>
      </c>
      <c r="S1047">
        <f t="shared" si="132"/>
        <v>0</v>
      </c>
      <c r="T1047" t="str">
        <f t="shared" si="133"/>
        <v>OK</v>
      </c>
      <c r="U1047" s="25">
        <f t="shared" si="134"/>
        <v>2.5</v>
      </c>
      <c r="V1047" t="str">
        <f t="shared" si="135"/>
        <v>OK</v>
      </c>
    </row>
    <row r="1048" spans="1:22" ht="18" customHeight="1">
      <c r="A1048" t="s">
        <v>262</v>
      </c>
      <c r="B1048" t="s">
        <v>263</v>
      </c>
      <c r="C1048">
        <v>5</v>
      </c>
      <c r="D1048" t="s">
        <v>237</v>
      </c>
      <c r="E1048" s="6">
        <f t="shared" si="128"/>
        <v>2</v>
      </c>
      <c r="F1048" s="6">
        <f t="shared" si="129"/>
        <v>5</v>
      </c>
      <c r="G1048" s="6">
        <f>ROUND(Catalogue!G56*SQRT((1+Paramètres!$B$4*(C1048-1)+Paramètres!$B$5*(C1048-1)^2)),0)</f>
        <v>0</v>
      </c>
      <c r="H1048" s="6">
        <f>ROUND(Catalogue!H56*SQRT((1+Paramètres!$B$4*(C1048-1)+Paramètres!$B$5*(C1048-1)^2)),0)</f>
        <v>0</v>
      </c>
      <c r="I1048" s="6">
        <v>2</v>
      </c>
      <c r="J1048" s="6">
        <v>3</v>
      </c>
      <c r="K1048" s="7">
        <v>0.5</v>
      </c>
      <c r="L1048" s="9">
        <f t="shared" si="130"/>
        <v>3.5</v>
      </c>
      <c r="M1048">
        <v>1</v>
      </c>
      <c r="N1048">
        <v>4</v>
      </c>
      <c r="O1048">
        <v>1</v>
      </c>
      <c r="P1048" s="13" t="str">
        <f t="shared" si="131"/>
        <v>1d4 + 1</v>
      </c>
      <c r="Q1048">
        <f>ROUND(INDEX(Catalogue!E$4:E$85,MATCH(A1048,Catalogue!A$4:A$85,0))*(1+Paramètres!$B$4*(C1048-1)+Paramètres!$B$5*(C1048-1)^2),0)</f>
        <v>2</v>
      </c>
      <c r="R1048">
        <f>ROUND(INDEX(Catalogue!F$4:F$85,MATCH(A1048,Catalogue!A$4:A$85,0))*(1+Paramètres!$B$4*(C1048-1)+Paramètres!$B$5*(C1048-1)^2),0)</f>
        <v>5</v>
      </c>
      <c r="S1048">
        <f t="shared" si="132"/>
        <v>0</v>
      </c>
      <c r="T1048" t="str">
        <f t="shared" si="133"/>
        <v>OK</v>
      </c>
      <c r="U1048" s="25">
        <f t="shared" si="134"/>
        <v>3.5</v>
      </c>
      <c r="V1048" t="str">
        <f t="shared" si="135"/>
        <v>OK</v>
      </c>
    </row>
    <row r="1049" spans="1:22" ht="18" customHeight="1">
      <c r="A1049" t="s">
        <v>262</v>
      </c>
      <c r="B1049" t="s">
        <v>263</v>
      </c>
      <c r="C1049">
        <v>6</v>
      </c>
      <c r="D1049" t="s">
        <v>237</v>
      </c>
      <c r="E1049" s="6">
        <f t="shared" si="128"/>
        <v>2</v>
      </c>
      <c r="F1049" s="6">
        <f t="shared" si="129"/>
        <v>5</v>
      </c>
      <c r="G1049" s="6">
        <f>ROUND(Catalogue!G56*SQRT((1+Paramètres!$B$4*(C1049-1)+Paramètres!$B$5*(C1049-1)^2)),0)</f>
        <v>0</v>
      </c>
      <c r="H1049" s="6">
        <f>ROUND(Catalogue!H56*SQRT((1+Paramètres!$B$4*(C1049-1)+Paramètres!$B$5*(C1049-1)^2)),0)</f>
        <v>0</v>
      </c>
      <c r="I1049" s="6">
        <v>2</v>
      </c>
      <c r="J1049" s="6">
        <v>3</v>
      </c>
      <c r="K1049" s="7">
        <v>0.5</v>
      </c>
      <c r="L1049" s="9">
        <f t="shared" si="130"/>
        <v>3.5</v>
      </c>
      <c r="M1049">
        <v>1</v>
      </c>
      <c r="N1049">
        <v>4</v>
      </c>
      <c r="O1049">
        <v>1</v>
      </c>
      <c r="P1049" s="13" t="str">
        <f t="shared" si="131"/>
        <v>1d4 + 1</v>
      </c>
      <c r="Q1049">
        <f>ROUND(INDEX(Catalogue!E$4:E$85,MATCH(A1049,Catalogue!A$4:A$85,0))*(1+Paramètres!$B$4*(C1049-1)+Paramètres!$B$5*(C1049-1)^2),0)</f>
        <v>2</v>
      </c>
      <c r="R1049">
        <f>ROUND(INDEX(Catalogue!F$4:F$85,MATCH(A1049,Catalogue!A$4:A$85,0))*(1+Paramètres!$B$4*(C1049-1)+Paramètres!$B$5*(C1049-1)^2),0)</f>
        <v>6</v>
      </c>
      <c r="S1049">
        <f t="shared" si="132"/>
        <v>-0.5</v>
      </c>
      <c r="T1049" t="str">
        <f t="shared" si="133"/>
        <v>OK</v>
      </c>
      <c r="U1049" s="25">
        <f t="shared" si="134"/>
        <v>3.5</v>
      </c>
      <c r="V1049" t="str">
        <f t="shared" si="135"/>
        <v>OK</v>
      </c>
    </row>
    <row r="1050" spans="1:22" ht="18" customHeight="1">
      <c r="A1050" t="s">
        <v>262</v>
      </c>
      <c r="B1050" t="s">
        <v>263</v>
      </c>
      <c r="C1050">
        <v>7</v>
      </c>
      <c r="D1050" t="s">
        <v>237</v>
      </c>
      <c r="E1050" s="6">
        <f t="shared" si="128"/>
        <v>2</v>
      </c>
      <c r="F1050" s="6">
        <f t="shared" si="129"/>
        <v>7</v>
      </c>
      <c r="G1050" s="6">
        <f>ROUND(Catalogue!G56*SQRT((1+Paramètres!$B$4*(C1050-1)+Paramètres!$B$5*(C1050-1)^2)),0)</f>
        <v>0</v>
      </c>
      <c r="H1050" s="6">
        <f>ROUND(Catalogue!H56*SQRT((1+Paramètres!$B$4*(C1050-1)+Paramètres!$B$5*(C1050-1)^2)),0)</f>
        <v>0</v>
      </c>
      <c r="I1050" s="6">
        <v>2</v>
      </c>
      <c r="J1050" s="6">
        <v>3</v>
      </c>
      <c r="K1050" s="7">
        <v>0.5</v>
      </c>
      <c r="L1050" s="9">
        <f t="shared" si="130"/>
        <v>4.5</v>
      </c>
      <c r="M1050">
        <v>1</v>
      </c>
      <c r="N1050">
        <v>6</v>
      </c>
      <c r="O1050">
        <v>1</v>
      </c>
      <c r="P1050" s="13" t="str">
        <f t="shared" si="131"/>
        <v>1d6 + 1</v>
      </c>
      <c r="Q1050">
        <f>ROUND(INDEX(Catalogue!E$4:E$85,MATCH(A1050,Catalogue!A$4:A$85,0))*(1+Paramètres!$B$4*(C1050-1)+Paramètres!$B$5*(C1050-1)^2),0)</f>
        <v>2</v>
      </c>
      <c r="R1050">
        <f>ROUND(INDEX(Catalogue!F$4:F$85,MATCH(A1050,Catalogue!A$4:A$85,0))*(1+Paramètres!$B$4*(C1050-1)+Paramètres!$B$5*(C1050-1)^2),0)</f>
        <v>7</v>
      </c>
      <c r="S1050">
        <f t="shared" si="132"/>
        <v>0</v>
      </c>
      <c r="T1050" t="str">
        <f t="shared" si="133"/>
        <v>OK</v>
      </c>
      <c r="U1050" s="25">
        <f t="shared" si="134"/>
        <v>4.5</v>
      </c>
      <c r="V1050" t="str">
        <f t="shared" si="135"/>
        <v>OK</v>
      </c>
    </row>
    <row r="1051" spans="1:22" ht="18" customHeight="1">
      <c r="A1051" t="s">
        <v>262</v>
      </c>
      <c r="B1051" t="s">
        <v>263</v>
      </c>
      <c r="C1051">
        <v>8</v>
      </c>
      <c r="D1051" t="s">
        <v>237</v>
      </c>
      <c r="E1051" s="6">
        <f t="shared" si="128"/>
        <v>3</v>
      </c>
      <c r="F1051" s="6">
        <f t="shared" si="129"/>
        <v>8</v>
      </c>
      <c r="G1051" s="6">
        <f>ROUND(Catalogue!G56*SQRT((1+Paramètres!$B$4*(C1051-1)+Paramètres!$B$5*(C1051-1)^2)),0)</f>
        <v>0</v>
      </c>
      <c r="H1051" s="6">
        <f>ROUND(Catalogue!H56*SQRT((1+Paramètres!$B$4*(C1051-1)+Paramètres!$B$5*(C1051-1)^2)),0)</f>
        <v>0</v>
      </c>
      <c r="I1051" s="6">
        <v>2</v>
      </c>
      <c r="J1051" s="6">
        <v>3</v>
      </c>
      <c r="K1051" s="7">
        <v>0.5</v>
      </c>
      <c r="L1051" s="9">
        <f t="shared" si="130"/>
        <v>5.5</v>
      </c>
      <c r="M1051">
        <v>1</v>
      </c>
      <c r="N1051">
        <v>6</v>
      </c>
      <c r="O1051">
        <v>2</v>
      </c>
      <c r="P1051" s="13" t="str">
        <f t="shared" si="131"/>
        <v>1d6 + 2</v>
      </c>
      <c r="Q1051">
        <f>ROUND(INDEX(Catalogue!E$4:E$85,MATCH(A1051,Catalogue!A$4:A$85,0))*(1+Paramètres!$B$4*(C1051-1)+Paramètres!$B$5*(C1051-1)^2),0)</f>
        <v>3</v>
      </c>
      <c r="R1051">
        <f>ROUND(INDEX(Catalogue!F$4:F$85,MATCH(A1051,Catalogue!A$4:A$85,0))*(1+Paramètres!$B$4*(C1051-1)+Paramètres!$B$5*(C1051-1)^2),0)</f>
        <v>8</v>
      </c>
      <c r="S1051">
        <f t="shared" si="132"/>
        <v>0</v>
      </c>
      <c r="T1051" t="str">
        <f t="shared" si="133"/>
        <v>OK</v>
      </c>
      <c r="U1051" s="25">
        <f t="shared" si="134"/>
        <v>5.5</v>
      </c>
      <c r="V1051" t="str">
        <f t="shared" si="135"/>
        <v>OK</v>
      </c>
    </row>
    <row r="1052" spans="1:22" ht="18" customHeight="1">
      <c r="A1052" t="s">
        <v>262</v>
      </c>
      <c r="B1052" t="s">
        <v>263</v>
      </c>
      <c r="C1052">
        <v>9</v>
      </c>
      <c r="D1052" t="s">
        <v>237</v>
      </c>
      <c r="E1052" s="6">
        <f t="shared" si="128"/>
        <v>3</v>
      </c>
      <c r="F1052" s="6">
        <f t="shared" si="129"/>
        <v>9</v>
      </c>
      <c r="G1052" s="6">
        <f>ROUND(Catalogue!G56*SQRT((1+Paramètres!$B$4*(C1052-1)+Paramètres!$B$5*(C1052-1)^2)),0)</f>
        <v>0</v>
      </c>
      <c r="H1052" s="6">
        <f>ROUND(Catalogue!H56*SQRT((1+Paramètres!$B$4*(C1052-1)+Paramètres!$B$5*(C1052-1)^2)),0)</f>
        <v>0</v>
      </c>
      <c r="I1052" s="6">
        <v>2</v>
      </c>
      <c r="J1052" s="6">
        <v>3</v>
      </c>
      <c r="K1052" s="7">
        <v>0.5</v>
      </c>
      <c r="L1052" s="9">
        <f t="shared" si="130"/>
        <v>6</v>
      </c>
      <c r="M1052">
        <v>2</v>
      </c>
      <c r="N1052">
        <v>4</v>
      </c>
      <c r="O1052">
        <v>1</v>
      </c>
      <c r="P1052" s="13" t="str">
        <f t="shared" si="131"/>
        <v>2d4 + 1</v>
      </c>
      <c r="Q1052">
        <f>ROUND(INDEX(Catalogue!E$4:E$85,MATCH(A1052,Catalogue!A$4:A$85,0))*(1+Paramètres!$B$4*(C1052-1)+Paramètres!$B$5*(C1052-1)^2),0)</f>
        <v>3</v>
      </c>
      <c r="R1052">
        <f>ROUND(INDEX(Catalogue!F$4:F$85,MATCH(A1052,Catalogue!A$4:A$85,0))*(1+Paramètres!$B$4*(C1052-1)+Paramètres!$B$5*(C1052-1)^2),0)</f>
        <v>9</v>
      </c>
      <c r="S1052">
        <f t="shared" si="132"/>
        <v>0</v>
      </c>
      <c r="T1052" t="str">
        <f t="shared" si="133"/>
        <v>OK</v>
      </c>
      <c r="U1052" s="25">
        <f t="shared" si="134"/>
        <v>6</v>
      </c>
      <c r="V1052" t="str">
        <f t="shared" si="135"/>
        <v>OK</v>
      </c>
    </row>
    <row r="1053" spans="1:22" ht="18" customHeight="1">
      <c r="A1053" t="s">
        <v>262</v>
      </c>
      <c r="B1053" t="s">
        <v>263</v>
      </c>
      <c r="C1053">
        <v>10</v>
      </c>
      <c r="D1053" t="s">
        <v>237</v>
      </c>
      <c r="E1053" s="6">
        <f t="shared" si="128"/>
        <v>3</v>
      </c>
      <c r="F1053" s="6">
        <f t="shared" si="129"/>
        <v>10</v>
      </c>
      <c r="G1053" s="6">
        <f>ROUND(Catalogue!G56*SQRT((1+Paramètres!$B$4*(C1053-1)+Paramètres!$B$5*(C1053-1)^2)),0)</f>
        <v>0</v>
      </c>
      <c r="H1053" s="6">
        <f>ROUND(Catalogue!H56*SQRT((1+Paramètres!$B$4*(C1053-1)+Paramètres!$B$5*(C1053-1)^2)),0)</f>
        <v>0</v>
      </c>
      <c r="I1053" s="6">
        <v>2</v>
      </c>
      <c r="J1053" s="6">
        <v>3</v>
      </c>
      <c r="K1053" s="7">
        <v>0.5</v>
      </c>
      <c r="L1053" s="9">
        <f t="shared" si="130"/>
        <v>6.5</v>
      </c>
      <c r="M1053">
        <v>1</v>
      </c>
      <c r="N1053">
        <v>8</v>
      </c>
      <c r="O1053">
        <v>2</v>
      </c>
      <c r="P1053" s="13" t="str">
        <f t="shared" si="131"/>
        <v>1d8 + 2</v>
      </c>
      <c r="Q1053">
        <f>ROUND(INDEX(Catalogue!E$4:E$85,MATCH(A1053,Catalogue!A$4:A$85,0))*(1+Paramètres!$B$4*(C1053-1)+Paramètres!$B$5*(C1053-1)^2),0)</f>
        <v>3</v>
      </c>
      <c r="R1053">
        <f>ROUND(INDEX(Catalogue!F$4:F$85,MATCH(A1053,Catalogue!A$4:A$85,0))*(1+Paramètres!$B$4*(C1053-1)+Paramètres!$B$5*(C1053-1)^2),0)</f>
        <v>10</v>
      </c>
      <c r="S1053">
        <f t="shared" si="132"/>
        <v>0</v>
      </c>
      <c r="T1053" t="str">
        <f t="shared" si="133"/>
        <v>OK</v>
      </c>
      <c r="U1053" s="25">
        <f t="shared" si="134"/>
        <v>6.5</v>
      </c>
      <c r="V1053" t="str">
        <f t="shared" si="135"/>
        <v>OK</v>
      </c>
    </row>
    <row r="1054" spans="1:22" ht="18" customHeight="1">
      <c r="A1054" t="s">
        <v>262</v>
      </c>
      <c r="B1054" t="s">
        <v>263</v>
      </c>
      <c r="C1054">
        <v>11</v>
      </c>
      <c r="D1054" t="s">
        <v>237</v>
      </c>
      <c r="E1054" s="6">
        <f t="shared" si="128"/>
        <v>4</v>
      </c>
      <c r="F1054" s="6">
        <f t="shared" si="129"/>
        <v>11</v>
      </c>
      <c r="G1054" s="6">
        <f>ROUND(Catalogue!G56*SQRT((1+Paramètres!$B$4*(C1054-1)+Paramètres!$B$5*(C1054-1)^2)),0)</f>
        <v>0</v>
      </c>
      <c r="H1054" s="6">
        <f>ROUND(Catalogue!H56*SQRT((1+Paramètres!$B$4*(C1054-1)+Paramètres!$B$5*(C1054-1)^2)),0)</f>
        <v>0</v>
      </c>
      <c r="I1054" s="6">
        <v>2</v>
      </c>
      <c r="J1054" s="6">
        <v>3</v>
      </c>
      <c r="K1054" s="7">
        <v>0.5</v>
      </c>
      <c r="L1054" s="9">
        <f t="shared" si="130"/>
        <v>7.5</v>
      </c>
      <c r="M1054">
        <v>1</v>
      </c>
      <c r="N1054">
        <v>8</v>
      </c>
      <c r="O1054">
        <v>3</v>
      </c>
      <c r="P1054" s="13" t="str">
        <f t="shared" si="131"/>
        <v>1d8 + 3</v>
      </c>
      <c r="Q1054">
        <f>ROUND(INDEX(Catalogue!E$4:E$85,MATCH(A1054,Catalogue!A$4:A$85,0))*(1+Paramètres!$B$4*(C1054-1)+Paramètres!$B$5*(C1054-1)^2),0)</f>
        <v>4</v>
      </c>
      <c r="R1054">
        <f>ROUND(INDEX(Catalogue!F$4:F$85,MATCH(A1054,Catalogue!A$4:A$85,0))*(1+Paramètres!$B$4*(C1054-1)+Paramètres!$B$5*(C1054-1)^2),0)</f>
        <v>11</v>
      </c>
      <c r="S1054">
        <f t="shared" si="132"/>
        <v>0</v>
      </c>
      <c r="T1054" t="str">
        <f t="shared" si="133"/>
        <v>OK</v>
      </c>
      <c r="U1054" s="25">
        <f t="shared" si="134"/>
        <v>7.5</v>
      </c>
      <c r="V1054" t="str">
        <f t="shared" si="135"/>
        <v>OK</v>
      </c>
    </row>
    <row r="1055" spans="1:22" ht="18" customHeight="1">
      <c r="A1055" t="s">
        <v>262</v>
      </c>
      <c r="B1055" t="s">
        <v>263</v>
      </c>
      <c r="C1055">
        <v>12</v>
      </c>
      <c r="D1055" t="s">
        <v>237</v>
      </c>
      <c r="E1055" s="6">
        <f t="shared" si="128"/>
        <v>3</v>
      </c>
      <c r="F1055" s="6">
        <f t="shared" si="129"/>
        <v>12</v>
      </c>
      <c r="G1055" s="6">
        <f>ROUND(Catalogue!G56*SQRT((1+Paramètres!$B$4*(C1055-1)+Paramètres!$B$5*(C1055-1)^2)),0)</f>
        <v>0</v>
      </c>
      <c r="H1055" s="6">
        <f>ROUND(Catalogue!H56*SQRT((1+Paramètres!$B$4*(C1055-1)+Paramètres!$B$5*(C1055-1)^2)),0)</f>
        <v>0</v>
      </c>
      <c r="I1055" s="6">
        <v>2</v>
      </c>
      <c r="J1055" s="6">
        <v>3</v>
      </c>
      <c r="K1055" s="7">
        <v>0.5</v>
      </c>
      <c r="L1055" s="9">
        <f t="shared" si="130"/>
        <v>7.5</v>
      </c>
      <c r="M1055">
        <v>3</v>
      </c>
      <c r="N1055">
        <v>4</v>
      </c>
      <c r="O1055">
        <v>0</v>
      </c>
      <c r="P1055" s="13" t="str">
        <f t="shared" si="131"/>
        <v>3d4</v>
      </c>
      <c r="Q1055">
        <f>ROUND(INDEX(Catalogue!E$4:E$85,MATCH(A1055,Catalogue!A$4:A$85,0))*(1+Paramètres!$B$4*(C1055-1)+Paramètres!$B$5*(C1055-1)^2),0)</f>
        <v>4</v>
      </c>
      <c r="R1055">
        <f>ROUND(INDEX(Catalogue!F$4:F$85,MATCH(A1055,Catalogue!A$4:A$85,0))*(1+Paramètres!$B$4*(C1055-1)+Paramètres!$B$5*(C1055-1)^2),0)</f>
        <v>12</v>
      </c>
      <c r="S1055">
        <f t="shared" si="132"/>
        <v>-0.5</v>
      </c>
      <c r="T1055" t="str">
        <f t="shared" si="133"/>
        <v>OK</v>
      </c>
      <c r="U1055" s="25">
        <f t="shared" si="134"/>
        <v>7.5</v>
      </c>
      <c r="V1055" t="str">
        <f t="shared" si="135"/>
        <v>OK</v>
      </c>
    </row>
    <row r="1056" spans="1:22" ht="18" customHeight="1">
      <c r="A1056" t="s">
        <v>262</v>
      </c>
      <c r="B1056" t="s">
        <v>263</v>
      </c>
      <c r="C1056">
        <v>13</v>
      </c>
      <c r="D1056" t="s">
        <v>237</v>
      </c>
      <c r="E1056" s="6">
        <f t="shared" si="128"/>
        <v>5</v>
      </c>
      <c r="F1056" s="6">
        <f t="shared" si="129"/>
        <v>14</v>
      </c>
      <c r="G1056" s="6">
        <f>ROUND(Catalogue!G56*SQRT((1+Paramètres!$B$4*(C1056-1)+Paramètres!$B$5*(C1056-1)^2)),0)</f>
        <v>0</v>
      </c>
      <c r="H1056" s="6">
        <f>ROUND(Catalogue!H56*SQRT((1+Paramètres!$B$4*(C1056-1)+Paramètres!$B$5*(C1056-1)^2)),0)</f>
        <v>0</v>
      </c>
      <c r="I1056" s="6">
        <v>2</v>
      </c>
      <c r="J1056" s="6">
        <v>3</v>
      </c>
      <c r="K1056" s="7">
        <v>0.5</v>
      </c>
      <c r="L1056" s="9">
        <f t="shared" si="130"/>
        <v>9.5</v>
      </c>
      <c r="M1056">
        <v>3</v>
      </c>
      <c r="N1056">
        <v>4</v>
      </c>
      <c r="O1056">
        <v>2</v>
      </c>
      <c r="P1056" s="13" t="str">
        <f t="shared" si="131"/>
        <v>3d4 + 2</v>
      </c>
      <c r="Q1056">
        <f>ROUND(INDEX(Catalogue!E$4:E$85,MATCH(A1056,Catalogue!A$4:A$85,0))*(1+Paramètres!$B$4*(C1056-1)+Paramètres!$B$5*(C1056-1)^2),0)</f>
        <v>5</v>
      </c>
      <c r="R1056">
        <f>ROUND(INDEX(Catalogue!F$4:F$85,MATCH(A1056,Catalogue!A$4:A$85,0))*(1+Paramètres!$B$4*(C1056-1)+Paramètres!$B$5*(C1056-1)^2),0)</f>
        <v>14</v>
      </c>
      <c r="S1056">
        <f t="shared" si="132"/>
        <v>0</v>
      </c>
      <c r="T1056" t="str">
        <f t="shared" si="133"/>
        <v>OK</v>
      </c>
      <c r="U1056" s="25">
        <f t="shared" si="134"/>
        <v>9.5</v>
      </c>
      <c r="V1056" t="str">
        <f t="shared" si="135"/>
        <v>OK</v>
      </c>
    </row>
    <row r="1057" spans="1:22" ht="18" customHeight="1">
      <c r="A1057" t="s">
        <v>262</v>
      </c>
      <c r="B1057" t="s">
        <v>263</v>
      </c>
      <c r="C1057">
        <v>14</v>
      </c>
      <c r="D1057" t="s">
        <v>237</v>
      </c>
      <c r="E1057" s="6">
        <f t="shared" si="128"/>
        <v>5</v>
      </c>
      <c r="F1057" s="6">
        <f t="shared" si="129"/>
        <v>15</v>
      </c>
      <c r="G1057" s="6">
        <f>ROUND(Catalogue!G56*SQRT((1+Paramètres!$B$4*(C1057-1)+Paramètres!$B$5*(C1057-1)^2)),0)</f>
        <v>0</v>
      </c>
      <c r="H1057" s="6">
        <f>ROUND(Catalogue!H56*SQRT((1+Paramètres!$B$4*(C1057-1)+Paramètres!$B$5*(C1057-1)^2)),0)</f>
        <v>0</v>
      </c>
      <c r="I1057" s="6">
        <v>2</v>
      </c>
      <c r="J1057" s="6">
        <v>3</v>
      </c>
      <c r="K1057" s="7">
        <v>0.5</v>
      </c>
      <c r="L1057" s="9">
        <f t="shared" si="130"/>
        <v>10</v>
      </c>
      <c r="M1057">
        <v>2</v>
      </c>
      <c r="N1057">
        <v>6</v>
      </c>
      <c r="O1057">
        <v>3</v>
      </c>
      <c r="P1057" s="13" t="str">
        <f t="shared" si="131"/>
        <v>2d6 + 3</v>
      </c>
      <c r="Q1057">
        <f>ROUND(INDEX(Catalogue!E$4:E$85,MATCH(A1057,Catalogue!A$4:A$85,0))*(1+Paramètres!$B$4*(C1057-1)+Paramètres!$B$5*(C1057-1)^2),0)</f>
        <v>5</v>
      </c>
      <c r="R1057">
        <f>ROUND(INDEX(Catalogue!F$4:F$85,MATCH(A1057,Catalogue!A$4:A$85,0))*(1+Paramètres!$B$4*(C1057-1)+Paramètres!$B$5*(C1057-1)^2),0)</f>
        <v>15</v>
      </c>
      <c r="S1057">
        <f t="shared" si="132"/>
        <v>0</v>
      </c>
      <c r="T1057" t="str">
        <f t="shared" si="133"/>
        <v>OK</v>
      </c>
      <c r="U1057" s="25">
        <f t="shared" si="134"/>
        <v>10</v>
      </c>
      <c r="V1057" t="str">
        <f t="shared" si="135"/>
        <v>OK</v>
      </c>
    </row>
    <row r="1058" spans="1:22" ht="18" customHeight="1">
      <c r="A1058" t="s">
        <v>262</v>
      </c>
      <c r="B1058" t="s">
        <v>263</v>
      </c>
      <c r="C1058">
        <v>15</v>
      </c>
      <c r="D1058" t="s">
        <v>237</v>
      </c>
      <c r="E1058" s="6">
        <f t="shared" si="128"/>
        <v>6</v>
      </c>
      <c r="F1058" s="6">
        <f t="shared" si="129"/>
        <v>17</v>
      </c>
      <c r="G1058" s="6">
        <f>ROUND(Catalogue!G56*SQRT((1+Paramètres!$B$4*(C1058-1)+Paramètres!$B$5*(C1058-1)^2)),0)</f>
        <v>0</v>
      </c>
      <c r="H1058" s="6">
        <f>ROUND(Catalogue!H56*SQRT((1+Paramètres!$B$4*(C1058-1)+Paramètres!$B$5*(C1058-1)^2)),0)</f>
        <v>0</v>
      </c>
      <c r="I1058" s="6">
        <v>2</v>
      </c>
      <c r="J1058" s="6">
        <v>3</v>
      </c>
      <c r="K1058" s="7">
        <v>0.5</v>
      </c>
      <c r="L1058" s="9">
        <f t="shared" si="130"/>
        <v>11.5</v>
      </c>
      <c r="M1058">
        <v>1</v>
      </c>
      <c r="N1058">
        <v>12</v>
      </c>
      <c r="O1058">
        <v>5</v>
      </c>
      <c r="P1058" s="13" t="str">
        <f t="shared" si="131"/>
        <v>1d12 + 5</v>
      </c>
      <c r="Q1058">
        <f>ROUND(INDEX(Catalogue!E$4:E$85,MATCH(A1058,Catalogue!A$4:A$85,0))*(1+Paramètres!$B$4*(C1058-1)+Paramètres!$B$5*(C1058-1)^2),0)</f>
        <v>6</v>
      </c>
      <c r="R1058">
        <f>ROUND(INDEX(Catalogue!F$4:F$85,MATCH(A1058,Catalogue!A$4:A$85,0))*(1+Paramètres!$B$4*(C1058-1)+Paramètres!$B$5*(C1058-1)^2),0)</f>
        <v>17</v>
      </c>
      <c r="S1058">
        <f t="shared" si="132"/>
        <v>0</v>
      </c>
      <c r="T1058" t="str">
        <f t="shared" si="133"/>
        <v>OK</v>
      </c>
      <c r="U1058" s="25">
        <f t="shared" si="134"/>
        <v>11.5</v>
      </c>
      <c r="V1058" t="str">
        <f t="shared" si="135"/>
        <v>OK</v>
      </c>
    </row>
    <row r="1059" spans="1:22" ht="18" customHeight="1">
      <c r="A1059" t="s">
        <v>262</v>
      </c>
      <c r="B1059" t="s">
        <v>263</v>
      </c>
      <c r="C1059">
        <v>16</v>
      </c>
      <c r="D1059" t="s">
        <v>237</v>
      </c>
      <c r="E1059" s="6">
        <f t="shared" si="128"/>
        <v>5</v>
      </c>
      <c r="F1059" s="6">
        <f t="shared" si="129"/>
        <v>19</v>
      </c>
      <c r="G1059" s="6">
        <f>ROUND(Catalogue!G56*SQRT((1+Paramètres!$B$4*(C1059-1)+Paramètres!$B$5*(C1059-1)^2)),0)</f>
        <v>0</v>
      </c>
      <c r="H1059" s="6">
        <f>ROUND(Catalogue!H56*SQRT((1+Paramètres!$B$4*(C1059-1)+Paramètres!$B$5*(C1059-1)^2)),0)</f>
        <v>0</v>
      </c>
      <c r="I1059" s="6">
        <v>2</v>
      </c>
      <c r="J1059" s="6">
        <v>3</v>
      </c>
      <c r="K1059" s="7">
        <v>0.5</v>
      </c>
      <c r="L1059" s="9">
        <f t="shared" si="130"/>
        <v>12</v>
      </c>
      <c r="M1059">
        <v>2</v>
      </c>
      <c r="N1059">
        <v>8</v>
      </c>
      <c r="O1059">
        <v>3</v>
      </c>
      <c r="P1059" s="13" t="str">
        <f t="shared" si="131"/>
        <v>2d8 + 3</v>
      </c>
      <c r="Q1059">
        <f>ROUND(INDEX(Catalogue!E$4:E$85,MATCH(A1059,Catalogue!A$4:A$85,0))*(1+Paramètres!$B$4*(C1059-1)+Paramètres!$B$5*(C1059-1)^2),0)</f>
        <v>6</v>
      </c>
      <c r="R1059">
        <f>ROUND(INDEX(Catalogue!F$4:F$85,MATCH(A1059,Catalogue!A$4:A$85,0))*(1+Paramètres!$B$4*(C1059-1)+Paramètres!$B$5*(C1059-1)^2),0)</f>
        <v>19</v>
      </c>
      <c r="S1059">
        <f t="shared" si="132"/>
        <v>-0.5</v>
      </c>
      <c r="T1059" t="str">
        <f t="shared" si="133"/>
        <v>OK</v>
      </c>
      <c r="U1059" s="25">
        <f t="shared" si="134"/>
        <v>12</v>
      </c>
      <c r="V1059" t="str">
        <f t="shared" si="135"/>
        <v>OK</v>
      </c>
    </row>
    <row r="1060" spans="1:22" ht="18" customHeight="1">
      <c r="A1060" t="s">
        <v>262</v>
      </c>
      <c r="B1060" t="s">
        <v>263</v>
      </c>
      <c r="C1060">
        <v>17</v>
      </c>
      <c r="D1060" t="s">
        <v>237</v>
      </c>
      <c r="E1060" s="6">
        <f t="shared" si="128"/>
        <v>7</v>
      </c>
      <c r="F1060" s="6">
        <f t="shared" si="129"/>
        <v>21</v>
      </c>
      <c r="G1060" s="6">
        <f>ROUND(Catalogue!G56*SQRT((1+Paramètres!$B$4*(C1060-1)+Paramètres!$B$5*(C1060-1)^2)),0)</f>
        <v>0</v>
      </c>
      <c r="H1060" s="6">
        <f>ROUND(Catalogue!H56*SQRT((1+Paramètres!$B$4*(C1060-1)+Paramètres!$B$5*(C1060-1)^2)),0)</f>
        <v>0</v>
      </c>
      <c r="I1060" s="6">
        <v>2</v>
      </c>
      <c r="J1060" s="6">
        <v>3</v>
      </c>
      <c r="K1060" s="7">
        <v>0.5</v>
      </c>
      <c r="L1060" s="9">
        <f t="shared" si="130"/>
        <v>14</v>
      </c>
      <c r="M1060">
        <v>2</v>
      </c>
      <c r="N1060">
        <v>8</v>
      </c>
      <c r="O1060">
        <v>5</v>
      </c>
      <c r="P1060" s="13" t="str">
        <f t="shared" si="131"/>
        <v>2d8 + 5</v>
      </c>
      <c r="Q1060">
        <f>ROUND(INDEX(Catalogue!E$4:E$85,MATCH(A1060,Catalogue!A$4:A$85,0))*(1+Paramètres!$B$4*(C1060-1)+Paramètres!$B$5*(C1060-1)^2),0)</f>
        <v>7</v>
      </c>
      <c r="R1060">
        <f>ROUND(INDEX(Catalogue!F$4:F$85,MATCH(A1060,Catalogue!A$4:A$85,0))*(1+Paramètres!$B$4*(C1060-1)+Paramètres!$B$5*(C1060-1)^2),0)</f>
        <v>21</v>
      </c>
      <c r="S1060">
        <f t="shared" si="132"/>
        <v>0</v>
      </c>
      <c r="T1060" t="str">
        <f t="shared" si="133"/>
        <v>OK</v>
      </c>
      <c r="U1060" s="25">
        <f t="shared" si="134"/>
        <v>14</v>
      </c>
      <c r="V1060" t="str">
        <f t="shared" si="135"/>
        <v>OK</v>
      </c>
    </row>
    <row r="1061" spans="1:22" ht="18" customHeight="1">
      <c r="A1061" t="s">
        <v>262</v>
      </c>
      <c r="B1061" t="s">
        <v>263</v>
      </c>
      <c r="C1061">
        <v>18</v>
      </c>
      <c r="D1061" t="s">
        <v>237</v>
      </c>
      <c r="E1061" s="6">
        <f t="shared" si="128"/>
        <v>7</v>
      </c>
      <c r="F1061" s="6">
        <f t="shared" si="129"/>
        <v>22</v>
      </c>
      <c r="G1061" s="6">
        <f>ROUND(Catalogue!G56*SQRT((1+Paramètres!$B$4*(C1061-1)+Paramètres!$B$5*(C1061-1)^2)),0)</f>
        <v>0</v>
      </c>
      <c r="H1061" s="6">
        <f>ROUND(Catalogue!H56*SQRT((1+Paramètres!$B$4*(C1061-1)+Paramètres!$B$5*(C1061-1)^2)),0)</f>
        <v>0</v>
      </c>
      <c r="I1061" s="6">
        <v>2</v>
      </c>
      <c r="J1061" s="6">
        <v>3</v>
      </c>
      <c r="K1061" s="7">
        <v>0.5</v>
      </c>
      <c r="L1061" s="9">
        <f t="shared" si="130"/>
        <v>14.5</v>
      </c>
      <c r="M1061">
        <v>3</v>
      </c>
      <c r="N1061">
        <v>6</v>
      </c>
      <c r="O1061">
        <v>4</v>
      </c>
      <c r="P1061" s="13" t="str">
        <f t="shared" si="131"/>
        <v>3d6 + 4</v>
      </c>
      <c r="Q1061">
        <f>ROUND(INDEX(Catalogue!E$4:E$85,MATCH(A1061,Catalogue!A$4:A$85,0))*(1+Paramètres!$B$4*(C1061-1)+Paramètres!$B$5*(C1061-1)^2),0)</f>
        <v>7</v>
      </c>
      <c r="R1061">
        <f>ROUND(INDEX(Catalogue!F$4:F$85,MATCH(A1061,Catalogue!A$4:A$85,0))*(1+Paramètres!$B$4*(C1061-1)+Paramètres!$B$5*(C1061-1)^2),0)</f>
        <v>22</v>
      </c>
      <c r="S1061">
        <f t="shared" si="132"/>
        <v>0</v>
      </c>
      <c r="T1061" t="str">
        <f t="shared" si="133"/>
        <v>OK</v>
      </c>
      <c r="U1061" s="25">
        <f t="shared" si="134"/>
        <v>14.5</v>
      </c>
      <c r="V1061" t="str">
        <f t="shared" si="135"/>
        <v>OK</v>
      </c>
    </row>
    <row r="1062" spans="1:22" ht="18" customHeight="1">
      <c r="A1062" t="s">
        <v>262</v>
      </c>
      <c r="B1062" t="s">
        <v>263</v>
      </c>
      <c r="C1062">
        <v>19</v>
      </c>
      <c r="D1062" t="s">
        <v>237</v>
      </c>
      <c r="E1062" s="6">
        <f t="shared" si="128"/>
        <v>8</v>
      </c>
      <c r="F1062" s="6">
        <f t="shared" si="129"/>
        <v>23</v>
      </c>
      <c r="G1062" s="6">
        <f>ROUND(Catalogue!G56*SQRT((1+Paramètres!$B$4*(C1062-1)+Paramètres!$B$5*(C1062-1)^2)),0)</f>
        <v>0</v>
      </c>
      <c r="H1062" s="6">
        <f>ROUND(Catalogue!H56*SQRT((1+Paramètres!$B$4*(C1062-1)+Paramètres!$B$5*(C1062-1)^2)),0)</f>
        <v>0</v>
      </c>
      <c r="I1062" s="6">
        <v>2</v>
      </c>
      <c r="J1062" s="6">
        <v>3</v>
      </c>
      <c r="K1062" s="7">
        <v>0.5</v>
      </c>
      <c r="L1062" s="9">
        <f t="shared" si="130"/>
        <v>15.5</v>
      </c>
      <c r="M1062">
        <v>3</v>
      </c>
      <c r="N1062">
        <v>6</v>
      </c>
      <c r="O1062">
        <v>5</v>
      </c>
      <c r="P1062" s="13" t="str">
        <f t="shared" si="131"/>
        <v>3d6 + 5</v>
      </c>
      <c r="Q1062">
        <f>ROUND(INDEX(Catalogue!E$4:E$85,MATCH(A1062,Catalogue!A$4:A$85,0))*(1+Paramètres!$B$4*(C1062-1)+Paramètres!$B$5*(C1062-1)^2),0)</f>
        <v>8</v>
      </c>
      <c r="R1062">
        <f>ROUND(INDEX(Catalogue!F$4:F$85,MATCH(A1062,Catalogue!A$4:A$85,0))*(1+Paramètres!$B$4*(C1062-1)+Paramètres!$B$5*(C1062-1)^2),0)</f>
        <v>24</v>
      </c>
      <c r="S1062">
        <f t="shared" si="132"/>
        <v>-0.5</v>
      </c>
      <c r="T1062" t="str">
        <f t="shared" si="133"/>
        <v>OK</v>
      </c>
      <c r="U1062" s="25">
        <f t="shared" si="134"/>
        <v>15.5</v>
      </c>
      <c r="V1062" t="str">
        <f t="shared" si="135"/>
        <v>OK</v>
      </c>
    </row>
    <row r="1063" spans="1:22" ht="18" customHeight="1">
      <c r="A1063" t="s">
        <v>262</v>
      </c>
      <c r="B1063" t="s">
        <v>263</v>
      </c>
      <c r="C1063">
        <v>20</v>
      </c>
      <c r="D1063" t="s">
        <v>237</v>
      </c>
      <c r="E1063" s="6">
        <f t="shared" si="128"/>
        <v>9</v>
      </c>
      <c r="F1063" s="6">
        <f t="shared" si="129"/>
        <v>27</v>
      </c>
      <c r="G1063" s="6">
        <f>ROUND(Catalogue!G56*SQRT((1+Paramètres!$B$4*(C1063-1)+Paramètres!$B$5*(C1063-1)^2)),0)</f>
        <v>0</v>
      </c>
      <c r="H1063" s="6">
        <f>ROUND(Catalogue!H56*SQRT((1+Paramètres!$B$4*(C1063-1)+Paramètres!$B$5*(C1063-1)^2)),0)</f>
        <v>0</v>
      </c>
      <c r="I1063" s="6">
        <v>2</v>
      </c>
      <c r="J1063" s="6">
        <v>3</v>
      </c>
      <c r="K1063" s="7">
        <v>0.5</v>
      </c>
      <c r="L1063" s="9">
        <f t="shared" si="130"/>
        <v>18</v>
      </c>
      <c r="M1063">
        <v>2</v>
      </c>
      <c r="N1063">
        <v>10</v>
      </c>
      <c r="O1063">
        <v>7</v>
      </c>
      <c r="P1063" s="13" t="str">
        <f t="shared" si="131"/>
        <v>2d10 + 7</v>
      </c>
      <c r="Q1063">
        <f>ROUND(INDEX(Catalogue!E$4:E$85,MATCH(A1063,Catalogue!A$4:A$85,0))*(1+Paramètres!$B$4*(C1063-1)+Paramètres!$B$5*(C1063-1)^2),0)</f>
        <v>9</v>
      </c>
      <c r="R1063">
        <f>ROUND(INDEX(Catalogue!F$4:F$85,MATCH(A1063,Catalogue!A$4:A$85,0))*(1+Paramètres!$B$4*(C1063-1)+Paramètres!$B$5*(C1063-1)^2),0)</f>
        <v>27</v>
      </c>
      <c r="S1063">
        <f t="shared" si="132"/>
        <v>0</v>
      </c>
      <c r="T1063" t="str">
        <f t="shared" si="133"/>
        <v>OK</v>
      </c>
      <c r="U1063" s="25">
        <f t="shared" si="134"/>
        <v>18</v>
      </c>
      <c r="V1063" t="str">
        <f t="shared" si="135"/>
        <v>OK</v>
      </c>
    </row>
    <row r="1064" spans="1:22" ht="18" customHeight="1">
      <c r="A1064" t="s">
        <v>265</v>
      </c>
      <c r="B1064" t="s">
        <v>266</v>
      </c>
      <c r="C1064">
        <v>1</v>
      </c>
      <c r="D1064" t="s">
        <v>267</v>
      </c>
      <c r="E1064" s="6">
        <f t="shared" si="128"/>
        <v>1</v>
      </c>
      <c r="F1064" s="6">
        <f t="shared" si="129"/>
        <v>4</v>
      </c>
      <c r="G1064" s="6">
        <f>ROUND(Catalogue!G57*SQRT((1+Paramètres!$B$4*(C1064-1)+Paramètres!$B$5*(C1064-1)^2)),0)</f>
        <v>0</v>
      </c>
      <c r="H1064" s="6">
        <f>ROUND(Catalogue!H57*SQRT((1+Paramètres!$B$4*(C1064-1)+Paramètres!$B$5*(C1064-1)^2)),0)</f>
        <v>0</v>
      </c>
      <c r="I1064" s="6">
        <v>2</v>
      </c>
      <c r="J1064" s="6">
        <v>4</v>
      </c>
      <c r="K1064" s="7">
        <v>0.2</v>
      </c>
      <c r="L1064" s="9">
        <f t="shared" si="130"/>
        <v>2.5</v>
      </c>
      <c r="M1064">
        <v>1</v>
      </c>
      <c r="N1064">
        <v>4</v>
      </c>
      <c r="O1064">
        <v>0</v>
      </c>
      <c r="P1064" s="13" t="str">
        <f t="shared" si="131"/>
        <v>1d4</v>
      </c>
      <c r="Q1064">
        <f>ROUND(INDEX(Catalogue!E$4:E$85,MATCH(A1064,Catalogue!A$4:A$85,0))*(1+Paramètres!$B$4*(C1064-1)+Paramètres!$B$5*(C1064-1)^2),0)</f>
        <v>2</v>
      </c>
      <c r="R1064">
        <f>ROUND(INDEX(Catalogue!F$4:F$85,MATCH(A1064,Catalogue!A$4:A$85,0))*(1+Paramètres!$B$4*(C1064-1)+Paramètres!$B$5*(C1064-1)^2),0)</f>
        <v>4</v>
      </c>
      <c r="S1064">
        <f t="shared" si="132"/>
        <v>-0.5</v>
      </c>
      <c r="T1064" t="str">
        <f t="shared" si="133"/>
        <v>OK</v>
      </c>
      <c r="U1064" s="25">
        <f t="shared" si="134"/>
        <v>2.5</v>
      </c>
      <c r="V1064" t="str">
        <f t="shared" si="135"/>
        <v>OK</v>
      </c>
    </row>
    <row r="1065" spans="1:22" ht="18" customHeight="1">
      <c r="A1065" t="s">
        <v>265</v>
      </c>
      <c r="B1065" t="s">
        <v>266</v>
      </c>
      <c r="C1065">
        <v>2</v>
      </c>
      <c r="D1065" t="s">
        <v>267</v>
      </c>
      <c r="E1065" s="6">
        <f t="shared" si="128"/>
        <v>2</v>
      </c>
      <c r="F1065" s="6">
        <f t="shared" si="129"/>
        <v>5</v>
      </c>
      <c r="G1065" s="6">
        <f>ROUND(Catalogue!G57*SQRT((1+Paramètres!$B$4*(C1065-1)+Paramètres!$B$5*(C1065-1)^2)),0)</f>
        <v>0</v>
      </c>
      <c r="H1065" s="6">
        <f>ROUND(Catalogue!H57*SQRT((1+Paramètres!$B$4*(C1065-1)+Paramètres!$B$5*(C1065-1)^2)),0)</f>
        <v>0</v>
      </c>
      <c r="I1065" s="6">
        <v>2</v>
      </c>
      <c r="J1065" s="6">
        <v>4</v>
      </c>
      <c r="K1065" s="7">
        <v>0.2</v>
      </c>
      <c r="L1065" s="9">
        <f t="shared" si="130"/>
        <v>3.5</v>
      </c>
      <c r="M1065">
        <v>1</v>
      </c>
      <c r="N1065">
        <v>4</v>
      </c>
      <c r="O1065">
        <v>1</v>
      </c>
      <c r="P1065" s="13" t="str">
        <f t="shared" si="131"/>
        <v>1d4 + 1</v>
      </c>
      <c r="Q1065">
        <f>ROUND(INDEX(Catalogue!E$4:E$85,MATCH(A1065,Catalogue!A$4:A$85,0))*(1+Paramètres!$B$4*(C1065-1)+Paramètres!$B$5*(C1065-1)^2),0)</f>
        <v>2</v>
      </c>
      <c r="R1065">
        <f>ROUND(INDEX(Catalogue!F$4:F$85,MATCH(A1065,Catalogue!A$4:A$85,0))*(1+Paramètres!$B$4*(C1065-1)+Paramètres!$B$5*(C1065-1)^2),0)</f>
        <v>5</v>
      </c>
      <c r="S1065">
        <f t="shared" si="132"/>
        <v>0</v>
      </c>
      <c r="T1065" t="str">
        <f t="shared" si="133"/>
        <v>OK</v>
      </c>
      <c r="U1065" s="25">
        <f t="shared" si="134"/>
        <v>3.5</v>
      </c>
      <c r="V1065" t="str">
        <f t="shared" si="135"/>
        <v>OK</v>
      </c>
    </row>
    <row r="1066" spans="1:22" ht="18" customHeight="1">
      <c r="A1066" t="s">
        <v>265</v>
      </c>
      <c r="B1066" t="s">
        <v>266</v>
      </c>
      <c r="C1066">
        <v>3</v>
      </c>
      <c r="D1066" t="s">
        <v>267</v>
      </c>
      <c r="E1066" s="6">
        <f t="shared" si="128"/>
        <v>2</v>
      </c>
      <c r="F1066" s="6">
        <f t="shared" si="129"/>
        <v>5</v>
      </c>
      <c r="G1066" s="6">
        <f>ROUND(Catalogue!G57*SQRT((1+Paramètres!$B$4*(C1066-1)+Paramètres!$B$5*(C1066-1)^2)),0)</f>
        <v>0</v>
      </c>
      <c r="H1066" s="6">
        <f>ROUND(Catalogue!H57*SQRT((1+Paramètres!$B$4*(C1066-1)+Paramètres!$B$5*(C1066-1)^2)),0)</f>
        <v>0</v>
      </c>
      <c r="I1066" s="6">
        <v>2</v>
      </c>
      <c r="J1066" s="6">
        <v>4</v>
      </c>
      <c r="K1066" s="7">
        <v>0.2</v>
      </c>
      <c r="L1066" s="9">
        <f t="shared" si="130"/>
        <v>3.5</v>
      </c>
      <c r="M1066">
        <v>1</v>
      </c>
      <c r="N1066">
        <v>4</v>
      </c>
      <c r="O1066">
        <v>1</v>
      </c>
      <c r="P1066" s="13" t="str">
        <f t="shared" si="131"/>
        <v>1d4 + 1</v>
      </c>
      <c r="Q1066">
        <f>ROUND(INDEX(Catalogue!E$4:E$85,MATCH(A1066,Catalogue!A$4:A$85,0))*(1+Paramètres!$B$4*(C1066-1)+Paramètres!$B$5*(C1066-1)^2),0)</f>
        <v>3</v>
      </c>
      <c r="R1066">
        <f>ROUND(INDEX(Catalogue!F$4:F$85,MATCH(A1066,Catalogue!A$4:A$85,0))*(1+Paramètres!$B$4*(C1066-1)+Paramètres!$B$5*(C1066-1)^2),0)</f>
        <v>5</v>
      </c>
      <c r="S1066">
        <f t="shared" si="132"/>
        <v>-0.5</v>
      </c>
      <c r="T1066" t="str">
        <f t="shared" si="133"/>
        <v>OK</v>
      </c>
      <c r="U1066" s="25">
        <f t="shared" si="134"/>
        <v>3.5</v>
      </c>
      <c r="V1066" t="str">
        <f t="shared" si="135"/>
        <v>OK</v>
      </c>
    </row>
    <row r="1067" spans="1:22" ht="18" customHeight="1">
      <c r="A1067" t="s">
        <v>265</v>
      </c>
      <c r="B1067" t="s">
        <v>266</v>
      </c>
      <c r="C1067">
        <v>4</v>
      </c>
      <c r="D1067" t="s">
        <v>267</v>
      </c>
      <c r="E1067" s="6">
        <f t="shared" si="128"/>
        <v>3</v>
      </c>
      <c r="F1067" s="6">
        <f t="shared" si="129"/>
        <v>6</v>
      </c>
      <c r="G1067" s="6">
        <f>ROUND(Catalogue!G57*SQRT((1+Paramètres!$B$4*(C1067-1)+Paramètres!$B$5*(C1067-1)^2)),0)</f>
        <v>0</v>
      </c>
      <c r="H1067" s="6">
        <f>ROUND(Catalogue!H57*SQRT((1+Paramètres!$B$4*(C1067-1)+Paramètres!$B$5*(C1067-1)^2)),0)</f>
        <v>0</v>
      </c>
      <c r="I1067" s="6">
        <v>2</v>
      </c>
      <c r="J1067" s="6">
        <v>4</v>
      </c>
      <c r="K1067" s="7">
        <v>0.2</v>
      </c>
      <c r="L1067" s="9">
        <f t="shared" si="130"/>
        <v>4.5</v>
      </c>
      <c r="M1067">
        <v>1</v>
      </c>
      <c r="N1067">
        <v>4</v>
      </c>
      <c r="O1067">
        <v>2</v>
      </c>
      <c r="P1067" s="13" t="str">
        <f t="shared" si="131"/>
        <v>1d4 + 2</v>
      </c>
      <c r="Q1067">
        <f>ROUND(INDEX(Catalogue!E$4:E$85,MATCH(A1067,Catalogue!A$4:A$85,0))*(1+Paramètres!$B$4*(C1067-1)+Paramètres!$B$5*(C1067-1)^2),0)</f>
        <v>3</v>
      </c>
      <c r="R1067">
        <f>ROUND(INDEX(Catalogue!F$4:F$85,MATCH(A1067,Catalogue!A$4:A$85,0))*(1+Paramètres!$B$4*(C1067-1)+Paramètres!$B$5*(C1067-1)^2),0)</f>
        <v>6</v>
      </c>
      <c r="S1067">
        <f t="shared" si="132"/>
        <v>0</v>
      </c>
      <c r="T1067" t="str">
        <f t="shared" si="133"/>
        <v>OK</v>
      </c>
      <c r="U1067" s="25">
        <f t="shared" si="134"/>
        <v>4.5</v>
      </c>
      <c r="V1067" t="str">
        <f t="shared" si="135"/>
        <v>OK</v>
      </c>
    </row>
    <row r="1068" spans="1:22" ht="18" customHeight="1">
      <c r="A1068" t="s">
        <v>265</v>
      </c>
      <c r="B1068" t="s">
        <v>266</v>
      </c>
      <c r="C1068">
        <v>5</v>
      </c>
      <c r="D1068" t="s">
        <v>267</v>
      </c>
      <c r="E1068" s="6">
        <f t="shared" si="128"/>
        <v>3</v>
      </c>
      <c r="F1068" s="6">
        <f t="shared" si="129"/>
        <v>6</v>
      </c>
      <c r="G1068" s="6">
        <f>ROUND(Catalogue!G57*SQRT((1+Paramètres!$B$4*(C1068-1)+Paramètres!$B$5*(C1068-1)^2)),0)</f>
        <v>0</v>
      </c>
      <c r="H1068" s="6">
        <f>ROUND(Catalogue!H57*SQRT((1+Paramètres!$B$4*(C1068-1)+Paramètres!$B$5*(C1068-1)^2)),0)</f>
        <v>0</v>
      </c>
      <c r="I1068" s="6">
        <v>2</v>
      </c>
      <c r="J1068" s="6">
        <v>4</v>
      </c>
      <c r="K1068" s="7">
        <v>0.2</v>
      </c>
      <c r="L1068" s="9">
        <f t="shared" si="130"/>
        <v>4.5</v>
      </c>
      <c r="M1068">
        <v>1</v>
      </c>
      <c r="N1068">
        <v>4</v>
      </c>
      <c r="O1068">
        <v>2</v>
      </c>
      <c r="P1068" s="13" t="str">
        <f t="shared" si="131"/>
        <v>1d4 + 2</v>
      </c>
      <c r="Q1068">
        <f>ROUND(INDEX(Catalogue!E$4:E$85,MATCH(A1068,Catalogue!A$4:A$85,0))*(1+Paramètres!$B$4*(C1068-1)+Paramètres!$B$5*(C1068-1)^2),0)</f>
        <v>3</v>
      </c>
      <c r="R1068">
        <f>ROUND(INDEX(Catalogue!F$4:F$85,MATCH(A1068,Catalogue!A$4:A$85,0))*(1+Paramètres!$B$4*(C1068-1)+Paramètres!$B$5*(C1068-1)^2),0)</f>
        <v>7</v>
      </c>
      <c r="S1068">
        <f t="shared" si="132"/>
        <v>-0.5</v>
      </c>
      <c r="T1068" t="str">
        <f t="shared" si="133"/>
        <v>OK</v>
      </c>
      <c r="U1068" s="25">
        <f t="shared" si="134"/>
        <v>4.5</v>
      </c>
      <c r="V1068" t="str">
        <f t="shared" si="135"/>
        <v>OK</v>
      </c>
    </row>
    <row r="1069" spans="1:22" ht="18" customHeight="1">
      <c r="A1069" t="s">
        <v>265</v>
      </c>
      <c r="B1069" t="s">
        <v>266</v>
      </c>
      <c r="C1069">
        <v>6</v>
      </c>
      <c r="D1069" t="s">
        <v>267</v>
      </c>
      <c r="E1069" s="6">
        <f t="shared" si="128"/>
        <v>4</v>
      </c>
      <c r="F1069" s="6">
        <f t="shared" si="129"/>
        <v>7</v>
      </c>
      <c r="G1069" s="6">
        <f>ROUND(Catalogue!G57*SQRT((1+Paramètres!$B$4*(C1069-1)+Paramètres!$B$5*(C1069-1)^2)),0)</f>
        <v>0</v>
      </c>
      <c r="H1069" s="6">
        <f>ROUND(Catalogue!H57*SQRT((1+Paramètres!$B$4*(C1069-1)+Paramètres!$B$5*(C1069-1)^2)),0)</f>
        <v>0</v>
      </c>
      <c r="I1069" s="6">
        <v>2</v>
      </c>
      <c r="J1069" s="6">
        <v>4</v>
      </c>
      <c r="K1069" s="7">
        <v>0.2</v>
      </c>
      <c r="L1069" s="9">
        <f t="shared" si="130"/>
        <v>5.5</v>
      </c>
      <c r="M1069">
        <v>1</v>
      </c>
      <c r="N1069">
        <v>4</v>
      </c>
      <c r="O1069">
        <v>3</v>
      </c>
      <c r="P1069" s="13" t="str">
        <f t="shared" si="131"/>
        <v>1d4 + 3</v>
      </c>
      <c r="Q1069">
        <f>ROUND(INDEX(Catalogue!E$4:E$85,MATCH(A1069,Catalogue!A$4:A$85,0))*(1+Paramètres!$B$4*(C1069-1)+Paramètres!$B$5*(C1069-1)^2),0)</f>
        <v>4</v>
      </c>
      <c r="R1069">
        <f>ROUND(INDEX(Catalogue!F$4:F$85,MATCH(A1069,Catalogue!A$4:A$85,0))*(1+Paramètres!$B$4*(C1069-1)+Paramètres!$B$5*(C1069-1)^2),0)</f>
        <v>8</v>
      </c>
      <c r="S1069">
        <f t="shared" si="132"/>
        <v>-0.5</v>
      </c>
      <c r="T1069" t="str">
        <f t="shared" si="133"/>
        <v>OK</v>
      </c>
      <c r="U1069" s="25">
        <f t="shared" si="134"/>
        <v>5.5</v>
      </c>
      <c r="V1069" t="str">
        <f t="shared" si="135"/>
        <v>OK</v>
      </c>
    </row>
    <row r="1070" spans="1:22" ht="18" customHeight="1">
      <c r="A1070" t="s">
        <v>265</v>
      </c>
      <c r="B1070" t="s">
        <v>266</v>
      </c>
      <c r="C1070">
        <v>7</v>
      </c>
      <c r="D1070" t="s">
        <v>267</v>
      </c>
      <c r="E1070" s="6">
        <f t="shared" si="128"/>
        <v>4</v>
      </c>
      <c r="F1070" s="6">
        <f t="shared" si="129"/>
        <v>9</v>
      </c>
      <c r="G1070" s="6">
        <f>ROUND(Catalogue!G57*SQRT((1+Paramètres!$B$4*(C1070-1)+Paramètres!$B$5*(C1070-1)^2)),0)</f>
        <v>0</v>
      </c>
      <c r="H1070" s="6">
        <f>ROUND(Catalogue!H57*SQRT((1+Paramètres!$B$4*(C1070-1)+Paramètres!$B$5*(C1070-1)^2)),0)</f>
        <v>0</v>
      </c>
      <c r="I1070" s="6">
        <v>2</v>
      </c>
      <c r="J1070" s="6">
        <v>4</v>
      </c>
      <c r="K1070" s="7">
        <v>0.2</v>
      </c>
      <c r="L1070" s="9">
        <f t="shared" si="130"/>
        <v>6.5</v>
      </c>
      <c r="M1070">
        <v>1</v>
      </c>
      <c r="N1070">
        <v>6</v>
      </c>
      <c r="O1070">
        <v>3</v>
      </c>
      <c r="P1070" s="13" t="str">
        <f t="shared" si="131"/>
        <v>1d6 + 3</v>
      </c>
      <c r="Q1070">
        <f>ROUND(INDEX(Catalogue!E$4:E$85,MATCH(A1070,Catalogue!A$4:A$85,0))*(1+Paramètres!$B$4*(C1070-1)+Paramètres!$B$5*(C1070-1)^2),0)</f>
        <v>4</v>
      </c>
      <c r="R1070">
        <f>ROUND(INDEX(Catalogue!F$4:F$85,MATCH(A1070,Catalogue!A$4:A$85,0))*(1+Paramètres!$B$4*(C1070-1)+Paramètres!$B$5*(C1070-1)^2),0)</f>
        <v>9</v>
      </c>
      <c r="S1070">
        <f t="shared" si="132"/>
        <v>0</v>
      </c>
      <c r="T1070" t="str">
        <f t="shared" si="133"/>
        <v>OK</v>
      </c>
      <c r="U1070" s="25">
        <f t="shared" si="134"/>
        <v>6.5</v>
      </c>
      <c r="V1070" t="str">
        <f t="shared" si="135"/>
        <v>OK</v>
      </c>
    </row>
    <row r="1071" spans="1:22" ht="18" customHeight="1">
      <c r="A1071" t="s">
        <v>265</v>
      </c>
      <c r="B1071" t="s">
        <v>266</v>
      </c>
      <c r="C1071">
        <v>8</v>
      </c>
      <c r="D1071" t="s">
        <v>267</v>
      </c>
      <c r="E1071" s="6">
        <f t="shared" si="128"/>
        <v>5</v>
      </c>
      <c r="F1071" s="6">
        <f t="shared" si="129"/>
        <v>10</v>
      </c>
      <c r="G1071" s="6">
        <f>ROUND(Catalogue!G57*SQRT((1+Paramètres!$B$4*(C1071-1)+Paramètres!$B$5*(C1071-1)^2)),0)</f>
        <v>0</v>
      </c>
      <c r="H1071" s="6">
        <f>ROUND(Catalogue!H57*SQRT((1+Paramètres!$B$4*(C1071-1)+Paramètres!$B$5*(C1071-1)^2)),0)</f>
        <v>0</v>
      </c>
      <c r="I1071" s="6">
        <v>2</v>
      </c>
      <c r="J1071" s="6">
        <v>4</v>
      </c>
      <c r="K1071" s="7">
        <v>0.2</v>
      </c>
      <c r="L1071" s="9">
        <f t="shared" si="130"/>
        <v>7.5</v>
      </c>
      <c r="M1071">
        <v>1</v>
      </c>
      <c r="N1071">
        <v>6</v>
      </c>
      <c r="O1071">
        <v>4</v>
      </c>
      <c r="P1071" s="13" t="str">
        <f t="shared" si="131"/>
        <v>1d6 + 4</v>
      </c>
      <c r="Q1071">
        <f>ROUND(INDEX(Catalogue!E$4:E$85,MATCH(A1071,Catalogue!A$4:A$85,0))*(1+Paramètres!$B$4*(C1071-1)+Paramètres!$B$5*(C1071-1)^2),0)</f>
        <v>5</v>
      </c>
      <c r="R1071">
        <f>ROUND(INDEX(Catalogue!F$4:F$85,MATCH(A1071,Catalogue!A$4:A$85,0))*(1+Paramètres!$B$4*(C1071-1)+Paramètres!$B$5*(C1071-1)^2),0)</f>
        <v>10</v>
      </c>
      <c r="S1071">
        <f t="shared" si="132"/>
        <v>0</v>
      </c>
      <c r="T1071" t="str">
        <f t="shared" si="133"/>
        <v>OK</v>
      </c>
      <c r="U1071" s="25">
        <f t="shared" si="134"/>
        <v>7.5</v>
      </c>
      <c r="V1071" t="str">
        <f t="shared" si="135"/>
        <v>OK</v>
      </c>
    </row>
    <row r="1072" spans="1:22" ht="18" customHeight="1">
      <c r="A1072" t="s">
        <v>265</v>
      </c>
      <c r="B1072" t="s">
        <v>266</v>
      </c>
      <c r="C1072">
        <v>9</v>
      </c>
      <c r="D1072" t="s">
        <v>267</v>
      </c>
      <c r="E1072" s="6">
        <f t="shared" si="128"/>
        <v>6</v>
      </c>
      <c r="F1072" s="6">
        <f t="shared" si="129"/>
        <v>12</v>
      </c>
      <c r="G1072" s="6">
        <f>ROUND(Catalogue!G57*SQRT((1+Paramètres!$B$4*(C1072-1)+Paramètres!$B$5*(C1072-1)^2)),0)</f>
        <v>0</v>
      </c>
      <c r="H1072" s="6">
        <f>ROUND(Catalogue!H57*SQRT((1+Paramètres!$B$4*(C1072-1)+Paramètres!$B$5*(C1072-1)^2)),0)</f>
        <v>0</v>
      </c>
      <c r="I1072" s="6">
        <v>2</v>
      </c>
      <c r="J1072" s="6">
        <v>4</v>
      </c>
      <c r="K1072" s="7">
        <v>0.2</v>
      </c>
      <c r="L1072" s="9">
        <f t="shared" si="130"/>
        <v>9</v>
      </c>
      <c r="M1072">
        <v>2</v>
      </c>
      <c r="N1072">
        <v>4</v>
      </c>
      <c r="O1072">
        <v>4</v>
      </c>
      <c r="P1072" s="13" t="str">
        <f t="shared" si="131"/>
        <v>2d4 + 4</v>
      </c>
      <c r="Q1072">
        <f>ROUND(INDEX(Catalogue!E$4:E$85,MATCH(A1072,Catalogue!A$4:A$85,0))*(1+Paramètres!$B$4*(C1072-1)+Paramètres!$B$5*(C1072-1)^2),0)</f>
        <v>6</v>
      </c>
      <c r="R1072">
        <f>ROUND(INDEX(Catalogue!F$4:F$85,MATCH(A1072,Catalogue!A$4:A$85,0))*(1+Paramètres!$B$4*(C1072-1)+Paramètres!$B$5*(C1072-1)^2),0)</f>
        <v>12</v>
      </c>
      <c r="S1072">
        <f t="shared" si="132"/>
        <v>0</v>
      </c>
      <c r="T1072" t="str">
        <f t="shared" si="133"/>
        <v>OK</v>
      </c>
      <c r="U1072" s="25">
        <f t="shared" si="134"/>
        <v>9</v>
      </c>
      <c r="V1072" t="str">
        <f t="shared" si="135"/>
        <v>OK</v>
      </c>
    </row>
    <row r="1073" spans="1:22" ht="18" customHeight="1">
      <c r="A1073" t="s">
        <v>265</v>
      </c>
      <c r="B1073" t="s">
        <v>266</v>
      </c>
      <c r="C1073">
        <v>10</v>
      </c>
      <c r="D1073" t="s">
        <v>267</v>
      </c>
      <c r="E1073" s="6">
        <f t="shared" si="128"/>
        <v>7</v>
      </c>
      <c r="F1073" s="6">
        <f t="shared" si="129"/>
        <v>13</v>
      </c>
      <c r="G1073" s="6">
        <f>ROUND(Catalogue!G57*SQRT((1+Paramètres!$B$4*(C1073-1)+Paramètres!$B$5*(C1073-1)^2)),0)</f>
        <v>0</v>
      </c>
      <c r="H1073" s="6">
        <f>ROUND(Catalogue!H57*SQRT((1+Paramètres!$B$4*(C1073-1)+Paramètres!$B$5*(C1073-1)^2)),0)</f>
        <v>0</v>
      </c>
      <c r="I1073" s="6">
        <v>2</v>
      </c>
      <c r="J1073" s="6">
        <v>4</v>
      </c>
      <c r="K1073" s="7">
        <v>0.2</v>
      </c>
      <c r="L1073" s="9">
        <f t="shared" si="130"/>
        <v>10</v>
      </c>
      <c r="M1073">
        <v>2</v>
      </c>
      <c r="N1073">
        <v>4</v>
      </c>
      <c r="O1073">
        <v>5</v>
      </c>
      <c r="P1073" s="13" t="str">
        <f t="shared" si="131"/>
        <v>2d4 + 5</v>
      </c>
      <c r="Q1073">
        <f>ROUND(INDEX(Catalogue!E$4:E$85,MATCH(A1073,Catalogue!A$4:A$85,0))*(1+Paramètres!$B$4*(C1073-1)+Paramètres!$B$5*(C1073-1)^2),0)</f>
        <v>7</v>
      </c>
      <c r="R1073">
        <f>ROUND(INDEX(Catalogue!F$4:F$85,MATCH(A1073,Catalogue!A$4:A$85,0))*(1+Paramètres!$B$4*(C1073-1)+Paramètres!$B$5*(C1073-1)^2),0)</f>
        <v>13</v>
      </c>
      <c r="S1073">
        <f t="shared" si="132"/>
        <v>0</v>
      </c>
      <c r="T1073" t="str">
        <f t="shared" si="133"/>
        <v>OK</v>
      </c>
      <c r="U1073" s="25">
        <f t="shared" si="134"/>
        <v>10</v>
      </c>
      <c r="V1073" t="str">
        <f t="shared" si="135"/>
        <v>OK</v>
      </c>
    </row>
    <row r="1074" spans="1:22" ht="18" customHeight="1">
      <c r="A1074" t="s">
        <v>265</v>
      </c>
      <c r="B1074" t="s">
        <v>266</v>
      </c>
      <c r="C1074">
        <v>11</v>
      </c>
      <c r="D1074" t="s">
        <v>267</v>
      </c>
      <c r="E1074" s="6">
        <f t="shared" si="128"/>
        <v>6</v>
      </c>
      <c r="F1074" s="6">
        <f t="shared" si="129"/>
        <v>15</v>
      </c>
      <c r="G1074" s="6">
        <f>ROUND(Catalogue!G57*SQRT((1+Paramètres!$B$4*(C1074-1)+Paramètres!$B$5*(C1074-1)^2)),0)</f>
        <v>0</v>
      </c>
      <c r="H1074" s="6">
        <f>ROUND(Catalogue!H57*SQRT((1+Paramètres!$B$4*(C1074-1)+Paramètres!$B$5*(C1074-1)^2)),0)</f>
        <v>0</v>
      </c>
      <c r="I1074" s="6">
        <v>2</v>
      </c>
      <c r="J1074" s="6">
        <v>4</v>
      </c>
      <c r="K1074" s="7">
        <v>0.2</v>
      </c>
      <c r="L1074" s="9">
        <f t="shared" si="130"/>
        <v>10.5</v>
      </c>
      <c r="M1074">
        <v>3</v>
      </c>
      <c r="N1074">
        <v>4</v>
      </c>
      <c r="O1074">
        <v>3</v>
      </c>
      <c r="P1074" s="13" t="str">
        <f t="shared" si="131"/>
        <v>3d4 + 3</v>
      </c>
      <c r="Q1074">
        <f>ROUND(INDEX(Catalogue!E$4:E$85,MATCH(A1074,Catalogue!A$4:A$85,0))*(1+Paramètres!$B$4*(C1074-1)+Paramètres!$B$5*(C1074-1)^2),0)</f>
        <v>7</v>
      </c>
      <c r="R1074">
        <f>ROUND(INDEX(Catalogue!F$4:F$85,MATCH(A1074,Catalogue!A$4:A$85,0))*(1+Paramètres!$B$4*(C1074-1)+Paramètres!$B$5*(C1074-1)^2),0)</f>
        <v>15</v>
      </c>
      <c r="S1074">
        <f t="shared" si="132"/>
        <v>-0.5</v>
      </c>
      <c r="T1074" t="str">
        <f t="shared" si="133"/>
        <v>OK</v>
      </c>
      <c r="U1074" s="25">
        <f t="shared" si="134"/>
        <v>10.5</v>
      </c>
      <c r="V1074" t="str">
        <f t="shared" si="135"/>
        <v>OK</v>
      </c>
    </row>
    <row r="1075" spans="1:22" ht="18" customHeight="1">
      <c r="A1075" t="s">
        <v>265</v>
      </c>
      <c r="B1075" t="s">
        <v>266</v>
      </c>
      <c r="C1075">
        <v>12</v>
      </c>
      <c r="D1075" t="s">
        <v>267</v>
      </c>
      <c r="E1075" s="6">
        <f t="shared" si="128"/>
        <v>8</v>
      </c>
      <c r="F1075" s="6">
        <f t="shared" si="129"/>
        <v>17</v>
      </c>
      <c r="G1075" s="6">
        <f>ROUND(Catalogue!G57*SQRT((1+Paramètres!$B$4*(C1075-1)+Paramètres!$B$5*(C1075-1)^2)),0)</f>
        <v>0</v>
      </c>
      <c r="H1075" s="6">
        <f>ROUND(Catalogue!H57*SQRT((1+Paramètres!$B$4*(C1075-1)+Paramètres!$B$5*(C1075-1)^2)),0)</f>
        <v>0</v>
      </c>
      <c r="I1075" s="6">
        <v>2</v>
      </c>
      <c r="J1075" s="6">
        <v>4</v>
      </c>
      <c r="K1075" s="7">
        <v>0.2</v>
      </c>
      <c r="L1075" s="9">
        <f t="shared" si="130"/>
        <v>12.5</v>
      </c>
      <c r="M1075">
        <v>3</v>
      </c>
      <c r="N1075">
        <v>4</v>
      </c>
      <c r="O1075">
        <v>5</v>
      </c>
      <c r="P1075" s="13" t="str">
        <f t="shared" si="131"/>
        <v>3d4 + 5</v>
      </c>
      <c r="Q1075">
        <f>ROUND(INDEX(Catalogue!E$4:E$85,MATCH(A1075,Catalogue!A$4:A$85,0))*(1+Paramètres!$B$4*(C1075-1)+Paramètres!$B$5*(C1075-1)^2),0)</f>
        <v>8</v>
      </c>
      <c r="R1075">
        <f>ROUND(INDEX(Catalogue!F$4:F$85,MATCH(A1075,Catalogue!A$4:A$85,0))*(1+Paramètres!$B$4*(C1075-1)+Paramètres!$B$5*(C1075-1)^2),0)</f>
        <v>17</v>
      </c>
      <c r="S1075">
        <f t="shared" si="132"/>
        <v>0</v>
      </c>
      <c r="T1075" t="str">
        <f t="shared" si="133"/>
        <v>OK</v>
      </c>
      <c r="U1075" s="25">
        <f t="shared" si="134"/>
        <v>12.5</v>
      </c>
      <c r="V1075" t="str">
        <f t="shared" si="135"/>
        <v>OK</v>
      </c>
    </row>
    <row r="1076" spans="1:22" ht="18" customHeight="1">
      <c r="A1076" t="s">
        <v>265</v>
      </c>
      <c r="B1076" t="s">
        <v>266</v>
      </c>
      <c r="C1076">
        <v>13</v>
      </c>
      <c r="D1076" t="s">
        <v>267</v>
      </c>
      <c r="E1076" s="6">
        <f t="shared" si="128"/>
        <v>9</v>
      </c>
      <c r="F1076" s="6">
        <f t="shared" si="129"/>
        <v>18</v>
      </c>
      <c r="G1076" s="6">
        <f>ROUND(Catalogue!G57*SQRT((1+Paramètres!$B$4*(C1076-1)+Paramètres!$B$5*(C1076-1)^2)),0)</f>
        <v>0</v>
      </c>
      <c r="H1076" s="6">
        <f>ROUND(Catalogue!H57*SQRT((1+Paramètres!$B$4*(C1076-1)+Paramètres!$B$5*(C1076-1)^2)),0)</f>
        <v>0</v>
      </c>
      <c r="I1076" s="6">
        <v>2</v>
      </c>
      <c r="J1076" s="6">
        <v>4</v>
      </c>
      <c r="K1076" s="7">
        <v>0.2</v>
      </c>
      <c r="L1076" s="9">
        <f t="shared" si="130"/>
        <v>13.5</v>
      </c>
      <c r="M1076">
        <v>3</v>
      </c>
      <c r="N1076">
        <v>4</v>
      </c>
      <c r="O1076">
        <v>6</v>
      </c>
      <c r="P1076" s="13" t="str">
        <f t="shared" si="131"/>
        <v>3d4 + 6</v>
      </c>
      <c r="Q1076">
        <f>ROUND(INDEX(Catalogue!E$4:E$85,MATCH(A1076,Catalogue!A$4:A$85,0))*(1+Paramètres!$B$4*(C1076-1)+Paramètres!$B$5*(C1076-1)^2),0)</f>
        <v>9</v>
      </c>
      <c r="R1076">
        <f>ROUND(INDEX(Catalogue!F$4:F$85,MATCH(A1076,Catalogue!A$4:A$85,0))*(1+Paramètres!$B$4*(C1076-1)+Paramètres!$B$5*(C1076-1)^2),0)</f>
        <v>18</v>
      </c>
      <c r="S1076">
        <f t="shared" si="132"/>
        <v>0</v>
      </c>
      <c r="T1076" t="str">
        <f t="shared" si="133"/>
        <v>OK</v>
      </c>
      <c r="U1076" s="25">
        <f t="shared" si="134"/>
        <v>13.5</v>
      </c>
      <c r="V1076" t="str">
        <f t="shared" si="135"/>
        <v>OK</v>
      </c>
    </row>
    <row r="1077" spans="1:22" ht="18" customHeight="1">
      <c r="A1077" t="s">
        <v>265</v>
      </c>
      <c r="B1077" t="s">
        <v>266</v>
      </c>
      <c r="C1077">
        <v>14</v>
      </c>
      <c r="D1077" t="s">
        <v>267</v>
      </c>
      <c r="E1077" s="6">
        <f t="shared" si="128"/>
        <v>10</v>
      </c>
      <c r="F1077" s="6">
        <f t="shared" si="129"/>
        <v>20</v>
      </c>
      <c r="G1077" s="6">
        <f>ROUND(Catalogue!G57*SQRT((1+Paramètres!$B$4*(C1077-1)+Paramètres!$B$5*(C1077-1)^2)),0)</f>
        <v>0</v>
      </c>
      <c r="H1077" s="6">
        <f>ROUND(Catalogue!H57*SQRT((1+Paramètres!$B$4*(C1077-1)+Paramètres!$B$5*(C1077-1)^2)),0)</f>
        <v>0</v>
      </c>
      <c r="I1077" s="6">
        <v>2</v>
      </c>
      <c r="J1077" s="6">
        <v>4</v>
      </c>
      <c r="K1077" s="7">
        <v>0.2</v>
      </c>
      <c r="L1077" s="9">
        <f t="shared" si="130"/>
        <v>15</v>
      </c>
      <c r="M1077">
        <v>2</v>
      </c>
      <c r="N1077">
        <v>6</v>
      </c>
      <c r="O1077">
        <v>8</v>
      </c>
      <c r="P1077" s="13" t="str">
        <f t="shared" si="131"/>
        <v>2d6 + 8</v>
      </c>
      <c r="Q1077">
        <f>ROUND(INDEX(Catalogue!E$4:E$85,MATCH(A1077,Catalogue!A$4:A$85,0))*(1+Paramètres!$B$4*(C1077-1)+Paramètres!$B$5*(C1077-1)^2),0)</f>
        <v>10</v>
      </c>
      <c r="R1077">
        <f>ROUND(INDEX(Catalogue!F$4:F$85,MATCH(A1077,Catalogue!A$4:A$85,0))*(1+Paramètres!$B$4*(C1077-1)+Paramètres!$B$5*(C1077-1)^2),0)</f>
        <v>21</v>
      </c>
      <c r="S1077">
        <f t="shared" si="132"/>
        <v>-0.5</v>
      </c>
      <c r="T1077" t="str">
        <f t="shared" si="133"/>
        <v>OK</v>
      </c>
      <c r="U1077" s="25">
        <f t="shared" si="134"/>
        <v>15</v>
      </c>
      <c r="V1077" t="str">
        <f t="shared" si="135"/>
        <v>OK</v>
      </c>
    </row>
    <row r="1078" spans="1:22" ht="18" customHeight="1">
      <c r="A1078" t="s">
        <v>265</v>
      </c>
      <c r="B1078" t="s">
        <v>266</v>
      </c>
      <c r="C1078">
        <v>15</v>
      </c>
      <c r="D1078" t="s">
        <v>267</v>
      </c>
      <c r="E1078" s="6">
        <f t="shared" si="128"/>
        <v>11</v>
      </c>
      <c r="F1078" s="6">
        <f t="shared" si="129"/>
        <v>23</v>
      </c>
      <c r="G1078" s="6">
        <f>ROUND(Catalogue!G57*SQRT((1+Paramètres!$B$4*(C1078-1)+Paramètres!$B$5*(C1078-1)^2)),0)</f>
        <v>0</v>
      </c>
      <c r="H1078" s="6">
        <f>ROUND(Catalogue!H57*SQRT((1+Paramètres!$B$4*(C1078-1)+Paramètres!$B$5*(C1078-1)^2)),0)</f>
        <v>0</v>
      </c>
      <c r="I1078" s="6">
        <v>2</v>
      </c>
      <c r="J1078" s="6">
        <v>4</v>
      </c>
      <c r="K1078" s="7">
        <v>0.2</v>
      </c>
      <c r="L1078" s="9">
        <f t="shared" si="130"/>
        <v>17</v>
      </c>
      <c r="M1078">
        <v>4</v>
      </c>
      <c r="N1078">
        <v>4</v>
      </c>
      <c r="O1078">
        <v>7</v>
      </c>
      <c r="P1078" s="13" t="str">
        <f t="shared" si="131"/>
        <v>4d4 + 7</v>
      </c>
      <c r="Q1078">
        <f>ROUND(INDEX(Catalogue!E$4:E$85,MATCH(A1078,Catalogue!A$4:A$85,0))*(1+Paramètres!$B$4*(C1078-1)+Paramètres!$B$5*(C1078-1)^2),0)</f>
        <v>11</v>
      </c>
      <c r="R1078">
        <f>ROUND(INDEX(Catalogue!F$4:F$85,MATCH(A1078,Catalogue!A$4:A$85,0))*(1+Paramètres!$B$4*(C1078-1)+Paramètres!$B$5*(C1078-1)^2),0)</f>
        <v>23</v>
      </c>
      <c r="S1078">
        <f t="shared" si="132"/>
        <v>0</v>
      </c>
      <c r="T1078" t="str">
        <f t="shared" si="133"/>
        <v>OK</v>
      </c>
      <c r="U1078" s="25">
        <f t="shared" si="134"/>
        <v>17</v>
      </c>
      <c r="V1078" t="str">
        <f t="shared" si="135"/>
        <v>OK</v>
      </c>
    </row>
    <row r="1079" spans="1:22" ht="18" customHeight="1">
      <c r="A1079" t="s">
        <v>265</v>
      </c>
      <c r="B1079" t="s">
        <v>266</v>
      </c>
      <c r="C1079">
        <v>16</v>
      </c>
      <c r="D1079" t="s">
        <v>267</v>
      </c>
      <c r="E1079" s="6">
        <f t="shared" si="128"/>
        <v>13</v>
      </c>
      <c r="F1079" s="6">
        <f t="shared" si="129"/>
        <v>25</v>
      </c>
      <c r="G1079" s="6">
        <f>ROUND(Catalogue!G57*SQRT((1+Paramètres!$B$4*(C1079-1)+Paramètres!$B$5*(C1079-1)^2)),0)</f>
        <v>0</v>
      </c>
      <c r="H1079" s="6">
        <f>ROUND(Catalogue!H57*SQRT((1+Paramètres!$B$4*(C1079-1)+Paramètres!$B$5*(C1079-1)^2)),0)</f>
        <v>0</v>
      </c>
      <c r="I1079" s="6">
        <v>2</v>
      </c>
      <c r="J1079" s="6">
        <v>4</v>
      </c>
      <c r="K1079" s="7">
        <v>0.2</v>
      </c>
      <c r="L1079" s="9">
        <f t="shared" si="130"/>
        <v>19</v>
      </c>
      <c r="M1079">
        <v>4</v>
      </c>
      <c r="N1079">
        <v>4</v>
      </c>
      <c r="O1079">
        <v>9</v>
      </c>
      <c r="P1079" s="13" t="str">
        <f t="shared" si="131"/>
        <v>4d4 + 9</v>
      </c>
      <c r="Q1079">
        <f>ROUND(INDEX(Catalogue!E$4:E$85,MATCH(A1079,Catalogue!A$4:A$85,0))*(1+Paramètres!$B$4*(C1079-1)+Paramètres!$B$5*(C1079-1)^2),0)</f>
        <v>13</v>
      </c>
      <c r="R1079">
        <f>ROUND(INDEX(Catalogue!F$4:F$85,MATCH(A1079,Catalogue!A$4:A$85,0))*(1+Paramètres!$B$4*(C1079-1)+Paramètres!$B$5*(C1079-1)^2),0)</f>
        <v>25</v>
      </c>
      <c r="S1079">
        <f t="shared" si="132"/>
        <v>0</v>
      </c>
      <c r="T1079" t="str">
        <f t="shared" si="133"/>
        <v>OK</v>
      </c>
      <c r="U1079" s="25">
        <f t="shared" si="134"/>
        <v>19</v>
      </c>
      <c r="V1079" t="str">
        <f t="shared" si="135"/>
        <v>OK</v>
      </c>
    </row>
    <row r="1080" spans="1:22" ht="18" customHeight="1">
      <c r="A1080" t="s">
        <v>265</v>
      </c>
      <c r="B1080" t="s">
        <v>266</v>
      </c>
      <c r="C1080">
        <v>17</v>
      </c>
      <c r="D1080" t="s">
        <v>267</v>
      </c>
      <c r="E1080" s="6">
        <f t="shared" si="128"/>
        <v>13</v>
      </c>
      <c r="F1080" s="6">
        <f t="shared" si="129"/>
        <v>27</v>
      </c>
      <c r="G1080" s="6">
        <f>ROUND(Catalogue!G57*SQRT((1+Paramètres!$B$4*(C1080-1)+Paramètres!$B$5*(C1080-1)^2)),0)</f>
        <v>0</v>
      </c>
      <c r="H1080" s="6">
        <f>ROUND(Catalogue!H57*SQRT((1+Paramètres!$B$4*(C1080-1)+Paramètres!$B$5*(C1080-1)^2)),0)</f>
        <v>0</v>
      </c>
      <c r="I1080" s="6">
        <v>2</v>
      </c>
      <c r="J1080" s="6">
        <v>4</v>
      </c>
      <c r="K1080" s="7">
        <v>0.2</v>
      </c>
      <c r="L1080" s="9">
        <f t="shared" si="130"/>
        <v>20</v>
      </c>
      <c r="M1080">
        <v>2</v>
      </c>
      <c r="N1080">
        <v>8</v>
      </c>
      <c r="O1080">
        <v>11</v>
      </c>
      <c r="P1080" s="13" t="str">
        <f t="shared" si="131"/>
        <v>2d8 + 11</v>
      </c>
      <c r="Q1080">
        <f>ROUND(INDEX(Catalogue!E$4:E$85,MATCH(A1080,Catalogue!A$4:A$85,0))*(1+Paramètres!$B$4*(C1080-1)+Paramètres!$B$5*(C1080-1)^2),0)</f>
        <v>14</v>
      </c>
      <c r="R1080">
        <f>ROUND(INDEX(Catalogue!F$4:F$85,MATCH(A1080,Catalogue!A$4:A$85,0))*(1+Paramètres!$B$4*(C1080-1)+Paramètres!$B$5*(C1080-1)^2),0)</f>
        <v>27</v>
      </c>
      <c r="S1080">
        <f t="shared" si="132"/>
        <v>-0.5</v>
      </c>
      <c r="T1080" t="str">
        <f t="shared" si="133"/>
        <v>OK</v>
      </c>
      <c r="U1080" s="25">
        <f t="shared" si="134"/>
        <v>20</v>
      </c>
      <c r="V1080" t="str">
        <f t="shared" si="135"/>
        <v>OK</v>
      </c>
    </row>
    <row r="1081" spans="1:22" ht="18" customHeight="1">
      <c r="A1081" t="s">
        <v>265</v>
      </c>
      <c r="B1081" t="s">
        <v>266</v>
      </c>
      <c r="C1081">
        <v>18</v>
      </c>
      <c r="D1081" t="s">
        <v>267</v>
      </c>
      <c r="E1081" s="6">
        <f t="shared" si="128"/>
        <v>15</v>
      </c>
      <c r="F1081" s="6">
        <f t="shared" si="129"/>
        <v>30</v>
      </c>
      <c r="G1081" s="6">
        <f>ROUND(Catalogue!G57*SQRT((1+Paramètres!$B$4*(C1081-1)+Paramètres!$B$5*(C1081-1)^2)),0)</f>
        <v>0</v>
      </c>
      <c r="H1081" s="6">
        <f>ROUND(Catalogue!H57*SQRT((1+Paramètres!$B$4*(C1081-1)+Paramètres!$B$5*(C1081-1)^2)),0)</f>
        <v>0</v>
      </c>
      <c r="I1081" s="6">
        <v>2</v>
      </c>
      <c r="J1081" s="6">
        <v>4</v>
      </c>
      <c r="K1081" s="7">
        <v>0.2</v>
      </c>
      <c r="L1081" s="9">
        <f t="shared" si="130"/>
        <v>22.5</v>
      </c>
      <c r="M1081">
        <v>3</v>
      </c>
      <c r="N1081">
        <v>6</v>
      </c>
      <c r="O1081">
        <v>12</v>
      </c>
      <c r="P1081" s="13" t="str">
        <f t="shared" si="131"/>
        <v>3d6 + 12</v>
      </c>
      <c r="Q1081">
        <f>ROUND(INDEX(Catalogue!E$4:E$85,MATCH(A1081,Catalogue!A$4:A$85,0))*(1+Paramètres!$B$4*(C1081-1)+Paramètres!$B$5*(C1081-1)^2),0)</f>
        <v>15</v>
      </c>
      <c r="R1081">
        <f>ROUND(INDEX(Catalogue!F$4:F$85,MATCH(A1081,Catalogue!A$4:A$85,0))*(1+Paramètres!$B$4*(C1081-1)+Paramètres!$B$5*(C1081-1)^2),0)</f>
        <v>30</v>
      </c>
      <c r="S1081">
        <f t="shared" si="132"/>
        <v>0</v>
      </c>
      <c r="T1081" t="str">
        <f t="shared" si="133"/>
        <v>OK</v>
      </c>
      <c r="U1081" s="25">
        <f t="shared" si="134"/>
        <v>22.5</v>
      </c>
      <c r="V1081" t="str">
        <f t="shared" si="135"/>
        <v>OK</v>
      </c>
    </row>
    <row r="1082" spans="1:22" ht="18" customHeight="1">
      <c r="A1082" t="s">
        <v>265</v>
      </c>
      <c r="B1082" t="s">
        <v>266</v>
      </c>
      <c r="C1082">
        <v>19</v>
      </c>
      <c r="D1082" t="s">
        <v>267</v>
      </c>
      <c r="E1082" s="6">
        <f t="shared" si="128"/>
        <v>15</v>
      </c>
      <c r="F1082" s="6">
        <f t="shared" si="129"/>
        <v>33</v>
      </c>
      <c r="G1082" s="6">
        <f>ROUND(Catalogue!G57*SQRT((1+Paramètres!$B$4*(C1082-1)+Paramètres!$B$5*(C1082-1)^2)),0)</f>
        <v>0</v>
      </c>
      <c r="H1082" s="6">
        <f>ROUND(Catalogue!H57*SQRT((1+Paramètres!$B$4*(C1082-1)+Paramètres!$B$5*(C1082-1)^2)),0)</f>
        <v>0</v>
      </c>
      <c r="I1082" s="6">
        <v>2</v>
      </c>
      <c r="J1082" s="6">
        <v>4</v>
      </c>
      <c r="K1082" s="7">
        <v>0.2</v>
      </c>
      <c r="L1082" s="9">
        <f t="shared" si="130"/>
        <v>24</v>
      </c>
      <c r="M1082">
        <v>6</v>
      </c>
      <c r="N1082">
        <v>4</v>
      </c>
      <c r="O1082">
        <v>9</v>
      </c>
      <c r="P1082" s="13" t="str">
        <f t="shared" si="131"/>
        <v>6d4 + 9</v>
      </c>
      <c r="Q1082">
        <f>ROUND(INDEX(Catalogue!E$4:E$85,MATCH(A1082,Catalogue!A$4:A$85,0))*(1+Paramètres!$B$4*(C1082-1)+Paramètres!$B$5*(C1082-1)^2),0)</f>
        <v>16</v>
      </c>
      <c r="R1082">
        <f>ROUND(INDEX(Catalogue!F$4:F$85,MATCH(A1082,Catalogue!A$4:A$85,0))*(1+Paramètres!$B$4*(C1082-1)+Paramètres!$B$5*(C1082-1)^2),0)</f>
        <v>33</v>
      </c>
      <c r="S1082">
        <f t="shared" si="132"/>
        <v>-0.5</v>
      </c>
      <c r="T1082" t="str">
        <f t="shared" si="133"/>
        <v>OK</v>
      </c>
      <c r="U1082" s="25">
        <f t="shared" si="134"/>
        <v>24</v>
      </c>
      <c r="V1082" t="str">
        <f t="shared" si="135"/>
        <v>OK</v>
      </c>
    </row>
    <row r="1083" spans="1:22" ht="18" customHeight="1">
      <c r="A1083" t="s">
        <v>265</v>
      </c>
      <c r="B1083" t="s">
        <v>266</v>
      </c>
      <c r="C1083">
        <v>20</v>
      </c>
      <c r="D1083" t="s">
        <v>267</v>
      </c>
      <c r="E1083" s="6">
        <f t="shared" si="128"/>
        <v>17</v>
      </c>
      <c r="F1083" s="6">
        <f t="shared" si="129"/>
        <v>35</v>
      </c>
      <c r="G1083" s="6">
        <f>ROUND(Catalogue!G57*SQRT((1+Paramètres!$B$4*(C1083-1)+Paramètres!$B$5*(C1083-1)^2)),0)</f>
        <v>0</v>
      </c>
      <c r="H1083" s="6">
        <f>ROUND(Catalogue!H57*SQRT((1+Paramètres!$B$4*(C1083-1)+Paramètres!$B$5*(C1083-1)^2)),0)</f>
        <v>0</v>
      </c>
      <c r="I1083" s="6">
        <v>2</v>
      </c>
      <c r="J1083" s="6">
        <v>4</v>
      </c>
      <c r="K1083" s="7">
        <v>0.2</v>
      </c>
      <c r="L1083" s="9">
        <f t="shared" si="130"/>
        <v>26</v>
      </c>
      <c r="M1083">
        <v>6</v>
      </c>
      <c r="N1083">
        <v>4</v>
      </c>
      <c r="O1083">
        <v>11</v>
      </c>
      <c r="P1083" s="13" t="str">
        <f t="shared" si="131"/>
        <v>6d4 + 11</v>
      </c>
      <c r="Q1083">
        <f>ROUND(INDEX(Catalogue!E$4:E$85,MATCH(A1083,Catalogue!A$4:A$85,0))*(1+Paramètres!$B$4*(C1083-1)+Paramètres!$B$5*(C1083-1)^2),0)</f>
        <v>18</v>
      </c>
      <c r="R1083">
        <f>ROUND(INDEX(Catalogue!F$4:F$85,MATCH(A1083,Catalogue!A$4:A$85,0))*(1+Paramètres!$B$4*(C1083-1)+Paramètres!$B$5*(C1083-1)^2),0)</f>
        <v>35</v>
      </c>
      <c r="S1083">
        <f t="shared" si="132"/>
        <v>-0.5</v>
      </c>
      <c r="T1083" t="str">
        <f t="shared" si="133"/>
        <v>OK</v>
      </c>
      <c r="U1083" s="25">
        <f t="shared" si="134"/>
        <v>26</v>
      </c>
      <c r="V1083" t="str">
        <f t="shared" si="135"/>
        <v>OK</v>
      </c>
    </row>
    <row r="1084" spans="1:22" ht="18" customHeight="1">
      <c r="A1084" t="s">
        <v>270</v>
      </c>
      <c r="B1084" t="s">
        <v>271</v>
      </c>
      <c r="C1084">
        <v>1</v>
      </c>
      <c r="D1084" t="s">
        <v>267</v>
      </c>
      <c r="E1084" s="6">
        <f t="shared" si="128"/>
        <v>2</v>
      </c>
      <c r="F1084" s="6">
        <f t="shared" si="129"/>
        <v>5</v>
      </c>
      <c r="G1084" s="6">
        <f>ROUND(Catalogue!G58*SQRT((1+Paramètres!$B$4*(C1084-1)+Paramètres!$B$5*(C1084-1)^2)),0)</f>
        <v>0</v>
      </c>
      <c r="H1084" s="6">
        <f>ROUND(Catalogue!H58*SQRT((1+Paramètres!$B$4*(C1084-1)+Paramètres!$B$5*(C1084-1)^2)),0)</f>
        <v>0</v>
      </c>
      <c r="I1084" s="6">
        <v>2</v>
      </c>
      <c r="J1084" s="6">
        <v>4</v>
      </c>
      <c r="K1084" s="7">
        <v>0.35</v>
      </c>
      <c r="L1084" s="9">
        <f t="shared" si="130"/>
        <v>3.5</v>
      </c>
      <c r="M1084">
        <v>1</v>
      </c>
      <c r="N1084">
        <v>4</v>
      </c>
      <c r="O1084">
        <v>1</v>
      </c>
      <c r="P1084" s="13" t="str">
        <f t="shared" si="131"/>
        <v>1d4 + 1</v>
      </c>
      <c r="Q1084">
        <f>ROUND(INDEX(Catalogue!E$4:E$85,MATCH(A1084,Catalogue!A$4:A$85,0))*(1+Paramètres!$B$4*(C1084-1)+Paramètres!$B$5*(C1084-1)^2),0)</f>
        <v>3</v>
      </c>
      <c r="R1084">
        <f>ROUND(INDEX(Catalogue!F$4:F$85,MATCH(A1084,Catalogue!A$4:A$85,0))*(1+Paramètres!$B$4*(C1084-1)+Paramètres!$B$5*(C1084-1)^2),0)</f>
        <v>5</v>
      </c>
      <c r="S1084">
        <f t="shared" si="132"/>
        <v>-0.5</v>
      </c>
      <c r="T1084" t="str">
        <f t="shared" si="133"/>
        <v>OK</v>
      </c>
      <c r="U1084" s="25">
        <f t="shared" si="134"/>
        <v>3.5</v>
      </c>
      <c r="V1084" t="str">
        <f t="shared" si="135"/>
        <v>OK</v>
      </c>
    </row>
    <row r="1085" spans="1:22" ht="18" customHeight="1">
      <c r="A1085" t="s">
        <v>270</v>
      </c>
      <c r="B1085" t="s">
        <v>271</v>
      </c>
      <c r="C1085">
        <v>2</v>
      </c>
      <c r="D1085" t="s">
        <v>267</v>
      </c>
      <c r="E1085" s="6">
        <f t="shared" si="128"/>
        <v>3</v>
      </c>
      <c r="F1085" s="6">
        <f t="shared" si="129"/>
        <v>6</v>
      </c>
      <c r="G1085" s="6">
        <f>ROUND(Catalogue!G58*SQRT((1+Paramètres!$B$4*(C1085-1)+Paramètres!$B$5*(C1085-1)^2)),0)</f>
        <v>0</v>
      </c>
      <c r="H1085" s="6">
        <f>ROUND(Catalogue!H58*SQRT((1+Paramètres!$B$4*(C1085-1)+Paramètres!$B$5*(C1085-1)^2)),0)</f>
        <v>0</v>
      </c>
      <c r="I1085" s="6">
        <v>2</v>
      </c>
      <c r="J1085" s="6">
        <v>4</v>
      </c>
      <c r="K1085" s="7">
        <v>0.35</v>
      </c>
      <c r="L1085" s="9">
        <f t="shared" si="130"/>
        <v>4.5</v>
      </c>
      <c r="M1085">
        <v>1</v>
      </c>
      <c r="N1085">
        <v>4</v>
      </c>
      <c r="O1085">
        <v>2</v>
      </c>
      <c r="P1085" s="13" t="str">
        <f t="shared" si="131"/>
        <v>1d4 + 2</v>
      </c>
      <c r="Q1085">
        <f>ROUND(INDEX(Catalogue!E$4:E$85,MATCH(A1085,Catalogue!A$4:A$85,0))*(1+Paramètres!$B$4*(C1085-1)+Paramètres!$B$5*(C1085-1)^2),0)</f>
        <v>3</v>
      </c>
      <c r="R1085">
        <f>ROUND(INDEX(Catalogue!F$4:F$85,MATCH(A1085,Catalogue!A$4:A$85,0))*(1+Paramètres!$B$4*(C1085-1)+Paramètres!$B$5*(C1085-1)^2),0)</f>
        <v>6</v>
      </c>
      <c r="S1085">
        <f t="shared" si="132"/>
        <v>0</v>
      </c>
      <c r="T1085" t="str">
        <f t="shared" si="133"/>
        <v>OK</v>
      </c>
      <c r="U1085" s="25">
        <f t="shared" si="134"/>
        <v>4.5</v>
      </c>
      <c r="V1085" t="str">
        <f t="shared" si="135"/>
        <v>OK</v>
      </c>
    </row>
    <row r="1086" spans="1:22" ht="18" customHeight="1">
      <c r="A1086" t="s">
        <v>270</v>
      </c>
      <c r="B1086" t="s">
        <v>271</v>
      </c>
      <c r="C1086">
        <v>3</v>
      </c>
      <c r="D1086" t="s">
        <v>267</v>
      </c>
      <c r="E1086" s="6">
        <f t="shared" si="128"/>
        <v>3</v>
      </c>
      <c r="F1086" s="6">
        <f t="shared" si="129"/>
        <v>6</v>
      </c>
      <c r="G1086" s="6">
        <f>ROUND(Catalogue!G58*SQRT((1+Paramètres!$B$4*(C1086-1)+Paramètres!$B$5*(C1086-1)^2)),0)</f>
        <v>0</v>
      </c>
      <c r="H1086" s="6">
        <f>ROUND(Catalogue!H58*SQRT((1+Paramètres!$B$4*(C1086-1)+Paramètres!$B$5*(C1086-1)^2)),0)</f>
        <v>0</v>
      </c>
      <c r="I1086" s="6">
        <v>2</v>
      </c>
      <c r="J1086" s="6">
        <v>4</v>
      </c>
      <c r="K1086" s="7">
        <v>0.35</v>
      </c>
      <c r="L1086" s="9">
        <f t="shared" si="130"/>
        <v>4.5</v>
      </c>
      <c r="M1086">
        <v>1</v>
      </c>
      <c r="N1086">
        <v>4</v>
      </c>
      <c r="O1086">
        <v>2</v>
      </c>
      <c r="P1086" s="13" t="str">
        <f t="shared" si="131"/>
        <v>1d4 + 2</v>
      </c>
      <c r="Q1086">
        <f>ROUND(INDEX(Catalogue!E$4:E$85,MATCH(A1086,Catalogue!A$4:A$85,0))*(1+Paramètres!$B$4*(C1086-1)+Paramètres!$B$5*(C1086-1)^2),0)</f>
        <v>4</v>
      </c>
      <c r="R1086">
        <f>ROUND(INDEX(Catalogue!F$4:F$85,MATCH(A1086,Catalogue!A$4:A$85,0))*(1+Paramètres!$B$4*(C1086-1)+Paramètres!$B$5*(C1086-1)^2),0)</f>
        <v>6</v>
      </c>
      <c r="S1086">
        <f t="shared" si="132"/>
        <v>-0.5</v>
      </c>
      <c r="T1086" t="str">
        <f t="shared" si="133"/>
        <v>OK</v>
      </c>
      <c r="U1086" s="25">
        <f t="shared" si="134"/>
        <v>4.5</v>
      </c>
      <c r="V1086" t="str">
        <f t="shared" si="135"/>
        <v>OK</v>
      </c>
    </row>
    <row r="1087" spans="1:22" ht="18" customHeight="1">
      <c r="A1087" t="s">
        <v>270</v>
      </c>
      <c r="B1087" t="s">
        <v>271</v>
      </c>
      <c r="C1087">
        <v>4</v>
      </c>
      <c r="D1087" t="s">
        <v>267</v>
      </c>
      <c r="E1087" s="6">
        <f t="shared" si="128"/>
        <v>4</v>
      </c>
      <c r="F1087" s="6">
        <f t="shared" si="129"/>
        <v>7</v>
      </c>
      <c r="G1087" s="6">
        <f>ROUND(Catalogue!G58*SQRT((1+Paramètres!$B$4*(C1087-1)+Paramètres!$B$5*(C1087-1)^2)),0)</f>
        <v>0</v>
      </c>
      <c r="H1087" s="6">
        <f>ROUND(Catalogue!H58*SQRT((1+Paramètres!$B$4*(C1087-1)+Paramètres!$B$5*(C1087-1)^2)),0)</f>
        <v>0</v>
      </c>
      <c r="I1087" s="6">
        <v>2</v>
      </c>
      <c r="J1087" s="6">
        <v>4</v>
      </c>
      <c r="K1087" s="7">
        <v>0.35</v>
      </c>
      <c r="L1087" s="9">
        <f t="shared" si="130"/>
        <v>5.5</v>
      </c>
      <c r="M1087">
        <v>1</v>
      </c>
      <c r="N1087">
        <v>4</v>
      </c>
      <c r="O1087">
        <v>3</v>
      </c>
      <c r="P1087" s="13" t="str">
        <f t="shared" si="131"/>
        <v>1d4 + 3</v>
      </c>
      <c r="Q1087">
        <f>ROUND(INDEX(Catalogue!E$4:E$85,MATCH(A1087,Catalogue!A$4:A$85,0))*(1+Paramètres!$B$4*(C1087-1)+Paramètres!$B$5*(C1087-1)^2),0)</f>
        <v>4</v>
      </c>
      <c r="R1087">
        <f>ROUND(INDEX(Catalogue!F$4:F$85,MATCH(A1087,Catalogue!A$4:A$85,0))*(1+Paramètres!$B$4*(C1087-1)+Paramètres!$B$5*(C1087-1)^2),0)</f>
        <v>7</v>
      </c>
      <c r="S1087">
        <f t="shared" si="132"/>
        <v>0</v>
      </c>
      <c r="T1087" t="str">
        <f t="shared" si="133"/>
        <v>OK</v>
      </c>
      <c r="U1087" s="25">
        <f t="shared" si="134"/>
        <v>5.5</v>
      </c>
      <c r="V1087" t="str">
        <f t="shared" si="135"/>
        <v>OK</v>
      </c>
    </row>
    <row r="1088" spans="1:22" ht="18" customHeight="1">
      <c r="A1088" t="s">
        <v>270</v>
      </c>
      <c r="B1088" t="s">
        <v>271</v>
      </c>
      <c r="C1088">
        <v>5</v>
      </c>
      <c r="D1088" t="s">
        <v>267</v>
      </c>
      <c r="E1088" s="6">
        <f t="shared" si="128"/>
        <v>5</v>
      </c>
      <c r="F1088" s="6">
        <f t="shared" si="129"/>
        <v>8</v>
      </c>
      <c r="G1088" s="6">
        <f>ROUND(Catalogue!G58*SQRT((1+Paramètres!$B$4*(C1088-1)+Paramètres!$B$5*(C1088-1)^2)),0)</f>
        <v>0</v>
      </c>
      <c r="H1088" s="6">
        <f>ROUND(Catalogue!H58*SQRT((1+Paramètres!$B$4*(C1088-1)+Paramètres!$B$5*(C1088-1)^2)),0)</f>
        <v>0</v>
      </c>
      <c r="I1088" s="6">
        <v>2</v>
      </c>
      <c r="J1088" s="6">
        <v>4</v>
      </c>
      <c r="K1088" s="7">
        <v>0.35</v>
      </c>
      <c r="L1088" s="9">
        <f t="shared" si="130"/>
        <v>6.5</v>
      </c>
      <c r="M1088">
        <v>1</v>
      </c>
      <c r="N1088">
        <v>4</v>
      </c>
      <c r="O1088">
        <v>4</v>
      </c>
      <c r="P1088" s="13" t="str">
        <f t="shared" si="131"/>
        <v>1d4 + 4</v>
      </c>
      <c r="Q1088">
        <f>ROUND(INDEX(Catalogue!E$4:E$85,MATCH(A1088,Catalogue!A$4:A$85,0))*(1+Paramètres!$B$4*(C1088-1)+Paramètres!$B$5*(C1088-1)^2),0)</f>
        <v>5</v>
      </c>
      <c r="R1088">
        <f>ROUND(INDEX(Catalogue!F$4:F$85,MATCH(A1088,Catalogue!A$4:A$85,0))*(1+Paramètres!$B$4*(C1088-1)+Paramètres!$B$5*(C1088-1)^2),0)</f>
        <v>8</v>
      </c>
      <c r="S1088">
        <f t="shared" si="132"/>
        <v>0</v>
      </c>
      <c r="T1088" t="str">
        <f t="shared" si="133"/>
        <v>OK</v>
      </c>
      <c r="U1088" s="25">
        <f t="shared" si="134"/>
        <v>6.5</v>
      </c>
      <c r="V1088" t="str">
        <f t="shared" si="135"/>
        <v>OK</v>
      </c>
    </row>
    <row r="1089" spans="1:22" ht="18" customHeight="1">
      <c r="A1089" t="s">
        <v>270</v>
      </c>
      <c r="B1089" t="s">
        <v>271</v>
      </c>
      <c r="C1089">
        <v>6</v>
      </c>
      <c r="D1089" t="s">
        <v>267</v>
      </c>
      <c r="E1089" s="6">
        <f t="shared" si="128"/>
        <v>6</v>
      </c>
      <c r="F1089" s="6">
        <f t="shared" si="129"/>
        <v>9</v>
      </c>
      <c r="G1089" s="6">
        <f>ROUND(Catalogue!G58*SQRT((1+Paramètres!$B$4*(C1089-1)+Paramètres!$B$5*(C1089-1)^2)),0)</f>
        <v>0</v>
      </c>
      <c r="H1089" s="6">
        <f>ROUND(Catalogue!H58*SQRT((1+Paramètres!$B$4*(C1089-1)+Paramètres!$B$5*(C1089-1)^2)),0)</f>
        <v>0</v>
      </c>
      <c r="I1089" s="6">
        <v>2</v>
      </c>
      <c r="J1089" s="6">
        <v>4</v>
      </c>
      <c r="K1089" s="7">
        <v>0.35</v>
      </c>
      <c r="L1089" s="9">
        <f t="shared" si="130"/>
        <v>7.5</v>
      </c>
      <c r="M1089">
        <v>1</v>
      </c>
      <c r="N1089">
        <v>4</v>
      </c>
      <c r="O1089">
        <v>5</v>
      </c>
      <c r="P1089" s="13" t="str">
        <f t="shared" si="131"/>
        <v>1d4 + 5</v>
      </c>
      <c r="Q1089">
        <f>ROUND(INDEX(Catalogue!E$4:E$85,MATCH(A1089,Catalogue!A$4:A$85,0))*(1+Paramètres!$B$4*(C1089-1)+Paramètres!$B$5*(C1089-1)^2),0)</f>
        <v>6</v>
      </c>
      <c r="R1089">
        <f>ROUND(INDEX(Catalogue!F$4:F$85,MATCH(A1089,Catalogue!A$4:A$85,0))*(1+Paramètres!$B$4*(C1089-1)+Paramètres!$B$5*(C1089-1)^2),0)</f>
        <v>10</v>
      </c>
      <c r="S1089">
        <f t="shared" si="132"/>
        <v>-0.5</v>
      </c>
      <c r="T1089" t="str">
        <f t="shared" si="133"/>
        <v>OK</v>
      </c>
      <c r="U1089" s="25">
        <f t="shared" si="134"/>
        <v>7.5</v>
      </c>
      <c r="V1089" t="str">
        <f t="shared" si="135"/>
        <v>OK</v>
      </c>
    </row>
    <row r="1090" spans="1:22" ht="18" customHeight="1">
      <c r="A1090" t="s">
        <v>270</v>
      </c>
      <c r="B1090" t="s">
        <v>271</v>
      </c>
      <c r="C1090">
        <v>7</v>
      </c>
      <c r="D1090" t="s">
        <v>267</v>
      </c>
      <c r="E1090" s="6">
        <f t="shared" si="128"/>
        <v>7</v>
      </c>
      <c r="F1090" s="6">
        <f t="shared" si="129"/>
        <v>10</v>
      </c>
      <c r="G1090" s="6">
        <f>ROUND(Catalogue!G58*SQRT((1+Paramètres!$B$4*(C1090-1)+Paramètres!$B$5*(C1090-1)^2)),0)</f>
        <v>0</v>
      </c>
      <c r="H1090" s="6">
        <f>ROUND(Catalogue!H58*SQRT((1+Paramètres!$B$4*(C1090-1)+Paramètres!$B$5*(C1090-1)^2)),0)</f>
        <v>0</v>
      </c>
      <c r="I1090" s="6">
        <v>2</v>
      </c>
      <c r="J1090" s="6">
        <v>4</v>
      </c>
      <c r="K1090" s="7">
        <v>0.35</v>
      </c>
      <c r="L1090" s="9">
        <f t="shared" si="130"/>
        <v>8.5</v>
      </c>
      <c r="M1090">
        <v>1</v>
      </c>
      <c r="N1090">
        <v>4</v>
      </c>
      <c r="O1090">
        <v>6</v>
      </c>
      <c r="P1090" s="13" t="str">
        <f t="shared" si="131"/>
        <v>1d4 + 6</v>
      </c>
      <c r="Q1090">
        <f>ROUND(INDEX(Catalogue!E$4:E$85,MATCH(A1090,Catalogue!A$4:A$85,0))*(1+Paramètres!$B$4*(C1090-1)+Paramètres!$B$5*(C1090-1)^2),0)</f>
        <v>7</v>
      </c>
      <c r="R1090">
        <f>ROUND(INDEX(Catalogue!F$4:F$85,MATCH(A1090,Catalogue!A$4:A$85,0))*(1+Paramètres!$B$4*(C1090-1)+Paramètres!$B$5*(C1090-1)^2),0)</f>
        <v>11</v>
      </c>
      <c r="S1090">
        <f t="shared" si="132"/>
        <v>-0.5</v>
      </c>
      <c r="T1090" t="str">
        <f t="shared" si="133"/>
        <v>OK</v>
      </c>
      <c r="U1090" s="25">
        <f t="shared" si="134"/>
        <v>8.5</v>
      </c>
      <c r="V1090" t="str">
        <f t="shared" si="135"/>
        <v>OK</v>
      </c>
    </row>
    <row r="1091" spans="1:22" ht="18" customHeight="1">
      <c r="A1091" t="s">
        <v>270</v>
      </c>
      <c r="B1091" t="s">
        <v>271</v>
      </c>
      <c r="C1091">
        <v>8</v>
      </c>
      <c r="D1091" t="s">
        <v>267</v>
      </c>
      <c r="E1091" s="6">
        <f t="shared" si="128"/>
        <v>8</v>
      </c>
      <c r="F1091" s="6">
        <f t="shared" si="129"/>
        <v>13</v>
      </c>
      <c r="G1091" s="6">
        <f>ROUND(Catalogue!G58*SQRT((1+Paramètres!$B$4*(C1091-1)+Paramètres!$B$5*(C1091-1)^2)),0)</f>
        <v>0</v>
      </c>
      <c r="H1091" s="6">
        <f>ROUND(Catalogue!H58*SQRT((1+Paramètres!$B$4*(C1091-1)+Paramètres!$B$5*(C1091-1)^2)),0)</f>
        <v>0</v>
      </c>
      <c r="I1091" s="6">
        <v>2</v>
      </c>
      <c r="J1091" s="6">
        <v>4</v>
      </c>
      <c r="K1091" s="7">
        <v>0.35</v>
      </c>
      <c r="L1091" s="9">
        <f t="shared" si="130"/>
        <v>10.5</v>
      </c>
      <c r="M1091">
        <v>1</v>
      </c>
      <c r="N1091">
        <v>6</v>
      </c>
      <c r="O1091">
        <v>7</v>
      </c>
      <c r="P1091" s="13" t="str">
        <f t="shared" si="131"/>
        <v>1d6 + 7</v>
      </c>
      <c r="Q1091">
        <f>ROUND(INDEX(Catalogue!E$4:E$85,MATCH(A1091,Catalogue!A$4:A$85,0))*(1+Paramètres!$B$4*(C1091-1)+Paramètres!$B$5*(C1091-1)^2),0)</f>
        <v>8</v>
      </c>
      <c r="R1091">
        <f>ROUND(INDEX(Catalogue!F$4:F$85,MATCH(A1091,Catalogue!A$4:A$85,0))*(1+Paramètres!$B$4*(C1091-1)+Paramètres!$B$5*(C1091-1)^2),0)</f>
        <v>13</v>
      </c>
      <c r="S1091">
        <f t="shared" si="132"/>
        <v>0</v>
      </c>
      <c r="T1091" t="str">
        <f t="shared" si="133"/>
        <v>OK</v>
      </c>
      <c r="U1091" s="25">
        <f t="shared" si="134"/>
        <v>10.5</v>
      </c>
      <c r="V1091" t="str">
        <f t="shared" si="135"/>
        <v>OK</v>
      </c>
    </row>
    <row r="1092" spans="1:22" ht="18" customHeight="1">
      <c r="A1092" t="s">
        <v>270</v>
      </c>
      <c r="B1092" t="s">
        <v>271</v>
      </c>
      <c r="C1092">
        <v>9</v>
      </c>
      <c r="D1092" t="s">
        <v>267</v>
      </c>
      <c r="E1092" s="6">
        <f t="shared" ref="E1092:E1155" si="136">IF(M1092=0,0,M1092+O1092)</f>
        <v>9</v>
      </c>
      <c r="F1092" s="6">
        <f t="shared" ref="F1092:F1155" si="137">IF(M1092=0,0,M1092*N1092+O1092)</f>
        <v>15</v>
      </c>
      <c r="G1092" s="6">
        <f>ROUND(Catalogue!G58*SQRT((1+Paramètres!$B$4*(C1092-1)+Paramètres!$B$5*(C1092-1)^2)),0)</f>
        <v>0</v>
      </c>
      <c r="H1092" s="6">
        <f>ROUND(Catalogue!H58*SQRT((1+Paramètres!$B$4*(C1092-1)+Paramètres!$B$5*(C1092-1)^2)),0)</f>
        <v>0</v>
      </c>
      <c r="I1092" s="6">
        <v>2</v>
      </c>
      <c r="J1092" s="6">
        <v>4</v>
      </c>
      <c r="K1092" s="7">
        <v>0.35</v>
      </c>
      <c r="L1092" s="9">
        <f t="shared" ref="L1092:L1155" si="138">IF(M1092=0,0,(E1092+F1092)/2)</f>
        <v>12</v>
      </c>
      <c r="M1092">
        <v>2</v>
      </c>
      <c r="N1092">
        <v>4</v>
      </c>
      <c r="O1092">
        <v>7</v>
      </c>
      <c r="P1092" s="13" t="str">
        <f t="shared" ref="P1092:P1155" si="139">IF(M1092=0,"—",M1092&amp;"d"&amp;N1092&amp;IF(O1092=0,""," + "&amp;O1092))</f>
        <v>2d4 + 7</v>
      </c>
      <c r="Q1092">
        <f>ROUND(INDEX(Catalogue!E$4:E$85,MATCH(A1092,Catalogue!A$4:A$85,0))*(1+Paramètres!$B$4*(C1092-1)+Paramètres!$B$5*(C1092-1)^2),0)</f>
        <v>9</v>
      </c>
      <c r="R1092">
        <f>ROUND(INDEX(Catalogue!F$4:F$85,MATCH(A1092,Catalogue!A$4:A$85,0))*(1+Paramètres!$B$4*(C1092-1)+Paramètres!$B$5*(C1092-1)^2),0)</f>
        <v>15</v>
      </c>
      <c r="S1092">
        <f t="shared" ref="S1092:S1155" si="140">L1092-AVERAGE(Q1092:R1092)</f>
        <v>0</v>
      </c>
      <c r="T1092" t="str">
        <f t="shared" ref="T1092:T1155" si="141">IF(M1092=0,IF(AND(N1092=0,O1092=0,E1092=0,F1092=0),"OK","ERREUR"),IF(AND(M1092&gt;=1,M1092&lt;=32,OR(N1092=4,N1092=6,N1092=8,N1092=10,N1092=12,N1092=20),O1092&gt;=0,E1092=M1092+O1092,F1092=M1092*N1092+O1092),"OK","ERREUR"))</f>
        <v>OK</v>
      </c>
      <c r="U1092" s="25">
        <f t="shared" ref="U1092:U1155" si="142">IF(M1092&gt;0,M1092*(N1092+1)/2+O1092,0)</f>
        <v>12</v>
      </c>
      <c r="V1092" t="str">
        <f t="shared" ref="V1092:V1155" si="143">IF(ABS(L1092-U1092)&lt;0.001,"OK","ERREUR")</f>
        <v>OK</v>
      </c>
    </row>
    <row r="1093" spans="1:22" ht="18" customHeight="1">
      <c r="A1093" t="s">
        <v>270</v>
      </c>
      <c r="B1093" t="s">
        <v>271</v>
      </c>
      <c r="C1093">
        <v>10</v>
      </c>
      <c r="D1093" t="s">
        <v>267</v>
      </c>
      <c r="E1093" s="6">
        <f t="shared" si="136"/>
        <v>10</v>
      </c>
      <c r="F1093" s="6">
        <f t="shared" si="137"/>
        <v>16</v>
      </c>
      <c r="G1093" s="6">
        <f>ROUND(Catalogue!G58*SQRT((1+Paramètres!$B$4*(C1093-1)+Paramètres!$B$5*(C1093-1)^2)),0)</f>
        <v>0</v>
      </c>
      <c r="H1093" s="6">
        <f>ROUND(Catalogue!H58*SQRT((1+Paramètres!$B$4*(C1093-1)+Paramètres!$B$5*(C1093-1)^2)),0)</f>
        <v>0</v>
      </c>
      <c r="I1093" s="6">
        <v>2</v>
      </c>
      <c r="J1093" s="6">
        <v>4</v>
      </c>
      <c r="K1093" s="7">
        <v>0.35</v>
      </c>
      <c r="L1093" s="9">
        <f t="shared" si="138"/>
        <v>13</v>
      </c>
      <c r="M1093">
        <v>2</v>
      </c>
      <c r="N1093">
        <v>4</v>
      </c>
      <c r="O1093">
        <v>8</v>
      </c>
      <c r="P1093" s="13" t="str">
        <f t="shared" si="139"/>
        <v>2d4 + 8</v>
      </c>
      <c r="Q1093">
        <f>ROUND(INDEX(Catalogue!E$4:E$85,MATCH(A1093,Catalogue!A$4:A$85,0))*(1+Paramètres!$B$4*(C1093-1)+Paramètres!$B$5*(C1093-1)^2),0)</f>
        <v>10</v>
      </c>
      <c r="R1093">
        <f>ROUND(INDEX(Catalogue!F$4:F$85,MATCH(A1093,Catalogue!A$4:A$85,0))*(1+Paramètres!$B$4*(C1093-1)+Paramètres!$B$5*(C1093-1)^2),0)</f>
        <v>16</v>
      </c>
      <c r="S1093">
        <f t="shared" si="140"/>
        <v>0</v>
      </c>
      <c r="T1093" t="str">
        <f t="shared" si="141"/>
        <v>OK</v>
      </c>
      <c r="U1093" s="25">
        <f t="shared" si="142"/>
        <v>13</v>
      </c>
      <c r="V1093" t="str">
        <f t="shared" si="143"/>
        <v>OK</v>
      </c>
    </row>
    <row r="1094" spans="1:22" ht="18" customHeight="1">
      <c r="A1094" t="s">
        <v>270</v>
      </c>
      <c r="B1094" t="s">
        <v>271</v>
      </c>
      <c r="C1094">
        <v>11</v>
      </c>
      <c r="D1094" t="s">
        <v>267</v>
      </c>
      <c r="E1094" s="6">
        <f t="shared" si="136"/>
        <v>11</v>
      </c>
      <c r="F1094" s="6">
        <f t="shared" si="137"/>
        <v>20</v>
      </c>
      <c r="G1094" s="6">
        <f>ROUND(Catalogue!G58*SQRT((1+Paramètres!$B$4*(C1094-1)+Paramètres!$B$5*(C1094-1)^2)),0)</f>
        <v>0</v>
      </c>
      <c r="H1094" s="6">
        <f>ROUND(Catalogue!H58*SQRT((1+Paramètres!$B$4*(C1094-1)+Paramètres!$B$5*(C1094-1)^2)),0)</f>
        <v>0</v>
      </c>
      <c r="I1094" s="6">
        <v>2</v>
      </c>
      <c r="J1094" s="6">
        <v>4</v>
      </c>
      <c r="K1094" s="7">
        <v>0.35</v>
      </c>
      <c r="L1094" s="9">
        <f t="shared" si="138"/>
        <v>15.5</v>
      </c>
      <c r="M1094">
        <v>3</v>
      </c>
      <c r="N1094">
        <v>4</v>
      </c>
      <c r="O1094">
        <v>8</v>
      </c>
      <c r="P1094" s="13" t="str">
        <f t="shared" si="139"/>
        <v>3d4 + 8</v>
      </c>
      <c r="Q1094">
        <f>ROUND(INDEX(Catalogue!E$4:E$85,MATCH(A1094,Catalogue!A$4:A$85,0))*(1+Paramètres!$B$4*(C1094-1)+Paramètres!$B$5*(C1094-1)^2),0)</f>
        <v>11</v>
      </c>
      <c r="R1094">
        <f>ROUND(INDEX(Catalogue!F$4:F$85,MATCH(A1094,Catalogue!A$4:A$85,0))*(1+Paramètres!$B$4*(C1094-1)+Paramètres!$B$5*(C1094-1)^2),0)</f>
        <v>19</v>
      </c>
      <c r="S1094">
        <f t="shared" si="140"/>
        <v>0.5</v>
      </c>
      <c r="T1094" t="str">
        <f t="shared" si="141"/>
        <v>OK</v>
      </c>
      <c r="U1094" s="25">
        <f t="shared" si="142"/>
        <v>15.5</v>
      </c>
      <c r="V1094" t="str">
        <f t="shared" si="143"/>
        <v>OK</v>
      </c>
    </row>
    <row r="1095" spans="1:22" ht="18" customHeight="1">
      <c r="A1095" t="s">
        <v>270</v>
      </c>
      <c r="B1095" t="s">
        <v>271</v>
      </c>
      <c r="C1095">
        <v>12</v>
      </c>
      <c r="D1095" t="s">
        <v>267</v>
      </c>
      <c r="E1095" s="6">
        <f t="shared" si="136"/>
        <v>12</v>
      </c>
      <c r="F1095" s="6">
        <f t="shared" si="137"/>
        <v>21</v>
      </c>
      <c r="G1095" s="6">
        <f>ROUND(Catalogue!G58*SQRT((1+Paramètres!$B$4*(C1095-1)+Paramètres!$B$5*(C1095-1)^2)),0)</f>
        <v>0</v>
      </c>
      <c r="H1095" s="6">
        <f>ROUND(Catalogue!H58*SQRT((1+Paramètres!$B$4*(C1095-1)+Paramètres!$B$5*(C1095-1)^2)),0)</f>
        <v>0</v>
      </c>
      <c r="I1095" s="6">
        <v>2</v>
      </c>
      <c r="J1095" s="6">
        <v>4</v>
      </c>
      <c r="K1095" s="7">
        <v>0.35</v>
      </c>
      <c r="L1095" s="9">
        <f t="shared" si="138"/>
        <v>16.5</v>
      </c>
      <c r="M1095">
        <v>3</v>
      </c>
      <c r="N1095">
        <v>4</v>
      </c>
      <c r="O1095">
        <v>9</v>
      </c>
      <c r="P1095" s="13" t="str">
        <f t="shared" si="139"/>
        <v>3d4 + 9</v>
      </c>
      <c r="Q1095">
        <f>ROUND(INDEX(Catalogue!E$4:E$85,MATCH(A1095,Catalogue!A$4:A$85,0))*(1+Paramètres!$B$4*(C1095-1)+Paramètres!$B$5*(C1095-1)^2),0)</f>
        <v>12</v>
      </c>
      <c r="R1095">
        <f>ROUND(INDEX(Catalogue!F$4:F$85,MATCH(A1095,Catalogue!A$4:A$85,0))*(1+Paramètres!$B$4*(C1095-1)+Paramètres!$B$5*(C1095-1)^2),0)</f>
        <v>21</v>
      </c>
      <c r="S1095">
        <f t="shared" si="140"/>
        <v>0</v>
      </c>
      <c r="T1095" t="str">
        <f t="shared" si="141"/>
        <v>OK</v>
      </c>
      <c r="U1095" s="25">
        <f t="shared" si="142"/>
        <v>16.5</v>
      </c>
      <c r="V1095" t="str">
        <f t="shared" si="143"/>
        <v>OK</v>
      </c>
    </row>
    <row r="1096" spans="1:22" ht="18" customHeight="1">
      <c r="A1096" t="s">
        <v>270</v>
      </c>
      <c r="B1096" t="s">
        <v>271</v>
      </c>
      <c r="C1096">
        <v>13</v>
      </c>
      <c r="D1096" t="s">
        <v>267</v>
      </c>
      <c r="E1096" s="6">
        <f t="shared" si="136"/>
        <v>14</v>
      </c>
      <c r="F1096" s="6">
        <f t="shared" si="137"/>
        <v>23</v>
      </c>
      <c r="G1096" s="6">
        <f>ROUND(Catalogue!G58*SQRT((1+Paramètres!$B$4*(C1096-1)+Paramètres!$B$5*(C1096-1)^2)),0)</f>
        <v>0</v>
      </c>
      <c r="H1096" s="6">
        <f>ROUND(Catalogue!H58*SQRT((1+Paramètres!$B$4*(C1096-1)+Paramètres!$B$5*(C1096-1)^2)),0)</f>
        <v>0</v>
      </c>
      <c r="I1096" s="6">
        <v>2</v>
      </c>
      <c r="J1096" s="6">
        <v>4</v>
      </c>
      <c r="K1096" s="7">
        <v>0.35</v>
      </c>
      <c r="L1096" s="9">
        <f t="shared" si="138"/>
        <v>18.5</v>
      </c>
      <c r="M1096">
        <v>3</v>
      </c>
      <c r="N1096">
        <v>4</v>
      </c>
      <c r="O1096">
        <v>11</v>
      </c>
      <c r="P1096" s="13" t="str">
        <f t="shared" si="139"/>
        <v>3d4 + 11</v>
      </c>
      <c r="Q1096">
        <f>ROUND(INDEX(Catalogue!E$4:E$85,MATCH(A1096,Catalogue!A$4:A$85,0))*(1+Paramètres!$B$4*(C1096-1)+Paramètres!$B$5*(C1096-1)^2),0)</f>
        <v>14</v>
      </c>
      <c r="R1096">
        <f>ROUND(INDEX(Catalogue!F$4:F$85,MATCH(A1096,Catalogue!A$4:A$85,0))*(1+Paramètres!$B$4*(C1096-1)+Paramètres!$B$5*(C1096-1)^2),0)</f>
        <v>23</v>
      </c>
      <c r="S1096">
        <f t="shared" si="140"/>
        <v>0</v>
      </c>
      <c r="T1096" t="str">
        <f t="shared" si="141"/>
        <v>OK</v>
      </c>
      <c r="U1096" s="25">
        <f t="shared" si="142"/>
        <v>18.5</v>
      </c>
      <c r="V1096" t="str">
        <f t="shared" si="143"/>
        <v>OK</v>
      </c>
    </row>
    <row r="1097" spans="1:22" ht="18" customHeight="1">
      <c r="A1097" t="s">
        <v>270</v>
      </c>
      <c r="B1097" t="s">
        <v>271</v>
      </c>
      <c r="C1097">
        <v>14</v>
      </c>
      <c r="D1097" t="s">
        <v>267</v>
      </c>
      <c r="E1097" s="6">
        <f t="shared" si="136"/>
        <v>15</v>
      </c>
      <c r="F1097" s="6">
        <f t="shared" si="137"/>
        <v>25</v>
      </c>
      <c r="G1097" s="6">
        <f>ROUND(Catalogue!G58*SQRT((1+Paramètres!$B$4*(C1097-1)+Paramètres!$B$5*(C1097-1)^2)),0)</f>
        <v>0</v>
      </c>
      <c r="H1097" s="6">
        <f>ROUND(Catalogue!H58*SQRT((1+Paramètres!$B$4*(C1097-1)+Paramètres!$B$5*(C1097-1)^2)),0)</f>
        <v>0</v>
      </c>
      <c r="I1097" s="6">
        <v>2</v>
      </c>
      <c r="J1097" s="6">
        <v>4</v>
      </c>
      <c r="K1097" s="7">
        <v>0.35</v>
      </c>
      <c r="L1097" s="9">
        <f t="shared" si="138"/>
        <v>20</v>
      </c>
      <c r="M1097">
        <v>2</v>
      </c>
      <c r="N1097">
        <v>6</v>
      </c>
      <c r="O1097">
        <v>13</v>
      </c>
      <c r="P1097" s="13" t="str">
        <f t="shared" si="139"/>
        <v>2d6 + 13</v>
      </c>
      <c r="Q1097">
        <f>ROUND(INDEX(Catalogue!E$4:E$85,MATCH(A1097,Catalogue!A$4:A$85,0))*(1+Paramètres!$B$4*(C1097-1)+Paramètres!$B$5*(C1097-1)^2),0)</f>
        <v>15</v>
      </c>
      <c r="R1097">
        <f>ROUND(INDEX(Catalogue!F$4:F$85,MATCH(A1097,Catalogue!A$4:A$85,0))*(1+Paramètres!$B$4*(C1097-1)+Paramètres!$B$5*(C1097-1)^2),0)</f>
        <v>26</v>
      </c>
      <c r="S1097">
        <f t="shared" si="140"/>
        <v>-0.5</v>
      </c>
      <c r="T1097" t="str">
        <f t="shared" si="141"/>
        <v>OK</v>
      </c>
      <c r="U1097" s="25">
        <f t="shared" si="142"/>
        <v>20</v>
      </c>
      <c r="V1097" t="str">
        <f t="shared" si="143"/>
        <v>OK</v>
      </c>
    </row>
    <row r="1098" spans="1:22" ht="18" customHeight="1">
      <c r="A1098" t="s">
        <v>270</v>
      </c>
      <c r="B1098" t="s">
        <v>271</v>
      </c>
      <c r="C1098">
        <v>15</v>
      </c>
      <c r="D1098" t="s">
        <v>267</v>
      </c>
      <c r="E1098" s="6">
        <f t="shared" si="136"/>
        <v>18</v>
      </c>
      <c r="F1098" s="6">
        <f t="shared" si="137"/>
        <v>28</v>
      </c>
      <c r="G1098" s="6">
        <f>ROUND(Catalogue!G58*SQRT((1+Paramètres!$B$4*(C1098-1)+Paramètres!$B$5*(C1098-1)^2)),0)</f>
        <v>0</v>
      </c>
      <c r="H1098" s="6">
        <f>ROUND(Catalogue!H58*SQRT((1+Paramètres!$B$4*(C1098-1)+Paramètres!$B$5*(C1098-1)^2)),0)</f>
        <v>0</v>
      </c>
      <c r="I1098" s="6">
        <v>2</v>
      </c>
      <c r="J1098" s="6">
        <v>4</v>
      </c>
      <c r="K1098" s="7">
        <v>0.35</v>
      </c>
      <c r="L1098" s="9">
        <f t="shared" si="138"/>
        <v>23</v>
      </c>
      <c r="M1098">
        <v>2</v>
      </c>
      <c r="N1098">
        <v>6</v>
      </c>
      <c r="O1098">
        <v>16</v>
      </c>
      <c r="P1098" s="13" t="str">
        <f t="shared" si="139"/>
        <v>2d6 + 16</v>
      </c>
      <c r="Q1098">
        <f>ROUND(INDEX(Catalogue!E$4:E$85,MATCH(A1098,Catalogue!A$4:A$85,0))*(1+Paramètres!$B$4*(C1098-1)+Paramètres!$B$5*(C1098-1)^2),0)</f>
        <v>17</v>
      </c>
      <c r="R1098">
        <f>ROUND(INDEX(Catalogue!F$4:F$85,MATCH(A1098,Catalogue!A$4:A$85,0))*(1+Paramètres!$B$4*(C1098-1)+Paramètres!$B$5*(C1098-1)^2),0)</f>
        <v>28</v>
      </c>
      <c r="S1098">
        <f t="shared" si="140"/>
        <v>0.5</v>
      </c>
      <c r="T1098" t="str">
        <f t="shared" si="141"/>
        <v>OK</v>
      </c>
      <c r="U1098" s="25">
        <f t="shared" si="142"/>
        <v>23</v>
      </c>
      <c r="V1098" t="str">
        <f t="shared" si="143"/>
        <v>OK</v>
      </c>
    </row>
    <row r="1099" spans="1:22" ht="18" customHeight="1">
      <c r="A1099" t="s">
        <v>270</v>
      </c>
      <c r="B1099" t="s">
        <v>271</v>
      </c>
      <c r="C1099">
        <v>16</v>
      </c>
      <c r="D1099" t="s">
        <v>267</v>
      </c>
      <c r="E1099" s="6">
        <f t="shared" si="136"/>
        <v>19</v>
      </c>
      <c r="F1099" s="6">
        <f t="shared" si="137"/>
        <v>31</v>
      </c>
      <c r="G1099" s="6">
        <f>ROUND(Catalogue!G58*SQRT((1+Paramètres!$B$4*(C1099-1)+Paramètres!$B$5*(C1099-1)^2)),0)</f>
        <v>0</v>
      </c>
      <c r="H1099" s="6">
        <f>ROUND(Catalogue!H58*SQRT((1+Paramètres!$B$4*(C1099-1)+Paramètres!$B$5*(C1099-1)^2)),0)</f>
        <v>0</v>
      </c>
      <c r="I1099" s="6">
        <v>2</v>
      </c>
      <c r="J1099" s="6">
        <v>4</v>
      </c>
      <c r="K1099" s="7">
        <v>0.35</v>
      </c>
      <c r="L1099" s="9">
        <f t="shared" si="138"/>
        <v>25</v>
      </c>
      <c r="M1099">
        <v>4</v>
      </c>
      <c r="N1099">
        <v>4</v>
      </c>
      <c r="O1099">
        <v>15</v>
      </c>
      <c r="P1099" s="13" t="str">
        <f t="shared" si="139"/>
        <v>4d4 + 15</v>
      </c>
      <c r="Q1099">
        <f>ROUND(INDEX(Catalogue!E$4:E$85,MATCH(A1099,Catalogue!A$4:A$85,0))*(1+Paramètres!$B$4*(C1099-1)+Paramètres!$B$5*(C1099-1)^2),0)</f>
        <v>19</v>
      </c>
      <c r="R1099">
        <f>ROUND(INDEX(Catalogue!F$4:F$85,MATCH(A1099,Catalogue!A$4:A$85,0))*(1+Paramètres!$B$4*(C1099-1)+Paramètres!$B$5*(C1099-1)^2),0)</f>
        <v>31</v>
      </c>
      <c r="S1099">
        <f t="shared" si="140"/>
        <v>0</v>
      </c>
      <c r="T1099" t="str">
        <f t="shared" si="141"/>
        <v>OK</v>
      </c>
      <c r="U1099" s="25">
        <f t="shared" si="142"/>
        <v>25</v>
      </c>
      <c r="V1099" t="str">
        <f t="shared" si="143"/>
        <v>OK</v>
      </c>
    </row>
    <row r="1100" spans="1:22" ht="18" customHeight="1">
      <c r="A1100" t="s">
        <v>270</v>
      </c>
      <c r="B1100" t="s">
        <v>271</v>
      </c>
      <c r="C1100">
        <v>17</v>
      </c>
      <c r="D1100" t="s">
        <v>267</v>
      </c>
      <c r="E1100" s="6">
        <f t="shared" si="136"/>
        <v>20</v>
      </c>
      <c r="F1100" s="6">
        <f t="shared" si="137"/>
        <v>34</v>
      </c>
      <c r="G1100" s="6">
        <f>ROUND(Catalogue!G58*SQRT((1+Paramètres!$B$4*(C1100-1)+Paramètres!$B$5*(C1100-1)^2)),0)</f>
        <v>0</v>
      </c>
      <c r="H1100" s="6">
        <f>ROUND(Catalogue!H58*SQRT((1+Paramètres!$B$4*(C1100-1)+Paramètres!$B$5*(C1100-1)^2)),0)</f>
        <v>0</v>
      </c>
      <c r="I1100" s="6">
        <v>2</v>
      </c>
      <c r="J1100" s="6">
        <v>4</v>
      </c>
      <c r="K1100" s="7">
        <v>0.35</v>
      </c>
      <c r="L1100" s="9">
        <f t="shared" si="138"/>
        <v>27</v>
      </c>
      <c r="M1100">
        <v>2</v>
      </c>
      <c r="N1100">
        <v>8</v>
      </c>
      <c r="O1100">
        <v>18</v>
      </c>
      <c r="P1100" s="13" t="str">
        <f t="shared" si="139"/>
        <v>2d8 + 18</v>
      </c>
      <c r="Q1100">
        <f>ROUND(INDEX(Catalogue!E$4:E$85,MATCH(A1100,Catalogue!A$4:A$85,0))*(1+Paramètres!$B$4*(C1100-1)+Paramètres!$B$5*(C1100-1)^2),0)</f>
        <v>21</v>
      </c>
      <c r="R1100">
        <f>ROUND(INDEX(Catalogue!F$4:F$85,MATCH(A1100,Catalogue!A$4:A$85,0))*(1+Paramètres!$B$4*(C1100-1)+Paramètres!$B$5*(C1100-1)^2),0)</f>
        <v>34</v>
      </c>
      <c r="S1100">
        <f t="shared" si="140"/>
        <v>-0.5</v>
      </c>
      <c r="T1100" t="str">
        <f t="shared" si="141"/>
        <v>OK</v>
      </c>
      <c r="U1100" s="25">
        <f t="shared" si="142"/>
        <v>27</v>
      </c>
      <c r="V1100" t="str">
        <f t="shared" si="143"/>
        <v>OK</v>
      </c>
    </row>
    <row r="1101" spans="1:22" ht="18" customHeight="1">
      <c r="A1101" t="s">
        <v>270</v>
      </c>
      <c r="B1101" t="s">
        <v>271</v>
      </c>
      <c r="C1101">
        <v>18</v>
      </c>
      <c r="D1101" t="s">
        <v>267</v>
      </c>
      <c r="E1101" s="6">
        <f t="shared" si="136"/>
        <v>22</v>
      </c>
      <c r="F1101" s="6">
        <f t="shared" si="137"/>
        <v>37</v>
      </c>
      <c r="G1101" s="6">
        <f>ROUND(Catalogue!G58*SQRT((1+Paramètres!$B$4*(C1101-1)+Paramètres!$B$5*(C1101-1)^2)),0)</f>
        <v>0</v>
      </c>
      <c r="H1101" s="6">
        <f>ROUND(Catalogue!H58*SQRT((1+Paramètres!$B$4*(C1101-1)+Paramètres!$B$5*(C1101-1)^2)),0)</f>
        <v>0</v>
      </c>
      <c r="I1101" s="6">
        <v>2</v>
      </c>
      <c r="J1101" s="6">
        <v>4</v>
      </c>
      <c r="K1101" s="7">
        <v>0.35</v>
      </c>
      <c r="L1101" s="9">
        <f t="shared" si="138"/>
        <v>29.5</v>
      </c>
      <c r="M1101">
        <v>3</v>
      </c>
      <c r="N1101">
        <v>6</v>
      </c>
      <c r="O1101">
        <v>19</v>
      </c>
      <c r="P1101" s="13" t="str">
        <f t="shared" si="139"/>
        <v>3d6 + 19</v>
      </c>
      <c r="Q1101">
        <f>ROUND(INDEX(Catalogue!E$4:E$85,MATCH(A1101,Catalogue!A$4:A$85,0))*(1+Paramètres!$B$4*(C1101-1)+Paramètres!$B$5*(C1101-1)^2),0)</f>
        <v>22</v>
      </c>
      <c r="R1101">
        <f>ROUND(INDEX(Catalogue!F$4:F$85,MATCH(A1101,Catalogue!A$4:A$85,0))*(1+Paramètres!$B$4*(C1101-1)+Paramètres!$B$5*(C1101-1)^2),0)</f>
        <v>37</v>
      </c>
      <c r="S1101">
        <f t="shared" si="140"/>
        <v>0</v>
      </c>
      <c r="T1101" t="str">
        <f t="shared" si="141"/>
        <v>OK</v>
      </c>
      <c r="U1101" s="25">
        <f t="shared" si="142"/>
        <v>29.5</v>
      </c>
      <c r="V1101" t="str">
        <f t="shared" si="143"/>
        <v>OK</v>
      </c>
    </row>
    <row r="1102" spans="1:22" ht="18" customHeight="1">
      <c r="A1102" t="s">
        <v>270</v>
      </c>
      <c r="B1102" t="s">
        <v>271</v>
      </c>
      <c r="C1102">
        <v>19</v>
      </c>
      <c r="D1102" t="s">
        <v>267</v>
      </c>
      <c r="E1102" s="6">
        <f t="shared" si="136"/>
        <v>23</v>
      </c>
      <c r="F1102" s="6">
        <f t="shared" si="137"/>
        <v>41</v>
      </c>
      <c r="G1102" s="6">
        <f>ROUND(Catalogue!G58*SQRT((1+Paramètres!$B$4*(C1102-1)+Paramètres!$B$5*(C1102-1)^2)),0)</f>
        <v>0</v>
      </c>
      <c r="H1102" s="6">
        <f>ROUND(Catalogue!H58*SQRT((1+Paramètres!$B$4*(C1102-1)+Paramètres!$B$5*(C1102-1)^2)),0)</f>
        <v>0</v>
      </c>
      <c r="I1102" s="6">
        <v>2</v>
      </c>
      <c r="J1102" s="6">
        <v>4</v>
      </c>
      <c r="K1102" s="7">
        <v>0.35</v>
      </c>
      <c r="L1102" s="9">
        <f t="shared" si="138"/>
        <v>32</v>
      </c>
      <c r="M1102">
        <v>6</v>
      </c>
      <c r="N1102">
        <v>4</v>
      </c>
      <c r="O1102">
        <v>17</v>
      </c>
      <c r="P1102" s="13" t="str">
        <f t="shared" si="139"/>
        <v>6d4 + 17</v>
      </c>
      <c r="Q1102">
        <f>ROUND(INDEX(Catalogue!E$4:E$85,MATCH(A1102,Catalogue!A$4:A$85,0))*(1+Paramètres!$B$4*(C1102-1)+Paramètres!$B$5*(C1102-1)^2),0)</f>
        <v>24</v>
      </c>
      <c r="R1102">
        <f>ROUND(INDEX(Catalogue!F$4:F$85,MATCH(A1102,Catalogue!A$4:A$85,0))*(1+Paramètres!$B$4*(C1102-1)+Paramètres!$B$5*(C1102-1)^2),0)</f>
        <v>41</v>
      </c>
      <c r="S1102">
        <f t="shared" si="140"/>
        <v>-0.5</v>
      </c>
      <c r="T1102" t="str">
        <f t="shared" si="141"/>
        <v>OK</v>
      </c>
      <c r="U1102" s="25">
        <f t="shared" si="142"/>
        <v>32</v>
      </c>
      <c r="V1102" t="str">
        <f t="shared" si="143"/>
        <v>OK</v>
      </c>
    </row>
    <row r="1103" spans="1:22" ht="18" customHeight="1">
      <c r="A1103" t="s">
        <v>270</v>
      </c>
      <c r="B1103" t="s">
        <v>271</v>
      </c>
      <c r="C1103">
        <v>20</v>
      </c>
      <c r="D1103" t="s">
        <v>267</v>
      </c>
      <c r="E1103" s="6">
        <f t="shared" si="136"/>
        <v>26</v>
      </c>
      <c r="F1103" s="6">
        <f t="shared" si="137"/>
        <v>44</v>
      </c>
      <c r="G1103" s="6">
        <f>ROUND(Catalogue!G58*SQRT((1+Paramètres!$B$4*(C1103-1)+Paramètres!$B$5*(C1103-1)^2)),0)</f>
        <v>0</v>
      </c>
      <c r="H1103" s="6">
        <f>ROUND(Catalogue!H58*SQRT((1+Paramètres!$B$4*(C1103-1)+Paramètres!$B$5*(C1103-1)^2)),0)</f>
        <v>0</v>
      </c>
      <c r="I1103" s="6">
        <v>2</v>
      </c>
      <c r="J1103" s="6">
        <v>4</v>
      </c>
      <c r="K1103" s="7">
        <v>0.35</v>
      </c>
      <c r="L1103" s="9">
        <f t="shared" si="138"/>
        <v>35</v>
      </c>
      <c r="M1103">
        <v>6</v>
      </c>
      <c r="N1103">
        <v>4</v>
      </c>
      <c r="O1103">
        <v>20</v>
      </c>
      <c r="P1103" s="13" t="str">
        <f t="shared" si="139"/>
        <v>6d4 + 20</v>
      </c>
      <c r="Q1103">
        <f>ROUND(INDEX(Catalogue!E$4:E$85,MATCH(A1103,Catalogue!A$4:A$85,0))*(1+Paramètres!$B$4*(C1103-1)+Paramètres!$B$5*(C1103-1)^2),0)</f>
        <v>27</v>
      </c>
      <c r="R1103">
        <f>ROUND(INDEX(Catalogue!F$4:F$85,MATCH(A1103,Catalogue!A$4:A$85,0))*(1+Paramètres!$B$4*(C1103-1)+Paramètres!$B$5*(C1103-1)^2),0)</f>
        <v>44</v>
      </c>
      <c r="S1103">
        <f t="shared" si="140"/>
        <v>-0.5</v>
      </c>
      <c r="T1103" t="str">
        <f t="shared" si="141"/>
        <v>OK</v>
      </c>
      <c r="U1103" s="25">
        <f t="shared" si="142"/>
        <v>35</v>
      </c>
      <c r="V1103" t="str">
        <f t="shared" si="143"/>
        <v>OK</v>
      </c>
    </row>
    <row r="1104" spans="1:22" ht="18" customHeight="1">
      <c r="A1104" t="s">
        <v>272</v>
      </c>
      <c r="B1104" t="s">
        <v>273</v>
      </c>
      <c r="C1104">
        <v>1</v>
      </c>
      <c r="D1104" t="s">
        <v>267</v>
      </c>
      <c r="E1104" s="6">
        <f t="shared" si="136"/>
        <v>4</v>
      </c>
      <c r="F1104" s="6">
        <f t="shared" si="137"/>
        <v>7</v>
      </c>
      <c r="G1104" s="6">
        <f>ROUND(Catalogue!G59*SQRT((1+Paramètres!$B$4*(C1104-1)+Paramètres!$B$5*(C1104-1)^2)),0)</f>
        <v>0</v>
      </c>
      <c r="H1104" s="6">
        <f>ROUND(Catalogue!H59*SQRT((1+Paramètres!$B$4*(C1104-1)+Paramètres!$B$5*(C1104-1)^2)),0)</f>
        <v>0</v>
      </c>
      <c r="I1104" s="6">
        <v>2</v>
      </c>
      <c r="J1104" s="6">
        <v>4</v>
      </c>
      <c r="K1104" s="7">
        <v>1.1000000000000001</v>
      </c>
      <c r="L1104" s="9">
        <f t="shared" si="138"/>
        <v>5.5</v>
      </c>
      <c r="M1104">
        <v>1</v>
      </c>
      <c r="N1104">
        <v>4</v>
      </c>
      <c r="O1104">
        <v>3</v>
      </c>
      <c r="P1104" s="13" t="str">
        <f t="shared" si="139"/>
        <v>1d4 + 3</v>
      </c>
      <c r="Q1104">
        <f>ROUND(INDEX(Catalogue!E$4:E$85,MATCH(A1104,Catalogue!A$4:A$85,0))*(1+Paramètres!$B$4*(C1104-1)+Paramètres!$B$5*(C1104-1)^2),0)</f>
        <v>4</v>
      </c>
      <c r="R1104">
        <f>ROUND(INDEX(Catalogue!F$4:F$85,MATCH(A1104,Catalogue!A$4:A$85,0))*(1+Paramètres!$B$4*(C1104-1)+Paramètres!$B$5*(C1104-1)^2),0)</f>
        <v>7</v>
      </c>
      <c r="S1104">
        <f t="shared" si="140"/>
        <v>0</v>
      </c>
      <c r="T1104" t="str">
        <f t="shared" si="141"/>
        <v>OK</v>
      </c>
      <c r="U1104" s="25">
        <f t="shared" si="142"/>
        <v>5.5</v>
      </c>
      <c r="V1104" t="str">
        <f t="shared" si="143"/>
        <v>OK</v>
      </c>
    </row>
    <row r="1105" spans="1:22" ht="18" customHeight="1">
      <c r="A1105" t="s">
        <v>272</v>
      </c>
      <c r="B1105" t="s">
        <v>273</v>
      </c>
      <c r="C1105">
        <v>2</v>
      </c>
      <c r="D1105" t="s">
        <v>267</v>
      </c>
      <c r="E1105" s="6">
        <f t="shared" si="136"/>
        <v>5</v>
      </c>
      <c r="F1105" s="6">
        <f t="shared" si="137"/>
        <v>8</v>
      </c>
      <c r="G1105" s="6">
        <f>ROUND(Catalogue!G59*SQRT((1+Paramètres!$B$4*(C1105-1)+Paramètres!$B$5*(C1105-1)^2)),0)</f>
        <v>0</v>
      </c>
      <c r="H1105" s="6">
        <f>ROUND(Catalogue!H59*SQRT((1+Paramètres!$B$4*(C1105-1)+Paramètres!$B$5*(C1105-1)^2)),0)</f>
        <v>0</v>
      </c>
      <c r="I1105" s="6">
        <v>2</v>
      </c>
      <c r="J1105" s="6">
        <v>4</v>
      </c>
      <c r="K1105" s="7">
        <v>1.1000000000000001</v>
      </c>
      <c r="L1105" s="9">
        <f t="shared" si="138"/>
        <v>6.5</v>
      </c>
      <c r="M1105">
        <v>1</v>
      </c>
      <c r="N1105">
        <v>4</v>
      </c>
      <c r="O1105">
        <v>4</v>
      </c>
      <c r="P1105" s="13" t="str">
        <f t="shared" si="139"/>
        <v>1d4 + 4</v>
      </c>
      <c r="Q1105">
        <f>ROUND(INDEX(Catalogue!E$4:E$85,MATCH(A1105,Catalogue!A$4:A$85,0))*(1+Paramètres!$B$4*(C1105-1)+Paramètres!$B$5*(C1105-1)^2),0)</f>
        <v>5</v>
      </c>
      <c r="R1105">
        <f>ROUND(INDEX(Catalogue!F$4:F$85,MATCH(A1105,Catalogue!A$4:A$85,0))*(1+Paramètres!$B$4*(C1105-1)+Paramètres!$B$5*(C1105-1)^2),0)</f>
        <v>8</v>
      </c>
      <c r="S1105">
        <f t="shared" si="140"/>
        <v>0</v>
      </c>
      <c r="T1105" t="str">
        <f t="shared" si="141"/>
        <v>OK</v>
      </c>
      <c r="U1105" s="25">
        <f t="shared" si="142"/>
        <v>6.5</v>
      </c>
      <c r="V1105" t="str">
        <f t="shared" si="143"/>
        <v>OK</v>
      </c>
    </row>
    <row r="1106" spans="1:22" ht="18" customHeight="1">
      <c r="A1106" t="s">
        <v>272</v>
      </c>
      <c r="B1106" t="s">
        <v>273</v>
      </c>
      <c r="C1106">
        <v>3</v>
      </c>
      <c r="D1106" t="s">
        <v>267</v>
      </c>
      <c r="E1106" s="6">
        <f t="shared" si="136"/>
        <v>5</v>
      </c>
      <c r="F1106" s="6">
        <f t="shared" si="137"/>
        <v>8</v>
      </c>
      <c r="G1106" s="6">
        <f>ROUND(Catalogue!G59*SQRT((1+Paramètres!$B$4*(C1106-1)+Paramètres!$B$5*(C1106-1)^2)),0)</f>
        <v>0</v>
      </c>
      <c r="H1106" s="6">
        <f>ROUND(Catalogue!H59*SQRT((1+Paramètres!$B$4*(C1106-1)+Paramètres!$B$5*(C1106-1)^2)),0)</f>
        <v>0</v>
      </c>
      <c r="I1106" s="6">
        <v>2</v>
      </c>
      <c r="J1106" s="6">
        <v>4</v>
      </c>
      <c r="K1106" s="7">
        <v>1.1000000000000001</v>
      </c>
      <c r="L1106" s="9">
        <f t="shared" si="138"/>
        <v>6.5</v>
      </c>
      <c r="M1106">
        <v>1</v>
      </c>
      <c r="N1106">
        <v>4</v>
      </c>
      <c r="O1106">
        <v>4</v>
      </c>
      <c r="P1106" s="13" t="str">
        <f t="shared" si="139"/>
        <v>1d4 + 4</v>
      </c>
      <c r="Q1106">
        <f>ROUND(INDEX(Catalogue!E$4:E$85,MATCH(A1106,Catalogue!A$4:A$85,0))*(1+Paramètres!$B$4*(C1106-1)+Paramètres!$B$5*(C1106-1)^2),0)</f>
        <v>5</v>
      </c>
      <c r="R1106">
        <f>ROUND(INDEX(Catalogue!F$4:F$85,MATCH(A1106,Catalogue!A$4:A$85,0))*(1+Paramètres!$B$4*(C1106-1)+Paramètres!$B$5*(C1106-1)^2),0)</f>
        <v>9</v>
      </c>
      <c r="S1106">
        <f t="shared" si="140"/>
        <v>-0.5</v>
      </c>
      <c r="T1106" t="str">
        <f t="shared" si="141"/>
        <v>OK</v>
      </c>
      <c r="U1106" s="25">
        <f t="shared" si="142"/>
        <v>6.5</v>
      </c>
      <c r="V1106" t="str">
        <f t="shared" si="143"/>
        <v>OK</v>
      </c>
    </row>
    <row r="1107" spans="1:22" ht="18" customHeight="1">
      <c r="A1107" t="s">
        <v>272</v>
      </c>
      <c r="B1107" t="s">
        <v>273</v>
      </c>
      <c r="C1107">
        <v>4</v>
      </c>
      <c r="D1107" t="s">
        <v>267</v>
      </c>
      <c r="E1107" s="6">
        <f t="shared" si="136"/>
        <v>6</v>
      </c>
      <c r="F1107" s="6">
        <f t="shared" si="137"/>
        <v>9</v>
      </c>
      <c r="G1107" s="6">
        <f>ROUND(Catalogue!G59*SQRT((1+Paramètres!$B$4*(C1107-1)+Paramètres!$B$5*(C1107-1)^2)),0)</f>
        <v>0</v>
      </c>
      <c r="H1107" s="6">
        <f>ROUND(Catalogue!H59*SQRT((1+Paramètres!$B$4*(C1107-1)+Paramètres!$B$5*(C1107-1)^2)),0)</f>
        <v>0</v>
      </c>
      <c r="I1107" s="6">
        <v>2</v>
      </c>
      <c r="J1107" s="6">
        <v>4</v>
      </c>
      <c r="K1107" s="7">
        <v>1.1000000000000001</v>
      </c>
      <c r="L1107" s="9">
        <f t="shared" si="138"/>
        <v>7.5</v>
      </c>
      <c r="M1107">
        <v>1</v>
      </c>
      <c r="N1107">
        <v>4</v>
      </c>
      <c r="O1107">
        <v>5</v>
      </c>
      <c r="P1107" s="13" t="str">
        <f t="shared" si="139"/>
        <v>1d4 + 5</v>
      </c>
      <c r="Q1107">
        <f>ROUND(INDEX(Catalogue!E$4:E$85,MATCH(A1107,Catalogue!A$4:A$85,0))*(1+Paramètres!$B$4*(C1107-1)+Paramètres!$B$5*(C1107-1)^2),0)</f>
        <v>6</v>
      </c>
      <c r="R1107">
        <f>ROUND(INDEX(Catalogue!F$4:F$85,MATCH(A1107,Catalogue!A$4:A$85,0))*(1+Paramètres!$B$4*(C1107-1)+Paramètres!$B$5*(C1107-1)^2),0)</f>
        <v>10</v>
      </c>
      <c r="S1107">
        <f t="shared" si="140"/>
        <v>-0.5</v>
      </c>
      <c r="T1107" t="str">
        <f t="shared" si="141"/>
        <v>OK</v>
      </c>
      <c r="U1107" s="25">
        <f t="shared" si="142"/>
        <v>7.5</v>
      </c>
      <c r="V1107" t="str">
        <f t="shared" si="143"/>
        <v>OK</v>
      </c>
    </row>
    <row r="1108" spans="1:22" ht="18" customHeight="1">
      <c r="A1108" t="s">
        <v>272</v>
      </c>
      <c r="B1108" t="s">
        <v>273</v>
      </c>
      <c r="C1108">
        <v>5</v>
      </c>
      <c r="D1108" t="s">
        <v>267</v>
      </c>
      <c r="E1108" s="6">
        <f t="shared" si="136"/>
        <v>7</v>
      </c>
      <c r="F1108" s="6">
        <f t="shared" si="137"/>
        <v>12</v>
      </c>
      <c r="G1108" s="6">
        <f>ROUND(Catalogue!G59*SQRT((1+Paramètres!$B$4*(C1108-1)+Paramètres!$B$5*(C1108-1)^2)),0)</f>
        <v>0</v>
      </c>
      <c r="H1108" s="6">
        <f>ROUND(Catalogue!H59*SQRT((1+Paramètres!$B$4*(C1108-1)+Paramètres!$B$5*(C1108-1)^2)),0)</f>
        <v>0</v>
      </c>
      <c r="I1108" s="6">
        <v>2</v>
      </c>
      <c r="J1108" s="6">
        <v>4</v>
      </c>
      <c r="K1108" s="7">
        <v>1.1000000000000001</v>
      </c>
      <c r="L1108" s="9">
        <f t="shared" si="138"/>
        <v>9.5</v>
      </c>
      <c r="M1108">
        <v>1</v>
      </c>
      <c r="N1108">
        <v>6</v>
      </c>
      <c r="O1108">
        <v>6</v>
      </c>
      <c r="P1108" s="13" t="str">
        <f t="shared" si="139"/>
        <v>1d6 + 6</v>
      </c>
      <c r="Q1108">
        <f>ROUND(INDEX(Catalogue!E$4:E$85,MATCH(A1108,Catalogue!A$4:A$85,0))*(1+Paramètres!$B$4*(C1108-1)+Paramètres!$B$5*(C1108-1)^2),0)</f>
        <v>7</v>
      </c>
      <c r="R1108">
        <f>ROUND(INDEX(Catalogue!F$4:F$85,MATCH(A1108,Catalogue!A$4:A$85,0))*(1+Paramètres!$B$4*(C1108-1)+Paramètres!$B$5*(C1108-1)^2),0)</f>
        <v>12</v>
      </c>
      <c r="S1108">
        <f t="shared" si="140"/>
        <v>0</v>
      </c>
      <c r="T1108" t="str">
        <f t="shared" si="141"/>
        <v>OK</v>
      </c>
      <c r="U1108" s="25">
        <f t="shared" si="142"/>
        <v>9.5</v>
      </c>
      <c r="V1108" t="str">
        <f t="shared" si="143"/>
        <v>OK</v>
      </c>
    </row>
    <row r="1109" spans="1:22" ht="18" customHeight="1">
      <c r="A1109" t="s">
        <v>272</v>
      </c>
      <c r="B1109" t="s">
        <v>273</v>
      </c>
      <c r="C1109">
        <v>6</v>
      </c>
      <c r="D1109" t="s">
        <v>267</v>
      </c>
      <c r="E1109" s="6">
        <f t="shared" si="136"/>
        <v>8</v>
      </c>
      <c r="F1109" s="6">
        <f t="shared" si="137"/>
        <v>14</v>
      </c>
      <c r="G1109" s="6">
        <f>ROUND(Catalogue!G59*SQRT((1+Paramètres!$B$4*(C1109-1)+Paramètres!$B$5*(C1109-1)^2)),0)</f>
        <v>0</v>
      </c>
      <c r="H1109" s="6">
        <f>ROUND(Catalogue!H59*SQRT((1+Paramètres!$B$4*(C1109-1)+Paramètres!$B$5*(C1109-1)^2)),0)</f>
        <v>0</v>
      </c>
      <c r="I1109" s="6">
        <v>2</v>
      </c>
      <c r="J1109" s="6">
        <v>4</v>
      </c>
      <c r="K1109" s="7">
        <v>1.1000000000000001</v>
      </c>
      <c r="L1109" s="9">
        <f t="shared" si="138"/>
        <v>11</v>
      </c>
      <c r="M1109">
        <v>2</v>
      </c>
      <c r="N1109">
        <v>4</v>
      </c>
      <c r="O1109">
        <v>6</v>
      </c>
      <c r="P1109" s="13" t="str">
        <f t="shared" si="139"/>
        <v>2d4 + 6</v>
      </c>
      <c r="Q1109">
        <f>ROUND(INDEX(Catalogue!E$4:E$85,MATCH(A1109,Catalogue!A$4:A$85,0))*(1+Paramètres!$B$4*(C1109-1)+Paramètres!$B$5*(C1109-1)^2),0)</f>
        <v>8</v>
      </c>
      <c r="R1109">
        <f>ROUND(INDEX(Catalogue!F$4:F$85,MATCH(A1109,Catalogue!A$4:A$85,0))*(1+Paramètres!$B$4*(C1109-1)+Paramètres!$B$5*(C1109-1)^2),0)</f>
        <v>14</v>
      </c>
      <c r="S1109">
        <f t="shared" si="140"/>
        <v>0</v>
      </c>
      <c r="T1109" t="str">
        <f t="shared" si="141"/>
        <v>OK</v>
      </c>
      <c r="U1109" s="25">
        <f t="shared" si="142"/>
        <v>11</v>
      </c>
      <c r="V1109" t="str">
        <f t="shared" si="143"/>
        <v>OK</v>
      </c>
    </row>
    <row r="1110" spans="1:22" ht="18" customHeight="1">
      <c r="A1110" t="s">
        <v>272</v>
      </c>
      <c r="B1110" t="s">
        <v>273</v>
      </c>
      <c r="C1110">
        <v>7</v>
      </c>
      <c r="D1110" t="s">
        <v>267</v>
      </c>
      <c r="E1110" s="6">
        <f t="shared" si="136"/>
        <v>9</v>
      </c>
      <c r="F1110" s="6">
        <f t="shared" si="137"/>
        <v>16</v>
      </c>
      <c r="G1110" s="6">
        <f>ROUND(Catalogue!G59*SQRT((1+Paramètres!$B$4*(C1110-1)+Paramètres!$B$5*(C1110-1)^2)),0)</f>
        <v>0</v>
      </c>
      <c r="H1110" s="6">
        <f>ROUND(Catalogue!H59*SQRT((1+Paramètres!$B$4*(C1110-1)+Paramètres!$B$5*(C1110-1)^2)),0)</f>
        <v>0</v>
      </c>
      <c r="I1110" s="6">
        <v>2</v>
      </c>
      <c r="J1110" s="6">
        <v>4</v>
      </c>
      <c r="K1110" s="7">
        <v>1.1000000000000001</v>
      </c>
      <c r="L1110" s="9">
        <f t="shared" si="138"/>
        <v>12.5</v>
      </c>
      <c r="M1110">
        <v>1</v>
      </c>
      <c r="N1110">
        <v>8</v>
      </c>
      <c r="O1110">
        <v>8</v>
      </c>
      <c r="P1110" s="13" t="str">
        <f t="shared" si="139"/>
        <v>1d8 + 8</v>
      </c>
      <c r="Q1110">
        <f>ROUND(INDEX(Catalogue!E$4:E$85,MATCH(A1110,Catalogue!A$4:A$85,0))*(1+Paramètres!$B$4*(C1110-1)+Paramètres!$B$5*(C1110-1)^2),0)</f>
        <v>9</v>
      </c>
      <c r="R1110">
        <f>ROUND(INDEX(Catalogue!F$4:F$85,MATCH(A1110,Catalogue!A$4:A$85,0))*(1+Paramètres!$B$4*(C1110-1)+Paramètres!$B$5*(C1110-1)^2),0)</f>
        <v>16</v>
      </c>
      <c r="S1110">
        <f t="shared" si="140"/>
        <v>0</v>
      </c>
      <c r="T1110" t="str">
        <f t="shared" si="141"/>
        <v>OK</v>
      </c>
      <c r="U1110" s="25">
        <f t="shared" si="142"/>
        <v>12.5</v>
      </c>
      <c r="V1110" t="str">
        <f t="shared" si="143"/>
        <v>OK</v>
      </c>
    </row>
    <row r="1111" spans="1:22" ht="18" customHeight="1">
      <c r="A1111" t="s">
        <v>272</v>
      </c>
      <c r="B1111" t="s">
        <v>273</v>
      </c>
      <c r="C1111">
        <v>8</v>
      </c>
      <c r="D1111" t="s">
        <v>267</v>
      </c>
      <c r="E1111" s="6">
        <f t="shared" si="136"/>
        <v>9</v>
      </c>
      <c r="F1111" s="6">
        <f t="shared" si="137"/>
        <v>18</v>
      </c>
      <c r="G1111" s="6">
        <f>ROUND(Catalogue!G59*SQRT((1+Paramètres!$B$4*(C1111-1)+Paramètres!$B$5*(C1111-1)^2)),0)</f>
        <v>0</v>
      </c>
      <c r="H1111" s="6">
        <f>ROUND(Catalogue!H59*SQRT((1+Paramètres!$B$4*(C1111-1)+Paramètres!$B$5*(C1111-1)^2)),0)</f>
        <v>0</v>
      </c>
      <c r="I1111" s="6">
        <v>2</v>
      </c>
      <c r="J1111" s="6">
        <v>4</v>
      </c>
      <c r="K1111" s="7">
        <v>1.1000000000000001</v>
      </c>
      <c r="L1111" s="9">
        <f t="shared" si="138"/>
        <v>13.5</v>
      </c>
      <c r="M1111">
        <v>3</v>
      </c>
      <c r="N1111">
        <v>4</v>
      </c>
      <c r="O1111">
        <v>6</v>
      </c>
      <c r="P1111" s="13" t="str">
        <f t="shared" si="139"/>
        <v>3d4 + 6</v>
      </c>
      <c r="Q1111">
        <f>ROUND(INDEX(Catalogue!E$4:E$85,MATCH(A1111,Catalogue!A$4:A$85,0))*(1+Paramètres!$B$4*(C1111-1)+Paramètres!$B$5*(C1111-1)^2),0)</f>
        <v>10</v>
      </c>
      <c r="R1111">
        <f>ROUND(INDEX(Catalogue!F$4:F$85,MATCH(A1111,Catalogue!A$4:A$85,0))*(1+Paramètres!$B$4*(C1111-1)+Paramètres!$B$5*(C1111-1)^2),0)</f>
        <v>18</v>
      </c>
      <c r="S1111">
        <f t="shared" si="140"/>
        <v>-0.5</v>
      </c>
      <c r="T1111" t="str">
        <f t="shared" si="141"/>
        <v>OK</v>
      </c>
      <c r="U1111" s="25">
        <f t="shared" si="142"/>
        <v>13.5</v>
      </c>
      <c r="V1111" t="str">
        <f t="shared" si="143"/>
        <v>OK</v>
      </c>
    </row>
    <row r="1112" spans="1:22" ht="18" customHeight="1">
      <c r="A1112" t="s">
        <v>272</v>
      </c>
      <c r="B1112" t="s">
        <v>273</v>
      </c>
      <c r="C1112">
        <v>9</v>
      </c>
      <c r="D1112" t="s">
        <v>267</v>
      </c>
      <c r="E1112" s="6">
        <f t="shared" si="136"/>
        <v>11</v>
      </c>
      <c r="F1112" s="6">
        <f t="shared" si="137"/>
        <v>20</v>
      </c>
      <c r="G1112" s="6">
        <f>ROUND(Catalogue!G59*SQRT((1+Paramètres!$B$4*(C1112-1)+Paramètres!$B$5*(C1112-1)^2)),0)</f>
        <v>0</v>
      </c>
      <c r="H1112" s="6">
        <f>ROUND(Catalogue!H59*SQRT((1+Paramètres!$B$4*(C1112-1)+Paramètres!$B$5*(C1112-1)^2)),0)</f>
        <v>0</v>
      </c>
      <c r="I1112" s="6">
        <v>2</v>
      </c>
      <c r="J1112" s="6">
        <v>4</v>
      </c>
      <c r="K1112" s="7">
        <v>1.1000000000000001</v>
      </c>
      <c r="L1112" s="9">
        <f t="shared" si="138"/>
        <v>15.5</v>
      </c>
      <c r="M1112">
        <v>3</v>
      </c>
      <c r="N1112">
        <v>4</v>
      </c>
      <c r="O1112">
        <v>8</v>
      </c>
      <c r="P1112" s="13" t="str">
        <f t="shared" si="139"/>
        <v>3d4 + 8</v>
      </c>
      <c r="Q1112">
        <f>ROUND(INDEX(Catalogue!E$4:E$85,MATCH(A1112,Catalogue!A$4:A$85,0))*(1+Paramètres!$B$4*(C1112-1)+Paramètres!$B$5*(C1112-1)^2),0)</f>
        <v>12</v>
      </c>
      <c r="R1112">
        <f>ROUND(INDEX(Catalogue!F$4:F$85,MATCH(A1112,Catalogue!A$4:A$85,0))*(1+Paramètres!$B$4*(C1112-1)+Paramètres!$B$5*(C1112-1)^2),0)</f>
        <v>20</v>
      </c>
      <c r="S1112">
        <f t="shared" si="140"/>
        <v>-0.5</v>
      </c>
      <c r="T1112" t="str">
        <f t="shared" si="141"/>
        <v>OK</v>
      </c>
      <c r="U1112" s="25">
        <f t="shared" si="142"/>
        <v>15.5</v>
      </c>
      <c r="V1112" t="str">
        <f t="shared" si="143"/>
        <v>OK</v>
      </c>
    </row>
    <row r="1113" spans="1:22" ht="18" customHeight="1">
      <c r="A1113" t="s">
        <v>272</v>
      </c>
      <c r="B1113" t="s">
        <v>273</v>
      </c>
      <c r="C1113">
        <v>10</v>
      </c>
      <c r="D1113" t="s">
        <v>267</v>
      </c>
      <c r="E1113" s="6">
        <f t="shared" si="136"/>
        <v>13</v>
      </c>
      <c r="F1113" s="6">
        <f t="shared" si="137"/>
        <v>23</v>
      </c>
      <c r="G1113" s="6">
        <f>ROUND(Catalogue!G59*SQRT((1+Paramètres!$B$4*(C1113-1)+Paramètres!$B$5*(C1113-1)^2)),0)</f>
        <v>0</v>
      </c>
      <c r="H1113" s="6">
        <f>ROUND(Catalogue!H59*SQRT((1+Paramètres!$B$4*(C1113-1)+Paramètres!$B$5*(C1113-1)^2)),0)</f>
        <v>0</v>
      </c>
      <c r="I1113" s="6">
        <v>2</v>
      </c>
      <c r="J1113" s="6">
        <v>4</v>
      </c>
      <c r="K1113" s="7">
        <v>1.1000000000000001</v>
      </c>
      <c r="L1113" s="9">
        <f t="shared" si="138"/>
        <v>18</v>
      </c>
      <c r="M1113">
        <v>2</v>
      </c>
      <c r="N1113">
        <v>6</v>
      </c>
      <c r="O1113">
        <v>11</v>
      </c>
      <c r="P1113" s="13" t="str">
        <f t="shared" si="139"/>
        <v>2d6 + 11</v>
      </c>
      <c r="Q1113">
        <f>ROUND(INDEX(Catalogue!E$4:E$85,MATCH(A1113,Catalogue!A$4:A$85,0))*(1+Paramètres!$B$4*(C1113-1)+Paramètres!$B$5*(C1113-1)^2),0)</f>
        <v>13</v>
      </c>
      <c r="R1113">
        <f>ROUND(INDEX(Catalogue!F$4:F$85,MATCH(A1113,Catalogue!A$4:A$85,0))*(1+Paramètres!$B$4*(C1113-1)+Paramètres!$B$5*(C1113-1)^2),0)</f>
        <v>23</v>
      </c>
      <c r="S1113">
        <f t="shared" si="140"/>
        <v>0</v>
      </c>
      <c r="T1113" t="str">
        <f t="shared" si="141"/>
        <v>OK</v>
      </c>
      <c r="U1113" s="25">
        <f t="shared" si="142"/>
        <v>18</v>
      </c>
      <c r="V1113" t="str">
        <f t="shared" si="143"/>
        <v>OK</v>
      </c>
    </row>
    <row r="1114" spans="1:22" ht="18" customHeight="1">
      <c r="A1114" t="s">
        <v>272</v>
      </c>
      <c r="B1114" t="s">
        <v>273</v>
      </c>
      <c r="C1114">
        <v>11</v>
      </c>
      <c r="D1114" t="s">
        <v>267</v>
      </c>
      <c r="E1114" s="6">
        <f t="shared" si="136"/>
        <v>15</v>
      </c>
      <c r="F1114" s="6">
        <f t="shared" si="137"/>
        <v>25</v>
      </c>
      <c r="G1114" s="6">
        <f>ROUND(Catalogue!G59*SQRT((1+Paramètres!$B$4*(C1114-1)+Paramètres!$B$5*(C1114-1)^2)),0)</f>
        <v>0</v>
      </c>
      <c r="H1114" s="6">
        <f>ROUND(Catalogue!H59*SQRT((1+Paramètres!$B$4*(C1114-1)+Paramètres!$B$5*(C1114-1)^2)),0)</f>
        <v>0</v>
      </c>
      <c r="I1114" s="6">
        <v>2</v>
      </c>
      <c r="J1114" s="6">
        <v>4</v>
      </c>
      <c r="K1114" s="7">
        <v>1.1000000000000001</v>
      </c>
      <c r="L1114" s="9">
        <f t="shared" si="138"/>
        <v>20</v>
      </c>
      <c r="M1114">
        <v>2</v>
      </c>
      <c r="N1114">
        <v>6</v>
      </c>
      <c r="O1114">
        <v>13</v>
      </c>
      <c r="P1114" s="13" t="str">
        <f t="shared" si="139"/>
        <v>2d6 + 13</v>
      </c>
      <c r="Q1114">
        <f>ROUND(INDEX(Catalogue!E$4:E$85,MATCH(A1114,Catalogue!A$4:A$85,0))*(1+Paramètres!$B$4*(C1114-1)+Paramètres!$B$5*(C1114-1)^2),0)</f>
        <v>15</v>
      </c>
      <c r="R1114">
        <f>ROUND(INDEX(Catalogue!F$4:F$85,MATCH(A1114,Catalogue!A$4:A$85,0))*(1+Paramètres!$B$4*(C1114-1)+Paramètres!$B$5*(C1114-1)^2),0)</f>
        <v>26</v>
      </c>
      <c r="S1114">
        <f t="shared" si="140"/>
        <v>-0.5</v>
      </c>
      <c r="T1114" t="str">
        <f t="shared" si="141"/>
        <v>OK</v>
      </c>
      <c r="U1114" s="25">
        <f t="shared" si="142"/>
        <v>20</v>
      </c>
      <c r="V1114" t="str">
        <f t="shared" si="143"/>
        <v>OK</v>
      </c>
    </row>
    <row r="1115" spans="1:22" ht="18" customHeight="1">
      <c r="A1115" t="s">
        <v>272</v>
      </c>
      <c r="B1115" t="s">
        <v>273</v>
      </c>
      <c r="C1115">
        <v>12</v>
      </c>
      <c r="D1115" t="s">
        <v>267</v>
      </c>
      <c r="E1115" s="6">
        <f t="shared" si="136"/>
        <v>17</v>
      </c>
      <c r="F1115" s="6">
        <f t="shared" si="137"/>
        <v>29</v>
      </c>
      <c r="G1115" s="6">
        <f>ROUND(Catalogue!G59*SQRT((1+Paramètres!$B$4*(C1115-1)+Paramètres!$B$5*(C1115-1)^2)),0)</f>
        <v>0</v>
      </c>
      <c r="H1115" s="6">
        <f>ROUND(Catalogue!H59*SQRT((1+Paramètres!$B$4*(C1115-1)+Paramètres!$B$5*(C1115-1)^2)),0)</f>
        <v>0</v>
      </c>
      <c r="I1115" s="6">
        <v>2</v>
      </c>
      <c r="J1115" s="6">
        <v>4</v>
      </c>
      <c r="K1115" s="7">
        <v>1.1000000000000001</v>
      </c>
      <c r="L1115" s="9">
        <f t="shared" si="138"/>
        <v>23</v>
      </c>
      <c r="M1115">
        <v>4</v>
      </c>
      <c r="N1115">
        <v>4</v>
      </c>
      <c r="O1115">
        <v>13</v>
      </c>
      <c r="P1115" s="13" t="str">
        <f t="shared" si="139"/>
        <v>4d4 + 13</v>
      </c>
      <c r="Q1115">
        <f>ROUND(INDEX(Catalogue!E$4:E$85,MATCH(A1115,Catalogue!A$4:A$85,0))*(1+Paramètres!$B$4*(C1115-1)+Paramètres!$B$5*(C1115-1)^2),0)</f>
        <v>17</v>
      </c>
      <c r="R1115">
        <f>ROUND(INDEX(Catalogue!F$4:F$85,MATCH(A1115,Catalogue!A$4:A$85,0))*(1+Paramètres!$B$4*(C1115-1)+Paramètres!$B$5*(C1115-1)^2),0)</f>
        <v>29</v>
      </c>
      <c r="S1115">
        <f t="shared" si="140"/>
        <v>0</v>
      </c>
      <c r="T1115" t="str">
        <f t="shared" si="141"/>
        <v>OK</v>
      </c>
      <c r="U1115" s="25">
        <f t="shared" si="142"/>
        <v>23</v>
      </c>
      <c r="V1115" t="str">
        <f t="shared" si="143"/>
        <v>OK</v>
      </c>
    </row>
    <row r="1116" spans="1:22" ht="18" customHeight="1">
      <c r="A1116" t="s">
        <v>272</v>
      </c>
      <c r="B1116" t="s">
        <v>273</v>
      </c>
      <c r="C1116">
        <v>13</v>
      </c>
      <c r="D1116" t="s">
        <v>267</v>
      </c>
      <c r="E1116" s="6">
        <f t="shared" si="136"/>
        <v>18</v>
      </c>
      <c r="F1116" s="6">
        <f t="shared" si="137"/>
        <v>32</v>
      </c>
      <c r="G1116" s="6">
        <f>ROUND(Catalogue!G59*SQRT((1+Paramètres!$B$4*(C1116-1)+Paramètres!$B$5*(C1116-1)^2)),0)</f>
        <v>0</v>
      </c>
      <c r="H1116" s="6">
        <f>ROUND(Catalogue!H59*SQRT((1+Paramètres!$B$4*(C1116-1)+Paramètres!$B$5*(C1116-1)^2)),0)</f>
        <v>0</v>
      </c>
      <c r="I1116" s="6">
        <v>2</v>
      </c>
      <c r="J1116" s="6">
        <v>4</v>
      </c>
      <c r="K1116" s="7">
        <v>1.1000000000000001</v>
      </c>
      <c r="L1116" s="9">
        <f t="shared" si="138"/>
        <v>25</v>
      </c>
      <c r="M1116">
        <v>2</v>
      </c>
      <c r="N1116">
        <v>8</v>
      </c>
      <c r="O1116">
        <v>16</v>
      </c>
      <c r="P1116" s="13" t="str">
        <f t="shared" si="139"/>
        <v>2d8 + 16</v>
      </c>
      <c r="Q1116">
        <f>ROUND(INDEX(Catalogue!E$4:E$85,MATCH(A1116,Catalogue!A$4:A$85,0))*(1+Paramètres!$B$4*(C1116-1)+Paramètres!$B$5*(C1116-1)^2),0)</f>
        <v>18</v>
      </c>
      <c r="R1116">
        <f>ROUND(INDEX(Catalogue!F$4:F$85,MATCH(A1116,Catalogue!A$4:A$85,0))*(1+Paramètres!$B$4*(C1116-1)+Paramètres!$B$5*(C1116-1)^2),0)</f>
        <v>32</v>
      </c>
      <c r="S1116">
        <f t="shared" si="140"/>
        <v>0</v>
      </c>
      <c r="T1116" t="str">
        <f t="shared" si="141"/>
        <v>OK</v>
      </c>
      <c r="U1116" s="25">
        <f t="shared" si="142"/>
        <v>25</v>
      </c>
      <c r="V1116" t="str">
        <f t="shared" si="143"/>
        <v>OK</v>
      </c>
    </row>
    <row r="1117" spans="1:22" ht="18" customHeight="1">
      <c r="A1117" t="s">
        <v>272</v>
      </c>
      <c r="B1117" t="s">
        <v>273</v>
      </c>
      <c r="C1117">
        <v>14</v>
      </c>
      <c r="D1117" t="s">
        <v>267</v>
      </c>
      <c r="E1117" s="6">
        <f t="shared" si="136"/>
        <v>21</v>
      </c>
      <c r="F1117" s="6">
        <f t="shared" si="137"/>
        <v>36</v>
      </c>
      <c r="G1117" s="6">
        <f>ROUND(Catalogue!G59*SQRT((1+Paramètres!$B$4*(C1117-1)+Paramètres!$B$5*(C1117-1)^2)),0)</f>
        <v>0</v>
      </c>
      <c r="H1117" s="6">
        <f>ROUND(Catalogue!H59*SQRT((1+Paramètres!$B$4*(C1117-1)+Paramètres!$B$5*(C1117-1)^2)),0)</f>
        <v>0</v>
      </c>
      <c r="I1117" s="6">
        <v>2</v>
      </c>
      <c r="J1117" s="6">
        <v>4</v>
      </c>
      <c r="K1117" s="7">
        <v>1.1000000000000001</v>
      </c>
      <c r="L1117" s="9">
        <f t="shared" si="138"/>
        <v>28.5</v>
      </c>
      <c r="M1117">
        <v>3</v>
      </c>
      <c r="N1117">
        <v>6</v>
      </c>
      <c r="O1117">
        <v>18</v>
      </c>
      <c r="P1117" s="13" t="str">
        <f t="shared" si="139"/>
        <v>3d6 + 18</v>
      </c>
      <c r="Q1117">
        <f>ROUND(INDEX(Catalogue!E$4:E$85,MATCH(A1117,Catalogue!A$4:A$85,0))*(1+Paramètres!$B$4*(C1117-1)+Paramètres!$B$5*(C1117-1)^2),0)</f>
        <v>21</v>
      </c>
      <c r="R1117">
        <f>ROUND(INDEX(Catalogue!F$4:F$85,MATCH(A1117,Catalogue!A$4:A$85,0))*(1+Paramètres!$B$4*(C1117-1)+Paramètres!$B$5*(C1117-1)^2),0)</f>
        <v>36</v>
      </c>
      <c r="S1117">
        <f t="shared" si="140"/>
        <v>0</v>
      </c>
      <c r="T1117" t="str">
        <f t="shared" si="141"/>
        <v>OK</v>
      </c>
      <c r="U1117" s="25">
        <f t="shared" si="142"/>
        <v>28.5</v>
      </c>
      <c r="V1117" t="str">
        <f t="shared" si="143"/>
        <v>OK</v>
      </c>
    </row>
    <row r="1118" spans="1:22" ht="18" customHeight="1">
      <c r="A1118" t="s">
        <v>272</v>
      </c>
      <c r="B1118" t="s">
        <v>273</v>
      </c>
      <c r="C1118">
        <v>15</v>
      </c>
      <c r="D1118" t="s">
        <v>267</v>
      </c>
      <c r="E1118" s="6">
        <f t="shared" si="136"/>
        <v>24</v>
      </c>
      <c r="F1118" s="6">
        <f t="shared" si="137"/>
        <v>39</v>
      </c>
      <c r="G1118" s="6">
        <f>ROUND(Catalogue!G59*SQRT((1+Paramètres!$B$4*(C1118-1)+Paramètres!$B$5*(C1118-1)^2)),0)</f>
        <v>0</v>
      </c>
      <c r="H1118" s="6">
        <f>ROUND(Catalogue!H59*SQRT((1+Paramètres!$B$4*(C1118-1)+Paramètres!$B$5*(C1118-1)^2)),0)</f>
        <v>0</v>
      </c>
      <c r="I1118" s="6">
        <v>2</v>
      </c>
      <c r="J1118" s="6">
        <v>4</v>
      </c>
      <c r="K1118" s="7">
        <v>1.1000000000000001</v>
      </c>
      <c r="L1118" s="9">
        <f t="shared" si="138"/>
        <v>31.5</v>
      </c>
      <c r="M1118">
        <v>3</v>
      </c>
      <c r="N1118">
        <v>6</v>
      </c>
      <c r="O1118">
        <v>21</v>
      </c>
      <c r="P1118" s="13" t="str">
        <f t="shared" si="139"/>
        <v>3d6 + 21</v>
      </c>
      <c r="Q1118">
        <f>ROUND(INDEX(Catalogue!E$4:E$85,MATCH(A1118,Catalogue!A$4:A$85,0))*(1+Paramètres!$B$4*(C1118-1)+Paramètres!$B$5*(C1118-1)^2),0)</f>
        <v>23</v>
      </c>
      <c r="R1118">
        <f>ROUND(INDEX(Catalogue!F$4:F$85,MATCH(A1118,Catalogue!A$4:A$85,0))*(1+Paramètres!$B$4*(C1118-1)+Paramètres!$B$5*(C1118-1)^2),0)</f>
        <v>40</v>
      </c>
      <c r="S1118">
        <f t="shared" si="140"/>
        <v>0</v>
      </c>
      <c r="T1118" t="str">
        <f t="shared" si="141"/>
        <v>OK</v>
      </c>
      <c r="U1118" s="25">
        <f t="shared" si="142"/>
        <v>31.5</v>
      </c>
      <c r="V1118" t="str">
        <f t="shared" si="143"/>
        <v>OK</v>
      </c>
    </row>
    <row r="1119" spans="1:22" ht="18" customHeight="1">
      <c r="A1119" t="s">
        <v>272</v>
      </c>
      <c r="B1119" t="s">
        <v>273</v>
      </c>
      <c r="C1119">
        <v>16</v>
      </c>
      <c r="D1119" t="s">
        <v>267</v>
      </c>
      <c r="E1119" s="6">
        <f t="shared" si="136"/>
        <v>24</v>
      </c>
      <c r="F1119" s="6">
        <f t="shared" si="137"/>
        <v>44</v>
      </c>
      <c r="G1119" s="6">
        <f>ROUND(Catalogue!G59*SQRT((1+Paramètres!$B$4*(C1119-1)+Paramètres!$B$5*(C1119-1)^2)),0)</f>
        <v>0</v>
      </c>
      <c r="H1119" s="6">
        <f>ROUND(Catalogue!H59*SQRT((1+Paramètres!$B$4*(C1119-1)+Paramètres!$B$5*(C1119-1)^2)),0)</f>
        <v>0</v>
      </c>
      <c r="I1119" s="6">
        <v>2</v>
      </c>
      <c r="J1119" s="6">
        <v>4</v>
      </c>
      <c r="K1119" s="7">
        <v>1.1000000000000001</v>
      </c>
      <c r="L1119" s="9">
        <f t="shared" si="138"/>
        <v>34</v>
      </c>
      <c r="M1119">
        <v>4</v>
      </c>
      <c r="N1119">
        <v>6</v>
      </c>
      <c r="O1119">
        <v>20</v>
      </c>
      <c r="P1119" s="13" t="str">
        <f t="shared" si="139"/>
        <v>4d6 + 20</v>
      </c>
      <c r="Q1119">
        <f>ROUND(INDEX(Catalogue!E$4:E$85,MATCH(A1119,Catalogue!A$4:A$85,0))*(1+Paramètres!$B$4*(C1119-1)+Paramètres!$B$5*(C1119-1)^2),0)</f>
        <v>25</v>
      </c>
      <c r="R1119">
        <f>ROUND(INDEX(Catalogue!F$4:F$85,MATCH(A1119,Catalogue!A$4:A$85,0))*(1+Paramètres!$B$4*(C1119-1)+Paramètres!$B$5*(C1119-1)^2),0)</f>
        <v>44</v>
      </c>
      <c r="S1119">
        <f t="shared" si="140"/>
        <v>-0.5</v>
      </c>
      <c r="T1119" t="str">
        <f t="shared" si="141"/>
        <v>OK</v>
      </c>
      <c r="U1119" s="25">
        <f t="shared" si="142"/>
        <v>34</v>
      </c>
      <c r="V1119" t="str">
        <f t="shared" si="143"/>
        <v>OK</v>
      </c>
    </row>
    <row r="1120" spans="1:22" ht="18" customHeight="1">
      <c r="A1120" t="s">
        <v>272</v>
      </c>
      <c r="B1120" t="s">
        <v>273</v>
      </c>
      <c r="C1120">
        <v>17</v>
      </c>
      <c r="D1120" t="s">
        <v>267</v>
      </c>
      <c r="E1120" s="6">
        <f t="shared" si="136"/>
        <v>27</v>
      </c>
      <c r="F1120" s="6">
        <f t="shared" si="137"/>
        <v>48</v>
      </c>
      <c r="G1120" s="6">
        <f>ROUND(Catalogue!G59*SQRT((1+Paramètres!$B$4*(C1120-1)+Paramètres!$B$5*(C1120-1)^2)),0)</f>
        <v>0</v>
      </c>
      <c r="H1120" s="6">
        <f>ROUND(Catalogue!H59*SQRT((1+Paramètres!$B$4*(C1120-1)+Paramètres!$B$5*(C1120-1)^2)),0)</f>
        <v>0</v>
      </c>
      <c r="I1120" s="6">
        <v>2</v>
      </c>
      <c r="J1120" s="6">
        <v>4</v>
      </c>
      <c r="K1120" s="7">
        <v>1.1000000000000001</v>
      </c>
      <c r="L1120" s="9">
        <f t="shared" si="138"/>
        <v>37.5</v>
      </c>
      <c r="M1120">
        <v>3</v>
      </c>
      <c r="N1120">
        <v>8</v>
      </c>
      <c r="O1120">
        <v>24</v>
      </c>
      <c r="P1120" s="13" t="str">
        <f t="shared" si="139"/>
        <v>3d8 + 24</v>
      </c>
      <c r="Q1120">
        <f>ROUND(INDEX(Catalogue!E$4:E$85,MATCH(A1120,Catalogue!A$4:A$85,0))*(1+Paramètres!$B$4*(C1120-1)+Paramètres!$B$5*(C1120-1)^2),0)</f>
        <v>27</v>
      </c>
      <c r="R1120">
        <f>ROUND(INDEX(Catalogue!F$4:F$85,MATCH(A1120,Catalogue!A$4:A$85,0))*(1+Paramètres!$B$4*(C1120-1)+Paramètres!$B$5*(C1120-1)^2),0)</f>
        <v>48</v>
      </c>
      <c r="S1120">
        <f t="shared" si="140"/>
        <v>0</v>
      </c>
      <c r="T1120" t="str">
        <f t="shared" si="141"/>
        <v>OK</v>
      </c>
      <c r="U1120" s="25">
        <f t="shared" si="142"/>
        <v>37.5</v>
      </c>
      <c r="V1120" t="str">
        <f t="shared" si="143"/>
        <v>OK</v>
      </c>
    </row>
    <row r="1121" spans="1:22" ht="18" customHeight="1">
      <c r="A1121" t="s">
        <v>272</v>
      </c>
      <c r="B1121" t="s">
        <v>273</v>
      </c>
      <c r="C1121">
        <v>18</v>
      </c>
      <c r="D1121" t="s">
        <v>267</v>
      </c>
      <c r="E1121" s="6">
        <f t="shared" si="136"/>
        <v>30</v>
      </c>
      <c r="F1121" s="6">
        <f t="shared" si="137"/>
        <v>51</v>
      </c>
      <c r="G1121" s="6">
        <f>ROUND(Catalogue!G59*SQRT((1+Paramètres!$B$4*(C1121-1)+Paramètres!$B$5*(C1121-1)^2)),0)</f>
        <v>0</v>
      </c>
      <c r="H1121" s="6">
        <f>ROUND(Catalogue!H59*SQRT((1+Paramètres!$B$4*(C1121-1)+Paramètres!$B$5*(C1121-1)^2)),0)</f>
        <v>0</v>
      </c>
      <c r="I1121" s="6">
        <v>2</v>
      </c>
      <c r="J1121" s="6">
        <v>4</v>
      </c>
      <c r="K1121" s="7">
        <v>1.1000000000000001</v>
      </c>
      <c r="L1121" s="9">
        <f t="shared" si="138"/>
        <v>40.5</v>
      </c>
      <c r="M1121">
        <v>3</v>
      </c>
      <c r="N1121">
        <v>8</v>
      </c>
      <c r="O1121">
        <v>27</v>
      </c>
      <c r="P1121" s="13" t="str">
        <f t="shared" si="139"/>
        <v>3d8 + 27</v>
      </c>
      <c r="Q1121">
        <f>ROUND(INDEX(Catalogue!E$4:E$85,MATCH(A1121,Catalogue!A$4:A$85,0))*(1+Paramètres!$B$4*(C1121-1)+Paramètres!$B$5*(C1121-1)^2),0)</f>
        <v>30</v>
      </c>
      <c r="R1121">
        <f>ROUND(INDEX(Catalogue!F$4:F$85,MATCH(A1121,Catalogue!A$4:A$85,0))*(1+Paramètres!$B$4*(C1121-1)+Paramètres!$B$5*(C1121-1)^2),0)</f>
        <v>52</v>
      </c>
      <c r="S1121">
        <f t="shared" si="140"/>
        <v>-0.5</v>
      </c>
      <c r="T1121" t="str">
        <f t="shared" si="141"/>
        <v>OK</v>
      </c>
      <c r="U1121" s="25">
        <f t="shared" si="142"/>
        <v>40.5</v>
      </c>
      <c r="V1121" t="str">
        <f t="shared" si="143"/>
        <v>OK</v>
      </c>
    </row>
    <row r="1122" spans="1:22" ht="18" customHeight="1">
      <c r="A1122" t="s">
        <v>272</v>
      </c>
      <c r="B1122" t="s">
        <v>273</v>
      </c>
      <c r="C1122">
        <v>19</v>
      </c>
      <c r="D1122" t="s">
        <v>267</v>
      </c>
      <c r="E1122" s="6">
        <f t="shared" si="136"/>
        <v>32</v>
      </c>
      <c r="F1122" s="6">
        <f t="shared" si="137"/>
        <v>57</v>
      </c>
      <c r="G1122" s="6">
        <f>ROUND(Catalogue!G59*SQRT((1+Paramètres!$B$4*(C1122-1)+Paramètres!$B$5*(C1122-1)^2)),0)</f>
        <v>0</v>
      </c>
      <c r="H1122" s="6">
        <f>ROUND(Catalogue!H59*SQRT((1+Paramètres!$B$4*(C1122-1)+Paramètres!$B$5*(C1122-1)^2)),0)</f>
        <v>0</v>
      </c>
      <c r="I1122" s="6">
        <v>2</v>
      </c>
      <c r="J1122" s="6">
        <v>4</v>
      </c>
      <c r="K1122" s="7">
        <v>1.1000000000000001</v>
      </c>
      <c r="L1122" s="9">
        <f t="shared" si="138"/>
        <v>44.5</v>
      </c>
      <c r="M1122">
        <v>5</v>
      </c>
      <c r="N1122">
        <v>6</v>
      </c>
      <c r="O1122">
        <v>27</v>
      </c>
      <c r="P1122" s="13" t="str">
        <f t="shared" si="139"/>
        <v>5d6 + 27</v>
      </c>
      <c r="Q1122">
        <f>ROUND(INDEX(Catalogue!E$4:E$85,MATCH(A1122,Catalogue!A$4:A$85,0))*(1+Paramètres!$B$4*(C1122-1)+Paramètres!$B$5*(C1122-1)^2),0)</f>
        <v>33</v>
      </c>
      <c r="R1122">
        <f>ROUND(INDEX(Catalogue!F$4:F$85,MATCH(A1122,Catalogue!A$4:A$85,0))*(1+Paramètres!$B$4*(C1122-1)+Paramètres!$B$5*(C1122-1)^2),0)</f>
        <v>57</v>
      </c>
      <c r="S1122">
        <f t="shared" si="140"/>
        <v>-0.5</v>
      </c>
      <c r="T1122" t="str">
        <f t="shared" si="141"/>
        <v>OK</v>
      </c>
      <c r="U1122" s="25">
        <f t="shared" si="142"/>
        <v>44.5</v>
      </c>
      <c r="V1122" t="str">
        <f t="shared" si="143"/>
        <v>OK</v>
      </c>
    </row>
    <row r="1123" spans="1:22" ht="18" customHeight="1">
      <c r="A1123" t="s">
        <v>272</v>
      </c>
      <c r="B1123" t="s">
        <v>273</v>
      </c>
      <c r="C1123">
        <v>20</v>
      </c>
      <c r="D1123" t="s">
        <v>267</v>
      </c>
      <c r="E1123" s="6">
        <f t="shared" si="136"/>
        <v>34</v>
      </c>
      <c r="F1123" s="6">
        <f t="shared" si="137"/>
        <v>62</v>
      </c>
      <c r="G1123" s="6">
        <f>ROUND(Catalogue!G59*SQRT((1+Paramètres!$B$4*(C1123-1)+Paramètres!$B$5*(C1123-1)^2)),0)</f>
        <v>0</v>
      </c>
      <c r="H1123" s="6">
        <f>ROUND(Catalogue!H59*SQRT((1+Paramètres!$B$4*(C1123-1)+Paramètres!$B$5*(C1123-1)^2)),0)</f>
        <v>0</v>
      </c>
      <c r="I1123" s="6">
        <v>2</v>
      </c>
      <c r="J1123" s="6">
        <v>4</v>
      </c>
      <c r="K1123" s="7">
        <v>1.1000000000000001</v>
      </c>
      <c r="L1123" s="9">
        <f t="shared" si="138"/>
        <v>48</v>
      </c>
      <c r="M1123">
        <v>4</v>
      </c>
      <c r="N1123">
        <v>8</v>
      </c>
      <c r="O1123">
        <v>30</v>
      </c>
      <c r="P1123" s="13" t="str">
        <f t="shared" si="139"/>
        <v>4d8 + 30</v>
      </c>
      <c r="Q1123">
        <f>ROUND(INDEX(Catalogue!E$4:E$85,MATCH(A1123,Catalogue!A$4:A$85,0))*(1+Paramètres!$B$4*(C1123-1)+Paramètres!$B$5*(C1123-1)^2),0)</f>
        <v>35</v>
      </c>
      <c r="R1123">
        <f>ROUND(INDEX(Catalogue!F$4:F$85,MATCH(A1123,Catalogue!A$4:A$85,0))*(1+Paramètres!$B$4*(C1123-1)+Paramètres!$B$5*(C1123-1)^2),0)</f>
        <v>62</v>
      </c>
      <c r="S1123">
        <f t="shared" si="140"/>
        <v>-0.5</v>
      </c>
      <c r="T1123" t="str">
        <f t="shared" si="141"/>
        <v>OK</v>
      </c>
      <c r="U1123" s="25">
        <f t="shared" si="142"/>
        <v>48</v>
      </c>
      <c r="V1123" t="str">
        <f t="shared" si="143"/>
        <v>OK</v>
      </c>
    </row>
    <row r="1124" spans="1:22" ht="18" customHeight="1">
      <c r="A1124" t="s">
        <v>274</v>
      </c>
      <c r="B1124" t="s">
        <v>275</v>
      </c>
      <c r="C1124">
        <v>1</v>
      </c>
      <c r="D1124" t="s">
        <v>267</v>
      </c>
      <c r="E1124" s="6">
        <f t="shared" si="136"/>
        <v>4</v>
      </c>
      <c r="F1124" s="6">
        <f t="shared" si="137"/>
        <v>7</v>
      </c>
      <c r="G1124" s="6">
        <f>ROUND(Catalogue!G60*SQRT((1+Paramètres!$B$4*(C1124-1)+Paramètres!$B$5*(C1124-1)^2)),0)</f>
        <v>0</v>
      </c>
      <c r="H1124" s="6">
        <f>ROUND(Catalogue!H60*SQRT((1+Paramètres!$B$4*(C1124-1)+Paramètres!$B$5*(C1124-1)^2)),0)</f>
        <v>0</v>
      </c>
      <c r="I1124" s="6">
        <v>2</v>
      </c>
      <c r="J1124" s="6">
        <v>4</v>
      </c>
      <c r="K1124" s="7">
        <v>1.4</v>
      </c>
      <c r="L1124" s="9">
        <f t="shared" si="138"/>
        <v>5.5</v>
      </c>
      <c r="M1124">
        <v>1</v>
      </c>
      <c r="N1124">
        <v>4</v>
      </c>
      <c r="O1124">
        <v>3</v>
      </c>
      <c r="P1124" s="13" t="str">
        <f t="shared" si="139"/>
        <v>1d4 + 3</v>
      </c>
      <c r="Q1124">
        <f>ROUND(INDEX(Catalogue!E$4:E$85,MATCH(A1124,Catalogue!A$4:A$85,0))*(1+Paramètres!$B$4*(C1124-1)+Paramètres!$B$5*(C1124-1)^2),0)</f>
        <v>4</v>
      </c>
      <c r="R1124">
        <f>ROUND(INDEX(Catalogue!F$4:F$85,MATCH(A1124,Catalogue!A$4:A$85,0))*(1+Paramètres!$B$4*(C1124-1)+Paramètres!$B$5*(C1124-1)^2),0)</f>
        <v>7</v>
      </c>
      <c r="S1124">
        <f t="shared" si="140"/>
        <v>0</v>
      </c>
      <c r="T1124" t="str">
        <f t="shared" si="141"/>
        <v>OK</v>
      </c>
      <c r="U1124" s="25">
        <f t="shared" si="142"/>
        <v>5.5</v>
      </c>
      <c r="V1124" t="str">
        <f t="shared" si="143"/>
        <v>OK</v>
      </c>
    </row>
    <row r="1125" spans="1:22" ht="18" customHeight="1">
      <c r="A1125" t="s">
        <v>274</v>
      </c>
      <c r="B1125" t="s">
        <v>275</v>
      </c>
      <c r="C1125">
        <v>2</v>
      </c>
      <c r="D1125" t="s">
        <v>267</v>
      </c>
      <c r="E1125" s="6">
        <f t="shared" si="136"/>
        <v>5</v>
      </c>
      <c r="F1125" s="6">
        <f t="shared" si="137"/>
        <v>8</v>
      </c>
      <c r="G1125" s="6">
        <f>ROUND(Catalogue!G60*SQRT((1+Paramètres!$B$4*(C1125-1)+Paramètres!$B$5*(C1125-1)^2)),0)</f>
        <v>0</v>
      </c>
      <c r="H1125" s="6">
        <f>ROUND(Catalogue!H60*SQRT((1+Paramètres!$B$4*(C1125-1)+Paramètres!$B$5*(C1125-1)^2)),0)</f>
        <v>0</v>
      </c>
      <c r="I1125" s="6">
        <v>2</v>
      </c>
      <c r="J1125" s="6">
        <v>4</v>
      </c>
      <c r="K1125" s="7">
        <v>1.4</v>
      </c>
      <c r="L1125" s="9">
        <f t="shared" si="138"/>
        <v>6.5</v>
      </c>
      <c r="M1125">
        <v>1</v>
      </c>
      <c r="N1125">
        <v>4</v>
      </c>
      <c r="O1125">
        <v>4</v>
      </c>
      <c r="P1125" s="13" t="str">
        <f t="shared" si="139"/>
        <v>1d4 + 4</v>
      </c>
      <c r="Q1125">
        <f>ROUND(INDEX(Catalogue!E$4:E$85,MATCH(A1125,Catalogue!A$4:A$85,0))*(1+Paramètres!$B$4*(C1125-1)+Paramètres!$B$5*(C1125-1)^2),0)</f>
        <v>5</v>
      </c>
      <c r="R1125">
        <f>ROUND(INDEX(Catalogue!F$4:F$85,MATCH(A1125,Catalogue!A$4:A$85,0))*(1+Paramètres!$B$4*(C1125-1)+Paramètres!$B$5*(C1125-1)^2),0)</f>
        <v>8</v>
      </c>
      <c r="S1125">
        <f t="shared" si="140"/>
        <v>0</v>
      </c>
      <c r="T1125" t="str">
        <f t="shared" si="141"/>
        <v>OK</v>
      </c>
      <c r="U1125" s="25">
        <f t="shared" si="142"/>
        <v>6.5</v>
      </c>
      <c r="V1125" t="str">
        <f t="shared" si="143"/>
        <v>OK</v>
      </c>
    </row>
    <row r="1126" spans="1:22" ht="18" customHeight="1">
      <c r="A1126" t="s">
        <v>274</v>
      </c>
      <c r="B1126" t="s">
        <v>275</v>
      </c>
      <c r="C1126">
        <v>3</v>
      </c>
      <c r="D1126" t="s">
        <v>267</v>
      </c>
      <c r="E1126" s="6">
        <f t="shared" si="136"/>
        <v>5</v>
      </c>
      <c r="F1126" s="6">
        <f t="shared" si="137"/>
        <v>8</v>
      </c>
      <c r="G1126" s="6">
        <f>ROUND(Catalogue!G60*SQRT((1+Paramètres!$B$4*(C1126-1)+Paramètres!$B$5*(C1126-1)^2)),0)</f>
        <v>0</v>
      </c>
      <c r="H1126" s="6">
        <f>ROUND(Catalogue!H60*SQRT((1+Paramètres!$B$4*(C1126-1)+Paramètres!$B$5*(C1126-1)^2)),0)</f>
        <v>0</v>
      </c>
      <c r="I1126" s="6">
        <v>2</v>
      </c>
      <c r="J1126" s="6">
        <v>4</v>
      </c>
      <c r="K1126" s="7">
        <v>1.4</v>
      </c>
      <c r="L1126" s="9">
        <f t="shared" si="138"/>
        <v>6.5</v>
      </c>
      <c r="M1126">
        <v>1</v>
      </c>
      <c r="N1126">
        <v>4</v>
      </c>
      <c r="O1126">
        <v>4</v>
      </c>
      <c r="P1126" s="13" t="str">
        <f t="shared" si="139"/>
        <v>1d4 + 4</v>
      </c>
      <c r="Q1126">
        <f>ROUND(INDEX(Catalogue!E$4:E$85,MATCH(A1126,Catalogue!A$4:A$85,0))*(1+Paramètres!$B$4*(C1126-1)+Paramètres!$B$5*(C1126-1)^2),0)</f>
        <v>5</v>
      </c>
      <c r="R1126">
        <f>ROUND(INDEX(Catalogue!F$4:F$85,MATCH(A1126,Catalogue!A$4:A$85,0))*(1+Paramètres!$B$4*(C1126-1)+Paramètres!$B$5*(C1126-1)^2),0)</f>
        <v>9</v>
      </c>
      <c r="S1126">
        <f t="shared" si="140"/>
        <v>-0.5</v>
      </c>
      <c r="T1126" t="str">
        <f t="shared" si="141"/>
        <v>OK</v>
      </c>
      <c r="U1126" s="25">
        <f t="shared" si="142"/>
        <v>6.5</v>
      </c>
      <c r="V1126" t="str">
        <f t="shared" si="143"/>
        <v>OK</v>
      </c>
    </row>
    <row r="1127" spans="1:22" ht="18" customHeight="1">
      <c r="A1127" t="s">
        <v>274</v>
      </c>
      <c r="B1127" t="s">
        <v>275</v>
      </c>
      <c r="C1127">
        <v>4</v>
      </c>
      <c r="D1127" t="s">
        <v>267</v>
      </c>
      <c r="E1127" s="6">
        <f t="shared" si="136"/>
        <v>6</v>
      </c>
      <c r="F1127" s="6">
        <f t="shared" si="137"/>
        <v>9</v>
      </c>
      <c r="G1127" s="6">
        <f>ROUND(Catalogue!G60*SQRT((1+Paramètres!$B$4*(C1127-1)+Paramètres!$B$5*(C1127-1)^2)),0)</f>
        <v>0</v>
      </c>
      <c r="H1127" s="6">
        <f>ROUND(Catalogue!H60*SQRT((1+Paramètres!$B$4*(C1127-1)+Paramètres!$B$5*(C1127-1)^2)),0)</f>
        <v>0</v>
      </c>
      <c r="I1127" s="6">
        <v>2</v>
      </c>
      <c r="J1127" s="6">
        <v>4</v>
      </c>
      <c r="K1127" s="7">
        <v>1.4</v>
      </c>
      <c r="L1127" s="9">
        <f t="shared" si="138"/>
        <v>7.5</v>
      </c>
      <c r="M1127">
        <v>1</v>
      </c>
      <c r="N1127">
        <v>4</v>
      </c>
      <c r="O1127">
        <v>5</v>
      </c>
      <c r="P1127" s="13" t="str">
        <f t="shared" si="139"/>
        <v>1d4 + 5</v>
      </c>
      <c r="Q1127">
        <f>ROUND(INDEX(Catalogue!E$4:E$85,MATCH(A1127,Catalogue!A$4:A$85,0))*(1+Paramètres!$B$4*(C1127-1)+Paramètres!$B$5*(C1127-1)^2),0)</f>
        <v>6</v>
      </c>
      <c r="R1127">
        <f>ROUND(INDEX(Catalogue!F$4:F$85,MATCH(A1127,Catalogue!A$4:A$85,0))*(1+Paramètres!$B$4*(C1127-1)+Paramètres!$B$5*(C1127-1)^2),0)</f>
        <v>10</v>
      </c>
      <c r="S1127">
        <f t="shared" si="140"/>
        <v>-0.5</v>
      </c>
      <c r="T1127" t="str">
        <f t="shared" si="141"/>
        <v>OK</v>
      </c>
      <c r="U1127" s="25">
        <f t="shared" si="142"/>
        <v>7.5</v>
      </c>
      <c r="V1127" t="str">
        <f t="shared" si="143"/>
        <v>OK</v>
      </c>
    </row>
    <row r="1128" spans="1:22" ht="18" customHeight="1">
      <c r="A1128" t="s">
        <v>274</v>
      </c>
      <c r="B1128" t="s">
        <v>275</v>
      </c>
      <c r="C1128">
        <v>5</v>
      </c>
      <c r="D1128" t="s">
        <v>267</v>
      </c>
      <c r="E1128" s="6">
        <f t="shared" si="136"/>
        <v>7</v>
      </c>
      <c r="F1128" s="6">
        <f t="shared" si="137"/>
        <v>12</v>
      </c>
      <c r="G1128" s="6">
        <f>ROUND(Catalogue!G60*SQRT((1+Paramètres!$B$4*(C1128-1)+Paramètres!$B$5*(C1128-1)^2)),0)</f>
        <v>0</v>
      </c>
      <c r="H1128" s="6">
        <f>ROUND(Catalogue!H60*SQRT((1+Paramètres!$B$4*(C1128-1)+Paramètres!$B$5*(C1128-1)^2)),0)</f>
        <v>0</v>
      </c>
      <c r="I1128" s="6">
        <v>2</v>
      </c>
      <c r="J1128" s="6">
        <v>4</v>
      </c>
      <c r="K1128" s="7">
        <v>1.4</v>
      </c>
      <c r="L1128" s="9">
        <f t="shared" si="138"/>
        <v>9.5</v>
      </c>
      <c r="M1128">
        <v>1</v>
      </c>
      <c r="N1128">
        <v>6</v>
      </c>
      <c r="O1128">
        <v>6</v>
      </c>
      <c r="P1128" s="13" t="str">
        <f t="shared" si="139"/>
        <v>1d6 + 6</v>
      </c>
      <c r="Q1128">
        <f>ROUND(INDEX(Catalogue!E$4:E$85,MATCH(A1128,Catalogue!A$4:A$85,0))*(1+Paramètres!$B$4*(C1128-1)+Paramètres!$B$5*(C1128-1)^2),0)</f>
        <v>7</v>
      </c>
      <c r="R1128">
        <f>ROUND(INDEX(Catalogue!F$4:F$85,MATCH(A1128,Catalogue!A$4:A$85,0))*(1+Paramètres!$B$4*(C1128-1)+Paramètres!$B$5*(C1128-1)^2),0)</f>
        <v>12</v>
      </c>
      <c r="S1128">
        <f t="shared" si="140"/>
        <v>0</v>
      </c>
      <c r="T1128" t="str">
        <f t="shared" si="141"/>
        <v>OK</v>
      </c>
      <c r="U1128" s="25">
        <f t="shared" si="142"/>
        <v>9.5</v>
      </c>
      <c r="V1128" t="str">
        <f t="shared" si="143"/>
        <v>OK</v>
      </c>
    </row>
    <row r="1129" spans="1:22" ht="18" customHeight="1">
      <c r="A1129" t="s">
        <v>274</v>
      </c>
      <c r="B1129" t="s">
        <v>275</v>
      </c>
      <c r="C1129">
        <v>6</v>
      </c>
      <c r="D1129" t="s">
        <v>267</v>
      </c>
      <c r="E1129" s="6">
        <f t="shared" si="136"/>
        <v>8</v>
      </c>
      <c r="F1129" s="6">
        <f t="shared" si="137"/>
        <v>14</v>
      </c>
      <c r="G1129" s="6">
        <f>ROUND(Catalogue!G60*SQRT((1+Paramètres!$B$4*(C1129-1)+Paramètres!$B$5*(C1129-1)^2)),0)</f>
        <v>0</v>
      </c>
      <c r="H1129" s="6">
        <f>ROUND(Catalogue!H60*SQRT((1+Paramètres!$B$4*(C1129-1)+Paramètres!$B$5*(C1129-1)^2)),0)</f>
        <v>0</v>
      </c>
      <c r="I1129" s="6">
        <v>2</v>
      </c>
      <c r="J1129" s="6">
        <v>4</v>
      </c>
      <c r="K1129" s="7">
        <v>1.4</v>
      </c>
      <c r="L1129" s="9">
        <f t="shared" si="138"/>
        <v>11</v>
      </c>
      <c r="M1129">
        <v>2</v>
      </c>
      <c r="N1129">
        <v>4</v>
      </c>
      <c r="O1129">
        <v>6</v>
      </c>
      <c r="P1129" s="13" t="str">
        <f t="shared" si="139"/>
        <v>2d4 + 6</v>
      </c>
      <c r="Q1129">
        <f>ROUND(INDEX(Catalogue!E$4:E$85,MATCH(A1129,Catalogue!A$4:A$85,0))*(1+Paramètres!$B$4*(C1129-1)+Paramètres!$B$5*(C1129-1)^2),0)</f>
        <v>8</v>
      </c>
      <c r="R1129">
        <f>ROUND(INDEX(Catalogue!F$4:F$85,MATCH(A1129,Catalogue!A$4:A$85,0))*(1+Paramètres!$B$4*(C1129-1)+Paramètres!$B$5*(C1129-1)^2),0)</f>
        <v>14</v>
      </c>
      <c r="S1129">
        <f t="shared" si="140"/>
        <v>0</v>
      </c>
      <c r="T1129" t="str">
        <f t="shared" si="141"/>
        <v>OK</v>
      </c>
      <c r="U1129" s="25">
        <f t="shared" si="142"/>
        <v>11</v>
      </c>
      <c r="V1129" t="str">
        <f t="shared" si="143"/>
        <v>OK</v>
      </c>
    </row>
    <row r="1130" spans="1:22" ht="18" customHeight="1">
      <c r="A1130" t="s">
        <v>274</v>
      </c>
      <c r="B1130" t="s">
        <v>275</v>
      </c>
      <c r="C1130">
        <v>7</v>
      </c>
      <c r="D1130" t="s">
        <v>267</v>
      </c>
      <c r="E1130" s="6">
        <f t="shared" si="136"/>
        <v>9</v>
      </c>
      <c r="F1130" s="6">
        <f t="shared" si="137"/>
        <v>16</v>
      </c>
      <c r="G1130" s="6">
        <f>ROUND(Catalogue!G60*SQRT((1+Paramètres!$B$4*(C1130-1)+Paramètres!$B$5*(C1130-1)^2)),0)</f>
        <v>0</v>
      </c>
      <c r="H1130" s="6">
        <f>ROUND(Catalogue!H60*SQRT((1+Paramètres!$B$4*(C1130-1)+Paramètres!$B$5*(C1130-1)^2)),0)</f>
        <v>0</v>
      </c>
      <c r="I1130" s="6">
        <v>2</v>
      </c>
      <c r="J1130" s="6">
        <v>4</v>
      </c>
      <c r="K1130" s="7">
        <v>1.4</v>
      </c>
      <c r="L1130" s="9">
        <f t="shared" si="138"/>
        <v>12.5</v>
      </c>
      <c r="M1130">
        <v>1</v>
      </c>
      <c r="N1130">
        <v>8</v>
      </c>
      <c r="O1130">
        <v>8</v>
      </c>
      <c r="P1130" s="13" t="str">
        <f t="shared" si="139"/>
        <v>1d8 + 8</v>
      </c>
      <c r="Q1130">
        <f>ROUND(INDEX(Catalogue!E$4:E$85,MATCH(A1130,Catalogue!A$4:A$85,0))*(1+Paramètres!$B$4*(C1130-1)+Paramètres!$B$5*(C1130-1)^2),0)</f>
        <v>9</v>
      </c>
      <c r="R1130">
        <f>ROUND(INDEX(Catalogue!F$4:F$85,MATCH(A1130,Catalogue!A$4:A$85,0))*(1+Paramètres!$B$4*(C1130-1)+Paramètres!$B$5*(C1130-1)^2),0)</f>
        <v>16</v>
      </c>
      <c r="S1130">
        <f t="shared" si="140"/>
        <v>0</v>
      </c>
      <c r="T1130" t="str">
        <f t="shared" si="141"/>
        <v>OK</v>
      </c>
      <c r="U1130" s="25">
        <f t="shared" si="142"/>
        <v>12.5</v>
      </c>
      <c r="V1130" t="str">
        <f t="shared" si="143"/>
        <v>OK</v>
      </c>
    </row>
    <row r="1131" spans="1:22" ht="18" customHeight="1">
      <c r="A1131" t="s">
        <v>274</v>
      </c>
      <c r="B1131" t="s">
        <v>275</v>
      </c>
      <c r="C1131">
        <v>8</v>
      </c>
      <c r="D1131" t="s">
        <v>267</v>
      </c>
      <c r="E1131" s="6">
        <f t="shared" si="136"/>
        <v>9</v>
      </c>
      <c r="F1131" s="6">
        <f t="shared" si="137"/>
        <v>18</v>
      </c>
      <c r="G1131" s="6">
        <f>ROUND(Catalogue!G60*SQRT((1+Paramètres!$B$4*(C1131-1)+Paramètres!$B$5*(C1131-1)^2)),0)</f>
        <v>0</v>
      </c>
      <c r="H1131" s="6">
        <f>ROUND(Catalogue!H60*SQRT((1+Paramètres!$B$4*(C1131-1)+Paramètres!$B$5*(C1131-1)^2)),0)</f>
        <v>0</v>
      </c>
      <c r="I1131" s="6">
        <v>2</v>
      </c>
      <c r="J1131" s="6">
        <v>4</v>
      </c>
      <c r="K1131" s="7">
        <v>1.4</v>
      </c>
      <c r="L1131" s="9">
        <f t="shared" si="138"/>
        <v>13.5</v>
      </c>
      <c r="M1131">
        <v>3</v>
      </c>
      <c r="N1131">
        <v>4</v>
      </c>
      <c r="O1131">
        <v>6</v>
      </c>
      <c r="P1131" s="13" t="str">
        <f t="shared" si="139"/>
        <v>3d4 + 6</v>
      </c>
      <c r="Q1131">
        <f>ROUND(INDEX(Catalogue!E$4:E$85,MATCH(A1131,Catalogue!A$4:A$85,0))*(1+Paramètres!$B$4*(C1131-1)+Paramètres!$B$5*(C1131-1)^2),0)</f>
        <v>10</v>
      </c>
      <c r="R1131">
        <f>ROUND(INDEX(Catalogue!F$4:F$85,MATCH(A1131,Catalogue!A$4:A$85,0))*(1+Paramètres!$B$4*(C1131-1)+Paramètres!$B$5*(C1131-1)^2),0)</f>
        <v>18</v>
      </c>
      <c r="S1131">
        <f t="shared" si="140"/>
        <v>-0.5</v>
      </c>
      <c r="T1131" t="str">
        <f t="shared" si="141"/>
        <v>OK</v>
      </c>
      <c r="U1131" s="25">
        <f t="shared" si="142"/>
        <v>13.5</v>
      </c>
      <c r="V1131" t="str">
        <f t="shared" si="143"/>
        <v>OK</v>
      </c>
    </row>
    <row r="1132" spans="1:22" ht="18" customHeight="1">
      <c r="A1132" t="s">
        <v>274</v>
      </c>
      <c r="B1132" t="s">
        <v>275</v>
      </c>
      <c r="C1132">
        <v>9</v>
      </c>
      <c r="D1132" t="s">
        <v>267</v>
      </c>
      <c r="E1132" s="6">
        <f t="shared" si="136"/>
        <v>11</v>
      </c>
      <c r="F1132" s="6">
        <f t="shared" si="137"/>
        <v>20</v>
      </c>
      <c r="G1132" s="6">
        <f>ROUND(Catalogue!G60*SQRT((1+Paramètres!$B$4*(C1132-1)+Paramètres!$B$5*(C1132-1)^2)),0)</f>
        <v>0</v>
      </c>
      <c r="H1132" s="6">
        <f>ROUND(Catalogue!H60*SQRT((1+Paramètres!$B$4*(C1132-1)+Paramètres!$B$5*(C1132-1)^2)),0)</f>
        <v>0</v>
      </c>
      <c r="I1132" s="6">
        <v>2</v>
      </c>
      <c r="J1132" s="6">
        <v>4</v>
      </c>
      <c r="K1132" s="7">
        <v>1.4</v>
      </c>
      <c r="L1132" s="9">
        <f t="shared" si="138"/>
        <v>15.5</v>
      </c>
      <c r="M1132">
        <v>3</v>
      </c>
      <c r="N1132">
        <v>4</v>
      </c>
      <c r="O1132">
        <v>8</v>
      </c>
      <c r="P1132" s="13" t="str">
        <f t="shared" si="139"/>
        <v>3d4 + 8</v>
      </c>
      <c r="Q1132">
        <f>ROUND(INDEX(Catalogue!E$4:E$85,MATCH(A1132,Catalogue!A$4:A$85,0))*(1+Paramètres!$B$4*(C1132-1)+Paramètres!$B$5*(C1132-1)^2),0)</f>
        <v>12</v>
      </c>
      <c r="R1132">
        <f>ROUND(INDEX(Catalogue!F$4:F$85,MATCH(A1132,Catalogue!A$4:A$85,0))*(1+Paramètres!$B$4*(C1132-1)+Paramètres!$B$5*(C1132-1)^2),0)</f>
        <v>20</v>
      </c>
      <c r="S1132">
        <f t="shared" si="140"/>
        <v>-0.5</v>
      </c>
      <c r="T1132" t="str">
        <f t="shared" si="141"/>
        <v>OK</v>
      </c>
      <c r="U1132" s="25">
        <f t="shared" si="142"/>
        <v>15.5</v>
      </c>
      <c r="V1132" t="str">
        <f t="shared" si="143"/>
        <v>OK</v>
      </c>
    </row>
    <row r="1133" spans="1:22" ht="18" customHeight="1">
      <c r="A1133" t="s">
        <v>274</v>
      </c>
      <c r="B1133" t="s">
        <v>275</v>
      </c>
      <c r="C1133">
        <v>10</v>
      </c>
      <c r="D1133" t="s">
        <v>267</v>
      </c>
      <c r="E1133" s="6">
        <f t="shared" si="136"/>
        <v>13</v>
      </c>
      <c r="F1133" s="6">
        <f t="shared" si="137"/>
        <v>23</v>
      </c>
      <c r="G1133" s="6">
        <f>ROUND(Catalogue!G60*SQRT((1+Paramètres!$B$4*(C1133-1)+Paramètres!$B$5*(C1133-1)^2)),0)</f>
        <v>0</v>
      </c>
      <c r="H1133" s="6">
        <f>ROUND(Catalogue!H60*SQRT((1+Paramètres!$B$4*(C1133-1)+Paramètres!$B$5*(C1133-1)^2)),0)</f>
        <v>0</v>
      </c>
      <c r="I1133" s="6">
        <v>2</v>
      </c>
      <c r="J1133" s="6">
        <v>4</v>
      </c>
      <c r="K1133" s="7">
        <v>1.4</v>
      </c>
      <c r="L1133" s="9">
        <f t="shared" si="138"/>
        <v>18</v>
      </c>
      <c r="M1133">
        <v>2</v>
      </c>
      <c r="N1133">
        <v>6</v>
      </c>
      <c r="O1133">
        <v>11</v>
      </c>
      <c r="P1133" s="13" t="str">
        <f t="shared" si="139"/>
        <v>2d6 + 11</v>
      </c>
      <c r="Q1133">
        <f>ROUND(INDEX(Catalogue!E$4:E$85,MATCH(A1133,Catalogue!A$4:A$85,0))*(1+Paramètres!$B$4*(C1133-1)+Paramètres!$B$5*(C1133-1)^2),0)</f>
        <v>13</v>
      </c>
      <c r="R1133">
        <f>ROUND(INDEX(Catalogue!F$4:F$85,MATCH(A1133,Catalogue!A$4:A$85,0))*(1+Paramètres!$B$4*(C1133-1)+Paramètres!$B$5*(C1133-1)^2),0)</f>
        <v>23</v>
      </c>
      <c r="S1133">
        <f t="shared" si="140"/>
        <v>0</v>
      </c>
      <c r="T1133" t="str">
        <f t="shared" si="141"/>
        <v>OK</v>
      </c>
      <c r="U1133" s="25">
        <f t="shared" si="142"/>
        <v>18</v>
      </c>
      <c r="V1133" t="str">
        <f t="shared" si="143"/>
        <v>OK</v>
      </c>
    </row>
    <row r="1134" spans="1:22" ht="18" customHeight="1">
      <c r="A1134" t="s">
        <v>274</v>
      </c>
      <c r="B1134" t="s">
        <v>275</v>
      </c>
      <c r="C1134">
        <v>11</v>
      </c>
      <c r="D1134" t="s">
        <v>267</v>
      </c>
      <c r="E1134" s="6">
        <f t="shared" si="136"/>
        <v>15</v>
      </c>
      <c r="F1134" s="6">
        <f t="shared" si="137"/>
        <v>25</v>
      </c>
      <c r="G1134" s="6">
        <f>ROUND(Catalogue!G60*SQRT((1+Paramètres!$B$4*(C1134-1)+Paramètres!$B$5*(C1134-1)^2)),0)</f>
        <v>0</v>
      </c>
      <c r="H1134" s="6">
        <f>ROUND(Catalogue!H60*SQRT((1+Paramètres!$B$4*(C1134-1)+Paramètres!$B$5*(C1134-1)^2)),0)</f>
        <v>0</v>
      </c>
      <c r="I1134" s="6">
        <v>2</v>
      </c>
      <c r="J1134" s="6">
        <v>4</v>
      </c>
      <c r="K1134" s="7">
        <v>1.4</v>
      </c>
      <c r="L1134" s="9">
        <f t="shared" si="138"/>
        <v>20</v>
      </c>
      <c r="M1134">
        <v>2</v>
      </c>
      <c r="N1134">
        <v>6</v>
      </c>
      <c r="O1134">
        <v>13</v>
      </c>
      <c r="P1134" s="13" t="str">
        <f t="shared" si="139"/>
        <v>2d6 + 13</v>
      </c>
      <c r="Q1134">
        <f>ROUND(INDEX(Catalogue!E$4:E$85,MATCH(A1134,Catalogue!A$4:A$85,0))*(1+Paramètres!$B$4*(C1134-1)+Paramètres!$B$5*(C1134-1)^2),0)</f>
        <v>15</v>
      </c>
      <c r="R1134">
        <f>ROUND(INDEX(Catalogue!F$4:F$85,MATCH(A1134,Catalogue!A$4:A$85,0))*(1+Paramètres!$B$4*(C1134-1)+Paramètres!$B$5*(C1134-1)^2),0)</f>
        <v>26</v>
      </c>
      <c r="S1134">
        <f t="shared" si="140"/>
        <v>-0.5</v>
      </c>
      <c r="T1134" t="str">
        <f t="shared" si="141"/>
        <v>OK</v>
      </c>
      <c r="U1134" s="25">
        <f t="shared" si="142"/>
        <v>20</v>
      </c>
      <c r="V1134" t="str">
        <f t="shared" si="143"/>
        <v>OK</v>
      </c>
    </row>
    <row r="1135" spans="1:22" ht="18" customHeight="1">
      <c r="A1135" t="s">
        <v>274</v>
      </c>
      <c r="B1135" t="s">
        <v>275</v>
      </c>
      <c r="C1135">
        <v>12</v>
      </c>
      <c r="D1135" t="s">
        <v>267</v>
      </c>
      <c r="E1135" s="6">
        <f t="shared" si="136"/>
        <v>17</v>
      </c>
      <c r="F1135" s="6">
        <f t="shared" si="137"/>
        <v>29</v>
      </c>
      <c r="G1135" s="6">
        <f>ROUND(Catalogue!G60*SQRT((1+Paramètres!$B$4*(C1135-1)+Paramètres!$B$5*(C1135-1)^2)),0)</f>
        <v>0</v>
      </c>
      <c r="H1135" s="6">
        <f>ROUND(Catalogue!H60*SQRT((1+Paramètres!$B$4*(C1135-1)+Paramètres!$B$5*(C1135-1)^2)),0)</f>
        <v>0</v>
      </c>
      <c r="I1135" s="6">
        <v>2</v>
      </c>
      <c r="J1135" s="6">
        <v>4</v>
      </c>
      <c r="K1135" s="7">
        <v>1.4</v>
      </c>
      <c r="L1135" s="9">
        <f t="shared" si="138"/>
        <v>23</v>
      </c>
      <c r="M1135">
        <v>4</v>
      </c>
      <c r="N1135">
        <v>4</v>
      </c>
      <c r="O1135">
        <v>13</v>
      </c>
      <c r="P1135" s="13" t="str">
        <f t="shared" si="139"/>
        <v>4d4 + 13</v>
      </c>
      <c r="Q1135">
        <f>ROUND(INDEX(Catalogue!E$4:E$85,MATCH(A1135,Catalogue!A$4:A$85,0))*(1+Paramètres!$B$4*(C1135-1)+Paramètres!$B$5*(C1135-1)^2),0)</f>
        <v>17</v>
      </c>
      <c r="R1135">
        <f>ROUND(INDEX(Catalogue!F$4:F$85,MATCH(A1135,Catalogue!A$4:A$85,0))*(1+Paramètres!$B$4*(C1135-1)+Paramètres!$B$5*(C1135-1)^2),0)</f>
        <v>29</v>
      </c>
      <c r="S1135">
        <f t="shared" si="140"/>
        <v>0</v>
      </c>
      <c r="T1135" t="str">
        <f t="shared" si="141"/>
        <v>OK</v>
      </c>
      <c r="U1135" s="25">
        <f t="shared" si="142"/>
        <v>23</v>
      </c>
      <c r="V1135" t="str">
        <f t="shared" si="143"/>
        <v>OK</v>
      </c>
    </row>
    <row r="1136" spans="1:22" ht="18" customHeight="1">
      <c r="A1136" t="s">
        <v>274</v>
      </c>
      <c r="B1136" t="s">
        <v>275</v>
      </c>
      <c r="C1136">
        <v>13</v>
      </c>
      <c r="D1136" t="s">
        <v>267</v>
      </c>
      <c r="E1136" s="6">
        <f t="shared" si="136"/>
        <v>18</v>
      </c>
      <c r="F1136" s="6">
        <f t="shared" si="137"/>
        <v>32</v>
      </c>
      <c r="G1136" s="6">
        <f>ROUND(Catalogue!G60*SQRT((1+Paramètres!$B$4*(C1136-1)+Paramètres!$B$5*(C1136-1)^2)),0)</f>
        <v>0</v>
      </c>
      <c r="H1136" s="6">
        <f>ROUND(Catalogue!H60*SQRT((1+Paramètres!$B$4*(C1136-1)+Paramètres!$B$5*(C1136-1)^2)),0)</f>
        <v>0</v>
      </c>
      <c r="I1136" s="6">
        <v>2</v>
      </c>
      <c r="J1136" s="6">
        <v>4</v>
      </c>
      <c r="K1136" s="7">
        <v>1.4</v>
      </c>
      <c r="L1136" s="9">
        <f t="shared" si="138"/>
        <v>25</v>
      </c>
      <c r="M1136">
        <v>2</v>
      </c>
      <c r="N1136">
        <v>8</v>
      </c>
      <c r="O1136">
        <v>16</v>
      </c>
      <c r="P1136" s="13" t="str">
        <f t="shared" si="139"/>
        <v>2d8 + 16</v>
      </c>
      <c r="Q1136">
        <f>ROUND(INDEX(Catalogue!E$4:E$85,MATCH(A1136,Catalogue!A$4:A$85,0))*(1+Paramètres!$B$4*(C1136-1)+Paramètres!$B$5*(C1136-1)^2),0)</f>
        <v>18</v>
      </c>
      <c r="R1136">
        <f>ROUND(INDEX(Catalogue!F$4:F$85,MATCH(A1136,Catalogue!A$4:A$85,0))*(1+Paramètres!$B$4*(C1136-1)+Paramètres!$B$5*(C1136-1)^2),0)</f>
        <v>32</v>
      </c>
      <c r="S1136">
        <f t="shared" si="140"/>
        <v>0</v>
      </c>
      <c r="T1136" t="str">
        <f t="shared" si="141"/>
        <v>OK</v>
      </c>
      <c r="U1136" s="25">
        <f t="shared" si="142"/>
        <v>25</v>
      </c>
      <c r="V1136" t="str">
        <f t="shared" si="143"/>
        <v>OK</v>
      </c>
    </row>
    <row r="1137" spans="1:22" ht="18" customHeight="1">
      <c r="A1137" t="s">
        <v>274</v>
      </c>
      <c r="B1137" t="s">
        <v>275</v>
      </c>
      <c r="C1137">
        <v>14</v>
      </c>
      <c r="D1137" t="s">
        <v>267</v>
      </c>
      <c r="E1137" s="6">
        <f t="shared" si="136"/>
        <v>21</v>
      </c>
      <c r="F1137" s="6">
        <f t="shared" si="137"/>
        <v>36</v>
      </c>
      <c r="G1137" s="6">
        <f>ROUND(Catalogue!G60*SQRT((1+Paramètres!$B$4*(C1137-1)+Paramètres!$B$5*(C1137-1)^2)),0)</f>
        <v>0</v>
      </c>
      <c r="H1137" s="6">
        <f>ROUND(Catalogue!H60*SQRT((1+Paramètres!$B$4*(C1137-1)+Paramètres!$B$5*(C1137-1)^2)),0)</f>
        <v>0</v>
      </c>
      <c r="I1137" s="6">
        <v>2</v>
      </c>
      <c r="J1137" s="6">
        <v>4</v>
      </c>
      <c r="K1137" s="7">
        <v>1.4</v>
      </c>
      <c r="L1137" s="9">
        <f t="shared" si="138"/>
        <v>28.5</v>
      </c>
      <c r="M1137">
        <v>3</v>
      </c>
      <c r="N1137">
        <v>6</v>
      </c>
      <c r="O1137">
        <v>18</v>
      </c>
      <c r="P1137" s="13" t="str">
        <f t="shared" si="139"/>
        <v>3d6 + 18</v>
      </c>
      <c r="Q1137">
        <f>ROUND(INDEX(Catalogue!E$4:E$85,MATCH(A1137,Catalogue!A$4:A$85,0))*(1+Paramètres!$B$4*(C1137-1)+Paramètres!$B$5*(C1137-1)^2),0)</f>
        <v>21</v>
      </c>
      <c r="R1137">
        <f>ROUND(INDEX(Catalogue!F$4:F$85,MATCH(A1137,Catalogue!A$4:A$85,0))*(1+Paramètres!$B$4*(C1137-1)+Paramètres!$B$5*(C1137-1)^2),0)</f>
        <v>36</v>
      </c>
      <c r="S1137">
        <f t="shared" si="140"/>
        <v>0</v>
      </c>
      <c r="T1137" t="str">
        <f t="shared" si="141"/>
        <v>OK</v>
      </c>
      <c r="U1137" s="25">
        <f t="shared" si="142"/>
        <v>28.5</v>
      </c>
      <c r="V1137" t="str">
        <f t="shared" si="143"/>
        <v>OK</v>
      </c>
    </row>
    <row r="1138" spans="1:22" ht="18" customHeight="1">
      <c r="A1138" t="s">
        <v>274</v>
      </c>
      <c r="B1138" t="s">
        <v>275</v>
      </c>
      <c r="C1138">
        <v>15</v>
      </c>
      <c r="D1138" t="s">
        <v>267</v>
      </c>
      <c r="E1138" s="6">
        <f t="shared" si="136"/>
        <v>24</v>
      </c>
      <c r="F1138" s="6">
        <f t="shared" si="137"/>
        <v>39</v>
      </c>
      <c r="G1138" s="6">
        <f>ROUND(Catalogue!G60*SQRT((1+Paramètres!$B$4*(C1138-1)+Paramètres!$B$5*(C1138-1)^2)),0)</f>
        <v>0</v>
      </c>
      <c r="H1138" s="6">
        <f>ROUND(Catalogue!H60*SQRT((1+Paramètres!$B$4*(C1138-1)+Paramètres!$B$5*(C1138-1)^2)),0)</f>
        <v>0</v>
      </c>
      <c r="I1138" s="6">
        <v>2</v>
      </c>
      <c r="J1138" s="6">
        <v>4</v>
      </c>
      <c r="K1138" s="7">
        <v>1.4</v>
      </c>
      <c r="L1138" s="9">
        <f t="shared" si="138"/>
        <v>31.5</v>
      </c>
      <c r="M1138">
        <v>3</v>
      </c>
      <c r="N1138">
        <v>6</v>
      </c>
      <c r="O1138">
        <v>21</v>
      </c>
      <c r="P1138" s="13" t="str">
        <f t="shared" si="139"/>
        <v>3d6 + 21</v>
      </c>
      <c r="Q1138">
        <f>ROUND(INDEX(Catalogue!E$4:E$85,MATCH(A1138,Catalogue!A$4:A$85,0))*(1+Paramètres!$B$4*(C1138-1)+Paramètres!$B$5*(C1138-1)^2),0)</f>
        <v>23</v>
      </c>
      <c r="R1138">
        <f>ROUND(INDEX(Catalogue!F$4:F$85,MATCH(A1138,Catalogue!A$4:A$85,0))*(1+Paramètres!$B$4*(C1138-1)+Paramètres!$B$5*(C1138-1)^2),0)</f>
        <v>40</v>
      </c>
      <c r="S1138">
        <f t="shared" si="140"/>
        <v>0</v>
      </c>
      <c r="T1138" t="str">
        <f t="shared" si="141"/>
        <v>OK</v>
      </c>
      <c r="U1138" s="25">
        <f t="shared" si="142"/>
        <v>31.5</v>
      </c>
      <c r="V1138" t="str">
        <f t="shared" si="143"/>
        <v>OK</v>
      </c>
    </row>
    <row r="1139" spans="1:22" ht="18" customHeight="1">
      <c r="A1139" t="s">
        <v>274</v>
      </c>
      <c r="B1139" t="s">
        <v>275</v>
      </c>
      <c r="C1139">
        <v>16</v>
      </c>
      <c r="D1139" t="s">
        <v>267</v>
      </c>
      <c r="E1139" s="6">
        <f t="shared" si="136"/>
        <v>24</v>
      </c>
      <c r="F1139" s="6">
        <f t="shared" si="137"/>
        <v>44</v>
      </c>
      <c r="G1139" s="6">
        <f>ROUND(Catalogue!G60*SQRT((1+Paramètres!$B$4*(C1139-1)+Paramètres!$B$5*(C1139-1)^2)),0)</f>
        <v>0</v>
      </c>
      <c r="H1139" s="6">
        <f>ROUND(Catalogue!H60*SQRT((1+Paramètres!$B$4*(C1139-1)+Paramètres!$B$5*(C1139-1)^2)),0)</f>
        <v>0</v>
      </c>
      <c r="I1139" s="6">
        <v>2</v>
      </c>
      <c r="J1139" s="6">
        <v>4</v>
      </c>
      <c r="K1139" s="7">
        <v>1.4</v>
      </c>
      <c r="L1139" s="9">
        <f t="shared" si="138"/>
        <v>34</v>
      </c>
      <c r="M1139">
        <v>4</v>
      </c>
      <c r="N1139">
        <v>6</v>
      </c>
      <c r="O1139">
        <v>20</v>
      </c>
      <c r="P1139" s="13" t="str">
        <f t="shared" si="139"/>
        <v>4d6 + 20</v>
      </c>
      <c r="Q1139">
        <f>ROUND(INDEX(Catalogue!E$4:E$85,MATCH(A1139,Catalogue!A$4:A$85,0))*(1+Paramètres!$B$4*(C1139-1)+Paramètres!$B$5*(C1139-1)^2),0)</f>
        <v>25</v>
      </c>
      <c r="R1139">
        <f>ROUND(INDEX(Catalogue!F$4:F$85,MATCH(A1139,Catalogue!A$4:A$85,0))*(1+Paramètres!$B$4*(C1139-1)+Paramètres!$B$5*(C1139-1)^2),0)</f>
        <v>44</v>
      </c>
      <c r="S1139">
        <f t="shared" si="140"/>
        <v>-0.5</v>
      </c>
      <c r="T1139" t="str">
        <f t="shared" si="141"/>
        <v>OK</v>
      </c>
      <c r="U1139" s="25">
        <f t="shared" si="142"/>
        <v>34</v>
      </c>
      <c r="V1139" t="str">
        <f t="shared" si="143"/>
        <v>OK</v>
      </c>
    </row>
    <row r="1140" spans="1:22" ht="18" customHeight="1">
      <c r="A1140" t="s">
        <v>274</v>
      </c>
      <c r="B1140" t="s">
        <v>275</v>
      </c>
      <c r="C1140">
        <v>17</v>
      </c>
      <c r="D1140" t="s">
        <v>267</v>
      </c>
      <c r="E1140" s="6">
        <f t="shared" si="136"/>
        <v>27</v>
      </c>
      <c r="F1140" s="6">
        <f t="shared" si="137"/>
        <v>48</v>
      </c>
      <c r="G1140" s="6">
        <f>ROUND(Catalogue!G60*SQRT((1+Paramètres!$B$4*(C1140-1)+Paramètres!$B$5*(C1140-1)^2)),0)</f>
        <v>0</v>
      </c>
      <c r="H1140" s="6">
        <f>ROUND(Catalogue!H60*SQRT((1+Paramètres!$B$4*(C1140-1)+Paramètres!$B$5*(C1140-1)^2)),0)</f>
        <v>0</v>
      </c>
      <c r="I1140" s="6">
        <v>2</v>
      </c>
      <c r="J1140" s="6">
        <v>4</v>
      </c>
      <c r="K1140" s="7">
        <v>1.4</v>
      </c>
      <c r="L1140" s="9">
        <f t="shared" si="138"/>
        <v>37.5</v>
      </c>
      <c r="M1140">
        <v>3</v>
      </c>
      <c r="N1140">
        <v>8</v>
      </c>
      <c r="O1140">
        <v>24</v>
      </c>
      <c r="P1140" s="13" t="str">
        <f t="shared" si="139"/>
        <v>3d8 + 24</v>
      </c>
      <c r="Q1140">
        <f>ROUND(INDEX(Catalogue!E$4:E$85,MATCH(A1140,Catalogue!A$4:A$85,0))*(1+Paramètres!$B$4*(C1140-1)+Paramètres!$B$5*(C1140-1)^2),0)</f>
        <v>27</v>
      </c>
      <c r="R1140">
        <f>ROUND(INDEX(Catalogue!F$4:F$85,MATCH(A1140,Catalogue!A$4:A$85,0))*(1+Paramètres!$B$4*(C1140-1)+Paramètres!$B$5*(C1140-1)^2),0)</f>
        <v>48</v>
      </c>
      <c r="S1140">
        <f t="shared" si="140"/>
        <v>0</v>
      </c>
      <c r="T1140" t="str">
        <f t="shared" si="141"/>
        <v>OK</v>
      </c>
      <c r="U1140" s="25">
        <f t="shared" si="142"/>
        <v>37.5</v>
      </c>
      <c r="V1140" t="str">
        <f t="shared" si="143"/>
        <v>OK</v>
      </c>
    </row>
    <row r="1141" spans="1:22" ht="18" customHeight="1">
      <c r="A1141" t="s">
        <v>274</v>
      </c>
      <c r="B1141" t="s">
        <v>275</v>
      </c>
      <c r="C1141">
        <v>18</v>
      </c>
      <c r="D1141" t="s">
        <v>267</v>
      </c>
      <c r="E1141" s="6">
        <f t="shared" si="136"/>
        <v>30</v>
      </c>
      <c r="F1141" s="6">
        <f t="shared" si="137"/>
        <v>51</v>
      </c>
      <c r="G1141" s="6">
        <f>ROUND(Catalogue!G60*SQRT((1+Paramètres!$B$4*(C1141-1)+Paramètres!$B$5*(C1141-1)^2)),0)</f>
        <v>0</v>
      </c>
      <c r="H1141" s="6">
        <f>ROUND(Catalogue!H60*SQRT((1+Paramètres!$B$4*(C1141-1)+Paramètres!$B$5*(C1141-1)^2)),0)</f>
        <v>0</v>
      </c>
      <c r="I1141" s="6">
        <v>2</v>
      </c>
      <c r="J1141" s="6">
        <v>4</v>
      </c>
      <c r="K1141" s="7">
        <v>1.4</v>
      </c>
      <c r="L1141" s="9">
        <f t="shared" si="138"/>
        <v>40.5</v>
      </c>
      <c r="M1141">
        <v>3</v>
      </c>
      <c r="N1141">
        <v>8</v>
      </c>
      <c r="O1141">
        <v>27</v>
      </c>
      <c r="P1141" s="13" t="str">
        <f t="shared" si="139"/>
        <v>3d8 + 27</v>
      </c>
      <c r="Q1141">
        <f>ROUND(INDEX(Catalogue!E$4:E$85,MATCH(A1141,Catalogue!A$4:A$85,0))*(1+Paramètres!$B$4*(C1141-1)+Paramètres!$B$5*(C1141-1)^2),0)</f>
        <v>30</v>
      </c>
      <c r="R1141">
        <f>ROUND(INDEX(Catalogue!F$4:F$85,MATCH(A1141,Catalogue!A$4:A$85,0))*(1+Paramètres!$B$4*(C1141-1)+Paramètres!$B$5*(C1141-1)^2),0)</f>
        <v>52</v>
      </c>
      <c r="S1141">
        <f t="shared" si="140"/>
        <v>-0.5</v>
      </c>
      <c r="T1141" t="str">
        <f t="shared" si="141"/>
        <v>OK</v>
      </c>
      <c r="U1141" s="25">
        <f t="shared" si="142"/>
        <v>40.5</v>
      </c>
      <c r="V1141" t="str">
        <f t="shared" si="143"/>
        <v>OK</v>
      </c>
    </row>
    <row r="1142" spans="1:22" ht="18" customHeight="1">
      <c r="A1142" t="s">
        <v>274</v>
      </c>
      <c r="B1142" t="s">
        <v>275</v>
      </c>
      <c r="C1142">
        <v>19</v>
      </c>
      <c r="D1142" t="s">
        <v>267</v>
      </c>
      <c r="E1142" s="6">
        <f t="shared" si="136"/>
        <v>32</v>
      </c>
      <c r="F1142" s="6">
        <f t="shared" si="137"/>
        <v>57</v>
      </c>
      <c r="G1142" s="6">
        <f>ROUND(Catalogue!G60*SQRT((1+Paramètres!$B$4*(C1142-1)+Paramètres!$B$5*(C1142-1)^2)),0)</f>
        <v>0</v>
      </c>
      <c r="H1142" s="6">
        <f>ROUND(Catalogue!H60*SQRT((1+Paramètres!$B$4*(C1142-1)+Paramètres!$B$5*(C1142-1)^2)),0)</f>
        <v>0</v>
      </c>
      <c r="I1142" s="6">
        <v>2</v>
      </c>
      <c r="J1142" s="6">
        <v>4</v>
      </c>
      <c r="K1142" s="7">
        <v>1.4</v>
      </c>
      <c r="L1142" s="9">
        <f t="shared" si="138"/>
        <v>44.5</v>
      </c>
      <c r="M1142">
        <v>5</v>
      </c>
      <c r="N1142">
        <v>6</v>
      </c>
      <c r="O1142">
        <v>27</v>
      </c>
      <c r="P1142" s="13" t="str">
        <f t="shared" si="139"/>
        <v>5d6 + 27</v>
      </c>
      <c r="Q1142">
        <f>ROUND(INDEX(Catalogue!E$4:E$85,MATCH(A1142,Catalogue!A$4:A$85,0))*(1+Paramètres!$B$4*(C1142-1)+Paramètres!$B$5*(C1142-1)^2),0)</f>
        <v>33</v>
      </c>
      <c r="R1142">
        <f>ROUND(INDEX(Catalogue!F$4:F$85,MATCH(A1142,Catalogue!A$4:A$85,0))*(1+Paramètres!$B$4*(C1142-1)+Paramètres!$B$5*(C1142-1)^2),0)</f>
        <v>57</v>
      </c>
      <c r="S1142">
        <f t="shared" si="140"/>
        <v>-0.5</v>
      </c>
      <c r="T1142" t="str">
        <f t="shared" si="141"/>
        <v>OK</v>
      </c>
      <c r="U1142" s="25">
        <f t="shared" si="142"/>
        <v>44.5</v>
      </c>
      <c r="V1142" t="str">
        <f t="shared" si="143"/>
        <v>OK</v>
      </c>
    </row>
    <row r="1143" spans="1:22" ht="18" customHeight="1">
      <c r="A1143" t="s">
        <v>274</v>
      </c>
      <c r="B1143" t="s">
        <v>275</v>
      </c>
      <c r="C1143">
        <v>20</v>
      </c>
      <c r="D1143" t="s">
        <v>267</v>
      </c>
      <c r="E1143" s="6">
        <f t="shared" si="136"/>
        <v>34</v>
      </c>
      <c r="F1143" s="6">
        <f t="shared" si="137"/>
        <v>62</v>
      </c>
      <c r="G1143" s="6">
        <f>ROUND(Catalogue!G60*SQRT((1+Paramètres!$B$4*(C1143-1)+Paramètres!$B$5*(C1143-1)^2)),0)</f>
        <v>0</v>
      </c>
      <c r="H1143" s="6">
        <f>ROUND(Catalogue!H60*SQRT((1+Paramètres!$B$4*(C1143-1)+Paramètres!$B$5*(C1143-1)^2)),0)</f>
        <v>0</v>
      </c>
      <c r="I1143" s="6">
        <v>2</v>
      </c>
      <c r="J1143" s="6">
        <v>4</v>
      </c>
      <c r="K1143" s="7">
        <v>1.4</v>
      </c>
      <c r="L1143" s="9">
        <f t="shared" si="138"/>
        <v>48</v>
      </c>
      <c r="M1143">
        <v>4</v>
      </c>
      <c r="N1143">
        <v>8</v>
      </c>
      <c r="O1143">
        <v>30</v>
      </c>
      <c r="P1143" s="13" t="str">
        <f t="shared" si="139"/>
        <v>4d8 + 30</v>
      </c>
      <c r="Q1143">
        <f>ROUND(INDEX(Catalogue!E$4:E$85,MATCH(A1143,Catalogue!A$4:A$85,0))*(1+Paramètres!$B$4*(C1143-1)+Paramètres!$B$5*(C1143-1)^2),0)</f>
        <v>35</v>
      </c>
      <c r="R1143">
        <f>ROUND(INDEX(Catalogue!F$4:F$85,MATCH(A1143,Catalogue!A$4:A$85,0))*(1+Paramètres!$B$4*(C1143-1)+Paramètres!$B$5*(C1143-1)^2),0)</f>
        <v>62</v>
      </c>
      <c r="S1143">
        <f t="shared" si="140"/>
        <v>-0.5</v>
      </c>
      <c r="T1143" t="str">
        <f t="shared" si="141"/>
        <v>OK</v>
      </c>
      <c r="U1143" s="25">
        <f t="shared" si="142"/>
        <v>48</v>
      </c>
      <c r="V1143" t="str">
        <f t="shared" si="143"/>
        <v>OK</v>
      </c>
    </row>
    <row r="1144" spans="1:22" ht="18" customHeight="1">
      <c r="A1144" t="s">
        <v>276</v>
      </c>
      <c r="B1144" t="s">
        <v>277</v>
      </c>
      <c r="C1144">
        <v>1</v>
      </c>
      <c r="D1144" t="s">
        <v>267</v>
      </c>
      <c r="E1144" s="6">
        <f t="shared" si="136"/>
        <v>1</v>
      </c>
      <c r="F1144" s="6">
        <f t="shared" si="137"/>
        <v>4</v>
      </c>
      <c r="G1144" s="6">
        <f>ROUND(Catalogue!G61*SQRT((1+Paramètres!$B$4*(C1144-1)+Paramètres!$B$5*(C1144-1)^2)),0)</f>
        <v>0</v>
      </c>
      <c r="H1144" s="6">
        <f>ROUND(Catalogue!H61*SQRT((1+Paramètres!$B$4*(C1144-1)+Paramètres!$B$5*(C1144-1)^2)),0)</f>
        <v>0</v>
      </c>
      <c r="I1144" s="6">
        <v>2</v>
      </c>
      <c r="J1144" s="6">
        <v>4</v>
      </c>
      <c r="K1144" s="7">
        <v>0.1</v>
      </c>
      <c r="L1144" s="9">
        <f t="shared" si="138"/>
        <v>2.5</v>
      </c>
      <c r="M1144">
        <v>1</v>
      </c>
      <c r="N1144">
        <v>4</v>
      </c>
      <c r="O1144">
        <v>0</v>
      </c>
      <c r="P1144" s="13" t="str">
        <f t="shared" si="139"/>
        <v>1d4</v>
      </c>
      <c r="Q1144">
        <f>ROUND(INDEX(Catalogue!E$4:E$85,MATCH(A1144,Catalogue!A$4:A$85,0))*(1+Paramètres!$B$4*(C1144-1)+Paramètres!$B$5*(C1144-1)^2),0)</f>
        <v>1</v>
      </c>
      <c r="R1144">
        <f>ROUND(INDEX(Catalogue!F$4:F$85,MATCH(A1144,Catalogue!A$4:A$85,0))*(1+Paramètres!$B$4*(C1144-1)+Paramètres!$B$5*(C1144-1)^2),0)</f>
        <v>3</v>
      </c>
      <c r="S1144">
        <f t="shared" si="140"/>
        <v>0.5</v>
      </c>
      <c r="T1144" t="str">
        <f t="shared" si="141"/>
        <v>OK</v>
      </c>
      <c r="U1144" s="25">
        <f t="shared" si="142"/>
        <v>2.5</v>
      </c>
      <c r="V1144" t="str">
        <f t="shared" si="143"/>
        <v>OK</v>
      </c>
    </row>
    <row r="1145" spans="1:22" ht="18" customHeight="1">
      <c r="A1145" t="s">
        <v>276</v>
      </c>
      <c r="B1145" t="s">
        <v>277</v>
      </c>
      <c r="C1145">
        <v>2</v>
      </c>
      <c r="D1145" t="s">
        <v>267</v>
      </c>
      <c r="E1145" s="6">
        <f t="shared" si="136"/>
        <v>1</v>
      </c>
      <c r="F1145" s="6">
        <f t="shared" si="137"/>
        <v>4</v>
      </c>
      <c r="G1145" s="6">
        <f>ROUND(Catalogue!G61*SQRT((1+Paramètres!$B$4*(C1145-1)+Paramètres!$B$5*(C1145-1)^2)),0)</f>
        <v>0</v>
      </c>
      <c r="H1145" s="6">
        <f>ROUND(Catalogue!H61*SQRT((1+Paramètres!$B$4*(C1145-1)+Paramètres!$B$5*(C1145-1)^2)),0)</f>
        <v>0</v>
      </c>
      <c r="I1145" s="6">
        <v>2</v>
      </c>
      <c r="J1145" s="6">
        <v>4</v>
      </c>
      <c r="K1145" s="7">
        <v>0.1</v>
      </c>
      <c r="L1145" s="9">
        <f t="shared" si="138"/>
        <v>2.5</v>
      </c>
      <c r="M1145">
        <v>1</v>
      </c>
      <c r="N1145">
        <v>4</v>
      </c>
      <c r="O1145">
        <v>0</v>
      </c>
      <c r="P1145" s="13" t="str">
        <f t="shared" si="139"/>
        <v>1d4</v>
      </c>
      <c r="Q1145">
        <f>ROUND(INDEX(Catalogue!E$4:E$85,MATCH(A1145,Catalogue!A$4:A$85,0))*(1+Paramètres!$B$4*(C1145-1)+Paramètres!$B$5*(C1145-1)^2),0)</f>
        <v>1</v>
      </c>
      <c r="R1145">
        <f>ROUND(INDEX(Catalogue!F$4:F$85,MATCH(A1145,Catalogue!A$4:A$85,0))*(1+Paramètres!$B$4*(C1145-1)+Paramètres!$B$5*(C1145-1)^2),0)</f>
        <v>3</v>
      </c>
      <c r="S1145">
        <f t="shared" si="140"/>
        <v>0.5</v>
      </c>
      <c r="T1145" t="str">
        <f t="shared" si="141"/>
        <v>OK</v>
      </c>
      <c r="U1145" s="25">
        <f t="shared" si="142"/>
        <v>2.5</v>
      </c>
      <c r="V1145" t="str">
        <f t="shared" si="143"/>
        <v>OK</v>
      </c>
    </row>
    <row r="1146" spans="1:22" ht="18" customHeight="1">
      <c r="A1146" t="s">
        <v>276</v>
      </c>
      <c r="B1146" t="s">
        <v>277</v>
      </c>
      <c r="C1146">
        <v>3</v>
      </c>
      <c r="D1146" t="s">
        <v>267</v>
      </c>
      <c r="E1146" s="6">
        <f t="shared" si="136"/>
        <v>1</v>
      </c>
      <c r="F1146" s="6">
        <f t="shared" si="137"/>
        <v>4</v>
      </c>
      <c r="G1146" s="6">
        <f>ROUND(Catalogue!G61*SQRT((1+Paramètres!$B$4*(C1146-1)+Paramètres!$B$5*(C1146-1)^2)),0)</f>
        <v>0</v>
      </c>
      <c r="H1146" s="6">
        <f>ROUND(Catalogue!H61*SQRT((1+Paramètres!$B$4*(C1146-1)+Paramètres!$B$5*(C1146-1)^2)),0)</f>
        <v>0</v>
      </c>
      <c r="I1146" s="6">
        <v>2</v>
      </c>
      <c r="J1146" s="6">
        <v>4</v>
      </c>
      <c r="K1146" s="7">
        <v>0.1</v>
      </c>
      <c r="L1146" s="9">
        <f t="shared" si="138"/>
        <v>2.5</v>
      </c>
      <c r="M1146">
        <v>1</v>
      </c>
      <c r="N1146">
        <v>4</v>
      </c>
      <c r="O1146">
        <v>0</v>
      </c>
      <c r="P1146" s="13" t="str">
        <f t="shared" si="139"/>
        <v>1d4</v>
      </c>
      <c r="Q1146">
        <f>ROUND(INDEX(Catalogue!E$4:E$85,MATCH(A1146,Catalogue!A$4:A$85,0))*(1+Paramètres!$B$4*(C1146-1)+Paramètres!$B$5*(C1146-1)^2),0)</f>
        <v>1</v>
      </c>
      <c r="R1146">
        <f>ROUND(INDEX(Catalogue!F$4:F$85,MATCH(A1146,Catalogue!A$4:A$85,0))*(1+Paramètres!$B$4*(C1146-1)+Paramètres!$B$5*(C1146-1)^2),0)</f>
        <v>4</v>
      </c>
      <c r="S1146">
        <f t="shared" si="140"/>
        <v>0</v>
      </c>
      <c r="T1146" t="str">
        <f t="shared" si="141"/>
        <v>OK</v>
      </c>
      <c r="U1146" s="25">
        <f t="shared" si="142"/>
        <v>2.5</v>
      </c>
      <c r="V1146" t="str">
        <f t="shared" si="143"/>
        <v>OK</v>
      </c>
    </row>
    <row r="1147" spans="1:22" ht="18" customHeight="1">
      <c r="A1147" t="s">
        <v>276</v>
      </c>
      <c r="B1147" t="s">
        <v>277</v>
      </c>
      <c r="C1147">
        <v>4</v>
      </c>
      <c r="D1147" t="s">
        <v>267</v>
      </c>
      <c r="E1147" s="6">
        <f t="shared" si="136"/>
        <v>1</v>
      </c>
      <c r="F1147" s="6">
        <f t="shared" si="137"/>
        <v>4</v>
      </c>
      <c r="G1147" s="6">
        <f>ROUND(Catalogue!G61*SQRT((1+Paramètres!$B$4*(C1147-1)+Paramètres!$B$5*(C1147-1)^2)),0)</f>
        <v>0</v>
      </c>
      <c r="H1147" s="6">
        <f>ROUND(Catalogue!H61*SQRT((1+Paramètres!$B$4*(C1147-1)+Paramètres!$B$5*(C1147-1)^2)),0)</f>
        <v>0</v>
      </c>
      <c r="I1147" s="6">
        <v>2</v>
      </c>
      <c r="J1147" s="6">
        <v>4</v>
      </c>
      <c r="K1147" s="7">
        <v>0.1</v>
      </c>
      <c r="L1147" s="9">
        <f t="shared" si="138"/>
        <v>2.5</v>
      </c>
      <c r="M1147">
        <v>1</v>
      </c>
      <c r="N1147">
        <v>4</v>
      </c>
      <c r="O1147">
        <v>0</v>
      </c>
      <c r="P1147" s="13" t="str">
        <f t="shared" si="139"/>
        <v>1d4</v>
      </c>
      <c r="Q1147">
        <f>ROUND(INDEX(Catalogue!E$4:E$85,MATCH(A1147,Catalogue!A$4:A$85,0))*(1+Paramètres!$B$4*(C1147-1)+Paramètres!$B$5*(C1147-1)^2),0)</f>
        <v>1</v>
      </c>
      <c r="R1147">
        <f>ROUND(INDEX(Catalogue!F$4:F$85,MATCH(A1147,Catalogue!A$4:A$85,0))*(1+Paramètres!$B$4*(C1147-1)+Paramètres!$B$5*(C1147-1)^2),0)</f>
        <v>4</v>
      </c>
      <c r="S1147">
        <f t="shared" si="140"/>
        <v>0</v>
      </c>
      <c r="T1147" t="str">
        <f t="shared" si="141"/>
        <v>OK</v>
      </c>
      <c r="U1147" s="25">
        <f t="shared" si="142"/>
        <v>2.5</v>
      </c>
      <c r="V1147" t="str">
        <f t="shared" si="143"/>
        <v>OK</v>
      </c>
    </row>
    <row r="1148" spans="1:22" ht="18" customHeight="1">
      <c r="A1148" t="s">
        <v>276</v>
      </c>
      <c r="B1148" t="s">
        <v>277</v>
      </c>
      <c r="C1148">
        <v>5</v>
      </c>
      <c r="D1148" t="s">
        <v>267</v>
      </c>
      <c r="E1148" s="6">
        <f t="shared" si="136"/>
        <v>2</v>
      </c>
      <c r="F1148" s="6">
        <f t="shared" si="137"/>
        <v>5</v>
      </c>
      <c r="G1148" s="6">
        <f>ROUND(Catalogue!G61*SQRT((1+Paramètres!$B$4*(C1148-1)+Paramètres!$B$5*(C1148-1)^2)),0)</f>
        <v>0</v>
      </c>
      <c r="H1148" s="6">
        <f>ROUND(Catalogue!H61*SQRT((1+Paramètres!$B$4*(C1148-1)+Paramètres!$B$5*(C1148-1)^2)),0)</f>
        <v>0</v>
      </c>
      <c r="I1148" s="6">
        <v>2</v>
      </c>
      <c r="J1148" s="6">
        <v>4</v>
      </c>
      <c r="K1148" s="7">
        <v>0.1</v>
      </c>
      <c r="L1148" s="9">
        <f t="shared" si="138"/>
        <v>3.5</v>
      </c>
      <c r="M1148">
        <v>1</v>
      </c>
      <c r="N1148">
        <v>4</v>
      </c>
      <c r="O1148">
        <v>1</v>
      </c>
      <c r="P1148" s="13" t="str">
        <f t="shared" si="139"/>
        <v>1d4 + 1</v>
      </c>
      <c r="Q1148">
        <f>ROUND(INDEX(Catalogue!E$4:E$85,MATCH(A1148,Catalogue!A$4:A$85,0))*(1+Paramètres!$B$4*(C1148-1)+Paramètres!$B$5*(C1148-1)^2),0)</f>
        <v>2</v>
      </c>
      <c r="R1148">
        <f>ROUND(INDEX(Catalogue!F$4:F$85,MATCH(A1148,Catalogue!A$4:A$85,0))*(1+Paramètres!$B$4*(C1148-1)+Paramètres!$B$5*(C1148-1)^2),0)</f>
        <v>5</v>
      </c>
      <c r="S1148">
        <f t="shared" si="140"/>
        <v>0</v>
      </c>
      <c r="T1148" t="str">
        <f t="shared" si="141"/>
        <v>OK</v>
      </c>
      <c r="U1148" s="25">
        <f t="shared" si="142"/>
        <v>3.5</v>
      </c>
      <c r="V1148" t="str">
        <f t="shared" si="143"/>
        <v>OK</v>
      </c>
    </row>
    <row r="1149" spans="1:22" ht="18" customHeight="1">
      <c r="A1149" t="s">
        <v>276</v>
      </c>
      <c r="B1149" t="s">
        <v>277</v>
      </c>
      <c r="C1149">
        <v>6</v>
      </c>
      <c r="D1149" t="s">
        <v>267</v>
      </c>
      <c r="E1149" s="6">
        <f t="shared" si="136"/>
        <v>2</v>
      </c>
      <c r="F1149" s="6">
        <f t="shared" si="137"/>
        <v>5</v>
      </c>
      <c r="G1149" s="6">
        <f>ROUND(Catalogue!G61*SQRT((1+Paramètres!$B$4*(C1149-1)+Paramètres!$B$5*(C1149-1)^2)),0)</f>
        <v>0</v>
      </c>
      <c r="H1149" s="6">
        <f>ROUND(Catalogue!H61*SQRT((1+Paramètres!$B$4*(C1149-1)+Paramètres!$B$5*(C1149-1)^2)),0)</f>
        <v>0</v>
      </c>
      <c r="I1149" s="6">
        <v>2</v>
      </c>
      <c r="J1149" s="6">
        <v>4</v>
      </c>
      <c r="K1149" s="7">
        <v>0.1</v>
      </c>
      <c r="L1149" s="9">
        <f t="shared" si="138"/>
        <v>3.5</v>
      </c>
      <c r="M1149">
        <v>1</v>
      </c>
      <c r="N1149">
        <v>4</v>
      </c>
      <c r="O1149">
        <v>1</v>
      </c>
      <c r="P1149" s="13" t="str">
        <f t="shared" si="139"/>
        <v>1d4 + 1</v>
      </c>
      <c r="Q1149">
        <f>ROUND(INDEX(Catalogue!E$4:E$85,MATCH(A1149,Catalogue!A$4:A$85,0))*(1+Paramètres!$B$4*(C1149-1)+Paramètres!$B$5*(C1149-1)^2),0)</f>
        <v>2</v>
      </c>
      <c r="R1149">
        <f>ROUND(INDEX(Catalogue!F$4:F$85,MATCH(A1149,Catalogue!A$4:A$85,0))*(1+Paramètres!$B$4*(C1149-1)+Paramètres!$B$5*(C1149-1)^2),0)</f>
        <v>6</v>
      </c>
      <c r="S1149">
        <f t="shared" si="140"/>
        <v>-0.5</v>
      </c>
      <c r="T1149" t="str">
        <f t="shared" si="141"/>
        <v>OK</v>
      </c>
      <c r="U1149" s="25">
        <f t="shared" si="142"/>
        <v>3.5</v>
      </c>
      <c r="V1149" t="str">
        <f t="shared" si="143"/>
        <v>OK</v>
      </c>
    </row>
    <row r="1150" spans="1:22" ht="18" customHeight="1">
      <c r="A1150" t="s">
        <v>276</v>
      </c>
      <c r="B1150" t="s">
        <v>277</v>
      </c>
      <c r="C1150">
        <v>7</v>
      </c>
      <c r="D1150" t="s">
        <v>267</v>
      </c>
      <c r="E1150" s="6">
        <f t="shared" si="136"/>
        <v>2</v>
      </c>
      <c r="F1150" s="6">
        <f t="shared" si="137"/>
        <v>7</v>
      </c>
      <c r="G1150" s="6">
        <f>ROUND(Catalogue!G61*SQRT((1+Paramètres!$B$4*(C1150-1)+Paramètres!$B$5*(C1150-1)^2)),0)</f>
        <v>0</v>
      </c>
      <c r="H1150" s="6">
        <f>ROUND(Catalogue!H61*SQRT((1+Paramètres!$B$4*(C1150-1)+Paramètres!$B$5*(C1150-1)^2)),0)</f>
        <v>0</v>
      </c>
      <c r="I1150" s="6">
        <v>2</v>
      </c>
      <c r="J1150" s="6">
        <v>4</v>
      </c>
      <c r="K1150" s="7">
        <v>0.1</v>
      </c>
      <c r="L1150" s="9">
        <f t="shared" si="138"/>
        <v>4.5</v>
      </c>
      <c r="M1150">
        <v>1</v>
      </c>
      <c r="N1150">
        <v>6</v>
      </c>
      <c r="O1150">
        <v>1</v>
      </c>
      <c r="P1150" s="13" t="str">
        <f t="shared" si="139"/>
        <v>1d6 + 1</v>
      </c>
      <c r="Q1150">
        <f>ROUND(INDEX(Catalogue!E$4:E$85,MATCH(A1150,Catalogue!A$4:A$85,0))*(1+Paramètres!$B$4*(C1150-1)+Paramètres!$B$5*(C1150-1)^2),0)</f>
        <v>2</v>
      </c>
      <c r="R1150">
        <f>ROUND(INDEX(Catalogue!F$4:F$85,MATCH(A1150,Catalogue!A$4:A$85,0))*(1+Paramètres!$B$4*(C1150-1)+Paramètres!$B$5*(C1150-1)^2),0)</f>
        <v>7</v>
      </c>
      <c r="S1150">
        <f t="shared" si="140"/>
        <v>0</v>
      </c>
      <c r="T1150" t="str">
        <f t="shared" si="141"/>
        <v>OK</v>
      </c>
      <c r="U1150" s="25">
        <f t="shared" si="142"/>
        <v>4.5</v>
      </c>
      <c r="V1150" t="str">
        <f t="shared" si="143"/>
        <v>OK</v>
      </c>
    </row>
    <row r="1151" spans="1:22" ht="18" customHeight="1">
      <c r="A1151" t="s">
        <v>276</v>
      </c>
      <c r="B1151" t="s">
        <v>277</v>
      </c>
      <c r="C1151">
        <v>8</v>
      </c>
      <c r="D1151" t="s">
        <v>267</v>
      </c>
      <c r="E1151" s="6">
        <f t="shared" si="136"/>
        <v>3</v>
      </c>
      <c r="F1151" s="6">
        <f t="shared" si="137"/>
        <v>8</v>
      </c>
      <c r="G1151" s="6">
        <f>ROUND(Catalogue!G61*SQRT((1+Paramètres!$B$4*(C1151-1)+Paramètres!$B$5*(C1151-1)^2)),0)</f>
        <v>0</v>
      </c>
      <c r="H1151" s="6">
        <f>ROUND(Catalogue!H61*SQRT((1+Paramètres!$B$4*(C1151-1)+Paramètres!$B$5*(C1151-1)^2)),0)</f>
        <v>0</v>
      </c>
      <c r="I1151" s="6">
        <v>2</v>
      </c>
      <c r="J1151" s="6">
        <v>4</v>
      </c>
      <c r="K1151" s="7">
        <v>0.1</v>
      </c>
      <c r="L1151" s="9">
        <f t="shared" si="138"/>
        <v>5.5</v>
      </c>
      <c r="M1151">
        <v>1</v>
      </c>
      <c r="N1151">
        <v>6</v>
      </c>
      <c r="O1151">
        <v>2</v>
      </c>
      <c r="P1151" s="13" t="str">
        <f t="shared" si="139"/>
        <v>1d6 + 2</v>
      </c>
      <c r="Q1151">
        <f>ROUND(INDEX(Catalogue!E$4:E$85,MATCH(A1151,Catalogue!A$4:A$85,0))*(1+Paramètres!$B$4*(C1151-1)+Paramètres!$B$5*(C1151-1)^2),0)</f>
        <v>3</v>
      </c>
      <c r="R1151">
        <f>ROUND(INDEX(Catalogue!F$4:F$85,MATCH(A1151,Catalogue!A$4:A$85,0))*(1+Paramètres!$B$4*(C1151-1)+Paramètres!$B$5*(C1151-1)^2),0)</f>
        <v>8</v>
      </c>
      <c r="S1151">
        <f t="shared" si="140"/>
        <v>0</v>
      </c>
      <c r="T1151" t="str">
        <f t="shared" si="141"/>
        <v>OK</v>
      </c>
      <c r="U1151" s="25">
        <f t="shared" si="142"/>
        <v>5.5</v>
      </c>
      <c r="V1151" t="str">
        <f t="shared" si="143"/>
        <v>OK</v>
      </c>
    </row>
    <row r="1152" spans="1:22" ht="18" customHeight="1">
      <c r="A1152" t="s">
        <v>276</v>
      </c>
      <c r="B1152" t="s">
        <v>277</v>
      </c>
      <c r="C1152">
        <v>9</v>
      </c>
      <c r="D1152" t="s">
        <v>267</v>
      </c>
      <c r="E1152" s="6">
        <f t="shared" si="136"/>
        <v>3</v>
      </c>
      <c r="F1152" s="6">
        <f t="shared" si="137"/>
        <v>9</v>
      </c>
      <c r="G1152" s="6">
        <f>ROUND(Catalogue!G61*SQRT((1+Paramètres!$B$4*(C1152-1)+Paramètres!$B$5*(C1152-1)^2)),0)</f>
        <v>0</v>
      </c>
      <c r="H1152" s="6">
        <f>ROUND(Catalogue!H61*SQRT((1+Paramètres!$B$4*(C1152-1)+Paramètres!$B$5*(C1152-1)^2)),0)</f>
        <v>0</v>
      </c>
      <c r="I1152" s="6">
        <v>2</v>
      </c>
      <c r="J1152" s="6">
        <v>4</v>
      </c>
      <c r="K1152" s="7">
        <v>0.1</v>
      </c>
      <c r="L1152" s="9">
        <f t="shared" si="138"/>
        <v>6</v>
      </c>
      <c r="M1152">
        <v>2</v>
      </c>
      <c r="N1152">
        <v>4</v>
      </c>
      <c r="O1152">
        <v>1</v>
      </c>
      <c r="P1152" s="13" t="str">
        <f t="shared" si="139"/>
        <v>2d4 + 1</v>
      </c>
      <c r="Q1152">
        <f>ROUND(INDEX(Catalogue!E$4:E$85,MATCH(A1152,Catalogue!A$4:A$85,0))*(1+Paramètres!$B$4*(C1152-1)+Paramètres!$B$5*(C1152-1)^2),0)</f>
        <v>3</v>
      </c>
      <c r="R1152">
        <f>ROUND(INDEX(Catalogue!F$4:F$85,MATCH(A1152,Catalogue!A$4:A$85,0))*(1+Paramètres!$B$4*(C1152-1)+Paramètres!$B$5*(C1152-1)^2),0)</f>
        <v>9</v>
      </c>
      <c r="S1152">
        <f t="shared" si="140"/>
        <v>0</v>
      </c>
      <c r="T1152" t="str">
        <f t="shared" si="141"/>
        <v>OK</v>
      </c>
      <c r="U1152" s="25">
        <f t="shared" si="142"/>
        <v>6</v>
      </c>
      <c r="V1152" t="str">
        <f t="shared" si="143"/>
        <v>OK</v>
      </c>
    </row>
    <row r="1153" spans="1:22" ht="18" customHeight="1">
      <c r="A1153" t="s">
        <v>276</v>
      </c>
      <c r="B1153" t="s">
        <v>277</v>
      </c>
      <c r="C1153">
        <v>10</v>
      </c>
      <c r="D1153" t="s">
        <v>267</v>
      </c>
      <c r="E1153" s="6">
        <f t="shared" si="136"/>
        <v>3</v>
      </c>
      <c r="F1153" s="6">
        <f t="shared" si="137"/>
        <v>10</v>
      </c>
      <c r="G1153" s="6">
        <f>ROUND(Catalogue!G61*SQRT((1+Paramètres!$B$4*(C1153-1)+Paramètres!$B$5*(C1153-1)^2)),0)</f>
        <v>0</v>
      </c>
      <c r="H1153" s="6">
        <f>ROUND(Catalogue!H61*SQRT((1+Paramètres!$B$4*(C1153-1)+Paramètres!$B$5*(C1153-1)^2)),0)</f>
        <v>0</v>
      </c>
      <c r="I1153" s="6">
        <v>2</v>
      </c>
      <c r="J1153" s="6">
        <v>4</v>
      </c>
      <c r="K1153" s="7">
        <v>0.1</v>
      </c>
      <c r="L1153" s="9">
        <f t="shared" si="138"/>
        <v>6.5</v>
      </c>
      <c r="M1153">
        <v>1</v>
      </c>
      <c r="N1153">
        <v>8</v>
      </c>
      <c r="O1153">
        <v>2</v>
      </c>
      <c r="P1153" s="13" t="str">
        <f t="shared" si="139"/>
        <v>1d8 + 2</v>
      </c>
      <c r="Q1153">
        <f>ROUND(INDEX(Catalogue!E$4:E$85,MATCH(A1153,Catalogue!A$4:A$85,0))*(1+Paramètres!$B$4*(C1153-1)+Paramètres!$B$5*(C1153-1)^2),0)</f>
        <v>3</v>
      </c>
      <c r="R1153">
        <f>ROUND(INDEX(Catalogue!F$4:F$85,MATCH(A1153,Catalogue!A$4:A$85,0))*(1+Paramètres!$B$4*(C1153-1)+Paramètres!$B$5*(C1153-1)^2),0)</f>
        <v>10</v>
      </c>
      <c r="S1153">
        <f t="shared" si="140"/>
        <v>0</v>
      </c>
      <c r="T1153" t="str">
        <f t="shared" si="141"/>
        <v>OK</v>
      </c>
      <c r="U1153" s="25">
        <f t="shared" si="142"/>
        <v>6.5</v>
      </c>
      <c r="V1153" t="str">
        <f t="shared" si="143"/>
        <v>OK</v>
      </c>
    </row>
    <row r="1154" spans="1:22" ht="18" customHeight="1">
      <c r="A1154" t="s">
        <v>276</v>
      </c>
      <c r="B1154" t="s">
        <v>277</v>
      </c>
      <c r="C1154">
        <v>11</v>
      </c>
      <c r="D1154" t="s">
        <v>267</v>
      </c>
      <c r="E1154" s="6">
        <f t="shared" si="136"/>
        <v>4</v>
      </c>
      <c r="F1154" s="6">
        <f t="shared" si="137"/>
        <v>11</v>
      </c>
      <c r="G1154" s="6">
        <f>ROUND(Catalogue!G61*SQRT((1+Paramètres!$B$4*(C1154-1)+Paramètres!$B$5*(C1154-1)^2)),0)</f>
        <v>0</v>
      </c>
      <c r="H1154" s="6">
        <f>ROUND(Catalogue!H61*SQRT((1+Paramètres!$B$4*(C1154-1)+Paramètres!$B$5*(C1154-1)^2)),0)</f>
        <v>0</v>
      </c>
      <c r="I1154" s="6">
        <v>2</v>
      </c>
      <c r="J1154" s="6">
        <v>4</v>
      </c>
      <c r="K1154" s="7">
        <v>0.1</v>
      </c>
      <c r="L1154" s="9">
        <f t="shared" si="138"/>
        <v>7.5</v>
      </c>
      <c r="M1154">
        <v>1</v>
      </c>
      <c r="N1154">
        <v>8</v>
      </c>
      <c r="O1154">
        <v>3</v>
      </c>
      <c r="P1154" s="13" t="str">
        <f t="shared" si="139"/>
        <v>1d8 + 3</v>
      </c>
      <c r="Q1154">
        <f>ROUND(INDEX(Catalogue!E$4:E$85,MATCH(A1154,Catalogue!A$4:A$85,0))*(1+Paramètres!$B$4*(C1154-1)+Paramètres!$B$5*(C1154-1)^2),0)</f>
        <v>4</v>
      </c>
      <c r="R1154">
        <f>ROUND(INDEX(Catalogue!F$4:F$85,MATCH(A1154,Catalogue!A$4:A$85,0))*(1+Paramètres!$B$4*(C1154-1)+Paramètres!$B$5*(C1154-1)^2),0)</f>
        <v>11</v>
      </c>
      <c r="S1154">
        <f t="shared" si="140"/>
        <v>0</v>
      </c>
      <c r="T1154" t="str">
        <f t="shared" si="141"/>
        <v>OK</v>
      </c>
      <c r="U1154" s="25">
        <f t="shared" si="142"/>
        <v>7.5</v>
      </c>
      <c r="V1154" t="str">
        <f t="shared" si="143"/>
        <v>OK</v>
      </c>
    </row>
    <row r="1155" spans="1:22" ht="18" customHeight="1">
      <c r="A1155" t="s">
        <v>276</v>
      </c>
      <c r="B1155" t="s">
        <v>277</v>
      </c>
      <c r="C1155">
        <v>12</v>
      </c>
      <c r="D1155" t="s">
        <v>267</v>
      </c>
      <c r="E1155" s="6">
        <f t="shared" si="136"/>
        <v>3</v>
      </c>
      <c r="F1155" s="6">
        <f t="shared" si="137"/>
        <v>12</v>
      </c>
      <c r="G1155" s="6">
        <f>ROUND(Catalogue!G61*SQRT((1+Paramètres!$B$4*(C1155-1)+Paramètres!$B$5*(C1155-1)^2)),0)</f>
        <v>0</v>
      </c>
      <c r="H1155" s="6">
        <f>ROUND(Catalogue!H61*SQRT((1+Paramètres!$B$4*(C1155-1)+Paramètres!$B$5*(C1155-1)^2)),0)</f>
        <v>0</v>
      </c>
      <c r="I1155" s="6">
        <v>2</v>
      </c>
      <c r="J1155" s="6">
        <v>4</v>
      </c>
      <c r="K1155" s="7">
        <v>0.1</v>
      </c>
      <c r="L1155" s="9">
        <f t="shared" si="138"/>
        <v>7.5</v>
      </c>
      <c r="M1155">
        <v>3</v>
      </c>
      <c r="N1155">
        <v>4</v>
      </c>
      <c r="O1155">
        <v>0</v>
      </c>
      <c r="P1155" s="13" t="str">
        <f t="shared" si="139"/>
        <v>3d4</v>
      </c>
      <c r="Q1155">
        <f>ROUND(INDEX(Catalogue!E$4:E$85,MATCH(A1155,Catalogue!A$4:A$85,0))*(1+Paramètres!$B$4*(C1155-1)+Paramètres!$B$5*(C1155-1)^2),0)</f>
        <v>4</v>
      </c>
      <c r="R1155">
        <f>ROUND(INDEX(Catalogue!F$4:F$85,MATCH(A1155,Catalogue!A$4:A$85,0))*(1+Paramètres!$B$4*(C1155-1)+Paramètres!$B$5*(C1155-1)^2),0)</f>
        <v>12</v>
      </c>
      <c r="S1155">
        <f t="shared" si="140"/>
        <v>-0.5</v>
      </c>
      <c r="T1155" t="str">
        <f t="shared" si="141"/>
        <v>OK</v>
      </c>
      <c r="U1155" s="25">
        <f t="shared" si="142"/>
        <v>7.5</v>
      </c>
      <c r="V1155" t="str">
        <f t="shared" si="143"/>
        <v>OK</v>
      </c>
    </row>
    <row r="1156" spans="1:22" ht="18" customHeight="1">
      <c r="A1156" t="s">
        <v>276</v>
      </c>
      <c r="B1156" t="s">
        <v>277</v>
      </c>
      <c r="C1156">
        <v>13</v>
      </c>
      <c r="D1156" t="s">
        <v>267</v>
      </c>
      <c r="E1156" s="6">
        <f t="shared" ref="E1156:E1219" si="144">IF(M1156=0,0,M1156+O1156)</f>
        <v>5</v>
      </c>
      <c r="F1156" s="6">
        <f t="shared" ref="F1156:F1219" si="145">IF(M1156=0,0,M1156*N1156+O1156)</f>
        <v>14</v>
      </c>
      <c r="G1156" s="6">
        <f>ROUND(Catalogue!G61*SQRT((1+Paramètres!$B$4*(C1156-1)+Paramètres!$B$5*(C1156-1)^2)),0)</f>
        <v>0</v>
      </c>
      <c r="H1156" s="6">
        <f>ROUND(Catalogue!H61*SQRT((1+Paramètres!$B$4*(C1156-1)+Paramètres!$B$5*(C1156-1)^2)),0)</f>
        <v>0</v>
      </c>
      <c r="I1156" s="6">
        <v>2</v>
      </c>
      <c r="J1156" s="6">
        <v>4</v>
      </c>
      <c r="K1156" s="7">
        <v>0.1</v>
      </c>
      <c r="L1156" s="9">
        <f t="shared" ref="L1156:L1219" si="146">IF(M1156=0,0,(E1156+F1156)/2)</f>
        <v>9.5</v>
      </c>
      <c r="M1156">
        <v>3</v>
      </c>
      <c r="N1156">
        <v>4</v>
      </c>
      <c r="O1156">
        <v>2</v>
      </c>
      <c r="P1156" s="13" t="str">
        <f t="shared" ref="P1156:P1219" si="147">IF(M1156=0,"—",M1156&amp;"d"&amp;N1156&amp;IF(O1156=0,""," + "&amp;O1156))</f>
        <v>3d4 + 2</v>
      </c>
      <c r="Q1156">
        <f>ROUND(INDEX(Catalogue!E$4:E$85,MATCH(A1156,Catalogue!A$4:A$85,0))*(1+Paramètres!$B$4*(C1156-1)+Paramètres!$B$5*(C1156-1)^2),0)</f>
        <v>5</v>
      </c>
      <c r="R1156">
        <f>ROUND(INDEX(Catalogue!F$4:F$85,MATCH(A1156,Catalogue!A$4:A$85,0))*(1+Paramètres!$B$4*(C1156-1)+Paramètres!$B$5*(C1156-1)^2),0)</f>
        <v>14</v>
      </c>
      <c r="S1156">
        <f t="shared" ref="S1156:S1219" si="148">L1156-AVERAGE(Q1156:R1156)</f>
        <v>0</v>
      </c>
      <c r="T1156" t="str">
        <f t="shared" ref="T1156:T1219" si="149">IF(M1156=0,IF(AND(N1156=0,O1156=0,E1156=0,F1156=0),"OK","ERREUR"),IF(AND(M1156&gt;=1,M1156&lt;=32,OR(N1156=4,N1156=6,N1156=8,N1156=10,N1156=12,N1156=20),O1156&gt;=0,E1156=M1156+O1156,F1156=M1156*N1156+O1156),"OK","ERREUR"))</f>
        <v>OK</v>
      </c>
      <c r="U1156" s="25">
        <f t="shared" ref="U1156:U1219" si="150">IF(M1156&gt;0,M1156*(N1156+1)/2+O1156,0)</f>
        <v>9.5</v>
      </c>
      <c r="V1156" t="str">
        <f t="shared" ref="V1156:V1219" si="151">IF(ABS(L1156-U1156)&lt;0.001,"OK","ERREUR")</f>
        <v>OK</v>
      </c>
    </row>
    <row r="1157" spans="1:22" ht="18" customHeight="1">
      <c r="A1157" t="s">
        <v>276</v>
      </c>
      <c r="B1157" t="s">
        <v>277</v>
      </c>
      <c r="C1157">
        <v>14</v>
      </c>
      <c r="D1157" t="s">
        <v>267</v>
      </c>
      <c r="E1157" s="6">
        <f t="shared" si="144"/>
        <v>5</v>
      </c>
      <c r="F1157" s="6">
        <f t="shared" si="145"/>
        <v>15</v>
      </c>
      <c r="G1157" s="6">
        <f>ROUND(Catalogue!G61*SQRT((1+Paramètres!$B$4*(C1157-1)+Paramètres!$B$5*(C1157-1)^2)),0)</f>
        <v>0</v>
      </c>
      <c r="H1157" s="6">
        <f>ROUND(Catalogue!H61*SQRT((1+Paramètres!$B$4*(C1157-1)+Paramètres!$B$5*(C1157-1)^2)),0)</f>
        <v>0</v>
      </c>
      <c r="I1157" s="6">
        <v>2</v>
      </c>
      <c r="J1157" s="6">
        <v>4</v>
      </c>
      <c r="K1157" s="7">
        <v>0.1</v>
      </c>
      <c r="L1157" s="9">
        <f t="shared" si="146"/>
        <v>10</v>
      </c>
      <c r="M1157">
        <v>2</v>
      </c>
      <c r="N1157">
        <v>6</v>
      </c>
      <c r="O1157">
        <v>3</v>
      </c>
      <c r="P1157" s="13" t="str">
        <f t="shared" si="147"/>
        <v>2d6 + 3</v>
      </c>
      <c r="Q1157">
        <f>ROUND(INDEX(Catalogue!E$4:E$85,MATCH(A1157,Catalogue!A$4:A$85,0))*(1+Paramètres!$B$4*(C1157-1)+Paramètres!$B$5*(C1157-1)^2),0)</f>
        <v>5</v>
      </c>
      <c r="R1157">
        <f>ROUND(INDEX(Catalogue!F$4:F$85,MATCH(A1157,Catalogue!A$4:A$85,0))*(1+Paramètres!$B$4*(C1157-1)+Paramètres!$B$5*(C1157-1)^2),0)</f>
        <v>15</v>
      </c>
      <c r="S1157">
        <f t="shared" si="148"/>
        <v>0</v>
      </c>
      <c r="T1157" t="str">
        <f t="shared" si="149"/>
        <v>OK</v>
      </c>
      <c r="U1157" s="25">
        <f t="shared" si="150"/>
        <v>10</v>
      </c>
      <c r="V1157" t="str">
        <f t="shared" si="151"/>
        <v>OK</v>
      </c>
    </row>
    <row r="1158" spans="1:22" ht="18" customHeight="1">
      <c r="A1158" t="s">
        <v>276</v>
      </c>
      <c r="B1158" t="s">
        <v>277</v>
      </c>
      <c r="C1158">
        <v>15</v>
      </c>
      <c r="D1158" t="s">
        <v>267</v>
      </c>
      <c r="E1158" s="6">
        <f t="shared" si="144"/>
        <v>6</v>
      </c>
      <c r="F1158" s="6">
        <f t="shared" si="145"/>
        <v>16</v>
      </c>
      <c r="G1158" s="6">
        <f>ROUND(Catalogue!G61*SQRT((1+Paramètres!$B$4*(C1158-1)+Paramètres!$B$5*(C1158-1)^2)),0)</f>
        <v>0</v>
      </c>
      <c r="H1158" s="6">
        <f>ROUND(Catalogue!H61*SQRT((1+Paramètres!$B$4*(C1158-1)+Paramètres!$B$5*(C1158-1)^2)),0)</f>
        <v>0</v>
      </c>
      <c r="I1158" s="6">
        <v>2</v>
      </c>
      <c r="J1158" s="6">
        <v>4</v>
      </c>
      <c r="K1158" s="7">
        <v>0.1</v>
      </c>
      <c r="L1158" s="9">
        <f t="shared" si="146"/>
        <v>11</v>
      </c>
      <c r="M1158">
        <v>2</v>
      </c>
      <c r="N1158">
        <v>6</v>
      </c>
      <c r="O1158">
        <v>4</v>
      </c>
      <c r="P1158" s="13" t="str">
        <f t="shared" si="147"/>
        <v>2d6 + 4</v>
      </c>
      <c r="Q1158">
        <f>ROUND(INDEX(Catalogue!E$4:E$85,MATCH(A1158,Catalogue!A$4:A$85,0))*(1+Paramètres!$B$4*(C1158-1)+Paramètres!$B$5*(C1158-1)^2),0)</f>
        <v>6</v>
      </c>
      <c r="R1158">
        <f>ROUND(INDEX(Catalogue!F$4:F$85,MATCH(A1158,Catalogue!A$4:A$85,0))*(1+Paramètres!$B$4*(C1158-1)+Paramètres!$B$5*(C1158-1)^2),0)</f>
        <v>17</v>
      </c>
      <c r="S1158">
        <f t="shared" si="148"/>
        <v>-0.5</v>
      </c>
      <c r="T1158" t="str">
        <f t="shared" si="149"/>
        <v>OK</v>
      </c>
      <c r="U1158" s="25">
        <f t="shared" si="150"/>
        <v>11</v>
      </c>
      <c r="V1158" t="str">
        <f t="shared" si="151"/>
        <v>OK</v>
      </c>
    </row>
    <row r="1159" spans="1:22" ht="18" customHeight="1">
      <c r="A1159" t="s">
        <v>276</v>
      </c>
      <c r="B1159" t="s">
        <v>277</v>
      </c>
      <c r="C1159">
        <v>16</v>
      </c>
      <c r="D1159" t="s">
        <v>267</v>
      </c>
      <c r="E1159" s="6">
        <f t="shared" si="144"/>
        <v>5</v>
      </c>
      <c r="F1159" s="6">
        <f t="shared" si="145"/>
        <v>19</v>
      </c>
      <c r="G1159" s="6">
        <f>ROUND(Catalogue!G61*SQRT((1+Paramètres!$B$4*(C1159-1)+Paramètres!$B$5*(C1159-1)^2)),0)</f>
        <v>0</v>
      </c>
      <c r="H1159" s="6">
        <f>ROUND(Catalogue!H61*SQRT((1+Paramètres!$B$4*(C1159-1)+Paramètres!$B$5*(C1159-1)^2)),0)</f>
        <v>0</v>
      </c>
      <c r="I1159" s="6">
        <v>2</v>
      </c>
      <c r="J1159" s="6">
        <v>4</v>
      </c>
      <c r="K1159" s="7">
        <v>0.1</v>
      </c>
      <c r="L1159" s="9">
        <f t="shared" si="146"/>
        <v>12</v>
      </c>
      <c r="M1159">
        <v>2</v>
      </c>
      <c r="N1159">
        <v>8</v>
      </c>
      <c r="O1159">
        <v>3</v>
      </c>
      <c r="P1159" s="13" t="str">
        <f t="shared" si="147"/>
        <v>2d8 + 3</v>
      </c>
      <c r="Q1159">
        <f>ROUND(INDEX(Catalogue!E$4:E$85,MATCH(A1159,Catalogue!A$4:A$85,0))*(1+Paramètres!$B$4*(C1159-1)+Paramètres!$B$5*(C1159-1)^2),0)</f>
        <v>6</v>
      </c>
      <c r="R1159">
        <f>ROUND(INDEX(Catalogue!F$4:F$85,MATCH(A1159,Catalogue!A$4:A$85,0))*(1+Paramètres!$B$4*(C1159-1)+Paramètres!$B$5*(C1159-1)^2),0)</f>
        <v>19</v>
      </c>
      <c r="S1159">
        <f t="shared" si="148"/>
        <v>-0.5</v>
      </c>
      <c r="T1159" t="str">
        <f t="shared" si="149"/>
        <v>OK</v>
      </c>
      <c r="U1159" s="25">
        <f t="shared" si="150"/>
        <v>12</v>
      </c>
      <c r="V1159" t="str">
        <f t="shared" si="151"/>
        <v>OK</v>
      </c>
    </row>
    <row r="1160" spans="1:22" ht="18" customHeight="1">
      <c r="A1160" t="s">
        <v>276</v>
      </c>
      <c r="B1160" t="s">
        <v>277</v>
      </c>
      <c r="C1160">
        <v>17</v>
      </c>
      <c r="D1160" t="s">
        <v>267</v>
      </c>
      <c r="E1160" s="6">
        <f t="shared" si="144"/>
        <v>7</v>
      </c>
      <c r="F1160" s="6">
        <f t="shared" si="145"/>
        <v>21</v>
      </c>
      <c r="G1160" s="6">
        <f>ROUND(Catalogue!G61*SQRT((1+Paramètres!$B$4*(C1160-1)+Paramètres!$B$5*(C1160-1)^2)),0)</f>
        <v>0</v>
      </c>
      <c r="H1160" s="6">
        <f>ROUND(Catalogue!H61*SQRT((1+Paramètres!$B$4*(C1160-1)+Paramètres!$B$5*(C1160-1)^2)),0)</f>
        <v>0</v>
      </c>
      <c r="I1160" s="6">
        <v>2</v>
      </c>
      <c r="J1160" s="6">
        <v>4</v>
      </c>
      <c r="K1160" s="7">
        <v>0.1</v>
      </c>
      <c r="L1160" s="9">
        <f t="shared" si="146"/>
        <v>14</v>
      </c>
      <c r="M1160">
        <v>2</v>
      </c>
      <c r="N1160">
        <v>8</v>
      </c>
      <c r="O1160">
        <v>5</v>
      </c>
      <c r="P1160" s="13" t="str">
        <f t="shared" si="147"/>
        <v>2d8 + 5</v>
      </c>
      <c r="Q1160">
        <f>ROUND(INDEX(Catalogue!E$4:E$85,MATCH(A1160,Catalogue!A$4:A$85,0))*(1+Paramètres!$B$4*(C1160-1)+Paramètres!$B$5*(C1160-1)^2),0)</f>
        <v>7</v>
      </c>
      <c r="R1160">
        <f>ROUND(INDEX(Catalogue!F$4:F$85,MATCH(A1160,Catalogue!A$4:A$85,0))*(1+Paramètres!$B$4*(C1160-1)+Paramètres!$B$5*(C1160-1)^2),0)</f>
        <v>21</v>
      </c>
      <c r="S1160">
        <f t="shared" si="148"/>
        <v>0</v>
      </c>
      <c r="T1160" t="str">
        <f t="shared" si="149"/>
        <v>OK</v>
      </c>
      <c r="U1160" s="25">
        <f t="shared" si="150"/>
        <v>14</v>
      </c>
      <c r="V1160" t="str">
        <f t="shared" si="151"/>
        <v>OK</v>
      </c>
    </row>
    <row r="1161" spans="1:22" ht="18" customHeight="1">
      <c r="A1161" t="s">
        <v>276</v>
      </c>
      <c r="B1161" t="s">
        <v>277</v>
      </c>
      <c r="C1161">
        <v>18</v>
      </c>
      <c r="D1161" t="s">
        <v>267</v>
      </c>
      <c r="E1161" s="6">
        <f t="shared" si="144"/>
        <v>7</v>
      </c>
      <c r="F1161" s="6">
        <f t="shared" si="145"/>
        <v>22</v>
      </c>
      <c r="G1161" s="6">
        <f>ROUND(Catalogue!G61*SQRT((1+Paramètres!$B$4*(C1161-1)+Paramètres!$B$5*(C1161-1)^2)),0)</f>
        <v>0</v>
      </c>
      <c r="H1161" s="6">
        <f>ROUND(Catalogue!H61*SQRT((1+Paramètres!$B$4*(C1161-1)+Paramètres!$B$5*(C1161-1)^2)),0)</f>
        <v>0</v>
      </c>
      <c r="I1161" s="6">
        <v>2</v>
      </c>
      <c r="J1161" s="6">
        <v>4</v>
      </c>
      <c r="K1161" s="7">
        <v>0.1</v>
      </c>
      <c r="L1161" s="9">
        <f t="shared" si="146"/>
        <v>14.5</v>
      </c>
      <c r="M1161">
        <v>3</v>
      </c>
      <c r="N1161">
        <v>6</v>
      </c>
      <c r="O1161">
        <v>4</v>
      </c>
      <c r="P1161" s="13" t="str">
        <f t="shared" si="147"/>
        <v>3d6 + 4</v>
      </c>
      <c r="Q1161">
        <f>ROUND(INDEX(Catalogue!E$4:E$85,MATCH(A1161,Catalogue!A$4:A$85,0))*(1+Paramètres!$B$4*(C1161-1)+Paramètres!$B$5*(C1161-1)^2),0)</f>
        <v>7</v>
      </c>
      <c r="R1161">
        <f>ROUND(INDEX(Catalogue!F$4:F$85,MATCH(A1161,Catalogue!A$4:A$85,0))*(1+Paramètres!$B$4*(C1161-1)+Paramètres!$B$5*(C1161-1)^2),0)</f>
        <v>22</v>
      </c>
      <c r="S1161">
        <f t="shared" si="148"/>
        <v>0</v>
      </c>
      <c r="T1161" t="str">
        <f t="shared" si="149"/>
        <v>OK</v>
      </c>
      <c r="U1161" s="25">
        <f t="shared" si="150"/>
        <v>14.5</v>
      </c>
      <c r="V1161" t="str">
        <f t="shared" si="151"/>
        <v>OK</v>
      </c>
    </row>
    <row r="1162" spans="1:22" ht="18" customHeight="1">
      <c r="A1162" t="s">
        <v>276</v>
      </c>
      <c r="B1162" t="s">
        <v>277</v>
      </c>
      <c r="C1162">
        <v>19</v>
      </c>
      <c r="D1162" t="s">
        <v>267</v>
      </c>
      <c r="E1162" s="6">
        <f t="shared" si="144"/>
        <v>8</v>
      </c>
      <c r="F1162" s="6">
        <f t="shared" si="145"/>
        <v>23</v>
      </c>
      <c r="G1162" s="6">
        <f>ROUND(Catalogue!G61*SQRT((1+Paramètres!$B$4*(C1162-1)+Paramètres!$B$5*(C1162-1)^2)),0)</f>
        <v>0</v>
      </c>
      <c r="H1162" s="6">
        <f>ROUND(Catalogue!H61*SQRT((1+Paramètres!$B$4*(C1162-1)+Paramètres!$B$5*(C1162-1)^2)),0)</f>
        <v>0</v>
      </c>
      <c r="I1162" s="6">
        <v>2</v>
      </c>
      <c r="J1162" s="6">
        <v>4</v>
      </c>
      <c r="K1162" s="7">
        <v>0.1</v>
      </c>
      <c r="L1162" s="9">
        <f t="shared" si="146"/>
        <v>15.5</v>
      </c>
      <c r="M1162">
        <v>3</v>
      </c>
      <c r="N1162">
        <v>6</v>
      </c>
      <c r="O1162">
        <v>5</v>
      </c>
      <c r="P1162" s="13" t="str">
        <f t="shared" si="147"/>
        <v>3d6 + 5</v>
      </c>
      <c r="Q1162">
        <f>ROUND(INDEX(Catalogue!E$4:E$85,MATCH(A1162,Catalogue!A$4:A$85,0))*(1+Paramètres!$B$4*(C1162-1)+Paramètres!$B$5*(C1162-1)^2),0)</f>
        <v>8</v>
      </c>
      <c r="R1162">
        <f>ROUND(INDEX(Catalogue!F$4:F$85,MATCH(A1162,Catalogue!A$4:A$85,0))*(1+Paramètres!$B$4*(C1162-1)+Paramètres!$B$5*(C1162-1)^2),0)</f>
        <v>24</v>
      </c>
      <c r="S1162">
        <f t="shared" si="148"/>
        <v>-0.5</v>
      </c>
      <c r="T1162" t="str">
        <f t="shared" si="149"/>
        <v>OK</v>
      </c>
      <c r="U1162" s="25">
        <f t="shared" si="150"/>
        <v>15.5</v>
      </c>
      <c r="V1162" t="str">
        <f t="shared" si="151"/>
        <v>OK</v>
      </c>
    </row>
    <row r="1163" spans="1:22" ht="18" customHeight="1">
      <c r="A1163" t="s">
        <v>276</v>
      </c>
      <c r="B1163" t="s">
        <v>277</v>
      </c>
      <c r="C1163">
        <v>20</v>
      </c>
      <c r="D1163" t="s">
        <v>267</v>
      </c>
      <c r="E1163" s="6">
        <f t="shared" si="144"/>
        <v>9</v>
      </c>
      <c r="F1163" s="6">
        <f t="shared" si="145"/>
        <v>27</v>
      </c>
      <c r="G1163" s="6">
        <f>ROUND(Catalogue!G61*SQRT((1+Paramètres!$B$4*(C1163-1)+Paramètres!$B$5*(C1163-1)^2)),0)</f>
        <v>0</v>
      </c>
      <c r="H1163" s="6">
        <f>ROUND(Catalogue!H61*SQRT((1+Paramètres!$B$4*(C1163-1)+Paramètres!$B$5*(C1163-1)^2)),0)</f>
        <v>0</v>
      </c>
      <c r="I1163" s="6">
        <v>2</v>
      </c>
      <c r="J1163" s="6">
        <v>4</v>
      </c>
      <c r="K1163" s="7">
        <v>0.1</v>
      </c>
      <c r="L1163" s="9">
        <f t="shared" si="146"/>
        <v>18</v>
      </c>
      <c r="M1163">
        <v>6</v>
      </c>
      <c r="N1163">
        <v>4</v>
      </c>
      <c r="O1163">
        <v>3</v>
      </c>
      <c r="P1163" s="13" t="str">
        <f t="shared" si="147"/>
        <v>6d4 + 3</v>
      </c>
      <c r="Q1163">
        <f>ROUND(INDEX(Catalogue!E$4:E$85,MATCH(A1163,Catalogue!A$4:A$85,0))*(1+Paramètres!$B$4*(C1163-1)+Paramètres!$B$5*(C1163-1)^2),0)</f>
        <v>9</v>
      </c>
      <c r="R1163">
        <f>ROUND(INDEX(Catalogue!F$4:F$85,MATCH(A1163,Catalogue!A$4:A$85,0))*(1+Paramètres!$B$4*(C1163-1)+Paramètres!$B$5*(C1163-1)^2),0)</f>
        <v>27</v>
      </c>
      <c r="S1163">
        <f t="shared" si="148"/>
        <v>0</v>
      </c>
      <c r="T1163" t="str">
        <f t="shared" si="149"/>
        <v>OK</v>
      </c>
      <c r="U1163" s="25">
        <f t="shared" si="150"/>
        <v>18</v>
      </c>
      <c r="V1163" t="str">
        <f t="shared" si="151"/>
        <v>OK</v>
      </c>
    </row>
    <row r="1164" spans="1:22" ht="18" customHeight="1">
      <c r="A1164" t="s">
        <v>278</v>
      </c>
      <c r="B1164" t="s">
        <v>279</v>
      </c>
      <c r="C1164">
        <v>1</v>
      </c>
      <c r="D1164" t="s">
        <v>267</v>
      </c>
      <c r="E1164" s="6">
        <f t="shared" si="144"/>
        <v>1</v>
      </c>
      <c r="F1164" s="6">
        <f t="shared" si="145"/>
        <v>4</v>
      </c>
      <c r="G1164" s="6">
        <f>ROUND(Catalogue!G62*SQRT((1+Paramètres!$B$4*(C1164-1)+Paramètres!$B$5*(C1164-1)^2)),0)</f>
        <v>0</v>
      </c>
      <c r="H1164" s="6">
        <f>ROUND(Catalogue!H62*SQRT((1+Paramètres!$B$4*(C1164-1)+Paramètres!$B$5*(C1164-1)^2)),0)</f>
        <v>0</v>
      </c>
      <c r="I1164" s="6">
        <v>2</v>
      </c>
      <c r="J1164" s="6">
        <v>3</v>
      </c>
      <c r="K1164" s="7">
        <v>0.7</v>
      </c>
      <c r="L1164" s="9">
        <f t="shared" si="146"/>
        <v>2.5</v>
      </c>
      <c r="M1164">
        <v>1</v>
      </c>
      <c r="N1164">
        <v>4</v>
      </c>
      <c r="O1164">
        <v>0</v>
      </c>
      <c r="P1164" s="13" t="str">
        <f t="shared" si="147"/>
        <v>1d4</v>
      </c>
      <c r="Q1164">
        <f>ROUND(INDEX(Catalogue!E$4:E$85,MATCH(A1164,Catalogue!A$4:A$85,0))*(1+Paramètres!$B$4*(C1164-1)+Paramètres!$B$5*(C1164-1)^2),0)</f>
        <v>1</v>
      </c>
      <c r="R1164">
        <f>ROUND(INDEX(Catalogue!F$4:F$85,MATCH(A1164,Catalogue!A$4:A$85,0))*(1+Paramètres!$B$4*(C1164-1)+Paramètres!$B$5*(C1164-1)^2),0)</f>
        <v>2</v>
      </c>
      <c r="S1164">
        <f t="shared" si="148"/>
        <v>1</v>
      </c>
      <c r="T1164" t="str">
        <f t="shared" si="149"/>
        <v>OK</v>
      </c>
      <c r="U1164" s="25">
        <f t="shared" si="150"/>
        <v>2.5</v>
      </c>
      <c r="V1164" t="str">
        <f t="shared" si="151"/>
        <v>OK</v>
      </c>
    </row>
    <row r="1165" spans="1:22" ht="18" customHeight="1">
      <c r="A1165" t="s">
        <v>278</v>
      </c>
      <c r="B1165" t="s">
        <v>279</v>
      </c>
      <c r="C1165">
        <v>2</v>
      </c>
      <c r="D1165" t="s">
        <v>267</v>
      </c>
      <c r="E1165" s="6">
        <f t="shared" si="144"/>
        <v>1</v>
      </c>
      <c r="F1165" s="6">
        <f t="shared" si="145"/>
        <v>4</v>
      </c>
      <c r="G1165" s="6">
        <f>ROUND(Catalogue!G62*SQRT((1+Paramètres!$B$4*(C1165-1)+Paramètres!$B$5*(C1165-1)^2)),0)</f>
        <v>0</v>
      </c>
      <c r="H1165" s="6">
        <f>ROUND(Catalogue!H62*SQRT((1+Paramètres!$B$4*(C1165-1)+Paramètres!$B$5*(C1165-1)^2)),0)</f>
        <v>0</v>
      </c>
      <c r="I1165" s="6">
        <v>2</v>
      </c>
      <c r="J1165" s="6">
        <v>3</v>
      </c>
      <c r="K1165" s="7">
        <v>0.7</v>
      </c>
      <c r="L1165" s="9">
        <f t="shared" si="146"/>
        <v>2.5</v>
      </c>
      <c r="M1165">
        <v>1</v>
      </c>
      <c r="N1165">
        <v>4</v>
      </c>
      <c r="O1165">
        <v>0</v>
      </c>
      <c r="P1165" s="13" t="str">
        <f t="shared" si="147"/>
        <v>1d4</v>
      </c>
      <c r="Q1165">
        <f>ROUND(INDEX(Catalogue!E$4:E$85,MATCH(A1165,Catalogue!A$4:A$85,0))*(1+Paramètres!$B$4*(C1165-1)+Paramètres!$B$5*(C1165-1)^2),0)</f>
        <v>1</v>
      </c>
      <c r="R1165">
        <f>ROUND(INDEX(Catalogue!F$4:F$85,MATCH(A1165,Catalogue!A$4:A$85,0))*(1+Paramètres!$B$4*(C1165-1)+Paramètres!$B$5*(C1165-1)^2),0)</f>
        <v>2</v>
      </c>
      <c r="S1165">
        <f t="shared" si="148"/>
        <v>1</v>
      </c>
      <c r="T1165" t="str">
        <f t="shared" si="149"/>
        <v>OK</v>
      </c>
      <c r="U1165" s="25">
        <f t="shared" si="150"/>
        <v>2.5</v>
      </c>
      <c r="V1165" t="str">
        <f t="shared" si="151"/>
        <v>OK</v>
      </c>
    </row>
    <row r="1166" spans="1:22" ht="18" customHeight="1">
      <c r="A1166" t="s">
        <v>278</v>
      </c>
      <c r="B1166" t="s">
        <v>279</v>
      </c>
      <c r="C1166">
        <v>3</v>
      </c>
      <c r="D1166" t="s">
        <v>267</v>
      </c>
      <c r="E1166" s="6">
        <f t="shared" si="144"/>
        <v>1</v>
      </c>
      <c r="F1166" s="6">
        <f t="shared" si="145"/>
        <v>4</v>
      </c>
      <c r="G1166" s="6">
        <f>ROUND(Catalogue!G62*SQRT((1+Paramètres!$B$4*(C1166-1)+Paramètres!$B$5*(C1166-1)^2)),0)</f>
        <v>0</v>
      </c>
      <c r="H1166" s="6">
        <f>ROUND(Catalogue!H62*SQRT((1+Paramètres!$B$4*(C1166-1)+Paramètres!$B$5*(C1166-1)^2)),0)</f>
        <v>0</v>
      </c>
      <c r="I1166" s="6">
        <v>2</v>
      </c>
      <c r="J1166" s="6">
        <v>3</v>
      </c>
      <c r="K1166" s="7">
        <v>0.7</v>
      </c>
      <c r="L1166" s="9">
        <f t="shared" si="146"/>
        <v>2.5</v>
      </c>
      <c r="M1166">
        <v>1</v>
      </c>
      <c r="N1166">
        <v>4</v>
      </c>
      <c r="O1166">
        <v>0</v>
      </c>
      <c r="P1166" s="13" t="str">
        <f t="shared" si="147"/>
        <v>1d4</v>
      </c>
      <c r="Q1166">
        <f>ROUND(INDEX(Catalogue!E$4:E$85,MATCH(A1166,Catalogue!A$4:A$85,0))*(1+Paramètres!$B$4*(C1166-1)+Paramètres!$B$5*(C1166-1)^2),0)</f>
        <v>1</v>
      </c>
      <c r="R1166">
        <f>ROUND(INDEX(Catalogue!F$4:F$85,MATCH(A1166,Catalogue!A$4:A$85,0))*(1+Paramètres!$B$4*(C1166-1)+Paramètres!$B$5*(C1166-1)^2),0)</f>
        <v>3</v>
      </c>
      <c r="S1166">
        <f t="shared" si="148"/>
        <v>0.5</v>
      </c>
      <c r="T1166" t="str">
        <f t="shared" si="149"/>
        <v>OK</v>
      </c>
      <c r="U1166" s="25">
        <f t="shared" si="150"/>
        <v>2.5</v>
      </c>
      <c r="V1166" t="str">
        <f t="shared" si="151"/>
        <v>OK</v>
      </c>
    </row>
    <row r="1167" spans="1:22" ht="18" customHeight="1">
      <c r="A1167" t="s">
        <v>278</v>
      </c>
      <c r="B1167" t="s">
        <v>279</v>
      </c>
      <c r="C1167">
        <v>4</v>
      </c>
      <c r="D1167" t="s">
        <v>267</v>
      </c>
      <c r="E1167" s="6">
        <f t="shared" si="144"/>
        <v>1</v>
      </c>
      <c r="F1167" s="6">
        <f t="shared" si="145"/>
        <v>4</v>
      </c>
      <c r="G1167" s="6">
        <f>ROUND(Catalogue!G62*SQRT((1+Paramètres!$B$4*(C1167-1)+Paramètres!$B$5*(C1167-1)^2)),0)</f>
        <v>0</v>
      </c>
      <c r="H1167" s="6">
        <f>ROUND(Catalogue!H62*SQRT((1+Paramètres!$B$4*(C1167-1)+Paramètres!$B$5*(C1167-1)^2)),0)</f>
        <v>0</v>
      </c>
      <c r="I1167" s="6">
        <v>2</v>
      </c>
      <c r="J1167" s="6">
        <v>3</v>
      </c>
      <c r="K1167" s="7">
        <v>0.7</v>
      </c>
      <c r="L1167" s="9">
        <f t="shared" si="146"/>
        <v>2.5</v>
      </c>
      <c r="M1167">
        <v>1</v>
      </c>
      <c r="N1167">
        <v>4</v>
      </c>
      <c r="O1167">
        <v>0</v>
      </c>
      <c r="P1167" s="13" t="str">
        <f t="shared" si="147"/>
        <v>1d4</v>
      </c>
      <c r="Q1167">
        <f>ROUND(INDEX(Catalogue!E$4:E$85,MATCH(A1167,Catalogue!A$4:A$85,0))*(1+Paramètres!$B$4*(C1167-1)+Paramètres!$B$5*(C1167-1)^2),0)</f>
        <v>1</v>
      </c>
      <c r="R1167">
        <f>ROUND(INDEX(Catalogue!F$4:F$85,MATCH(A1167,Catalogue!A$4:A$85,0))*(1+Paramètres!$B$4*(C1167-1)+Paramètres!$B$5*(C1167-1)^2),0)</f>
        <v>3</v>
      </c>
      <c r="S1167">
        <f t="shared" si="148"/>
        <v>0.5</v>
      </c>
      <c r="T1167" t="str">
        <f t="shared" si="149"/>
        <v>OK</v>
      </c>
      <c r="U1167" s="25">
        <f t="shared" si="150"/>
        <v>2.5</v>
      </c>
      <c r="V1167" t="str">
        <f t="shared" si="151"/>
        <v>OK</v>
      </c>
    </row>
    <row r="1168" spans="1:22" ht="18" customHeight="1">
      <c r="A1168" t="s">
        <v>278</v>
      </c>
      <c r="B1168" t="s">
        <v>279</v>
      </c>
      <c r="C1168">
        <v>5</v>
      </c>
      <c r="D1168" t="s">
        <v>267</v>
      </c>
      <c r="E1168" s="6">
        <f t="shared" si="144"/>
        <v>1</v>
      </c>
      <c r="F1168" s="6">
        <f t="shared" si="145"/>
        <v>4</v>
      </c>
      <c r="G1168" s="6">
        <f>ROUND(Catalogue!G62*SQRT((1+Paramètres!$B$4*(C1168-1)+Paramètres!$B$5*(C1168-1)^2)),0)</f>
        <v>0</v>
      </c>
      <c r="H1168" s="6">
        <f>ROUND(Catalogue!H62*SQRT((1+Paramètres!$B$4*(C1168-1)+Paramètres!$B$5*(C1168-1)^2)),0)</f>
        <v>0</v>
      </c>
      <c r="I1168" s="6">
        <v>2</v>
      </c>
      <c r="J1168" s="6">
        <v>3</v>
      </c>
      <c r="K1168" s="7">
        <v>0.7</v>
      </c>
      <c r="L1168" s="9">
        <f t="shared" si="146"/>
        <v>2.5</v>
      </c>
      <c r="M1168">
        <v>1</v>
      </c>
      <c r="N1168">
        <v>4</v>
      </c>
      <c r="O1168">
        <v>0</v>
      </c>
      <c r="P1168" s="13" t="str">
        <f t="shared" si="147"/>
        <v>1d4</v>
      </c>
      <c r="Q1168">
        <f>ROUND(INDEX(Catalogue!E$4:E$85,MATCH(A1168,Catalogue!A$4:A$85,0))*(1+Paramètres!$B$4*(C1168-1)+Paramètres!$B$5*(C1168-1)^2),0)</f>
        <v>2</v>
      </c>
      <c r="R1168">
        <f>ROUND(INDEX(Catalogue!F$4:F$85,MATCH(A1168,Catalogue!A$4:A$85,0))*(1+Paramètres!$B$4*(C1168-1)+Paramètres!$B$5*(C1168-1)^2),0)</f>
        <v>3</v>
      </c>
      <c r="S1168">
        <f t="shared" si="148"/>
        <v>0</v>
      </c>
      <c r="T1168" t="str">
        <f t="shared" si="149"/>
        <v>OK</v>
      </c>
      <c r="U1168" s="25">
        <f t="shared" si="150"/>
        <v>2.5</v>
      </c>
      <c r="V1168" t="str">
        <f t="shared" si="151"/>
        <v>OK</v>
      </c>
    </row>
    <row r="1169" spans="1:22" ht="18" customHeight="1">
      <c r="A1169" t="s">
        <v>278</v>
      </c>
      <c r="B1169" t="s">
        <v>279</v>
      </c>
      <c r="C1169">
        <v>6</v>
      </c>
      <c r="D1169" t="s">
        <v>267</v>
      </c>
      <c r="E1169" s="6">
        <f t="shared" si="144"/>
        <v>1</v>
      </c>
      <c r="F1169" s="6">
        <f t="shared" si="145"/>
        <v>4</v>
      </c>
      <c r="G1169" s="6">
        <f>ROUND(Catalogue!G62*SQRT((1+Paramètres!$B$4*(C1169-1)+Paramètres!$B$5*(C1169-1)^2)),0)</f>
        <v>0</v>
      </c>
      <c r="H1169" s="6">
        <f>ROUND(Catalogue!H62*SQRT((1+Paramètres!$B$4*(C1169-1)+Paramètres!$B$5*(C1169-1)^2)),0)</f>
        <v>0</v>
      </c>
      <c r="I1169" s="6">
        <v>2</v>
      </c>
      <c r="J1169" s="6">
        <v>3</v>
      </c>
      <c r="K1169" s="7">
        <v>0.7</v>
      </c>
      <c r="L1169" s="9">
        <f t="shared" si="146"/>
        <v>2.5</v>
      </c>
      <c r="M1169">
        <v>1</v>
      </c>
      <c r="N1169">
        <v>4</v>
      </c>
      <c r="O1169">
        <v>0</v>
      </c>
      <c r="P1169" s="13" t="str">
        <f t="shared" si="147"/>
        <v>1d4</v>
      </c>
      <c r="Q1169">
        <f>ROUND(INDEX(Catalogue!E$4:E$85,MATCH(A1169,Catalogue!A$4:A$85,0))*(1+Paramètres!$B$4*(C1169-1)+Paramètres!$B$5*(C1169-1)^2),0)</f>
        <v>2</v>
      </c>
      <c r="R1169">
        <f>ROUND(INDEX(Catalogue!F$4:F$85,MATCH(A1169,Catalogue!A$4:A$85,0))*(1+Paramètres!$B$4*(C1169-1)+Paramètres!$B$5*(C1169-1)^2),0)</f>
        <v>4</v>
      </c>
      <c r="S1169">
        <f t="shared" si="148"/>
        <v>-0.5</v>
      </c>
      <c r="T1169" t="str">
        <f t="shared" si="149"/>
        <v>OK</v>
      </c>
      <c r="U1169" s="25">
        <f t="shared" si="150"/>
        <v>2.5</v>
      </c>
      <c r="V1169" t="str">
        <f t="shared" si="151"/>
        <v>OK</v>
      </c>
    </row>
    <row r="1170" spans="1:22" ht="18" customHeight="1">
      <c r="A1170" t="s">
        <v>278</v>
      </c>
      <c r="B1170" t="s">
        <v>279</v>
      </c>
      <c r="C1170">
        <v>7</v>
      </c>
      <c r="D1170" t="s">
        <v>267</v>
      </c>
      <c r="E1170" s="6">
        <f t="shared" si="144"/>
        <v>1</v>
      </c>
      <c r="F1170" s="6">
        <f t="shared" si="145"/>
        <v>4</v>
      </c>
      <c r="G1170" s="6">
        <f>ROUND(Catalogue!G62*SQRT((1+Paramètres!$B$4*(C1170-1)+Paramètres!$B$5*(C1170-1)^2)),0)</f>
        <v>0</v>
      </c>
      <c r="H1170" s="6">
        <f>ROUND(Catalogue!H62*SQRT((1+Paramètres!$B$4*(C1170-1)+Paramètres!$B$5*(C1170-1)^2)),0)</f>
        <v>0</v>
      </c>
      <c r="I1170" s="6">
        <v>2</v>
      </c>
      <c r="J1170" s="6">
        <v>3</v>
      </c>
      <c r="K1170" s="7">
        <v>0.7</v>
      </c>
      <c r="L1170" s="9">
        <f t="shared" si="146"/>
        <v>2.5</v>
      </c>
      <c r="M1170">
        <v>1</v>
      </c>
      <c r="N1170">
        <v>4</v>
      </c>
      <c r="O1170">
        <v>0</v>
      </c>
      <c r="P1170" s="13" t="str">
        <f t="shared" si="147"/>
        <v>1d4</v>
      </c>
      <c r="Q1170">
        <f>ROUND(INDEX(Catalogue!E$4:E$85,MATCH(A1170,Catalogue!A$4:A$85,0))*(1+Paramètres!$B$4*(C1170-1)+Paramètres!$B$5*(C1170-1)^2),0)</f>
        <v>2</v>
      </c>
      <c r="R1170">
        <f>ROUND(INDEX(Catalogue!F$4:F$85,MATCH(A1170,Catalogue!A$4:A$85,0))*(1+Paramètres!$B$4*(C1170-1)+Paramètres!$B$5*(C1170-1)^2),0)</f>
        <v>4</v>
      </c>
      <c r="S1170">
        <f t="shared" si="148"/>
        <v>-0.5</v>
      </c>
      <c r="T1170" t="str">
        <f t="shared" si="149"/>
        <v>OK</v>
      </c>
      <c r="U1170" s="25">
        <f t="shared" si="150"/>
        <v>2.5</v>
      </c>
      <c r="V1170" t="str">
        <f t="shared" si="151"/>
        <v>OK</v>
      </c>
    </row>
    <row r="1171" spans="1:22" ht="18" customHeight="1">
      <c r="A1171" t="s">
        <v>278</v>
      </c>
      <c r="B1171" t="s">
        <v>279</v>
      </c>
      <c r="C1171">
        <v>8</v>
      </c>
      <c r="D1171" t="s">
        <v>267</v>
      </c>
      <c r="E1171" s="6">
        <f t="shared" si="144"/>
        <v>2</v>
      </c>
      <c r="F1171" s="6">
        <f t="shared" si="145"/>
        <v>5</v>
      </c>
      <c r="G1171" s="6">
        <f>ROUND(Catalogue!G62*SQRT((1+Paramètres!$B$4*(C1171-1)+Paramètres!$B$5*(C1171-1)^2)),0)</f>
        <v>0</v>
      </c>
      <c r="H1171" s="6">
        <f>ROUND(Catalogue!H62*SQRT((1+Paramètres!$B$4*(C1171-1)+Paramètres!$B$5*(C1171-1)^2)),0)</f>
        <v>0</v>
      </c>
      <c r="I1171" s="6">
        <v>2</v>
      </c>
      <c r="J1171" s="6">
        <v>3</v>
      </c>
      <c r="K1171" s="7">
        <v>0.7</v>
      </c>
      <c r="L1171" s="9">
        <f t="shared" si="146"/>
        <v>3.5</v>
      </c>
      <c r="M1171">
        <v>1</v>
      </c>
      <c r="N1171">
        <v>4</v>
      </c>
      <c r="O1171">
        <v>1</v>
      </c>
      <c r="P1171" s="13" t="str">
        <f t="shared" si="147"/>
        <v>1d4 + 1</v>
      </c>
      <c r="Q1171">
        <f>ROUND(INDEX(Catalogue!E$4:E$85,MATCH(A1171,Catalogue!A$4:A$85,0))*(1+Paramètres!$B$4*(C1171-1)+Paramètres!$B$5*(C1171-1)^2),0)</f>
        <v>3</v>
      </c>
      <c r="R1171">
        <f>ROUND(INDEX(Catalogue!F$4:F$85,MATCH(A1171,Catalogue!A$4:A$85,0))*(1+Paramètres!$B$4*(C1171-1)+Paramètres!$B$5*(C1171-1)^2),0)</f>
        <v>5</v>
      </c>
      <c r="S1171">
        <f t="shared" si="148"/>
        <v>-0.5</v>
      </c>
      <c r="T1171" t="str">
        <f t="shared" si="149"/>
        <v>OK</v>
      </c>
      <c r="U1171" s="25">
        <f t="shared" si="150"/>
        <v>3.5</v>
      </c>
      <c r="V1171" t="str">
        <f t="shared" si="151"/>
        <v>OK</v>
      </c>
    </row>
    <row r="1172" spans="1:22" ht="18" customHeight="1">
      <c r="A1172" t="s">
        <v>278</v>
      </c>
      <c r="B1172" t="s">
        <v>279</v>
      </c>
      <c r="C1172">
        <v>9</v>
      </c>
      <c r="D1172" t="s">
        <v>267</v>
      </c>
      <c r="E1172" s="6">
        <f t="shared" si="144"/>
        <v>3</v>
      </c>
      <c r="F1172" s="6">
        <f t="shared" si="145"/>
        <v>6</v>
      </c>
      <c r="G1172" s="6">
        <f>ROUND(Catalogue!G62*SQRT((1+Paramètres!$B$4*(C1172-1)+Paramètres!$B$5*(C1172-1)^2)),0)</f>
        <v>0</v>
      </c>
      <c r="H1172" s="6">
        <f>ROUND(Catalogue!H62*SQRT((1+Paramètres!$B$4*(C1172-1)+Paramètres!$B$5*(C1172-1)^2)),0)</f>
        <v>0</v>
      </c>
      <c r="I1172" s="6">
        <v>2</v>
      </c>
      <c r="J1172" s="6">
        <v>3</v>
      </c>
      <c r="K1172" s="7">
        <v>0.7</v>
      </c>
      <c r="L1172" s="9">
        <f t="shared" si="146"/>
        <v>4.5</v>
      </c>
      <c r="M1172">
        <v>1</v>
      </c>
      <c r="N1172">
        <v>4</v>
      </c>
      <c r="O1172">
        <v>2</v>
      </c>
      <c r="P1172" s="13" t="str">
        <f t="shared" si="147"/>
        <v>1d4 + 2</v>
      </c>
      <c r="Q1172">
        <f>ROUND(INDEX(Catalogue!E$4:E$85,MATCH(A1172,Catalogue!A$4:A$85,0))*(1+Paramètres!$B$4*(C1172-1)+Paramètres!$B$5*(C1172-1)^2),0)</f>
        <v>3</v>
      </c>
      <c r="R1172">
        <f>ROUND(INDEX(Catalogue!F$4:F$85,MATCH(A1172,Catalogue!A$4:A$85,0))*(1+Paramètres!$B$4*(C1172-1)+Paramètres!$B$5*(C1172-1)^2),0)</f>
        <v>6</v>
      </c>
      <c r="S1172">
        <f t="shared" si="148"/>
        <v>0</v>
      </c>
      <c r="T1172" t="str">
        <f t="shared" si="149"/>
        <v>OK</v>
      </c>
      <c r="U1172" s="25">
        <f t="shared" si="150"/>
        <v>4.5</v>
      </c>
      <c r="V1172" t="str">
        <f t="shared" si="151"/>
        <v>OK</v>
      </c>
    </row>
    <row r="1173" spans="1:22" ht="18" customHeight="1">
      <c r="A1173" t="s">
        <v>278</v>
      </c>
      <c r="B1173" t="s">
        <v>279</v>
      </c>
      <c r="C1173">
        <v>10</v>
      </c>
      <c r="D1173" t="s">
        <v>267</v>
      </c>
      <c r="E1173" s="6">
        <f t="shared" si="144"/>
        <v>3</v>
      </c>
      <c r="F1173" s="6">
        <f t="shared" si="145"/>
        <v>6</v>
      </c>
      <c r="G1173" s="6">
        <f>ROUND(Catalogue!G62*SQRT((1+Paramètres!$B$4*(C1173-1)+Paramètres!$B$5*(C1173-1)^2)),0)</f>
        <v>0</v>
      </c>
      <c r="H1173" s="6">
        <f>ROUND(Catalogue!H62*SQRT((1+Paramètres!$B$4*(C1173-1)+Paramètres!$B$5*(C1173-1)^2)),0)</f>
        <v>0</v>
      </c>
      <c r="I1173" s="6">
        <v>2</v>
      </c>
      <c r="J1173" s="6">
        <v>3</v>
      </c>
      <c r="K1173" s="7">
        <v>0.7</v>
      </c>
      <c r="L1173" s="9">
        <f t="shared" si="146"/>
        <v>4.5</v>
      </c>
      <c r="M1173">
        <v>1</v>
      </c>
      <c r="N1173">
        <v>4</v>
      </c>
      <c r="O1173">
        <v>2</v>
      </c>
      <c r="P1173" s="13" t="str">
        <f t="shared" si="147"/>
        <v>1d4 + 2</v>
      </c>
      <c r="Q1173">
        <f>ROUND(INDEX(Catalogue!E$4:E$85,MATCH(A1173,Catalogue!A$4:A$85,0))*(1+Paramètres!$B$4*(C1173-1)+Paramètres!$B$5*(C1173-1)^2),0)</f>
        <v>3</v>
      </c>
      <c r="R1173">
        <f>ROUND(INDEX(Catalogue!F$4:F$85,MATCH(A1173,Catalogue!A$4:A$85,0))*(1+Paramètres!$B$4*(C1173-1)+Paramètres!$B$5*(C1173-1)^2),0)</f>
        <v>7</v>
      </c>
      <c r="S1173">
        <f t="shared" si="148"/>
        <v>-0.5</v>
      </c>
      <c r="T1173" t="str">
        <f t="shared" si="149"/>
        <v>OK</v>
      </c>
      <c r="U1173" s="25">
        <f t="shared" si="150"/>
        <v>4.5</v>
      </c>
      <c r="V1173" t="str">
        <f t="shared" si="151"/>
        <v>OK</v>
      </c>
    </row>
    <row r="1174" spans="1:22" ht="18" customHeight="1">
      <c r="A1174" t="s">
        <v>278</v>
      </c>
      <c r="B1174" t="s">
        <v>279</v>
      </c>
      <c r="C1174">
        <v>11</v>
      </c>
      <c r="D1174" t="s">
        <v>267</v>
      </c>
      <c r="E1174" s="6">
        <f t="shared" si="144"/>
        <v>4</v>
      </c>
      <c r="F1174" s="6">
        <f t="shared" si="145"/>
        <v>7</v>
      </c>
      <c r="G1174" s="6">
        <f>ROUND(Catalogue!G62*SQRT((1+Paramètres!$B$4*(C1174-1)+Paramètres!$B$5*(C1174-1)^2)),0)</f>
        <v>0</v>
      </c>
      <c r="H1174" s="6">
        <f>ROUND(Catalogue!H62*SQRT((1+Paramètres!$B$4*(C1174-1)+Paramètres!$B$5*(C1174-1)^2)),0)</f>
        <v>0</v>
      </c>
      <c r="I1174" s="6">
        <v>2</v>
      </c>
      <c r="J1174" s="6">
        <v>3</v>
      </c>
      <c r="K1174" s="7">
        <v>0.7</v>
      </c>
      <c r="L1174" s="9">
        <f t="shared" si="146"/>
        <v>5.5</v>
      </c>
      <c r="M1174">
        <v>1</v>
      </c>
      <c r="N1174">
        <v>4</v>
      </c>
      <c r="O1174">
        <v>3</v>
      </c>
      <c r="P1174" s="13" t="str">
        <f t="shared" si="147"/>
        <v>1d4 + 3</v>
      </c>
      <c r="Q1174">
        <f>ROUND(INDEX(Catalogue!E$4:E$85,MATCH(A1174,Catalogue!A$4:A$85,0))*(1+Paramètres!$B$4*(C1174-1)+Paramètres!$B$5*(C1174-1)^2),0)</f>
        <v>4</v>
      </c>
      <c r="R1174">
        <f>ROUND(INDEX(Catalogue!F$4:F$85,MATCH(A1174,Catalogue!A$4:A$85,0))*(1+Paramètres!$B$4*(C1174-1)+Paramètres!$B$5*(C1174-1)^2),0)</f>
        <v>7</v>
      </c>
      <c r="S1174">
        <f t="shared" si="148"/>
        <v>0</v>
      </c>
      <c r="T1174" t="str">
        <f t="shared" si="149"/>
        <v>OK</v>
      </c>
      <c r="U1174" s="25">
        <f t="shared" si="150"/>
        <v>5.5</v>
      </c>
      <c r="V1174" t="str">
        <f t="shared" si="151"/>
        <v>OK</v>
      </c>
    </row>
    <row r="1175" spans="1:22" ht="18" customHeight="1">
      <c r="A1175" t="s">
        <v>278</v>
      </c>
      <c r="B1175" t="s">
        <v>279</v>
      </c>
      <c r="C1175">
        <v>12</v>
      </c>
      <c r="D1175" t="s">
        <v>267</v>
      </c>
      <c r="E1175" s="6">
        <f t="shared" si="144"/>
        <v>4</v>
      </c>
      <c r="F1175" s="6">
        <f t="shared" si="145"/>
        <v>7</v>
      </c>
      <c r="G1175" s="6">
        <f>ROUND(Catalogue!G62*SQRT((1+Paramètres!$B$4*(C1175-1)+Paramètres!$B$5*(C1175-1)^2)),0)</f>
        <v>0</v>
      </c>
      <c r="H1175" s="6">
        <f>ROUND(Catalogue!H62*SQRT((1+Paramètres!$B$4*(C1175-1)+Paramètres!$B$5*(C1175-1)^2)),0)</f>
        <v>0</v>
      </c>
      <c r="I1175" s="6">
        <v>2</v>
      </c>
      <c r="J1175" s="6">
        <v>3</v>
      </c>
      <c r="K1175" s="7">
        <v>0.7</v>
      </c>
      <c r="L1175" s="9">
        <f t="shared" si="146"/>
        <v>5.5</v>
      </c>
      <c r="M1175">
        <v>1</v>
      </c>
      <c r="N1175">
        <v>4</v>
      </c>
      <c r="O1175">
        <v>3</v>
      </c>
      <c r="P1175" s="13" t="str">
        <f t="shared" si="147"/>
        <v>1d4 + 3</v>
      </c>
      <c r="Q1175">
        <f>ROUND(INDEX(Catalogue!E$4:E$85,MATCH(A1175,Catalogue!A$4:A$85,0))*(1+Paramètres!$B$4*(C1175-1)+Paramètres!$B$5*(C1175-1)^2),0)</f>
        <v>4</v>
      </c>
      <c r="R1175">
        <f>ROUND(INDEX(Catalogue!F$4:F$85,MATCH(A1175,Catalogue!A$4:A$85,0))*(1+Paramètres!$B$4*(C1175-1)+Paramètres!$B$5*(C1175-1)^2),0)</f>
        <v>8</v>
      </c>
      <c r="S1175">
        <f t="shared" si="148"/>
        <v>-0.5</v>
      </c>
      <c r="T1175" t="str">
        <f t="shared" si="149"/>
        <v>OK</v>
      </c>
      <c r="U1175" s="25">
        <f t="shared" si="150"/>
        <v>5.5</v>
      </c>
      <c r="V1175" t="str">
        <f t="shared" si="151"/>
        <v>OK</v>
      </c>
    </row>
    <row r="1176" spans="1:22" ht="18" customHeight="1">
      <c r="A1176" t="s">
        <v>278</v>
      </c>
      <c r="B1176" t="s">
        <v>279</v>
      </c>
      <c r="C1176">
        <v>13</v>
      </c>
      <c r="D1176" t="s">
        <v>267</v>
      </c>
      <c r="E1176" s="6">
        <f t="shared" si="144"/>
        <v>5</v>
      </c>
      <c r="F1176" s="6">
        <f t="shared" si="145"/>
        <v>8</v>
      </c>
      <c r="G1176" s="6">
        <f>ROUND(Catalogue!G62*SQRT((1+Paramètres!$B$4*(C1176-1)+Paramètres!$B$5*(C1176-1)^2)),0)</f>
        <v>0</v>
      </c>
      <c r="H1176" s="6">
        <f>ROUND(Catalogue!H62*SQRT((1+Paramètres!$B$4*(C1176-1)+Paramètres!$B$5*(C1176-1)^2)),0)</f>
        <v>0</v>
      </c>
      <c r="I1176" s="6">
        <v>2</v>
      </c>
      <c r="J1176" s="6">
        <v>3</v>
      </c>
      <c r="K1176" s="7">
        <v>0.7</v>
      </c>
      <c r="L1176" s="9">
        <f t="shared" si="146"/>
        <v>6.5</v>
      </c>
      <c r="M1176">
        <v>1</v>
      </c>
      <c r="N1176">
        <v>4</v>
      </c>
      <c r="O1176">
        <v>4</v>
      </c>
      <c r="P1176" s="13" t="str">
        <f t="shared" si="147"/>
        <v>1d4 + 4</v>
      </c>
      <c r="Q1176">
        <f>ROUND(INDEX(Catalogue!E$4:E$85,MATCH(A1176,Catalogue!A$4:A$85,0))*(1+Paramètres!$B$4*(C1176-1)+Paramètres!$B$5*(C1176-1)^2),0)</f>
        <v>5</v>
      </c>
      <c r="R1176">
        <f>ROUND(INDEX(Catalogue!F$4:F$85,MATCH(A1176,Catalogue!A$4:A$85,0))*(1+Paramètres!$B$4*(C1176-1)+Paramètres!$B$5*(C1176-1)^2),0)</f>
        <v>9</v>
      </c>
      <c r="S1176">
        <f t="shared" si="148"/>
        <v>-0.5</v>
      </c>
      <c r="T1176" t="str">
        <f t="shared" si="149"/>
        <v>OK</v>
      </c>
      <c r="U1176" s="25">
        <f t="shared" si="150"/>
        <v>6.5</v>
      </c>
      <c r="V1176" t="str">
        <f t="shared" si="151"/>
        <v>OK</v>
      </c>
    </row>
    <row r="1177" spans="1:22" ht="18" customHeight="1">
      <c r="A1177" t="s">
        <v>278</v>
      </c>
      <c r="B1177" t="s">
        <v>279</v>
      </c>
      <c r="C1177">
        <v>14</v>
      </c>
      <c r="D1177" t="s">
        <v>267</v>
      </c>
      <c r="E1177" s="6">
        <f t="shared" si="144"/>
        <v>5</v>
      </c>
      <c r="F1177" s="6">
        <f t="shared" si="145"/>
        <v>10</v>
      </c>
      <c r="G1177" s="6">
        <f>ROUND(Catalogue!G62*SQRT((1+Paramètres!$B$4*(C1177-1)+Paramètres!$B$5*(C1177-1)^2)),0)</f>
        <v>0</v>
      </c>
      <c r="H1177" s="6">
        <f>ROUND(Catalogue!H62*SQRT((1+Paramètres!$B$4*(C1177-1)+Paramètres!$B$5*(C1177-1)^2)),0)</f>
        <v>0</v>
      </c>
      <c r="I1177" s="6">
        <v>2</v>
      </c>
      <c r="J1177" s="6">
        <v>3</v>
      </c>
      <c r="K1177" s="7">
        <v>0.7</v>
      </c>
      <c r="L1177" s="9">
        <f t="shared" si="146"/>
        <v>7.5</v>
      </c>
      <c r="M1177">
        <v>1</v>
      </c>
      <c r="N1177">
        <v>6</v>
      </c>
      <c r="O1177">
        <v>4</v>
      </c>
      <c r="P1177" s="13" t="str">
        <f t="shared" si="147"/>
        <v>1d6 + 4</v>
      </c>
      <c r="Q1177">
        <f>ROUND(INDEX(Catalogue!E$4:E$85,MATCH(A1177,Catalogue!A$4:A$85,0))*(1+Paramètres!$B$4*(C1177-1)+Paramètres!$B$5*(C1177-1)^2),0)</f>
        <v>5</v>
      </c>
      <c r="R1177">
        <f>ROUND(INDEX(Catalogue!F$4:F$85,MATCH(A1177,Catalogue!A$4:A$85,0))*(1+Paramètres!$B$4*(C1177-1)+Paramètres!$B$5*(C1177-1)^2),0)</f>
        <v>10</v>
      </c>
      <c r="S1177">
        <f t="shared" si="148"/>
        <v>0</v>
      </c>
      <c r="T1177" t="str">
        <f t="shared" si="149"/>
        <v>OK</v>
      </c>
      <c r="U1177" s="25">
        <f t="shared" si="150"/>
        <v>7.5</v>
      </c>
      <c r="V1177" t="str">
        <f t="shared" si="151"/>
        <v>OK</v>
      </c>
    </row>
    <row r="1178" spans="1:22" ht="18" customHeight="1">
      <c r="A1178" t="s">
        <v>278</v>
      </c>
      <c r="B1178" t="s">
        <v>279</v>
      </c>
      <c r="C1178">
        <v>15</v>
      </c>
      <c r="D1178" t="s">
        <v>267</v>
      </c>
      <c r="E1178" s="6">
        <f t="shared" si="144"/>
        <v>6</v>
      </c>
      <c r="F1178" s="6">
        <f t="shared" si="145"/>
        <v>11</v>
      </c>
      <c r="G1178" s="6">
        <f>ROUND(Catalogue!G62*SQRT((1+Paramètres!$B$4*(C1178-1)+Paramètres!$B$5*(C1178-1)^2)),0)</f>
        <v>0</v>
      </c>
      <c r="H1178" s="6">
        <f>ROUND(Catalogue!H62*SQRT((1+Paramètres!$B$4*(C1178-1)+Paramètres!$B$5*(C1178-1)^2)),0)</f>
        <v>0</v>
      </c>
      <c r="I1178" s="6">
        <v>2</v>
      </c>
      <c r="J1178" s="6">
        <v>3</v>
      </c>
      <c r="K1178" s="7">
        <v>0.7</v>
      </c>
      <c r="L1178" s="9">
        <f t="shared" si="146"/>
        <v>8.5</v>
      </c>
      <c r="M1178">
        <v>1</v>
      </c>
      <c r="N1178">
        <v>6</v>
      </c>
      <c r="O1178">
        <v>5</v>
      </c>
      <c r="P1178" s="13" t="str">
        <f t="shared" si="147"/>
        <v>1d6 + 5</v>
      </c>
      <c r="Q1178">
        <f>ROUND(INDEX(Catalogue!E$4:E$85,MATCH(A1178,Catalogue!A$4:A$85,0))*(1+Paramètres!$B$4*(C1178-1)+Paramètres!$B$5*(C1178-1)^2),0)</f>
        <v>6</v>
      </c>
      <c r="R1178">
        <f>ROUND(INDEX(Catalogue!F$4:F$85,MATCH(A1178,Catalogue!A$4:A$85,0))*(1+Paramètres!$B$4*(C1178-1)+Paramètres!$B$5*(C1178-1)^2),0)</f>
        <v>11</v>
      </c>
      <c r="S1178">
        <f t="shared" si="148"/>
        <v>0</v>
      </c>
      <c r="T1178" t="str">
        <f t="shared" si="149"/>
        <v>OK</v>
      </c>
      <c r="U1178" s="25">
        <f t="shared" si="150"/>
        <v>8.5</v>
      </c>
      <c r="V1178" t="str">
        <f t="shared" si="151"/>
        <v>OK</v>
      </c>
    </row>
    <row r="1179" spans="1:22" ht="18" customHeight="1">
      <c r="A1179" t="s">
        <v>278</v>
      </c>
      <c r="B1179" t="s">
        <v>279</v>
      </c>
      <c r="C1179">
        <v>16</v>
      </c>
      <c r="D1179" t="s">
        <v>267</v>
      </c>
      <c r="E1179" s="6">
        <f t="shared" si="144"/>
        <v>6</v>
      </c>
      <c r="F1179" s="6">
        <f t="shared" si="145"/>
        <v>13</v>
      </c>
      <c r="G1179" s="6">
        <f>ROUND(Catalogue!G62*SQRT((1+Paramètres!$B$4*(C1179-1)+Paramètres!$B$5*(C1179-1)^2)),0)</f>
        <v>0</v>
      </c>
      <c r="H1179" s="6">
        <f>ROUND(Catalogue!H62*SQRT((1+Paramètres!$B$4*(C1179-1)+Paramètres!$B$5*(C1179-1)^2)),0)</f>
        <v>0</v>
      </c>
      <c r="I1179" s="6">
        <v>2</v>
      </c>
      <c r="J1179" s="6">
        <v>3</v>
      </c>
      <c r="K1179" s="7">
        <v>0.7</v>
      </c>
      <c r="L1179" s="9">
        <f t="shared" si="146"/>
        <v>9.5</v>
      </c>
      <c r="M1179">
        <v>1</v>
      </c>
      <c r="N1179">
        <v>8</v>
      </c>
      <c r="O1179">
        <v>5</v>
      </c>
      <c r="P1179" s="13" t="str">
        <f t="shared" si="147"/>
        <v>1d8 + 5</v>
      </c>
      <c r="Q1179">
        <f>ROUND(INDEX(Catalogue!E$4:E$85,MATCH(A1179,Catalogue!A$4:A$85,0))*(1+Paramètres!$B$4*(C1179-1)+Paramètres!$B$5*(C1179-1)^2),0)</f>
        <v>6</v>
      </c>
      <c r="R1179">
        <f>ROUND(INDEX(Catalogue!F$4:F$85,MATCH(A1179,Catalogue!A$4:A$85,0))*(1+Paramètres!$B$4*(C1179-1)+Paramètres!$B$5*(C1179-1)^2),0)</f>
        <v>13</v>
      </c>
      <c r="S1179">
        <f t="shared" si="148"/>
        <v>0</v>
      </c>
      <c r="T1179" t="str">
        <f t="shared" si="149"/>
        <v>OK</v>
      </c>
      <c r="U1179" s="25">
        <f t="shared" si="150"/>
        <v>9.5</v>
      </c>
      <c r="V1179" t="str">
        <f t="shared" si="151"/>
        <v>OK</v>
      </c>
    </row>
    <row r="1180" spans="1:22" ht="18" customHeight="1">
      <c r="A1180" t="s">
        <v>278</v>
      </c>
      <c r="B1180" t="s">
        <v>279</v>
      </c>
      <c r="C1180">
        <v>17</v>
      </c>
      <c r="D1180" t="s">
        <v>267</v>
      </c>
      <c r="E1180" s="6">
        <f t="shared" si="144"/>
        <v>7</v>
      </c>
      <c r="F1180" s="6">
        <f t="shared" si="145"/>
        <v>14</v>
      </c>
      <c r="G1180" s="6">
        <f>ROUND(Catalogue!G62*SQRT((1+Paramètres!$B$4*(C1180-1)+Paramètres!$B$5*(C1180-1)^2)),0)</f>
        <v>0</v>
      </c>
      <c r="H1180" s="6">
        <f>ROUND(Catalogue!H62*SQRT((1+Paramètres!$B$4*(C1180-1)+Paramètres!$B$5*(C1180-1)^2)),0)</f>
        <v>0</v>
      </c>
      <c r="I1180" s="6">
        <v>2</v>
      </c>
      <c r="J1180" s="6">
        <v>3</v>
      </c>
      <c r="K1180" s="7">
        <v>0.7</v>
      </c>
      <c r="L1180" s="9">
        <f t="shared" si="146"/>
        <v>10.5</v>
      </c>
      <c r="M1180">
        <v>1</v>
      </c>
      <c r="N1180">
        <v>8</v>
      </c>
      <c r="O1180">
        <v>6</v>
      </c>
      <c r="P1180" s="13" t="str">
        <f t="shared" si="147"/>
        <v>1d8 + 6</v>
      </c>
      <c r="Q1180">
        <f>ROUND(INDEX(Catalogue!E$4:E$85,MATCH(A1180,Catalogue!A$4:A$85,0))*(1+Paramètres!$B$4*(C1180-1)+Paramètres!$B$5*(C1180-1)^2),0)</f>
        <v>7</v>
      </c>
      <c r="R1180">
        <f>ROUND(INDEX(Catalogue!F$4:F$85,MATCH(A1180,Catalogue!A$4:A$85,0))*(1+Paramètres!$B$4*(C1180-1)+Paramètres!$B$5*(C1180-1)^2),0)</f>
        <v>14</v>
      </c>
      <c r="S1180">
        <f t="shared" si="148"/>
        <v>0</v>
      </c>
      <c r="T1180" t="str">
        <f t="shared" si="149"/>
        <v>OK</v>
      </c>
      <c r="U1180" s="25">
        <f t="shared" si="150"/>
        <v>10.5</v>
      </c>
      <c r="V1180" t="str">
        <f t="shared" si="151"/>
        <v>OK</v>
      </c>
    </row>
    <row r="1181" spans="1:22" ht="18" customHeight="1">
      <c r="A1181" t="s">
        <v>278</v>
      </c>
      <c r="B1181" t="s">
        <v>279</v>
      </c>
      <c r="C1181">
        <v>18</v>
      </c>
      <c r="D1181" t="s">
        <v>267</v>
      </c>
      <c r="E1181" s="6">
        <f t="shared" si="144"/>
        <v>6</v>
      </c>
      <c r="F1181" s="6">
        <f t="shared" si="145"/>
        <v>15</v>
      </c>
      <c r="G1181" s="6">
        <f>ROUND(Catalogue!G62*SQRT((1+Paramètres!$B$4*(C1181-1)+Paramètres!$B$5*(C1181-1)^2)),0)</f>
        <v>0</v>
      </c>
      <c r="H1181" s="6">
        <f>ROUND(Catalogue!H62*SQRT((1+Paramètres!$B$4*(C1181-1)+Paramètres!$B$5*(C1181-1)^2)),0)</f>
        <v>0</v>
      </c>
      <c r="I1181" s="6">
        <v>2</v>
      </c>
      <c r="J1181" s="6">
        <v>3</v>
      </c>
      <c r="K1181" s="7">
        <v>0.7</v>
      </c>
      <c r="L1181" s="9">
        <f t="shared" si="146"/>
        <v>10.5</v>
      </c>
      <c r="M1181">
        <v>3</v>
      </c>
      <c r="N1181">
        <v>4</v>
      </c>
      <c r="O1181">
        <v>3</v>
      </c>
      <c r="P1181" s="13" t="str">
        <f t="shared" si="147"/>
        <v>3d4 + 3</v>
      </c>
      <c r="Q1181">
        <f>ROUND(INDEX(Catalogue!E$4:E$85,MATCH(A1181,Catalogue!A$4:A$85,0))*(1+Paramètres!$B$4*(C1181-1)+Paramètres!$B$5*(C1181-1)^2),0)</f>
        <v>7</v>
      </c>
      <c r="R1181">
        <f>ROUND(INDEX(Catalogue!F$4:F$85,MATCH(A1181,Catalogue!A$4:A$85,0))*(1+Paramètres!$B$4*(C1181-1)+Paramètres!$B$5*(C1181-1)^2),0)</f>
        <v>15</v>
      </c>
      <c r="S1181">
        <f t="shared" si="148"/>
        <v>-0.5</v>
      </c>
      <c r="T1181" t="str">
        <f t="shared" si="149"/>
        <v>OK</v>
      </c>
      <c r="U1181" s="25">
        <f t="shared" si="150"/>
        <v>10.5</v>
      </c>
      <c r="V1181" t="str">
        <f t="shared" si="151"/>
        <v>OK</v>
      </c>
    </row>
    <row r="1182" spans="1:22" ht="18" customHeight="1">
      <c r="A1182" t="s">
        <v>278</v>
      </c>
      <c r="B1182" t="s">
        <v>279</v>
      </c>
      <c r="C1182">
        <v>19</v>
      </c>
      <c r="D1182" t="s">
        <v>267</v>
      </c>
      <c r="E1182" s="6">
        <f t="shared" si="144"/>
        <v>7</v>
      </c>
      <c r="F1182" s="6">
        <f t="shared" si="145"/>
        <v>16</v>
      </c>
      <c r="G1182" s="6">
        <f>ROUND(Catalogue!G62*SQRT((1+Paramètres!$B$4*(C1182-1)+Paramètres!$B$5*(C1182-1)^2)),0)</f>
        <v>0</v>
      </c>
      <c r="H1182" s="6">
        <f>ROUND(Catalogue!H62*SQRT((1+Paramètres!$B$4*(C1182-1)+Paramètres!$B$5*(C1182-1)^2)),0)</f>
        <v>0</v>
      </c>
      <c r="I1182" s="6">
        <v>2</v>
      </c>
      <c r="J1182" s="6">
        <v>3</v>
      </c>
      <c r="K1182" s="7">
        <v>0.7</v>
      </c>
      <c r="L1182" s="9">
        <f t="shared" si="146"/>
        <v>11.5</v>
      </c>
      <c r="M1182">
        <v>3</v>
      </c>
      <c r="N1182">
        <v>4</v>
      </c>
      <c r="O1182">
        <v>4</v>
      </c>
      <c r="P1182" s="13" t="str">
        <f t="shared" si="147"/>
        <v>3d4 + 4</v>
      </c>
      <c r="Q1182">
        <f>ROUND(INDEX(Catalogue!E$4:E$85,MATCH(A1182,Catalogue!A$4:A$85,0))*(1+Paramètres!$B$4*(C1182-1)+Paramètres!$B$5*(C1182-1)^2),0)</f>
        <v>8</v>
      </c>
      <c r="R1182">
        <f>ROUND(INDEX(Catalogue!F$4:F$85,MATCH(A1182,Catalogue!A$4:A$85,0))*(1+Paramètres!$B$4*(C1182-1)+Paramètres!$B$5*(C1182-1)^2),0)</f>
        <v>16</v>
      </c>
      <c r="S1182">
        <f t="shared" si="148"/>
        <v>-0.5</v>
      </c>
      <c r="T1182" t="str">
        <f t="shared" si="149"/>
        <v>OK</v>
      </c>
      <c r="U1182" s="25">
        <f t="shared" si="150"/>
        <v>11.5</v>
      </c>
      <c r="V1182" t="str">
        <f t="shared" si="151"/>
        <v>OK</v>
      </c>
    </row>
    <row r="1183" spans="1:22" ht="18" customHeight="1">
      <c r="A1183" t="s">
        <v>278</v>
      </c>
      <c r="B1183" t="s">
        <v>279</v>
      </c>
      <c r="C1183">
        <v>20</v>
      </c>
      <c r="D1183" t="s">
        <v>267</v>
      </c>
      <c r="E1183" s="6">
        <f t="shared" si="144"/>
        <v>9</v>
      </c>
      <c r="F1183" s="6">
        <f t="shared" si="145"/>
        <v>18</v>
      </c>
      <c r="G1183" s="6">
        <f>ROUND(Catalogue!G62*SQRT((1+Paramètres!$B$4*(C1183-1)+Paramètres!$B$5*(C1183-1)^2)),0)</f>
        <v>0</v>
      </c>
      <c r="H1183" s="6">
        <f>ROUND(Catalogue!H62*SQRT((1+Paramètres!$B$4*(C1183-1)+Paramètres!$B$5*(C1183-1)^2)),0)</f>
        <v>0</v>
      </c>
      <c r="I1183" s="6">
        <v>2</v>
      </c>
      <c r="J1183" s="6">
        <v>3</v>
      </c>
      <c r="K1183" s="7">
        <v>0.7</v>
      </c>
      <c r="L1183" s="9">
        <f t="shared" si="146"/>
        <v>13.5</v>
      </c>
      <c r="M1183">
        <v>3</v>
      </c>
      <c r="N1183">
        <v>4</v>
      </c>
      <c r="O1183">
        <v>6</v>
      </c>
      <c r="P1183" s="13" t="str">
        <f t="shared" si="147"/>
        <v>3d4 + 6</v>
      </c>
      <c r="Q1183">
        <f>ROUND(INDEX(Catalogue!E$4:E$85,MATCH(A1183,Catalogue!A$4:A$85,0))*(1+Paramètres!$B$4*(C1183-1)+Paramètres!$B$5*(C1183-1)^2),0)</f>
        <v>9</v>
      </c>
      <c r="R1183">
        <f>ROUND(INDEX(Catalogue!F$4:F$85,MATCH(A1183,Catalogue!A$4:A$85,0))*(1+Paramètres!$B$4*(C1183-1)+Paramètres!$B$5*(C1183-1)^2),0)</f>
        <v>18</v>
      </c>
      <c r="S1183">
        <f t="shared" si="148"/>
        <v>0</v>
      </c>
      <c r="T1183" t="str">
        <f t="shared" si="149"/>
        <v>OK</v>
      </c>
      <c r="U1183" s="25">
        <f t="shared" si="150"/>
        <v>13.5</v>
      </c>
      <c r="V1183" t="str">
        <f t="shared" si="151"/>
        <v>OK</v>
      </c>
    </row>
    <row r="1184" spans="1:22" ht="18" customHeight="1">
      <c r="A1184" t="s">
        <v>281</v>
      </c>
      <c r="B1184" t="s">
        <v>282</v>
      </c>
      <c r="C1184">
        <v>1</v>
      </c>
      <c r="D1184" t="s">
        <v>267</v>
      </c>
      <c r="E1184" s="6">
        <f t="shared" si="144"/>
        <v>2</v>
      </c>
      <c r="F1184" s="6">
        <f t="shared" si="145"/>
        <v>5</v>
      </c>
      <c r="G1184" s="6">
        <f>ROUND(Catalogue!G63*SQRT((1+Paramètres!$B$4*(C1184-1)+Paramètres!$B$5*(C1184-1)^2)),0)</f>
        <v>0</v>
      </c>
      <c r="H1184" s="6">
        <f>ROUND(Catalogue!H63*SQRT((1+Paramètres!$B$4*(C1184-1)+Paramètres!$B$5*(C1184-1)^2)),0)</f>
        <v>0</v>
      </c>
      <c r="I1184" s="6">
        <v>2</v>
      </c>
      <c r="J1184" s="6">
        <v>4</v>
      </c>
      <c r="K1184" s="7">
        <v>0.5</v>
      </c>
      <c r="L1184" s="9">
        <f t="shared" si="146"/>
        <v>3.5</v>
      </c>
      <c r="M1184">
        <v>1</v>
      </c>
      <c r="N1184">
        <v>4</v>
      </c>
      <c r="O1184">
        <v>1</v>
      </c>
      <c r="P1184" s="13" t="str">
        <f t="shared" si="147"/>
        <v>1d4 + 1</v>
      </c>
      <c r="Q1184">
        <f>ROUND(INDEX(Catalogue!E$4:E$85,MATCH(A1184,Catalogue!A$4:A$85,0))*(1+Paramètres!$B$4*(C1184-1)+Paramètres!$B$5*(C1184-1)^2),0)</f>
        <v>3</v>
      </c>
      <c r="R1184">
        <f>ROUND(INDEX(Catalogue!F$4:F$85,MATCH(A1184,Catalogue!A$4:A$85,0))*(1+Paramètres!$B$4*(C1184-1)+Paramètres!$B$5*(C1184-1)^2),0)</f>
        <v>5</v>
      </c>
      <c r="S1184">
        <f t="shared" si="148"/>
        <v>-0.5</v>
      </c>
      <c r="T1184" t="str">
        <f t="shared" si="149"/>
        <v>OK</v>
      </c>
      <c r="U1184" s="25">
        <f t="shared" si="150"/>
        <v>3.5</v>
      </c>
      <c r="V1184" t="str">
        <f t="shared" si="151"/>
        <v>OK</v>
      </c>
    </row>
    <row r="1185" spans="1:22" ht="18" customHeight="1">
      <c r="A1185" t="s">
        <v>281</v>
      </c>
      <c r="B1185" t="s">
        <v>282</v>
      </c>
      <c r="C1185">
        <v>2</v>
      </c>
      <c r="D1185" t="s">
        <v>267</v>
      </c>
      <c r="E1185" s="6">
        <f t="shared" si="144"/>
        <v>3</v>
      </c>
      <c r="F1185" s="6">
        <f t="shared" si="145"/>
        <v>6</v>
      </c>
      <c r="G1185" s="6">
        <f>ROUND(Catalogue!G63*SQRT((1+Paramètres!$B$4*(C1185-1)+Paramètres!$B$5*(C1185-1)^2)),0)</f>
        <v>0</v>
      </c>
      <c r="H1185" s="6">
        <f>ROUND(Catalogue!H63*SQRT((1+Paramètres!$B$4*(C1185-1)+Paramètres!$B$5*(C1185-1)^2)),0)</f>
        <v>0</v>
      </c>
      <c r="I1185" s="6">
        <v>2</v>
      </c>
      <c r="J1185" s="6">
        <v>4</v>
      </c>
      <c r="K1185" s="7">
        <v>0.5</v>
      </c>
      <c r="L1185" s="9">
        <f t="shared" si="146"/>
        <v>4.5</v>
      </c>
      <c r="M1185">
        <v>1</v>
      </c>
      <c r="N1185">
        <v>4</v>
      </c>
      <c r="O1185">
        <v>2</v>
      </c>
      <c r="P1185" s="13" t="str">
        <f t="shared" si="147"/>
        <v>1d4 + 2</v>
      </c>
      <c r="Q1185">
        <f>ROUND(INDEX(Catalogue!E$4:E$85,MATCH(A1185,Catalogue!A$4:A$85,0))*(1+Paramètres!$B$4*(C1185-1)+Paramètres!$B$5*(C1185-1)^2),0)</f>
        <v>3</v>
      </c>
      <c r="R1185">
        <f>ROUND(INDEX(Catalogue!F$4:F$85,MATCH(A1185,Catalogue!A$4:A$85,0))*(1+Paramètres!$B$4*(C1185-1)+Paramètres!$B$5*(C1185-1)^2),0)</f>
        <v>6</v>
      </c>
      <c r="S1185">
        <f t="shared" si="148"/>
        <v>0</v>
      </c>
      <c r="T1185" t="str">
        <f t="shared" si="149"/>
        <v>OK</v>
      </c>
      <c r="U1185" s="25">
        <f t="shared" si="150"/>
        <v>4.5</v>
      </c>
      <c r="V1185" t="str">
        <f t="shared" si="151"/>
        <v>OK</v>
      </c>
    </row>
    <row r="1186" spans="1:22" ht="18" customHeight="1">
      <c r="A1186" t="s">
        <v>281</v>
      </c>
      <c r="B1186" t="s">
        <v>282</v>
      </c>
      <c r="C1186">
        <v>3</v>
      </c>
      <c r="D1186" t="s">
        <v>267</v>
      </c>
      <c r="E1186" s="6">
        <f t="shared" si="144"/>
        <v>3</v>
      </c>
      <c r="F1186" s="6">
        <f t="shared" si="145"/>
        <v>6</v>
      </c>
      <c r="G1186" s="6">
        <f>ROUND(Catalogue!G63*SQRT((1+Paramètres!$B$4*(C1186-1)+Paramètres!$B$5*(C1186-1)^2)),0)</f>
        <v>0</v>
      </c>
      <c r="H1186" s="6">
        <f>ROUND(Catalogue!H63*SQRT((1+Paramètres!$B$4*(C1186-1)+Paramètres!$B$5*(C1186-1)^2)),0)</f>
        <v>0</v>
      </c>
      <c r="I1186" s="6">
        <v>2</v>
      </c>
      <c r="J1186" s="6">
        <v>4</v>
      </c>
      <c r="K1186" s="7">
        <v>0.5</v>
      </c>
      <c r="L1186" s="9">
        <f t="shared" si="146"/>
        <v>4.5</v>
      </c>
      <c r="M1186">
        <v>1</v>
      </c>
      <c r="N1186">
        <v>4</v>
      </c>
      <c r="O1186">
        <v>2</v>
      </c>
      <c r="P1186" s="13" t="str">
        <f t="shared" si="147"/>
        <v>1d4 + 2</v>
      </c>
      <c r="Q1186">
        <f>ROUND(INDEX(Catalogue!E$4:E$85,MATCH(A1186,Catalogue!A$4:A$85,0))*(1+Paramètres!$B$4*(C1186-1)+Paramètres!$B$5*(C1186-1)^2),0)</f>
        <v>4</v>
      </c>
      <c r="R1186">
        <f>ROUND(INDEX(Catalogue!F$4:F$85,MATCH(A1186,Catalogue!A$4:A$85,0))*(1+Paramètres!$B$4*(C1186-1)+Paramètres!$B$5*(C1186-1)^2),0)</f>
        <v>6</v>
      </c>
      <c r="S1186">
        <f t="shared" si="148"/>
        <v>-0.5</v>
      </c>
      <c r="T1186" t="str">
        <f t="shared" si="149"/>
        <v>OK</v>
      </c>
      <c r="U1186" s="25">
        <f t="shared" si="150"/>
        <v>4.5</v>
      </c>
      <c r="V1186" t="str">
        <f t="shared" si="151"/>
        <v>OK</v>
      </c>
    </row>
    <row r="1187" spans="1:22" ht="18" customHeight="1">
      <c r="A1187" t="s">
        <v>281</v>
      </c>
      <c r="B1187" t="s">
        <v>282</v>
      </c>
      <c r="C1187">
        <v>4</v>
      </c>
      <c r="D1187" t="s">
        <v>267</v>
      </c>
      <c r="E1187" s="6">
        <f t="shared" si="144"/>
        <v>4</v>
      </c>
      <c r="F1187" s="6">
        <f t="shared" si="145"/>
        <v>7</v>
      </c>
      <c r="G1187" s="6">
        <f>ROUND(Catalogue!G63*SQRT((1+Paramètres!$B$4*(C1187-1)+Paramètres!$B$5*(C1187-1)^2)),0)</f>
        <v>0</v>
      </c>
      <c r="H1187" s="6">
        <f>ROUND(Catalogue!H63*SQRT((1+Paramètres!$B$4*(C1187-1)+Paramètres!$B$5*(C1187-1)^2)),0)</f>
        <v>0</v>
      </c>
      <c r="I1187" s="6">
        <v>2</v>
      </c>
      <c r="J1187" s="6">
        <v>4</v>
      </c>
      <c r="K1187" s="7">
        <v>0.5</v>
      </c>
      <c r="L1187" s="9">
        <f t="shared" si="146"/>
        <v>5.5</v>
      </c>
      <c r="M1187">
        <v>1</v>
      </c>
      <c r="N1187">
        <v>4</v>
      </c>
      <c r="O1187">
        <v>3</v>
      </c>
      <c r="P1187" s="13" t="str">
        <f t="shared" si="147"/>
        <v>1d4 + 3</v>
      </c>
      <c r="Q1187">
        <f>ROUND(INDEX(Catalogue!E$4:E$85,MATCH(A1187,Catalogue!A$4:A$85,0))*(1+Paramètres!$B$4*(C1187-1)+Paramètres!$B$5*(C1187-1)^2),0)</f>
        <v>4</v>
      </c>
      <c r="R1187">
        <f>ROUND(INDEX(Catalogue!F$4:F$85,MATCH(A1187,Catalogue!A$4:A$85,0))*(1+Paramètres!$B$4*(C1187-1)+Paramètres!$B$5*(C1187-1)^2),0)</f>
        <v>7</v>
      </c>
      <c r="S1187">
        <f t="shared" si="148"/>
        <v>0</v>
      </c>
      <c r="T1187" t="str">
        <f t="shared" si="149"/>
        <v>OK</v>
      </c>
      <c r="U1187" s="25">
        <f t="shared" si="150"/>
        <v>5.5</v>
      </c>
      <c r="V1187" t="str">
        <f t="shared" si="151"/>
        <v>OK</v>
      </c>
    </row>
    <row r="1188" spans="1:22" ht="18" customHeight="1">
      <c r="A1188" t="s">
        <v>281</v>
      </c>
      <c r="B1188" t="s">
        <v>282</v>
      </c>
      <c r="C1188">
        <v>5</v>
      </c>
      <c r="D1188" t="s">
        <v>267</v>
      </c>
      <c r="E1188" s="6">
        <f t="shared" si="144"/>
        <v>5</v>
      </c>
      <c r="F1188" s="6">
        <f t="shared" si="145"/>
        <v>8</v>
      </c>
      <c r="G1188" s="6">
        <f>ROUND(Catalogue!G63*SQRT((1+Paramètres!$B$4*(C1188-1)+Paramètres!$B$5*(C1188-1)^2)),0)</f>
        <v>0</v>
      </c>
      <c r="H1188" s="6">
        <f>ROUND(Catalogue!H63*SQRT((1+Paramètres!$B$4*(C1188-1)+Paramètres!$B$5*(C1188-1)^2)),0)</f>
        <v>0</v>
      </c>
      <c r="I1188" s="6">
        <v>2</v>
      </c>
      <c r="J1188" s="6">
        <v>4</v>
      </c>
      <c r="K1188" s="7">
        <v>0.5</v>
      </c>
      <c r="L1188" s="9">
        <f t="shared" si="146"/>
        <v>6.5</v>
      </c>
      <c r="M1188">
        <v>1</v>
      </c>
      <c r="N1188">
        <v>4</v>
      </c>
      <c r="O1188">
        <v>4</v>
      </c>
      <c r="P1188" s="13" t="str">
        <f t="shared" si="147"/>
        <v>1d4 + 4</v>
      </c>
      <c r="Q1188">
        <f>ROUND(INDEX(Catalogue!E$4:E$85,MATCH(A1188,Catalogue!A$4:A$85,0))*(1+Paramètres!$B$4*(C1188-1)+Paramètres!$B$5*(C1188-1)^2),0)</f>
        <v>5</v>
      </c>
      <c r="R1188">
        <f>ROUND(INDEX(Catalogue!F$4:F$85,MATCH(A1188,Catalogue!A$4:A$85,0))*(1+Paramètres!$B$4*(C1188-1)+Paramètres!$B$5*(C1188-1)^2),0)</f>
        <v>8</v>
      </c>
      <c r="S1188">
        <f t="shared" si="148"/>
        <v>0</v>
      </c>
      <c r="T1188" t="str">
        <f t="shared" si="149"/>
        <v>OK</v>
      </c>
      <c r="U1188" s="25">
        <f t="shared" si="150"/>
        <v>6.5</v>
      </c>
      <c r="V1188" t="str">
        <f t="shared" si="151"/>
        <v>OK</v>
      </c>
    </row>
    <row r="1189" spans="1:22" ht="18" customHeight="1">
      <c r="A1189" t="s">
        <v>281</v>
      </c>
      <c r="B1189" t="s">
        <v>282</v>
      </c>
      <c r="C1189">
        <v>6</v>
      </c>
      <c r="D1189" t="s">
        <v>267</v>
      </c>
      <c r="E1189" s="6">
        <f t="shared" si="144"/>
        <v>6</v>
      </c>
      <c r="F1189" s="6">
        <f t="shared" si="145"/>
        <v>9</v>
      </c>
      <c r="G1189" s="6">
        <f>ROUND(Catalogue!G63*SQRT((1+Paramètres!$B$4*(C1189-1)+Paramètres!$B$5*(C1189-1)^2)),0)</f>
        <v>0</v>
      </c>
      <c r="H1189" s="6">
        <f>ROUND(Catalogue!H63*SQRT((1+Paramètres!$B$4*(C1189-1)+Paramètres!$B$5*(C1189-1)^2)),0)</f>
        <v>0</v>
      </c>
      <c r="I1189" s="6">
        <v>2</v>
      </c>
      <c r="J1189" s="6">
        <v>4</v>
      </c>
      <c r="K1189" s="7">
        <v>0.5</v>
      </c>
      <c r="L1189" s="9">
        <f t="shared" si="146"/>
        <v>7.5</v>
      </c>
      <c r="M1189">
        <v>1</v>
      </c>
      <c r="N1189">
        <v>4</v>
      </c>
      <c r="O1189">
        <v>5</v>
      </c>
      <c r="P1189" s="13" t="str">
        <f t="shared" si="147"/>
        <v>1d4 + 5</v>
      </c>
      <c r="Q1189">
        <f>ROUND(INDEX(Catalogue!E$4:E$85,MATCH(A1189,Catalogue!A$4:A$85,0))*(1+Paramètres!$B$4*(C1189-1)+Paramètres!$B$5*(C1189-1)^2),0)</f>
        <v>6</v>
      </c>
      <c r="R1189">
        <f>ROUND(INDEX(Catalogue!F$4:F$85,MATCH(A1189,Catalogue!A$4:A$85,0))*(1+Paramètres!$B$4*(C1189-1)+Paramètres!$B$5*(C1189-1)^2),0)</f>
        <v>10</v>
      </c>
      <c r="S1189">
        <f t="shared" si="148"/>
        <v>-0.5</v>
      </c>
      <c r="T1189" t="str">
        <f t="shared" si="149"/>
        <v>OK</v>
      </c>
      <c r="U1189" s="25">
        <f t="shared" si="150"/>
        <v>7.5</v>
      </c>
      <c r="V1189" t="str">
        <f t="shared" si="151"/>
        <v>OK</v>
      </c>
    </row>
    <row r="1190" spans="1:22" ht="18" customHeight="1">
      <c r="A1190" t="s">
        <v>281</v>
      </c>
      <c r="B1190" t="s">
        <v>282</v>
      </c>
      <c r="C1190">
        <v>7</v>
      </c>
      <c r="D1190" t="s">
        <v>267</v>
      </c>
      <c r="E1190" s="6">
        <f t="shared" si="144"/>
        <v>7</v>
      </c>
      <c r="F1190" s="6">
        <f t="shared" si="145"/>
        <v>10</v>
      </c>
      <c r="G1190" s="6">
        <f>ROUND(Catalogue!G63*SQRT((1+Paramètres!$B$4*(C1190-1)+Paramètres!$B$5*(C1190-1)^2)),0)</f>
        <v>0</v>
      </c>
      <c r="H1190" s="6">
        <f>ROUND(Catalogue!H63*SQRT((1+Paramètres!$B$4*(C1190-1)+Paramètres!$B$5*(C1190-1)^2)),0)</f>
        <v>0</v>
      </c>
      <c r="I1190" s="6">
        <v>2</v>
      </c>
      <c r="J1190" s="6">
        <v>4</v>
      </c>
      <c r="K1190" s="7">
        <v>0.5</v>
      </c>
      <c r="L1190" s="9">
        <f t="shared" si="146"/>
        <v>8.5</v>
      </c>
      <c r="M1190">
        <v>1</v>
      </c>
      <c r="N1190">
        <v>4</v>
      </c>
      <c r="O1190">
        <v>6</v>
      </c>
      <c r="P1190" s="13" t="str">
        <f t="shared" si="147"/>
        <v>1d4 + 6</v>
      </c>
      <c r="Q1190">
        <f>ROUND(INDEX(Catalogue!E$4:E$85,MATCH(A1190,Catalogue!A$4:A$85,0))*(1+Paramètres!$B$4*(C1190-1)+Paramètres!$B$5*(C1190-1)^2),0)</f>
        <v>7</v>
      </c>
      <c r="R1190">
        <f>ROUND(INDEX(Catalogue!F$4:F$85,MATCH(A1190,Catalogue!A$4:A$85,0))*(1+Paramètres!$B$4*(C1190-1)+Paramètres!$B$5*(C1190-1)^2),0)</f>
        <v>11</v>
      </c>
      <c r="S1190">
        <f t="shared" si="148"/>
        <v>-0.5</v>
      </c>
      <c r="T1190" t="str">
        <f t="shared" si="149"/>
        <v>OK</v>
      </c>
      <c r="U1190" s="25">
        <f t="shared" si="150"/>
        <v>8.5</v>
      </c>
      <c r="V1190" t="str">
        <f t="shared" si="151"/>
        <v>OK</v>
      </c>
    </row>
    <row r="1191" spans="1:22" ht="18" customHeight="1">
      <c r="A1191" t="s">
        <v>281</v>
      </c>
      <c r="B1191" t="s">
        <v>282</v>
      </c>
      <c r="C1191">
        <v>8</v>
      </c>
      <c r="D1191" t="s">
        <v>267</v>
      </c>
      <c r="E1191" s="6">
        <f t="shared" si="144"/>
        <v>8</v>
      </c>
      <c r="F1191" s="6">
        <f t="shared" si="145"/>
        <v>13</v>
      </c>
      <c r="G1191" s="6">
        <f>ROUND(Catalogue!G63*SQRT((1+Paramètres!$B$4*(C1191-1)+Paramètres!$B$5*(C1191-1)^2)),0)</f>
        <v>0</v>
      </c>
      <c r="H1191" s="6">
        <f>ROUND(Catalogue!H63*SQRT((1+Paramètres!$B$4*(C1191-1)+Paramètres!$B$5*(C1191-1)^2)),0)</f>
        <v>0</v>
      </c>
      <c r="I1191" s="6">
        <v>2</v>
      </c>
      <c r="J1191" s="6">
        <v>4</v>
      </c>
      <c r="K1191" s="7">
        <v>0.5</v>
      </c>
      <c r="L1191" s="9">
        <f t="shared" si="146"/>
        <v>10.5</v>
      </c>
      <c r="M1191">
        <v>1</v>
      </c>
      <c r="N1191">
        <v>6</v>
      </c>
      <c r="O1191">
        <v>7</v>
      </c>
      <c r="P1191" s="13" t="str">
        <f t="shared" si="147"/>
        <v>1d6 + 7</v>
      </c>
      <c r="Q1191">
        <f>ROUND(INDEX(Catalogue!E$4:E$85,MATCH(A1191,Catalogue!A$4:A$85,0))*(1+Paramètres!$B$4*(C1191-1)+Paramètres!$B$5*(C1191-1)^2),0)</f>
        <v>8</v>
      </c>
      <c r="R1191">
        <f>ROUND(INDEX(Catalogue!F$4:F$85,MATCH(A1191,Catalogue!A$4:A$85,0))*(1+Paramètres!$B$4*(C1191-1)+Paramètres!$B$5*(C1191-1)^2),0)</f>
        <v>13</v>
      </c>
      <c r="S1191">
        <f t="shared" si="148"/>
        <v>0</v>
      </c>
      <c r="T1191" t="str">
        <f t="shared" si="149"/>
        <v>OK</v>
      </c>
      <c r="U1191" s="25">
        <f t="shared" si="150"/>
        <v>10.5</v>
      </c>
      <c r="V1191" t="str">
        <f t="shared" si="151"/>
        <v>OK</v>
      </c>
    </row>
    <row r="1192" spans="1:22" ht="18" customHeight="1">
      <c r="A1192" t="s">
        <v>281</v>
      </c>
      <c r="B1192" t="s">
        <v>282</v>
      </c>
      <c r="C1192">
        <v>9</v>
      </c>
      <c r="D1192" t="s">
        <v>267</v>
      </c>
      <c r="E1192" s="6">
        <f t="shared" si="144"/>
        <v>9</v>
      </c>
      <c r="F1192" s="6">
        <f t="shared" si="145"/>
        <v>15</v>
      </c>
      <c r="G1192" s="6">
        <f>ROUND(Catalogue!G63*SQRT((1+Paramètres!$B$4*(C1192-1)+Paramètres!$B$5*(C1192-1)^2)),0)</f>
        <v>0</v>
      </c>
      <c r="H1192" s="6">
        <f>ROUND(Catalogue!H63*SQRT((1+Paramètres!$B$4*(C1192-1)+Paramètres!$B$5*(C1192-1)^2)),0)</f>
        <v>0</v>
      </c>
      <c r="I1192" s="6">
        <v>2</v>
      </c>
      <c r="J1192" s="6">
        <v>4</v>
      </c>
      <c r="K1192" s="7">
        <v>0.5</v>
      </c>
      <c r="L1192" s="9">
        <f t="shared" si="146"/>
        <v>12</v>
      </c>
      <c r="M1192">
        <v>2</v>
      </c>
      <c r="N1192">
        <v>4</v>
      </c>
      <c r="O1192">
        <v>7</v>
      </c>
      <c r="P1192" s="13" t="str">
        <f t="shared" si="147"/>
        <v>2d4 + 7</v>
      </c>
      <c r="Q1192">
        <f>ROUND(INDEX(Catalogue!E$4:E$85,MATCH(A1192,Catalogue!A$4:A$85,0))*(1+Paramètres!$B$4*(C1192-1)+Paramètres!$B$5*(C1192-1)^2),0)</f>
        <v>9</v>
      </c>
      <c r="R1192">
        <f>ROUND(INDEX(Catalogue!F$4:F$85,MATCH(A1192,Catalogue!A$4:A$85,0))*(1+Paramètres!$B$4*(C1192-1)+Paramètres!$B$5*(C1192-1)^2),0)</f>
        <v>15</v>
      </c>
      <c r="S1192">
        <f t="shared" si="148"/>
        <v>0</v>
      </c>
      <c r="T1192" t="str">
        <f t="shared" si="149"/>
        <v>OK</v>
      </c>
      <c r="U1192" s="25">
        <f t="shared" si="150"/>
        <v>12</v>
      </c>
      <c r="V1192" t="str">
        <f t="shared" si="151"/>
        <v>OK</v>
      </c>
    </row>
    <row r="1193" spans="1:22" ht="18" customHeight="1">
      <c r="A1193" t="s">
        <v>281</v>
      </c>
      <c r="B1193" t="s">
        <v>282</v>
      </c>
      <c r="C1193">
        <v>10</v>
      </c>
      <c r="D1193" t="s">
        <v>267</v>
      </c>
      <c r="E1193" s="6">
        <f t="shared" si="144"/>
        <v>10</v>
      </c>
      <c r="F1193" s="6">
        <f t="shared" si="145"/>
        <v>16</v>
      </c>
      <c r="G1193" s="6">
        <f>ROUND(Catalogue!G63*SQRT((1+Paramètres!$B$4*(C1193-1)+Paramètres!$B$5*(C1193-1)^2)),0)</f>
        <v>0</v>
      </c>
      <c r="H1193" s="6">
        <f>ROUND(Catalogue!H63*SQRT((1+Paramètres!$B$4*(C1193-1)+Paramètres!$B$5*(C1193-1)^2)),0)</f>
        <v>0</v>
      </c>
      <c r="I1193" s="6">
        <v>2</v>
      </c>
      <c r="J1193" s="6">
        <v>4</v>
      </c>
      <c r="K1193" s="7">
        <v>0.5</v>
      </c>
      <c r="L1193" s="9">
        <f t="shared" si="146"/>
        <v>13</v>
      </c>
      <c r="M1193">
        <v>2</v>
      </c>
      <c r="N1193">
        <v>4</v>
      </c>
      <c r="O1193">
        <v>8</v>
      </c>
      <c r="P1193" s="13" t="str">
        <f t="shared" si="147"/>
        <v>2d4 + 8</v>
      </c>
      <c r="Q1193">
        <f>ROUND(INDEX(Catalogue!E$4:E$85,MATCH(A1193,Catalogue!A$4:A$85,0))*(1+Paramètres!$B$4*(C1193-1)+Paramètres!$B$5*(C1193-1)^2),0)</f>
        <v>10</v>
      </c>
      <c r="R1193">
        <f>ROUND(INDEX(Catalogue!F$4:F$85,MATCH(A1193,Catalogue!A$4:A$85,0))*(1+Paramètres!$B$4*(C1193-1)+Paramètres!$B$5*(C1193-1)^2),0)</f>
        <v>16</v>
      </c>
      <c r="S1193">
        <f t="shared" si="148"/>
        <v>0</v>
      </c>
      <c r="T1193" t="str">
        <f t="shared" si="149"/>
        <v>OK</v>
      </c>
      <c r="U1193" s="25">
        <f t="shared" si="150"/>
        <v>13</v>
      </c>
      <c r="V1193" t="str">
        <f t="shared" si="151"/>
        <v>OK</v>
      </c>
    </row>
    <row r="1194" spans="1:22" ht="18" customHeight="1">
      <c r="A1194" t="s">
        <v>281</v>
      </c>
      <c r="B1194" t="s">
        <v>282</v>
      </c>
      <c r="C1194">
        <v>11</v>
      </c>
      <c r="D1194" t="s">
        <v>267</v>
      </c>
      <c r="E1194" s="6">
        <f t="shared" si="144"/>
        <v>11</v>
      </c>
      <c r="F1194" s="6">
        <f t="shared" si="145"/>
        <v>20</v>
      </c>
      <c r="G1194" s="6">
        <f>ROUND(Catalogue!G63*SQRT((1+Paramètres!$B$4*(C1194-1)+Paramètres!$B$5*(C1194-1)^2)),0)</f>
        <v>0</v>
      </c>
      <c r="H1194" s="6">
        <f>ROUND(Catalogue!H63*SQRT((1+Paramètres!$B$4*(C1194-1)+Paramètres!$B$5*(C1194-1)^2)),0)</f>
        <v>0</v>
      </c>
      <c r="I1194" s="6">
        <v>2</v>
      </c>
      <c r="J1194" s="6">
        <v>4</v>
      </c>
      <c r="K1194" s="7">
        <v>0.5</v>
      </c>
      <c r="L1194" s="9">
        <f t="shared" si="146"/>
        <v>15.5</v>
      </c>
      <c r="M1194">
        <v>3</v>
      </c>
      <c r="N1194">
        <v>4</v>
      </c>
      <c r="O1194">
        <v>8</v>
      </c>
      <c r="P1194" s="13" t="str">
        <f t="shared" si="147"/>
        <v>3d4 + 8</v>
      </c>
      <c r="Q1194">
        <f>ROUND(INDEX(Catalogue!E$4:E$85,MATCH(A1194,Catalogue!A$4:A$85,0))*(1+Paramètres!$B$4*(C1194-1)+Paramètres!$B$5*(C1194-1)^2),0)</f>
        <v>11</v>
      </c>
      <c r="R1194">
        <f>ROUND(INDEX(Catalogue!F$4:F$85,MATCH(A1194,Catalogue!A$4:A$85,0))*(1+Paramètres!$B$4*(C1194-1)+Paramètres!$B$5*(C1194-1)^2),0)</f>
        <v>19</v>
      </c>
      <c r="S1194">
        <f t="shared" si="148"/>
        <v>0.5</v>
      </c>
      <c r="T1194" t="str">
        <f t="shared" si="149"/>
        <v>OK</v>
      </c>
      <c r="U1194" s="25">
        <f t="shared" si="150"/>
        <v>15.5</v>
      </c>
      <c r="V1194" t="str">
        <f t="shared" si="151"/>
        <v>OK</v>
      </c>
    </row>
    <row r="1195" spans="1:22" ht="18" customHeight="1">
      <c r="A1195" t="s">
        <v>281</v>
      </c>
      <c r="B1195" t="s">
        <v>282</v>
      </c>
      <c r="C1195">
        <v>12</v>
      </c>
      <c r="D1195" t="s">
        <v>267</v>
      </c>
      <c r="E1195" s="6">
        <f t="shared" si="144"/>
        <v>12</v>
      </c>
      <c r="F1195" s="6">
        <f t="shared" si="145"/>
        <v>21</v>
      </c>
      <c r="G1195" s="6">
        <f>ROUND(Catalogue!G63*SQRT((1+Paramètres!$B$4*(C1195-1)+Paramètres!$B$5*(C1195-1)^2)),0)</f>
        <v>0</v>
      </c>
      <c r="H1195" s="6">
        <f>ROUND(Catalogue!H63*SQRT((1+Paramètres!$B$4*(C1195-1)+Paramètres!$B$5*(C1195-1)^2)),0)</f>
        <v>0</v>
      </c>
      <c r="I1195" s="6">
        <v>2</v>
      </c>
      <c r="J1195" s="6">
        <v>4</v>
      </c>
      <c r="K1195" s="7">
        <v>0.5</v>
      </c>
      <c r="L1195" s="9">
        <f t="shared" si="146"/>
        <v>16.5</v>
      </c>
      <c r="M1195">
        <v>3</v>
      </c>
      <c r="N1195">
        <v>4</v>
      </c>
      <c r="O1195">
        <v>9</v>
      </c>
      <c r="P1195" s="13" t="str">
        <f t="shared" si="147"/>
        <v>3d4 + 9</v>
      </c>
      <c r="Q1195">
        <f>ROUND(INDEX(Catalogue!E$4:E$85,MATCH(A1195,Catalogue!A$4:A$85,0))*(1+Paramètres!$B$4*(C1195-1)+Paramètres!$B$5*(C1195-1)^2),0)</f>
        <v>12</v>
      </c>
      <c r="R1195">
        <f>ROUND(INDEX(Catalogue!F$4:F$85,MATCH(A1195,Catalogue!A$4:A$85,0))*(1+Paramètres!$B$4*(C1195-1)+Paramètres!$B$5*(C1195-1)^2),0)</f>
        <v>21</v>
      </c>
      <c r="S1195">
        <f t="shared" si="148"/>
        <v>0</v>
      </c>
      <c r="T1195" t="str">
        <f t="shared" si="149"/>
        <v>OK</v>
      </c>
      <c r="U1195" s="25">
        <f t="shared" si="150"/>
        <v>16.5</v>
      </c>
      <c r="V1195" t="str">
        <f t="shared" si="151"/>
        <v>OK</v>
      </c>
    </row>
    <row r="1196" spans="1:22" ht="18" customHeight="1">
      <c r="A1196" t="s">
        <v>281</v>
      </c>
      <c r="B1196" t="s">
        <v>282</v>
      </c>
      <c r="C1196">
        <v>13</v>
      </c>
      <c r="D1196" t="s">
        <v>267</v>
      </c>
      <c r="E1196" s="6">
        <f t="shared" si="144"/>
        <v>14</v>
      </c>
      <c r="F1196" s="6">
        <f t="shared" si="145"/>
        <v>23</v>
      </c>
      <c r="G1196" s="6">
        <f>ROUND(Catalogue!G63*SQRT((1+Paramètres!$B$4*(C1196-1)+Paramètres!$B$5*(C1196-1)^2)),0)</f>
        <v>0</v>
      </c>
      <c r="H1196" s="6">
        <f>ROUND(Catalogue!H63*SQRT((1+Paramètres!$B$4*(C1196-1)+Paramètres!$B$5*(C1196-1)^2)),0)</f>
        <v>0</v>
      </c>
      <c r="I1196" s="6">
        <v>2</v>
      </c>
      <c r="J1196" s="6">
        <v>4</v>
      </c>
      <c r="K1196" s="7">
        <v>0.5</v>
      </c>
      <c r="L1196" s="9">
        <f t="shared" si="146"/>
        <v>18.5</v>
      </c>
      <c r="M1196">
        <v>3</v>
      </c>
      <c r="N1196">
        <v>4</v>
      </c>
      <c r="O1196">
        <v>11</v>
      </c>
      <c r="P1196" s="13" t="str">
        <f t="shared" si="147"/>
        <v>3d4 + 11</v>
      </c>
      <c r="Q1196">
        <f>ROUND(INDEX(Catalogue!E$4:E$85,MATCH(A1196,Catalogue!A$4:A$85,0))*(1+Paramètres!$B$4*(C1196-1)+Paramètres!$B$5*(C1196-1)^2),0)</f>
        <v>14</v>
      </c>
      <c r="R1196">
        <f>ROUND(INDEX(Catalogue!F$4:F$85,MATCH(A1196,Catalogue!A$4:A$85,0))*(1+Paramètres!$B$4*(C1196-1)+Paramètres!$B$5*(C1196-1)^2),0)</f>
        <v>23</v>
      </c>
      <c r="S1196">
        <f t="shared" si="148"/>
        <v>0</v>
      </c>
      <c r="T1196" t="str">
        <f t="shared" si="149"/>
        <v>OK</v>
      </c>
      <c r="U1196" s="25">
        <f t="shared" si="150"/>
        <v>18.5</v>
      </c>
      <c r="V1196" t="str">
        <f t="shared" si="151"/>
        <v>OK</v>
      </c>
    </row>
    <row r="1197" spans="1:22" ht="18" customHeight="1">
      <c r="A1197" t="s">
        <v>281</v>
      </c>
      <c r="B1197" t="s">
        <v>282</v>
      </c>
      <c r="C1197">
        <v>14</v>
      </c>
      <c r="D1197" t="s">
        <v>267</v>
      </c>
      <c r="E1197" s="6">
        <f t="shared" si="144"/>
        <v>15</v>
      </c>
      <c r="F1197" s="6">
        <f t="shared" si="145"/>
        <v>25</v>
      </c>
      <c r="G1197" s="6">
        <f>ROUND(Catalogue!G63*SQRT((1+Paramètres!$B$4*(C1197-1)+Paramètres!$B$5*(C1197-1)^2)),0)</f>
        <v>0</v>
      </c>
      <c r="H1197" s="6">
        <f>ROUND(Catalogue!H63*SQRT((1+Paramètres!$B$4*(C1197-1)+Paramètres!$B$5*(C1197-1)^2)),0)</f>
        <v>0</v>
      </c>
      <c r="I1197" s="6">
        <v>2</v>
      </c>
      <c r="J1197" s="6">
        <v>4</v>
      </c>
      <c r="K1197" s="7">
        <v>0.5</v>
      </c>
      <c r="L1197" s="9">
        <f t="shared" si="146"/>
        <v>20</v>
      </c>
      <c r="M1197">
        <v>2</v>
      </c>
      <c r="N1197">
        <v>6</v>
      </c>
      <c r="O1197">
        <v>13</v>
      </c>
      <c r="P1197" s="13" t="str">
        <f t="shared" si="147"/>
        <v>2d6 + 13</v>
      </c>
      <c r="Q1197">
        <f>ROUND(INDEX(Catalogue!E$4:E$85,MATCH(A1197,Catalogue!A$4:A$85,0))*(1+Paramètres!$B$4*(C1197-1)+Paramètres!$B$5*(C1197-1)^2),0)</f>
        <v>15</v>
      </c>
      <c r="R1197">
        <f>ROUND(INDEX(Catalogue!F$4:F$85,MATCH(A1197,Catalogue!A$4:A$85,0))*(1+Paramètres!$B$4*(C1197-1)+Paramètres!$B$5*(C1197-1)^2),0)</f>
        <v>26</v>
      </c>
      <c r="S1197">
        <f t="shared" si="148"/>
        <v>-0.5</v>
      </c>
      <c r="T1197" t="str">
        <f t="shared" si="149"/>
        <v>OK</v>
      </c>
      <c r="U1197" s="25">
        <f t="shared" si="150"/>
        <v>20</v>
      </c>
      <c r="V1197" t="str">
        <f t="shared" si="151"/>
        <v>OK</v>
      </c>
    </row>
    <row r="1198" spans="1:22" ht="18" customHeight="1">
      <c r="A1198" t="s">
        <v>281</v>
      </c>
      <c r="B1198" t="s">
        <v>282</v>
      </c>
      <c r="C1198">
        <v>15</v>
      </c>
      <c r="D1198" t="s">
        <v>267</v>
      </c>
      <c r="E1198" s="6">
        <f t="shared" si="144"/>
        <v>18</v>
      </c>
      <c r="F1198" s="6">
        <f t="shared" si="145"/>
        <v>28</v>
      </c>
      <c r="G1198" s="6">
        <f>ROUND(Catalogue!G63*SQRT((1+Paramètres!$B$4*(C1198-1)+Paramètres!$B$5*(C1198-1)^2)),0)</f>
        <v>0</v>
      </c>
      <c r="H1198" s="6">
        <f>ROUND(Catalogue!H63*SQRT((1+Paramètres!$B$4*(C1198-1)+Paramètres!$B$5*(C1198-1)^2)),0)</f>
        <v>0</v>
      </c>
      <c r="I1198" s="6">
        <v>2</v>
      </c>
      <c r="J1198" s="6">
        <v>4</v>
      </c>
      <c r="K1198" s="7">
        <v>0.5</v>
      </c>
      <c r="L1198" s="9">
        <f t="shared" si="146"/>
        <v>23</v>
      </c>
      <c r="M1198">
        <v>2</v>
      </c>
      <c r="N1198">
        <v>6</v>
      </c>
      <c r="O1198">
        <v>16</v>
      </c>
      <c r="P1198" s="13" t="str">
        <f t="shared" si="147"/>
        <v>2d6 + 16</v>
      </c>
      <c r="Q1198">
        <f>ROUND(INDEX(Catalogue!E$4:E$85,MATCH(A1198,Catalogue!A$4:A$85,0))*(1+Paramètres!$B$4*(C1198-1)+Paramètres!$B$5*(C1198-1)^2),0)</f>
        <v>17</v>
      </c>
      <c r="R1198">
        <f>ROUND(INDEX(Catalogue!F$4:F$85,MATCH(A1198,Catalogue!A$4:A$85,0))*(1+Paramètres!$B$4*(C1198-1)+Paramètres!$B$5*(C1198-1)^2),0)</f>
        <v>28</v>
      </c>
      <c r="S1198">
        <f t="shared" si="148"/>
        <v>0.5</v>
      </c>
      <c r="T1198" t="str">
        <f t="shared" si="149"/>
        <v>OK</v>
      </c>
      <c r="U1198" s="25">
        <f t="shared" si="150"/>
        <v>23</v>
      </c>
      <c r="V1198" t="str">
        <f t="shared" si="151"/>
        <v>OK</v>
      </c>
    </row>
    <row r="1199" spans="1:22" ht="18" customHeight="1">
      <c r="A1199" t="s">
        <v>281</v>
      </c>
      <c r="B1199" t="s">
        <v>282</v>
      </c>
      <c r="C1199">
        <v>16</v>
      </c>
      <c r="D1199" t="s">
        <v>267</v>
      </c>
      <c r="E1199" s="6">
        <f t="shared" si="144"/>
        <v>19</v>
      </c>
      <c r="F1199" s="6">
        <f t="shared" si="145"/>
        <v>31</v>
      </c>
      <c r="G1199" s="6">
        <f>ROUND(Catalogue!G63*SQRT((1+Paramètres!$B$4*(C1199-1)+Paramètres!$B$5*(C1199-1)^2)),0)</f>
        <v>0</v>
      </c>
      <c r="H1199" s="6">
        <f>ROUND(Catalogue!H63*SQRT((1+Paramètres!$B$4*(C1199-1)+Paramètres!$B$5*(C1199-1)^2)),0)</f>
        <v>0</v>
      </c>
      <c r="I1199" s="6">
        <v>2</v>
      </c>
      <c r="J1199" s="6">
        <v>4</v>
      </c>
      <c r="K1199" s="7">
        <v>0.5</v>
      </c>
      <c r="L1199" s="9">
        <f t="shared" si="146"/>
        <v>25</v>
      </c>
      <c r="M1199">
        <v>4</v>
      </c>
      <c r="N1199">
        <v>4</v>
      </c>
      <c r="O1199">
        <v>15</v>
      </c>
      <c r="P1199" s="13" t="str">
        <f t="shared" si="147"/>
        <v>4d4 + 15</v>
      </c>
      <c r="Q1199">
        <f>ROUND(INDEX(Catalogue!E$4:E$85,MATCH(A1199,Catalogue!A$4:A$85,0))*(1+Paramètres!$B$4*(C1199-1)+Paramètres!$B$5*(C1199-1)^2),0)</f>
        <v>19</v>
      </c>
      <c r="R1199">
        <f>ROUND(INDEX(Catalogue!F$4:F$85,MATCH(A1199,Catalogue!A$4:A$85,0))*(1+Paramètres!$B$4*(C1199-1)+Paramètres!$B$5*(C1199-1)^2),0)</f>
        <v>31</v>
      </c>
      <c r="S1199">
        <f t="shared" si="148"/>
        <v>0</v>
      </c>
      <c r="T1199" t="str">
        <f t="shared" si="149"/>
        <v>OK</v>
      </c>
      <c r="U1199" s="25">
        <f t="shared" si="150"/>
        <v>25</v>
      </c>
      <c r="V1199" t="str">
        <f t="shared" si="151"/>
        <v>OK</v>
      </c>
    </row>
    <row r="1200" spans="1:22" ht="18" customHeight="1">
      <c r="A1200" t="s">
        <v>281</v>
      </c>
      <c r="B1200" t="s">
        <v>282</v>
      </c>
      <c r="C1200">
        <v>17</v>
      </c>
      <c r="D1200" t="s">
        <v>267</v>
      </c>
      <c r="E1200" s="6">
        <f t="shared" si="144"/>
        <v>20</v>
      </c>
      <c r="F1200" s="6">
        <f t="shared" si="145"/>
        <v>34</v>
      </c>
      <c r="G1200" s="6">
        <f>ROUND(Catalogue!G63*SQRT((1+Paramètres!$B$4*(C1200-1)+Paramètres!$B$5*(C1200-1)^2)),0)</f>
        <v>0</v>
      </c>
      <c r="H1200" s="6">
        <f>ROUND(Catalogue!H63*SQRT((1+Paramètres!$B$4*(C1200-1)+Paramètres!$B$5*(C1200-1)^2)),0)</f>
        <v>0</v>
      </c>
      <c r="I1200" s="6">
        <v>2</v>
      </c>
      <c r="J1200" s="6">
        <v>4</v>
      </c>
      <c r="K1200" s="7">
        <v>0.5</v>
      </c>
      <c r="L1200" s="9">
        <f t="shared" si="146"/>
        <v>27</v>
      </c>
      <c r="M1200">
        <v>2</v>
      </c>
      <c r="N1200">
        <v>8</v>
      </c>
      <c r="O1200">
        <v>18</v>
      </c>
      <c r="P1200" s="13" t="str">
        <f t="shared" si="147"/>
        <v>2d8 + 18</v>
      </c>
      <c r="Q1200">
        <f>ROUND(INDEX(Catalogue!E$4:E$85,MATCH(A1200,Catalogue!A$4:A$85,0))*(1+Paramètres!$B$4*(C1200-1)+Paramètres!$B$5*(C1200-1)^2),0)</f>
        <v>21</v>
      </c>
      <c r="R1200">
        <f>ROUND(INDEX(Catalogue!F$4:F$85,MATCH(A1200,Catalogue!A$4:A$85,0))*(1+Paramètres!$B$4*(C1200-1)+Paramètres!$B$5*(C1200-1)^2),0)</f>
        <v>34</v>
      </c>
      <c r="S1200">
        <f t="shared" si="148"/>
        <v>-0.5</v>
      </c>
      <c r="T1200" t="str">
        <f t="shared" si="149"/>
        <v>OK</v>
      </c>
      <c r="U1200" s="25">
        <f t="shared" si="150"/>
        <v>27</v>
      </c>
      <c r="V1200" t="str">
        <f t="shared" si="151"/>
        <v>OK</v>
      </c>
    </row>
    <row r="1201" spans="1:22" ht="18" customHeight="1">
      <c r="A1201" t="s">
        <v>281</v>
      </c>
      <c r="B1201" t="s">
        <v>282</v>
      </c>
      <c r="C1201">
        <v>18</v>
      </c>
      <c r="D1201" t="s">
        <v>267</v>
      </c>
      <c r="E1201" s="6">
        <f t="shared" si="144"/>
        <v>22</v>
      </c>
      <c r="F1201" s="6">
        <f t="shared" si="145"/>
        <v>37</v>
      </c>
      <c r="G1201" s="6">
        <f>ROUND(Catalogue!G63*SQRT((1+Paramètres!$B$4*(C1201-1)+Paramètres!$B$5*(C1201-1)^2)),0)</f>
        <v>0</v>
      </c>
      <c r="H1201" s="6">
        <f>ROUND(Catalogue!H63*SQRT((1+Paramètres!$B$4*(C1201-1)+Paramètres!$B$5*(C1201-1)^2)),0)</f>
        <v>0</v>
      </c>
      <c r="I1201" s="6">
        <v>2</v>
      </c>
      <c r="J1201" s="6">
        <v>4</v>
      </c>
      <c r="K1201" s="7">
        <v>0.5</v>
      </c>
      <c r="L1201" s="9">
        <f t="shared" si="146"/>
        <v>29.5</v>
      </c>
      <c r="M1201">
        <v>3</v>
      </c>
      <c r="N1201">
        <v>6</v>
      </c>
      <c r="O1201">
        <v>19</v>
      </c>
      <c r="P1201" s="13" t="str">
        <f t="shared" si="147"/>
        <v>3d6 + 19</v>
      </c>
      <c r="Q1201">
        <f>ROUND(INDEX(Catalogue!E$4:E$85,MATCH(A1201,Catalogue!A$4:A$85,0))*(1+Paramètres!$B$4*(C1201-1)+Paramètres!$B$5*(C1201-1)^2),0)</f>
        <v>22</v>
      </c>
      <c r="R1201">
        <f>ROUND(INDEX(Catalogue!F$4:F$85,MATCH(A1201,Catalogue!A$4:A$85,0))*(1+Paramètres!$B$4*(C1201-1)+Paramètres!$B$5*(C1201-1)^2),0)</f>
        <v>37</v>
      </c>
      <c r="S1201">
        <f t="shared" si="148"/>
        <v>0</v>
      </c>
      <c r="T1201" t="str">
        <f t="shared" si="149"/>
        <v>OK</v>
      </c>
      <c r="U1201" s="25">
        <f t="shared" si="150"/>
        <v>29.5</v>
      </c>
      <c r="V1201" t="str">
        <f t="shared" si="151"/>
        <v>OK</v>
      </c>
    </row>
    <row r="1202" spans="1:22" ht="18" customHeight="1">
      <c r="A1202" t="s">
        <v>281</v>
      </c>
      <c r="B1202" t="s">
        <v>282</v>
      </c>
      <c r="C1202">
        <v>19</v>
      </c>
      <c r="D1202" t="s">
        <v>267</v>
      </c>
      <c r="E1202" s="6">
        <f t="shared" si="144"/>
        <v>23</v>
      </c>
      <c r="F1202" s="6">
        <f t="shared" si="145"/>
        <v>41</v>
      </c>
      <c r="G1202" s="6">
        <f>ROUND(Catalogue!G63*SQRT((1+Paramètres!$B$4*(C1202-1)+Paramètres!$B$5*(C1202-1)^2)),0)</f>
        <v>0</v>
      </c>
      <c r="H1202" s="6">
        <f>ROUND(Catalogue!H63*SQRT((1+Paramètres!$B$4*(C1202-1)+Paramètres!$B$5*(C1202-1)^2)),0)</f>
        <v>0</v>
      </c>
      <c r="I1202" s="6">
        <v>2</v>
      </c>
      <c r="J1202" s="6">
        <v>4</v>
      </c>
      <c r="K1202" s="7">
        <v>0.5</v>
      </c>
      <c r="L1202" s="9">
        <f t="shared" si="146"/>
        <v>32</v>
      </c>
      <c r="M1202">
        <v>6</v>
      </c>
      <c r="N1202">
        <v>4</v>
      </c>
      <c r="O1202">
        <v>17</v>
      </c>
      <c r="P1202" s="13" t="str">
        <f t="shared" si="147"/>
        <v>6d4 + 17</v>
      </c>
      <c r="Q1202">
        <f>ROUND(INDEX(Catalogue!E$4:E$85,MATCH(A1202,Catalogue!A$4:A$85,0))*(1+Paramètres!$B$4*(C1202-1)+Paramètres!$B$5*(C1202-1)^2),0)</f>
        <v>24</v>
      </c>
      <c r="R1202">
        <f>ROUND(INDEX(Catalogue!F$4:F$85,MATCH(A1202,Catalogue!A$4:A$85,0))*(1+Paramètres!$B$4*(C1202-1)+Paramètres!$B$5*(C1202-1)^2),0)</f>
        <v>41</v>
      </c>
      <c r="S1202">
        <f t="shared" si="148"/>
        <v>-0.5</v>
      </c>
      <c r="T1202" t="str">
        <f t="shared" si="149"/>
        <v>OK</v>
      </c>
      <c r="U1202" s="25">
        <f t="shared" si="150"/>
        <v>32</v>
      </c>
      <c r="V1202" t="str">
        <f t="shared" si="151"/>
        <v>OK</v>
      </c>
    </row>
    <row r="1203" spans="1:22" ht="18" customHeight="1">
      <c r="A1203" t="s">
        <v>281</v>
      </c>
      <c r="B1203" t="s">
        <v>282</v>
      </c>
      <c r="C1203">
        <v>20</v>
      </c>
      <c r="D1203" t="s">
        <v>267</v>
      </c>
      <c r="E1203" s="6">
        <f t="shared" si="144"/>
        <v>26</v>
      </c>
      <c r="F1203" s="6">
        <f t="shared" si="145"/>
        <v>44</v>
      </c>
      <c r="G1203" s="6">
        <f>ROUND(Catalogue!G63*SQRT((1+Paramètres!$B$4*(C1203-1)+Paramètres!$B$5*(C1203-1)^2)),0)</f>
        <v>0</v>
      </c>
      <c r="H1203" s="6">
        <f>ROUND(Catalogue!H63*SQRT((1+Paramètres!$B$4*(C1203-1)+Paramètres!$B$5*(C1203-1)^2)),0)</f>
        <v>0</v>
      </c>
      <c r="I1203" s="6">
        <v>2</v>
      </c>
      <c r="J1203" s="6">
        <v>4</v>
      </c>
      <c r="K1203" s="7">
        <v>0.5</v>
      </c>
      <c r="L1203" s="9">
        <f t="shared" si="146"/>
        <v>35</v>
      </c>
      <c r="M1203">
        <v>6</v>
      </c>
      <c r="N1203">
        <v>4</v>
      </c>
      <c r="O1203">
        <v>20</v>
      </c>
      <c r="P1203" s="13" t="str">
        <f t="shared" si="147"/>
        <v>6d4 + 20</v>
      </c>
      <c r="Q1203">
        <f>ROUND(INDEX(Catalogue!E$4:E$85,MATCH(A1203,Catalogue!A$4:A$85,0))*(1+Paramètres!$B$4*(C1203-1)+Paramètres!$B$5*(C1203-1)^2),0)</f>
        <v>27</v>
      </c>
      <c r="R1203">
        <f>ROUND(INDEX(Catalogue!F$4:F$85,MATCH(A1203,Catalogue!A$4:A$85,0))*(1+Paramètres!$B$4*(C1203-1)+Paramètres!$B$5*(C1203-1)^2),0)</f>
        <v>44</v>
      </c>
      <c r="S1203">
        <f t="shared" si="148"/>
        <v>-0.5</v>
      </c>
      <c r="T1203" t="str">
        <f t="shared" si="149"/>
        <v>OK</v>
      </c>
      <c r="U1203" s="25">
        <f t="shared" si="150"/>
        <v>35</v>
      </c>
      <c r="V1203" t="str">
        <f t="shared" si="151"/>
        <v>OK</v>
      </c>
    </row>
    <row r="1204" spans="1:22" ht="18" customHeight="1">
      <c r="A1204" t="s">
        <v>284</v>
      </c>
      <c r="B1204" t="s">
        <v>285</v>
      </c>
      <c r="C1204">
        <v>1</v>
      </c>
      <c r="D1204" t="s">
        <v>286</v>
      </c>
      <c r="E1204" s="6">
        <f t="shared" si="144"/>
        <v>1</v>
      </c>
      <c r="F1204" s="6">
        <f t="shared" si="145"/>
        <v>4</v>
      </c>
      <c r="G1204" s="6">
        <f>ROUND(Catalogue!G64*SQRT((1+Paramètres!$B$4*(C1204-1)+Paramètres!$B$5*(C1204-1)^2)),0)</f>
        <v>0</v>
      </c>
      <c r="H1204" s="6">
        <f>ROUND(Catalogue!H64*SQRT((1+Paramètres!$B$4*(C1204-1)+Paramètres!$B$5*(C1204-1)^2)),0)</f>
        <v>0</v>
      </c>
      <c r="I1204" s="6">
        <v>2</v>
      </c>
      <c r="J1204" s="6">
        <v>4</v>
      </c>
      <c r="K1204" s="7">
        <v>0.3</v>
      </c>
      <c r="L1204" s="9">
        <f t="shared" si="146"/>
        <v>2.5</v>
      </c>
      <c r="M1204">
        <v>1</v>
      </c>
      <c r="N1204">
        <v>4</v>
      </c>
      <c r="O1204">
        <v>0</v>
      </c>
      <c r="P1204" s="13" t="str">
        <f t="shared" si="147"/>
        <v>1d4</v>
      </c>
      <c r="Q1204">
        <f>ROUND(INDEX(Catalogue!E$4:E$85,MATCH(A1204,Catalogue!A$4:A$85,0))*(1+Paramètres!$B$4*(C1204-1)+Paramètres!$B$5*(C1204-1)^2),0)</f>
        <v>2</v>
      </c>
      <c r="R1204">
        <f>ROUND(INDEX(Catalogue!F$4:F$85,MATCH(A1204,Catalogue!A$4:A$85,0))*(1+Paramètres!$B$4*(C1204-1)+Paramètres!$B$5*(C1204-1)^2),0)</f>
        <v>4</v>
      </c>
      <c r="S1204">
        <f t="shared" si="148"/>
        <v>-0.5</v>
      </c>
      <c r="T1204" t="str">
        <f t="shared" si="149"/>
        <v>OK</v>
      </c>
      <c r="U1204" s="25">
        <f t="shared" si="150"/>
        <v>2.5</v>
      </c>
      <c r="V1204" t="str">
        <f t="shared" si="151"/>
        <v>OK</v>
      </c>
    </row>
    <row r="1205" spans="1:22" ht="18" customHeight="1">
      <c r="A1205" t="s">
        <v>284</v>
      </c>
      <c r="B1205" t="s">
        <v>285</v>
      </c>
      <c r="C1205">
        <v>2</v>
      </c>
      <c r="D1205" t="s">
        <v>286</v>
      </c>
      <c r="E1205" s="6">
        <f t="shared" si="144"/>
        <v>2</v>
      </c>
      <c r="F1205" s="6">
        <f t="shared" si="145"/>
        <v>5</v>
      </c>
      <c r="G1205" s="6">
        <f>ROUND(Catalogue!G64*SQRT((1+Paramètres!$B$4*(C1205-1)+Paramètres!$B$5*(C1205-1)^2)),0)</f>
        <v>0</v>
      </c>
      <c r="H1205" s="6">
        <f>ROUND(Catalogue!H64*SQRT((1+Paramètres!$B$4*(C1205-1)+Paramètres!$B$5*(C1205-1)^2)),0)</f>
        <v>0</v>
      </c>
      <c r="I1205" s="6">
        <v>2</v>
      </c>
      <c r="J1205" s="6">
        <v>4</v>
      </c>
      <c r="K1205" s="7">
        <v>0.3</v>
      </c>
      <c r="L1205" s="9">
        <f t="shared" si="146"/>
        <v>3.5</v>
      </c>
      <c r="M1205">
        <v>1</v>
      </c>
      <c r="N1205">
        <v>4</v>
      </c>
      <c r="O1205">
        <v>1</v>
      </c>
      <c r="P1205" s="13" t="str">
        <f t="shared" si="147"/>
        <v>1d4 + 1</v>
      </c>
      <c r="Q1205">
        <f>ROUND(INDEX(Catalogue!E$4:E$85,MATCH(A1205,Catalogue!A$4:A$85,0))*(1+Paramètres!$B$4*(C1205-1)+Paramètres!$B$5*(C1205-1)^2),0)</f>
        <v>2</v>
      </c>
      <c r="R1205">
        <f>ROUND(INDEX(Catalogue!F$4:F$85,MATCH(A1205,Catalogue!A$4:A$85,0))*(1+Paramètres!$B$4*(C1205-1)+Paramètres!$B$5*(C1205-1)^2),0)</f>
        <v>5</v>
      </c>
      <c r="S1205">
        <f t="shared" si="148"/>
        <v>0</v>
      </c>
      <c r="T1205" t="str">
        <f t="shared" si="149"/>
        <v>OK</v>
      </c>
      <c r="U1205" s="25">
        <f t="shared" si="150"/>
        <v>3.5</v>
      </c>
      <c r="V1205" t="str">
        <f t="shared" si="151"/>
        <v>OK</v>
      </c>
    </row>
    <row r="1206" spans="1:22" ht="18" customHeight="1">
      <c r="A1206" t="s">
        <v>284</v>
      </c>
      <c r="B1206" t="s">
        <v>285</v>
      </c>
      <c r="C1206">
        <v>3</v>
      </c>
      <c r="D1206" t="s">
        <v>286</v>
      </c>
      <c r="E1206" s="6">
        <f t="shared" si="144"/>
        <v>2</v>
      </c>
      <c r="F1206" s="6">
        <f t="shared" si="145"/>
        <v>5</v>
      </c>
      <c r="G1206" s="6">
        <f>ROUND(Catalogue!G64*SQRT((1+Paramètres!$B$4*(C1206-1)+Paramètres!$B$5*(C1206-1)^2)),0)</f>
        <v>0</v>
      </c>
      <c r="H1206" s="6">
        <f>ROUND(Catalogue!H64*SQRT((1+Paramètres!$B$4*(C1206-1)+Paramètres!$B$5*(C1206-1)^2)),0)</f>
        <v>0</v>
      </c>
      <c r="I1206" s="6">
        <v>2</v>
      </c>
      <c r="J1206" s="6">
        <v>4</v>
      </c>
      <c r="K1206" s="7">
        <v>0.3</v>
      </c>
      <c r="L1206" s="9">
        <f t="shared" si="146"/>
        <v>3.5</v>
      </c>
      <c r="M1206">
        <v>1</v>
      </c>
      <c r="N1206">
        <v>4</v>
      </c>
      <c r="O1206">
        <v>1</v>
      </c>
      <c r="P1206" s="13" t="str">
        <f t="shared" si="147"/>
        <v>1d4 + 1</v>
      </c>
      <c r="Q1206">
        <f>ROUND(INDEX(Catalogue!E$4:E$85,MATCH(A1206,Catalogue!A$4:A$85,0))*(1+Paramètres!$B$4*(C1206-1)+Paramètres!$B$5*(C1206-1)^2),0)</f>
        <v>3</v>
      </c>
      <c r="R1206">
        <f>ROUND(INDEX(Catalogue!F$4:F$85,MATCH(A1206,Catalogue!A$4:A$85,0))*(1+Paramètres!$B$4*(C1206-1)+Paramètres!$B$5*(C1206-1)^2),0)</f>
        <v>5</v>
      </c>
      <c r="S1206">
        <f t="shared" si="148"/>
        <v>-0.5</v>
      </c>
      <c r="T1206" t="str">
        <f t="shared" si="149"/>
        <v>OK</v>
      </c>
      <c r="U1206" s="25">
        <f t="shared" si="150"/>
        <v>3.5</v>
      </c>
      <c r="V1206" t="str">
        <f t="shared" si="151"/>
        <v>OK</v>
      </c>
    </row>
    <row r="1207" spans="1:22" ht="18" customHeight="1">
      <c r="A1207" t="s">
        <v>284</v>
      </c>
      <c r="B1207" t="s">
        <v>285</v>
      </c>
      <c r="C1207">
        <v>4</v>
      </c>
      <c r="D1207" t="s">
        <v>286</v>
      </c>
      <c r="E1207" s="6">
        <f t="shared" si="144"/>
        <v>3</v>
      </c>
      <c r="F1207" s="6">
        <f t="shared" si="145"/>
        <v>6</v>
      </c>
      <c r="G1207" s="6">
        <f>ROUND(Catalogue!G64*SQRT((1+Paramètres!$B$4*(C1207-1)+Paramètres!$B$5*(C1207-1)^2)),0)</f>
        <v>0</v>
      </c>
      <c r="H1207" s="6">
        <f>ROUND(Catalogue!H64*SQRT((1+Paramètres!$B$4*(C1207-1)+Paramètres!$B$5*(C1207-1)^2)),0)</f>
        <v>0</v>
      </c>
      <c r="I1207" s="6">
        <v>2</v>
      </c>
      <c r="J1207" s="6">
        <v>4</v>
      </c>
      <c r="K1207" s="7">
        <v>0.3</v>
      </c>
      <c r="L1207" s="9">
        <f t="shared" si="146"/>
        <v>4.5</v>
      </c>
      <c r="M1207">
        <v>1</v>
      </c>
      <c r="N1207">
        <v>4</v>
      </c>
      <c r="O1207">
        <v>2</v>
      </c>
      <c r="P1207" s="13" t="str">
        <f t="shared" si="147"/>
        <v>1d4 + 2</v>
      </c>
      <c r="Q1207">
        <f>ROUND(INDEX(Catalogue!E$4:E$85,MATCH(A1207,Catalogue!A$4:A$85,0))*(1+Paramètres!$B$4*(C1207-1)+Paramètres!$B$5*(C1207-1)^2),0)</f>
        <v>3</v>
      </c>
      <c r="R1207">
        <f>ROUND(INDEX(Catalogue!F$4:F$85,MATCH(A1207,Catalogue!A$4:A$85,0))*(1+Paramètres!$B$4*(C1207-1)+Paramètres!$B$5*(C1207-1)^2),0)</f>
        <v>6</v>
      </c>
      <c r="S1207">
        <f t="shared" si="148"/>
        <v>0</v>
      </c>
      <c r="T1207" t="str">
        <f t="shared" si="149"/>
        <v>OK</v>
      </c>
      <c r="U1207" s="25">
        <f t="shared" si="150"/>
        <v>4.5</v>
      </c>
      <c r="V1207" t="str">
        <f t="shared" si="151"/>
        <v>OK</v>
      </c>
    </row>
    <row r="1208" spans="1:22" ht="18" customHeight="1">
      <c r="A1208" t="s">
        <v>284</v>
      </c>
      <c r="B1208" t="s">
        <v>285</v>
      </c>
      <c r="C1208">
        <v>5</v>
      </c>
      <c r="D1208" t="s">
        <v>286</v>
      </c>
      <c r="E1208" s="6">
        <f t="shared" si="144"/>
        <v>3</v>
      </c>
      <c r="F1208" s="6">
        <f t="shared" si="145"/>
        <v>6</v>
      </c>
      <c r="G1208" s="6">
        <f>ROUND(Catalogue!G64*SQRT((1+Paramètres!$B$4*(C1208-1)+Paramètres!$B$5*(C1208-1)^2)),0)</f>
        <v>0</v>
      </c>
      <c r="H1208" s="6">
        <f>ROUND(Catalogue!H64*SQRT((1+Paramètres!$B$4*(C1208-1)+Paramètres!$B$5*(C1208-1)^2)),0)</f>
        <v>0</v>
      </c>
      <c r="I1208" s="6">
        <v>2</v>
      </c>
      <c r="J1208" s="6">
        <v>4</v>
      </c>
      <c r="K1208" s="7">
        <v>0.3</v>
      </c>
      <c r="L1208" s="9">
        <f t="shared" si="146"/>
        <v>4.5</v>
      </c>
      <c r="M1208">
        <v>1</v>
      </c>
      <c r="N1208">
        <v>4</v>
      </c>
      <c r="O1208">
        <v>2</v>
      </c>
      <c r="P1208" s="13" t="str">
        <f t="shared" si="147"/>
        <v>1d4 + 2</v>
      </c>
      <c r="Q1208">
        <f>ROUND(INDEX(Catalogue!E$4:E$85,MATCH(A1208,Catalogue!A$4:A$85,0))*(1+Paramètres!$B$4*(C1208-1)+Paramètres!$B$5*(C1208-1)^2),0)</f>
        <v>3</v>
      </c>
      <c r="R1208">
        <f>ROUND(INDEX(Catalogue!F$4:F$85,MATCH(A1208,Catalogue!A$4:A$85,0))*(1+Paramètres!$B$4*(C1208-1)+Paramètres!$B$5*(C1208-1)^2),0)</f>
        <v>7</v>
      </c>
      <c r="S1208">
        <f t="shared" si="148"/>
        <v>-0.5</v>
      </c>
      <c r="T1208" t="str">
        <f t="shared" si="149"/>
        <v>OK</v>
      </c>
      <c r="U1208" s="25">
        <f t="shared" si="150"/>
        <v>4.5</v>
      </c>
      <c r="V1208" t="str">
        <f t="shared" si="151"/>
        <v>OK</v>
      </c>
    </row>
    <row r="1209" spans="1:22" ht="18" customHeight="1">
      <c r="A1209" t="s">
        <v>284</v>
      </c>
      <c r="B1209" t="s">
        <v>285</v>
      </c>
      <c r="C1209">
        <v>6</v>
      </c>
      <c r="D1209" t="s">
        <v>286</v>
      </c>
      <c r="E1209" s="6">
        <f t="shared" si="144"/>
        <v>4</v>
      </c>
      <c r="F1209" s="6">
        <f t="shared" si="145"/>
        <v>7</v>
      </c>
      <c r="G1209" s="6">
        <f>ROUND(Catalogue!G64*SQRT((1+Paramètres!$B$4*(C1209-1)+Paramètres!$B$5*(C1209-1)^2)),0)</f>
        <v>0</v>
      </c>
      <c r="H1209" s="6">
        <f>ROUND(Catalogue!H64*SQRT((1+Paramètres!$B$4*(C1209-1)+Paramètres!$B$5*(C1209-1)^2)),0)</f>
        <v>0</v>
      </c>
      <c r="I1209" s="6">
        <v>2</v>
      </c>
      <c r="J1209" s="6">
        <v>4</v>
      </c>
      <c r="K1209" s="7">
        <v>0.3</v>
      </c>
      <c r="L1209" s="9">
        <f t="shared" si="146"/>
        <v>5.5</v>
      </c>
      <c r="M1209">
        <v>1</v>
      </c>
      <c r="N1209">
        <v>4</v>
      </c>
      <c r="O1209">
        <v>3</v>
      </c>
      <c r="P1209" s="13" t="str">
        <f t="shared" si="147"/>
        <v>1d4 + 3</v>
      </c>
      <c r="Q1209">
        <f>ROUND(INDEX(Catalogue!E$4:E$85,MATCH(A1209,Catalogue!A$4:A$85,0))*(1+Paramètres!$B$4*(C1209-1)+Paramètres!$B$5*(C1209-1)^2),0)</f>
        <v>4</v>
      </c>
      <c r="R1209">
        <f>ROUND(INDEX(Catalogue!F$4:F$85,MATCH(A1209,Catalogue!A$4:A$85,0))*(1+Paramètres!$B$4*(C1209-1)+Paramètres!$B$5*(C1209-1)^2),0)</f>
        <v>8</v>
      </c>
      <c r="S1209">
        <f t="shared" si="148"/>
        <v>-0.5</v>
      </c>
      <c r="T1209" t="str">
        <f t="shared" si="149"/>
        <v>OK</v>
      </c>
      <c r="U1209" s="25">
        <f t="shared" si="150"/>
        <v>5.5</v>
      </c>
      <c r="V1209" t="str">
        <f t="shared" si="151"/>
        <v>OK</v>
      </c>
    </row>
    <row r="1210" spans="1:22" ht="18" customHeight="1">
      <c r="A1210" t="s">
        <v>284</v>
      </c>
      <c r="B1210" t="s">
        <v>285</v>
      </c>
      <c r="C1210">
        <v>7</v>
      </c>
      <c r="D1210" t="s">
        <v>286</v>
      </c>
      <c r="E1210" s="6">
        <f t="shared" si="144"/>
        <v>4</v>
      </c>
      <c r="F1210" s="6">
        <f t="shared" si="145"/>
        <v>9</v>
      </c>
      <c r="G1210" s="6">
        <f>ROUND(Catalogue!G64*SQRT((1+Paramètres!$B$4*(C1210-1)+Paramètres!$B$5*(C1210-1)^2)),0)</f>
        <v>0</v>
      </c>
      <c r="H1210" s="6">
        <f>ROUND(Catalogue!H64*SQRT((1+Paramètres!$B$4*(C1210-1)+Paramètres!$B$5*(C1210-1)^2)),0)</f>
        <v>0</v>
      </c>
      <c r="I1210" s="6">
        <v>2</v>
      </c>
      <c r="J1210" s="6">
        <v>4</v>
      </c>
      <c r="K1210" s="7">
        <v>0.3</v>
      </c>
      <c r="L1210" s="9">
        <f t="shared" si="146"/>
        <v>6.5</v>
      </c>
      <c r="M1210">
        <v>1</v>
      </c>
      <c r="N1210">
        <v>6</v>
      </c>
      <c r="O1210">
        <v>3</v>
      </c>
      <c r="P1210" s="13" t="str">
        <f t="shared" si="147"/>
        <v>1d6 + 3</v>
      </c>
      <c r="Q1210">
        <f>ROUND(INDEX(Catalogue!E$4:E$85,MATCH(A1210,Catalogue!A$4:A$85,0))*(1+Paramètres!$B$4*(C1210-1)+Paramètres!$B$5*(C1210-1)^2),0)</f>
        <v>4</v>
      </c>
      <c r="R1210">
        <f>ROUND(INDEX(Catalogue!F$4:F$85,MATCH(A1210,Catalogue!A$4:A$85,0))*(1+Paramètres!$B$4*(C1210-1)+Paramètres!$B$5*(C1210-1)^2),0)</f>
        <v>9</v>
      </c>
      <c r="S1210">
        <f t="shared" si="148"/>
        <v>0</v>
      </c>
      <c r="T1210" t="str">
        <f t="shared" si="149"/>
        <v>OK</v>
      </c>
      <c r="U1210" s="25">
        <f t="shared" si="150"/>
        <v>6.5</v>
      </c>
      <c r="V1210" t="str">
        <f t="shared" si="151"/>
        <v>OK</v>
      </c>
    </row>
    <row r="1211" spans="1:22" ht="18" customHeight="1">
      <c r="A1211" t="s">
        <v>284</v>
      </c>
      <c r="B1211" t="s">
        <v>285</v>
      </c>
      <c r="C1211">
        <v>8</v>
      </c>
      <c r="D1211" t="s">
        <v>286</v>
      </c>
      <c r="E1211" s="6">
        <f t="shared" si="144"/>
        <v>5</v>
      </c>
      <c r="F1211" s="6">
        <f t="shared" si="145"/>
        <v>10</v>
      </c>
      <c r="G1211" s="6">
        <f>ROUND(Catalogue!G64*SQRT((1+Paramètres!$B$4*(C1211-1)+Paramètres!$B$5*(C1211-1)^2)),0)</f>
        <v>0</v>
      </c>
      <c r="H1211" s="6">
        <f>ROUND(Catalogue!H64*SQRT((1+Paramètres!$B$4*(C1211-1)+Paramètres!$B$5*(C1211-1)^2)),0)</f>
        <v>0</v>
      </c>
      <c r="I1211" s="6">
        <v>2</v>
      </c>
      <c r="J1211" s="6">
        <v>4</v>
      </c>
      <c r="K1211" s="7">
        <v>0.3</v>
      </c>
      <c r="L1211" s="9">
        <f t="shared" si="146"/>
        <v>7.5</v>
      </c>
      <c r="M1211">
        <v>1</v>
      </c>
      <c r="N1211">
        <v>6</v>
      </c>
      <c r="O1211">
        <v>4</v>
      </c>
      <c r="P1211" s="13" t="str">
        <f t="shared" si="147"/>
        <v>1d6 + 4</v>
      </c>
      <c r="Q1211">
        <f>ROUND(INDEX(Catalogue!E$4:E$85,MATCH(A1211,Catalogue!A$4:A$85,0))*(1+Paramètres!$B$4*(C1211-1)+Paramètres!$B$5*(C1211-1)^2),0)</f>
        <v>5</v>
      </c>
      <c r="R1211">
        <f>ROUND(INDEX(Catalogue!F$4:F$85,MATCH(A1211,Catalogue!A$4:A$85,0))*(1+Paramètres!$B$4*(C1211-1)+Paramètres!$B$5*(C1211-1)^2),0)</f>
        <v>10</v>
      </c>
      <c r="S1211">
        <f t="shared" si="148"/>
        <v>0</v>
      </c>
      <c r="T1211" t="str">
        <f t="shared" si="149"/>
        <v>OK</v>
      </c>
      <c r="U1211" s="25">
        <f t="shared" si="150"/>
        <v>7.5</v>
      </c>
      <c r="V1211" t="str">
        <f t="shared" si="151"/>
        <v>OK</v>
      </c>
    </row>
    <row r="1212" spans="1:22" ht="18" customHeight="1">
      <c r="A1212" t="s">
        <v>284</v>
      </c>
      <c r="B1212" t="s">
        <v>285</v>
      </c>
      <c r="C1212">
        <v>9</v>
      </c>
      <c r="D1212" t="s">
        <v>286</v>
      </c>
      <c r="E1212" s="6">
        <f t="shared" si="144"/>
        <v>6</v>
      </c>
      <c r="F1212" s="6">
        <f t="shared" si="145"/>
        <v>12</v>
      </c>
      <c r="G1212" s="6">
        <f>ROUND(Catalogue!G64*SQRT((1+Paramètres!$B$4*(C1212-1)+Paramètres!$B$5*(C1212-1)^2)),0)</f>
        <v>0</v>
      </c>
      <c r="H1212" s="6">
        <f>ROUND(Catalogue!H64*SQRT((1+Paramètres!$B$4*(C1212-1)+Paramètres!$B$5*(C1212-1)^2)),0)</f>
        <v>0</v>
      </c>
      <c r="I1212" s="6">
        <v>2</v>
      </c>
      <c r="J1212" s="6">
        <v>4</v>
      </c>
      <c r="K1212" s="7">
        <v>0.3</v>
      </c>
      <c r="L1212" s="9">
        <f t="shared" si="146"/>
        <v>9</v>
      </c>
      <c r="M1212">
        <v>2</v>
      </c>
      <c r="N1212">
        <v>4</v>
      </c>
      <c r="O1212">
        <v>4</v>
      </c>
      <c r="P1212" s="13" t="str">
        <f t="shared" si="147"/>
        <v>2d4 + 4</v>
      </c>
      <c r="Q1212">
        <f>ROUND(INDEX(Catalogue!E$4:E$85,MATCH(A1212,Catalogue!A$4:A$85,0))*(1+Paramètres!$B$4*(C1212-1)+Paramètres!$B$5*(C1212-1)^2),0)</f>
        <v>6</v>
      </c>
      <c r="R1212">
        <f>ROUND(INDEX(Catalogue!F$4:F$85,MATCH(A1212,Catalogue!A$4:A$85,0))*(1+Paramètres!$B$4*(C1212-1)+Paramètres!$B$5*(C1212-1)^2),0)</f>
        <v>12</v>
      </c>
      <c r="S1212">
        <f t="shared" si="148"/>
        <v>0</v>
      </c>
      <c r="T1212" t="str">
        <f t="shared" si="149"/>
        <v>OK</v>
      </c>
      <c r="U1212" s="25">
        <f t="shared" si="150"/>
        <v>9</v>
      </c>
      <c r="V1212" t="str">
        <f t="shared" si="151"/>
        <v>OK</v>
      </c>
    </row>
    <row r="1213" spans="1:22" ht="18" customHeight="1">
      <c r="A1213" t="s">
        <v>284</v>
      </c>
      <c r="B1213" t="s">
        <v>285</v>
      </c>
      <c r="C1213">
        <v>10</v>
      </c>
      <c r="D1213" t="s">
        <v>286</v>
      </c>
      <c r="E1213" s="6">
        <f t="shared" si="144"/>
        <v>7</v>
      </c>
      <c r="F1213" s="6">
        <f t="shared" si="145"/>
        <v>13</v>
      </c>
      <c r="G1213" s="6">
        <f>ROUND(Catalogue!G64*SQRT((1+Paramètres!$B$4*(C1213-1)+Paramètres!$B$5*(C1213-1)^2)),0)</f>
        <v>0</v>
      </c>
      <c r="H1213" s="6">
        <f>ROUND(Catalogue!H64*SQRT((1+Paramètres!$B$4*(C1213-1)+Paramètres!$B$5*(C1213-1)^2)),0)</f>
        <v>0</v>
      </c>
      <c r="I1213" s="6">
        <v>2</v>
      </c>
      <c r="J1213" s="6">
        <v>4</v>
      </c>
      <c r="K1213" s="7">
        <v>0.3</v>
      </c>
      <c r="L1213" s="9">
        <f t="shared" si="146"/>
        <v>10</v>
      </c>
      <c r="M1213">
        <v>2</v>
      </c>
      <c r="N1213">
        <v>4</v>
      </c>
      <c r="O1213">
        <v>5</v>
      </c>
      <c r="P1213" s="13" t="str">
        <f t="shared" si="147"/>
        <v>2d4 + 5</v>
      </c>
      <c r="Q1213">
        <f>ROUND(INDEX(Catalogue!E$4:E$85,MATCH(A1213,Catalogue!A$4:A$85,0))*(1+Paramètres!$B$4*(C1213-1)+Paramètres!$B$5*(C1213-1)^2),0)</f>
        <v>7</v>
      </c>
      <c r="R1213">
        <f>ROUND(INDEX(Catalogue!F$4:F$85,MATCH(A1213,Catalogue!A$4:A$85,0))*(1+Paramètres!$B$4*(C1213-1)+Paramètres!$B$5*(C1213-1)^2),0)</f>
        <v>13</v>
      </c>
      <c r="S1213">
        <f t="shared" si="148"/>
        <v>0</v>
      </c>
      <c r="T1213" t="str">
        <f t="shared" si="149"/>
        <v>OK</v>
      </c>
      <c r="U1213" s="25">
        <f t="shared" si="150"/>
        <v>10</v>
      </c>
      <c r="V1213" t="str">
        <f t="shared" si="151"/>
        <v>OK</v>
      </c>
    </row>
    <row r="1214" spans="1:22" ht="18" customHeight="1">
      <c r="A1214" t="s">
        <v>284</v>
      </c>
      <c r="B1214" t="s">
        <v>285</v>
      </c>
      <c r="C1214">
        <v>11</v>
      </c>
      <c r="D1214" t="s">
        <v>286</v>
      </c>
      <c r="E1214" s="6">
        <f t="shared" si="144"/>
        <v>6</v>
      </c>
      <c r="F1214" s="6">
        <f t="shared" si="145"/>
        <v>15</v>
      </c>
      <c r="G1214" s="6">
        <f>ROUND(Catalogue!G64*SQRT((1+Paramètres!$B$4*(C1214-1)+Paramètres!$B$5*(C1214-1)^2)),0)</f>
        <v>0</v>
      </c>
      <c r="H1214" s="6">
        <f>ROUND(Catalogue!H64*SQRT((1+Paramètres!$B$4*(C1214-1)+Paramètres!$B$5*(C1214-1)^2)),0)</f>
        <v>0</v>
      </c>
      <c r="I1214" s="6">
        <v>2</v>
      </c>
      <c r="J1214" s="6">
        <v>4</v>
      </c>
      <c r="K1214" s="7">
        <v>0.3</v>
      </c>
      <c r="L1214" s="9">
        <f t="shared" si="146"/>
        <v>10.5</v>
      </c>
      <c r="M1214">
        <v>3</v>
      </c>
      <c r="N1214">
        <v>4</v>
      </c>
      <c r="O1214">
        <v>3</v>
      </c>
      <c r="P1214" s="13" t="str">
        <f t="shared" si="147"/>
        <v>3d4 + 3</v>
      </c>
      <c r="Q1214">
        <f>ROUND(INDEX(Catalogue!E$4:E$85,MATCH(A1214,Catalogue!A$4:A$85,0))*(1+Paramètres!$B$4*(C1214-1)+Paramètres!$B$5*(C1214-1)^2),0)</f>
        <v>7</v>
      </c>
      <c r="R1214">
        <f>ROUND(INDEX(Catalogue!F$4:F$85,MATCH(A1214,Catalogue!A$4:A$85,0))*(1+Paramètres!$B$4*(C1214-1)+Paramètres!$B$5*(C1214-1)^2),0)</f>
        <v>15</v>
      </c>
      <c r="S1214">
        <f t="shared" si="148"/>
        <v>-0.5</v>
      </c>
      <c r="T1214" t="str">
        <f t="shared" si="149"/>
        <v>OK</v>
      </c>
      <c r="U1214" s="25">
        <f t="shared" si="150"/>
        <v>10.5</v>
      </c>
      <c r="V1214" t="str">
        <f t="shared" si="151"/>
        <v>OK</v>
      </c>
    </row>
    <row r="1215" spans="1:22" ht="18" customHeight="1">
      <c r="A1215" t="s">
        <v>284</v>
      </c>
      <c r="B1215" t="s">
        <v>285</v>
      </c>
      <c r="C1215">
        <v>12</v>
      </c>
      <c r="D1215" t="s">
        <v>286</v>
      </c>
      <c r="E1215" s="6">
        <f t="shared" si="144"/>
        <v>8</v>
      </c>
      <c r="F1215" s="6">
        <f t="shared" si="145"/>
        <v>17</v>
      </c>
      <c r="G1215" s="6">
        <f>ROUND(Catalogue!G64*SQRT((1+Paramètres!$B$4*(C1215-1)+Paramètres!$B$5*(C1215-1)^2)),0)</f>
        <v>0</v>
      </c>
      <c r="H1215" s="6">
        <f>ROUND(Catalogue!H64*SQRT((1+Paramètres!$B$4*(C1215-1)+Paramètres!$B$5*(C1215-1)^2)),0)</f>
        <v>0</v>
      </c>
      <c r="I1215" s="6">
        <v>2</v>
      </c>
      <c r="J1215" s="6">
        <v>4</v>
      </c>
      <c r="K1215" s="7">
        <v>0.3</v>
      </c>
      <c r="L1215" s="9">
        <f t="shared" si="146"/>
        <v>12.5</v>
      </c>
      <c r="M1215">
        <v>3</v>
      </c>
      <c r="N1215">
        <v>4</v>
      </c>
      <c r="O1215">
        <v>5</v>
      </c>
      <c r="P1215" s="13" t="str">
        <f t="shared" si="147"/>
        <v>3d4 + 5</v>
      </c>
      <c r="Q1215">
        <f>ROUND(INDEX(Catalogue!E$4:E$85,MATCH(A1215,Catalogue!A$4:A$85,0))*(1+Paramètres!$B$4*(C1215-1)+Paramètres!$B$5*(C1215-1)^2),0)</f>
        <v>8</v>
      </c>
      <c r="R1215">
        <f>ROUND(INDEX(Catalogue!F$4:F$85,MATCH(A1215,Catalogue!A$4:A$85,0))*(1+Paramètres!$B$4*(C1215-1)+Paramètres!$B$5*(C1215-1)^2),0)</f>
        <v>17</v>
      </c>
      <c r="S1215">
        <f t="shared" si="148"/>
        <v>0</v>
      </c>
      <c r="T1215" t="str">
        <f t="shared" si="149"/>
        <v>OK</v>
      </c>
      <c r="U1215" s="25">
        <f t="shared" si="150"/>
        <v>12.5</v>
      </c>
      <c r="V1215" t="str">
        <f t="shared" si="151"/>
        <v>OK</v>
      </c>
    </row>
    <row r="1216" spans="1:22" ht="18" customHeight="1">
      <c r="A1216" t="s">
        <v>284</v>
      </c>
      <c r="B1216" t="s">
        <v>285</v>
      </c>
      <c r="C1216">
        <v>13</v>
      </c>
      <c r="D1216" t="s">
        <v>286</v>
      </c>
      <c r="E1216" s="6">
        <f t="shared" si="144"/>
        <v>9</v>
      </c>
      <c r="F1216" s="6">
        <f t="shared" si="145"/>
        <v>18</v>
      </c>
      <c r="G1216" s="6">
        <f>ROUND(Catalogue!G64*SQRT((1+Paramètres!$B$4*(C1216-1)+Paramètres!$B$5*(C1216-1)^2)),0)</f>
        <v>0</v>
      </c>
      <c r="H1216" s="6">
        <f>ROUND(Catalogue!H64*SQRT((1+Paramètres!$B$4*(C1216-1)+Paramètres!$B$5*(C1216-1)^2)),0)</f>
        <v>0</v>
      </c>
      <c r="I1216" s="6">
        <v>2</v>
      </c>
      <c r="J1216" s="6">
        <v>4</v>
      </c>
      <c r="K1216" s="7">
        <v>0.3</v>
      </c>
      <c r="L1216" s="9">
        <f t="shared" si="146"/>
        <v>13.5</v>
      </c>
      <c r="M1216">
        <v>3</v>
      </c>
      <c r="N1216">
        <v>4</v>
      </c>
      <c r="O1216">
        <v>6</v>
      </c>
      <c r="P1216" s="13" t="str">
        <f t="shared" si="147"/>
        <v>3d4 + 6</v>
      </c>
      <c r="Q1216">
        <f>ROUND(INDEX(Catalogue!E$4:E$85,MATCH(A1216,Catalogue!A$4:A$85,0))*(1+Paramètres!$B$4*(C1216-1)+Paramètres!$B$5*(C1216-1)^2),0)</f>
        <v>9</v>
      </c>
      <c r="R1216">
        <f>ROUND(INDEX(Catalogue!F$4:F$85,MATCH(A1216,Catalogue!A$4:A$85,0))*(1+Paramètres!$B$4*(C1216-1)+Paramètres!$B$5*(C1216-1)^2),0)</f>
        <v>18</v>
      </c>
      <c r="S1216">
        <f t="shared" si="148"/>
        <v>0</v>
      </c>
      <c r="T1216" t="str">
        <f t="shared" si="149"/>
        <v>OK</v>
      </c>
      <c r="U1216" s="25">
        <f t="shared" si="150"/>
        <v>13.5</v>
      </c>
      <c r="V1216" t="str">
        <f t="shared" si="151"/>
        <v>OK</v>
      </c>
    </row>
    <row r="1217" spans="1:22" ht="18" customHeight="1">
      <c r="A1217" t="s">
        <v>284</v>
      </c>
      <c r="B1217" t="s">
        <v>285</v>
      </c>
      <c r="C1217">
        <v>14</v>
      </c>
      <c r="D1217" t="s">
        <v>286</v>
      </c>
      <c r="E1217" s="6">
        <f t="shared" si="144"/>
        <v>10</v>
      </c>
      <c r="F1217" s="6">
        <f t="shared" si="145"/>
        <v>21</v>
      </c>
      <c r="G1217" s="6">
        <f>ROUND(Catalogue!G64*SQRT((1+Paramètres!$B$4*(C1217-1)+Paramètres!$B$5*(C1217-1)^2)),0)</f>
        <v>0</v>
      </c>
      <c r="H1217" s="6">
        <f>ROUND(Catalogue!H64*SQRT((1+Paramètres!$B$4*(C1217-1)+Paramètres!$B$5*(C1217-1)^2)),0)</f>
        <v>0</v>
      </c>
      <c r="I1217" s="6">
        <v>2</v>
      </c>
      <c r="J1217" s="6">
        <v>4</v>
      </c>
      <c r="K1217" s="7">
        <v>0.3</v>
      </c>
      <c r="L1217" s="9">
        <f t="shared" si="146"/>
        <v>15.5</v>
      </c>
      <c r="M1217">
        <v>1</v>
      </c>
      <c r="N1217">
        <v>12</v>
      </c>
      <c r="O1217">
        <v>9</v>
      </c>
      <c r="P1217" s="13" t="str">
        <f t="shared" si="147"/>
        <v>1d12 + 9</v>
      </c>
      <c r="Q1217">
        <f>ROUND(INDEX(Catalogue!E$4:E$85,MATCH(A1217,Catalogue!A$4:A$85,0))*(1+Paramètres!$B$4*(C1217-1)+Paramètres!$B$5*(C1217-1)^2),0)</f>
        <v>10</v>
      </c>
      <c r="R1217">
        <f>ROUND(INDEX(Catalogue!F$4:F$85,MATCH(A1217,Catalogue!A$4:A$85,0))*(1+Paramètres!$B$4*(C1217-1)+Paramètres!$B$5*(C1217-1)^2),0)</f>
        <v>21</v>
      </c>
      <c r="S1217">
        <f t="shared" si="148"/>
        <v>0</v>
      </c>
      <c r="T1217" t="str">
        <f t="shared" si="149"/>
        <v>OK</v>
      </c>
      <c r="U1217" s="25">
        <f t="shared" si="150"/>
        <v>15.5</v>
      </c>
      <c r="V1217" t="str">
        <f t="shared" si="151"/>
        <v>OK</v>
      </c>
    </row>
    <row r="1218" spans="1:22" ht="18" customHeight="1">
      <c r="A1218" t="s">
        <v>284</v>
      </c>
      <c r="B1218" t="s">
        <v>285</v>
      </c>
      <c r="C1218">
        <v>15</v>
      </c>
      <c r="D1218" t="s">
        <v>286</v>
      </c>
      <c r="E1218" s="6">
        <f t="shared" si="144"/>
        <v>11</v>
      </c>
      <c r="F1218" s="6">
        <f t="shared" si="145"/>
        <v>23</v>
      </c>
      <c r="G1218" s="6">
        <f>ROUND(Catalogue!G64*SQRT((1+Paramètres!$B$4*(C1218-1)+Paramètres!$B$5*(C1218-1)^2)),0)</f>
        <v>0</v>
      </c>
      <c r="H1218" s="6">
        <f>ROUND(Catalogue!H64*SQRT((1+Paramètres!$B$4*(C1218-1)+Paramètres!$B$5*(C1218-1)^2)),0)</f>
        <v>0</v>
      </c>
      <c r="I1218" s="6">
        <v>2</v>
      </c>
      <c r="J1218" s="6">
        <v>4</v>
      </c>
      <c r="K1218" s="7">
        <v>0.3</v>
      </c>
      <c r="L1218" s="9">
        <f t="shared" si="146"/>
        <v>17</v>
      </c>
      <c r="M1218">
        <v>4</v>
      </c>
      <c r="N1218">
        <v>4</v>
      </c>
      <c r="O1218">
        <v>7</v>
      </c>
      <c r="P1218" s="13" t="str">
        <f t="shared" si="147"/>
        <v>4d4 + 7</v>
      </c>
      <c r="Q1218">
        <f>ROUND(INDEX(Catalogue!E$4:E$85,MATCH(A1218,Catalogue!A$4:A$85,0))*(1+Paramètres!$B$4*(C1218-1)+Paramètres!$B$5*(C1218-1)^2),0)</f>
        <v>11</v>
      </c>
      <c r="R1218">
        <f>ROUND(INDEX(Catalogue!F$4:F$85,MATCH(A1218,Catalogue!A$4:A$85,0))*(1+Paramètres!$B$4*(C1218-1)+Paramètres!$B$5*(C1218-1)^2),0)</f>
        <v>23</v>
      </c>
      <c r="S1218">
        <f t="shared" si="148"/>
        <v>0</v>
      </c>
      <c r="T1218" t="str">
        <f t="shared" si="149"/>
        <v>OK</v>
      </c>
      <c r="U1218" s="25">
        <f t="shared" si="150"/>
        <v>17</v>
      </c>
      <c r="V1218" t="str">
        <f t="shared" si="151"/>
        <v>OK</v>
      </c>
    </row>
    <row r="1219" spans="1:22" ht="18" customHeight="1">
      <c r="A1219" t="s">
        <v>284</v>
      </c>
      <c r="B1219" t="s">
        <v>285</v>
      </c>
      <c r="C1219">
        <v>16</v>
      </c>
      <c r="D1219" t="s">
        <v>286</v>
      </c>
      <c r="E1219" s="6">
        <f t="shared" si="144"/>
        <v>13</v>
      </c>
      <c r="F1219" s="6">
        <f t="shared" si="145"/>
        <v>25</v>
      </c>
      <c r="G1219" s="6">
        <f>ROUND(Catalogue!G64*SQRT((1+Paramètres!$B$4*(C1219-1)+Paramètres!$B$5*(C1219-1)^2)),0)</f>
        <v>0</v>
      </c>
      <c r="H1219" s="6">
        <f>ROUND(Catalogue!H64*SQRT((1+Paramètres!$B$4*(C1219-1)+Paramètres!$B$5*(C1219-1)^2)),0)</f>
        <v>0</v>
      </c>
      <c r="I1219" s="6">
        <v>2</v>
      </c>
      <c r="J1219" s="6">
        <v>4</v>
      </c>
      <c r="K1219" s="7">
        <v>0.3</v>
      </c>
      <c r="L1219" s="9">
        <f t="shared" si="146"/>
        <v>19</v>
      </c>
      <c r="M1219">
        <v>4</v>
      </c>
      <c r="N1219">
        <v>4</v>
      </c>
      <c r="O1219">
        <v>9</v>
      </c>
      <c r="P1219" s="13" t="str">
        <f t="shared" si="147"/>
        <v>4d4 + 9</v>
      </c>
      <c r="Q1219">
        <f>ROUND(INDEX(Catalogue!E$4:E$85,MATCH(A1219,Catalogue!A$4:A$85,0))*(1+Paramètres!$B$4*(C1219-1)+Paramètres!$B$5*(C1219-1)^2),0)</f>
        <v>13</v>
      </c>
      <c r="R1219">
        <f>ROUND(INDEX(Catalogue!F$4:F$85,MATCH(A1219,Catalogue!A$4:A$85,0))*(1+Paramètres!$B$4*(C1219-1)+Paramètres!$B$5*(C1219-1)^2),0)</f>
        <v>25</v>
      </c>
      <c r="S1219">
        <f t="shared" si="148"/>
        <v>0</v>
      </c>
      <c r="T1219" t="str">
        <f t="shared" si="149"/>
        <v>OK</v>
      </c>
      <c r="U1219" s="25">
        <f t="shared" si="150"/>
        <v>19</v>
      </c>
      <c r="V1219" t="str">
        <f t="shared" si="151"/>
        <v>OK</v>
      </c>
    </row>
    <row r="1220" spans="1:22" ht="18" customHeight="1">
      <c r="A1220" t="s">
        <v>284</v>
      </c>
      <c r="B1220" t="s">
        <v>285</v>
      </c>
      <c r="C1220">
        <v>17</v>
      </c>
      <c r="D1220" t="s">
        <v>286</v>
      </c>
      <c r="E1220" s="6">
        <f t="shared" ref="E1220:E1283" si="152">IF(M1220=0,0,M1220+O1220)</f>
        <v>13</v>
      </c>
      <c r="F1220" s="6">
        <f t="shared" ref="F1220:F1283" si="153">IF(M1220=0,0,M1220*N1220+O1220)</f>
        <v>27</v>
      </c>
      <c r="G1220" s="6">
        <f>ROUND(Catalogue!G64*SQRT((1+Paramètres!$B$4*(C1220-1)+Paramètres!$B$5*(C1220-1)^2)),0)</f>
        <v>0</v>
      </c>
      <c r="H1220" s="6">
        <f>ROUND(Catalogue!H64*SQRT((1+Paramètres!$B$4*(C1220-1)+Paramètres!$B$5*(C1220-1)^2)),0)</f>
        <v>0</v>
      </c>
      <c r="I1220" s="6">
        <v>2</v>
      </c>
      <c r="J1220" s="6">
        <v>4</v>
      </c>
      <c r="K1220" s="7">
        <v>0.3</v>
      </c>
      <c r="L1220" s="9">
        <f t="shared" ref="L1220:L1283" si="154">IF(M1220=0,0,(E1220+F1220)/2)</f>
        <v>20</v>
      </c>
      <c r="M1220">
        <v>2</v>
      </c>
      <c r="N1220">
        <v>8</v>
      </c>
      <c r="O1220">
        <v>11</v>
      </c>
      <c r="P1220" s="13" t="str">
        <f t="shared" ref="P1220:P1283" si="155">IF(M1220=0,"—",M1220&amp;"d"&amp;N1220&amp;IF(O1220=0,""," + "&amp;O1220))</f>
        <v>2d8 + 11</v>
      </c>
      <c r="Q1220">
        <f>ROUND(INDEX(Catalogue!E$4:E$85,MATCH(A1220,Catalogue!A$4:A$85,0))*(1+Paramètres!$B$4*(C1220-1)+Paramètres!$B$5*(C1220-1)^2),0)</f>
        <v>14</v>
      </c>
      <c r="R1220">
        <f>ROUND(INDEX(Catalogue!F$4:F$85,MATCH(A1220,Catalogue!A$4:A$85,0))*(1+Paramètres!$B$4*(C1220-1)+Paramètres!$B$5*(C1220-1)^2),0)</f>
        <v>27</v>
      </c>
      <c r="S1220">
        <f t="shared" ref="S1220:S1283" si="156">L1220-AVERAGE(Q1220:R1220)</f>
        <v>-0.5</v>
      </c>
      <c r="T1220" t="str">
        <f t="shared" ref="T1220:T1283" si="157">IF(M1220=0,IF(AND(N1220=0,O1220=0,E1220=0,F1220=0),"OK","ERREUR"),IF(AND(M1220&gt;=1,M1220&lt;=32,OR(N1220=4,N1220=6,N1220=8,N1220=10,N1220=12,N1220=20),O1220&gt;=0,E1220=M1220+O1220,F1220=M1220*N1220+O1220),"OK","ERREUR"))</f>
        <v>OK</v>
      </c>
      <c r="U1220" s="25">
        <f t="shared" ref="U1220:U1283" si="158">IF(M1220&gt;0,M1220*(N1220+1)/2+O1220,0)</f>
        <v>20</v>
      </c>
      <c r="V1220" t="str">
        <f t="shared" ref="V1220:V1283" si="159">IF(ABS(L1220-U1220)&lt;0.001,"OK","ERREUR")</f>
        <v>OK</v>
      </c>
    </row>
    <row r="1221" spans="1:22" ht="18" customHeight="1">
      <c r="A1221" t="s">
        <v>284</v>
      </c>
      <c r="B1221" t="s">
        <v>285</v>
      </c>
      <c r="C1221">
        <v>18</v>
      </c>
      <c r="D1221" t="s">
        <v>286</v>
      </c>
      <c r="E1221" s="6">
        <f t="shared" si="152"/>
        <v>15</v>
      </c>
      <c r="F1221" s="6">
        <f t="shared" si="153"/>
        <v>30</v>
      </c>
      <c r="G1221" s="6">
        <f>ROUND(Catalogue!G64*SQRT((1+Paramètres!$B$4*(C1221-1)+Paramètres!$B$5*(C1221-1)^2)),0)</f>
        <v>0</v>
      </c>
      <c r="H1221" s="6">
        <f>ROUND(Catalogue!H64*SQRT((1+Paramètres!$B$4*(C1221-1)+Paramètres!$B$5*(C1221-1)^2)),0)</f>
        <v>0</v>
      </c>
      <c r="I1221" s="6">
        <v>2</v>
      </c>
      <c r="J1221" s="6">
        <v>4</v>
      </c>
      <c r="K1221" s="7">
        <v>0.3</v>
      </c>
      <c r="L1221" s="9">
        <f t="shared" si="154"/>
        <v>22.5</v>
      </c>
      <c r="M1221">
        <v>3</v>
      </c>
      <c r="N1221">
        <v>6</v>
      </c>
      <c r="O1221">
        <v>12</v>
      </c>
      <c r="P1221" s="13" t="str">
        <f t="shared" si="155"/>
        <v>3d6 + 12</v>
      </c>
      <c r="Q1221">
        <f>ROUND(INDEX(Catalogue!E$4:E$85,MATCH(A1221,Catalogue!A$4:A$85,0))*(1+Paramètres!$B$4*(C1221-1)+Paramètres!$B$5*(C1221-1)^2),0)</f>
        <v>15</v>
      </c>
      <c r="R1221">
        <f>ROUND(INDEX(Catalogue!F$4:F$85,MATCH(A1221,Catalogue!A$4:A$85,0))*(1+Paramètres!$B$4*(C1221-1)+Paramètres!$B$5*(C1221-1)^2),0)</f>
        <v>30</v>
      </c>
      <c r="S1221">
        <f t="shared" si="156"/>
        <v>0</v>
      </c>
      <c r="T1221" t="str">
        <f t="shared" si="157"/>
        <v>OK</v>
      </c>
      <c r="U1221" s="25">
        <f t="shared" si="158"/>
        <v>22.5</v>
      </c>
      <c r="V1221" t="str">
        <f t="shared" si="159"/>
        <v>OK</v>
      </c>
    </row>
    <row r="1222" spans="1:22" ht="18" customHeight="1">
      <c r="A1222" t="s">
        <v>284</v>
      </c>
      <c r="B1222" t="s">
        <v>285</v>
      </c>
      <c r="C1222">
        <v>19</v>
      </c>
      <c r="D1222" t="s">
        <v>286</v>
      </c>
      <c r="E1222" s="6">
        <f t="shared" si="152"/>
        <v>15</v>
      </c>
      <c r="F1222" s="6">
        <f t="shared" si="153"/>
        <v>33</v>
      </c>
      <c r="G1222" s="6">
        <f>ROUND(Catalogue!G64*SQRT((1+Paramètres!$B$4*(C1222-1)+Paramètres!$B$5*(C1222-1)^2)),0)</f>
        <v>0</v>
      </c>
      <c r="H1222" s="6">
        <f>ROUND(Catalogue!H64*SQRT((1+Paramètres!$B$4*(C1222-1)+Paramètres!$B$5*(C1222-1)^2)),0)</f>
        <v>0</v>
      </c>
      <c r="I1222" s="6">
        <v>2</v>
      </c>
      <c r="J1222" s="6">
        <v>4</v>
      </c>
      <c r="K1222" s="7">
        <v>0.3</v>
      </c>
      <c r="L1222" s="9">
        <f t="shared" si="154"/>
        <v>24</v>
      </c>
      <c r="M1222">
        <v>2</v>
      </c>
      <c r="N1222">
        <v>10</v>
      </c>
      <c r="O1222">
        <v>13</v>
      </c>
      <c r="P1222" s="13" t="str">
        <f t="shared" si="155"/>
        <v>2d10 + 13</v>
      </c>
      <c r="Q1222">
        <f>ROUND(INDEX(Catalogue!E$4:E$85,MATCH(A1222,Catalogue!A$4:A$85,0))*(1+Paramètres!$B$4*(C1222-1)+Paramètres!$B$5*(C1222-1)^2),0)</f>
        <v>16</v>
      </c>
      <c r="R1222">
        <f>ROUND(INDEX(Catalogue!F$4:F$85,MATCH(A1222,Catalogue!A$4:A$85,0))*(1+Paramètres!$B$4*(C1222-1)+Paramètres!$B$5*(C1222-1)^2),0)</f>
        <v>33</v>
      </c>
      <c r="S1222">
        <f t="shared" si="156"/>
        <v>-0.5</v>
      </c>
      <c r="T1222" t="str">
        <f t="shared" si="157"/>
        <v>OK</v>
      </c>
      <c r="U1222" s="25">
        <f t="shared" si="158"/>
        <v>24</v>
      </c>
      <c r="V1222" t="str">
        <f t="shared" si="159"/>
        <v>OK</v>
      </c>
    </row>
    <row r="1223" spans="1:22" ht="18" customHeight="1">
      <c r="A1223" t="s">
        <v>284</v>
      </c>
      <c r="B1223" t="s">
        <v>285</v>
      </c>
      <c r="C1223">
        <v>20</v>
      </c>
      <c r="D1223" t="s">
        <v>286</v>
      </c>
      <c r="E1223" s="6">
        <f t="shared" si="152"/>
        <v>18</v>
      </c>
      <c r="F1223" s="6">
        <f t="shared" si="153"/>
        <v>36</v>
      </c>
      <c r="G1223" s="6">
        <f>ROUND(Catalogue!G64*SQRT((1+Paramètres!$B$4*(C1223-1)+Paramètres!$B$5*(C1223-1)^2)),0)</f>
        <v>0</v>
      </c>
      <c r="H1223" s="6">
        <f>ROUND(Catalogue!H64*SQRT((1+Paramètres!$B$4*(C1223-1)+Paramètres!$B$5*(C1223-1)^2)),0)</f>
        <v>0</v>
      </c>
      <c r="I1223" s="6">
        <v>2</v>
      </c>
      <c r="J1223" s="6">
        <v>4</v>
      </c>
      <c r="K1223" s="7">
        <v>0.3</v>
      </c>
      <c r="L1223" s="9">
        <f t="shared" si="154"/>
        <v>27</v>
      </c>
      <c r="M1223">
        <v>2</v>
      </c>
      <c r="N1223">
        <v>10</v>
      </c>
      <c r="O1223">
        <v>16</v>
      </c>
      <c r="P1223" s="13" t="str">
        <f t="shared" si="155"/>
        <v>2d10 + 16</v>
      </c>
      <c r="Q1223">
        <f>ROUND(INDEX(Catalogue!E$4:E$85,MATCH(A1223,Catalogue!A$4:A$85,0))*(1+Paramètres!$B$4*(C1223-1)+Paramètres!$B$5*(C1223-1)^2),0)</f>
        <v>18</v>
      </c>
      <c r="R1223">
        <f>ROUND(INDEX(Catalogue!F$4:F$85,MATCH(A1223,Catalogue!A$4:A$85,0))*(1+Paramètres!$B$4*(C1223-1)+Paramètres!$B$5*(C1223-1)^2),0)</f>
        <v>35</v>
      </c>
      <c r="S1223">
        <f t="shared" si="156"/>
        <v>0.5</v>
      </c>
      <c r="T1223" t="str">
        <f t="shared" si="157"/>
        <v>OK</v>
      </c>
      <c r="U1223" s="25">
        <f t="shared" si="158"/>
        <v>27</v>
      </c>
      <c r="V1223" t="str">
        <f t="shared" si="159"/>
        <v>OK</v>
      </c>
    </row>
    <row r="1224" spans="1:22" ht="18" customHeight="1">
      <c r="A1224" t="s">
        <v>294</v>
      </c>
      <c r="B1224" t="s">
        <v>295</v>
      </c>
      <c r="C1224">
        <v>1</v>
      </c>
      <c r="D1224" t="s">
        <v>286</v>
      </c>
      <c r="E1224" s="6">
        <f t="shared" si="152"/>
        <v>2</v>
      </c>
      <c r="F1224" s="6">
        <f t="shared" si="153"/>
        <v>5</v>
      </c>
      <c r="G1224" s="6">
        <f>ROUND(Catalogue!G65*SQRT((1+Paramètres!$B$4*(C1224-1)+Paramètres!$B$5*(C1224-1)^2)),0)</f>
        <v>0</v>
      </c>
      <c r="H1224" s="6">
        <f>ROUND(Catalogue!H65*SQRT((1+Paramètres!$B$4*(C1224-1)+Paramètres!$B$5*(C1224-1)^2)),0)</f>
        <v>0</v>
      </c>
      <c r="I1224" s="6">
        <v>2</v>
      </c>
      <c r="J1224" s="6">
        <v>4</v>
      </c>
      <c r="K1224" s="7">
        <v>0.3</v>
      </c>
      <c r="L1224" s="9">
        <f t="shared" si="154"/>
        <v>3.5</v>
      </c>
      <c r="M1224">
        <v>1</v>
      </c>
      <c r="N1224">
        <v>4</v>
      </c>
      <c r="O1224">
        <v>1</v>
      </c>
      <c r="P1224" s="13" t="str">
        <f t="shared" si="155"/>
        <v>1d4 + 1</v>
      </c>
      <c r="Q1224">
        <f>ROUND(INDEX(Catalogue!E$4:E$85,MATCH(A1224,Catalogue!A$4:A$85,0))*(1+Paramètres!$B$4*(C1224-1)+Paramètres!$B$5*(C1224-1)^2),0)</f>
        <v>2</v>
      </c>
      <c r="R1224">
        <f>ROUND(INDEX(Catalogue!F$4:F$85,MATCH(A1224,Catalogue!A$4:A$85,0))*(1+Paramètres!$B$4*(C1224-1)+Paramètres!$B$5*(C1224-1)^2),0)</f>
        <v>5</v>
      </c>
      <c r="S1224">
        <f t="shared" si="156"/>
        <v>0</v>
      </c>
      <c r="T1224" t="str">
        <f t="shared" si="157"/>
        <v>OK</v>
      </c>
      <c r="U1224" s="25">
        <f t="shared" si="158"/>
        <v>3.5</v>
      </c>
      <c r="V1224" t="str">
        <f t="shared" si="159"/>
        <v>OK</v>
      </c>
    </row>
    <row r="1225" spans="1:22" ht="18" customHeight="1">
      <c r="A1225" t="s">
        <v>294</v>
      </c>
      <c r="B1225" t="s">
        <v>295</v>
      </c>
      <c r="C1225">
        <v>2</v>
      </c>
      <c r="D1225" t="s">
        <v>286</v>
      </c>
      <c r="E1225" s="6">
        <f t="shared" si="152"/>
        <v>2</v>
      </c>
      <c r="F1225" s="6">
        <f t="shared" si="153"/>
        <v>5</v>
      </c>
      <c r="G1225" s="6">
        <f>ROUND(Catalogue!G65*SQRT((1+Paramètres!$B$4*(C1225-1)+Paramètres!$B$5*(C1225-1)^2)),0)</f>
        <v>0</v>
      </c>
      <c r="H1225" s="6">
        <f>ROUND(Catalogue!H65*SQRT((1+Paramètres!$B$4*(C1225-1)+Paramètres!$B$5*(C1225-1)^2)),0)</f>
        <v>0</v>
      </c>
      <c r="I1225" s="6">
        <v>2</v>
      </c>
      <c r="J1225" s="6">
        <v>4</v>
      </c>
      <c r="K1225" s="7">
        <v>0.3</v>
      </c>
      <c r="L1225" s="9">
        <f t="shared" si="154"/>
        <v>3.5</v>
      </c>
      <c r="M1225">
        <v>1</v>
      </c>
      <c r="N1225">
        <v>4</v>
      </c>
      <c r="O1225">
        <v>1</v>
      </c>
      <c r="P1225" s="13" t="str">
        <f t="shared" si="155"/>
        <v>1d4 + 1</v>
      </c>
      <c r="Q1225">
        <f>ROUND(INDEX(Catalogue!E$4:E$85,MATCH(A1225,Catalogue!A$4:A$85,0))*(1+Paramètres!$B$4*(C1225-1)+Paramètres!$B$5*(C1225-1)^2),0)</f>
        <v>2</v>
      </c>
      <c r="R1225">
        <f>ROUND(INDEX(Catalogue!F$4:F$85,MATCH(A1225,Catalogue!A$4:A$85,0))*(1+Paramètres!$B$4*(C1225-1)+Paramètres!$B$5*(C1225-1)^2),0)</f>
        <v>6</v>
      </c>
      <c r="S1225">
        <f t="shared" si="156"/>
        <v>-0.5</v>
      </c>
      <c r="T1225" t="str">
        <f t="shared" si="157"/>
        <v>OK</v>
      </c>
      <c r="U1225" s="25">
        <f t="shared" si="158"/>
        <v>3.5</v>
      </c>
      <c r="V1225" t="str">
        <f t="shared" si="159"/>
        <v>OK</v>
      </c>
    </row>
    <row r="1226" spans="1:22" ht="18" customHeight="1">
      <c r="A1226" t="s">
        <v>294</v>
      </c>
      <c r="B1226" t="s">
        <v>295</v>
      </c>
      <c r="C1226">
        <v>3</v>
      </c>
      <c r="D1226" t="s">
        <v>286</v>
      </c>
      <c r="E1226" s="6">
        <f t="shared" si="152"/>
        <v>3</v>
      </c>
      <c r="F1226" s="6">
        <f t="shared" si="153"/>
        <v>6</v>
      </c>
      <c r="G1226" s="6">
        <f>ROUND(Catalogue!G65*SQRT((1+Paramètres!$B$4*(C1226-1)+Paramètres!$B$5*(C1226-1)^2)),0)</f>
        <v>0</v>
      </c>
      <c r="H1226" s="6">
        <f>ROUND(Catalogue!H65*SQRT((1+Paramètres!$B$4*(C1226-1)+Paramètres!$B$5*(C1226-1)^2)),0)</f>
        <v>0</v>
      </c>
      <c r="I1226" s="6">
        <v>2</v>
      </c>
      <c r="J1226" s="6">
        <v>4</v>
      </c>
      <c r="K1226" s="7">
        <v>0.3</v>
      </c>
      <c r="L1226" s="9">
        <f t="shared" si="154"/>
        <v>4.5</v>
      </c>
      <c r="M1226">
        <v>1</v>
      </c>
      <c r="N1226">
        <v>4</v>
      </c>
      <c r="O1226">
        <v>2</v>
      </c>
      <c r="P1226" s="13" t="str">
        <f t="shared" si="155"/>
        <v>1d4 + 2</v>
      </c>
      <c r="Q1226">
        <f>ROUND(INDEX(Catalogue!E$4:E$85,MATCH(A1226,Catalogue!A$4:A$85,0))*(1+Paramètres!$B$4*(C1226-1)+Paramètres!$B$5*(C1226-1)^2),0)</f>
        <v>3</v>
      </c>
      <c r="R1226">
        <f>ROUND(INDEX(Catalogue!F$4:F$85,MATCH(A1226,Catalogue!A$4:A$85,0))*(1+Paramètres!$B$4*(C1226-1)+Paramètres!$B$5*(C1226-1)^2),0)</f>
        <v>6</v>
      </c>
      <c r="S1226">
        <f t="shared" si="156"/>
        <v>0</v>
      </c>
      <c r="T1226" t="str">
        <f t="shared" si="157"/>
        <v>OK</v>
      </c>
      <c r="U1226" s="25">
        <f t="shared" si="158"/>
        <v>4.5</v>
      </c>
      <c r="V1226" t="str">
        <f t="shared" si="159"/>
        <v>OK</v>
      </c>
    </row>
    <row r="1227" spans="1:22" ht="18" customHeight="1">
      <c r="A1227" t="s">
        <v>294</v>
      </c>
      <c r="B1227" t="s">
        <v>295</v>
      </c>
      <c r="C1227">
        <v>4</v>
      </c>
      <c r="D1227" t="s">
        <v>286</v>
      </c>
      <c r="E1227" s="6">
        <f t="shared" si="152"/>
        <v>3</v>
      </c>
      <c r="F1227" s="6">
        <f t="shared" si="153"/>
        <v>6</v>
      </c>
      <c r="G1227" s="6">
        <f>ROUND(Catalogue!G65*SQRT((1+Paramètres!$B$4*(C1227-1)+Paramètres!$B$5*(C1227-1)^2)),0)</f>
        <v>0</v>
      </c>
      <c r="H1227" s="6">
        <f>ROUND(Catalogue!H65*SQRT((1+Paramètres!$B$4*(C1227-1)+Paramètres!$B$5*(C1227-1)^2)),0)</f>
        <v>0</v>
      </c>
      <c r="I1227" s="6">
        <v>2</v>
      </c>
      <c r="J1227" s="6">
        <v>4</v>
      </c>
      <c r="K1227" s="7">
        <v>0.3</v>
      </c>
      <c r="L1227" s="9">
        <f t="shared" si="154"/>
        <v>4.5</v>
      </c>
      <c r="M1227">
        <v>1</v>
      </c>
      <c r="N1227">
        <v>4</v>
      </c>
      <c r="O1227">
        <v>2</v>
      </c>
      <c r="P1227" s="13" t="str">
        <f t="shared" si="155"/>
        <v>1d4 + 2</v>
      </c>
      <c r="Q1227">
        <f>ROUND(INDEX(Catalogue!E$4:E$85,MATCH(A1227,Catalogue!A$4:A$85,0))*(1+Paramètres!$B$4*(C1227-1)+Paramètres!$B$5*(C1227-1)^2),0)</f>
        <v>3</v>
      </c>
      <c r="R1227">
        <f>ROUND(INDEX(Catalogue!F$4:F$85,MATCH(A1227,Catalogue!A$4:A$85,0))*(1+Paramètres!$B$4*(C1227-1)+Paramètres!$B$5*(C1227-1)^2),0)</f>
        <v>7</v>
      </c>
      <c r="S1227">
        <f t="shared" si="156"/>
        <v>-0.5</v>
      </c>
      <c r="T1227" t="str">
        <f t="shared" si="157"/>
        <v>OK</v>
      </c>
      <c r="U1227" s="25">
        <f t="shared" si="158"/>
        <v>4.5</v>
      </c>
      <c r="V1227" t="str">
        <f t="shared" si="159"/>
        <v>OK</v>
      </c>
    </row>
    <row r="1228" spans="1:22" ht="18" customHeight="1">
      <c r="A1228" t="s">
        <v>294</v>
      </c>
      <c r="B1228" t="s">
        <v>295</v>
      </c>
      <c r="C1228">
        <v>5</v>
      </c>
      <c r="D1228" t="s">
        <v>286</v>
      </c>
      <c r="E1228" s="6">
        <f t="shared" si="152"/>
        <v>3</v>
      </c>
      <c r="F1228" s="6">
        <f t="shared" si="153"/>
        <v>8</v>
      </c>
      <c r="G1228" s="6">
        <f>ROUND(Catalogue!G65*SQRT((1+Paramètres!$B$4*(C1228-1)+Paramètres!$B$5*(C1228-1)^2)),0)</f>
        <v>0</v>
      </c>
      <c r="H1228" s="6">
        <f>ROUND(Catalogue!H65*SQRT((1+Paramètres!$B$4*(C1228-1)+Paramètres!$B$5*(C1228-1)^2)),0)</f>
        <v>0</v>
      </c>
      <c r="I1228" s="6">
        <v>2</v>
      </c>
      <c r="J1228" s="6">
        <v>4</v>
      </c>
      <c r="K1228" s="7">
        <v>0.3</v>
      </c>
      <c r="L1228" s="9">
        <f t="shared" si="154"/>
        <v>5.5</v>
      </c>
      <c r="M1228">
        <v>1</v>
      </c>
      <c r="N1228">
        <v>6</v>
      </c>
      <c r="O1228">
        <v>2</v>
      </c>
      <c r="P1228" s="13" t="str">
        <f t="shared" si="155"/>
        <v>1d6 + 2</v>
      </c>
      <c r="Q1228">
        <f>ROUND(INDEX(Catalogue!E$4:E$85,MATCH(A1228,Catalogue!A$4:A$85,0))*(1+Paramètres!$B$4*(C1228-1)+Paramètres!$B$5*(C1228-1)^2),0)</f>
        <v>3</v>
      </c>
      <c r="R1228">
        <f>ROUND(INDEX(Catalogue!F$4:F$85,MATCH(A1228,Catalogue!A$4:A$85,0))*(1+Paramètres!$B$4*(C1228-1)+Paramètres!$B$5*(C1228-1)^2),0)</f>
        <v>8</v>
      </c>
      <c r="S1228">
        <f t="shared" si="156"/>
        <v>0</v>
      </c>
      <c r="T1228" t="str">
        <f t="shared" si="157"/>
        <v>OK</v>
      </c>
      <c r="U1228" s="25">
        <f t="shared" si="158"/>
        <v>5.5</v>
      </c>
      <c r="V1228" t="str">
        <f t="shared" si="159"/>
        <v>OK</v>
      </c>
    </row>
    <row r="1229" spans="1:22" ht="18" customHeight="1">
      <c r="A1229" t="s">
        <v>294</v>
      </c>
      <c r="B1229" t="s">
        <v>295</v>
      </c>
      <c r="C1229">
        <v>6</v>
      </c>
      <c r="D1229" t="s">
        <v>286</v>
      </c>
      <c r="E1229" s="6">
        <f t="shared" si="152"/>
        <v>4</v>
      </c>
      <c r="F1229" s="6">
        <f t="shared" si="153"/>
        <v>10</v>
      </c>
      <c r="G1229" s="6">
        <f>ROUND(Catalogue!G65*SQRT((1+Paramètres!$B$4*(C1229-1)+Paramètres!$B$5*(C1229-1)^2)),0)</f>
        <v>0</v>
      </c>
      <c r="H1229" s="6">
        <f>ROUND(Catalogue!H65*SQRT((1+Paramètres!$B$4*(C1229-1)+Paramètres!$B$5*(C1229-1)^2)),0)</f>
        <v>0</v>
      </c>
      <c r="I1229" s="6">
        <v>2</v>
      </c>
      <c r="J1229" s="6">
        <v>4</v>
      </c>
      <c r="K1229" s="7">
        <v>0.3</v>
      </c>
      <c r="L1229" s="9">
        <f t="shared" si="154"/>
        <v>7</v>
      </c>
      <c r="M1229">
        <v>2</v>
      </c>
      <c r="N1229">
        <v>4</v>
      </c>
      <c r="O1229">
        <v>2</v>
      </c>
      <c r="P1229" s="13" t="str">
        <f t="shared" si="155"/>
        <v>2d4 + 2</v>
      </c>
      <c r="Q1229">
        <f>ROUND(INDEX(Catalogue!E$4:E$85,MATCH(A1229,Catalogue!A$4:A$85,0))*(1+Paramètres!$B$4*(C1229-1)+Paramètres!$B$5*(C1229-1)^2),0)</f>
        <v>4</v>
      </c>
      <c r="R1229">
        <f>ROUND(INDEX(Catalogue!F$4:F$85,MATCH(A1229,Catalogue!A$4:A$85,0))*(1+Paramètres!$B$4*(C1229-1)+Paramètres!$B$5*(C1229-1)^2),0)</f>
        <v>10</v>
      </c>
      <c r="S1229">
        <f t="shared" si="156"/>
        <v>0</v>
      </c>
      <c r="T1229" t="str">
        <f t="shared" si="157"/>
        <v>OK</v>
      </c>
      <c r="U1229" s="25">
        <f t="shared" si="158"/>
        <v>7</v>
      </c>
      <c r="V1229" t="str">
        <f t="shared" si="159"/>
        <v>OK</v>
      </c>
    </row>
    <row r="1230" spans="1:22" ht="18" customHeight="1">
      <c r="A1230" t="s">
        <v>294</v>
      </c>
      <c r="B1230" t="s">
        <v>295</v>
      </c>
      <c r="C1230">
        <v>7</v>
      </c>
      <c r="D1230" t="s">
        <v>286</v>
      </c>
      <c r="E1230" s="6">
        <f t="shared" si="152"/>
        <v>4</v>
      </c>
      <c r="F1230" s="6">
        <f t="shared" si="153"/>
        <v>11</v>
      </c>
      <c r="G1230" s="6">
        <f>ROUND(Catalogue!G65*SQRT((1+Paramètres!$B$4*(C1230-1)+Paramètres!$B$5*(C1230-1)^2)),0)</f>
        <v>0</v>
      </c>
      <c r="H1230" s="6">
        <f>ROUND(Catalogue!H65*SQRT((1+Paramètres!$B$4*(C1230-1)+Paramètres!$B$5*(C1230-1)^2)),0)</f>
        <v>0</v>
      </c>
      <c r="I1230" s="6">
        <v>2</v>
      </c>
      <c r="J1230" s="6">
        <v>4</v>
      </c>
      <c r="K1230" s="7">
        <v>0.3</v>
      </c>
      <c r="L1230" s="9">
        <f t="shared" si="154"/>
        <v>7.5</v>
      </c>
      <c r="M1230">
        <v>1</v>
      </c>
      <c r="N1230">
        <v>8</v>
      </c>
      <c r="O1230">
        <v>3</v>
      </c>
      <c r="P1230" s="13" t="str">
        <f t="shared" si="155"/>
        <v>1d8 + 3</v>
      </c>
      <c r="Q1230">
        <f>ROUND(INDEX(Catalogue!E$4:E$85,MATCH(A1230,Catalogue!A$4:A$85,0))*(1+Paramètres!$B$4*(C1230-1)+Paramètres!$B$5*(C1230-1)^2),0)</f>
        <v>4</v>
      </c>
      <c r="R1230">
        <f>ROUND(INDEX(Catalogue!F$4:F$85,MATCH(A1230,Catalogue!A$4:A$85,0))*(1+Paramètres!$B$4*(C1230-1)+Paramètres!$B$5*(C1230-1)^2),0)</f>
        <v>11</v>
      </c>
      <c r="S1230">
        <f t="shared" si="156"/>
        <v>0</v>
      </c>
      <c r="T1230" t="str">
        <f t="shared" si="157"/>
        <v>OK</v>
      </c>
      <c r="U1230" s="25">
        <f t="shared" si="158"/>
        <v>7.5</v>
      </c>
      <c r="V1230" t="str">
        <f t="shared" si="159"/>
        <v>OK</v>
      </c>
    </row>
    <row r="1231" spans="1:22" ht="18" customHeight="1">
      <c r="A1231" t="s">
        <v>294</v>
      </c>
      <c r="B1231" t="s">
        <v>295</v>
      </c>
      <c r="C1231">
        <v>8</v>
      </c>
      <c r="D1231" t="s">
        <v>286</v>
      </c>
      <c r="E1231" s="6">
        <f t="shared" si="152"/>
        <v>4</v>
      </c>
      <c r="F1231" s="6">
        <f t="shared" si="153"/>
        <v>13</v>
      </c>
      <c r="G1231" s="6">
        <f>ROUND(Catalogue!G65*SQRT((1+Paramètres!$B$4*(C1231-1)+Paramètres!$B$5*(C1231-1)^2)),0)</f>
        <v>0</v>
      </c>
      <c r="H1231" s="6">
        <f>ROUND(Catalogue!H65*SQRT((1+Paramètres!$B$4*(C1231-1)+Paramètres!$B$5*(C1231-1)^2)),0)</f>
        <v>0</v>
      </c>
      <c r="I1231" s="6">
        <v>2</v>
      </c>
      <c r="J1231" s="6">
        <v>4</v>
      </c>
      <c r="K1231" s="7">
        <v>0.3</v>
      </c>
      <c r="L1231" s="9">
        <f t="shared" si="154"/>
        <v>8.5</v>
      </c>
      <c r="M1231">
        <v>3</v>
      </c>
      <c r="N1231">
        <v>4</v>
      </c>
      <c r="O1231">
        <v>1</v>
      </c>
      <c r="P1231" s="13" t="str">
        <f t="shared" si="155"/>
        <v>3d4 + 1</v>
      </c>
      <c r="Q1231">
        <f>ROUND(INDEX(Catalogue!E$4:E$85,MATCH(A1231,Catalogue!A$4:A$85,0))*(1+Paramètres!$B$4*(C1231-1)+Paramètres!$B$5*(C1231-1)^2),0)</f>
        <v>5</v>
      </c>
      <c r="R1231">
        <f>ROUND(INDEX(Catalogue!F$4:F$85,MATCH(A1231,Catalogue!A$4:A$85,0))*(1+Paramètres!$B$4*(C1231-1)+Paramètres!$B$5*(C1231-1)^2),0)</f>
        <v>13</v>
      </c>
      <c r="S1231">
        <f t="shared" si="156"/>
        <v>-0.5</v>
      </c>
      <c r="T1231" t="str">
        <f t="shared" si="157"/>
        <v>OK</v>
      </c>
      <c r="U1231" s="25">
        <f t="shared" si="158"/>
        <v>8.5</v>
      </c>
      <c r="V1231" t="str">
        <f t="shared" si="159"/>
        <v>OK</v>
      </c>
    </row>
    <row r="1232" spans="1:22" ht="18" customHeight="1">
      <c r="A1232" t="s">
        <v>294</v>
      </c>
      <c r="B1232" t="s">
        <v>295</v>
      </c>
      <c r="C1232">
        <v>9</v>
      </c>
      <c r="D1232" t="s">
        <v>286</v>
      </c>
      <c r="E1232" s="6">
        <f t="shared" si="152"/>
        <v>6</v>
      </c>
      <c r="F1232" s="6">
        <f t="shared" si="153"/>
        <v>15</v>
      </c>
      <c r="G1232" s="6">
        <f>ROUND(Catalogue!G65*SQRT((1+Paramètres!$B$4*(C1232-1)+Paramètres!$B$5*(C1232-1)^2)),0)</f>
        <v>0</v>
      </c>
      <c r="H1232" s="6">
        <f>ROUND(Catalogue!H65*SQRT((1+Paramètres!$B$4*(C1232-1)+Paramètres!$B$5*(C1232-1)^2)),0)</f>
        <v>0</v>
      </c>
      <c r="I1232" s="6">
        <v>2</v>
      </c>
      <c r="J1232" s="6">
        <v>4</v>
      </c>
      <c r="K1232" s="7">
        <v>0.3</v>
      </c>
      <c r="L1232" s="9">
        <f t="shared" si="154"/>
        <v>10.5</v>
      </c>
      <c r="M1232">
        <v>3</v>
      </c>
      <c r="N1232">
        <v>4</v>
      </c>
      <c r="O1232">
        <v>3</v>
      </c>
      <c r="P1232" s="13" t="str">
        <f t="shared" si="155"/>
        <v>3d4 + 3</v>
      </c>
      <c r="Q1232">
        <f>ROUND(INDEX(Catalogue!E$4:E$85,MATCH(A1232,Catalogue!A$4:A$85,0))*(1+Paramètres!$B$4*(C1232-1)+Paramètres!$B$5*(C1232-1)^2),0)</f>
        <v>6</v>
      </c>
      <c r="R1232">
        <f>ROUND(INDEX(Catalogue!F$4:F$85,MATCH(A1232,Catalogue!A$4:A$85,0))*(1+Paramètres!$B$4*(C1232-1)+Paramètres!$B$5*(C1232-1)^2),0)</f>
        <v>15</v>
      </c>
      <c r="S1232">
        <f t="shared" si="156"/>
        <v>0</v>
      </c>
      <c r="T1232" t="str">
        <f t="shared" si="157"/>
        <v>OK</v>
      </c>
      <c r="U1232" s="25">
        <f t="shared" si="158"/>
        <v>10.5</v>
      </c>
      <c r="V1232" t="str">
        <f t="shared" si="159"/>
        <v>OK</v>
      </c>
    </row>
    <row r="1233" spans="1:22" ht="18" customHeight="1">
      <c r="A1233" t="s">
        <v>294</v>
      </c>
      <c r="B1233" t="s">
        <v>295</v>
      </c>
      <c r="C1233">
        <v>10</v>
      </c>
      <c r="D1233" t="s">
        <v>286</v>
      </c>
      <c r="E1233" s="6">
        <f t="shared" si="152"/>
        <v>7</v>
      </c>
      <c r="F1233" s="6">
        <f t="shared" si="153"/>
        <v>16</v>
      </c>
      <c r="G1233" s="6">
        <f>ROUND(Catalogue!G65*SQRT((1+Paramètres!$B$4*(C1233-1)+Paramètres!$B$5*(C1233-1)^2)),0)</f>
        <v>0</v>
      </c>
      <c r="H1233" s="6">
        <f>ROUND(Catalogue!H65*SQRT((1+Paramètres!$B$4*(C1233-1)+Paramètres!$B$5*(C1233-1)^2)),0)</f>
        <v>0</v>
      </c>
      <c r="I1233" s="6">
        <v>2</v>
      </c>
      <c r="J1233" s="6">
        <v>4</v>
      </c>
      <c r="K1233" s="7">
        <v>0.3</v>
      </c>
      <c r="L1233" s="9">
        <f t="shared" si="154"/>
        <v>11.5</v>
      </c>
      <c r="M1233">
        <v>3</v>
      </c>
      <c r="N1233">
        <v>4</v>
      </c>
      <c r="O1233">
        <v>4</v>
      </c>
      <c r="P1233" s="13" t="str">
        <f t="shared" si="155"/>
        <v>3d4 + 4</v>
      </c>
      <c r="Q1233">
        <f>ROUND(INDEX(Catalogue!E$4:E$85,MATCH(A1233,Catalogue!A$4:A$85,0))*(1+Paramètres!$B$4*(C1233-1)+Paramètres!$B$5*(C1233-1)^2),0)</f>
        <v>7</v>
      </c>
      <c r="R1233">
        <f>ROUND(INDEX(Catalogue!F$4:F$85,MATCH(A1233,Catalogue!A$4:A$85,0))*(1+Paramètres!$B$4*(C1233-1)+Paramètres!$B$5*(C1233-1)^2),0)</f>
        <v>16</v>
      </c>
      <c r="S1233">
        <f t="shared" si="156"/>
        <v>0</v>
      </c>
      <c r="T1233" t="str">
        <f t="shared" si="157"/>
        <v>OK</v>
      </c>
      <c r="U1233" s="25">
        <f t="shared" si="158"/>
        <v>11.5</v>
      </c>
      <c r="V1233" t="str">
        <f t="shared" si="159"/>
        <v>OK</v>
      </c>
    </row>
    <row r="1234" spans="1:22" ht="18" customHeight="1">
      <c r="A1234" t="s">
        <v>294</v>
      </c>
      <c r="B1234" t="s">
        <v>295</v>
      </c>
      <c r="C1234">
        <v>11</v>
      </c>
      <c r="D1234" t="s">
        <v>286</v>
      </c>
      <c r="E1234" s="6">
        <f t="shared" si="152"/>
        <v>7</v>
      </c>
      <c r="F1234" s="6">
        <f t="shared" si="153"/>
        <v>19</v>
      </c>
      <c r="G1234" s="6">
        <f>ROUND(Catalogue!G65*SQRT((1+Paramètres!$B$4*(C1234-1)+Paramètres!$B$5*(C1234-1)^2)),0)</f>
        <v>0</v>
      </c>
      <c r="H1234" s="6">
        <f>ROUND(Catalogue!H65*SQRT((1+Paramètres!$B$4*(C1234-1)+Paramètres!$B$5*(C1234-1)^2)),0)</f>
        <v>0</v>
      </c>
      <c r="I1234" s="6">
        <v>2</v>
      </c>
      <c r="J1234" s="6">
        <v>4</v>
      </c>
      <c r="K1234" s="7">
        <v>0.3</v>
      </c>
      <c r="L1234" s="9">
        <f t="shared" si="154"/>
        <v>13</v>
      </c>
      <c r="M1234">
        <v>4</v>
      </c>
      <c r="N1234">
        <v>4</v>
      </c>
      <c r="O1234">
        <v>3</v>
      </c>
      <c r="P1234" s="13" t="str">
        <f t="shared" si="155"/>
        <v>4d4 + 3</v>
      </c>
      <c r="Q1234">
        <f>ROUND(INDEX(Catalogue!E$4:E$85,MATCH(A1234,Catalogue!A$4:A$85,0))*(1+Paramètres!$B$4*(C1234-1)+Paramètres!$B$5*(C1234-1)^2),0)</f>
        <v>7</v>
      </c>
      <c r="R1234">
        <f>ROUND(INDEX(Catalogue!F$4:F$85,MATCH(A1234,Catalogue!A$4:A$85,0))*(1+Paramètres!$B$4*(C1234-1)+Paramètres!$B$5*(C1234-1)^2),0)</f>
        <v>19</v>
      </c>
      <c r="S1234">
        <f t="shared" si="156"/>
        <v>0</v>
      </c>
      <c r="T1234" t="str">
        <f t="shared" si="157"/>
        <v>OK</v>
      </c>
      <c r="U1234" s="25">
        <f t="shared" si="158"/>
        <v>13</v>
      </c>
      <c r="V1234" t="str">
        <f t="shared" si="159"/>
        <v>OK</v>
      </c>
    </row>
    <row r="1235" spans="1:22" ht="18" customHeight="1">
      <c r="A1235" t="s">
        <v>294</v>
      </c>
      <c r="B1235" t="s">
        <v>295</v>
      </c>
      <c r="C1235">
        <v>12</v>
      </c>
      <c r="D1235" t="s">
        <v>286</v>
      </c>
      <c r="E1235" s="6">
        <f t="shared" si="152"/>
        <v>7</v>
      </c>
      <c r="F1235" s="6">
        <f t="shared" si="153"/>
        <v>21</v>
      </c>
      <c r="G1235" s="6">
        <f>ROUND(Catalogue!G65*SQRT((1+Paramètres!$B$4*(C1235-1)+Paramètres!$B$5*(C1235-1)^2)),0)</f>
        <v>0</v>
      </c>
      <c r="H1235" s="6">
        <f>ROUND(Catalogue!H65*SQRT((1+Paramètres!$B$4*(C1235-1)+Paramètres!$B$5*(C1235-1)^2)),0)</f>
        <v>0</v>
      </c>
      <c r="I1235" s="6">
        <v>2</v>
      </c>
      <c r="J1235" s="6">
        <v>4</v>
      </c>
      <c r="K1235" s="7">
        <v>0.3</v>
      </c>
      <c r="L1235" s="9">
        <f t="shared" si="154"/>
        <v>14</v>
      </c>
      <c r="M1235">
        <v>2</v>
      </c>
      <c r="N1235">
        <v>8</v>
      </c>
      <c r="O1235">
        <v>5</v>
      </c>
      <c r="P1235" s="13" t="str">
        <f t="shared" si="155"/>
        <v>2d8 + 5</v>
      </c>
      <c r="Q1235">
        <f>ROUND(INDEX(Catalogue!E$4:E$85,MATCH(A1235,Catalogue!A$4:A$85,0))*(1+Paramètres!$B$4*(C1235-1)+Paramètres!$B$5*(C1235-1)^2),0)</f>
        <v>8</v>
      </c>
      <c r="R1235">
        <f>ROUND(INDEX(Catalogue!F$4:F$85,MATCH(A1235,Catalogue!A$4:A$85,0))*(1+Paramètres!$B$4*(C1235-1)+Paramètres!$B$5*(C1235-1)^2),0)</f>
        <v>21</v>
      </c>
      <c r="S1235">
        <f t="shared" si="156"/>
        <v>-0.5</v>
      </c>
      <c r="T1235" t="str">
        <f t="shared" si="157"/>
        <v>OK</v>
      </c>
      <c r="U1235" s="25">
        <f t="shared" si="158"/>
        <v>14</v>
      </c>
      <c r="V1235" t="str">
        <f t="shared" si="159"/>
        <v>OK</v>
      </c>
    </row>
    <row r="1236" spans="1:22" ht="18" customHeight="1">
      <c r="A1236" t="s">
        <v>294</v>
      </c>
      <c r="B1236" t="s">
        <v>295</v>
      </c>
      <c r="C1236">
        <v>13</v>
      </c>
      <c r="D1236" t="s">
        <v>286</v>
      </c>
      <c r="E1236" s="6">
        <f t="shared" si="152"/>
        <v>9</v>
      </c>
      <c r="F1236" s="6">
        <f t="shared" si="153"/>
        <v>23</v>
      </c>
      <c r="G1236" s="6">
        <f>ROUND(Catalogue!G65*SQRT((1+Paramètres!$B$4*(C1236-1)+Paramètres!$B$5*(C1236-1)^2)),0)</f>
        <v>0</v>
      </c>
      <c r="H1236" s="6">
        <f>ROUND(Catalogue!H65*SQRT((1+Paramètres!$B$4*(C1236-1)+Paramètres!$B$5*(C1236-1)^2)),0)</f>
        <v>0</v>
      </c>
      <c r="I1236" s="6">
        <v>2</v>
      </c>
      <c r="J1236" s="6">
        <v>4</v>
      </c>
      <c r="K1236" s="7">
        <v>0.3</v>
      </c>
      <c r="L1236" s="9">
        <f t="shared" si="154"/>
        <v>16</v>
      </c>
      <c r="M1236">
        <v>2</v>
      </c>
      <c r="N1236">
        <v>8</v>
      </c>
      <c r="O1236">
        <v>7</v>
      </c>
      <c r="P1236" s="13" t="str">
        <f t="shared" si="155"/>
        <v>2d8 + 7</v>
      </c>
      <c r="Q1236">
        <f>ROUND(INDEX(Catalogue!E$4:E$85,MATCH(A1236,Catalogue!A$4:A$85,0))*(1+Paramètres!$B$4*(C1236-1)+Paramètres!$B$5*(C1236-1)^2),0)</f>
        <v>9</v>
      </c>
      <c r="R1236">
        <f>ROUND(INDEX(Catalogue!F$4:F$85,MATCH(A1236,Catalogue!A$4:A$85,0))*(1+Paramètres!$B$4*(C1236-1)+Paramètres!$B$5*(C1236-1)^2),0)</f>
        <v>23</v>
      </c>
      <c r="S1236">
        <f t="shared" si="156"/>
        <v>0</v>
      </c>
      <c r="T1236" t="str">
        <f t="shared" si="157"/>
        <v>OK</v>
      </c>
      <c r="U1236" s="25">
        <f t="shared" si="158"/>
        <v>16</v>
      </c>
      <c r="V1236" t="str">
        <f t="shared" si="159"/>
        <v>OK</v>
      </c>
    </row>
    <row r="1237" spans="1:22" ht="18" customHeight="1">
      <c r="A1237" t="s">
        <v>294</v>
      </c>
      <c r="B1237" t="s">
        <v>295</v>
      </c>
      <c r="C1237">
        <v>14</v>
      </c>
      <c r="D1237" t="s">
        <v>286</v>
      </c>
      <c r="E1237" s="6">
        <f t="shared" si="152"/>
        <v>11</v>
      </c>
      <c r="F1237" s="6">
        <f t="shared" si="153"/>
        <v>26</v>
      </c>
      <c r="G1237" s="6">
        <f>ROUND(Catalogue!G65*SQRT((1+Paramètres!$B$4*(C1237-1)+Paramètres!$B$5*(C1237-1)^2)),0)</f>
        <v>0</v>
      </c>
      <c r="H1237" s="6">
        <f>ROUND(Catalogue!H65*SQRT((1+Paramètres!$B$4*(C1237-1)+Paramètres!$B$5*(C1237-1)^2)),0)</f>
        <v>0</v>
      </c>
      <c r="I1237" s="6">
        <v>2</v>
      </c>
      <c r="J1237" s="6">
        <v>4</v>
      </c>
      <c r="K1237" s="7">
        <v>0.3</v>
      </c>
      <c r="L1237" s="9">
        <f t="shared" si="154"/>
        <v>18.5</v>
      </c>
      <c r="M1237">
        <v>3</v>
      </c>
      <c r="N1237">
        <v>6</v>
      </c>
      <c r="O1237">
        <v>8</v>
      </c>
      <c r="P1237" s="13" t="str">
        <f t="shared" si="155"/>
        <v>3d6 + 8</v>
      </c>
      <c r="Q1237">
        <f>ROUND(INDEX(Catalogue!E$4:E$85,MATCH(A1237,Catalogue!A$4:A$85,0))*(1+Paramètres!$B$4*(C1237-1)+Paramètres!$B$5*(C1237-1)^2),0)</f>
        <v>10</v>
      </c>
      <c r="R1237">
        <f>ROUND(INDEX(Catalogue!F$4:F$85,MATCH(A1237,Catalogue!A$4:A$85,0))*(1+Paramètres!$B$4*(C1237-1)+Paramètres!$B$5*(C1237-1)^2),0)</f>
        <v>26</v>
      </c>
      <c r="S1237">
        <f t="shared" si="156"/>
        <v>0.5</v>
      </c>
      <c r="T1237" t="str">
        <f t="shared" si="157"/>
        <v>OK</v>
      </c>
      <c r="U1237" s="25">
        <f t="shared" si="158"/>
        <v>18.5</v>
      </c>
      <c r="V1237" t="str">
        <f t="shared" si="159"/>
        <v>OK</v>
      </c>
    </row>
    <row r="1238" spans="1:22" ht="18" customHeight="1">
      <c r="A1238" t="s">
        <v>294</v>
      </c>
      <c r="B1238" t="s">
        <v>295</v>
      </c>
      <c r="C1238">
        <v>15</v>
      </c>
      <c r="D1238" t="s">
        <v>286</v>
      </c>
      <c r="E1238" s="6">
        <f t="shared" si="152"/>
        <v>10</v>
      </c>
      <c r="F1238" s="6">
        <f t="shared" si="153"/>
        <v>29</v>
      </c>
      <c r="G1238" s="6">
        <f>ROUND(Catalogue!G65*SQRT((1+Paramètres!$B$4*(C1238-1)+Paramètres!$B$5*(C1238-1)^2)),0)</f>
        <v>0</v>
      </c>
      <c r="H1238" s="6">
        <f>ROUND(Catalogue!H65*SQRT((1+Paramètres!$B$4*(C1238-1)+Paramètres!$B$5*(C1238-1)^2)),0)</f>
        <v>0</v>
      </c>
      <c r="I1238" s="6">
        <v>2</v>
      </c>
      <c r="J1238" s="6">
        <v>4</v>
      </c>
      <c r="K1238" s="7">
        <v>0.3</v>
      </c>
      <c r="L1238" s="9">
        <f t="shared" si="154"/>
        <v>19.5</v>
      </c>
      <c r="M1238">
        <v>1</v>
      </c>
      <c r="N1238">
        <v>20</v>
      </c>
      <c r="O1238">
        <v>9</v>
      </c>
      <c r="P1238" s="13" t="str">
        <f t="shared" si="155"/>
        <v>1d20 + 9</v>
      </c>
      <c r="Q1238">
        <f>ROUND(INDEX(Catalogue!E$4:E$85,MATCH(A1238,Catalogue!A$4:A$85,0))*(1+Paramètres!$B$4*(C1238-1)+Paramètres!$B$5*(C1238-1)^2),0)</f>
        <v>11</v>
      </c>
      <c r="R1238">
        <f>ROUND(INDEX(Catalogue!F$4:F$85,MATCH(A1238,Catalogue!A$4:A$85,0))*(1+Paramètres!$B$4*(C1238-1)+Paramètres!$B$5*(C1238-1)^2),0)</f>
        <v>28</v>
      </c>
      <c r="S1238">
        <f t="shared" si="156"/>
        <v>0</v>
      </c>
      <c r="T1238" t="str">
        <f t="shared" si="157"/>
        <v>OK</v>
      </c>
      <c r="U1238" s="25">
        <f t="shared" si="158"/>
        <v>19.5</v>
      </c>
      <c r="V1238" t="str">
        <f t="shared" si="159"/>
        <v>OK</v>
      </c>
    </row>
    <row r="1239" spans="1:22" ht="18" customHeight="1">
      <c r="A1239" t="s">
        <v>294</v>
      </c>
      <c r="B1239" t="s">
        <v>295</v>
      </c>
      <c r="C1239">
        <v>16</v>
      </c>
      <c r="D1239" t="s">
        <v>286</v>
      </c>
      <c r="E1239" s="6">
        <f t="shared" si="152"/>
        <v>12</v>
      </c>
      <c r="F1239" s="6">
        <f t="shared" si="153"/>
        <v>31</v>
      </c>
      <c r="G1239" s="6">
        <f>ROUND(Catalogue!G65*SQRT((1+Paramètres!$B$4*(C1239-1)+Paramètres!$B$5*(C1239-1)^2)),0)</f>
        <v>0</v>
      </c>
      <c r="H1239" s="6">
        <f>ROUND(Catalogue!H65*SQRT((1+Paramètres!$B$4*(C1239-1)+Paramètres!$B$5*(C1239-1)^2)),0)</f>
        <v>0</v>
      </c>
      <c r="I1239" s="6">
        <v>2</v>
      </c>
      <c r="J1239" s="6">
        <v>4</v>
      </c>
      <c r="K1239" s="7">
        <v>0.3</v>
      </c>
      <c r="L1239" s="9">
        <f t="shared" si="154"/>
        <v>21.5</v>
      </c>
      <c r="M1239">
        <v>1</v>
      </c>
      <c r="N1239">
        <v>20</v>
      </c>
      <c r="O1239">
        <v>11</v>
      </c>
      <c r="P1239" s="13" t="str">
        <f t="shared" si="155"/>
        <v>1d20 + 11</v>
      </c>
      <c r="Q1239">
        <f>ROUND(INDEX(Catalogue!E$4:E$85,MATCH(A1239,Catalogue!A$4:A$85,0))*(1+Paramètres!$B$4*(C1239-1)+Paramètres!$B$5*(C1239-1)^2),0)</f>
        <v>13</v>
      </c>
      <c r="R1239">
        <f>ROUND(INDEX(Catalogue!F$4:F$85,MATCH(A1239,Catalogue!A$4:A$85,0))*(1+Paramètres!$B$4*(C1239-1)+Paramètres!$B$5*(C1239-1)^2),0)</f>
        <v>31</v>
      </c>
      <c r="S1239">
        <f t="shared" si="156"/>
        <v>-0.5</v>
      </c>
      <c r="T1239" t="str">
        <f t="shared" si="157"/>
        <v>OK</v>
      </c>
      <c r="U1239" s="25">
        <f t="shared" si="158"/>
        <v>21.5</v>
      </c>
      <c r="V1239" t="str">
        <f t="shared" si="159"/>
        <v>OK</v>
      </c>
    </row>
    <row r="1240" spans="1:22" ht="18" customHeight="1">
      <c r="A1240" t="s">
        <v>294</v>
      </c>
      <c r="B1240" t="s">
        <v>295</v>
      </c>
      <c r="C1240">
        <v>17</v>
      </c>
      <c r="D1240" t="s">
        <v>286</v>
      </c>
      <c r="E1240" s="6">
        <f t="shared" si="152"/>
        <v>14</v>
      </c>
      <c r="F1240" s="6">
        <f t="shared" si="153"/>
        <v>33</v>
      </c>
      <c r="G1240" s="6">
        <f>ROUND(Catalogue!G65*SQRT((1+Paramètres!$B$4*(C1240-1)+Paramètres!$B$5*(C1240-1)^2)),0)</f>
        <v>0</v>
      </c>
      <c r="H1240" s="6">
        <f>ROUND(Catalogue!H65*SQRT((1+Paramètres!$B$4*(C1240-1)+Paramètres!$B$5*(C1240-1)^2)),0)</f>
        <v>0</v>
      </c>
      <c r="I1240" s="6">
        <v>2</v>
      </c>
      <c r="J1240" s="6">
        <v>4</v>
      </c>
      <c r="K1240" s="7">
        <v>0.3</v>
      </c>
      <c r="L1240" s="9">
        <f t="shared" si="154"/>
        <v>23.5</v>
      </c>
      <c r="M1240">
        <v>1</v>
      </c>
      <c r="N1240">
        <v>20</v>
      </c>
      <c r="O1240">
        <v>13</v>
      </c>
      <c r="P1240" s="13" t="str">
        <f t="shared" si="155"/>
        <v>1d20 + 13</v>
      </c>
      <c r="Q1240">
        <f>ROUND(INDEX(Catalogue!E$4:E$85,MATCH(A1240,Catalogue!A$4:A$85,0))*(1+Paramètres!$B$4*(C1240-1)+Paramètres!$B$5*(C1240-1)^2),0)</f>
        <v>14</v>
      </c>
      <c r="R1240">
        <f>ROUND(INDEX(Catalogue!F$4:F$85,MATCH(A1240,Catalogue!A$4:A$85,0))*(1+Paramètres!$B$4*(C1240-1)+Paramètres!$B$5*(C1240-1)^2),0)</f>
        <v>34</v>
      </c>
      <c r="S1240">
        <f t="shared" si="156"/>
        <v>-0.5</v>
      </c>
      <c r="T1240" t="str">
        <f t="shared" si="157"/>
        <v>OK</v>
      </c>
      <c r="U1240" s="25">
        <f t="shared" si="158"/>
        <v>23.5</v>
      </c>
      <c r="V1240" t="str">
        <f t="shared" si="159"/>
        <v>OK</v>
      </c>
    </row>
    <row r="1241" spans="1:22" ht="18" customHeight="1">
      <c r="A1241" t="s">
        <v>294</v>
      </c>
      <c r="B1241" t="s">
        <v>295</v>
      </c>
      <c r="C1241">
        <v>18</v>
      </c>
      <c r="D1241" t="s">
        <v>286</v>
      </c>
      <c r="E1241" s="6">
        <f t="shared" si="152"/>
        <v>17</v>
      </c>
      <c r="F1241" s="6">
        <f t="shared" si="153"/>
        <v>36</v>
      </c>
      <c r="G1241" s="6">
        <f>ROUND(Catalogue!G65*SQRT((1+Paramètres!$B$4*(C1241-1)+Paramètres!$B$5*(C1241-1)^2)),0)</f>
        <v>0</v>
      </c>
      <c r="H1241" s="6">
        <f>ROUND(Catalogue!H65*SQRT((1+Paramètres!$B$4*(C1241-1)+Paramètres!$B$5*(C1241-1)^2)),0)</f>
        <v>0</v>
      </c>
      <c r="I1241" s="6">
        <v>2</v>
      </c>
      <c r="J1241" s="6">
        <v>4</v>
      </c>
      <c r="K1241" s="7">
        <v>0.3</v>
      </c>
      <c r="L1241" s="9">
        <f t="shared" si="154"/>
        <v>26.5</v>
      </c>
      <c r="M1241">
        <v>1</v>
      </c>
      <c r="N1241">
        <v>20</v>
      </c>
      <c r="O1241">
        <v>16</v>
      </c>
      <c r="P1241" s="13" t="str">
        <f t="shared" si="155"/>
        <v>1d20 + 16</v>
      </c>
      <c r="Q1241">
        <f>ROUND(INDEX(Catalogue!E$4:E$85,MATCH(A1241,Catalogue!A$4:A$85,0))*(1+Paramètres!$B$4*(C1241-1)+Paramètres!$B$5*(C1241-1)^2),0)</f>
        <v>15</v>
      </c>
      <c r="R1241">
        <f>ROUND(INDEX(Catalogue!F$4:F$85,MATCH(A1241,Catalogue!A$4:A$85,0))*(1+Paramètres!$B$4*(C1241-1)+Paramètres!$B$5*(C1241-1)^2),0)</f>
        <v>37</v>
      </c>
      <c r="S1241">
        <f t="shared" si="156"/>
        <v>0.5</v>
      </c>
      <c r="T1241" t="str">
        <f t="shared" si="157"/>
        <v>OK</v>
      </c>
      <c r="U1241" s="25">
        <f t="shared" si="158"/>
        <v>26.5</v>
      </c>
      <c r="V1241" t="str">
        <f t="shared" si="159"/>
        <v>OK</v>
      </c>
    </row>
    <row r="1242" spans="1:22" ht="18" customHeight="1">
      <c r="A1242" t="s">
        <v>294</v>
      </c>
      <c r="B1242" t="s">
        <v>295</v>
      </c>
      <c r="C1242">
        <v>19</v>
      </c>
      <c r="D1242" t="s">
        <v>286</v>
      </c>
      <c r="E1242" s="6">
        <f t="shared" si="152"/>
        <v>19</v>
      </c>
      <c r="F1242" s="6">
        <f t="shared" si="153"/>
        <v>38</v>
      </c>
      <c r="G1242" s="6">
        <f>ROUND(Catalogue!G65*SQRT((1+Paramètres!$B$4*(C1242-1)+Paramètres!$B$5*(C1242-1)^2)),0)</f>
        <v>0</v>
      </c>
      <c r="H1242" s="6">
        <f>ROUND(Catalogue!H65*SQRT((1+Paramètres!$B$4*(C1242-1)+Paramètres!$B$5*(C1242-1)^2)),0)</f>
        <v>0</v>
      </c>
      <c r="I1242" s="6">
        <v>2</v>
      </c>
      <c r="J1242" s="6">
        <v>4</v>
      </c>
      <c r="K1242" s="7">
        <v>0.3</v>
      </c>
      <c r="L1242" s="9">
        <f t="shared" si="154"/>
        <v>28.5</v>
      </c>
      <c r="M1242">
        <v>1</v>
      </c>
      <c r="N1242">
        <v>20</v>
      </c>
      <c r="O1242">
        <v>18</v>
      </c>
      <c r="P1242" s="13" t="str">
        <f t="shared" si="155"/>
        <v>1d20 + 18</v>
      </c>
      <c r="Q1242">
        <f>ROUND(INDEX(Catalogue!E$4:E$85,MATCH(A1242,Catalogue!A$4:A$85,0))*(1+Paramètres!$B$4*(C1242-1)+Paramètres!$B$5*(C1242-1)^2),0)</f>
        <v>16</v>
      </c>
      <c r="R1242">
        <f>ROUND(INDEX(Catalogue!F$4:F$85,MATCH(A1242,Catalogue!A$4:A$85,0))*(1+Paramètres!$B$4*(C1242-1)+Paramètres!$B$5*(C1242-1)^2),0)</f>
        <v>41</v>
      </c>
      <c r="S1242">
        <f t="shared" si="156"/>
        <v>0</v>
      </c>
      <c r="T1242" t="str">
        <f t="shared" si="157"/>
        <v>OK</v>
      </c>
      <c r="U1242" s="25">
        <f t="shared" si="158"/>
        <v>28.5</v>
      </c>
      <c r="V1242" t="str">
        <f t="shared" si="159"/>
        <v>OK</v>
      </c>
    </row>
    <row r="1243" spans="1:22" ht="18" customHeight="1">
      <c r="A1243" t="s">
        <v>294</v>
      </c>
      <c r="B1243" t="s">
        <v>295</v>
      </c>
      <c r="C1243">
        <v>20</v>
      </c>
      <c r="D1243" t="s">
        <v>286</v>
      </c>
      <c r="E1243" s="6">
        <f t="shared" si="152"/>
        <v>21</v>
      </c>
      <c r="F1243" s="6">
        <f t="shared" si="153"/>
        <v>40</v>
      </c>
      <c r="G1243" s="6">
        <f>ROUND(Catalogue!G65*SQRT((1+Paramètres!$B$4*(C1243-1)+Paramètres!$B$5*(C1243-1)^2)),0)</f>
        <v>0</v>
      </c>
      <c r="H1243" s="6">
        <f>ROUND(Catalogue!H65*SQRT((1+Paramètres!$B$4*(C1243-1)+Paramètres!$B$5*(C1243-1)^2)),0)</f>
        <v>0</v>
      </c>
      <c r="I1243" s="6">
        <v>2</v>
      </c>
      <c r="J1243" s="6">
        <v>4</v>
      </c>
      <c r="K1243" s="7">
        <v>0.3</v>
      </c>
      <c r="L1243" s="9">
        <f t="shared" si="154"/>
        <v>30.5</v>
      </c>
      <c r="M1243">
        <v>1</v>
      </c>
      <c r="N1243">
        <v>20</v>
      </c>
      <c r="O1243">
        <v>20</v>
      </c>
      <c r="P1243" s="13" t="str">
        <f t="shared" si="155"/>
        <v>1d20 + 20</v>
      </c>
      <c r="Q1243">
        <f>ROUND(INDEX(Catalogue!E$4:E$85,MATCH(A1243,Catalogue!A$4:A$85,0))*(1+Paramètres!$B$4*(C1243-1)+Paramètres!$B$5*(C1243-1)^2),0)</f>
        <v>18</v>
      </c>
      <c r="R1243">
        <f>ROUND(INDEX(Catalogue!F$4:F$85,MATCH(A1243,Catalogue!A$4:A$85,0))*(1+Paramètres!$B$4*(C1243-1)+Paramètres!$B$5*(C1243-1)^2),0)</f>
        <v>44</v>
      </c>
      <c r="S1243">
        <f t="shared" si="156"/>
        <v>-0.5</v>
      </c>
      <c r="T1243" t="str">
        <f t="shared" si="157"/>
        <v>OK</v>
      </c>
      <c r="U1243" s="25">
        <f t="shared" si="158"/>
        <v>30.5</v>
      </c>
      <c r="V1243" t="str">
        <f t="shared" si="159"/>
        <v>OK</v>
      </c>
    </row>
    <row r="1244" spans="1:22" ht="18" customHeight="1">
      <c r="A1244" t="s">
        <v>298</v>
      </c>
      <c r="B1244" t="s">
        <v>299</v>
      </c>
      <c r="C1244">
        <v>1</v>
      </c>
      <c r="D1244" t="s">
        <v>286</v>
      </c>
      <c r="E1244" s="6">
        <f t="shared" si="152"/>
        <v>2</v>
      </c>
      <c r="F1244" s="6">
        <f t="shared" si="153"/>
        <v>5</v>
      </c>
      <c r="G1244" s="6">
        <f>ROUND(Catalogue!G66*SQRT((1+Paramètres!$B$4*(C1244-1)+Paramètres!$B$5*(C1244-1)^2)),0)</f>
        <v>0</v>
      </c>
      <c r="H1244" s="6">
        <f>ROUND(Catalogue!H66*SQRT((1+Paramètres!$B$4*(C1244-1)+Paramètres!$B$5*(C1244-1)^2)),0)</f>
        <v>0</v>
      </c>
      <c r="I1244" s="6">
        <v>2</v>
      </c>
      <c r="J1244" s="6">
        <v>4</v>
      </c>
      <c r="K1244" s="7">
        <v>0.3</v>
      </c>
      <c r="L1244" s="9">
        <f t="shared" si="154"/>
        <v>3.5</v>
      </c>
      <c r="M1244">
        <v>1</v>
      </c>
      <c r="N1244">
        <v>4</v>
      </c>
      <c r="O1244">
        <v>1</v>
      </c>
      <c r="P1244" s="13" t="str">
        <f t="shared" si="155"/>
        <v>1d4 + 1</v>
      </c>
      <c r="Q1244">
        <f>ROUND(INDEX(Catalogue!E$4:E$85,MATCH(A1244,Catalogue!A$4:A$85,0))*(1+Paramètres!$B$4*(C1244-1)+Paramètres!$B$5*(C1244-1)^2),0)</f>
        <v>2</v>
      </c>
      <c r="R1244">
        <f>ROUND(INDEX(Catalogue!F$4:F$85,MATCH(A1244,Catalogue!A$4:A$85,0))*(1+Paramètres!$B$4*(C1244-1)+Paramètres!$B$5*(C1244-1)^2),0)</f>
        <v>5</v>
      </c>
      <c r="S1244">
        <f t="shared" si="156"/>
        <v>0</v>
      </c>
      <c r="T1244" t="str">
        <f t="shared" si="157"/>
        <v>OK</v>
      </c>
      <c r="U1244" s="25">
        <f t="shared" si="158"/>
        <v>3.5</v>
      </c>
      <c r="V1244" t="str">
        <f t="shared" si="159"/>
        <v>OK</v>
      </c>
    </row>
    <row r="1245" spans="1:22" ht="18" customHeight="1">
      <c r="A1245" t="s">
        <v>298</v>
      </c>
      <c r="B1245" t="s">
        <v>299</v>
      </c>
      <c r="C1245">
        <v>2</v>
      </c>
      <c r="D1245" t="s">
        <v>286</v>
      </c>
      <c r="E1245" s="6">
        <f t="shared" si="152"/>
        <v>2</v>
      </c>
      <c r="F1245" s="6">
        <f t="shared" si="153"/>
        <v>5</v>
      </c>
      <c r="G1245" s="6">
        <f>ROUND(Catalogue!G66*SQRT((1+Paramètres!$B$4*(C1245-1)+Paramètres!$B$5*(C1245-1)^2)),0)</f>
        <v>0</v>
      </c>
      <c r="H1245" s="6">
        <f>ROUND(Catalogue!H66*SQRT((1+Paramètres!$B$4*(C1245-1)+Paramètres!$B$5*(C1245-1)^2)),0)</f>
        <v>0</v>
      </c>
      <c r="I1245" s="6">
        <v>2</v>
      </c>
      <c r="J1245" s="6">
        <v>4</v>
      </c>
      <c r="K1245" s="7">
        <v>0.3</v>
      </c>
      <c r="L1245" s="9">
        <f t="shared" si="154"/>
        <v>3.5</v>
      </c>
      <c r="M1245">
        <v>1</v>
      </c>
      <c r="N1245">
        <v>4</v>
      </c>
      <c r="O1245">
        <v>1</v>
      </c>
      <c r="P1245" s="13" t="str">
        <f t="shared" si="155"/>
        <v>1d4 + 1</v>
      </c>
      <c r="Q1245">
        <f>ROUND(INDEX(Catalogue!E$4:E$85,MATCH(A1245,Catalogue!A$4:A$85,0))*(1+Paramètres!$B$4*(C1245-1)+Paramètres!$B$5*(C1245-1)^2),0)</f>
        <v>2</v>
      </c>
      <c r="R1245">
        <f>ROUND(INDEX(Catalogue!F$4:F$85,MATCH(A1245,Catalogue!A$4:A$85,0))*(1+Paramètres!$B$4*(C1245-1)+Paramètres!$B$5*(C1245-1)^2),0)</f>
        <v>6</v>
      </c>
      <c r="S1245">
        <f t="shared" si="156"/>
        <v>-0.5</v>
      </c>
      <c r="T1245" t="str">
        <f t="shared" si="157"/>
        <v>OK</v>
      </c>
      <c r="U1245" s="25">
        <f t="shared" si="158"/>
        <v>3.5</v>
      </c>
      <c r="V1245" t="str">
        <f t="shared" si="159"/>
        <v>OK</v>
      </c>
    </row>
    <row r="1246" spans="1:22" ht="18" customHeight="1">
      <c r="A1246" t="s">
        <v>298</v>
      </c>
      <c r="B1246" t="s">
        <v>299</v>
      </c>
      <c r="C1246">
        <v>3</v>
      </c>
      <c r="D1246" t="s">
        <v>286</v>
      </c>
      <c r="E1246" s="6">
        <f t="shared" si="152"/>
        <v>3</v>
      </c>
      <c r="F1246" s="6">
        <f t="shared" si="153"/>
        <v>6</v>
      </c>
      <c r="G1246" s="6">
        <f>ROUND(Catalogue!G66*SQRT((1+Paramètres!$B$4*(C1246-1)+Paramètres!$B$5*(C1246-1)^2)),0)</f>
        <v>0</v>
      </c>
      <c r="H1246" s="6">
        <f>ROUND(Catalogue!H66*SQRT((1+Paramètres!$B$4*(C1246-1)+Paramètres!$B$5*(C1246-1)^2)),0)</f>
        <v>0</v>
      </c>
      <c r="I1246" s="6">
        <v>2</v>
      </c>
      <c r="J1246" s="6">
        <v>4</v>
      </c>
      <c r="K1246" s="7">
        <v>0.3</v>
      </c>
      <c r="L1246" s="9">
        <f t="shared" si="154"/>
        <v>4.5</v>
      </c>
      <c r="M1246">
        <v>1</v>
      </c>
      <c r="N1246">
        <v>4</v>
      </c>
      <c r="O1246">
        <v>2</v>
      </c>
      <c r="P1246" s="13" t="str">
        <f t="shared" si="155"/>
        <v>1d4 + 2</v>
      </c>
      <c r="Q1246">
        <f>ROUND(INDEX(Catalogue!E$4:E$85,MATCH(A1246,Catalogue!A$4:A$85,0))*(1+Paramètres!$B$4*(C1246-1)+Paramètres!$B$5*(C1246-1)^2),0)</f>
        <v>3</v>
      </c>
      <c r="R1246">
        <f>ROUND(INDEX(Catalogue!F$4:F$85,MATCH(A1246,Catalogue!A$4:A$85,0))*(1+Paramètres!$B$4*(C1246-1)+Paramètres!$B$5*(C1246-1)^2),0)</f>
        <v>6</v>
      </c>
      <c r="S1246">
        <f t="shared" si="156"/>
        <v>0</v>
      </c>
      <c r="T1246" t="str">
        <f t="shared" si="157"/>
        <v>OK</v>
      </c>
      <c r="U1246" s="25">
        <f t="shared" si="158"/>
        <v>4.5</v>
      </c>
      <c r="V1246" t="str">
        <f t="shared" si="159"/>
        <v>OK</v>
      </c>
    </row>
    <row r="1247" spans="1:22" ht="18" customHeight="1">
      <c r="A1247" t="s">
        <v>298</v>
      </c>
      <c r="B1247" t="s">
        <v>299</v>
      </c>
      <c r="C1247">
        <v>4</v>
      </c>
      <c r="D1247" t="s">
        <v>286</v>
      </c>
      <c r="E1247" s="6">
        <f t="shared" si="152"/>
        <v>3</v>
      </c>
      <c r="F1247" s="6">
        <f t="shared" si="153"/>
        <v>6</v>
      </c>
      <c r="G1247" s="6">
        <f>ROUND(Catalogue!G66*SQRT((1+Paramètres!$B$4*(C1247-1)+Paramètres!$B$5*(C1247-1)^2)),0)</f>
        <v>0</v>
      </c>
      <c r="H1247" s="6">
        <f>ROUND(Catalogue!H66*SQRT((1+Paramètres!$B$4*(C1247-1)+Paramètres!$B$5*(C1247-1)^2)),0)</f>
        <v>0</v>
      </c>
      <c r="I1247" s="6">
        <v>2</v>
      </c>
      <c r="J1247" s="6">
        <v>4</v>
      </c>
      <c r="K1247" s="7">
        <v>0.3</v>
      </c>
      <c r="L1247" s="9">
        <f t="shared" si="154"/>
        <v>4.5</v>
      </c>
      <c r="M1247">
        <v>1</v>
      </c>
      <c r="N1247">
        <v>4</v>
      </c>
      <c r="O1247">
        <v>2</v>
      </c>
      <c r="P1247" s="13" t="str">
        <f t="shared" si="155"/>
        <v>1d4 + 2</v>
      </c>
      <c r="Q1247">
        <f>ROUND(INDEX(Catalogue!E$4:E$85,MATCH(A1247,Catalogue!A$4:A$85,0))*(1+Paramètres!$B$4*(C1247-1)+Paramètres!$B$5*(C1247-1)^2),0)</f>
        <v>3</v>
      </c>
      <c r="R1247">
        <f>ROUND(INDEX(Catalogue!F$4:F$85,MATCH(A1247,Catalogue!A$4:A$85,0))*(1+Paramètres!$B$4*(C1247-1)+Paramètres!$B$5*(C1247-1)^2),0)</f>
        <v>7</v>
      </c>
      <c r="S1247">
        <f t="shared" si="156"/>
        <v>-0.5</v>
      </c>
      <c r="T1247" t="str">
        <f t="shared" si="157"/>
        <v>OK</v>
      </c>
      <c r="U1247" s="25">
        <f t="shared" si="158"/>
        <v>4.5</v>
      </c>
      <c r="V1247" t="str">
        <f t="shared" si="159"/>
        <v>OK</v>
      </c>
    </row>
    <row r="1248" spans="1:22" ht="18" customHeight="1">
      <c r="A1248" t="s">
        <v>298</v>
      </c>
      <c r="B1248" t="s">
        <v>299</v>
      </c>
      <c r="C1248">
        <v>5</v>
      </c>
      <c r="D1248" t="s">
        <v>286</v>
      </c>
      <c r="E1248" s="6">
        <f t="shared" si="152"/>
        <v>3</v>
      </c>
      <c r="F1248" s="6">
        <f t="shared" si="153"/>
        <v>8</v>
      </c>
      <c r="G1248" s="6">
        <f>ROUND(Catalogue!G66*SQRT((1+Paramètres!$B$4*(C1248-1)+Paramètres!$B$5*(C1248-1)^2)),0)</f>
        <v>0</v>
      </c>
      <c r="H1248" s="6">
        <f>ROUND(Catalogue!H66*SQRT((1+Paramètres!$B$4*(C1248-1)+Paramètres!$B$5*(C1248-1)^2)),0)</f>
        <v>0</v>
      </c>
      <c r="I1248" s="6">
        <v>2</v>
      </c>
      <c r="J1248" s="6">
        <v>4</v>
      </c>
      <c r="K1248" s="7">
        <v>0.3</v>
      </c>
      <c r="L1248" s="9">
        <f t="shared" si="154"/>
        <v>5.5</v>
      </c>
      <c r="M1248">
        <v>1</v>
      </c>
      <c r="N1248">
        <v>6</v>
      </c>
      <c r="O1248">
        <v>2</v>
      </c>
      <c r="P1248" s="13" t="str">
        <f t="shared" si="155"/>
        <v>1d6 + 2</v>
      </c>
      <c r="Q1248">
        <f>ROUND(INDEX(Catalogue!E$4:E$85,MATCH(A1248,Catalogue!A$4:A$85,0))*(1+Paramètres!$B$4*(C1248-1)+Paramètres!$B$5*(C1248-1)^2),0)</f>
        <v>3</v>
      </c>
      <c r="R1248">
        <f>ROUND(INDEX(Catalogue!F$4:F$85,MATCH(A1248,Catalogue!A$4:A$85,0))*(1+Paramètres!$B$4*(C1248-1)+Paramètres!$B$5*(C1248-1)^2),0)</f>
        <v>8</v>
      </c>
      <c r="S1248">
        <f t="shared" si="156"/>
        <v>0</v>
      </c>
      <c r="T1248" t="str">
        <f t="shared" si="157"/>
        <v>OK</v>
      </c>
      <c r="U1248" s="25">
        <f t="shared" si="158"/>
        <v>5.5</v>
      </c>
      <c r="V1248" t="str">
        <f t="shared" si="159"/>
        <v>OK</v>
      </c>
    </row>
    <row r="1249" spans="1:22" ht="18" customHeight="1">
      <c r="A1249" t="s">
        <v>298</v>
      </c>
      <c r="B1249" t="s">
        <v>299</v>
      </c>
      <c r="C1249">
        <v>6</v>
      </c>
      <c r="D1249" t="s">
        <v>286</v>
      </c>
      <c r="E1249" s="6">
        <f t="shared" si="152"/>
        <v>4</v>
      </c>
      <c r="F1249" s="6">
        <f t="shared" si="153"/>
        <v>10</v>
      </c>
      <c r="G1249" s="6">
        <f>ROUND(Catalogue!G66*SQRT((1+Paramètres!$B$4*(C1249-1)+Paramètres!$B$5*(C1249-1)^2)),0)</f>
        <v>0</v>
      </c>
      <c r="H1249" s="6">
        <f>ROUND(Catalogue!H66*SQRT((1+Paramètres!$B$4*(C1249-1)+Paramètres!$B$5*(C1249-1)^2)),0)</f>
        <v>0</v>
      </c>
      <c r="I1249" s="6">
        <v>2</v>
      </c>
      <c r="J1249" s="6">
        <v>4</v>
      </c>
      <c r="K1249" s="7">
        <v>0.3</v>
      </c>
      <c r="L1249" s="9">
        <f t="shared" si="154"/>
        <v>7</v>
      </c>
      <c r="M1249">
        <v>2</v>
      </c>
      <c r="N1249">
        <v>4</v>
      </c>
      <c r="O1249">
        <v>2</v>
      </c>
      <c r="P1249" s="13" t="str">
        <f t="shared" si="155"/>
        <v>2d4 + 2</v>
      </c>
      <c r="Q1249">
        <f>ROUND(INDEX(Catalogue!E$4:E$85,MATCH(A1249,Catalogue!A$4:A$85,0))*(1+Paramètres!$B$4*(C1249-1)+Paramètres!$B$5*(C1249-1)^2),0)</f>
        <v>4</v>
      </c>
      <c r="R1249">
        <f>ROUND(INDEX(Catalogue!F$4:F$85,MATCH(A1249,Catalogue!A$4:A$85,0))*(1+Paramètres!$B$4*(C1249-1)+Paramètres!$B$5*(C1249-1)^2),0)</f>
        <v>10</v>
      </c>
      <c r="S1249">
        <f t="shared" si="156"/>
        <v>0</v>
      </c>
      <c r="T1249" t="str">
        <f t="shared" si="157"/>
        <v>OK</v>
      </c>
      <c r="U1249" s="25">
        <f t="shared" si="158"/>
        <v>7</v>
      </c>
      <c r="V1249" t="str">
        <f t="shared" si="159"/>
        <v>OK</v>
      </c>
    </row>
    <row r="1250" spans="1:22" ht="18" customHeight="1">
      <c r="A1250" t="s">
        <v>298</v>
      </c>
      <c r="B1250" t="s">
        <v>299</v>
      </c>
      <c r="C1250">
        <v>7</v>
      </c>
      <c r="D1250" t="s">
        <v>286</v>
      </c>
      <c r="E1250" s="6">
        <f t="shared" si="152"/>
        <v>4</v>
      </c>
      <c r="F1250" s="6">
        <f t="shared" si="153"/>
        <v>11</v>
      </c>
      <c r="G1250" s="6">
        <f>ROUND(Catalogue!G66*SQRT((1+Paramètres!$B$4*(C1250-1)+Paramètres!$B$5*(C1250-1)^2)),0)</f>
        <v>0</v>
      </c>
      <c r="H1250" s="6">
        <f>ROUND(Catalogue!H66*SQRT((1+Paramètres!$B$4*(C1250-1)+Paramètres!$B$5*(C1250-1)^2)),0)</f>
        <v>0</v>
      </c>
      <c r="I1250" s="6">
        <v>2</v>
      </c>
      <c r="J1250" s="6">
        <v>4</v>
      </c>
      <c r="K1250" s="7">
        <v>0.3</v>
      </c>
      <c r="L1250" s="9">
        <f t="shared" si="154"/>
        <v>7.5</v>
      </c>
      <c r="M1250">
        <v>1</v>
      </c>
      <c r="N1250">
        <v>8</v>
      </c>
      <c r="O1250">
        <v>3</v>
      </c>
      <c r="P1250" s="13" t="str">
        <f t="shared" si="155"/>
        <v>1d8 + 3</v>
      </c>
      <c r="Q1250">
        <f>ROUND(INDEX(Catalogue!E$4:E$85,MATCH(A1250,Catalogue!A$4:A$85,0))*(1+Paramètres!$B$4*(C1250-1)+Paramètres!$B$5*(C1250-1)^2),0)</f>
        <v>4</v>
      </c>
      <c r="R1250">
        <f>ROUND(INDEX(Catalogue!F$4:F$85,MATCH(A1250,Catalogue!A$4:A$85,0))*(1+Paramètres!$B$4*(C1250-1)+Paramètres!$B$5*(C1250-1)^2),0)</f>
        <v>11</v>
      </c>
      <c r="S1250">
        <f t="shared" si="156"/>
        <v>0</v>
      </c>
      <c r="T1250" t="str">
        <f t="shared" si="157"/>
        <v>OK</v>
      </c>
      <c r="U1250" s="25">
        <f t="shared" si="158"/>
        <v>7.5</v>
      </c>
      <c r="V1250" t="str">
        <f t="shared" si="159"/>
        <v>OK</v>
      </c>
    </row>
    <row r="1251" spans="1:22" ht="18" customHeight="1">
      <c r="A1251" t="s">
        <v>298</v>
      </c>
      <c r="B1251" t="s">
        <v>299</v>
      </c>
      <c r="C1251">
        <v>8</v>
      </c>
      <c r="D1251" t="s">
        <v>286</v>
      </c>
      <c r="E1251" s="6">
        <f t="shared" si="152"/>
        <v>4</v>
      </c>
      <c r="F1251" s="6">
        <f t="shared" si="153"/>
        <v>13</v>
      </c>
      <c r="G1251" s="6">
        <f>ROUND(Catalogue!G66*SQRT((1+Paramètres!$B$4*(C1251-1)+Paramètres!$B$5*(C1251-1)^2)),0)</f>
        <v>0</v>
      </c>
      <c r="H1251" s="6">
        <f>ROUND(Catalogue!H66*SQRT((1+Paramètres!$B$4*(C1251-1)+Paramètres!$B$5*(C1251-1)^2)),0)</f>
        <v>0</v>
      </c>
      <c r="I1251" s="6">
        <v>2</v>
      </c>
      <c r="J1251" s="6">
        <v>4</v>
      </c>
      <c r="K1251" s="7">
        <v>0.3</v>
      </c>
      <c r="L1251" s="9">
        <f t="shared" si="154"/>
        <v>8.5</v>
      </c>
      <c r="M1251">
        <v>3</v>
      </c>
      <c r="N1251">
        <v>4</v>
      </c>
      <c r="O1251">
        <v>1</v>
      </c>
      <c r="P1251" s="13" t="str">
        <f t="shared" si="155"/>
        <v>3d4 + 1</v>
      </c>
      <c r="Q1251">
        <f>ROUND(INDEX(Catalogue!E$4:E$85,MATCH(A1251,Catalogue!A$4:A$85,0))*(1+Paramètres!$B$4*(C1251-1)+Paramètres!$B$5*(C1251-1)^2),0)</f>
        <v>5</v>
      </c>
      <c r="R1251">
        <f>ROUND(INDEX(Catalogue!F$4:F$85,MATCH(A1251,Catalogue!A$4:A$85,0))*(1+Paramètres!$B$4*(C1251-1)+Paramètres!$B$5*(C1251-1)^2),0)</f>
        <v>13</v>
      </c>
      <c r="S1251">
        <f t="shared" si="156"/>
        <v>-0.5</v>
      </c>
      <c r="T1251" t="str">
        <f t="shared" si="157"/>
        <v>OK</v>
      </c>
      <c r="U1251" s="25">
        <f t="shared" si="158"/>
        <v>8.5</v>
      </c>
      <c r="V1251" t="str">
        <f t="shared" si="159"/>
        <v>OK</v>
      </c>
    </row>
    <row r="1252" spans="1:22" ht="18" customHeight="1">
      <c r="A1252" t="s">
        <v>298</v>
      </c>
      <c r="B1252" t="s">
        <v>299</v>
      </c>
      <c r="C1252">
        <v>9</v>
      </c>
      <c r="D1252" t="s">
        <v>286</v>
      </c>
      <c r="E1252" s="6">
        <f t="shared" si="152"/>
        <v>6</v>
      </c>
      <c r="F1252" s="6">
        <f t="shared" si="153"/>
        <v>15</v>
      </c>
      <c r="G1252" s="6">
        <f>ROUND(Catalogue!G66*SQRT((1+Paramètres!$B$4*(C1252-1)+Paramètres!$B$5*(C1252-1)^2)),0)</f>
        <v>0</v>
      </c>
      <c r="H1252" s="6">
        <f>ROUND(Catalogue!H66*SQRT((1+Paramètres!$B$4*(C1252-1)+Paramètres!$B$5*(C1252-1)^2)),0)</f>
        <v>0</v>
      </c>
      <c r="I1252" s="6">
        <v>2</v>
      </c>
      <c r="J1252" s="6">
        <v>4</v>
      </c>
      <c r="K1252" s="7">
        <v>0.3</v>
      </c>
      <c r="L1252" s="9">
        <f t="shared" si="154"/>
        <v>10.5</v>
      </c>
      <c r="M1252">
        <v>3</v>
      </c>
      <c r="N1252">
        <v>4</v>
      </c>
      <c r="O1252">
        <v>3</v>
      </c>
      <c r="P1252" s="13" t="str">
        <f t="shared" si="155"/>
        <v>3d4 + 3</v>
      </c>
      <c r="Q1252">
        <f>ROUND(INDEX(Catalogue!E$4:E$85,MATCH(A1252,Catalogue!A$4:A$85,0))*(1+Paramètres!$B$4*(C1252-1)+Paramètres!$B$5*(C1252-1)^2),0)</f>
        <v>6</v>
      </c>
      <c r="R1252">
        <f>ROUND(INDEX(Catalogue!F$4:F$85,MATCH(A1252,Catalogue!A$4:A$85,0))*(1+Paramètres!$B$4*(C1252-1)+Paramètres!$B$5*(C1252-1)^2),0)</f>
        <v>15</v>
      </c>
      <c r="S1252">
        <f t="shared" si="156"/>
        <v>0</v>
      </c>
      <c r="T1252" t="str">
        <f t="shared" si="157"/>
        <v>OK</v>
      </c>
      <c r="U1252" s="25">
        <f t="shared" si="158"/>
        <v>10.5</v>
      </c>
      <c r="V1252" t="str">
        <f t="shared" si="159"/>
        <v>OK</v>
      </c>
    </row>
    <row r="1253" spans="1:22" ht="18" customHeight="1">
      <c r="A1253" t="s">
        <v>298</v>
      </c>
      <c r="B1253" t="s">
        <v>299</v>
      </c>
      <c r="C1253">
        <v>10</v>
      </c>
      <c r="D1253" t="s">
        <v>286</v>
      </c>
      <c r="E1253" s="6">
        <f t="shared" si="152"/>
        <v>7</v>
      </c>
      <c r="F1253" s="6">
        <f t="shared" si="153"/>
        <v>16</v>
      </c>
      <c r="G1253" s="6">
        <f>ROUND(Catalogue!G66*SQRT((1+Paramètres!$B$4*(C1253-1)+Paramètres!$B$5*(C1253-1)^2)),0)</f>
        <v>0</v>
      </c>
      <c r="H1253" s="6">
        <f>ROUND(Catalogue!H66*SQRT((1+Paramètres!$B$4*(C1253-1)+Paramètres!$B$5*(C1253-1)^2)),0)</f>
        <v>0</v>
      </c>
      <c r="I1253" s="6">
        <v>2</v>
      </c>
      <c r="J1253" s="6">
        <v>4</v>
      </c>
      <c r="K1253" s="7">
        <v>0.3</v>
      </c>
      <c r="L1253" s="9">
        <f t="shared" si="154"/>
        <v>11.5</v>
      </c>
      <c r="M1253">
        <v>3</v>
      </c>
      <c r="N1253">
        <v>4</v>
      </c>
      <c r="O1253">
        <v>4</v>
      </c>
      <c r="P1253" s="13" t="str">
        <f t="shared" si="155"/>
        <v>3d4 + 4</v>
      </c>
      <c r="Q1253">
        <f>ROUND(INDEX(Catalogue!E$4:E$85,MATCH(A1253,Catalogue!A$4:A$85,0))*(1+Paramètres!$B$4*(C1253-1)+Paramètres!$B$5*(C1253-1)^2),0)</f>
        <v>7</v>
      </c>
      <c r="R1253">
        <f>ROUND(INDEX(Catalogue!F$4:F$85,MATCH(A1253,Catalogue!A$4:A$85,0))*(1+Paramètres!$B$4*(C1253-1)+Paramètres!$B$5*(C1253-1)^2),0)</f>
        <v>16</v>
      </c>
      <c r="S1253">
        <f t="shared" si="156"/>
        <v>0</v>
      </c>
      <c r="T1253" t="str">
        <f t="shared" si="157"/>
        <v>OK</v>
      </c>
      <c r="U1253" s="25">
        <f t="shared" si="158"/>
        <v>11.5</v>
      </c>
      <c r="V1253" t="str">
        <f t="shared" si="159"/>
        <v>OK</v>
      </c>
    </row>
    <row r="1254" spans="1:22" ht="18" customHeight="1">
      <c r="A1254" t="s">
        <v>298</v>
      </c>
      <c r="B1254" t="s">
        <v>299</v>
      </c>
      <c r="C1254">
        <v>11</v>
      </c>
      <c r="D1254" t="s">
        <v>286</v>
      </c>
      <c r="E1254" s="6">
        <f t="shared" si="152"/>
        <v>7</v>
      </c>
      <c r="F1254" s="6">
        <f t="shared" si="153"/>
        <v>19</v>
      </c>
      <c r="G1254" s="6">
        <f>ROUND(Catalogue!G66*SQRT((1+Paramètres!$B$4*(C1254-1)+Paramètres!$B$5*(C1254-1)^2)),0)</f>
        <v>0</v>
      </c>
      <c r="H1254" s="6">
        <f>ROUND(Catalogue!H66*SQRT((1+Paramètres!$B$4*(C1254-1)+Paramètres!$B$5*(C1254-1)^2)),0)</f>
        <v>0</v>
      </c>
      <c r="I1254" s="6">
        <v>2</v>
      </c>
      <c r="J1254" s="6">
        <v>4</v>
      </c>
      <c r="K1254" s="7">
        <v>0.3</v>
      </c>
      <c r="L1254" s="9">
        <f t="shared" si="154"/>
        <v>13</v>
      </c>
      <c r="M1254">
        <v>4</v>
      </c>
      <c r="N1254">
        <v>4</v>
      </c>
      <c r="O1254">
        <v>3</v>
      </c>
      <c r="P1254" s="13" t="str">
        <f t="shared" si="155"/>
        <v>4d4 + 3</v>
      </c>
      <c r="Q1254">
        <f>ROUND(INDEX(Catalogue!E$4:E$85,MATCH(A1254,Catalogue!A$4:A$85,0))*(1+Paramètres!$B$4*(C1254-1)+Paramètres!$B$5*(C1254-1)^2),0)</f>
        <v>7</v>
      </c>
      <c r="R1254">
        <f>ROUND(INDEX(Catalogue!F$4:F$85,MATCH(A1254,Catalogue!A$4:A$85,0))*(1+Paramètres!$B$4*(C1254-1)+Paramètres!$B$5*(C1254-1)^2),0)</f>
        <v>19</v>
      </c>
      <c r="S1254">
        <f t="shared" si="156"/>
        <v>0</v>
      </c>
      <c r="T1254" t="str">
        <f t="shared" si="157"/>
        <v>OK</v>
      </c>
      <c r="U1254" s="25">
        <f t="shared" si="158"/>
        <v>13</v>
      </c>
      <c r="V1254" t="str">
        <f t="shared" si="159"/>
        <v>OK</v>
      </c>
    </row>
    <row r="1255" spans="1:22" ht="18" customHeight="1">
      <c r="A1255" t="s">
        <v>298</v>
      </c>
      <c r="B1255" t="s">
        <v>299</v>
      </c>
      <c r="C1255">
        <v>12</v>
      </c>
      <c r="D1255" t="s">
        <v>286</v>
      </c>
      <c r="E1255" s="6">
        <f t="shared" si="152"/>
        <v>7</v>
      </c>
      <c r="F1255" s="6">
        <f t="shared" si="153"/>
        <v>21</v>
      </c>
      <c r="G1255" s="6">
        <f>ROUND(Catalogue!G66*SQRT((1+Paramètres!$B$4*(C1255-1)+Paramètres!$B$5*(C1255-1)^2)),0)</f>
        <v>0</v>
      </c>
      <c r="H1255" s="6">
        <f>ROUND(Catalogue!H66*SQRT((1+Paramètres!$B$4*(C1255-1)+Paramètres!$B$5*(C1255-1)^2)),0)</f>
        <v>0</v>
      </c>
      <c r="I1255" s="6">
        <v>2</v>
      </c>
      <c r="J1255" s="6">
        <v>4</v>
      </c>
      <c r="K1255" s="7">
        <v>0.3</v>
      </c>
      <c r="L1255" s="9">
        <f t="shared" si="154"/>
        <v>14</v>
      </c>
      <c r="M1255">
        <v>2</v>
      </c>
      <c r="N1255">
        <v>8</v>
      </c>
      <c r="O1255">
        <v>5</v>
      </c>
      <c r="P1255" s="13" t="str">
        <f t="shared" si="155"/>
        <v>2d8 + 5</v>
      </c>
      <c r="Q1255">
        <f>ROUND(INDEX(Catalogue!E$4:E$85,MATCH(A1255,Catalogue!A$4:A$85,0))*(1+Paramètres!$B$4*(C1255-1)+Paramètres!$B$5*(C1255-1)^2),0)</f>
        <v>8</v>
      </c>
      <c r="R1255">
        <f>ROUND(INDEX(Catalogue!F$4:F$85,MATCH(A1255,Catalogue!A$4:A$85,0))*(1+Paramètres!$B$4*(C1255-1)+Paramètres!$B$5*(C1255-1)^2),0)</f>
        <v>21</v>
      </c>
      <c r="S1255">
        <f t="shared" si="156"/>
        <v>-0.5</v>
      </c>
      <c r="T1255" t="str">
        <f t="shared" si="157"/>
        <v>OK</v>
      </c>
      <c r="U1255" s="25">
        <f t="shared" si="158"/>
        <v>14</v>
      </c>
      <c r="V1255" t="str">
        <f t="shared" si="159"/>
        <v>OK</v>
      </c>
    </row>
    <row r="1256" spans="1:22" ht="18" customHeight="1">
      <c r="A1256" t="s">
        <v>298</v>
      </c>
      <c r="B1256" t="s">
        <v>299</v>
      </c>
      <c r="C1256">
        <v>13</v>
      </c>
      <c r="D1256" t="s">
        <v>286</v>
      </c>
      <c r="E1256" s="6">
        <f t="shared" si="152"/>
        <v>9</v>
      </c>
      <c r="F1256" s="6">
        <f t="shared" si="153"/>
        <v>23</v>
      </c>
      <c r="G1256" s="6">
        <f>ROUND(Catalogue!G66*SQRT((1+Paramètres!$B$4*(C1256-1)+Paramètres!$B$5*(C1256-1)^2)),0)</f>
        <v>0</v>
      </c>
      <c r="H1256" s="6">
        <f>ROUND(Catalogue!H66*SQRT((1+Paramètres!$B$4*(C1256-1)+Paramètres!$B$5*(C1256-1)^2)),0)</f>
        <v>0</v>
      </c>
      <c r="I1256" s="6">
        <v>2</v>
      </c>
      <c r="J1256" s="6">
        <v>4</v>
      </c>
      <c r="K1256" s="7">
        <v>0.3</v>
      </c>
      <c r="L1256" s="9">
        <f t="shared" si="154"/>
        <v>16</v>
      </c>
      <c r="M1256">
        <v>2</v>
      </c>
      <c r="N1256">
        <v>8</v>
      </c>
      <c r="O1256">
        <v>7</v>
      </c>
      <c r="P1256" s="13" t="str">
        <f t="shared" si="155"/>
        <v>2d8 + 7</v>
      </c>
      <c r="Q1256">
        <f>ROUND(INDEX(Catalogue!E$4:E$85,MATCH(A1256,Catalogue!A$4:A$85,0))*(1+Paramètres!$B$4*(C1256-1)+Paramètres!$B$5*(C1256-1)^2),0)</f>
        <v>9</v>
      </c>
      <c r="R1256">
        <f>ROUND(INDEX(Catalogue!F$4:F$85,MATCH(A1256,Catalogue!A$4:A$85,0))*(1+Paramètres!$B$4*(C1256-1)+Paramètres!$B$5*(C1256-1)^2),0)</f>
        <v>23</v>
      </c>
      <c r="S1256">
        <f t="shared" si="156"/>
        <v>0</v>
      </c>
      <c r="T1256" t="str">
        <f t="shared" si="157"/>
        <v>OK</v>
      </c>
      <c r="U1256" s="25">
        <f t="shared" si="158"/>
        <v>16</v>
      </c>
      <c r="V1256" t="str">
        <f t="shared" si="159"/>
        <v>OK</v>
      </c>
    </row>
    <row r="1257" spans="1:22" ht="18" customHeight="1">
      <c r="A1257" t="s">
        <v>298</v>
      </c>
      <c r="B1257" t="s">
        <v>299</v>
      </c>
      <c r="C1257">
        <v>14</v>
      </c>
      <c r="D1257" t="s">
        <v>286</v>
      </c>
      <c r="E1257" s="6">
        <f t="shared" si="152"/>
        <v>11</v>
      </c>
      <c r="F1257" s="6">
        <f t="shared" si="153"/>
        <v>26</v>
      </c>
      <c r="G1257" s="6">
        <f>ROUND(Catalogue!G66*SQRT((1+Paramètres!$B$4*(C1257-1)+Paramètres!$B$5*(C1257-1)^2)),0)</f>
        <v>0</v>
      </c>
      <c r="H1257" s="6">
        <f>ROUND(Catalogue!H66*SQRT((1+Paramètres!$B$4*(C1257-1)+Paramètres!$B$5*(C1257-1)^2)),0)</f>
        <v>0</v>
      </c>
      <c r="I1257" s="6">
        <v>2</v>
      </c>
      <c r="J1257" s="6">
        <v>4</v>
      </c>
      <c r="K1257" s="7">
        <v>0.3</v>
      </c>
      <c r="L1257" s="9">
        <f t="shared" si="154"/>
        <v>18.5</v>
      </c>
      <c r="M1257">
        <v>3</v>
      </c>
      <c r="N1257">
        <v>6</v>
      </c>
      <c r="O1257">
        <v>8</v>
      </c>
      <c r="P1257" s="13" t="str">
        <f t="shared" si="155"/>
        <v>3d6 + 8</v>
      </c>
      <c r="Q1257">
        <f>ROUND(INDEX(Catalogue!E$4:E$85,MATCH(A1257,Catalogue!A$4:A$85,0))*(1+Paramètres!$B$4*(C1257-1)+Paramètres!$B$5*(C1257-1)^2),0)</f>
        <v>10</v>
      </c>
      <c r="R1257">
        <f>ROUND(INDEX(Catalogue!F$4:F$85,MATCH(A1257,Catalogue!A$4:A$85,0))*(1+Paramètres!$B$4*(C1257-1)+Paramètres!$B$5*(C1257-1)^2),0)</f>
        <v>26</v>
      </c>
      <c r="S1257">
        <f t="shared" si="156"/>
        <v>0.5</v>
      </c>
      <c r="T1257" t="str">
        <f t="shared" si="157"/>
        <v>OK</v>
      </c>
      <c r="U1257" s="25">
        <f t="shared" si="158"/>
        <v>18.5</v>
      </c>
      <c r="V1257" t="str">
        <f t="shared" si="159"/>
        <v>OK</v>
      </c>
    </row>
    <row r="1258" spans="1:22" ht="18" customHeight="1">
      <c r="A1258" t="s">
        <v>298</v>
      </c>
      <c r="B1258" t="s">
        <v>299</v>
      </c>
      <c r="C1258">
        <v>15</v>
      </c>
      <c r="D1258" t="s">
        <v>286</v>
      </c>
      <c r="E1258" s="6">
        <f t="shared" si="152"/>
        <v>10</v>
      </c>
      <c r="F1258" s="6">
        <f t="shared" si="153"/>
        <v>28</v>
      </c>
      <c r="G1258" s="6">
        <f>ROUND(Catalogue!G66*SQRT((1+Paramètres!$B$4*(C1258-1)+Paramètres!$B$5*(C1258-1)^2)),0)</f>
        <v>0</v>
      </c>
      <c r="H1258" s="6">
        <f>ROUND(Catalogue!H66*SQRT((1+Paramètres!$B$4*(C1258-1)+Paramètres!$B$5*(C1258-1)^2)),0)</f>
        <v>0</v>
      </c>
      <c r="I1258" s="6">
        <v>2</v>
      </c>
      <c r="J1258" s="6">
        <v>4</v>
      </c>
      <c r="K1258" s="7">
        <v>0.3</v>
      </c>
      <c r="L1258" s="9">
        <f t="shared" si="154"/>
        <v>19</v>
      </c>
      <c r="M1258">
        <v>2</v>
      </c>
      <c r="N1258">
        <v>10</v>
      </c>
      <c r="O1258">
        <v>8</v>
      </c>
      <c r="P1258" s="13" t="str">
        <f t="shared" si="155"/>
        <v>2d10 + 8</v>
      </c>
      <c r="Q1258">
        <f>ROUND(INDEX(Catalogue!E$4:E$85,MATCH(A1258,Catalogue!A$4:A$85,0))*(1+Paramètres!$B$4*(C1258-1)+Paramètres!$B$5*(C1258-1)^2),0)</f>
        <v>11</v>
      </c>
      <c r="R1258">
        <f>ROUND(INDEX(Catalogue!F$4:F$85,MATCH(A1258,Catalogue!A$4:A$85,0))*(1+Paramètres!$B$4*(C1258-1)+Paramètres!$B$5*(C1258-1)^2),0)</f>
        <v>28</v>
      </c>
      <c r="S1258">
        <f t="shared" si="156"/>
        <v>-0.5</v>
      </c>
      <c r="T1258" t="str">
        <f t="shared" si="157"/>
        <v>OK</v>
      </c>
      <c r="U1258" s="25">
        <f t="shared" si="158"/>
        <v>19</v>
      </c>
      <c r="V1258" t="str">
        <f t="shared" si="159"/>
        <v>OK</v>
      </c>
    </row>
    <row r="1259" spans="1:22" ht="18" customHeight="1">
      <c r="A1259" t="s">
        <v>298</v>
      </c>
      <c r="B1259" t="s">
        <v>299</v>
      </c>
      <c r="C1259">
        <v>16</v>
      </c>
      <c r="D1259" t="s">
        <v>286</v>
      </c>
      <c r="E1259" s="6">
        <f t="shared" si="152"/>
        <v>13</v>
      </c>
      <c r="F1259" s="6">
        <f t="shared" si="153"/>
        <v>31</v>
      </c>
      <c r="G1259" s="6">
        <f>ROUND(Catalogue!G66*SQRT((1+Paramètres!$B$4*(C1259-1)+Paramètres!$B$5*(C1259-1)^2)),0)</f>
        <v>0</v>
      </c>
      <c r="H1259" s="6">
        <f>ROUND(Catalogue!H66*SQRT((1+Paramètres!$B$4*(C1259-1)+Paramètres!$B$5*(C1259-1)^2)),0)</f>
        <v>0</v>
      </c>
      <c r="I1259" s="6">
        <v>2</v>
      </c>
      <c r="J1259" s="6">
        <v>4</v>
      </c>
      <c r="K1259" s="7">
        <v>0.3</v>
      </c>
      <c r="L1259" s="9">
        <f t="shared" si="154"/>
        <v>22</v>
      </c>
      <c r="M1259">
        <v>2</v>
      </c>
      <c r="N1259">
        <v>10</v>
      </c>
      <c r="O1259">
        <v>11</v>
      </c>
      <c r="P1259" s="13" t="str">
        <f t="shared" si="155"/>
        <v>2d10 + 11</v>
      </c>
      <c r="Q1259">
        <f>ROUND(INDEX(Catalogue!E$4:E$85,MATCH(A1259,Catalogue!A$4:A$85,0))*(1+Paramètres!$B$4*(C1259-1)+Paramètres!$B$5*(C1259-1)^2),0)</f>
        <v>13</v>
      </c>
      <c r="R1259">
        <f>ROUND(INDEX(Catalogue!F$4:F$85,MATCH(A1259,Catalogue!A$4:A$85,0))*(1+Paramètres!$B$4*(C1259-1)+Paramètres!$B$5*(C1259-1)^2),0)</f>
        <v>31</v>
      </c>
      <c r="S1259">
        <f t="shared" si="156"/>
        <v>0</v>
      </c>
      <c r="T1259" t="str">
        <f t="shared" si="157"/>
        <v>OK</v>
      </c>
      <c r="U1259" s="25">
        <f t="shared" si="158"/>
        <v>22</v>
      </c>
      <c r="V1259" t="str">
        <f t="shared" si="159"/>
        <v>OK</v>
      </c>
    </row>
    <row r="1260" spans="1:22" ht="18" customHeight="1">
      <c r="A1260" t="s">
        <v>298</v>
      </c>
      <c r="B1260" t="s">
        <v>299</v>
      </c>
      <c r="C1260">
        <v>17</v>
      </c>
      <c r="D1260" t="s">
        <v>286</v>
      </c>
      <c r="E1260" s="6">
        <f t="shared" si="152"/>
        <v>14</v>
      </c>
      <c r="F1260" s="6">
        <f t="shared" si="153"/>
        <v>34</v>
      </c>
      <c r="G1260" s="6">
        <f>ROUND(Catalogue!G66*SQRT((1+Paramètres!$B$4*(C1260-1)+Paramètres!$B$5*(C1260-1)^2)),0)</f>
        <v>0</v>
      </c>
      <c r="H1260" s="6">
        <f>ROUND(Catalogue!H66*SQRT((1+Paramètres!$B$4*(C1260-1)+Paramètres!$B$5*(C1260-1)^2)),0)</f>
        <v>0</v>
      </c>
      <c r="I1260" s="6">
        <v>2</v>
      </c>
      <c r="J1260" s="6">
        <v>4</v>
      </c>
      <c r="K1260" s="7">
        <v>0.3</v>
      </c>
      <c r="L1260" s="9">
        <f t="shared" si="154"/>
        <v>24</v>
      </c>
      <c r="M1260">
        <v>4</v>
      </c>
      <c r="N1260">
        <v>6</v>
      </c>
      <c r="O1260">
        <v>10</v>
      </c>
      <c r="P1260" s="13" t="str">
        <f t="shared" si="155"/>
        <v>4d6 + 10</v>
      </c>
      <c r="Q1260">
        <f>ROUND(INDEX(Catalogue!E$4:E$85,MATCH(A1260,Catalogue!A$4:A$85,0))*(1+Paramètres!$B$4*(C1260-1)+Paramètres!$B$5*(C1260-1)^2),0)</f>
        <v>14</v>
      </c>
      <c r="R1260">
        <f>ROUND(INDEX(Catalogue!F$4:F$85,MATCH(A1260,Catalogue!A$4:A$85,0))*(1+Paramètres!$B$4*(C1260-1)+Paramètres!$B$5*(C1260-1)^2),0)</f>
        <v>34</v>
      </c>
      <c r="S1260">
        <f t="shared" si="156"/>
        <v>0</v>
      </c>
      <c r="T1260" t="str">
        <f t="shared" si="157"/>
        <v>OK</v>
      </c>
      <c r="U1260" s="25">
        <f t="shared" si="158"/>
        <v>24</v>
      </c>
      <c r="V1260" t="str">
        <f t="shared" si="159"/>
        <v>OK</v>
      </c>
    </row>
    <row r="1261" spans="1:22" ht="18" customHeight="1">
      <c r="A1261" t="s">
        <v>298</v>
      </c>
      <c r="B1261" t="s">
        <v>299</v>
      </c>
      <c r="C1261">
        <v>18</v>
      </c>
      <c r="D1261" t="s">
        <v>286</v>
      </c>
      <c r="E1261" s="6">
        <f t="shared" si="152"/>
        <v>15</v>
      </c>
      <c r="F1261" s="6">
        <f t="shared" si="153"/>
        <v>37</v>
      </c>
      <c r="G1261" s="6">
        <f>ROUND(Catalogue!G66*SQRT((1+Paramètres!$B$4*(C1261-1)+Paramètres!$B$5*(C1261-1)^2)),0)</f>
        <v>0</v>
      </c>
      <c r="H1261" s="6">
        <f>ROUND(Catalogue!H66*SQRT((1+Paramètres!$B$4*(C1261-1)+Paramètres!$B$5*(C1261-1)^2)),0)</f>
        <v>0</v>
      </c>
      <c r="I1261" s="6">
        <v>2</v>
      </c>
      <c r="J1261" s="6">
        <v>4</v>
      </c>
      <c r="K1261" s="7">
        <v>0.3</v>
      </c>
      <c r="L1261" s="9">
        <f t="shared" si="154"/>
        <v>26</v>
      </c>
      <c r="M1261">
        <v>2</v>
      </c>
      <c r="N1261">
        <v>12</v>
      </c>
      <c r="O1261">
        <v>13</v>
      </c>
      <c r="P1261" s="13" t="str">
        <f t="shared" si="155"/>
        <v>2d12 + 13</v>
      </c>
      <c r="Q1261">
        <f>ROUND(INDEX(Catalogue!E$4:E$85,MATCH(A1261,Catalogue!A$4:A$85,0))*(1+Paramètres!$B$4*(C1261-1)+Paramètres!$B$5*(C1261-1)^2),0)</f>
        <v>15</v>
      </c>
      <c r="R1261">
        <f>ROUND(INDEX(Catalogue!F$4:F$85,MATCH(A1261,Catalogue!A$4:A$85,0))*(1+Paramètres!$B$4*(C1261-1)+Paramètres!$B$5*(C1261-1)^2),0)</f>
        <v>37</v>
      </c>
      <c r="S1261">
        <f t="shared" si="156"/>
        <v>0</v>
      </c>
      <c r="T1261" t="str">
        <f t="shared" si="157"/>
        <v>OK</v>
      </c>
      <c r="U1261" s="25">
        <f t="shared" si="158"/>
        <v>26</v>
      </c>
      <c r="V1261" t="str">
        <f t="shared" si="159"/>
        <v>OK</v>
      </c>
    </row>
    <row r="1262" spans="1:22" ht="18" customHeight="1">
      <c r="A1262" t="s">
        <v>298</v>
      </c>
      <c r="B1262" t="s">
        <v>299</v>
      </c>
      <c r="C1262">
        <v>19</v>
      </c>
      <c r="D1262" t="s">
        <v>286</v>
      </c>
      <c r="E1262" s="6">
        <f t="shared" si="152"/>
        <v>16</v>
      </c>
      <c r="F1262" s="6">
        <f t="shared" si="153"/>
        <v>41</v>
      </c>
      <c r="G1262" s="6">
        <f>ROUND(Catalogue!G66*SQRT((1+Paramètres!$B$4*(C1262-1)+Paramètres!$B$5*(C1262-1)^2)),0)</f>
        <v>0</v>
      </c>
      <c r="H1262" s="6">
        <f>ROUND(Catalogue!H66*SQRT((1+Paramètres!$B$4*(C1262-1)+Paramètres!$B$5*(C1262-1)^2)),0)</f>
        <v>0</v>
      </c>
      <c r="I1262" s="6">
        <v>2</v>
      </c>
      <c r="J1262" s="6">
        <v>4</v>
      </c>
      <c r="K1262" s="7">
        <v>0.3</v>
      </c>
      <c r="L1262" s="9">
        <f t="shared" si="154"/>
        <v>28.5</v>
      </c>
      <c r="M1262">
        <v>5</v>
      </c>
      <c r="N1262">
        <v>6</v>
      </c>
      <c r="O1262">
        <v>11</v>
      </c>
      <c r="P1262" s="13" t="str">
        <f t="shared" si="155"/>
        <v>5d6 + 11</v>
      </c>
      <c r="Q1262">
        <f>ROUND(INDEX(Catalogue!E$4:E$85,MATCH(A1262,Catalogue!A$4:A$85,0))*(1+Paramètres!$B$4*(C1262-1)+Paramètres!$B$5*(C1262-1)^2),0)</f>
        <v>16</v>
      </c>
      <c r="R1262">
        <f>ROUND(INDEX(Catalogue!F$4:F$85,MATCH(A1262,Catalogue!A$4:A$85,0))*(1+Paramètres!$B$4*(C1262-1)+Paramètres!$B$5*(C1262-1)^2),0)</f>
        <v>41</v>
      </c>
      <c r="S1262">
        <f t="shared" si="156"/>
        <v>0</v>
      </c>
      <c r="T1262" t="str">
        <f t="shared" si="157"/>
        <v>OK</v>
      </c>
      <c r="U1262" s="25">
        <f t="shared" si="158"/>
        <v>28.5</v>
      </c>
      <c r="V1262" t="str">
        <f t="shared" si="159"/>
        <v>OK</v>
      </c>
    </row>
    <row r="1263" spans="1:22" ht="18" customHeight="1">
      <c r="A1263" t="s">
        <v>298</v>
      </c>
      <c r="B1263" t="s">
        <v>299</v>
      </c>
      <c r="C1263">
        <v>20</v>
      </c>
      <c r="D1263" t="s">
        <v>286</v>
      </c>
      <c r="E1263" s="6">
        <f t="shared" si="152"/>
        <v>17</v>
      </c>
      <c r="F1263" s="6">
        <f t="shared" si="153"/>
        <v>44</v>
      </c>
      <c r="G1263" s="6">
        <f>ROUND(Catalogue!G66*SQRT((1+Paramètres!$B$4*(C1263-1)+Paramètres!$B$5*(C1263-1)^2)),0)</f>
        <v>0</v>
      </c>
      <c r="H1263" s="6">
        <f>ROUND(Catalogue!H66*SQRT((1+Paramètres!$B$4*(C1263-1)+Paramètres!$B$5*(C1263-1)^2)),0)</f>
        <v>0</v>
      </c>
      <c r="I1263" s="6">
        <v>2</v>
      </c>
      <c r="J1263" s="6">
        <v>4</v>
      </c>
      <c r="K1263" s="7">
        <v>0.3</v>
      </c>
      <c r="L1263" s="9">
        <f t="shared" si="154"/>
        <v>30.5</v>
      </c>
      <c r="M1263">
        <v>3</v>
      </c>
      <c r="N1263">
        <v>10</v>
      </c>
      <c r="O1263">
        <v>14</v>
      </c>
      <c r="P1263" s="13" t="str">
        <f t="shared" si="155"/>
        <v>3d10 + 14</v>
      </c>
      <c r="Q1263">
        <f>ROUND(INDEX(Catalogue!E$4:E$85,MATCH(A1263,Catalogue!A$4:A$85,0))*(1+Paramètres!$B$4*(C1263-1)+Paramètres!$B$5*(C1263-1)^2),0)</f>
        <v>18</v>
      </c>
      <c r="R1263">
        <f>ROUND(INDEX(Catalogue!F$4:F$85,MATCH(A1263,Catalogue!A$4:A$85,0))*(1+Paramètres!$B$4*(C1263-1)+Paramètres!$B$5*(C1263-1)^2),0)</f>
        <v>44</v>
      </c>
      <c r="S1263">
        <f t="shared" si="156"/>
        <v>-0.5</v>
      </c>
      <c r="T1263" t="str">
        <f t="shared" si="157"/>
        <v>OK</v>
      </c>
      <c r="U1263" s="25">
        <f t="shared" si="158"/>
        <v>30.5</v>
      </c>
      <c r="V1263" t="str">
        <f t="shared" si="159"/>
        <v>OK</v>
      </c>
    </row>
    <row r="1264" spans="1:22" ht="18" customHeight="1">
      <c r="A1264" t="s">
        <v>302</v>
      </c>
      <c r="B1264" t="s">
        <v>303</v>
      </c>
      <c r="C1264">
        <v>1</v>
      </c>
      <c r="D1264" t="s">
        <v>286</v>
      </c>
      <c r="E1264" s="6">
        <f t="shared" si="152"/>
        <v>2</v>
      </c>
      <c r="F1264" s="6">
        <f t="shared" si="153"/>
        <v>5</v>
      </c>
      <c r="G1264" s="6">
        <f>ROUND(Catalogue!G67*SQRT((1+Paramètres!$B$4*(C1264-1)+Paramètres!$B$5*(C1264-1)^2)),0)</f>
        <v>0</v>
      </c>
      <c r="H1264" s="6">
        <f>ROUND(Catalogue!H67*SQRT((1+Paramètres!$B$4*(C1264-1)+Paramètres!$B$5*(C1264-1)^2)),0)</f>
        <v>0</v>
      </c>
      <c r="I1264" s="6">
        <v>2</v>
      </c>
      <c r="J1264" s="6">
        <v>4</v>
      </c>
      <c r="K1264" s="7">
        <v>0.3</v>
      </c>
      <c r="L1264" s="9">
        <f t="shared" si="154"/>
        <v>3.5</v>
      </c>
      <c r="M1264">
        <v>1</v>
      </c>
      <c r="N1264">
        <v>4</v>
      </c>
      <c r="O1264">
        <v>1</v>
      </c>
      <c r="P1264" s="13" t="str">
        <f t="shared" si="155"/>
        <v>1d4 + 1</v>
      </c>
      <c r="Q1264">
        <f>ROUND(INDEX(Catalogue!E$4:E$85,MATCH(A1264,Catalogue!A$4:A$85,0))*(1+Paramètres!$B$4*(C1264-1)+Paramètres!$B$5*(C1264-1)^2),0)</f>
        <v>2</v>
      </c>
      <c r="R1264">
        <f>ROUND(INDEX(Catalogue!F$4:F$85,MATCH(A1264,Catalogue!A$4:A$85,0))*(1+Paramètres!$B$4*(C1264-1)+Paramètres!$B$5*(C1264-1)^2),0)</f>
        <v>5</v>
      </c>
      <c r="S1264">
        <f t="shared" si="156"/>
        <v>0</v>
      </c>
      <c r="T1264" t="str">
        <f t="shared" si="157"/>
        <v>OK</v>
      </c>
      <c r="U1264" s="25">
        <f t="shared" si="158"/>
        <v>3.5</v>
      </c>
      <c r="V1264" t="str">
        <f t="shared" si="159"/>
        <v>OK</v>
      </c>
    </row>
    <row r="1265" spans="1:22" ht="18" customHeight="1">
      <c r="A1265" t="s">
        <v>302</v>
      </c>
      <c r="B1265" t="s">
        <v>303</v>
      </c>
      <c r="C1265">
        <v>2</v>
      </c>
      <c r="D1265" t="s">
        <v>286</v>
      </c>
      <c r="E1265" s="6">
        <f t="shared" si="152"/>
        <v>2</v>
      </c>
      <c r="F1265" s="6">
        <f t="shared" si="153"/>
        <v>5</v>
      </c>
      <c r="G1265" s="6">
        <f>ROUND(Catalogue!G67*SQRT((1+Paramètres!$B$4*(C1265-1)+Paramètres!$B$5*(C1265-1)^2)),0)</f>
        <v>0</v>
      </c>
      <c r="H1265" s="6">
        <f>ROUND(Catalogue!H67*SQRT((1+Paramètres!$B$4*(C1265-1)+Paramètres!$B$5*(C1265-1)^2)),0)</f>
        <v>0</v>
      </c>
      <c r="I1265" s="6">
        <v>2</v>
      </c>
      <c r="J1265" s="6">
        <v>4</v>
      </c>
      <c r="K1265" s="7">
        <v>0.3</v>
      </c>
      <c r="L1265" s="9">
        <f t="shared" si="154"/>
        <v>3.5</v>
      </c>
      <c r="M1265">
        <v>1</v>
      </c>
      <c r="N1265">
        <v>4</v>
      </c>
      <c r="O1265">
        <v>1</v>
      </c>
      <c r="P1265" s="13" t="str">
        <f t="shared" si="155"/>
        <v>1d4 + 1</v>
      </c>
      <c r="Q1265">
        <f>ROUND(INDEX(Catalogue!E$4:E$85,MATCH(A1265,Catalogue!A$4:A$85,0))*(1+Paramètres!$B$4*(C1265-1)+Paramètres!$B$5*(C1265-1)^2),0)</f>
        <v>2</v>
      </c>
      <c r="R1265">
        <f>ROUND(INDEX(Catalogue!F$4:F$85,MATCH(A1265,Catalogue!A$4:A$85,0))*(1+Paramètres!$B$4*(C1265-1)+Paramètres!$B$5*(C1265-1)^2),0)</f>
        <v>6</v>
      </c>
      <c r="S1265">
        <f t="shared" si="156"/>
        <v>-0.5</v>
      </c>
      <c r="T1265" t="str">
        <f t="shared" si="157"/>
        <v>OK</v>
      </c>
      <c r="U1265" s="25">
        <f t="shared" si="158"/>
        <v>3.5</v>
      </c>
      <c r="V1265" t="str">
        <f t="shared" si="159"/>
        <v>OK</v>
      </c>
    </row>
    <row r="1266" spans="1:22" ht="18" customHeight="1">
      <c r="A1266" t="s">
        <v>302</v>
      </c>
      <c r="B1266" t="s">
        <v>303</v>
      </c>
      <c r="C1266">
        <v>3</v>
      </c>
      <c r="D1266" t="s">
        <v>286</v>
      </c>
      <c r="E1266" s="6">
        <f t="shared" si="152"/>
        <v>3</v>
      </c>
      <c r="F1266" s="6">
        <f t="shared" si="153"/>
        <v>6</v>
      </c>
      <c r="G1266" s="6">
        <f>ROUND(Catalogue!G67*SQRT((1+Paramètres!$B$4*(C1266-1)+Paramètres!$B$5*(C1266-1)^2)),0)</f>
        <v>0</v>
      </c>
      <c r="H1266" s="6">
        <f>ROUND(Catalogue!H67*SQRT((1+Paramètres!$B$4*(C1266-1)+Paramètres!$B$5*(C1266-1)^2)),0)</f>
        <v>0</v>
      </c>
      <c r="I1266" s="6">
        <v>2</v>
      </c>
      <c r="J1266" s="6">
        <v>4</v>
      </c>
      <c r="K1266" s="7">
        <v>0.3</v>
      </c>
      <c r="L1266" s="9">
        <f t="shared" si="154"/>
        <v>4.5</v>
      </c>
      <c r="M1266">
        <v>1</v>
      </c>
      <c r="N1266">
        <v>4</v>
      </c>
      <c r="O1266">
        <v>2</v>
      </c>
      <c r="P1266" s="13" t="str">
        <f t="shared" si="155"/>
        <v>1d4 + 2</v>
      </c>
      <c r="Q1266">
        <f>ROUND(INDEX(Catalogue!E$4:E$85,MATCH(A1266,Catalogue!A$4:A$85,0))*(1+Paramètres!$B$4*(C1266-1)+Paramètres!$B$5*(C1266-1)^2),0)</f>
        <v>3</v>
      </c>
      <c r="R1266">
        <f>ROUND(INDEX(Catalogue!F$4:F$85,MATCH(A1266,Catalogue!A$4:A$85,0))*(1+Paramètres!$B$4*(C1266-1)+Paramètres!$B$5*(C1266-1)^2),0)</f>
        <v>6</v>
      </c>
      <c r="S1266">
        <f t="shared" si="156"/>
        <v>0</v>
      </c>
      <c r="T1266" t="str">
        <f t="shared" si="157"/>
        <v>OK</v>
      </c>
      <c r="U1266" s="25">
        <f t="shared" si="158"/>
        <v>4.5</v>
      </c>
      <c r="V1266" t="str">
        <f t="shared" si="159"/>
        <v>OK</v>
      </c>
    </row>
    <row r="1267" spans="1:22" ht="18" customHeight="1">
      <c r="A1267" t="s">
        <v>302</v>
      </c>
      <c r="B1267" t="s">
        <v>303</v>
      </c>
      <c r="C1267">
        <v>4</v>
      </c>
      <c r="D1267" t="s">
        <v>286</v>
      </c>
      <c r="E1267" s="6">
        <f t="shared" si="152"/>
        <v>3</v>
      </c>
      <c r="F1267" s="6">
        <f t="shared" si="153"/>
        <v>6</v>
      </c>
      <c r="G1267" s="6">
        <f>ROUND(Catalogue!G67*SQRT((1+Paramètres!$B$4*(C1267-1)+Paramètres!$B$5*(C1267-1)^2)),0)</f>
        <v>0</v>
      </c>
      <c r="H1267" s="6">
        <f>ROUND(Catalogue!H67*SQRT((1+Paramètres!$B$4*(C1267-1)+Paramètres!$B$5*(C1267-1)^2)),0)</f>
        <v>0</v>
      </c>
      <c r="I1267" s="6">
        <v>2</v>
      </c>
      <c r="J1267" s="6">
        <v>4</v>
      </c>
      <c r="K1267" s="7">
        <v>0.3</v>
      </c>
      <c r="L1267" s="9">
        <f t="shared" si="154"/>
        <v>4.5</v>
      </c>
      <c r="M1267">
        <v>1</v>
      </c>
      <c r="N1267">
        <v>4</v>
      </c>
      <c r="O1267">
        <v>2</v>
      </c>
      <c r="P1267" s="13" t="str">
        <f t="shared" si="155"/>
        <v>1d4 + 2</v>
      </c>
      <c r="Q1267">
        <f>ROUND(INDEX(Catalogue!E$4:E$85,MATCH(A1267,Catalogue!A$4:A$85,0))*(1+Paramètres!$B$4*(C1267-1)+Paramètres!$B$5*(C1267-1)^2),0)</f>
        <v>3</v>
      </c>
      <c r="R1267">
        <f>ROUND(INDEX(Catalogue!F$4:F$85,MATCH(A1267,Catalogue!A$4:A$85,0))*(1+Paramètres!$B$4*(C1267-1)+Paramètres!$B$5*(C1267-1)^2),0)</f>
        <v>7</v>
      </c>
      <c r="S1267">
        <f t="shared" si="156"/>
        <v>-0.5</v>
      </c>
      <c r="T1267" t="str">
        <f t="shared" si="157"/>
        <v>OK</v>
      </c>
      <c r="U1267" s="25">
        <f t="shared" si="158"/>
        <v>4.5</v>
      </c>
      <c r="V1267" t="str">
        <f t="shared" si="159"/>
        <v>OK</v>
      </c>
    </row>
    <row r="1268" spans="1:22" ht="18" customHeight="1">
      <c r="A1268" t="s">
        <v>302</v>
      </c>
      <c r="B1268" t="s">
        <v>303</v>
      </c>
      <c r="C1268">
        <v>5</v>
      </c>
      <c r="D1268" t="s">
        <v>286</v>
      </c>
      <c r="E1268" s="6">
        <f t="shared" si="152"/>
        <v>3</v>
      </c>
      <c r="F1268" s="6">
        <f t="shared" si="153"/>
        <v>8</v>
      </c>
      <c r="G1268" s="6">
        <f>ROUND(Catalogue!G67*SQRT((1+Paramètres!$B$4*(C1268-1)+Paramètres!$B$5*(C1268-1)^2)),0)</f>
        <v>0</v>
      </c>
      <c r="H1268" s="6">
        <f>ROUND(Catalogue!H67*SQRT((1+Paramètres!$B$4*(C1268-1)+Paramètres!$B$5*(C1268-1)^2)),0)</f>
        <v>0</v>
      </c>
      <c r="I1268" s="6">
        <v>2</v>
      </c>
      <c r="J1268" s="6">
        <v>4</v>
      </c>
      <c r="K1268" s="7">
        <v>0.3</v>
      </c>
      <c r="L1268" s="9">
        <f t="shared" si="154"/>
        <v>5.5</v>
      </c>
      <c r="M1268">
        <v>1</v>
      </c>
      <c r="N1268">
        <v>6</v>
      </c>
      <c r="O1268">
        <v>2</v>
      </c>
      <c r="P1268" s="13" t="str">
        <f t="shared" si="155"/>
        <v>1d6 + 2</v>
      </c>
      <c r="Q1268">
        <f>ROUND(INDEX(Catalogue!E$4:E$85,MATCH(A1268,Catalogue!A$4:A$85,0))*(1+Paramètres!$B$4*(C1268-1)+Paramètres!$B$5*(C1268-1)^2),0)</f>
        <v>3</v>
      </c>
      <c r="R1268">
        <f>ROUND(INDEX(Catalogue!F$4:F$85,MATCH(A1268,Catalogue!A$4:A$85,0))*(1+Paramètres!$B$4*(C1268-1)+Paramètres!$B$5*(C1268-1)^2),0)</f>
        <v>8</v>
      </c>
      <c r="S1268">
        <f t="shared" si="156"/>
        <v>0</v>
      </c>
      <c r="T1268" t="str">
        <f t="shared" si="157"/>
        <v>OK</v>
      </c>
      <c r="U1268" s="25">
        <f t="shared" si="158"/>
        <v>5.5</v>
      </c>
      <c r="V1268" t="str">
        <f t="shared" si="159"/>
        <v>OK</v>
      </c>
    </row>
    <row r="1269" spans="1:22" ht="18" customHeight="1">
      <c r="A1269" t="s">
        <v>302</v>
      </c>
      <c r="B1269" t="s">
        <v>303</v>
      </c>
      <c r="C1269">
        <v>6</v>
      </c>
      <c r="D1269" t="s">
        <v>286</v>
      </c>
      <c r="E1269" s="6">
        <f t="shared" si="152"/>
        <v>4</v>
      </c>
      <c r="F1269" s="6">
        <f t="shared" si="153"/>
        <v>10</v>
      </c>
      <c r="G1269" s="6">
        <f>ROUND(Catalogue!G67*SQRT((1+Paramètres!$B$4*(C1269-1)+Paramètres!$B$5*(C1269-1)^2)),0)</f>
        <v>0</v>
      </c>
      <c r="H1269" s="6">
        <f>ROUND(Catalogue!H67*SQRT((1+Paramètres!$B$4*(C1269-1)+Paramètres!$B$5*(C1269-1)^2)),0)</f>
        <v>0</v>
      </c>
      <c r="I1269" s="6">
        <v>2</v>
      </c>
      <c r="J1269" s="6">
        <v>4</v>
      </c>
      <c r="K1269" s="7">
        <v>0.3</v>
      </c>
      <c r="L1269" s="9">
        <f t="shared" si="154"/>
        <v>7</v>
      </c>
      <c r="M1269">
        <v>2</v>
      </c>
      <c r="N1269">
        <v>4</v>
      </c>
      <c r="O1269">
        <v>2</v>
      </c>
      <c r="P1269" s="13" t="str">
        <f t="shared" si="155"/>
        <v>2d4 + 2</v>
      </c>
      <c r="Q1269">
        <f>ROUND(INDEX(Catalogue!E$4:E$85,MATCH(A1269,Catalogue!A$4:A$85,0))*(1+Paramètres!$B$4*(C1269-1)+Paramètres!$B$5*(C1269-1)^2),0)</f>
        <v>4</v>
      </c>
      <c r="R1269">
        <f>ROUND(INDEX(Catalogue!F$4:F$85,MATCH(A1269,Catalogue!A$4:A$85,0))*(1+Paramètres!$B$4*(C1269-1)+Paramètres!$B$5*(C1269-1)^2),0)</f>
        <v>10</v>
      </c>
      <c r="S1269">
        <f t="shared" si="156"/>
        <v>0</v>
      </c>
      <c r="T1269" t="str">
        <f t="shared" si="157"/>
        <v>OK</v>
      </c>
      <c r="U1269" s="25">
        <f t="shared" si="158"/>
        <v>7</v>
      </c>
      <c r="V1269" t="str">
        <f t="shared" si="159"/>
        <v>OK</v>
      </c>
    </row>
    <row r="1270" spans="1:22" ht="18" customHeight="1">
      <c r="A1270" t="s">
        <v>302</v>
      </c>
      <c r="B1270" t="s">
        <v>303</v>
      </c>
      <c r="C1270">
        <v>7</v>
      </c>
      <c r="D1270" t="s">
        <v>286</v>
      </c>
      <c r="E1270" s="6">
        <f t="shared" si="152"/>
        <v>4</v>
      </c>
      <c r="F1270" s="6">
        <f t="shared" si="153"/>
        <v>11</v>
      </c>
      <c r="G1270" s="6">
        <f>ROUND(Catalogue!G67*SQRT((1+Paramètres!$B$4*(C1270-1)+Paramètres!$B$5*(C1270-1)^2)),0)</f>
        <v>0</v>
      </c>
      <c r="H1270" s="6">
        <f>ROUND(Catalogue!H67*SQRT((1+Paramètres!$B$4*(C1270-1)+Paramètres!$B$5*(C1270-1)^2)),0)</f>
        <v>0</v>
      </c>
      <c r="I1270" s="6">
        <v>2</v>
      </c>
      <c r="J1270" s="6">
        <v>4</v>
      </c>
      <c r="K1270" s="7">
        <v>0.3</v>
      </c>
      <c r="L1270" s="9">
        <f t="shared" si="154"/>
        <v>7.5</v>
      </c>
      <c r="M1270">
        <v>1</v>
      </c>
      <c r="N1270">
        <v>8</v>
      </c>
      <c r="O1270">
        <v>3</v>
      </c>
      <c r="P1270" s="13" t="str">
        <f t="shared" si="155"/>
        <v>1d8 + 3</v>
      </c>
      <c r="Q1270">
        <f>ROUND(INDEX(Catalogue!E$4:E$85,MATCH(A1270,Catalogue!A$4:A$85,0))*(1+Paramètres!$B$4*(C1270-1)+Paramètres!$B$5*(C1270-1)^2),0)</f>
        <v>4</v>
      </c>
      <c r="R1270">
        <f>ROUND(INDEX(Catalogue!F$4:F$85,MATCH(A1270,Catalogue!A$4:A$85,0))*(1+Paramètres!$B$4*(C1270-1)+Paramètres!$B$5*(C1270-1)^2),0)</f>
        <v>11</v>
      </c>
      <c r="S1270">
        <f t="shared" si="156"/>
        <v>0</v>
      </c>
      <c r="T1270" t="str">
        <f t="shared" si="157"/>
        <v>OK</v>
      </c>
      <c r="U1270" s="25">
        <f t="shared" si="158"/>
        <v>7.5</v>
      </c>
      <c r="V1270" t="str">
        <f t="shared" si="159"/>
        <v>OK</v>
      </c>
    </row>
    <row r="1271" spans="1:22" ht="18" customHeight="1">
      <c r="A1271" t="s">
        <v>302</v>
      </c>
      <c r="B1271" t="s">
        <v>303</v>
      </c>
      <c r="C1271">
        <v>8</v>
      </c>
      <c r="D1271" t="s">
        <v>286</v>
      </c>
      <c r="E1271" s="6">
        <f t="shared" si="152"/>
        <v>4</v>
      </c>
      <c r="F1271" s="6">
        <f t="shared" si="153"/>
        <v>13</v>
      </c>
      <c r="G1271" s="6">
        <f>ROUND(Catalogue!G67*SQRT((1+Paramètres!$B$4*(C1271-1)+Paramètres!$B$5*(C1271-1)^2)),0)</f>
        <v>0</v>
      </c>
      <c r="H1271" s="6">
        <f>ROUND(Catalogue!H67*SQRT((1+Paramètres!$B$4*(C1271-1)+Paramètres!$B$5*(C1271-1)^2)),0)</f>
        <v>0</v>
      </c>
      <c r="I1271" s="6">
        <v>2</v>
      </c>
      <c r="J1271" s="6">
        <v>4</v>
      </c>
      <c r="K1271" s="7">
        <v>0.3</v>
      </c>
      <c r="L1271" s="9">
        <f t="shared" si="154"/>
        <v>8.5</v>
      </c>
      <c r="M1271">
        <v>3</v>
      </c>
      <c r="N1271">
        <v>4</v>
      </c>
      <c r="O1271">
        <v>1</v>
      </c>
      <c r="P1271" s="13" t="str">
        <f t="shared" si="155"/>
        <v>3d4 + 1</v>
      </c>
      <c r="Q1271">
        <f>ROUND(INDEX(Catalogue!E$4:E$85,MATCH(A1271,Catalogue!A$4:A$85,0))*(1+Paramètres!$B$4*(C1271-1)+Paramètres!$B$5*(C1271-1)^2),0)</f>
        <v>5</v>
      </c>
      <c r="R1271">
        <f>ROUND(INDEX(Catalogue!F$4:F$85,MATCH(A1271,Catalogue!A$4:A$85,0))*(1+Paramètres!$B$4*(C1271-1)+Paramètres!$B$5*(C1271-1)^2),0)</f>
        <v>13</v>
      </c>
      <c r="S1271">
        <f t="shared" si="156"/>
        <v>-0.5</v>
      </c>
      <c r="T1271" t="str">
        <f t="shared" si="157"/>
        <v>OK</v>
      </c>
      <c r="U1271" s="25">
        <f t="shared" si="158"/>
        <v>8.5</v>
      </c>
      <c r="V1271" t="str">
        <f t="shared" si="159"/>
        <v>OK</v>
      </c>
    </row>
    <row r="1272" spans="1:22" ht="18" customHeight="1">
      <c r="A1272" t="s">
        <v>302</v>
      </c>
      <c r="B1272" t="s">
        <v>303</v>
      </c>
      <c r="C1272">
        <v>9</v>
      </c>
      <c r="D1272" t="s">
        <v>286</v>
      </c>
      <c r="E1272" s="6">
        <f t="shared" si="152"/>
        <v>6</v>
      </c>
      <c r="F1272" s="6">
        <f t="shared" si="153"/>
        <v>15</v>
      </c>
      <c r="G1272" s="6">
        <f>ROUND(Catalogue!G67*SQRT((1+Paramètres!$B$4*(C1272-1)+Paramètres!$B$5*(C1272-1)^2)),0)</f>
        <v>0</v>
      </c>
      <c r="H1272" s="6">
        <f>ROUND(Catalogue!H67*SQRT((1+Paramètres!$B$4*(C1272-1)+Paramètres!$B$5*(C1272-1)^2)),0)</f>
        <v>0</v>
      </c>
      <c r="I1272" s="6">
        <v>2</v>
      </c>
      <c r="J1272" s="6">
        <v>4</v>
      </c>
      <c r="K1272" s="7">
        <v>0.3</v>
      </c>
      <c r="L1272" s="9">
        <f t="shared" si="154"/>
        <v>10.5</v>
      </c>
      <c r="M1272">
        <v>3</v>
      </c>
      <c r="N1272">
        <v>4</v>
      </c>
      <c r="O1272">
        <v>3</v>
      </c>
      <c r="P1272" s="13" t="str">
        <f t="shared" si="155"/>
        <v>3d4 + 3</v>
      </c>
      <c r="Q1272">
        <f>ROUND(INDEX(Catalogue!E$4:E$85,MATCH(A1272,Catalogue!A$4:A$85,0))*(1+Paramètres!$B$4*(C1272-1)+Paramètres!$B$5*(C1272-1)^2),0)</f>
        <v>6</v>
      </c>
      <c r="R1272">
        <f>ROUND(INDEX(Catalogue!F$4:F$85,MATCH(A1272,Catalogue!A$4:A$85,0))*(1+Paramètres!$B$4*(C1272-1)+Paramètres!$B$5*(C1272-1)^2),0)</f>
        <v>15</v>
      </c>
      <c r="S1272">
        <f t="shared" si="156"/>
        <v>0</v>
      </c>
      <c r="T1272" t="str">
        <f t="shared" si="157"/>
        <v>OK</v>
      </c>
      <c r="U1272" s="25">
        <f t="shared" si="158"/>
        <v>10.5</v>
      </c>
      <c r="V1272" t="str">
        <f t="shared" si="159"/>
        <v>OK</v>
      </c>
    </row>
    <row r="1273" spans="1:22" ht="18" customHeight="1">
      <c r="A1273" t="s">
        <v>302</v>
      </c>
      <c r="B1273" t="s">
        <v>303</v>
      </c>
      <c r="C1273">
        <v>10</v>
      </c>
      <c r="D1273" t="s">
        <v>286</v>
      </c>
      <c r="E1273" s="6">
        <f t="shared" si="152"/>
        <v>7</v>
      </c>
      <c r="F1273" s="6">
        <f t="shared" si="153"/>
        <v>16</v>
      </c>
      <c r="G1273" s="6">
        <f>ROUND(Catalogue!G67*SQRT((1+Paramètres!$B$4*(C1273-1)+Paramètres!$B$5*(C1273-1)^2)),0)</f>
        <v>0</v>
      </c>
      <c r="H1273" s="6">
        <f>ROUND(Catalogue!H67*SQRT((1+Paramètres!$B$4*(C1273-1)+Paramètres!$B$5*(C1273-1)^2)),0)</f>
        <v>0</v>
      </c>
      <c r="I1273" s="6">
        <v>2</v>
      </c>
      <c r="J1273" s="6">
        <v>4</v>
      </c>
      <c r="K1273" s="7">
        <v>0.3</v>
      </c>
      <c r="L1273" s="9">
        <f t="shared" si="154"/>
        <v>11.5</v>
      </c>
      <c r="M1273">
        <v>3</v>
      </c>
      <c r="N1273">
        <v>4</v>
      </c>
      <c r="O1273">
        <v>4</v>
      </c>
      <c r="P1273" s="13" t="str">
        <f t="shared" si="155"/>
        <v>3d4 + 4</v>
      </c>
      <c r="Q1273">
        <f>ROUND(INDEX(Catalogue!E$4:E$85,MATCH(A1273,Catalogue!A$4:A$85,0))*(1+Paramètres!$B$4*(C1273-1)+Paramètres!$B$5*(C1273-1)^2),0)</f>
        <v>7</v>
      </c>
      <c r="R1273">
        <f>ROUND(INDEX(Catalogue!F$4:F$85,MATCH(A1273,Catalogue!A$4:A$85,0))*(1+Paramètres!$B$4*(C1273-1)+Paramètres!$B$5*(C1273-1)^2),0)</f>
        <v>16</v>
      </c>
      <c r="S1273">
        <f t="shared" si="156"/>
        <v>0</v>
      </c>
      <c r="T1273" t="str">
        <f t="shared" si="157"/>
        <v>OK</v>
      </c>
      <c r="U1273" s="25">
        <f t="shared" si="158"/>
        <v>11.5</v>
      </c>
      <c r="V1273" t="str">
        <f t="shared" si="159"/>
        <v>OK</v>
      </c>
    </row>
    <row r="1274" spans="1:22" ht="18" customHeight="1">
      <c r="A1274" t="s">
        <v>302</v>
      </c>
      <c r="B1274" t="s">
        <v>303</v>
      </c>
      <c r="C1274">
        <v>11</v>
      </c>
      <c r="D1274" t="s">
        <v>286</v>
      </c>
      <c r="E1274" s="6">
        <f t="shared" si="152"/>
        <v>7</v>
      </c>
      <c r="F1274" s="6">
        <f t="shared" si="153"/>
        <v>19</v>
      </c>
      <c r="G1274" s="6">
        <f>ROUND(Catalogue!G67*SQRT((1+Paramètres!$B$4*(C1274-1)+Paramètres!$B$5*(C1274-1)^2)),0)</f>
        <v>0</v>
      </c>
      <c r="H1274" s="6">
        <f>ROUND(Catalogue!H67*SQRT((1+Paramètres!$B$4*(C1274-1)+Paramètres!$B$5*(C1274-1)^2)),0)</f>
        <v>0</v>
      </c>
      <c r="I1274" s="6">
        <v>2</v>
      </c>
      <c r="J1274" s="6">
        <v>4</v>
      </c>
      <c r="K1274" s="7">
        <v>0.3</v>
      </c>
      <c r="L1274" s="9">
        <f t="shared" si="154"/>
        <v>13</v>
      </c>
      <c r="M1274">
        <v>4</v>
      </c>
      <c r="N1274">
        <v>4</v>
      </c>
      <c r="O1274">
        <v>3</v>
      </c>
      <c r="P1274" s="13" t="str">
        <f t="shared" si="155"/>
        <v>4d4 + 3</v>
      </c>
      <c r="Q1274">
        <f>ROUND(INDEX(Catalogue!E$4:E$85,MATCH(A1274,Catalogue!A$4:A$85,0))*(1+Paramètres!$B$4*(C1274-1)+Paramètres!$B$5*(C1274-1)^2),0)</f>
        <v>7</v>
      </c>
      <c r="R1274">
        <f>ROUND(INDEX(Catalogue!F$4:F$85,MATCH(A1274,Catalogue!A$4:A$85,0))*(1+Paramètres!$B$4*(C1274-1)+Paramètres!$B$5*(C1274-1)^2),0)</f>
        <v>19</v>
      </c>
      <c r="S1274">
        <f t="shared" si="156"/>
        <v>0</v>
      </c>
      <c r="T1274" t="str">
        <f t="shared" si="157"/>
        <v>OK</v>
      </c>
      <c r="U1274" s="25">
        <f t="shared" si="158"/>
        <v>13</v>
      </c>
      <c r="V1274" t="str">
        <f t="shared" si="159"/>
        <v>OK</v>
      </c>
    </row>
    <row r="1275" spans="1:22" ht="18" customHeight="1">
      <c r="A1275" t="s">
        <v>302</v>
      </c>
      <c r="B1275" t="s">
        <v>303</v>
      </c>
      <c r="C1275">
        <v>12</v>
      </c>
      <c r="D1275" t="s">
        <v>286</v>
      </c>
      <c r="E1275" s="6">
        <f t="shared" si="152"/>
        <v>7</v>
      </c>
      <c r="F1275" s="6">
        <f t="shared" si="153"/>
        <v>21</v>
      </c>
      <c r="G1275" s="6">
        <f>ROUND(Catalogue!G67*SQRT((1+Paramètres!$B$4*(C1275-1)+Paramètres!$B$5*(C1275-1)^2)),0)</f>
        <v>0</v>
      </c>
      <c r="H1275" s="6">
        <f>ROUND(Catalogue!H67*SQRT((1+Paramètres!$B$4*(C1275-1)+Paramètres!$B$5*(C1275-1)^2)),0)</f>
        <v>0</v>
      </c>
      <c r="I1275" s="6">
        <v>2</v>
      </c>
      <c r="J1275" s="6">
        <v>4</v>
      </c>
      <c r="K1275" s="7">
        <v>0.3</v>
      </c>
      <c r="L1275" s="9">
        <f t="shared" si="154"/>
        <v>14</v>
      </c>
      <c r="M1275">
        <v>2</v>
      </c>
      <c r="N1275">
        <v>8</v>
      </c>
      <c r="O1275">
        <v>5</v>
      </c>
      <c r="P1275" s="13" t="str">
        <f t="shared" si="155"/>
        <v>2d8 + 5</v>
      </c>
      <c r="Q1275">
        <f>ROUND(INDEX(Catalogue!E$4:E$85,MATCH(A1275,Catalogue!A$4:A$85,0))*(1+Paramètres!$B$4*(C1275-1)+Paramètres!$B$5*(C1275-1)^2),0)</f>
        <v>8</v>
      </c>
      <c r="R1275">
        <f>ROUND(INDEX(Catalogue!F$4:F$85,MATCH(A1275,Catalogue!A$4:A$85,0))*(1+Paramètres!$B$4*(C1275-1)+Paramètres!$B$5*(C1275-1)^2),0)</f>
        <v>21</v>
      </c>
      <c r="S1275">
        <f t="shared" si="156"/>
        <v>-0.5</v>
      </c>
      <c r="T1275" t="str">
        <f t="shared" si="157"/>
        <v>OK</v>
      </c>
      <c r="U1275" s="25">
        <f t="shared" si="158"/>
        <v>14</v>
      </c>
      <c r="V1275" t="str">
        <f t="shared" si="159"/>
        <v>OK</v>
      </c>
    </row>
    <row r="1276" spans="1:22" ht="18" customHeight="1">
      <c r="A1276" t="s">
        <v>302</v>
      </c>
      <c r="B1276" t="s">
        <v>303</v>
      </c>
      <c r="C1276">
        <v>13</v>
      </c>
      <c r="D1276" t="s">
        <v>286</v>
      </c>
      <c r="E1276" s="6">
        <f t="shared" si="152"/>
        <v>9</v>
      </c>
      <c r="F1276" s="6">
        <f t="shared" si="153"/>
        <v>23</v>
      </c>
      <c r="G1276" s="6">
        <f>ROUND(Catalogue!G67*SQRT((1+Paramètres!$B$4*(C1276-1)+Paramètres!$B$5*(C1276-1)^2)),0)</f>
        <v>0</v>
      </c>
      <c r="H1276" s="6">
        <f>ROUND(Catalogue!H67*SQRT((1+Paramètres!$B$4*(C1276-1)+Paramètres!$B$5*(C1276-1)^2)),0)</f>
        <v>0</v>
      </c>
      <c r="I1276" s="6">
        <v>2</v>
      </c>
      <c r="J1276" s="6">
        <v>4</v>
      </c>
      <c r="K1276" s="7">
        <v>0.3</v>
      </c>
      <c r="L1276" s="9">
        <f t="shared" si="154"/>
        <v>16</v>
      </c>
      <c r="M1276">
        <v>2</v>
      </c>
      <c r="N1276">
        <v>8</v>
      </c>
      <c r="O1276">
        <v>7</v>
      </c>
      <c r="P1276" s="13" t="str">
        <f t="shared" si="155"/>
        <v>2d8 + 7</v>
      </c>
      <c r="Q1276">
        <f>ROUND(INDEX(Catalogue!E$4:E$85,MATCH(A1276,Catalogue!A$4:A$85,0))*(1+Paramètres!$B$4*(C1276-1)+Paramètres!$B$5*(C1276-1)^2),0)</f>
        <v>9</v>
      </c>
      <c r="R1276">
        <f>ROUND(INDEX(Catalogue!F$4:F$85,MATCH(A1276,Catalogue!A$4:A$85,0))*(1+Paramètres!$B$4*(C1276-1)+Paramètres!$B$5*(C1276-1)^2),0)</f>
        <v>23</v>
      </c>
      <c r="S1276">
        <f t="shared" si="156"/>
        <v>0</v>
      </c>
      <c r="T1276" t="str">
        <f t="shared" si="157"/>
        <v>OK</v>
      </c>
      <c r="U1276" s="25">
        <f t="shared" si="158"/>
        <v>16</v>
      </c>
      <c r="V1276" t="str">
        <f t="shared" si="159"/>
        <v>OK</v>
      </c>
    </row>
    <row r="1277" spans="1:22" ht="18" customHeight="1">
      <c r="A1277" t="s">
        <v>302</v>
      </c>
      <c r="B1277" t="s">
        <v>303</v>
      </c>
      <c r="C1277">
        <v>14</v>
      </c>
      <c r="D1277" t="s">
        <v>286</v>
      </c>
      <c r="E1277" s="6">
        <f t="shared" si="152"/>
        <v>11</v>
      </c>
      <c r="F1277" s="6">
        <f t="shared" si="153"/>
        <v>26</v>
      </c>
      <c r="G1277" s="6">
        <f>ROUND(Catalogue!G67*SQRT((1+Paramètres!$B$4*(C1277-1)+Paramètres!$B$5*(C1277-1)^2)),0)</f>
        <v>0</v>
      </c>
      <c r="H1277" s="6">
        <f>ROUND(Catalogue!H67*SQRT((1+Paramètres!$B$4*(C1277-1)+Paramètres!$B$5*(C1277-1)^2)),0)</f>
        <v>0</v>
      </c>
      <c r="I1277" s="6">
        <v>2</v>
      </c>
      <c r="J1277" s="6">
        <v>4</v>
      </c>
      <c r="K1277" s="7">
        <v>0.3</v>
      </c>
      <c r="L1277" s="9">
        <f t="shared" si="154"/>
        <v>18.5</v>
      </c>
      <c r="M1277">
        <v>3</v>
      </c>
      <c r="N1277">
        <v>6</v>
      </c>
      <c r="O1277">
        <v>8</v>
      </c>
      <c r="P1277" s="13" t="str">
        <f t="shared" si="155"/>
        <v>3d6 + 8</v>
      </c>
      <c r="Q1277">
        <f>ROUND(INDEX(Catalogue!E$4:E$85,MATCH(A1277,Catalogue!A$4:A$85,0))*(1+Paramètres!$B$4*(C1277-1)+Paramètres!$B$5*(C1277-1)^2),0)</f>
        <v>10</v>
      </c>
      <c r="R1277">
        <f>ROUND(INDEX(Catalogue!F$4:F$85,MATCH(A1277,Catalogue!A$4:A$85,0))*(1+Paramètres!$B$4*(C1277-1)+Paramètres!$B$5*(C1277-1)^2),0)</f>
        <v>26</v>
      </c>
      <c r="S1277">
        <f t="shared" si="156"/>
        <v>0.5</v>
      </c>
      <c r="T1277" t="str">
        <f t="shared" si="157"/>
        <v>OK</v>
      </c>
      <c r="U1277" s="25">
        <f t="shared" si="158"/>
        <v>18.5</v>
      </c>
      <c r="V1277" t="str">
        <f t="shared" si="159"/>
        <v>OK</v>
      </c>
    </row>
    <row r="1278" spans="1:22" ht="18" customHeight="1">
      <c r="A1278" t="s">
        <v>302</v>
      </c>
      <c r="B1278" t="s">
        <v>303</v>
      </c>
      <c r="C1278">
        <v>15</v>
      </c>
      <c r="D1278" t="s">
        <v>286</v>
      </c>
      <c r="E1278" s="6">
        <f t="shared" si="152"/>
        <v>10</v>
      </c>
      <c r="F1278" s="6">
        <f t="shared" si="153"/>
        <v>28</v>
      </c>
      <c r="G1278" s="6">
        <f>ROUND(Catalogue!G67*SQRT((1+Paramètres!$B$4*(C1278-1)+Paramètres!$B$5*(C1278-1)^2)),0)</f>
        <v>0</v>
      </c>
      <c r="H1278" s="6">
        <f>ROUND(Catalogue!H67*SQRT((1+Paramètres!$B$4*(C1278-1)+Paramètres!$B$5*(C1278-1)^2)),0)</f>
        <v>0</v>
      </c>
      <c r="I1278" s="6">
        <v>2</v>
      </c>
      <c r="J1278" s="6">
        <v>4</v>
      </c>
      <c r="K1278" s="7">
        <v>0.3</v>
      </c>
      <c r="L1278" s="9">
        <f t="shared" si="154"/>
        <v>19</v>
      </c>
      <c r="M1278">
        <v>2</v>
      </c>
      <c r="N1278">
        <v>10</v>
      </c>
      <c r="O1278">
        <v>8</v>
      </c>
      <c r="P1278" s="13" t="str">
        <f t="shared" si="155"/>
        <v>2d10 + 8</v>
      </c>
      <c r="Q1278">
        <f>ROUND(INDEX(Catalogue!E$4:E$85,MATCH(A1278,Catalogue!A$4:A$85,0))*(1+Paramètres!$B$4*(C1278-1)+Paramètres!$B$5*(C1278-1)^2),0)</f>
        <v>11</v>
      </c>
      <c r="R1278">
        <f>ROUND(INDEX(Catalogue!F$4:F$85,MATCH(A1278,Catalogue!A$4:A$85,0))*(1+Paramètres!$B$4*(C1278-1)+Paramètres!$B$5*(C1278-1)^2),0)</f>
        <v>28</v>
      </c>
      <c r="S1278">
        <f t="shared" si="156"/>
        <v>-0.5</v>
      </c>
      <c r="T1278" t="str">
        <f t="shared" si="157"/>
        <v>OK</v>
      </c>
      <c r="U1278" s="25">
        <f t="shared" si="158"/>
        <v>19</v>
      </c>
      <c r="V1278" t="str">
        <f t="shared" si="159"/>
        <v>OK</v>
      </c>
    </row>
    <row r="1279" spans="1:22" ht="18" customHeight="1">
      <c r="A1279" t="s">
        <v>302</v>
      </c>
      <c r="B1279" t="s">
        <v>303</v>
      </c>
      <c r="C1279">
        <v>16</v>
      </c>
      <c r="D1279" t="s">
        <v>286</v>
      </c>
      <c r="E1279" s="6">
        <f t="shared" si="152"/>
        <v>13</v>
      </c>
      <c r="F1279" s="6">
        <f t="shared" si="153"/>
        <v>31</v>
      </c>
      <c r="G1279" s="6">
        <f>ROUND(Catalogue!G67*SQRT((1+Paramètres!$B$4*(C1279-1)+Paramètres!$B$5*(C1279-1)^2)),0)</f>
        <v>0</v>
      </c>
      <c r="H1279" s="6">
        <f>ROUND(Catalogue!H67*SQRT((1+Paramètres!$B$4*(C1279-1)+Paramètres!$B$5*(C1279-1)^2)),0)</f>
        <v>0</v>
      </c>
      <c r="I1279" s="6">
        <v>2</v>
      </c>
      <c r="J1279" s="6">
        <v>4</v>
      </c>
      <c r="K1279" s="7">
        <v>0.3</v>
      </c>
      <c r="L1279" s="9">
        <f t="shared" si="154"/>
        <v>22</v>
      </c>
      <c r="M1279">
        <v>2</v>
      </c>
      <c r="N1279">
        <v>10</v>
      </c>
      <c r="O1279">
        <v>11</v>
      </c>
      <c r="P1279" s="13" t="str">
        <f t="shared" si="155"/>
        <v>2d10 + 11</v>
      </c>
      <c r="Q1279">
        <f>ROUND(INDEX(Catalogue!E$4:E$85,MATCH(A1279,Catalogue!A$4:A$85,0))*(1+Paramètres!$B$4*(C1279-1)+Paramètres!$B$5*(C1279-1)^2),0)</f>
        <v>13</v>
      </c>
      <c r="R1279">
        <f>ROUND(INDEX(Catalogue!F$4:F$85,MATCH(A1279,Catalogue!A$4:A$85,0))*(1+Paramètres!$B$4*(C1279-1)+Paramètres!$B$5*(C1279-1)^2),0)</f>
        <v>31</v>
      </c>
      <c r="S1279">
        <f t="shared" si="156"/>
        <v>0</v>
      </c>
      <c r="T1279" t="str">
        <f t="shared" si="157"/>
        <v>OK</v>
      </c>
      <c r="U1279" s="25">
        <f t="shared" si="158"/>
        <v>22</v>
      </c>
      <c r="V1279" t="str">
        <f t="shared" si="159"/>
        <v>OK</v>
      </c>
    </row>
    <row r="1280" spans="1:22" ht="18" customHeight="1">
      <c r="A1280" t="s">
        <v>302</v>
      </c>
      <c r="B1280" t="s">
        <v>303</v>
      </c>
      <c r="C1280">
        <v>17</v>
      </c>
      <c r="D1280" t="s">
        <v>286</v>
      </c>
      <c r="E1280" s="6">
        <f t="shared" si="152"/>
        <v>14</v>
      </c>
      <c r="F1280" s="6">
        <f t="shared" si="153"/>
        <v>34</v>
      </c>
      <c r="G1280" s="6">
        <f>ROUND(Catalogue!G67*SQRT((1+Paramètres!$B$4*(C1280-1)+Paramètres!$B$5*(C1280-1)^2)),0)</f>
        <v>0</v>
      </c>
      <c r="H1280" s="6">
        <f>ROUND(Catalogue!H67*SQRT((1+Paramètres!$B$4*(C1280-1)+Paramètres!$B$5*(C1280-1)^2)),0)</f>
        <v>0</v>
      </c>
      <c r="I1280" s="6">
        <v>2</v>
      </c>
      <c r="J1280" s="6">
        <v>4</v>
      </c>
      <c r="K1280" s="7">
        <v>0.3</v>
      </c>
      <c r="L1280" s="9">
        <f t="shared" si="154"/>
        <v>24</v>
      </c>
      <c r="M1280">
        <v>4</v>
      </c>
      <c r="N1280">
        <v>6</v>
      </c>
      <c r="O1280">
        <v>10</v>
      </c>
      <c r="P1280" s="13" t="str">
        <f t="shared" si="155"/>
        <v>4d6 + 10</v>
      </c>
      <c r="Q1280">
        <f>ROUND(INDEX(Catalogue!E$4:E$85,MATCH(A1280,Catalogue!A$4:A$85,0))*(1+Paramètres!$B$4*(C1280-1)+Paramètres!$B$5*(C1280-1)^2),0)</f>
        <v>14</v>
      </c>
      <c r="R1280">
        <f>ROUND(INDEX(Catalogue!F$4:F$85,MATCH(A1280,Catalogue!A$4:A$85,0))*(1+Paramètres!$B$4*(C1280-1)+Paramètres!$B$5*(C1280-1)^2),0)</f>
        <v>34</v>
      </c>
      <c r="S1280">
        <f t="shared" si="156"/>
        <v>0</v>
      </c>
      <c r="T1280" t="str">
        <f t="shared" si="157"/>
        <v>OK</v>
      </c>
      <c r="U1280" s="25">
        <f t="shared" si="158"/>
        <v>24</v>
      </c>
      <c r="V1280" t="str">
        <f t="shared" si="159"/>
        <v>OK</v>
      </c>
    </row>
    <row r="1281" spans="1:22" ht="18" customHeight="1">
      <c r="A1281" t="s">
        <v>302</v>
      </c>
      <c r="B1281" t="s">
        <v>303</v>
      </c>
      <c r="C1281">
        <v>18</v>
      </c>
      <c r="D1281" t="s">
        <v>286</v>
      </c>
      <c r="E1281" s="6">
        <f t="shared" si="152"/>
        <v>15</v>
      </c>
      <c r="F1281" s="6">
        <f t="shared" si="153"/>
        <v>37</v>
      </c>
      <c r="G1281" s="6">
        <f>ROUND(Catalogue!G67*SQRT((1+Paramètres!$B$4*(C1281-1)+Paramètres!$B$5*(C1281-1)^2)),0)</f>
        <v>0</v>
      </c>
      <c r="H1281" s="6">
        <f>ROUND(Catalogue!H67*SQRT((1+Paramètres!$B$4*(C1281-1)+Paramètres!$B$5*(C1281-1)^2)),0)</f>
        <v>0</v>
      </c>
      <c r="I1281" s="6">
        <v>2</v>
      </c>
      <c r="J1281" s="6">
        <v>4</v>
      </c>
      <c r="K1281" s="7">
        <v>0.3</v>
      </c>
      <c r="L1281" s="9">
        <f t="shared" si="154"/>
        <v>26</v>
      </c>
      <c r="M1281">
        <v>2</v>
      </c>
      <c r="N1281">
        <v>12</v>
      </c>
      <c r="O1281">
        <v>13</v>
      </c>
      <c r="P1281" s="13" t="str">
        <f t="shared" si="155"/>
        <v>2d12 + 13</v>
      </c>
      <c r="Q1281">
        <f>ROUND(INDEX(Catalogue!E$4:E$85,MATCH(A1281,Catalogue!A$4:A$85,0))*(1+Paramètres!$B$4*(C1281-1)+Paramètres!$B$5*(C1281-1)^2),0)</f>
        <v>15</v>
      </c>
      <c r="R1281">
        <f>ROUND(INDEX(Catalogue!F$4:F$85,MATCH(A1281,Catalogue!A$4:A$85,0))*(1+Paramètres!$B$4*(C1281-1)+Paramètres!$B$5*(C1281-1)^2),0)</f>
        <v>37</v>
      </c>
      <c r="S1281">
        <f t="shared" si="156"/>
        <v>0</v>
      </c>
      <c r="T1281" t="str">
        <f t="shared" si="157"/>
        <v>OK</v>
      </c>
      <c r="U1281" s="25">
        <f t="shared" si="158"/>
        <v>26</v>
      </c>
      <c r="V1281" t="str">
        <f t="shared" si="159"/>
        <v>OK</v>
      </c>
    </row>
    <row r="1282" spans="1:22" ht="18" customHeight="1">
      <c r="A1282" t="s">
        <v>302</v>
      </c>
      <c r="B1282" t="s">
        <v>303</v>
      </c>
      <c r="C1282">
        <v>19</v>
      </c>
      <c r="D1282" t="s">
        <v>286</v>
      </c>
      <c r="E1282" s="6">
        <f t="shared" si="152"/>
        <v>16</v>
      </c>
      <c r="F1282" s="6">
        <f t="shared" si="153"/>
        <v>41</v>
      </c>
      <c r="G1282" s="6">
        <f>ROUND(Catalogue!G67*SQRT((1+Paramètres!$B$4*(C1282-1)+Paramètres!$B$5*(C1282-1)^2)),0)</f>
        <v>0</v>
      </c>
      <c r="H1282" s="6">
        <f>ROUND(Catalogue!H67*SQRT((1+Paramètres!$B$4*(C1282-1)+Paramètres!$B$5*(C1282-1)^2)),0)</f>
        <v>0</v>
      </c>
      <c r="I1282" s="6">
        <v>2</v>
      </c>
      <c r="J1282" s="6">
        <v>4</v>
      </c>
      <c r="K1282" s="7">
        <v>0.3</v>
      </c>
      <c r="L1282" s="9">
        <f t="shared" si="154"/>
        <v>28.5</v>
      </c>
      <c r="M1282">
        <v>5</v>
      </c>
      <c r="N1282">
        <v>6</v>
      </c>
      <c r="O1282">
        <v>11</v>
      </c>
      <c r="P1282" s="13" t="str">
        <f t="shared" si="155"/>
        <v>5d6 + 11</v>
      </c>
      <c r="Q1282">
        <f>ROUND(INDEX(Catalogue!E$4:E$85,MATCH(A1282,Catalogue!A$4:A$85,0))*(1+Paramètres!$B$4*(C1282-1)+Paramètres!$B$5*(C1282-1)^2),0)</f>
        <v>16</v>
      </c>
      <c r="R1282">
        <f>ROUND(INDEX(Catalogue!F$4:F$85,MATCH(A1282,Catalogue!A$4:A$85,0))*(1+Paramètres!$B$4*(C1282-1)+Paramètres!$B$5*(C1282-1)^2),0)</f>
        <v>41</v>
      </c>
      <c r="S1282">
        <f t="shared" si="156"/>
        <v>0</v>
      </c>
      <c r="T1282" t="str">
        <f t="shared" si="157"/>
        <v>OK</v>
      </c>
      <c r="U1282" s="25">
        <f t="shared" si="158"/>
        <v>28.5</v>
      </c>
      <c r="V1282" t="str">
        <f t="shared" si="159"/>
        <v>OK</v>
      </c>
    </row>
    <row r="1283" spans="1:22" ht="18" customHeight="1">
      <c r="A1283" t="s">
        <v>302</v>
      </c>
      <c r="B1283" t="s">
        <v>303</v>
      </c>
      <c r="C1283">
        <v>20</v>
      </c>
      <c r="D1283" t="s">
        <v>286</v>
      </c>
      <c r="E1283" s="6">
        <f t="shared" si="152"/>
        <v>17</v>
      </c>
      <c r="F1283" s="6">
        <f t="shared" si="153"/>
        <v>44</v>
      </c>
      <c r="G1283" s="6">
        <f>ROUND(Catalogue!G67*SQRT((1+Paramètres!$B$4*(C1283-1)+Paramètres!$B$5*(C1283-1)^2)),0)</f>
        <v>0</v>
      </c>
      <c r="H1283" s="6">
        <f>ROUND(Catalogue!H67*SQRT((1+Paramètres!$B$4*(C1283-1)+Paramètres!$B$5*(C1283-1)^2)),0)</f>
        <v>0</v>
      </c>
      <c r="I1283" s="6">
        <v>2</v>
      </c>
      <c r="J1283" s="6">
        <v>4</v>
      </c>
      <c r="K1283" s="7">
        <v>0.3</v>
      </c>
      <c r="L1283" s="9">
        <f t="shared" si="154"/>
        <v>30.5</v>
      </c>
      <c r="M1283">
        <v>3</v>
      </c>
      <c r="N1283">
        <v>10</v>
      </c>
      <c r="O1283">
        <v>14</v>
      </c>
      <c r="P1283" s="13" t="str">
        <f t="shared" si="155"/>
        <v>3d10 + 14</v>
      </c>
      <c r="Q1283">
        <f>ROUND(INDEX(Catalogue!E$4:E$85,MATCH(A1283,Catalogue!A$4:A$85,0))*(1+Paramètres!$B$4*(C1283-1)+Paramètres!$B$5*(C1283-1)^2),0)</f>
        <v>18</v>
      </c>
      <c r="R1283">
        <f>ROUND(INDEX(Catalogue!F$4:F$85,MATCH(A1283,Catalogue!A$4:A$85,0))*(1+Paramètres!$B$4*(C1283-1)+Paramètres!$B$5*(C1283-1)^2),0)</f>
        <v>44</v>
      </c>
      <c r="S1283">
        <f t="shared" si="156"/>
        <v>-0.5</v>
      </c>
      <c r="T1283" t="str">
        <f t="shared" si="157"/>
        <v>OK</v>
      </c>
      <c r="U1283" s="25">
        <f t="shared" si="158"/>
        <v>30.5</v>
      </c>
      <c r="V1283" t="str">
        <f t="shared" si="159"/>
        <v>OK</v>
      </c>
    </row>
    <row r="1284" spans="1:22" ht="18" customHeight="1">
      <c r="A1284" t="s">
        <v>306</v>
      </c>
      <c r="B1284" t="s">
        <v>307</v>
      </c>
      <c r="C1284">
        <v>1</v>
      </c>
      <c r="D1284" t="s">
        <v>286</v>
      </c>
      <c r="E1284" s="6">
        <f t="shared" ref="E1284:E1347" si="160">IF(M1284=0,0,M1284+O1284)</f>
        <v>1</v>
      </c>
      <c r="F1284" s="6">
        <f t="shared" ref="F1284:F1347" si="161">IF(M1284=0,0,M1284*N1284+O1284)</f>
        <v>4</v>
      </c>
      <c r="G1284" s="6">
        <f>ROUND(Catalogue!G68*SQRT((1+Paramètres!$B$4*(C1284-1)+Paramètres!$B$5*(C1284-1)^2)),0)</f>
        <v>0</v>
      </c>
      <c r="H1284" s="6">
        <f>ROUND(Catalogue!H68*SQRT((1+Paramètres!$B$4*(C1284-1)+Paramètres!$B$5*(C1284-1)^2)),0)</f>
        <v>0</v>
      </c>
      <c r="I1284" s="6">
        <v>2</v>
      </c>
      <c r="J1284" s="6">
        <v>4</v>
      </c>
      <c r="K1284" s="7">
        <v>0.3</v>
      </c>
      <c r="L1284" s="9">
        <f t="shared" ref="L1284:L1347" si="162">IF(M1284=0,0,(E1284+F1284)/2)</f>
        <v>2.5</v>
      </c>
      <c r="M1284">
        <v>1</v>
      </c>
      <c r="N1284">
        <v>4</v>
      </c>
      <c r="O1284">
        <v>0</v>
      </c>
      <c r="P1284" s="13" t="str">
        <f t="shared" ref="P1284:P1347" si="163">IF(M1284=0,"—",M1284&amp;"d"&amp;N1284&amp;IF(O1284=0,""," + "&amp;O1284))</f>
        <v>1d4</v>
      </c>
      <c r="Q1284">
        <f>ROUND(INDEX(Catalogue!E$4:E$85,MATCH(A1284,Catalogue!A$4:A$85,0))*(1+Paramètres!$B$4*(C1284-1)+Paramètres!$B$5*(C1284-1)^2),0)</f>
        <v>2</v>
      </c>
      <c r="R1284">
        <f>ROUND(INDEX(Catalogue!F$4:F$85,MATCH(A1284,Catalogue!A$4:A$85,0))*(1+Paramètres!$B$4*(C1284-1)+Paramètres!$B$5*(C1284-1)^2),0)</f>
        <v>4</v>
      </c>
      <c r="S1284">
        <f t="shared" ref="S1284:S1347" si="164">L1284-AVERAGE(Q1284:R1284)</f>
        <v>-0.5</v>
      </c>
      <c r="T1284" t="str">
        <f t="shared" ref="T1284:T1347" si="165">IF(M1284=0,IF(AND(N1284=0,O1284=0,E1284=0,F1284=0),"OK","ERREUR"),IF(AND(M1284&gt;=1,M1284&lt;=32,OR(N1284=4,N1284=6,N1284=8,N1284=10,N1284=12,N1284=20),O1284&gt;=0,E1284=M1284+O1284,F1284=M1284*N1284+O1284),"OK","ERREUR"))</f>
        <v>OK</v>
      </c>
      <c r="U1284" s="25">
        <f t="shared" ref="U1284:U1347" si="166">IF(M1284&gt;0,M1284*(N1284+1)/2+O1284,0)</f>
        <v>2.5</v>
      </c>
      <c r="V1284" t="str">
        <f t="shared" ref="V1284:V1347" si="167">IF(ABS(L1284-U1284)&lt;0.001,"OK","ERREUR")</f>
        <v>OK</v>
      </c>
    </row>
    <row r="1285" spans="1:22" ht="18" customHeight="1">
      <c r="A1285" t="s">
        <v>306</v>
      </c>
      <c r="B1285" t="s">
        <v>307</v>
      </c>
      <c r="C1285">
        <v>2</v>
      </c>
      <c r="D1285" t="s">
        <v>286</v>
      </c>
      <c r="E1285" s="6">
        <f t="shared" si="160"/>
        <v>2</v>
      </c>
      <c r="F1285" s="6">
        <f t="shared" si="161"/>
        <v>5</v>
      </c>
      <c r="G1285" s="6">
        <f>ROUND(Catalogue!G68*SQRT((1+Paramètres!$B$4*(C1285-1)+Paramètres!$B$5*(C1285-1)^2)),0)</f>
        <v>0</v>
      </c>
      <c r="H1285" s="6">
        <f>ROUND(Catalogue!H68*SQRT((1+Paramètres!$B$4*(C1285-1)+Paramètres!$B$5*(C1285-1)^2)),0)</f>
        <v>0</v>
      </c>
      <c r="I1285" s="6">
        <v>2</v>
      </c>
      <c r="J1285" s="6">
        <v>4</v>
      </c>
      <c r="K1285" s="7">
        <v>0.3</v>
      </c>
      <c r="L1285" s="9">
        <f t="shared" si="162"/>
        <v>3.5</v>
      </c>
      <c r="M1285">
        <v>1</v>
      </c>
      <c r="N1285">
        <v>4</v>
      </c>
      <c r="O1285">
        <v>1</v>
      </c>
      <c r="P1285" s="13" t="str">
        <f t="shared" si="163"/>
        <v>1d4 + 1</v>
      </c>
      <c r="Q1285">
        <f>ROUND(INDEX(Catalogue!E$4:E$85,MATCH(A1285,Catalogue!A$4:A$85,0))*(1+Paramètres!$B$4*(C1285-1)+Paramètres!$B$5*(C1285-1)^2),0)</f>
        <v>2</v>
      </c>
      <c r="R1285">
        <f>ROUND(INDEX(Catalogue!F$4:F$85,MATCH(A1285,Catalogue!A$4:A$85,0))*(1+Paramètres!$B$4*(C1285-1)+Paramètres!$B$5*(C1285-1)^2),0)</f>
        <v>5</v>
      </c>
      <c r="S1285">
        <f t="shared" si="164"/>
        <v>0</v>
      </c>
      <c r="T1285" t="str">
        <f t="shared" si="165"/>
        <v>OK</v>
      </c>
      <c r="U1285" s="25">
        <f t="shared" si="166"/>
        <v>3.5</v>
      </c>
      <c r="V1285" t="str">
        <f t="shared" si="167"/>
        <v>OK</v>
      </c>
    </row>
    <row r="1286" spans="1:22" ht="18" customHeight="1">
      <c r="A1286" t="s">
        <v>306</v>
      </c>
      <c r="B1286" t="s">
        <v>307</v>
      </c>
      <c r="C1286">
        <v>3</v>
      </c>
      <c r="D1286" t="s">
        <v>286</v>
      </c>
      <c r="E1286" s="6">
        <f t="shared" si="160"/>
        <v>2</v>
      </c>
      <c r="F1286" s="6">
        <f t="shared" si="161"/>
        <v>5</v>
      </c>
      <c r="G1286" s="6">
        <f>ROUND(Catalogue!G68*SQRT((1+Paramètres!$B$4*(C1286-1)+Paramètres!$B$5*(C1286-1)^2)),0)</f>
        <v>0</v>
      </c>
      <c r="H1286" s="6">
        <f>ROUND(Catalogue!H68*SQRT((1+Paramètres!$B$4*(C1286-1)+Paramètres!$B$5*(C1286-1)^2)),0)</f>
        <v>0</v>
      </c>
      <c r="I1286" s="6">
        <v>2</v>
      </c>
      <c r="J1286" s="6">
        <v>4</v>
      </c>
      <c r="K1286" s="7">
        <v>0.3</v>
      </c>
      <c r="L1286" s="9">
        <f t="shared" si="162"/>
        <v>3.5</v>
      </c>
      <c r="M1286">
        <v>1</v>
      </c>
      <c r="N1286">
        <v>4</v>
      </c>
      <c r="O1286">
        <v>1</v>
      </c>
      <c r="P1286" s="13" t="str">
        <f t="shared" si="163"/>
        <v>1d4 + 1</v>
      </c>
      <c r="Q1286">
        <f>ROUND(INDEX(Catalogue!E$4:E$85,MATCH(A1286,Catalogue!A$4:A$85,0))*(1+Paramètres!$B$4*(C1286-1)+Paramètres!$B$5*(C1286-1)^2),0)</f>
        <v>3</v>
      </c>
      <c r="R1286">
        <f>ROUND(INDEX(Catalogue!F$4:F$85,MATCH(A1286,Catalogue!A$4:A$85,0))*(1+Paramètres!$B$4*(C1286-1)+Paramètres!$B$5*(C1286-1)^2),0)</f>
        <v>5</v>
      </c>
      <c r="S1286">
        <f t="shared" si="164"/>
        <v>-0.5</v>
      </c>
      <c r="T1286" t="str">
        <f t="shared" si="165"/>
        <v>OK</v>
      </c>
      <c r="U1286" s="25">
        <f t="shared" si="166"/>
        <v>3.5</v>
      </c>
      <c r="V1286" t="str">
        <f t="shared" si="167"/>
        <v>OK</v>
      </c>
    </row>
    <row r="1287" spans="1:22" ht="18" customHeight="1">
      <c r="A1287" t="s">
        <v>306</v>
      </c>
      <c r="B1287" t="s">
        <v>307</v>
      </c>
      <c r="C1287">
        <v>4</v>
      </c>
      <c r="D1287" t="s">
        <v>286</v>
      </c>
      <c r="E1287" s="6">
        <f t="shared" si="160"/>
        <v>3</v>
      </c>
      <c r="F1287" s="6">
        <f t="shared" si="161"/>
        <v>6</v>
      </c>
      <c r="G1287" s="6">
        <f>ROUND(Catalogue!G68*SQRT((1+Paramètres!$B$4*(C1287-1)+Paramètres!$B$5*(C1287-1)^2)),0)</f>
        <v>0</v>
      </c>
      <c r="H1287" s="6">
        <f>ROUND(Catalogue!H68*SQRT((1+Paramètres!$B$4*(C1287-1)+Paramètres!$B$5*(C1287-1)^2)),0)</f>
        <v>0</v>
      </c>
      <c r="I1287" s="6">
        <v>2</v>
      </c>
      <c r="J1287" s="6">
        <v>4</v>
      </c>
      <c r="K1287" s="7">
        <v>0.3</v>
      </c>
      <c r="L1287" s="9">
        <f t="shared" si="162"/>
        <v>4.5</v>
      </c>
      <c r="M1287">
        <v>1</v>
      </c>
      <c r="N1287">
        <v>4</v>
      </c>
      <c r="O1287">
        <v>2</v>
      </c>
      <c r="P1287" s="13" t="str">
        <f t="shared" si="163"/>
        <v>1d4 + 2</v>
      </c>
      <c r="Q1287">
        <f>ROUND(INDEX(Catalogue!E$4:E$85,MATCH(A1287,Catalogue!A$4:A$85,0))*(1+Paramètres!$B$4*(C1287-1)+Paramètres!$B$5*(C1287-1)^2),0)</f>
        <v>3</v>
      </c>
      <c r="R1287">
        <f>ROUND(INDEX(Catalogue!F$4:F$85,MATCH(A1287,Catalogue!A$4:A$85,0))*(1+Paramètres!$B$4*(C1287-1)+Paramètres!$B$5*(C1287-1)^2),0)</f>
        <v>6</v>
      </c>
      <c r="S1287">
        <f t="shared" si="164"/>
        <v>0</v>
      </c>
      <c r="T1287" t="str">
        <f t="shared" si="165"/>
        <v>OK</v>
      </c>
      <c r="U1287" s="25">
        <f t="shared" si="166"/>
        <v>4.5</v>
      </c>
      <c r="V1287" t="str">
        <f t="shared" si="167"/>
        <v>OK</v>
      </c>
    </row>
    <row r="1288" spans="1:22" ht="18" customHeight="1">
      <c r="A1288" t="s">
        <v>306</v>
      </c>
      <c r="B1288" t="s">
        <v>307</v>
      </c>
      <c r="C1288">
        <v>5</v>
      </c>
      <c r="D1288" t="s">
        <v>286</v>
      </c>
      <c r="E1288" s="6">
        <f t="shared" si="160"/>
        <v>3</v>
      </c>
      <c r="F1288" s="6">
        <f t="shared" si="161"/>
        <v>6</v>
      </c>
      <c r="G1288" s="6">
        <f>ROUND(Catalogue!G68*SQRT((1+Paramètres!$B$4*(C1288-1)+Paramètres!$B$5*(C1288-1)^2)),0)</f>
        <v>0</v>
      </c>
      <c r="H1288" s="6">
        <f>ROUND(Catalogue!H68*SQRT((1+Paramètres!$B$4*(C1288-1)+Paramètres!$B$5*(C1288-1)^2)),0)</f>
        <v>0</v>
      </c>
      <c r="I1288" s="6">
        <v>2</v>
      </c>
      <c r="J1288" s="6">
        <v>4</v>
      </c>
      <c r="K1288" s="7">
        <v>0.3</v>
      </c>
      <c r="L1288" s="9">
        <f t="shared" si="162"/>
        <v>4.5</v>
      </c>
      <c r="M1288">
        <v>1</v>
      </c>
      <c r="N1288">
        <v>4</v>
      </c>
      <c r="O1288">
        <v>2</v>
      </c>
      <c r="P1288" s="13" t="str">
        <f t="shared" si="163"/>
        <v>1d4 + 2</v>
      </c>
      <c r="Q1288">
        <f>ROUND(INDEX(Catalogue!E$4:E$85,MATCH(A1288,Catalogue!A$4:A$85,0))*(1+Paramètres!$B$4*(C1288-1)+Paramètres!$B$5*(C1288-1)^2),0)</f>
        <v>3</v>
      </c>
      <c r="R1288">
        <f>ROUND(INDEX(Catalogue!F$4:F$85,MATCH(A1288,Catalogue!A$4:A$85,0))*(1+Paramètres!$B$4*(C1288-1)+Paramètres!$B$5*(C1288-1)^2),0)</f>
        <v>7</v>
      </c>
      <c r="S1288">
        <f t="shared" si="164"/>
        <v>-0.5</v>
      </c>
      <c r="T1288" t="str">
        <f t="shared" si="165"/>
        <v>OK</v>
      </c>
      <c r="U1288" s="25">
        <f t="shared" si="166"/>
        <v>4.5</v>
      </c>
      <c r="V1288" t="str">
        <f t="shared" si="167"/>
        <v>OK</v>
      </c>
    </row>
    <row r="1289" spans="1:22" ht="18" customHeight="1">
      <c r="A1289" t="s">
        <v>306</v>
      </c>
      <c r="B1289" t="s">
        <v>307</v>
      </c>
      <c r="C1289">
        <v>6</v>
      </c>
      <c r="D1289" t="s">
        <v>286</v>
      </c>
      <c r="E1289" s="6">
        <f t="shared" si="160"/>
        <v>4</v>
      </c>
      <c r="F1289" s="6">
        <f t="shared" si="161"/>
        <v>7</v>
      </c>
      <c r="G1289" s="6">
        <f>ROUND(Catalogue!G68*SQRT((1+Paramètres!$B$4*(C1289-1)+Paramètres!$B$5*(C1289-1)^2)),0)</f>
        <v>0</v>
      </c>
      <c r="H1289" s="6">
        <f>ROUND(Catalogue!H68*SQRT((1+Paramètres!$B$4*(C1289-1)+Paramètres!$B$5*(C1289-1)^2)),0)</f>
        <v>0</v>
      </c>
      <c r="I1289" s="6">
        <v>2</v>
      </c>
      <c r="J1289" s="6">
        <v>4</v>
      </c>
      <c r="K1289" s="7">
        <v>0.3</v>
      </c>
      <c r="L1289" s="9">
        <f t="shared" si="162"/>
        <v>5.5</v>
      </c>
      <c r="M1289">
        <v>1</v>
      </c>
      <c r="N1289">
        <v>4</v>
      </c>
      <c r="O1289">
        <v>3</v>
      </c>
      <c r="P1289" s="13" t="str">
        <f t="shared" si="163"/>
        <v>1d4 + 3</v>
      </c>
      <c r="Q1289">
        <f>ROUND(INDEX(Catalogue!E$4:E$85,MATCH(A1289,Catalogue!A$4:A$85,0))*(1+Paramètres!$B$4*(C1289-1)+Paramètres!$B$5*(C1289-1)^2),0)</f>
        <v>4</v>
      </c>
      <c r="R1289">
        <f>ROUND(INDEX(Catalogue!F$4:F$85,MATCH(A1289,Catalogue!A$4:A$85,0))*(1+Paramètres!$B$4*(C1289-1)+Paramètres!$B$5*(C1289-1)^2),0)</f>
        <v>8</v>
      </c>
      <c r="S1289">
        <f t="shared" si="164"/>
        <v>-0.5</v>
      </c>
      <c r="T1289" t="str">
        <f t="shared" si="165"/>
        <v>OK</v>
      </c>
      <c r="U1289" s="25">
        <f t="shared" si="166"/>
        <v>5.5</v>
      </c>
      <c r="V1289" t="str">
        <f t="shared" si="167"/>
        <v>OK</v>
      </c>
    </row>
    <row r="1290" spans="1:22" ht="18" customHeight="1">
      <c r="A1290" t="s">
        <v>306</v>
      </c>
      <c r="B1290" t="s">
        <v>307</v>
      </c>
      <c r="C1290">
        <v>7</v>
      </c>
      <c r="D1290" t="s">
        <v>286</v>
      </c>
      <c r="E1290" s="6">
        <f t="shared" si="160"/>
        <v>4</v>
      </c>
      <c r="F1290" s="6">
        <f t="shared" si="161"/>
        <v>9</v>
      </c>
      <c r="G1290" s="6">
        <f>ROUND(Catalogue!G68*SQRT((1+Paramètres!$B$4*(C1290-1)+Paramètres!$B$5*(C1290-1)^2)),0)</f>
        <v>0</v>
      </c>
      <c r="H1290" s="6">
        <f>ROUND(Catalogue!H68*SQRT((1+Paramètres!$B$4*(C1290-1)+Paramètres!$B$5*(C1290-1)^2)),0)</f>
        <v>0</v>
      </c>
      <c r="I1290" s="6">
        <v>2</v>
      </c>
      <c r="J1290" s="6">
        <v>4</v>
      </c>
      <c r="K1290" s="7">
        <v>0.3</v>
      </c>
      <c r="L1290" s="9">
        <f t="shared" si="162"/>
        <v>6.5</v>
      </c>
      <c r="M1290">
        <v>1</v>
      </c>
      <c r="N1290">
        <v>6</v>
      </c>
      <c r="O1290">
        <v>3</v>
      </c>
      <c r="P1290" s="13" t="str">
        <f t="shared" si="163"/>
        <v>1d6 + 3</v>
      </c>
      <c r="Q1290">
        <f>ROUND(INDEX(Catalogue!E$4:E$85,MATCH(A1290,Catalogue!A$4:A$85,0))*(1+Paramètres!$B$4*(C1290-1)+Paramètres!$B$5*(C1290-1)^2),0)</f>
        <v>4</v>
      </c>
      <c r="R1290">
        <f>ROUND(INDEX(Catalogue!F$4:F$85,MATCH(A1290,Catalogue!A$4:A$85,0))*(1+Paramètres!$B$4*(C1290-1)+Paramètres!$B$5*(C1290-1)^2),0)</f>
        <v>9</v>
      </c>
      <c r="S1290">
        <f t="shared" si="164"/>
        <v>0</v>
      </c>
      <c r="T1290" t="str">
        <f t="shared" si="165"/>
        <v>OK</v>
      </c>
      <c r="U1290" s="25">
        <f t="shared" si="166"/>
        <v>6.5</v>
      </c>
      <c r="V1290" t="str">
        <f t="shared" si="167"/>
        <v>OK</v>
      </c>
    </row>
    <row r="1291" spans="1:22" ht="18" customHeight="1">
      <c r="A1291" t="s">
        <v>306</v>
      </c>
      <c r="B1291" t="s">
        <v>307</v>
      </c>
      <c r="C1291">
        <v>8</v>
      </c>
      <c r="D1291" t="s">
        <v>286</v>
      </c>
      <c r="E1291" s="6">
        <f t="shared" si="160"/>
        <v>5</v>
      </c>
      <c r="F1291" s="6">
        <f t="shared" si="161"/>
        <v>10</v>
      </c>
      <c r="G1291" s="6">
        <f>ROUND(Catalogue!G68*SQRT((1+Paramètres!$B$4*(C1291-1)+Paramètres!$B$5*(C1291-1)^2)),0)</f>
        <v>0</v>
      </c>
      <c r="H1291" s="6">
        <f>ROUND(Catalogue!H68*SQRT((1+Paramètres!$B$4*(C1291-1)+Paramètres!$B$5*(C1291-1)^2)),0)</f>
        <v>0</v>
      </c>
      <c r="I1291" s="6">
        <v>2</v>
      </c>
      <c r="J1291" s="6">
        <v>4</v>
      </c>
      <c r="K1291" s="7">
        <v>0.3</v>
      </c>
      <c r="L1291" s="9">
        <f t="shared" si="162"/>
        <v>7.5</v>
      </c>
      <c r="M1291">
        <v>1</v>
      </c>
      <c r="N1291">
        <v>6</v>
      </c>
      <c r="O1291">
        <v>4</v>
      </c>
      <c r="P1291" s="13" t="str">
        <f t="shared" si="163"/>
        <v>1d6 + 4</v>
      </c>
      <c r="Q1291">
        <f>ROUND(INDEX(Catalogue!E$4:E$85,MATCH(A1291,Catalogue!A$4:A$85,0))*(1+Paramètres!$B$4*(C1291-1)+Paramètres!$B$5*(C1291-1)^2),0)</f>
        <v>5</v>
      </c>
      <c r="R1291">
        <f>ROUND(INDEX(Catalogue!F$4:F$85,MATCH(A1291,Catalogue!A$4:A$85,0))*(1+Paramètres!$B$4*(C1291-1)+Paramètres!$B$5*(C1291-1)^2),0)</f>
        <v>10</v>
      </c>
      <c r="S1291">
        <f t="shared" si="164"/>
        <v>0</v>
      </c>
      <c r="T1291" t="str">
        <f t="shared" si="165"/>
        <v>OK</v>
      </c>
      <c r="U1291" s="25">
        <f t="shared" si="166"/>
        <v>7.5</v>
      </c>
      <c r="V1291" t="str">
        <f t="shared" si="167"/>
        <v>OK</v>
      </c>
    </row>
    <row r="1292" spans="1:22" ht="18" customHeight="1">
      <c r="A1292" t="s">
        <v>306</v>
      </c>
      <c r="B1292" t="s">
        <v>307</v>
      </c>
      <c r="C1292">
        <v>9</v>
      </c>
      <c r="D1292" t="s">
        <v>286</v>
      </c>
      <c r="E1292" s="6">
        <f t="shared" si="160"/>
        <v>6</v>
      </c>
      <c r="F1292" s="6">
        <f t="shared" si="161"/>
        <v>12</v>
      </c>
      <c r="G1292" s="6">
        <f>ROUND(Catalogue!G68*SQRT((1+Paramètres!$B$4*(C1292-1)+Paramètres!$B$5*(C1292-1)^2)),0)</f>
        <v>0</v>
      </c>
      <c r="H1292" s="6">
        <f>ROUND(Catalogue!H68*SQRT((1+Paramètres!$B$4*(C1292-1)+Paramètres!$B$5*(C1292-1)^2)),0)</f>
        <v>0</v>
      </c>
      <c r="I1292" s="6">
        <v>2</v>
      </c>
      <c r="J1292" s="6">
        <v>4</v>
      </c>
      <c r="K1292" s="7">
        <v>0.3</v>
      </c>
      <c r="L1292" s="9">
        <f t="shared" si="162"/>
        <v>9</v>
      </c>
      <c r="M1292">
        <v>2</v>
      </c>
      <c r="N1292">
        <v>4</v>
      </c>
      <c r="O1292">
        <v>4</v>
      </c>
      <c r="P1292" s="13" t="str">
        <f t="shared" si="163"/>
        <v>2d4 + 4</v>
      </c>
      <c r="Q1292">
        <f>ROUND(INDEX(Catalogue!E$4:E$85,MATCH(A1292,Catalogue!A$4:A$85,0))*(1+Paramètres!$B$4*(C1292-1)+Paramètres!$B$5*(C1292-1)^2),0)</f>
        <v>6</v>
      </c>
      <c r="R1292">
        <f>ROUND(INDEX(Catalogue!F$4:F$85,MATCH(A1292,Catalogue!A$4:A$85,0))*(1+Paramètres!$B$4*(C1292-1)+Paramètres!$B$5*(C1292-1)^2),0)</f>
        <v>12</v>
      </c>
      <c r="S1292">
        <f t="shared" si="164"/>
        <v>0</v>
      </c>
      <c r="T1292" t="str">
        <f t="shared" si="165"/>
        <v>OK</v>
      </c>
      <c r="U1292" s="25">
        <f t="shared" si="166"/>
        <v>9</v>
      </c>
      <c r="V1292" t="str">
        <f t="shared" si="167"/>
        <v>OK</v>
      </c>
    </row>
    <row r="1293" spans="1:22" ht="18" customHeight="1">
      <c r="A1293" t="s">
        <v>306</v>
      </c>
      <c r="B1293" t="s">
        <v>307</v>
      </c>
      <c r="C1293">
        <v>10</v>
      </c>
      <c r="D1293" t="s">
        <v>286</v>
      </c>
      <c r="E1293" s="6">
        <f t="shared" si="160"/>
        <v>7</v>
      </c>
      <c r="F1293" s="6">
        <f t="shared" si="161"/>
        <v>13</v>
      </c>
      <c r="G1293" s="6">
        <f>ROUND(Catalogue!G68*SQRT((1+Paramètres!$B$4*(C1293-1)+Paramètres!$B$5*(C1293-1)^2)),0)</f>
        <v>0</v>
      </c>
      <c r="H1293" s="6">
        <f>ROUND(Catalogue!H68*SQRT((1+Paramètres!$B$4*(C1293-1)+Paramètres!$B$5*(C1293-1)^2)),0)</f>
        <v>0</v>
      </c>
      <c r="I1293" s="6">
        <v>2</v>
      </c>
      <c r="J1293" s="6">
        <v>4</v>
      </c>
      <c r="K1293" s="7">
        <v>0.3</v>
      </c>
      <c r="L1293" s="9">
        <f t="shared" si="162"/>
        <v>10</v>
      </c>
      <c r="M1293">
        <v>2</v>
      </c>
      <c r="N1293">
        <v>4</v>
      </c>
      <c r="O1293">
        <v>5</v>
      </c>
      <c r="P1293" s="13" t="str">
        <f t="shared" si="163"/>
        <v>2d4 + 5</v>
      </c>
      <c r="Q1293">
        <f>ROUND(INDEX(Catalogue!E$4:E$85,MATCH(A1293,Catalogue!A$4:A$85,0))*(1+Paramètres!$B$4*(C1293-1)+Paramètres!$B$5*(C1293-1)^2),0)</f>
        <v>7</v>
      </c>
      <c r="R1293">
        <f>ROUND(INDEX(Catalogue!F$4:F$85,MATCH(A1293,Catalogue!A$4:A$85,0))*(1+Paramètres!$B$4*(C1293-1)+Paramètres!$B$5*(C1293-1)^2),0)</f>
        <v>13</v>
      </c>
      <c r="S1293">
        <f t="shared" si="164"/>
        <v>0</v>
      </c>
      <c r="T1293" t="str">
        <f t="shared" si="165"/>
        <v>OK</v>
      </c>
      <c r="U1293" s="25">
        <f t="shared" si="166"/>
        <v>10</v>
      </c>
      <c r="V1293" t="str">
        <f t="shared" si="167"/>
        <v>OK</v>
      </c>
    </row>
    <row r="1294" spans="1:22" ht="18" customHeight="1">
      <c r="A1294" t="s">
        <v>306</v>
      </c>
      <c r="B1294" t="s">
        <v>307</v>
      </c>
      <c r="C1294">
        <v>11</v>
      </c>
      <c r="D1294" t="s">
        <v>286</v>
      </c>
      <c r="E1294" s="6">
        <f t="shared" si="160"/>
        <v>6</v>
      </c>
      <c r="F1294" s="6">
        <f t="shared" si="161"/>
        <v>15</v>
      </c>
      <c r="G1294" s="6">
        <f>ROUND(Catalogue!G68*SQRT((1+Paramètres!$B$4*(C1294-1)+Paramètres!$B$5*(C1294-1)^2)),0)</f>
        <v>0</v>
      </c>
      <c r="H1294" s="6">
        <f>ROUND(Catalogue!H68*SQRT((1+Paramètres!$B$4*(C1294-1)+Paramètres!$B$5*(C1294-1)^2)),0)</f>
        <v>0</v>
      </c>
      <c r="I1294" s="6">
        <v>2</v>
      </c>
      <c r="J1294" s="6">
        <v>4</v>
      </c>
      <c r="K1294" s="7">
        <v>0.3</v>
      </c>
      <c r="L1294" s="9">
        <f t="shared" si="162"/>
        <v>10.5</v>
      </c>
      <c r="M1294">
        <v>3</v>
      </c>
      <c r="N1294">
        <v>4</v>
      </c>
      <c r="O1294">
        <v>3</v>
      </c>
      <c r="P1294" s="13" t="str">
        <f t="shared" si="163"/>
        <v>3d4 + 3</v>
      </c>
      <c r="Q1294">
        <f>ROUND(INDEX(Catalogue!E$4:E$85,MATCH(A1294,Catalogue!A$4:A$85,0))*(1+Paramètres!$B$4*(C1294-1)+Paramètres!$B$5*(C1294-1)^2),0)</f>
        <v>7</v>
      </c>
      <c r="R1294">
        <f>ROUND(INDEX(Catalogue!F$4:F$85,MATCH(A1294,Catalogue!A$4:A$85,0))*(1+Paramètres!$B$4*(C1294-1)+Paramètres!$B$5*(C1294-1)^2),0)</f>
        <v>15</v>
      </c>
      <c r="S1294">
        <f t="shared" si="164"/>
        <v>-0.5</v>
      </c>
      <c r="T1294" t="str">
        <f t="shared" si="165"/>
        <v>OK</v>
      </c>
      <c r="U1294" s="25">
        <f t="shared" si="166"/>
        <v>10.5</v>
      </c>
      <c r="V1294" t="str">
        <f t="shared" si="167"/>
        <v>OK</v>
      </c>
    </row>
    <row r="1295" spans="1:22" ht="18" customHeight="1">
      <c r="A1295" t="s">
        <v>306</v>
      </c>
      <c r="B1295" t="s">
        <v>307</v>
      </c>
      <c r="C1295">
        <v>12</v>
      </c>
      <c r="D1295" t="s">
        <v>286</v>
      </c>
      <c r="E1295" s="6">
        <f t="shared" si="160"/>
        <v>8</v>
      </c>
      <c r="F1295" s="6">
        <f t="shared" si="161"/>
        <v>17</v>
      </c>
      <c r="G1295" s="6">
        <f>ROUND(Catalogue!G68*SQRT((1+Paramètres!$B$4*(C1295-1)+Paramètres!$B$5*(C1295-1)^2)),0)</f>
        <v>0</v>
      </c>
      <c r="H1295" s="6">
        <f>ROUND(Catalogue!H68*SQRT((1+Paramètres!$B$4*(C1295-1)+Paramètres!$B$5*(C1295-1)^2)),0)</f>
        <v>0</v>
      </c>
      <c r="I1295" s="6">
        <v>2</v>
      </c>
      <c r="J1295" s="6">
        <v>4</v>
      </c>
      <c r="K1295" s="7">
        <v>0.3</v>
      </c>
      <c r="L1295" s="9">
        <f t="shared" si="162"/>
        <v>12.5</v>
      </c>
      <c r="M1295">
        <v>3</v>
      </c>
      <c r="N1295">
        <v>4</v>
      </c>
      <c r="O1295">
        <v>5</v>
      </c>
      <c r="P1295" s="13" t="str">
        <f t="shared" si="163"/>
        <v>3d4 + 5</v>
      </c>
      <c r="Q1295">
        <f>ROUND(INDEX(Catalogue!E$4:E$85,MATCH(A1295,Catalogue!A$4:A$85,0))*(1+Paramètres!$B$4*(C1295-1)+Paramètres!$B$5*(C1295-1)^2),0)</f>
        <v>8</v>
      </c>
      <c r="R1295">
        <f>ROUND(INDEX(Catalogue!F$4:F$85,MATCH(A1295,Catalogue!A$4:A$85,0))*(1+Paramètres!$B$4*(C1295-1)+Paramètres!$B$5*(C1295-1)^2),0)</f>
        <v>17</v>
      </c>
      <c r="S1295">
        <f t="shared" si="164"/>
        <v>0</v>
      </c>
      <c r="T1295" t="str">
        <f t="shared" si="165"/>
        <v>OK</v>
      </c>
      <c r="U1295" s="25">
        <f t="shared" si="166"/>
        <v>12.5</v>
      </c>
      <c r="V1295" t="str">
        <f t="shared" si="167"/>
        <v>OK</v>
      </c>
    </row>
    <row r="1296" spans="1:22" ht="18" customHeight="1">
      <c r="A1296" t="s">
        <v>306</v>
      </c>
      <c r="B1296" t="s">
        <v>307</v>
      </c>
      <c r="C1296">
        <v>13</v>
      </c>
      <c r="D1296" t="s">
        <v>286</v>
      </c>
      <c r="E1296" s="6">
        <f t="shared" si="160"/>
        <v>9</v>
      </c>
      <c r="F1296" s="6">
        <f t="shared" si="161"/>
        <v>18</v>
      </c>
      <c r="G1296" s="6">
        <f>ROUND(Catalogue!G68*SQRT((1+Paramètres!$B$4*(C1296-1)+Paramètres!$B$5*(C1296-1)^2)),0)</f>
        <v>0</v>
      </c>
      <c r="H1296" s="6">
        <f>ROUND(Catalogue!H68*SQRT((1+Paramètres!$B$4*(C1296-1)+Paramètres!$B$5*(C1296-1)^2)),0)</f>
        <v>0</v>
      </c>
      <c r="I1296" s="6">
        <v>2</v>
      </c>
      <c r="J1296" s="6">
        <v>4</v>
      </c>
      <c r="K1296" s="7">
        <v>0.3</v>
      </c>
      <c r="L1296" s="9">
        <f t="shared" si="162"/>
        <v>13.5</v>
      </c>
      <c r="M1296">
        <v>3</v>
      </c>
      <c r="N1296">
        <v>4</v>
      </c>
      <c r="O1296">
        <v>6</v>
      </c>
      <c r="P1296" s="13" t="str">
        <f t="shared" si="163"/>
        <v>3d4 + 6</v>
      </c>
      <c r="Q1296">
        <f>ROUND(INDEX(Catalogue!E$4:E$85,MATCH(A1296,Catalogue!A$4:A$85,0))*(1+Paramètres!$B$4*(C1296-1)+Paramètres!$B$5*(C1296-1)^2),0)</f>
        <v>9</v>
      </c>
      <c r="R1296">
        <f>ROUND(INDEX(Catalogue!F$4:F$85,MATCH(A1296,Catalogue!A$4:A$85,0))*(1+Paramètres!$B$4*(C1296-1)+Paramètres!$B$5*(C1296-1)^2),0)</f>
        <v>18</v>
      </c>
      <c r="S1296">
        <f t="shared" si="164"/>
        <v>0</v>
      </c>
      <c r="T1296" t="str">
        <f t="shared" si="165"/>
        <v>OK</v>
      </c>
      <c r="U1296" s="25">
        <f t="shared" si="166"/>
        <v>13.5</v>
      </c>
      <c r="V1296" t="str">
        <f t="shared" si="167"/>
        <v>OK</v>
      </c>
    </row>
    <row r="1297" spans="1:22" ht="18" customHeight="1">
      <c r="A1297" t="s">
        <v>306</v>
      </c>
      <c r="B1297" t="s">
        <v>307</v>
      </c>
      <c r="C1297">
        <v>14</v>
      </c>
      <c r="D1297" t="s">
        <v>286</v>
      </c>
      <c r="E1297" s="6">
        <f t="shared" si="160"/>
        <v>10</v>
      </c>
      <c r="F1297" s="6">
        <f t="shared" si="161"/>
        <v>21</v>
      </c>
      <c r="G1297" s="6">
        <f>ROUND(Catalogue!G68*SQRT((1+Paramètres!$B$4*(C1297-1)+Paramètres!$B$5*(C1297-1)^2)),0)</f>
        <v>0</v>
      </c>
      <c r="H1297" s="6">
        <f>ROUND(Catalogue!H68*SQRT((1+Paramètres!$B$4*(C1297-1)+Paramètres!$B$5*(C1297-1)^2)),0)</f>
        <v>0</v>
      </c>
      <c r="I1297" s="6">
        <v>2</v>
      </c>
      <c r="J1297" s="6">
        <v>4</v>
      </c>
      <c r="K1297" s="7">
        <v>0.3</v>
      </c>
      <c r="L1297" s="9">
        <f t="shared" si="162"/>
        <v>15.5</v>
      </c>
      <c r="M1297">
        <v>1</v>
      </c>
      <c r="N1297">
        <v>12</v>
      </c>
      <c r="O1297">
        <v>9</v>
      </c>
      <c r="P1297" s="13" t="str">
        <f t="shared" si="163"/>
        <v>1d12 + 9</v>
      </c>
      <c r="Q1297">
        <f>ROUND(INDEX(Catalogue!E$4:E$85,MATCH(A1297,Catalogue!A$4:A$85,0))*(1+Paramètres!$B$4*(C1297-1)+Paramètres!$B$5*(C1297-1)^2),0)</f>
        <v>10</v>
      </c>
      <c r="R1297">
        <f>ROUND(INDEX(Catalogue!F$4:F$85,MATCH(A1297,Catalogue!A$4:A$85,0))*(1+Paramètres!$B$4*(C1297-1)+Paramètres!$B$5*(C1297-1)^2),0)</f>
        <v>21</v>
      </c>
      <c r="S1297">
        <f t="shared" si="164"/>
        <v>0</v>
      </c>
      <c r="T1297" t="str">
        <f t="shared" si="165"/>
        <v>OK</v>
      </c>
      <c r="U1297" s="25">
        <f t="shared" si="166"/>
        <v>15.5</v>
      </c>
      <c r="V1297" t="str">
        <f t="shared" si="167"/>
        <v>OK</v>
      </c>
    </row>
    <row r="1298" spans="1:22" ht="18" customHeight="1">
      <c r="A1298" t="s">
        <v>306</v>
      </c>
      <c r="B1298" t="s">
        <v>307</v>
      </c>
      <c r="C1298">
        <v>15</v>
      </c>
      <c r="D1298" t="s">
        <v>286</v>
      </c>
      <c r="E1298" s="6">
        <f t="shared" si="160"/>
        <v>11</v>
      </c>
      <c r="F1298" s="6">
        <f t="shared" si="161"/>
        <v>23</v>
      </c>
      <c r="G1298" s="6">
        <f>ROUND(Catalogue!G68*SQRT((1+Paramètres!$B$4*(C1298-1)+Paramètres!$B$5*(C1298-1)^2)),0)</f>
        <v>0</v>
      </c>
      <c r="H1298" s="6">
        <f>ROUND(Catalogue!H68*SQRT((1+Paramètres!$B$4*(C1298-1)+Paramètres!$B$5*(C1298-1)^2)),0)</f>
        <v>0</v>
      </c>
      <c r="I1298" s="6">
        <v>2</v>
      </c>
      <c r="J1298" s="6">
        <v>4</v>
      </c>
      <c r="K1298" s="7">
        <v>0.3</v>
      </c>
      <c r="L1298" s="9">
        <f t="shared" si="162"/>
        <v>17</v>
      </c>
      <c r="M1298">
        <v>4</v>
      </c>
      <c r="N1298">
        <v>4</v>
      </c>
      <c r="O1298">
        <v>7</v>
      </c>
      <c r="P1298" s="13" t="str">
        <f t="shared" si="163"/>
        <v>4d4 + 7</v>
      </c>
      <c r="Q1298">
        <f>ROUND(INDEX(Catalogue!E$4:E$85,MATCH(A1298,Catalogue!A$4:A$85,0))*(1+Paramètres!$B$4*(C1298-1)+Paramètres!$B$5*(C1298-1)^2),0)</f>
        <v>11</v>
      </c>
      <c r="R1298">
        <f>ROUND(INDEX(Catalogue!F$4:F$85,MATCH(A1298,Catalogue!A$4:A$85,0))*(1+Paramètres!$B$4*(C1298-1)+Paramètres!$B$5*(C1298-1)^2),0)</f>
        <v>23</v>
      </c>
      <c r="S1298">
        <f t="shared" si="164"/>
        <v>0</v>
      </c>
      <c r="T1298" t="str">
        <f t="shared" si="165"/>
        <v>OK</v>
      </c>
      <c r="U1298" s="25">
        <f t="shared" si="166"/>
        <v>17</v>
      </c>
      <c r="V1298" t="str">
        <f t="shared" si="167"/>
        <v>OK</v>
      </c>
    </row>
    <row r="1299" spans="1:22" ht="18" customHeight="1">
      <c r="A1299" t="s">
        <v>306</v>
      </c>
      <c r="B1299" t="s">
        <v>307</v>
      </c>
      <c r="C1299">
        <v>16</v>
      </c>
      <c r="D1299" t="s">
        <v>286</v>
      </c>
      <c r="E1299" s="6">
        <f t="shared" si="160"/>
        <v>13</v>
      </c>
      <c r="F1299" s="6">
        <f t="shared" si="161"/>
        <v>25</v>
      </c>
      <c r="G1299" s="6">
        <f>ROUND(Catalogue!G68*SQRT((1+Paramètres!$B$4*(C1299-1)+Paramètres!$B$5*(C1299-1)^2)),0)</f>
        <v>0</v>
      </c>
      <c r="H1299" s="6">
        <f>ROUND(Catalogue!H68*SQRT((1+Paramètres!$B$4*(C1299-1)+Paramètres!$B$5*(C1299-1)^2)),0)</f>
        <v>0</v>
      </c>
      <c r="I1299" s="6">
        <v>2</v>
      </c>
      <c r="J1299" s="6">
        <v>4</v>
      </c>
      <c r="K1299" s="7">
        <v>0.3</v>
      </c>
      <c r="L1299" s="9">
        <f t="shared" si="162"/>
        <v>19</v>
      </c>
      <c r="M1299">
        <v>4</v>
      </c>
      <c r="N1299">
        <v>4</v>
      </c>
      <c r="O1299">
        <v>9</v>
      </c>
      <c r="P1299" s="13" t="str">
        <f t="shared" si="163"/>
        <v>4d4 + 9</v>
      </c>
      <c r="Q1299">
        <f>ROUND(INDEX(Catalogue!E$4:E$85,MATCH(A1299,Catalogue!A$4:A$85,0))*(1+Paramètres!$B$4*(C1299-1)+Paramètres!$B$5*(C1299-1)^2),0)</f>
        <v>13</v>
      </c>
      <c r="R1299">
        <f>ROUND(INDEX(Catalogue!F$4:F$85,MATCH(A1299,Catalogue!A$4:A$85,0))*(1+Paramètres!$B$4*(C1299-1)+Paramètres!$B$5*(C1299-1)^2),0)</f>
        <v>25</v>
      </c>
      <c r="S1299">
        <f t="shared" si="164"/>
        <v>0</v>
      </c>
      <c r="T1299" t="str">
        <f t="shared" si="165"/>
        <v>OK</v>
      </c>
      <c r="U1299" s="25">
        <f t="shared" si="166"/>
        <v>19</v>
      </c>
      <c r="V1299" t="str">
        <f t="shared" si="167"/>
        <v>OK</v>
      </c>
    </row>
    <row r="1300" spans="1:22" ht="18" customHeight="1">
      <c r="A1300" t="s">
        <v>306</v>
      </c>
      <c r="B1300" t="s">
        <v>307</v>
      </c>
      <c r="C1300">
        <v>17</v>
      </c>
      <c r="D1300" t="s">
        <v>286</v>
      </c>
      <c r="E1300" s="6">
        <f t="shared" si="160"/>
        <v>13</v>
      </c>
      <c r="F1300" s="6">
        <f t="shared" si="161"/>
        <v>27</v>
      </c>
      <c r="G1300" s="6">
        <f>ROUND(Catalogue!G68*SQRT((1+Paramètres!$B$4*(C1300-1)+Paramètres!$B$5*(C1300-1)^2)),0)</f>
        <v>0</v>
      </c>
      <c r="H1300" s="6">
        <f>ROUND(Catalogue!H68*SQRT((1+Paramètres!$B$4*(C1300-1)+Paramètres!$B$5*(C1300-1)^2)),0)</f>
        <v>0</v>
      </c>
      <c r="I1300" s="6">
        <v>2</v>
      </c>
      <c r="J1300" s="6">
        <v>4</v>
      </c>
      <c r="K1300" s="7">
        <v>0.3</v>
      </c>
      <c r="L1300" s="9">
        <f t="shared" si="162"/>
        <v>20</v>
      </c>
      <c r="M1300">
        <v>2</v>
      </c>
      <c r="N1300">
        <v>8</v>
      </c>
      <c r="O1300">
        <v>11</v>
      </c>
      <c r="P1300" s="13" t="str">
        <f t="shared" si="163"/>
        <v>2d8 + 11</v>
      </c>
      <c r="Q1300">
        <f>ROUND(INDEX(Catalogue!E$4:E$85,MATCH(A1300,Catalogue!A$4:A$85,0))*(1+Paramètres!$B$4*(C1300-1)+Paramètres!$B$5*(C1300-1)^2),0)</f>
        <v>14</v>
      </c>
      <c r="R1300">
        <f>ROUND(INDEX(Catalogue!F$4:F$85,MATCH(A1300,Catalogue!A$4:A$85,0))*(1+Paramètres!$B$4*(C1300-1)+Paramètres!$B$5*(C1300-1)^2),0)</f>
        <v>27</v>
      </c>
      <c r="S1300">
        <f t="shared" si="164"/>
        <v>-0.5</v>
      </c>
      <c r="T1300" t="str">
        <f t="shared" si="165"/>
        <v>OK</v>
      </c>
      <c r="U1300" s="25">
        <f t="shared" si="166"/>
        <v>20</v>
      </c>
      <c r="V1300" t="str">
        <f t="shared" si="167"/>
        <v>OK</v>
      </c>
    </row>
    <row r="1301" spans="1:22" ht="18" customHeight="1">
      <c r="A1301" t="s">
        <v>306</v>
      </c>
      <c r="B1301" t="s">
        <v>307</v>
      </c>
      <c r="C1301">
        <v>18</v>
      </c>
      <c r="D1301" t="s">
        <v>286</v>
      </c>
      <c r="E1301" s="6">
        <f t="shared" si="160"/>
        <v>15</v>
      </c>
      <c r="F1301" s="6">
        <f t="shared" si="161"/>
        <v>30</v>
      </c>
      <c r="G1301" s="6">
        <f>ROUND(Catalogue!G68*SQRT((1+Paramètres!$B$4*(C1301-1)+Paramètres!$B$5*(C1301-1)^2)),0)</f>
        <v>0</v>
      </c>
      <c r="H1301" s="6">
        <f>ROUND(Catalogue!H68*SQRT((1+Paramètres!$B$4*(C1301-1)+Paramètres!$B$5*(C1301-1)^2)),0)</f>
        <v>0</v>
      </c>
      <c r="I1301" s="6">
        <v>2</v>
      </c>
      <c r="J1301" s="6">
        <v>4</v>
      </c>
      <c r="K1301" s="7">
        <v>0.3</v>
      </c>
      <c r="L1301" s="9">
        <f t="shared" si="162"/>
        <v>22.5</v>
      </c>
      <c r="M1301">
        <v>3</v>
      </c>
      <c r="N1301">
        <v>6</v>
      </c>
      <c r="O1301">
        <v>12</v>
      </c>
      <c r="P1301" s="13" t="str">
        <f t="shared" si="163"/>
        <v>3d6 + 12</v>
      </c>
      <c r="Q1301">
        <f>ROUND(INDEX(Catalogue!E$4:E$85,MATCH(A1301,Catalogue!A$4:A$85,0))*(1+Paramètres!$B$4*(C1301-1)+Paramètres!$B$5*(C1301-1)^2),0)</f>
        <v>15</v>
      </c>
      <c r="R1301">
        <f>ROUND(INDEX(Catalogue!F$4:F$85,MATCH(A1301,Catalogue!A$4:A$85,0))*(1+Paramètres!$B$4*(C1301-1)+Paramètres!$B$5*(C1301-1)^2),0)</f>
        <v>30</v>
      </c>
      <c r="S1301">
        <f t="shared" si="164"/>
        <v>0</v>
      </c>
      <c r="T1301" t="str">
        <f t="shared" si="165"/>
        <v>OK</v>
      </c>
      <c r="U1301" s="25">
        <f t="shared" si="166"/>
        <v>22.5</v>
      </c>
      <c r="V1301" t="str">
        <f t="shared" si="167"/>
        <v>OK</v>
      </c>
    </row>
    <row r="1302" spans="1:22" ht="18" customHeight="1">
      <c r="A1302" t="s">
        <v>306</v>
      </c>
      <c r="B1302" t="s">
        <v>307</v>
      </c>
      <c r="C1302">
        <v>19</v>
      </c>
      <c r="D1302" t="s">
        <v>286</v>
      </c>
      <c r="E1302" s="6">
        <f t="shared" si="160"/>
        <v>15</v>
      </c>
      <c r="F1302" s="6">
        <f t="shared" si="161"/>
        <v>33</v>
      </c>
      <c r="G1302" s="6">
        <f>ROUND(Catalogue!G68*SQRT((1+Paramètres!$B$4*(C1302-1)+Paramètres!$B$5*(C1302-1)^2)),0)</f>
        <v>0</v>
      </c>
      <c r="H1302" s="6">
        <f>ROUND(Catalogue!H68*SQRT((1+Paramètres!$B$4*(C1302-1)+Paramètres!$B$5*(C1302-1)^2)),0)</f>
        <v>0</v>
      </c>
      <c r="I1302" s="6">
        <v>2</v>
      </c>
      <c r="J1302" s="6">
        <v>4</v>
      </c>
      <c r="K1302" s="7">
        <v>0.3</v>
      </c>
      <c r="L1302" s="9">
        <f t="shared" si="162"/>
        <v>24</v>
      </c>
      <c r="M1302">
        <v>2</v>
      </c>
      <c r="N1302">
        <v>10</v>
      </c>
      <c r="O1302">
        <v>13</v>
      </c>
      <c r="P1302" s="13" t="str">
        <f t="shared" si="163"/>
        <v>2d10 + 13</v>
      </c>
      <c r="Q1302">
        <f>ROUND(INDEX(Catalogue!E$4:E$85,MATCH(A1302,Catalogue!A$4:A$85,0))*(1+Paramètres!$B$4*(C1302-1)+Paramètres!$B$5*(C1302-1)^2),0)</f>
        <v>16</v>
      </c>
      <c r="R1302">
        <f>ROUND(INDEX(Catalogue!F$4:F$85,MATCH(A1302,Catalogue!A$4:A$85,0))*(1+Paramètres!$B$4*(C1302-1)+Paramètres!$B$5*(C1302-1)^2),0)</f>
        <v>33</v>
      </c>
      <c r="S1302">
        <f t="shared" si="164"/>
        <v>-0.5</v>
      </c>
      <c r="T1302" t="str">
        <f t="shared" si="165"/>
        <v>OK</v>
      </c>
      <c r="U1302" s="25">
        <f t="shared" si="166"/>
        <v>24</v>
      </c>
      <c r="V1302" t="str">
        <f t="shared" si="167"/>
        <v>OK</v>
      </c>
    </row>
    <row r="1303" spans="1:22" ht="18" customHeight="1">
      <c r="A1303" t="s">
        <v>306</v>
      </c>
      <c r="B1303" t="s">
        <v>307</v>
      </c>
      <c r="C1303">
        <v>20</v>
      </c>
      <c r="D1303" t="s">
        <v>286</v>
      </c>
      <c r="E1303" s="6">
        <f t="shared" si="160"/>
        <v>18</v>
      </c>
      <c r="F1303" s="6">
        <f t="shared" si="161"/>
        <v>36</v>
      </c>
      <c r="G1303" s="6">
        <f>ROUND(Catalogue!G68*SQRT((1+Paramètres!$B$4*(C1303-1)+Paramètres!$B$5*(C1303-1)^2)),0)</f>
        <v>0</v>
      </c>
      <c r="H1303" s="6">
        <f>ROUND(Catalogue!H68*SQRT((1+Paramètres!$B$4*(C1303-1)+Paramètres!$B$5*(C1303-1)^2)),0)</f>
        <v>0</v>
      </c>
      <c r="I1303" s="6">
        <v>2</v>
      </c>
      <c r="J1303" s="6">
        <v>4</v>
      </c>
      <c r="K1303" s="7">
        <v>0.3</v>
      </c>
      <c r="L1303" s="9">
        <f t="shared" si="162"/>
        <v>27</v>
      </c>
      <c r="M1303">
        <v>2</v>
      </c>
      <c r="N1303">
        <v>10</v>
      </c>
      <c r="O1303">
        <v>16</v>
      </c>
      <c r="P1303" s="13" t="str">
        <f t="shared" si="163"/>
        <v>2d10 + 16</v>
      </c>
      <c r="Q1303">
        <f>ROUND(INDEX(Catalogue!E$4:E$85,MATCH(A1303,Catalogue!A$4:A$85,0))*(1+Paramètres!$B$4*(C1303-1)+Paramètres!$B$5*(C1303-1)^2),0)</f>
        <v>18</v>
      </c>
      <c r="R1303">
        <f>ROUND(INDEX(Catalogue!F$4:F$85,MATCH(A1303,Catalogue!A$4:A$85,0))*(1+Paramètres!$B$4*(C1303-1)+Paramètres!$B$5*(C1303-1)^2),0)</f>
        <v>35</v>
      </c>
      <c r="S1303">
        <f t="shared" si="164"/>
        <v>0.5</v>
      </c>
      <c r="T1303" t="str">
        <f t="shared" si="165"/>
        <v>OK</v>
      </c>
      <c r="U1303" s="25">
        <f t="shared" si="166"/>
        <v>27</v>
      </c>
      <c r="V1303" t="str">
        <f t="shared" si="167"/>
        <v>OK</v>
      </c>
    </row>
    <row r="1304" spans="1:22" ht="18" customHeight="1">
      <c r="A1304" t="s">
        <v>309</v>
      </c>
      <c r="B1304" t="s">
        <v>310</v>
      </c>
      <c r="C1304">
        <v>1</v>
      </c>
      <c r="D1304" t="s">
        <v>286</v>
      </c>
      <c r="E1304" s="6">
        <f t="shared" si="160"/>
        <v>3</v>
      </c>
      <c r="F1304" s="6">
        <f t="shared" si="161"/>
        <v>6</v>
      </c>
      <c r="G1304" s="6">
        <f>ROUND(Catalogue!G69*SQRT((1+Paramètres!$B$4*(C1304-1)+Paramètres!$B$5*(C1304-1)^2)),0)</f>
        <v>0</v>
      </c>
      <c r="H1304" s="6">
        <f>ROUND(Catalogue!H69*SQRT((1+Paramètres!$B$4*(C1304-1)+Paramètres!$B$5*(C1304-1)^2)),0)</f>
        <v>0</v>
      </c>
      <c r="I1304" s="6">
        <v>2</v>
      </c>
      <c r="J1304" s="6">
        <v>4</v>
      </c>
      <c r="K1304" s="7">
        <v>1.6</v>
      </c>
      <c r="L1304" s="9">
        <f t="shared" si="162"/>
        <v>4.5</v>
      </c>
      <c r="M1304">
        <v>1</v>
      </c>
      <c r="N1304">
        <v>4</v>
      </c>
      <c r="O1304">
        <v>2</v>
      </c>
      <c r="P1304" s="13" t="str">
        <f t="shared" si="163"/>
        <v>1d4 + 2</v>
      </c>
      <c r="Q1304">
        <f>ROUND(INDEX(Catalogue!E$4:E$85,MATCH(A1304,Catalogue!A$4:A$85,0))*(1+Paramètres!$B$4*(C1304-1)+Paramètres!$B$5*(C1304-1)^2),0)</f>
        <v>3</v>
      </c>
      <c r="R1304">
        <f>ROUND(INDEX(Catalogue!F$4:F$85,MATCH(A1304,Catalogue!A$4:A$85,0))*(1+Paramètres!$B$4*(C1304-1)+Paramètres!$B$5*(C1304-1)^2),0)</f>
        <v>6</v>
      </c>
      <c r="S1304">
        <f t="shared" si="164"/>
        <v>0</v>
      </c>
      <c r="T1304" t="str">
        <f t="shared" si="165"/>
        <v>OK</v>
      </c>
      <c r="U1304" s="25">
        <f t="shared" si="166"/>
        <v>4.5</v>
      </c>
      <c r="V1304" t="str">
        <f t="shared" si="167"/>
        <v>OK</v>
      </c>
    </row>
    <row r="1305" spans="1:22" ht="18" customHeight="1">
      <c r="A1305" t="s">
        <v>309</v>
      </c>
      <c r="B1305" t="s">
        <v>310</v>
      </c>
      <c r="C1305">
        <v>2</v>
      </c>
      <c r="D1305" t="s">
        <v>286</v>
      </c>
      <c r="E1305" s="6">
        <f t="shared" si="160"/>
        <v>3</v>
      </c>
      <c r="F1305" s="6">
        <f t="shared" si="161"/>
        <v>6</v>
      </c>
      <c r="G1305" s="6">
        <f>ROUND(Catalogue!G69*SQRT((1+Paramètres!$B$4*(C1305-1)+Paramètres!$B$5*(C1305-1)^2)),0)</f>
        <v>0</v>
      </c>
      <c r="H1305" s="6">
        <f>ROUND(Catalogue!H69*SQRT((1+Paramètres!$B$4*(C1305-1)+Paramètres!$B$5*(C1305-1)^2)),0)</f>
        <v>0</v>
      </c>
      <c r="I1305" s="6">
        <v>2</v>
      </c>
      <c r="J1305" s="6">
        <v>4</v>
      </c>
      <c r="K1305" s="7">
        <v>1.6</v>
      </c>
      <c r="L1305" s="9">
        <f t="shared" si="162"/>
        <v>4.5</v>
      </c>
      <c r="M1305">
        <v>1</v>
      </c>
      <c r="N1305">
        <v>4</v>
      </c>
      <c r="O1305">
        <v>2</v>
      </c>
      <c r="P1305" s="13" t="str">
        <f t="shared" si="163"/>
        <v>1d4 + 2</v>
      </c>
      <c r="Q1305">
        <f>ROUND(INDEX(Catalogue!E$4:E$85,MATCH(A1305,Catalogue!A$4:A$85,0))*(1+Paramètres!$B$4*(C1305-1)+Paramètres!$B$5*(C1305-1)^2),0)</f>
        <v>3</v>
      </c>
      <c r="R1305">
        <f>ROUND(INDEX(Catalogue!F$4:F$85,MATCH(A1305,Catalogue!A$4:A$85,0))*(1+Paramètres!$B$4*(C1305-1)+Paramètres!$B$5*(C1305-1)^2),0)</f>
        <v>7</v>
      </c>
      <c r="S1305">
        <f t="shared" si="164"/>
        <v>-0.5</v>
      </c>
      <c r="T1305" t="str">
        <f t="shared" si="165"/>
        <v>OK</v>
      </c>
      <c r="U1305" s="25">
        <f t="shared" si="166"/>
        <v>4.5</v>
      </c>
      <c r="V1305" t="str">
        <f t="shared" si="167"/>
        <v>OK</v>
      </c>
    </row>
    <row r="1306" spans="1:22" ht="18" customHeight="1">
      <c r="A1306" t="s">
        <v>309</v>
      </c>
      <c r="B1306" t="s">
        <v>310</v>
      </c>
      <c r="C1306">
        <v>3</v>
      </c>
      <c r="D1306" t="s">
        <v>286</v>
      </c>
      <c r="E1306" s="6">
        <f t="shared" si="160"/>
        <v>4</v>
      </c>
      <c r="F1306" s="6">
        <f t="shared" si="161"/>
        <v>7</v>
      </c>
      <c r="G1306" s="6">
        <f>ROUND(Catalogue!G69*SQRT((1+Paramètres!$B$4*(C1306-1)+Paramètres!$B$5*(C1306-1)^2)),0)</f>
        <v>0</v>
      </c>
      <c r="H1306" s="6">
        <f>ROUND(Catalogue!H69*SQRT((1+Paramètres!$B$4*(C1306-1)+Paramètres!$B$5*(C1306-1)^2)),0)</f>
        <v>0</v>
      </c>
      <c r="I1306" s="6">
        <v>2</v>
      </c>
      <c r="J1306" s="6">
        <v>4</v>
      </c>
      <c r="K1306" s="7">
        <v>1.6</v>
      </c>
      <c r="L1306" s="9">
        <f t="shared" si="162"/>
        <v>5.5</v>
      </c>
      <c r="M1306">
        <v>1</v>
      </c>
      <c r="N1306">
        <v>4</v>
      </c>
      <c r="O1306">
        <v>3</v>
      </c>
      <c r="P1306" s="13" t="str">
        <f t="shared" si="163"/>
        <v>1d4 + 3</v>
      </c>
      <c r="Q1306">
        <f>ROUND(INDEX(Catalogue!E$4:E$85,MATCH(A1306,Catalogue!A$4:A$85,0))*(1+Paramètres!$B$4*(C1306-1)+Paramètres!$B$5*(C1306-1)^2),0)</f>
        <v>4</v>
      </c>
      <c r="R1306">
        <f>ROUND(INDEX(Catalogue!F$4:F$85,MATCH(A1306,Catalogue!A$4:A$85,0))*(1+Paramètres!$B$4*(C1306-1)+Paramètres!$B$5*(C1306-1)^2),0)</f>
        <v>8</v>
      </c>
      <c r="S1306">
        <f t="shared" si="164"/>
        <v>-0.5</v>
      </c>
      <c r="T1306" t="str">
        <f t="shared" si="165"/>
        <v>OK</v>
      </c>
      <c r="U1306" s="25">
        <f t="shared" si="166"/>
        <v>5.5</v>
      </c>
      <c r="V1306" t="str">
        <f t="shared" si="167"/>
        <v>OK</v>
      </c>
    </row>
    <row r="1307" spans="1:22" ht="18" customHeight="1">
      <c r="A1307" t="s">
        <v>309</v>
      </c>
      <c r="B1307" t="s">
        <v>310</v>
      </c>
      <c r="C1307">
        <v>4</v>
      </c>
      <c r="D1307" t="s">
        <v>286</v>
      </c>
      <c r="E1307" s="6">
        <f t="shared" si="160"/>
        <v>4</v>
      </c>
      <c r="F1307" s="6">
        <f t="shared" si="161"/>
        <v>9</v>
      </c>
      <c r="G1307" s="6">
        <f>ROUND(Catalogue!G69*SQRT((1+Paramètres!$B$4*(C1307-1)+Paramètres!$B$5*(C1307-1)^2)),0)</f>
        <v>0</v>
      </c>
      <c r="H1307" s="6">
        <f>ROUND(Catalogue!H69*SQRT((1+Paramètres!$B$4*(C1307-1)+Paramètres!$B$5*(C1307-1)^2)),0)</f>
        <v>0</v>
      </c>
      <c r="I1307" s="6">
        <v>2</v>
      </c>
      <c r="J1307" s="6">
        <v>4</v>
      </c>
      <c r="K1307" s="7">
        <v>1.6</v>
      </c>
      <c r="L1307" s="9">
        <f t="shared" si="162"/>
        <v>6.5</v>
      </c>
      <c r="M1307">
        <v>1</v>
      </c>
      <c r="N1307">
        <v>6</v>
      </c>
      <c r="O1307">
        <v>3</v>
      </c>
      <c r="P1307" s="13" t="str">
        <f t="shared" si="163"/>
        <v>1d6 + 3</v>
      </c>
      <c r="Q1307">
        <f>ROUND(INDEX(Catalogue!E$4:E$85,MATCH(A1307,Catalogue!A$4:A$85,0))*(1+Paramètres!$B$4*(C1307-1)+Paramètres!$B$5*(C1307-1)^2),0)</f>
        <v>4</v>
      </c>
      <c r="R1307">
        <f>ROUND(INDEX(Catalogue!F$4:F$85,MATCH(A1307,Catalogue!A$4:A$85,0))*(1+Paramètres!$B$4*(C1307-1)+Paramètres!$B$5*(C1307-1)^2),0)</f>
        <v>9</v>
      </c>
      <c r="S1307">
        <f t="shared" si="164"/>
        <v>0</v>
      </c>
      <c r="T1307" t="str">
        <f t="shared" si="165"/>
        <v>OK</v>
      </c>
      <c r="U1307" s="25">
        <f t="shared" si="166"/>
        <v>6.5</v>
      </c>
      <c r="V1307" t="str">
        <f t="shared" si="167"/>
        <v>OK</v>
      </c>
    </row>
    <row r="1308" spans="1:22" ht="18" customHeight="1">
      <c r="A1308" t="s">
        <v>309</v>
      </c>
      <c r="B1308" t="s">
        <v>310</v>
      </c>
      <c r="C1308">
        <v>5</v>
      </c>
      <c r="D1308" t="s">
        <v>286</v>
      </c>
      <c r="E1308" s="6">
        <f t="shared" si="160"/>
        <v>5</v>
      </c>
      <c r="F1308" s="6">
        <f t="shared" si="161"/>
        <v>10</v>
      </c>
      <c r="G1308" s="6">
        <f>ROUND(Catalogue!G69*SQRT((1+Paramètres!$B$4*(C1308-1)+Paramètres!$B$5*(C1308-1)^2)),0)</f>
        <v>0</v>
      </c>
      <c r="H1308" s="6">
        <f>ROUND(Catalogue!H69*SQRT((1+Paramètres!$B$4*(C1308-1)+Paramètres!$B$5*(C1308-1)^2)),0)</f>
        <v>0</v>
      </c>
      <c r="I1308" s="6">
        <v>2</v>
      </c>
      <c r="J1308" s="6">
        <v>4</v>
      </c>
      <c r="K1308" s="7">
        <v>1.6</v>
      </c>
      <c r="L1308" s="9">
        <f t="shared" si="162"/>
        <v>7.5</v>
      </c>
      <c r="M1308">
        <v>1</v>
      </c>
      <c r="N1308">
        <v>6</v>
      </c>
      <c r="O1308">
        <v>4</v>
      </c>
      <c r="P1308" s="13" t="str">
        <f t="shared" si="163"/>
        <v>1d6 + 4</v>
      </c>
      <c r="Q1308">
        <f>ROUND(INDEX(Catalogue!E$4:E$85,MATCH(A1308,Catalogue!A$4:A$85,0))*(1+Paramètres!$B$4*(C1308-1)+Paramètres!$B$5*(C1308-1)^2),0)</f>
        <v>5</v>
      </c>
      <c r="R1308">
        <f>ROUND(INDEX(Catalogue!F$4:F$85,MATCH(A1308,Catalogue!A$4:A$85,0))*(1+Paramètres!$B$4*(C1308-1)+Paramètres!$B$5*(C1308-1)^2),0)</f>
        <v>10</v>
      </c>
      <c r="S1308">
        <f t="shared" si="164"/>
        <v>0</v>
      </c>
      <c r="T1308" t="str">
        <f t="shared" si="165"/>
        <v>OK</v>
      </c>
      <c r="U1308" s="25">
        <f t="shared" si="166"/>
        <v>7.5</v>
      </c>
      <c r="V1308" t="str">
        <f t="shared" si="167"/>
        <v>OK</v>
      </c>
    </row>
    <row r="1309" spans="1:22" ht="18" customHeight="1">
      <c r="A1309" t="s">
        <v>309</v>
      </c>
      <c r="B1309" t="s">
        <v>310</v>
      </c>
      <c r="C1309">
        <v>6</v>
      </c>
      <c r="D1309" t="s">
        <v>286</v>
      </c>
      <c r="E1309" s="6">
        <f t="shared" si="160"/>
        <v>6</v>
      </c>
      <c r="F1309" s="6">
        <f t="shared" si="161"/>
        <v>12</v>
      </c>
      <c r="G1309" s="6">
        <f>ROUND(Catalogue!G69*SQRT((1+Paramètres!$B$4*(C1309-1)+Paramètres!$B$5*(C1309-1)^2)),0)</f>
        <v>0</v>
      </c>
      <c r="H1309" s="6">
        <f>ROUND(Catalogue!H69*SQRT((1+Paramètres!$B$4*(C1309-1)+Paramètres!$B$5*(C1309-1)^2)),0)</f>
        <v>0</v>
      </c>
      <c r="I1309" s="6">
        <v>2</v>
      </c>
      <c r="J1309" s="6">
        <v>4</v>
      </c>
      <c r="K1309" s="7">
        <v>1.6</v>
      </c>
      <c r="L1309" s="9">
        <f t="shared" si="162"/>
        <v>9</v>
      </c>
      <c r="M1309">
        <v>2</v>
      </c>
      <c r="N1309">
        <v>4</v>
      </c>
      <c r="O1309">
        <v>4</v>
      </c>
      <c r="P1309" s="13" t="str">
        <f t="shared" si="163"/>
        <v>2d4 + 4</v>
      </c>
      <c r="Q1309">
        <f>ROUND(INDEX(Catalogue!E$4:E$85,MATCH(A1309,Catalogue!A$4:A$85,0))*(1+Paramètres!$B$4*(C1309-1)+Paramètres!$B$5*(C1309-1)^2),0)</f>
        <v>6</v>
      </c>
      <c r="R1309">
        <f>ROUND(INDEX(Catalogue!F$4:F$85,MATCH(A1309,Catalogue!A$4:A$85,0))*(1+Paramètres!$B$4*(C1309-1)+Paramètres!$B$5*(C1309-1)^2),0)</f>
        <v>12</v>
      </c>
      <c r="S1309">
        <f t="shared" si="164"/>
        <v>0</v>
      </c>
      <c r="T1309" t="str">
        <f t="shared" si="165"/>
        <v>OK</v>
      </c>
      <c r="U1309" s="25">
        <f t="shared" si="166"/>
        <v>9</v>
      </c>
      <c r="V1309" t="str">
        <f t="shared" si="167"/>
        <v>OK</v>
      </c>
    </row>
    <row r="1310" spans="1:22" ht="18" customHeight="1">
      <c r="A1310" t="s">
        <v>309</v>
      </c>
      <c r="B1310" t="s">
        <v>310</v>
      </c>
      <c r="C1310">
        <v>7</v>
      </c>
      <c r="D1310" t="s">
        <v>286</v>
      </c>
      <c r="E1310" s="6">
        <f t="shared" si="160"/>
        <v>7</v>
      </c>
      <c r="F1310" s="6">
        <f t="shared" si="161"/>
        <v>13</v>
      </c>
      <c r="G1310" s="6">
        <f>ROUND(Catalogue!G69*SQRT((1+Paramètres!$B$4*(C1310-1)+Paramètres!$B$5*(C1310-1)^2)),0)</f>
        <v>0</v>
      </c>
      <c r="H1310" s="6">
        <f>ROUND(Catalogue!H69*SQRT((1+Paramètres!$B$4*(C1310-1)+Paramètres!$B$5*(C1310-1)^2)),0)</f>
        <v>0</v>
      </c>
      <c r="I1310" s="6">
        <v>2</v>
      </c>
      <c r="J1310" s="6">
        <v>4</v>
      </c>
      <c r="K1310" s="7">
        <v>1.6</v>
      </c>
      <c r="L1310" s="9">
        <f t="shared" si="162"/>
        <v>10</v>
      </c>
      <c r="M1310">
        <v>2</v>
      </c>
      <c r="N1310">
        <v>4</v>
      </c>
      <c r="O1310">
        <v>5</v>
      </c>
      <c r="P1310" s="13" t="str">
        <f t="shared" si="163"/>
        <v>2d4 + 5</v>
      </c>
      <c r="Q1310">
        <f>ROUND(INDEX(Catalogue!E$4:E$85,MATCH(A1310,Catalogue!A$4:A$85,0))*(1+Paramètres!$B$4*(C1310-1)+Paramètres!$B$5*(C1310-1)^2),0)</f>
        <v>7</v>
      </c>
      <c r="R1310">
        <f>ROUND(INDEX(Catalogue!F$4:F$85,MATCH(A1310,Catalogue!A$4:A$85,0))*(1+Paramètres!$B$4*(C1310-1)+Paramètres!$B$5*(C1310-1)^2),0)</f>
        <v>13</v>
      </c>
      <c r="S1310">
        <f t="shared" si="164"/>
        <v>0</v>
      </c>
      <c r="T1310" t="str">
        <f t="shared" si="165"/>
        <v>OK</v>
      </c>
      <c r="U1310" s="25">
        <f t="shared" si="166"/>
        <v>10</v>
      </c>
      <c r="V1310" t="str">
        <f t="shared" si="167"/>
        <v>OK</v>
      </c>
    </row>
    <row r="1311" spans="1:22" ht="18" customHeight="1">
      <c r="A1311" t="s">
        <v>309</v>
      </c>
      <c r="B1311" t="s">
        <v>310</v>
      </c>
      <c r="C1311">
        <v>8</v>
      </c>
      <c r="D1311" t="s">
        <v>286</v>
      </c>
      <c r="E1311" s="6">
        <f t="shared" si="160"/>
        <v>8</v>
      </c>
      <c r="F1311" s="6">
        <f t="shared" si="161"/>
        <v>15</v>
      </c>
      <c r="G1311" s="6">
        <f>ROUND(Catalogue!G69*SQRT((1+Paramètres!$B$4*(C1311-1)+Paramètres!$B$5*(C1311-1)^2)),0)</f>
        <v>0</v>
      </c>
      <c r="H1311" s="6">
        <f>ROUND(Catalogue!H69*SQRT((1+Paramètres!$B$4*(C1311-1)+Paramètres!$B$5*(C1311-1)^2)),0)</f>
        <v>0</v>
      </c>
      <c r="I1311" s="6">
        <v>2</v>
      </c>
      <c r="J1311" s="6">
        <v>4</v>
      </c>
      <c r="K1311" s="7">
        <v>1.6</v>
      </c>
      <c r="L1311" s="9">
        <f t="shared" si="162"/>
        <v>11.5</v>
      </c>
      <c r="M1311">
        <v>1</v>
      </c>
      <c r="N1311">
        <v>8</v>
      </c>
      <c r="O1311">
        <v>7</v>
      </c>
      <c r="P1311" s="13" t="str">
        <f t="shared" si="163"/>
        <v>1d8 + 7</v>
      </c>
      <c r="Q1311">
        <f>ROUND(INDEX(Catalogue!E$4:E$85,MATCH(A1311,Catalogue!A$4:A$85,0))*(1+Paramètres!$B$4*(C1311-1)+Paramètres!$B$5*(C1311-1)^2),0)</f>
        <v>8</v>
      </c>
      <c r="R1311">
        <f>ROUND(INDEX(Catalogue!F$4:F$85,MATCH(A1311,Catalogue!A$4:A$85,0))*(1+Paramètres!$B$4*(C1311-1)+Paramètres!$B$5*(C1311-1)^2),0)</f>
        <v>15</v>
      </c>
      <c r="S1311">
        <f t="shared" si="164"/>
        <v>0</v>
      </c>
      <c r="T1311" t="str">
        <f t="shared" si="165"/>
        <v>OK</v>
      </c>
      <c r="U1311" s="25">
        <f t="shared" si="166"/>
        <v>11.5</v>
      </c>
      <c r="V1311" t="str">
        <f t="shared" si="167"/>
        <v>OK</v>
      </c>
    </row>
    <row r="1312" spans="1:22" ht="18" customHeight="1">
      <c r="A1312" t="s">
        <v>309</v>
      </c>
      <c r="B1312" t="s">
        <v>310</v>
      </c>
      <c r="C1312">
        <v>9</v>
      </c>
      <c r="D1312" t="s">
        <v>286</v>
      </c>
      <c r="E1312" s="6">
        <f t="shared" si="160"/>
        <v>8</v>
      </c>
      <c r="F1312" s="6">
        <f t="shared" si="161"/>
        <v>17</v>
      </c>
      <c r="G1312" s="6">
        <f>ROUND(Catalogue!G69*SQRT((1+Paramètres!$B$4*(C1312-1)+Paramètres!$B$5*(C1312-1)^2)),0)</f>
        <v>0</v>
      </c>
      <c r="H1312" s="6">
        <f>ROUND(Catalogue!H69*SQRT((1+Paramètres!$B$4*(C1312-1)+Paramètres!$B$5*(C1312-1)^2)),0)</f>
        <v>0</v>
      </c>
      <c r="I1312" s="6">
        <v>2</v>
      </c>
      <c r="J1312" s="6">
        <v>4</v>
      </c>
      <c r="K1312" s="7">
        <v>1.6</v>
      </c>
      <c r="L1312" s="9">
        <f t="shared" si="162"/>
        <v>12.5</v>
      </c>
      <c r="M1312">
        <v>3</v>
      </c>
      <c r="N1312">
        <v>4</v>
      </c>
      <c r="O1312">
        <v>5</v>
      </c>
      <c r="P1312" s="13" t="str">
        <f t="shared" si="163"/>
        <v>3d4 + 5</v>
      </c>
      <c r="Q1312">
        <f>ROUND(INDEX(Catalogue!E$4:E$85,MATCH(A1312,Catalogue!A$4:A$85,0))*(1+Paramètres!$B$4*(C1312-1)+Paramètres!$B$5*(C1312-1)^2),0)</f>
        <v>9</v>
      </c>
      <c r="R1312">
        <f>ROUND(INDEX(Catalogue!F$4:F$85,MATCH(A1312,Catalogue!A$4:A$85,0))*(1+Paramètres!$B$4*(C1312-1)+Paramètres!$B$5*(C1312-1)^2),0)</f>
        <v>17</v>
      </c>
      <c r="S1312">
        <f t="shared" si="164"/>
        <v>-0.5</v>
      </c>
      <c r="T1312" t="str">
        <f t="shared" si="165"/>
        <v>OK</v>
      </c>
      <c r="U1312" s="25">
        <f t="shared" si="166"/>
        <v>12.5</v>
      </c>
      <c r="V1312" t="str">
        <f t="shared" si="167"/>
        <v>OK</v>
      </c>
    </row>
    <row r="1313" spans="1:22" ht="18" customHeight="1">
      <c r="A1313" t="s">
        <v>309</v>
      </c>
      <c r="B1313" t="s">
        <v>310</v>
      </c>
      <c r="C1313">
        <v>10</v>
      </c>
      <c r="D1313" t="s">
        <v>286</v>
      </c>
      <c r="E1313" s="6">
        <f t="shared" si="160"/>
        <v>10</v>
      </c>
      <c r="F1313" s="6">
        <f t="shared" si="161"/>
        <v>20</v>
      </c>
      <c r="G1313" s="6">
        <f>ROUND(Catalogue!G69*SQRT((1+Paramètres!$B$4*(C1313-1)+Paramètres!$B$5*(C1313-1)^2)),0)</f>
        <v>0</v>
      </c>
      <c r="H1313" s="6">
        <f>ROUND(Catalogue!H69*SQRT((1+Paramètres!$B$4*(C1313-1)+Paramètres!$B$5*(C1313-1)^2)),0)</f>
        <v>0</v>
      </c>
      <c r="I1313" s="6">
        <v>2</v>
      </c>
      <c r="J1313" s="6">
        <v>4</v>
      </c>
      <c r="K1313" s="7">
        <v>1.6</v>
      </c>
      <c r="L1313" s="9">
        <f t="shared" si="162"/>
        <v>15</v>
      </c>
      <c r="M1313">
        <v>2</v>
      </c>
      <c r="N1313">
        <v>6</v>
      </c>
      <c r="O1313">
        <v>8</v>
      </c>
      <c r="P1313" s="13" t="str">
        <f t="shared" si="163"/>
        <v>2d6 + 8</v>
      </c>
      <c r="Q1313">
        <f>ROUND(INDEX(Catalogue!E$4:E$85,MATCH(A1313,Catalogue!A$4:A$85,0))*(1+Paramètres!$B$4*(C1313-1)+Paramètres!$B$5*(C1313-1)^2),0)</f>
        <v>10</v>
      </c>
      <c r="R1313">
        <f>ROUND(INDEX(Catalogue!F$4:F$85,MATCH(A1313,Catalogue!A$4:A$85,0))*(1+Paramètres!$B$4*(C1313-1)+Paramètres!$B$5*(C1313-1)^2),0)</f>
        <v>20</v>
      </c>
      <c r="S1313">
        <f t="shared" si="164"/>
        <v>0</v>
      </c>
      <c r="T1313" t="str">
        <f t="shared" si="165"/>
        <v>OK</v>
      </c>
      <c r="U1313" s="25">
        <f t="shared" si="166"/>
        <v>15</v>
      </c>
      <c r="V1313" t="str">
        <f t="shared" si="167"/>
        <v>OK</v>
      </c>
    </row>
    <row r="1314" spans="1:22" ht="18" customHeight="1">
      <c r="A1314" t="s">
        <v>309</v>
      </c>
      <c r="B1314" t="s">
        <v>310</v>
      </c>
      <c r="C1314">
        <v>11</v>
      </c>
      <c r="D1314" t="s">
        <v>286</v>
      </c>
      <c r="E1314" s="6">
        <f t="shared" si="160"/>
        <v>11</v>
      </c>
      <c r="F1314" s="6">
        <f t="shared" si="161"/>
        <v>22</v>
      </c>
      <c r="G1314" s="6">
        <f>ROUND(Catalogue!G69*SQRT((1+Paramètres!$B$4*(C1314-1)+Paramètres!$B$5*(C1314-1)^2)),0)</f>
        <v>0</v>
      </c>
      <c r="H1314" s="6">
        <f>ROUND(Catalogue!H69*SQRT((1+Paramètres!$B$4*(C1314-1)+Paramètres!$B$5*(C1314-1)^2)),0)</f>
        <v>0</v>
      </c>
      <c r="I1314" s="6">
        <v>2</v>
      </c>
      <c r="J1314" s="6">
        <v>4</v>
      </c>
      <c r="K1314" s="7">
        <v>1.6</v>
      </c>
      <c r="L1314" s="9">
        <f t="shared" si="162"/>
        <v>16.5</v>
      </c>
      <c r="M1314">
        <v>1</v>
      </c>
      <c r="N1314">
        <v>12</v>
      </c>
      <c r="O1314">
        <v>10</v>
      </c>
      <c r="P1314" s="13" t="str">
        <f t="shared" si="163"/>
        <v>1d12 + 10</v>
      </c>
      <c r="Q1314">
        <f>ROUND(INDEX(Catalogue!E$4:E$85,MATCH(A1314,Catalogue!A$4:A$85,0))*(1+Paramètres!$B$4*(C1314-1)+Paramètres!$B$5*(C1314-1)^2),0)</f>
        <v>11</v>
      </c>
      <c r="R1314">
        <f>ROUND(INDEX(Catalogue!F$4:F$85,MATCH(A1314,Catalogue!A$4:A$85,0))*(1+Paramètres!$B$4*(C1314-1)+Paramètres!$B$5*(C1314-1)^2),0)</f>
        <v>22</v>
      </c>
      <c r="S1314">
        <f t="shared" si="164"/>
        <v>0</v>
      </c>
      <c r="T1314" t="str">
        <f t="shared" si="165"/>
        <v>OK</v>
      </c>
      <c r="U1314" s="25">
        <f t="shared" si="166"/>
        <v>16.5</v>
      </c>
      <c r="V1314" t="str">
        <f t="shared" si="167"/>
        <v>OK</v>
      </c>
    </row>
    <row r="1315" spans="1:22" ht="18" customHeight="1">
      <c r="A1315" t="s">
        <v>309</v>
      </c>
      <c r="B1315" t="s">
        <v>310</v>
      </c>
      <c r="C1315">
        <v>12</v>
      </c>
      <c r="D1315" t="s">
        <v>286</v>
      </c>
      <c r="E1315" s="6">
        <f t="shared" si="160"/>
        <v>11</v>
      </c>
      <c r="F1315" s="6">
        <f t="shared" si="161"/>
        <v>25</v>
      </c>
      <c r="G1315" s="6">
        <f>ROUND(Catalogue!G69*SQRT((1+Paramètres!$B$4*(C1315-1)+Paramètres!$B$5*(C1315-1)^2)),0)</f>
        <v>0</v>
      </c>
      <c r="H1315" s="6">
        <f>ROUND(Catalogue!H69*SQRT((1+Paramètres!$B$4*(C1315-1)+Paramètres!$B$5*(C1315-1)^2)),0)</f>
        <v>0</v>
      </c>
      <c r="I1315" s="6">
        <v>2</v>
      </c>
      <c r="J1315" s="6">
        <v>4</v>
      </c>
      <c r="K1315" s="7">
        <v>1.6</v>
      </c>
      <c r="L1315" s="9">
        <f t="shared" si="162"/>
        <v>18</v>
      </c>
      <c r="M1315">
        <v>2</v>
      </c>
      <c r="N1315">
        <v>8</v>
      </c>
      <c r="O1315">
        <v>9</v>
      </c>
      <c r="P1315" s="13" t="str">
        <f t="shared" si="163"/>
        <v>2d8 + 9</v>
      </c>
      <c r="Q1315">
        <f>ROUND(INDEX(Catalogue!E$4:E$85,MATCH(A1315,Catalogue!A$4:A$85,0))*(1+Paramètres!$B$4*(C1315-1)+Paramètres!$B$5*(C1315-1)^2),0)</f>
        <v>12</v>
      </c>
      <c r="R1315">
        <f>ROUND(INDEX(Catalogue!F$4:F$85,MATCH(A1315,Catalogue!A$4:A$85,0))*(1+Paramètres!$B$4*(C1315-1)+Paramètres!$B$5*(C1315-1)^2),0)</f>
        <v>25</v>
      </c>
      <c r="S1315">
        <f t="shared" si="164"/>
        <v>-0.5</v>
      </c>
      <c r="T1315" t="str">
        <f t="shared" si="165"/>
        <v>OK</v>
      </c>
      <c r="U1315" s="25">
        <f t="shared" si="166"/>
        <v>18</v>
      </c>
      <c r="V1315" t="str">
        <f t="shared" si="167"/>
        <v>OK</v>
      </c>
    </row>
    <row r="1316" spans="1:22" ht="18" customHeight="1">
      <c r="A1316" t="s">
        <v>309</v>
      </c>
      <c r="B1316" t="s">
        <v>310</v>
      </c>
      <c r="C1316">
        <v>13</v>
      </c>
      <c r="D1316" t="s">
        <v>286</v>
      </c>
      <c r="E1316" s="6">
        <f t="shared" si="160"/>
        <v>14</v>
      </c>
      <c r="F1316" s="6">
        <f t="shared" si="161"/>
        <v>28</v>
      </c>
      <c r="G1316" s="6">
        <f>ROUND(Catalogue!G69*SQRT((1+Paramètres!$B$4*(C1316-1)+Paramètres!$B$5*(C1316-1)^2)),0)</f>
        <v>0</v>
      </c>
      <c r="H1316" s="6">
        <f>ROUND(Catalogue!H69*SQRT((1+Paramètres!$B$4*(C1316-1)+Paramètres!$B$5*(C1316-1)^2)),0)</f>
        <v>0</v>
      </c>
      <c r="I1316" s="6">
        <v>2</v>
      </c>
      <c r="J1316" s="6">
        <v>4</v>
      </c>
      <c r="K1316" s="7">
        <v>1.6</v>
      </c>
      <c r="L1316" s="9">
        <f t="shared" si="162"/>
        <v>21</v>
      </c>
      <c r="M1316">
        <v>2</v>
      </c>
      <c r="N1316">
        <v>8</v>
      </c>
      <c r="O1316">
        <v>12</v>
      </c>
      <c r="P1316" s="13" t="str">
        <f t="shared" si="163"/>
        <v>2d8 + 12</v>
      </c>
      <c r="Q1316">
        <f>ROUND(INDEX(Catalogue!E$4:E$85,MATCH(A1316,Catalogue!A$4:A$85,0))*(1+Paramètres!$B$4*(C1316-1)+Paramètres!$B$5*(C1316-1)^2),0)</f>
        <v>14</v>
      </c>
      <c r="R1316">
        <f>ROUND(INDEX(Catalogue!F$4:F$85,MATCH(A1316,Catalogue!A$4:A$85,0))*(1+Paramètres!$B$4*(C1316-1)+Paramètres!$B$5*(C1316-1)^2),0)</f>
        <v>28</v>
      </c>
      <c r="S1316">
        <f t="shared" si="164"/>
        <v>0</v>
      </c>
      <c r="T1316" t="str">
        <f t="shared" si="165"/>
        <v>OK</v>
      </c>
      <c r="U1316" s="25">
        <f t="shared" si="166"/>
        <v>21</v>
      </c>
      <c r="V1316" t="str">
        <f t="shared" si="167"/>
        <v>OK</v>
      </c>
    </row>
    <row r="1317" spans="1:22" ht="18" customHeight="1">
      <c r="A1317" t="s">
        <v>309</v>
      </c>
      <c r="B1317" t="s">
        <v>310</v>
      </c>
      <c r="C1317">
        <v>14</v>
      </c>
      <c r="D1317" t="s">
        <v>286</v>
      </c>
      <c r="E1317" s="6">
        <f t="shared" si="160"/>
        <v>15</v>
      </c>
      <c r="F1317" s="6">
        <f t="shared" si="161"/>
        <v>30</v>
      </c>
      <c r="G1317" s="6">
        <f>ROUND(Catalogue!G69*SQRT((1+Paramètres!$B$4*(C1317-1)+Paramètres!$B$5*(C1317-1)^2)),0)</f>
        <v>0</v>
      </c>
      <c r="H1317" s="6">
        <f>ROUND(Catalogue!H69*SQRT((1+Paramètres!$B$4*(C1317-1)+Paramètres!$B$5*(C1317-1)^2)),0)</f>
        <v>0</v>
      </c>
      <c r="I1317" s="6">
        <v>2</v>
      </c>
      <c r="J1317" s="6">
        <v>4</v>
      </c>
      <c r="K1317" s="7">
        <v>1.6</v>
      </c>
      <c r="L1317" s="9">
        <f t="shared" si="162"/>
        <v>22.5</v>
      </c>
      <c r="M1317">
        <v>3</v>
      </c>
      <c r="N1317">
        <v>6</v>
      </c>
      <c r="O1317">
        <v>12</v>
      </c>
      <c r="P1317" s="13" t="str">
        <f t="shared" si="163"/>
        <v>3d6 + 12</v>
      </c>
      <c r="Q1317">
        <f>ROUND(INDEX(Catalogue!E$4:E$85,MATCH(A1317,Catalogue!A$4:A$85,0))*(1+Paramètres!$B$4*(C1317-1)+Paramètres!$B$5*(C1317-1)^2),0)</f>
        <v>15</v>
      </c>
      <c r="R1317">
        <f>ROUND(INDEX(Catalogue!F$4:F$85,MATCH(A1317,Catalogue!A$4:A$85,0))*(1+Paramètres!$B$4*(C1317-1)+Paramètres!$B$5*(C1317-1)^2),0)</f>
        <v>31</v>
      </c>
      <c r="S1317">
        <f t="shared" si="164"/>
        <v>-0.5</v>
      </c>
      <c r="T1317" t="str">
        <f t="shared" si="165"/>
        <v>OK</v>
      </c>
      <c r="U1317" s="25">
        <f t="shared" si="166"/>
        <v>22.5</v>
      </c>
      <c r="V1317" t="str">
        <f t="shared" si="167"/>
        <v>OK</v>
      </c>
    </row>
    <row r="1318" spans="1:22" ht="18" customHeight="1">
      <c r="A1318" t="s">
        <v>309</v>
      </c>
      <c r="B1318" t="s">
        <v>310</v>
      </c>
      <c r="C1318">
        <v>15</v>
      </c>
      <c r="D1318" t="s">
        <v>286</v>
      </c>
      <c r="E1318" s="6">
        <f t="shared" si="160"/>
        <v>16</v>
      </c>
      <c r="F1318" s="6">
        <f t="shared" si="161"/>
        <v>34</v>
      </c>
      <c r="G1318" s="6">
        <f>ROUND(Catalogue!G69*SQRT((1+Paramètres!$B$4*(C1318-1)+Paramètres!$B$5*(C1318-1)^2)),0)</f>
        <v>0</v>
      </c>
      <c r="H1318" s="6">
        <f>ROUND(Catalogue!H69*SQRT((1+Paramètres!$B$4*(C1318-1)+Paramètres!$B$5*(C1318-1)^2)),0)</f>
        <v>0</v>
      </c>
      <c r="I1318" s="6">
        <v>2</v>
      </c>
      <c r="J1318" s="6">
        <v>4</v>
      </c>
      <c r="K1318" s="7">
        <v>1.6</v>
      </c>
      <c r="L1318" s="9">
        <f t="shared" si="162"/>
        <v>25</v>
      </c>
      <c r="M1318">
        <v>2</v>
      </c>
      <c r="N1318">
        <v>10</v>
      </c>
      <c r="O1318">
        <v>14</v>
      </c>
      <c r="P1318" s="13" t="str">
        <f t="shared" si="163"/>
        <v>2d10 + 14</v>
      </c>
      <c r="Q1318">
        <f>ROUND(INDEX(Catalogue!E$4:E$85,MATCH(A1318,Catalogue!A$4:A$85,0))*(1+Paramètres!$B$4*(C1318-1)+Paramètres!$B$5*(C1318-1)^2),0)</f>
        <v>17</v>
      </c>
      <c r="R1318">
        <f>ROUND(INDEX(Catalogue!F$4:F$85,MATCH(A1318,Catalogue!A$4:A$85,0))*(1+Paramètres!$B$4*(C1318-1)+Paramètres!$B$5*(C1318-1)^2),0)</f>
        <v>34</v>
      </c>
      <c r="S1318">
        <f t="shared" si="164"/>
        <v>-0.5</v>
      </c>
      <c r="T1318" t="str">
        <f t="shared" si="165"/>
        <v>OK</v>
      </c>
      <c r="U1318" s="25">
        <f t="shared" si="166"/>
        <v>25</v>
      </c>
      <c r="V1318" t="str">
        <f t="shared" si="167"/>
        <v>OK</v>
      </c>
    </row>
    <row r="1319" spans="1:22" ht="18" customHeight="1">
      <c r="A1319" t="s">
        <v>309</v>
      </c>
      <c r="B1319" t="s">
        <v>310</v>
      </c>
      <c r="C1319">
        <v>16</v>
      </c>
      <c r="D1319" t="s">
        <v>286</v>
      </c>
      <c r="E1319" s="6">
        <f t="shared" si="160"/>
        <v>19</v>
      </c>
      <c r="F1319" s="6">
        <f t="shared" si="161"/>
        <v>37</v>
      </c>
      <c r="G1319" s="6">
        <f>ROUND(Catalogue!G69*SQRT((1+Paramètres!$B$4*(C1319-1)+Paramètres!$B$5*(C1319-1)^2)),0)</f>
        <v>0</v>
      </c>
      <c r="H1319" s="6">
        <f>ROUND(Catalogue!H69*SQRT((1+Paramètres!$B$4*(C1319-1)+Paramètres!$B$5*(C1319-1)^2)),0)</f>
        <v>0</v>
      </c>
      <c r="I1319" s="6">
        <v>2</v>
      </c>
      <c r="J1319" s="6">
        <v>4</v>
      </c>
      <c r="K1319" s="7">
        <v>1.6</v>
      </c>
      <c r="L1319" s="9">
        <f t="shared" si="162"/>
        <v>28</v>
      </c>
      <c r="M1319">
        <v>2</v>
      </c>
      <c r="N1319">
        <v>10</v>
      </c>
      <c r="O1319">
        <v>17</v>
      </c>
      <c r="P1319" s="13" t="str">
        <f t="shared" si="163"/>
        <v>2d10 + 17</v>
      </c>
      <c r="Q1319">
        <f>ROUND(INDEX(Catalogue!E$4:E$85,MATCH(A1319,Catalogue!A$4:A$85,0))*(1+Paramètres!$B$4*(C1319-1)+Paramètres!$B$5*(C1319-1)^2),0)</f>
        <v>19</v>
      </c>
      <c r="R1319">
        <f>ROUND(INDEX(Catalogue!F$4:F$85,MATCH(A1319,Catalogue!A$4:A$85,0))*(1+Paramètres!$B$4*(C1319-1)+Paramètres!$B$5*(C1319-1)^2),0)</f>
        <v>38</v>
      </c>
      <c r="S1319">
        <f t="shared" si="164"/>
        <v>-0.5</v>
      </c>
      <c r="T1319" t="str">
        <f t="shared" si="165"/>
        <v>OK</v>
      </c>
      <c r="U1319" s="25">
        <f t="shared" si="166"/>
        <v>28</v>
      </c>
      <c r="V1319" t="str">
        <f t="shared" si="167"/>
        <v>OK</v>
      </c>
    </row>
    <row r="1320" spans="1:22" ht="18" customHeight="1">
      <c r="A1320" t="s">
        <v>309</v>
      </c>
      <c r="B1320" t="s">
        <v>310</v>
      </c>
      <c r="C1320">
        <v>17</v>
      </c>
      <c r="D1320" t="s">
        <v>286</v>
      </c>
      <c r="E1320" s="6">
        <f t="shared" si="160"/>
        <v>21</v>
      </c>
      <c r="F1320" s="6">
        <f t="shared" si="161"/>
        <v>41</v>
      </c>
      <c r="G1320" s="6">
        <f>ROUND(Catalogue!G69*SQRT((1+Paramètres!$B$4*(C1320-1)+Paramètres!$B$5*(C1320-1)^2)),0)</f>
        <v>0</v>
      </c>
      <c r="H1320" s="6">
        <f>ROUND(Catalogue!H69*SQRT((1+Paramètres!$B$4*(C1320-1)+Paramètres!$B$5*(C1320-1)^2)),0)</f>
        <v>0</v>
      </c>
      <c r="I1320" s="6">
        <v>2</v>
      </c>
      <c r="J1320" s="6">
        <v>4</v>
      </c>
      <c r="K1320" s="7">
        <v>1.6</v>
      </c>
      <c r="L1320" s="9">
        <f t="shared" si="162"/>
        <v>31</v>
      </c>
      <c r="M1320">
        <v>4</v>
      </c>
      <c r="N1320">
        <v>6</v>
      </c>
      <c r="O1320">
        <v>17</v>
      </c>
      <c r="P1320" s="13" t="str">
        <f t="shared" si="163"/>
        <v>4d6 + 17</v>
      </c>
      <c r="Q1320">
        <f>ROUND(INDEX(Catalogue!E$4:E$85,MATCH(A1320,Catalogue!A$4:A$85,0))*(1+Paramètres!$B$4*(C1320-1)+Paramètres!$B$5*(C1320-1)^2),0)</f>
        <v>21</v>
      </c>
      <c r="R1320">
        <f>ROUND(INDEX(Catalogue!F$4:F$85,MATCH(A1320,Catalogue!A$4:A$85,0))*(1+Paramètres!$B$4*(C1320-1)+Paramètres!$B$5*(C1320-1)^2),0)</f>
        <v>41</v>
      </c>
      <c r="S1320">
        <f t="shared" si="164"/>
        <v>0</v>
      </c>
      <c r="T1320" t="str">
        <f t="shared" si="165"/>
        <v>OK</v>
      </c>
      <c r="U1320" s="25">
        <f t="shared" si="166"/>
        <v>31</v>
      </c>
      <c r="V1320" t="str">
        <f t="shared" si="167"/>
        <v>OK</v>
      </c>
    </row>
    <row r="1321" spans="1:22" ht="18" customHeight="1">
      <c r="A1321" t="s">
        <v>309</v>
      </c>
      <c r="B1321" t="s">
        <v>310</v>
      </c>
      <c r="C1321">
        <v>18</v>
      </c>
      <c r="D1321" t="s">
        <v>286</v>
      </c>
      <c r="E1321" s="6">
        <f t="shared" si="160"/>
        <v>22</v>
      </c>
      <c r="F1321" s="6">
        <f t="shared" si="161"/>
        <v>44</v>
      </c>
      <c r="G1321" s="6">
        <f>ROUND(Catalogue!G69*SQRT((1+Paramètres!$B$4*(C1321-1)+Paramètres!$B$5*(C1321-1)^2)),0)</f>
        <v>0</v>
      </c>
      <c r="H1321" s="6">
        <f>ROUND(Catalogue!H69*SQRT((1+Paramètres!$B$4*(C1321-1)+Paramètres!$B$5*(C1321-1)^2)),0)</f>
        <v>0</v>
      </c>
      <c r="I1321" s="6">
        <v>2</v>
      </c>
      <c r="J1321" s="6">
        <v>4</v>
      </c>
      <c r="K1321" s="7">
        <v>1.6</v>
      </c>
      <c r="L1321" s="9">
        <f t="shared" si="162"/>
        <v>33</v>
      </c>
      <c r="M1321">
        <v>2</v>
      </c>
      <c r="N1321">
        <v>12</v>
      </c>
      <c r="O1321">
        <v>20</v>
      </c>
      <c r="P1321" s="13" t="str">
        <f t="shared" si="163"/>
        <v>2d12 + 20</v>
      </c>
      <c r="Q1321">
        <f>ROUND(INDEX(Catalogue!E$4:E$85,MATCH(A1321,Catalogue!A$4:A$85,0))*(1+Paramètres!$B$4*(C1321-1)+Paramètres!$B$5*(C1321-1)^2),0)</f>
        <v>22</v>
      </c>
      <c r="R1321">
        <f>ROUND(INDEX(Catalogue!F$4:F$85,MATCH(A1321,Catalogue!A$4:A$85,0))*(1+Paramètres!$B$4*(C1321-1)+Paramètres!$B$5*(C1321-1)^2),0)</f>
        <v>45</v>
      </c>
      <c r="S1321">
        <f t="shared" si="164"/>
        <v>-0.5</v>
      </c>
      <c r="T1321" t="str">
        <f t="shared" si="165"/>
        <v>OK</v>
      </c>
      <c r="U1321" s="25">
        <f t="shared" si="166"/>
        <v>33</v>
      </c>
      <c r="V1321" t="str">
        <f t="shared" si="167"/>
        <v>OK</v>
      </c>
    </row>
    <row r="1322" spans="1:22" ht="18" customHeight="1">
      <c r="A1322" t="s">
        <v>309</v>
      </c>
      <c r="B1322" t="s">
        <v>310</v>
      </c>
      <c r="C1322">
        <v>19</v>
      </c>
      <c r="D1322" t="s">
        <v>286</v>
      </c>
      <c r="E1322" s="6">
        <f t="shared" si="160"/>
        <v>24</v>
      </c>
      <c r="F1322" s="6">
        <f t="shared" si="161"/>
        <v>49</v>
      </c>
      <c r="G1322" s="6">
        <f>ROUND(Catalogue!G69*SQRT((1+Paramètres!$B$4*(C1322-1)+Paramètres!$B$5*(C1322-1)^2)),0)</f>
        <v>0</v>
      </c>
      <c r="H1322" s="6">
        <f>ROUND(Catalogue!H69*SQRT((1+Paramètres!$B$4*(C1322-1)+Paramètres!$B$5*(C1322-1)^2)),0)</f>
        <v>0</v>
      </c>
      <c r="I1322" s="6">
        <v>2</v>
      </c>
      <c r="J1322" s="6">
        <v>4</v>
      </c>
      <c r="K1322" s="7">
        <v>1.6</v>
      </c>
      <c r="L1322" s="9">
        <f t="shared" si="162"/>
        <v>36.5</v>
      </c>
      <c r="M1322">
        <v>5</v>
      </c>
      <c r="N1322">
        <v>6</v>
      </c>
      <c r="O1322">
        <v>19</v>
      </c>
      <c r="P1322" s="13" t="str">
        <f t="shared" si="163"/>
        <v>5d6 + 19</v>
      </c>
      <c r="Q1322">
        <f>ROUND(INDEX(Catalogue!E$4:E$85,MATCH(A1322,Catalogue!A$4:A$85,0))*(1+Paramètres!$B$4*(C1322-1)+Paramètres!$B$5*(C1322-1)^2),0)</f>
        <v>24</v>
      </c>
      <c r="R1322">
        <f>ROUND(INDEX(Catalogue!F$4:F$85,MATCH(A1322,Catalogue!A$4:A$85,0))*(1+Paramètres!$B$4*(C1322-1)+Paramètres!$B$5*(C1322-1)^2),0)</f>
        <v>49</v>
      </c>
      <c r="S1322">
        <f t="shared" si="164"/>
        <v>0</v>
      </c>
      <c r="T1322" t="str">
        <f t="shared" si="165"/>
        <v>OK</v>
      </c>
      <c r="U1322" s="25">
        <f t="shared" si="166"/>
        <v>36.5</v>
      </c>
      <c r="V1322" t="str">
        <f t="shared" si="167"/>
        <v>OK</v>
      </c>
    </row>
    <row r="1323" spans="1:22" ht="18" customHeight="1">
      <c r="A1323" t="s">
        <v>309</v>
      </c>
      <c r="B1323" t="s">
        <v>310</v>
      </c>
      <c r="C1323">
        <v>20</v>
      </c>
      <c r="D1323" t="s">
        <v>286</v>
      </c>
      <c r="E1323" s="6">
        <f t="shared" si="160"/>
        <v>27</v>
      </c>
      <c r="F1323" s="6">
        <f t="shared" si="161"/>
        <v>54</v>
      </c>
      <c r="G1323" s="6">
        <f>ROUND(Catalogue!G69*SQRT((1+Paramètres!$B$4*(C1323-1)+Paramètres!$B$5*(C1323-1)^2)),0)</f>
        <v>0</v>
      </c>
      <c r="H1323" s="6">
        <f>ROUND(Catalogue!H69*SQRT((1+Paramètres!$B$4*(C1323-1)+Paramètres!$B$5*(C1323-1)^2)),0)</f>
        <v>0</v>
      </c>
      <c r="I1323" s="6">
        <v>2</v>
      </c>
      <c r="J1323" s="6">
        <v>4</v>
      </c>
      <c r="K1323" s="7">
        <v>1.6</v>
      </c>
      <c r="L1323" s="9">
        <f t="shared" si="162"/>
        <v>40.5</v>
      </c>
      <c r="M1323">
        <v>3</v>
      </c>
      <c r="N1323">
        <v>10</v>
      </c>
      <c r="O1323">
        <v>24</v>
      </c>
      <c r="P1323" s="13" t="str">
        <f t="shared" si="163"/>
        <v>3d10 + 24</v>
      </c>
      <c r="Q1323">
        <f>ROUND(INDEX(Catalogue!E$4:E$85,MATCH(A1323,Catalogue!A$4:A$85,0))*(1+Paramètres!$B$4*(C1323-1)+Paramètres!$B$5*(C1323-1)^2),0)</f>
        <v>27</v>
      </c>
      <c r="R1323">
        <f>ROUND(INDEX(Catalogue!F$4:F$85,MATCH(A1323,Catalogue!A$4:A$85,0))*(1+Paramètres!$B$4*(C1323-1)+Paramètres!$B$5*(C1323-1)^2),0)</f>
        <v>53</v>
      </c>
      <c r="S1323">
        <f t="shared" si="164"/>
        <v>0.5</v>
      </c>
      <c r="T1323" t="str">
        <f t="shared" si="165"/>
        <v>OK</v>
      </c>
      <c r="U1323" s="25">
        <f t="shared" si="166"/>
        <v>40.5</v>
      </c>
      <c r="V1323" t="str">
        <f t="shared" si="167"/>
        <v>OK</v>
      </c>
    </row>
    <row r="1324" spans="1:22" ht="18" customHeight="1">
      <c r="A1324" t="s">
        <v>312</v>
      </c>
      <c r="B1324" t="s">
        <v>313</v>
      </c>
      <c r="C1324">
        <v>1</v>
      </c>
      <c r="D1324" t="s">
        <v>286</v>
      </c>
      <c r="E1324" s="6">
        <f t="shared" si="160"/>
        <v>4</v>
      </c>
      <c r="F1324" s="6">
        <f t="shared" si="161"/>
        <v>7</v>
      </c>
      <c r="G1324" s="6">
        <f>ROUND(Catalogue!G70*SQRT((1+Paramètres!$B$4*(C1324-1)+Paramètres!$B$5*(C1324-1)^2)),0)</f>
        <v>0</v>
      </c>
      <c r="H1324" s="6">
        <f>ROUND(Catalogue!H70*SQRT((1+Paramètres!$B$4*(C1324-1)+Paramètres!$B$5*(C1324-1)^2)),0)</f>
        <v>0</v>
      </c>
      <c r="I1324" s="6">
        <v>2</v>
      </c>
      <c r="J1324" s="6">
        <v>4</v>
      </c>
      <c r="K1324" s="7">
        <v>1.8</v>
      </c>
      <c r="L1324" s="9">
        <f t="shared" si="162"/>
        <v>5.5</v>
      </c>
      <c r="M1324">
        <v>1</v>
      </c>
      <c r="N1324">
        <v>4</v>
      </c>
      <c r="O1324">
        <v>3</v>
      </c>
      <c r="P1324" s="13" t="str">
        <f t="shared" si="163"/>
        <v>1d4 + 3</v>
      </c>
      <c r="Q1324">
        <f>ROUND(INDEX(Catalogue!E$4:E$85,MATCH(A1324,Catalogue!A$4:A$85,0))*(1+Paramètres!$B$4*(C1324-1)+Paramètres!$B$5*(C1324-1)^2),0)</f>
        <v>4</v>
      </c>
      <c r="R1324">
        <f>ROUND(INDEX(Catalogue!F$4:F$85,MATCH(A1324,Catalogue!A$4:A$85,0))*(1+Paramètres!$B$4*(C1324-1)+Paramètres!$B$5*(C1324-1)^2),0)</f>
        <v>7</v>
      </c>
      <c r="S1324">
        <f t="shared" si="164"/>
        <v>0</v>
      </c>
      <c r="T1324" t="str">
        <f t="shared" si="165"/>
        <v>OK</v>
      </c>
      <c r="U1324" s="25">
        <f t="shared" si="166"/>
        <v>5.5</v>
      </c>
      <c r="V1324" t="str">
        <f t="shared" si="167"/>
        <v>OK</v>
      </c>
    </row>
    <row r="1325" spans="1:22" ht="18" customHeight="1">
      <c r="A1325" t="s">
        <v>312</v>
      </c>
      <c r="B1325" t="s">
        <v>313</v>
      </c>
      <c r="C1325">
        <v>2</v>
      </c>
      <c r="D1325" t="s">
        <v>286</v>
      </c>
      <c r="E1325" s="6">
        <f t="shared" si="160"/>
        <v>5</v>
      </c>
      <c r="F1325" s="6">
        <f t="shared" si="161"/>
        <v>8</v>
      </c>
      <c r="G1325" s="6">
        <f>ROUND(Catalogue!G70*SQRT((1+Paramètres!$B$4*(C1325-1)+Paramètres!$B$5*(C1325-1)^2)),0)</f>
        <v>0</v>
      </c>
      <c r="H1325" s="6">
        <f>ROUND(Catalogue!H70*SQRT((1+Paramètres!$B$4*(C1325-1)+Paramètres!$B$5*(C1325-1)^2)),0)</f>
        <v>0</v>
      </c>
      <c r="I1325" s="6">
        <v>2</v>
      </c>
      <c r="J1325" s="6">
        <v>4</v>
      </c>
      <c r="K1325" s="7">
        <v>1.8</v>
      </c>
      <c r="L1325" s="9">
        <f t="shared" si="162"/>
        <v>6.5</v>
      </c>
      <c r="M1325">
        <v>1</v>
      </c>
      <c r="N1325">
        <v>4</v>
      </c>
      <c r="O1325">
        <v>4</v>
      </c>
      <c r="P1325" s="13" t="str">
        <f t="shared" si="163"/>
        <v>1d4 + 4</v>
      </c>
      <c r="Q1325">
        <f>ROUND(INDEX(Catalogue!E$4:E$85,MATCH(A1325,Catalogue!A$4:A$85,0))*(1+Paramètres!$B$4*(C1325-1)+Paramètres!$B$5*(C1325-1)^2),0)</f>
        <v>5</v>
      </c>
      <c r="R1325">
        <f>ROUND(INDEX(Catalogue!F$4:F$85,MATCH(A1325,Catalogue!A$4:A$85,0))*(1+Paramètres!$B$4*(C1325-1)+Paramètres!$B$5*(C1325-1)^2),0)</f>
        <v>8</v>
      </c>
      <c r="S1325">
        <f t="shared" si="164"/>
        <v>0</v>
      </c>
      <c r="T1325" t="str">
        <f t="shared" si="165"/>
        <v>OK</v>
      </c>
      <c r="U1325" s="25">
        <f t="shared" si="166"/>
        <v>6.5</v>
      </c>
      <c r="V1325" t="str">
        <f t="shared" si="167"/>
        <v>OK</v>
      </c>
    </row>
    <row r="1326" spans="1:22" ht="18" customHeight="1">
      <c r="A1326" t="s">
        <v>312</v>
      </c>
      <c r="B1326" t="s">
        <v>313</v>
      </c>
      <c r="C1326">
        <v>3</v>
      </c>
      <c r="D1326" t="s">
        <v>286</v>
      </c>
      <c r="E1326" s="6">
        <f t="shared" si="160"/>
        <v>5</v>
      </c>
      <c r="F1326" s="6">
        <f t="shared" si="161"/>
        <v>8</v>
      </c>
      <c r="G1326" s="6">
        <f>ROUND(Catalogue!G70*SQRT((1+Paramètres!$B$4*(C1326-1)+Paramètres!$B$5*(C1326-1)^2)),0)</f>
        <v>0</v>
      </c>
      <c r="H1326" s="6">
        <f>ROUND(Catalogue!H70*SQRT((1+Paramètres!$B$4*(C1326-1)+Paramètres!$B$5*(C1326-1)^2)),0)</f>
        <v>0</v>
      </c>
      <c r="I1326" s="6">
        <v>2</v>
      </c>
      <c r="J1326" s="6">
        <v>4</v>
      </c>
      <c r="K1326" s="7">
        <v>1.8</v>
      </c>
      <c r="L1326" s="9">
        <f t="shared" si="162"/>
        <v>6.5</v>
      </c>
      <c r="M1326">
        <v>1</v>
      </c>
      <c r="N1326">
        <v>4</v>
      </c>
      <c r="O1326">
        <v>4</v>
      </c>
      <c r="P1326" s="13" t="str">
        <f t="shared" si="163"/>
        <v>1d4 + 4</v>
      </c>
      <c r="Q1326">
        <f>ROUND(INDEX(Catalogue!E$4:E$85,MATCH(A1326,Catalogue!A$4:A$85,0))*(1+Paramètres!$B$4*(C1326-1)+Paramètres!$B$5*(C1326-1)^2),0)</f>
        <v>5</v>
      </c>
      <c r="R1326">
        <f>ROUND(INDEX(Catalogue!F$4:F$85,MATCH(A1326,Catalogue!A$4:A$85,0))*(1+Paramètres!$B$4*(C1326-1)+Paramètres!$B$5*(C1326-1)^2),0)</f>
        <v>9</v>
      </c>
      <c r="S1326">
        <f t="shared" si="164"/>
        <v>-0.5</v>
      </c>
      <c r="T1326" t="str">
        <f t="shared" si="165"/>
        <v>OK</v>
      </c>
      <c r="U1326" s="25">
        <f t="shared" si="166"/>
        <v>6.5</v>
      </c>
      <c r="V1326" t="str">
        <f t="shared" si="167"/>
        <v>OK</v>
      </c>
    </row>
    <row r="1327" spans="1:22" ht="18" customHeight="1">
      <c r="A1327" t="s">
        <v>312</v>
      </c>
      <c r="B1327" t="s">
        <v>313</v>
      </c>
      <c r="C1327">
        <v>4</v>
      </c>
      <c r="D1327" t="s">
        <v>286</v>
      </c>
      <c r="E1327" s="6">
        <f t="shared" si="160"/>
        <v>6</v>
      </c>
      <c r="F1327" s="6">
        <f t="shared" si="161"/>
        <v>9</v>
      </c>
      <c r="G1327" s="6">
        <f>ROUND(Catalogue!G70*SQRT((1+Paramètres!$B$4*(C1327-1)+Paramètres!$B$5*(C1327-1)^2)),0)</f>
        <v>0</v>
      </c>
      <c r="H1327" s="6">
        <f>ROUND(Catalogue!H70*SQRT((1+Paramètres!$B$4*(C1327-1)+Paramètres!$B$5*(C1327-1)^2)),0)</f>
        <v>0</v>
      </c>
      <c r="I1327" s="6">
        <v>2</v>
      </c>
      <c r="J1327" s="6">
        <v>4</v>
      </c>
      <c r="K1327" s="7">
        <v>1.8</v>
      </c>
      <c r="L1327" s="9">
        <f t="shared" si="162"/>
        <v>7.5</v>
      </c>
      <c r="M1327">
        <v>1</v>
      </c>
      <c r="N1327">
        <v>4</v>
      </c>
      <c r="O1327">
        <v>5</v>
      </c>
      <c r="P1327" s="13" t="str">
        <f t="shared" si="163"/>
        <v>1d4 + 5</v>
      </c>
      <c r="Q1327">
        <f>ROUND(INDEX(Catalogue!E$4:E$85,MATCH(A1327,Catalogue!A$4:A$85,0))*(1+Paramètres!$B$4*(C1327-1)+Paramètres!$B$5*(C1327-1)^2),0)</f>
        <v>6</v>
      </c>
      <c r="R1327">
        <f>ROUND(INDEX(Catalogue!F$4:F$85,MATCH(A1327,Catalogue!A$4:A$85,0))*(1+Paramètres!$B$4*(C1327-1)+Paramètres!$B$5*(C1327-1)^2),0)</f>
        <v>10</v>
      </c>
      <c r="S1327">
        <f t="shared" si="164"/>
        <v>-0.5</v>
      </c>
      <c r="T1327" t="str">
        <f t="shared" si="165"/>
        <v>OK</v>
      </c>
      <c r="U1327" s="25">
        <f t="shared" si="166"/>
        <v>7.5</v>
      </c>
      <c r="V1327" t="str">
        <f t="shared" si="167"/>
        <v>OK</v>
      </c>
    </row>
    <row r="1328" spans="1:22" ht="18" customHeight="1">
      <c r="A1328" t="s">
        <v>312</v>
      </c>
      <c r="B1328" t="s">
        <v>313</v>
      </c>
      <c r="C1328">
        <v>5</v>
      </c>
      <c r="D1328" t="s">
        <v>286</v>
      </c>
      <c r="E1328" s="6">
        <f t="shared" si="160"/>
        <v>7</v>
      </c>
      <c r="F1328" s="6">
        <f t="shared" si="161"/>
        <v>12</v>
      </c>
      <c r="G1328" s="6">
        <f>ROUND(Catalogue!G70*SQRT((1+Paramètres!$B$4*(C1328-1)+Paramètres!$B$5*(C1328-1)^2)),0)</f>
        <v>0</v>
      </c>
      <c r="H1328" s="6">
        <f>ROUND(Catalogue!H70*SQRT((1+Paramètres!$B$4*(C1328-1)+Paramètres!$B$5*(C1328-1)^2)),0)</f>
        <v>0</v>
      </c>
      <c r="I1328" s="6">
        <v>2</v>
      </c>
      <c r="J1328" s="6">
        <v>4</v>
      </c>
      <c r="K1328" s="7">
        <v>1.8</v>
      </c>
      <c r="L1328" s="9">
        <f t="shared" si="162"/>
        <v>9.5</v>
      </c>
      <c r="M1328">
        <v>1</v>
      </c>
      <c r="N1328">
        <v>6</v>
      </c>
      <c r="O1328">
        <v>6</v>
      </c>
      <c r="P1328" s="13" t="str">
        <f t="shared" si="163"/>
        <v>1d6 + 6</v>
      </c>
      <c r="Q1328">
        <f>ROUND(INDEX(Catalogue!E$4:E$85,MATCH(A1328,Catalogue!A$4:A$85,0))*(1+Paramètres!$B$4*(C1328-1)+Paramètres!$B$5*(C1328-1)^2),0)</f>
        <v>7</v>
      </c>
      <c r="R1328">
        <f>ROUND(INDEX(Catalogue!F$4:F$85,MATCH(A1328,Catalogue!A$4:A$85,0))*(1+Paramètres!$B$4*(C1328-1)+Paramètres!$B$5*(C1328-1)^2),0)</f>
        <v>12</v>
      </c>
      <c r="S1328">
        <f t="shared" si="164"/>
        <v>0</v>
      </c>
      <c r="T1328" t="str">
        <f t="shared" si="165"/>
        <v>OK</v>
      </c>
      <c r="U1328" s="25">
        <f t="shared" si="166"/>
        <v>9.5</v>
      </c>
      <c r="V1328" t="str">
        <f t="shared" si="167"/>
        <v>OK</v>
      </c>
    </row>
    <row r="1329" spans="1:22" ht="18" customHeight="1">
      <c r="A1329" t="s">
        <v>312</v>
      </c>
      <c r="B1329" t="s">
        <v>313</v>
      </c>
      <c r="C1329">
        <v>6</v>
      </c>
      <c r="D1329" t="s">
        <v>286</v>
      </c>
      <c r="E1329" s="6">
        <f t="shared" si="160"/>
        <v>8</v>
      </c>
      <c r="F1329" s="6">
        <f t="shared" si="161"/>
        <v>14</v>
      </c>
      <c r="G1329" s="6">
        <f>ROUND(Catalogue!G70*SQRT((1+Paramètres!$B$4*(C1329-1)+Paramètres!$B$5*(C1329-1)^2)),0)</f>
        <v>0</v>
      </c>
      <c r="H1329" s="6">
        <f>ROUND(Catalogue!H70*SQRT((1+Paramètres!$B$4*(C1329-1)+Paramètres!$B$5*(C1329-1)^2)),0)</f>
        <v>0</v>
      </c>
      <c r="I1329" s="6">
        <v>2</v>
      </c>
      <c r="J1329" s="6">
        <v>4</v>
      </c>
      <c r="K1329" s="7">
        <v>1.8</v>
      </c>
      <c r="L1329" s="9">
        <f t="shared" si="162"/>
        <v>11</v>
      </c>
      <c r="M1329">
        <v>2</v>
      </c>
      <c r="N1329">
        <v>4</v>
      </c>
      <c r="O1329">
        <v>6</v>
      </c>
      <c r="P1329" s="13" t="str">
        <f t="shared" si="163"/>
        <v>2d4 + 6</v>
      </c>
      <c r="Q1329">
        <f>ROUND(INDEX(Catalogue!E$4:E$85,MATCH(A1329,Catalogue!A$4:A$85,0))*(1+Paramètres!$B$4*(C1329-1)+Paramètres!$B$5*(C1329-1)^2),0)</f>
        <v>8</v>
      </c>
      <c r="R1329">
        <f>ROUND(INDEX(Catalogue!F$4:F$85,MATCH(A1329,Catalogue!A$4:A$85,0))*(1+Paramètres!$B$4*(C1329-1)+Paramètres!$B$5*(C1329-1)^2),0)</f>
        <v>14</v>
      </c>
      <c r="S1329">
        <f t="shared" si="164"/>
        <v>0</v>
      </c>
      <c r="T1329" t="str">
        <f t="shared" si="165"/>
        <v>OK</v>
      </c>
      <c r="U1329" s="25">
        <f t="shared" si="166"/>
        <v>11</v>
      </c>
      <c r="V1329" t="str">
        <f t="shared" si="167"/>
        <v>OK</v>
      </c>
    </row>
    <row r="1330" spans="1:22" ht="18" customHeight="1">
      <c r="A1330" t="s">
        <v>312</v>
      </c>
      <c r="B1330" t="s">
        <v>313</v>
      </c>
      <c r="C1330">
        <v>7</v>
      </c>
      <c r="D1330" t="s">
        <v>286</v>
      </c>
      <c r="E1330" s="6">
        <f t="shared" si="160"/>
        <v>9</v>
      </c>
      <c r="F1330" s="6">
        <f t="shared" si="161"/>
        <v>16</v>
      </c>
      <c r="G1330" s="6">
        <f>ROUND(Catalogue!G70*SQRT((1+Paramètres!$B$4*(C1330-1)+Paramètres!$B$5*(C1330-1)^2)),0)</f>
        <v>0</v>
      </c>
      <c r="H1330" s="6">
        <f>ROUND(Catalogue!H70*SQRT((1+Paramètres!$B$4*(C1330-1)+Paramètres!$B$5*(C1330-1)^2)),0)</f>
        <v>0</v>
      </c>
      <c r="I1330" s="6">
        <v>2</v>
      </c>
      <c r="J1330" s="6">
        <v>4</v>
      </c>
      <c r="K1330" s="7">
        <v>1.8</v>
      </c>
      <c r="L1330" s="9">
        <f t="shared" si="162"/>
        <v>12.5</v>
      </c>
      <c r="M1330">
        <v>1</v>
      </c>
      <c r="N1330">
        <v>8</v>
      </c>
      <c r="O1330">
        <v>8</v>
      </c>
      <c r="P1330" s="13" t="str">
        <f t="shared" si="163"/>
        <v>1d8 + 8</v>
      </c>
      <c r="Q1330">
        <f>ROUND(INDEX(Catalogue!E$4:E$85,MATCH(A1330,Catalogue!A$4:A$85,0))*(1+Paramètres!$B$4*(C1330-1)+Paramètres!$B$5*(C1330-1)^2),0)</f>
        <v>9</v>
      </c>
      <c r="R1330">
        <f>ROUND(INDEX(Catalogue!F$4:F$85,MATCH(A1330,Catalogue!A$4:A$85,0))*(1+Paramètres!$B$4*(C1330-1)+Paramètres!$B$5*(C1330-1)^2),0)</f>
        <v>16</v>
      </c>
      <c r="S1330">
        <f t="shared" si="164"/>
        <v>0</v>
      </c>
      <c r="T1330" t="str">
        <f t="shared" si="165"/>
        <v>OK</v>
      </c>
      <c r="U1330" s="25">
        <f t="shared" si="166"/>
        <v>12.5</v>
      </c>
      <c r="V1330" t="str">
        <f t="shared" si="167"/>
        <v>OK</v>
      </c>
    </row>
    <row r="1331" spans="1:22" ht="18" customHeight="1">
      <c r="A1331" t="s">
        <v>312</v>
      </c>
      <c r="B1331" t="s">
        <v>313</v>
      </c>
      <c r="C1331">
        <v>8</v>
      </c>
      <c r="D1331" t="s">
        <v>286</v>
      </c>
      <c r="E1331" s="6">
        <f t="shared" si="160"/>
        <v>9</v>
      </c>
      <c r="F1331" s="6">
        <f t="shared" si="161"/>
        <v>18</v>
      </c>
      <c r="G1331" s="6">
        <f>ROUND(Catalogue!G70*SQRT((1+Paramètres!$B$4*(C1331-1)+Paramètres!$B$5*(C1331-1)^2)),0)</f>
        <v>0</v>
      </c>
      <c r="H1331" s="6">
        <f>ROUND(Catalogue!H70*SQRT((1+Paramètres!$B$4*(C1331-1)+Paramètres!$B$5*(C1331-1)^2)),0)</f>
        <v>0</v>
      </c>
      <c r="I1331" s="6">
        <v>2</v>
      </c>
      <c r="J1331" s="6">
        <v>4</v>
      </c>
      <c r="K1331" s="7">
        <v>1.8</v>
      </c>
      <c r="L1331" s="9">
        <f t="shared" si="162"/>
        <v>13.5</v>
      </c>
      <c r="M1331">
        <v>3</v>
      </c>
      <c r="N1331">
        <v>4</v>
      </c>
      <c r="O1331">
        <v>6</v>
      </c>
      <c r="P1331" s="13" t="str">
        <f t="shared" si="163"/>
        <v>3d4 + 6</v>
      </c>
      <c r="Q1331">
        <f>ROUND(INDEX(Catalogue!E$4:E$85,MATCH(A1331,Catalogue!A$4:A$85,0))*(1+Paramètres!$B$4*(C1331-1)+Paramètres!$B$5*(C1331-1)^2),0)</f>
        <v>10</v>
      </c>
      <c r="R1331">
        <f>ROUND(INDEX(Catalogue!F$4:F$85,MATCH(A1331,Catalogue!A$4:A$85,0))*(1+Paramètres!$B$4*(C1331-1)+Paramètres!$B$5*(C1331-1)^2),0)</f>
        <v>18</v>
      </c>
      <c r="S1331">
        <f t="shared" si="164"/>
        <v>-0.5</v>
      </c>
      <c r="T1331" t="str">
        <f t="shared" si="165"/>
        <v>OK</v>
      </c>
      <c r="U1331" s="25">
        <f t="shared" si="166"/>
        <v>13.5</v>
      </c>
      <c r="V1331" t="str">
        <f t="shared" si="167"/>
        <v>OK</v>
      </c>
    </row>
    <row r="1332" spans="1:22" ht="18" customHeight="1">
      <c r="A1332" t="s">
        <v>312</v>
      </c>
      <c r="B1332" t="s">
        <v>313</v>
      </c>
      <c r="C1332">
        <v>9</v>
      </c>
      <c r="D1332" t="s">
        <v>286</v>
      </c>
      <c r="E1332" s="6">
        <f t="shared" si="160"/>
        <v>11</v>
      </c>
      <c r="F1332" s="6">
        <f t="shared" si="161"/>
        <v>20</v>
      </c>
      <c r="G1332" s="6">
        <f>ROUND(Catalogue!G70*SQRT((1+Paramètres!$B$4*(C1332-1)+Paramètres!$B$5*(C1332-1)^2)),0)</f>
        <v>0</v>
      </c>
      <c r="H1332" s="6">
        <f>ROUND(Catalogue!H70*SQRT((1+Paramètres!$B$4*(C1332-1)+Paramètres!$B$5*(C1332-1)^2)),0)</f>
        <v>0</v>
      </c>
      <c r="I1332" s="6">
        <v>2</v>
      </c>
      <c r="J1332" s="6">
        <v>4</v>
      </c>
      <c r="K1332" s="7">
        <v>1.8</v>
      </c>
      <c r="L1332" s="9">
        <f t="shared" si="162"/>
        <v>15.5</v>
      </c>
      <c r="M1332">
        <v>3</v>
      </c>
      <c r="N1332">
        <v>4</v>
      </c>
      <c r="O1332">
        <v>8</v>
      </c>
      <c r="P1332" s="13" t="str">
        <f t="shared" si="163"/>
        <v>3d4 + 8</v>
      </c>
      <c r="Q1332">
        <f>ROUND(INDEX(Catalogue!E$4:E$85,MATCH(A1332,Catalogue!A$4:A$85,0))*(1+Paramètres!$B$4*(C1332-1)+Paramètres!$B$5*(C1332-1)^2),0)</f>
        <v>12</v>
      </c>
      <c r="R1332">
        <f>ROUND(INDEX(Catalogue!F$4:F$85,MATCH(A1332,Catalogue!A$4:A$85,0))*(1+Paramètres!$B$4*(C1332-1)+Paramètres!$B$5*(C1332-1)^2),0)</f>
        <v>20</v>
      </c>
      <c r="S1332">
        <f t="shared" si="164"/>
        <v>-0.5</v>
      </c>
      <c r="T1332" t="str">
        <f t="shared" si="165"/>
        <v>OK</v>
      </c>
      <c r="U1332" s="25">
        <f t="shared" si="166"/>
        <v>15.5</v>
      </c>
      <c r="V1332" t="str">
        <f t="shared" si="167"/>
        <v>OK</v>
      </c>
    </row>
    <row r="1333" spans="1:22" ht="18" customHeight="1">
      <c r="A1333" t="s">
        <v>312</v>
      </c>
      <c r="B1333" t="s">
        <v>313</v>
      </c>
      <c r="C1333">
        <v>10</v>
      </c>
      <c r="D1333" t="s">
        <v>286</v>
      </c>
      <c r="E1333" s="6">
        <f t="shared" si="160"/>
        <v>13</v>
      </c>
      <c r="F1333" s="6">
        <f t="shared" si="161"/>
        <v>23</v>
      </c>
      <c r="G1333" s="6">
        <f>ROUND(Catalogue!G70*SQRT((1+Paramètres!$B$4*(C1333-1)+Paramètres!$B$5*(C1333-1)^2)),0)</f>
        <v>0</v>
      </c>
      <c r="H1333" s="6">
        <f>ROUND(Catalogue!H70*SQRT((1+Paramètres!$B$4*(C1333-1)+Paramètres!$B$5*(C1333-1)^2)),0)</f>
        <v>0</v>
      </c>
      <c r="I1333" s="6">
        <v>2</v>
      </c>
      <c r="J1333" s="6">
        <v>4</v>
      </c>
      <c r="K1333" s="7">
        <v>1.8</v>
      </c>
      <c r="L1333" s="9">
        <f t="shared" si="162"/>
        <v>18</v>
      </c>
      <c r="M1333">
        <v>2</v>
      </c>
      <c r="N1333">
        <v>6</v>
      </c>
      <c r="O1333">
        <v>11</v>
      </c>
      <c r="P1333" s="13" t="str">
        <f t="shared" si="163"/>
        <v>2d6 + 11</v>
      </c>
      <c r="Q1333">
        <f>ROUND(INDEX(Catalogue!E$4:E$85,MATCH(A1333,Catalogue!A$4:A$85,0))*(1+Paramètres!$B$4*(C1333-1)+Paramètres!$B$5*(C1333-1)^2),0)</f>
        <v>13</v>
      </c>
      <c r="R1333">
        <f>ROUND(INDEX(Catalogue!F$4:F$85,MATCH(A1333,Catalogue!A$4:A$85,0))*(1+Paramètres!$B$4*(C1333-1)+Paramètres!$B$5*(C1333-1)^2),0)</f>
        <v>23</v>
      </c>
      <c r="S1333">
        <f t="shared" si="164"/>
        <v>0</v>
      </c>
      <c r="T1333" t="str">
        <f t="shared" si="165"/>
        <v>OK</v>
      </c>
      <c r="U1333" s="25">
        <f t="shared" si="166"/>
        <v>18</v>
      </c>
      <c r="V1333" t="str">
        <f t="shared" si="167"/>
        <v>OK</v>
      </c>
    </row>
    <row r="1334" spans="1:22" ht="18" customHeight="1">
      <c r="A1334" t="s">
        <v>312</v>
      </c>
      <c r="B1334" t="s">
        <v>313</v>
      </c>
      <c r="C1334">
        <v>11</v>
      </c>
      <c r="D1334" t="s">
        <v>286</v>
      </c>
      <c r="E1334" s="6">
        <f t="shared" si="160"/>
        <v>15</v>
      </c>
      <c r="F1334" s="6">
        <f t="shared" si="161"/>
        <v>26</v>
      </c>
      <c r="G1334" s="6">
        <f>ROUND(Catalogue!G70*SQRT((1+Paramètres!$B$4*(C1334-1)+Paramètres!$B$5*(C1334-1)^2)),0)</f>
        <v>0</v>
      </c>
      <c r="H1334" s="6">
        <f>ROUND(Catalogue!H70*SQRT((1+Paramètres!$B$4*(C1334-1)+Paramètres!$B$5*(C1334-1)^2)),0)</f>
        <v>0</v>
      </c>
      <c r="I1334" s="6">
        <v>2</v>
      </c>
      <c r="J1334" s="6">
        <v>4</v>
      </c>
      <c r="K1334" s="7">
        <v>1.8</v>
      </c>
      <c r="L1334" s="9">
        <f t="shared" si="162"/>
        <v>20.5</v>
      </c>
      <c r="M1334">
        <v>1</v>
      </c>
      <c r="N1334">
        <v>12</v>
      </c>
      <c r="O1334">
        <v>14</v>
      </c>
      <c r="P1334" s="13" t="str">
        <f t="shared" si="163"/>
        <v>1d12 + 14</v>
      </c>
      <c r="Q1334">
        <f>ROUND(INDEX(Catalogue!E$4:E$85,MATCH(A1334,Catalogue!A$4:A$85,0))*(1+Paramètres!$B$4*(C1334-1)+Paramètres!$B$5*(C1334-1)^2),0)</f>
        <v>15</v>
      </c>
      <c r="R1334">
        <f>ROUND(INDEX(Catalogue!F$4:F$85,MATCH(A1334,Catalogue!A$4:A$85,0))*(1+Paramètres!$B$4*(C1334-1)+Paramètres!$B$5*(C1334-1)^2),0)</f>
        <v>26</v>
      </c>
      <c r="S1334">
        <f t="shared" si="164"/>
        <v>0</v>
      </c>
      <c r="T1334" t="str">
        <f t="shared" si="165"/>
        <v>OK</v>
      </c>
      <c r="U1334" s="25">
        <f t="shared" si="166"/>
        <v>20.5</v>
      </c>
      <c r="V1334" t="str">
        <f t="shared" si="167"/>
        <v>OK</v>
      </c>
    </row>
    <row r="1335" spans="1:22" ht="18" customHeight="1">
      <c r="A1335" t="s">
        <v>312</v>
      </c>
      <c r="B1335" t="s">
        <v>313</v>
      </c>
      <c r="C1335">
        <v>12</v>
      </c>
      <c r="D1335" t="s">
        <v>286</v>
      </c>
      <c r="E1335" s="6">
        <f t="shared" si="160"/>
        <v>17</v>
      </c>
      <c r="F1335" s="6">
        <f t="shared" si="161"/>
        <v>29</v>
      </c>
      <c r="G1335" s="6">
        <f>ROUND(Catalogue!G70*SQRT((1+Paramètres!$B$4*(C1335-1)+Paramètres!$B$5*(C1335-1)^2)),0)</f>
        <v>0</v>
      </c>
      <c r="H1335" s="6">
        <f>ROUND(Catalogue!H70*SQRT((1+Paramètres!$B$4*(C1335-1)+Paramètres!$B$5*(C1335-1)^2)),0)</f>
        <v>0</v>
      </c>
      <c r="I1335" s="6">
        <v>2</v>
      </c>
      <c r="J1335" s="6">
        <v>4</v>
      </c>
      <c r="K1335" s="7">
        <v>1.8</v>
      </c>
      <c r="L1335" s="9">
        <f t="shared" si="162"/>
        <v>23</v>
      </c>
      <c r="M1335">
        <v>4</v>
      </c>
      <c r="N1335">
        <v>4</v>
      </c>
      <c r="O1335">
        <v>13</v>
      </c>
      <c r="P1335" s="13" t="str">
        <f t="shared" si="163"/>
        <v>4d4 + 13</v>
      </c>
      <c r="Q1335">
        <f>ROUND(INDEX(Catalogue!E$4:E$85,MATCH(A1335,Catalogue!A$4:A$85,0))*(1+Paramètres!$B$4*(C1335-1)+Paramètres!$B$5*(C1335-1)^2),0)</f>
        <v>17</v>
      </c>
      <c r="R1335">
        <f>ROUND(INDEX(Catalogue!F$4:F$85,MATCH(A1335,Catalogue!A$4:A$85,0))*(1+Paramètres!$B$4*(C1335-1)+Paramètres!$B$5*(C1335-1)^2),0)</f>
        <v>29</v>
      </c>
      <c r="S1335">
        <f t="shared" si="164"/>
        <v>0</v>
      </c>
      <c r="T1335" t="str">
        <f t="shared" si="165"/>
        <v>OK</v>
      </c>
      <c r="U1335" s="25">
        <f t="shared" si="166"/>
        <v>23</v>
      </c>
      <c r="V1335" t="str">
        <f t="shared" si="167"/>
        <v>OK</v>
      </c>
    </row>
    <row r="1336" spans="1:22" ht="18" customHeight="1">
      <c r="A1336" t="s">
        <v>312</v>
      </c>
      <c r="B1336" t="s">
        <v>313</v>
      </c>
      <c r="C1336">
        <v>13</v>
      </c>
      <c r="D1336" t="s">
        <v>286</v>
      </c>
      <c r="E1336" s="6">
        <f t="shared" si="160"/>
        <v>18</v>
      </c>
      <c r="F1336" s="6">
        <f t="shared" si="161"/>
        <v>32</v>
      </c>
      <c r="G1336" s="6">
        <f>ROUND(Catalogue!G70*SQRT((1+Paramètres!$B$4*(C1336-1)+Paramètres!$B$5*(C1336-1)^2)),0)</f>
        <v>0</v>
      </c>
      <c r="H1336" s="6">
        <f>ROUND(Catalogue!H70*SQRT((1+Paramètres!$B$4*(C1336-1)+Paramètres!$B$5*(C1336-1)^2)),0)</f>
        <v>0</v>
      </c>
      <c r="I1336" s="6">
        <v>2</v>
      </c>
      <c r="J1336" s="6">
        <v>4</v>
      </c>
      <c r="K1336" s="7">
        <v>1.8</v>
      </c>
      <c r="L1336" s="9">
        <f t="shared" si="162"/>
        <v>25</v>
      </c>
      <c r="M1336">
        <v>2</v>
      </c>
      <c r="N1336">
        <v>8</v>
      </c>
      <c r="O1336">
        <v>16</v>
      </c>
      <c r="P1336" s="13" t="str">
        <f t="shared" si="163"/>
        <v>2d8 + 16</v>
      </c>
      <c r="Q1336">
        <f>ROUND(INDEX(Catalogue!E$4:E$85,MATCH(A1336,Catalogue!A$4:A$85,0))*(1+Paramètres!$B$4*(C1336-1)+Paramètres!$B$5*(C1336-1)^2),0)</f>
        <v>18</v>
      </c>
      <c r="R1336">
        <f>ROUND(INDEX(Catalogue!F$4:F$85,MATCH(A1336,Catalogue!A$4:A$85,0))*(1+Paramètres!$B$4*(C1336-1)+Paramètres!$B$5*(C1336-1)^2),0)</f>
        <v>32</v>
      </c>
      <c r="S1336">
        <f t="shared" si="164"/>
        <v>0</v>
      </c>
      <c r="T1336" t="str">
        <f t="shared" si="165"/>
        <v>OK</v>
      </c>
      <c r="U1336" s="25">
        <f t="shared" si="166"/>
        <v>25</v>
      </c>
      <c r="V1336" t="str">
        <f t="shared" si="167"/>
        <v>OK</v>
      </c>
    </row>
    <row r="1337" spans="1:22" ht="18" customHeight="1">
      <c r="A1337" t="s">
        <v>312</v>
      </c>
      <c r="B1337" t="s">
        <v>313</v>
      </c>
      <c r="C1337">
        <v>14</v>
      </c>
      <c r="D1337" t="s">
        <v>286</v>
      </c>
      <c r="E1337" s="6">
        <f t="shared" si="160"/>
        <v>21</v>
      </c>
      <c r="F1337" s="6">
        <f t="shared" si="161"/>
        <v>36</v>
      </c>
      <c r="G1337" s="6">
        <f>ROUND(Catalogue!G70*SQRT((1+Paramètres!$B$4*(C1337-1)+Paramètres!$B$5*(C1337-1)^2)),0)</f>
        <v>0</v>
      </c>
      <c r="H1337" s="6">
        <f>ROUND(Catalogue!H70*SQRT((1+Paramètres!$B$4*(C1337-1)+Paramètres!$B$5*(C1337-1)^2)),0)</f>
        <v>0</v>
      </c>
      <c r="I1337" s="6">
        <v>2</v>
      </c>
      <c r="J1337" s="6">
        <v>4</v>
      </c>
      <c r="K1337" s="7">
        <v>1.8</v>
      </c>
      <c r="L1337" s="9">
        <f t="shared" si="162"/>
        <v>28.5</v>
      </c>
      <c r="M1337">
        <v>3</v>
      </c>
      <c r="N1337">
        <v>6</v>
      </c>
      <c r="O1337">
        <v>18</v>
      </c>
      <c r="P1337" s="13" t="str">
        <f t="shared" si="163"/>
        <v>3d6 + 18</v>
      </c>
      <c r="Q1337">
        <f>ROUND(INDEX(Catalogue!E$4:E$85,MATCH(A1337,Catalogue!A$4:A$85,0))*(1+Paramètres!$B$4*(C1337-1)+Paramètres!$B$5*(C1337-1)^2),0)</f>
        <v>21</v>
      </c>
      <c r="R1337">
        <f>ROUND(INDEX(Catalogue!F$4:F$85,MATCH(A1337,Catalogue!A$4:A$85,0))*(1+Paramètres!$B$4*(C1337-1)+Paramètres!$B$5*(C1337-1)^2),0)</f>
        <v>36</v>
      </c>
      <c r="S1337">
        <f t="shared" si="164"/>
        <v>0</v>
      </c>
      <c r="T1337" t="str">
        <f t="shared" si="165"/>
        <v>OK</v>
      </c>
      <c r="U1337" s="25">
        <f t="shared" si="166"/>
        <v>28.5</v>
      </c>
      <c r="V1337" t="str">
        <f t="shared" si="167"/>
        <v>OK</v>
      </c>
    </row>
    <row r="1338" spans="1:22" ht="18" customHeight="1">
      <c r="A1338" t="s">
        <v>312</v>
      </c>
      <c r="B1338" t="s">
        <v>313</v>
      </c>
      <c r="C1338">
        <v>15</v>
      </c>
      <c r="D1338" t="s">
        <v>286</v>
      </c>
      <c r="E1338" s="6">
        <f t="shared" si="160"/>
        <v>22</v>
      </c>
      <c r="F1338" s="6">
        <f t="shared" si="161"/>
        <v>40</v>
      </c>
      <c r="G1338" s="6">
        <f>ROUND(Catalogue!G70*SQRT((1+Paramètres!$B$4*(C1338-1)+Paramètres!$B$5*(C1338-1)^2)),0)</f>
        <v>0</v>
      </c>
      <c r="H1338" s="6">
        <f>ROUND(Catalogue!H70*SQRT((1+Paramètres!$B$4*(C1338-1)+Paramètres!$B$5*(C1338-1)^2)),0)</f>
        <v>0</v>
      </c>
      <c r="I1338" s="6">
        <v>2</v>
      </c>
      <c r="J1338" s="6">
        <v>4</v>
      </c>
      <c r="K1338" s="7">
        <v>1.8</v>
      </c>
      <c r="L1338" s="9">
        <f t="shared" si="162"/>
        <v>31</v>
      </c>
      <c r="M1338">
        <v>2</v>
      </c>
      <c r="N1338">
        <v>10</v>
      </c>
      <c r="O1338">
        <v>20</v>
      </c>
      <c r="P1338" s="13" t="str">
        <f t="shared" si="163"/>
        <v>2d10 + 20</v>
      </c>
      <c r="Q1338">
        <f>ROUND(INDEX(Catalogue!E$4:E$85,MATCH(A1338,Catalogue!A$4:A$85,0))*(1+Paramètres!$B$4*(C1338-1)+Paramètres!$B$5*(C1338-1)^2),0)</f>
        <v>23</v>
      </c>
      <c r="R1338">
        <f>ROUND(INDEX(Catalogue!F$4:F$85,MATCH(A1338,Catalogue!A$4:A$85,0))*(1+Paramètres!$B$4*(C1338-1)+Paramètres!$B$5*(C1338-1)^2),0)</f>
        <v>40</v>
      </c>
      <c r="S1338">
        <f t="shared" si="164"/>
        <v>-0.5</v>
      </c>
      <c r="T1338" t="str">
        <f t="shared" si="165"/>
        <v>OK</v>
      </c>
      <c r="U1338" s="25">
        <f t="shared" si="166"/>
        <v>31</v>
      </c>
      <c r="V1338" t="str">
        <f t="shared" si="167"/>
        <v>OK</v>
      </c>
    </row>
    <row r="1339" spans="1:22" ht="18" customHeight="1">
      <c r="A1339" t="s">
        <v>312</v>
      </c>
      <c r="B1339" t="s">
        <v>313</v>
      </c>
      <c r="C1339">
        <v>16</v>
      </c>
      <c r="D1339" t="s">
        <v>286</v>
      </c>
      <c r="E1339" s="6">
        <f t="shared" si="160"/>
        <v>26</v>
      </c>
      <c r="F1339" s="6">
        <f t="shared" si="161"/>
        <v>44</v>
      </c>
      <c r="G1339" s="6">
        <f>ROUND(Catalogue!G70*SQRT((1+Paramètres!$B$4*(C1339-1)+Paramètres!$B$5*(C1339-1)^2)),0)</f>
        <v>0</v>
      </c>
      <c r="H1339" s="6">
        <f>ROUND(Catalogue!H70*SQRT((1+Paramètres!$B$4*(C1339-1)+Paramètres!$B$5*(C1339-1)^2)),0)</f>
        <v>0</v>
      </c>
      <c r="I1339" s="6">
        <v>2</v>
      </c>
      <c r="J1339" s="6">
        <v>4</v>
      </c>
      <c r="K1339" s="7">
        <v>1.8</v>
      </c>
      <c r="L1339" s="9">
        <f t="shared" si="162"/>
        <v>35</v>
      </c>
      <c r="M1339">
        <v>2</v>
      </c>
      <c r="N1339">
        <v>10</v>
      </c>
      <c r="O1339">
        <v>24</v>
      </c>
      <c r="P1339" s="13" t="str">
        <f t="shared" si="163"/>
        <v>2d10 + 24</v>
      </c>
      <c r="Q1339">
        <f>ROUND(INDEX(Catalogue!E$4:E$85,MATCH(A1339,Catalogue!A$4:A$85,0))*(1+Paramètres!$B$4*(C1339-1)+Paramètres!$B$5*(C1339-1)^2),0)</f>
        <v>25</v>
      </c>
      <c r="R1339">
        <f>ROUND(INDEX(Catalogue!F$4:F$85,MATCH(A1339,Catalogue!A$4:A$85,0))*(1+Paramètres!$B$4*(C1339-1)+Paramètres!$B$5*(C1339-1)^2),0)</f>
        <v>44</v>
      </c>
      <c r="S1339">
        <f t="shared" si="164"/>
        <v>0.5</v>
      </c>
      <c r="T1339" t="str">
        <f t="shared" si="165"/>
        <v>OK</v>
      </c>
      <c r="U1339" s="25">
        <f t="shared" si="166"/>
        <v>35</v>
      </c>
      <c r="V1339" t="str">
        <f t="shared" si="167"/>
        <v>OK</v>
      </c>
    </row>
    <row r="1340" spans="1:22" ht="18" customHeight="1">
      <c r="A1340" t="s">
        <v>312</v>
      </c>
      <c r="B1340" t="s">
        <v>313</v>
      </c>
      <c r="C1340">
        <v>17</v>
      </c>
      <c r="D1340" t="s">
        <v>286</v>
      </c>
      <c r="E1340" s="6">
        <f t="shared" si="160"/>
        <v>27</v>
      </c>
      <c r="F1340" s="6">
        <f t="shared" si="161"/>
        <v>48</v>
      </c>
      <c r="G1340" s="6">
        <f>ROUND(Catalogue!G70*SQRT((1+Paramètres!$B$4*(C1340-1)+Paramètres!$B$5*(C1340-1)^2)),0)</f>
        <v>0</v>
      </c>
      <c r="H1340" s="6">
        <f>ROUND(Catalogue!H70*SQRT((1+Paramètres!$B$4*(C1340-1)+Paramètres!$B$5*(C1340-1)^2)),0)</f>
        <v>0</v>
      </c>
      <c r="I1340" s="6">
        <v>2</v>
      </c>
      <c r="J1340" s="6">
        <v>4</v>
      </c>
      <c r="K1340" s="7">
        <v>1.8</v>
      </c>
      <c r="L1340" s="9">
        <f t="shared" si="162"/>
        <v>37.5</v>
      </c>
      <c r="M1340">
        <v>3</v>
      </c>
      <c r="N1340">
        <v>8</v>
      </c>
      <c r="O1340">
        <v>24</v>
      </c>
      <c r="P1340" s="13" t="str">
        <f t="shared" si="163"/>
        <v>3d8 + 24</v>
      </c>
      <c r="Q1340">
        <f>ROUND(INDEX(Catalogue!E$4:E$85,MATCH(A1340,Catalogue!A$4:A$85,0))*(1+Paramètres!$B$4*(C1340-1)+Paramètres!$B$5*(C1340-1)^2),0)</f>
        <v>27</v>
      </c>
      <c r="R1340">
        <f>ROUND(INDEX(Catalogue!F$4:F$85,MATCH(A1340,Catalogue!A$4:A$85,0))*(1+Paramètres!$B$4*(C1340-1)+Paramètres!$B$5*(C1340-1)^2),0)</f>
        <v>48</v>
      </c>
      <c r="S1340">
        <f t="shared" si="164"/>
        <v>0</v>
      </c>
      <c r="T1340" t="str">
        <f t="shared" si="165"/>
        <v>OK</v>
      </c>
      <c r="U1340" s="25">
        <f t="shared" si="166"/>
        <v>37.5</v>
      </c>
      <c r="V1340" t="str">
        <f t="shared" si="167"/>
        <v>OK</v>
      </c>
    </row>
    <row r="1341" spans="1:22" ht="18" customHeight="1">
      <c r="A1341" t="s">
        <v>312</v>
      </c>
      <c r="B1341" t="s">
        <v>313</v>
      </c>
      <c r="C1341">
        <v>18</v>
      </c>
      <c r="D1341" t="s">
        <v>286</v>
      </c>
      <c r="E1341" s="6">
        <f t="shared" si="160"/>
        <v>30</v>
      </c>
      <c r="F1341" s="6">
        <f t="shared" si="161"/>
        <v>52</v>
      </c>
      <c r="G1341" s="6">
        <f>ROUND(Catalogue!G70*SQRT((1+Paramètres!$B$4*(C1341-1)+Paramètres!$B$5*(C1341-1)^2)),0)</f>
        <v>0</v>
      </c>
      <c r="H1341" s="6">
        <f>ROUND(Catalogue!H70*SQRT((1+Paramètres!$B$4*(C1341-1)+Paramètres!$B$5*(C1341-1)^2)),0)</f>
        <v>0</v>
      </c>
      <c r="I1341" s="6">
        <v>2</v>
      </c>
      <c r="J1341" s="6">
        <v>4</v>
      </c>
      <c r="K1341" s="7">
        <v>1.8</v>
      </c>
      <c r="L1341" s="9">
        <f t="shared" si="162"/>
        <v>41</v>
      </c>
      <c r="M1341">
        <v>2</v>
      </c>
      <c r="N1341">
        <v>12</v>
      </c>
      <c r="O1341">
        <v>28</v>
      </c>
      <c r="P1341" s="13" t="str">
        <f t="shared" si="163"/>
        <v>2d12 + 28</v>
      </c>
      <c r="Q1341">
        <f>ROUND(INDEX(Catalogue!E$4:E$85,MATCH(A1341,Catalogue!A$4:A$85,0))*(1+Paramètres!$B$4*(C1341-1)+Paramètres!$B$5*(C1341-1)^2),0)</f>
        <v>30</v>
      </c>
      <c r="R1341">
        <f>ROUND(INDEX(Catalogue!F$4:F$85,MATCH(A1341,Catalogue!A$4:A$85,0))*(1+Paramètres!$B$4*(C1341-1)+Paramètres!$B$5*(C1341-1)^2),0)</f>
        <v>52</v>
      </c>
      <c r="S1341">
        <f t="shared" si="164"/>
        <v>0</v>
      </c>
      <c r="T1341" t="str">
        <f t="shared" si="165"/>
        <v>OK</v>
      </c>
      <c r="U1341" s="25">
        <f t="shared" si="166"/>
        <v>41</v>
      </c>
      <c r="V1341" t="str">
        <f t="shared" si="167"/>
        <v>OK</v>
      </c>
    </row>
    <row r="1342" spans="1:22" ht="18" customHeight="1">
      <c r="A1342" t="s">
        <v>312</v>
      </c>
      <c r="B1342" t="s">
        <v>313</v>
      </c>
      <c r="C1342">
        <v>19</v>
      </c>
      <c r="D1342" t="s">
        <v>286</v>
      </c>
      <c r="E1342" s="6">
        <f t="shared" si="160"/>
        <v>32</v>
      </c>
      <c r="F1342" s="6">
        <f t="shared" si="161"/>
        <v>57</v>
      </c>
      <c r="G1342" s="6">
        <f>ROUND(Catalogue!G70*SQRT((1+Paramètres!$B$4*(C1342-1)+Paramètres!$B$5*(C1342-1)^2)),0)</f>
        <v>0</v>
      </c>
      <c r="H1342" s="6">
        <f>ROUND(Catalogue!H70*SQRT((1+Paramètres!$B$4*(C1342-1)+Paramètres!$B$5*(C1342-1)^2)),0)</f>
        <v>0</v>
      </c>
      <c r="I1342" s="6">
        <v>2</v>
      </c>
      <c r="J1342" s="6">
        <v>4</v>
      </c>
      <c r="K1342" s="7">
        <v>1.8</v>
      </c>
      <c r="L1342" s="9">
        <f t="shared" si="162"/>
        <v>44.5</v>
      </c>
      <c r="M1342">
        <v>5</v>
      </c>
      <c r="N1342">
        <v>6</v>
      </c>
      <c r="O1342">
        <v>27</v>
      </c>
      <c r="P1342" s="13" t="str">
        <f t="shared" si="163"/>
        <v>5d6 + 27</v>
      </c>
      <c r="Q1342">
        <f>ROUND(INDEX(Catalogue!E$4:E$85,MATCH(A1342,Catalogue!A$4:A$85,0))*(1+Paramètres!$B$4*(C1342-1)+Paramètres!$B$5*(C1342-1)^2),0)</f>
        <v>33</v>
      </c>
      <c r="R1342">
        <f>ROUND(INDEX(Catalogue!F$4:F$85,MATCH(A1342,Catalogue!A$4:A$85,0))*(1+Paramètres!$B$4*(C1342-1)+Paramètres!$B$5*(C1342-1)^2),0)</f>
        <v>57</v>
      </c>
      <c r="S1342">
        <f t="shared" si="164"/>
        <v>-0.5</v>
      </c>
      <c r="T1342" t="str">
        <f t="shared" si="165"/>
        <v>OK</v>
      </c>
      <c r="U1342" s="25">
        <f t="shared" si="166"/>
        <v>44.5</v>
      </c>
      <c r="V1342" t="str">
        <f t="shared" si="167"/>
        <v>OK</v>
      </c>
    </row>
    <row r="1343" spans="1:22" ht="18" customHeight="1">
      <c r="A1343" t="s">
        <v>312</v>
      </c>
      <c r="B1343" t="s">
        <v>313</v>
      </c>
      <c r="C1343">
        <v>20</v>
      </c>
      <c r="D1343" t="s">
        <v>286</v>
      </c>
      <c r="E1343" s="6">
        <f t="shared" si="160"/>
        <v>35</v>
      </c>
      <c r="F1343" s="6">
        <f t="shared" si="161"/>
        <v>62</v>
      </c>
      <c r="G1343" s="6">
        <f>ROUND(Catalogue!G70*SQRT((1+Paramètres!$B$4*(C1343-1)+Paramètres!$B$5*(C1343-1)^2)),0)</f>
        <v>0</v>
      </c>
      <c r="H1343" s="6">
        <f>ROUND(Catalogue!H70*SQRT((1+Paramètres!$B$4*(C1343-1)+Paramètres!$B$5*(C1343-1)^2)),0)</f>
        <v>0</v>
      </c>
      <c r="I1343" s="6">
        <v>2</v>
      </c>
      <c r="J1343" s="6">
        <v>4</v>
      </c>
      <c r="K1343" s="7">
        <v>1.8</v>
      </c>
      <c r="L1343" s="9">
        <f t="shared" si="162"/>
        <v>48.5</v>
      </c>
      <c r="M1343">
        <v>3</v>
      </c>
      <c r="N1343">
        <v>10</v>
      </c>
      <c r="O1343">
        <v>32</v>
      </c>
      <c r="P1343" s="13" t="str">
        <f t="shared" si="163"/>
        <v>3d10 + 32</v>
      </c>
      <c r="Q1343">
        <f>ROUND(INDEX(Catalogue!E$4:E$85,MATCH(A1343,Catalogue!A$4:A$85,0))*(1+Paramètres!$B$4*(C1343-1)+Paramètres!$B$5*(C1343-1)^2),0)</f>
        <v>35</v>
      </c>
      <c r="R1343">
        <f>ROUND(INDEX(Catalogue!F$4:F$85,MATCH(A1343,Catalogue!A$4:A$85,0))*(1+Paramètres!$B$4*(C1343-1)+Paramètres!$B$5*(C1343-1)^2),0)</f>
        <v>62</v>
      </c>
      <c r="S1343">
        <f t="shared" si="164"/>
        <v>0</v>
      </c>
      <c r="T1343" t="str">
        <f t="shared" si="165"/>
        <v>OK</v>
      </c>
      <c r="U1343" s="25">
        <f t="shared" si="166"/>
        <v>48.5</v>
      </c>
      <c r="V1343" t="str">
        <f t="shared" si="167"/>
        <v>OK</v>
      </c>
    </row>
    <row r="1344" spans="1:22" ht="18" customHeight="1">
      <c r="A1344" t="s">
        <v>315</v>
      </c>
      <c r="B1344" t="s">
        <v>316</v>
      </c>
      <c r="C1344">
        <v>1</v>
      </c>
      <c r="D1344" t="s">
        <v>286</v>
      </c>
      <c r="E1344" s="6">
        <f t="shared" si="160"/>
        <v>3</v>
      </c>
      <c r="F1344" s="6">
        <f t="shared" si="161"/>
        <v>6</v>
      </c>
      <c r="G1344" s="6">
        <f>ROUND(Catalogue!G71*SQRT((1+Paramètres!$B$4*(C1344-1)+Paramètres!$B$5*(C1344-1)^2)),0)</f>
        <v>0</v>
      </c>
      <c r="H1344" s="6">
        <f>ROUND(Catalogue!H71*SQRT((1+Paramètres!$B$4*(C1344-1)+Paramètres!$B$5*(C1344-1)^2)),0)</f>
        <v>0</v>
      </c>
      <c r="I1344" s="6">
        <v>2</v>
      </c>
      <c r="J1344" s="6">
        <v>4</v>
      </c>
      <c r="K1344" s="7">
        <v>2</v>
      </c>
      <c r="L1344" s="9">
        <f t="shared" si="162"/>
        <v>4.5</v>
      </c>
      <c r="M1344">
        <v>1</v>
      </c>
      <c r="N1344">
        <v>4</v>
      </c>
      <c r="O1344">
        <v>2</v>
      </c>
      <c r="P1344" s="13" t="str">
        <f t="shared" si="163"/>
        <v>1d4 + 2</v>
      </c>
      <c r="Q1344">
        <f>ROUND(INDEX(Catalogue!E$4:E$85,MATCH(A1344,Catalogue!A$4:A$85,0))*(1+Paramètres!$B$4*(C1344-1)+Paramètres!$B$5*(C1344-1)^2),0)</f>
        <v>3</v>
      </c>
      <c r="R1344">
        <f>ROUND(INDEX(Catalogue!F$4:F$85,MATCH(A1344,Catalogue!A$4:A$85,0))*(1+Paramètres!$B$4*(C1344-1)+Paramètres!$B$5*(C1344-1)^2),0)</f>
        <v>6</v>
      </c>
      <c r="S1344">
        <f t="shared" si="164"/>
        <v>0</v>
      </c>
      <c r="T1344" t="str">
        <f t="shared" si="165"/>
        <v>OK</v>
      </c>
      <c r="U1344" s="25">
        <f t="shared" si="166"/>
        <v>4.5</v>
      </c>
      <c r="V1344" t="str">
        <f t="shared" si="167"/>
        <v>OK</v>
      </c>
    </row>
    <row r="1345" spans="1:22" ht="18" customHeight="1">
      <c r="A1345" t="s">
        <v>315</v>
      </c>
      <c r="B1345" t="s">
        <v>316</v>
      </c>
      <c r="C1345">
        <v>2</v>
      </c>
      <c r="D1345" t="s">
        <v>286</v>
      </c>
      <c r="E1345" s="6">
        <f t="shared" si="160"/>
        <v>3</v>
      </c>
      <c r="F1345" s="6">
        <f t="shared" si="161"/>
        <v>6</v>
      </c>
      <c r="G1345" s="6">
        <f>ROUND(Catalogue!G71*SQRT((1+Paramètres!$B$4*(C1345-1)+Paramètres!$B$5*(C1345-1)^2)),0)</f>
        <v>0</v>
      </c>
      <c r="H1345" s="6">
        <f>ROUND(Catalogue!H71*SQRT((1+Paramètres!$B$4*(C1345-1)+Paramètres!$B$5*(C1345-1)^2)),0)</f>
        <v>0</v>
      </c>
      <c r="I1345" s="6">
        <v>2</v>
      </c>
      <c r="J1345" s="6">
        <v>4</v>
      </c>
      <c r="K1345" s="7">
        <v>2</v>
      </c>
      <c r="L1345" s="9">
        <f t="shared" si="162"/>
        <v>4.5</v>
      </c>
      <c r="M1345">
        <v>1</v>
      </c>
      <c r="N1345">
        <v>4</v>
      </c>
      <c r="O1345">
        <v>2</v>
      </c>
      <c r="P1345" s="13" t="str">
        <f t="shared" si="163"/>
        <v>1d4 + 2</v>
      </c>
      <c r="Q1345">
        <f>ROUND(INDEX(Catalogue!E$4:E$85,MATCH(A1345,Catalogue!A$4:A$85,0))*(1+Paramètres!$B$4*(C1345-1)+Paramètres!$B$5*(C1345-1)^2),0)</f>
        <v>3</v>
      </c>
      <c r="R1345">
        <f>ROUND(INDEX(Catalogue!F$4:F$85,MATCH(A1345,Catalogue!A$4:A$85,0))*(1+Paramètres!$B$4*(C1345-1)+Paramètres!$B$5*(C1345-1)^2),0)</f>
        <v>7</v>
      </c>
      <c r="S1345">
        <f t="shared" si="164"/>
        <v>-0.5</v>
      </c>
      <c r="T1345" t="str">
        <f t="shared" si="165"/>
        <v>OK</v>
      </c>
      <c r="U1345" s="25">
        <f t="shared" si="166"/>
        <v>4.5</v>
      </c>
      <c r="V1345" t="str">
        <f t="shared" si="167"/>
        <v>OK</v>
      </c>
    </row>
    <row r="1346" spans="1:22" ht="18" customHeight="1">
      <c r="A1346" t="s">
        <v>315</v>
      </c>
      <c r="B1346" t="s">
        <v>316</v>
      </c>
      <c r="C1346">
        <v>3</v>
      </c>
      <c r="D1346" t="s">
        <v>286</v>
      </c>
      <c r="E1346" s="6">
        <f t="shared" si="160"/>
        <v>4</v>
      </c>
      <c r="F1346" s="6">
        <f t="shared" si="161"/>
        <v>7</v>
      </c>
      <c r="G1346" s="6">
        <f>ROUND(Catalogue!G71*SQRT((1+Paramètres!$B$4*(C1346-1)+Paramètres!$B$5*(C1346-1)^2)),0)</f>
        <v>0</v>
      </c>
      <c r="H1346" s="6">
        <f>ROUND(Catalogue!H71*SQRT((1+Paramètres!$B$4*(C1346-1)+Paramètres!$B$5*(C1346-1)^2)),0)</f>
        <v>0</v>
      </c>
      <c r="I1346" s="6">
        <v>2</v>
      </c>
      <c r="J1346" s="6">
        <v>4</v>
      </c>
      <c r="K1346" s="7">
        <v>2</v>
      </c>
      <c r="L1346" s="9">
        <f t="shared" si="162"/>
        <v>5.5</v>
      </c>
      <c r="M1346">
        <v>1</v>
      </c>
      <c r="N1346">
        <v>4</v>
      </c>
      <c r="O1346">
        <v>3</v>
      </c>
      <c r="P1346" s="13" t="str">
        <f t="shared" si="163"/>
        <v>1d4 + 3</v>
      </c>
      <c r="Q1346">
        <f>ROUND(INDEX(Catalogue!E$4:E$85,MATCH(A1346,Catalogue!A$4:A$85,0))*(1+Paramètres!$B$4*(C1346-1)+Paramètres!$B$5*(C1346-1)^2),0)</f>
        <v>4</v>
      </c>
      <c r="R1346">
        <f>ROUND(INDEX(Catalogue!F$4:F$85,MATCH(A1346,Catalogue!A$4:A$85,0))*(1+Paramètres!$B$4*(C1346-1)+Paramètres!$B$5*(C1346-1)^2),0)</f>
        <v>8</v>
      </c>
      <c r="S1346">
        <f t="shared" si="164"/>
        <v>-0.5</v>
      </c>
      <c r="T1346" t="str">
        <f t="shared" si="165"/>
        <v>OK</v>
      </c>
      <c r="U1346" s="25">
        <f t="shared" si="166"/>
        <v>5.5</v>
      </c>
      <c r="V1346" t="str">
        <f t="shared" si="167"/>
        <v>OK</v>
      </c>
    </row>
    <row r="1347" spans="1:22" ht="18" customHeight="1">
      <c r="A1347" t="s">
        <v>315</v>
      </c>
      <c r="B1347" t="s">
        <v>316</v>
      </c>
      <c r="C1347">
        <v>4</v>
      </c>
      <c r="D1347" t="s">
        <v>286</v>
      </c>
      <c r="E1347" s="6">
        <f t="shared" si="160"/>
        <v>4</v>
      </c>
      <c r="F1347" s="6">
        <f t="shared" si="161"/>
        <v>9</v>
      </c>
      <c r="G1347" s="6">
        <f>ROUND(Catalogue!G71*SQRT((1+Paramètres!$B$4*(C1347-1)+Paramètres!$B$5*(C1347-1)^2)),0)</f>
        <v>0</v>
      </c>
      <c r="H1347" s="6">
        <f>ROUND(Catalogue!H71*SQRT((1+Paramètres!$B$4*(C1347-1)+Paramètres!$B$5*(C1347-1)^2)),0)</f>
        <v>0</v>
      </c>
      <c r="I1347" s="6">
        <v>2</v>
      </c>
      <c r="J1347" s="6">
        <v>4</v>
      </c>
      <c r="K1347" s="7">
        <v>2</v>
      </c>
      <c r="L1347" s="9">
        <f t="shared" si="162"/>
        <v>6.5</v>
      </c>
      <c r="M1347">
        <v>1</v>
      </c>
      <c r="N1347">
        <v>6</v>
      </c>
      <c r="O1347">
        <v>3</v>
      </c>
      <c r="P1347" s="13" t="str">
        <f t="shared" si="163"/>
        <v>1d6 + 3</v>
      </c>
      <c r="Q1347">
        <f>ROUND(INDEX(Catalogue!E$4:E$85,MATCH(A1347,Catalogue!A$4:A$85,0))*(1+Paramètres!$B$4*(C1347-1)+Paramètres!$B$5*(C1347-1)^2),0)</f>
        <v>4</v>
      </c>
      <c r="R1347">
        <f>ROUND(INDEX(Catalogue!F$4:F$85,MATCH(A1347,Catalogue!A$4:A$85,0))*(1+Paramètres!$B$4*(C1347-1)+Paramètres!$B$5*(C1347-1)^2),0)</f>
        <v>9</v>
      </c>
      <c r="S1347">
        <f t="shared" si="164"/>
        <v>0</v>
      </c>
      <c r="T1347" t="str">
        <f t="shared" si="165"/>
        <v>OK</v>
      </c>
      <c r="U1347" s="25">
        <f t="shared" si="166"/>
        <v>6.5</v>
      </c>
      <c r="V1347" t="str">
        <f t="shared" si="167"/>
        <v>OK</v>
      </c>
    </row>
    <row r="1348" spans="1:22" ht="18" customHeight="1">
      <c r="A1348" t="s">
        <v>315</v>
      </c>
      <c r="B1348" t="s">
        <v>316</v>
      </c>
      <c r="C1348">
        <v>5</v>
      </c>
      <c r="D1348" t="s">
        <v>286</v>
      </c>
      <c r="E1348" s="6">
        <f t="shared" ref="E1348:E1411" si="168">IF(M1348=0,0,M1348+O1348)</f>
        <v>5</v>
      </c>
      <c r="F1348" s="6">
        <f t="shared" ref="F1348:F1411" si="169">IF(M1348=0,0,M1348*N1348+O1348)</f>
        <v>10</v>
      </c>
      <c r="G1348" s="6">
        <f>ROUND(Catalogue!G71*SQRT((1+Paramètres!$B$4*(C1348-1)+Paramètres!$B$5*(C1348-1)^2)),0)</f>
        <v>0</v>
      </c>
      <c r="H1348" s="6">
        <f>ROUND(Catalogue!H71*SQRT((1+Paramètres!$B$4*(C1348-1)+Paramètres!$B$5*(C1348-1)^2)),0)</f>
        <v>0</v>
      </c>
      <c r="I1348" s="6">
        <v>2</v>
      </c>
      <c r="J1348" s="6">
        <v>4</v>
      </c>
      <c r="K1348" s="7">
        <v>2</v>
      </c>
      <c r="L1348" s="9">
        <f t="shared" ref="L1348:L1411" si="170">IF(M1348=0,0,(E1348+F1348)/2)</f>
        <v>7.5</v>
      </c>
      <c r="M1348">
        <v>1</v>
      </c>
      <c r="N1348">
        <v>6</v>
      </c>
      <c r="O1348">
        <v>4</v>
      </c>
      <c r="P1348" s="13" t="str">
        <f t="shared" ref="P1348:P1411" si="171">IF(M1348=0,"—",M1348&amp;"d"&amp;N1348&amp;IF(O1348=0,""," + "&amp;O1348))</f>
        <v>1d6 + 4</v>
      </c>
      <c r="Q1348">
        <f>ROUND(INDEX(Catalogue!E$4:E$85,MATCH(A1348,Catalogue!A$4:A$85,0))*(1+Paramètres!$B$4*(C1348-1)+Paramètres!$B$5*(C1348-1)^2),0)</f>
        <v>5</v>
      </c>
      <c r="R1348">
        <f>ROUND(INDEX(Catalogue!F$4:F$85,MATCH(A1348,Catalogue!A$4:A$85,0))*(1+Paramètres!$B$4*(C1348-1)+Paramètres!$B$5*(C1348-1)^2),0)</f>
        <v>10</v>
      </c>
      <c r="S1348">
        <f t="shared" ref="S1348:S1411" si="172">L1348-AVERAGE(Q1348:R1348)</f>
        <v>0</v>
      </c>
      <c r="T1348" t="str">
        <f t="shared" ref="T1348:T1411" si="173">IF(M1348=0,IF(AND(N1348=0,O1348=0,E1348=0,F1348=0),"OK","ERREUR"),IF(AND(M1348&gt;=1,M1348&lt;=32,OR(N1348=4,N1348=6,N1348=8,N1348=10,N1348=12,N1348=20),O1348&gt;=0,E1348=M1348+O1348,F1348=M1348*N1348+O1348),"OK","ERREUR"))</f>
        <v>OK</v>
      </c>
      <c r="U1348" s="25">
        <f t="shared" ref="U1348:U1411" si="174">IF(M1348&gt;0,M1348*(N1348+1)/2+O1348,0)</f>
        <v>7.5</v>
      </c>
      <c r="V1348" t="str">
        <f t="shared" ref="V1348:V1411" si="175">IF(ABS(L1348-U1348)&lt;0.001,"OK","ERREUR")</f>
        <v>OK</v>
      </c>
    </row>
    <row r="1349" spans="1:22" ht="18" customHeight="1">
      <c r="A1349" t="s">
        <v>315</v>
      </c>
      <c r="B1349" t="s">
        <v>316</v>
      </c>
      <c r="C1349">
        <v>6</v>
      </c>
      <c r="D1349" t="s">
        <v>286</v>
      </c>
      <c r="E1349" s="6">
        <f t="shared" si="168"/>
        <v>6</v>
      </c>
      <c r="F1349" s="6">
        <f t="shared" si="169"/>
        <v>12</v>
      </c>
      <c r="G1349" s="6">
        <f>ROUND(Catalogue!G71*SQRT((1+Paramètres!$B$4*(C1349-1)+Paramètres!$B$5*(C1349-1)^2)),0)</f>
        <v>0</v>
      </c>
      <c r="H1349" s="6">
        <f>ROUND(Catalogue!H71*SQRT((1+Paramètres!$B$4*(C1349-1)+Paramètres!$B$5*(C1349-1)^2)),0)</f>
        <v>0</v>
      </c>
      <c r="I1349" s="6">
        <v>2</v>
      </c>
      <c r="J1349" s="6">
        <v>4</v>
      </c>
      <c r="K1349" s="7">
        <v>2</v>
      </c>
      <c r="L1349" s="9">
        <f t="shared" si="170"/>
        <v>9</v>
      </c>
      <c r="M1349">
        <v>2</v>
      </c>
      <c r="N1349">
        <v>4</v>
      </c>
      <c r="O1349">
        <v>4</v>
      </c>
      <c r="P1349" s="13" t="str">
        <f t="shared" si="171"/>
        <v>2d4 + 4</v>
      </c>
      <c r="Q1349">
        <f>ROUND(INDEX(Catalogue!E$4:E$85,MATCH(A1349,Catalogue!A$4:A$85,0))*(1+Paramètres!$B$4*(C1349-1)+Paramètres!$B$5*(C1349-1)^2),0)</f>
        <v>6</v>
      </c>
      <c r="R1349">
        <f>ROUND(INDEX(Catalogue!F$4:F$85,MATCH(A1349,Catalogue!A$4:A$85,0))*(1+Paramètres!$B$4*(C1349-1)+Paramètres!$B$5*(C1349-1)^2),0)</f>
        <v>12</v>
      </c>
      <c r="S1349">
        <f t="shared" si="172"/>
        <v>0</v>
      </c>
      <c r="T1349" t="str">
        <f t="shared" si="173"/>
        <v>OK</v>
      </c>
      <c r="U1349" s="25">
        <f t="shared" si="174"/>
        <v>9</v>
      </c>
      <c r="V1349" t="str">
        <f t="shared" si="175"/>
        <v>OK</v>
      </c>
    </row>
    <row r="1350" spans="1:22" ht="18" customHeight="1">
      <c r="A1350" t="s">
        <v>315</v>
      </c>
      <c r="B1350" t="s">
        <v>316</v>
      </c>
      <c r="C1350">
        <v>7</v>
      </c>
      <c r="D1350" t="s">
        <v>286</v>
      </c>
      <c r="E1350" s="6">
        <f t="shared" si="168"/>
        <v>7</v>
      </c>
      <c r="F1350" s="6">
        <f t="shared" si="169"/>
        <v>13</v>
      </c>
      <c r="G1350" s="6">
        <f>ROUND(Catalogue!G71*SQRT((1+Paramètres!$B$4*(C1350-1)+Paramètres!$B$5*(C1350-1)^2)),0)</f>
        <v>0</v>
      </c>
      <c r="H1350" s="6">
        <f>ROUND(Catalogue!H71*SQRT((1+Paramètres!$B$4*(C1350-1)+Paramètres!$B$5*(C1350-1)^2)),0)</f>
        <v>0</v>
      </c>
      <c r="I1350" s="6">
        <v>2</v>
      </c>
      <c r="J1350" s="6">
        <v>4</v>
      </c>
      <c r="K1350" s="7">
        <v>2</v>
      </c>
      <c r="L1350" s="9">
        <f t="shared" si="170"/>
        <v>10</v>
      </c>
      <c r="M1350">
        <v>2</v>
      </c>
      <c r="N1350">
        <v>4</v>
      </c>
      <c r="O1350">
        <v>5</v>
      </c>
      <c r="P1350" s="13" t="str">
        <f t="shared" si="171"/>
        <v>2d4 + 5</v>
      </c>
      <c r="Q1350">
        <f>ROUND(INDEX(Catalogue!E$4:E$85,MATCH(A1350,Catalogue!A$4:A$85,0))*(1+Paramètres!$B$4*(C1350-1)+Paramètres!$B$5*(C1350-1)^2),0)</f>
        <v>7</v>
      </c>
      <c r="R1350">
        <f>ROUND(INDEX(Catalogue!F$4:F$85,MATCH(A1350,Catalogue!A$4:A$85,0))*(1+Paramètres!$B$4*(C1350-1)+Paramètres!$B$5*(C1350-1)^2),0)</f>
        <v>13</v>
      </c>
      <c r="S1350">
        <f t="shared" si="172"/>
        <v>0</v>
      </c>
      <c r="T1350" t="str">
        <f t="shared" si="173"/>
        <v>OK</v>
      </c>
      <c r="U1350" s="25">
        <f t="shared" si="174"/>
        <v>10</v>
      </c>
      <c r="V1350" t="str">
        <f t="shared" si="175"/>
        <v>OK</v>
      </c>
    </row>
    <row r="1351" spans="1:22" ht="18" customHeight="1">
      <c r="A1351" t="s">
        <v>315</v>
      </c>
      <c r="B1351" t="s">
        <v>316</v>
      </c>
      <c r="C1351">
        <v>8</v>
      </c>
      <c r="D1351" t="s">
        <v>286</v>
      </c>
      <c r="E1351" s="6">
        <f t="shared" si="168"/>
        <v>8</v>
      </c>
      <c r="F1351" s="6">
        <f t="shared" si="169"/>
        <v>15</v>
      </c>
      <c r="G1351" s="6">
        <f>ROUND(Catalogue!G71*SQRT((1+Paramètres!$B$4*(C1351-1)+Paramètres!$B$5*(C1351-1)^2)),0)</f>
        <v>0</v>
      </c>
      <c r="H1351" s="6">
        <f>ROUND(Catalogue!H71*SQRT((1+Paramètres!$B$4*(C1351-1)+Paramètres!$B$5*(C1351-1)^2)),0)</f>
        <v>0</v>
      </c>
      <c r="I1351" s="6">
        <v>2</v>
      </c>
      <c r="J1351" s="6">
        <v>4</v>
      </c>
      <c r="K1351" s="7">
        <v>2</v>
      </c>
      <c r="L1351" s="9">
        <f t="shared" si="170"/>
        <v>11.5</v>
      </c>
      <c r="M1351">
        <v>1</v>
      </c>
      <c r="N1351">
        <v>8</v>
      </c>
      <c r="O1351">
        <v>7</v>
      </c>
      <c r="P1351" s="13" t="str">
        <f t="shared" si="171"/>
        <v>1d8 + 7</v>
      </c>
      <c r="Q1351">
        <f>ROUND(INDEX(Catalogue!E$4:E$85,MATCH(A1351,Catalogue!A$4:A$85,0))*(1+Paramètres!$B$4*(C1351-1)+Paramètres!$B$5*(C1351-1)^2),0)</f>
        <v>8</v>
      </c>
      <c r="R1351">
        <f>ROUND(INDEX(Catalogue!F$4:F$85,MATCH(A1351,Catalogue!A$4:A$85,0))*(1+Paramètres!$B$4*(C1351-1)+Paramètres!$B$5*(C1351-1)^2),0)</f>
        <v>15</v>
      </c>
      <c r="S1351">
        <f t="shared" si="172"/>
        <v>0</v>
      </c>
      <c r="T1351" t="str">
        <f t="shared" si="173"/>
        <v>OK</v>
      </c>
      <c r="U1351" s="25">
        <f t="shared" si="174"/>
        <v>11.5</v>
      </c>
      <c r="V1351" t="str">
        <f t="shared" si="175"/>
        <v>OK</v>
      </c>
    </row>
    <row r="1352" spans="1:22" ht="18" customHeight="1">
      <c r="A1352" t="s">
        <v>315</v>
      </c>
      <c r="B1352" t="s">
        <v>316</v>
      </c>
      <c r="C1352">
        <v>9</v>
      </c>
      <c r="D1352" t="s">
        <v>286</v>
      </c>
      <c r="E1352" s="6">
        <f t="shared" si="168"/>
        <v>8</v>
      </c>
      <c r="F1352" s="6">
        <f t="shared" si="169"/>
        <v>17</v>
      </c>
      <c r="G1352" s="6">
        <f>ROUND(Catalogue!G71*SQRT((1+Paramètres!$B$4*(C1352-1)+Paramètres!$B$5*(C1352-1)^2)),0)</f>
        <v>0</v>
      </c>
      <c r="H1352" s="6">
        <f>ROUND(Catalogue!H71*SQRT((1+Paramètres!$B$4*(C1352-1)+Paramètres!$B$5*(C1352-1)^2)),0)</f>
        <v>0</v>
      </c>
      <c r="I1352" s="6">
        <v>2</v>
      </c>
      <c r="J1352" s="6">
        <v>4</v>
      </c>
      <c r="K1352" s="7">
        <v>2</v>
      </c>
      <c r="L1352" s="9">
        <f t="shared" si="170"/>
        <v>12.5</v>
      </c>
      <c r="M1352">
        <v>3</v>
      </c>
      <c r="N1352">
        <v>4</v>
      </c>
      <c r="O1352">
        <v>5</v>
      </c>
      <c r="P1352" s="13" t="str">
        <f t="shared" si="171"/>
        <v>3d4 + 5</v>
      </c>
      <c r="Q1352">
        <f>ROUND(INDEX(Catalogue!E$4:E$85,MATCH(A1352,Catalogue!A$4:A$85,0))*(1+Paramètres!$B$4*(C1352-1)+Paramètres!$B$5*(C1352-1)^2),0)</f>
        <v>9</v>
      </c>
      <c r="R1352">
        <f>ROUND(INDEX(Catalogue!F$4:F$85,MATCH(A1352,Catalogue!A$4:A$85,0))*(1+Paramètres!$B$4*(C1352-1)+Paramètres!$B$5*(C1352-1)^2),0)</f>
        <v>17</v>
      </c>
      <c r="S1352">
        <f t="shared" si="172"/>
        <v>-0.5</v>
      </c>
      <c r="T1352" t="str">
        <f t="shared" si="173"/>
        <v>OK</v>
      </c>
      <c r="U1352" s="25">
        <f t="shared" si="174"/>
        <v>12.5</v>
      </c>
      <c r="V1352" t="str">
        <f t="shared" si="175"/>
        <v>OK</v>
      </c>
    </row>
    <row r="1353" spans="1:22" ht="18" customHeight="1">
      <c r="A1353" t="s">
        <v>315</v>
      </c>
      <c r="B1353" t="s">
        <v>316</v>
      </c>
      <c r="C1353">
        <v>10</v>
      </c>
      <c r="D1353" t="s">
        <v>286</v>
      </c>
      <c r="E1353" s="6">
        <f t="shared" si="168"/>
        <v>10</v>
      </c>
      <c r="F1353" s="6">
        <f t="shared" si="169"/>
        <v>20</v>
      </c>
      <c r="G1353" s="6">
        <f>ROUND(Catalogue!G71*SQRT((1+Paramètres!$B$4*(C1353-1)+Paramètres!$B$5*(C1353-1)^2)),0)</f>
        <v>0</v>
      </c>
      <c r="H1353" s="6">
        <f>ROUND(Catalogue!H71*SQRT((1+Paramètres!$B$4*(C1353-1)+Paramètres!$B$5*(C1353-1)^2)),0)</f>
        <v>0</v>
      </c>
      <c r="I1353" s="6">
        <v>2</v>
      </c>
      <c r="J1353" s="6">
        <v>4</v>
      </c>
      <c r="K1353" s="7">
        <v>2</v>
      </c>
      <c r="L1353" s="9">
        <f t="shared" si="170"/>
        <v>15</v>
      </c>
      <c r="M1353">
        <v>2</v>
      </c>
      <c r="N1353">
        <v>6</v>
      </c>
      <c r="O1353">
        <v>8</v>
      </c>
      <c r="P1353" s="13" t="str">
        <f t="shared" si="171"/>
        <v>2d6 + 8</v>
      </c>
      <c r="Q1353">
        <f>ROUND(INDEX(Catalogue!E$4:E$85,MATCH(A1353,Catalogue!A$4:A$85,0))*(1+Paramètres!$B$4*(C1353-1)+Paramètres!$B$5*(C1353-1)^2),0)</f>
        <v>10</v>
      </c>
      <c r="R1353">
        <f>ROUND(INDEX(Catalogue!F$4:F$85,MATCH(A1353,Catalogue!A$4:A$85,0))*(1+Paramètres!$B$4*(C1353-1)+Paramètres!$B$5*(C1353-1)^2),0)</f>
        <v>20</v>
      </c>
      <c r="S1353">
        <f t="shared" si="172"/>
        <v>0</v>
      </c>
      <c r="T1353" t="str">
        <f t="shared" si="173"/>
        <v>OK</v>
      </c>
      <c r="U1353" s="25">
        <f t="shared" si="174"/>
        <v>15</v>
      </c>
      <c r="V1353" t="str">
        <f t="shared" si="175"/>
        <v>OK</v>
      </c>
    </row>
    <row r="1354" spans="1:22" ht="18" customHeight="1">
      <c r="A1354" t="s">
        <v>315</v>
      </c>
      <c r="B1354" t="s">
        <v>316</v>
      </c>
      <c r="C1354">
        <v>11</v>
      </c>
      <c r="D1354" t="s">
        <v>286</v>
      </c>
      <c r="E1354" s="6">
        <f t="shared" si="168"/>
        <v>11</v>
      </c>
      <c r="F1354" s="6">
        <f t="shared" si="169"/>
        <v>22</v>
      </c>
      <c r="G1354" s="6">
        <f>ROUND(Catalogue!G71*SQRT((1+Paramètres!$B$4*(C1354-1)+Paramètres!$B$5*(C1354-1)^2)),0)</f>
        <v>0</v>
      </c>
      <c r="H1354" s="6">
        <f>ROUND(Catalogue!H71*SQRT((1+Paramètres!$B$4*(C1354-1)+Paramètres!$B$5*(C1354-1)^2)),0)</f>
        <v>0</v>
      </c>
      <c r="I1354" s="6">
        <v>2</v>
      </c>
      <c r="J1354" s="6">
        <v>4</v>
      </c>
      <c r="K1354" s="7">
        <v>2</v>
      </c>
      <c r="L1354" s="9">
        <f t="shared" si="170"/>
        <v>16.5</v>
      </c>
      <c r="M1354">
        <v>1</v>
      </c>
      <c r="N1354">
        <v>12</v>
      </c>
      <c r="O1354">
        <v>10</v>
      </c>
      <c r="P1354" s="13" t="str">
        <f t="shared" si="171"/>
        <v>1d12 + 10</v>
      </c>
      <c r="Q1354">
        <f>ROUND(INDEX(Catalogue!E$4:E$85,MATCH(A1354,Catalogue!A$4:A$85,0))*(1+Paramètres!$B$4*(C1354-1)+Paramètres!$B$5*(C1354-1)^2),0)</f>
        <v>11</v>
      </c>
      <c r="R1354">
        <f>ROUND(INDEX(Catalogue!F$4:F$85,MATCH(A1354,Catalogue!A$4:A$85,0))*(1+Paramètres!$B$4*(C1354-1)+Paramètres!$B$5*(C1354-1)^2),0)</f>
        <v>22</v>
      </c>
      <c r="S1354">
        <f t="shared" si="172"/>
        <v>0</v>
      </c>
      <c r="T1354" t="str">
        <f t="shared" si="173"/>
        <v>OK</v>
      </c>
      <c r="U1354" s="25">
        <f t="shared" si="174"/>
        <v>16.5</v>
      </c>
      <c r="V1354" t="str">
        <f t="shared" si="175"/>
        <v>OK</v>
      </c>
    </row>
    <row r="1355" spans="1:22" ht="18" customHeight="1">
      <c r="A1355" t="s">
        <v>315</v>
      </c>
      <c r="B1355" t="s">
        <v>316</v>
      </c>
      <c r="C1355">
        <v>12</v>
      </c>
      <c r="D1355" t="s">
        <v>286</v>
      </c>
      <c r="E1355" s="6">
        <f t="shared" si="168"/>
        <v>11</v>
      </c>
      <c r="F1355" s="6">
        <f t="shared" si="169"/>
        <v>25</v>
      </c>
      <c r="G1355" s="6">
        <f>ROUND(Catalogue!G71*SQRT((1+Paramètres!$B$4*(C1355-1)+Paramètres!$B$5*(C1355-1)^2)),0)</f>
        <v>0</v>
      </c>
      <c r="H1355" s="6">
        <f>ROUND(Catalogue!H71*SQRT((1+Paramètres!$B$4*(C1355-1)+Paramètres!$B$5*(C1355-1)^2)),0)</f>
        <v>0</v>
      </c>
      <c r="I1355" s="6">
        <v>2</v>
      </c>
      <c r="J1355" s="6">
        <v>4</v>
      </c>
      <c r="K1355" s="7">
        <v>2</v>
      </c>
      <c r="L1355" s="9">
        <f t="shared" si="170"/>
        <v>18</v>
      </c>
      <c r="M1355">
        <v>2</v>
      </c>
      <c r="N1355">
        <v>8</v>
      </c>
      <c r="O1355">
        <v>9</v>
      </c>
      <c r="P1355" s="13" t="str">
        <f t="shared" si="171"/>
        <v>2d8 + 9</v>
      </c>
      <c r="Q1355">
        <f>ROUND(INDEX(Catalogue!E$4:E$85,MATCH(A1355,Catalogue!A$4:A$85,0))*(1+Paramètres!$B$4*(C1355-1)+Paramètres!$B$5*(C1355-1)^2),0)</f>
        <v>12</v>
      </c>
      <c r="R1355">
        <f>ROUND(INDEX(Catalogue!F$4:F$85,MATCH(A1355,Catalogue!A$4:A$85,0))*(1+Paramètres!$B$4*(C1355-1)+Paramètres!$B$5*(C1355-1)^2),0)</f>
        <v>25</v>
      </c>
      <c r="S1355">
        <f t="shared" si="172"/>
        <v>-0.5</v>
      </c>
      <c r="T1355" t="str">
        <f t="shared" si="173"/>
        <v>OK</v>
      </c>
      <c r="U1355" s="25">
        <f t="shared" si="174"/>
        <v>18</v>
      </c>
      <c r="V1355" t="str">
        <f t="shared" si="175"/>
        <v>OK</v>
      </c>
    </row>
    <row r="1356" spans="1:22" ht="18" customHeight="1">
      <c r="A1356" t="s">
        <v>315</v>
      </c>
      <c r="B1356" t="s">
        <v>316</v>
      </c>
      <c r="C1356">
        <v>13</v>
      </c>
      <c r="D1356" t="s">
        <v>286</v>
      </c>
      <c r="E1356" s="6">
        <f t="shared" si="168"/>
        <v>14</v>
      </c>
      <c r="F1356" s="6">
        <f t="shared" si="169"/>
        <v>28</v>
      </c>
      <c r="G1356" s="6">
        <f>ROUND(Catalogue!G71*SQRT((1+Paramètres!$B$4*(C1356-1)+Paramètres!$B$5*(C1356-1)^2)),0)</f>
        <v>0</v>
      </c>
      <c r="H1356" s="6">
        <f>ROUND(Catalogue!H71*SQRT((1+Paramètres!$B$4*(C1356-1)+Paramètres!$B$5*(C1356-1)^2)),0)</f>
        <v>0</v>
      </c>
      <c r="I1356" s="6">
        <v>2</v>
      </c>
      <c r="J1356" s="6">
        <v>4</v>
      </c>
      <c r="K1356" s="7">
        <v>2</v>
      </c>
      <c r="L1356" s="9">
        <f t="shared" si="170"/>
        <v>21</v>
      </c>
      <c r="M1356">
        <v>2</v>
      </c>
      <c r="N1356">
        <v>8</v>
      </c>
      <c r="O1356">
        <v>12</v>
      </c>
      <c r="P1356" s="13" t="str">
        <f t="shared" si="171"/>
        <v>2d8 + 12</v>
      </c>
      <c r="Q1356">
        <f>ROUND(INDEX(Catalogue!E$4:E$85,MATCH(A1356,Catalogue!A$4:A$85,0))*(1+Paramètres!$B$4*(C1356-1)+Paramètres!$B$5*(C1356-1)^2),0)</f>
        <v>14</v>
      </c>
      <c r="R1356">
        <f>ROUND(INDEX(Catalogue!F$4:F$85,MATCH(A1356,Catalogue!A$4:A$85,0))*(1+Paramètres!$B$4*(C1356-1)+Paramètres!$B$5*(C1356-1)^2),0)</f>
        <v>28</v>
      </c>
      <c r="S1356">
        <f t="shared" si="172"/>
        <v>0</v>
      </c>
      <c r="T1356" t="str">
        <f t="shared" si="173"/>
        <v>OK</v>
      </c>
      <c r="U1356" s="25">
        <f t="shared" si="174"/>
        <v>21</v>
      </c>
      <c r="V1356" t="str">
        <f t="shared" si="175"/>
        <v>OK</v>
      </c>
    </row>
    <row r="1357" spans="1:22" ht="18" customHeight="1">
      <c r="A1357" t="s">
        <v>315</v>
      </c>
      <c r="B1357" t="s">
        <v>316</v>
      </c>
      <c r="C1357">
        <v>14</v>
      </c>
      <c r="D1357" t="s">
        <v>286</v>
      </c>
      <c r="E1357" s="6">
        <f t="shared" si="168"/>
        <v>15</v>
      </c>
      <c r="F1357" s="6">
        <f t="shared" si="169"/>
        <v>30</v>
      </c>
      <c r="G1357" s="6">
        <f>ROUND(Catalogue!G71*SQRT((1+Paramètres!$B$4*(C1357-1)+Paramètres!$B$5*(C1357-1)^2)),0)</f>
        <v>0</v>
      </c>
      <c r="H1357" s="6">
        <f>ROUND(Catalogue!H71*SQRT((1+Paramètres!$B$4*(C1357-1)+Paramètres!$B$5*(C1357-1)^2)),0)</f>
        <v>0</v>
      </c>
      <c r="I1357" s="6">
        <v>2</v>
      </c>
      <c r="J1357" s="6">
        <v>4</v>
      </c>
      <c r="K1357" s="7">
        <v>2</v>
      </c>
      <c r="L1357" s="9">
        <f t="shared" si="170"/>
        <v>22.5</v>
      </c>
      <c r="M1357">
        <v>3</v>
      </c>
      <c r="N1357">
        <v>6</v>
      </c>
      <c r="O1357">
        <v>12</v>
      </c>
      <c r="P1357" s="13" t="str">
        <f t="shared" si="171"/>
        <v>3d6 + 12</v>
      </c>
      <c r="Q1357">
        <f>ROUND(INDEX(Catalogue!E$4:E$85,MATCH(A1357,Catalogue!A$4:A$85,0))*(1+Paramètres!$B$4*(C1357-1)+Paramètres!$B$5*(C1357-1)^2),0)</f>
        <v>15</v>
      </c>
      <c r="R1357">
        <f>ROUND(INDEX(Catalogue!F$4:F$85,MATCH(A1357,Catalogue!A$4:A$85,0))*(1+Paramètres!$B$4*(C1357-1)+Paramètres!$B$5*(C1357-1)^2),0)</f>
        <v>31</v>
      </c>
      <c r="S1357">
        <f t="shared" si="172"/>
        <v>-0.5</v>
      </c>
      <c r="T1357" t="str">
        <f t="shared" si="173"/>
        <v>OK</v>
      </c>
      <c r="U1357" s="25">
        <f t="shared" si="174"/>
        <v>22.5</v>
      </c>
      <c r="V1357" t="str">
        <f t="shared" si="175"/>
        <v>OK</v>
      </c>
    </row>
    <row r="1358" spans="1:22" ht="18" customHeight="1">
      <c r="A1358" t="s">
        <v>315</v>
      </c>
      <c r="B1358" t="s">
        <v>316</v>
      </c>
      <c r="C1358">
        <v>15</v>
      </c>
      <c r="D1358" t="s">
        <v>286</v>
      </c>
      <c r="E1358" s="6">
        <f t="shared" si="168"/>
        <v>16</v>
      </c>
      <c r="F1358" s="6">
        <f t="shared" si="169"/>
        <v>34</v>
      </c>
      <c r="G1358" s="6">
        <f>ROUND(Catalogue!G71*SQRT((1+Paramètres!$B$4*(C1358-1)+Paramètres!$B$5*(C1358-1)^2)),0)</f>
        <v>0</v>
      </c>
      <c r="H1358" s="6">
        <f>ROUND(Catalogue!H71*SQRT((1+Paramètres!$B$4*(C1358-1)+Paramètres!$B$5*(C1358-1)^2)),0)</f>
        <v>0</v>
      </c>
      <c r="I1358" s="6">
        <v>2</v>
      </c>
      <c r="J1358" s="6">
        <v>4</v>
      </c>
      <c r="K1358" s="7">
        <v>2</v>
      </c>
      <c r="L1358" s="9">
        <f t="shared" si="170"/>
        <v>25</v>
      </c>
      <c r="M1358">
        <v>2</v>
      </c>
      <c r="N1358">
        <v>10</v>
      </c>
      <c r="O1358">
        <v>14</v>
      </c>
      <c r="P1358" s="13" t="str">
        <f t="shared" si="171"/>
        <v>2d10 + 14</v>
      </c>
      <c r="Q1358">
        <f>ROUND(INDEX(Catalogue!E$4:E$85,MATCH(A1358,Catalogue!A$4:A$85,0))*(1+Paramètres!$B$4*(C1358-1)+Paramètres!$B$5*(C1358-1)^2),0)</f>
        <v>17</v>
      </c>
      <c r="R1358">
        <f>ROUND(INDEX(Catalogue!F$4:F$85,MATCH(A1358,Catalogue!A$4:A$85,0))*(1+Paramètres!$B$4*(C1358-1)+Paramètres!$B$5*(C1358-1)^2),0)</f>
        <v>34</v>
      </c>
      <c r="S1358">
        <f t="shared" si="172"/>
        <v>-0.5</v>
      </c>
      <c r="T1358" t="str">
        <f t="shared" si="173"/>
        <v>OK</v>
      </c>
      <c r="U1358" s="25">
        <f t="shared" si="174"/>
        <v>25</v>
      </c>
      <c r="V1358" t="str">
        <f t="shared" si="175"/>
        <v>OK</v>
      </c>
    </row>
    <row r="1359" spans="1:22" ht="18" customHeight="1">
      <c r="A1359" t="s">
        <v>315</v>
      </c>
      <c r="B1359" t="s">
        <v>316</v>
      </c>
      <c r="C1359">
        <v>16</v>
      </c>
      <c r="D1359" t="s">
        <v>286</v>
      </c>
      <c r="E1359" s="6">
        <f t="shared" si="168"/>
        <v>19</v>
      </c>
      <c r="F1359" s="6">
        <f t="shared" si="169"/>
        <v>37</v>
      </c>
      <c r="G1359" s="6">
        <f>ROUND(Catalogue!G71*SQRT((1+Paramètres!$B$4*(C1359-1)+Paramètres!$B$5*(C1359-1)^2)),0)</f>
        <v>0</v>
      </c>
      <c r="H1359" s="6">
        <f>ROUND(Catalogue!H71*SQRT((1+Paramètres!$B$4*(C1359-1)+Paramètres!$B$5*(C1359-1)^2)),0)</f>
        <v>0</v>
      </c>
      <c r="I1359" s="6">
        <v>2</v>
      </c>
      <c r="J1359" s="6">
        <v>4</v>
      </c>
      <c r="K1359" s="7">
        <v>2</v>
      </c>
      <c r="L1359" s="9">
        <f t="shared" si="170"/>
        <v>28</v>
      </c>
      <c r="M1359">
        <v>2</v>
      </c>
      <c r="N1359">
        <v>10</v>
      </c>
      <c r="O1359">
        <v>17</v>
      </c>
      <c r="P1359" s="13" t="str">
        <f t="shared" si="171"/>
        <v>2d10 + 17</v>
      </c>
      <c r="Q1359">
        <f>ROUND(INDEX(Catalogue!E$4:E$85,MATCH(A1359,Catalogue!A$4:A$85,0))*(1+Paramètres!$B$4*(C1359-1)+Paramètres!$B$5*(C1359-1)^2),0)</f>
        <v>19</v>
      </c>
      <c r="R1359">
        <f>ROUND(INDEX(Catalogue!F$4:F$85,MATCH(A1359,Catalogue!A$4:A$85,0))*(1+Paramètres!$B$4*(C1359-1)+Paramètres!$B$5*(C1359-1)^2),0)</f>
        <v>38</v>
      </c>
      <c r="S1359">
        <f t="shared" si="172"/>
        <v>-0.5</v>
      </c>
      <c r="T1359" t="str">
        <f t="shared" si="173"/>
        <v>OK</v>
      </c>
      <c r="U1359" s="25">
        <f t="shared" si="174"/>
        <v>28</v>
      </c>
      <c r="V1359" t="str">
        <f t="shared" si="175"/>
        <v>OK</v>
      </c>
    </row>
    <row r="1360" spans="1:22" ht="18" customHeight="1">
      <c r="A1360" t="s">
        <v>315</v>
      </c>
      <c r="B1360" t="s">
        <v>316</v>
      </c>
      <c r="C1360">
        <v>17</v>
      </c>
      <c r="D1360" t="s">
        <v>286</v>
      </c>
      <c r="E1360" s="6">
        <f t="shared" si="168"/>
        <v>21</v>
      </c>
      <c r="F1360" s="6">
        <f t="shared" si="169"/>
        <v>41</v>
      </c>
      <c r="G1360" s="6">
        <f>ROUND(Catalogue!G71*SQRT((1+Paramètres!$B$4*(C1360-1)+Paramètres!$B$5*(C1360-1)^2)),0)</f>
        <v>0</v>
      </c>
      <c r="H1360" s="6">
        <f>ROUND(Catalogue!H71*SQRT((1+Paramètres!$B$4*(C1360-1)+Paramètres!$B$5*(C1360-1)^2)),0)</f>
        <v>0</v>
      </c>
      <c r="I1360" s="6">
        <v>2</v>
      </c>
      <c r="J1360" s="6">
        <v>4</v>
      </c>
      <c r="K1360" s="7">
        <v>2</v>
      </c>
      <c r="L1360" s="9">
        <f t="shared" si="170"/>
        <v>31</v>
      </c>
      <c r="M1360">
        <v>4</v>
      </c>
      <c r="N1360">
        <v>6</v>
      </c>
      <c r="O1360">
        <v>17</v>
      </c>
      <c r="P1360" s="13" t="str">
        <f t="shared" si="171"/>
        <v>4d6 + 17</v>
      </c>
      <c r="Q1360">
        <f>ROUND(INDEX(Catalogue!E$4:E$85,MATCH(A1360,Catalogue!A$4:A$85,0))*(1+Paramètres!$B$4*(C1360-1)+Paramètres!$B$5*(C1360-1)^2),0)</f>
        <v>21</v>
      </c>
      <c r="R1360">
        <f>ROUND(INDEX(Catalogue!F$4:F$85,MATCH(A1360,Catalogue!A$4:A$85,0))*(1+Paramètres!$B$4*(C1360-1)+Paramètres!$B$5*(C1360-1)^2),0)</f>
        <v>41</v>
      </c>
      <c r="S1360">
        <f t="shared" si="172"/>
        <v>0</v>
      </c>
      <c r="T1360" t="str">
        <f t="shared" si="173"/>
        <v>OK</v>
      </c>
      <c r="U1360" s="25">
        <f t="shared" si="174"/>
        <v>31</v>
      </c>
      <c r="V1360" t="str">
        <f t="shared" si="175"/>
        <v>OK</v>
      </c>
    </row>
    <row r="1361" spans="1:22" ht="18" customHeight="1">
      <c r="A1361" t="s">
        <v>315</v>
      </c>
      <c r="B1361" t="s">
        <v>316</v>
      </c>
      <c r="C1361">
        <v>18</v>
      </c>
      <c r="D1361" t="s">
        <v>286</v>
      </c>
      <c r="E1361" s="6">
        <f t="shared" si="168"/>
        <v>22</v>
      </c>
      <c r="F1361" s="6">
        <f t="shared" si="169"/>
        <v>44</v>
      </c>
      <c r="G1361" s="6">
        <f>ROUND(Catalogue!G71*SQRT((1+Paramètres!$B$4*(C1361-1)+Paramètres!$B$5*(C1361-1)^2)),0)</f>
        <v>0</v>
      </c>
      <c r="H1361" s="6">
        <f>ROUND(Catalogue!H71*SQRT((1+Paramètres!$B$4*(C1361-1)+Paramètres!$B$5*(C1361-1)^2)),0)</f>
        <v>0</v>
      </c>
      <c r="I1361" s="6">
        <v>2</v>
      </c>
      <c r="J1361" s="6">
        <v>4</v>
      </c>
      <c r="K1361" s="7">
        <v>2</v>
      </c>
      <c r="L1361" s="9">
        <f t="shared" si="170"/>
        <v>33</v>
      </c>
      <c r="M1361">
        <v>2</v>
      </c>
      <c r="N1361">
        <v>12</v>
      </c>
      <c r="O1361">
        <v>20</v>
      </c>
      <c r="P1361" s="13" t="str">
        <f t="shared" si="171"/>
        <v>2d12 + 20</v>
      </c>
      <c r="Q1361">
        <f>ROUND(INDEX(Catalogue!E$4:E$85,MATCH(A1361,Catalogue!A$4:A$85,0))*(1+Paramètres!$B$4*(C1361-1)+Paramètres!$B$5*(C1361-1)^2),0)</f>
        <v>22</v>
      </c>
      <c r="R1361">
        <f>ROUND(INDEX(Catalogue!F$4:F$85,MATCH(A1361,Catalogue!A$4:A$85,0))*(1+Paramètres!$B$4*(C1361-1)+Paramètres!$B$5*(C1361-1)^2),0)</f>
        <v>45</v>
      </c>
      <c r="S1361">
        <f t="shared" si="172"/>
        <v>-0.5</v>
      </c>
      <c r="T1361" t="str">
        <f t="shared" si="173"/>
        <v>OK</v>
      </c>
      <c r="U1361" s="25">
        <f t="shared" si="174"/>
        <v>33</v>
      </c>
      <c r="V1361" t="str">
        <f t="shared" si="175"/>
        <v>OK</v>
      </c>
    </row>
    <row r="1362" spans="1:22" ht="18" customHeight="1">
      <c r="A1362" t="s">
        <v>315</v>
      </c>
      <c r="B1362" t="s">
        <v>316</v>
      </c>
      <c r="C1362">
        <v>19</v>
      </c>
      <c r="D1362" t="s">
        <v>286</v>
      </c>
      <c r="E1362" s="6">
        <f t="shared" si="168"/>
        <v>24</v>
      </c>
      <c r="F1362" s="6">
        <f t="shared" si="169"/>
        <v>49</v>
      </c>
      <c r="G1362" s="6">
        <f>ROUND(Catalogue!G71*SQRT((1+Paramètres!$B$4*(C1362-1)+Paramètres!$B$5*(C1362-1)^2)),0)</f>
        <v>0</v>
      </c>
      <c r="H1362" s="6">
        <f>ROUND(Catalogue!H71*SQRT((1+Paramètres!$B$4*(C1362-1)+Paramètres!$B$5*(C1362-1)^2)),0)</f>
        <v>0</v>
      </c>
      <c r="I1362" s="6">
        <v>2</v>
      </c>
      <c r="J1362" s="6">
        <v>4</v>
      </c>
      <c r="K1362" s="7">
        <v>2</v>
      </c>
      <c r="L1362" s="9">
        <f t="shared" si="170"/>
        <v>36.5</v>
      </c>
      <c r="M1362">
        <v>5</v>
      </c>
      <c r="N1362">
        <v>6</v>
      </c>
      <c r="O1362">
        <v>19</v>
      </c>
      <c r="P1362" s="13" t="str">
        <f t="shared" si="171"/>
        <v>5d6 + 19</v>
      </c>
      <c r="Q1362">
        <f>ROUND(INDEX(Catalogue!E$4:E$85,MATCH(A1362,Catalogue!A$4:A$85,0))*(1+Paramètres!$B$4*(C1362-1)+Paramètres!$B$5*(C1362-1)^2),0)</f>
        <v>24</v>
      </c>
      <c r="R1362">
        <f>ROUND(INDEX(Catalogue!F$4:F$85,MATCH(A1362,Catalogue!A$4:A$85,0))*(1+Paramètres!$B$4*(C1362-1)+Paramètres!$B$5*(C1362-1)^2),0)</f>
        <v>49</v>
      </c>
      <c r="S1362">
        <f t="shared" si="172"/>
        <v>0</v>
      </c>
      <c r="T1362" t="str">
        <f t="shared" si="173"/>
        <v>OK</v>
      </c>
      <c r="U1362" s="25">
        <f t="shared" si="174"/>
        <v>36.5</v>
      </c>
      <c r="V1362" t="str">
        <f t="shared" si="175"/>
        <v>OK</v>
      </c>
    </row>
    <row r="1363" spans="1:22" ht="18" customHeight="1">
      <c r="A1363" t="s">
        <v>315</v>
      </c>
      <c r="B1363" t="s">
        <v>316</v>
      </c>
      <c r="C1363">
        <v>20</v>
      </c>
      <c r="D1363" t="s">
        <v>286</v>
      </c>
      <c r="E1363" s="6">
        <f t="shared" si="168"/>
        <v>27</v>
      </c>
      <c r="F1363" s="6">
        <f t="shared" si="169"/>
        <v>54</v>
      </c>
      <c r="G1363" s="6">
        <f>ROUND(Catalogue!G71*SQRT((1+Paramètres!$B$4*(C1363-1)+Paramètres!$B$5*(C1363-1)^2)),0)</f>
        <v>0</v>
      </c>
      <c r="H1363" s="6">
        <f>ROUND(Catalogue!H71*SQRT((1+Paramètres!$B$4*(C1363-1)+Paramètres!$B$5*(C1363-1)^2)),0)</f>
        <v>0</v>
      </c>
      <c r="I1363" s="6">
        <v>2</v>
      </c>
      <c r="J1363" s="6">
        <v>4</v>
      </c>
      <c r="K1363" s="7">
        <v>2</v>
      </c>
      <c r="L1363" s="9">
        <f t="shared" si="170"/>
        <v>40.5</v>
      </c>
      <c r="M1363">
        <v>3</v>
      </c>
      <c r="N1363">
        <v>10</v>
      </c>
      <c r="O1363">
        <v>24</v>
      </c>
      <c r="P1363" s="13" t="str">
        <f t="shared" si="171"/>
        <v>3d10 + 24</v>
      </c>
      <c r="Q1363">
        <f>ROUND(INDEX(Catalogue!E$4:E$85,MATCH(A1363,Catalogue!A$4:A$85,0))*(1+Paramètres!$B$4*(C1363-1)+Paramètres!$B$5*(C1363-1)^2),0)</f>
        <v>27</v>
      </c>
      <c r="R1363">
        <f>ROUND(INDEX(Catalogue!F$4:F$85,MATCH(A1363,Catalogue!A$4:A$85,0))*(1+Paramètres!$B$4*(C1363-1)+Paramètres!$B$5*(C1363-1)^2),0)</f>
        <v>53</v>
      </c>
      <c r="S1363">
        <f t="shared" si="172"/>
        <v>0.5</v>
      </c>
      <c r="T1363" t="str">
        <f t="shared" si="173"/>
        <v>OK</v>
      </c>
      <c r="U1363" s="25">
        <f t="shared" si="174"/>
        <v>40.5</v>
      </c>
      <c r="V1363" t="str">
        <f t="shared" si="175"/>
        <v>OK</v>
      </c>
    </row>
    <row r="1364" spans="1:22" ht="18" customHeight="1">
      <c r="A1364" t="s">
        <v>318</v>
      </c>
      <c r="B1364" t="s">
        <v>319</v>
      </c>
      <c r="C1364">
        <v>1</v>
      </c>
      <c r="D1364" t="s">
        <v>286</v>
      </c>
      <c r="E1364" s="6">
        <f t="shared" si="168"/>
        <v>2</v>
      </c>
      <c r="F1364" s="6">
        <f t="shared" si="169"/>
        <v>5</v>
      </c>
      <c r="G1364" s="6">
        <f>ROUND(Catalogue!G72*SQRT((1+Paramètres!$B$4*(C1364-1)+Paramètres!$B$5*(C1364-1)^2)),0)</f>
        <v>0</v>
      </c>
      <c r="H1364" s="6">
        <f>ROUND(Catalogue!H72*SQRT((1+Paramètres!$B$4*(C1364-1)+Paramètres!$B$5*(C1364-1)^2)),0)</f>
        <v>0</v>
      </c>
      <c r="I1364" s="6">
        <v>2</v>
      </c>
      <c r="J1364" s="6">
        <v>4</v>
      </c>
      <c r="K1364" s="7">
        <v>1</v>
      </c>
      <c r="L1364" s="9">
        <f t="shared" si="170"/>
        <v>3.5</v>
      </c>
      <c r="M1364">
        <v>1</v>
      </c>
      <c r="N1364">
        <v>4</v>
      </c>
      <c r="O1364">
        <v>1</v>
      </c>
      <c r="P1364" s="13" t="str">
        <f t="shared" si="171"/>
        <v>1d4 + 1</v>
      </c>
      <c r="Q1364">
        <f>ROUND(INDEX(Catalogue!E$4:E$85,MATCH(A1364,Catalogue!A$4:A$85,0))*(1+Paramètres!$B$4*(C1364-1)+Paramètres!$B$5*(C1364-1)^2),0)</f>
        <v>3</v>
      </c>
      <c r="R1364">
        <f>ROUND(INDEX(Catalogue!F$4:F$85,MATCH(A1364,Catalogue!A$4:A$85,0))*(1+Paramètres!$B$4*(C1364-1)+Paramètres!$B$5*(C1364-1)^2),0)</f>
        <v>5</v>
      </c>
      <c r="S1364">
        <f t="shared" si="172"/>
        <v>-0.5</v>
      </c>
      <c r="T1364" t="str">
        <f t="shared" si="173"/>
        <v>OK</v>
      </c>
      <c r="U1364" s="25">
        <f t="shared" si="174"/>
        <v>3.5</v>
      </c>
      <c r="V1364" t="str">
        <f t="shared" si="175"/>
        <v>OK</v>
      </c>
    </row>
    <row r="1365" spans="1:22" ht="18" customHeight="1">
      <c r="A1365" t="s">
        <v>318</v>
      </c>
      <c r="B1365" t="s">
        <v>319</v>
      </c>
      <c r="C1365">
        <v>2</v>
      </c>
      <c r="D1365" t="s">
        <v>286</v>
      </c>
      <c r="E1365" s="6">
        <f t="shared" si="168"/>
        <v>3</v>
      </c>
      <c r="F1365" s="6">
        <f t="shared" si="169"/>
        <v>6</v>
      </c>
      <c r="G1365" s="6">
        <f>ROUND(Catalogue!G72*SQRT((1+Paramètres!$B$4*(C1365-1)+Paramètres!$B$5*(C1365-1)^2)),0)</f>
        <v>0</v>
      </c>
      <c r="H1365" s="6">
        <f>ROUND(Catalogue!H72*SQRT((1+Paramètres!$B$4*(C1365-1)+Paramètres!$B$5*(C1365-1)^2)),0)</f>
        <v>0</v>
      </c>
      <c r="I1365" s="6">
        <v>2</v>
      </c>
      <c r="J1365" s="6">
        <v>4</v>
      </c>
      <c r="K1365" s="7">
        <v>1</v>
      </c>
      <c r="L1365" s="9">
        <f t="shared" si="170"/>
        <v>4.5</v>
      </c>
      <c r="M1365">
        <v>1</v>
      </c>
      <c r="N1365">
        <v>4</v>
      </c>
      <c r="O1365">
        <v>2</v>
      </c>
      <c r="P1365" s="13" t="str">
        <f t="shared" si="171"/>
        <v>1d4 + 2</v>
      </c>
      <c r="Q1365">
        <f>ROUND(INDEX(Catalogue!E$4:E$85,MATCH(A1365,Catalogue!A$4:A$85,0))*(1+Paramètres!$B$4*(C1365-1)+Paramètres!$B$5*(C1365-1)^2),0)</f>
        <v>3</v>
      </c>
      <c r="R1365">
        <f>ROUND(INDEX(Catalogue!F$4:F$85,MATCH(A1365,Catalogue!A$4:A$85,0))*(1+Paramètres!$B$4*(C1365-1)+Paramètres!$B$5*(C1365-1)^2),0)</f>
        <v>6</v>
      </c>
      <c r="S1365">
        <f t="shared" si="172"/>
        <v>0</v>
      </c>
      <c r="T1365" t="str">
        <f t="shared" si="173"/>
        <v>OK</v>
      </c>
      <c r="U1365" s="25">
        <f t="shared" si="174"/>
        <v>4.5</v>
      </c>
      <c r="V1365" t="str">
        <f t="shared" si="175"/>
        <v>OK</v>
      </c>
    </row>
    <row r="1366" spans="1:22" ht="18" customHeight="1">
      <c r="A1366" t="s">
        <v>318</v>
      </c>
      <c r="B1366" t="s">
        <v>319</v>
      </c>
      <c r="C1366">
        <v>3</v>
      </c>
      <c r="D1366" t="s">
        <v>286</v>
      </c>
      <c r="E1366" s="6">
        <f t="shared" si="168"/>
        <v>3</v>
      </c>
      <c r="F1366" s="6">
        <f t="shared" si="169"/>
        <v>6</v>
      </c>
      <c r="G1366" s="6">
        <f>ROUND(Catalogue!G72*SQRT((1+Paramètres!$B$4*(C1366-1)+Paramètres!$B$5*(C1366-1)^2)),0)</f>
        <v>0</v>
      </c>
      <c r="H1366" s="6">
        <f>ROUND(Catalogue!H72*SQRT((1+Paramètres!$B$4*(C1366-1)+Paramètres!$B$5*(C1366-1)^2)),0)</f>
        <v>0</v>
      </c>
      <c r="I1366" s="6">
        <v>2</v>
      </c>
      <c r="J1366" s="6">
        <v>4</v>
      </c>
      <c r="K1366" s="7">
        <v>1</v>
      </c>
      <c r="L1366" s="9">
        <f t="shared" si="170"/>
        <v>4.5</v>
      </c>
      <c r="M1366">
        <v>1</v>
      </c>
      <c r="N1366">
        <v>4</v>
      </c>
      <c r="O1366">
        <v>2</v>
      </c>
      <c r="P1366" s="13" t="str">
        <f t="shared" si="171"/>
        <v>1d4 + 2</v>
      </c>
      <c r="Q1366">
        <f>ROUND(INDEX(Catalogue!E$4:E$85,MATCH(A1366,Catalogue!A$4:A$85,0))*(1+Paramètres!$B$4*(C1366-1)+Paramètres!$B$5*(C1366-1)^2),0)</f>
        <v>4</v>
      </c>
      <c r="R1366">
        <f>ROUND(INDEX(Catalogue!F$4:F$85,MATCH(A1366,Catalogue!A$4:A$85,0))*(1+Paramètres!$B$4*(C1366-1)+Paramètres!$B$5*(C1366-1)^2),0)</f>
        <v>6</v>
      </c>
      <c r="S1366">
        <f t="shared" si="172"/>
        <v>-0.5</v>
      </c>
      <c r="T1366" t="str">
        <f t="shared" si="173"/>
        <v>OK</v>
      </c>
      <c r="U1366" s="25">
        <f t="shared" si="174"/>
        <v>4.5</v>
      </c>
      <c r="V1366" t="str">
        <f t="shared" si="175"/>
        <v>OK</v>
      </c>
    </row>
    <row r="1367" spans="1:22" ht="18" customHeight="1">
      <c r="A1367" t="s">
        <v>318</v>
      </c>
      <c r="B1367" t="s">
        <v>319</v>
      </c>
      <c r="C1367">
        <v>4</v>
      </c>
      <c r="D1367" t="s">
        <v>286</v>
      </c>
      <c r="E1367" s="6">
        <f t="shared" si="168"/>
        <v>4</v>
      </c>
      <c r="F1367" s="6">
        <f t="shared" si="169"/>
        <v>7</v>
      </c>
      <c r="G1367" s="6">
        <f>ROUND(Catalogue!G72*SQRT((1+Paramètres!$B$4*(C1367-1)+Paramètres!$B$5*(C1367-1)^2)),0)</f>
        <v>0</v>
      </c>
      <c r="H1367" s="6">
        <f>ROUND(Catalogue!H72*SQRT((1+Paramètres!$B$4*(C1367-1)+Paramètres!$B$5*(C1367-1)^2)),0)</f>
        <v>0</v>
      </c>
      <c r="I1367" s="6">
        <v>2</v>
      </c>
      <c r="J1367" s="6">
        <v>4</v>
      </c>
      <c r="K1367" s="7">
        <v>1</v>
      </c>
      <c r="L1367" s="9">
        <f t="shared" si="170"/>
        <v>5.5</v>
      </c>
      <c r="M1367">
        <v>1</v>
      </c>
      <c r="N1367">
        <v>4</v>
      </c>
      <c r="O1367">
        <v>3</v>
      </c>
      <c r="P1367" s="13" t="str">
        <f t="shared" si="171"/>
        <v>1d4 + 3</v>
      </c>
      <c r="Q1367">
        <f>ROUND(INDEX(Catalogue!E$4:E$85,MATCH(A1367,Catalogue!A$4:A$85,0))*(1+Paramètres!$B$4*(C1367-1)+Paramètres!$B$5*(C1367-1)^2),0)</f>
        <v>4</v>
      </c>
      <c r="R1367">
        <f>ROUND(INDEX(Catalogue!F$4:F$85,MATCH(A1367,Catalogue!A$4:A$85,0))*(1+Paramètres!$B$4*(C1367-1)+Paramètres!$B$5*(C1367-1)^2),0)</f>
        <v>7</v>
      </c>
      <c r="S1367">
        <f t="shared" si="172"/>
        <v>0</v>
      </c>
      <c r="T1367" t="str">
        <f t="shared" si="173"/>
        <v>OK</v>
      </c>
      <c r="U1367" s="25">
        <f t="shared" si="174"/>
        <v>5.5</v>
      </c>
      <c r="V1367" t="str">
        <f t="shared" si="175"/>
        <v>OK</v>
      </c>
    </row>
    <row r="1368" spans="1:22" ht="18" customHeight="1">
      <c r="A1368" t="s">
        <v>318</v>
      </c>
      <c r="B1368" t="s">
        <v>319</v>
      </c>
      <c r="C1368">
        <v>5</v>
      </c>
      <c r="D1368" t="s">
        <v>286</v>
      </c>
      <c r="E1368" s="6">
        <f t="shared" si="168"/>
        <v>5</v>
      </c>
      <c r="F1368" s="6">
        <f t="shared" si="169"/>
        <v>8</v>
      </c>
      <c r="G1368" s="6">
        <f>ROUND(Catalogue!G72*SQRT((1+Paramètres!$B$4*(C1368-1)+Paramètres!$B$5*(C1368-1)^2)),0)</f>
        <v>0</v>
      </c>
      <c r="H1368" s="6">
        <f>ROUND(Catalogue!H72*SQRT((1+Paramètres!$B$4*(C1368-1)+Paramètres!$B$5*(C1368-1)^2)),0)</f>
        <v>0</v>
      </c>
      <c r="I1368" s="6">
        <v>2</v>
      </c>
      <c r="J1368" s="6">
        <v>4</v>
      </c>
      <c r="K1368" s="7">
        <v>1</v>
      </c>
      <c r="L1368" s="9">
        <f t="shared" si="170"/>
        <v>6.5</v>
      </c>
      <c r="M1368">
        <v>1</v>
      </c>
      <c r="N1368">
        <v>4</v>
      </c>
      <c r="O1368">
        <v>4</v>
      </c>
      <c r="P1368" s="13" t="str">
        <f t="shared" si="171"/>
        <v>1d4 + 4</v>
      </c>
      <c r="Q1368">
        <f>ROUND(INDEX(Catalogue!E$4:E$85,MATCH(A1368,Catalogue!A$4:A$85,0))*(1+Paramètres!$B$4*(C1368-1)+Paramètres!$B$5*(C1368-1)^2),0)</f>
        <v>5</v>
      </c>
      <c r="R1368">
        <f>ROUND(INDEX(Catalogue!F$4:F$85,MATCH(A1368,Catalogue!A$4:A$85,0))*(1+Paramètres!$B$4*(C1368-1)+Paramètres!$B$5*(C1368-1)^2),0)</f>
        <v>8</v>
      </c>
      <c r="S1368">
        <f t="shared" si="172"/>
        <v>0</v>
      </c>
      <c r="T1368" t="str">
        <f t="shared" si="173"/>
        <v>OK</v>
      </c>
      <c r="U1368" s="25">
        <f t="shared" si="174"/>
        <v>6.5</v>
      </c>
      <c r="V1368" t="str">
        <f t="shared" si="175"/>
        <v>OK</v>
      </c>
    </row>
    <row r="1369" spans="1:22" ht="18" customHeight="1">
      <c r="A1369" t="s">
        <v>318</v>
      </c>
      <c r="B1369" t="s">
        <v>319</v>
      </c>
      <c r="C1369">
        <v>6</v>
      </c>
      <c r="D1369" t="s">
        <v>286</v>
      </c>
      <c r="E1369" s="6">
        <f t="shared" si="168"/>
        <v>6</v>
      </c>
      <c r="F1369" s="6">
        <f t="shared" si="169"/>
        <v>9</v>
      </c>
      <c r="G1369" s="6">
        <f>ROUND(Catalogue!G72*SQRT((1+Paramètres!$B$4*(C1369-1)+Paramètres!$B$5*(C1369-1)^2)),0)</f>
        <v>0</v>
      </c>
      <c r="H1369" s="6">
        <f>ROUND(Catalogue!H72*SQRT((1+Paramètres!$B$4*(C1369-1)+Paramètres!$B$5*(C1369-1)^2)),0)</f>
        <v>0</v>
      </c>
      <c r="I1369" s="6">
        <v>2</v>
      </c>
      <c r="J1369" s="6">
        <v>4</v>
      </c>
      <c r="K1369" s="7">
        <v>1</v>
      </c>
      <c r="L1369" s="9">
        <f t="shared" si="170"/>
        <v>7.5</v>
      </c>
      <c r="M1369">
        <v>1</v>
      </c>
      <c r="N1369">
        <v>4</v>
      </c>
      <c r="O1369">
        <v>5</v>
      </c>
      <c r="P1369" s="13" t="str">
        <f t="shared" si="171"/>
        <v>1d4 + 5</v>
      </c>
      <c r="Q1369">
        <f>ROUND(INDEX(Catalogue!E$4:E$85,MATCH(A1369,Catalogue!A$4:A$85,0))*(1+Paramètres!$B$4*(C1369-1)+Paramètres!$B$5*(C1369-1)^2),0)</f>
        <v>6</v>
      </c>
      <c r="R1369">
        <f>ROUND(INDEX(Catalogue!F$4:F$85,MATCH(A1369,Catalogue!A$4:A$85,0))*(1+Paramètres!$B$4*(C1369-1)+Paramètres!$B$5*(C1369-1)^2),0)</f>
        <v>10</v>
      </c>
      <c r="S1369">
        <f t="shared" si="172"/>
        <v>-0.5</v>
      </c>
      <c r="T1369" t="str">
        <f t="shared" si="173"/>
        <v>OK</v>
      </c>
      <c r="U1369" s="25">
        <f t="shared" si="174"/>
        <v>7.5</v>
      </c>
      <c r="V1369" t="str">
        <f t="shared" si="175"/>
        <v>OK</v>
      </c>
    </row>
    <row r="1370" spans="1:22" ht="18" customHeight="1">
      <c r="A1370" t="s">
        <v>318</v>
      </c>
      <c r="B1370" t="s">
        <v>319</v>
      </c>
      <c r="C1370">
        <v>7</v>
      </c>
      <c r="D1370" t="s">
        <v>286</v>
      </c>
      <c r="E1370" s="6">
        <f t="shared" si="168"/>
        <v>7</v>
      </c>
      <c r="F1370" s="6">
        <f t="shared" si="169"/>
        <v>10</v>
      </c>
      <c r="G1370" s="6">
        <f>ROUND(Catalogue!G72*SQRT((1+Paramètres!$B$4*(C1370-1)+Paramètres!$B$5*(C1370-1)^2)),0)</f>
        <v>0</v>
      </c>
      <c r="H1370" s="6">
        <f>ROUND(Catalogue!H72*SQRT((1+Paramètres!$B$4*(C1370-1)+Paramètres!$B$5*(C1370-1)^2)),0)</f>
        <v>0</v>
      </c>
      <c r="I1370" s="6">
        <v>2</v>
      </c>
      <c r="J1370" s="6">
        <v>4</v>
      </c>
      <c r="K1370" s="7">
        <v>1</v>
      </c>
      <c r="L1370" s="9">
        <f t="shared" si="170"/>
        <v>8.5</v>
      </c>
      <c r="M1370">
        <v>1</v>
      </c>
      <c r="N1370">
        <v>4</v>
      </c>
      <c r="O1370">
        <v>6</v>
      </c>
      <c r="P1370" s="13" t="str">
        <f t="shared" si="171"/>
        <v>1d4 + 6</v>
      </c>
      <c r="Q1370">
        <f>ROUND(INDEX(Catalogue!E$4:E$85,MATCH(A1370,Catalogue!A$4:A$85,0))*(1+Paramètres!$B$4*(C1370-1)+Paramètres!$B$5*(C1370-1)^2),0)</f>
        <v>7</v>
      </c>
      <c r="R1370">
        <f>ROUND(INDEX(Catalogue!F$4:F$85,MATCH(A1370,Catalogue!A$4:A$85,0))*(1+Paramètres!$B$4*(C1370-1)+Paramètres!$B$5*(C1370-1)^2),0)</f>
        <v>11</v>
      </c>
      <c r="S1370">
        <f t="shared" si="172"/>
        <v>-0.5</v>
      </c>
      <c r="T1370" t="str">
        <f t="shared" si="173"/>
        <v>OK</v>
      </c>
      <c r="U1370" s="25">
        <f t="shared" si="174"/>
        <v>8.5</v>
      </c>
      <c r="V1370" t="str">
        <f t="shared" si="175"/>
        <v>OK</v>
      </c>
    </row>
    <row r="1371" spans="1:22" ht="18" customHeight="1">
      <c r="A1371" t="s">
        <v>318</v>
      </c>
      <c r="B1371" t="s">
        <v>319</v>
      </c>
      <c r="C1371">
        <v>8</v>
      </c>
      <c r="D1371" t="s">
        <v>286</v>
      </c>
      <c r="E1371" s="6">
        <f t="shared" si="168"/>
        <v>8</v>
      </c>
      <c r="F1371" s="6">
        <f t="shared" si="169"/>
        <v>13</v>
      </c>
      <c r="G1371" s="6">
        <f>ROUND(Catalogue!G72*SQRT((1+Paramètres!$B$4*(C1371-1)+Paramètres!$B$5*(C1371-1)^2)),0)</f>
        <v>0</v>
      </c>
      <c r="H1371" s="6">
        <f>ROUND(Catalogue!H72*SQRT((1+Paramètres!$B$4*(C1371-1)+Paramètres!$B$5*(C1371-1)^2)),0)</f>
        <v>0</v>
      </c>
      <c r="I1371" s="6">
        <v>2</v>
      </c>
      <c r="J1371" s="6">
        <v>4</v>
      </c>
      <c r="K1371" s="7">
        <v>1</v>
      </c>
      <c r="L1371" s="9">
        <f t="shared" si="170"/>
        <v>10.5</v>
      </c>
      <c r="M1371">
        <v>1</v>
      </c>
      <c r="N1371">
        <v>6</v>
      </c>
      <c r="O1371">
        <v>7</v>
      </c>
      <c r="P1371" s="13" t="str">
        <f t="shared" si="171"/>
        <v>1d6 + 7</v>
      </c>
      <c r="Q1371">
        <f>ROUND(INDEX(Catalogue!E$4:E$85,MATCH(A1371,Catalogue!A$4:A$85,0))*(1+Paramètres!$B$4*(C1371-1)+Paramètres!$B$5*(C1371-1)^2),0)</f>
        <v>8</v>
      </c>
      <c r="R1371">
        <f>ROUND(INDEX(Catalogue!F$4:F$85,MATCH(A1371,Catalogue!A$4:A$85,0))*(1+Paramètres!$B$4*(C1371-1)+Paramètres!$B$5*(C1371-1)^2),0)</f>
        <v>13</v>
      </c>
      <c r="S1371">
        <f t="shared" si="172"/>
        <v>0</v>
      </c>
      <c r="T1371" t="str">
        <f t="shared" si="173"/>
        <v>OK</v>
      </c>
      <c r="U1371" s="25">
        <f t="shared" si="174"/>
        <v>10.5</v>
      </c>
      <c r="V1371" t="str">
        <f t="shared" si="175"/>
        <v>OK</v>
      </c>
    </row>
    <row r="1372" spans="1:22" ht="18" customHeight="1">
      <c r="A1372" t="s">
        <v>318</v>
      </c>
      <c r="B1372" t="s">
        <v>319</v>
      </c>
      <c r="C1372">
        <v>9</v>
      </c>
      <c r="D1372" t="s">
        <v>286</v>
      </c>
      <c r="E1372" s="6">
        <f t="shared" si="168"/>
        <v>9</v>
      </c>
      <c r="F1372" s="6">
        <f t="shared" si="169"/>
        <v>15</v>
      </c>
      <c r="G1372" s="6">
        <f>ROUND(Catalogue!G72*SQRT((1+Paramètres!$B$4*(C1372-1)+Paramètres!$B$5*(C1372-1)^2)),0)</f>
        <v>0</v>
      </c>
      <c r="H1372" s="6">
        <f>ROUND(Catalogue!H72*SQRT((1+Paramètres!$B$4*(C1372-1)+Paramètres!$B$5*(C1372-1)^2)),0)</f>
        <v>0</v>
      </c>
      <c r="I1372" s="6">
        <v>2</v>
      </c>
      <c r="J1372" s="6">
        <v>4</v>
      </c>
      <c r="K1372" s="7">
        <v>1</v>
      </c>
      <c r="L1372" s="9">
        <f t="shared" si="170"/>
        <v>12</v>
      </c>
      <c r="M1372">
        <v>2</v>
      </c>
      <c r="N1372">
        <v>4</v>
      </c>
      <c r="O1372">
        <v>7</v>
      </c>
      <c r="P1372" s="13" t="str">
        <f t="shared" si="171"/>
        <v>2d4 + 7</v>
      </c>
      <c r="Q1372">
        <f>ROUND(INDEX(Catalogue!E$4:E$85,MATCH(A1372,Catalogue!A$4:A$85,0))*(1+Paramètres!$B$4*(C1372-1)+Paramètres!$B$5*(C1372-1)^2),0)</f>
        <v>9</v>
      </c>
      <c r="R1372">
        <f>ROUND(INDEX(Catalogue!F$4:F$85,MATCH(A1372,Catalogue!A$4:A$85,0))*(1+Paramètres!$B$4*(C1372-1)+Paramètres!$B$5*(C1372-1)^2),0)</f>
        <v>15</v>
      </c>
      <c r="S1372">
        <f t="shared" si="172"/>
        <v>0</v>
      </c>
      <c r="T1372" t="str">
        <f t="shared" si="173"/>
        <v>OK</v>
      </c>
      <c r="U1372" s="25">
        <f t="shared" si="174"/>
        <v>12</v>
      </c>
      <c r="V1372" t="str">
        <f t="shared" si="175"/>
        <v>OK</v>
      </c>
    </row>
    <row r="1373" spans="1:22" ht="18" customHeight="1">
      <c r="A1373" t="s">
        <v>318</v>
      </c>
      <c r="B1373" t="s">
        <v>319</v>
      </c>
      <c r="C1373">
        <v>10</v>
      </c>
      <c r="D1373" t="s">
        <v>286</v>
      </c>
      <c r="E1373" s="6">
        <f t="shared" si="168"/>
        <v>10</v>
      </c>
      <c r="F1373" s="6">
        <f t="shared" si="169"/>
        <v>16</v>
      </c>
      <c r="G1373" s="6">
        <f>ROUND(Catalogue!G72*SQRT((1+Paramètres!$B$4*(C1373-1)+Paramètres!$B$5*(C1373-1)^2)),0)</f>
        <v>0</v>
      </c>
      <c r="H1373" s="6">
        <f>ROUND(Catalogue!H72*SQRT((1+Paramètres!$B$4*(C1373-1)+Paramètres!$B$5*(C1373-1)^2)),0)</f>
        <v>0</v>
      </c>
      <c r="I1373" s="6">
        <v>2</v>
      </c>
      <c r="J1373" s="6">
        <v>4</v>
      </c>
      <c r="K1373" s="7">
        <v>1</v>
      </c>
      <c r="L1373" s="9">
        <f t="shared" si="170"/>
        <v>13</v>
      </c>
      <c r="M1373">
        <v>2</v>
      </c>
      <c r="N1373">
        <v>4</v>
      </c>
      <c r="O1373">
        <v>8</v>
      </c>
      <c r="P1373" s="13" t="str">
        <f t="shared" si="171"/>
        <v>2d4 + 8</v>
      </c>
      <c r="Q1373">
        <f>ROUND(INDEX(Catalogue!E$4:E$85,MATCH(A1373,Catalogue!A$4:A$85,0))*(1+Paramètres!$B$4*(C1373-1)+Paramètres!$B$5*(C1373-1)^2),0)</f>
        <v>10</v>
      </c>
      <c r="R1373">
        <f>ROUND(INDEX(Catalogue!F$4:F$85,MATCH(A1373,Catalogue!A$4:A$85,0))*(1+Paramètres!$B$4*(C1373-1)+Paramètres!$B$5*(C1373-1)^2),0)</f>
        <v>16</v>
      </c>
      <c r="S1373">
        <f t="shared" si="172"/>
        <v>0</v>
      </c>
      <c r="T1373" t="str">
        <f t="shared" si="173"/>
        <v>OK</v>
      </c>
      <c r="U1373" s="25">
        <f t="shared" si="174"/>
        <v>13</v>
      </c>
      <c r="V1373" t="str">
        <f t="shared" si="175"/>
        <v>OK</v>
      </c>
    </row>
    <row r="1374" spans="1:22" ht="18" customHeight="1">
      <c r="A1374" t="s">
        <v>318</v>
      </c>
      <c r="B1374" t="s">
        <v>319</v>
      </c>
      <c r="C1374">
        <v>11</v>
      </c>
      <c r="D1374" t="s">
        <v>286</v>
      </c>
      <c r="E1374" s="6">
        <f t="shared" si="168"/>
        <v>11</v>
      </c>
      <c r="F1374" s="6">
        <f t="shared" si="169"/>
        <v>20</v>
      </c>
      <c r="G1374" s="6">
        <f>ROUND(Catalogue!G72*SQRT((1+Paramètres!$B$4*(C1374-1)+Paramètres!$B$5*(C1374-1)^2)),0)</f>
        <v>0</v>
      </c>
      <c r="H1374" s="6">
        <f>ROUND(Catalogue!H72*SQRT((1+Paramètres!$B$4*(C1374-1)+Paramètres!$B$5*(C1374-1)^2)),0)</f>
        <v>0</v>
      </c>
      <c r="I1374" s="6">
        <v>2</v>
      </c>
      <c r="J1374" s="6">
        <v>4</v>
      </c>
      <c r="K1374" s="7">
        <v>1</v>
      </c>
      <c r="L1374" s="9">
        <f t="shared" si="170"/>
        <v>15.5</v>
      </c>
      <c r="M1374">
        <v>3</v>
      </c>
      <c r="N1374">
        <v>4</v>
      </c>
      <c r="O1374">
        <v>8</v>
      </c>
      <c r="P1374" s="13" t="str">
        <f t="shared" si="171"/>
        <v>3d4 + 8</v>
      </c>
      <c r="Q1374">
        <f>ROUND(INDEX(Catalogue!E$4:E$85,MATCH(A1374,Catalogue!A$4:A$85,0))*(1+Paramètres!$B$4*(C1374-1)+Paramètres!$B$5*(C1374-1)^2),0)</f>
        <v>11</v>
      </c>
      <c r="R1374">
        <f>ROUND(INDEX(Catalogue!F$4:F$85,MATCH(A1374,Catalogue!A$4:A$85,0))*(1+Paramètres!$B$4*(C1374-1)+Paramètres!$B$5*(C1374-1)^2),0)</f>
        <v>19</v>
      </c>
      <c r="S1374">
        <f t="shared" si="172"/>
        <v>0.5</v>
      </c>
      <c r="T1374" t="str">
        <f t="shared" si="173"/>
        <v>OK</v>
      </c>
      <c r="U1374" s="25">
        <f t="shared" si="174"/>
        <v>15.5</v>
      </c>
      <c r="V1374" t="str">
        <f t="shared" si="175"/>
        <v>OK</v>
      </c>
    </row>
    <row r="1375" spans="1:22" ht="18" customHeight="1">
      <c r="A1375" t="s">
        <v>318</v>
      </c>
      <c r="B1375" t="s">
        <v>319</v>
      </c>
      <c r="C1375">
        <v>12</v>
      </c>
      <c r="D1375" t="s">
        <v>286</v>
      </c>
      <c r="E1375" s="6">
        <f t="shared" si="168"/>
        <v>12</v>
      </c>
      <c r="F1375" s="6">
        <f t="shared" si="169"/>
        <v>21</v>
      </c>
      <c r="G1375" s="6">
        <f>ROUND(Catalogue!G72*SQRT((1+Paramètres!$B$4*(C1375-1)+Paramètres!$B$5*(C1375-1)^2)),0)</f>
        <v>0</v>
      </c>
      <c r="H1375" s="6">
        <f>ROUND(Catalogue!H72*SQRT((1+Paramètres!$B$4*(C1375-1)+Paramètres!$B$5*(C1375-1)^2)),0)</f>
        <v>0</v>
      </c>
      <c r="I1375" s="6">
        <v>2</v>
      </c>
      <c r="J1375" s="6">
        <v>4</v>
      </c>
      <c r="K1375" s="7">
        <v>1</v>
      </c>
      <c r="L1375" s="9">
        <f t="shared" si="170"/>
        <v>16.5</v>
      </c>
      <c r="M1375">
        <v>3</v>
      </c>
      <c r="N1375">
        <v>4</v>
      </c>
      <c r="O1375">
        <v>9</v>
      </c>
      <c r="P1375" s="13" t="str">
        <f t="shared" si="171"/>
        <v>3d4 + 9</v>
      </c>
      <c r="Q1375">
        <f>ROUND(INDEX(Catalogue!E$4:E$85,MATCH(A1375,Catalogue!A$4:A$85,0))*(1+Paramètres!$B$4*(C1375-1)+Paramètres!$B$5*(C1375-1)^2),0)</f>
        <v>12</v>
      </c>
      <c r="R1375">
        <f>ROUND(INDEX(Catalogue!F$4:F$85,MATCH(A1375,Catalogue!A$4:A$85,0))*(1+Paramètres!$B$4*(C1375-1)+Paramètres!$B$5*(C1375-1)^2),0)</f>
        <v>21</v>
      </c>
      <c r="S1375">
        <f t="shared" si="172"/>
        <v>0</v>
      </c>
      <c r="T1375" t="str">
        <f t="shared" si="173"/>
        <v>OK</v>
      </c>
      <c r="U1375" s="25">
        <f t="shared" si="174"/>
        <v>16.5</v>
      </c>
      <c r="V1375" t="str">
        <f t="shared" si="175"/>
        <v>OK</v>
      </c>
    </row>
    <row r="1376" spans="1:22" ht="18" customHeight="1">
      <c r="A1376" t="s">
        <v>318</v>
      </c>
      <c r="B1376" t="s">
        <v>319</v>
      </c>
      <c r="C1376">
        <v>13</v>
      </c>
      <c r="D1376" t="s">
        <v>286</v>
      </c>
      <c r="E1376" s="6">
        <f t="shared" si="168"/>
        <v>14</v>
      </c>
      <c r="F1376" s="6">
        <f t="shared" si="169"/>
        <v>23</v>
      </c>
      <c r="G1376" s="6">
        <f>ROUND(Catalogue!G72*SQRT((1+Paramètres!$B$4*(C1376-1)+Paramètres!$B$5*(C1376-1)^2)),0)</f>
        <v>0</v>
      </c>
      <c r="H1376" s="6">
        <f>ROUND(Catalogue!H72*SQRT((1+Paramètres!$B$4*(C1376-1)+Paramètres!$B$5*(C1376-1)^2)),0)</f>
        <v>0</v>
      </c>
      <c r="I1376" s="6">
        <v>2</v>
      </c>
      <c r="J1376" s="6">
        <v>4</v>
      </c>
      <c r="K1376" s="7">
        <v>1</v>
      </c>
      <c r="L1376" s="9">
        <f t="shared" si="170"/>
        <v>18.5</v>
      </c>
      <c r="M1376">
        <v>3</v>
      </c>
      <c r="N1376">
        <v>4</v>
      </c>
      <c r="O1376">
        <v>11</v>
      </c>
      <c r="P1376" s="13" t="str">
        <f t="shared" si="171"/>
        <v>3d4 + 11</v>
      </c>
      <c r="Q1376">
        <f>ROUND(INDEX(Catalogue!E$4:E$85,MATCH(A1376,Catalogue!A$4:A$85,0))*(1+Paramètres!$B$4*(C1376-1)+Paramètres!$B$5*(C1376-1)^2),0)</f>
        <v>14</v>
      </c>
      <c r="R1376">
        <f>ROUND(INDEX(Catalogue!F$4:F$85,MATCH(A1376,Catalogue!A$4:A$85,0))*(1+Paramètres!$B$4*(C1376-1)+Paramètres!$B$5*(C1376-1)^2),0)</f>
        <v>23</v>
      </c>
      <c r="S1376">
        <f t="shared" si="172"/>
        <v>0</v>
      </c>
      <c r="T1376" t="str">
        <f t="shared" si="173"/>
        <v>OK</v>
      </c>
      <c r="U1376" s="25">
        <f t="shared" si="174"/>
        <v>18.5</v>
      </c>
      <c r="V1376" t="str">
        <f t="shared" si="175"/>
        <v>OK</v>
      </c>
    </row>
    <row r="1377" spans="1:22" ht="18" customHeight="1">
      <c r="A1377" t="s">
        <v>318</v>
      </c>
      <c r="B1377" t="s">
        <v>319</v>
      </c>
      <c r="C1377">
        <v>14</v>
      </c>
      <c r="D1377" t="s">
        <v>286</v>
      </c>
      <c r="E1377" s="6">
        <f t="shared" si="168"/>
        <v>15</v>
      </c>
      <c r="F1377" s="6">
        <f t="shared" si="169"/>
        <v>26</v>
      </c>
      <c r="G1377" s="6">
        <f>ROUND(Catalogue!G72*SQRT((1+Paramètres!$B$4*(C1377-1)+Paramètres!$B$5*(C1377-1)^2)),0)</f>
        <v>0</v>
      </c>
      <c r="H1377" s="6">
        <f>ROUND(Catalogue!H72*SQRT((1+Paramètres!$B$4*(C1377-1)+Paramètres!$B$5*(C1377-1)^2)),0)</f>
        <v>0</v>
      </c>
      <c r="I1377" s="6">
        <v>2</v>
      </c>
      <c r="J1377" s="6">
        <v>4</v>
      </c>
      <c r="K1377" s="7">
        <v>1</v>
      </c>
      <c r="L1377" s="9">
        <f t="shared" si="170"/>
        <v>20.5</v>
      </c>
      <c r="M1377">
        <v>1</v>
      </c>
      <c r="N1377">
        <v>12</v>
      </c>
      <c r="O1377">
        <v>14</v>
      </c>
      <c r="P1377" s="13" t="str">
        <f t="shared" si="171"/>
        <v>1d12 + 14</v>
      </c>
      <c r="Q1377">
        <f>ROUND(INDEX(Catalogue!E$4:E$85,MATCH(A1377,Catalogue!A$4:A$85,0))*(1+Paramètres!$B$4*(C1377-1)+Paramètres!$B$5*(C1377-1)^2),0)</f>
        <v>15</v>
      </c>
      <c r="R1377">
        <f>ROUND(INDEX(Catalogue!F$4:F$85,MATCH(A1377,Catalogue!A$4:A$85,0))*(1+Paramètres!$B$4*(C1377-1)+Paramètres!$B$5*(C1377-1)^2),0)</f>
        <v>26</v>
      </c>
      <c r="S1377">
        <f t="shared" si="172"/>
        <v>0</v>
      </c>
      <c r="T1377" t="str">
        <f t="shared" si="173"/>
        <v>OK</v>
      </c>
      <c r="U1377" s="25">
        <f t="shared" si="174"/>
        <v>20.5</v>
      </c>
      <c r="V1377" t="str">
        <f t="shared" si="175"/>
        <v>OK</v>
      </c>
    </row>
    <row r="1378" spans="1:22" ht="18" customHeight="1">
      <c r="A1378" t="s">
        <v>318</v>
      </c>
      <c r="B1378" t="s">
        <v>319</v>
      </c>
      <c r="C1378">
        <v>15</v>
      </c>
      <c r="D1378" t="s">
        <v>286</v>
      </c>
      <c r="E1378" s="6">
        <f t="shared" si="168"/>
        <v>17</v>
      </c>
      <c r="F1378" s="6">
        <f t="shared" si="169"/>
        <v>28</v>
      </c>
      <c r="G1378" s="6">
        <f>ROUND(Catalogue!G72*SQRT((1+Paramètres!$B$4*(C1378-1)+Paramètres!$B$5*(C1378-1)^2)),0)</f>
        <v>0</v>
      </c>
      <c r="H1378" s="6">
        <f>ROUND(Catalogue!H72*SQRT((1+Paramètres!$B$4*(C1378-1)+Paramètres!$B$5*(C1378-1)^2)),0)</f>
        <v>0</v>
      </c>
      <c r="I1378" s="6">
        <v>2</v>
      </c>
      <c r="J1378" s="6">
        <v>4</v>
      </c>
      <c r="K1378" s="7">
        <v>1</v>
      </c>
      <c r="L1378" s="9">
        <f t="shared" si="170"/>
        <v>22.5</v>
      </c>
      <c r="M1378">
        <v>1</v>
      </c>
      <c r="N1378">
        <v>12</v>
      </c>
      <c r="O1378">
        <v>16</v>
      </c>
      <c r="P1378" s="13" t="str">
        <f t="shared" si="171"/>
        <v>1d12 + 16</v>
      </c>
      <c r="Q1378">
        <f>ROUND(INDEX(Catalogue!E$4:E$85,MATCH(A1378,Catalogue!A$4:A$85,0))*(1+Paramètres!$B$4*(C1378-1)+Paramètres!$B$5*(C1378-1)^2),0)</f>
        <v>17</v>
      </c>
      <c r="R1378">
        <f>ROUND(INDEX(Catalogue!F$4:F$85,MATCH(A1378,Catalogue!A$4:A$85,0))*(1+Paramètres!$B$4*(C1378-1)+Paramètres!$B$5*(C1378-1)^2),0)</f>
        <v>28</v>
      </c>
      <c r="S1378">
        <f t="shared" si="172"/>
        <v>0</v>
      </c>
      <c r="T1378" t="str">
        <f t="shared" si="173"/>
        <v>OK</v>
      </c>
      <c r="U1378" s="25">
        <f t="shared" si="174"/>
        <v>22.5</v>
      </c>
      <c r="V1378" t="str">
        <f t="shared" si="175"/>
        <v>OK</v>
      </c>
    </row>
    <row r="1379" spans="1:22" ht="18" customHeight="1">
      <c r="A1379" t="s">
        <v>318</v>
      </c>
      <c r="B1379" t="s">
        <v>319</v>
      </c>
      <c r="C1379">
        <v>16</v>
      </c>
      <c r="D1379" t="s">
        <v>286</v>
      </c>
      <c r="E1379" s="6">
        <f t="shared" si="168"/>
        <v>19</v>
      </c>
      <c r="F1379" s="6">
        <f t="shared" si="169"/>
        <v>31</v>
      </c>
      <c r="G1379" s="6">
        <f>ROUND(Catalogue!G72*SQRT((1+Paramètres!$B$4*(C1379-1)+Paramètres!$B$5*(C1379-1)^2)),0)</f>
        <v>0</v>
      </c>
      <c r="H1379" s="6">
        <f>ROUND(Catalogue!H72*SQRT((1+Paramètres!$B$4*(C1379-1)+Paramètres!$B$5*(C1379-1)^2)),0)</f>
        <v>0</v>
      </c>
      <c r="I1379" s="6">
        <v>2</v>
      </c>
      <c r="J1379" s="6">
        <v>4</v>
      </c>
      <c r="K1379" s="7">
        <v>1</v>
      </c>
      <c r="L1379" s="9">
        <f t="shared" si="170"/>
        <v>25</v>
      </c>
      <c r="M1379">
        <v>4</v>
      </c>
      <c r="N1379">
        <v>4</v>
      </c>
      <c r="O1379">
        <v>15</v>
      </c>
      <c r="P1379" s="13" t="str">
        <f t="shared" si="171"/>
        <v>4d4 + 15</v>
      </c>
      <c r="Q1379">
        <f>ROUND(INDEX(Catalogue!E$4:E$85,MATCH(A1379,Catalogue!A$4:A$85,0))*(1+Paramètres!$B$4*(C1379-1)+Paramètres!$B$5*(C1379-1)^2),0)</f>
        <v>19</v>
      </c>
      <c r="R1379">
        <f>ROUND(INDEX(Catalogue!F$4:F$85,MATCH(A1379,Catalogue!A$4:A$85,0))*(1+Paramètres!$B$4*(C1379-1)+Paramètres!$B$5*(C1379-1)^2),0)</f>
        <v>31</v>
      </c>
      <c r="S1379">
        <f t="shared" si="172"/>
        <v>0</v>
      </c>
      <c r="T1379" t="str">
        <f t="shared" si="173"/>
        <v>OK</v>
      </c>
      <c r="U1379" s="25">
        <f t="shared" si="174"/>
        <v>25</v>
      </c>
      <c r="V1379" t="str">
        <f t="shared" si="175"/>
        <v>OK</v>
      </c>
    </row>
    <row r="1380" spans="1:22" ht="18" customHeight="1">
      <c r="A1380" t="s">
        <v>318</v>
      </c>
      <c r="B1380" t="s">
        <v>319</v>
      </c>
      <c r="C1380">
        <v>17</v>
      </c>
      <c r="D1380" t="s">
        <v>286</v>
      </c>
      <c r="E1380" s="6">
        <f t="shared" si="168"/>
        <v>20</v>
      </c>
      <c r="F1380" s="6">
        <f t="shared" si="169"/>
        <v>34</v>
      </c>
      <c r="G1380" s="6">
        <f>ROUND(Catalogue!G72*SQRT((1+Paramètres!$B$4*(C1380-1)+Paramètres!$B$5*(C1380-1)^2)),0)</f>
        <v>0</v>
      </c>
      <c r="H1380" s="6">
        <f>ROUND(Catalogue!H72*SQRT((1+Paramètres!$B$4*(C1380-1)+Paramètres!$B$5*(C1380-1)^2)),0)</f>
        <v>0</v>
      </c>
      <c r="I1380" s="6">
        <v>2</v>
      </c>
      <c r="J1380" s="6">
        <v>4</v>
      </c>
      <c r="K1380" s="7">
        <v>1</v>
      </c>
      <c r="L1380" s="9">
        <f t="shared" si="170"/>
        <v>27</v>
      </c>
      <c r="M1380">
        <v>2</v>
      </c>
      <c r="N1380">
        <v>8</v>
      </c>
      <c r="O1380">
        <v>18</v>
      </c>
      <c r="P1380" s="13" t="str">
        <f t="shared" si="171"/>
        <v>2d8 + 18</v>
      </c>
      <c r="Q1380">
        <f>ROUND(INDEX(Catalogue!E$4:E$85,MATCH(A1380,Catalogue!A$4:A$85,0))*(1+Paramètres!$B$4*(C1380-1)+Paramètres!$B$5*(C1380-1)^2),0)</f>
        <v>21</v>
      </c>
      <c r="R1380">
        <f>ROUND(INDEX(Catalogue!F$4:F$85,MATCH(A1380,Catalogue!A$4:A$85,0))*(1+Paramètres!$B$4*(C1380-1)+Paramètres!$B$5*(C1380-1)^2),0)</f>
        <v>34</v>
      </c>
      <c r="S1380">
        <f t="shared" si="172"/>
        <v>-0.5</v>
      </c>
      <c r="T1380" t="str">
        <f t="shared" si="173"/>
        <v>OK</v>
      </c>
      <c r="U1380" s="25">
        <f t="shared" si="174"/>
        <v>27</v>
      </c>
      <c r="V1380" t="str">
        <f t="shared" si="175"/>
        <v>OK</v>
      </c>
    </row>
    <row r="1381" spans="1:22" ht="18" customHeight="1">
      <c r="A1381" t="s">
        <v>318</v>
      </c>
      <c r="B1381" t="s">
        <v>319</v>
      </c>
      <c r="C1381">
        <v>18</v>
      </c>
      <c r="D1381" t="s">
        <v>286</v>
      </c>
      <c r="E1381" s="6">
        <f t="shared" si="168"/>
        <v>22</v>
      </c>
      <c r="F1381" s="6">
        <f t="shared" si="169"/>
        <v>37</v>
      </c>
      <c r="G1381" s="6">
        <f>ROUND(Catalogue!G72*SQRT((1+Paramètres!$B$4*(C1381-1)+Paramètres!$B$5*(C1381-1)^2)),0)</f>
        <v>0</v>
      </c>
      <c r="H1381" s="6">
        <f>ROUND(Catalogue!H72*SQRT((1+Paramètres!$B$4*(C1381-1)+Paramètres!$B$5*(C1381-1)^2)),0)</f>
        <v>0</v>
      </c>
      <c r="I1381" s="6">
        <v>2</v>
      </c>
      <c r="J1381" s="6">
        <v>4</v>
      </c>
      <c r="K1381" s="7">
        <v>1</v>
      </c>
      <c r="L1381" s="9">
        <f t="shared" si="170"/>
        <v>29.5</v>
      </c>
      <c r="M1381">
        <v>3</v>
      </c>
      <c r="N1381">
        <v>6</v>
      </c>
      <c r="O1381">
        <v>19</v>
      </c>
      <c r="P1381" s="13" t="str">
        <f t="shared" si="171"/>
        <v>3d6 + 19</v>
      </c>
      <c r="Q1381">
        <f>ROUND(INDEX(Catalogue!E$4:E$85,MATCH(A1381,Catalogue!A$4:A$85,0))*(1+Paramètres!$B$4*(C1381-1)+Paramètres!$B$5*(C1381-1)^2),0)</f>
        <v>22</v>
      </c>
      <c r="R1381">
        <f>ROUND(INDEX(Catalogue!F$4:F$85,MATCH(A1381,Catalogue!A$4:A$85,0))*(1+Paramètres!$B$4*(C1381-1)+Paramètres!$B$5*(C1381-1)^2),0)</f>
        <v>37</v>
      </c>
      <c r="S1381">
        <f t="shared" si="172"/>
        <v>0</v>
      </c>
      <c r="T1381" t="str">
        <f t="shared" si="173"/>
        <v>OK</v>
      </c>
      <c r="U1381" s="25">
        <f t="shared" si="174"/>
        <v>29.5</v>
      </c>
      <c r="V1381" t="str">
        <f t="shared" si="175"/>
        <v>OK</v>
      </c>
    </row>
    <row r="1382" spans="1:22" ht="18" customHeight="1">
      <c r="A1382" t="s">
        <v>318</v>
      </c>
      <c r="B1382" t="s">
        <v>319</v>
      </c>
      <c r="C1382">
        <v>19</v>
      </c>
      <c r="D1382" t="s">
        <v>286</v>
      </c>
      <c r="E1382" s="6">
        <f t="shared" si="168"/>
        <v>23</v>
      </c>
      <c r="F1382" s="6">
        <f t="shared" si="169"/>
        <v>41</v>
      </c>
      <c r="G1382" s="6">
        <f>ROUND(Catalogue!G72*SQRT((1+Paramètres!$B$4*(C1382-1)+Paramètres!$B$5*(C1382-1)^2)),0)</f>
        <v>0</v>
      </c>
      <c r="H1382" s="6">
        <f>ROUND(Catalogue!H72*SQRT((1+Paramètres!$B$4*(C1382-1)+Paramètres!$B$5*(C1382-1)^2)),0)</f>
        <v>0</v>
      </c>
      <c r="I1382" s="6">
        <v>2</v>
      </c>
      <c r="J1382" s="6">
        <v>4</v>
      </c>
      <c r="K1382" s="7">
        <v>1</v>
      </c>
      <c r="L1382" s="9">
        <f t="shared" si="170"/>
        <v>32</v>
      </c>
      <c r="M1382">
        <v>2</v>
      </c>
      <c r="N1382">
        <v>10</v>
      </c>
      <c r="O1382">
        <v>21</v>
      </c>
      <c r="P1382" s="13" t="str">
        <f t="shared" si="171"/>
        <v>2d10 + 21</v>
      </c>
      <c r="Q1382">
        <f>ROUND(INDEX(Catalogue!E$4:E$85,MATCH(A1382,Catalogue!A$4:A$85,0))*(1+Paramètres!$B$4*(C1382-1)+Paramètres!$B$5*(C1382-1)^2),0)</f>
        <v>24</v>
      </c>
      <c r="R1382">
        <f>ROUND(INDEX(Catalogue!F$4:F$85,MATCH(A1382,Catalogue!A$4:A$85,0))*(1+Paramètres!$B$4*(C1382-1)+Paramètres!$B$5*(C1382-1)^2),0)</f>
        <v>41</v>
      </c>
      <c r="S1382">
        <f t="shared" si="172"/>
        <v>-0.5</v>
      </c>
      <c r="T1382" t="str">
        <f t="shared" si="173"/>
        <v>OK</v>
      </c>
      <c r="U1382" s="25">
        <f t="shared" si="174"/>
        <v>32</v>
      </c>
      <c r="V1382" t="str">
        <f t="shared" si="175"/>
        <v>OK</v>
      </c>
    </row>
    <row r="1383" spans="1:22" ht="18" customHeight="1">
      <c r="A1383" t="s">
        <v>318</v>
      </c>
      <c r="B1383" t="s">
        <v>319</v>
      </c>
      <c r="C1383">
        <v>20</v>
      </c>
      <c r="D1383" t="s">
        <v>286</v>
      </c>
      <c r="E1383" s="6">
        <f t="shared" si="168"/>
        <v>26</v>
      </c>
      <c r="F1383" s="6">
        <f t="shared" si="169"/>
        <v>44</v>
      </c>
      <c r="G1383" s="6">
        <f>ROUND(Catalogue!G72*SQRT((1+Paramètres!$B$4*(C1383-1)+Paramètres!$B$5*(C1383-1)^2)),0)</f>
        <v>0</v>
      </c>
      <c r="H1383" s="6">
        <f>ROUND(Catalogue!H72*SQRT((1+Paramètres!$B$4*(C1383-1)+Paramètres!$B$5*(C1383-1)^2)),0)</f>
        <v>0</v>
      </c>
      <c r="I1383" s="6">
        <v>2</v>
      </c>
      <c r="J1383" s="6">
        <v>4</v>
      </c>
      <c r="K1383" s="7">
        <v>1</v>
      </c>
      <c r="L1383" s="9">
        <f t="shared" si="170"/>
        <v>35</v>
      </c>
      <c r="M1383">
        <v>2</v>
      </c>
      <c r="N1383">
        <v>10</v>
      </c>
      <c r="O1383">
        <v>24</v>
      </c>
      <c r="P1383" s="13" t="str">
        <f t="shared" si="171"/>
        <v>2d10 + 24</v>
      </c>
      <c r="Q1383">
        <f>ROUND(INDEX(Catalogue!E$4:E$85,MATCH(A1383,Catalogue!A$4:A$85,0))*(1+Paramètres!$B$4*(C1383-1)+Paramètres!$B$5*(C1383-1)^2),0)</f>
        <v>27</v>
      </c>
      <c r="R1383">
        <f>ROUND(INDEX(Catalogue!F$4:F$85,MATCH(A1383,Catalogue!A$4:A$85,0))*(1+Paramètres!$B$4*(C1383-1)+Paramètres!$B$5*(C1383-1)^2),0)</f>
        <v>44</v>
      </c>
      <c r="S1383">
        <f t="shared" si="172"/>
        <v>-0.5</v>
      </c>
      <c r="T1383" t="str">
        <f t="shared" si="173"/>
        <v>OK</v>
      </c>
      <c r="U1383" s="25">
        <f t="shared" si="174"/>
        <v>35</v>
      </c>
      <c r="V1383" t="str">
        <f t="shared" si="175"/>
        <v>OK</v>
      </c>
    </row>
    <row r="1384" spans="1:22" ht="18" customHeight="1">
      <c r="A1384" t="s">
        <v>324</v>
      </c>
      <c r="B1384" t="s">
        <v>325</v>
      </c>
      <c r="C1384">
        <v>1</v>
      </c>
      <c r="D1384" t="s">
        <v>286</v>
      </c>
      <c r="E1384" s="6">
        <f t="shared" si="168"/>
        <v>0</v>
      </c>
      <c r="F1384" s="6">
        <f t="shared" si="169"/>
        <v>0</v>
      </c>
      <c r="G1384" s="6">
        <f>ROUND(Catalogue!G73*SQRT((1+Paramètres!$B$4*(C1384-1)+Paramètres!$B$5*(C1384-1)^2)),0)</f>
        <v>0</v>
      </c>
      <c r="H1384" s="6">
        <f>ROUND(Catalogue!H73*SQRT((1+Paramètres!$B$4*(C1384-1)+Paramètres!$B$5*(C1384-1)^2)),0)</f>
        <v>0</v>
      </c>
      <c r="I1384" s="6">
        <v>0</v>
      </c>
      <c r="J1384" s="6">
        <v>0</v>
      </c>
      <c r="K1384" s="7">
        <v>0.5</v>
      </c>
      <c r="L1384" s="9">
        <f t="shared" si="170"/>
        <v>0</v>
      </c>
      <c r="M1384">
        <v>0</v>
      </c>
      <c r="N1384">
        <v>0</v>
      </c>
      <c r="O1384">
        <v>0</v>
      </c>
      <c r="P1384" s="13" t="str">
        <f t="shared" si="171"/>
        <v>—</v>
      </c>
      <c r="Q1384">
        <f>ROUND(INDEX(Catalogue!E$4:E$85,MATCH(A1384,Catalogue!A$4:A$85,0))*(1+Paramètres!$B$4*(C1384-1)+Paramètres!$B$5*(C1384-1)^2),0)</f>
        <v>0</v>
      </c>
      <c r="R1384">
        <f>ROUND(INDEX(Catalogue!F$4:F$85,MATCH(A1384,Catalogue!A$4:A$85,0))*(1+Paramètres!$B$4*(C1384-1)+Paramètres!$B$5*(C1384-1)^2),0)</f>
        <v>0</v>
      </c>
      <c r="S1384">
        <f t="shared" si="172"/>
        <v>0</v>
      </c>
      <c r="T1384" t="str">
        <f t="shared" si="173"/>
        <v>OK</v>
      </c>
      <c r="U1384" s="25">
        <f t="shared" si="174"/>
        <v>0</v>
      </c>
      <c r="V1384" t="str">
        <f t="shared" si="175"/>
        <v>OK</v>
      </c>
    </row>
    <row r="1385" spans="1:22" ht="18" customHeight="1">
      <c r="A1385" t="s">
        <v>324</v>
      </c>
      <c r="B1385" t="s">
        <v>325</v>
      </c>
      <c r="C1385">
        <v>2</v>
      </c>
      <c r="D1385" t="s">
        <v>286</v>
      </c>
      <c r="E1385" s="6">
        <f t="shared" si="168"/>
        <v>0</v>
      </c>
      <c r="F1385" s="6">
        <f t="shared" si="169"/>
        <v>0</v>
      </c>
      <c r="G1385" s="6">
        <f>ROUND(Catalogue!G73*SQRT((1+Paramètres!$B$4*(C1385-1)+Paramètres!$B$5*(C1385-1)^2)),0)</f>
        <v>0</v>
      </c>
      <c r="H1385" s="6">
        <f>ROUND(Catalogue!H73*SQRT((1+Paramètres!$B$4*(C1385-1)+Paramètres!$B$5*(C1385-1)^2)),0)</f>
        <v>0</v>
      </c>
      <c r="I1385" s="6">
        <v>0</v>
      </c>
      <c r="J1385" s="6">
        <v>0</v>
      </c>
      <c r="K1385" s="7">
        <v>0.5</v>
      </c>
      <c r="L1385" s="9">
        <f t="shared" si="170"/>
        <v>0</v>
      </c>
      <c r="M1385">
        <v>0</v>
      </c>
      <c r="N1385">
        <v>0</v>
      </c>
      <c r="O1385">
        <v>0</v>
      </c>
      <c r="P1385" s="13" t="str">
        <f t="shared" si="171"/>
        <v>—</v>
      </c>
      <c r="Q1385">
        <f>ROUND(INDEX(Catalogue!E$4:E$85,MATCH(A1385,Catalogue!A$4:A$85,0))*(1+Paramètres!$B$4*(C1385-1)+Paramètres!$B$5*(C1385-1)^2),0)</f>
        <v>0</v>
      </c>
      <c r="R1385">
        <f>ROUND(INDEX(Catalogue!F$4:F$85,MATCH(A1385,Catalogue!A$4:A$85,0))*(1+Paramètres!$B$4*(C1385-1)+Paramètres!$B$5*(C1385-1)^2),0)</f>
        <v>0</v>
      </c>
      <c r="S1385">
        <f t="shared" si="172"/>
        <v>0</v>
      </c>
      <c r="T1385" t="str">
        <f t="shared" si="173"/>
        <v>OK</v>
      </c>
      <c r="U1385" s="25">
        <f t="shared" si="174"/>
        <v>0</v>
      </c>
      <c r="V1385" t="str">
        <f t="shared" si="175"/>
        <v>OK</v>
      </c>
    </row>
    <row r="1386" spans="1:22" ht="18" customHeight="1">
      <c r="A1386" t="s">
        <v>324</v>
      </c>
      <c r="B1386" t="s">
        <v>325</v>
      </c>
      <c r="C1386">
        <v>3</v>
      </c>
      <c r="D1386" t="s">
        <v>286</v>
      </c>
      <c r="E1386" s="6">
        <f t="shared" si="168"/>
        <v>0</v>
      </c>
      <c r="F1386" s="6">
        <f t="shared" si="169"/>
        <v>0</v>
      </c>
      <c r="G1386" s="6">
        <f>ROUND(Catalogue!G73*SQRT((1+Paramètres!$B$4*(C1386-1)+Paramètres!$B$5*(C1386-1)^2)),0)</f>
        <v>0</v>
      </c>
      <c r="H1386" s="6">
        <f>ROUND(Catalogue!H73*SQRT((1+Paramètres!$B$4*(C1386-1)+Paramètres!$B$5*(C1386-1)^2)),0)</f>
        <v>0</v>
      </c>
      <c r="I1386" s="6">
        <v>0</v>
      </c>
      <c r="J1386" s="6">
        <v>0</v>
      </c>
      <c r="K1386" s="7">
        <v>0.5</v>
      </c>
      <c r="L1386" s="9">
        <f t="shared" si="170"/>
        <v>0</v>
      </c>
      <c r="M1386">
        <v>0</v>
      </c>
      <c r="N1386">
        <v>0</v>
      </c>
      <c r="O1386">
        <v>0</v>
      </c>
      <c r="P1386" s="13" t="str">
        <f t="shared" si="171"/>
        <v>—</v>
      </c>
      <c r="Q1386">
        <f>ROUND(INDEX(Catalogue!E$4:E$85,MATCH(A1386,Catalogue!A$4:A$85,0))*(1+Paramètres!$B$4*(C1386-1)+Paramètres!$B$5*(C1386-1)^2),0)</f>
        <v>0</v>
      </c>
      <c r="R1386">
        <f>ROUND(INDEX(Catalogue!F$4:F$85,MATCH(A1386,Catalogue!A$4:A$85,0))*(1+Paramètres!$B$4*(C1386-1)+Paramètres!$B$5*(C1386-1)^2),0)</f>
        <v>0</v>
      </c>
      <c r="S1386">
        <f t="shared" si="172"/>
        <v>0</v>
      </c>
      <c r="T1386" t="str">
        <f t="shared" si="173"/>
        <v>OK</v>
      </c>
      <c r="U1386" s="25">
        <f t="shared" si="174"/>
        <v>0</v>
      </c>
      <c r="V1386" t="str">
        <f t="shared" si="175"/>
        <v>OK</v>
      </c>
    </row>
    <row r="1387" spans="1:22" ht="18" customHeight="1">
      <c r="A1387" t="s">
        <v>324</v>
      </c>
      <c r="B1387" t="s">
        <v>325</v>
      </c>
      <c r="C1387">
        <v>4</v>
      </c>
      <c r="D1387" t="s">
        <v>286</v>
      </c>
      <c r="E1387" s="6">
        <f t="shared" si="168"/>
        <v>0</v>
      </c>
      <c r="F1387" s="6">
        <f t="shared" si="169"/>
        <v>0</v>
      </c>
      <c r="G1387" s="6">
        <f>ROUND(Catalogue!G73*SQRT((1+Paramètres!$B$4*(C1387-1)+Paramètres!$B$5*(C1387-1)^2)),0)</f>
        <v>0</v>
      </c>
      <c r="H1387" s="6">
        <f>ROUND(Catalogue!H73*SQRT((1+Paramètres!$B$4*(C1387-1)+Paramètres!$B$5*(C1387-1)^2)),0)</f>
        <v>0</v>
      </c>
      <c r="I1387" s="6">
        <v>0</v>
      </c>
      <c r="J1387" s="6">
        <v>0</v>
      </c>
      <c r="K1387" s="7">
        <v>0.5</v>
      </c>
      <c r="L1387" s="9">
        <f t="shared" si="170"/>
        <v>0</v>
      </c>
      <c r="M1387">
        <v>0</v>
      </c>
      <c r="N1387">
        <v>0</v>
      </c>
      <c r="O1387">
        <v>0</v>
      </c>
      <c r="P1387" s="13" t="str">
        <f t="shared" si="171"/>
        <v>—</v>
      </c>
      <c r="Q1387">
        <f>ROUND(INDEX(Catalogue!E$4:E$85,MATCH(A1387,Catalogue!A$4:A$85,0))*(1+Paramètres!$B$4*(C1387-1)+Paramètres!$B$5*(C1387-1)^2),0)</f>
        <v>0</v>
      </c>
      <c r="R1387">
        <f>ROUND(INDEX(Catalogue!F$4:F$85,MATCH(A1387,Catalogue!A$4:A$85,0))*(1+Paramètres!$B$4*(C1387-1)+Paramètres!$B$5*(C1387-1)^2),0)</f>
        <v>0</v>
      </c>
      <c r="S1387">
        <f t="shared" si="172"/>
        <v>0</v>
      </c>
      <c r="T1387" t="str">
        <f t="shared" si="173"/>
        <v>OK</v>
      </c>
      <c r="U1387" s="25">
        <f t="shared" si="174"/>
        <v>0</v>
      </c>
      <c r="V1387" t="str">
        <f t="shared" si="175"/>
        <v>OK</v>
      </c>
    </row>
    <row r="1388" spans="1:22" ht="18" customHeight="1">
      <c r="A1388" t="s">
        <v>324</v>
      </c>
      <c r="B1388" t="s">
        <v>325</v>
      </c>
      <c r="C1388">
        <v>5</v>
      </c>
      <c r="D1388" t="s">
        <v>286</v>
      </c>
      <c r="E1388" s="6">
        <f t="shared" si="168"/>
        <v>0</v>
      </c>
      <c r="F1388" s="6">
        <f t="shared" si="169"/>
        <v>0</v>
      </c>
      <c r="G1388" s="6">
        <f>ROUND(Catalogue!G73*SQRT((1+Paramètres!$B$4*(C1388-1)+Paramètres!$B$5*(C1388-1)^2)),0)</f>
        <v>0</v>
      </c>
      <c r="H1388" s="6">
        <f>ROUND(Catalogue!H73*SQRT((1+Paramètres!$B$4*(C1388-1)+Paramètres!$B$5*(C1388-1)^2)),0)</f>
        <v>0</v>
      </c>
      <c r="I1388" s="6">
        <v>0</v>
      </c>
      <c r="J1388" s="6">
        <v>0</v>
      </c>
      <c r="K1388" s="7">
        <v>0.5</v>
      </c>
      <c r="L1388" s="9">
        <f t="shared" si="170"/>
        <v>0</v>
      </c>
      <c r="M1388">
        <v>0</v>
      </c>
      <c r="N1388">
        <v>0</v>
      </c>
      <c r="O1388">
        <v>0</v>
      </c>
      <c r="P1388" s="13" t="str">
        <f t="shared" si="171"/>
        <v>—</v>
      </c>
      <c r="Q1388">
        <f>ROUND(INDEX(Catalogue!E$4:E$85,MATCH(A1388,Catalogue!A$4:A$85,0))*(1+Paramètres!$B$4*(C1388-1)+Paramètres!$B$5*(C1388-1)^2),0)</f>
        <v>0</v>
      </c>
      <c r="R1388">
        <f>ROUND(INDEX(Catalogue!F$4:F$85,MATCH(A1388,Catalogue!A$4:A$85,0))*(1+Paramètres!$B$4*(C1388-1)+Paramètres!$B$5*(C1388-1)^2),0)</f>
        <v>0</v>
      </c>
      <c r="S1388">
        <f t="shared" si="172"/>
        <v>0</v>
      </c>
      <c r="T1388" t="str">
        <f t="shared" si="173"/>
        <v>OK</v>
      </c>
      <c r="U1388" s="25">
        <f t="shared" si="174"/>
        <v>0</v>
      </c>
      <c r="V1388" t="str">
        <f t="shared" si="175"/>
        <v>OK</v>
      </c>
    </row>
    <row r="1389" spans="1:22" ht="18" customHeight="1">
      <c r="A1389" t="s">
        <v>324</v>
      </c>
      <c r="B1389" t="s">
        <v>325</v>
      </c>
      <c r="C1389">
        <v>6</v>
      </c>
      <c r="D1389" t="s">
        <v>286</v>
      </c>
      <c r="E1389" s="6">
        <f t="shared" si="168"/>
        <v>0</v>
      </c>
      <c r="F1389" s="6">
        <f t="shared" si="169"/>
        <v>0</v>
      </c>
      <c r="G1389" s="6">
        <f>ROUND(Catalogue!G73*SQRT((1+Paramètres!$B$4*(C1389-1)+Paramètres!$B$5*(C1389-1)^2)),0)</f>
        <v>0</v>
      </c>
      <c r="H1389" s="6">
        <f>ROUND(Catalogue!H73*SQRT((1+Paramètres!$B$4*(C1389-1)+Paramètres!$B$5*(C1389-1)^2)),0)</f>
        <v>0</v>
      </c>
      <c r="I1389" s="6">
        <v>0</v>
      </c>
      <c r="J1389" s="6">
        <v>0</v>
      </c>
      <c r="K1389" s="7">
        <v>0.5</v>
      </c>
      <c r="L1389" s="9">
        <f t="shared" si="170"/>
        <v>0</v>
      </c>
      <c r="M1389">
        <v>0</v>
      </c>
      <c r="N1389">
        <v>0</v>
      </c>
      <c r="O1389">
        <v>0</v>
      </c>
      <c r="P1389" s="13" t="str">
        <f t="shared" si="171"/>
        <v>—</v>
      </c>
      <c r="Q1389">
        <f>ROUND(INDEX(Catalogue!E$4:E$85,MATCH(A1389,Catalogue!A$4:A$85,0))*(1+Paramètres!$B$4*(C1389-1)+Paramètres!$B$5*(C1389-1)^2),0)</f>
        <v>0</v>
      </c>
      <c r="R1389">
        <f>ROUND(INDEX(Catalogue!F$4:F$85,MATCH(A1389,Catalogue!A$4:A$85,0))*(1+Paramètres!$B$4*(C1389-1)+Paramètres!$B$5*(C1389-1)^2),0)</f>
        <v>0</v>
      </c>
      <c r="S1389">
        <f t="shared" si="172"/>
        <v>0</v>
      </c>
      <c r="T1389" t="str">
        <f t="shared" si="173"/>
        <v>OK</v>
      </c>
      <c r="U1389" s="25">
        <f t="shared" si="174"/>
        <v>0</v>
      </c>
      <c r="V1389" t="str">
        <f t="shared" si="175"/>
        <v>OK</v>
      </c>
    </row>
    <row r="1390" spans="1:22" ht="18" customHeight="1">
      <c r="A1390" t="s">
        <v>324</v>
      </c>
      <c r="B1390" t="s">
        <v>325</v>
      </c>
      <c r="C1390">
        <v>7</v>
      </c>
      <c r="D1390" t="s">
        <v>286</v>
      </c>
      <c r="E1390" s="6">
        <f t="shared" si="168"/>
        <v>0</v>
      </c>
      <c r="F1390" s="6">
        <f t="shared" si="169"/>
        <v>0</v>
      </c>
      <c r="G1390" s="6">
        <f>ROUND(Catalogue!G73*SQRT((1+Paramètres!$B$4*(C1390-1)+Paramètres!$B$5*(C1390-1)^2)),0)</f>
        <v>0</v>
      </c>
      <c r="H1390" s="6">
        <f>ROUND(Catalogue!H73*SQRT((1+Paramètres!$B$4*(C1390-1)+Paramètres!$B$5*(C1390-1)^2)),0)</f>
        <v>0</v>
      </c>
      <c r="I1390" s="6">
        <v>0</v>
      </c>
      <c r="J1390" s="6">
        <v>0</v>
      </c>
      <c r="K1390" s="7">
        <v>0.5</v>
      </c>
      <c r="L1390" s="9">
        <f t="shared" si="170"/>
        <v>0</v>
      </c>
      <c r="M1390">
        <v>0</v>
      </c>
      <c r="N1390">
        <v>0</v>
      </c>
      <c r="O1390">
        <v>0</v>
      </c>
      <c r="P1390" s="13" t="str">
        <f t="shared" si="171"/>
        <v>—</v>
      </c>
      <c r="Q1390">
        <f>ROUND(INDEX(Catalogue!E$4:E$85,MATCH(A1390,Catalogue!A$4:A$85,0))*(1+Paramètres!$B$4*(C1390-1)+Paramètres!$B$5*(C1390-1)^2),0)</f>
        <v>0</v>
      </c>
      <c r="R1390">
        <f>ROUND(INDEX(Catalogue!F$4:F$85,MATCH(A1390,Catalogue!A$4:A$85,0))*(1+Paramètres!$B$4*(C1390-1)+Paramètres!$B$5*(C1390-1)^2),0)</f>
        <v>0</v>
      </c>
      <c r="S1390">
        <f t="shared" si="172"/>
        <v>0</v>
      </c>
      <c r="T1390" t="str">
        <f t="shared" si="173"/>
        <v>OK</v>
      </c>
      <c r="U1390" s="25">
        <f t="shared" si="174"/>
        <v>0</v>
      </c>
      <c r="V1390" t="str">
        <f t="shared" si="175"/>
        <v>OK</v>
      </c>
    </row>
    <row r="1391" spans="1:22" ht="18" customHeight="1">
      <c r="A1391" t="s">
        <v>324</v>
      </c>
      <c r="B1391" t="s">
        <v>325</v>
      </c>
      <c r="C1391">
        <v>8</v>
      </c>
      <c r="D1391" t="s">
        <v>286</v>
      </c>
      <c r="E1391" s="6">
        <f t="shared" si="168"/>
        <v>0</v>
      </c>
      <c r="F1391" s="6">
        <f t="shared" si="169"/>
        <v>0</v>
      </c>
      <c r="G1391" s="6">
        <f>ROUND(Catalogue!G73*SQRT((1+Paramètres!$B$4*(C1391-1)+Paramètres!$B$5*(C1391-1)^2)),0)</f>
        <v>0</v>
      </c>
      <c r="H1391" s="6">
        <f>ROUND(Catalogue!H73*SQRT((1+Paramètres!$B$4*(C1391-1)+Paramètres!$B$5*(C1391-1)^2)),0)</f>
        <v>0</v>
      </c>
      <c r="I1391" s="6">
        <v>0</v>
      </c>
      <c r="J1391" s="6">
        <v>0</v>
      </c>
      <c r="K1391" s="7">
        <v>0.5</v>
      </c>
      <c r="L1391" s="9">
        <f t="shared" si="170"/>
        <v>0</v>
      </c>
      <c r="M1391">
        <v>0</v>
      </c>
      <c r="N1391">
        <v>0</v>
      </c>
      <c r="O1391">
        <v>0</v>
      </c>
      <c r="P1391" s="13" t="str">
        <f t="shared" si="171"/>
        <v>—</v>
      </c>
      <c r="Q1391">
        <f>ROUND(INDEX(Catalogue!E$4:E$85,MATCH(A1391,Catalogue!A$4:A$85,0))*(1+Paramètres!$B$4*(C1391-1)+Paramètres!$B$5*(C1391-1)^2),0)</f>
        <v>0</v>
      </c>
      <c r="R1391">
        <f>ROUND(INDEX(Catalogue!F$4:F$85,MATCH(A1391,Catalogue!A$4:A$85,0))*(1+Paramètres!$B$4*(C1391-1)+Paramètres!$B$5*(C1391-1)^2),0)</f>
        <v>0</v>
      </c>
      <c r="S1391">
        <f t="shared" si="172"/>
        <v>0</v>
      </c>
      <c r="T1391" t="str">
        <f t="shared" si="173"/>
        <v>OK</v>
      </c>
      <c r="U1391" s="25">
        <f t="shared" si="174"/>
        <v>0</v>
      </c>
      <c r="V1391" t="str">
        <f t="shared" si="175"/>
        <v>OK</v>
      </c>
    </row>
    <row r="1392" spans="1:22" ht="18" customHeight="1">
      <c r="A1392" t="s">
        <v>324</v>
      </c>
      <c r="B1392" t="s">
        <v>325</v>
      </c>
      <c r="C1392">
        <v>9</v>
      </c>
      <c r="D1392" t="s">
        <v>286</v>
      </c>
      <c r="E1392" s="6">
        <f t="shared" si="168"/>
        <v>0</v>
      </c>
      <c r="F1392" s="6">
        <f t="shared" si="169"/>
        <v>0</v>
      </c>
      <c r="G1392" s="6">
        <f>ROUND(Catalogue!G73*SQRT((1+Paramètres!$B$4*(C1392-1)+Paramètres!$B$5*(C1392-1)^2)),0)</f>
        <v>0</v>
      </c>
      <c r="H1392" s="6">
        <f>ROUND(Catalogue!H73*SQRT((1+Paramètres!$B$4*(C1392-1)+Paramètres!$B$5*(C1392-1)^2)),0)</f>
        <v>0</v>
      </c>
      <c r="I1392" s="6">
        <v>0</v>
      </c>
      <c r="J1392" s="6">
        <v>0</v>
      </c>
      <c r="K1392" s="7">
        <v>0.5</v>
      </c>
      <c r="L1392" s="9">
        <f t="shared" si="170"/>
        <v>0</v>
      </c>
      <c r="M1392">
        <v>0</v>
      </c>
      <c r="N1392">
        <v>0</v>
      </c>
      <c r="O1392">
        <v>0</v>
      </c>
      <c r="P1392" s="13" t="str">
        <f t="shared" si="171"/>
        <v>—</v>
      </c>
      <c r="Q1392">
        <f>ROUND(INDEX(Catalogue!E$4:E$85,MATCH(A1392,Catalogue!A$4:A$85,0))*(1+Paramètres!$B$4*(C1392-1)+Paramètres!$B$5*(C1392-1)^2),0)</f>
        <v>0</v>
      </c>
      <c r="R1392">
        <f>ROUND(INDEX(Catalogue!F$4:F$85,MATCH(A1392,Catalogue!A$4:A$85,0))*(1+Paramètres!$B$4*(C1392-1)+Paramètres!$B$5*(C1392-1)^2),0)</f>
        <v>0</v>
      </c>
      <c r="S1392">
        <f t="shared" si="172"/>
        <v>0</v>
      </c>
      <c r="T1392" t="str">
        <f t="shared" si="173"/>
        <v>OK</v>
      </c>
      <c r="U1392" s="25">
        <f t="shared" si="174"/>
        <v>0</v>
      </c>
      <c r="V1392" t="str">
        <f t="shared" si="175"/>
        <v>OK</v>
      </c>
    </row>
    <row r="1393" spans="1:22" ht="18" customHeight="1">
      <c r="A1393" t="s">
        <v>324</v>
      </c>
      <c r="B1393" t="s">
        <v>325</v>
      </c>
      <c r="C1393">
        <v>10</v>
      </c>
      <c r="D1393" t="s">
        <v>286</v>
      </c>
      <c r="E1393" s="6">
        <f t="shared" si="168"/>
        <v>0</v>
      </c>
      <c r="F1393" s="6">
        <f t="shared" si="169"/>
        <v>0</v>
      </c>
      <c r="G1393" s="6">
        <f>ROUND(Catalogue!G73*SQRT((1+Paramètres!$B$4*(C1393-1)+Paramètres!$B$5*(C1393-1)^2)),0)</f>
        <v>0</v>
      </c>
      <c r="H1393" s="6">
        <f>ROUND(Catalogue!H73*SQRT((1+Paramètres!$B$4*(C1393-1)+Paramètres!$B$5*(C1393-1)^2)),0)</f>
        <v>0</v>
      </c>
      <c r="I1393" s="6">
        <v>0</v>
      </c>
      <c r="J1393" s="6">
        <v>0</v>
      </c>
      <c r="K1393" s="7">
        <v>0.5</v>
      </c>
      <c r="L1393" s="9">
        <f t="shared" si="170"/>
        <v>0</v>
      </c>
      <c r="M1393">
        <v>0</v>
      </c>
      <c r="N1393">
        <v>0</v>
      </c>
      <c r="O1393">
        <v>0</v>
      </c>
      <c r="P1393" s="13" t="str">
        <f t="shared" si="171"/>
        <v>—</v>
      </c>
      <c r="Q1393">
        <f>ROUND(INDEX(Catalogue!E$4:E$85,MATCH(A1393,Catalogue!A$4:A$85,0))*(1+Paramètres!$B$4*(C1393-1)+Paramètres!$B$5*(C1393-1)^2),0)</f>
        <v>0</v>
      </c>
      <c r="R1393">
        <f>ROUND(INDEX(Catalogue!F$4:F$85,MATCH(A1393,Catalogue!A$4:A$85,0))*(1+Paramètres!$B$4*(C1393-1)+Paramètres!$B$5*(C1393-1)^2),0)</f>
        <v>0</v>
      </c>
      <c r="S1393">
        <f t="shared" si="172"/>
        <v>0</v>
      </c>
      <c r="T1393" t="str">
        <f t="shared" si="173"/>
        <v>OK</v>
      </c>
      <c r="U1393" s="25">
        <f t="shared" si="174"/>
        <v>0</v>
      </c>
      <c r="V1393" t="str">
        <f t="shared" si="175"/>
        <v>OK</v>
      </c>
    </row>
    <row r="1394" spans="1:22" ht="18" customHeight="1">
      <c r="A1394" t="s">
        <v>324</v>
      </c>
      <c r="B1394" t="s">
        <v>325</v>
      </c>
      <c r="C1394">
        <v>11</v>
      </c>
      <c r="D1394" t="s">
        <v>286</v>
      </c>
      <c r="E1394" s="6">
        <f t="shared" si="168"/>
        <v>0</v>
      </c>
      <c r="F1394" s="6">
        <f t="shared" si="169"/>
        <v>0</v>
      </c>
      <c r="G1394" s="6">
        <f>ROUND(Catalogue!G73*SQRT((1+Paramètres!$B$4*(C1394-1)+Paramètres!$B$5*(C1394-1)^2)),0)</f>
        <v>0</v>
      </c>
      <c r="H1394" s="6">
        <f>ROUND(Catalogue!H73*SQRT((1+Paramètres!$B$4*(C1394-1)+Paramètres!$B$5*(C1394-1)^2)),0)</f>
        <v>0</v>
      </c>
      <c r="I1394" s="6">
        <v>0</v>
      </c>
      <c r="J1394" s="6">
        <v>0</v>
      </c>
      <c r="K1394" s="7">
        <v>0.5</v>
      </c>
      <c r="L1394" s="9">
        <f t="shared" si="170"/>
        <v>0</v>
      </c>
      <c r="M1394">
        <v>0</v>
      </c>
      <c r="N1394">
        <v>0</v>
      </c>
      <c r="O1394">
        <v>0</v>
      </c>
      <c r="P1394" s="13" t="str">
        <f t="shared" si="171"/>
        <v>—</v>
      </c>
      <c r="Q1394">
        <f>ROUND(INDEX(Catalogue!E$4:E$85,MATCH(A1394,Catalogue!A$4:A$85,0))*(1+Paramètres!$B$4*(C1394-1)+Paramètres!$B$5*(C1394-1)^2),0)</f>
        <v>0</v>
      </c>
      <c r="R1394">
        <f>ROUND(INDEX(Catalogue!F$4:F$85,MATCH(A1394,Catalogue!A$4:A$85,0))*(1+Paramètres!$B$4*(C1394-1)+Paramètres!$B$5*(C1394-1)^2),0)</f>
        <v>0</v>
      </c>
      <c r="S1394">
        <f t="shared" si="172"/>
        <v>0</v>
      </c>
      <c r="T1394" t="str">
        <f t="shared" si="173"/>
        <v>OK</v>
      </c>
      <c r="U1394" s="25">
        <f t="shared" si="174"/>
        <v>0</v>
      </c>
      <c r="V1394" t="str">
        <f t="shared" si="175"/>
        <v>OK</v>
      </c>
    </row>
    <row r="1395" spans="1:22" ht="18" customHeight="1">
      <c r="A1395" t="s">
        <v>324</v>
      </c>
      <c r="B1395" t="s">
        <v>325</v>
      </c>
      <c r="C1395">
        <v>12</v>
      </c>
      <c r="D1395" t="s">
        <v>286</v>
      </c>
      <c r="E1395" s="6">
        <f t="shared" si="168"/>
        <v>0</v>
      </c>
      <c r="F1395" s="6">
        <f t="shared" si="169"/>
        <v>0</v>
      </c>
      <c r="G1395" s="6">
        <f>ROUND(Catalogue!G73*SQRT((1+Paramètres!$B$4*(C1395-1)+Paramètres!$B$5*(C1395-1)^2)),0)</f>
        <v>0</v>
      </c>
      <c r="H1395" s="6">
        <f>ROUND(Catalogue!H73*SQRT((1+Paramètres!$B$4*(C1395-1)+Paramètres!$B$5*(C1395-1)^2)),0)</f>
        <v>0</v>
      </c>
      <c r="I1395" s="6">
        <v>0</v>
      </c>
      <c r="J1395" s="6">
        <v>0</v>
      </c>
      <c r="K1395" s="7">
        <v>0.5</v>
      </c>
      <c r="L1395" s="9">
        <f t="shared" si="170"/>
        <v>0</v>
      </c>
      <c r="M1395">
        <v>0</v>
      </c>
      <c r="N1395">
        <v>0</v>
      </c>
      <c r="O1395">
        <v>0</v>
      </c>
      <c r="P1395" s="13" t="str">
        <f t="shared" si="171"/>
        <v>—</v>
      </c>
      <c r="Q1395">
        <f>ROUND(INDEX(Catalogue!E$4:E$85,MATCH(A1395,Catalogue!A$4:A$85,0))*(1+Paramètres!$B$4*(C1395-1)+Paramètres!$B$5*(C1395-1)^2),0)</f>
        <v>0</v>
      </c>
      <c r="R1395">
        <f>ROUND(INDEX(Catalogue!F$4:F$85,MATCH(A1395,Catalogue!A$4:A$85,0))*(1+Paramètres!$B$4*(C1395-1)+Paramètres!$B$5*(C1395-1)^2),0)</f>
        <v>0</v>
      </c>
      <c r="S1395">
        <f t="shared" si="172"/>
        <v>0</v>
      </c>
      <c r="T1395" t="str">
        <f t="shared" si="173"/>
        <v>OK</v>
      </c>
      <c r="U1395" s="25">
        <f t="shared" si="174"/>
        <v>0</v>
      </c>
      <c r="V1395" t="str">
        <f t="shared" si="175"/>
        <v>OK</v>
      </c>
    </row>
    <row r="1396" spans="1:22" ht="18" customHeight="1">
      <c r="A1396" t="s">
        <v>324</v>
      </c>
      <c r="B1396" t="s">
        <v>325</v>
      </c>
      <c r="C1396">
        <v>13</v>
      </c>
      <c r="D1396" t="s">
        <v>286</v>
      </c>
      <c r="E1396" s="6">
        <f t="shared" si="168"/>
        <v>0</v>
      </c>
      <c r="F1396" s="6">
        <f t="shared" si="169"/>
        <v>0</v>
      </c>
      <c r="G1396" s="6">
        <f>ROUND(Catalogue!G73*SQRT((1+Paramètres!$B$4*(C1396-1)+Paramètres!$B$5*(C1396-1)^2)),0)</f>
        <v>0</v>
      </c>
      <c r="H1396" s="6">
        <f>ROUND(Catalogue!H73*SQRT((1+Paramètres!$B$4*(C1396-1)+Paramètres!$B$5*(C1396-1)^2)),0)</f>
        <v>0</v>
      </c>
      <c r="I1396" s="6">
        <v>0</v>
      </c>
      <c r="J1396" s="6">
        <v>0</v>
      </c>
      <c r="K1396" s="7">
        <v>0.5</v>
      </c>
      <c r="L1396" s="9">
        <f t="shared" si="170"/>
        <v>0</v>
      </c>
      <c r="M1396">
        <v>0</v>
      </c>
      <c r="N1396">
        <v>0</v>
      </c>
      <c r="O1396">
        <v>0</v>
      </c>
      <c r="P1396" s="13" t="str">
        <f t="shared" si="171"/>
        <v>—</v>
      </c>
      <c r="Q1396">
        <f>ROUND(INDEX(Catalogue!E$4:E$85,MATCH(A1396,Catalogue!A$4:A$85,0))*(1+Paramètres!$B$4*(C1396-1)+Paramètres!$B$5*(C1396-1)^2),0)</f>
        <v>0</v>
      </c>
      <c r="R1396">
        <f>ROUND(INDEX(Catalogue!F$4:F$85,MATCH(A1396,Catalogue!A$4:A$85,0))*(1+Paramètres!$B$4*(C1396-1)+Paramètres!$B$5*(C1396-1)^2),0)</f>
        <v>0</v>
      </c>
      <c r="S1396">
        <f t="shared" si="172"/>
        <v>0</v>
      </c>
      <c r="T1396" t="str">
        <f t="shared" si="173"/>
        <v>OK</v>
      </c>
      <c r="U1396" s="25">
        <f t="shared" si="174"/>
        <v>0</v>
      </c>
      <c r="V1396" t="str">
        <f t="shared" si="175"/>
        <v>OK</v>
      </c>
    </row>
    <row r="1397" spans="1:22" ht="18" customHeight="1">
      <c r="A1397" t="s">
        <v>324</v>
      </c>
      <c r="B1397" t="s">
        <v>325</v>
      </c>
      <c r="C1397">
        <v>14</v>
      </c>
      <c r="D1397" t="s">
        <v>286</v>
      </c>
      <c r="E1397" s="6">
        <f t="shared" si="168"/>
        <v>0</v>
      </c>
      <c r="F1397" s="6">
        <f t="shared" si="169"/>
        <v>0</v>
      </c>
      <c r="G1397" s="6">
        <f>ROUND(Catalogue!G73*SQRT((1+Paramètres!$B$4*(C1397-1)+Paramètres!$B$5*(C1397-1)^2)),0)</f>
        <v>0</v>
      </c>
      <c r="H1397" s="6">
        <f>ROUND(Catalogue!H73*SQRT((1+Paramètres!$B$4*(C1397-1)+Paramètres!$B$5*(C1397-1)^2)),0)</f>
        <v>0</v>
      </c>
      <c r="I1397" s="6">
        <v>0</v>
      </c>
      <c r="J1397" s="6">
        <v>0</v>
      </c>
      <c r="K1397" s="7">
        <v>0.5</v>
      </c>
      <c r="L1397" s="9">
        <f t="shared" si="170"/>
        <v>0</v>
      </c>
      <c r="M1397">
        <v>0</v>
      </c>
      <c r="N1397">
        <v>0</v>
      </c>
      <c r="O1397">
        <v>0</v>
      </c>
      <c r="P1397" s="13" t="str">
        <f t="shared" si="171"/>
        <v>—</v>
      </c>
      <c r="Q1397">
        <f>ROUND(INDEX(Catalogue!E$4:E$85,MATCH(A1397,Catalogue!A$4:A$85,0))*(1+Paramètres!$B$4*(C1397-1)+Paramètres!$B$5*(C1397-1)^2),0)</f>
        <v>0</v>
      </c>
      <c r="R1397">
        <f>ROUND(INDEX(Catalogue!F$4:F$85,MATCH(A1397,Catalogue!A$4:A$85,0))*(1+Paramètres!$B$4*(C1397-1)+Paramètres!$B$5*(C1397-1)^2),0)</f>
        <v>0</v>
      </c>
      <c r="S1397">
        <f t="shared" si="172"/>
        <v>0</v>
      </c>
      <c r="T1397" t="str">
        <f t="shared" si="173"/>
        <v>OK</v>
      </c>
      <c r="U1397" s="25">
        <f t="shared" si="174"/>
        <v>0</v>
      </c>
      <c r="V1397" t="str">
        <f t="shared" si="175"/>
        <v>OK</v>
      </c>
    </row>
    <row r="1398" spans="1:22" ht="18" customHeight="1">
      <c r="A1398" t="s">
        <v>324</v>
      </c>
      <c r="B1398" t="s">
        <v>325</v>
      </c>
      <c r="C1398">
        <v>15</v>
      </c>
      <c r="D1398" t="s">
        <v>286</v>
      </c>
      <c r="E1398" s="6">
        <f t="shared" si="168"/>
        <v>0</v>
      </c>
      <c r="F1398" s="6">
        <f t="shared" si="169"/>
        <v>0</v>
      </c>
      <c r="G1398" s="6">
        <f>ROUND(Catalogue!G73*SQRT((1+Paramètres!$B$4*(C1398-1)+Paramètres!$B$5*(C1398-1)^2)),0)</f>
        <v>0</v>
      </c>
      <c r="H1398" s="6">
        <f>ROUND(Catalogue!H73*SQRT((1+Paramètres!$B$4*(C1398-1)+Paramètres!$B$5*(C1398-1)^2)),0)</f>
        <v>0</v>
      </c>
      <c r="I1398" s="6">
        <v>0</v>
      </c>
      <c r="J1398" s="6">
        <v>0</v>
      </c>
      <c r="K1398" s="7">
        <v>0.5</v>
      </c>
      <c r="L1398" s="9">
        <f t="shared" si="170"/>
        <v>0</v>
      </c>
      <c r="M1398">
        <v>0</v>
      </c>
      <c r="N1398">
        <v>0</v>
      </c>
      <c r="O1398">
        <v>0</v>
      </c>
      <c r="P1398" s="13" t="str">
        <f t="shared" si="171"/>
        <v>—</v>
      </c>
      <c r="Q1398">
        <f>ROUND(INDEX(Catalogue!E$4:E$85,MATCH(A1398,Catalogue!A$4:A$85,0))*(1+Paramètres!$B$4*(C1398-1)+Paramètres!$B$5*(C1398-1)^2),0)</f>
        <v>0</v>
      </c>
      <c r="R1398">
        <f>ROUND(INDEX(Catalogue!F$4:F$85,MATCH(A1398,Catalogue!A$4:A$85,0))*(1+Paramètres!$B$4*(C1398-1)+Paramètres!$B$5*(C1398-1)^2),0)</f>
        <v>0</v>
      </c>
      <c r="S1398">
        <f t="shared" si="172"/>
        <v>0</v>
      </c>
      <c r="T1398" t="str">
        <f t="shared" si="173"/>
        <v>OK</v>
      </c>
      <c r="U1398" s="25">
        <f t="shared" si="174"/>
        <v>0</v>
      </c>
      <c r="V1398" t="str">
        <f t="shared" si="175"/>
        <v>OK</v>
      </c>
    </row>
    <row r="1399" spans="1:22" ht="18" customHeight="1">
      <c r="A1399" t="s">
        <v>324</v>
      </c>
      <c r="B1399" t="s">
        <v>325</v>
      </c>
      <c r="C1399">
        <v>16</v>
      </c>
      <c r="D1399" t="s">
        <v>286</v>
      </c>
      <c r="E1399" s="6">
        <f t="shared" si="168"/>
        <v>0</v>
      </c>
      <c r="F1399" s="6">
        <f t="shared" si="169"/>
        <v>0</v>
      </c>
      <c r="G1399" s="6">
        <f>ROUND(Catalogue!G73*SQRT((1+Paramètres!$B$4*(C1399-1)+Paramètres!$B$5*(C1399-1)^2)),0)</f>
        <v>0</v>
      </c>
      <c r="H1399" s="6">
        <f>ROUND(Catalogue!H73*SQRT((1+Paramètres!$B$4*(C1399-1)+Paramètres!$B$5*(C1399-1)^2)),0)</f>
        <v>0</v>
      </c>
      <c r="I1399" s="6">
        <v>0</v>
      </c>
      <c r="J1399" s="6">
        <v>0</v>
      </c>
      <c r="K1399" s="7">
        <v>0.5</v>
      </c>
      <c r="L1399" s="9">
        <f t="shared" si="170"/>
        <v>0</v>
      </c>
      <c r="M1399">
        <v>0</v>
      </c>
      <c r="N1399">
        <v>0</v>
      </c>
      <c r="O1399">
        <v>0</v>
      </c>
      <c r="P1399" s="13" t="str">
        <f t="shared" si="171"/>
        <v>—</v>
      </c>
      <c r="Q1399">
        <f>ROUND(INDEX(Catalogue!E$4:E$85,MATCH(A1399,Catalogue!A$4:A$85,0))*(1+Paramètres!$B$4*(C1399-1)+Paramètres!$B$5*(C1399-1)^2),0)</f>
        <v>0</v>
      </c>
      <c r="R1399">
        <f>ROUND(INDEX(Catalogue!F$4:F$85,MATCH(A1399,Catalogue!A$4:A$85,0))*(1+Paramètres!$B$4*(C1399-1)+Paramètres!$B$5*(C1399-1)^2),0)</f>
        <v>0</v>
      </c>
      <c r="S1399">
        <f t="shared" si="172"/>
        <v>0</v>
      </c>
      <c r="T1399" t="str">
        <f t="shared" si="173"/>
        <v>OK</v>
      </c>
      <c r="U1399" s="25">
        <f t="shared" si="174"/>
        <v>0</v>
      </c>
      <c r="V1399" t="str">
        <f t="shared" si="175"/>
        <v>OK</v>
      </c>
    </row>
    <row r="1400" spans="1:22" ht="18" customHeight="1">
      <c r="A1400" t="s">
        <v>324</v>
      </c>
      <c r="B1400" t="s">
        <v>325</v>
      </c>
      <c r="C1400">
        <v>17</v>
      </c>
      <c r="D1400" t="s">
        <v>286</v>
      </c>
      <c r="E1400" s="6">
        <f t="shared" si="168"/>
        <v>0</v>
      </c>
      <c r="F1400" s="6">
        <f t="shared" si="169"/>
        <v>0</v>
      </c>
      <c r="G1400" s="6">
        <f>ROUND(Catalogue!G73*SQRT((1+Paramètres!$B$4*(C1400-1)+Paramètres!$B$5*(C1400-1)^2)),0)</f>
        <v>0</v>
      </c>
      <c r="H1400" s="6">
        <f>ROUND(Catalogue!H73*SQRT((1+Paramètres!$B$4*(C1400-1)+Paramètres!$B$5*(C1400-1)^2)),0)</f>
        <v>0</v>
      </c>
      <c r="I1400" s="6">
        <v>0</v>
      </c>
      <c r="J1400" s="6">
        <v>0</v>
      </c>
      <c r="K1400" s="7">
        <v>0.5</v>
      </c>
      <c r="L1400" s="9">
        <f t="shared" si="170"/>
        <v>0</v>
      </c>
      <c r="M1400">
        <v>0</v>
      </c>
      <c r="N1400">
        <v>0</v>
      </c>
      <c r="O1400">
        <v>0</v>
      </c>
      <c r="P1400" s="13" t="str">
        <f t="shared" si="171"/>
        <v>—</v>
      </c>
      <c r="Q1400">
        <f>ROUND(INDEX(Catalogue!E$4:E$85,MATCH(A1400,Catalogue!A$4:A$85,0))*(1+Paramètres!$B$4*(C1400-1)+Paramètres!$B$5*(C1400-1)^2),0)</f>
        <v>0</v>
      </c>
      <c r="R1400">
        <f>ROUND(INDEX(Catalogue!F$4:F$85,MATCH(A1400,Catalogue!A$4:A$85,0))*(1+Paramètres!$B$4*(C1400-1)+Paramètres!$B$5*(C1400-1)^2),0)</f>
        <v>0</v>
      </c>
      <c r="S1400">
        <f t="shared" si="172"/>
        <v>0</v>
      </c>
      <c r="T1400" t="str">
        <f t="shared" si="173"/>
        <v>OK</v>
      </c>
      <c r="U1400" s="25">
        <f t="shared" si="174"/>
        <v>0</v>
      </c>
      <c r="V1400" t="str">
        <f t="shared" si="175"/>
        <v>OK</v>
      </c>
    </row>
    <row r="1401" spans="1:22" ht="18" customHeight="1">
      <c r="A1401" t="s">
        <v>324</v>
      </c>
      <c r="B1401" t="s">
        <v>325</v>
      </c>
      <c r="C1401">
        <v>18</v>
      </c>
      <c r="D1401" t="s">
        <v>286</v>
      </c>
      <c r="E1401" s="6">
        <f t="shared" si="168"/>
        <v>0</v>
      </c>
      <c r="F1401" s="6">
        <f t="shared" si="169"/>
        <v>0</v>
      </c>
      <c r="G1401" s="6">
        <f>ROUND(Catalogue!G73*SQRT((1+Paramètres!$B$4*(C1401-1)+Paramètres!$B$5*(C1401-1)^2)),0)</f>
        <v>0</v>
      </c>
      <c r="H1401" s="6">
        <f>ROUND(Catalogue!H73*SQRT((1+Paramètres!$B$4*(C1401-1)+Paramètres!$B$5*(C1401-1)^2)),0)</f>
        <v>0</v>
      </c>
      <c r="I1401" s="6">
        <v>0</v>
      </c>
      <c r="J1401" s="6">
        <v>0</v>
      </c>
      <c r="K1401" s="7">
        <v>0.5</v>
      </c>
      <c r="L1401" s="9">
        <f t="shared" si="170"/>
        <v>0</v>
      </c>
      <c r="M1401">
        <v>0</v>
      </c>
      <c r="N1401">
        <v>0</v>
      </c>
      <c r="O1401">
        <v>0</v>
      </c>
      <c r="P1401" s="13" t="str">
        <f t="shared" si="171"/>
        <v>—</v>
      </c>
      <c r="Q1401">
        <f>ROUND(INDEX(Catalogue!E$4:E$85,MATCH(A1401,Catalogue!A$4:A$85,0))*(1+Paramètres!$B$4*(C1401-1)+Paramètres!$B$5*(C1401-1)^2),0)</f>
        <v>0</v>
      </c>
      <c r="R1401">
        <f>ROUND(INDEX(Catalogue!F$4:F$85,MATCH(A1401,Catalogue!A$4:A$85,0))*(1+Paramètres!$B$4*(C1401-1)+Paramètres!$B$5*(C1401-1)^2),0)</f>
        <v>0</v>
      </c>
      <c r="S1401">
        <f t="shared" si="172"/>
        <v>0</v>
      </c>
      <c r="T1401" t="str">
        <f t="shared" si="173"/>
        <v>OK</v>
      </c>
      <c r="U1401" s="25">
        <f t="shared" si="174"/>
        <v>0</v>
      </c>
      <c r="V1401" t="str">
        <f t="shared" si="175"/>
        <v>OK</v>
      </c>
    </row>
    <row r="1402" spans="1:22" ht="18" customHeight="1">
      <c r="A1402" t="s">
        <v>324</v>
      </c>
      <c r="B1402" t="s">
        <v>325</v>
      </c>
      <c r="C1402">
        <v>19</v>
      </c>
      <c r="D1402" t="s">
        <v>286</v>
      </c>
      <c r="E1402" s="6">
        <f t="shared" si="168"/>
        <v>0</v>
      </c>
      <c r="F1402" s="6">
        <f t="shared" si="169"/>
        <v>0</v>
      </c>
      <c r="G1402" s="6">
        <f>ROUND(Catalogue!G73*SQRT((1+Paramètres!$B$4*(C1402-1)+Paramètres!$B$5*(C1402-1)^2)),0)</f>
        <v>0</v>
      </c>
      <c r="H1402" s="6">
        <f>ROUND(Catalogue!H73*SQRT((1+Paramètres!$B$4*(C1402-1)+Paramètres!$B$5*(C1402-1)^2)),0)</f>
        <v>0</v>
      </c>
      <c r="I1402" s="6">
        <v>0</v>
      </c>
      <c r="J1402" s="6">
        <v>0</v>
      </c>
      <c r="K1402" s="7">
        <v>0.5</v>
      </c>
      <c r="L1402" s="9">
        <f t="shared" si="170"/>
        <v>0</v>
      </c>
      <c r="M1402">
        <v>0</v>
      </c>
      <c r="N1402">
        <v>0</v>
      </c>
      <c r="O1402">
        <v>0</v>
      </c>
      <c r="P1402" s="13" t="str">
        <f t="shared" si="171"/>
        <v>—</v>
      </c>
      <c r="Q1402">
        <f>ROUND(INDEX(Catalogue!E$4:E$85,MATCH(A1402,Catalogue!A$4:A$85,0))*(1+Paramètres!$B$4*(C1402-1)+Paramètres!$B$5*(C1402-1)^2),0)</f>
        <v>0</v>
      </c>
      <c r="R1402">
        <f>ROUND(INDEX(Catalogue!F$4:F$85,MATCH(A1402,Catalogue!A$4:A$85,0))*(1+Paramètres!$B$4*(C1402-1)+Paramètres!$B$5*(C1402-1)^2),0)</f>
        <v>0</v>
      </c>
      <c r="S1402">
        <f t="shared" si="172"/>
        <v>0</v>
      </c>
      <c r="T1402" t="str">
        <f t="shared" si="173"/>
        <v>OK</v>
      </c>
      <c r="U1402" s="25">
        <f t="shared" si="174"/>
        <v>0</v>
      </c>
      <c r="V1402" t="str">
        <f t="shared" si="175"/>
        <v>OK</v>
      </c>
    </row>
    <row r="1403" spans="1:22" ht="18" customHeight="1">
      <c r="A1403" t="s">
        <v>324</v>
      </c>
      <c r="B1403" t="s">
        <v>325</v>
      </c>
      <c r="C1403">
        <v>20</v>
      </c>
      <c r="D1403" t="s">
        <v>286</v>
      </c>
      <c r="E1403" s="6">
        <f t="shared" si="168"/>
        <v>0</v>
      </c>
      <c r="F1403" s="6">
        <f t="shared" si="169"/>
        <v>0</v>
      </c>
      <c r="G1403" s="6">
        <f>ROUND(Catalogue!G73*SQRT((1+Paramètres!$B$4*(C1403-1)+Paramètres!$B$5*(C1403-1)^2)),0)</f>
        <v>0</v>
      </c>
      <c r="H1403" s="6">
        <f>ROUND(Catalogue!H73*SQRT((1+Paramètres!$B$4*(C1403-1)+Paramètres!$B$5*(C1403-1)^2)),0)</f>
        <v>0</v>
      </c>
      <c r="I1403" s="6">
        <v>0</v>
      </c>
      <c r="J1403" s="6">
        <v>0</v>
      </c>
      <c r="K1403" s="7">
        <v>0.5</v>
      </c>
      <c r="L1403" s="9">
        <f t="shared" si="170"/>
        <v>0</v>
      </c>
      <c r="M1403">
        <v>0</v>
      </c>
      <c r="N1403">
        <v>0</v>
      </c>
      <c r="O1403">
        <v>0</v>
      </c>
      <c r="P1403" s="13" t="str">
        <f t="shared" si="171"/>
        <v>—</v>
      </c>
      <c r="Q1403">
        <f>ROUND(INDEX(Catalogue!E$4:E$85,MATCH(A1403,Catalogue!A$4:A$85,0))*(1+Paramètres!$B$4*(C1403-1)+Paramètres!$B$5*(C1403-1)^2),0)</f>
        <v>0</v>
      </c>
      <c r="R1403">
        <f>ROUND(INDEX(Catalogue!F$4:F$85,MATCH(A1403,Catalogue!A$4:A$85,0))*(1+Paramètres!$B$4*(C1403-1)+Paramètres!$B$5*(C1403-1)^2),0)</f>
        <v>0</v>
      </c>
      <c r="S1403">
        <f t="shared" si="172"/>
        <v>0</v>
      </c>
      <c r="T1403" t="str">
        <f t="shared" si="173"/>
        <v>OK</v>
      </c>
      <c r="U1403" s="25">
        <f t="shared" si="174"/>
        <v>0</v>
      </c>
      <c r="V1403" t="str">
        <f t="shared" si="175"/>
        <v>OK</v>
      </c>
    </row>
    <row r="1404" spans="1:22" ht="18" customHeight="1">
      <c r="A1404" t="s">
        <v>329</v>
      </c>
      <c r="B1404" t="s">
        <v>330</v>
      </c>
      <c r="C1404">
        <v>1</v>
      </c>
      <c r="D1404" t="s">
        <v>286</v>
      </c>
      <c r="E1404" s="6">
        <f t="shared" si="168"/>
        <v>0</v>
      </c>
      <c r="F1404" s="6">
        <f t="shared" si="169"/>
        <v>0</v>
      </c>
      <c r="G1404" s="6">
        <f>ROUND(Catalogue!G74*SQRT((1+Paramètres!$B$4*(C1404-1)+Paramètres!$B$5*(C1404-1)^2)),0)</f>
        <v>0</v>
      </c>
      <c r="H1404" s="6">
        <f>ROUND(Catalogue!H74*SQRT((1+Paramètres!$B$4*(C1404-1)+Paramètres!$B$5*(C1404-1)^2)),0)</f>
        <v>0</v>
      </c>
      <c r="I1404" s="6">
        <v>0</v>
      </c>
      <c r="J1404" s="6">
        <v>0</v>
      </c>
      <c r="K1404" s="7">
        <v>1.2</v>
      </c>
      <c r="L1404" s="9">
        <f t="shared" si="170"/>
        <v>0</v>
      </c>
      <c r="M1404">
        <v>0</v>
      </c>
      <c r="N1404">
        <v>0</v>
      </c>
      <c r="O1404">
        <v>0</v>
      </c>
      <c r="P1404" s="13" t="str">
        <f t="shared" si="171"/>
        <v>—</v>
      </c>
      <c r="Q1404">
        <f>ROUND(INDEX(Catalogue!E$4:E$85,MATCH(A1404,Catalogue!A$4:A$85,0))*(1+Paramètres!$B$4*(C1404-1)+Paramètres!$B$5*(C1404-1)^2),0)</f>
        <v>0</v>
      </c>
      <c r="R1404">
        <f>ROUND(INDEX(Catalogue!F$4:F$85,MATCH(A1404,Catalogue!A$4:A$85,0))*(1+Paramètres!$B$4*(C1404-1)+Paramètres!$B$5*(C1404-1)^2),0)</f>
        <v>0</v>
      </c>
      <c r="S1404">
        <f t="shared" si="172"/>
        <v>0</v>
      </c>
      <c r="T1404" t="str">
        <f t="shared" si="173"/>
        <v>OK</v>
      </c>
      <c r="U1404" s="25">
        <f t="shared" si="174"/>
        <v>0</v>
      </c>
      <c r="V1404" t="str">
        <f t="shared" si="175"/>
        <v>OK</v>
      </c>
    </row>
    <row r="1405" spans="1:22" ht="18" customHeight="1">
      <c r="A1405" t="s">
        <v>329</v>
      </c>
      <c r="B1405" t="s">
        <v>330</v>
      </c>
      <c r="C1405">
        <v>2</v>
      </c>
      <c r="D1405" t="s">
        <v>286</v>
      </c>
      <c r="E1405" s="6">
        <f t="shared" si="168"/>
        <v>0</v>
      </c>
      <c r="F1405" s="6">
        <f t="shared" si="169"/>
        <v>0</v>
      </c>
      <c r="G1405" s="6">
        <f>ROUND(Catalogue!G74*SQRT((1+Paramètres!$B$4*(C1405-1)+Paramètres!$B$5*(C1405-1)^2)),0)</f>
        <v>0</v>
      </c>
      <c r="H1405" s="6">
        <f>ROUND(Catalogue!H74*SQRT((1+Paramètres!$B$4*(C1405-1)+Paramètres!$B$5*(C1405-1)^2)),0)</f>
        <v>0</v>
      </c>
      <c r="I1405" s="6">
        <v>0</v>
      </c>
      <c r="J1405" s="6">
        <v>0</v>
      </c>
      <c r="K1405" s="7">
        <v>1.2</v>
      </c>
      <c r="L1405" s="9">
        <f t="shared" si="170"/>
        <v>0</v>
      </c>
      <c r="M1405">
        <v>0</v>
      </c>
      <c r="N1405">
        <v>0</v>
      </c>
      <c r="O1405">
        <v>0</v>
      </c>
      <c r="P1405" s="13" t="str">
        <f t="shared" si="171"/>
        <v>—</v>
      </c>
      <c r="Q1405">
        <f>ROUND(INDEX(Catalogue!E$4:E$85,MATCH(A1405,Catalogue!A$4:A$85,0))*(1+Paramètres!$B$4*(C1405-1)+Paramètres!$B$5*(C1405-1)^2),0)</f>
        <v>0</v>
      </c>
      <c r="R1405">
        <f>ROUND(INDEX(Catalogue!F$4:F$85,MATCH(A1405,Catalogue!A$4:A$85,0))*(1+Paramètres!$B$4*(C1405-1)+Paramètres!$B$5*(C1405-1)^2),0)</f>
        <v>0</v>
      </c>
      <c r="S1405">
        <f t="shared" si="172"/>
        <v>0</v>
      </c>
      <c r="T1405" t="str">
        <f t="shared" si="173"/>
        <v>OK</v>
      </c>
      <c r="U1405" s="25">
        <f t="shared" si="174"/>
        <v>0</v>
      </c>
      <c r="V1405" t="str">
        <f t="shared" si="175"/>
        <v>OK</v>
      </c>
    </row>
    <row r="1406" spans="1:22" ht="18" customHeight="1">
      <c r="A1406" t="s">
        <v>329</v>
      </c>
      <c r="B1406" t="s">
        <v>330</v>
      </c>
      <c r="C1406">
        <v>3</v>
      </c>
      <c r="D1406" t="s">
        <v>286</v>
      </c>
      <c r="E1406" s="6">
        <f t="shared" si="168"/>
        <v>0</v>
      </c>
      <c r="F1406" s="6">
        <f t="shared" si="169"/>
        <v>0</v>
      </c>
      <c r="G1406" s="6">
        <f>ROUND(Catalogue!G74*SQRT((1+Paramètres!$B$4*(C1406-1)+Paramètres!$B$5*(C1406-1)^2)),0)</f>
        <v>0</v>
      </c>
      <c r="H1406" s="6">
        <f>ROUND(Catalogue!H74*SQRT((1+Paramètres!$B$4*(C1406-1)+Paramètres!$B$5*(C1406-1)^2)),0)</f>
        <v>0</v>
      </c>
      <c r="I1406" s="6">
        <v>0</v>
      </c>
      <c r="J1406" s="6">
        <v>0</v>
      </c>
      <c r="K1406" s="7">
        <v>1.2</v>
      </c>
      <c r="L1406" s="9">
        <f t="shared" si="170"/>
        <v>0</v>
      </c>
      <c r="M1406">
        <v>0</v>
      </c>
      <c r="N1406">
        <v>0</v>
      </c>
      <c r="O1406">
        <v>0</v>
      </c>
      <c r="P1406" s="13" t="str">
        <f t="shared" si="171"/>
        <v>—</v>
      </c>
      <c r="Q1406">
        <f>ROUND(INDEX(Catalogue!E$4:E$85,MATCH(A1406,Catalogue!A$4:A$85,0))*(1+Paramètres!$B$4*(C1406-1)+Paramètres!$B$5*(C1406-1)^2),0)</f>
        <v>0</v>
      </c>
      <c r="R1406">
        <f>ROUND(INDEX(Catalogue!F$4:F$85,MATCH(A1406,Catalogue!A$4:A$85,0))*(1+Paramètres!$B$4*(C1406-1)+Paramètres!$B$5*(C1406-1)^2),0)</f>
        <v>0</v>
      </c>
      <c r="S1406">
        <f t="shared" si="172"/>
        <v>0</v>
      </c>
      <c r="T1406" t="str">
        <f t="shared" si="173"/>
        <v>OK</v>
      </c>
      <c r="U1406" s="25">
        <f t="shared" si="174"/>
        <v>0</v>
      </c>
      <c r="V1406" t="str">
        <f t="shared" si="175"/>
        <v>OK</v>
      </c>
    </row>
    <row r="1407" spans="1:22" ht="18" customHeight="1">
      <c r="A1407" t="s">
        <v>329</v>
      </c>
      <c r="B1407" t="s">
        <v>330</v>
      </c>
      <c r="C1407">
        <v>4</v>
      </c>
      <c r="D1407" t="s">
        <v>286</v>
      </c>
      <c r="E1407" s="6">
        <f t="shared" si="168"/>
        <v>0</v>
      </c>
      <c r="F1407" s="6">
        <f t="shared" si="169"/>
        <v>0</v>
      </c>
      <c r="G1407" s="6">
        <f>ROUND(Catalogue!G74*SQRT((1+Paramètres!$B$4*(C1407-1)+Paramètres!$B$5*(C1407-1)^2)),0)</f>
        <v>0</v>
      </c>
      <c r="H1407" s="6">
        <f>ROUND(Catalogue!H74*SQRT((1+Paramètres!$B$4*(C1407-1)+Paramètres!$B$5*(C1407-1)^2)),0)</f>
        <v>0</v>
      </c>
      <c r="I1407" s="6">
        <v>0</v>
      </c>
      <c r="J1407" s="6">
        <v>0</v>
      </c>
      <c r="K1407" s="7">
        <v>1.2</v>
      </c>
      <c r="L1407" s="9">
        <f t="shared" si="170"/>
        <v>0</v>
      </c>
      <c r="M1407">
        <v>0</v>
      </c>
      <c r="N1407">
        <v>0</v>
      </c>
      <c r="O1407">
        <v>0</v>
      </c>
      <c r="P1407" s="13" t="str">
        <f t="shared" si="171"/>
        <v>—</v>
      </c>
      <c r="Q1407">
        <f>ROUND(INDEX(Catalogue!E$4:E$85,MATCH(A1407,Catalogue!A$4:A$85,0))*(1+Paramètres!$B$4*(C1407-1)+Paramètres!$B$5*(C1407-1)^2),0)</f>
        <v>0</v>
      </c>
      <c r="R1407">
        <f>ROUND(INDEX(Catalogue!F$4:F$85,MATCH(A1407,Catalogue!A$4:A$85,0))*(1+Paramètres!$B$4*(C1407-1)+Paramètres!$B$5*(C1407-1)^2),0)</f>
        <v>0</v>
      </c>
      <c r="S1407">
        <f t="shared" si="172"/>
        <v>0</v>
      </c>
      <c r="T1407" t="str">
        <f t="shared" si="173"/>
        <v>OK</v>
      </c>
      <c r="U1407" s="25">
        <f t="shared" si="174"/>
        <v>0</v>
      </c>
      <c r="V1407" t="str">
        <f t="shared" si="175"/>
        <v>OK</v>
      </c>
    </row>
    <row r="1408" spans="1:22" ht="18" customHeight="1">
      <c r="A1408" t="s">
        <v>329</v>
      </c>
      <c r="B1408" t="s">
        <v>330</v>
      </c>
      <c r="C1408">
        <v>5</v>
      </c>
      <c r="D1408" t="s">
        <v>286</v>
      </c>
      <c r="E1408" s="6">
        <f t="shared" si="168"/>
        <v>0</v>
      </c>
      <c r="F1408" s="6">
        <f t="shared" si="169"/>
        <v>0</v>
      </c>
      <c r="G1408" s="6">
        <f>ROUND(Catalogue!G74*SQRT((1+Paramètres!$B$4*(C1408-1)+Paramètres!$B$5*(C1408-1)^2)),0)</f>
        <v>0</v>
      </c>
      <c r="H1408" s="6">
        <f>ROUND(Catalogue!H74*SQRT((1+Paramètres!$B$4*(C1408-1)+Paramètres!$B$5*(C1408-1)^2)),0)</f>
        <v>0</v>
      </c>
      <c r="I1408" s="6">
        <v>0</v>
      </c>
      <c r="J1408" s="6">
        <v>0</v>
      </c>
      <c r="K1408" s="7">
        <v>1.2</v>
      </c>
      <c r="L1408" s="9">
        <f t="shared" si="170"/>
        <v>0</v>
      </c>
      <c r="M1408">
        <v>0</v>
      </c>
      <c r="N1408">
        <v>0</v>
      </c>
      <c r="O1408">
        <v>0</v>
      </c>
      <c r="P1408" s="13" t="str">
        <f t="shared" si="171"/>
        <v>—</v>
      </c>
      <c r="Q1408">
        <f>ROUND(INDEX(Catalogue!E$4:E$85,MATCH(A1408,Catalogue!A$4:A$85,0))*(1+Paramètres!$B$4*(C1408-1)+Paramètres!$B$5*(C1408-1)^2),0)</f>
        <v>0</v>
      </c>
      <c r="R1408">
        <f>ROUND(INDEX(Catalogue!F$4:F$85,MATCH(A1408,Catalogue!A$4:A$85,0))*(1+Paramètres!$B$4*(C1408-1)+Paramètres!$B$5*(C1408-1)^2),0)</f>
        <v>0</v>
      </c>
      <c r="S1408">
        <f t="shared" si="172"/>
        <v>0</v>
      </c>
      <c r="T1408" t="str">
        <f t="shared" si="173"/>
        <v>OK</v>
      </c>
      <c r="U1408" s="25">
        <f t="shared" si="174"/>
        <v>0</v>
      </c>
      <c r="V1408" t="str">
        <f t="shared" si="175"/>
        <v>OK</v>
      </c>
    </row>
    <row r="1409" spans="1:22" ht="18" customHeight="1">
      <c r="A1409" t="s">
        <v>329</v>
      </c>
      <c r="B1409" t="s">
        <v>330</v>
      </c>
      <c r="C1409">
        <v>6</v>
      </c>
      <c r="D1409" t="s">
        <v>286</v>
      </c>
      <c r="E1409" s="6">
        <f t="shared" si="168"/>
        <v>0</v>
      </c>
      <c r="F1409" s="6">
        <f t="shared" si="169"/>
        <v>0</v>
      </c>
      <c r="G1409" s="6">
        <f>ROUND(Catalogue!G74*SQRT((1+Paramètres!$B$4*(C1409-1)+Paramètres!$B$5*(C1409-1)^2)),0)</f>
        <v>0</v>
      </c>
      <c r="H1409" s="6">
        <f>ROUND(Catalogue!H74*SQRT((1+Paramètres!$B$4*(C1409-1)+Paramètres!$B$5*(C1409-1)^2)),0)</f>
        <v>0</v>
      </c>
      <c r="I1409" s="6">
        <v>0</v>
      </c>
      <c r="J1409" s="6">
        <v>0</v>
      </c>
      <c r="K1409" s="7">
        <v>1.2</v>
      </c>
      <c r="L1409" s="9">
        <f t="shared" si="170"/>
        <v>0</v>
      </c>
      <c r="M1409">
        <v>0</v>
      </c>
      <c r="N1409">
        <v>0</v>
      </c>
      <c r="O1409">
        <v>0</v>
      </c>
      <c r="P1409" s="13" t="str">
        <f t="shared" si="171"/>
        <v>—</v>
      </c>
      <c r="Q1409">
        <f>ROUND(INDEX(Catalogue!E$4:E$85,MATCH(A1409,Catalogue!A$4:A$85,0))*(1+Paramètres!$B$4*(C1409-1)+Paramètres!$B$5*(C1409-1)^2),0)</f>
        <v>0</v>
      </c>
      <c r="R1409">
        <f>ROUND(INDEX(Catalogue!F$4:F$85,MATCH(A1409,Catalogue!A$4:A$85,0))*(1+Paramètres!$B$4*(C1409-1)+Paramètres!$B$5*(C1409-1)^2),0)</f>
        <v>0</v>
      </c>
      <c r="S1409">
        <f t="shared" si="172"/>
        <v>0</v>
      </c>
      <c r="T1409" t="str">
        <f t="shared" si="173"/>
        <v>OK</v>
      </c>
      <c r="U1409" s="25">
        <f t="shared" si="174"/>
        <v>0</v>
      </c>
      <c r="V1409" t="str">
        <f t="shared" si="175"/>
        <v>OK</v>
      </c>
    </row>
    <row r="1410" spans="1:22" ht="18" customHeight="1">
      <c r="A1410" t="s">
        <v>329</v>
      </c>
      <c r="B1410" t="s">
        <v>330</v>
      </c>
      <c r="C1410">
        <v>7</v>
      </c>
      <c r="D1410" t="s">
        <v>286</v>
      </c>
      <c r="E1410" s="6">
        <f t="shared" si="168"/>
        <v>0</v>
      </c>
      <c r="F1410" s="6">
        <f t="shared" si="169"/>
        <v>0</v>
      </c>
      <c r="G1410" s="6">
        <f>ROUND(Catalogue!G74*SQRT((1+Paramètres!$B$4*(C1410-1)+Paramètres!$B$5*(C1410-1)^2)),0)</f>
        <v>0</v>
      </c>
      <c r="H1410" s="6">
        <f>ROUND(Catalogue!H74*SQRT((1+Paramètres!$B$4*(C1410-1)+Paramètres!$B$5*(C1410-1)^2)),0)</f>
        <v>0</v>
      </c>
      <c r="I1410" s="6">
        <v>0</v>
      </c>
      <c r="J1410" s="6">
        <v>0</v>
      </c>
      <c r="K1410" s="7">
        <v>1.2</v>
      </c>
      <c r="L1410" s="9">
        <f t="shared" si="170"/>
        <v>0</v>
      </c>
      <c r="M1410">
        <v>0</v>
      </c>
      <c r="N1410">
        <v>0</v>
      </c>
      <c r="O1410">
        <v>0</v>
      </c>
      <c r="P1410" s="13" t="str">
        <f t="shared" si="171"/>
        <v>—</v>
      </c>
      <c r="Q1410">
        <f>ROUND(INDEX(Catalogue!E$4:E$85,MATCH(A1410,Catalogue!A$4:A$85,0))*(1+Paramètres!$B$4*(C1410-1)+Paramètres!$B$5*(C1410-1)^2),0)</f>
        <v>0</v>
      </c>
      <c r="R1410">
        <f>ROUND(INDEX(Catalogue!F$4:F$85,MATCH(A1410,Catalogue!A$4:A$85,0))*(1+Paramètres!$B$4*(C1410-1)+Paramètres!$B$5*(C1410-1)^2),0)</f>
        <v>0</v>
      </c>
      <c r="S1410">
        <f t="shared" si="172"/>
        <v>0</v>
      </c>
      <c r="T1410" t="str">
        <f t="shared" si="173"/>
        <v>OK</v>
      </c>
      <c r="U1410" s="25">
        <f t="shared" si="174"/>
        <v>0</v>
      </c>
      <c r="V1410" t="str">
        <f t="shared" si="175"/>
        <v>OK</v>
      </c>
    </row>
    <row r="1411" spans="1:22" ht="18" customHeight="1">
      <c r="A1411" t="s">
        <v>329</v>
      </c>
      <c r="B1411" t="s">
        <v>330</v>
      </c>
      <c r="C1411">
        <v>8</v>
      </c>
      <c r="D1411" t="s">
        <v>286</v>
      </c>
      <c r="E1411" s="6">
        <f t="shared" si="168"/>
        <v>0</v>
      </c>
      <c r="F1411" s="6">
        <f t="shared" si="169"/>
        <v>0</v>
      </c>
      <c r="G1411" s="6">
        <f>ROUND(Catalogue!G74*SQRT((1+Paramètres!$B$4*(C1411-1)+Paramètres!$B$5*(C1411-1)^2)),0)</f>
        <v>0</v>
      </c>
      <c r="H1411" s="6">
        <f>ROUND(Catalogue!H74*SQRT((1+Paramètres!$B$4*(C1411-1)+Paramètres!$B$5*(C1411-1)^2)),0)</f>
        <v>0</v>
      </c>
      <c r="I1411" s="6">
        <v>0</v>
      </c>
      <c r="J1411" s="6">
        <v>0</v>
      </c>
      <c r="K1411" s="7">
        <v>1.2</v>
      </c>
      <c r="L1411" s="9">
        <f t="shared" si="170"/>
        <v>0</v>
      </c>
      <c r="M1411">
        <v>0</v>
      </c>
      <c r="N1411">
        <v>0</v>
      </c>
      <c r="O1411">
        <v>0</v>
      </c>
      <c r="P1411" s="13" t="str">
        <f t="shared" si="171"/>
        <v>—</v>
      </c>
      <c r="Q1411">
        <f>ROUND(INDEX(Catalogue!E$4:E$85,MATCH(A1411,Catalogue!A$4:A$85,0))*(1+Paramètres!$B$4*(C1411-1)+Paramètres!$B$5*(C1411-1)^2),0)</f>
        <v>0</v>
      </c>
      <c r="R1411">
        <f>ROUND(INDEX(Catalogue!F$4:F$85,MATCH(A1411,Catalogue!A$4:A$85,0))*(1+Paramètres!$B$4*(C1411-1)+Paramètres!$B$5*(C1411-1)^2),0)</f>
        <v>0</v>
      </c>
      <c r="S1411">
        <f t="shared" si="172"/>
        <v>0</v>
      </c>
      <c r="T1411" t="str">
        <f t="shared" si="173"/>
        <v>OK</v>
      </c>
      <c r="U1411" s="25">
        <f t="shared" si="174"/>
        <v>0</v>
      </c>
      <c r="V1411" t="str">
        <f t="shared" si="175"/>
        <v>OK</v>
      </c>
    </row>
    <row r="1412" spans="1:22" ht="18" customHeight="1">
      <c r="A1412" t="s">
        <v>329</v>
      </c>
      <c r="B1412" t="s">
        <v>330</v>
      </c>
      <c r="C1412">
        <v>9</v>
      </c>
      <c r="D1412" t="s">
        <v>286</v>
      </c>
      <c r="E1412" s="6">
        <f t="shared" ref="E1412:E1475" si="176">IF(M1412=0,0,M1412+O1412)</f>
        <v>0</v>
      </c>
      <c r="F1412" s="6">
        <f t="shared" ref="F1412:F1475" si="177">IF(M1412=0,0,M1412*N1412+O1412)</f>
        <v>0</v>
      </c>
      <c r="G1412" s="6">
        <f>ROUND(Catalogue!G74*SQRT((1+Paramètres!$B$4*(C1412-1)+Paramètres!$B$5*(C1412-1)^2)),0)</f>
        <v>0</v>
      </c>
      <c r="H1412" s="6">
        <f>ROUND(Catalogue!H74*SQRT((1+Paramètres!$B$4*(C1412-1)+Paramètres!$B$5*(C1412-1)^2)),0)</f>
        <v>0</v>
      </c>
      <c r="I1412" s="6">
        <v>0</v>
      </c>
      <c r="J1412" s="6">
        <v>0</v>
      </c>
      <c r="K1412" s="7">
        <v>1.2</v>
      </c>
      <c r="L1412" s="9">
        <f t="shared" ref="L1412:L1475" si="178">IF(M1412=0,0,(E1412+F1412)/2)</f>
        <v>0</v>
      </c>
      <c r="M1412">
        <v>0</v>
      </c>
      <c r="N1412">
        <v>0</v>
      </c>
      <c r="O1412">
        <v>0</v>
      </c>
      <c r="P1412" s="13" t="str">
        <f t="shared" ref="P1412:P1475" si="179">IF(M1412=0,"—",M1412&amp;"d"&amp;N1412&amp;IF(O1412=0,""," + "&amp;O1412))</f>
        <v>—</v>
      </c>
      <c r="Q1412">
        <f>ROUND(INDEX(Catalogue!E$4:E$85,MATCH(A1412,Catalogue!A$4:A$85,0))*(1+Paramètres!$B$4*(C1412-1)+Paramètres!$B$5*(C1412-1)^2),0)</f>
        <v>0</v>
      </c>
      <c r="R1412">
        <f>ROUND(INDEX(Catalogue!F$4:F$85,MATCH(A1412,Catalogue!A$4:A$85,0))*(1+Paramètres!$B$4*(C1412-1)+Paramètres!$B$5*(C1412-1)^2),0)</f>
        <v>0</v>
      </c>
      <c r="S1412">
        <f t="shared" ref="S1412:S1475" si="180">L1412-AVERAGE(Q1412:R1412)</f>
        <v>0</v>
      </c>
      <c r="T1412" t="str">
        <f t="shared" ref="T1412:T1475" si="181">IF(M1412=0,IF(AND(N1412=0,O1412=0,E1412=0,F1412=0),"OK","ERREUR"),IF(AND(M1412&gt;=1,M1412&lt;=32,OR(N1412=4,N1412=6,N1412=8,N1412=10,N1412=12,N1412=20),O1412&gt;=0,E1412=M1412+O1412,F1412=M1412*N1412+O1412),"OK","ERREUR"))</f>
        <v>OK</v>
      </c>
      <c r="U1412" s="25">
        <f t="shared" ref="U1412:U1475" si="182">IF(M1412&gt;0,M1412*(N1412+1)/2+O1412,0)</f>
        <v>0</v>
      </c>
      <c r="V1412" t="str">
        <f t="shared" ref="V1412:V1475" si="183">IF(ABS(L1412-U1412)&lt;0.001,"OK","ERREUR")</f>
        <v>OK</v>
      </c>
    </row>
    <row r="1413" spans="1:22" ht="18" customHeight="1">
      <c r="A1413" t="s">
        <v>329</v>
      </c>
      <c r="B1413" t="s">
        <v>330</v>
      </c>
      <c r="C1413">
        <v>10</v>
      </c>
      <c r="D1413" t="s">
        <v>286</v>
      </c>
      <c r="E1413" s="6">
        <f t="shared" si="176"/>
        <v>0</v>
      </c>
      <c r="F1413" s="6">
        <f t="shared" si="177"/>
        <v>0</v>
      </c>
      <c r="G1413" s="6">
        <f>ROUND(Catalogue!G74*SQRT((1+Paramètres!$B$4*(C1413-1)+Paramètres!$B$5*(C1413-1)^2)),0)</f>
        <v>0</v>
      </c>
      <c r="H1413" s="6">
        <f>ROUND(Catalogue!H74*SQRT((1+Paramètres!$B$4*(C1413-1)+Paramètres!$B$5*(C1413-1)^2)),0)</f>
        <v>0</v>
      </c>
      <c r="I1413" s="6">
        <v>0</v>
      </c>
      <c r="J1413" s="6">
        <v>0</v>
      </c>
      <c r="K1413" s="7">
        <v>1.2</v>
      </c>
      <c r="L1413" s="9">
        <f t="shared" si="178"/>
        <v>0</v>
      </c>
      <c r="M1413">
        <v>0</v>
      </c>
      <c r="N1413">
        <v>0</v>
      </c>
      <c r="O1413">
        <v>0</v>
      </c>
      <c r="P1413" s="13" t="str">
        <f t="shared" si="179"/>
        <v>—</v>
      </c>
      <c r="Q1413">
        <f>ROUND(INDEX(Catalogue!E$4:E$85,MATCH(A1413,Catalogue!A$4:A$85,0))*(1+Paramètres!$B$4*(C1413-1)+Paramètres!$B$5*(C1413-1)^2),0)</f>
        <v>0</v>
      </c>
      <c r="R1413">
        <f>ROUND(INDEX(Catalogue!F$4:F$85,MATCH(A1413,Catalogue!A$4:A$85,0))*(1+Paramètres!$B$4*(C1413-1)+Paramètres!$B$5*(C1413-1)^2),0)</f>
        <v>0</v>
      </c>
      <c r="S1413">
        <f t="shared" si="180"/>
        <v>0</v>
      </c>
      <c r="T1413" t="str">
        <f t="shared" si="181"/>
        <v>OK</v>
      </c>
      <c r="U1413" s="25">
        <f t="shared" si="182"/>
        <v>0</v>
      </c>
      <c r="V1413" t="str">
        <f t="shared" si="183"/>
        <v>OK</v>
      </c>
    </row>
    <row r="1414" spans="1:22" ht="18" customHeight="1">
      <c r="A1414" t="s">
        <v>329</v>
      </c>
      <c r="B1414" t="s">
        <v>330</v>
      </c>
      <c r="C1414">
        <v>11</v>
      </c>
      <c r="D1414" t="s">
        <v>286</v>
      </c>
      <c r="E1414" s="6">
        <f t="shared" si="176"/>
        <v>0</v>
      </c>
      <c r="F1414" s="6">
        <f t="shared" si="177"/>
        <v>0</v>
      </c>
      <c r="G1414" s="6">
        <f>ROUND(Catalogue!G74*SQRT((1+Paramètres!$B$4*(C1414-1)+Paramètres!$B$5*(C1414-1)^2)),0)</f>
        <v>0</v>
      </c>
      <c r="H1414" s="6">
        <f>ROUND(Catalogue!H74*SQRT((1+Paramètres!$B$4*(C1414-1)+Paramètres!$B$5*(C1414-1)^2)),0)</f>
        <v>0</v>
      </c>
      <c r="I1414" s="6">
        <v>0</v>
      </c>
      <c r="J1414" s="6">
        <v>0</v>
      </c>
      <c r="K1414" s="7">
        <v>1.2</v>
      </c>
      <c r="L1414" s="9">
        <f t="shared" si="178"/>
        <v>0</v>
      </c>
      <c r="M1414">
        <v>0</v>
      </c>
      <c r="N1414">
        <v>0</v>
      </c>
      <c r="O1414">
        <v>0</v>
      </c>
      <c r="P1414" s="13" t="str">
        <f t="shared" si="179"/>
        <v>—</v>
      </c>
      <c r="Q1414">
        <f>ROUND(INDEX(Catalogue!E$4:E$85,MATCH(A1414,Catalogue!A$4:A$85,0))*(1+Paramètres!$B$4*(C1414-1)+Paramètres!$B$5*(C1414-1)^2),0)</f>
        <v>0</v>
      </c>
      <c r="R1414">
        <f>ROUND(INDEX(Catalogue!F$4:F$85,MATCH(A1414,Catalogue!A$4:A$85,0))*(1+Paramètres!$B$4*(C1414-1)+Paramètres!$B$5*(C1414-1)^2),0)</f>
        <v>0</v>
      </c>
      <c r="S1414">
        <f t="shared" si="180"/>
        <v>0</v>
      </c>
      <c r="T1414" t="str">
        <f t="shared" si="181"/>
        <v>OK</v>
      </c>
      <c r="U1414" s="25">
        <f t="shared" si="182"/>
        <v>0</v>
      </c>
      <c r="V1414" t="str">
        <f t="shared" si="183"/>
        <v>OK</v>
      </c>
    </row>
    <row r="1415" spans="1:22" ht="18" customHeight="1">
      <c r="A1415" t="s">
        <v>329</v>
      </c>
      <c r="B1415" t="s">
        <v>330</v>
      </c>
      <c r="C1415">
        <v>12</v>
      </c>
      <c r="D1415" t="s">
        <v>286</v>
      </c>
      <c r="E1415" s="6">
        <f t="shared" si="176"/>
        <v>0</v>
      </c>
      <c r="F1415" s="6">
        <f t="shared" si="177"/>
        <v>0</v>
      </c>
      <c r="G1415" s="6">
        <f>ROUND(Catalogue!G74*SQRT((1+Paramètres!$B$4*(C1415-1)+Paramètres!$B$5*(C1415-1)^2)),0)</f>
        <v>0</v>
      </c>
      <c r="H1415" s="6">
        <f>ROUND(Catalogue!H74*SQRT((1+Paramètres!$B$4*(C1415-1)+Paramètres!$B$5*(C1415-1)^2)),0)</f>
        <v>0</v>
      </c>
      <c r="I1415" s="6">
        <v>0</v>
      </c>
      <c r="J1415" s="6">
        <v>0</v>
      </c>
      <c r="K1415" s="7">
        <v>1.2</v>
      </c>
      <c r="L1415" s="9">
        <f t="shared" si="178"/>
        <v>0</v>
      </c>
      <c r="M1415">
        <v>0</v>
      </c>
      <c r="N1415">
        <v>0</v>
      </c>
      <c r="O1415">
        <v>0</v>
      </c>
      <c r="P1415" s="13" t="str">
        <f t="shared" si="179"/>
        <v>—</v>
      </c>
      <c r="Q1415">
        <f>ROUND(INDEX(Catalogue!E$4:E$85,MATCH(A1415,Catalogue!A$4:A$85,0))*(1+Paramètres!$B$4*(C1415-1)+Paramètres!$B$5*(C1415-1)^2),0)</f>
        <v>0</v>
      </c>
      <c r="R1415">
        <f>ROUND(INDEX(Catalogue!F$4:F$85,MATCH(A1415,Catalogue!A$4:A$85,0))*(1+Paramètres!$B$4*(C1415-1)+Paramètres!$B$5*(C1415-1)^2),0)</f>
        <v>0</v>
      </c>
      <c r="S1415">
        <f t="shared" si="180"/>
        <v>0</v>
      </c>
      <c r="T1415" t="str">
        <f t="shared" si="181"/>
        <v>OK</v>
      </c>
      <c r="U1415" s="25">
        <f t="shared" si="182"/>
        <v>0</v>
      </c>
      <c r="V1415" t="str">
        <f t="shared" si="183"/>
        <v>OK</v>
      </c>
    </row>
    <row r="1416" spans="1:22" ht="18" customHeight="1">
      <c r="A1416" t="s">
        <v>329</v>
      </c>
      <c r="B1416" t="s">
        <v>330</v>
      </c>
      <c r="C1416">
        <v>13</v>
      </c>
      <c r="D1416" t="s">
        <v>286</v>
      </c>
      <c r="E1416" s="6">
        <f t="shared" si="176"/>
        <v>0</v>
      </c>
      <c r="F1416" s="6">
        <f t="shared" si="177"/>
        <v>0</v>
      </c>
      <c r="G1416" s="6">
        <f>ROUND(Catalogue!G74*SQRT((1+Paramètres!$B$4*(C1416-1)+Paramètres!$B$5*(C1416-1)^2)),0)</f>
        <v>0</v>
      </c>
      <c r="H1416" s="6">
        <f>ROUND(Catalogue!H74*SQRT((1+Paramètres!$B$4*(C1416-1)+Paramètres!$B$5*(C1416-1)^2)),0)</f>
        <v>0</v>
      </c>
      <c r="I1416" s="6">
        <v>0</v>
      </c>
      <c r="J1416" s="6">
        <v>0</v>
      </c>
      <c r="K1416" s="7">
        <v>1.2</v>
      </c>
      <c r="L1416" s="9">
        <f t="shared" si="178"/>
        <v>0</v>
      </c>
      <c r="M1416">
        <v>0</v>
      </c>
      <c r="N1416">
        <v>0</v>
      </c>
      <c r="O1416">
        <v>0</v>
      </c>
      <c r="P1416" s="13" t="str">
        <f t="shared" si="179"/>
        <v>—</v>
      </c>
      <c r="Q1416">
        <f>ROUND(INDEX(Catalogue!E$4:E$85,MATCH(A1416,Catalogue!A$4:A$85,0))*(1+Paramètres!$B$4*(C1416-1)+Paramètres!$B$5*(C1416-1)^2),0)</f>
        <v>0</v>
      </c>
      <c r="R1416">
        <f>ROUND(INDEX(Catalogue!F$4:F$85,MATCH(A1416,Catalogue!A$4:A$85,0))*(1+Paramètres!$B$4*(C1416-1)+Paramètres!$B$5*(C1416-1)^2),0)</f>
        <v>0</v>
      </c>
      <c r="S1416">
        <f t="shared" si="180"/>
        <v>0</v>
      </c>
      <c r="T1416" t="str">
        <f t="shared" si="181"/>
        <v>OK</v>
      </c>
      <c r="U1416" s="25">
        <f t="shared" si="182"/>
        <v>0</v>
      </c>
      <c r="V1416" t="str">
        <f t="shared" si="183"/>
        <v>OK</v>
      </c>
    </row>
    <row r="1417" spans="1:22" ht="18" customHeight="1">
      <c r="A1417" t="s">
        <v>329</v>
      </c>
      <c r="B1417" t="s">
        <v>330</v>
      </c>
      <c r="C1417">
        <v>14</v>
      </c>
      <c r="D1417" t="s">
        <v>286</v>
      </c>
      <c r="E1417" s="6">
        <f t="shared" si="176"/>
        <v>0</v>
      </c>
      <c r="F1417" s="6">
        <f t="shared" si="177"/>
        <v>0</v>
      </c>
      <c r="G1417" s="6">
        <f>ROUND(Catalogue!G74*SQRT((1+Paramètres!$B$4*(C1417-1)+Paramètres!$B$5*(C1417-1)^2)),0)</f>
        <v>0</v>
      </c>
      <c r="H1417" s="6">
        <f>ROUND(Catalogue!H74*SQRT((1+Paramètres!$B$4*(C1417-1)+Paramètres!$B$5*(C1417-1)^2)),0)</f>
        <v>0</v>
      </c>
      <c r="I1417" s="6">
        <v>0</v>
      </c>
      <c r="J1417" s="6">
        <v>0</v>
      </c>
      <c r="K1417" s="7">
        <v>1.2</v>
      </c>
      <c r="L1417" s="9">
        <f t="shared" si="178"/>
        <v>0</v>
      </c>
      <c r="M1417">
        <v>0</v>
      </c>
      <c r="N1417">
        <v>0</v>
      </c>
      <c r="O1417">
        <v>0</v>
      </c>
      <c r="P1417" s="13" t="str">
        <f t="shared" si="179"/>
        <v>—</v>
      </c>
      <c r="Q1417">
        <f>ROUND(INDEX(Catalogue!E$4:E$85,MATCH(A1417,Catalogue!A$4:A$85,0))*(1+Paramètres!$B$4*(C1417-1)+Paramètres!$B$5*(C1417-1)^2),0)</f>
        <v>0</v>
      </c>
      <c r="R1417">
        <f>ROUND(INDEX(Catalogue!F$4:F$85,MATCH(A1417,Catalogue!A$4:A$85,0))*(1+Paramètres!$B$4*(C1417-1)+Paramètres!$B$5*(C1417-1)^2),0)</f>
        <v>0</v>
      </c>
      <c r="S1417">
        <f t="shared" si="180"/>
        <v>0</v>
      </c>
      <c r="T1417" t="str">
        <f t="shared" si="181"/>
        <v>OK</v>
      </c>
      <c r="U1417" s="25">
        <f t="shared" si="182"/>
        <v>0</v>
      </c>
      <c r="V1417" t="str">
        <f t="shared" si="183"/>
        <v>OK</v>
      </c>
    </row>
    <row r="1418" spans="1:22" ht="18" customHeight="1">
      <c r="A1418" t="s">
        <v>329</v>
      </c>
      <c r="B1418" t="s">
        <v>330</v>
      </c>
      <c r="C1418">
        <v>15</v>
      </c>
      <c r="D1418" t="s">
        <v>286</v>
      </c>
      <c r="E1418" s="6">
        <f t="shared" si="176"/>
        <v>0</v>
      </c>
      <c r="F1418" s="6">
        <f t="shared" si="177"/>
        <v>0</v>
      </c>
      <c r="G1418" s="6">
        <f>ROUND(Catalogue!G74*SQRT((1+Paramètres!$B$4*(C1418-1)+Paramètres!$B$5*(C1418-1)^2)),0)</f>
        <v>0</v>
      </c>
      <c r="H1418" s="6">
        <f>ROUND(Catalogue!H74*SQRT((1+Paramètres!$B$4*(C1418-1)+Paramètres!$B$5*(C1418-1)^2)),0)</f>
        <v>0</v>
      </c>
      <c r="I1418" s="6">
        <v>0</v>
      </c>
      <c r="J1418" s="6">
        <v>0</v>
      </c>
      <c r="K1418" s="7">
        <v>1.2</v>
      </c>
      <c r="L1418" s="9">
        <f t="shared" si="178"/>
        <v>0</v>
      </c>
      <c r="M1418">
        <v>0</v>
      </c>
      <c r="N1418">
        <v>0</v>
      </c>
      <c r="O1418">
        <v>0</v>
      </c>
      <c r="P1418" s="13" t="str">
        <f t="shared" si="179"/>
        <v>—</v>
      </c>
      <c r="Q1418">
        <f>ROUND(INDEX(Catalogue!E$4:E$85,MATCH(A1418,Catalogue!A$4:A$85,0))*(1+Paramètres!$B$4*(C1418-1)+Paramètres!$B$5*(C1418-1)^2),0)</f>
        <v>0</v>
      </c>
      <c r="R1418">
        <f>ROUND(INDEX(Catalogue!F$4:F$85,MATCH(A1418,Catalogue!A$4:A$85,0))*(1+Paramètres!$B$4*(C1418-1)+Paramètres!$B$5*(C1418-1)^2),0)</f>
        <v>0</v>
      </c>
      <c r="S1418">
        <f t="shared" si="180"/>
        <v>0</v>
      </c>
      <c r="T1418" t="str">
        <f t="shared" si="181"/>
        <v>OK</v>
      </c>
      <c r="U1418" s="25">
        <f t="shared" si="182"/>
        <v>0</v>
      </c>
      <c r="V1418" t="str">
        <f t="shared" si="183"/>
        <v>OK</v>
      </c>
    </row>
    <row r="1419" spans="1:22" ht="18" customHeight="1">
      <c r="A1419" t="s">
        <v>329</v>
      </c>
      <c r="B1419" t="s">
        <v>330</v>
      </c>
      <c r="C1419">
        <v>16</v>
      </c>
      <c r="D1419" t="s">
        <v>286</v>
      </c>
      <c r="E1419" s="6">
        <f t="shared" si="176"/>
        <v>0</v>
      </c>
      <c r="F1419" s="6">
        <f t="shared" si="177"/>
        <v>0</v>
      </c>
      <c r="G1419" s="6">
        <f>ROUND(Catalogue!G74*SQRT((1+Paramètres!$B$4*(C1419-1)+Paramètres!$B$5*(C1419-1)^2)),0)</f>
        <v>0</v>
      </c>
      <c r="H1419" s="6">
        <f>ROUND(Catalogue!H74*SQRT((1+Paramètres!$B$4*(C1419-1)+Paramètres!$B$5*(C1419-1)^2)),0)</f>
        <v>0</v>
      </c>
      <c r="I1419" s="6">
        <v>0</v>
      </c>
      <c r="J1419" s="6">
        <v>0</v>
      </c>
      <c r="K1419" s="7">
        <v>1.2</v>
      </c>
      <c r="L1419" s="9">
        <f t="shared" si="178"/>
        <v>0</v>
      </c>
      <c r="M1419">
        <v>0</v>
      </c>
      <c r="N1419">
        <v>0</v>
      </c>
      <c r="O1419">
        <v>0</v>
      </c>
      <c r="P1419" s="13" t="str">
        <f t="shared" si="179"/>
        <v>—</v>
      </c>
      <c r="Q1419">
        <f>ROUND(INDEX(Catalogue!E$4:E$85,MATCH(A1419,Catalogue!A$4:A$85,0))*(1+Paramètres!$B$4*(C1419-1)+Paramètres!$B$5*(C1419-1)^2),0)</f>
        <v>0</v>
      </c>
      <c r="R1419">
        <f>ROUND(INDEX(Catalogue!F$4:F$85,MATCH(A1419,Catalogue!A$4:A$85,0))*(1+Paramètres!$B$4*(C1419-1)+Paramètres!$B$5*(C1419-1)^2),0)</f>
        <v>0</v>
      </c>
      <c r="S1419">
        <f t="shared" si="180"/>
        <v>0</v>
      </c>
      <c r="T1419" t="str">
        <f t="shared" si="181"/>
        <v>OK</v>
      </c>
      <c r="U1419" s="25">
        <f t="shared" si="182"/>
        <v>0</v>
      </c>
      <c r="V1419" t="str">
        <f t="shared" si="183"/>
        <v>OK</v>
      </c>
    </row>
    <row r="1420" spans="1:22" ht="18" customHeight="1">
      <c r="A1420" t="s">
        <v>329</v>
      </c>
      <c r="B1420" t="s">
        <v>330</v>
      </c>
      <c r="C1420">
        <v>17</v>
      </c>
      <c r="D1420" t="s">
        <v>286</v>
      </c>
      <c r="E1420" s="6">
        <f t="shared" si="176"/>
        <v>0</v>
      </c>
      <c r="F1420" s="6">
        <f t="shared" si="177"/>
        <v>0</v>
      </c>
      <c r="G1420" s="6">
        <f>ROUND(Catalogue!G74*SQRT((1+Paramètres!$B$4*(C1420-1)+Paramètres!$B$5*(C1420-1)^2)),0)</f>
        <v>0</v>
      </c>
      <c r="H1420" s="6">
        <f>ROUND(Catalogue!H74*SQRT((1+Paramètres!$B$4*(C1420-1)+Paramètres!$B$5*(C1420-1)^2)),0)</f>
        <v>0</v>
      </c>
      <c r="I1420" s="6">
        <v>0</v>
      </c>
      <c r="J1420" s="6">
        <v>0</v>
      </c>
      <c r="K1420" s="7">
        <v>1.2</v>
      </c>
      <c r="L1420" s="9">
        <f t="shared" si="178"/>
        <v>0</v>
      </c>
      <c r="M1420">
        <v>0</v>
      </c>
      <c r="N1420">
        <v>0</v>
      </c>
      <c r="O1420">
        <v>0</v>
      </c>
      <c r="P1420" s="13" t="str">
        <f t="shared" si="179"/>
        <v>—</v>
      </c>
      <c r="Q1420">
        <f>ROUND(INDEX(Catalogue!E$4:E$85,MATCH(A1420,Catalogue!A$4:A$85,0))*(1+Paramètres!$B$4*(C1420-1)+Paramètres!$B$5*(C1420-1)^2),0)</f>
        <v>0</v>
      </c>
      <c r="R1420">
        <f>ROUND(INDEX(Catalogue!F$4:F$85,MATCH(A1420,Catalogue!A$4:A$85,0))*(1+Paramètres!$B$4*(C1420-1)+Paramètres!$B$5*(C1420-1)^2),0)</f>
        <v>0</v>
      </c>
      <c r="S1420">
        <f t="shared" si="180"/>
        <v>0</v>
      </c>
      <c r="T1420" t="str">
        <f t="shared" si="181"/>
        <v>OK</v>
      </c>
      <c r="U1420" s="25">
        <f t="shared" si="182"/>
        <v>0</v>
      </c>
      <c r="V1420" t="str">
        <f t="shared" si="183"/>
        <v>OK</v>
      </c>
    </row>
    <row r="1421" spans="1:22" ht="18" customHeight="1">
      <c r="A1421" t="s">
        <v>329</v>
      </c>
      <c r="B1421" t="s">
        <v>330</v>
      </c>
      <c r="C1421">
        <v>18</v>
      </c>
      <c r="D1421" t="s">
        <v>286</v>
      </c>
      <c r="E1421" s="6">
        <f t="shared" si="176"/>
        <v>0</v>
      </c>
      <c r="F1421" s="6">
        <f t="shared" si="177"/>
        <v>0</v>
      </c>
      <c r="G1421" s="6">
        <f>ROUND(Catalogue!G74*SQRT((1+Paramètres!$B$4*(C1421-1)+Paramètres!$B$5*(C1421-1)^2)),0)</f>
        <v>0</v>
      </c>
      <c r="H1421" s="6">
        <f>ROUND(Catalogue!H74*SQRT((1+Paramètres!$B$4*(C1421-1)+Paramètres!$B$5*(C1421-1)^2)),0)</f>
        <v>0</v>
      </c>
      <c r="I1421" s="6">
        <v>0</v>
      </c>
      <c r="J1421" s="6">
        <v>0</v>
      </c>
      <c r="K1421" s="7">
        <v>1.2</v>
      </c>
      <c r="L1421" s="9">
        <f t="shared" si="178"/>
        <v>0</v>
      </c>
      <c r="M1421">
        <v>0</v>
      </c>
      <c r="N1421">
        <v>0</v>
      </c>
      <c r="O1421">
        <v>0</v>
      </c>
      <c r="P1421" s="13" t="str">
        <f t="shared" si="179"/>
        <v>—</v>
      </c>
      <c r="Q1421">
        <f>ROUND(INDEX(Catalogue!E$4:E$85,MATCH(A1421,Catalogue!A$4:A$85,0))*(1+Paramètres!$B$4*(C1421-1)+Paramètres!$B$5*(C1421-1)^2),0)</f>
        <v>0</v>
      </c>
      <c r="R1421">
        <f>ROUND(INDEX(Catalogue!F$4:F$85,MATCH(A1421,Catalogue!A$4:A$85,0))*(1+Paramètres!$B$4*(C1421-1)+Paramètres!$B$5*(C1421-1)^2),0)</f>
        <v>0</v>
      </c>
      <c r="S1421">
        <f t="shared" si="180"/>
        <v>0</v>
      </c>
      <c r="T1421" t="str">
        <f t="shared" si="181"/>
        <v>OK</v>
      </c>
      <c r="U1421" s="25">
        <f t="shared" si="182"/>
        <v>0</v>
      </c>
      <c r="V1421" t="str">
        <f t="shared" si="183"/>
        <v>OK</v>
      </c>
    </row>
    <row r="1422" spans="1:22" ht="18" customHeight="1">
      <c r="A1422" t="s">
        <v>329</v>
      </c>
      <c r="B1422" t="s">
        <v>330</v>
      </c>
      <c r="C1422">
        <v>19</v>
      </c>
      <c r="D1422" t="s">
        <v>286</v>
      </c>
      <c r="E1422" s="6">
        <f t="shared" si="176"/>
        <v>0</v>
      </c>
      <c r="F1422" s="6">
        <f t="shared" si="177"/>
        <v>0</v>
      </c>
      <c r="G1422" s="6">
        <f>ROUND(Catalogue!G74*SQRT((1+Paramètres!$B$4*(C1422-1)+Paramètres!$B$5*(C1422-1)^2)),0)</f>
        <v>0</v>
      </c>
      <c r="H1422" s="6">
        <f>ROUND(Catalogue!H74*SQRT((1+Paramètres!$B$4*(C1422-1)+Paramètres!$B$5*(C1422-1)^2)),0)</f>
        <v>0</v>
      </c>
      <c r="I1422" s="6">
        <v>0</v>
      </c>
      <c r="J1422" s="6">
        <v>0</v>
      </c>
      <c r="K1422" s="7">
        <v>1.2</v>
      </c>
      <c r="L1422" s="9">
        <f t="shared" si="178"/>
        <v>0</v>
      </c>
      <c r="M1422">
        <v>0</v>
      </c>
      <c r="N1422">
        <v>0</v>
      </c>
      <c r="O1422">
        <v>0</v>
      </c>
      <c r="P1422" s="13" t="str">
        <f t="shared" si="179"/>
        <v>—</v>
      </c>
      <c r="Q1422">
        <f>ROUND(INDEX(Catalogue!E$4:E$85,MATCH(A1422,Catalogue!A$4:A$85,0))*(1+Paramètres!$B$4*(C1422-1)+Paramètres!$B$5*(C1422-1)^2),0)</f>
        <v>0</v>
      </c>
      <c r="R1422">
        <f>ROUND(INDEX(Catalogue!F$4:F$85,MATCH(A1422,Catalogue!A$4:A$85,0))*(1+Paramètres!$B$4*(C1422-1)+Paramètres!$B$5*(C1422-1)^2),0)</f>
        <v>0</v>
      </c>
      <c r="S1422">
        <f t="shared" si="180"/>
        <v>0</v>
      </c>
      <c r="T1422" t="str">
        <f t="shared" si="181"/>
        <v>OK</v>
      </c>
      <c r="U1422" s="25">
        <f t="shared" si="182"/>
        <v>0</v>
      </c>
      <c r="V1422" t="str">
        <f t="shared" si="183"/>
        <v>OK</v>
      </c>
    </row>
    <row r="1423" spans="1:22" ht="18" customHeight="1">
      <c r="A1423" t="s">
        <v>329</v>
      </c>
      <c r="B1423" t="s">
        <v>330</v>
      </c>
      <c r="C1423">
        <v>20</v>
      </c>
      <c r="D1423" t="s">
        <v>286</v>
      </c>
      <c r="E1423" s="6">
        <f t="shared" si="176"/>
        <v>0</v>
      </c>
      <c r="F1423" s="6">
        <f t="shared" si="177"/>
        <v>0</v>
      </c>
      <c r="G1423" s="6">
        <f>ROUND(Catalogue!G74*SQRT((1+Paramètres!$B$4*(C1423-1)+Paramètres!$B$5*(C1423-1)^2)),0)</f>
        <v>0</v>
      </c>
      <c r="H1423" s="6">
        <f>ROUND(Catalogue!H74*SQRT((1+Paramètres!$B$4*(C1423-1)+Paramètres!$B$5*(C1423-1)^2)),0)</f>
        <v>0</v>
      </c>
      <c r="I1423" s="6">
        <v>0</v>
      </c>
      <c r="J1423" s="6">
        <v>0</v>
      </c>
      <c r="K1423" s="7">
        <v>1.2</v>
      </c>
      <c r="L1423" s="9">
        <f t="shared" si="178"/>
        <v>0</v>
      </c>
      <c r="M1423">
        <v>0</v>
      </c>
      <c r="N1423">
        <v>0</v>
      </c>
      <c r="O1423">
        <v>0</v>
      </c>
      <c r="P1423" s="13" t="str">
        <f t="shared" si="179"/>
        <v>—</v>
      </c>
      <c r="Q1423">
        <f>ROUND(INDEX(Catalogue!E$4:E$85,MATCH(A1423,Catalogue!A$4:A$85,0))*(1+Paramètres!$B$4*(C1423-1)+Paramètres!$B$5*(C1423-1)^2),0)</f>
        <v>0</v>
      </c>
      <c r="R1423">
        <f>ROUND(INDEX(Catalogue!F$4:F$85,MATCH(A1423,Catalogue!A$4:A$85,0))*(1+Paramètres!$B$4*(C1423-1)+Paramètres!$B$5*(C1423-1)^2),0)</f>
        <v>0</v>
      </c>
      <c r="S1423">
        <f t="shared" si="180"/>
        <v>0</v>
      </c>
      <c r="T1423" t="str">
        <f t="shared" si="181"/>
        <v>OK</v>
      </c>
      <c r="U1423" s="25">
        <f t="shared" si="182"/>
        <v>0</v>
      </c>
      <c r="V1423" t="str">
        <f t="shared" si="183"/>
        <v>OK</v>
      </c>
    </row>
    <row r="1424" spans="1:22" ht="18" customHeight="1">
      <c r="A1424" t="s">
        <v>331</v>
      </c>
      <c r="B1424" t="s">
        <v>332</v>
      </c>
      <c r="C1424">
        <v>1</v>
      </c>
      <c r="D1424" t="s">
        <v>333</v>
      </c>
      <c r="E1424" s="6">
        <f t="shared" si="176"/>
        <v>0</v>
      </c>
      <c r="F1424" s="6">
        <f t="shared" si="177"/>
        <v>0</v>
      </c>
      <c r="G1424" s="6">
        <f>ROUND(Catalogue!G75*SQRT((1+Paramètres!$B$4*(C1424-1)+Paramètres!$B$5*(C1424-1)^2)),0)</f>
        <v>2</v>
      </c>
      <c r="H1424" s="6">
        <f>ROUND(Catalogue!H75*SQRT((1+Paramètres!$B$4*(C1424-1)+Paramètres!$B$5*(C1424-1)^2)),0)</f>
        <v>0</v>
      </c>
      <c r="I1424" s="6">
        <v>0</v>
      </c>
      <c r="J1424" s="6">
        <v>0</v>
      </c>
      <c r="K1424" s="7">
        <v>1.1000000000000001</v>
      </c>
      <c r="L1424" s="9">
        <f t="shared" si="178"/>
        <v>0</v>
      </c>
      <c r="M1424">
        <v>0</v>
      </c>
      <c r="N1424">
        <v>0</v>
      </c>
      <c r="O1424">
        <v>0</v>
      </c>
      <c r="P1424" s="13" t="str">
        <f t="shared" si="179"/>
        <v>—</v>
      </c>
      <c r="Q1424">
        <f>ROUND(INDEX(Catalogue!E$4:E$85,MATCH(A1424,Catalogue!A$4:A$85,0))*(1+Paramètres!$B$4*(C1424-1)+Paramètres!$B$5*(C1424-1)^2),0)</f>
        <v>0</v>
      </c>
      <c r="R1424">
        <f>ROUND(INDEX(Catalogue!F$4:F$85,MATCH(A1424,Catalogue!A$4:A$85,0))*(1+Paramètres!$B$4*(C1424-1)+Paramètres!$B$5*(C1424-1)^2),0)</f>
        <v>0</v>
      </c>
      <c r="S1424">
        <f t="shared" si="180"/>
        <v>0</v>
      </c>
      <c r="T1424" t="str">
        <f t="shared" si="181"/>
        <v>OK</v>
      </c>
      <c r="U1424" s="25">
        <f t="shared" si="182"/>
        <v>0</v>
      </c>
      <c r="V1424" t="str">
        <f t="shared" si="183"/>
        <v>OK</v>
      </c>
    </row>
    <row r="1425" spans="1:22" ht="18" customHeight="1">
      <c r="A1425" t="s">
        <v>331</v>
      </c>
      <c r="B1425" t="s">
        <v>332</v>
      </c>
      <c r="C1425">
        <v>2</v>
      </c>
      <c r="D1425" t="s">
        <v>333</v>
      </c>
      <c r="E1425" s="6">
        <f t="shared" si="176"/>
        <v>0</v>
      </c>
      <c r="F1425" s="6">
        <f t="shared" si="177"/>
        <v>0</v>
      </c>
      <c r="G1425" s="6">
        <f>ROUND(Catalogue!G75*SQRT((1+Paramètres!$B$4*(C1425-1)+Paramètres!$B$5*(C1425-1)^2)),0)</f>
        <v>2</v>
      </c>
      <c r="H1425" s="6">
        <f>ROUND(Catalogue!H75*SQRT((1+Paramètres!$B$4*(C1425-1)+Paramètres!$B$5*(C1425-1)^2)),0)</f>
        <v>0</v>
      </c>
      <c r="I1425" s="6">
        <v>0</v>
      </c>
      <c r="J1425" s="6">
        <v>0</v>
      </c>
      <c r="K1425" s="7">
        <v>1.1000000000000001</v>
      </c>
      <c r="L1425" s="9">
        <f t="shared" si="178"/>
        <v>0</v>
      </c>
      <c r="M1425">
        <v>0</v>
      </c>
      <c r="N1425">
        <v>0</v>
      </c>
      <c r="O1425">
        <v>0</v>
      </c>
      <c r="P1425" s="13" t="str">
        <f t="shared" si="179"/>
        <v>—</v>
      </c>
      <c r="Q1425">
        <f>ROUND(INDEX(Catalogue!E$4:E$85,MATCH(A1425,Catalogue!A$4:A$85,0))*(1+Paramètres!$B$4*(C1425-1)+Paramètres!$B$5*(C1425-1)^2),0)</f>
        <v>0</v>
      </c>
      <c r="R1425">
        <f>ROUND(INDEX(Catalogue!F$4:F$85,MATCH(A1425,Catalogue!A$4:A$85,0))*(1+Paramètres!$B$4*(C1425-1)+Paramètres!$B$5*(C1425-1)^2),0)</f>
        <v>0</v>
      </c>
      <c r="S1425">
        <f t="shared" si="180"/>
        <v>0</v>
      </c>
      <c r="T1425" t="str">
        <f t="shared" si="181"/>
        <v>OK</v>
      </c>
      <c r="U1425" s="25">
        <f t="shared" si="182"/>
        <v>0</v>
      </c>
      <c r="V1425" t="str">
        <f t="shared" si="183"/>
        <v>OK</v>
      </c>
    </row>
    <row r="1426" spans="1:22" ht="18" customHeight="1">
      <c r="A1426" t="s">
        <v>331</v>
      </c>
      <c r="B1426" t="s">
        <v>332</v>
      </c>
      <c r="C1426">
        <v>3</v>
      </c>
      <c r="D1426" t="s">
        <v>333</v>
      </c>
      <c r="E1426" s="6">
        <f t="shared" si="176"/>
        <v>0</v>
      </c>
      <c r="F1426" s="6">
        <f t="shared" si="177"/>
        <v>0</v>
      </c>
      <c r="G1426" s="6">
        <f>ROUND(Catalogue!G75*SQRT((1+Paramètres!$B$4*(C1426-1)+Paramètres!$B$5*(C1426-1)^2)),0)</f>
        <v>2</v>
      </c>
      <c r="H1426" s="6">
        <f>ROUND(Catalogue!H75*SQRT((1+Paramètres!$B$4*(C1426-1)+Paramètres!$B$5*(C1426-1)^2)),0)</f>
        <v>0</v>
      </c>
      <c r="I1426" s="6">
        <v>0</v>
      </c>
      <c r="J1426" s="6">
        <v>0</v>
      </c>
      <c r="K1426" s="7">
        <v>1.1000000000000001</v>
      </c>
      <c r="L1426" s="9">
        <f t="shared" si="178"/>
        <v>0</v>
      </c>
      <c r="M1426">
        <v>0</v>
      </c>
      <c r="N1426">
        <v>0</v>
      </c>
      <c r="O1426">
        <v>0</v>
      </c>
      <c r="P1426" s="13" t="str">
        <f t="shared" si="179"/>
        <v>—</v>
      </c>
      <c r="Q1426">
        <f>ROUND(INDEX(Catalogue!E$4:E$85,MATCH(A1426,Catalogue!A$4:A$85,0))*(1+Paramètres!$B$4*(C1426-1)+Paramètres!$B$5*(C1426-1)^2),0)</f>
        <v>0</v>
      </c>
      <c r="R1426">
        <f>ROUND(INDEX(Catalogue!F$4:F$85,MATCH(A1426,Catalogue!A$4:A$85,0))*(1+Paramètres!$B$4*(C1426-1)+Paramètres!$B$5*(C1426-1)^2),0)</f>
        <v>0</v>
      </c>
      <c r="S1426">
        <f t="shared" si="180"/>
        <v>0</v>
      </c>
      <c r="T1426" t="str">
        <f t="shared" si="181"/>
        <v>OK</v>
      </c>
      <c r="U1426" s="25">
        <f t="shared" si="182"/>
        <v>0</v>
      </c>
      <c r="V1426" t="str">
        <f t="shared" si="183"/>
        <v>OK</v>
      </c>
    </row>
    <row r="1427" spans="1:22" ht="18" customHeight="1">
      <c r="A1427" t="s">
        <v>331</v>
      </c>
      <c r="B1427" t="s">
        <v>332</v>
      </c>
      <c r="C1427">
        <v>4</v>
      </c>
      <c r="D1427" t="s">
        <v>333</v>
      </c>
      <c r="E1427" s="6">
        <f t="shared" si="176"/>
        <v>0</v>
      </c>
      <c r="F1427" s="6">
        <f t="shared" si="177"/>
        <v>0</v>
      </c>
      <c r="G1427" s="6">
        <f>ROUND(Catalogue!G75*SQRT((1+Paramètres!$B$4*(C1427-1)+Paramètres!$B$5*(C1427-1)^2)),0)</f>
        <v>2</v>
      </c>
      <c r="H1427" s="6">
        <f>ROUND(Catalogue!H75*SQRT((1+Paramètres!$B$4*(C1427-1)+Paramètres!$B$5*(C1427-1)^2)),0)</f>
        <v>0</v>
      </c>
      <c r="I1427" s="6">
        <v>0</v>
      </c>
      <c r="J1427" s="6">
        <v>0</v>
      </c>
      <c r="K1427" s="7">
        <v>1.1000000000000001</v>
      </c>
      <c r="L1427" s="9">
        <f t="shared" si="178"/>
        <v>0</v>
      </c>
      <c r="M1427">
        <v>0</v>
      </c>
      <c r="N1427">
        <v>0</v>
      </c>
      <c r="O1427">
        <v>0</v>
      </c>
      <c r="P1427" s="13" t="str">
        <f t="shared" si="179"/>
        <v>—</v>
      </c>
      <c r="Q1427">
        <f>ROUND(INDEX(Catalogue!E$4:E$85,MATCH(A1427,Catalogue!A$4:A$85,0))*(1+Paramètres!$B$4*(C1427-1)+Paramètres!$B$5*(C1427-1)^2),0)</f>
        <v>0</v>
      </c>
      <c r="R1427">
        <f>ROUND(INDEX(Catalogue!F$4:F$85,MATCH(A1427,Catalogue!A$4:A$85,0))*(1+Paramètres!$B$4*(C1427-1)+Paramètres!$B$5*(C1427-1)^2),0)</f>
        <v>0</v>
      </c>
      <c r="S1427">
        <f t="shared" si="180"/>
        <v>0</v>
      </c>
      <c r="T1427" t="str">
        <f t="shared" si="181"/>
        <v>OK</v>
      </c>
      <c r="U1427" s="25">
        <f t="shared" si="182"/>
        <v>0</v>
      </c>
      <c r="V1427" t="str">
        <f t="shared" si="183"/>
        <v>OK</v>
      </c>
    </row>
    <row r="1428" spans="1:22" ht="18" customHeight="1">
      <c r="A1428" t="s">
        <v>331</v>
      </c>
      <c r="B1428" t="s">
        <v>332</v>
      </c>
      <c r="C1428">
        <v>5</v>
      </c>
      <c r="D1428" t="s">
        <v>333</v>
      </c>
      <c r="E1428" s="6">
        <f t="shared" si="176"/>
        <v>0</v>
      </c>
      <c r="F1428" s="6">
        <f t="shared" si="177"/>
        <v>0</v>
      </c>
      <c r="G1428" s="6">
        <f>ROUND(Catalogue!G75*SQRT((1+Paramètres!$B$4*(C1428-1)+Paramètres!$B$5*(C1428-1)^2)),0)</f>
        <v>3</v>
      </c>
      <c r="H1428" s="6">
        <f>ROUND(Catalogue!H75*SQRT((1+Paramètres!$B$4*(C1428-1)+Paramètres!$B$5*(C1428-1)^2)),0)</f>
        <v>0</v>
      </c>
      <c r="I1428" s="6">
        <v>0</v>
      </c>
      <c r="J1428" s="6">
        <v>0</v>
      </c>
      <c r="K1428" s="7">
        <v>1.1000000000000001</v>
      </c>
      <c r="L1428" s="9">
        <f t="shared" si="178"/>
        <v>0</v>
      </c>
      <c r="M1428">
        <v>0</v>
      </c>
      <c r="N1428">
        <v>0</v>
      </c>
      <c r="O1428">
        <v>0</v>
      </c>
      <c r="P1428" s="13" t="str">
        <f t="shared" si="179"/>
        <v>—</v>
      </c>
      <c r="Q1428">
        <f>ROUND(INDEX(Catalogue!E$4:E$85,MATCH(A1428,Catalogue!A$4:A$85,0))*(1+Paramètres!$B$4*(C1428-1)+Paramètres!$B$5*(C1428-1)^2),0)</f>
        <v>0</v>
      </c>
      <c r="R1428">
        <f>ROUND(INDEX(Catalogue!F$4:F$85,MATCH(A1428,Catalogue!A$4:A$85,0))*(1+Paramètres!$B$4*(C1428-1)+Paramètres!$B$5*(C1428-1)^2),0)</f>
        <v>0</v>
      </c>
      <c r="S1428">
        <f t="shared" si="180"/>
        <v>0</v>
      </c>
      <c r="T1428" t="str">
        <f t="shared" si="181"/>
        <v>OK</v>
      </c>
      <c r="U1428" s="25">
        <f t="shared" si="182"/>
        <v>0</v>
      </c>
      <c r="V1428" t="str">
        <f t="shared" si="183"/>
        <v>OK</v>
      </c>
    </row>
    <row r="1429" spans="1:22" ht="18" customHeight="1">
      <c r="A1429" t="s">
        <v>331</v>
      </c>
      <c r="B1429" t="s">
        <v>332</v>
      </c>
      <c r="C1429">
        <v>6</v>
      </c>
      <c r="D1429" t="s">
        <v>333</v>
      </c>
      <c r="E1429" s="6">
        <f t="shared" si="176"/>
        <v>0</v>
      </c>
      <c r="F1429" s="6">
        <f t="shared" si="177"/>
        <v>0</v>
      </c>
      <c r="G1429" s="6">
        <f>ROUND(Catalogue!G75*SQRT((1+Paramètres!$B$4*(C1429-1)+Paramètres!$B$5*(C1429-1)^2)),0)</f>
        <v>3</v>
      </c>
      <c r="H1429" s="6">
        <f>ROUND(Catalogue!H75*SQRT((1+Paramètres!$B$4*(C1429-1)+Paramètres!$B$5*(C1429-1)^2)),0)</f>
        <v>0</v>
      </c>
      <c r="I1429" s="6">
        <v>0</v>
      </c>
      <c r="J1429" s="6">
        <v>0</v>
      </c>
      <c r="K1429" s="7">
        <v>1.1000000000000001</v>
      </c>
      <c r="L1429" s="9">
        <f t="shared" si="178"/>
        <v>0</v>
      </c>
      <c r="M1429">
        <v>0</v>
      </c>
      <c r="N1429">
        <v>0</v>
      </c>
      <c r="O1429">
        <v>0</v>
      </c>
      <c r="P1429" s="13" t="str">
        <f t="shared" si="179"/>
        <v>—</v>
      </c>
      <c r="Q1429">
        <f>ROUND(INDEX(Catalogue!E$4:E$85,MATCH(A1429,Catalogue!A$4:A$85,0))*(1+Paramètres!$B$4*(C1429-1)+Paramètres!$B$5*(C1429-1)^2),0)</f>
        <v>0</v>
      </c>
      <c r="R1429">
        <f>ROUND(INDEX(Catalogue!F$4:F$85,MATCH(A1429,Catalogue!A$4:A$85,0))*(1+Paramètres!$B$4*(C1429-1)+Paramètres!$B$5*(C1429-1)^2),0)</f>
        <v>0</v>
      </c>
      <c r="S1429">
        <f t="shared" si="180"/>
        <v>0</v>
      </c>
      <c r="T1429" t="str">
        <f t="shared" si="181"/>
        <v>OK</v>
      </c>
      <c r="U1429" s="25">
        <f t="shared" si="182"/>
        <v>0</v>
      </c>
      <c r="V1429" t="str">
        <f t="shared" si="183"/>
        <v>OK</v>
      </c>
    </row>
    <row r="1430" spans="1:22" ht="18" customHeight="1">
      <c r="A1430" t="s">
        <v>331</v>
      </c>
      <c r="B1430" t="s">
        <v>332</v>
      </c>
      <c r="C1430">
        <v>7</v>
      </c>
      <c r="D1430" t="s">
        <v>333</v>
      </c>
      <c r="E1430" s="6">
        <f t="shared" si="176"/>
        <v>0</v>
      </c>
      <c r="F1430" s="6">
        <f t="shared" si="177"/>
        <v>0</v>
      </c>
      <c r="G1430" s="6">
        <f>ROUND(Catalogue!G75*SQRT((1+Paramètres!$B$4*(C1430-1)+Paramètres!$B$5*(C1430-1)^2)),0)</f>
        <v>3</v>
      </c>
      <c r="H1430" s="6">
        <f>ROUND(Catalogue!H75*SQRT((1+Paramètres!$B$4*(C1430-1)+Paramètres!$B$5*(C1430-1)^2)),0)</f>
        <v>0</v>
      </c>
      <c r="I1430" s="6">
        <v>0</v>
      </c>
      <c r="J1430" s="6">
        <v>0</v>
      </c>
      <c r="K1430" s="7">
        <v>1.1000000000000001</v>
      </c>
      <c r="L1430" s="9">
        <f t="shared" si="178"/>
        <v>0</v>
      </c>
      <c r="M1430">
        <v>0</v>
      </c>
      <c r="N1430">
        <v>0</v>
      </c>
      <c r="O1430">
        <v>0</v>
      </c>
      <c r="P1430" s="13" t="str">
        <f t="shared" si="179"/>
        <v>—</v>
      </c>
      <c r="Q1430">
        <f>ROUND(INDEX(Catalogue!E$4:E$85,MATCH(A1430,Catalogue!A$4:A$85,0))*(1+Paramètres!$B$4*(C1430-1)+Paramètres!$B$5*(C1430-1)^2),0)</f>
        <v>0</v>
      </c>
      <c r="R1430">
        <f>ROUND(INDEX(Catalogue!F$4:F$85,MATCH(A1430,Catalogue!A$4:A$85,0))*(1+Paramètres!$B$4*(C1430-1)+Paramètres!$B$5*(C1430-1)^2),0)</f>
        <v>0</v>
      </c>
      <c r="S1430">
        <f t="shared" si="180"/>
        <v>0</v>
      </c>
      <c r="T1430" t="str">
        <f t="shared" si="181"/>
        <v>OK</v>
      </c>
      <c r="U1430" s="25">
        <f t="shared" si="182"/>
        <v>0</v>
      </c>
      <c r="V1430" t="str">
        <f t="shared" si="183"/>
        <v>OK</v>
      </c>
    </row>
    <row r="1431" spans="1:22" ht="18" customHeight="1">
      <c r="A1431" t="s">
        <v>331</v>
      </c>
      <c r="B1431" t="s">
        <v>332</v>
      </c>
      <c r="C1431">
        <v>8</v>
      </c>
      <c r="D1431" t="s">
        <v>333</v>
      </c>
      <c r="E1431" s="6">
        <f t="shared" si="176"/>
        <v>0</v>
      </c>
      <c r="F1431" s="6">
        <f t="shared" si="177"/>
        <v>0</v>
      </c>
      <c r="G1431" s="6">
        <f>ROUND(Catalogue!G75*SQRT((1+Paramètres!$B$4*(C1431-1)+Paramètres!$B$5*(C1431-1)^2)),0)</f>
        <v>3</v>
      </c>
      <c r="H1431" s="6">
        <f>ROUND(Catalogue!H75*SQRT((1+Paramètres!$B$4*(C1431-1)+Paramètres!$B$5*(C1431-1)^2)),0)</f>
        <v>0</v>
      </c>
      <c r="I1431" s="6">
        <v>0</v>
      </c>
      <c r="J1431" s="6">
        <v>0</v>
      </c>
      <c r="K1431" s="7">
        <v>1.1000000000000001</v>
      </c>
      <c r="L1431" s="9">
        <f t="shared" si="178"/>
        <v>0</v>
      </c>
      <c r="M1431">
        <v>0</v>
      </c>
      <c r="N1431">
        <v>0</v>
      </c>
      <c r="O1431">
        <v>0</v>
      </c>
      <c r="P1431" s="13" t="str">
        <f t="shared" si="179"/>
        <v>—</v>
      </c>
      <c r="Q1431">
        <f>ROUND(INDEX(Catalogue!E$4:E$85,MATCH(A1431,Catalogue!A$4:A$85,0))*(1+Paramètres!$B$4*(C1431-1)+Paramètres!$B$5*(C1431-1)^2),0)</f>
        <v>0</v>
      </c>
      <c r="R1431">
        <f>ROUND(INDEX(Catalogue!F$4:F$85,MATCH(A1431,Catalogue!A$4:A$85,0))*(1+Paramètres!$B$4*(C1431-1)+Paramètres!$B$5*(C1431-1)^2),0)</f>
        <v>0</v>
      </c>
      <c r="S1431">
        <f t="shared" si="180"/>
        <v>0</v>
      </c>
      <c r="T1431" t="str">
        <f t="shared" si="181"/>
        <v>OK</v>
      </c>
      <c r="U1431" s="25">
        <f t="shared" si="182"/>
        <v>0</v>
      </c>
      <c r="V1431" t="str">
        <f t="shared" si="183"/>
        <v>OK</v>
      </c>
    </row>
    <row r="1432" spans="1:22" ht="18" customHeight="1">
      <c r="A1432" t="s">
        <v>331</v>
      </c>
      <c r="B1432" t="s">
        <v>332</v>
      </c>
      <c r="C1432">
        <v>9</v>
      </c>
      <c r="D1432" t="s">
        <v>333</v>
      </c>
      <c r="E1432" s="6">
        <f t="shared" si="176"/>
        <v>0</v>
      </c>
      <c r="F1432" s="6">
        <f t="shared" si="177"/>
        <v>0</v>
      </c>
      <c r="G1432" s="6">
        <f>ROUND(Catalogue!G75*SQRT((1+Paramètres!$B$4*(C1432-1)+Paramètres!$B$5*(C1432-1)^2)),0)</f>
        <v>3</v>
      </c>
      <c r="H1432" s="6">
        <f>ROUND(Catalogue!H75*SQRT((1+Paramètres!$B$4*(C1432-1)+Paramètres!$B$5*(C1432-1)^2)),0)</f>
        <v>0</v>
      </c>
      <c r="I1432" s="6">
        <v>0</v>
      </c>
      <c r="J1432" s="6">
        <v>0</v>
      </c>
      <c r="K1432" s="7">
        <v>1.1000000000000001</v>
      </c>
      <c r="L1432" s="9">
        <f t="shared" si="178"/>
        <v>0</v>
      </c>
      <c r="M1432">
        <v>0</v>
      </c>
      <c r="N1432">
        <v>0</v>
      </c>
      <c r="O1432">
        <v>0</v>
      </c>
      <c r="P1432" s="13" t="str">
        <f t="shared" si="179"/>
        <v>—</v>
      </c>
      <c r="Q1432">
        <f>ROUND(INDEX(Catalogue!E$4:E$85,MATCH(A1432,Catalogue!A$4:A$85,0))*(1+Paramètres!$B$4*(C1432-1)+Paramètres!$B$5*(C1432-1)^2),0)</f>
        <v>0</v>
      </c>
      <c r="R1432">
        <f>ROUND(INDEX(Catalogue!F$4:F$85,MATCH(A1432,Catalogue!A$4:A$85,0))*(1+Paramètres!$B$4*(C1432-1)+Paramètres!$B$5*(C1432-1)^2),0)</f>
        <v>0</v>
      </c>
      <c r="S1432">
        <f t="shared" si="180"/>
        <v>0</v>
      </c>
      <c r="T1432" t="str">
        <f t="shared" si="181"/>
        <v>OK</v>
      </c>
      <c r="U1432" s="25">
        <f t="shared" si="182"/>
        <v>0</v>
      </c>
      <c r="V1432" t="str">
        <f t="shared" si="183"/>
        <v>OK</v>
      </c>
    </row>
    <row r="1433" spans="1:22" ht="18" customHeight="1">
      <c r="A1433" t="s">
        <v>331</v>
      </c>
      <c r="B1433" t="s">
        <v>332</v>
      </c>
      <c r="C1433">
        <v>10</v>
      </c>
      <c r="D1433" t="s">
        <v>333</v>
      </c>
      <c r="E1433" s="6">
        <f t="shared" si="176"/>
        <v>0</v>
      </c>
      <c r="F1433" s="6">
        <f t="shared" si="177"/>
        <v>0</v>
      </c>
      <c r="G1433" s="6">
        <f>ROUND(Catalogue!G75*SQRT((1+Paramètres!$B$4*(C1433-1)+Paramètres!$B$5*(C1433-1)^2)),0)</f>
        <v>4</v>
      </c>
      <c r="H1433" s="6">
        <f>ROUND(Catalogue!H75*SQRT((1+Paramètres!$B$4*(C1433-1)+Paramètres!$B$5*(C1433-1)^2)),0)</f>
        <v>0</v>
      </c>
      <c r="I1433" s="6">
        <v>0</v>
      </c>
      <c r="J1433" s="6">
        <v>0</v>
      </c>
      <c r="K1433" s="7">
        <v>1.1000000000000001</v>
      </c>
      <c r="L1433" s="9">
        <f t="shared" si="178"/>
        <v>0</v>
      </c>
      <c r="M1433">
        <v>0</v>
      </c>
      <c r="N1433">
        <v>0</v>
      </c>
      <c r="O1433">
        <v>0</v>
      </c>
      <c r="P1433" s="13" t="str">
        <f t="shared" si="179"/>
        <v>—</v>
      </c>
      <c r="Q1433">
        <f>ROUND(INDEX(Catalogue!E$4:E$85,MATCH(A1433,Catalogue!A$4:A$85,0))*(1+Paramètres!$B$4*(C1433-1)+Paramètres!$B$5*(C1433-1)^2),0)</f>
        <v>0</v>
      </c>
      <c r="R1433">
        <f>ROUND(INDEX(Catalogue!F$4:F$85,MATCH(A1433,Catalogue!A$4:A$85,0))*(1+Paramètres!$B$4*(C1433-1)+Paramètres!$B$5*(C1433-1)^2),0)</f>
        <v>0</v>
      </c>
      <c r="S1433">
        <f t="shared" si="180"/>
        <v>0</v>
      </c>
      <c r="T1433" t="str">
        <f t="shared" si="181"/>
        <v>OK</v>
      </c>
      <c r="U1433" s="25">
        <f t="shared" si="182"/>
        <v>0</v>
      </c>
      <c r="V1433" t="str">
        <f t="shared" si="183"/>
        <v>OK</v>
      </c>
    </row>
    <row r="1434" spans="1:22" ht="18" customHeight="1">
      <c r="A1434" t="s">
        <v>331</v>
      </c>
      <c r="B1434" t="s">
        <v>332</v>
      </c>
      <c r="C1434">
        <v>11</v>
      </c>
      <c r="D1434" t="s">
        <v>333</v>
      </c>
      <c r="E1434" s="6">
        <f t="shared" si="176"/>
        <v>0</v>
      </c>
      <c r="F1434" s="6">
        <f t="shared" si="177"/>
        <v>0</v>
      </c>
      <c r="G1434" s="6">
        <f>ROUND(Catalogue!G75*SQRT((1+Paramètres!$B$4*(C1434-1)+Paramètres!$B$5*(C1434-1)^2)),0)</f>
        <v>4</v>
      </c>
      <c r="H1434" s="6">
        <f>ROUND(Catalogue!H75*SQRT((1+Paramètres!$B$4*(C1434-1)+Paramètres!$B$5*(C1434-1)^2)),0)</f>
        <v>0</v>
      </c>
      <c r="I1434" s="6">
        <v>0</v>
      </c>
      <c r="J1434" s="6">
        <v>0</v>
      </c>
      <c r="K1434" s="7">
        <v>1.1000000000000001</v>
      </c>
      <c r="L1434" s="9">
        <f t="shared" si="178"/>
        <v>0</v>
      </c>
      <c r="M1434">
        <v>0</v>
      </c>
      <c r="N1434">
        <v>0</v>
      </c>
      <c r="O1434">
        <v>0</v>
      </c>
      <c r="P1434" s="13" t="str">
        <f t="shared" si="179"/>
        <v>—</v>
      </c>
      <c r="Q1434">
        <f>ROUND(INDEX(Catalogue!E$4:E$85,MATCH(A1434,Catalogue!A$4:A$85,0))*(1+Paramètres!$B$4*(C1434-1)+Paramètres!$B$5*(C1434-1)^2),0)</f>
        <v>0</v>
      </c>
      <c r="R1434">
        <f>ROUND(INDEX(Catalogue!F$4:F$85,MATCH(A1434,Catalogue!A$4:A$85,0))*(1+Paramètres!$B$4*(C1434-1)+Paramètres!$B$5*(C1434-1)^2),0)</f>
        <v>0</v>
      </c>
      <c r="S1434">
        <f t="shared" si="180"/>
        <v>0</v>
      </c>
      <c r="T1434" t="str">
        <f t="shared" si="181"/>
        <v>OK</v>
      </c>
      <c r="U1434" s="25">
        <f t="shared" si="182"/>
        <v>0</v>
      </c>
      <c r="V1434" t="str">
        <f t="shared" si="183"/>
        <v>OK</v>
      </c>
    </row>
    <row r="1435" spans="1:22" ht="18" customHeight="1">
      <c r="A1435" t="s">
        <v>331</v>
      </c>
      <c r="B1435" t="s">
        <v>332</v>
      </c>
      <c r="C1435">
        <v>12</v>
      </c>
      <c r="D1435" t="s">
        <v>333</v>
      </c>
      <c r="E1435" s="6">
        <f t="shared" si="176"/>
        <v>0</v>
      </c>
      <c r="F1435" s="6">
        <f t="shared" si="177"/>
        <v>0</v>
      </c>
      <c r="G1435" s="6">
        <f>ROUND(Catalogue!G75*SQRT((1+Paramètres!$B$4*(C1435-1)+Paramètres!$B$5*(C1435-1)^2)),0)</f>
        <v>4</v>
      </c>
      <c r="H1435" s="6">
        <f>ROUND(Catalogue!H75*SQRT((1+Paramètres!$B$4*(C1435-1)+Paramètres!$B$5*(C1435-1)^2)),0)</f>
        <v>0</v>
      </c>
      <c r="I1435" s="6">
        <v>0</v>
      </c>
      <c r="J1435" s="6">
        <v>0</v>
      </c>
      <c r="K1435" s="7">
        <v>1.1000000000000001</v>
      </c>
      <c r="L1435" s="9">
        <f t="shared" si="178"/>
        <v>0</v>
      </c>
      <c r="M1435">
        <v>0</v>
      </c>
      <c r="N1435">
        <v>0</v>
      </c>
      <c r="O1435">
        <v>0</v>
      </c>
      <c r="P1435" s="13" t="str">
        <f t="shared" si="179"/>
        <v>—</v>
      </c>
      <c r="Q1435">
        <f>ROUND(INDEX(Catalogue!E$4:E$85,MATCH(A1435,Catalogue!A$4:A$85,0))*(1+Paramètres!$B$4*(C1435-1)+Paramètres!$B$5*(C1435-1)^2),0)</f>
        <v>0</v>
      </c>
      <c r="R1435">
        <f>ROUND(INDEX(Catalogue!F$4:F$85,MATCH(A1435,Catalogue!A$4:A$85,0))*(1+Paramètres!$B$4*(C1435-1)+Paramètres!$B$5*(C1435-1)^2),0)</f>
        <v>0</v>
      </c>
      <c r="S1435">
        <f t="shared" si="180"/>
        <v>0</v>
      </c>
      <c r="T1435" t="str">
        <f t="shared" si="181"/>
        <v>OK</v>
      </c>
      <c r="U1435" s="25">
        <f t="shared" si="182"/>
        <v>0</v>
      </c>
      <c r="V1435" t="str">
        <f t="shared" si="183"/>
        <v>OK</v>
      </c>
    </row>
    <row r="1436" spans="1:22" ht="18" customHeight="1">
      <c r="A1436" t="s">
        <v>331</v>
      </c>
      <c r="B1436" t="s">
        <v>332</v>
      </c>
      <c r="C1436">
        <v>13</v>
      </c>
      <c r="D1436" t="s">
        <v>333</v>
      </c>
      <c r="E1436" s="6">
        <f t="shared" si="176"/>
        <v>0</v>
      </c>
      <c r="F1436" s="6">
        <f t="shared" si="177"/>
        <v>0</v>
      </c>
      <c r="G1436" s="6">
        <f>ROUND(Catalogue!G75*SQRT((1+Paramètres!$B$4*(C1436-1)+Paramètres!$B$5*(C1436-1)^2)),0)</f>
        <v>4</v>
      </c>
      <c r="H1436" s="6">
        <f>ROUND(Catalogue!H75*SQRT((1+Paramètres!$B$4*(C1436-1)+Paramètres!$B$5*(C1436-1)^2)),0)</f>
        <v>0</v>
      </c>
      <c r="I1436" s="6">
        <v>0</v>
      </c>
      <c r="J1436" s="6">
        <v>0</v>
      </c>
      <c r="K1436" s="7">
        <v>1.1000000000000001</v>
      </c>
      <c r="L1436" s="9">
        <f t="shared" si="178"/>
        <v>0</v>
      </c>
      <c r="M1436">
        <v>0</v>
      </c>
      <c r="N1436">
        <v>0</v>
      </c>
      <c r="O1436">
        <v>0</v>
      </c>
      <c r="P1436" s="13" t="str">
        <f t="shared" si="179"/>
        <v>—</v>
      </c>
      <c r="Q1436">
        <f>ROUND(INDEX(Catalogue!E$4:E$85,MATCH(A1436,Catalogue!A$4:A$85,0))*(1+Paramètres!$B$4*(C1436-1)+Paramètres!$B$5*(C1436-1)^2),0)</f>
        <v>0</v>
      </c>
      <c r="R1436">
        <f>ROUND(INDEX(Catalogue!F$4:F$85,MATCH(A1436,Catalogue!A$4:A$85,0))*(1+Paramètres!$B$4*(C1436-1)+Paramètres!$B$5*(C1436-1)^2),0)</f>
        <v>0</v>
      </c>
      <c r="S1436">
        <f t="shared" si="180"/>
        <v>0</v>
      </c>
      <c r="T1436" t="str">
        <f t="shared" si="181"/>
        <v>OK</v>
      </c>
      <c r="U1436" s="25">
        <f t="shared" si="182"/>
        <v>0</v>
      </c>
      <c r="V1436" t="str">
        <f t="shared" si="183"/>
        <v>OK</v>
      </c>
    </row>
    <row r="1437" spans="1:22" ht="18" customHeight="1">
      <c r="A1437" t="s">
        <v>331</v>
      </c>
      <c r="B1437" t="s">
        <v>332</v>
      </c>
      <c r="C1437">
        <v>14</v>
      </c>
      <c r="D1437" t="s">
        <v>333</v>
      </c>
      <c r="E1437" s="6">
        <f t="shared" si="176"/>
        <v>0</v>
      </c>
      <c r="F1437" s="6">
        <f t="shared" si="177"/>
        <v>0</v>
      </c>
      <c r="G1437" s="6">
        <f>ROUND(Catalogue!G75*SQRT((1+Paramètres!$B$4*(C1437-1)+Paramètres!$B$5*(C1437-1)^2)),0)</f>
        <v>5</v>
      </c>
      <c r="H1437" s="6">
        <f>ROUND(Catalogue!H75*SQRT((1+Paramètres!$B$4*(C1437-1)+Paramètres!$B$5*(C1437-1)^2)),0)</f>
        <v>0</v>
      </c>
      <c r="I1437" s="6">
        <v>0</v>
      </c>
      <c r="J1437" s="6">
        <v>0</v>
      </c>
      <c r="K1437" s="7">
        <v>1.1000000000000001</v>
      </c>
      <c r="L1437" s="9">
        <f t="shared" si="178"/>
        <v>0</v>
      </c>
      <c r="M1437">
        <v>0</v>
      </c>
      <c r="N1437">
        <v>0</v>
      </c>
      <c r="O1437">
        <v>0</v>
      </c>
      <c r="P1437" s="13" t="str">
        <f t="shared" si="179"/>
        <v>—</v>
      </c>
      <c r="Q1437">
        <f>ROUND(INDEX(Catalogue!E$4:E$85,MATCH(A1437,Catalogue!A$4:A$85,0))*(1+Paramètres!$B$4*(C1437-1)+Paramètres!$B$5*(C1437-1)^2),0)</f>
        <v>0</v>
      </c>
      <c r="R1437">
        <f>ROUND(INDEX(Catalogue!F$4:F$85,MATCH(A1437,Catalogue!A$4:A$85,0))*(1+Paramètres!$B$4*(C1437-1)+Paramètres!$B$5*(C1437-1)^2),0)</f>
        <v>0</v>
      </c>
      <c r="S1437">
        <f t="shared" si="180"/>
        <v>0</v>
      </c>
      <c r="T1437" t="str">
        <f t="shared" si="181"/>
        <v>OK</v>
      </c>
      <c r="U1437" s="25">
        <f t="shared" si="182"/>
        <v>0</v>
      </c>
      <c r="V1437" t="str">
        <f t="shared" si="183"/>
        <v>OK</v>
      </c>
    </row>
    <row r="1438" spans="1:22" ht="18" customHeight="1">
      <c r="A1438" t="s">
        <v>331</v>
      </c>
      <c r="B1438" t="s">
        <v>332</v>
      </c>
      <c r="C1438">
        <v>15</v>
      </c>
      <c r="D1438" t="s">
        <v>333</v>
      </c>
      <c r="E1438" s="6">
        <f t="shared" si="176"/>
        <v>0</v>
      </c>
      <c r="F1438" s="6">
        <f t="shared" si="177"/>
        <v>0</v>
      </c>
      <c r="G1438" s="6">
        <f>ROUND(Catalogue!G75*SQRT((1+Paramètres!$B$4*(C1438-1)+Paramètres!$B$5*(C1438-1)^2)),0)</f>
        <v>5</v>
      </c>
      <c r="H1438" s="6">
        <f>ROUND(Catalogue!H75*SQRT((1+Paramètres!$B$4*(C1438-1)+Paramètres!$B$5*(C1438-1)^2)),0)</f>
        <v>0</v>
      </c>
      <c r="I1438" s="6">
        <v>0</v>
      </c>
      <c r="J1438" s="6">
        <v>0</v>
      </c>
      <c r="K1438" s="7">
        <v>1.1000000000000001</v>
      </c>
      <c r="L1438" s="9">
        <f t="shared" si="178"/>
        <v>0</v>
      </c>
      <c r="M1438">
        <v>0</v>
      </c>
      <c r="N1438">
        <v>0</v>
      </c>
      <c r="O1438">
        <v>0</v>
      </c>
      <c r="P1438" s="13" t="str">
        <f t="shared" si="179"/>
        <v>—</v>
      </c>
      <c r="Q1438">
        <f>ROUND(INDEX(Catalogue!E$4:E$85,MATCH(A1438,Catalogue!A$4:A$85,0))*(1+Paramètres!$B$4*(C1438-1)+Paramètres!$B$5*(C1438-1)^2),0)</f>
        <v>0</v>
      </c>
      <c r="R1438">
        <f>ROUND(INDEX(Catalogue!F$4:F$85,MATCH(A1438,Catalogue!A$4:A$85,0))*(1+Paramètres!$B$4*(C1438-1)+Paramètres!$B$5*(C1438-1)^2),0)</f>
        <v>0</v>
      </c>
      <c r="S1438">
        <f t="shared" si="180"/>
        <v>0</v>
      </c>
      <c r="T1438" t="str">
        <f t="shared" si="181"/>
        <v>OK</v>
      </c>
      <c r="U1438" s="25">
        <f t="shared" si="182"/>
        <v>0</v>
      </c>
      <c r="V1438" t="str">
        <f t="shared" si="183"/>
        <v>OK</v>
      </c>
    </row>
    <row r="1439" spans="1:22" ht="18" customHeight="1">
      <c r="A1439" t="s">
        <v>331</v>
      </c>
      <c r="B1439" t="s">
        <v>332</v>
      </c>
      <c r="C1439">
        <v>16</v>
      </c>
      <c r="D1439" t="s">
        <v>333</v>
      </c>
      <c r="E1439" s="6">
        <f t="shared" si="176"/>
        <v>0</v>
      </c>
      <c r="F1439" s="6">
        <f t="shared" si="177"/>
        <v>0</v>
      </c>
      <c r="G1439" s="6">
        <f>ROUND(Catalogue!G75*SQRT((1+Paramètres!$B$4*(C1439-1)+Paramètres!$B$5*(C1439-1)^2)),0)</f>
        <v>5</v>
      </c>
      <c r="H1439" s="6">
        <f>ROUND(Catalogue!H75*SQRT((1+Paramètres!$B$4*(C1439-1)+Paramètres!$B$5*(C1439-1)^2)),0)</f>
        <v>0</v>
      </c>
      <c r="I1439" s="6">
        <v>0</v>
      </c>
      <c r="J1439" s="6">
        <v>0</v>
      </c>
      <c r="K1439" s="7">
        <v>1.1000000000000001</v>
      </c>
      <c r="L1439" s="9">
        <f t="shared" si="178"/>
        <v>0</v>
      </c>
      <c r="M1439">
        <v>0</v>
      </c>
      <c r="N1439">
        <v>0</v>
      </c>
      <c r="O1439">
        <v>0</v>
      </c>
      <c r="P1439" s="13" t="str">
        <f t="shared" si="179"/>
        <v>—</v>
      </c>
      <c r="Q1439">
        <f>ROUND(INDEX(Catalogue!E$4:E$85,MATCH(A1439,Catalogue!A$4:A$85,0))*(1+Paramètres!$B$4*(C1439-1)+Paramètres!$B$5*(C1439-1)^2),0)</f>
        <v>0</v>
      </c>
      <c r="R1439">
        <f>ROUND(INDEX(Catalogue!F$4:F$85,MATCH(A1439,Catalogue!A$4:A$85,0))*(1+Paramètres!$B$4*(C1439-1)+Paramètres!$B$5*(C1439-1)^2),0)</f>
        <v>0</v>
      </c>
      <c r="S1439">
        <f t="shared" si="180"/>
        <v>0</v>
      </c>
      <c r="T1439" t="str">
        <f t="shared" si="181"/>
        <v>OK</v>
      </c>
      <c r="U1439" s="25">
        <f t="shared" si="182"/>
        <v>0</v>
      </c>
      <c r="V1439" t="str">
        <f t="shared" si="183"/>
        <v>OK</v>
      </c>
    </row>
    <row r="1440" spans="1:22" ht="18" customHeight="1">
      <c r="A1440" t="s">
        <v>331</v>
      </c>
      <c r="B1440" t="s">
        <v>332</v>
      </c>
      <c r="C1440">
        <v>17</v>
      </c>
      <c r="D1440" t="s">
        <v>333</v>
      </c>
      <c r="E1440" s="6">
        <f t="shared" si="176"/>
        <v>0</v>
      </c>
      <c r="F1440" s="6">
        <f t="shared" si="177"/>
        <v>0</v>
      </c>
      <c r="G1440" s="6">
        <f>ROUND(Catalogue!G75*SQRT((1+Paramètres!$B$4*(C1440-1)+Paramètres!$B$5*(C1440-1)^2)),0)</f>
        <v>5</v>
      </c>
      <c r="H1440" s="6">
        <f>ROUND(Catalogue!H75*SQRT((1+Paramètres!$B$4*(C1440-1)+Paramètres!$B$5*(C1440-1)^2)),0)</f>
        <v>0</v>
      </c>
      <c r="I1440" s="6">
        <v>0</v>
      </c>
      <c r="J1440" s="6">
        <v>0</v>
      </c>
      <c r="K1440" s="7">
        <v>1.1000000000000001</v>
      </c>
      <c r="L1440" s="9">
        <f t="shared" si="178"/>
        <v>0</v>
      </c>
      <c r="M1440">
        <v>0</v>
      </c>
      <c r="N1440">
        <v>0</v>
      </c>
      <c r="O1440">
        <v>0</v>
      </c>
      <c r="P1440" s="13" t="str">
        <f t="shared" si="179"/>
        <v>—</v>
      </c>
      <c r="Q1440">
        <f>ROUND(INDEX(Catalogue!E$4:E$85,MATCH(A1440,Catalogue!A$4:A$85,0))*(1+Paramètres!$B$4*(C1440-1)+Paramètres!$B$5*(C1440-1)^2),0)</f>
        <v>0</v>
      </c>
      <c r="R1440">
        <f>ROUND(INDEX(Catalogue!F$4:F$85,MATCH(A1440,Catalogue!A$4:A$85,0))*(1+Paramètres!$B$4*(C1440-1)+Paramètres!$B$5*(C1440-1)^2),0)</f>
        <v>0</v>
      </c>
      <c r="S1440">
        <f t="shared" si="180"/>
        <v>0</v>
      </c>
      <c r="T1440" t="str">
        <f t="shared" si="181"/>
        <v>OK</v>
      </c>
      <c r="U1440" s="25">
        <f t="shared" si="182"/>
        <v>0</v>
      </c>
      <c r="V1440" t="str">
        <f t="shared" si="183"/>
        <v>OK</v>
      </c>
    </row>
    <row r="1441" spans="1:22" ht="18" customHeight="1">
      <c r="A1441" t="s">
        <v>331</v>
      </c>
      <c r="B1441" t="s">
        <v>332</v>
      </c>
      <c r="C1441">
        <v>18</v>
      </c>
      <c r="D1441" t="s">
        <v>333</v>
      </c>
      <c r="E1441" s="6">
        <f t="shared" si="176"/>
        <v>0</v>
      </c>
      <c r="F1441" s="6">
        <f t="shared" si="177"/>
        <v>0</v>
      </c>
      <c r="G1441" s="6">
        <f>ROUND(Catalogue!G75*SQRT((1+Paramètres!$B$4*(C1441-1)+Paramètres!$B$5*(C1441-1)^2)),0)</f>
        <v>5</v>
      </c>
      <c r="H1441" s="6">
        <f>ROUND(Catalogue!H75*SQRT((1+Paramètres!$B$4*(C1441-1)+Paramètres!$B$5*(C1441-1)^2)),0)</f>
        <v>0</v>
      </c>
      <c r="I1441" s="6">
        <v>0</v>
      </c>
      <c r="J1441" s="6">
        <v>0</v>
      </c>
      <c r="K1441" s="7">
        <v>1.1000000000000001</v>
      </c>
      <c r="L1441" s="9">
        <f t="shared" si="178"/>
        <v>0</v>
      </c>
      <c r="M1441">
        <v>0</v>
      </c>
      <c r="N1441">
        <v>0</v>
      </c>
      <c r="O1441">
        <v>0</v>
      </c>
      <c r="P1441" s="13" t="str">
        <f t="shared" si="179"/>
        <v>—</v>
      </c>
      <c r="Q1441">
        <f>ROUND(INDEX(Catalogue!E$4:E$85,MATCH(A1441,Catalogue!A$4:A$85,0))*(1+Paramètres!$B$4*(C1441-1)+Paramètres!$B$5*(C1441-1)^2),0)</f>
        <v>0</v>
      </c>
      <c r="R1441">
        <f>ROUND(INDEX(Catalogue!F$4:F$85,MATCH(A1441,Catalogue!A$4:A$85,0))*(1+Paramètres!$B$4*(C1441-1)+Paramètres!$B$5*(C1441-1)^2),0)</f>
        <v>0</v>
      </c>
      <c r="S1441">
        <f t="shared" si="180"/>
        <v>0</v>
      </c>
      <c r="T1441" t="str">
        <f t="shared" si="181"/>
        <v>OK</v>
      </c>
      <c r="U1441" s="25">
        <f t="shared" si="182"/>
        <v>0</v>
      </c>
      <c r="V1441" t="str">
        <f t="shared" si="183"/>
        <v>OK</v>
      </c>
    </row>
    <row r="1442" spans="1:22" ht="18" customHeight="1">
      <c r="A1442" t="s">
        <v>331</v>
      </c>
      <c r="B1442" t="s">
        <v>332</v>
      </c>
      <c r="C1442">
        <v>19</v>
      </c>
      <c r="D1442" t="s">
        <v>333</v>
      </c>
      <c r="E1442" s="6">
        <f t="shared" si="176"/>
        <v>0</v>
      </c>
      <c r="F1442" s="6">
        <f t="shared" si="177"/>
        <v>0</v>
      </c>
      <c r="G1442" s="6">
        <f>ROUND(Catalogue!G75*SQRT((1+Paramètres!$B$4*(C1442-1)+Paramètres!$B$5*(C1442-1)^2)),0)</f>
        <v>6</v>
      </c>
      <c r="H1442" s="6">
        <f>ROUND(Catalogue!H75*SQRT((1+Paramètres!$B$4*(C1442-1)+Paramètres!$B$5*(C1442-1)^2)),0)</f>
        <v>0</v>
      </c>
      <c r="I1442" s="6">
        <v>0</v>
      </c>
      <c r="J1442" s="6">
        <v>0</v>
      </c>
      <c r="K1442" s="7">
        <v>1.1000000000000001</v>
      </c>
      <c r="L1442" s="9">
        <f t="shared" si="178"/>
        <v>0</v>
      </c>
      <c r="M1442">
        <v>0</v>
      </c>
      <c r="N1442">
        <v>0</v>
      </c>
      <c r="O1442">
        <v>0</v>
      </c>
      <c r="P1442" s="13" t="str">
        <f t="shared" si="179"/>
        <v>—</v>
      </c>
      <c r="Q1442">
        <f>ROUND(INDEX(Catalogue!E$4:E$85,MATCH(A1442,Catalogue!A$4:A$85,0))*(1+Paramètres!$B$4*(C1442-1)+Paramètres!$B$5*(C1442-1)^2),0)</f>
        <v>0</v>
      </c>
      <c r="R1442">
        <f>ROUND(INDEX(Catalogue!F$4:F$85,MATCH(A1442,Catalogue!A$4:A$85,0))*(1+Paramètres!$B$4*(C1442-1)+Paramètres!$B$5*(C1442-1)^2),0)</f>
        <v>0</v>
      </c>
      <c r="S1442">
        <f t="shared" si="180"/>
        <v>0</v>
      </c>
      <c r="T1442" t="str">
        <f t="shared" si="181"/>
        <v>OK</v>
      </c>
      <c r="U1442" s="25">
        <f t="shared" si="182"/>
        <v>0</v>
      </c>
      <c r="V1442" t="str">
        <f t="shared" si="183"/>
        <v>OK</v>
      </c>
    </row>
    <row r="1443" spans="1:22" ht="18" customHeight="1">
      <c r="A1443" t="s">
        <v>331</v>
      </c>
      <c r="B1443" t="s">
        <v>332</v>
      </c>
      <c r="C1443">
        <v>20</v>
      </c>
      <c r="D1443" t="s">
        <v>333</v>
      </c>
      <c r="E1443" s="6">
        <f t="shared" si="176"/>
        <v>0</v>
      </c>
      <c r="F1443" s="6">
        <f t="shared" si="177"/>
        <v>0</v>
      </c>
      <c r="G1443" s="6">
        <f>ROUND(Catalogue!G75*SQRT((1+Paramètres!$B$4*(C1443-1)+Paramètres!$B$5*(C1443-1)^2)),0)</f>
        <v>6</v>
      </c>
      <c r="H1443" s="6">
        <f>ROUND(Catalogue!H75*SQRT((1+Paramètres!$B$4*(C1443-1)+Paramètres!$B$5*(C1443-1)^2)),0)</f>
        <v>0</v>
      </c>
      <c r="I1443" s="6">
        <v>0</v>
      </c>
      <c r="J1443" s="6">
        <v>0</v>
      </c>
      <c r="K1443" s="7">
        <v>1.1000000000000001</v>
      </c>
      <c r="L1443" s="9">
        <f t="shared" si="178"/>
        <v>0</v>
      </c>
      <c r="M1443">
        <v>0</v>
      </c>
      <c r="N1443">
        <v>0</v>
      </c>
      <c r="O1443">
        <v>0</v>
      </c>
      <c r="P1443" s="13" t="str">
        <f t="shared" si="179"/>
        <v>—</v>
      </c>
      <c r="Q1443">
        <f>ROUND(INDEX(Catalogue!E$4:E$85,MATCH(A1443,Catalogue!A$4:A$85,0))*(1+Paramètres!$B$4*(C1443-1)+Paramètres!$B$5*(C1443-1)^2),0)</f>
        <v>0</v>
      </c>
      <c r="R1443">
        <f>ROUND(INDEX(Catalogue!F$4:F$85,MATCH(A1443,Catalogue!A$4:A$85,0))*(1+Paramètres!$B$4*(C1443-1)+Paramètres!$B$5*(C1443-1)^2),0)</f>
        <v>0</v>
      </c>
      <c r="S1443">
        <f t="shared" si="180"/>
        <v>0</v>
      </c>
      <c r="T1443" t="str">
        <f t="shared" si="181"/>
        <v>OK</v>
      </c>
      <c r="U1443" s="25">
        <f t="shared" si="182"/>
        <v>0</v>
      </c>
      <c r="V1443" t="str">
        <f t="shared" si="183"/>
        <v>OK</v>
      </c>
    </row>
    <row r="1444" spans="1:22" ht="18" customHeight="1">
      <c r="A1444" t="s">
        <v>338</v>
      </c>
      <c r="B1444" t="s">
        <v>339</v>
      </c>
      <c r="C1444">
        <v>1</v>
      </c>
      <c r="D1444" t="s">
        <v>333</v>
      </c>
      <c r="E1444" s="6">
        <f t="shared" si="176"/>
        <v>0</v>
      </c>
      <c r="F1444" s="6">
        <f t="shared" si="177"/>
        <v>0</v>
      </c>
      <c r="G1444" s="6">
        <f>ROUND(Catalogue!G76*SQRT((1+Paramètres!$B$4*(C1444-1)+Paramètres!$B$5*(C1444-1)^2)),0)</f>
        <v>3</v>
      </c>
      <c r="H1444" s="6">
        <f>ROUND(Catalogue!H76*SQRT((1+Paramètres!$B$4*(C1444-1)+Paramètres!$B$5*(C1444-1)^2)),0)</f>
        <v>0</v>
      </c>
      <c r="I1444" s="6">
        <v>0</v>
      </c>
      <c r="J1444" s="6">
        <v>0</v>
      </c>
      <c r="K1444" s="7">
        <v>1.5</v>
      </c>
      <c r="L1444" s="9">
        <f t="shared" si="178"/>
        <v>0</v>
      </c>
      <c r="M1444">
        <v>0</v>
      </c>
      <c r="N1444">
        <v>0</v>
      </c>
      <c r="O1444">
        <v>0</v>
      </c>
      <c r="P1444" s="13" t="str">
        <f t="shared" si="179"/>
        <v>—</v>
      </c>
      <c r="Q1444">
        <f>ROUND(INDEX(Catalogue!E$4:E$85,MATCH(A1444,Catalogue!A$4:A$85,0))*(1+Paramètres!$B$4*(C1444-1)+Paramètres!$B$5*(C1444-1)^2),0)</f>
        <v>0</v>
      </c>
      <c r="R1444">
        <f>ROUND(INDEX(Catalogue!F$4:F$85,MATCH(A1444,Catalogue!A$4:A$85,0))*(1+Paramètres!$B$4*(C1444-1)+Paramètres!$B$5*(C1444-1)^2),0)</f>
        <v>0</v>
      </c>
      <c r="S1444">
        <f t="shared" si="180"/>
        <v>0</v>
      </c>
      <c r="T1444" t="str">
        <f t="shared" si="181"/>
        <v>OK</v>
      </c>
      <c r="U1444" s="25">
        <f t="shared" si="182"/>
        <v>0</v>
      </c>
      <c r="V1444" t="str">
        <f t="shared" si="183"/>
        <v>OK</v>
      </c>
    </row>
    <row r="1445" spans="1:22" ht="18" customHeight="1">
      <c r="A1445" t="s">
        <v>338</v>
      </c>
      <c r="B1445" t="s">
        <v>339</v>
      </c>
      <c r="C1445">
        <v>2</v>
      </c>
      <c r="D1445" t="s">
        <v>333</v>
      </c>
      <c r="E1445" s="6">
        <f t="shared" si="176"/>
        <v>0</v>
      </c>
      <c r="F1445" s="6">
        <f t="shared" si="177"/>
        <v>0</v>
      </c>
      <c r="G1445" s="6">
        <f>ROUND(Catalogue!G76*SQRT((1+Paramètres!$B$4*(C1445-1)+Paramètres!$B$5*(C1445-1)^2)),0)</f>
        <v>3</v>
      </c>
      <c r="H1445" s="6">
        <f>ROUND(Catalogue!H76*SQRT((1+Paramètres!$B$4*(C1445-1)+Paramètres!$B$5*(C1445-1)^2)),0)</f>
        <v>0</v>
      </c>
      <c r="I1445" s="6">
        <v>0</v>
      </c>
      <c r="J1445" s="6">
        <v>0</v>
      </c>
      <c r="K1445" s="7">
        <v>1.5</v>
      </c>
      <c r="L1445" s="9">
        <f t="shared" si="178"/>
        <v>0</v>
      </c>
      <c r="M1445">
        <v>0</v>
      </c>
      <c r="N1445">
        <v>0</v>
      </c>
      <c r="O1445">
        <v>0</v>
      </c>
      <c r="P1445" s="13" t="str">
        <f t="shared" si="179"/>
        <v>—</v>
      </c>
      <c r="Q1445">
        <f>ROUND(INDEX(Catalogue!E$4:E$85,MATCH(A1445,Catalogue!A$4:A$85,0))*(1+Paramètres!$B$4*(C1445-1)+Paramètres!$B$5*(C1445-1)^2),0)</f>
        <v>0</v>
      </c>
      <c r="R1445">
        <f>ROUND(INDEX(Catalogue!F$4:F$85,MATCH(A1445,Catalogue!A$4:A$85,0))*(1+Paramètres!$B$4*(C1445-1)+Paramètres!$B$5*(C1445-1)^2),0)</f>
        <v>0</v>
      </c>
      <c r="S1445">
        <f t="shared" si="180"/>
        <v>0</v>
      </c>
      <c r="T1445" t="str">
        <f t="shared" si="181"/>
        <v>OK</v>
      </c>
      <c r="U1445" s="25">
        <f t="shared" si="182"/>
        <v>0</v>
      </c>
      <c r="V1445" t="str">
        <f t="shared" si="183"/>
        <v>OK</v>
      </c>
    </row>
    <row r="1446" spans="1:22" ht="18" customHeight="1">
      <c r="A1446" t="s">
        <v>338</v>
      </c>
      <c r="B1446" t="s">
        <v>339</v>
      </c>
      <c r="C1446">
        <v>3</v>
      </c>
      <c r="D1446" t="s">
        <v>333</v>
      </c>
      <c r="E1446" s="6">
        <f t="shared" si="176"/>
        <v>0</v>
      </c>
      <c r="F1446" s="6">
        <f t="shared" si="177"/>
        <v>0</v>
      </c>
      <c r="G1446" s="6">
        <f>ROUND(Catalogue!G76*SQRT((1+Paramètres!$B$4*(C1446-1)+Paramètres!$B$5*(C1446-1)^2)),0)</f>
        <v>3</v>
      </c>
      <c r="H1446" s="6">
        <f>ROUND(Catalogue!H76*SQRT((1+Paramètres!$B$4*(C1446-1)+Paramètres!$B$5*(C1446-1)^2)),0)</f>
        <v>0</v>
      </c>
      <c r="I1446" s="6">
        <v>0</v>
      </c>
      <c r="J1446" s="6">
        <v>0</v>
      </c>
      <c r="K1446" s="7">
        <v>1.5</v>
      </c>
      <c r="L1446" s="9">
        <f t="shared" si="178"/>
        <v>0</v>
      </c>
      <c r="M1446">
        <v>0</v>
      </c>
      <c r="N1446">
        <v>0</v>
      </c>
      <c r="O1446">
        <v>0</v>
      </c>
      <c r="P1446" s="13" t="str">
        <f t="shared" si="179"/>
        <v>—</v>
      </c>
      <c r="Q1446">
        <f>ROUND(INDEX(Catalogue!E$4:E$85,MATCH(A1446,Catalogue!A$4:A$85,0))*(1+Paramètres!$B$4*(C1446-1)+Paramètres!$B$5*(C1446-1)^2),0)</f>
        <v>0</v>
      </c>
      <c r="R1446">
        <f>ROUND(INDEX(Catalogue!F$4:F$85,MATCH(A1446,Catalogue!A$4:A$85,0))*(1+Paramètres!$B$4*(C1446-1)+Paramètres!$B$5*(C1446-1)^2),0)</f>
        <v>0</v>
      </c>
      <c r="S1446">
        <f t="shared" si="180"/>
        <v>0</v>
      </c>
      <c r="T1446" t="str">
        <f t="shared" si="181"/>
        <v>OK</v>
      </c>
      <c r="U1446" s="25">
        <f t="shared" si="182"/>
        <v>0</v>
      </c>
      <c r="V1446" t="str">
        <f t="shared" si="183"/>
        <v>OK</v>
      </c>
    </row>
    <row r="1447" spans="1:22" ht="18" customHeight="1">
      <c r="A1447" t="s">
        <v>338</v>
      </c>
      <c r="B1447" t="s">
        <v>339</v>
      </c>
      <c r="C1447">
        <v>4</v>
      </c>
      <c r="D1447" t="s">
        <v>333</v>
      </c>
      <c r="E1447" s="6">
        <f t="shared" si="176"/>
        <v>0</v>
      </c>
      <c r="F1447" s="6">
        <f t="shared" si="177"/>
        <v>0</v>
      </c>
      <c r="G1447" s="6">
        <f>ROUND(Catalogue!G76*SQRT((1+Paramètres!$B$4*(C1447-1)+Paramètres!$B$5*(C1447-1)^2)),0)</f>
        <v>4</v>
      </c>
      <c r="H1447" s="6">
        <f>ROUND(Catalogue!H76*SQRT((1+Paramètres!$B$4*(C1447-1)+Paramètres!$B$5*(C1447-1)^2)),0)</f>
        <v>0</v>
      </c>
      <c r="I1447" s="6">
        <v>0</v>
      </c>
      <c r="J1447" s="6">
        <v>0</v>
      </c>
      <c r="K1447" s="7">
        <v>1.5</v>
      </c>
      <c r="L1447" s="9">
        <f t="shared" si="178"/>
        <v>0</v>
      </c>
      <c r="M1447">
        <v>0</v>
      </c>
      <c r="N1447">
        <v>0</v>
      </c>
      <c r="O1447">
        <v>0</v>
      </c>
      <c r="P1447" s="13" t="str">
        <f t="shared" si="179"/>
        <v>—</v>
      </c>
      <c r="Q1447">
        <f>ROUND(INDEX(Catalogue!E$4:E$85,MATCH(A1447,Catalogue!A$4:A$85,0))*(1+Paramètres!$B$4*(C1447-1)+Paramètres!$B$5*(C1447-1)^2),0)</f>
        <v>0</v>
      </c>
      <c r="R1447">
        <f>ROUND(INDEX(Catalogue!F$4:F$85,MATCH(A1447,Catalogue!A$4:A$85,0))*(1+Paramètres!$B$4*(C1447-1)+Paramètres!$B$5*(C1447-1)^2),0)</f>
        <v>0</v>
      </c>
      <c r="S1447">
        <f t="shared" si="180"/>
        <v>0</v>
      </c>
      <c r="T1447" t="str">
        <f t="shared" si="181"/>
        <v>OK</v>
      </c>
      <c r="U1447" s="25">
        <f t="shared" si="182"/>
        <v>0</v>
      </c>
      <c r="V1447" t="str">
        <f t="shared" si="183"/>
        <v>OK</v>
      </c>
    </row>
    <row r="1448" spans="1:22" ht="18" customHeight="1">
      <c r="A1448" t="s">
        <v>338</v>
      </c>
      <c r="B1448" t="s">
        <v>339</v>
      </c>
      <c r="C1448">
        <v>5</v>
      </c>
      <c r="D1448" t="s">
        <v>333</v>
      </c>
      <c r="E1448" s="6">
        <f t="shared" si="176"/>
        <v>0</v>
      </c>
      <c r="F1448" s="6">
        <f t="shared" si="177"/>
        <v>0</v>
      </c>
      <c r="G1448" s="6">
        <f>ROUND(Catalogue!G76*SQRT((1+Paramètres!$B$4*(C1448-1)+Paramètres!$B$5*(C1448-1)^2)),0)</f>
        <v>4</v>
      </c>
      <c r="H1448" s="6">
        <f>ROUND(Catalogue!H76*SQRT((1+Paramètres!$B$4*(C1448-1)+Paramètres!$B$5*(C1448-1)^2)),0)</f>
        <v>0</v>
      </c>
      <c r="I1448" s="6">
        <v>0</v>
      </c>
      <c r="J1448" s="6">
        <v>0</v>
      </c>
      <c r="K1448" s="7">
        <v>1.5</v>
      </c>
      <c r="L1448" s="9">
        <f t="shared" si="178"/>
        <v>0</v>
      </c>
      <c r="M1448">
        <v>0</v>
      </c>
      <c r="N1448">
        <v>0</v>
      </c>
      <c r="O1448">
        <v>0</v>
      </c>
      <c r="P1448" s="13" t="str">
        <f t="shared" si="179"/>
        <v>—</v>
      </c>
      <c r="Q1448">
        <f>ROUND(INDEX(Catalogue!E$4:E$85,MATCH(A1448,Catalogue!A$4:A$85,0))*(1+Paramètres!$B$4*(C1448-1)+Paramètres!$B$5*(C1448-1)^2),0)</f>
        <v>0</v>
      </c>
      <c r="R1448">
        <f>ROUND(INDEX(Catalogue!F$4:F$85,MATCH(A1448,Catalogue!A$4:A$85,0))*(1+Paramètres!$B$4*(C1448-1)+Paramètres!$B$5*(C1448-1)^2),0)</f>
        <v>0</v>
      </c>
      <c r="S1448">
        <f t="shared" si="180"/>
        <v>0</v>
      </c>
      <c r="T1448" t="str">
        <f t="shared" si="181"/>
        <v>OK</v>
      </c>
      <c r="U1448" s="25">
        <f t="shared" si="182"/>
        <v>0</v>
      </c>
      <c r="V1448" t="str">
        <f t="shared" si="183"/>
        <v>OK</v>
      </c>
    </row>
    <row r="1449" spans="1:22" ht="18" customHeight="1">
      <c r="A1449" t="s">
        <v>338</v>
      </c>
      <c r="B1449" t="s">
        <v>339</v>
      </c>
      <c r="C1449">
        <v>6</v>
      </c>
      <c r="D1449" t="s">
        <v>333</v>
      </c>
      <c r="E1449" s="6">
        <f t="shared" si="176"/>
        <v>0</v>
      </c>
      <c r="F1449" s="6">
        <f t="shared" si="177"/>
        <v>0</v>
      </c>
      <c r="G1449" s="6">
        <f>ROUND(Catalogue!G76*SQRT((1+Paramètres!$B$4*(C1449-1)+Paramètres!$B$5*(C1449-1)^2)),0)</f>
        <v>4</v>
      </c>
      <c r="H1449" s="6">
        <f>ROUND(Catalogue!H76*SQRT((1+Paramètres!$B$4*(C1449-1)+Paramètres!$B$5*(C1449-1)^2)),0)</f>
        <v>0</v>
      </c>
      <c r="I1449" s="6">
        <v>0</v>
      </c>
      <c r="J1449" s="6">
        <v>0</v>
      </c>
      <c r="K1449" s="7">
        <v>1.5</v>
      </c>
      <c r="L1449" s="9">
        <f t="shared" si="178"/>
        <v>0</v>
      </c>
      <c r="M1449">
        <v>0</v>
      </c>
      <c r="N1449">
        <v>0</v>
      </c>
      <c r="O1449">
        <v>0</v>
      </c>
      <c r="P1449" s="13" t="str">
        <f t="shared" si="179"/>
        <v>—</v>
      </c>
      <c r="Q1449">
        <f>ROUND(INDEX(Catalogue!E$4:E$85,MATCH(A1449,Catalogue!A$4:A$85,0))*(1+Paramètres!$B$4*(C1449-1)+Paramètres!$B$5*(C1449-1)^2),0)</f>
        <v>0</v>
      </c>
      <c r="R1449">
        <f>ROUND(INDEX(Catalogue!F$4:F$85,MATCH(A1449,Catalogue!A$4:A$85,0))*(1+Paramètres!$B$4*(C1449-1)+Paramètres!$B$5*(C1449-1)^2),0)</f>
        <v>0</v>
      </c>
      <c r="S1449">
        <f t="shared" si="180"/>
        <v>0</v>
      </c>
      <c r="T1449" t="str">
        <f t="shared" si="181"/>
        <v>OK</v>
      </c>
      <c r="U1449" s="25">
        <f t="shared" si="182"/>
        <v>0</v>
      </c>
      <c r="V1449" t="str">
        <f t="shared" si="183"/>
        <v>OK</v>
      </c>
    </row>
    <row r="1450" spans="1:22" ht="18" customHeight="1">
      <c r="A1450" t="s">
        <v>338</v>
      </c>
      <c r="B1450" t="s">
        <v>339</v>
      </c>
      <c r="C1450">
        <v>7</v>
      </c>
      <c r="D1450" t="s">
        <v>333</v>
      </c>
      <c r="E1450" s="6">
        <f t="shared" si="176"/>
        <v>0</v>
      </c>
      <c r="F1450" s="6">
        <f t="shared" si="177"/>
        <v>0</v>
      </c>
      <c r="G1450" s="6">
        <f>ROUND(Catalogue!G76*SQRT((1+Paramètres!$B$4*(C1450-1)+Paramètres!$B$5*(C1450-1)^2)),0)</f>
        <v>4</v>
      </c>
      <c r="H1450" s="6">
        <f>ROUND(Catalogue!H76*SQRT((1+Paramètres!$B$4*(C1450-1)+Paramètres!$B$5*(C1450-1)^2)),0)</f>
        <v>0</v>
      </c>
      <c r="I1450" s="6">
        <v>0</v>
      </c>
      <c r="J1450" s="6">
        <v>0</v>
      </c>
      <c r="K1450" s="7">
        <v>1.5</v>
      </c>
      <c r="L1450" s="9">
        <f t="shared" si="178"/>
        <v>0</v>
      </c>
      <c r="M1450">
        <v>0</v>
      </c>
      <c r="N1450">
        <v>0</v>
      </c>
      <c r="O1450">
        <v>0</v>
      </c>
      <c r="P1450" s="13" t="str">
        <f t="shared" si="179"/>
        <v>—</v>
      </c>
      <c r="Q1450">
        <f>ROUND(INDEX(Catalogue!E$4:E$85,MATCH(A1450,Catalogue!A$4:A$85,0))*(1+Paramètres!$B$4*(C1450-1)+Paramètres!$B$5*(C1450-1)^2),0)</f>
        <v>0</v>
      </c>
      <c r="R1450">
        <f>ROUND(INDEX(Catalogue!F$4:F$85,MATCH(A1450,Catalogue!A$4:A$85,0))*(1+Paramètres!$B$4*(C1450-1)+Paramètres!$B$5*(C1450-1)^2),0)</f>
        <v>0</v>
      </c>
      <c r="S1450">
        <f t="shared" si="180"/>
        <v>0</v>
      </c>
      <c r="T1450" t="str">
        <f t="shared" si="181"/>
        <v>OK</v>
      </c>
      <c r="U1450" s="25">
        <f t="shared" si="182"/>
        <v>0</v>
      </c>
      <c r="V1450" t="str">
        <f t="shared" si="183"/>
        <v>OK</v>
      </c>
    </row>
    <row r="1451" spans="1:22" ht="18" customHeight="1">
      <c r="A1451" t="s">
        <v>338</v>
      </c>
      <c r="B1451" t="s">
        <v>339</v>
      </c>
      <c r="C1451">
        <v>8</v>
      </c>
      <c r="D1451" t="s">
        <v>333</v>
      </c>
      <c r="E1451" s="6">
        <f t="shared" si="176"/>
        <v>0</v>
      </c>
      <c r="F1451" s="6">
        <f t="shared" si="177"/>
        <v>0</v>
      </c>
      <c r="G1451" s="6">
        <f>ROUND(Catalogue!G76*SQRT((1+Paramètres!$B$4*(C1451-1)+Paramètres!$B$5*(C1451-1)^2)),0)</f>
        <v>5</v>
      </c>
      <c r="H1451" s="6">
        <f>ROUND(Catalogue!H76*SQRT((1+Paramètres!$B$4*(C1451-1)+Paramètres!$B$5*(C1451-1)^2)),0)</f>
        <v>0</v>
      </c>
      <c r="I1451" s="6">
        <v>0</v>
      </c>
      <c r="J1451" s="6">
        <v>0</v>
      </c>
      <c r="K1451" s="7">
        <v>1.5</v>
      </c>
      <c r="L1451" s="9">
        <f t="shared" si="178"/>
        <v>0</v>
      </c>
      <c r="M1451">
        <v>0</v>
      </c>
      <c r="N1451">
        <v>0</v>
      </c>
      <c r="O1451">
        <v>0</v>
      </c>
      <c r="P1451" s="13" t="str">
        <f t="shared" si="179"/>
        <v>—</v>
      </c>
      <c r="Q1451">
        <f>ROUND(INDEX(Catalogue!E$4:E$85,MATCH(A1451,Catalogue!A$4:A$85,0))*(1+Paramètres!$B$4*(C1451-1)+Paramètres!$B$5*(C1451-1)^2),0)</f>
        <v>0</v>
      </c>
      <c r="R1451">
        <f>ROUND(INDEX(Catalogue!F$4:F$85,MATCH(A1451,Catalogue!A$4:A$85,0))*(1+Paramètres!$B$4*(C1451-1)+Paramètres!$B$5*(C1451-1)^2),0)</f>
        <v>0</v>
      </c>
      <c r="S1451">
        <f t="shared" si="180"/>
        <v>0</v>
      </c>
      <c r="T1451" t="str">
        <f t="shared" si="181"/>
        <v>OK</v>
      </c>
      <c r="U1451" s="25">
        <f t="shared" si="182"/>
        <v>0</v>
      </c>
      <c r="V1451" t="str">
        <f t="shared" si="183"/>
        <v>OK</v>
      </c>
    </row>
    <row r="1452" spans="1:22" ht="18" customHeight="1">
      <c r="A1452" t="s">
        <v>338</v>
      </c>
      <c r="B1452" t="s">
        <v>339</v>
      </c>
      <c r="C1452">
        <v>9</v>
      </c>
      <c r="D1452" t="s">
        <v>333</v>
      </c>
      <c r="E1452" s="6">
        <f t="shared" si="176"/>
        <v>0</v>
      </c>
      <c r="F1452" s="6">
        <f t="shared" si="177"/>
        <v>0</v>
      </c>
      <c r="G1452" s="6">
        <f>ROUND(Catalogue!G76*SQRT((1+Paramètres!$B$4*(C1452-1)+Paramètres!$B$5*(C1452-1)^2)),0)</f>
        <v>5</v>
      </c>
      <c r="H1452" s="6">
        <f>ROUND(Catalogue!H76*SQRT((1+Paramètres!$B$4*(C1452-1)+Paramètres!$B$5*(C1452-1)^2)),0)</f>
        <v>0</v>
      </c>
      <c r="I1452" s="6">
        <v>0</v>
      </c>
      <c r="J1452" s="6">
        <v>0</v>
      </c>
      <c r="K1452" s="7">
        <v>1.5</v>
      </c>
      <c r="L1452" s="9">
        <f t="shared" si="178"/>
        <v>0</v>
      </c>
      <c r="M1452">
        <v>0</v>
      </c>
      <c r="N1452">
        <v>0</v>
      </c>
      <c r="O1452">
        <v>0</v>
      </c>
      <c r="P1452" s="13" t="str">
        <f t="shared" si="179"/>
        <v>—</v>
      </c>
      <c r="Q1452">
        <f>ROUND(INDEX(Catalogue!E$4:E$85,MATCH(A1452,Catalogue!A$4:A$85,0))*(1+Paramètres!$B$4*(C1452-1)+Paramètres!$B$5*(C1452-1)^2),0)</f>
        <v>0</v>
      </c>
      <c r="R1452">
        <f>ROUND(INDEX(Catalogue!F$4:F$85,MATCH(A1452,Catalogue!A$4:A$85,0))*(1+Paramètres!$B$4*(C1452-1)+Paramètres!$B$5*(C1452-1)^2),0)</f>
        <v>0</v>
      </c>
      <c r="S1452">
        <f t="shared" si="180"/>
        <v>0</v>
      </c>
      <c r="T1452" t="str">
        <f t="shared" si="181"/>
        <v>OK</v>
      </c>
      <c r="U1452" s="25">
        <f t="shared" si="182"/>
        <v>0</v>
      </c>
      <c r="V1452" t="str">
        <f t="shared" si="183"/>
        <v>OK</v>
      </c>
    </row>
    <row r="1453" spans="1:22" ht="18" customHeight="1">
      <c r="A1453" t="s">
        <v>338</v>
      </c>
      <c r="B1453" t="s">
        <v>339</v>
      </c>
      <c r="C1453">
        <v>10</v>
      </c>
      <c r="D1453" t="s">
        <v>333</v>
      </c>
      <c r="E1453" s="6">
        <f t="shared" si="176"/>
        <v>0</v>
      </c>
      <c r="F1453" s="6">
        <f t="shared" si="177"/>
        <v>0</v>
      </c>
      <c r="G1453" s="6">
        <f>ROUND(Catalogue!G76*SQRT((1+Paramètres!$B$4*(C1453-1)+Paramètres!$B$5*(C1453-1)^2)),0)</f>
        <v>5</v>
      </c>
      <c r="H1453" s="6">
        <f>ROUND(Catalogue!H76*SQRT((1+Paramètres!$B$4*(C1453-1)+Paramètres!$B$5*(C1453-1)^2)),0)</f>
        <v>0</v>
      </c>
      <c r="I1453" s="6">
        <v>0</v>
      </c>
      <c r="J1453" s="6">
        <v>0</v>
      </c>
      <c r="K1453" s="7">
        <v>1.5</v>
      </c>
      <c r="L1453" s="9">
        <f t="shared" si="178"/>
        <v>0</v>
      </c>
      <c r="M1453">
        <v>0</v>
      </c>
      <c r="N1453">
        <v>0</v>
      </c>
      <c r="O1453">
        <v>0</v>
      </c>
      <c r="P1453" s="13" t="str">
        <f t="shared" si="179"/>
        <v>—</v>
      </c>
      <c r="Q1453">
        <f>ROUND(INDEX(Catalogue!E$4:E$85,MATCH(A1453,Catalogue!A$4:A$85,0))*(1+Paramètres!$B$4*(C1453-1)+Paramètres!$B$5*(C1453-1)^2),0)</f>
        <v>0</v>
      </c>
      <c r="R1453">
        <f>ROUND(INDEX(Catalogue!F$4:F$85,MATCH(A1453,Catalogue!A$4:A$85,0))*(1+Paramètres!$B$4*(C1453-1)+Paramètres!$B$5*(C1453-1)^2),0)</f>
        <v>0</v>
      </c>
      <c r="S1453">
        <f t="shared" si="180"/>
        <v>0</v>
      </c>
      <c r="T1453" t="str">
        <f t="shared" si="181"/>
        <v>OK</v>
      </c>
      <c r="U1453" s="25">
        <f t="shared" si="182"/>
        <v>0</v>
      </c>
      <c r="V1453" t="str">
        <f t="shared" si="183"/>
        <v>OK</v>
      </c>
    </row>
    <row r="1454" spans="1:22" ht="18" customHeight="1">
      <c r="A1454" t="s">
        <v>338</v>
      </c>
      <c r="B1454" t="s">
        <v>339</v>
      </c>
      <c r="C1454">
        <v>11</v>
      </c>
      <c r="D1454" t="s">
        <v>333</v>
      </c>
      <c r="E1454" s="6">
        <f t="shared" si="176"/>
        <v>0</v>
      </c>
      <c r="F1454" s="6">
        <f t="shared" si="177"/>
        <v>0</v>
      </c>
      <c r="G1454" s="6">
        <f>ROUND(Catalogue!G76*SQRT((1+Paramètres!$B$4*(C1454-1)+Paramètres!$B$5*(C1454-1)^2)),0)</f>
        <v>6</v>
      </c>
      <c r="H1454" s="6">
        <f>ROUND(Catalogue!H76*SQRT((1+Paramètres!$B$4*(C1454-1)+Paramètres!$B$5*(C1454-1)^2)),0)</f>
        <v>0</v>
      </c>
      <c r="I1454" s="6">
        <v>0</v>
      </c>
      <c r="J1454" s="6">
        <v>0</v>
      </c>
      <c r="K1454" s="7">
        <v>1.5</v>
      </c>
      <c r="L1454" s="9">
        <f t="shared" si="178"/>
        <v>0</v>
      </c>
      <c r="M1454">
        <v>0</v>
      </c>
      <c r="N1454">
        <v>0</v>
      </c>
      <c r="O1454">
        <v>0</v>
      </c>
      <c r="P1454" s="13" t="str">
        <f t="shared" si="179"/>
        <v>—</v>
      </c>
      <c r="Q1454">
        <f>ROUND(INDEX(Catalogue!E$4:E$85,MATCH(A1454,Catalogue!A$4:A$85,0))*(1+Paramètres!$B$4*(C1454-1)+Paramètres!$B$5*(C1454-1)^2),0)</f>
        <v>0</v>
      </c>
      <c r="R1454">
        <f>ROUND(INDEX(Catalogue!F$4:F$85,MATCH(A1454,Catalogue!A$4:A$85,0))*(1+Paramètres!$B$4*(C1454-1)+Paramètres!$B$5*(C1454-1)^2),0)</f>
        <v>0</v>
      </c>
      <c r="S1454">
        <f t="shared" si="180"/>
        <v>0</v>
      </c>
      <c r="T1454" t="str">
        <f t="shared" si="181"/>
        <v>OK</v>
      </c>
      <c r="U1454" s="25">
        <f t="shared" si="182"/>
        <v>0</v>
      </c>
      <c r="V1454" t="str">
        <f t="shared" si="183"/>
        <v>OK</v>
      </c>
    </row>
    <row r="1455" spans="1:22" ht="18" customHeight="1">
      <c r="A1455" t="s">
        <v>338</v>
      </c>
      <c r="B1455" t="s">
        <v>339</v>
      </c>
      <c r="C1455">
        <v>12</v>
      </c>
      <c r="D1455" t="s">
        <v>333</v>
      </c>
      <c r="E1455" s="6">
        <f t="shared" si="176"/>
        <v>0</v>
      </c>
      <c r="F1455" s="6">
        <f t="shared" si="177"/>
        <v>0</v>
      </c>
      <c r="G1455" s="6">
        <f>ROUND(Catalogue!G76*SQRT((1+Paramètres!$B$4*(C1455-1)+Paramètres!$B$5*(C1455-1)^2)),0)</f>
        <v>6</v>
      </c>
      <c r="H1455" s="6">
        <f>ROUND(Catalogue!H76*SQRT((1+Paramètres!$B$4*(C1455-1)+Paramètres!$B$5*(C1455-1)^2)),0)</f>
        <v>0</v>
      </c>
      <c r="I1455" s="6">
        <v>0</v>
      </c>
      <c r="J1455" s="6">
        <v>0</v>
      </c>
      <c r="K1455" s="7">
        <v>1.5</v>
      </c>
      <c r="L1455" s="9">
        <f t="shared" si="178"/>
        <v>0</v>
      </c>
      <c r="M1455">
        <v>0</v>
      </c>
      <c r="N1455">
        <v>0</v>
      </c>
      <c r="O1455">
        <v>0</v>
      </c>
      <c r="P1455" s="13" t="str">
        <f t="shared" si="179"/>
        <v>—</v>
      </c>
      <c r="Q1455">
        <f>ROUND(INDEX(Catalogue!E$4:E$85,MATCH(A1455,Catalogue!A$4:A$85,0))*(1+Paramètres!$B$4*(C1455-1)+Paramètres!$B$5*(C1455-1)^2),0)</f>
        <v>0</v>
      </c>
      <c r="R1455">
        <f>ROUND(INDEX(Catalogue!F$4:F$85,MATCH(A1455,Catalogue!A$4:A$85,0))*(1+Paramètres!$B$4*(C1455-1)+Paramètres!$B$5*(C1455-1)^2),0)</f>
        <v>0</v>
      </c>
      <c r="S1455">
        <f t="shared" si="180"/>
        <v>0</v>
      </c>
      <c r="T1455" t="str">
        <f t="shared" si="181"/>
        <v>OK</v>
      </c>
      <c r="U1455" s="25">
        <f t="shared" si="182"/>
        <v>0</v>
      </c>
      <c r="V1455" t="str">
        <f t="shared" si="183"/>
        <v>OK</v>
      </c>
    </row>
    <row r="1456" spans="1:22" ht="18" customHeight="1">
      <c r="A1456" t="s">
        <v>338</v>
      </c>
      <c r="B1456" t="s">
        <v>339</v>
      </c>
      <c r="C1456">
        <v>13</v>
      </c>
      <c r="D1456" t="s">
        <v>333</v>
      </c>
      <c r="E1456" s="6">
        <f t="shared" si="176"/>
        <v>0</v>
      </c>
      <c r="F1456" s="6">
        <f t="shared" si="177"/>
        <v>0</v>
      </c>
      <c r="G1456" s="6">
        <f>ROUND(Catalogue!G76*SQRT((1+Paramètres!$B$4*(C1456-1)+Paramètres!$B$5*(C1456-1)^2)),0)</f>
        <v>6</v>
      </c>
      <c r="H1456" s="6">
        <f>ROUND(Catalogue!H76*SQRT((1+Paramètres!$B$4*(C1456-1)+Paramètres!$B$5*(C1456-1)^2)),0)</f>
        <v>0</v>
      </c>
      <c r="I1456" s="6">
        <v>0</v>
      </c>
      <c r="J1456" s="6">
        <v>0</v>
      </c>
      <c r="K1456" s="7">
        <v>1.5</v>
      </c>
      <c r="L1456" s="9">
        <f t="shared" si="178"/>
        <v>0</v>
      </c>
      <c r="M1456">
        <v>0</v>
      </c>
      <c r="N1456">
        <v>0</v>
      </c>
      <c r="O1456">
        <v>0</v>
      </c>
      <c r="P1456" s="13" t="str">
        <f t="shared" si="179"/>
        <v>—</v>
      </c>
      <c r="Q1456">
        <f>ROUND(INDEX(Catalogue!E$4:E$85,MATCH(A1456,Catalogue!A$4:A$85,0))*(1+Paramètres!$B$4*(C1456-1)+Paramètres!$B$5*(C1456-1)^2),0)</f>
        <v>0</v>
      </c>
      <c r="R1456">
        <f>ROUND(INDEX(Catalogue!F$4:F$85,MATCH(A1456,Catalogue!A$4:A$85,0))*(1+Paramètres!$B$4*(C1456-1)+Paramètres!$B$5*(C1456-1)^2),0)</f>
        <v>0</v>
      </c>
      <c r="S1456">
        <f t="shared" si="180"/>
        <v>0</v>
      </c>
      <c r="T1456" t="str">
        <f t="shared" si="181"/>
        <v>OK</v>
      </c>
      <c r="U1456" s="25">
        <f t="shared" si="182"/>
        <v>0</v>
      </c>
      <c r="V1456" t="str">
        <f t="shared" si="183"/>
        <v>OK</v>
      </c>
    </row>
    <row r="1457" spans="1:22" ht="18" customHeight="1">
      <c r="A1457" t="s">
        <v>338</v>
      </c>
      <c r="B1457" t="s">
        <v>339</v>
      </c>
      <c r="C1457">
        <v>14</v>
      </c>
      <c r="D1457" t="s">
        <v>333</v>
      </c>
      <c r="E1457" s="6">
        <f t="shared" si="176"/>
        <v>0</v>
      </c>
      <c r="F1457" s="6">
        <f t="shared" si="177"/>
        <v>0</v>
      </c>
      <c r="G1457" s="6">
        <f>ROUND(Catalogue!G76*SQRT((1+Paramètres!$B$4*(C1457-1)+Paramètres!$B$5*(C1457-1)^2)),0)</f>
        <v>7</v>
      </c>
      <c r="H1457" s="6">
        <f>ROUND(Catalogue!H76*SQRT((1+Paramètres!$B$4*(C1457-1)+Paramètres!$B$5*(C1457-1)^2)),0)</f>
        <v>0</v>
      </c>
      <c r="I1457" s="6">
        <v>0</v>
      </c>
      <c r="J1457" s="6">
        <v>0</v>
      </c>
      <c r="K1457" s="7">
        <v>1.5</v>
      </c>
      <c r="L1457" s="9">
        <f t="shared" si="178"/>
        <v>0</v>
      </c>
      <c r="M1457">
        <v>0</v>
      </c>
      <c r="N1457">
        <v>0</v>
      </c>
      <c r="O1457">
        <v>0</v>
      </c>
      <c r="P1457" s="13" t="str">
        <f t="shared" si="179"/>
        <v>—</v>
      </c>
      <c r="Q1457">
        <f>ROUND(INDEX(Catalogue!E$4:E$85,MATCH(A1457,Catalogue!A$4:A$85,0))*(1+Paramètres!$B$4*(C1457-1)+Paramètres!$B$5*(C1457-1)^2),0)</f>
        <v>0</v>
      </c>
      <c r="R1457">
        <f>ROUND(INDEX(Catalogue!F$4:F$85,MATCH(A1457,Catalogue!A$4:A$85,0))*(1+Paramètres!$B$4*(C1457-1)+Paramètres!$B$5*(C1457-1)^2),0)</f>
        <v>0</v>
      </c>
      <c r="S1457">
        <f t="shared" si="180"/>
        <v>0</v>
      </c>
      <c r="T1457" t="str">
        <f t="shared" si="181"/>
        <v>OK</v>
      </c>
      <c r="U1457" s="25">
        <f t="shared" si="182"/>
        <v>0</v>
      </c>
      <c r="V1457" t="str">
        <f t="shared" si="183"/>
        <v>OK</v>
      </c>
    </row>
    <row r="1458" spans="1:22" ht="18" customHeight="1">
      <c r="A1458" t="s">
        <v>338</v>
      </c>
      <c r="B1458" t="s">
        <v>339</v>
      </c>
      <c r="C1458">
        <v>15</v>
      </c>
      <c r="D1458" t="s">
        <v>333</v>
      </c>
      <c r="E1458" s="6">
        <f t="shared" si="176"/>
        <v>0</v>
      </c>
      <c r="F1458" s="6">
        <f t="shared" si="177"/>
        <v>0</v>
      </c>
      <c r="G1458" s="6">
        <f>ROUND(Catalogue!G76*SQRT((1+Paramètres!$B$4*(C1458-1)+Paramètres!$B$5*(C1458-1)^2)),0)</f>
        <v>7</v>
      </c>
      <c r="H1458" s="6">
        <f>ROUND(Catalogue!H76*SQRT((1+Paramètres!$B$4*(C1458-1)+Paramètres!$B$5*(C1458-1)^2)),0)</f>
        <v>0</v>
      </c>
      <c r="I1458" s="6">
        <v>0</v>
      </c>
      <c r="J1458" s="6">
        <v>0</v>
      </c>
      <c r="K1458" s="7">
        <v>1.5</v>
      </c>
      <c r="L1458" s="9">
        <f t="shared" si="178"/>
        <v>0</v>
      </c>
      <c r="M1458">
        <v>0</v>
      </c>
      <c r="N1458">
        <v>0</v>
      </c>
      <c r="O1458">
        <v>0</v>
      </c>
      <c r="P1458" s="13" t="str">
        <f t="shared" si="179"/>
        <v>—</v>
      </c>
      <c r="Q1458">
        <f>ROUND(INDEX(Catalogue!E$4:E$85,MATCH(A1458,Catalogue!A$4:A$85,0))*(1+Paramètres!$B$4*(C1458-1)+Paramètres!$B$5*(C1458-1)^2),0)</f>
        <v>0</v>
      </c>
      <c r="R1458">
        <f>ROUND(INDEX(Catalogue!F$4:F$85,MATCH(A1458,Catalogue!A$4:A$85,0))*(1+Paramètres!$B$4*(C1458-1)+Paramètres!$B$5*(C1458-1)^2),0)</f>
        <v>0</v>
      </c>
      <c r="S1458">
        <f t="shared" si="180"/>
        <v>0</v>
      </c>
      <c r="T1458" t="str">
        <f t="shared" si="181"/>
        <v>OK</v>
      </c>
      <c r="U1458" s="25">
        <f t="shared" si="182"/>
        <v>0</v>
      </c>
      <c r="V1458" t="str">
        <f t="shared" si="183"/>
        <v>OK</v>
      </c>
    </row>
    <row r="1459" spans="1:22" ht="18" customHeight="1">
      <c r="A1459" t="s">
        <v>338</v>
      </c>
      <c r="B1459" t="s">
        <v>339</v>
      </c>
      <c r="C1459">
        <v>16</v>
      </c>
      <c r="D1459" t="s">
        <v>333</v>
      </c>
      <c r="E1459" s="6">
        <f t="shared" si="176"/>
        <v>0</v>
      </c>
      <c r="F1459" s="6">
        <f t="shared" si="177"/>
        <v>0</v>
      </c>
      <c r="G1459" s="6">
        <f>ROUND(Catalogue!G76*SQRT((1+Paramètres!$B$4*(C1459-1)+Paramètres!$B$5*(C1459-1)^2)),0)</f>
        <v>8</v>
      </c>
      <c r="H1459" s="6">
        <f>ROUND(Catalogue!H76*SQRT((1+Paramètres!$B$4*(C1459-1)+Paramètres!$B$5*(C1459-1)^2)),0)</f>
        <v>0</v>
      </c>
      <c r="I1459" s="6">
        <v>0</v>
      </c>
      <c r="J1459" s="6">
        <v>0</v>
      </c>
      <c r="K1459" s="7">
        <v>1.5</v>
      </c>
      <c r="L1459" s="9">
        <f t="shared" si="178"/>
        <v>0</v>
      </c>
      <c r="M1459">
        <v>0</v>
      </c>
      <c r="N1459">
        <v>0</v>
      </c>
      <c r="O1459">
        <v>0</v>
      </c>
      <c r="P1459" s="13" t="str">
        <f t="shared" si="179"/>
        <v>—</v>
      </c>
      <c r="Q1459">
        <f>ROUND(INDEX(Catalogue!E$4:E$85,MATCH(A1459,Catalogue!A$4:A$85,0))*(1+Paramètres!$B$4*(C1459-1)+Paramètres!$B$5*(C1459-1)^2),0)</f>
        <v>0</v>
      </c>
      <c r="R1459">
        <f>ROUND(INDEX(Catalogue!F$4:F$85,MATCH(A1459,Catalogue!A$4:A$85,0))*(1+Paramètres!$B$4*(C1459-1)+Paramètres!$B$5*(C1459-1)^2),0)</f>
        <v>0</v>
      </c>
      <c r="S1459">
        <f t="shared" si="180"/>
        <v>0</v>
      </c>
      <c r="T1459" t="str">
        <f t="shared" si="181"/>
        <v>OK</v>
      </c>
      <c r="U1459" s="25">
        <f t="shared" si="182"/>
        <v>0</v>
      </c>
      <c r="V1459" t="str">
        <f t="shared" si="183"/>
        <v>OK</v>
      </c>
    </row>
    <row r="1460" spans="1:22" ht="18" customHeight="1">
      <c r="A1460" t="s">
        <v>338</v>
      </c>
      <c r="B1460" t="s">
        <v>339</v>
      </c>
      <c r="C1460">
        <v>17</v>
      </c>
      <c r="D1460" t="s">
        <v>333</v>
      </c>
      <c r="E1460" s="6">
        <f t="shared" si="176"/>
        <v>0</v>
      </c>
      <c r="F1460" s="6">
        <f t="shared" si="177"/>
        <v>0</v>
      </c>
      <c r="G1460" s="6">
        <f>ROUND(Catalogue!G76*SQRT((1+Paramètres!$B$4*(C1460-1)+Paramètres!$B$5*(C1460-1)^2)),0)</f>
        <v>8</v>
      </c>
      <c r="H1460" s="6">
        <f>ROUND(Catalogue!H76*SQRT((1+Paramètres!$B$4*(C1460-1)+Paramètres!$B$5*(C1460-1)^2)),0)</f>
        <v>0</v>
      </c>
      <c r="I1460" s="6">
        <v>0</v>
      </c>
      <c r="J1460" s="6">
        <v>0</v>
      </c>
      <c r="K1460" s="7">
        <v>1.5</v>
      </c>
      <c r="L1460" s="9">
        <f t="shared" si="178"/>
        <v>0</v>
      </c>
      <c r="M1460">
        <v>0</v>
      </c>
      <c r="N1460">
        <v>0</v>
      </c>
      <c r="O1460">
        <v>0</v>
      </c>
      <c r="P1460" s="13" t="str">
        <f t="shared" si="179"/>
        <v>—</v>
      </c>
      <c r="Q1460">
        <f>ROUND(INDEX(Catalogue!E$4:E$85,MATCH(A1460,Catalogue!A$4:A$85,0))*(1+Paramètres!$B$4*(C1460-1)+Paramètres!$B$5*(C1460-1)^2),0)</f>
        <v>0</v>
      </c>
      <c r="R1460">
        <f>ROUND(INDEX(Catalogue!F$4:F$85,MATCH(A1460,Catalogue!A$4:A$85,0))*(1+Paramètres!$B$4*(C1460-1)+Paramètres!$B$5*(C1460-1)^2),0)</f>
        <v>0</v>
      </c>
      <c r="S1460">
        <f t="shared" si="180"/>
        <v>0</v>
      </c>
      <c r="T1460" t="str">
        <f t="shared" si="181"/>
        <v>OK</v>
      </c>
      <c r="U1460" s="25">
        <f t="shared" si="182"/>
        <v>0</v>
      </c>
      <c r="V1460" t="str">
        <f t="shared" si="183"/>
        <v>OK</v>
      </c>
    </row>
    <row r="1461" spans="1:22" ht="18" customHeight="1">
      <c r="A1461" t="s">
        <v>338</v>
      </c>
      <c r="B1461" t="s">
        <v>339</v>
      </c>
      <c r="C1461">
        <v>18</v>
      </c>
      <c r="D1461" t="s">
        <v>333</v>
      </c>
      <c r="E1461" s="6">
        <f t="shared" si="176"/>
        <v>0</v>
      </c>
      <c r="F1461" s="6">
        <f t="shared" si="177"/>
        <v>0</v>
      </c>
      <c r="G1461" s="6">
        <f>ROUND(Catalogue!G76*SQRT((1+Paramètres!$B$4*(C1461-1)+Paramètres!$B$5*(C1461-1)^2)),0)</f>
        <v>8</v>
      </c>
      <c r="H1461" s="6">
        <f>ROUND(Catalogue!H76*SQRT((1+Paramètres!$B$4*(C1461-1)+Paramètres!$B$5*(C1461-1)^2)),0)</f>
        <v>0</v>
      </c>
      <c r="I1461" s="6">
        <v>0</v>
      </c>
      <c r="J1461" s="6">
        <v>0</v>
      </c>
      <c r="K1461" s="7">
        <v>1.5</v>
      </c>
      <c r="L1461" s="9">
        <f t="shared" si="178"/>
        <v>0</v>
      </c>
      <c r="M1461">
        <v>0</v>
      </c>
      <c r="N1461">
        <v>0</v>
      </c>
      <c r="O1461">
        <v>0</v>
      </c>
      <c r="P1461" s="13" t="str">
        <f t="shared" si="179"/>
        <v>—</v>
      </c>
      <c r="Q1461">
        <f>ROUND(INDEX(Catalogue!E$4:E$85,MATCH(A1461,Catalogue!A$4:A$85,0))*(1+Paramètres!$B$4*(C1461-1)+Paramètres!$B$5*(C1461-1)^2),0)</f>
        <v>0</v>
      </c>
      <c r="R1461">
        <f>ROUND(INDEX(Catalogue!F$4:F$85,MATCH(A1461,Catalogue!A$4:A$85,0))*(1+Paramètres!$B$4*(C1461-1)+Paramètres!$B$5*(C1461-1)^2),0)</f>
        <v>0</v>
      </c>
      <c r="S1461">
        <f t="shared" si="180"/>
        <v>0</v>
      </c>
      <c r="T1461" t="str">
        <f t="shared" si="181"/>
        <v>OK</v>
      </c>
      <c r="U1461" s="25">
        <f t="shared" si="182"/>
        <v>0</v>
      </c>
      <c r="V1461" t="str">
        <f t="shared" si="183"/>
        <v>OK</v>
      </c>
    </row>
    <row r="1462" spans="1:22" ht="18" customHeight="1">
      <c r="A1462" t="s">
        <v>338</v>
      </c>
      <c r="B1462" t="s">
        <v>339</v>
      </c>
      <c r="C1462">
        <v>19</v>
      </c>
      <c r="D1462" t="s">
        <v>333</v>
      </c>
      <c r="E1462" s="6">
        <f t="shared" si="176"/>
        <v>0</v>
      </c>
      <c r="F1462" s="6">
        <f t="shared" si="177"/>
        <v>0</v>
      </c>
      <c r="G1462" s="6">
        <f>ROUND(Catalogue!G76*SQRT((1+Paramètres!$B$4*(C1462-1)+Paramètres!$B$5*(C1462-1)^2)),0)</f>
        <v>9</v>
      </c>
      <c r="H1462" s="6">
        <f>ROUND(Catalogue!H76*SQRT((1+Paramètres!$B$4*(C1462-1)+Paramètres!$B$5*(C1462-1)^2)),0)</f>
        <v>0</v>
      </c>
      <c r="I1462" s="6">
        <v>0</v>
      </c>
      <c r="J1462" s="6">
        <v>0</v>
      </c>
      <c r="K1462" s="7">
        <v>1.5</v>
      </c>
      <c r="L1462" s="9">
        <f t="shared" si="178"/>
        <v>0</v>
      </c>
      <c r="M1462">
        <v>0</v>
      </c>
      <c r="N1462">
        <v>0</v>
      </c>
      <c r="O1462">
        <v>0</v>
      </c>
      <c r="P1462" s="13" t="str">
        <f t="shared" si="179"/>
        <v>—</v>
      </c>
      <c r="Q1462">
        <f>ROUND(INDEX(Catalogue!E$4:E$85,MATCH(A1462,Catalogue!A$4:A$85,0))*(1+Paramètres!$B$4*(C1462-1)+Paramètres!$B$5*(C1462-1)^2),0)</f>
        <v>0</v>
      </c>
      <c r="R1462">
        <f>ROUND(INDEX(Catalogue!F$4:F$85,MATCH(A1462,Catalogue!A$4:A$85,0))*(1+Paramètres!$B$4*(C1462-1)+Paramètres!$B$5*(C1462-1)^2),0)</f>
        <v>0</v>
      </c>
      <c r="S1462">
        <f t="shared" si="180"/>
        <v>0</v>
      </c>
      <c r="T1462" t="str">
        <f t="shared" si="181"/>
        <v>OK</v>
      </c>
      <c r="U1462" s="25">
        <f t="shared" si="182"/>
        <v>0</v>
      </c>
      <c r="V1462" t="str">
        <f t="shared" si="183"/>
        <v>OK</v>
      </c>
    </row>
    <row r="1463" spans="1:22" ht="18" customHeight="1">
      <c r="A1463" t="s">
        <v>338</v>
      </c>
      <c r="B1463" t="s">
        <v>339</v>
      </c>
      <c r="C1463">
        <v>20</v>
      </c>
      <c r="D1463" t="s">
        <v>333</v>
      </c>
      <c r="E1463" s="6">
        <f t="shared" si="176"/>
        <v>0</v>
      </c>
      <c r="F1463" s="6">
        <f t="shared" si="177"/>
        <v>0</v>
      </c>
      <c r="G1463" s="6">
        <f>ROUND(Catalogue!G76*SQRT((1+Paramètres!$B$4*(C1463-1)+Paramètres!$B$5*(C1463-1)^2)),0)</f>
        <v>9</v>
      </c>
      <c r="H1463" s="6">
        <f>ROUND(Catalogue!H76*SQRT((1+Paramètres!$B$4*(C1463-1)+Paramètres!$B$5*(C1463-1)^2)),0)</f>
        <v>0</v>
      </c>
      <c r="I1463" s="6">
        <v>0</v>
      </c>
      <c r="J1463" s="6">
        <v>0</v>
      </c>
      <c r="K1463" s="7">
        <v>1.5</v>
      </c>
      <c r="L1463" s="9">
        <f t="shared" si="178"/>
        <v>0</v>
      </c>
      <c r="M1463">
        <v>0</v>
      </c>
      <c r="N1463">
        <v>0</v>
      </c>
      <c r="O1463">
        <v>0</v>
      </c>
      <c r="P1463" s="13" t="str">
        <f t="shared" si="179"/>
        <v>—</v>
      </c>
      <c r="Q1463">
        <f>ROUND(INDEX(Catalogue!E$4:E$85,MATCH(A1463,Catalogue!A$4:A$85,0))*(1+Paramètres!$B$4*(C1463-1)+Paramètres!$B$5*(C1463-1)^2),0)</f>
        <v>0</v>
      </c>
      <c r="R1463">
        <f>ROUND(INDEX(Catalogue!F$4:F$85,MATCH(A1463,Catalogue!A$4:A$85,0))*(1+Paramètres!$B$4*(C1463-1)+Paramètres!$B$5*(C1463-1)^2),0)</f>
        <v>0</v>
      </c>
      <c r="S1463">
        <f t="shared" si="180"/>
        <v>0</v>
      </c>
      <c r="T1463" t="str">
        <f t="shared" si="181"/>
        <v>OK</v>
      </c>
      <c r="U1463" s="25">
        <f t="shared" si="182"/>
        <v>0</v>
      </c>
      <c r="V1463" t="str">
        <f t="shared" si="183"/>
        <v>OK</v>
      </c>
    </row>
    <row r="1464" spans="1:22" ht="18" customHeight="1">
      <c r="A1464" t="s">
        <v>341</v>
      </c>
      <c r="B1464" t="s">
        <v>342</v>
      </c>
      <c r="C1464">
        <v>1</v>
      </c>
      <c r="D1464" t="s">
        <v>333</v>
      </c>
      <c r="E1464" s="6">
        <f t="shared" si="176"/>
        <v>0</v>
      </c>
      <c r="F1464" s="6">
        <f t="shared" si="177"/>
        <v>0</v>
      </c>
      <c r="G1464" s="6">
        <f>ROUND(Catalogue!G77*SQRT((1+Paramètres!$B$4*(C1464-1)+Paramètres!$B$5*(C1464-1)^2)),0)</f>
        <v>4</v>
      </c>
      <c r="H1464" s="6">
        <f>ROUND(Catalogue!H77*SQRT((1+Paramètres!$B$4*(C1464-1)+Paramètres!$B$5*(C1464-1)^2)),0)</f>
        <v>0</v>
      </c>
      <c r="I1464" s="6">
        <v>0</v>
      </c>
      <c r="J1464" s="6">
        <v>0</v>
      </c>
      <c r="K1464" s="7">
        <v>2.6</v>
      </c>
      <c r="L1464" s="9">
        <f t="shared" si="178"/>
        <v>0</v>
      </c>
      <c r="M1464">
        <v>0</v>
      </c>
      <c r="N1464">
        <v>0</v>
      </c>
      <c r="O1464">
        <v>0</v>
      </c>
      <c r="P1464" s="13" t="str">
        <f t="shared" si="179"/>
        <v>—</v>
      </c>
      <c r="Q1464">
        <f>ROUND(INDEX(Catalogue!E$4:E$85,MATCH(A1464,Catalogue!A$4:A$85,0))*(1+Paramètres!$B$4*(C1464-1)+Paramètres!$B$5*(C1464-1)^2),0)</f>
        <v>0</v>
      </c>
      <c r="R1464">
        <f>ROUND(INDEX(Catalogue!F$4:F$85,MATCH(A1464,Catalogue!A$4:A$85,0))*(1+Paramètres!$B$4*(C1464-1)+Paramètres!$B$5*(C1464-1)^2),0)</f>
        <v>0</v>
      </c>
      <c r="S1464">
        <f t="shared" si="180"/>
        <v>0</v>
      </c>
      <c r="T1464" t="str">
        <f t="shared" si="181"/>
        <v>OK</v>
      </c>
      <c r="U1464" s="25">
        <f t="shared" si="182"/>
        <v>0</v>
      </c>
      <c r="V1464" t="str">
        <f t="shared" si="183"/>
        <v>OK</v>
      </c>
    </row>
    <row r="1465" spans="1:22" ht="18" customHeight="1">
      <c r="A1465" t="s">
        <v>341</v>
      </c>
      <c r="B1465" t="s">
        <v>342</v>
      </c>
      <c r="C1465">
        <v>2</v>
      </c>
      <c r="D1465" t="s">
        <v>333</v>
      </c>
      <c r="E1465" s="6">
        <f t="shared" si="176"/>
        <v>0</v>
      </c>
      <c r="F1465" s="6">
        <f t="shared" si="177"/>
        <v>0</v>
      </c>
      <c r="G1465" s="6">
        <f>ROUND(Catalogue!G77*SQRT((1+Paramètres!$B$4*(C1465-1)+Paramètres!$B$5*(C1465-1)^2)),0)</f>
        <v>4</v>
      </c>
      <c r="H1465" s="6">
        <f>ROUND(Catalogue!H77*SQRT((1+Paramètres!$B$4*(C1465-1)+Paramètres!$B$5*(C1465-1)^2)),0)</f>
        <v>0</v>
      </c>
      <c r="I1465" s="6">
        <v>0</v>
      </c>
      <c r="J1465" s="6">
        <v>0</v>
      </c>
      <c r="K1465" s="7">
        <v>2.6</v>
      </c>
      <c r="L1465" s="9">
        <f t="shared" si="178"/>
        <v>0</v>
      </c>
      <c r="M1465">
        <v>0</v>
      </c>
      <c r="N1465">
        <v>0</v>
      </c>
      <c r="O1465">
        <v>0</v>
      </c>
      <c r="P1465" s="13" t="str">
        <f t="shared" si="179"/>
        <v>—</v>
      </c>
      <c r="Q1465">
        <f>ROUND(INDEX(Catalogue!E$4:E$85,MATCH(A1465,Catalogue!A$4:A$85,0))*(1+Paramètres!$B$4*(C1465-1)+Paramètres!$B$5*(C1465-1)^2),0)</f>
        <v>0</v>
      </c>
      <c r="R1465">
        <f>ROUND(INDEX(Catalogue!F$4:F$85,MATCH(A1465,Catalogue!A$4:A$85,0))*(1+Paramètres!$B$4*(C1465-1)+Paramètres!$B$5*(C1465-1)^2),0)</f>
        <v>0</v>
      </c>
      <c r="S1465">
        <f t="shared" si="180"/>
        <v>0</v>
      </c>
      <c r="T1465" t="str">
        <f t="shared" si="181"/>
        <v>OK</v>
      </c>
      <c r="U1465" s="25">
        <f t="shared" si="182"/>
        <v>0</v>
      </c>
      <c r="V1465" t="str">
        <f t="shared" si="183"/>
        <v>OK</v>
      </c>
    </row>
    <row r="1466" spans="1:22" ht="18" customHeight="1">
      <c r="A1466" t="s">
        <v>341</v>
      </c>
      <c r="B1466" t="s">
        <v>342</v>
      </c>
      <c r="C1466">
        <v>3</v>
      </c>
      <c r="D1466" t="s">
        <v>333</v>
      </c>
      <c r="E1466" s="6">
        <f t="shared" si="176"/>
        <v>0</v>
      </c>
      <c r="F1466" s="6">
        <f t="shared" si="177"/>
        <v>0</v>
      </c>
      <c r="G1466" s="6">
        <f>ROUND(Catalogue!G77*SQRT((1+Paramètres!$B$4*(C1466-1)+Paramètres!$B$5*(C1466-1)^2)),0)</f>
        <v>5</v>
      </c>
      <c r="H1466" s="6">
        <f>ROUND(Catalogue!H77*SQRT((1+Paramètres!$B$4*(C1466-1)+Paramètres!$B$5*(C1466-1)^2)),0)</f>
        <v>0</v>
      </c>
      <c r="I1466" s="6">
        <v>0</v>
      </c>
      <c r="J1466" s="6">
        <v>0</v>
      </c>
      <c r="K1466" s="7">
        <v>2.6</v>
      </c>
      <c r="L1466" s="9">
        <f t="shared" si="178"/>
        <v>0</v>
      </c>
      <c r="M1466">
        <v>0</v>
      </c>
      <c r="N1466">
        <v>0</v>
      </c>
      <c r="O1466">
        <v>0</v>
      </c>
      <c r="P1466" s="13" t="str">
        <f t="shared" si="179"/>
        <v>—</v>
      </c>
      <c r="Q1466">
        <f>ROUND(INDEX(Catalogue!E$4:E$85,MATCH(A1466,Catalogue!A$4:A$85,0))*(1+Paramètres!$B$4*(C1466-1)+Paramètres!$B$5*(C1466-1)^2),0)</f>
        <v>0</v>
      </c>
      <c r="R1466">
        <f>ROUND(INDEX(Catalogue!F$4:F$85,MATCH(A1466,Catalogue!A$4:A$85,0))*(1+Paramètres!$B$4*(C1466-1)+Paramètres!$B$5*(C1466-1)^2),0)</f>
        <v>0</v>
      </c>
      <c r="S1466">
        <f t="shared" si="180"/>
        <v>0</v>
      </c>
      <c r="T1466" t="str">
        <f t="shared" si="181"/>
        <v>OK</v>
      </c>
      <c r="U1466" s="25">
        <f t="shared" si="182"/>
        <v>0</v>
      </c>
      <c r="V1466" t="str">
        <f t="shared" si="183"/>
        <v>OK</v>
      </c>
    </row>
    <row r="1467" spans="1:22" ht="18" customHeight="1">
      <c r="A1467" t="s">
        <v>341</v>
      </c>
      <c r="B1467" t="s">
        <v>342</v>
      </c>
      <c r="C1467">
        <v>4</v>
      </c>
      <c r="D1467" t="s">
        <v>333</v>
      </c>
      <c r="E1467" s="6">
        <f t="shared" si="176"/>
        <v>0</v>
      </c>
      <c r="F1467" s="6">
        <f t="shared" si="177"/>
        <v>0</v>
      </c>
      <c r="G1467" s="6">
        <f>ROUND(Catalogue!G77*SQRT((1+Paramètres!$B$4*(C1467-1)+Paramètres!$B$5*(C1467-1)^2)),0)</f>
        <v>5</v>
      </c>
      <c r="H1467" s="6">
        <f>ROUND(Catalogue!H77*SQRT((1+Paramètres!$B$4*(C1467-1)+Paramètres!$B$5*(C1467-1)^2)),0)</f>
        <v>0</v>
      </c>
      <c r="I1467" s="6">
        <v>0</v>
      </c>
      <c r="J1467" s="6">
        <v>0</v>
      </c>
      <c r="K1467" s="7">
        <v>2.6</v>
      </c>
      <c r="L1467" s="9">
        <f t="shared" si="178"/>
        <v>0</v>
      </c>
      <c r="M1467">
        <v>0</v>
      </c>
      <c r="N1467">
        <v>0</v>
      </c>
      <c r="O1467">
        <v>0</v>
      </c>
      <c r="P1467" s="13" t="str">
        <f t="shared" si="179"/>
        <v>—</v>
      </c>
      <c r="Q1467">
        <f>ROUND(INDEX(Catalogue!E$4:E$85,MATCH(A1467,Catalogue!A$4:A$85,0))*(1+Paramètres!$B$4*(C1467-1)+Paramètres!$B$5*(C1467-1)^2),0)</f>
        <v>0</v>
      </c>
      <c r="R1467">
        <f>ROUND(INDEX(Catalogue!F$4:F$85,MATCH(A1467,Catalogue!A$4:A$85,0))*(1+Paramètres!$B$4*(C1467-1)+Paramètres!$B$5*(C1467-1)^2),0)</f>
        <v>0</v>
      </c>
      <c r="S1467">
        <f t="shared" si="180"/>
        <v>0</v>
      </c>
      <c r="T1467" t="str">
        <f t="shared" si="181"/>
        <v>OK</v>
      </c>
      <c r="U1467" s="25">
        <f t="shared" si="182"/>
        <v>0</v>
      </c>
      <c r="V1467" t="str">
        <f t="shared" si="183"/>
        <v>OK</v>
      </c>
    </row>
    <row r="1468" spans="1:22" ht="18" customHeight="1">
      <c r="A1468" t="s">
        <v>341</v>
      </c>
      <c r="B1468" t="s">
        <v>342</v>
      </c>
      <c r="C1468">
        <v>5</v>
      </c>
      <c r="D1468" t="s">
        <v>333</v>
      </c>
      <c r="E1468" s="6">
        <f t="shared" si="176"/>
        <v>0</v>
      </c>
      <c r="F1468" s="6">
        <f t="shared" si="177"/>
        <v>0</v>
      </c>
      <c r="G1468" s="6">
        <f>ROUND(Catalogue!G77*SQRT((1+Paramètres!$B$4*(C1468-1)+Paramètres!$B$5*(C1468-1)^2)),0)</f>
        <v>5</v>
      </c>
      <c r="H1468" s="6">
        <f>ROUND(Catalogue!H77*SQRT((1+Paramètres!$B$4*(C1468-1)+Paramètres!$B$5*(C1468-1)^2)),0)</f>
        <v>0</v>
      </c>
      <c r="I1468" s="6">
        <v>0</v>
      </c>
      <c r="J1468" s="6">
        <v>0</v>
      </c>
      <c r="K1468" s="7">
        <v>2.6</v>
      </c>
      <c r="L1468" s="9">
        <f t="shared" si="178"/>
        <v>0</v>
      </c>
      <c r="M1468">
        <v>0</v>
      </c>
      <c r="N1468">
        <v>0</v>
      </c>
      <c r="O1468">
        <v>0</v>
      </c>
      <c r="P1468" s="13" t="str">
        <f t="shared" si="179"/>
        <v>—</v>
      </c>
      <c r="Q1468">
        <f>ROUND(INDEX(Catalogue!E$4:E$85,MATCH(A1468,Catalogue!A$4:A$85,0))*(1+Paramètres!$B$4*(C1468-1)+Paramètres!$B$5*(C1468-1)^2),0)</f>
        <v>0</v>
      </c>
      <c r="R1468">
        <f>ROUND(INDEX(Catalogue!F$4:F$85,MATCH(A1468,Catalogue!A$4:A$85,0))*(1+Paramètres!$B$4*(C1468-1)+Paramètres!$B$5*(C1468-1)^2),0)</f>
        <v>0</v>
      </c>
      <c r="S1468">
        <f t="shared" si="180"/>
        <v>0</v>
      </c>
      <c r="T1468" t="str">
        <f t="shared" si="181"/>
        <v>OK</v>
      </c>
      <c r="U1468" s="25">
        <f t="shared" si="182"/>
        <v>0</v>
      </c>
      <c r="V1468" t="str">
        <f t="shared" si="183"/>
        <v>OK</v>
      </c>
    </row>
    <row r="1469" spans="1:22" ht="18" customHeight="1">
      <c r="A1469" t="s">
        <v>341</v>
      </c>
      <c r="B1469" t="s">
        <v>342</v>
      </c>
      <c r="C1469">
        <v>6</v>
      </c>
      <c r="D1469" t="s">
        <v>333</v>
      </c>
      <c r="E1469" s="6">
        <f t="shared" si="176"/>
        <v>0</v>
      </c>
      <c r="F1469" s="6">
        <f t="shared" si="177"/>
        <v>0</v>
      </c>
      <c r="G1469" s="6">
        <f>ROUND(Catalogue!G77*SQRT((1+Paramètres!$B$4*(C1469-1)+Paramètres!$B$5*(C1469-1)^2)),0)</f>
        <v>6</v>
      </c>
      <c r="H1469" s="6">
        <f>ROUND(Catalogue!H77*SQRT((1+Paramètres!$B$4*(C1469-1)+Paramètres!$B$5*(C1469-1)^2)),0)</f>
        <v>0</v>
      </c>
      <c r="I1469" s="6">
        <v>0</v>
      </c>
      <c r="J1469" s="6">
        <v>0</v>
      </c>
      <c r="K1469" s="7">
        <v>2.6</v>
      </c>
      <c r="L1469" s="9">
        <f t="shared" si="178"/>
        <v>0</v>
      </c>
      <c r="M1469">
        <v>0</v>
      </c>
      <c r="N1469">
        <v>0</v>
      </c>
      <c r="O1469">
        <v>0</v>
      </c>
      <c r="P1469" s="13" t="str">
        <f t="shared" si="179"/>
        <v>—</v>
      </c>
      <c r="Q1469">
        <f>ROUND(INDEX(Catalogue!E$4:E$85,MATCH(A1469,Catalogue!A$4:A$85,0))*(1+Paramètres!$B$4*(C1469-1)+Paramètres!$B$5*(C1469-1)^2),0)</f>
        <v>0</v>
      </c>
      <c r="R1469">
        <f>ROUND(INDEX(Catalogue!F$4:F$85,MATCH(A1469,Catalogue!A$4:A$85,0))*(1+Paramètres!$B$4*(C1469-1)+Paramètres!$B$5*(C1469-1)^2),0)</f>
        <v>0</v>
      </c>
      <c r="S1469">
        <f t="shared" si="180"/>
        <v>0</v>
      </c>
      <c r="T1469" t="str">
        <f t="shared" si="181"/>
        <v>OK</v>
      </c>
      <c r="U1469" s="25">
        <f t="shared" si="182"/>
        <v>0</v>
      </c>
      <c r="V1469" t="str">
        <f t="shared" si="183"/>
        <v>OK</v>
      </c>
    </row>
    <row r="1470" spans="1:22" ht="18" customHeight="1">
      <c r="A1470" t="s">
        <v>341</v>
      </c>
      <c r="B1470" t="s">
        <v>342</v>
      </c>
      <c r="C1470">
        <v>7</v>
      </c>
      <c r="D1470" t="s">
        <v>333</v>
      </c>
      <c r="E1470" s="6">
        <f t="shared" si="176"/>
        <v>0</v>
      </c>
      <c r="F1470" s="6">
        <f t="shared" si="177"/>
        <v>0</v>
      </c>
      <c r="G1470" s="6">
        <f>ROUND(Catalogue!G77*SQRT((1+Paramètres!$B$4*(C1470-1)+Paramètres!$B$5*(C1470-1)^2)),0)</f>
        <v>6</v>
      </c>
      <c r="H1470" s="6">
        <f>ROUND(Catalogue!H77*SQRT((1+Paramètres!$B$4*(C1470-1)+Paramètres!$B$5*(C1470-1)^2)),0)</f>
        <v>0</v>
      </c>
      <c r="I1470" s="6">
        <v>0</v>
      </c>
      <c r="J1470" s="6">
        <v>0</v>
      </c>
      <c r="K1470" s="7">
        <v>2.6</v>
      </c>
      <c r="L1470" s="9">
        <f t="shared" si="178"/>
        <v>0</v>
      </c>
      <c r="M1470">
        <v>0</v>
      </c>
      <c r="N1470">
        <v>0</v>
      </c>
      <c r="O1470">
        <v>0</v>
      </c>
      <c r="P1470" s="13" t="str">
        <f t="shared" si="179"/>
        <v>—</v>
      </c>
      <c r="Q1470">
        <f>ROUND(INDEX(Catalogue!E$4:E$85,MATCH(A1470,Catalogue!A$4:A$85,0))*(1+Paramètres!$B$4*(C1470-1)+Paramètres!$B$5*(C1470-1)^2),0)</f>
        <v>0</v>
      </c>
      <c r="R1470">
        <f>ROUND(INDEX(Catalogue!F$4:F$85,MATCH(A1470,Catalogue!A$4:A$85,0))*(1+Paramètres!$B$4*(C1470-1)+Paramètres!$B$5*(C1470-1)^2),0)</f>
        <v>0</v>
      </c>
      <c r="S1470">
        <f t="shared" si="180"/>
        <v>0</v>
      </c>
      <c r="T1470" t="str">
        <f t="shared" si="181"/>
        <v>OK</v>
      </c>
      <c r="U1470" s="25">
        <f t="shared" si="182"/>
        <v>0</v>
      </c>
      <c r="V1470" t="str">
        <f t="shared" si="183"/>
        <v>OK</v>
      </c>
    </row>
    <row r="1471" spans="1:22" ht="18" customHeight="1">
      <c r="A1471" t="s">
        <v>341</v>
      </c>
      <c r="B1471" t="s">
        <v>342</v>
      </c>
      <c r="C1471">
        <v>8</v>
      </c>
      <c r="D1471" t="s">
        <v>333</v>
      </c>
      <c r="E1471" s="6">
        <f t="shared" si="176"/>
        <v>0</v>
      </c>
      <c r="F1471" s="6">
        <f t="shared" si="177"/>
        <v>0</v>
      </c>
      <c r="G1471" s="6">
        <f>ROUND(Catalogue!G77*SQRT((1+Paramètres!$B$4*(C1471-1)+Paramètres!$B$5*(C1471-1)^2)),0)</f>
        <v>6</v>
      </c>
      <c r="H1471" s="6">
        <f>ROUND(Catalogue!H77*SQRT((1+Paramètres!$B$4*(C1471-1)+Paramètres!$B$5*(C1471-1)^2)),0)</f>
        <v>0</v>
      </c>
      <c r="I1471" s="6">
        <v>0</v>
      </c>
      <c r="J1471" s="6">
        <v>0</v>
      </c>
      <c r="K1471" s="7">
        <v>2.6</v>
      </c>
      <c r="L1471" s="9">
        <f t="shared" si="178"/>
        <v>0</v>
      </c>
      <c r="M1471">
        <v>0</v>
      </c>
      <c r="N1471">
        <v>0</v>
      </c>
      <c r="O1471">
        <v>0</v>
      </c>
      <c r="P1471" s="13" t="str">
        <f t="shared" si="179"/>
        <v>—</v>
      </c>
      <c r="Q1471">
        <f>ROUND(INDEX(Catalogue!E$4:E$85,MATCH(A1471,Catalogue!A$4:A$85,0))*(1+Paramètres!$B$4*(C1471-1)+Paramètres!$B$5*(C1471-1)^2),0)</f>
        <v>0</v>
      </c>
      <c r="R1471">
        <f>ROUND(INDEX(Catalogue!F$4:F$85,MATCH(A1471,Catalogue!A$4:A$85,0))*(1+Paramètres!$B$4*(C1471-1)+Paramètres!$B$5*(C1471-1)^2),0)</f>
        <v>0</v>
      </c>
      <c r="S1471">
        <f t="shared" si="180"/>
        <v>0</v>
      </c>
      <c r="T1471" t="str">
        <f t="shared" si="181"/>
        <v>OK</v>
      </c>
      <c r="U1471" s="25">
        <f t="shared" si="182"/>
        <v>0</v>
      </c>
      <c r="V1471" t="str">
        <f t="shared" si="183"/>
        <v>OK</v>
      </c>
    </row>
    <row r="1472" spans="1:22" ht="18" customHeight="1">
      <c r="A1472" t="s">
        <v>341</v>
      </c>
      <c r="B1472" t="s">
        <v>342</v>
      </c>
      <c r="C1472">
        <v>9</v>
      </c>
      <c r="D1472" t="s">
        <v>333</v>
      </c>
      <c r="E1472" s="6">
        <f t="shared" si="176"/>
        <v>0</v>
      </c>
      <c r="F1472" s="6">
        <f t="shared" si="177"/>
        <v>0</v>
      </c>
      <c r="G1472" s="6">
        <f>ROUND(Catalogue!G77*SQRT((1+Paramètres!$B$4*(C1472-1)+Paramètres!$B$5*(C1472-1)^2)),0)</f>
        <v>7</v>
      </c>
      <c r="H1472" s="6">
        <f>ROUND(Catalogue!H77*SQRT((1+Paramètres!$B$4*(C1472-1)+Paramètres!$B$5*(C1472-1)^2)),0)</f>
        <v>0</v>
      </c>
      <c r="I1472" s="6">
        <v>0</v>
      </c>
      <c r="J1472" s="6">
        <v>0</v>
      </c>
      <c r="K1472" s="7">
        <v>2.6</v>
      </c>
      <c r="L1472" s="9">
        <f t="shared" si="178"/>
        <v>0</v>
      </c>
      <c r="M1472">
        <v>0</v>
      </c>
      <c r="N1472">
        <v>0</v>
      </c>
      <c r="O1472">
        <v>0</v>
      </c>
      <c r="P1472" s="13" t="str">
        <f t="shared" si="179"/>
        <v>—</v>
      </c>
      <c r="Q1472">
        <f>ROUND(INDEX(Catalogue!E$4:E$85,MATCH(A1472,Catalogue!A$4:A$85,0))*(1+Paramètres!$B$4*(C1472-1)+Paramètres!$B$5*(C1472-1)^2),0)</f>
        <v>0</v>
      </c>
      <c r="R1472">
        <f>ROUND(INDEX(Catalogue!F$4:F$85,MATCH(A1472,Catalogue!A$4:A$85,0))*(1+Paramètres!$B$4*(C1472-1)+Paramètres!$B$5*(C1472-1)^2),0)</f>
        <v>0</v>
      </c>
      <c r="S1472">
        <f t="shared" si="180"/>
        <v>0</v>
      </c>
      <c r="T1472" t="str">
        <f t="shared" si="181"/>
        <v>OK</v>
      </c>
      <c r="U1472" s="25">
        <f t="shared" si="182"/>
        <v>0</v>
      </c>
      <c r="V1472" t="str">
        <f t="shared" si="183"/>
        <v>OK</v>
      </c>
    </row>
    <row r="1473" spans="1:22" ht="18" customHeight="1">
      <c r="A1473" t="s">
        <v>341</v>
      </c>
      <c r="B1473" t="s">
        <v>342</v>
      </c>
      <c r="C1473">
        <v>10</v>
      </c>
      <c r="D1473" t="s">
        <v>333</v>
      </c>
      <c r="E1473" s="6">
        <f t="shared" si="176"/>
        <v>0</v>
      </c>
      <c r="F1473" s="6">
        <f t="shared" si="177"/>
        <v>0</v>
      </c>
      <c r="G1473" s="6">
        <f>ROUND(Catalogue!G77*SQRT((1+Paramètres!$B$4*(C1473-1)+Paramètres!$B$5*(C1473-1)^2)),0)</f>
        <v>7</v>
      </c>
      <c r="H1473" s="6">
        <f>ROUND(Catalogue!H77*SQRT((1+Paramètres!$B$4*(C1473-1)+Paramètres!$B$5*(C1473-1)^2)),0)</f>
        <v>0</v>
      </c>
      <c r="I1473" s="6">
        <v>0</v>
      </c>
      <c r="J1473" s="6">
        <v>0</v>
      </c>
      <c r="K1473" s="7">
        <v>2.6</v>
      </c>
      <c r="L1473" s="9">
        <f t="shared" si="178"/>
        <v>0</v>
      </c>
      <c r="M1473">
        <v>0</v>
      </c>
      <c r="N1473">
        <v>0</v>
      </c>
      <c r="O1473">
        <v>0</v>
      </c>
      <c r="P1473" s="13" t="str">
        <f t="shared" si="179"/>
        <v>—</v>
      </c>
      <c r="Q1473">
        <f>ROUND(INDEX(Catalogue!E$4:E$85,MATCH(A1473,Catalogue!A$4:A$85,0))*(1+Paramètres!$B$4*(C1473-1)+Paramètres!$B$5*(C1473-1)^2),0)</f>
        <v>0</v>
      </c>
      <c r="R1473">
        <f>ROUND(INDEX(Catalogue!F$4:F$85,MATCH(A1473,Catalogue!A$4:A$85,0))*(1+Paramètres!$B$4*(C1473-1)+Paramètres!$B$5*(C1473-1)^2),0)</f>
        <v>0</v>
      </c>
      <c r="S1473">
        <f t="shared" si="180"/>
        <v>0</v>
      </c>
      <c r="T1473" t="str">
        <f t="shared" si="181"/>
        <v>OK</v>
      </c>
      <c r="U1473" s="25">
        <f t="shared" si="182"/>
        <v>0</v>
      </c>
      <c r="V1473" t="str">
        <f t="shared" si="183"/>
        <v>OK</v>
      </c>
    </row>
    <row r="1474" spans="1:22" ht="18" customHeight="1">
      <c r="A1474" t="s">
        <v>341</v>
      </c>
      <c r="B1474" t="s">
        <v>342</v>
      </c>
      <c r="C1474">
        <v>11</v>
      </c>
      <c r="D1474" t="s">
        <v>333</v>
      </c>
      <c r="E1474" s="6">
        <f t="shared" si="176"/>
        <v>0</v>
      </c>
      <c r="F1474" s="6">
        <f t="shared" si="177"/>
        <v>0</v>
      </c>
      <c r="G1474" s="6">
        <f>ROUND(Catalogue!G77*SQRT((1+Paramètres!$B$4*(C1474-1)+Paramètres!$B$5*(C1474-1)^2)),0)</f>
        <v>8</v>
      </c>
      <c r="H1474" s="6">
        <f>ROUND(Catalogue!H77*SQRT((1+Paramètres!$B$4*(C1474-1)+Paramètres!$B$5*(C1474-1)^2)),0)</f>
        <v>0</v>
      </c>
      <c r="I1474" s="6">
        <v>0</v>
      </c>
      <c r="J1474" s="6">
        <v>0</v>
      </c>
      <c r="K1474" s="7">
        <v>2.6</v>
      </c>
      <c r="L1474" s="9">
        <f t="shared" si="178"/>
        <v>0</v>
      </c>
      <c r="M1474">
        <v>0</v>
      </c>
      <c r="N1474">
        <v>0</v>
      </c>
      <c r="O1474">
        <v>0</v>
      </c>
      <c r="P1474" s="13" t="str">
        <f t="shared" si="179"/>
        <v>—</v>
      </c>
      <c r="Q1474">
        <f>ROUND(INDEX(Catalogue!E$4:E$85,MATCH(A1474,Catalogue!A$4:A$85,0))*(1+Paramètres!$B$4*(C1474-1)+Paramètres!$B$5*(C1474-1)^2),0)</f>
        <v>0</v>
      </c>
      <c r="R1474">
        <f>ROUND(INDEX(Catalogue!F$4:F$85,MATCH(A1474,Catalogue!A$4:A$85,0))*(1+Paramètres!$B$4*(C1474-1)+Paramètres!$B$5*(C1474-1)^2),0)</f>
        <v>0</v>
      </c>
      <c r="S1474">
        <f t="shared" si="180"/>
        <v>0</v>
      </c>
      <c r="T1474" t="str">
        <f t="shared" si="181"/>
        <v>OK</v>
      </c>
      <c r="U1474" s="25">
        <f t="shared" si="182"/>
        <v>0</v>
      </c>
      <c r="V1474" t="str">
        <f t="shared" si="183"/>
        <v>OK</v>
      </c>
    </row>
    <row r="1475" spans="1:22" ht="18" customHeight="1">
      <c r="A1475" t="s">
        <v>341</v>
      </c>
      <c r="B1475" t="s">
        <v>342</v>
      </c>
      <c r="C1475">
        <v>12</v>
      </c>
      <c r="D1475" t="s">
        <v>333</v>
      </c>
      <c r="E1475" s="6">
        <f t="shared" si="176"/>
        <v>0</v>
      </c>
      <c r="F1475" s="6">
        <f t="shared" si="177"/>
        <v>0</v>
      </c>
      <c r="G1475" s="6">
        <f>ROUND(Catalogue!G77*SQRT((1+Paramètres!$B$4*(C1475-1)+Paramètres!$B$5*(C1475-1)^2)),0)</f>
        <v>8</v>
      </c>
      <c r="H1475" s="6">
        <f>ROUND(Catalogue!H77*SQRT((1+Paramètres!$B$4*(C1475-1)+Paramètres!$B$5*(C1475-1)^2)),0)</f>
        <v>0</v>
      </c>
      <c r="I1475" s="6">
        <v>0</v>
      </c>
      <c r="J1475" s="6">
        <v>0</v>
      </c>
      <c r="K1475" s="7">
        <v>2.6</v>
      </c>
      <c r="L1475" s="9">
        <f t="shared" si="178"/>
        <v>0</v>
      </c>
      <c r="M1475">
        <v>0</v>
      </c>
      <c r="N1475">
        <v>0</v>
      </c>
      <c r="O1475">
        <v>0</v>
      </c>
      <c r="P1475" s="13" t="str">
        <f t="shared" si="179"/>
        <v>—</v>
      </c>
      <c r="Q1475">
        <f>ROUND(INDEX(Catalogue!E$4:E$85,MATCH(A1475,Catalogue!A$4:A$85,0))*(1+Paramètres!$B$4*(C1475-1)+Paramètres!$B$5*(C1475-1)^2),0)</f>
        <v>0</v>
      </c>
      <c r="R1475">
        <f>ROUND(INDEX(Catalogue!F$4:F$85,MATCH(A1475,Catalogue!A$4:A$85,0))*(1+Paramètres!$B$4*(C1475-1)+Paramètres!$B$5*(C1475-1)^2),0)</f>
        <v>0</v>
      </c>
      <c r="S1475">
        <f t="shared" si="180"/>
        <v>0</v>
      </c>
      <c r="T1475" t="str">
        <f t="shared" si="181"/>
        <v>OK</v>
      </c>
      <c r="U1475" s="25">
        <f t="shared" si="182"/>
        <v>0</v>
      </c>
      <c r="V1475" t="str">
        <f t="shared" si="183"/>
        <v>OK</v>
      </c>
    </row>
    <row r="1476" spans="1:22" ht="18" customHeight="1">
      <c r="A1476" t="s">
        <v>341</v>
      </c>
      <c r="B1476" t="s">
        <v>342</v>
      </c>
      <c r="C1476">
        <v>13</v>
      </c>
      <c r="D1476" t="s">
        <v>333</v>
      </c>
      <c r="E1476" s="6">
        <f t="shared" ref="E1476:E1539" si="184">IF(M1476=0,0,M1476+O1476)</f>
        <v>0</v>
      </c>
      <c r="F1476" s="6">
        <f t="shared" ref="F1476:F1539" si="185">IF(M1476=0,0,M1476*N1476+O1476)</f>
        <v>0</v>
      </c>
      <c r="G1476" s="6">
        <f>ROUND(Catalogue!G77*SQRT((1+Paramètres!$B$4*(C1476-1)+Paramètres!$B$5*(C1476-1)^2)),0)</f>
        <v>9</v>
      </c>
      <c r="H1476" s="6">
        <f>ROUND(Catalogue!H77*SQRT((1+Paramètres!$B$4*(C1476-1)+Paramètres!$B$5*(C1476-1)^2)),0)</f>
        <v>0</v>
      </c>
      <c r="I1476" s="6">
        <v>0</v>
      </c>
      <c r="J1476" s="6">
        <v>0</v>
      </c>
      <c r="K1476" s="7">
        <v>2.6</v>
      </c>
      <c r="L1476" s="9">
        <f t="shared" ref="L1476:L1539" si="186">IF(M1476=0,0,(E1476+F1476)/2)</f>
        <v>0</v>
      </c>
      <c r="M1476">
        <v>0</v>
      </c>
      <c r="N1476">
        <v>0</v>
      </c>
      <c r="O1476">
        <v>0</v>
      </c>
      <c r="P1476" s="13" t="str">
        <f t="shared" ref="P1476:P1539" si="187">IF(M1476=0,"—",M1476&amp;"d"&amp;N1476&amp;IF(O1476=0,""," + "&amp;O1476))</f>
        <v>—</v>
      </c>
      <c r="Q1476">
        <f>ROUND(INDEX(Catalogue!E$4:E$85,MATCH(A1476,Catalogue!A$4:A$85,0))*(1+Paramètres!$B$4*(C1476-1)+Paramètres!$B$5*(C1476-1)^2),0)</f>
        <v>0</v>
      </c>
      <c r="R1476">
        <f>ROUND(INDEX(Catalogue!F$4:F$85,MATCH(A1476,Catalogue!A$4:A$85,0))*(1+Paramètres!$B$4*(C1476-1)+Paramètres!$B$5*(C1476-1)^2),0)</f>
        <v>0</v>
      </c>
      <c r="S1476">
        <f t="shared" ref="S1476:S1539" si="188">L1476-AVERAGE(Q1476:R1476)</f>
        <v>0</v>
      </c>
      <c r="T1476" t="str">
        <f t="shared" ref="T1476:T1539" si="189">IF(M1476=0,IF(AND(N1476=0,O1476=0,E1476=0,F1476=0),"OK","ERREUR"),IF(AND(M1476&gt;=1,M1476&lt;=32,OR(N1476=4,N1476=6,N1476=8,N1476=10,N1476=12,N1476=20),O1476&gt;=0,E1476=M1476+O1476,F1476=M1476*N1476+O1476),"OK","ERREUR"))</f>
        <v>OK</v>
      </c>
      <c r="U1476" s="25">
        <f t="shared" ref="U1476:U1539" si="190">IF(M1476&gt;0,M1476*(N1476+1)/2+O1476,0)</f>
        <v>0</v>
      </c>
      <c r="V1476" t="str">
        <f t="shared" ref="V1476:V1539" si="191">IF(ABS(L1476-U1476)&lt;0.001,"OK","ERREUR")</f>
        <v>OK</v>
      </c>
    </row>
    <row r="1477" spans="1:22" ht="18" customHeight="1">
      <c r="A1477" t="s">
        <v>341</v>
      </c>
      <c r="B1477" t="s">
        <v>342</v>
      </c>
      <c r="C1477">
        <v>14</v>
      </c>
      <c r="D1477" t="s">
        <v>333</v>
      </c>
      <c r="E1477" s="6">
        <f t="shared" si="184"/>
        <v>0</v>
      </c>
      <c r="F1477" s="6">
        <f t="shared" si="185"/>
        <v>0</v>
      </c>
      <c r="G1477" s="6">
        <f>ROUND(Catalogue!G77*SQRT((1+Paramètres!$B$4*(C1477-1)+Paramètres!$B$5*(C1477-1)^2)),0)</f>
        <v>9</v>
      </c>
      <c r="H1477" s="6">
        <f>ROUND(Catalogue!H77*SQRT((1+Paramètres!$B$4*(C1477-1)+Paramètres!$B$5*(C1477-1)^2)),0)</f>
        <v>0</v>
      </c>
      <c r="I1477" s="6">
        <v>0</v>
      </c>
      <c r="J1477" s="6">
        <v>0</v>
      </c>
      <c r="K1477" s="7">
        <v>2.6</v>
      </c>
      <c r="L1477" s="9">
        <f t="shared" si="186"/>
        <v>0</v>
      </c>
      <c r="M1477">
        <v>0</v>
      </c>
      <c r="N1477">
        <v>0</v>
      </c>
      <c r="O1477">
        <v>0</v>
      </c>
      <c r="P1477" s="13" t="str">
        <f t="shared" si="187"/>
        <v>—</v>
      </c>
      <c r="Q1477">
        <f>ROUND(INDEX(Catalogue!E$4:E$85,MATCH(A1477,Catalogue!A$4:A$85,0))*(1+Paramètres!$B$4*(C1477-1)+Paramètres!$B$5*(C1477-1)^2),0)</f>
        <v>0</v>
      </c>
      <c r="R1477">
        <f>ROUND(INDEX(Catalogue!F$4:F$85,MATCH(A1477,Catalogue!A$4:A$85,0))*(1+Paramètres!$B$4*(C1477-1)+Paramètres!$B$5*(C1477-1)^2),0)</f>
        <v>0</v>
      </c>
      <c r="S1477">
        <f t="shared" si="188"/>
        <v>0</v>
      </c>
      <c r="T1477" t="str">
        <f t="shared" si="189"/>
        <v>OK</v>
      </c>
      <c r="U1477" s="25">
        <f t="shared" si="190"/>
        <v>0</v>
      </c>
      <c r="V1477" t="str">
        <f t="shared" si="191"/>
        <v>OK</v>
      </c>
    </row>
    <row r="1478" spans="1:22" ht="18" customHeight="1">
      <c r="A1478" t="s">
        <v>341</v>
      </c>
      <c r="B1478" t="s">
        <v>342</v>
      </c>
      <c r="C1478">
        <v>15</v>
      </c>
      <c r="D1478" t="s">
        <v>333</v>
      </c>
      <c r="E1478" s="6">
        <f t="shared" si="184"/>
        <v>0</v>
      </c>
      <c r="F1478" s="6">
        <f t="shared" si="185"/>
        <v>0</v>
      </c>
      <c r="G1478" s="6">
        <f>ROUND(Catalogue!G77*SQRT((1+Paramètres!$B$4*(C1478-1)+Paramètres!$B$5*(C1478-1)^2)),0)</f>
        <v>10</v>
      </c>
      <c r="H1478" s="6">
        <f>ROUND(Catalogue!H77*SQRT((1+Paramètres!$B$4*(C1478-1)+Paramètres!$B$5*(C1478-1)^2)),0)</f>
        <v>0</v>
      </c>
      <c r="I1478" s="6">
        <v>0</v>
      </c>
      <c r="J1478" s="6">
        <v>0</v>
      </c>
      <c r="K1478" s="7">
        <v>2.6</v>
      </c>
      <c r="L1478" s="9">
        <f t="shared" si="186"/>
        <v>0</v>
      </c>
      <c r="M1478">
        <v>0</v>
      </c>
      <c r="N1478">
        <v>0</v>
      </c>
      <c r="O1478">
        <v>0</v>
      </c>
      <c r="P1478" s="13" t="str">
        <f t="shared" si="187"/>
        <v>—</v>
      </c>
      <c r="Q1478">
        <f>ROUND(INDEX(Catalogue!E$4:E$85,MATCH(A1478,Catalogue!A$4:A$85,0))*(1+Paramètres!$B$4*(C1478-1)+Paramètres!$B$5*(C1478-1)^2),0)</f>
        <v>0</v>
      </c>
      <c r="R1478">
        <f>ROUND(INDEX(Catalogue!F$4:F$85,MATCH(A1478,Catalogue!A$4:A$85,0))*(1+Paramètres!$B$4*(C1478-1)+Paramètres!$B$5*(C1478-1)^2),0)</f>
        <v>0</v>
      </c>
      <c r="S1478">
        <f t="shared" si="188"/>
        <v>0</v>
      </c>
      <c r="T1478" t="str">
        <f t="shared" si="189"/>
        <v>OK</v>
      </c>
      <c r="U1478" s="25">
        <f t="shared" si="190"/>
        <v>0</v>
      </c>
      <c r="V1478" t="str">
        <f t="shared" si="191"/>
        <v>OK</v>
      </c>
    </row>
    <row r="1479" spans="1:22" ht="18" customHeight="1">
      <c r="A1479" t="s">
        <v>341</v>
      </c>
      <c r="B1479" t="s">
        <v>342</v>
      </c>
      <c r="C1479">
        <v>16</v>
      </c>
      <c r="D1479" t="s">
        <v>333</v>
      </c>
      <c r="E1479" s="6">
        <f t="shared" si="184"/>
        <v>0</v>
      </c>
      <c r="F1479" s="6">
        <f t="shared" si="185"/>
        <v>0</v>
      </c>
      <c r="G1479" s="6">
        <f>ROUND(Catalogue!G77*SQRT((1+Paramètres!$B$4*(C1479-1)+Paramètres!$B$5*(C1479-1)^2)),0)</f>
        <v>10</v>
      </c>
      <c r="H1479" s="6">
        <f>ROUND(Catalogue!H77*SQRT((1+Paramètres!$B$4*(C1479-1)+Paramètres!$B$5*(C1479-1)^2)),0)</f>
        <v>0</v>
      </c>
      <c r="I1479" s="6">
        <v>0</v>
      </c>
      <c r="J1479" s="6">
        <v>0</v>
      </c>
      <c r="K1479" s="7">
        <v>2.6</v>
      </c>
      <c r="L1479" s="9">
        <f t="shared" si="186"/>
        <v>0</v>
      </c>
      <c r="M1479">
        <v>0</v>
      </c>
      <c r="N1479">
        <v>0</v>
      </c>
      <c r="O1479">
        <v>0</v>
      </c>
      <c r="P1479" s="13" t="str">
        <f t="shared" si="187"/>
        <v>—</v>
      </c>
      <c r="Q1479">
        <f>ROUND(INDEX(Catalogue!E$4:E$85,MATCH(A1479,Catalogue!A$4:A$85,0))*(1+Paramètres!$B$4*(C1479-1)+Paramètres!$B$5*(C1479-1)^2),0)</f>
        <v>0</v>
      </c>
      <c r="R1479">
        <f>ROUND(INDEX(Catalogue!F$4:F$85,MATCH(A1479,Catalogue!A$4:A$85,0))*(1+Paramètres!$B$4*(C1479-1)+Paramètres!$B$5*(C1479-1)^2),0)</f>
        <v>0</v>
      </c>
      <c r="S1479">
        <f t="shared" si="188"/>
        <v>0</v>
      </c>
      <c r="T1479" t="str">
        <f t="shared" si="189"/>
        <v>OK</v>
      </c>
      <c r="U1479" s="25">
        <f t="shared" si="190"/>
        <v>0</v>
      </c>
      <c r="V1479" t="str">
        <f t="shared" si="191"/>
        <v>OK</v>
      </c>
    </row>
    <row r="1480" spans="1:22" ht="18" customHeight="1">
      <c r="A1480" t="s">
        <v>341</v>
      </c>
      <c r="B1480" t="s">
        <v>342</v>
      </c>
      <c r="C1480">
        <v>17</v>
      </c>
      <c r="D1480" t="s">
        <v>333</v>
      </c>
      <c r="E1480" s="6">
        <f t="shared" si="184"/>
        <v>0</v>
      </c>
      <c r="F1480" s="6">
        <f t="shared" si="185"/>
        <v>0</v>
      </c>
      <c r="G1480" s="6">
        <f>ROUND(Catalogue!G77*SQRT((1+Paramètres!$B$4*(C1480-1)+Paramètres!$B$5*(C1480-1)^2)),0)</f>
        <v>10</v>
      </c>
      <c r="H1480" s="6">
        <f>ROUND(Catalogue!H77*SQRT((1+Paramètres!$B$4*(C1480-1)+Paramètres!$B$5*(C1480-1)^2)),0)</f>
        <v>0</v>
      </c>
      <c r="I1480" s="6">
        <v>0</v>
      </c>
      <c r="J1480" s="6">
        <v>0</v>
      </c>
      <c r="K1480" s="7">
        <v>2.6</v>
      </c>
      <c r="L1480" s="9">
        <f t="shared" si="186"/>
        <v>0</v>
      </c>
      <c r="M1480">
        <v>0</v>
      </c>
      <c r="N1480">
        <v>0</v>
      </c>
      <c r="O1480">
        <v>0</v>
      </c>
      <c r="P1480" s="13" t="str">
        <f t="shared" si="187"/>
        <v>—</v>
      </c>
      <c r="Q1480">
        <f>ROUND(INDEX(Catalogue!E$4:E$85,MATCH(A1480,Catalogue!A$4:A$85,0))*(1+Paramètres!$B$4*(C1480-1)+Paramètres!$B$5*(C1480-1)^2),0)</f>
        <v>0</v>
      </c>
      <c r="R1480">
        <f>ROUND(INDEX(Catalogue!F$4:F$85,MATCH(A1480,Catalogue!A$4:A$85,0))*(1+Paramètres!$B$4*(C1480-1)+Paramètres!$B$5*(C1480-1)^2),0)</f>
        <v>0</v>
      </c>
      <c r="S1480">
        <f t="shared" si="188"/>
        <v>0</v>
      </c>
      <c r="T1480" t="str">
        <f t="shared" si="189"/>
        <v>OK</v>
      </c>
      <c r="U1480" s="25">
        <f t="shared" si="190"/>
        <v>0</v>
      </c>
      <c r="V1480" t="str">
        <f t="shared" si="191"/>
        <v>OK</v>
      </c>
    </row>
    <row r="1481" spans="1:22" ht="18" customHeight="1">
      <c r="A1481" t="s">
        <v>341</v>
      </c>
      <c r="B1481" t="s">
        <v>342</v>
      </c>
      <c r="C1481">
        <v>18</v>
      </c>
      <c r="D1481" t="s">
        <v>333</v>
      </c>
      <c r="E1481" s="6">
        <f t="shared" si="184"/>
        <v>0</v>
      </c>
      <c r="F1481" s="6">
        <f t="shared" si="185"/>
        <v>0</v>
      </c>
      <c r="G1481" s="6">
        <f>ROUND(Catalogue!G77*SQRT((1+Paramètres!$B$4*(C1481-1)+Paramètres!$B$5*(C1481-1)^2)),0)</f>
        <v>11</v>
      </c>
      <c r="H1481" s="6">
        <f>ROUND(Catalogue!H77*SQRT((1+Paramètres!$B$4*(C1481-1)+Paramètres!$B$5*(C1481-1)^2)),0)</f>
        <v>0</v>
      </c>
      <c r="I1481" s="6">
        <v>0</v>
      </c>
      <c r="J1481" s="6">
        <v>0</v>
      </c>
      <c r="K1481" s="7">
        <v>2.6</v>
      </c>
      <c r="L1481" s="9">
        <f t="shared" si="186"/>
        <v>0</v>
      </c>
      <c r="M1481">
        <v>0</v>
      </c>
      <c r="N1481">
        <v>0</v>
      </c>
      <c r="O1481">
        <v>0</v>
      </c>
      <c r="P1481" s="13" t="str">
        <f t="shared" si="187"/>
        <v>—</v>
      </c>
      <c r="Q1481">
        <f>ROUND(INDEX(Catalogue!E$4:E$85,MATCH(A1481,Catalogue!A$4:A$85,0))*(1+Paramètres!$B$4*(C1481-1)+Paramètres!$B$5*(C1481-1)^2),0)</f>
        <v>0</v>
      </c>
      <c r="R1481">
        <f>ROUND(INDEX(Catalogue!F$4:F$85,MATCH(A1481,Catalogue!A$4:A$85,0))*(1+Paramètres!$B$4*(C1481-1)+Paramètres!$B$5*(C1481-1)^2),0)</f>
        <v>0</v>
      </c>
      <c r="S1481">
        <f t="shared" si="188"/>
        <v>0</v>
      </c>
      <c r="T1481" t="str">
        <f t="shared" si="189"/>
        <v>OK</v>
      </c>
      <c r="U1481" s="25">
        <f t="shared" si="190"/>
        <v>0</v>
      </c>
      <c r="V1481" t="str">
        <f t="shared" si="191"/>
        <v>OK</v>
      </c>
    </row>
    <row r="1482" spans="1:22" ht="18" customHeight="1">
      <c r="A1482" t="s">
        <v>341</v>
      </c>
      <c r="B1482" t="s">
        <v>342</v>
      </c>
      <c r="C1482">
        <v>19</v>
      </c>
      <c r="D1482" t="s">
        <v>333</v>
      </c>
      <c r="E1482" s="6">
        <f t="shared" si="184"/>
        <v>0</v>
      </c>
      <c r="F1482" s="6">
        <f t="shared" si="185"/>
        <v>0</v>
      </c>
      <c r="G1482" s="6">
        <f>ROUND(Catalogue!G77*SQRT((1+Paramètres!$B$4*(C1482-1)+Paramètres!$B$5*(C1482-1)^2)),0)</f>
        <v>11</v>
      </c>
      <c r="H1482" s="6">
        <f>ROUND(Catalogue!H77*SQRT((1+Paramètres!$B$4*(C1482-1)+Paramètres!$B$5*(C1482-1)^2)),0)</f>
        <v>0</v>
      </c>
      <c r="I1482" s="6">
        <v>0</v>
      </c>
      <c r="J1482" s="6">
        <v>0</v>
      </c>
      <c r="K1482" s="7">
        <v>2.6</v>
      </c>
      <c r="L1482" s="9">
        <f t="shared" si="186"/>
        <v>0</v>
      </c>
      <c r="M1482">
        <v>0</v>
      </c>
      <c r="N1482">
        <v>0</v>
      </c>
      <c r="O1482">
        <v>0</v>
      </c>
      <c r="P1482" s="13" t="str">
        <f t="shared" si="187"/>
        <v>—</v>
      </c>
      <c r="Q1482">
        <f>ROUND(INDEX(Catalogue!E$4:E$85,MATCH(A1482,Catalogue!A$4:A$85,0))*(1+Paramètres!$B$4*(C1482-1)+Paramètres!$B$5*(C1482-1)^2),0)</f>
        <v>0</v>
      </c>
      <c r="R1482">
        <f>ROUND(INDEX(Catalogue!F$4:F$85,MATCH(A1482,Catalogue!A$4:A$85,0))*(1+Paramètres!$B$4*(C1482-1)+Paramètres!$B$5*(C1482-1)^2),0)</f>
        <v>0</v>
      </c>
      <c r="S1482">
        <f t="shared" si="188"/>
        <v>0</v>
      </c>
      <c r="T1482" t="str">
        <f t="shared" si="189"/>
        <v>OK</v>
      </c>
      <c r="U1482" s="25">
        <f t="shared" si="190"/>
        <v>0</v>
      </c>
      <c r="V1482" t="str">
        <f t="shared" si="191"/>
        <v>OK</v>
      </c>
    </row>
    <row r="1483" spans="1:22" ht="18" customHeight="1">
      <c r="A1483" t="s">
        <v>341</v>
      </c>
      <c r="B1483" t="s">
        <v>342</v>
      </c>
      <c r="C1483">
        <v>20</v>
      </c>
      <c r="D1483" t="s">
        <v>333</v>
      </c>
      <c r="E1483" s="6">
        <f t="shared" si="184"/>
        <v>0</v>
      </c>
      <c r="F1483" s="6">
        <f t="shared" si="185"/>
        <v>0</v>
      </c>
      <c r="G1483" s="6">
        <f>ROUND(Catalogue!G77*SQRT((1+Paramètres!$B$4*(C1483-1)+Paramètres!$B$5*(C1483-1)^2)),0)</f>
        <v>12</v>
      </c>
      <c r="H1483" s="6">
        <f>ROUND(Catalogue!H77*SQRT((1+Paramètres!$B$4*(C1483-1)+Paramètres!$B$5*(C1483-1)^2)),0)</f>
        <v>0</v>
      </c>
      <c r="I1483" s="6">
        <v>0</v>
      </c>
      <c r="J1483" s="6">
        <v>0</v>
      </c>
      <c r="K1483" s="7">
        <v>2.6</v>
      </c>
      <c r="L1483" s="9">
        <f t="shared" si="186"/>
        <v>0</v>
      </c>
      <c r="M1483">
        <v>0</v>
      </c>
      <c r="N1483">
        <v>0</v>
      </c>
      <c r="O1483">
        <v>0</v>
      </c>
      <c r="P1483" s="13" t="str">
        <f t="shared" si="187"/>
        <v>—</v>
      </c>
      <c r="Q1483">
        <f>ROUND(INDEX(Catalogue!E$4:E$85,MATCH(A1483,Catalogue!A$4:A$85,0))*(1+Paramètres!$B$4*(C1483-1)+Paramètres!$B$5*(C1483-1)^2),0)</f>
        <v>0</v>
      </c>
      <c r="R1483">
        <f>ROUND(INDEX(Catalogue!F$4:F$85,MATCH(A1483,Catalogue!A$4:A$85,0))*(1+Paramètres!$B$4*(C1483-1)+Paramètres!$B$5*(C1483-1)^2),0)</f>
        <v>0</v>
      </c>
      <c r="S1483">
        <f t="shared" si="188"/>
        <v>0</v>
      </c>
      <c r="T1483" t="str">
        <f t="shared" si="189"/>
        <v>OK</v>
      </c>
      <c r="U1483" s="25">
        <f t="shared" si="190"/>
        <v>0</v>
      </c>
      <c r="V1483" t="str">
        <f t="shared" si="191"/>
        <v>OK</v>
      </c>
    </row>
    <row r="1484" spans="1:22" ht="18" customHeight="1">
      <c r="A1484" t="s">
        <v>344</v>
      </c>
      <c r="B1484" t="s">
        <v>345</v>
      </c>
      <c r="C1484">
        <v>1</v>
      </c>
      <c r="D1484" t="s">
        <v>333</v>
      </c>
      <c r="E1484" s="6">
        <f t="shared" si="184"/>
        <v>0</v>
      </c>
      <c r="F1484" s="6">
        <f t="shared" si="185"/>
        <v>0</v>
      </c>
      <c r="G1484" s="6">
        <f>ROUND(Catalogue!G78*SQRT((1+Paramètres!$B$4*(C1484-1)+Paramètres!$B$5*(C1484-1)^2)),0)</f>
        <v>5</v>
      </c>
      <c r="H1484" s="6">
        <f>ROUND(Catalogue!H78*SQRT((1+Paramètres!$B$4*(C1484-1)+Paramètres!$B$5*(C1484-1)^2)),0)</f>
        <v>0</v>
      </c>
      <c r="I1484" s="6">
        <v>0</v>
      </c>
      <c r="J1484" s="6">
        <v>0</v>
      </c>
      <c r="K1484" s="7">
        <v>2.9</v>
      </c>
      <c r="L1484" s="9">
        <f t="shared" si="186"/>
        <v>0</v>
      </c>
      <c r="M1484">
        <v>0</v>
      </c>
      <c r="N1484">
        <v>0</v>
      </c>
      <c r="O1484">
        <v>0</v>
      </c>
      <c r="P1484" s="13" t="str">
        <f t="shared" si="187"/>
        <v>—</v>
      </c>
      <c r="Q1484">
        <f>ROUND(INDEX(Catalogue!E$4:E$85,MATCH(A1484,Catalogue!A$4:A$85,0))*(1+Paramètres!$B$4*(C1484-1)+Paramètres!$B$5*(C1484-1)^2),0)</f>
        <v>0</v>
      </c>
      <c r="R1484">
        <f>ROUND(INDEX(Catalogue!F$4:F$85,MATCH(A1484,Catalogue!A$4:A$85,0))*(1+Paramètres!$B$4*(C1484-1)+Paramètres!$B$5*(C1484-1)^2),0)</f>
        <v>0</v>
      </c>
      <c r="S1484">
        <f t="shared" si="188"/>
        <v>0</v>
      </c>
      <c r="T1484" t="str">
        <f t="shared" si="189"/>
        <v>OK</v>
      </c>
      <c r="U1484" s="25">
        <f t="shared" si="190"/>
        <v>0</v>
      </c>
      <c r="V1484" t="str">
        <f t="shared" si="191"/>
        <v>OK</v>
      </c>
    </row>
    <row r="1485" spans="1:22" ht="18" customHeight="1">
      <c r="A1485" t="s">
        <v>344</v>
      </c>
      <c r="B1485" t="s">
        <v>345</v>
      </c>
      <c r="C1485">
        <v>2</v>
      </c>
      <c r="D1485" t="s">
        <v>333</v>
      </c>
      <c r="E1485" s="6">
        <f t="shared" si="184"/>
        <v>0</v>
      </c>
      <c r="F1485" s="6">
        <f t="shared" si="185"/>
        <v>0</v>
      </c>
      <c r="G1485" s="6">
        <f>ROUND(Catalogue!G78*SQRT((1+Paramètres!$B$4*(C1485-1)+Paramètres!$B$5*(C1485-1)^2)),0)</f>
        <v>5</v>
      </c>
      <c r="H1485" s="6">
        <f>ROUND(Catalogue!H78*SQRT((1+Paramètres!$B$4*(C1485-1)+Paramètres!$B$5*(C1485-1)^2)),0)</f>
        <v>0</v>
      </c>
      <c r="I1485" s="6">
        <v>0</v>
      </c>
      <c r="J1485" s="6">
        <v>0</v>
      </c>
      <c r="K1485" s="7">
        <v>2.9</v>
      </c>
      <c r="L1485" s="9">
        <f t="shared" si="186"/>
        <v>0</v>
      </c>
      <c r="M1485">
        <v>0</v>
      </c>
      <c r="N1485">
        <v>0</v>
      </c>
      <c r="O1485">
        <v>0</v>
      </c>
      <c r="P1485" s="13" t="str">
        <f t="shared" si="187"/>
        <v>—</v>
      </c>
      <c r="Q1485">
        <f>ROUND(INDEX(Catalogue!E$4:E$85,MATCH(A1485,Catalogue!A$4:A$85,0))*(1+Paramètres!$B$4*(C1485-1)+Paramètres!$B$5*(C1485-1)^2),0)</f>
        <v>0</v>
      </c>
      <c r="R1485">
        <f>ROUND(INDEX(Catalogue!F$4:F$85,MATCH(A1485,Catalogue!A$4:A$85,0))*(1+Paramètres!$B$4*(C1485-1)+Paramètres!$B$5*(C1485-1)^2),0)</f>
        <v>0</v>
      </c>
      <c r="S1485">
        <f t="shared" si="188"/>
        <v>0</v>
      </c>
      <c r="T1485" t="str">
        <f t="shared" si="189"/>
        <v>OK</v>
      </c>
      <c r="U1485" s="25">
        <f t="shared" si="190"/>
        <v>0</v>
      </c>
      <c r="V1485" t="str">
        <f t="shared" si="191"/>
        <v>OK</v>
      </c>
    </row>
    <row r="1486" spans="1:22" ht="18" customHeight="1">
      <c r="A1486" t="s">
        <v>344</v>
      </c>
      <c r="B1486" t="s">
        <v>345</v>
      </c>
      <c r="C1486">
        <v>3</v>
      </c>
      <c r="D1486" t="s">
        <v>333</v>
      </c>
      <c r="E1486" s="6">
        <f t="shared" si="184"/>
        <v>0</v>
      </c>
      <c r="F1486" s="6">
        <f t="shared" si="185"/>
        <v>0</v>
      </c>
      <c r="G1486" s="6">
        <f>ROUND(Catalogue!G78*SQRT((1+Paramètres!$B$4*(C1486-1)+Paramètres!$B$5*(C1486-1)^2)),0)</f>
        <v>6</v>
      </c>
      <c r="H1486" s="6">
        <f>ROUND(Catalogue!H78*SQRT((1+Paramètres!$B$4*(C1486-1)+Paramètres!$B$5*(C1486-1)^2)),0)</f>
        <v>0</v>
      </c>
      <c r="I1486" s="6">
        <v>0</v>
      </c>
      <c r="J1486" s="6">
        <v>0</v>
      </c>
      <c r="K1486" s="7">
        <v>2.9</v>
      </c>
      <c r="L1486" s="9">
        <f t="shared" si="186"/>
        <v>0</v>
      </c>
      <c r="M1486">
        <v>0</v>
      </c>
      <c r="N1486">
        <v>0</v>
      </c>
      <c r="O1486">
        <v>0</v>
      </c>
      <c r="P1486" s="13" t="str">
        <f t="shared" si="187"/>
        <v>—</v>
      </c>
      <c r="Q1486">
        <f>ROUND(INDEX(Catalogue!E$4:E$85,MATCH(A1486,Catalogue!A$4:A$85,0))*(1+Paramètres!$B$4*(C1486-1)+Paramètres!$B$5*(C1486-1)^2),0)</f>
        <v>0</v>
      </c>
      <c r="R1486">
        <f>ROUND(INDEX(Catalogue!F$4:F$85,MATCH(A1486,Catalogue!A$4:A$85,0))*(1+Paramètres!$B$4*(C1486-1)+Paramètres!$B$5*(C1486-1)^2),0)</f>
        <v>0</v>
      </c>
      <c r="S1486">
        <f t="shared" si="188"/>
        <v>0</v>
      </c>
      <c r="T1486" t="str">
        <f t="shared" si="189"/>
        <v>OK</v>
      </c>
      <c r="U1486" s="25">
        <f t="shared" si="190"/>
        <v>0</v>
      </c>
      <c r="V1486" t="str">
        <f t="shared" si="191"/>
        <v>OK</v>
      </c>
    </row>
    <row r="1487" spans="1:22" ht="18" customHeight="1">
      <c r="A1487" t="s">
        <v>344</v>
      </c>
      <c r="B1487" t="s">
        <v>345</v>
      </c>
      <c r="C1487">
        <v>4</v>
      </c>
      <c r="D1487" t="s">
        <v>333</v>
      </c>
      <c r="E1487" s="6">
        <f t="shared" si="184"/>
        <v>0</v>
      </c>
      <c r="F1487" s="6">
        <f t="shared" si="185"/>
        <v>0</v>
      </c>
      <c r="G1487" s="6">
        <f>ROUND(Catalogue!G78*SQRT((1+Paramètres!$B$4*(C1487-1)+Paramètres!$B$5*(C1487-1)^2)),0)</f>
        <v>6</v>
      </c>
      <c r="H1487" s="6">
        <f>ROUND(Catalogue!H78*SQRT((1+Paramètres!$B$4*(C1487-1)+Paramètres!$B$5*(C1487-1)^2)),0)</f>
        <v>0</v>
      </c>
      <c r="I1487" s="6">
        <v>0</v>
      </c>
      <c r="J1487" s="6">
        <v>0</v>
      </c>
      <c r="K1487" s="7">
        <v>2.9</v>
      </c>
      <c r="L1487" s="9">
        <f t="shared" si="186"/>
        <v>0</v>
      </c>
      <c r="M1487">
        <v>0</v>
      </c>
      <c r="N1487">
        <v>0</v>
      </c>
      <c r="O1487">
        <v>0</v>
      </c>
      <c r="P1487" s="13" t="str">
        <f t="shared" si="187"/>
        <v>—</v>
      </c>
      <c r="Q1487">
        <f>ROUND(INDEX(Catalogue!E$4:E$85,MATCH(A1487,Catalogue!A$4:A$85,0))*(1+Paramètres!$B$4*(C1487-1)+Paramètres!$B$5*(C1487-1)^2),0)</f>
        <v>0</v>
      </c>
      <c r="R1487">
        <f>ROUND(INDEX(Catalogue!F$4:F$85,MATCH(A1487,Catalogue!A$4:A$85,0))*(1+Paramètres!$B$4*(C1487-1)+Paramètres!$B$5*(C1487-1)^2),0)</f>
        <v>0</v>
      </c>
      <c r="S1487">
        <f t="shared" si="188"/>
        <v>0</v>
      </c>
      <c r="T1487" t="str">
        <f t="shared" si="189"/>
        <v>OK</v>
      </c>
      <c r="U1487" s="25">
        <f t="shared" si="190"/>
        <v>0</v>
      </c>
      <c r="V1487" t="str">
        <f t="shared" si="191"/>
        <v>OK</v>
      </c>
    </row>
    <row r="1488" spans="1:22" ht="18" customHeight="1">
      <c r="A1488" t="s">
        <v>344</v>
      </c>
      <c r="B1488" t="s">
        <v>345</v>
      </c>
      <c r="C1488">
        <v>5</v>
      </c>
      <c r="D1488" t="s">
        <v>333</v>
      </c>
      <c r="E1488" s="6">
        <f t="shared" si="184"/>
        <v>0</v>
      </c>
      <c r="F1488" s="6">
        <f t="shared" si="185"/>
        <v>0</v>
      </c>
      <c r="G1488" s="6">
        <f>ROUND(Catalogue!G78*SQRT((1+Paramètres!$B$4*(C1488-1)+Paramètres!$B$5*(C1488-1)^2)),0)</f>
        <v>7</v>
      </c>
      <c r="H1488" s="6">
        <f>ROUND(Catalogue!H78*SQRT((1+Paramètres!$B$4*(C1488-1)+Paramètres!$B$5*(C1488-1)^2)),0)</f>
        <v>0</v>
      </c>
      <c r="I1488" s="6">
        <v>0</v>
      </c>
      <c r="J1488" s="6">
        <v>0</v>
      </c>
      <c r="K1488" s="7">
        <v>2.9</v>
      </c>
      <c r="L1488" s="9">
        <f t="shared" si="186"/>
        <v>0</v>
      </c>
      <c r="M1488">
        <v>0</v>
      </c>
      <c r="N1488">
        <v>0</v>
      </c>
      <c r="O1488">
        <v>0</v>
      </c>
      <c r="P1488" s="13" t="str">
        <f t="shared" si="187"/>
        <v>—</v>
      </c>
      <c r="Q1488">
        <f>ROUND(INDEX(Catalogue!E$4:E$85,MATCH(A1488,Catalogue!A$4:A$85,0))*(1+Paramètres!$B$4*(C1488-1)+Paramètres!$B$5*(C1488-1)^2),0)</f>
        <v>0</v>
      </c>
      <c r="R1488">
        <f>ROUND(INDEX(Catalogue!F$4:F$85,MATCH(A1488,Catalogue!A$4:A$85,0))*(1+Paramètres!$B$4*(C1488-1)+Paramètres!$B$5*(C1488-1)^2),0)</f>
        <v>0</v>
      </c>
      <c r="S1488">
        <f t="shared" si="188"/>
        <v>0</v>
      </c>
      <c r="T1488" t="str">
        <f t="shared" si="189"/>
        <v>OK</v>
      </c>
      <c r="U1488" s="25">
        <f t="shared" si="190"/>
        <v>0</v>
      </c>
      <c r="V1488" t="str">
        <f t="shared" si="191"/>
        <v>OK</v>
      </c>
    </row>
    <row r="1489" spans="1:22" ht="18" customHeight="1">
      <c r="A1489" t="s">
        <v>344</v>
      </c>
      <c r="B1489" t="s">
        <v>345</v>
      </c>
      <c r="C1489">
        <v>6</v>
      </c>
      <c r="D1489" t="s">
        <v>333</v>
      </c>
      <c r="E1489" s="6">
        <f t="shared" si="184"/>
        <v>0</v>
      </c>
      <c r="F1489" s="6">
        <f t="shared" si="185"/>
        <v>0</v>
      </c>
      <c r="G1489" s="6">
        <f>ROUND(Catalogue!G78*SQRT((1+Paramètres!$B$4*(C1489-1)+Paramètres!$B$5*(C1489-1)^2)),0)</f>
        <v>7</v>
      </c>
      <c r="H1489" s="6">
        <f>ROUND(Catalogue!H78*SQRT((1+Paramètres!$B$4*(C1489-1)+Paramètres!$B$5*(C1489-1)^2)),0)</f>
        <v>0</v>
      </c>
      <c r="I1489" s="6">
        <v>0</v>
      </c>
      <c r="J1489" s="6">
        <v>0</v>
      </c>
      <c r="K1489" s="7">
        <v>2.9</v>
      </c>
      <c r="L1489" s="9">
        <f t="shared" si="186"/>
        <v>0</v>
      </c>
      <c r="M1489">
        <v>0</v>
      </c>
      <c r="N1489">
        <v>0</v>
      </c>
      <c r="O1489">
        <v>0</v>
      </c>
      <c r="P1489" s="13" t="str">
        <f t="shared" si="187"/>
        <v>—</v>
      </c>
      <c r="Q1489">
        <f>ROUND(INDEX(Catalogue!E$4:E$85,MATCH(A1489,Catalogue!A$4:A$85,0))*(1+Paramètres!$B$4*(C1489-1)+Paramètres!$B$5*(C1489-1)^2),0)</f>
        <v>0</v>
      </c>
      <c r="R1489">
        <f>ROUND(INDEX(Catalogue!F$4:F$85,MATCH(A1489,Catalogue!A$4:A$85,0))*(1+Paramètres!$B$4*(C1489-1)+Paramètres!$B$5*(C1489-1)^2),0)</f>
        <v>0</v>
      </c>
      <c r="S1489">
        <f t="shared" si="188"/>
        <v>0</v>
      </c>
      <c r="T1489" t="str">
        <f t="shared" si="189"/>
        <v>OK</v>
      </c>
      <c r="U1489" s="25">
        <f t="shared" si="190"/>
        <v>0</v>
      </c>
      <c r="V1489" t="str">
        <f t="shared" si="191"/>
        <v>OK</v>
      </c>
    </row>
    <row r="1490" spans="1:22" ht="18" customHeight="1">
      <c r="A1490" t="s">
        <v>344</v>
      </c>
      <c r="B1490" t="s">
        <v>345</v>
      </c>
      <c r="C1490">
        <v>7</v>
      </c>
      <c r="D1490" t="s">
        <v>333</v>
      </c>
      <c r="E1490" s="6">
        <f t="shared" si="184"/>
        <v>0</v>
      </c>
      <c r="F1490" s="6">
        <f t="shared" si="185"/>
        <v>0</v>
      </c>
      <c r="G1490" s="6">
        <f>ROUND(Catalogue!G78*SQRT((1+Paramètres!$B$4*(C1490-1)+Paramètres!$B$5*(C1490-1)^2)),0)</f>
        <v>7</v>
      </c>
      <c r="H1490" s="6">
        <f>ROUND(Catalogue!H78*SQRT((1+Paramètres!$B$4*(C1490-1)+Paramètres!$B$5*(C1490-1)^2)),0)</f>
        <v>0</v>
      </c>
      <c r="I1490" s="6">
        <v>0</v>
      </c>
      <c r="J1490" s="6">
        <v>0</v>
      </c>
      <c r="K1490" s="7">
        <v>2.9</v>
      </c>
      <c r="L1490" s="9">
        <f t="shared" si="186"/>
        <v>0</v>
      </c>
      <c r="M1490">
        <v>0</v>
      </c>
      <c r="N1490">
        <v>0</v>
      </c>
      <c r="O1490">
        <v>0</v>
      </c>
      <c r="P1490" s="13" t="str">
        <f t="shared" si="187"/>
        <v>—</v>
      </c>
      <c r="Q1490">
        <f>ROUND(INDEX(Catalogue!E$4:E$85,MATCH(A1490,Catalogue!A$4:A$85,0))*(1+Paramètres!$B$4*(C1490-1)+Paramètres!$B$5*(C1490-1)^2),0)</f>
        <v>0</v>
      </c>
      <c r="R1490">
        <f>ROUND(INDEX(Catalogue!F$4:F$85,MATCH(A1490,Catalogue!A$4:A$85,0))*(1+Paramètres!$B$4*(C1490-1)+Paramètres!$B$5*(C1490-1)^2),0)</f>
        <v>0</v>
      </c>
      <c r="S1490">
        <f t="shared" si="188"/>
        <v>0</v>
      </c>
      <c r="T1490" t="str">
        <f t="shared" si="189"/>
        <v>OK</v>
      </c>
      <c r="U1490" s="25">
        <f t="shared" si="190"/>
        <v>0</v>
      </c>
      <c r="V1490" t="str">
        <f t="shared" si="191"/>
        <v>OK</v>
      </c>
    </row>
    <row r="1491" spans="1:22" ht="18" customHeight="1">
      <c r="A1491" t="s">
        <v>344</v>
      </c>
      <c r="B1491" t="s">
        <v>345</v>
      </c>
      <c r="C1491">
        <v>8</v>
      </c>
      <c r="D1491" t="s">
        <v>333</v>
      </c>
      <c r="E1491" s="6">
        <f t="shared" si="184"/>
        <v>0</v>
      </c>
      <c r="F1491" s="6">
        <f t="shared" si="185"/>
        <v>0</v>
      </c>
      <c r="G1491" s="6">
        <f>ROUND(Catalogue!G78*SQRT((1+Paramètres!$B$4*(C1491-1)+Paramètres!$B$5*(C1491-1)^2)),0)</f>
        <v>8</v>
      </c>
      <c r="H1491" s="6">
        <f>ROUND(Catalogue!H78*SQRT((1+Paramètres!$B$4*(C1491-1)+Paramètres!$B$5*(C1491-1)^2)),0)</f>
        <v>0</v>
      </c>
      <c r="I1491" s="6">
        <v>0</v>
      </c>
      <c r="J1491" s="6">
        <v>0</v>
      </c>
      <c r="K1491" s="7">
        <v>2.9</v>
      </c>
      <c r="L1491" s="9">
        <f t="shared" si="186"/>
        <v>0</v>
      </c>
      <c r="M1491">
        <v>0</v>
      </c>
      <c r="N1491">
        <v>0</v>
      </c>
      <c r="O1491">
        <v>0</v>
      </c>
      <c r="P1491" s="13" t="str">
        <f t="shared" si="187"/>
        <v>—</v>
      </c>
      <c r="Q1491">
        <f>ROUND(INDEX(Catalogue!E$4:E$85,MATCH(A1491,Catalogue!A$4:A$85,0))*(1+Paramètres!$B$4*(C1491-1)+Paramètres!$B$5*(C1491-1)^2),0)</f>
        <v>0</v>
      </c>
      <c r="R1491">
        <f>ROUND(INDEX(Catalogue!F$4:F$85,MATCH(A1491,Catalogue!A$4:A$85,0))*(1+Paramètres!$B$4*(C1491-1)+Paramètres!$B$5*(C1491-1)^2),0)</f>
        <v>0</v>
      </c>
      <c r="S1491">
        <f t="shared" si="188"/>
        <v>0</v>
      </c>
      <c r="T1491" t="str">
        <f t="shared" si="189"/>
        <v>OK</v>
      </c>
      <c r="U1491" s="25">
        <f t="shared" si="190"/>
        <v>0</v>
      </c>
      <c r="V1491" t="str">
        <f t="shared" si="191"/>
        <v>OK</v>
      </c>
    </row>
    <row r="1492" spans="1:22" ht="18" customHeight="1">
      <c r="A1492" t="s">
        <v>344</v>
      </c>
      <c r="B1492" t="s">
        <v>345</v>
      </c>
      <c r="C1492">
        <v>9</v>
      </c>
      <c r="D1492" t="s">
        <v>333</v>
      </c>
      <c r="E1492" s="6">
        <f t="shared" si="184"/>
        <v>0</v>
      </c>
      <c r="F1492" s="6">
        <f t="shared" si="185"/>
        <v>0</v>
      </c>
      <c r="G1492" s="6">
        <f>ROUND(Catalogue!G78*SQRT((1+Paramètres!$B$4*(C1492-1)+Paramètres!$B$5*(C1492-1)^2)),0)</f>
        <v>9</v>
      </c>
      <c r="H1492" s="6">
        <f>ROUND(Catalogue!H78*SQRT((1+Paramètres!$B$4*(C1492-1)+Paramètres!$B$5*(C1492-1)^2)),0)</f>
        <v>0</v>
      </c>
      <c r="I1492" s="6">
        <v>0</v>
      </c>
      <c r="J1492" s="6">
        <v>0</v>
      </c>
      <c r="K1492" s="7">
        <v>2.9</v>
      </c>
      <c r="L1492" s="9">
        <f t="shared" si="186"/>
        <v>0</v>
      </c>
      <c r="M1492">
        <v>0</v>
      </c>
      <c r="N1492">
        <v>0</v>
      </c>
      <c r="O1492">
        <v>0</v>
      </c>
      <c r="P1492" s="13" t="str">
        <f t="shared" si="187"/>
        <v>—</v>
      </c>
      <c r="Q1492">
        <f>ROUND(INDEX(Catalogue!E$4:E$85,MATCH(A1492,Catalogue!A$4:A$85,0))*(1+Paramètres!$B$4*(C1492-1)+Paramètres!$B$5*(C1492-1)^2),0)</f>
        <v>0</v>
      </c>
      <c r="R1492">
        <f>ROUND(INDEX(Catalogue!F$4:F$85,MATCH(A1492,Catalogue!A$4:A$85,0))*(1+Paramètres!$B$4*(C1492-1)+Paramètres!$B$5*(C1492-1)^2),0)</f>
        <v>0</v>
      </c>
      <c r="S1492">
        <f t="shared" si="188"/>
        <v>0</v>
      </c>
      <c r="T1492" t="str">
        <f t="shared" si="189"/>
        <v>OK</v>
      </c>
      <c r="U1492" s="25">
        <f t="shared" si="190"/>
        <v>0</v>
      </c>
      <c r="V1492" t="str">
        <f t="shared" si="191"/>
        <v>OK</v>
      </c>
    </row>
    <row r="1493" spans="1:22" ht="18" customHeight="1">
      <c r="A1493" t="s">
        <v>344</v>
      </c>
      <c r="B1493" t="s">
        <v>345</v>
      </c>
      <c r="C1493">
        <v>10</v>
      </c>
      <c r="D1493" t="s">
        <v>333</v>
      </c>
      <c r="E1493" s="6">
        <f t="shared" si="184"/>
        <v>0</v>
      </c>
      <c r="F1493" s="6">
        <f t="shared" si="185"/>
        <v>0</v>
      </c>
      <c r="G1493" s="6">
        <f>ROUND(Catalogue!G78*SQRT((1+Paramètres!$B$4*(C1493-1)+Paramètres!$B$5*(C1493-1)^2)),0)</f>
        <v>9</v>
      </c>
      <c r="H1493" s="6">
        <f>ROUND(Catalogue!H78*SQRT((1+Paramètres!$B$4*(C1493-1)+Paramètres!$B$5*(C1493-1)^2)),0)</f>
        <v>0</v>
      </c>
      <c r="I1493" s="6">
        <v>0</v>
      </c>
      <c r="J1493" s="6">
        <v>0</v>
      </c>
      <c r="K1493" s="7">
        <v>2.9</v>
      </c>
      <c r="L1493" s="9">
        <f t="shared" si="186"/>
        <v>0</v>
      </c>
      <c r="M1493">
        <v>0</v>
      </c>
      <c r="N1493">
        <v>0</v>
      </c>
      <c r="O1493">
        <v>0</v>
      </c>
      <c r="P1493" s="13" t="str">
        <f t="shared" si="187"/>
        <v>—</v>
      </c>
      <c r="Q1493">
        <f>ROUND(INDEX(Catalogue!E$4:E$85,MATCH(A1493,Catalogue!A$4:A$85,0))*(1+Paramètres!$B$4*(C1493-1)+Paramètres!$B$5*(C1493-1)^2),0)</f>
        <v>0</v>
      </c>
      <c r="R1493">
        <f>ROUND(INDEX(Catalogue!F$4:F$85,MATCH(A1493,Catalogue!A$4:A$85,0))*(1+Paramètres!$B$4*(C1493-1)+Paramètres!$B$5*(C1493-1)^2),0)</f>
        <v>0</v>
      </c>
      <c r="S1493">
        <f t="shared" si="188"/>
        <v>0</v>
      </c>
      <c r="T1493" t="str">
        <f t="shared" si="189"/>
        <v>OK</v>
      </c>
      <c r="U1493" s="25">
        <f t="shared" si="190"/>
        <v>0</v>
      </c>
      <c r="V1493" t="str">
        <f t="shared" si="191"/>
        <v>OK</v>
      </c>
    </row>
    <row r="1494" spans="1:22" ht="18" customHeight="1">
      <c r="A1494" t="s">
        <v>344</v>
      </c>
      <c r="B1494" t="s">
        <v>345</v>
      </c>
      <c r="C1494">
        <v>11</v>
      </c>
      <c r="D1494" t="s">
        <v>333</v>
      </c>
      <c r="E1494" s="6">
        <f t="shared" si="184"/>
        <v>0</v>
      </c>
      <c r="F1494" s="6">
        <f t="shared" si="185"/>
        <v>0</v>
      </c>
      <c r="G1494" s="6">
        <f>ROUND(Catalogue!G78*SQRT((1+Paramètres!$B$4*(C1494-1)+Paramètres!$B$5*(C1494-1)^2)),0)</f>
        <v>10</v>
      </c>
      <c r="H1494" s="6">
        <f>ROUND(Catalogue!H78*SQRT((1+Paramètres!$B$4*(C1494-1)+Paramètres!$B$5*(C1494-1)^2)),0)</f>
        <v>0</v>
      </c>
      <c r="I1494" s="6">
        <v>0</v>
      </c>
      <c r="J1494" s="6">
        <v>0</v>
      </c>
      <c r="K1494" s="7">
        <v>2.9</v>
      </c>
      <c r="L1494" s="9">
        <f t="shared" si="186"/>
        <v>0</v>
      </c>
      <c r="M1494">
        <v>0</v>
      </c>
      <c r="N1494">
        <v>0</v>
      </c>
      <c r="O1494">
        <v>0</v>
      </c>
      <c r="P1494" s="13" t="str">
        <f t="shared" si="187"/>
        <v>—</v>
      </c>
      <c r="Q1494">
        <f>ROUND(INDEX(Catalogue!E$4:E$85,MATCH(A1494,Catalogue!A$4:A$85,0))*(1+Paramètres!$B$4*(C1494-1)+Paramètres!$B$5*(C1494-1)^2),0)</f>
        <v>0</v>
      </c>
      <c r="R1494">
        <f>ROUND(INDEX(Catalogue!F$4:F$85,MATCH(A1494,Catalogue!A$4:A$85,0))*(1+Paramètres!$B$4*(C1494-1)+Paramètres!$B$5*(C1494-1)^2),0)</f>
        <v>0</v>
      </c>
      <c r="S1494">
        <f t="shared" si="188"/>
        <v>0</v>
      </c>
      <c r="T1494" t="str">
        <f t="shared" si="189"/>
        <v>OK</v>
      </c>
      <c r="U1494" s="25">
        <f t="shared" si="190"/>
        <v>0</v>
      </c>
      <c r="V1494" t="str">
        <f t="shared" si="191"/>
        <v>OK</v>
      </c>
    </row>
    <row r="1495" spans="1:22" ht="18" customHeight="1">
      <c r="A1495" t="s">
        <v>344</v>
      </c>
      <c r="B1495" t="s">
        <v>345</v>
      </c>
      <c r="C1495">
        <v>12</v>
      </c>
      <c r="D1495" t="s">
        <v>333</v>
      </c>
      <c r="E1495" s="6">
        <f t="shared" si="184"/>
        <v>0</v>
      </c>
      <c r="F1495" s="6">
        <f t="shared" si="185"/>
        <v>0</v>
      </c>
      <c r="G1495" s="6">
        <f>ROUND(Catalogue!G78*SQRT((1+Paramètres!$B$4*(C1495-1)+Paramètres!$B$5*(C1495-1)^2)),0)</f>
        <v>10</v>
      </c>
      <c r="H1495" s="6">
        <f>ROUND(Catalogue!H78*SQRT((1+Paramètres!$B$4*(C1495-1)+Paramètres!$B$5*(C1495-1)^2)),0)</f>
        <v>0</v>
      </c>
      <c r="I1495" s="6">
        <v>0</v>
      </c>
      <c r="J1495" s="6">
        <v>0</v>
      </c>
      <c r="K1495" s="7">
        <v>2.9</v>
      </c>
      <c r="L1495" s="9">
        <f t="shared" si="186"/>
        <v>0</v>
      </c>
      <c r="M1495">
        <v>0</v>
      </c>
      <c r="N1495">
        <v>0</v>
      </c>
      <c r="O1495">
        <v>0</v>
      </c>
      <c r="P1495" s="13" t="str">
        <f t="shared" si="187"/>
        <v>—</v>
      </c>
      <c r="Q1495">
        <f>ROUND(INDEX(Catalogue!E$4:E$85,MATCH(A1495,Catalogue!A$4:A$85,0))*(1+Paramètres!$B$4*(C1495-1)+Paramètres!$B$5*(C1495-1)^2),0)</f>
        <v>0</v>
      </c>
      <c r="R1495">
        <f>ROUND(INDEX(Catalogue!F$4:F$85,MATCH(A1495,Catalogue!A$4:A$85,0))*(1+Paramètres!$B$4*(C1495-1)+Paramètres!$B$5*(C1495-1)^2),0)</f>
        <v>0</v>
      </c>
      <c r="S1495">
        <f t="shared" si="188"/>
        <v>0</v>
      </c>
      <c r="T1495" t="str">
        <f t="shared" si="189"/>
        <v>OK</v>
      </c>
      <c r="U1495" s="25">
        <f t="shared" si="190"/>
        <v>0</v>
      </c>
      <c r="V1495" t="str">
        <f t="shared" si="191"/>
        <v>OK</v>
      </c>
    </row>
    <row r="1496" spans="1:22" ht="18" customHeight="1">
      <c r="A1496" t="s">
        <v>344</v>
      </c>
      <c r="B1496" t="s">
        <v>345</v>
      </c>
      <c r="C1496">
        <v>13</v>
      </c>
      <c r="D1496" t="s">
        <v>333</v>
      </c>
      <c r="E1496" s="6">
        <f t="shared" si="184"/>
        <v>0</v>
      </c>
      <c r="F1496" s="6">
        <f t="shared" si="185"/>
        <v>0</v>
      </c>
      <c r="G1496" s="6">
        <f>ROUND(Catalogue!G78*SQRT((1+Paramètres!$B$4*(C1496-1)+Paramètres!$B$5*(C1496-1)^2)),0)</f>
        <v>11</v>
      </c>
      <c r="H1496" s="6">
        <f>ROUND(Catalogue!H78*SQRT((1+Paramètres!$B$4*(C1496-1)+Paramètres!$B$5*(C1496-1)^2)),0)</f>
        <v>0</v>
      </c>
      <c r="I1496" s="6">
        <v>0</v>
      </c>
      <c r="J1496" s="6">
        <v>0</v>
      </c>
      <c r="K1496" s="7">
        <v>2.9</v>
      </c>
      <c r="L1496" s="9">
        <f t="shared" si="186"/>
        <v>0</v>
      </c>
      <c r="M1496">
        <v>0</v>
      </c>
      <c r="N1496">
        <v>0</v>
      </c>
      <c r="O1496">
        <v>0</v>
      </c>
      <c r="P1496" s="13" t="str">
        <f t="shared" si="187"/>
        <v>—</v>
      </c>
      <c r="Q1496">
        <f>ROUND(INDEX(Catalogue!E$4:E$85,MATCH(A1496,Catalogue!A$4:A$85,0))*(1+Paramètres!$B$4*(C1496-1)+Paramètres!$B$5*(C1496-1)^2),0)</f>
        <v>0</v>
      </c>
      <c r="R1496">
        <f>ROUND(INDEX(Catalogue!F$4:F$85,MATCH(A1496,Catalogue!A$4:A$85,0))*(1+Paramètres!$B$4*(C1496-1)+Paramètres!$B$5*(C1496-1)^2),0)</f>
        <v>0</v>
      </c>
      <c r="S1496">
        <f t="shared" si="188"/>
        <v>0</v>
      </c>
      <c r="T1496" t="str">
        <f t="shared" si="189"/>
        <v>OK</v>
      </c>
      <c r="U1496" s="25">
        <f t="shared" si="190"/>
        <v>0</v>
      </c>
      <c r="V1496" t="str">
        <f t="shared" si="191"/>
        <v>OK</v>
      </c>
    </row>
    <row r="1497" spans="1:22" ht="18" customHeight="1">
      <c r="A1497" t="s">
        <v>344</v>
      </c>
      <c r="B1497" t="s">
        <v>345</v>
      </c>
      <c r="C1497">
        <v>14</v>
      </c>
      <c r="D1497" t="s">
        <v>333</v>
      </c>
      <c r="E1497" s="6">
        <f t="shared" si="184"/>
        <v>0</v>
      </c>
      <c r="F1497" s="6">
        <f t="shared" si="185"/>
        <v>0</v>
      </c>
      <c r="G1497" s="6">
        <f>ROUND(Catalogue!G78*SQRT((1+Paramètres!$B$4*(C1497-1)+Paramètres!$B$5*(C1497-1)^2)),0)</f>
        <v>11</v>
      </c>
      <c r="H1497" s="6">
        <f>ROUND(Catalogue!H78*SQRT((1+Paramètres!$B$4*(C1497-1)+Paramètres!$B$5*(C1497-1)^2)),0)</f>
        <v>0</v>
      </c>
      <c r="I1497" s="6">
        <v>0</v>
      </c>
      <c r="J1497" s="6">
        <v>0</v>
      </c>
      <c r="K1497" s="7">
        <v>2.9</v>
      </c>
      <c r="L1497" s="9">
        <f t="shared" si="186"/>
        <v>0</v>
      </c>
      <c r="M1497">
        <v>0</v>
      </c>
      <c r="N1497">
        <v>0</v>
      </c>
      <c r="O1497">
        <v>0</v>
      </c>
      <c r="P1497" s="13" t="str">
        <f t="shared" si="187"/>
        <v>—</v>
      </c>
      <c r="Q1497">
        <f>ROUND(INDEX(Catalogue!E$4:E$85,MATCH(A1497,Catalogue!A$4:A$85,0))*(1+Paramètres!$B$4*(C1497-1)+Paramètres!$B$5*(C1497-1)^2),0)</f>
        <v>0</v>
      </c>
      <c r="R1497">
        <f>ROUND(INDEX(Catalogue!F$4:F$85,MATCH(A1497,Catalogue!A$4:A$85,0))*(1+Paramètres!$B$4*(C1497-1)+Paramètres!$B$5*(C1497-1)^2),0)</f>
        <v>0</v>
      </c>
      <c r="S1497">
        <f t="shared" si="188"/>
        <v>0</v>
      </c>
      <c r="T1497" t="str">
        <f t="shared" si="189"/>
        <v>OK</v>
      </c>
      <c r="U1497" s="25">
        <f t="shared" si="190"/>
        <v>0</v>
      </c>
      <c r="V1497" t="str">
        <f t="shared" si="191"/>
        <v>OK</v>
      </c>
    </row>
    <row r="1498" spans="1:22" ht="18" customHeight="1">
      <c r="A1498" t="s">
        <v>344</v>
      </c>
      <c r="B1498" t="s">
        <v>345</v>
      </c>
      <c r="C1498">
        <v>15</v>
      </c>
      <c r="D1498" t="s">
        <v>333</v>
      </c>
      <c r="E1498" s="6">
        <f t="shared" si="184"/>
        <v>0</v>
      </c>
      <c r="F1498" s="6">
        <f t="shared" si="185"/>
        <v>0</v>
      </c>
      <c r="G1498" s="6">
        <f>ROUND(Catalogue!G78*SQRT((1+Paramètres!$B$4*(C1498-1)+Paramètres!$B$5*(C1498-1)^2)),0)</f>
        <v>12</v>
      </c>
      <c r="H1498" s="6">
        <f>ROUND(Catalogue!H78*SQRT((1+Paramètres!$B$4*(C1498-1)+Paramètres!$B$5*(C1498-1)^2)),0)</f>
        <v>0</v>
      </c>
      <c r="I1498" s="6">
        <v>0</v>
      </c>
      <c r="J1498" s="6">
        <v>0</v>
      </c>
      <c r="K1498" s="7">
        <v>2.9</v>
      </c>
      <c r="L1498" s="9">
        <f t="shared" si="186"/>
        <v>0</v>
      </c>
      <c r="M1498">
        <v>0</v>
      </c>
      <c r="N1498">
        <v>0</v>
      </c>
      <c r="O1498">
        <v>0</v>
      </c>
      <c r="P1498" s="13" t="str">
        <f t="shared" si="187"/>
        <v>—</v>
      </c>
      <c r="Q1498">
        <f>ROUND(INDEX(Catalogue!E$4:E$85,MATCH(A1498,Catalogue!A$4:A$85,0))*(1+Paramètres!$B$4*(C1498-1)+Paramètres!$B$5*(C1498-1)^2),0)</f>
        <v>0</v>
      </c>
      <c r="R1498">
        <f>ROUND(INDEX(Catalogue!F$4:F$85,MATCH(A1498,Catalogue!A$4:A$85,0))*(1+Paramètres!$B$4*(C1498-1)+Paramètres!$B$5*(C1498-1)^2),0)</f>
        <v>0</v>
      </c>
      <c r="S1498">
        <f t="shared" si="188"/>
        <v>0</v>
      </c>
      <c r="T1498" t="str">
        <f t="shared" si="189"/>
        <v>OK</v>
      </c>
      <c r="U1498" s="25">
        <f t="shared" si="190"/>
        <v>0</v>
      </c>
      <c r="V1498" t="str">
        <f t="shared" si="191"/>
        <v>OK</v>
      </c>
    </row>
    <row r="1499" spans="1:22" ht="18" customHeight="1">
      <c r="A1499" t="s">
        <v>344</v>
      </c>
      <c r="B1499" t="s">
        <v>345</v>
      </c>
      <c r="C1499">
        <v>16</v>
      </c>
      <c r="D1499" t="s">
        <v>333</v>
      </c>
      <c r="E1499" s="6">
        <f t="shared" si="184"/>
        <v>0</v>
      </c>
      <c r="F1499" s="6">
        <f t="shared" si="185"/>
        <v>0</v>
      </c>
      <c r="G1499" s="6">
        <f>ROUND(Catalogue!G78*SQRT((1+Paramètres!$B$4*(C1499-1)+Paramètres!$B$5*(C1499-1)^2)),0)</f>
        <v>13</v>
      </c>
      <c r="H1499" s="6">
        <f>ROUND(Catalogue!H78*SQRT((1+Paramètres!$B$4*(C1499-1)+Paramètres!$B$5*(C1499-1)^2)),0)</f>
        <v>0</v>
      </c>
      <c r="I1499" s="6">
        <v>0</v>
      </c>
      <c r="J1499" s="6">
        <v>0</v>
      </c>
      <c r="K1499" s="7">
        <v>2.9</v>
      </c>
      <c r="L1499" s="9">
        <f t="shared" si="186"/>
        <v>0</v>
      </c>
      <c r="M1499">
        <v>0</v>
      </c>
      <c r="N1499">
        <v>0</v>
      </c>
      <c r="O1499">
        <v>0</v>
      </c>
      <c r="P1499" s="13" t="str">
        <f t="shared" si="187"/>
        <v>—</v>
      </c>
      <c r="Q1499">
        <f>ROUND(INDEX(Catalogue!E$4:E$85,MATCH(A1499,Catalogue!A$4:A$85,0))*(1+Paramètres!$B$4*(C1499-1)+Paramètres!$B$5*(C1499-1)^2),0)</f>
        <v>0</v>
      </c>
      <c r="R1499">
        <f>ROUND(INDEX(Catalogue!F$4:F$85,MATCH(A1499,Catalogue!A$4:A$85,0))*(1+Paramètres!$B$4*(C1499-1)+Paramètres!$B$5*(C1499-1)^2),0)</f>
        <v>0</v>
      </c>
      <c r="S1499">
        <f t="shared" si="188"/>
        <v>0</v>
      </c>
      <c r="T1499" t="str">
        <f t="shared" si="189"/>
        <v>OK</v>
      </c>
      <c r="U1499" s="25">
        <f t="shared" si="190"/>
        <v>0</v>
      </c>
      <c r="V1499" t="str">
        <f t="shared" si="191"/>
        <v>OK</v>
      </c>
    </row>
    <row r="1500" spans="1:22" ht="18" customHeight="1">
      <c r="A1500" t="s">
        <v>344</v>
      </c>
      <c r="B1500" t="s">
        <v>345</v>
      </c>
      <c r="C1500">
        <v>17</v>
      </c>
      <c r="D1500" t="s">
        <v>333</v>
      </c>
      <c r="E1500" s="6">
        <f t="shared" si="184"/>
        <v>0</v>
      </c>
      <c r="F1500" s="6">
        <f t="shared" si="185"/>
        <v>0</v>
      </c>
      <c r="G1500" s="6">
        <f>ROUND(Catalogue!G78*SQRT((1+Paramètres!$B$4*(C1500-1)+Paramètres!$B$5*(C1500-1)^2)),0)</f>
        <v>13</v>
      </c>
      <c r="H1500" s="6">
        <f>ROUND(Catalogue!H78*SQRT((1+Paramètres!$B$4*(C1500-1)+Paramètres!$B$5*(C1500-1)^2)),0)</f>
        <v>0</v>
      </c>
      <c r="I1500" s="6">
        <v>0</v>
      </c>
      <c r="J1500" s="6">
        <v>0</v>
      </c>
      <c r="K1500" s="7">
        <v>2.9</v>
      </c>
      <c r="L1500" s="9">
        <f t="shared" si="186"/>
        <v>0</v>
      </c>
      <c r="M1500">
        <v>0</v>
      </c>
      <c r="N1500">
        <v>0</v>
      </c>
      <c r="O1500">
        <v>0</v>
      </c>
      <c r="P1500" s="13" t="str">
        <f t="shared" si="187"/>
        <v>—</v>
      </c>
      <c r="Q1500">
        <f>ROUND(INDEX(Catalogue!E$4:E$85,MATCH(A1500,Catalogue!A$4:A$85,0))*(1+Paramètres!$B$4*(C1500-1)+Paramètres!$B$5*(C1500-1)^2),0)</f>
        <v>0</v>
      </c>
      <c r="R1500">
        <f>ROUND(INDEX(Catalogue!F$4:F$85,MATCH(A1500,Catalogue!A$4:A$85,0))*(1+Paramètres!$B$4*(C1500-1)+Paramètres!$B$5*(C1500-1)^2),0)</f>
        <v>0</v>
      </c>
      <c r="S1500">
        <f t="shared" si="188"/>
        <v>0</v>
      </c>
      <c r="T1500" t="str">
        <f t="shared" si="189"/>
        <v>OK</v>
      </c>
      <c r="U1500" s="25">
        <f t="shared" si="190"/>
        <v>0</v>
      </c>
      <c r="V1500" t="str">
        <f t="shared" si="191"/>
        <v>OK</v>
      </c>
    </row>
    <row r="1501" spans="1:22" ht="18" customHeight="1">
      <c r="A1501" t="s">
        <v>344</v>
      </c>
      <c r="B1501" t="s">
        <v>345</v>
      </c>
      <c r="C1501">
        <v>18</v>
      </c>
      <c r="D1501" t="s">
        <v>333</v>
      </c>
      <c r="E1501" s="6">
        <f t="shared" si="184"/>
        <v>0</v>
      </c>
      <c r="F1501" s="6">
        <f t="shared" si="185"/>
        <v>0</v>
      </c>
      <c r="G1501" s="6">
        <f>ROUND(Catalogue!G78*SQRT((1+Paramètres!$B$4*(C1501-1)+Paramètres!$B$5*(C1501-1)^2)),0)</f>
        <v>14</v>
      </c>
      <c r="H1501" s="6">
        <f>ROUND(Catalogue!H78*SQRT((1+Paramètres!$B$4*(C1501-1)+Paramètres!$B$5*(C1501-1)^2)),0)</f>
        <v>0</v>
      </c>
      <c r="I1501" s="6">
        <v>0</v>
      </c>
      <c r="J1501" s="6">
        <v>0</v>
      </c>
      <c r="K1501" s="7">
        <v>2.9</v>
      </c>
      <c r="L1501" s="9">
        <f t="shared" si="186"/>
        <v>0</v>
      </c>
      <c r="M1501">
        <v>0</v>
      </c>
      <c r="N1501">
        <v>0</v>
      </c>
      <c r="O1501">
        <v>0</v>
      </c>
      <c r="P1501" s="13" t="str">
        <f t="shared" si="187"/>
        <v>—</v>
      </c>
      <c r="Q1501">
        <f>ROUND(INDEX(Catalogue!E$4:E$85,MATCH(A1501,Catalogue!A$4:A$85,0))*(1+Paramètres!$B$4*(C1501-1)+Paramètres!$B$5*(C1501-1)^2),0)</f>
        <v>0</v>
      </c>
      <c r="R1501">
        <f>ROUND(INDEX(Catalogue!F$4:F$85,MATCH(A1501,Catalogue!A$4:A$85,0))*(1+Paramètres!$B$4*(C1501-1)+Paramètres!$B$5*(C1501-1)^2),0)</f>
        <v>0</v>
      </c>
      <c r="S1501">
        <f t="shared" si="188"/>
        <v>0</v>
      </c>
      <c r="T1501" t="str">
        <f t="shared" si="189"/>
        <v>OK</v>
      </c>
      <c r="U1501" s="25">
        <f t="shared" si="190"/>
        <v>0</v>
      </c>
      <c r="V1501" t="str">
        <f t="shared" si="191"/>
        <v>OK</v>
      </c>
    </row>
    <row r="1502" spans="1:22" ht="18" customHeight="1">
      <c r="A1502" t="s">
        <v>344</v>
      </c>
      <c r="B1502" t="s">
        <v>345</v>
      </c>
      <c r="C1502">
        <v>19</v>
      </c>
      <c r="D1502" t="s">
        <v>333</v>
      </c>
      <c r="E1502" s="6">
        <f t="shared" si="184"/>
        <v>0</v>
      </c>
      <c r="F1502" s="6">
        <f t="shared" si="185"/>
        <v>0</v>
      </c>
      <c r="G1502" s="6">
        <f>ROUND(Catalogue!G78*SQRT((1+Paramètres!$B$4*(C1502-1)+Paramètres!$B$5*(C1502-1)^2)),0)</f>
        <v>14</v>
      </c>
      <c r="H1502" s="6">
        <f>ROUND(Catalogue!H78*SQRT((1+Paramètres!$B$4*(C1502-1)+Paramètres!$B$5*(C1502-1)^2)),0)</f>
        <v>0</v>
      </c>
      <c r="I1502" s="6">
        <v>0</v>
      </c>
      <c r="J1502" s="6">
        <v>0</v>
      </c>
      <c r="K1502" s="7">
        <v>2.9</v>
      </c>
      <c r="L1502" s="9">
        <f t="shared" si="186"/>
        <v>0</v>
      </c>
      <c r="M1502">
        <v>0</v>
      </c>
      <c r="N1502">
        <v>0</v>
      </c>
      <c r="O1502">
        <v>0</v>
      </c>
      <c r="P1502" s="13" t="str">
        <f t="shared" si="187"/>
        <v>—</v>
      </c>
      <c r="Q1502">
        <f>ROUND(INDEX(Catalogue!E$4:E$85,MATCH(A1502,Catalogue!A$4:A$85,0))*(1+Paramètres!$B$4*(C1502-1)+Paramètres!$B$5*(C1502-1)^2),0)</f>
        <v>0</v>
      </c>
      <c r="R1502">
        <f>ROUND(INDEX(Catalogue!F$4:F$85,MATCH(A1502,Catalogue!A$4:A$85,0))*(1+Paramètres!$B$4*(C1502-1)+Paramètres!$B$5*(C1502-1)^2),0)</f>
        <v>0</v>
      </c>
      <c r="S1502">
        <f t="shared" si="188"/>
        <v>0</v>
      </c>
      <c r="T1502" t="str">
        <f t="shared" si="189"/>
        <v>OK</v>
      </c>
      <c r="U1502" s="25">
        <f t="shared" si="190"/>
        <v>0</v>
      </c>
      <c r="V1502" t="str">
        <f t="shared" si="191"/>
        <v>OK</v>
      </c>
    </row>
    <row r="1503" spans="1:22" ht="18" customHeight="1">
      <c r="A1503" t="s">
        <v>344</v>
      </c>
      <c r="B1503" t="s">
        <v>345</v>
      </c>
      <c r="C1503">
        <v>20</v>
      </c>
      <c r="D1503" t="s">
        <v>333</v>
      </c>
      <c r="E1503" s="6">
        <f t="shared" si="184"/>
        <v>0</v>
      </c>
      <c r="F1503" s="6">
        <f t="shared" si="185"/>
        <v>0</v>
      </c>
      <c r="G1503" s="6">
        <f>ROUND(Catalogue!G78*SQRT((1+Paramètres!$B$4*(C1503-1)+Paramètres!$B$5*(C1503-1)^2)),0)</f>
        <v>15</v>
      </c>
      <c r="H1503" s="6">
        <f>ROUND(Catalogue!H78*SQRT((1+Paramètres!$B$4*(C1503-1)+Paramètres!$B$5*(C1503-1)^2)),0)</f>
        <v>0</v>
      </c>
      <c r="I1503" s="6">
        <v>0</v>
      </c>
      <c r="J1503" s="6">
        <v>0</v>
      </c>
      <c r="K1503" s="7">
        <v>2.9</v>
      </c>
      <c r="L1503" s="9">
        <f t="shared" si="186"/>
        <v>0</v>
      </c>
      <c r="M1503">
        <v>0</v>
      </c>
      <c r="N1503">
        <v>0</v>
      </c>
      <c r="O1503">
        <v>0</v>
      </c>
      <c r="P1503" s="13" t="str">
        <f t="shared" si="187"/>
        <v>—</v>
      </c>
      <c r="Q1503">
        <f>ROUND(INDEX(Catalogue!E$4:E$85,MATCH(A1503,Catalogue!A$4:A$85,0))*(1+Paramètres!$B$4*(C1503-1)+Paramètres!$B$5*(C1503-1)^2),0)</f>
        <v>0</v>
      </c>
      <c r="R1503">
        <f>ROUND(INDEX(Catalogue!F$4:F$85,MATCH(A1503,Catalogue!A$4:A$85,0))*(1+Paramètres!$B$4*(C1503-1)+Paramètres!$B$5*(C1503-1)^2),0)</f>
        <v>0</v>
      </c>
      <c r="S1503">
        <f t="shared" si="188"/>
        <v>0</v>
      </c>
      <c r="T1503" t="str">
        <f t="shared" si="189"/>
        <v>OK</v>
      </c>
      <c r="U1503" s="25">
        <f t="shared" si="190"/>
        <v>0</v>
      </c>
      <c r="V1503" t="str">
        <f t="shared" si="191"/>
        <v>OK</v>
      </c>
    </row>
    <row r="1504" spans="1:22" ht="18" customHeight="1">
      <c r="A1504" t="s">
        <v>347</v>
      </c>
      <c r="B1504" t="s">
        <v>348</v>
      </c>
      <c r="C1504">
        <v>1</v>
      </c>
      <c r="D1504" t="s">
        <v>333</v>
      </c>
      <c r="E1504" s="6">
        <f t="shared" si="184"/>
        <v>0</v>
      </c>
      <c r="F1504" s="6">
        <f t="shared" si="185"/>
        <v>0</v>
      </c>
      <c r="G1504" s="6">
        <f>ROUND(Catalogue!G79*SQRT((1+Paramètres!$B$4*(C1504-1)+Paramètres!$B$5*(C1504-1)^2)),0)</f>
        <v>6</v>
      </c>
      <c r="H1504" s="6">
        <f>ROUND(Catalogue!H79*SQRT((1+Paramètres!$B$4*(C1504-1)+Paramètres!$B$5*(C1504-1)^2)),0)</f>
        <v>0</v>
      </c>
      <c r="I1504" s="6">
        <v>0</v>
      </c>
      <c r="J1504" s="6">
        <v>0</v>
      </c>
      <c r="K1504" s="7">
        <v>3.4</v>
      </c>
      <c r="L1504" s="9">
        <f t="shared" si="186"/>
        <v>0</v>
      </c>
      <c r="M1504">
        <v>0</v>
      </c>
      <c r="N1504">
        <v>0</v>
      </c>
      <c r="O1504">
        <v>0</v>
      </c>
      <c r="P1504" s="13" t="str">
        <f t="shared" si="187"/>
        <v>—</v>
      </c>
      <c r="Q1504">
        <f>ROUND(INDEX(Catalogue!E$4:E$85,MATCH(A1504,Catalogue!A$4:A$85,0))*(1+Paramètres!$B$4*(C1504-1)+Paramètres!$B$5*(C1504-1)^2),0)</f>
        <v>0</v>
      </c>
      <c r="R1504">
        <f>ROUND(INDEX(Catalogue!F$4:F$85,MATCH(A1504,Catalogue!A$4:A$85,0))*(1+Paramètres!$B$4*(C1504-1)+Paramètres!$B$5*(C1504-1)^2),0)</f>
        <v>0</v>
      </c>
      <c r="S1504">
        <f t="shared" si="188"/>
        <v>0</v>
      </c>
      <c r="T1504" t="str">
        <f t="shared" si="189"/>
        <v>OK</v>
      </c>
      <c r="U1504" s="25">
        <f t="shared" si="190"/>
        <v>0</v>
      </c>
      <c r="V1504" t="str">
        <f t="shared" si="191"/>
        <v>OK</v>
      </c>
    </row>
    <row r="1505" spans="1:22" ht="18" customHeight="1">
      <c r="A1505" t="s">
        <v>347</v>
      </c>
      <c r="B1505" t="s">
        <v>348</v>
      </c>
      <c r="C1505">
        <v>2</v>
      </c>
      <c r="D1505" t="s">
        <v>333</v>
      </c>
      <c r="E1505" s="6">
        <f t="shared" si="184"/>
        <v>0</v>
      </c>
      <c r="F1505" s="6">
        <f t="shared" si="185"/>
        <v>0</v>
      </c>
      <c r="G1505" s="6">
        <f>ROUND(Catalogue!G79*SQRT((1+Paramètres!$B$4*(C1505-1)+Paramètres!$B$5*(C1505-1)^2)),0)</f>
        <v>6</v>
      </c>
      <c r="H1505" s="6">
        <f>ROUND(Catalogue!H79*SQRT((1+Paramètres!$B$4*(C1505-1)+Paramètres!$B$5*(C1505-1)^2)),0)</f>
        <v>0</v>
      </c>
      <c r="I1505" s="6">
        <v>0</v>
      </c>
      <c r="J1505" s="6">
        <v>0</v>
      </c>
      <c r="K1505" s="7">
        <v>3.4</v>
      </c>
      <c r="L1505" s="9">
        <f t="shared" si="186"/>
        <v>0</v>
      </c>
      <c r="M1505">
        <v>0</v>
      </c>
      <c r="N1505">
        <v>0</v>
      </c>
      <c r="O1505">
        <v>0</v>
      </c>
      <c r="P1505" s="13" t="str">
        <f t="shared" si="187"/>
        <v>—</v>
      </c>
      <c r="Q1505">
        <f>ROUND(INDEX(Catalogue!E$4:E$85,MATCH(A1505,Catalogue!A$4:A$85,0))*(1+Paramètres!$B$4*(C1505-1)+Paramètres!$B$5*(C1505-1)^2),0)</f>
        <v>0</v>
      </c>
      <c r="R1505">
        <f>ROUND(INDEX(Catalogue!F$4:F$85,MATCH(A1505,Catalogue!A$4:A$85,0))*(1+Paramètres!$B$4*(C1505-1)+Paramètres!$B$5*(C1505-1)^2),0)</f>
        <v>0</v>
      </c>
      <c r="S1505">
        <f t="shared" si="188"/>
        <v>0</v>
      </c>
      <c r="T1505" t="str">
        <f t="shared" si="189"/>
        <v>OK</v>
      </c>
      <c r="U1505" s="25">
        <f t="shared" si="190"/>
        <v>0</v>
      </c>
      <c r="V1505" t="str">
        <f t="shared" si="191"/>
        <v>OK</v>
      </c>
    </row>
    <row r="1506" spans="1:22" ht="18" customHeight="1">
      <c r="A1506" t="s">
        <v>347</v>
      </c>
      <c r="B1506" t="s">
        <v>348</v>
      </c>
      <c r="C1506">
        <v>3</v>
      </c>
      <c r="D1506" t="s">
        <v>333</v>
      </c>
      <c r="E1506" s="6">
        <f t="shared" si="184"/>
        <v>0</v>
      </c>
      <c r="F1506" s="6">
        <f t="shared" si="185"/>
        <v>0</v>
      </c>
      <c r="G1506" s="6">
        <f>ROUND(Catalogue!G79*SQRT((1+Paramètres!$B$4*(C1506-1)+Paramètres!$B$5*(C1506-1)^2)),0)</f>
        <v>7</v>
      </c>
      <c r="H1506" s="6">
        <f>ROUND(Catalogue!H79*SQRT((1+Paramètres!$B$4*(C1506-1)+Paramètres!$B$5*(C1506-1)^2)),0)</f>
        <v>0</v>
      </c>
      <c r="I1506" s="6">
        <v>0</v>
      </c>
      <c r="J1506" s="6">
        <v>0</v>
      </c>
      <c r="K1506" s="7">
        <v>3.4</v>
      </c>
      <c r="L1506" s="9">
        <f t="shared" si="186"/>
        <v>0</v>
      </c>
      <c r="M1506">
        <v>0</v>
      </c>
      <c r="N1506">
        <v>0</v>
      </c>
      <c r="O1506">
        <v>0</v>
      </c>
      <c r="P1506" s="13" t="str">
        <f t="shared" si="187"/>
        <v>—</v>
      </c>
      <c r="Q1506">
        <f>ROUND(INDEX(Catalogue!E$4:E$85,MATCH(A1506,Catalogue!A$4:A$85,0))*(1+Paramètres!$B$4*(C1506-1)+Paramètres!$B$5*(C1506-1)^2),0)</f>
        <v>0</v>
      </c>
      <c r="R1506">
        <f>ROUND(INDEX(Catalogue!F$4:F$85,MATCH(A1506,Catalogue!A$4:A$85,0))*(1+Paramètres!$B$4*(C1506-1)+Paramètres!$B$5*(C1506-1)^2),0)</f>
        <v>0</v>
      </c>
      <c r="S1506">
        <f t="shared" si="188"/>
        <v>0</v>
      </c>
      <c r="T1506" t="str">
        <f t="shared" si="189"/>
        <v>OK</v>
      </c>
      <c r="U1506" s="25">
        <f t="shared" si="190"/>
        <v>0</v>
      </c>
      <c r="V1506" t="str">
        <f t="shared" si="191"/>
        <v>OK</v>
      </c>
    </row>
    <row r="1507" spans="1:22" ht="18" customHeight="1">
      <c r="A1507" t="s">
        <v>347</v>
      </c>
      <c r="B1507" t="s">
        <v>348</v>
      </c>
      <c r="C1507">
        <v>4</v>
      </c>
      <c r="D1507" t="s">
        <v>333</v>
      </c>
      <c r="E1507" s="6">
        <f t="shared" si="184"/>
        <v>0</v>
      </c>
      <c r="F1507" s="6">
        <f t="shared" si="185"/>
        <v>0</v>
      </c>
      <c r="G1507" s="6">
        <f>ROUND(Catalogue!G79*SQRT((1+Paramètres!$B$4*(C1507-1)+Paramètres!$B$5*(C1507-1)^2)),0)</f>
        <v>7</v>
      </c>
      <c r="H1507" s="6">
        <f>ROUND(Catalogue!H79*SQRT((1+Paramètres!$B$4*(C1507-1)+Paramètres!$B$5*(C1507-1)^2)),0)</f>
        <v>0</v>
      </c>
      <c r="I1507" s="6">
        <v>0</v>
      </c>
      <c r="J1507" s="6">
        <v>0</v>
      </c>
      <c r="K1507" s="7">
        <v>3.4</v>
      </c>
      <c r="L1507" s="9">
        <f t="shared" si="186"/>
        <v>0</v>
      </c>
      <c r="M1507">
        <v>0</v>
      </c>
      <c r="N1507">
        <v>0</v>
      </c>
      <c r="O1507">
        <v>0</v>
      </c>
      <c r="P1507" s="13" t="str">
        <f t="shared" si="187"/>
        <v>—</v>
      </c>
      <c r="Q1507">
        <f>ROUND(INDEX(Catalogue!E$4:E$85,MATCH(A1507,Catalogue!A$4:A$85,0))*(1+Paramètres!$B$4*(C1507-1)+Paramètres!$B$5*(C1507-1)^2),0)</f>
        <v>0</v>
      </c>
      <c r="R1507">
        <f>ROUND(INDEX(Catalogue!F$4:F$85,MATCH(A1507,Catalogue!A$4:A$85,0))*(1+Paramètres!$B$4*(C1507-1)+Paramètres!$B$5*(C1507-1)^2),0)</f>
        <v>0</v>
      </c>
      <c r="S1507">
        <f t="shared" si="188"/>
        <v>0</v>
      </c>
      <c r="T1507" t="str">
        <f t="shared" si="189"/>
        <v>OK</v>
      </c>
      <c r="U1507" s="25">
        <f t="shared" si="190"/>
        <v>0</v>
      </c>
      <c r="V1507" t="str">
        <f t="shared" si="191"/>
        <v>OK</v>
      </c>
    </row>
    <row r="1508" spans="1:22" ht="18" customHeight="1">
      <c r="A1508" t="s">
        <v>347</v>
      </c>
      <c r="B1508" t="s">
        <v>348</v>
      </c>
      <c r="C1508">
        <v>5</v>
      </c>
      <c r="D1508" t="s">
        <v>333</v>
      </c>
      <c r="E1508" s="6">
        <f t="shared" si="184"/>
        <v>0</v>
      </c>
      <c r="F1508" s="6">
        <f t="shared" si="185"/>
        <v>0</v>
      </c>
      <c r="G1508" s="6">
        <f>ROUND(Catalogue!G79*SQRT((1+Paramètres!$B$4*(C1508-1)+Paramètres!$B$5*(C1508-1)^2)),0)</f>
        <v>8</v>
      </c>
      <c r="H1508" s="6">
        <f>ROUND(Catalogue!H79*SQRT((1+Paramètres!$B$4*(C1508-1)+Paramètres!$B$5*(C1508-1)^2)),0)</f>
        <v>0</v>
      </c>
      <c r="I1508" s="6">
        <v>0</v>
      </c>
      <c r="J1508" s="6">
        <v>0</v>
      </c>
      <c r="K1508" s="7">
        <v>3.4</v>
      </c>
      <c r="L1508" s="9">
        <f t="shared" si="186"/>
        <v>0</v>
      </c>
      <c r="M1508">
        <v>0</v>
      </c>
      <c r="N1508">
        <v>0</v>
      </c>
      <c r="O1508">
        <v>0</v>
      </c>
      <c r="P1508" s="13" t="str">
        <f t="shared" si="187"/>
        <v>—</v>
      </c>
      <c r="Q1508">
        <f>ROUND(INDEX(Catalogue!E$4:E$85,MATCH(A1508,Catalogue!A$4:A$85,0))*(1+Paramètres!$B$4*(C1508-1)+Paramètres!$B$5*(C1508-1)^2),0)</f>
        <v>0</v>
      </c>
      <c r="R1508">
        <f>ROUND(INDEX(Catalogue!F$4:F$85,MATCH(A1508,Catalogue!A$4:A$85,0))*(1+Paramètres!$B$4*(C1508-1)+Paramètres!$B$5*(C1508-1)^2),0)</f>
        <v>0</v>
      </c>
      <c r="S1508">
        <f t="shared" si="188"/>
        <v>0</v>
      </c>
      <c r="T1508" t="str">
        <f t="shared" si="189"/>
        <v>OK</v>
      </c>
      <c r="U1508" s="25">
        <f t="shared" si="190"/>
        <v>0</v>
      </c>
      <c r="V1508" t="str">
        <f t="shared" si="191"/>
        <v>OK</v>
      </c>
    </row>
    <row r="1509" spans="1:22" ht="18" customHeight="1">
      <c r="A1509" t="s">
        <v>347</v>
      </c>
      <c r="B1509" t="s">
        <v>348</v>
      </c>
      <c r="C1509">
        <v>6</v>
      </c>
      <c r="D1509" t="s">
        <v>333</v>
      </c>
      <c r="E1509" s="6">
        <f t="shared" si="184"/>
        <v>0</v>
      </c>
      <c r="F1509" s="6">
        <f t="shared" si="185"/>
        <v>0</v>
      </c>
      <c r="G1509" s="6">
        <f>ROUND(Catalogue!G79*SQRT((1+Paramètres!$B$4*(C1509-1)+Paramètres!$B$5*(C1509-1)^2)),0)</f>
        <v>8</v>
      </c>
      <c r="H1509" s="6">
        <f>ROUND(Catalogue!H79*SQRT((1+Paramètres!$B$4*(C1509-1)+Paramètres!$B$5*(C1509-1)^2)),0)</f>
        <v>0</v>
      </c>
      <c r="I1509" s="6">
        <v>0</v>
      </c>
      <c r="J1509" s="6">
        <v>0</v>
      </c>
      <c r="K1509" s="7">
        <v>3.4</v>
      </c>
      <c r="L1509" s="9">
        <f t="shared" si="186"/>
        <v>0</v>
      </c>
      <c r="M1509">
        <v>0</v>
      </c>
      <c r="N1509">
        <v>0</v>
      </c>
      <c r="O1509">
        <v>0</v>
      </c>
      <c r="P1509" s="13" t="str">
        <f t="shared" si="187"/>
        <v>—</v>
      </c>
      <c r="Q1509">
        <f>ROUND(INDEX(Catalogue!E$4:E$85,MATCH(A1509,Catalogue!A$4:A$85,0))*(1+Paramètres!$B$4*(C1509-1)+Paramètres!$B$5*(C1509-1)^2),0)</f>
        <v>0</v>
      </c>
      <c r="R1509">
        <f>ROUND(INDEX(Catalogue!F$4:F$85,MATCH(A1509,Catalogue!A$4:A$85,0))*(1+Paramètres!$B$4*(C1509-1)+Paramètres!$B$5*(C1509-1)^2),0)</f>
        <v>0</v>
      </c>
      <c r="S1509">
        <f t="shared" si="188"/>
        <v>0</v>
      </c>
      <c r="T1509" t="str">
        <f t="shared" si="189"/>
        <v>OK</v>
      </c>
      <c r="U1509" s="25">
        <f t="shared" si="190"/>
        <v>0</v>
      </c>
      <c r="V1509" t="str">
        <f t="shared" si="191"/>
        <v>OK</v>
      </c>
    </row>
    <row r="1510" spans="1:22" ht="18" customHeight="1">
      <c r="A1510" t="s">
        <v>347</v>
      </c>
      <c r="B1510" t="s">
        <v>348</v>
      </c>
      <c r="C1510">
        <v>7</v>
      </c>
      <c r="D1510" t="s">
        <v>333</v>
      </c>
      <c r="E1510" s="6">
        <f t="shared" si="184"/>
        <v>0</v>
      </c>
      <c r="F1510" s="6">
        <f t="shared" si="185"/>
        <v>0</v>
      </c>
      <c r="G1510" s="6">
        <f>ROUND(Catalogue!G79*SQRT((1+Paramètres!$B$4*(C1510-1)+Paramètres!$B$5*(C1510-1)^2)),0)</f>
        <v>9</v>
      </c>
      <c r="H1510" s="6">
        <f>ROUND(Catalogue!H79*SQRT((1+Paramètres!$B$4*(C1510-1)+Paramètres!$B$5*(C1510-1)^2)),0)</f>
        <v>0</v>
      </c>
      <c r="I1510" s="6">
        <v>0</v>
      </c>
      <c r="J1510" s="6">
        <v>0</v>
      </c>
      <c r="K1510" s="7">
        <v>3.4</v>
      </c>
      <c r="L1510" s="9">
        <f t="shared" si="186"/>
        <v>0</v>
      </c>
      <c r="M1510">
        <v>0</v>
      </c>
      <c r="N1510">
        <v>0</v>
      </c>
      <c r="O1510">
        <v>0</v>
      </c>
      <c r="P1510" s="13" t="str">
        <f t="shared" si="187"/>
        <v>—</v>
      </c>
      <c r="Q1510">
        <f>ROUND(INDEX(Catalogue!E$4:E$85,MATCH(A1510,Catalogue!A$4:A$85,0))*(1+Paramètres!$B$4*(C1510-1)+Paramètres!$B$5*(C1510-1)^2),0)</f>
        <v>0</v>
      </c>
      <c r="R1510">
        <f>ROUND(INDEX(Catalogue!F$4:F$85,MATCH(A1510,Catalogue!A$4:A$85,0))*(1+Paramètres!$B$4*(C1510-1)+Paramètres!$B$5*(C1510-1)^2),0)</f>
        <v>0</v>
      </c>
      <c r="S1510">
        <f t="shared" si="188"/>
        <v>0</v>
      </c>
      <c r="T1510" t="str">
        <f t="shared" si="189"/>
        <v>OK</v>
      </c>
      <c r="U1510" s="25">
        <f t="shared" si="190"/>
        <v>0</v>
      </c>
      <c r="V1510" t="str">
        <f t="shared" si="191"/>
        <v>OK</v>
      </c>
    </row>
    <row r="1511" spans="1:22" ht="18" customHeight="1">
      <c r="A1511" t="s">
        <v>347</v>
      </c>
      <c r="B1511" t="s">
        <v>348</v>
      </c>
      <c r="C1511">
        <v>8</v>
      </c>
      <c r="D1511" t="s">
        <v>333</v>
      </c>
      <c r="E1511" s="6">
        <f t="shared" si="184"/>
        <v>0</v>
      </c>
      <c r="F1511" s="6">
        <f t="shared" si="185"/>
        <v>0</v>
      </c>
      <c r="G1511" s="6">
        <f>ROUND(Catalogue!G79*SQRT((1+Paramètres!$B$4*(C1511-1)+Paramètres!$B$5*(C1511-1)^2)),0)</f>
        <v>10</v>
      </c>
      <c r="H1511" s="6">
        <f>ROUND(Catalogue!H79*SQRT((1+Paramètres!$B$4*(C1511-1)+Paramètres!$B$5*(C1511-1)^2)),0)</f>
        <v>0</v>
      </c>
      <c r="I1511" s="6">
        <v>0</v>
      </c>
      <c r="J1511" s="6">
        <v>0</v>
      </c>
      <c r="K1511" s="7">
        <v>3.4</v>
      </c>
      <c r="L1511" s="9">
        <f t="shared" si="186"/>
        <v>0</v>
      </c>
      <c r="M1511">
        <v>0</v>
      </c>
      <c r="N1511">
        <v>0</v>
      </c>
      <c r="O1511">
        <v>0</v>
      </c>
      <c r="P1511" s="13" t="str">
        <f t="shared" si="187"/>
        <v>—</v>
      </c>
      <c r="Q1511">
        <f>ROUND(INDEX(Catalogue!E$4:E$85,MATCH(A1511,Catalogue!A$4:A$85,0))*(1+Paramètres!$B$4*(C1511-1)+Paramètres!$B$5*(C1511-1)^2),0)</f>
        <v>0</v>
      </c>
      <c r="R1511">
        <f>ROUND(INDEX(Catalogue!F$4:F$85,MATCH(A1511,Catalogue!A$4:A$85,0))*(1+Paramètres!$B$4*(C1511-1)+Paramètres!$B$5*(C1511-1)^2),0)</f>
        <v>0</v>
      </c>
      <c r="S1511">
        <f t="shared" si="188"/>
        <v>0</v>
      </c>
      <c r="T1511" t="str">
        <f t="shared" si="189"/>
        <v>OK</v>
      </c>
      <c r="U1511" s="25">
        <f t="shared" si="190"/>
        <v>0</v>
      </c>
      <c r="V1511" t="str">
        <f t="shared" si="191"/>
        <v>OK</v>
      </c>
    </row>
    <row r="1512" spans="1:22" ht="18" customHeight="1">
      <c r="A1512" t="s">
        <v>347</v>
      </c>
      <c r="B1512" t="s">
        <v>348</v>
      </c>
      <c r="C1512">
        <v>9</v>
      </c>
      <c r="D1512" t="s">
        <v>333</v>
      </c>
      <c r="E1512" s="6">
        <f t="shared" si="184"/>
        <v>0</v>
      </c>
      <c r="F1512" s="6">
        <f t="shared" si="185"/>
        <v>0</v>
      </c>
      <c r="G1512" s="6">
        <f>ROUND(Catalogue!G79*SQRT((1+Paramètres!$B$4*(C1512-1)+Paramètres!$B$5*(C1512-1)^2)),0)</f>
        <v>10</v>
      </c>
      <c r="H1512" s="6">
        <f>ROUND(Catalogue!H79*SQRT((1+Paramètres!$B$4*(C1512-1)+Paramètres!$B$5*(C1512-1)^2)),0)</f>
        <v>0</v>
      </c>
      <c r="I1512" s="6">
        <v>0</v>
      </c>
      <c r="J1512" s="6">
        <v>0</v>
      </c>
      <c r="K1512" s="7">
        <v>3.4</v>
      </c>
      <c r="L1512" s="9">
        <f t="shared" si="186"/>
        <v>0</v>
      </c>
      <c r="M1512">
        <v>0</v>
      </c>
      <c r="N1512">
        <v>0</v>
      </c>
      <c r="O1512">
        <v>0</v>
      </c>
      <c r="P1512" s="13" t="str">
        <f t="shared" si="187"/>
        <v>—</v>
      </c>
      <c r="Q1512">
        <f>ROUND(INDEX(Catalogue!E$4:E$85,MATCH(A1512,Catalogue!A$4:A$85,0))*(1+Paramètres!$B$4*(C1512-1)+Paramètres!$B$5*(C1512-1)^2),0)</f>
        <v>0</v>
      </c>
      <c r="R1512">
        <f>ROUND(INDEX(Catalogue!F$4:F$85,MATCH(A1512,Catalogue!A$4:A$85,0))*(1+Paramètres!$B$4*(C1512-1)+Paramètres!$B$5*(C1512-1)^2),0)</f>
        <v>0</v>
      </c>
      <c r="S1512">
        <f t="shared" si="188"/>
        <v>0</v>
      </c>
      <c r="T1512" t="str">
        <f t="shared" si="189"/>
        <v>OK</v>
      </c>
      <c r="U1512" s="25">
        <f t="shared" si="190"/>
        <v>0</v>
      </c>
      <c r="V1512" t="str">
        <f t="shared" si="191"/>
        <v>OK</v>
      </c>
    </row>
    <row r="1513" spans="1:22" ht="18" customHeight="1">
      <c r="A1513" t="s">
        <v>347</v>
      </c>
      <c r="B1513" t="s">
        <v>348</v>
      </c>
      <c r="C1513">
        <v>10</v>
      </c>
      <c r="D1513" t="s">
        <v>333</v>
      </c>
      <c r="E1513" s="6">
        <f t="shared" si="184"/>
        <v>0</v>
      </c>
      <c r="F1513" s="6">
        <f t="shared" si="185"/>
        <v>0</v>
      </c>
      <c r="G1513" s="6">
        <f>ROUND(Catalogue!G79*SQRT((1+Paramètres!$B$4*(C1513-1)+Paramètres!$B$5*(C1513-1)^2)),0)</f>
        <v>11</v>
      </c>
      <c r="H1513" s="6">
        <f>ROUND(Catalogue!H79*SQRT((1+Paramètres!$B$4*(C1513-1)+Paramètres!$B$5*(C1513-1)^2)),0)</f>
        <v>0</v>
      </c>
      <c r="I1513" s="6">
        <v>0</v>
      </c>
      <c r="J1513" s="6">
        <v>0</v>
      </c>
      <c r="K1513" s="7">
        <v>3.4</v>
      </c>
      <c r="L1513" s="9">
        <f t="shared" si="186"/>
        <v>0</v>
      </c>
      <c r="M1513">
        <v>0</v>
      </c>
      <c r="N1513">
        <v>0</v>
      </c>
      <c r="O1513">
        <v>0</v>
      </c>
      <c r="P1513" s="13" t="str">
        <f t="shared" si="187"/>
        <v>—</v>
      </c>
      <c r="Q1513">
        <f>ROUND(INDEX(Catalogue!E$4:E$85,MATCH(A1513,Catalogue!A$4:A$85,0))*(1+Paramètres!$B$4*(C1513-1)+Paramètres!$B$5*(C1513-1)^2),0)</f>
        <v>0</v>
      </c>
      <c r="R1513">
        <f>ROUND(INDEX(Catalogue!F$4:F$85,MATCH(A1513,Catalogue!A$4:A$85,0))*(1+Paramètres!$B$4*(C1513-1)+Paramètres!$B$5*(C1513-1)^2),0)</f>
        <v>0</v>
      </c>
      <c r="S1513">
        <f t="shared" si="188"/>
        <v>0</v>
      </c>
      <c r="T1513" t="str">
        <f t="shared" si="189"/>
        <v>OK</v>
      </c>
      <c r="U1513" s="25">
        <f t="shared" si="190"/>
        <v>0</v>
      </c>
      <c r="V1513" t="str">
        <f t="shared" si="191"/>
        <v>OK</v>
      </c>
    </row>
    <row r="1514" spans="1:22" ht="18" customHeight="1">
      <c r="A1514" t="s">
        <v>347</v>
      </c>
      <c r="B1514" t="s">
        <v>348</v>
      </c>
      <c r="C1514">
        <v>11</v>
      </c>
      <c r="D1514" t="s">
        <v>333</v>
      </c>
      <c r="E1514" s="6">
        <f t="shared" si="184"/>
        <v>0</v>
      </c>
      <c r="F1514" s="6">
        <f t="shared" si="185"/>
        <v>0</v>
      </c>
      <c r="G1514" s="6">
        <f>ROUND(Catalogue!G79*SQRT((1+Paramètres!$B$4*(C1514-1)+Paramètres!$B$5*(C1514-1)^2)),0)</f>
        <v>12</v>
      </c>
      <c r="H1514" s="6">
        <f>ROUND(Catalogue!H79*SQRT((1+Paramètres!$B$4*(C1514-1)+Paramètres!$B$5*(C1514-1)^2)),0)</f>
        <v>0</v>
      </c>
      <c r="I1514" s="6">
        <v>0</v>
      </c>
      <c r="J1514" s="6">
        <v>0</v>
      </c>
      <c r="K1514" s="7">
        <v>3.4</v>
      </c>
      <c r="L1514" s="9">
        <f t="shared" si="186"/>
        <v>0</v>
      </c>
      <c r="M1514">
        <v>0</v>
      </c>
      <c r="N1514">
        <v>0</v>
      </c>
      <c r="O1514">
        <v>0</v>
      </c>
      <c r="P1514" s="13" t="str">
        <f t="shared" si="187"/>
        <v>—</v>
      </c>
      <c r="Q1514">
        <f>ROUND(INDEX(Catalogue!E$4:E$85,MATCH(A1514,Catalogue!A$4:A$85,0))*(1+Paramètres!$B$4*(C1514-1)+Paramètres!$B$5*(C1514-1)^2),0)</f>
        <v>0</v>
      </c>
      <c r="R1514">
        <f>ROUND(INDEX(Catalogue!F$4:F$85,MATCH(A1514,Catalogue!A$4:A$85,0))*(1+Paramètres!$B$4*(C1514-1)+Paramètres!$B$5*(C1514-1)^2),0)</f>
        <v>0</v>
      </c>
      <c r="S1514">
        <f t="shared" si="188"/>
        <v>0</v>
      </c>
      <c r="T1514" t="str">
        <f t="shared" si="189"/>
        <v>OK</v>
      </c>
      <c r="U1514" s="25">
        <f t="shared" si="190"/>
        <v>0</v>
      </c>
      <c r="V1514" t="str">
        <f t="shared" si="191"/>
        <v>OK</v>
      </c>
    </row>
    <row r="1515" spans="1:22" ht="18" customHeight="1">
      <c r="A1515" t="s">
        <v>347</v>
      </c>
      <c r="B1515" t="s">
        <v>348</v>
      </c>
      <c r="C1515">
        <v>12</v>
      </c>
      <c r="D1515" t="s">
        <v>333</v>
      </c>
      <c r="E1515" s="6">
        <f t="shared" si="184"/>
        <v>0</v>
      </c>
      <c r="F1515" s="6">
        <f t="shared" si="185"/>
        <v>0</v>
      </c>
      <c r="G1515" s="6">
        <f>ROUND(Catalogue!G79*SQRT((1+Paramètres!$B$4*(C1515-1)+Paramètres!$B$5*(C1515-1)^2)),0)</f>
        <v>12</v>
      </c>
      <c r="H1515" s="6">
        <f>ROUND(Catalogue!H79*SQRT((1+Paramètres!$B$4*(C1515-1)+Paramètres!$B$5*(C1515-1)^2)),0)</f>
        <v>0</v>
      </c>
      <c r="I1515" s="6">
        <v>0</v>
      </c>
      <c r="J1515" s="6">
        <v>0</v>
      </c>
      <c r="K1515" s="7">
        <v>3.4</v>
      </c>
      <c r="L1515" s="9">
        <f t="shared" si="186"/>
        <v>0</v>
      </c>
      <c r="M1515">
        <v>0</v>
      </c>
      <c r="N1515">
        <v>0</v>
      </c>
      <c r="O1515">
        <v>0</v>
      </c>
      <c r="P1515" s="13" t="str">
        <f t="shared" si="187"/>
        <v>—</v>
      </c>
      <c r="Q1515">
        <f>ROUND(INDEX(Catalogue!E$4:E$85,MATCH(A1515,Catalogue!A$4:A$85,0))*(1+Paramètres!$B$4*(C1515-1)+Paramètres!$B$5*(C1515-1)^2),0)</f>
        <v>0</v>
      </c>
      <c r="R1515">
        <f>ROUND(INDEX(Catalogue!F$4:F$85,MATCH(A1515,Catalogue!A$4:A$85,0))*(1+Paramètres!$B$4*(C1515-1)+Paramètres!$B$5*(C1515-1)^2),0)</f>
        <v>0</v>
      </c>
      <c r="S1515">
        <f t="shared" si="188"/>
        <v>0</v>
      </c>
      <c r="T1515" t="str">
        <f t="shared" si="189"/>
        <v>OK</v>
      </c>
      <c r="U1515" s="25">
        <f t="shared" si="190"/>
        <v>0</v>
      </c>
      <c r="V1515" t="str">
        <f t="shared" si="191"/>
        <v>OK</v>
      </c>
    </row>
    <row r="1516" spans="1:22" ht="18" customHeight="1">
      <c r="A1516" t="s">
        <v>347</v>
      </c>
      <c r="B1516" t="s">
        <v>348</v>
      </c>
      <c r="C1516">
        <v>13</v>
      </c>
      <c r="D1516" t="s">
        <v>333</v>
      </c>
      <c r="E1516" s="6">
        <f t="shared" si="184"/>
        <v>0</v>
      </c>
      <c r="F1516" s="6">
        <f t="shared" si="185"/>
        <v>0</v>
      </c>
      <c r="G1516" s="6">
        <f>ROUND(Catalogue!G79*SQRT((1+Paramètres!$B$4*(C1516-1)+Paramètres!$B$5*(C1516-1)^2)),0)</f>
        <v>13</v>
      </c>
      <c r="H1516" s="6">
        <f>ROUND(Catalogue!H79*SQRT((1+Paramètres!$B$4*(C1516-1)+Paramètres!$B$5*(C1516-1)^2)),0)</f>
        <v>0</v>
      </c>
      <c r="I1516" s="6">
        <v>0</v>
      </c>
      <c r="J1516" s="6">
        <v>0</v>
      </c>
      <c r="K1516" s="7">
        <v>3.4</v>
      </c>
      <c r="L1516" s="9">
        <f t="shared" si="186"/>
        <v>0</v>
      </c>
      <c r="M1516">
        <v>0</v>
      </c>
      <c r="N1516">
        <v>0</v>
      </c>
      <c r="O1516">
        <v>0</v>
      </c>
      <c r="P1516" s="13" t="str">
        <f t="shared" si="187"/>
        <v>—</v>
      </c>
      <c r="Q1516">
        <f>ROUND(INDEX(Catalogue!E$4:E$85,MATCH(A1516,Catalogue!A$4:A$85,0))*(1+Paramètres!$B$4*(C1516-1)+Paramètres!$B$5*(C1516-1)^2),0)</f>
        <v>0</v>
      </c>
      <c r="R1516">
        <f>ROUND(INDEX(Catalogue!F$4:F$85,MATCH(A1516,Catalogue!A$4:A$85,0))*(1+Paramètres!$B$4*(C1516-1)+Paramètres!$B$5*(C1516-1)^2),0)</f>
        <v>0</v>
      </c>
      <c r="S1516">
        <f t="shared" si="188"/>
        <v>0</v>
      </c>
      <c r="T1516" t="str">
        <f t="shared" si="189"/>
        <v>OK</v>
      </c>
      <c r="U1516" s="25">
        <f t="shared" si="190"/>
        <v>0</v>
      </c>
      <c r="V1516" t="str">
        <f t="shared" si="191"/>
        <v>OK</v>
      </c>
    </row>
    <row r="1517" spans="1:22" ht="18" customHeight="1">
      <c r="A1517" t="s">
        <v>347</v>
      </c>
      <c r="B1517" t="s">
        <v>348</v>
      </c>
      <c r="C1517">
        <v>14</v>
      </c>
      <c r="D1517" t="s">
        <v>333</v>
      </c>
      <c r="E1517" s="6">
        <f t="shared" si="184"/>
        <v>0</v>
      </c>
      <c r="F1517" s="6">
        <f t="shared" si="185"/>
        <v>0</v>
      </c>
      <c r="G1517" s="6">
        <f>ROUND(Catalogue!G79*SQRT((1+Paramètres!$B$4*(C1517-1)+Paramètres!$B$5*(C1517-1)^2)),0)</f>
        <v>14</v>
      </c>
      <c r="H1517" s="6">
        <f>ROUND(Catalogue!H79*SQRT((1+Paramètres!$B$4*(C1517-1)+Paramètres!$B$5*(C1517-1)^2)),0)</f>
        <v>0</v>
      </c>
      <c r="I1517" s="6">
        <v>0</v>
      </c>
      <c r="J1517" s="6">
        <v>0</v>
      </c>
      <c r="K1517" s="7">
        <v>3.4</v>
      </c>
      <c r="L1517" s="9">
        <f t="shared" si="186"/>
        <v>0</v>
      </c>
      <c r="M1517">
        <v>0</v>
      </c>
      <c r="N1517">
        <v>0</v>
      </c>
      <c r="O1517">
        <v>0</v>
      </c>
      <c r="P1517" s="13" t="str">
        <f t="shared" si="187"/>
        <v>—</v>
      </c>
      <c r="Q1517">
        <f>ROUND(INDEX(Catalogue!E$4:E$85,MATCH(A1517,Catalogue!A$4:A$85,0))*(1+Paramètres!$B$4*(C1517-1)+Paramètres!$B$5*(C1517-1)^2),0)</f>
        <v>0</v>
      </c>
      <c r="R1517">
        <f>ROUND(INDEX(Catalogue!F$4:F$85,MATCH(A1517,Catalogue!A$4:A$85,0))*(1+Paramètres!$B$4*(C1517-1)+Paramètres!$B$5*(C1517-1)^2),0)</f>
        <v>0</v>
      </c>
      <c r="S1517">
        <f t="shared" si="188"/>
        <v>0</v>
      </c>
      <c r="T1517" t="str">
        <f t="shared" si="189"/>
        <v>OK</v>
      </c>
      <c r="U1517" s="25">
        <f t="shared" si="190"/>
        <v>0</v>
      </c>
      <c r="V1517" t="str">
        <f t="shared" si="191"/>
        <v>OK</v>
      </c>
    </row>
    <row r="1518" spans="1:22" ht="18" customHeight="1">
      <c r="A1518" t="s">
        <v>347</v>
      </c>
      <c r="B1518" t="s">
        <v>348</v>
      </c>
      <c r="C1518">
        <v>15</v>
      </c>
      <c r="D1518" t="s">
        <v>333</v>
      </c>
      <c r="E1518" s="6">
        <f t="shared" si="184"/>
        <v>0</v>
      </c>
      <c r="F1518" s="6">
        <f t="shared" si="185"/>
        <v>0</v>
      </c>
      <c r="G1518" s="6">
        <f>ROUND(Catalogue!G79*SQRT((1+Paramètres!$B$4*(C1518-1)+Paramètres!$B$5*(C1518-1)^2)),0)</f>
        <v>14</v>
      </c>
      <c r="H1518" s="6">
        <f>ROUND(Catalogue!H79*SQRT((1+Paramètres!$B$4*(C1518-1)+Paramètres!$B$5*(C1518-1)^2)),0)</f>
        <v>0</v>
      </c>
      <c r="I1518" s="6">
        <v>0</v>
      </c>
      <c r="J1518" s="6">
        <v>0</v>
      </c>
      <c r="K1518" s="7">
        <v>3.4</v>
      </c>
      <c r="L1518" s="9">
        <f t="shared" si="186"/>
        <v>0</v>
      </c>
      <c r="M1518">
        <v>0</v>
      </c>
      <c r="N1518">
        <v>0</v>
      </c>
      <c r="O1518">
        <v>0</v>
      </c>
      <c r="P1518" s="13" t="str">
        <f t="shared" si="187"/>
        <v>—</v>
      </c>
      <c r="Q1518">
        <f>ROUND(INDEX(Catalogue!E$4:E$85,MATCH(A1518,Catalogue!A$4:A$85,0))*(1+Paramètres!$B$4*(C1518-1)+Paramètres!$B$5*(C1518-1)^2),0)</f>
        <v>0</v>
      </c>
      <c r="R1518">
        <f>ROUND(INDEX(Catalogue!F$4:F$85,MATCH(A1518,Catalogue!A$4:A$85,0))*(1+Paramètres!$B$4*(C1518-1)+Paramètres!$B$5*(C1518-1)^2),0)</f>
        <v>0</v>
      </c>
      <c r="S1518">
        <f t="shared" si="188"/>
        <v>0</v>
      </c>
      <c r="T1518" t="str">
        <f t="shared" si="189"/>
        <v>OK</v>
      </c>
      <c r="U1518" s="25">
        <f t="shared" si="190"/>
        <v>0</v>
      </c>
      <c r="V1518" t="str">
        <f t="shared" si="191"/>
        <v>OK</v>
      </c>
    </row>
    <row r="1519" spans="1:22" ht="18" customHeight="1">
      <c r="A1519" t="s">
        <v>347</v>
      </c>
      <c r="B1519" t="s">
        <v>348</v>
      </c>
      <c r="C1519">
        <v>16</v>
      </c>
      <c r="D1519" t="s">
        <v>333</v>
      </c>
      <c r="E1519" s="6">
        <f t="shared" si="184"/>
        <v>0</v>
      </c>
      <c r="F1519" s="6">
        <f t="shared" si="185"/>
        <v>0</v>
      </c>
      <c r="G1519" s="6">
        <f>ROUND(Catalogue!G79*SQRT((1+Paramètres!$B$4*(C1519-1)+Paramètres!$B$5*(C1519-1)^2)),0)</f>
        <v>15</v>
      </c>
      <c r="H1519" s="6">
        <f>ROUND(Catalogue!H79*SQRT((1+Paramètres!$B$4*(C1519-1)+Paramètres!$B$5*(C1519-1)^2)),0)</f>
        <v>0</v>
      </c>
      <c r="I1519" s="6">
        <v>0</v>
      </c>
      <c r="J1519" s="6">
        <v>0</v>
      </c>
      <c r="K1519" s="7">
        <v>3.4</v>
      </c>
      <c r="L1519" s="9">
        <f t="shared" si="186"/>
        <v>0</v>
      </c>
      <c r="M1519">
        <v>0</v>
      </c>
      <c r="N1519">
        <v>0</v>
      </c>
      <c r="O1519">
        <v>0</v>
      </c>
      <c r="P1519" s="13" t="str">
        <f t="shared" si="187"/>
        <v>—</v>
      </c>
      <c r="Q1519">
        <f>ROUND(INDEX(Catalogue!E$4:E$85,MATCH(A1519,Catalogue!A$4:A$85,0))*(1+Paramètres!$B$4*(C1519-1)+Paramètres!$B$5*(C1519-1)^2),0)</f>
        <v>0</v>
      </c>
      <c r="R1519">
        <f>ROUND(INDEX(Catalogue!F$4:F$85,MATCH(A1519,Catalogue!A$4:A$85,0))*(1+Paramètres!$B$4*(C1519-1)+Paramètres!$B$5*(C1519-1)^2),0)</f>
        <v>0</v>
      </c>
      <c r="S1519">
        <f t="shared" si="188"/>
        <v>0</v>
      </c>
      <c r="T1519" t="str">
        <f t="shared" si="189"/>
        <v>OK</v>
      </c>
      <c r="U1519" s="25">
        <f t="shared" si="190"/>
        <v>0</v>
      </c>
      <c r="V1519" t="str">
        <f t="shared" si="191"/>
        <v>OK</v>
      </c>
    </row>
    <row r="1520" spans="1:22" ht="18" customHeight="1">
      <c r="A1520" t="s">
        <v>347</v>
      </c>
      <c r="B1520" t="s">
        <v>348</v>
      </c>
      <c r="C1520">
        <v>17</v>
      </c>
      <c r="D1520" t="s">
        <v>333</v>
      </c>
      <c r="E1520" s="6">
        <f t="shared" si="184"/>
        <v>0</v>
      </c>
      <c r="F1520" s="6">
        <f t="shared" si="185"/>
        <v>0</v>
      </c>
      <c r="G1520" s="6">
        <f>ROUND(Catalogue!G79*SQRT((1+Paramètres!$B$4*(C1520-1)+Paramètres!$B$5*(C1520-1)^2)),0)</f>
        <v>16</v>
      </c>
      <c r="H1520" s="6">
        <f>ROUND(Catalogue!H79*SQRT((1+Paramètres!$B$4*(C1520-1)+Paramètres!$B$5*(C1520-1)^2)),0)</f>
        <v>0</v>
      </c>
      <c r="I1520" s="6">
        <v>0</v>
      </c>
      <c r="J1520" s="6">
        <v>0</v>
      </c>
      <c r="K1520" s="7">
        <v>3.4</v>
      </c>
      <c r="L1520" s="9">
        <f t="shared" si="186"/>
        <v>0</v>
      </c>
      <c r="M1520">
        <v>0</v>
      </c>
      <c r="N1520">
        <v>0</v>
      </c>
      <c r="O1520">
        <v>0</v>
      </c>
      <c r="P1520" s="13" t="str">
        <f t="shared" si="187"/>
        <v>—</v>
      </c>
      <c r="Q1520">
        <f>ROUND(INDEX(Catalogue!E$4:E$85,MATCH(A1520,Catalogue!A$4:A$85,0))*(1+Paramètres!$B$4*(C1520-1)+Paramètres!$B$5*(C1520-1)^2),0)</f>
        <v>0</v>
      </c>
      <c r="R1520">
        <f>ROUND(INDEX(Catalogue!F$4:F$85,MATCH(A1520,Catalogue!A$4:A$85,0))*(1+Paramètres!$B$4*(C1520-1)+Paramètres!$B$5*(C1520-1)^2),0)</f>
        <v>0</v>
      </c>
      <c r="S1520">
        <f t="shared" si="188"/>
        <v>0</v>
      </c>
      <c r="T1520" t="str">
        <f t="shared" si="189"/>
        <v>OK</v>
      </c>
      <c r="U1520" s="25">
        <f t="shared" si="190"/>
        <v>0</v>
      </c>
      <c r="V1520" t="str">
        <f t="shared" si="191"/>
        <v>OK</v>
      </c>
    </row>
    <row r="1521" spans="1:22" ht="18" customHeight="1">
      <c r="A1521" t="s">
        <v>347</v>
      </c>
      <c r="B1521" t="s">
        <v>348</v>
      </c>
      <c r="C1521">
        <v>18</v>
      </c>
      <c r="D1521" t="s">
        <v>333</v>
      </c>
      <c r="E1521" s="6">
        <f t="shared" si="184"/>
        <v>0</v>
      </c>
      <c r="F1521" s="6">
        <f t="shared" si="185"/>
        <v>0</v>
      </c>
      <c r="G1521" s="6">
        <f>ROUND(Catalogue!G79*SQRT((1+Paramètres!$B$4*(C1521-1)+Paramètres!$B$5*(C1521-1)^2)),0)</f>
        <v>16</v>
      </c>
      <c r="H1521" s="6">
        <f>ROUND(Catalogue!H79*SQRT((1+Paramètres!$B$4*(C1521-1)+Paramètres!$B$5*(C1521-1)^2)),0)</f>
        <v>0</v>
      </c>
      <c r="I1521" s="6">
        <v>0</v>
      </c>
      <c r="J1521" s="6">
        <v>0</v>
      </c>
      <c r="K1521" s="7">
        <v>3.4</v>
      </c>
      <c r="L1521" s="9">
        <f t="shared" si="186"/>
        <v>0</v>
      </c>
      <c r="M1521">
        <v>0</v>
      </c>
      <c r="N1521">
        <v>0</v>
      </c>
      <c r="O1521">
        <v>0</v>
      </c>
      <c r="P1521" s="13" t="str">
        <f t="shared" si="187"/>
        <v>—</v>
      </c>
      <c r="Q1521">
        <f>ROUND(INDEX(Catalogue!E$4:E$85,MATCH(A1521,Catalogue!A$4:A$85,0))*(1+Paramètres!$B$4*(C1521-1)+Paramètres!$B$5*(C1521-1)^2),0)</f>
        <v>0</v>
      </c>
      <c r="R1521">
        <f>ROUND(INDEX(Catalogue!F$4:F$85,MATCH(A1521,Catalogue!A$4:A$85,0))*(1+Paramètres!$B$4*(C1521-1)+Paramètres!$B$5*(C1521-1)^2),0)</f>
        <v>0</v>
      </c>
      <c r="S1521">
        <f t="shared" si="188"/>
        <v>0</v>
      </c>
      <c r="T1521" t="str">
        <f t="shared" si="189"/>
        <v>OK</v>
      </c>
      <c r="U1521" s="25">
        <f t="shared" si="190"/>
        <v>0</v>
      </c>
      <c r="V1521" t="str">
        <f t="shared" si="191"/>
        <v>OK</v>
      </c>
    </row>
    <row r="1522" spans="1:22" ht="18" customHeight="1">
      <c r="A1522" t="s">
        <v>347</v>
      </c>
      <c r="B1522" t="s">
        <v>348</v>
      </c>
      <c r="C1522">
        <v>19</v>
      </c>
      <c r="D1522" t="s">
        <v>333</v>
      </c>
      <c r="E1522" s="6">
        <f t="shared" si="184"/>
        <v>0</v>
      </c>
      <c r="F1522" s="6">
        <f t="shared" si="185"/>
        <v>0</v>
      </c>
      <c r="G1522" s="6">
        <f>ROUND(Catalogue!G79*SQRT((1+Paramètres!$B$4*(C1522-1)+Paramètres!$B$5*(C1522-1)^2)),0)</f>
        <v>17</v>
      </c>
      <c r="H1522" s="6">
        <f>ROUND(Catalogue!H79*SQRT((1+Paramètres!$B$4*(C1522-1)+Paramètres!$B$5*(C1522-1)^2)),0)</f>
        <v>0</v>
      </c>
      <c r="I1522" s="6">
        <v>0</v>
      </c>
      <c r="J1522" s="6">
        <v>0</v>
      </c>
      <c r="K1522" s="7">
        <v>3.4</v>
      </c>
      <c r="L1522" s="9">
        <f t="shared" si="186"/>
        <v>0</v>
      </c>
      <c r="M1522">
        <v>0</v>
      </c>
      <c r="N1522">
        <v>0</v>
      </c>
      <c r="O1522">
        <v>0</v>
      </c>
      <c r="P1522" s="13" t="str">
        <f t="shared" si="187"/>
        <v>—</v>
      </c>
      <c r="Q1522">
        <f>ROUND(INDEX(Catalogue!E$4:E$85,MATCH(A1522,Catalogue!A$4:A$85,0))*(1+Paramètres!$B$4*(C1522-1)+Paramètres!$B$5*(C1522-1)^2),0)</f>
        <v>0</v>
      </c>
      <c r="R1522">
        <f>ROUND(INDEX(Catalogue!F$4:F$85,MATCH(A1522,Catalogue!A$4:A$85,0))*(1+Paramètres!$B$4*(C1522-1)+Paramètres!$B$5*(C1522-1)^2),0)</f>
        <v>0</v>
      </c>
      <c r="S1522">
        <f t="shared" si="188"/>
        <v>0</v>
      </c>
      <c r="T1522" t="str">
        <f t="shared" si="189"/>
        <v>OK</v>
      </c>
      <c r="U1522" s="25">
        <f t="shared" si="190"/>
        <v>0</v>
      </c>
      <c r="V1522" t="str">
        <f t="shared" si="191"/>
        <v>OK</v>
      </c>
    </row>
    <row r="1523" spans="1:22" ht="18" customHeight="1">
      <c r="A1523" t="s">
        <v>347</v>
      </c>
      <c r="B1523" t="s">
        <v>348</v>
      </c>
      <c r="C1523">
        <v>20</v>
      </c>
      <c r="D1523" t="s">
        <v>333</v>
      </c>
      <c r="E1523" s="6">
        <f t="shared" si="184"/>
        <v>0</v>
      </c>
      <c r="F1523" s="6">
        <f t="shared" si="185"/>
        <v>0</v>
      </c>
      <c r="G1523" s="6">
        <f>ROUND(Catalogue!G79*SQRT((1+Paramètres!$B$4*(C1523-1)+Paramètres!$B$5*(C1523-1)^2)),0)</f>
        <v>18</v>
      </c>
      <c r="H1523" s="6">
        <f>ROUND(Catalogue!H79*SQRT((1+Paramètres!$B$4*(C1523-1)+Paramètres!$B$5*(C1523-1)^2)),0)</f>
        <v>0</v>
      </c>
      <c r="I1523" s="6">
        <v>0</v>
      </c>
      <c r="J1523" s="6">
        <v>0</v>
      </c>
      <c r="K1523" s="7">
        <v>3.4</v>
      </c>
      <c r="L1523" s="9">
        <f t="shared" si="186"/>
        <v>0</v>
      </c>
      <c r="M1523">
        <v>0</v>
      </c>
      <c r="N1523">
        <v>0</v>
      </c>
      <c r="O1523">
        <v>0</v>
      </c>
      <c r="P1523" s="13" t="str">
        <f t="shared" si="187"/>
        <v>—</v>
      </c>
      <c r="Q1523">
        <f>ROUND(INDEX(Catalogue!E$4:E$85,MATCH(A1523,Catalogue!A$4:A$85,0))*(1+Paramètres!$B$4*(C1523-1)+Paramètres!$B$5*(C1523-1)^2),0)</f>
        <v>0</v>
      </c>
      <c r="R1523">
        <f>ROUND(INDEX(Catalogue!F$4:F$85,MATCH(A1523,Catalogue!A$4:A$85,0))*(1+Paramètres!$B$4*(C1523-1)+Paramètres!$B$5*(C1523-1)^2),0)</f>
        <v>0</v>
      </c>
      <c r="S1523">
        <f t="shared" si="188"/>
        <v>0</v>
      </c>
      <c r="T1523" t="str">
        <f t="shared" si="189"/>
        <v>OK</v>
      </c>
      <c r="U1523" s="25">
        <f t="shared" si="190"/>
        <v>0</v>
      </c>
      <c r="V1523" t="str">
        <f t="shared" si="191"/>
        <v>OK</v>
      </c>
    </row>
    <row r="1524" spans="1:22" ht="18" customHeight="1">
      <c r="A1524" t="s">
        <v>350</v>
      </c>
      <c r="B1524" t="s">
        <v>351</v>
      </c>
      <c r="C1524">
        <v>1</v>
      </c>
      <c r="D1524" t="s">
        <v>333</v>
      </c>
      <c r="E1524" s="6">
        <f t="shared" si="184"/>
        <v>0</v>
      </c>
      <c r="F1524" s="6">
        <f t="shared" si="185"/>
        <v>0</v>
      </c>
      <c r="G1524" s="6">
        <f>ROUND(Catalogue!G80*SQRT((1+Paramètres!$B$4*(C1524-1)+Paramètres!$B$5*(C1524-1)^2)),0)</f>
        <v>7</v>
      </c>
      <c r="H1524" s="6">
        <f>ROUND(Catalogue!H80*SQRT((1+Paramètres!$B$4*(C1524-1)+Paramètres!$B$5*(C1524-1)^2)),0)</f>
        <v>0</v>
      </c>
      <c r="I1524" s="6">
        <v>0</v>
      </c>
      <c r="J1524" s="6">
        <v>0</v>
      </c>
      <c r="K1524" s="7">
        <v>4</v>
      </c>
      <c r="L1524" s="9">
        <f t="shared" si="186"/>
        <v>0</v>
      </c>
      <c r="M1524">
        <v>0</v>
      </c>
      <c r="N1524">
        <v>0</v>
      </c>
      <c r="O1524">
        <v>0</v>
      </c>
      <c r="P1524" s="13" t="str">
        <f t="shared" si="187"/>
        <v>—</v>
      </c>
      <c r="Q1524">
        <f>ROUND(INDEX(Catalogue!E$4:E$85,MATCH(A1524,Catalogue!A$4:A$85,0))*(1+Paramètres!$B$4*(C1524-1)+Paramètres!$B$5*(C1524-1)^2),0)</f>
        <v>0</v>
      </c>
      <c r="R1524">
        <f>ROUND(INDEX(Catalogue!F$4:F$85,MATCH(A1524,Catalogue!A$4:A$85,0))*(1+Paramètres!$B$4*(C1524-1)+Paramètres!$B$5*(C1524-1)^2),0)</f>
        <v>0</v>
      </c>
      <c r="S1524">
        <f t="shared" si="188"/>
        <v>0</v>
      </c>
      <c r="T1524" t="str">
        <f t="shared" si="189"/>
        <v>OK</v>
      </c>
      <c r="U1524" s="25">
        <f t="shared" si="190"/>
        <v>0</v>
      </c>
      <c r="V1524" t="str">
        <f t="shared" si="191"/>
        <v>OK</v>
      </c>
    </row>
    <row r="1525" spans="1:22" ht="18" customHeight="1">
      <c r="A1525" t="s">
        <v>350</v>
      </c>
      <c r="B1525" t="s">
        <v>351</v>
      </c>
      <c r="C1525">
        <v>2</v>
      </c>
      <c r="D1525" t="s">
        <v>333</v>
      </c>
      <c r="E1525" s="6">
        <f t="shared" si="184"/>
        <v>0</v>
      </c>
      <c r="F1525" s="6">
        <f t="shared" si="185"/>
        <v>0</v>
      </c>
      <c r="G1525" s="6">
        <f>ROUND(Catalogue!G80*SQRT((1+Paramètres!$B$4*(C1525-1)+Paramètres!$B$5*(C1525-1)^2)),0)</f>
        <v>7</v>
      </c>
      <c r="H1525" s="6">
        <f>ROUND(Catalogue!H80*SQRT((1+Paramètres!$B$4*(C1525-1)+Paramètres!$B$5*(C1525-1)^2)),0)</f>
        <v>0</v>
      </c>
      <c r="I1525" s="6">
        <v>0</v>
      </c>
      <c r="J1525" s="6">
        <v>0</v>
      </c>
      <c r="K1525" s="7">
        <v>4</v>
      </c>
      <c r="L1525" s="9">
        <f t="shared" si="186"/>
        <v>0</v>
      </c>
      <c r="M1525">
        <v>0</v>
      </c>
      <c r="N1525">
        <v>0</v>
      </c>
      <c r="O1525">
        <v>0</v>
      </c>
      <c r="P1525" s="13" t="str">
        <f t="shared" si="187"/>
        <v>—</v>
      </c>
      <c r="Q1525">
        <f>ROUND(INDEX(Catalogue!E$4:E$85,MATCH(A1525,Catalogue!A$4:A$85,0))*(1+Paramètres!$B$4*(C1525-1)+Paramètres!$B$5*(C1525-1)^2),0)</f>
        <v>0</v>
      </c>
      <c r="R1525">
        <f>ROUND(INDEX(Catalogue!F$4:F$85,MATCH(A1525,Catalogue!A$4:A$85,0))*(1+Paramètres!$B$4*(C1525-1)+Paramètres!$B$5*(C1525-1)^2),0)</f>
        <v>0</v>
      </c>
      <c r="S1525">
        <f t="shared" si="188"/>
        <v>0</v>
      </c>
      <c r="T1525" t="str">
        <f t="shared" si="189"/>
        <v>OK</v>
      </c>
      <c r="U1525" s="25">
        <f t="shared" si="190"/>
        <v>0</v>
      </c>
      <c r="V1525" t="str">
        <f t="shared" si="191"/>
        <v>OK</v>
      </c>
    </row>
    <row r="1526" spans="1:22" ht="18" customHeight="1">
      <c r="A1526" t="s">
        <v>350</v>
      </c>
      <c r="B1526" t="s">
        <v>351</v>
      </c>
      <c r="C1526">
        <v>3</v>
      </c>
      <c r="D1526" t="s">
        <v>333</v>
      </c>
      <c r="E1526" s="6">
        <f t="shared" si="184"/>
        <v>0</v>
      </c>
      <c r="F1526" s="6">
        <f t="shared" si="185"/>
        <v>0</v>
      </c>
      <c r="G1526" s="6">
        <f>ROUND(Catalogue!G80*SQRT((1+Paramètres!$B$4*(C1526-1)+Paramètres!$B$5*(C1526-1)^2)),0)</f>
        <v>8</v>
      </c>
      <c r="H1526" s="6">
        <f>ROUND(Catalogue!H80*SQRT((1+Paramètres!$B$4*(C1526-1)+Paramètres!$B$5*(C1526-1)^2)),0)</f>
        <v>0</v>
      </c>
      <c r="I1526" s="6">
        <v>0</v>
      </c>
      <c r="J1526" s="6">
        <v>0</v>
      </c>
      <c r="K1526" s="7">
        <v>4</v>
      </c>
      <c r="L1526" s="9">
        <f t="shared" si="186"/>
        <v>0</v>
      </c>
      <c r="M1526">
        <v>0</v>
      </c>
      <c r="N1526">
        <v>0</v>
      </c>
      <c r="O1526">
        <v>0</v>
      </c>
      <c r="P1526" s="13" t="str">
        <f t="shared" si="187"/>
        <v>—</v>
      </c>
      <c r="Q1526">
        <f>ROUND(INDEX(Catalogue!E$4:E$85,MATCH(A1526,Catalogue!A$4:A$85,0))*(1+Paramètres!$B$4*(C1526-1)+Paramètres!$B$5*(C1526-1)^2),0)</f>
        <v>0</v>
      </c>
      <c r="R1526">
        <f>ROUND(INDEX(Catalogue!F$4:F$85,MATCH(A1526,Catalogue!A$4:A$85,0))*(1+Paramètres!$B$4*(C1526-1)+Paramètres!$B$5*(C1526-1)^2),0)</f>
        <v>0</v>
      </c>
      <c r="S1526">
        <f t="shared" si="188"/>
        <v>0</v>
      </c>
      <c r="T1526" t="str">
        <f t="shared" si="189"/>
        <v>OK</v>
      </c>
      <c r="U1526" s="25">
        <f t="shared" si="190"/>
        <v>0</v>
      </c>
      <c r="V1526" t="str">
        <f t="shared" si="191"/>
        <v>OK</v>
      </c>
    </row>
    <row r="1527" spans="1:22" ht="18" customHeight="1">
      <c r="A1527" t="s">
        <v>350</v>
      </c>
      <c r="B1527" t="s">
        <v>351</v>
      </c>
      <c r="C1527">
        <v>4</v>
      </c>
      <c r="D1527" t="s">
        <v>333</v>
      </c>
      <c r="E1527" s="6">
        <f t="shared" si="184"/>
        <v>0</v>
      </c>
      <c r="F1527" s="6">
        <f t="shared" si="185"/>
        <v>0</v>
      </c>
      <c r="G1527" s="6">
        <f>ROUND(Catalogue!G80*SQRT((1+Paramètres!$B$4*(C1527-1)+Paramètres!$B$5*(C1527-1)^2)),0)</f>
        <v>8</v>
      </c>
      <c r="H1527" s="6">
        <f>ROUND(Catalogue!H80*SQRT((1+Paramètres!$B$4*(C1527-1)+Paramètres!$B$5*(C1527-1)^2)),0)</f>
        <v>0</v>
      </c>
      <c r="I1527" s="6">
        <v>0</v>
      </c>
      <c r="J1527" s="6">
        <v>0</v>
      </c>
      <c r="K1527" s="7">
        <v>4</v>
      </c>
      <c r="L1527" s="9">
        <f t="shared" si="186"/>
        <v>0</v>
      </c>
      <c r="M1527">
        <v>0</v>
      </c>
      <c r="N1527">
        <v>0</v>
      </c>
      <c r="O1527">
        <v>0</v>
      </c>
      <c r="P1527" s="13" t="str">
        <f t="shared" si="187"/>
        <v>—</v>
      </c>
      <c r="Q1527">
        <f>ROUND(INDEX(Catalogue!E$4:E$85,MATCH(A1527,Catalogue!A$4:A$85,0))*(1+Paramètres!$B$4*(C1527-1)+Paramètres!$B$5*(C1527-1)^2),0)</f>
        <v>0</v>
      </c>
      <c r="R1527">
        <f>ROUND(INDEX(Catalogue!F$4:F$85,MATCH(A1527,Catalogue!A$4:A$85,0))*(1+Paramètres!$B$4*(C1527-1)+Paramètres!$B$5*(C1527-1)^2),0)</f>
        <v>0</v>
      </c>
      <c r="S1527">
        <f t="shared" si="188"/>
        <v>0</v>
      </c>
      <c r="T1527" t="str">
        <f t="shared" si="189"/>
        <v>OK</v>
      </c>
      <c r="U1527" s="25">
        <f t="shared" si="190"/>
        <v>0</v>
      </c>
      <c r="V1527" t="str">
        <f t="shared" si="191"/>
        <v>OK</v>
      </c>
    </row>
    <row r="1528" spans="1:22" ht="18" customHeight="1">
      <c r="A1528" t="s">
        <v>350</v>
      </c>
      <c r="B1528" t="s">
        <v>351</v>
      </c>
      <c r="C1528">
        <v>5</v>
      </c>
      <c r="D1528" t="s">
        <v>333</v>
      </c>
      <c r="E1528" s="6">
        <f t="shared" si="184"/>
        <v>0</v>
      </c>
      <c r="F1528" s="6">
        <f t="shared" si="185"/>
        <v>0</v>
      </c>
      <c r="G1528" s="6">
        <f>ROUND(Catalogue!G80*SQRT((1+Paramètres!$B$4*(C1528-1)+Paramètres!$B$5*(C1528-1)^2)),0)</f>
        <v>9</v>
      </c>
      <c r="H1528" s="6">
        <f>ROUND(Catalogue!H80*SQRT((1+Paramètres!$B$4*(C1528-1)+Paramètres!$B$5*(C1528-1)^2)),0)</f>
        <v>0</v>
      </c>
      <c r="I1528" s="6">
        <v>0</v>
      </c>
      <c r="J1528" s="6">
        <v>0</v>
      </c>
      <c r="K1528" s="7">
        <v>4</v>
      </c>
      <c r="L1528" s="9">
        <f t="shared" si="186"/>
        <v>0</v>
      </c>
      <c r="M1528">
        <v>0</v>
      </c>
      <c r="N1528">
        <v>0</v>
      </c>
      <c r="O1528">
        <v>0</v>
      </c>
      <c r="P1528" s="13" t="str">
        <f t="shared" si="187"/>
        <v>—</v>
      </c>
      <c r="Q1528">
        <f>ROUND(INDEX(Catalogue!E$4:E$85,MATCH(A1528,Catalogue!A$4:A$85,0))*(1+Paramètres!$B$4*(C1528-1)+Paramètres!$B$5*(C1528-1)^2),0)</f>
        <v>0</v>
      </c>
      <c r="R1528">
        <f>ROUND(INDEX(Catalogue!F$4:F$85,MATCH(A1528,Catalogue!A$4:A$85,0))*(1+Paramètres!$B$4*(C1528-1)+Paramètres!$B$5*(C1528-1)^2),0)</f>
        <v>0</v>
      </c>
      <c r="S1528">
        <f t="shared" si="188"/>
        <v>0</v>
      </c>
      <c r="T1528" t="str">
        <f t="shared" si="189"/>
        <v>OK</v>
      </c>
      <c r="U1528" s="25">
        <f t="shared" si="190"/>
        <v>0</v>
      </c>
      <c r="V1528" t="str">
        <f t="shared" si="191"/>
        <v>OK</v>
      </c>
    </row>
    <row r="1529" spans="1:22" ht="18" customHeight="1">
      <c r="A1529" t="s">
        <v>350</v>
      </c>
      <c r="B1529" t="s">
        <v>351</v>
      </c>
      <c r="C1529">
        <v>6</v>
      </c>
      <c r="D1529" t="s">
        <v>333</v>
      </c>
      <c r="E1529" s="6">
        <f t="shared" si="184"/>
        <v>0</v>
      </c>
      <c r="F1529" s="6">
        <f t="shared" si="185"/>
        <v>0</v>
      </c>
      <c r="G1529" s="6">
        <f>ROUND(Catalogue!G80*SQRT((1+Paramètres!$B$4*(C1529-1)+Paramètres!$B$5*(C1529-1)^2)),0)</f>
        <v>10</v>
      </c>
      <c r="H1529" s="6">
        <f>ROUND(Catalogue!H80*SQRT((1+Paramètres!$B$4*(C1529-1)+Paramètres!$B$5*(C1529-1)^2)),0)</f>
        <v>0</v>
      </c>
      <c r="I1529" s="6">
        <v>0</v>
      </c>
      <c r="J1529" s="6">
        <v>0</v>
      </c>
      <c r="K1529" s="7">
        <v>4</v>
      </c>
      <c r="L1529" s="9">
        <f t="shared" si="186"/>
        <v>0</v>
      </c>
      <c r="M1529">
        <v>0</v>
      </c>
      <c r="N1529">
        <v>0</v>
      </c>
      <c r="O1529">
        <v>0</v>
      </c>
      <c r="P1529" s="13" t="str">
        <f t="shared" si="187"/>
        <v>—</v>
      </c>
      <c r="Q1529">
        <f>ROUND(INDEX(Catalogue!E$4:E$85,MATCH(A1529,Catalogue!A$4:A$85,0))*(1+Paramètres!$B$4*(C1529-1)+Paramètres!$B$5*(C1529-1)^2),0)</f>
        <v>0</v>
      </c>
      <c r="R1529">
        <f>ROUND(INDEX(Catalogue!F$4:F$85,MATCH(A1529,Catalogue!A$4:A$85,0))*(1+Paramètres!$B$4*(C1529-1)+Paramètres!$B$5*(C1529-1)^2),0)</f>
        <v>0</v>
      </c>
      <c r="S1529">
        <f t="shared" si="188"/>
        <v>0</v>
      </c>
      <c r="T1529" t="str">
        <f t="shared" si="189"/>
        <v>OK</v>
      </c>
      <c r="U1529" s="25">
        <f t="shared" si="190"/>
        <v>0</v>
      </c>
      <c r="V1529" t="str">
        <f t="shared" si="191"/>
        <v>OK</v>
      </c>
    </row>
    <row r="1530" spans="1:22" ht="18" customHeight="1">
      <c r="A1530" t="s">
        <v>350</v>
      </c>
      <c r="B1530" t="s">
        <v>351</v>
      </c>
      <c r="C1530">
        <v>7</v>
      </c>
      <c r="D1530" t="s">
        <v>333</v>
      </c>
      <c r="E1530" s="6">
        <f t="shared" si="184"/>
        <v>0</v>
      </c>
      <c r="F1530" s="6">
        <f t="shared" si="185"/>
        <v>0</v>
      </c>
      <c r="G1530" s="6">
        <f>ROUND(Catalogue!G80*SQRT((1+Paramètres!$B$4*(C1530-1)+Paramètres!$B$5*(C1530-1)^2)),0)</f>
        <v>10</v>
      </c>
      <c r="H1530" s="6">
        <f>ROUND(Catalogue!H80*SQRT((1+Paramètres!$B$4*(C1530-1)+Paramètres!$B$5*(C1530-1)^2)),0)</f>
        <v>0</v>
      </c>
      <c r="I1530" s="6">
        <v>0</v>
      </c>
      <c r="J1530" s="6">
        <v>0</v>
      </c>
      <c r="K1530" s="7">
        <v>4</v>
      </c>
      <c r="L1530" s="9">
        <f t="shared" si="186"/>
        <v>0</v>
      </c>
      <c r="M1530">
        <v>0</v>
      </c>
      <c r="N1530">
        <v>0</v>
      </c>
      <c r="O1530">
        <v>0</v>
      </c>
      <c r="P1530" s="13" t="str">
        <f t="shared" si="187"/>
        <v>—</v>
      </c>
      <c r="Q1530">
        <f>ROUND(INDEX(Catalogue!E$4:E$85,MATCH(A1530,Catalogue!A$4:A$85,0))*(1+Paramètres!$B$4*(C1530-1)+Paramètres!$B$5*(C1530-1)^2),0)</f>
        <v>0</v>
      </c>
      <c r="R1530">
        <f>ROUND(INDEX(Catalogue!F$4:F$85,MATCH(A1530,Catalogue!A$4:A$85,0))*(1+Paramètres!$B$4*(C1530-1)+Paramètres!$B$5*(C1530-1)^2),0)</f>
        <v>0</v>
      </c>
      <c r="S1530">
        <f t="shared" si="188"/>
        <v>0</v>
      </c>
      <c r="T1530" t="str">
        <f t="shared" si="189"/>
        <v>OK</v>
      </c>
      <c r="U1530" s="25">
        <f t="shared" si="190"/>
        <v>0</v>
      </c>
      <c r="V1530" t="str">
        <f t="shared" si="191"/>
        <v>OK</v>
      </c>
    </row>
    <row r="1531" spans="1:22" ht="18" customHeight="1">
      <c r="A1531" t="s">
        <v>350</v>
      </c>
      <c r="B1531" t="s">
        <v>351</v>
      </c>
      <c r="C1531">
        <v>8</v>
      </c>
      <c r="D1531" t="s">
        <v>333</v>
      </c>
      <c r="E1531" s="6">
        <f t="shared" si="184"/>
        <v>0</v>
      </c>
      <c r="F1531" s="6">
        <f t="shared" si="185"/>
        <v>0</v>
      </c>
      <c r="G1531" s="6">
        <f>ROUND(Catalogue!G80*SQRT((1+Paramètres!$B$4*(C1531-1)+Paramètres!$B$5*(C1531-1)^2)),0)</f>
        <v>11</v>
      </c>
      <c r="H1531" s="6">
        <f>ROUND(Catalogue!H80*SQRT((1+Paramètres!$B$4*(C1531-1)+Paramètres!$B$5*(C1531-1)^2)),0)</f>
        <v>0</v>
      </c>
      <c r="I1531" s="6">
        <v>0</v>
      </c>
      <c r="J1531" s="6">
        <v>0</v>
      </c>
      <c r="K1531" s="7">
        <v>4</v>
      </c>
      <c r="L1531" s="9">
        <f t="shared" si="186"/>
        <v>0</v>
      </c>
      <c r="M1531">
        <v>0</v>
      </c>
      <c r="N1531">
        <v>0</v>
      </c>
      <c r="O1531">
        <v>0</v>
      </c>
      <c r="P1531" s="13" t="str">
        <f t="shared" si="187"/>
        <v>—</v>
      </c>
      <c r="Q1531">
        <f>ROUND(INDEX(Catalogue!E$4:E$85,MATCH(A1531,Catalogue!A$4:A$85,0))*(1+Paramètres!$B$4*(C1531-1)+Paramètres!$B$5*(C1531-1)^2),0)</f>
        <v>0</v>
      </c>
      <c r="R1531">
        <f>ROUND(INDEX(Catalogue!F$4:F$85,MATCH(A1531,Catalogue!A$4:A$85,0))*(1+Paramètres!$B$4*(C1531-1)+Paramètres!$B$5*(C1531-1)^2),0)</f>
        <v>0</v>
      </c>
      <c r="S1531">
        <f t="shared" si="188"/>
        <v>0</v>
      </c>
      <c r="T1531" t="str">
        <f t="shared" si="189"/>
        <v>OK</v>
      </c>
      <c r="U1531" s="25">
        <f t="shared" si="190"/>
        <v>0</v>
      </c>
      <c r="V1531" t="str">
        <f t="shared" si="191"/>
        <v>OK</v>
      </c>
    </row>
    <row r="1532" spans="1:22" ht="18" customHeight="1">
      <c r="A1532" t="s">
        <v>350</v>
      </c>
      <c r="B1532" t="s">
        <v>351</v>
      </c>
      <c r="C1532">
        <v>9</v>
      </c>
      <c r="D1532" t="s">
        <v>333</v>
      </c>
      <c r="E1532" s="6">
        <f t="shared" si="184"/>
        <v>0</v>
      </c>
      <c r="F1532" s="6">
        <f t="shared" si="185"/>
        <v>0</v>
      </c>
      <c r="G1532" s="6">
        <f>ROUND(Catalogue!G80*SQRT((1+Paramètres!$B$4*(C1532-1)+Paramètres!$B$5*(C1532-1)^2)),0)</f>
        <v>12</v>
      </c>
      <c r="H1532" s="6">
        <f>ROUND(Catalogue!H80*SQRT((1+Paramètres!$B$4*(C1532-1)+Paramètres!$B$5*(C1532-1)^2)),0)</f>
        <v>0</v>
      </c>
      <c r="I1532" s="6">
        <v>0</v>
      </c>
      <c r="J1532" s="6">
        <v>0</v>
      </c>
      <c r="K1532" s="7">
        <v>4</v>
      </c>
      <c r="L1532" s="9">
        <f t="shared" si="186"/>
        <v>0</v>
      </c>
      <c r="M1532">
        <v>0</v>
      </c>
      <c r="N1532">
        <v>0</v>
      </c>
      <c r="O1532">
        <v>0</v>
      </c>
      <c r="P1532" s="13" t="str">
        <f t="shared" si="187"/>
        <v>—</v>
      </c>
      <c r="Q1532">
        <f>ROUND(INDEX(Catalogue!E$4:E$85,MATCH(A1532,Catalogue!A$4:A$85,0))*(1+Paramètres!$B$4*(C1532-1)+Paramètres!$B$5*(C1532-1)^2),0)</f>
        <v>0</v>
      </c>
      <c r="R1532">
        <f>ROUND(INDEX(Catalogue!F$4:F$85,MATCH(A1532,Catalogue!A$4:A$85,0))*(1+Paramètres!$B$4*(C1532-1)+Paramètres!$B$5*(C1532-1)^2),0)</f>
        <v>0</v>
      </c>
      <c r="S1532">
        <f t="shared" si="188"/>
        <v>0</v>
      </c>
      <c r="T1532" t="str">
        <f t="shared" si="189"/>
        <v>OK</v>
      </c>
      <c r="U1532" s="25">
        <f t="shared" si="190"/>
        <v>0</v>
      </c>
      <c r="V1532" t="str">
        <f t="shared" si="191"/>
        <v>OK</v>
      </c>
    </row>
    <row r="1533" spans="1:22" ht="18" customHeight="1">
      <c r="A1533" t="s">
        <v>350</v>
      </c>
      <c r="B1533" t="s">
        <v>351</v>
      </c>
      <c r="C1533">
        <v>10</v>
      </c>
      <c r="D1533" t="s">
        <v>333</v>
      </c>
      <c r="E1533" s="6">
        <f t="shared" si="184"/>
        <v>0</v>
      </c>
      <c r="F1533" s="6">
        <f t="shared" si="185"/>
        <v>0</v>
      </c>
      <c r="G1533" s="6">
        <f>ROUND(Catalogue!G80*SQRT((1+Paramètres!$B$4*(C1533-1)+Paramètres!$B$5*(C1533-1)^2)),0)</f>
        <v>13</v>
      </c>
      <c r="H1533" s="6">
        <f>ROUND(Catalogue!H80*SQRT((1+Paramètres!$B$4*(C1533-1)+Paramètres!$B$5*(C1533-1)^2)),0)</f>
        <v>0</v>
      </c>
      <c r="I1533" s="6">
        <v>0</v>
      </c>
      <c r="J1533" s="6">
        <v>0</v>
      </c>
      <c r="K1533" s="7">
        <v>4</v>
      </c>
      <c r="L1533" s="9">
        <f t="shared" si="186"/>
        <v>0</v>
      </c>
      <c r="M1533">
        <v>0</v>
      </c>
      <c r="N1533">
        <v>0</v>
      </c>
      <c r="O1533">
        <v>0</v>
      </c>
      <c r="P1533" s="13" t="str">
        <f t="shared" si="187"/>
        <v>—</v>
      </c>
      <c r="Q1533">
        <f>ROUND(INDEX(Catalogue!E$4:E$85,MATCH(A1533,Catalogue!A$4:A$85,0))*(1+Paramètres!$B$4*(C1533-1)+Paramètres!$B$5*(C1533-1)^2),0)</f>
        <v>0</v>
      </c>
      <c r="R1533">
        <f>ROUND(INDEX(Catalogue!F$4:F$85,MATCH(A1533,Catalogue!A$4:A$85,0))*(1+Paramètres!$B$4*(C1533-1)+Paramètres!$B$5*(C1533-1)^2),0)</f>
        <v>0</v>
      </c>
      <c r="S1533">
        <f t="shared" si="188"/>
        <v>0</v>
      </c>
      <c r="T1533" t="str">
        <f t="shared" si="189"/>
        <v>OK</v>
      </c>
      <c r="U1533" s="25">
        <f t="shared" si="190"/>
        <v>0</v>
      </c>
      <c r="V1533" t="str">
        <f t="shared" si="191"/>
        <v>OK</v>
      </c>
    </row>
    <row r="1534" spans="1:22" ht="18" customHeight="1">
      <c r="A1534" t="s">
        <v>350</v>
      </c>
      <c r="B1534" t="s">
        <v>351</v>
      </c>
      <c r="C1534">
        <v>11</v>
      </c>
      <c r="D1534" t="s">
        <v>333</v>
      </c>
      <c r="E1534" s="6">
        <f t="shared" si="184"/>
        <v>0</v>
      </c>
      <c r="F1534" s="6">
        <f t="shared" si="185"/>
        <v>0</v>
      </c>
      <c r="G1534" s="6">
        <f>ROUND(Catalogue!G80*SQRT((1+Paramètres!$B$4*(C1534-1)+Paramètres!$B$5*(C1534-1)^2)),0)</f>
        <v>13</v>
      </c>
      <c r="H1534" s="6">
        <f>ROUND(Catalogue!H80*SQRT((1+Paramètres!$B$4*(C1534-1)+Paramètres!$B$5*(C1534-1)^2)),0)</f>
        <v>0</v>
      </c>
      <c r="I1534" s="6">
        <v>0</v>
      </c>
      <c r="J1534" s="6">
        <v>0</v>
      </c>
      <c r="K1534" s="7">
        <v>4</v>
      </c>
      <c r="L1534" s="9">
        <f t="shared" si="186"/>
        <v>0</v>
      </c>
      <c r="M1534">
        <v>0</v>
      </c>
      <c r="N1534">
        <v>0</v>
      </c>
      <c r="O1534">
        <v>0</v>
      </c>
      <c r="P1534" s="13" t="str">
        <f t="shared" si="187"/>
        <v>—</v>
      </c>
      <c r="Q1534">
        <f>ROUND(INDEX(Catalogue!E$4:E$85,MATCH(A1534,Catalogue!A$4:A$85,0))*(1+Paramètres!$B$4*(C1534-1)+Paramètres!$B$5*(C1534-1)^2),0)</f>
        <v>0</v>
      </c>
      <c r="R1534">
        <f>ROUND(INDEX(Catalogue!F$4:F$85,MATCH(A1534,Catalogue!A$4:A$85,0))*(1+Paramètres!$B$4*(C1534-1)+Paramètres!$B$5*(C1534-1)^2),0)</f>
        <v>0</v>
      </c>
      <c r="S1534">
        <f t="shared" si="188"/>
        <v>0</v>
      </c>
      <c r="T1534" t="str">
        <f t="shared" si="189"/>
        <v>OK</v>
      </c>
      <c r="U1534" s="25">
        <f t="shared" si="190"/>
        <v>0</v>
      </c>
      <c r="V1534" t="str">
        <f t="shared" si="191"/>
        <v>OK</v>
      </c>
    </row>
    <row r="1535" spans="1:22" ht="18" customHeight="1">
      <c r="A1535" t="s">
        <v>350</v>
      </c>
      <c r="B1535" t="s">
        <v>351</v>
      </c>
      <c r="C1535">
        <v>12</v>
      </c>
      <c r="D1535" t="s">
        <v>333</v>
      </c>
      <c r="E1535" s="6">
        <f t="shared" si="184"/>
        <v>0</v>
      </c>
      <c r="F1535" s="6">
        <f t="shared" si="185"/>
        <v>0</v>
      </c>
      <c r="G1535" s="6">
        <f>ROUND(Catalogue!G80*SQRT((1+Paramètres!$B$4*(C1535-1)+Paramètres!$B$5*(C1535-1)^2)),0)</f>
        <v>14</v>
      </c>
      <c r="H1535" s="6">
        <f>ROUND(Catalogue!H80*SQRT((1+Paramètres!$B$4*(C1535-1)+Paramètres!$B$5*(C1535-1)^2)),0)</f>
        <v>0</v>
      </c>
      <c r="I1535" s="6">
        <v>0</v>
      </c>
      <c r="J1535" s="6">
        <v>0</v>
      </c>
      <c r="K1535" s="7">
        <v>4</v>
      </c>
      <c r="L1535" s="9">
        <f t="shared" si="186"/>
        <v>0</v>
      </c>
      <c r="M1535">
        <v>0</v>
      </c>
      <c r="N1535">
        <v>0</v>
      </c>
      <c r="O1535">
        <v>0</v>
      </c>
      <c r="P1535" s="13" t="str">
        <f t="shared" si="187"/>
        <v>—</v>
      </c>
      <c r="Q1535">
        <f>ROUND(INDEX(Catalogue!E$4:E$85,MATCH(A1535,Catalogue!A$4:A$85,0))*(1+Paramètres!$B$4*(C1535-1)+Paramètres!$B$5*(C1535-1)^2),0)</f>
        <v>0</v>
      </c>
      <c r="R1535">
        <f>ROUND(INDEX(Catalogue!F$4:F$85,MATCH(A1535,Catalogue!A$4:A$85,0))*(1+Paramètres!$B$4*(C1535-1)+Paramètres!$B$5*(C1535-1)^2),0)</f>
        <v>0</v>
      </c>
      <c r="S1535">
        <f t="shared" si="188"/>
        <v>0</v>
      </c>
      <c r="T1535" t="str">
        <f t="shared" si="189"/>
        <v>OK</v>
      </c>
      <c r="U1535" s="25">
        <f t="shared" si="190"/>
        <v>0</v>
      </c>
      <c r="V1535" t="str">
        <f t="shared" si="191"/>
        <v>OK</v>
      </c>
    </row>
    <row r="1536" spans="1:22" ht="18" customHeight="1">
      <c r="A1536" t="s">
        <v>350</v>
      </c>
      <c r="B1536" t="s">
        <v>351</v>
      </c>
      <c r="C1536">
        <v>13</v>
      </c>
      <c r="D1536" t="s">
        <v>333</v>
      </c>
      <c r="E1536" s="6">
        <f t="shared" si="184"/>
        <v>0</v>
      </c>
      <c r="F1536" s="6">
        <f t="shared" si="185"/>
        <v>0</v>
      </c>
      <c r="G1536" s="6">
        <f>ROUND(Catalogue!G80*SQRT((1+Paramètres!$B$4*(C1536-1)+Paramètres!$B$5*(C1536-1)^2)),0)</f>
        <v>15</v>
      </c>
      <c r="H1536" s="6">
        <f>ROUND(Catalogue!H80*SQRT((1+Paramètres!$B$4*(C1536-1)+Paramètres!$B$5*(C1536-1)^2)),0)</f>
        <v>0</v>
      </c>
      <c r="I1536" s="6">
        <v>0</v>
      </c>
      <c r="J1536" s="6">
        <v>0</v>
      </c>
      <c r="K1536" s="7">
        <v>4</v>
      </c>
      <c r="L1536" s="9">
        <f t="shared" si="186"/>
        <v>0</v>
      </c>
      <c r="M1536">
        <v>0</v>
      </c>
      <c r="N1536">
        <v>0</v>
      </c>
      <c r="O1536">
        <v>0</v>
      </c>
      <c r="P1536" s="13" t="str">
        <f t="shared" si="187"/>
        <v>—</v>
      </c>
      <c r="Q1536">
        <f>ROUND(INDEX(Catalogue!E$4:E$85,MATCH(A1536,Catalogue!A$4:A$85,0))*(1+Paramètres!$B$4*(C1536-1)+Paramètres!$B$5*(C1536-1)^2),0)</f>
        <v>0</v>
      </c>
      <c r="R1536">
        <f>ROUND(INDEX(Catalogue!F$4:F$85,MATCH(A1536,Catalogue!A$4:A$85,0))*(1+Paramètres!$B$4*(C1536-1)+Paramètres!$B$5*(C1536-1)^2),0)</f>
        <v>0</v>
      </c>
      <c r="S1536">
        <f t="shared" si="188"/>
        <v>0</v>
      </c>
      <c r="T1536" t="str">
        <f t="shared" si="189"/>
        <v>OK</v>
      </c>
      <c r="U1536" s="25">
        <f t="shared" si="190"/>
        <v>0</v>
      </c>
      <c r="V1536" t="str">
        <f t="shared" si="191"/>
        <v>OK</v>
      </c>
    </row>
    <row r="1537" spans="1:22" ht="18" customHeight="1">
      <c r="A1537" t="s">
        <v>350</v>
      </c>
      <c r="B1537" t="s">
        <v>351</v>
      </c>
      <c r="C1537">
        <v>14</v>
      </c>
      <c r="D1537" t="s">
        <v>333</v>
      </c>
      <c r="E1537" s="6">
        <f t="shared" si="184"/>
        <v>0</v>
      </c>
      <c r="F1537" s="6">
        <f t="shared" si="185"/>
        <v>0</v>
      </c>
      <c r="G1537" s="6">
        <f>ROUND(Catalogue!G80*SQRT((1+Paramètres!$B$4*(C1537-1)+Paramètres!$B$5*(C1537-1)^2)),0)</f>
        <v>16</v>
      </c>
      <c r="H1537" s="6">
        <f>ROUND(Catalogue!H80*SQRT((1+Paramètres!$B$4*(C1537-1)+Paramètres!$B$5*(C1537-1)^2)),0)</f>
        <v>0</v>
      </c>
      <c r="I1537" s="6">
        <v>0</v>
      </c>
      <c r="J1537" s="6">
        <v>0</v>
      </c>
      <c r="K1537" s="7">
        <v>4</v>
      </c>
      <c r="L1537" s="9">
        <f t="shared" si="186"/>
        <v>0</v>
      </c>
      <c r="M1537">
        <v>0</v>
      </c>
      <c r="N1537">
        <v>0</v>
      </c>
      <c r="O1537">
        <v>0</v>
      </c>
      <c r="P1537" s="13" t="str">
        <f t="shared" si="187"/>
        <v>—</v>
      </c>
      <c r="Q1537">
        <f>ROUND(INDEX(Catalogue!E$4:E$85,MATCH(A1537,Catalogue!A$4:A$85,0))*(1+Paramètres!$B$4*(C1537-1)+Paramètres!$B$5*(C1537-1)^2),0)</f>
        <v>0</v>
      </c>
      <c r="R1537">
        <f>ROUND(INDEX(Catalogue!F$4:F$85,MATCH(A1537,Catalogue!A$4:A$85,0))*(1+Paramètres!$B$4*(C1537-1)+Paramètres!$B$5*(C1537-1)^2),0)</f>
        <v>0</v>
      </c>
      <c r="S1537">
        <f t="shared" si="188"/>
        <v>0</v>
      </c>
      <c r="T1537" t="str">
        <f t="shared" si="189"/>
        <v>OK</v>
      </c>
      <c r="U1537" s="25">
        <f t="shared" si="190"/>
        <v>0</v>
      </c>
      <c r="V1537" t="str">
        <f t="shared" si="191"/>
        <v>OK</v>
      </c>
    </row>
    <row r="1538" spans="1:22" ht="18" customHeight="1">
      <c r="A1538" t="s">
        <v>350</v>
      </c>
      <c r="B1538" t="s">
        <v>351</v>
      </c>
      <c r="C1538">
        <v>15</v>
      </c>
      <c r="D1538" t="s">
        <v>333</v>
      </c>
      <c r="E1538" s="6">
        <f t="shared" si="184"/>
        <v>0</v>
      </c>
      <c r="F1538" s="6">
        <f t="shared" si="185"/>
        <v>0</v>
      </c>
      <c r="G1538" s="6">
        <f>ROUND(Catalogue!G80*SQRT((1+Paramètres!$B$4*(C1538-1)+Paramètres!$B$5*(C1538-1)^2)),0)</f>
        <v>17</v>
      </c>
      <c r="H1538" s="6">
        <f>ROUND(Catalogue!H80*SQRT((1+Paramètres!$B$4*(C1538-1)+Paramètres!$B$5*(C1538-1)^2)),0)</f>
        <v>0</v>
      </c>
      <c r="I1538" s="6">
        <v>0</v>
      </c>
      <c r="J1538" s="6">
        <v>0</v>
      </c>
      <c r="K1538" s="7">
        <v>4</v>
      </c>
      <c r="L1538" s="9">
        <f t="shared" si="186"/>
        <v>0</v>
      </c>
      <c r="M1538">
        <v>0</v>
      </c>
      <c r="N1538">
        <v>0</v>
      </c>
      <c r="O1538">
        <v>0</v>
      </c>
      <c r="P1538" s="13" t="str">
        <f t="shared" si="187"/>
        <v>—</v>
      </c>
      <c r="Q1538">
        <f>ROUND(INDEX(Catalogue!E$4:E$85,MATCH(A1538,Catalogue!A$4:A$85,0))*(1+Paramètres!$B$4*(C1538-1)+Paramètres!$B$5*(C1538-1)^2),0)</f>
        <v>0</v>
      </c>
      <c r="R1538">
        <f>ROUND(INDEX(Catalogue!F$4:F$85,MATCH(A1538,Catalogue!A$4:A$85,0))*(1+Paramètres!$B$4*(C1538-1)+Paramètres!$B$5*(C1538-1)^2),0)</f>
        <v>0</v>
      </c>
      <c r="S1538">
        <f t="shared" si="188"/>
        <v>0</v>
      </c>
      <c r="T1538" t="str">
        <f t="shared" si="189"/>
        <v>OK</v>
      </c>
      <c r="U1538" s="25">
        <f t="shared" si="190"/>
        <v>0</v>
      </c>
      <c r="V1538" t="str">
        <f t="shared" si="191"/>
        <v>OK</v>
      </c>
    </row>
    <row r="1539" spans="1:22" ht="18" customHeight="1">
      <c r="A1539" t="s">
        <v>350</v>
      </c>
      <c r="B1539" t="s">
        <v>351</v>
      </c>
      <c r="C1539">
        <v>16</v>
      </c>
      <c r="D1539" t="s">
        <v>333</v>
      </c>
      <c r="E1539" s="6">
        <f t="shared" si="184"/>
        <v>0</v>
      </c>
      <c r="F1539" s="6">
        <f t="shared" si="185"/>
        <v>0</v>
      </c>
      <c r="G1539" s="6">
        <f>ROUND(Catalogue!G80*SQRT((1+Paramètres!$B$4*(C1539-1)+Paramètres!$B$5*(C1539-1)^2)),0)</f>
        <v>18</v>
      </c>
      <c r="H1539" s="6">
        <f>ROUND(Catalogue!H80*SQRT((1+Paramètres!$B$4*(C1539-1)+Paramètres!$B$5*(C1539-1)^2)),0)</f>
        <v>0</v>
      </c>
      <c r="I1539" s="6">
        <v>0</v>
      </c>
      <c r="J1539" s="6">
        <v>0</v>
      </c>
      <c r="K1539" s="7">
        <v>4</v>
      </c>
      <c r="L1539" s="9">
        <f t="shared" si="186"/>
        <v>0</v>
      </c>
      <c r="M1539">
        <v>0</v>
      </c>
      <c r="N1539">
        <v>0</v>
      </c>
      <c r="O1539">
        <v>0</v>
      </c>
      <c r="P1539" s="13" t="str">
        <f t="shared" si="187"/>
        <v>—</v>
      </c>
      <c r="Q1539">
        <f>ROUND(INDEX(Catalogue!E$4:E$85,MATCH(A1539,Catalogue!A$4:A$85,0))*(1+Paramètres!$B$4*(C1539-1)+Paramètres!$B$5*(C1539-1)^2),0)</f>
        <v>0</v>
      </c>
      <c r="R1539">
        <f>ROUND(INDEX(Catalogue!F$4:F$85,MATCH(A1539,Catalogue!A$4:A$85,0))*(1+Paramètres!$B$4*(C1539-1)+Paramètres!$B$5*(C1539-1)^2),0)</f>
        <v>0</v>
      </c>
      <c r="S1539">
        <f t="shared" si="188"/>
        <v>0</v>
      </c>
      <c r="T1539" t="str">
        <f t="shared" si="189"/>
        <v>OK</v>
      </c>
      <c r="U1539" s="25">
        <f t="shared" si="190"/>
        <v>0</v>
      </c>
      <c r="V1539" t="str">
        <f t="shared" si="191"/>
        <v>OK</v>
      </c>
    </row>
    <row r="1540" spans="1:22" ht="18" customHeight="1">
      <c r="A1540" t="s">
        <v>350</v>
      </c>
      <c r="B1540" t="s">
        <v>351</v>
      </c>
      <c r="C1540">
        <v>17</v>
      </c>
      <c r="D1540" t="s">
        <v>333</v>
      </c>
      <c r="E1540" s="6">
        <f t="shared" ref="E1540:E1603" si="192">IF(M1540=0,0,M1540+O1540)</f>
        <v>0</v>
      </c>
      <c r="F1540" s="6">
        <f t="shared" ref="F1540:F1603" si="193">IF(M1540=0,0,M1540*N1540+O1540)</f>
        <v>0</v>
      </c>
      <c r="G1540" s="6">
        <f>ROUND(Catalogue!G80*SQRT((1+Paramètres!$B$4*(C1540-1)+Paramètres!$B$5*(C1540-1)^2)),0)</f>
        <v>18</v>
      </c>
      <c r="H1540" s="6">
        <f>ROUND(Catalogue!H80*SQRT((1+Paramètres!$B$4*(C1540-1)+Paramètres!$B$5*(C1540-1)^2)),0)</f>
        <v>0</v>
      </c>
      <c r="I1540" s="6">
        <v>0</v>
      </c>
      <c r="J1540" s="6">
        <v>0</v>
      </c>
      <c r="K1540" s="7">
        <v>4</v>
      </c>
      <c r="L1540" s="9">
        <f t="shared" ref="L1540:L1603" si="194">IF(M1540=0,0,(E1540+F1540)/2)</f>
        <v>0</v>
      </c>
      <c r="M1540">
        <v>0</v>
      </c>
      <c r="N1540">
        <v>0</v>
      </c>
      <c r="O1540">
        <v>0</v>
      </c>
      <c r="P1540" s="13" t="str">
        <f t="shared" ref="P1540:P1603" si="195">IF(M1540=0,"—",M1540&amp;"d"&amp;N1540&amp;IF(O1540=0,""," + "&amp;O1540))</f>
        <v>—</v>
      </c>
      <c r="Q1540">
        <f>ROUND(INDEX(Catalogue!E$4:E$85,MATCH(A1540,Catalogue!A$4:A$85,0))*(1+Paramètres!$B$4*(C1540-1)+Paramètres!$B$5*(C1540-1)^2),0)</f>
        <v>0</v>
      </c>
      <c r="R1540">
        <f>ROUND(INDEX(Catalogue!F$4:F$85,MATCH(A1540,Catalogue!A$4:A$85,0))*(1+Paramètres!$B$4*(C1540-1)+Paramètres!$B$5*(C1540-1)^2),0)</f>
        <v>0</v>
      </c>
      <c r="S1540">
        <f t="shared" ref="S1540:S1603" si="196">L1540-AVERAGE(Q1540:R1540)</f>
        <v>0</v>
      </c>
      <c r="T1540" t="str">
        <f t="shared" ref="T1540:T1603" si="197">IF(M1540=0,IF(AND(N1540=0,O1540=0,E1540=0,F1540=0),"OK","ERREUR"),IF(AND(M1540&gt;=1,M1540&lt;=32,OR(N1540=4,N1540=6,N1540=8,N1540=10,N1540=12,N1540=20),O1540&gt;=0,E1540=M1540+O1540,F1540=M1540*N1540+O1540),"OK","ERREUR"))</f>
        <v>OK</v>
      </c>
      <c r="U1540" s="25">
        <f t="shared" ref="U1540:U1603" si="198">IF(M1540&gt;0,M1540*(N1540+1)/2+O1540,0)</f>
        <v>0</v>
      </c>
      <c r="V1540" t="str">
        <f t="shared" ref="V1540:V1603" si="199">IF(ABS(L1540-U1540)&lt;0.001,"OK","ERREUR")</f>
        <v>OK</v>
      </c>
    </row>
    <row r="1541" spans="1:22" ht="18" customHeight="1">
      <c r="A1541" t="s">
        <v>350</v>
      </c>
      <c r="B1541" t="s">
        <v>351</v>
      </c>
      <c r="C1541">
        <v>18</v>
      </c>
      <c r="D1541" t="s">
        <v>333</v>
      </c>
      <c r="E1541" s="6">
        <f t="shared" si="192"/>
        <v>0</v>
      </c>
      <c r="F1541" s="6">
        <f t="shared" si="193"/>
        <v>0</v>
      </c>
      <c r="G1541" s="6">
        <f>ROUND(Catalogue!G80*SQRT((1+Paramètres!$B$4*(C1541-1)+Paramètres!$B$5*(C1541-1)^2)),0)</f>
        <v>19</v>
      </c>
      <c r="H1541" s="6">
        <f>ROUND(Catalogue!H80*SQRT((1+Paramètres!$B$4*(C1541-1)+Paramètres!$B$5*(C1541-1)^2)),0)</f>
        <v>0</v>
      </c>
      <c r="I1541" s="6">
        <v>0</v>
      </c>
      <c r="J1541" s="6">
        <v>0</v>
      </c>
      <c r="K1541" s="7">
        <v>4</v>
      </c>
      <c r="L1541" s="9">
        <f t="shared" si="194"/>
        <v>0</v>
      </c>
      <c r="M1541">
        <v>0</v>
      </c>
      <c r="N1541">
        <v>0</v>
      </c>
      <c r="O1541">
        <v>0</v>
      </c>
      <c r="P1541" s="13" t="str">
        <f t="shared" si="195"/>
        <v>—</v>
      </c>
      <c r="Q1541">
        <f>ROUND(INDEX(Catalogue!E$4:E$85,MATCH(A1541,Catalogue!A$4:A$85,0))*(1+Paramètres!$B$4*(C1541-1)+Paramètres!$B$5*(C1541-1)^2),0)</f>
        <v>0</v>
      </c>
      <c r="R1541">
        <f>ROUND(INDEX(Catalogue!F$4:F$85,MATCH(A1541,Catalogue!A$4:A$85,0))*(1+Paramètres!$B$4*(C1541-1)+Paramètres!$B$5*(C1541-1)^2),0)</f>
        <v>0</v>
      </c>
      <c r="S1541">
        <f t="shared" si="196"/>
        <v>0</v>
      </c>
      <c r="T1541" t="str">
        <f t="shared" si="197"/>
        <v>OK</v>
      </c>
      <c r="U1541" s="25">
        <f t="shared" si="198"/>
        <v>0</v>
      </c>
      <c r="V1541" t="str">
        <f t="shared" si="199"/>
        <v>OK</v>
      </c>
    </row>
    <row r="1542" spans="1:22" ht="18" customHeight="1">
      <c r="A1542" t="s">
        <v>350</v>
      </c>
      <c r="B1542" t="s">
        <v>351</v>
      </c>
      <c r="C1542">
        <v>19</v>
      </c>
      <c r="D1542" t="s">
        <v>333</v>
      </c>
      <c r="E1542" s="6">
        <f t="shared" si="192"/>
        <v>0</v>
      </c>
      <c r="F1542" s="6">
        <f t="shared" si="193"/>
        <v>0</v>
      </c>
      <c r="G1542" s="6">
        <f>ROUND(Catalogue!G80*SQRT((1+Paramètres!$B$4*(C1542-1)+Paramètres!$B$5*(C1542-1)^2)),0)</f>
        <v>20</v>
      </c>
      <c r="H1542" s="6">
        <f>ROUND(Catalogue!H80*SQRT((1+Paramètres!$B$4*(C1542-1)+Paramètres!$B$5*(C1542-1)^2)),0)</f>
        <v>0</v>
      </c>
      <c r="I1542" s="6">
        <v>0</v>
      </c>
      <c r="J1542" s="6">
        <v>0</v>
      </c>
      <c r="K1542" s="7">
        <v>4</v>
      </c>
      <c r="L1542" s="9">
        <f t="shared" si="194"/>
        <v>0</v>
      </c>
      <c r="M1542">
        <v>0</v>
      </c>
      <c r="N1542">
        <v>0</v>
      </c>
      <c r="O1542">
        <v>0</v>
      </c>
      <c r="P1542" s="13" t="str">
        <f t="shared" si="195"/>
        <v>—</v>
      </c>
      <c r="Q1542">
        <f>ROUND(INDEX(Catalogue!E$4:E$85,MATCH(A1542,Catalogue!A$4:A$85,0))*(1+Paramètres!$B$4*(C1542-1)+Paramètres!$B$5*(C1542-1)^2),0)</f>
        <v>0</v>
      </c>
      <c r="R1542">
        <f>ROUND(INDEX(Catalogue!F$4:F$85,MATCH(A1542,Catalogue!A$4:A$85,0))*(1+Paramètres!$B$4*(C1542-1)+Paramètres!$B$5*(C1542-1)^2),0)</f>
        <v>0</v>
      </c>
      <c r="S1542">
        <f t="shared" si="196"/>
        <v>0</v>
      </c>
      <c r="T1542" t="str">
        <f t="shared" si="197"/>
        <v>OK</v>
      </c>
      <c r="U1542" s="25">
        <f t="shared" si="198"/>
        <v>0</v>
      </c>
      <c r="V1542" t="str">
        <f t="shared" si="199"/>
        <v>OK</v>
      </c>
    </row>
    <row r="1543" spans="1:22" ht="18" customHeight="1">
      <c r="A1543" t="s">
        <v>350</v>
      </c>
      <c r="B1543" t="s">
        <v>351</v>
      </c>
      <c r="C1543">
        <v>20</v>
      </c>
      <c r="D1543" t="s">
        <v>333</v>
      </c>
      <c r="E1543" s="6">
        <f t="shared" si="192"/>
        <v>0</v>
      </c>
      <c r="F1543" s="6">
        <f t="shared" si="193"/>
        <v>0</v>
      </c>
      <c r="G1543" s="6">
        <f>ROUND(Catalogue!G80*SQRT((1+Paramètres!$B$4*(C1543-1)+Paramètres!$B$5*(C1543-1)^2)),0)</f>
        <v>21</v>
      </c>
      <c r="H1543" s="6">
        <f>ROUND(Catalogue!H80*SQRT((1+Paramètres!$B$4*(C1543-1)+Paramètres!$B$5*(C1543-1)^2)),0)</f>
        <v>0</v>
      </c>
      <c r="I1543" s="6">
        <v>0</v>
      </c>
      <c r="J1543" s="6">
        <v>0</v>
      </c>
      <c r="K1543" s="7">
        <v>4</v>
      </c>
      <c r="L1543" s="9">
        <f t="shared" si="194"/>
        <v>0</v>
      </c>
      <c r="M1543">
        <v>0</v>
      </c>
      <c r="N1543">
        <v>0</v>
      </c>
      <c r="O1543">
        <v>0</v>
      </c>
      <c r="P1543" s="13" t="str">
        <f t="shared" si="195"/>
        <v>—</v>
      </c>
      <c r="Q1543">
        <f>ROUND(INDEX(Catalogue!E$4:E$85,MATCH(A1543,Catalogue!A$4:A$85,0))*(1+Paramètres!$B$4*(C1543-1)+Paramètres!$B$5*(C1543-1)^2),0)</f>
        <v>0</v>
      </c>
      <c r="R1543">
        <f>ROUND(INDEX(Catalogue!F$4:F$85,MATCH(A1543,Catalogue!A$4:A$85,0))*(1+Paramètres!$B$4*(C1543-1)+Paramètres!$B$5*(C1543-1)^2),0)</f>
        <v>0</v>
      </c>
      <c r="S1543">
        <f t="shared" si="196"/>
        <v>0</v>
      </c>
      <c r="T1543" t="str">
        <f t="shared" si="197"/>
        <v>OK</v>
      </c>
      <c r="U1543" s="25">
        <f t="shared" si="198"/>
        <v>0</v>
      </c>
      <c r="V1543" t="str">
        <f t="shared" si="199"/>
        <v>OK</v>
      </c>
    </row>
    <row r="1544" spans="1:22" ht="18" customHeight="1">
      <c r="A1544" t="s">
        <v>353</v>
      </c>
      <c r="B1544" t="s">
        <v>354</v>
      </c>
      <c r="C1544">
        <v>1</v>
      </c>
      <c r="D1544" t="s">
        <v>333</v>
      </c>
      <c r="E1544" s="6">
        <f t="shared" si="192"/>
        <v>0</v>
      </c>
      <c r="F1544" s="6">
        <f t="shared" si="193"/>
        <v>0</v>
      </c>
      <c r="G1544" s="6">
        <f>ROUND(Catalogue!G81*SQRT((1+Paramètres!$B$4*(C1544-1)+Paramètres!$B$5*(C1544-1)^2)),0)</f>
        <v>8</v>
      </c>
      <c r="H1544" s="6">
        <f>ROUND(Catalogue!H81*SQRT((1+Paramètres!$B$4*(C1544-1)+Paramètres!$B$5*(C1544-1)^2)),0)</f>
        <v>0</v>
      </c>
      <c r="I1544" s="6">
        <v>0</v>
      </c>
      <c r="J1544" s="6">
        <v>0</v>
      </c>
      <c r="K1544" s="7">
        <v>4.5999999999999996</v>
      </c>
      <c r="L1544" s="9">
        <f t="shared" si="194"/>
        <v>0</v>
      </c>
      <c r="M1544">
        <v>0</v>
      </c>
      <c r="N1544">
        <v>0</v>
      </c>
      <c r="O1544">
        <v>0</v>
      </c>
      <c r="P1544" s="13" t="str">
        <f t="shared" si="195"/>
        <v>—</v>
      </c>
      <c r="Q1544">
        <f>ROUND(INDEX(Catalogue!E$4:E$85,MATCH(A1544,Catalogue!A$4:A$85,0))*(1+Paramètres!$B$4*(C1544-1)+Paramètres!$B$5*(C1544-1)^2),0)</f>
        <v>0</v>
      </c>
      <c r="R1544">
        <f>ROUND(INDEX(Catalogue!F$4:F$85,MATCH(A1544,Catalogue!A$4:A$85,0))*(1+Paramètres!$B$4*(C1544-1)+Paramètres!$B$5*(C1544-1)^2),0)</f>
        <v>0</v>
      </c>
      <c r="S1544">
        <f t="shared" si="196"/>
        <v>0</v>
      </c>
      <c r="T1544" t="str">
        <f t="shared" si="197"/>
        <v>OK</v>
      </c>
      <c r="U1544" s="25">
        <f t="shared" si="198"/>
        <v>0</v>
      </c>
      <c r="V1544" t="str">
        <f t="shared" si="199"/>
        <v>OK</v>
      </c>
    </row>
    <row r="1545" spans="1:22" ht="18" customHeight="1">
      <c r="A1545" t="s">
        <v>353</v>
      </c>
      <c r="B1545" t="s">
        <v>354</v>
      </c>
      <c r="C1545">
        <v>2</v>
      </c>
      <c r="D1545" t="s">
        <v>333</v>
      </c>
      <c r="E1545" s="6">
        <f t="shared" si="192"/>
        <v>0</v>
      </c>
      <c r="F1545" s="6">
        <f t="shared" si="193"/>
        <v>0</v>
      </c>
      <c r="G1545" s="6">
        <f>ROUND(Catalogue!G81*SQRT((1+Paramètres!$B$4*(C1545-1)+Paramètres!$B$5*(C1545-1)^2)),0)</f>
        <v>8</v>
      </c>
      <c r="H1545" s="6">
        <f>ROUND(Catalogue!H81*SQRT((1+Paramètres!$B$4*(C1545-1)+Paramètres!$B$5*(C1545-1)^2)),0)</f>
        <v>0</v>
      </c>
      <c r="I1545" s="6">
        <v>0</v>
      </c>
      <c r="J1545" s="6">
        <v>0</v>
      </c>
      <c r="K1545" s="7">
        <v>4.5999999999999996</v>
      </c>
      <c r="L1545" s="9">
        <f t="shared" si="194"/>
        <v>0</v>
      </c>
      <c r="M1545">
        <v>0</v>
      </c>
      <c r="N1545">
        <v>0</v>
      </c>
      <c r="O1545">
        <v>0</v>
      </c>
      <c r="P1545" s="13" t="str">
        <f t="shared" si="195"/>
        <v>—</v>
      </c>
      <c r="Q1545">
        <f>ROUND(INDEX(Catalogue!E$4:E$85,MATCH(A1545,Catalogue!A$4:A$85,0))*(1+Paramètres!$B$4*(C1545-1)+Paramètres!$B$5*(C1545-1)^2),0)</f>
        <v>0</v>
      </c>
      <c r="R1545">
        <f>ROUND(INDEX(Catalogue!F$4:F$85,MATCH(A1545,Catalogue!A$4:A$85,0))*(1+Paramètres!$B$4*(C1545-1)+Paramètres!$B$5*(C1545-1)^2),0)</f>
        <v>0</v>
      </c>
      <c r="S1545">
        <f t="shared" si="196"/>
        <v>0</v>
      </c>
      <c r="T1545" t="str">
        <f t="shared" si="197"/>
        <v>OK</v>
      </c>
      <c r="U1545" s="25">
        <f t="shared" si="198"/>
        <v>0</v>
      </c>
      <c r="V1545" t="str">
        <f t="shared" si="199"/>
        <v>OK</v>
      </c>
    </row>
    <row r="1546" spans="1:22" ht="18" customHeight="1">
      <c r="A1546" t="s">
        <v>353</v>
      </c>
      <c r="B1546" t="s">
        <v>354</v>
      </c>
      <c r="C1546">
        <v>3</v>
      </c>
      <c r="D1546" t="s">
        <v>333</v>
      </c>
      <c r="E1546" s="6">
        <f t="shared" si="192"/>
        <v>0</v>
      </c>
      <c r="F1546" s="6">
        <f t="shared" si="193"/>
        <v>0</v>
      </c>
      <c r="G1546" s="6">
        <f>ROUND(Catalogue!G81*SQRT((1+Paramètres!$B$4*(C1546-1)+Paramètres!$B$5*(C1546-1)^2)),0)</f>
        <v>9</v>
      </c>
      <c r="H1546" s="6">
        <f>ROUND(Catalogue!H81*SQRT((1+Paramètres!$B$4*(C1546-1)+Paramètres!$B$5*(C1546-1)^2)),0)</f>
        <v>0</v>
      </c>
      <c r="I1546" s="6">
        <v>0</v>
      </c>
      <c r="J1546" s="6">
        <v>0</v>
      </c>
      <c r="K1546" s="7">
        <v>4.5999999999999996</v>
      </c>
      <c r="L1546" s="9">
        <f t="shared" si="194"/>
        <v>0</v>
      </c>
      <c r="M1546">
        <v>0</v>
      </c>
      <c r="N1546">
        <v>0</v>
      </c>
      <c r="O1546">
        <v>0</v>
      </c>
      <c r="P1546" s="13" t="str">
        <f t="shared" si="195"/>
        <v>—</v>
      </c>
      <c r="Q1546">
        <f>ROUND(INDEX(Catalogue!E$4:E$85,MATCH(A1546,Catalogue!A$4:A$85,0))*(1+Paramètres!$B$4*(C1546-1)+Paramètres!$B$5*(C1546-1)^2),0)</f>
        <v>0</v>
      </c>
      <c r="R1546">
        <f>ROUND(INDEX(Catalogue!F$4:F$85,MATCH(A1546,Catalogue!A$4:A$85,0))*(1+Paramètres!$B$4*(C1546-1)+Paramètres!$B$5*(C1546-1)^2),0)</f>
        <v>0</v>
      </c>
      <c r="S1546">
        <f t="shared" si="196"/>
        <v>0</v>
      </c>
      <c r="T1546" t="str">
        <f t="shared" si="197"/>
        <v>OK</v>
      </c>
      <c r="U1546" s="25">
        <f t="shared" si="198"/>
        <v>0</v>
      </c>
      <c r="V1546" t="str">
        <f t="shared" si="199"/>
        <v>OK</v>
      </c>
    </row>
    <row r="1547" spans="1:22" ht="18" customHeight="1">
      <c r="A1547" t="s">
        <v>353</v>
      </c>
      <c r="B1547" t="s">
        <v>354</v>
      </c>
      <c r="C1547">
        <v>4</v>
      </c>
      <c r="D1547" t="s">
        <v>333</v>
      </c>
      <c r="E1547" s="6">
        <f t="shared" si="192"/>
        <v>0</v>
      </c>
      <c r="F1547" s="6">
        <f t="shared" si="193"/>
        <v>0</v>
      </c>
      <c r="G1547" s="6">
        <f>ROUND(Catalogue!G81*SQRT((1+Paramètres!$B$4*(C1547-1)+Paramètres!$B$5*(C1547-1)^2)),0)</f>
        <v>10</v>
      </c>
      <c r="H1547" s="6">
        <f>ROUND(Catalogue!H81*SQRT((1+Paramètres!$B$4*(C1547-1)+Paramètres!$B$5*(C1547-1)^2)),0)</f>
        <v>0</v>
      </c>
      <c r="I1547" s="6">
        <v>0</v>
      </c>
      <c r="J1547" s="6">
        <v>0</v>
      </c>
      <c r="K1547" s="7">
        <v>4.5999999999999996</v>
      </c>
      <c r="L1547" s="9">
        <f t="shared" si="194"/>
        <v>0</v>
      </c>
      <c r="M1547">
        <v>0</v>
      </c>
      <c r="N1547">
        <v>0</v>
      </c>
      <c r="O1547">
        <v>0</v>
      </c>
      <c r="P1547" s="13" t="str">
        <f t="shared" si="195"/>
        <v>—</v>
      </c>
      <c r="Q1547">
        <f>ROUND(INDEX(Catalogue!E$4:E$85,MATCH(A1547,Catalogue!A$4:A$85,0))*(1+Paramètres!$B$4*(C1547-1)+Paramètres!$B$5*(C1547-1)^2),0)</f>
        <v>0</v>
      </c>
      <c r="R1547">
        <f>ROUND(INDEX(Catalogue!F$4:F$85,MATCH(A1547,Catalogue!A$4:A$85,0))*(1+Paramètres!$B$4*(C1547-1)+Paramètres!$B$5*(C1547-1)^2),0)</f>
        <v>0</v>
      </c>
      <c r="S1547">
        <f t="shared" si="196"/>
        <v>0</v>
      </c>
      <c r="T1547" t="str">
        <f t="shared" si="197"/>
        <v>OK</v>
      </c>
      <c r="U1547" s="25">
        <f t="shared" si="198"/>
        <v>0</v>
      </c>
      <c r="V1547" t="str">
        <f t="shared" si="199"/>
        <v>OK</v>
      </c>
    </row>
    <row r="1548" spans="1:22" ht="18" customHeight="1">
      <c r="A1548" t="s">
        <v>353</v>
      </c>
      <c r="B1548" t="s">
        <v>354</v>
      </c>
      <c r="C1548">
        <v>5</v>
      </c>
      <c r="D1548" t="s">
        <v>333</v>
      </c>
      <c r="E1548" s="6">
        <f t="shared" si="192"/>
        <v>0</v>
      </c>
      <c r="F1548" s="6">
        <f t="shared" si="193"/>
        <v>0</v>
      </c>
      <c r="G1548" s="6">
        <f>ROUND(Catalogue!G81*SQRT((1+Paramètres!$B$4*(C1548-1)+Paramètres!$B$5*(C1548-1)^2)),0)</f>
        <v>10</v>
      </c>
      <c r="H1548" s="6">
        <f>ROUND(Catalogue!H81*SQRT((1+Paramètres!$B$4*(C1548-1)+Paramètres!$B$5*(C1548-1)^2)),0)</f>
        <v>0</v>
      </c>
      <c r="I1548" s="6">
        <v>0</v>
      </c>
      <c r="J1548" s="6">
        <v>0</v>
      </c>
      <c r="K1548" s="7">
        <v>4.5999999999999996</v>
      </c>
      <c r="L1548" s="9">
        <f t="shared" si="194"/>
        <v>0</v>
      </c>
      <c r="M1548">
        <v>0</v>
      </c>
      <c r="N1548">
        <v>0</v>
      </c>
      <c r="O1548">
        <v>0</v>
      </c>
      <c r="P1548" s="13" t="str">
        <f t="shared" si="195"/>
        <v>—</v>
      </c>
      <c r="Q1548">
        <f>ROUND(INDEX(Catalogue!E$4:E$85,MATCH(A1548,Catalogue!A$4:A$85,0))*(1+Paramètres!$B$4*(C1548-1)+Paramètres!$B$5*(C1548-1)^2),0)</f>
        <v>0</v>
      </c>
      <c r="R1548">
        <f>ROUND(INDEX(Catalogue!F$4:F$85,MATCH(A1548,Catalogue!A$4:A$85,0))*(1+Paramètres!$B$4*(C1548-1)+Paramètres!$B$5*(C1548-1)^2),0)</f>
        <v>0</v>
      </c>
      <c r="S1548">
        <f t="shared" si="196"/>
        <v>0</v>
      </c>
      <c r="T1548" t="str">
        <f t="shared" si="197"/>
        <v>OK</v>
      </c>
      <c r="U1548" s="25">
        <f t="shared" si="198"/>
        <v>0</v>
      </c>
      <c r="V1548" t="str">
        <f t="shared" si="199"/>
        <v>OK</v>
      </c>
    </row>
    <row r="1549" spans="1:22" ht="18" customHeight="1">
      <c r="A1549" t="s">
        <v>353</v>
      </c>
      <c r="B1549" t="s">
        <v>354</v>
      </c>
      <c r="C1549">
        <v>6</v>
      </c>
      <c r="D1549" t="s">
        <v>333</v>
      </c>
      <c r="E1549" s="6">
        <f t="shared" si="192"/>
        <v>0</v>
      </c>
      <c r="F1549" s="6">
        <f t="shared" si="193"/>
        <v>0</v>
      </c>
      <c r="G1549" s="6">
        <f>ROUND(Catalogue!G81*SQRT((1+Paramètres!$B$4*(C1549-1)+Paramètres!$B$5*(C1549-1)^2)),0)</f>
        <v>11</v>
      </c>
      <c r="H1549" s="6">
        <f>ROUND(Catalogue!H81*SQRT((1+Paramètres!$B$4*(C1549-1)+Paramètres!$B$5*(C1549-1)^2)),0)</f>
        <v>0</v>
      </c>
      <c r="I1549" s="6">
        <v>0</v>
      </c>
      <c r="J1549" s="6">
        <v>0</v>
      </c>
      <c r="K1549" s="7">
        <v>4.5999999999999996</v>
      </c>
      <c r="L1549" s="9">
        <f t="shared" si="194"/>
        <v>0</v>
      </c>
      <c r="M1549">
        <v>0</v>
      </c>
      <c r="N1549">
        <v>0</v>
      </c>
      <c r="O1549">
        <v>0</v>
      </c>
      <c r="P1549" s="13" t="str">
        <f t="shared" si="195"/>
        <v>—</v>
      </c>
      <c r="Q1549">
        <f>ROUND(INDEX(Catalogue!E$4:E$85,MATCH(A1549,Catalogue!A$4:A$85,0))*(1+Paramètres!$B$4*(C1549-1)+Paramètres!$B$5*(C1549-1)^2),0)</f>
        <v>0</v>
      </c>
      <c r="R1549">
        <f>ROUND(INDEX(Catalogue!F$4:F$85,MATCH(A1549,Catalogue!A$4:A$85,0))*(1+Paramètres!$B$4*(C1549-1)+Paramètres!$B$5*(C1549-1)^2),0)</f>
        <v>0</v>
      </c>
      <c r="S1549">
        <f t="shared" si="196"/>
        <v>0</v>
      </c>
      <c r="T1549" t="str">
        <f t="shared" si="197"/>
        <v>OK</v>
      </c>
      <c r="U1549" s="25">
        <f t="shared" si="198"/>
        <v>0</v>
      </c>
      <c r="V1549" t="str">
        <f t="shared" si="199"/>
        <v>OK</v>
      </c>
    </row>
    <row r="1550" spans="1:22" ht="18" customHeight="1">
      <c r="A1550" t="s">
        <v>353</v>
      </c>
      <c r="B1550" t="s">
        <v>354</v>
      </c>
      <c r="C1550">
        <v>7</v>
      </c>
      <c r="D1550" t="s">
        <v>333</v>
      </c>
      <c r="E1550" s="6">
        <f t="shared" si="192"/>
        <v>0</v>
      </c>
      <c r="F1550" s="6">
        <f t="shared" si="193"/>
        <v>0</v>
      </c>
      <c r="G1550" s="6">
        <f>ROUND(Catalogue!G81*SQRT((1+Paramètres!$B$4*(C1550-1)+Paramètres!$B$5*(C1550-1)^2)),0)</f>
        <v>12</v>
      </c>
      <c r="H1550" s="6">
        <f>ROUND(Catalogue!H81*SQRT((1+Paramètres!$B$4*(C1550-1)+Paramètres!$B$5*(C1550-1)^2)),0)</f>
        <v>0</v>
      </c>
      <c r="I1550" s="6">
        <v>0</v>
      </c>
      <c r="J1550" s="6">
        <v>0</v>
      </c>
      <c r="K1550" s="7">
        <v>4.5999999999999996</v>
      </c>
      <c r="L1550" s="9">
        <f t="shared" si="194"/>
        <v>0</v>
      </c>
      <c r="M1550">
        <v>0</v>
      </c>
      <c r="N1550">
        <v>0</v>
      </c>
      <c r="O1550">
        <v>0</v>
      </c>
      <c r="P1550" s="13" t="str">
        <f t="shared" si="195"/>
        <v>—</v>
      </c>
      <c r="Q1550">
        <f>ROUND(INDEX(Catalogue!E$4:E$85,MATCH(A1550,Catalogue!A$4:A$85,0))*(1+Paramètres!$B$4*(C1550-1)+Paramètres!$B$5*(C1550-1)^2),0)</f>
        <v>0</v>
      </c>
      <c r="R1550">
        <f>ROUND(INDEX(Catalogue!F$4:F$85,MATCH(A1550,Catalogue!A$4:A$85,0))*(1+Paramètres!$B$4*(C1550-1)+Paramètres!$B$5*(C1550-1)^2),0)</f>
        <v>0</v>
      </c>
      <c r="S1550">
        <f t="shared" si="196"/>
        <v>0</v>
      </c>
      <c r="T1550" t="str">
        <f t="shared" si="197"/>
        <v>OK</v>
      </c>
      <c r="U1550" s="25">
        <f t="shared" si="198"/>
        <v>0</v>
      </c>
      <c r="V1550" t="str">
        <f t="shared" si="199"/>
        <v>OK</v>
      </c>
    </row>
    <row r="1551" spans="1:22" ht="18" customHeight="1">
      <c r="A1551" t="s">
        <v>353</v>
      </c>
      <c r="B1551" t="s">
        <v>354</v>
      </c>
      <c r="C1551">
        <v>8</v>
      </c>
      <c r="D1551" t="s">
        <v>333</v>
      </c>
      <c r="E1551" s="6">
        <f t="shared" si="192"/>
        <v>0</v>
      </c>
      <c r="F1551" s="6">
        <f t="shared" si="193"/>
        <v>0</v>
      </c>
      <c r="G1551" s="6">
        <f>ROUND(Catalogue!G81*SQRT((1+Paramètres!$B$4*(C1551-1)+Paramètres!$B$5*(C1551-1)^2)),0)</f>
        <v>13</v>
      </c>
      <c r="H1551" s="6">
        <f>ROUND(Catalogue!H81*SQRT((1+Paramètres!$B$4*(C1551-1)+Paramètres!$B$5*(C1551-1)^2)),0)</f>
        <v>0</v>
      </c>
      <c r="I1551" s="6">
        <v>0</v>
      </c>
      <c r="J1551" s="6">
        <v>0</v>
      </c>
      <c r="K1551" s="7">
        <v>4.5999999999999996</v>
      </c>
      <c r="L1551" s="9">
        <f t="shared" si="194"/>
        <v>0</v>
      </c>
      <c r="M1551">
        <v>0</v>
      </c>
      <c r="N1551">
        <v>0</v>
      </c>
      <c r="O1551">
        <v>0</v>
      </c>
      <c r="P1551" s="13" t="str">
        <f t="shared" si="195"/>
        <v>—</v>
      </c>
      <c r="Q1551">
        <f>ROUND(INDEX(Catalogue!E$4:E$85,MATCH(A1551,Catalogue!A$4:A$85,0))*(1+Paramètres!$B$4*(C1551-1)+Paramètres!$B$5*(C1551-1)^2),0)</f>
        <v>0</v>
      </c>
      <c r="R1551">
        <f>ROUND(INDEX(Catalogue!F$4:F$85,MATCH(A1551,Catalogue!A$4:A$85,0))*(1+Paramètres!$B$4*(C1551-1)+Paramètres!$B$5*(C1551-1)^2),0)</f>
        <v>0</v>
      </c>
      <c r="S1551">
        <f t="shared" si="196"/>
        <v>0</v>
      </c>
      <c r="T1551" t="str">
        <f t="shared" si="197"/>
        <v>OK</v>
      </c>
      <c r="U1551" s="25">
        <f t="shared" si="198"/>
        <v>0</v>
      </c>
      <c r="V1551" t="str">
        <f t="shared" si="199"/>
        <v>OK</v>
      </c>
    </row>
    <row r="1552" spans="1:22" ht="18" customHeight="1">
      <c r="A1552" t="s">
        <v>353</v>
      </c>
      <c r="B1552" t="s">
        <v>354</v>
      </c>
      <c r="C1552">
        <v>9</v>
      </c>
      <c r="D1552" t="s">
        <v>333</v>
      </c>
      <c r="E1552" s="6">
        <f t="shared" si="192"/>
        <v>0</v>
      </c>
      <c r="F1552" s="6">
        <f t="shared" si="193"/>
        <v>0</v>
      </c>
      <c r="G1552" s="6">
        <f>ROUND(Catalogue!G81*SQRT((1+Paramètres!$B$4*(C1552-1)+Paramètres!$B$5*(C1552-1)^2)),0)</f>
        <v>14</v>
      </c>
      <c r="H1552" s="6">
        <f>ROUND(Catalogue!H81*SQRT((1+Paramètres!$B$4*(C1552-1)+Paramètres!$B$5*(C1552-1)^2)),0)</f>
        <v>0</v>
      </c>
      <c r="I1552" s="6">
        <v>0</v>
      </c>
      <c r="J1552" s="6">
        <v>0</v>
      </c>
      <c r="K1552" s="7">
        <v>4.5999999999999996</v>
      </c>
      <c r="L1552" s="9">
        <f t="shared" si="194"/>
        <v>0</v>
      </c>
      <c r="M1552">
        <v>0</v>
      </c>
      <c r="N1552">
        <v>0</v>
      </c>
      <c r="O1552">
        <v>0</v>
      </c>
      <c r="P1552" s="13" t="str">
        <f t="shared" si="195"/>
        <v>—</v>
      </c>
      <c r="Q1552">
        <f>ROUND(INDEX(Catalogue!E$4:E$85,MATCH(A1552,Catalogue!A$4:A$85,0))*(1+Paramètres!$B$4*(C1552-1)+Paramètres!$B$5*(C1552-1)^2),0)</f>
        <v>0</v>
      </c>
      <c r="R1552">
        <f>ROUND(INDEX(Catalogue!F$4:F$85,MATCH(A1552,Catalogue!A$4:A$85,0))*(1+Paramètres!$B$4*(C1552-1)+Paramètres!$B$5*(C1552-1)^2),0)</f>
        <v>0</v>
      </c>
      <c r="S1552">
        <f t="shared" si="196"/>
        <v>0</v>
      </c>
      <c r="T1552" t="str">
        <f t="shared" si="197"/>
        <v>OK</v>
      </c>
      <c r="U1552" s="25">
        <f t="shared" si="198"/>
        <v>0</v>
      </c>
      <c r="V1552" t="str">
        <f t="shared" si="199"/>
        <v>OK</v>
      </c>
    </row>
    <row r="1553" spans="1:22" ht="18" customHeight="1">
      <c r="A1553" t="s">
        <v>353</v>
      </c>
      <c r="B1553" t="s">
        <v>354</v>
      </c>
      <c r="C1553">
        <v>10</v>
      </c>
      <c r="D1553" t="s">
        <v>333</v>
      </c>
      <c r="E1553" s="6">
        <f t="shared" si="192"/>
        <v>0</v>
      </c>
      <c r="F1553" s="6">
        <f t="shared" si="193"/>
        <v>0</v>
      </c>
      <c r="G1553" s="6">
        <f>ROUND(Catalogue!G81*SQRT((1+Paramètres!$B$4*(C1553-1)+Paramètres!$B$5*(C1553-1)^2)),0)</f>
        <v>15</v>
      </c>
      <c r="H1553" s="6">
        <f>ROUND(Catalogue!H81*SQRT((1+Paramètres!$B$4*(C1553-1)+Paramètres!$B$5*(C1553-1)^2)),0)</f>
        <v>0</v>
      </c>
      <c r="I1553" s="6">
        <v>0</v>
      </c>
      <c r="J1553" s="6">
        <v>0</v>
      </c>
      <c r="K1553" s="7">
        <v>4.5999999999999996</v>
      </c>
      <c r="L1553" s="9">
        <f t="shared" si="194"/>
        <v>0</v>
      </c>
      <c r="M1553">
        <v>0</v>
      </c>
      <c r="N1553">
        <v>0</v>
      </c>
      <c r="O1553">
        <v>0</v>
      </c>
      <c r="P1553" s="13" t="str">
        <f t="shared" si="195"/>
        <v>—</v>
      </c>
      <c r="Q1553">
        <f>ROUND(INDEX(Catalogue!E$4:E$85,MATCH(A1553,Catalogue!A$4:A$85,0))*(1+Paramètres!$B$4*(C1553-1)+Paramètres!$B$5*(C1553-1)^2),0)</f>
        <v>0</v>
      </c>
      <c r="R1553">
        <f>ROUND(INDEX(Catalogue!F$4:F$85,MATCH(A1553,Catalogue!A$4:A$85,0))*(1+Paramètres!$B$4*(C1553-1)+Paramètres!$B$5*(C1553-1)^2),0)</f>
        <v>0</v>
      </c>
      <c r="S1553">
        <f t="shared" si="196"/>
        <v>0</v>
      </c>
      <c r="T1553" t="str">
        <f t="shared" si="197"/>
        <v>OK</v>
      </c>
      <c r="U1553" s="25">
        <f t="shared" si="198"/>
        <v>0</v>
      </c>
      <c r="V1553" t="str">
        <f t="shared" si="199"/>
        <v>OK</v>
      </c>
    </row>
    <row r="1554" spans="1:22" ht="18" customHeight="1">
      <c r="A1554" t="s">
        <v>353</v>
      </c>
      <c r="B1554" t="s">
        <v>354</v>
      </c>
      <c r="C1554">
        <v>11</v>
      </c>
      <c r="D1554" t="s">
        <v>333</v>
      </c>
      <c r="E1554" s="6">
        <f t="shared" si="192"/>
        <v>0</v>
      </c>
      <c r="F1554" s="6">
        <f t="shared" si="193"/>
        <v>0</v>
      </c>
      <c r="G1554" s="6">
        <f>ROUND(Catalogue!G81*SQRT((1+Paramètres!$B$4*(C1554-1)+Paramètres!$B$5*(C1554-1)^2)),0)</f>
        <v>15</v>
      </c>
      <c r="H1554" s="6">
        <f>ROUND(Catalogue!H81*SQRT((1+Paramètres!$B$4*(C1554-1)+Paramètres!$B$5*(C1554-1)^2)),0)</f>
        <v>0</v>
      </c>
      <c r="I1554" s="6">
        <v>0</v>
      </c>
      <c r="J1554" s="6">
        <v>0</v>
      </c>
      <c r="K1554" s="7">
        <v>4.5999999999999996</v>
      </c>
      <c r="L1554" s="9">
        <f t="shared" si="194"/>
        <v>0</v>
      </c>
      <c r="M1554">
        <v>0</v>
      </c>
      <c r="N1554">
        <v>0</v>
      </c>
      <c r="O1554">
        <v>0</v>
      </c>
      <c r="P1554" s="13" t="str">
        <f t="shared" si="195"/>
        <v>—</v>
      </c>
      <c r="Q1554">
        <f>ROUND(INDEX(Catalogue!E$4:E$85,MATCH(A1554,Catalogue!A$4:A$85,0))*(1+Paramètres!$B$4*(C1554-1)+Paramètres!$B$5*(C1554-1)^2),0)</f>
        <v>0</v>
      </c>
      <c r="R1554">
        <f>ROUND(INDEX(Catalogue!F$4:F$85,MATCH(A1554,Catalogue!A$4:A$85,0))*(1+Paramètres!$B$4*(C1554-1)+Paramètres!$B$5*(C1554-1)^2),0)</f>
        <v>0</v>
      </c>
      <c r="S1554">
        <f t="shared" si="196"/>
        <v>0</v>
      </c>
      <c r="T1554" t="str">
        <f t="shared" si="197"/>
        <v>OK</v>
      </c>
      <c r="U1554" s="25">
        <f t="shared" si="198"/>
        <v>0</v>
      </c>
      <c r="V1554" t="str">
        <f t="shared" si="199"/>
        <v>OK</v>
      </c>
    </row>
    <row r="1555" spans="1:22" ht="18" customHeight="1">
      <c r="A1555" t="s">
        <v>353</v>
      </c>
      <c r="B1555" t="s">
        <v>354</v>
      </c>
      <c r="C1555">
        <v>12</v>
      </c>
      <c r="D1555" t="s">
        <v>333</v>
      </c>
      <c r="E1555" s="6">
        <f t="shared" si="192"/>
        <v>0</v>
      </c>
      <c r="F1555" s="6">
        <f t="shared" si="193"/>
        <v>0</v>
      </c>
      <c r="G1555" s="6">
        <f>ROUND(Catalogue!G81*SQRT((1+Paramètres!$B$4*(C1555-1)+Paramètres!$B$5*(C1555-1)^2)),0)</f>
        <v>16</v>
      </c>
      <c r="H1555" s="6">
        <f>ROUND(Catalogue!H81*SQRT((1+Paramètres!$B$4*(C1555-1)+Paramètres!$B$5*(C1555-1)^2)),0)</f>
        <v>0</v>
      </c>
      <c r="I1555" s="6">
        <v>0</v>
      </c>
      <c r="J1555" s="6">
        <v>0</v>
      </c>
      <c r="K1555" s="7">
        <v>4.5999999999999996</v>
      </c>
      <c r="L1555" s="9">
        <f t="shared" si="194"/>
        <v>0</v>
      </c>
      <c r="M1555">
        <v>0</v>
      </c>
      <c r="N1555">
        <v>0</v>
      </c>
      <c r="O1555">
        <v>0</v>
      </c>
      <c r="P1555" s="13" t="str">
        <f t="shared" si="195"/>
        <v>—</v>
      </c>
      <c r="Q1555">
        <f>ROUND(INDEX(Catalogue!E$4:E$85,MATCH(A1555,Catalogue!A$4:A$85,0))*(1+Paramètres!$B$4*(C1555-1)+Paramètres!$B$5*(C1555-1)^2),0)</f>
        <v>0</v>
      </c>
      <c r="R1555">
        <f>ROUND(INDEX(Catalogue!F$4:F$85,MATCH(A1555,Catalogue!A$4:A$85,0))*(1+Paramètres!$B$4*(C1555-1)+Paramètres!$B$5*(C1555-1)^2),0)</f>
        <v>0</v>
      </c>
      <c r="S1555">
        <f t="shared" si="196"/>
        <v>0</v>
      </c>
      <c r="T1555" t="str">
        <f t="shared" si="197"/>
        <v>OK</v>
      </c>
      <c r="U1555" s="25">
        <f t="shared" si="198"/>
        <v>0</v>
      </c>
      <c r="V1555" t="str">
        <f t="shared" si="199"/>
        <v>OK</v>
      </c>
    </row>
    <row r="1556" spans="1:22" ht="18" customHeight="1">
      <c r="A1556" t="s">
        <v>353</v>
      </c>
      <c r="B1556" t="s">
        <v>354</v>
      </c>
      <c r="C1556">
        <v>13</v>
      </c>
      <c r="D1556" t="s">
        <v>333</v>
      </c>
      <c r="E1556" s="6">
        <f t="shared" si="192"/>
        <v>0</v>
      </c>
      <c r="F1556" s="6">
        <f t="shared" si="193"/>
        <v>0</v>
      </c>
      <c r="G1556" s="6">
        <f>ROUND(Catalogue!G81*SQRT((1+Paramètres!$B$4*(C1556-1)+Paramètres!$B$5*(C1556-1)^2)),0)</f>
        <v>17</v>
      </c>
      <c r="H1556" s="6">
        <f>ROUND(Catalogue!H81*SQRT((1+Paramètres!$B$4*(C1556-1)+Paramètres!$B$5*(C1556-1)^2)),0)</f>
        <v>0</v>
      </c>
      <c r="I1556" s="6">
        <v>0</v>
      </c>
      <c r="J1556" s="6">
        <v>0</v>
      </c>
      <c r="K1556" s="7">
        <v>4.5999999999999996</v>
      </c>
      <c r="L1556" s="9">
        <f t="shared" si="194"/>
        <v>0</v>
      </c>
      <c r="M1556">
        <v>0</v>
      </c>
      <c r="N1556">
        <v>0</v>
      </c>
      <c r="O1556">
        <v>0</v>
      </c>
      <c r="P1556" s="13" t="str">
        <f t="shared" si="195"/>
        <v>—</v>
      </c>
      <c r="Q1556">
        <f>ROUND(INDEX(Catalogue!E$4:E$85,MATCH(A1556,Catalogue!A$4:A$85,0))*(1+Paramètres!$B$4*(C1556-1)+Paramètres!$B$5*(C1556-1)^2),0)</f>
        <v>0</v>
      </c>
      <c r="R1556">
        <f>ROUND(INDEX(Catalogue!F$4:F$85,MATCH(A1556,Catalogue!A$4:A$85,0))*(1+Paramètres!$B$4*(C1556-1)+Paramètres!$B$5*(C1556-1)^2),0)</f>
        <v>0</v>
      </c>
      <c r="S1556">
        <f t="shared" si="196"/>
        <v>0</v>
      </c>
      <c r="T1556" t="str">
        <f t="shared" si="197"/>
        <v>OK</v>
      </c>
      <c r="U1556" s="25">
        <f t="shared" si="198"/>
        <v>0</v>
      </c>
      <c r="V1556" t="str">
        <f t="shared" si="199"/>
        <v>OK</v>
      </c>
    </row>
    <row r="1557" spans="1:22" ht="18" customHeight="1">
      <c r="A1557" t="s">
        <v>353</v>
      </c>
      <c r="B1557" t="s">
        <v>354</v>
      </c>
      <c r="C1557">
        <v>14</v>
      </c>
      <c r="D1557" t="s">
        <v>333</v>
      </c>
      <c r="E1557" s="6">
        <f t="shared" si="192"/>
        <v>0</v>
      </c>
      <c r="F1557" s="6">
        <f t="shared" si="193"/>
        <v>0</v>
      </c>
      <c r="G1557" s="6">
        <f>ROUND(Catalogue!G81*SQRT((1+Paramètres!$B$4*(C1557-1)+Paramètres!$B$5*(C1557-1)^2)),0)</f>
        <v>18</v>
      </c>
      <c r="H1557" s="6">
        <f>ROUND(Catalogue!H81*SQRT((1+Paramètres!$B$4*(C1557-1)+Paramètres!$B$5*(C1557-1)^2)),0)</f>
        <v>0</v>
      </c>
      <c r="I1557" s="6">
        <v>0</v>
      </c>
      <c r="J1557" s="6">
        <v>0</v>
      </c>
      <c r="K1557" s="7">
        <v>4.5999999999999996</v>
      </c>
      <c r="L1557" s="9">
        <f t="shared" si="194"/>
        <v>0</v>
      </c>
      <c r="M1557">
        <v>0</v>
      </c>
      <c r="N1557">
        <v>0</v>
      </c>
      <c r="O1557">
        <v>0</v>
      </c>
      <c r="P1557" s="13" t="str">
        <f t="shared" si="195"/>
        <v>—</v>
      </c>
      <c r="Q1557">
        <f>ROUND(INDEX(Catalogue!E$4:E$85,MATCH(A1557,Catalogue!A$4:A$85,0))*(1+Paramètres!$B$4*(C1557-1)+Paramètres!$B$5*(C1557-1)^2),0)</f>
        <v>0</v>
      </c>
      <c r="R1557">
        <f>ROUND(INDEX(Catalogue!F$4:F$85,MATCH(A1557,Catalogue!A$4:A$85,0))*(1+Paramètres!$B$4*(C1557-1)+Paramètres!$B$5*(C1557-1)^2),0)</f>
        <v>0</v>
      </c>
      <c r="S1557">
        <f t="shared" si="196"/>
        <v>0</v>
      </c>
      <c r="T1557" t="str">
        <f t="shared" si="197"/>
        <v>OK</v>
      </c>
      <c r="U1557" s="25">
        <f t="shared" si="198"/>
        <v>0</v>
      </c>
      <c r="V1557" t="str">
        <f t="shared" si="199"/>
        <v>OK</v>
      </c>
    </row>
    <row r="1558" spans="1:22" ht="18" customHeight="1">
      <c r="A1558" t="s">
        <v>353</v>
      </c>
      <c r="B1558" t="s">
        <v>354</v>
      </c>
      <c r="C1558">
        <v>15</v>
      </c>
      <c r="D1558" t="s">
        <v>333</v>
      </c>
      <c r="E1558" s="6">
        <f t="shared" si="192"/>
        <v>0</v>
      </c>
      <c r="F1558" s="6">
        <f t="shared" si="193"/>
        <v>0</v>
      </c>
      <c r="G1558" s="6">
        <f>ROUND(Catalogue!G81*SQRT((1+Paramètres!$B$4*(C1558-1)+Paramètres!$B$5*(C1558-1)^2)),0)</f>
        <v>19</v>
      </c>
      <c r="H1558" s="6">
        <f>ROUND(Catalogue!H81*SQRT((1+Paramètres!$B$4*(C1558-1)+Paramètres!$B$5*(C1558-1)^2)),0)</f>
        <v>0</v>
      </c>
      <c r="I1558" s="6">
        <v>0</v>
      </c>
      <c r="J1558" s="6">
        <v>0</v>
      </c>
      <c r="K1558" s="7">
        <v>4.5999999999999996</v>
      </c>
      <c r="L1558" s="9">
        <f t="shared" si="194"/>
        <v>0</v>
      </c>
      <c r="M1558">
        <v>0</v>
      </c>
      <c r="N1558">
        <v>0</v>
      </c>
      <c r="O1558">
        <v>0</v>
      </c>
      <c r="P1558" s="13" t="str">
        <f t="shared" si="195"/>
        <v>—</v>
      </c>
      <c r="Q1558">
        <f>ROUND(INDEX(Catalogue!E$4:E$85,MATCH(A1558,Catalogue!A$4:A$85,0))*(1+Paramètres!$B$4*(C1558-1)+Paramètres!$B$5*(C1558-1)^2),0)</f>
        <v>0</v>
      </c>
      <c r="R1558">
        <f>ROUND(INDEX(Catalogue!F$4:F$85,MATCH(A1558,Catalogue!A$4:A$85,0))*(1+Paramètres!$B$4*(C1558-1)+Paramètres!$B$5*(C1558-1)^2),0)</f>
        <v>0</v>
      </c>
      <c r="S1558">
        <f t="shared" si="196"/>
        <v>0</v>
      </c>
      <c r="T1558" t="str">
        <f t="shared" si="197"/>
        <v>OK</v>
      </c>
      <c r="U1558" s="25">
        <f t="shared" si="198"/>
        <v>0</v>
      </c>
      <c r="V1558" t="str">
        <f t="shared" si="199"/>
        <v>OK</v>
      </c>
    </row>
    <row r="1559" spans="1:22" ht="18" customHeight="1">
      <c r="A1559" t="s">
        <v>353</v>
      </c>
      <c r="B1559" t="s">
        <v>354</v>
      </c>
      <c r="C1559">
        <v>16</v>
      </c>
      <c r="D1559" t="s">
        <v>333</v>
      </c>
      <c r="E1559" s="6">
        <f t="shared" si="192"/>
        <v>0</v>
      </c>
      <c r="F1559" s="6">
        <f t="shared" si="193"/>
        <v>0</v>
      </c>
      <c r="G1559" s="6">
        <f>ROUND(Catalogue!G81*SQRT((1+Paramètres!$B$4*(C1559-1)+Paramètres!$B$5*(C1559-1)^2)),0)</f>
        <v>20</v>
      </c>
      <c r="H1559" s="6">
        <f>ROUND(Catalogue!H81*SQRT((1+Paramètres!$B$4*(C1559-1)+Paramètres!$B$5*(C1559-1)^2)),0)</f>
        <v>0</v>
      </c>
      <c r="I1559" s="6">
        <v>0</v>
      </c>
      <c r="J1559" s="6">
        <v>0</v>
      </c>
      <c r="K1559" s="7">
        <v>4.5999999999999996</v>
      </c>
      <c r="L1559" s="9">
        <f t="shared" si="194"/>
        <v>0</v>
      </c>
      <c r="M1559">
        <v>0</v>
      </c>
      <c r="N1559">
        <v>0</v>
      </c>
      <c r="O1559">
        <v>0</v>
      </c>
      <c r="P1559" s="13" t="str">
        <f t="shared" si="195"/>
        <v>—</v>
      </c>
      <c r="Q1559">
        <f>ROUND(INDEX(Catalogue!E$4:E$85,MATCH(A1559,Catalogue!A$4:A$85,0))*(1+Paramètres!$B$4*(C1559-1)+Paramètres!$B$5*(C1559-1)^2),0)</f>
        <v>0</v>
      </c>
      <c r="R1559">
        <f>ROUND(INDEX(Catalogue!F$4:F$85,MATCH(A1559,Catalogue!A$4:A$85,0))*(1+Paramètres!$B$4*(C1559-1)+Paramètres!$B$5*(C1559-1)^2),0)</f>
        <v>0</v>
      </c>
      <c r="S1559">
        <f t="shared" si="196"/>
        <v>0</v>
      </c>
      <c r="T1559" t="str">
        <f t="shared" si="197"/>
        <v>OK</v>
      </c>
      <c r="U1559" s="25">
        <f t="shared" si="198"/>
        <v>0</v>
      </c>
      <c r="V1559" t="str">
        <f t="shared" si="199"/>
        <v>OK</v>
      </c>
    </row>
    <row r="1560" spans="1:22" ht="18" customHeight="1">
      <c r="A1560" t="s">
        <v>353</v>
      </c>
      <c r="B1560" t="s">
        <v>354</v>
      </c>
      <c r="C1560">
        <v>17</v>
      </c>
      <c r="D1560" t="s">
        <v>333</v>
      </c>
      <c r="E1560" s="6">
        <f t="shared" si="192"/>
        <v>0</v>
      </c>
      <c r="F1560" s="6">
        <f t="shared" si="193"/>
        <v>0</v>
      </c>
      <c r="G1560" s="6">
        <f>ROUND(Catalogue!G81*SQRT((1+Paramètres!$B$4*(C1560-1)+Paramètres!$B$5*(C1560-1)^2)),0)</f>
        <v>21</v>
      </c>
      <c r="H1560" s="6">
        <f>ROUND(Catalogue!H81*SQRT((1+Paramètres!$B$4*(C1560-1)+Paramètres!$B$5*(C1560-1)^2)),0)</f>
        <v>0</v>
      </c>
      <c r="I1560" s="6">
        <v>0</v>
      </c>
      <c r="J1560" s="6">
        <v>0</v>
      </c>
      <c r="K1560" s="7">
        <v>4.5999999999999996</v>
      </c>
      <c r="L1560" s="9">
        <f t="shared" si="194"/>
        <v>0</v>
      </c>
      <c r="M1560">
        <v>0</v>
      </c>
      <c r="N1560">
        <v>0</v>
      </c>
      <c r="O1560">
        <v>0</v>
      </c>
      <c r="P1560" s="13" t="str">
        <f t="shared" si="195"/>
        <v>—</v>
      </c>
      <c r="Q1560">
        <f>ROUND(INDEX(Catalogue!E$4:E$85,MATCH(A1560,Catalogue!A$4:A$85,0))*(1+Paramètres!$B$4*(C1560-1)+Paramètres!$B$5*(C1560-1)^2),0)</f>
        <v>0</v>
      </c>
      <c r="R1560">
        <f>ROUND(INDEX(Catalogue!F$4:F$85,MATCH(A1560,Catalogue!A$4:A$85,0))*(1+Paramètres!$B$4*(C1560-1)+Paramètres!$B$5*(C1560-1)^2),0)</f>
        <v>0</v>
      </c>
      <c r="S1560">
        <f t="shared" si="196"/>
        <v>0</v>
      </c>
      <c r="T1560" t="str">
        <f t="shared" si="197"/>
        <v>OK</v>
      </c>
      <c r="U1560" s="25">
        <f t="shared" si="198"/>
        <v>0</v>
      </c>
      <c r="V1560" t="str">
        <f t="shared" si="199"/>
        <v>OK</v>
      </c>
    </row>
    <row r="1561" spans="1:22" ht="18" customHeight="1">
      <c r="A1561" t="s">
        <v>353</v>
      </c>
      <c r="B1561" t="s">
        <v>354</v>
      </c>
      <c r="C1561">
        <v>18</v>
      </c>
      <c r="D1561" t="s">
        <v>333</v>
      </c>
      <c r="E1561" s="6">
        <f t="shared" si="192"/>
        <v>0</v>
      </c>
      <c r="F1561" s="6">
        <f t="shared" si="193"/>
        <v>0</v>
      </c>
      <c r="G1561" s="6">
        <f>ROUND(Catalogue!G81*SQRT((1+Paramètres!$B$4*(C1561-1)+Paramètres!$B$5*(C1561-1)^2)),0)</f>
        <v>22</v>
      </c>
      <c r="H1561" s="6">
        <f>ROUND(Catalogue!H81*SQRT((1+Paramètres!$B$4*(C1561-1)+Paramètres!$B$5*(C1561-1)^2)),0)</f>
        <v>0</v>
      </c>
      <c r="I1561" s="6">
        <v>0</v>
      </c>
      <c r="J1561" s="6">
        <v>0</v>
      </c>
      <c r="K1561" s="7">
        <v>4.5999999999999996</v>
      </c>
      <c r="L1561" s="9">
        <f t="shared" si="194"/>
        <v>0</v>
      </c>
      <c r="M1561">
        <v>0</v>
      </c>
      <c r="N1561">
        <v>0</v>
      </c>
      <c r="O1561">
        <v>0</v>
      </c>
      <c r="P1561" s="13" t="str">
        <f t="shared" si="195"/>
        <v>—</v>
      </c>
      <c r="Q1561">
        <f>ROUND(INDEX(Catalogue!E$4:E$85,MATCH(A1561,Catalogue!A$4:A$85,0))*(1+Paramètres!$B$4*(C1561-1)+Paramètres!$B$5*(C1561-1)^2),0)</f>
        <v>0</v>
      </c>
      <c r="R1561">
        <f>ROUND(INDEX(Catalogue!F$4:F$85,MATCH(A1561,Catalogue!A$4:A$85,0))*(1+Paramètres!$B$4*(C1561-1)+Paramètres!$B$5*(C1561-1)^2),0)</f>
        <v>0</v>
      </c>
      <c r="S1561">
        <f t="shared" si="196"/>
        <v>0</v>
      </c>
      <c r="T1561" t="str">
        <f t="shared" si="197"/>
        <v>OK</v>
      </c>
      <c r="U1561" s="25">
        <f t="shared" si="198"/>
        <v>0</v>
      </c>
      <c r="V1561" t="str">
        <f t="shared" si="199"/>
        <v>OK</v>
      </c>
    </row>
    <row r="1562" spans="1:22" ht="18" customHeight="1">
      <c r="A1562" t="s">
        <v>353</v>
      </c>
      <c r="B1562" t="s">
        <v>354</v>
      </c>
      <c r="C1562">
        <v>19</v>
      </c>
      <c r="D1562" t="s">
        <v>333</v>
      </c>
      <c r="E1562" s="6">
        <f t="shared" si="192"/>
        <v>0</v>
      </c>
      <c r="F1562" s="6">
        <f t="shared" si="193"/>
        <v>0</v>
      </c>
      <c r="G1562" s="6">
        <f>ROUND(Catalogue!G81*SQRT((1+Paramètres!$B$4*(C1562-1)+Paramètres!$B$5*(C1562-1)^2)),0)</f>
        <v>23</v>
      </c>
      <c r="H1562" s="6">
        <f>ROUND(Catalogue!H81*SQRT((1+Paramètres!$B$4*(C1562-1)+Paramètres!$B$5*(C1562-1)^2)),0)</f>
        <v>0</v>
      </c>
      <c r="I1562" s="6">
        <v>0</v>
      </c>
      <c r="J1562" s="6">
        <v>0</v>
      </c>
      <c r="K1562" s="7">
        <v>4.5999999999999996</v>
      </c>
      <c r="L1562" s="9">
        <f t="shared" si="194"/>
        <v>0</v>
      </c>
      <c r="M1562">
        <v>0</v>
      </c>
      <c r="N1562">
        <v>0</v>
      </c>
      <c r="O1562">
        <v>0</v>
      </c>
      <c r="P1562" s="13" t="str">
        <f t="shared" si="195"/>
        <v>—</v>
      </c>
      <c r="Q1562">
        <f>ROUND(INDEX(Catalogue!E$4:E$85,MATCH(A1562,Catalogue!A$4:A$85,0))*(1+Paramètres!$B$4*(C1562-1)+Paramètres!$B$5*(C1562-1)^2),0)</f>
        <v>0</v>
      </c>
      <c r="R1562">
        <f>ROUND(INDEX(Catalogue!F$4:F$85,MATCH(A1562,Catalogue!A$4:A$85,0))*(1+Paramètres!$B$4*(C1562-1)+Paramètres!$B$5*(C1562-1)^2),0)</f>
        <v>0</v>
      </c>
      <c r="S1562">
        <f t="shared" si="196"/>
        <v>0</v>
      </c>
      <c r="T1562" t="str">
        <f t="shared" si="197"/>
        <v>OK</v>
      </c>
      <c r="U1562" s="25">
        <f t="shared" si="198"/>
        <v>0</v>
      </c>
      <c r="V1562" t="str">
        <f t="shared" si="199"/>
        <v>OK</v>
      </c>
    </row>
    <row r="1563" spans="1:22" ht="18" customHeight="1">
      <c r="A1563" t="s">
        <v>353</v>
      </c>
      <c r="B1563" t="s">
        <v>354</v>
      </c>
      <c r="C1563">
        <v>20</v>
      </c>
      <c r="D1563" t="s">
        <v>333</v>
      </c>
      <c r="E1563" s="6">
        <f t="shared" si="192"/>
        <v>0</v>
      </c>
      <c r="F1563" s="6">
        <f t="shared" si="193"/>
        <v>0</v>
      </c>
      <c r="G1563" s="6">
        <f>ROUND(Catalogue!G81*SQRT((1+Paramètres!$B$4*(C1563-1)+Paramètres!$B$5*(C1563-1)^2)),0)</f>
        <v>24</v>
      </c>
      <c r="H1563" s="6">
        <f>ROUND(Catalogue!H81*SQRT((1+Paramètres!$B$4*(C1563-1)+Paramètres!$B$5*(C1563-1)^2)),0)</f>
        <v>0</v>
      </c>
      <c r="I1563" s="6">
        <v>0</v>
      </c>
      <c r="J1563" s="6">
        <v>0</v>
      </c>
      <c r="K1563" s="7">
        <v>4.5999999999999996</v>
      </c>
      <c r="L1563" s="9">
        <f t="shared" si="194"/>
        <v>0</v>
      </c>
      <c r="M1563">
        <v>0</v>
      </c>
      <c r="N1563">
        <v>0</v>
      </c>
      <c r="O1563">
        <v>0</v>
      </c>
      <c r="P1563" s="13" t="str">
        <f t="shared" si="195"/>
        <v>—</v>
      </c>
      <c r="Q1563">
        <f>ROUND(INDEX(Catalogue!E$4:E$85,MATCH(A1563,Catalogue!A$4:A$85,0))*(1+Paramètres!$B$4*(C1563-1)+Paramètres!$B$5*(C1563-1)^2),0)</f>
        <v>0</v>
      </c>
      <c r="R1563">
        <f>ROUND(INDEX(Catalogue!F$4:F$85,MATCH(A1563,Catalogue!A$4:A$85,0))*(1+Paramètres!$B$4*(C1563-1)+Paramètres!$B$5*(C1563-1)^2),0)</f>
        <v>0</v>
      </c>
      <c r="S1563">
        <f t="shared" si="196"/>
        <v>0</v>
      </c>
      <c r="T1563" t="str">
        <f t="shared" si="197"/>
        <v>OK</v>
      </c>
      <c r="U1563" s="25">
        <f t="shared" si="198"/>
        <v>0</v>
      </c>
      <c r="V1563" t="str">
        <f t="shared" si="199"/>
        <v>OK</v>
      </c>
    </row>
    <row r="1564" spans="1:22" ht="18" customHeight="1">
      <c r="A1564" t="s">
        <v>356</v>
      </c>
      <c r="B1564" t="s">
        <v>357</v>
      </c>
      <c r="C1564">
        <v>1</v>
      </c>
      <c r="D1564" t="s">
        <v>333</v>
      </c>
      <c r="E1564" s="6">
        <f t="shared" si="192"/>
        <v>0</v>
      </c>
      <c r="F1564" s="6">
        <f t="shared" si="193"/>
        <v>0</v>
      </c>
      <c r="G1564" s="6">
        <f>ROUND(Catalogue!G82*SQRT((1+Paramètres!$B$4*(C1564-1)+Paramètres!$B$5*(C1564-1)^2)),0)</f>
        <v>9</v>
      </c>
      <c r="H1564" s="6">
        <f>ROUND(Catalogue!H82*SQRT((1+Paramètres!$B$4*(C1564-1)+Paramètres!$B$5*(C1564-1)^2)),0)</f>
        <v>0</v>
      </c>
      <c r="I1564" s="6">
        <v>0</v>
      </c>
      <c r="J1564" s="6">
        <v>0</v>
      </c>
      <c r="K1564" s="7">
        <v>6.3</v>
      </c>
      <c r="L1564" s="9">
        <f t="shared" si="194"/>
        <v>0</v>
      </c>
      <c r="M1564">
        <v>0</v>
      </c>
      <c r="N1564">
        <v>0</v>
      </c>
      <c r="O1564">
        <v>0</v>
      </c>
      <c r="P1564" s="13" t="str">
        <f t="shared" si="195"/>
        <v>—</v>
      </c>
      <c r="Q1564">
        <f>ROUND(INDEX(Catalogue!E$4:E$85,MATCH(A1564,Catalogue!A$4:A$85,0))*(1+Paramètres!$B$4*(C1564-1)+Paramètres!$B$5*(C1564-1)^2),0)</f>
        <v>0</v>
      </c>
      <c r="R1564">
        <f>ROUND(INDEX(Catalogue!F$4:F$85,MATCH(A1564,Catalogue!A$4:A$85,0))*(1+Paramètres!$B$4*(C1564-1)+Paramètres!$B$5*(C1564-1)^2),0)</f>
        <v>0</v>
      </c>
      <c r="S1564">
        <f t="shared" si="196"/>
        <v>0</v>
      </c>
      <c r="T1564" t="str">
        <f t="shared" si="197"/>
        <v>OK</v>
      </c>
      <c r="U1564" s="25">
        <f t="shared" si="198"/>
        <v>0</v>
      </c>
      <c r="V1564" t="str">
        <f t="shared" si="199"/>
        <v>OK</v>
      </c>
    </row>
    <row r="1565" spans="1:22" ht="18" customHeight="1">
      <c r="A1565" t="s">
        <v>356</v>
      </c>
      <c r="B1565" t="s">
        <v>357</v>
      </c>
      <c r="C1565">
        <v>2</v>
      </c>
      <c r="D1565" t="s">
        <v>333</v>
      </c>
      <c r="E1565" s="6">
        <f t="shared" si="192"/>
        <v>0</v>
      </c>
      <c r="F1565" s="6">
        <f t="shared" si="193"/>
        <v>0</v>
      </c>
      <c r="G1565" s="6">
        <f>ROUND(Catalogue!G82*SQRT((1+Paramètres!$B$4*(C1565-1)+Paramètres!$B$5*(C1565-1)^2)),0)</f>
        <v>10</v>
      </c>
      <c r="H1565" s="6">
        <f>ROUND(Catalogue!H82*SQRT((1+Paramètres!$B$4*(C1565-1)+Paramètres!$B$5*(C1565-1)^2)),0)</f>
        <v>0</v>
      </c>
      <c r="I1565" s="6">
        <v>0</v>
      </c>
      <c r="J1565" s="6">
        <v>0</v>
      </c>
      <c r="K1565" s="7">
        <v>6.3</v>
      </c>
      <c r="L1565" s="9">
        <f t="shared" si="194"/>
        <v>0</v>
      </c>
      <c r="M1565">
        <v>0</v>
      </c>
      <c r="N1565">
        <v>0</v>
      </c>
      <c r="O1565">
        <v>0</v>
      </c>
      <c r="P1565" s="13" t="str">
        <f t="shared" si="195"/>
        <v>—</v>
      </c>
      <c r="Q1565">
        <f>ROUND(INDEX(Catalogue!E$4:E$85,MATCH(A1565,Catalogue!A$4:A$85,0))*(1+Paramètres!$B$4*(C1565-1)+Paramètres!$B$5*(C1565-1)^2),0)</f>
        <v>0</v>
      </c>
      <c r="R1565">
        <f>ROUND(INDEX(Catalogue!F$4:F$85,MATCH(A1565,Catalogue!A$4:A$85,0))*(1+Paramètres!$B$4*(C1565-1)+Paramètres!$B$5*(C1565-1)^2),0)</f>
        <v>0</v>
      </c>
      <c r="S1565">
        <f t="shared" si="196"/>
        <v>0</v>
      </c>
      <c r="T1565" t="str">
        <f t="shared" si="197"/>
        <v>OK</v>
      </c>
      <c r="U1565" s="25">
        <f t="shared" si="198"/>
        <v>0</v>
      </c>
      <c r="V1565" t="str">
        <f t="shared" si="199"/>
        <v>OK</v>
      </c>
    </row>
    <row r="1566" spans="1:22" ht="18" customHeight="1">
      <c r="A1566" t="s">
        <v>356</v>
      </c>
      <c r="B1566" t="s">
        <v>357</v>
      </c>
      <c r="C1566">
        <v>3</v>
      </c>
      <c r="D1566" t="s">
        <v>333</v>
      </c>
      <c r="E1566" s="6">
        <f t="shared" si="192"/>
        <v>0</v>
      </c>
      <c r="F1566" s="6">
        <f t="shared" si="193"/>
        <v>0</v>
      </c>
      <c r="G1566" s="6">
        <f>ROUND(Catalogue!G82*SQRT((1+Paramètres!$B$4*(C1566-1)+Paramètres!$B$5*(C1566-1)^2)),0)</f>
        <v>10</v>
      </c>
      <c r="H1566" s="6">
        <f>ROUND(Catalogue!H82*SQRT((1+Paramètres!$B$4*(C1566-1)+Paramètres!$B$5*(C1566-1)^2)),0)</f>
        <v>0</v>
      </c>
      <c r="I1566" s="6">
        <v>0</v>
      </c>
      <c r="J1566" s="6">
        <v>0</v>
      </c>
      <c r="K1566" s="7">
        <v>6.3</v>
      </c>
      <c r="L1566" s="9">
        <f t="shared" si="194"/>
        <v>0</v>
      </c>
      <c r="M1566">
        <v>0</v>
      </c>
      <c r="N1566">
        <v>0</v>
      </c>
      <c r="O1566">
        <v>0</v>
      </c>
      <c r="P1566" s="13" t="str">
        <f t="shared" si="195"/>
        <v>—</v>
      </c>
      <c r="Q1566">
        <f>ROUND(INDEX(Catalogue!E$4:E$85,MATCH(A1566,Catalogue!A$4:A$85,0))*(1+Paramètres!$B$4*(C1566-1)+Paramètres!$B$5*(C1566-1)^2),0)</f>
        <v>0</v>
      </c>
      <c r="R1566">
        <f>ROUND(INDEX(Catalogue!F$4:F$85,MATCH(A1566,Catalogue!A$4:A$85,0))*(1+Paramètres!$B$4*(C1566-1)+Paramètres!$B$5*(C1566-1)^2),0)</f>
        <v>0</v>
      </c>
      <c r="S1566">
        <f t="shared" si="196"/>
        <v>0</v>
      </c>
      <c r="T1566" t="str">
        <f t="shared" si="197"/>
        <v>OK</v>
      </c>
      <c r="U1566" s="25">
        <f t="shared" si="198"/>
        <v>0</v>
      </c>
      <c r="V1566" t="str">
        <f t="shared" si="199"/>
        <v>OK</v>
      </c>
    </row>
    <row r="1567" spans="1:22" ht="18" customHeight="1">
      <c r="A1567" t="s">
        <v>356</v>
      </c>
      <c r="B1567" t="s">
        <v>357</v>
      </c>
      <c r="C1567">
        <v>4</v>
      </c>
      <c r="D1567" t="s">
        <v>333</v>
      </c>
      <c r="E1567" s="6">
        <f t="shared" si="192"/>
        <v>0</v>
      </c>
      <c r="F1567" s="6">
        <f t="shared" si="193"/>
        <v>0</v>
      </c>
      <c r="G1567" s="6">
        <f>ROUND(Catalogue!G82*SQRT((1+Paramètres!$B$4*(C1567-1)+Paramètres!$B$5*(C1567-1)^2)),0)</f>
        <v>11</v>
      </c>
      <c r="H1567" s="6">
        <f>ROUND(Catalogue!H82*SQRT((1+Paramètres!$B$4*(C1567-1)+Paramètres!$B$5*(C1567-1)^2)),0)</f>
        <v>0</v>
      </c>
      <c r="I1567" s="6">
        <v>0</v>
      </c>
      <c r="J1567" s="6">
        <v>0</v>
      </c>
      <c r="K1567" s="7">
        <v>6.3</v>
      </c>
      <c r="L1567" s="9">
        <f t="shared" si="194"/>
        <v>0</v>
      </c>
      <c r="M1567">
        <v>0</v>
      </c>
      <c r="N1567">
        <v>0</v>
      </c>
      <c r="O1567">
        <v>0</v>
      </c>
      <c r="P1567" s="13" t="str">
        <f t="shared" si="195"/>
        <v>—</v>
      </c>
      <c r="Q1567">
        <f>ROUND(INDEX(Catalogue!E$4:E$85,MATCH(A1567,Catalogue!A$4:A$85,0))*(1+Paramètres!$B$4*(C1567-1)+Paramètres!$B$5*(C1567-1)^2),0)</f>
        <v>0</v>
      </c>
      <c r="R1567">
        <f>ROUND(INDEX(Catalogue!F$4:F$85,MATCH(A1567,Catalogue!A$4:A$85,0))*(1+Paramètres!$B$4*(C1567-1)+Paramètres!$B$5*(C1567-1)^2),0)</f>
        <v>0</v>
      </c>
      <c r="S1567">
        <f t="shared" si="196"/>
        <v>0</v>
      </c>
      <c r="T1567" t="str">
        <f t="shared" si="197"/>
        <v>OK</v>
      </c>
      <c r="U1567" s="25">
        <f t="shared" si="198"/>
        <v>0</v>
      </c>
      <c r="V1567" t="str">
        <f t="shared" si="199"/>
        <v>OK</v>
      </c>
    </row>
    <row r="1568" spans="1:22" ht="18" customHeight="1">
      <c r="A1568" t="s">
        <v>356</v>
      </c>
      <c r="B1568" t="s">
        <v>357</v>
      </c>
      <c r="C1568">
        <v>5</v>
      </c>
      <c r="D1568" t="s">
        <v>333</v>
      </c>
      <c r="E1568" s="6">
        <f t="shared" si="192"/>
        <v>0</v>
      </c>
      <c r="F1568" s="6">
        <f t="shared" si="193"/>
        <v>0</v>
      </c>
      <c r="G1568" s="6">
        <f>ROUND(Catalogue!G82*SQRT((1+Paramètres!$B$4*(C1568-1)+Paramètres!$B$5*(C1568-1)^2)),0)</f>
        <v>12</v>
      </c>
      <c r="H1568" s="6">
        <f>ROUND(Catalogue!H82*SQRT((1+Paramètres!$B$4*(C1568-1)+Paramètres!$B$5*(C1568-1)^2)),0)</f>
        <v>0</v>
      </c>
      <c r="I1568" s="6">
        <v>0</v>
      </c>
      <c r="J1568" s="6">
        <v>0</v>
      </c>
      <c r="K1568" s="7">
        <v>6.3</v>
      </c>
      <c r="L1568" s="9">
        <f t="shared" si="194"/>
        <v>0</v>
      </c>
      <c r="M1568">
        <v>0</v>
      </c>
      <c r="N1568">
        <v>0</v>
      </c>
      <c r="O1568">
        <v>0</v>
      </c>
      <c r="P1568" s="13" t="str">
        <f t="shared" si="195"/>
        <v>—</v>
      </c>
      <c r="Q1568">
        <f>ROUND(INDEX(Catalogue!E$4:E$85,MATCH(A1568,Catalogue!A$4:A$85,0))*(1+Paramètres!$B$4*(C1568-1)+Paramètres!$B$5*(C1568-1)^2),0)</f>
        <v>0</v>
      </c>
      <c r="R1568">
        <f>ROUND(INDEX(Catalogue!F$4:F$85,MATCH(A1568,Catalogue!A$4:A$85,0))*(1+Paramètres!$B$4*(C1568-1)+Paramètres!$B$5*(C1568-1)^2),0)</f>
        <v>0</v>
      </c>
      <c r="S1568">
        <f t="shared" si="196"/>
        <v>0</v>
      </c>
      <c r="T1568" t="str">
        <f t="shared" si="197"/>
        <v>OK</v>
      </c>
      <c r="U1568" s="25">
        <f t="shared" si="198"/>
        <v>0</v>
      </c>
      <c r="V1568" t="str">
        <f t="shared" si="199"/>
        <v>OK</v>
      </c>
    </row>
    <row r="1569" spans="1:22" ht="18" customHeight="1">
      <c r="A1569" t="s">
        <v>356</v>
      </c>
      <c r="B1569" t="s">
        <v>357</v>
      </c>
      <c r="C1569">
        <v>6</v>
      </c>
      <c r="D1569" t="s">
        <v>333</v>
      </c>
      <c r="E1569" s="6">
        <f t="shared" si="192"/>
        <v>0</v>
      </c>
      <c r="F1569" s="6">
        <f t="shared" si="193"/>
        <v>0</v>
      </c>
      <c r="G1569" s="6">
        <f>ROUND(Catalogue!G82*SQRT((1+Paramètres!$B$4*(C1569-1)+Paramètres!$B$5*(C1569-1)^2)),0)</f>
        <v>13</v>
      </c>
      <c r="H1569" s="6">
        <f>ROUND(Catalogue!H82*SQRT((1+Paramètres!$B$4*(C1569-1)+Paramètres!$B$5*(C1569-1)^2)),0)</f>
        <v>0</v>
      </c>
      <c r="I1569" s="6">
        <v>0</v>
      </c>
      <c r="J1569" s="6">
        <v>0</v>
      </c>
      <c r="K1569" s="7">
        <v>6.3</v>
      </c>
      <c r="L1569" s="9">
        <f t="shared" si="194"/>
        <v>0</v>
      </c>
      <c r="M1569">
        <v>0</v>
      </c>
      <c r="N1569">
        <v>0</v>
      </c>
      <c r="O1569">
        <v>0</v>
      </c>
      <c r="P1569" s="13" t="str">
        <f t="shared" si="195"/>
        <v>—</v>
      </c>
      <c r="Q1569">
        <f>ROUND(INDEX(Catalogue!E$4:E$85,MATCH(A1569,Catalogue!A$4:A$85,0))*(1+Paramètres!$B$4*(C1569-1)+Paramètres!$B$5*(C1569-1)^2),0)</f>
        <v>0</v>
      </c>
      <c r="R1569">
        <f>ROUND(INDEX(Catalogue!F$4:F$85,MATCH(A1569,Catalogue!A$4:A$85,0))*(1+Paramètres!$B$4*(C1569-1)+Paramètres!$B$5*(C1569-1)^2),0)</f>
        <v>0</v>
      </c>
      <c r="S1569">
        <f t="shared" si="196"/>
        <v>0</v>
      </c>
      <c r="T1569" t="str">
        <f t="shared" si="197"/>
        <v>OK</v>
      </c>
      <c r="U1569" s="25">
        <f t="shared" si="198"/>
        <v>0</v>
      </c>
      <c r="V1569" t="str">
        <f t="shared" si="199"/>
        <v>OK</v>
      </c>
    </row>
    <row r="1570" spans="1:22" ht="18" customHeight="1">
      <c r="A1570" t="s">
        <v>356</v>
      </c>
      <c r="B1570" t="s">
        <v>357</v>
      </c>
      <c r="C1570">
        <v>7</v>
      </c>
      <c r="D1570" t="s">
        <v>333</v>
      </c>
      <c r="E1570" s="6">
        <f t="shared" si="192"/>
        <v>0</v>
      </c>
      <c r="F1570" s="6">
        <f t="shared" si="193"/>
        <v>0</v>
      </c>
      <c r="G1570" s="6">
        <f>ROUND(Catalogue!G82*SQRT((1+Paramètres!$B$4*(C1570-1)+Paramètres!$B$5*(C1570-1)^2)),0)</f>
        <v>13</v>
      </c>
      <c r="H1570" s="6">
        <f>ROUND(Catalogue!H82*SQRT((1+Paramètres!$B$4*(C1570-1)+Paramètres!$B$5*(C1570-1)^2)),0)</f>
        <v>0</v>
      </c>
      <c r="I1570" s="6">
        <v>0</v>
      </c>
      <c r="J1570" s="6">
        <v>0</v>
      </c>
      <c r="K1570" s="7">
        <v>6.3</v>
      </c>
      <c r="L1570" s="9">
        <f t="shared" si="194"/>
        <v>0</v>
      </c>
      <c r="M1570">
        <v>0</v>
      </c>
      <c r="N1570">
        <v>0</v>
      </c>
      <c r="O1570">
        <v>0</v>
      </c>
      <c r="P1570" s="13" t="str">
        <f t="shared" si="195"/>
        <v>—</v>
      </c>
      <c r="Q1570">
        <f>ROUND(INDEX(Catalogue!E$4:E$85,MATCH(A1570,Catalogue!A$4:A$85,0))*(1+Paramètres!$B$4*(C1570-1)+Paramètres!$B$5*(C1570-1)^2),0)</f>
        <v>0</v>
      </c>
      <c r="R1570">
        <f>ROUND(INDEX(Catalogue!F$4:F$85,MATCH(A1570,Catalogue!A$4:A$85,0))*(1+Paramètres!$B$4*(C1570-1)+Paramètres!$B$5*(C1570-1)^2),0)</f>
        <v>0</v>
      </c>
      <c r="S1570">
        <f t="shared" si="196"/>
        <v>0</v>
      </c>
      <c r="T1570" t="str">
        <f t="shared" si="197"/>
        <v>OK</v>
      </c>
      <c r="U1570" s="25">
        <f t="shared" si="198"/>
        <v>0</v>
      </c>
      <c r="V1570" t="str">
        <f t="shared" si="199"/>
        <v>OK</v>
      </c>
    </row>
    <row r="1571" spans="1:22" ht="18" customHeight="1">
      <c r="A1571" t="s">
        <v>356</v>
      </c>
      <c r="B1571" t="s">
        <v>357</v>
      </c>
      <c r="C1571">
        <v>8</v>
      </c>
      <c r="D1571" t="s">
        <v>333</v>
      </c>
      <c r="E1571" s="6">
        <f t="shared" si="192"/>
        <v>0</v>
      </c>
      <c r="F1571" s="6">
        <f t="shared" si="193"/>
        <v>0</v>
      </c>
      <c r="G1571" s="6">
        <f>ROUND(Catalogue!G82*SQRT((1+Paramètres!$B$4*(C1571-1)+Paramètres!$B$5*(C1571-1)^2)),0)</f>
        <v>14</v>
      </c>
      <c r="H1571" s="6">
        <f>ROUND(Catalogue!H82*SQRT((1+Paramètres!$B$4*(C1571-1)+Paramètres!$B$5*(C1571-1)^2)),0)</f>
        <v>0</v>
      </c>
      <c r="I1571" s="6">
        <v>0</v>
      </c>
      <c r="J1571" s="6">
        <v>0</v>
      </c>
      <c r="K1571" s="7">
        <v>6.3</v>
      </c>
      <c r="L1571" s="9">
        <f t="shared" si="194"/>
        <v>0</v>
      </c>
      <c r="M1571">
        <v>0</v>
      </c>
      <c r="N1571">
        <v>0</v>
      </c>
      <c r="O1571">
        <v>0</v>
      </c>
      <c r="P1571" s="13" t="str">
        <f t="shared" si="195"/>
        <v>—</v>
      </c>
      <c r="Q1571">
        <f>ROUND(INDEX(Catalogue!E$4:E$85,MATCH(A1571,Catalogue!A$4:A$85,0))*(1+Paramètres!$B$4*(C1571-1)+Paramètres!$B$5*(C1571-1)^2),0)</f>
        <v>0</v>
      </c>
      <c r="R1571">
        <f>ROUND(INDEX(Catalogue!F$4:F$85,MATCH(A1571,Catalogue!A$4:A$85,0))*(1+Paramètres!$B$4*(C1571-1)+Paramètres!$B$5*(C1571-1)^2),0)</f>
        <v>0</v>
      </c>
      <c r="S1571">
        <f t="shared" si="196"/>
        <v>0</v>
      </c>
      <c r="T1571" t="str">
        <f t="shared" si="197"/>
        <v>OK</v>
      </c>
      <c r="U1571" s="25">
        <f t="shared" si="198"/>
        <v>0</v>
      </c>
      <c r="V1571" t="str">
        <f t="shared" si="199"/>
        <v>OK</v>
      </c>
    </row>
    <row r="1572" spans="1:22" ht="18" customHeight="1">
      <c r="A1572" t="s">
        <v>356</v>
      </c>
      <c r="B1572" t="s">
        <v>357</v>
      </c>
      <c r="C1572">
        <v>9</v>
      </c>
      <c r="D1572" t="s">
        <v>333</v>
      </c>
      <c r="E1572" s="6">
        <f t="shared" si="192"/>
        <v>0</v>
      </c>
      <c r="F1572" s="6">
        <f t="shared" si="193"/>
        <v>0</v>
      </c>
      <c r="G1572" s="6">
        <f>ROUND(Catalogue!G82*SQRT((1+Paramètres!$B$4*(C1572-1)+Paramètres!$B$5*(C1572-1)^2)),0)</f>
        <v>15</v>
      </c>
      <c r="H1572" s="6">
        <f>ROUND(Catalogue!H82*SQRT((1+Paramètres!$B$4*(C1572-1)+Paramètres!$B$5*(C1572-1)^2)),0)</f>
        <v>0</v>
      </c>
      <c r="I1572" s="6">
        <v>0</v>
      </c>
      <c r="J1572" s="6">
        <v>0</v>
      </c>
      <c r="K1572" s="7">
        <v>6.3</v>
      </c>
      <c r="L1572" s="9">
        <f t="shared" si="194"/>
        <v>0</v>
      </c>
      <c r="M1572">
        <v>0</v>
      </c>
      <c r="N1572">
        <v>0</v>
      </c>
      <c r="O1572">
        <v>0</v>
      </c>
      <c r="P1572" s="13" t="str">
        <f t="shared" si="195"/>
        <v>—</v>
      </c>
      <c r="Q1572">
        <f>ROUND(INDEX(Catalogue!E$4:E$85,MATCH(A1572,Catalogue!A$4:A$85,0))*(1+Paramètres!$B$4*(C1572-1)+Paramètres!$B$5*(C1572-1)^2),0)</f>
        <v>0</v>
      </c>
      <c r="R1572">
        <f>ROUND(INDEX(Catalogue!F$4:F$85,MATCH(A1572,Catalogue!A$4:A$85,0))*(1+Paramètres!$B$4*(C1572-1)+Paramètres!$B$5*(C1572-1)^2),0)</f>
        <v>0</v>
      </c>
      <c r="S1572">
        <f t="shared" si="196"/>
        <v>0</v>
      </c>
      <c r="T1572" t="str">
        <f t="shared" si="197"/>
        <v>OK</v>
      </c>
      <c r="U1572" s="25">
        <f t="shared" si="198"/>
        <v>0</v>
      </c>
      <c r="V1572" t="str">
        <f t="shared" si="199"/>
        <v>OK</v>
      </c>
    </row>
    <row r="1573" spans="1:22" ht="18" customHeight="1">
      <c r="A1573" t="s">
        <v>356</v>
      </c>
      <c r="B1573" t="s">
        <v>357</v>
      </c>
      <c r="C1573">
        <v>10</v>
      </c>
      <c r="D1573" t="s">
        <v>333</v>
      </c>
      <c r="E1573" s="6">
        <f t="shared" si="192"/>
        <v>0</v>
      </c>
      <c r="F1573" s="6">
        <f t="shared" si="193"/>
        <v>0</v>
      </c>
      <c r="G1573" s="6">
        <f>ROUND(Catalogue!G82*SQRT((1+Paramètres!$B$4*(C1573-1)+Paramètres!$B$5*(C1573-1)^2)),0)</f>
        <v>16</v>
      </c>
      <c r="H1573" s="6">
        <f>ROUND(Catalogue!H82*SQRT((1+Paramètres!$B$4*(C1573-1)+Paramètres!$B$5*(C1573-1)^2)),0)</f>
        <v>0</v>
      </c>
      <c r="I1573" s="6">
        <v>0</v>
      </c>
      <c r="J1573" s="6">
        <v>0</v>
      </c>
      <c r="K1573" s="7">
        <v>6.3</v>
      </c>
      <c r="L1573" s="9">
        <f t="shared" si="194"/>
        <v>0</v>
      </c>
      <c r="M1573">
        <v>0</v>
      </c>
      <c r="N1573">
        <v>0</v>
      </c>
      <c r="O1573">
        <v>0</v>
      </c>
      <c r="P1573" s="13" t="str">
        <f t="shared" si="195"/>
        <v>—</v>
      </c>
      <c r="Q1573">
        <f>ROUND(INDEX(Catalogue!E$4:E$85,MATCH(A1573,Catalogue!A$4:A$85,0))*(1+Paramètres!$B$4*(C1573-1)+Paramètres!$B$5*(C1573-1)^2),0)</f>
        <v>0</v>
      </c>
      <c r="R1573">
        <f>ROUND(INDEX(Catalogue!F$4:F$85,MATCH(A1573,Catalogue!A$4:A$85,0))*(1+Paramètres!$B$4*(C1573-1)+Paramètres!$B$5*(C1573-1)^2),0)</f>
        <v>0</v>
      </c>
      <c r="S1573">
        <f t="shared" si="196"/>
        <v>0</v>
      </c>
      <c r="T1573" t="str">
        <f t="shared" si="197"/>
        <v>OK</v>
      </c>
      <c r="U1573" s="25">
        <f t="shared" si="198"/>
        <v>0</v>
      </c>
      <c r="V1573" t="str">
        <f t="shared" si="199"/>
        <v>OK</v>
      </c>
    </row>
    <row r="1574" spans="1:22" ht="18" customHeight="1">
      <c r="A1574" t="s">
        <v>356</v>
      </c>
      <c r="B1574" t="s">
        <v>357</v>
      </c>
      <c r="C1574">
        <v>11</v>
      </c>
      <c r="D1574" t="s">
        <v>333</v>
      </c>
      <c r="E1574" s="6">
        <f t="shared" si="192"/>
        <v>0</v>
      </c>
      <c r="F1574" s="6">
        <f t="shared" si="193"/>
        <v>0</v>
      </c>
      <c r="G1574" s="6">
        <f>ROUND(Catalogue!G82*SQRT((1+Paramètres!$B$4*(C1574-1)+Paramètres!$B$5*(C1574-1)^2)),0)</f>
        <v>17</v>
      </c>
      <c r="H1574" s="6">
        <f>ROUND(Catalogue!H82*SQRT((1+Paramètres!$B$4*(C1574-1)+Paramètres!$B$5*(C1574-1)^2)),0)</f>
        <v>0</v>
      </c>
      <c r="I1574" s="6">
        <v>0</v>
      </c>
      <c r="J1574" s="6">
        <v>0</v>
      </c>
      <c r="K1574" s="7">
        <v>6.3</v>
      </c>
      <c r="L1574" s="9">
        <f t="shared" si="194"/>
        <v>0</v>
      </c>
      <c r="M1574">
        <v>0</v>
      </c>
      <c r="N1574">
        <v>0</v>
      </c>
      <c r="O1574">
        <v>0</v>
      </c>
      <c r="P1574" s="13" t="str">
        <f t="shared" si="195"/>
        <v>—</v>
      </c>
      <c r="Q1574">
        <f>ROUND(INDEX(Catalogue!E$4:E$85,MATCH(A1574,Catalogue!A$4:A$85,0))*(1+Paramètres!$B$4*(C1574-1)+Paramètres!$B$5*(C1574-1)^2),0)</f>
        <v>0</v>
      </c>
      <c r="R1574">
        <f>ROUND(INDEX(Catalogue!F$4:F$85,MATCH(A1574,Catalogue!A$4:A$85,0))*(1+Paramètres!$B$4*(C1574-1)+Paramètres!$B$5*(C1574-1)^2),0)</f>
        <v>0</v>
      </c>
      <c r="S1574">
        <f t="shared" si="196"/>
        <v>0</v>
      </c>
      <c r="T1574" t="str">
        <f t="shared" si="197"/>
        <v>OK</v>
      </c>
      <c r="U1574" s="25">
        <f t="shared" si="198"/>
        <v>0</v>
      </c>
      <c r="V1574" t="str">
        <f t="shared" si="199"/>
        <v>OK</v>
      </c>
    </row>
    <row r="1575" spans="1:22" ht="18" customHeight="1">
      <c r="A1575" t="s">
        <v>356</v>
      </c>
      <c r="B1575" t="s">
        <v>357</v>
      </c>
      <c r="C1575">
        <v>12</v>
      </c>
      <c r="D1575" t="s">
        <v>333</v>
      </c>
      <c r="E1575" s="6">
        <f t="shared" si="192"/>
        <v>0</v>
      </c>
      <c r="F1575" s="6">
        <f t="shared" si="193"/>
        <v>0</v>
      </c>
      <c r="G1575" s="6">
        <f>ROUND(Catalogue!G82*SQRT((1+Paramètres!$B$4*(C1575-1)+Paramètres!$B$5*(C1575-1)^2)),0)</f>
        <v>18</v>
      </c>
      <c r="H1575" s="6">
        <f>ROUND(Catalogue!H82*SQRT((1+Paramètres!$B$4*(C1575-1)+Paramètres!$B$5*(C1575-1)^2)),0)</f>
        <v>0</v>
      </c>
      <c r="I1575" s="6">
        <v>0</v>
      </c>
      <c r="J1575" s="6">
        <v>0</v>
      </c>
      <c r="K1575" s="7">
        <v>6.3</v>
      </c>
      <c r="L1575" s="9">
        <f t="shared" si="194"/>
        <v>0</v>
      </c>
      <c r="M1575">
        <v>0</v>
      </c>
      <c r="N1575">
        <v>0</v>
      </c>
      <c r="O1575">
        <v>0</v>
      </c>
      <c r="P1575" s="13" t="str">
        <f t="shared" si="195"/>
        <v>—</v>
      </c>
      <c r="Q1575">
        <f>ROUND(INDEX(Catalogue!E$4:E$85,MATCH(A1575,Catalogue!A$4:A$85,0))*(1+Paramètres!$B$4*(C1575-1)+Paramètres!$B$5*(C1575-1)^2),0)</f>
        <v>0</v>
      </c>
      <c r="R1575">
        <f>ROUND(INDEX(Catalogue!F$4:F$85,MATCH(A1575,Catalogue!A$4:A$85,0))*(1+Paramètres!$B$4*(C1575-1)+Paramètres!$B$5*(C1575-1)^2),0)</f>
        <v>0</v>
      </c>
      <c r="S1575">
        <f t="shared" si="196"/>
        <v>0</v>
      </c>
      <c r="T1575" t="str">
        <f t="shared" si="197"/>
        <v>OK</v>
      </c>
      <c r="U1575" s="25">
        <f t="shared" si="198"/>
        <v>0</v>
      </c>
      <c r="V1575" t="str">
        <f t="shared" si="199"/>
        <v>OK</v>
      </c>
    </row>
    <row r="1576" spans="1:22" ht="18" customHeight="1">
      <c r="A1576" t="s">
        <v>356</v>
      </c>
      <c r="B1576" t="s">
        <v>357</v>
      </c>
      <c r="C1576">
        <v>13</v>
      </c>
      <c r="D1576" t="s">
        <v>333</v>
      </c>
      <c r="E1576" s="6">
        <f t="shared" si="192"/>
        <v>0</v>
      </c>
      <c r="F1576" s="6">
        <f t="shared" si="193"/>
        <v>0</v>
      </c>
      <c r="G1576" s="6">
        <f>ROUND(Catalogue!G82*SQRT((1+Paramètres!$B$4*(C1576-1)+Paramètres!$B$5*(C1576-1)^2)),0)</f>
        <v>19</v>
      </c>
      <c r="H1576" s="6">
        <f>ROUND(Catalogue!H82*SQRT((1+Paramètres!$B$4*(C1576-1)+Paramètres!$B$5*(C1576-1)^2)),0)</f>
        <v>0</v>
      </c>
      <c r="I1576" s="6">
        <v>0</v>
      </c>
      <c r="J1576" s="6">
        <v>0</v>
      </c>
      <c r="K1576" s="7">
        <v>6.3</v>
      </c>
      <c r="L1576" s="9">
        <f t="shared" si="194"/>
        <v>0</v>
      </c>
      <c r="M1576">
        <v>0</v>
      </c>
      <c r="N1576">
        <v>0</v>
      </c>
      <c r="O1576">
        <v>0</v>
      </c>
      <c r="P1576" s="13" t="str">
        <f t="shared" si="195"/>
        <v>—</v>
      </c>
      <c r="Q1576">
        <f>ROUND(INDEX(Catalogue!E$4:E$85,MATCH(A1576,Catalogue!A$4:A$85,0))*(1+Paramètres!$B$4*(C1576-1)+Paramètres!$B$5*(C1576-1)^2),0)</f>
        <v>0</v>
      </c>
      <c r="R1576">
        <f>ROUND(INDEX(Catalogue!F$4:F$85,MATCH(A1576,Catalogue!A$4:A$85,0))*(1+Paramètres!$B$4*(C1576-1)+Paramètres!$B$5*(C1576-1)^2),0)</f>
        <v>0</v>
      </c>
      <c r="S1576">
        <f t="shared" si="196"/>
        <v>0</v>
      </c>
      <c r="T1576" t="str">
        <f t="shared" si="197"/>
        <v>OK</v>
      </c>
      <c r="U1576" s="25">
        <f t="shared" si="198"/>
        <v>0</v>
      </c>
      <c r="V1576" t="str">
        <f t="shared" si="199"/>
        <v>OK</v>
      </c>
    </row>
    <row r="1577" spans="1:22" ht="18" customHeight="1">
      <c r="A1577" t="s">
        <v>356</v>
      </c>
      <c r="B1577" t="s">
        <v>357</v>
      </c>
      <c r="C1577">
        <v>14</v>
      </c>
      <c r="D1577" t="s">
        <v>333</v>
      </c>
      <c r="E1577" s="6">
        <f t="shared" si="192"/>
        <v>0</v>
      </c>
      <c r="F1577" s="6">
        <f t="shared" si="193"/>
        <v>0</v>
      </c>
      <c r="G1577" s="6">
        <f>ROUND(Catalogue!G82*SQRT((1+Paramètres!$B$4*(C1577-1)+Paramètres!$B$5*(C1577-1)^2)),0)</f>
        <v>20</v>
      </c>
      <c r="H1577" s="6">
        <f>ROUND(Catalogue!H82*SQRT((1+Paramètres!$B$4*(C1577-1)+Paramètres!$B$5*(C1577-1)^2)),0)</f>
        <v>0</v>
      </c>
      <c r="I1577" s="6">
        <v>0</v>
      </c>
      <c r="J1577" s="6">
        <v>0</v>
      </c>
      <c r="K1577" s="7">
        <v>6.3</v>
      </c>
      <c r="L1577" s="9">
        <f t="shared" si="194"/>
        <v>0</v>
      </c>
      <c r="M1577">
        <v>0</v>
      </c>
      <c r="N1577">
        <v>0</v>
      </c>
      <c r="O1577">
        <v>0</v>
      </c>
      <c r="P1577" s="13" t="str">
        <f t="shared" si="195"/>
        <v>—</v>
      </c>
      <c r="Q1577">
        <f>ROUND(INDEX(Catalogue!E$4:E$85,MATCH(A1577,Catalogue!A$4:A$85,0))*(1+Paramètres!$B$4*(C1577-1)+Paramètres!$B$5*(C1577-1)^2),0)</f>
        <v>0</v>
      </c>
      <c r="R1577">
        <f>ROUND(INDEX(Catalogue!F$4:F$85,MATCH(A1577,Catalogue!A$4:A$85,0))*(1+Paramètres!$B$4*(C1577-1)+Paramètres!$B$5*(C1577-1)^2),0)</f>
        <v>0</v>
      </c>
      <c r="S1577">
        <f t="shared" si="196"/>
        <v>0</v>
      </c>
      <c r="T1577" t="str">
        <f t="shared" si="197"/>
        <v>OK</v>
      </c>
      <c r="U1577" s="25">
        <f t="shared" si="198"/>
        <v>0</v>
      </c>
      <c r="V1577" t="str">
        <f t="shared" si="199"/>
        <v>OK</v>
      </c>
    </row>
    <row r="1578" spans="1:22" ht="18" customHeight="1">
      <c r="A1578" t="s">
        <v>356</v>
      </c>
      <c r="B1578" t="s">
        <v>357</v>
      </c>
      <c r="C1578">
        <v>15</v>
      </c>
      <c r="D1578" t="s">
        <v>333</v>
      </c>
      <c r="E1578" s="6">
        <f t="shared" si="192"/>
        <v>0</v>
      </c>
      <c r="F1578" s="6">
        <f t="shared" si="193"/>
        <v>0</v>
      </c>
      <c r="G1578" s="6">
        <f>ROUND(Catalogue!G82*SQRT((1+Paramètres!$B$4*(C1578-1)+Paramètres!$B$5*(C1578-1)^2)),0)</f>
        <v>21</v>
      </c>
      <c r="H1578" s="6">
        <f>ROUND(Catalogue!H82*SQRT((1+Paramètres!$B$4*(C1578-1)+Paramètres!$B$5*(C1578-1)^2)),0)</f>
        <v>0</v>
      </c>
      <c r="I1578" s="6">
        <v>0</v>
      </c>
      <c r="J1578" s="6">
        <v>0</v>
      </c>
      <c r="K1578" s="7">
        <v>6.3</v>
      </c>
      <c r="L1578" s="9">
        <f t="shared" si="194"/>
        <v>0</v>
      </c>
      <c r="M1578">
        <v>0</v>
      </c>
      <c r="N1578">
        <v>0</v>
      </c>
      <c r="O1578">
        <v>0</v>
      </c>
      <c r="P1578" s="13" t="str">
        <f t="shared" si="195"/>
        <v>—</v>
      </c>
      <c r="Q1578">
        <f>ROUND(INDEX(Catalogue!E$4:E$85,MATCH(A1578,Catalogue!A$4:A$85,0))*(1+Paramètres!$B$4*(C1578-1)+Paramètres!$B$5*(C1578-1)^2),0)</f>
        <v>0</v>
      </c>
      <c r="R1578">
        <f>ROUND(INDEX(Catalogue!F$4:F$85,MATCH(A1578,Catalogue!A$4:A$85,0))*(1+Paramètres!$B$4*(C1578-1)+Paramètres!$B$5*(C1578-1)^2),0)</f>
        <v>0</v>
      </c>
      <c r="S1578">
        <f t="shared" si="196"/>
        <v>0</v>
      </c>
      <c r="T1578" t="str">
        <f t="shared" si="197"/>
        <v>OK</v>
      </c>
      <c r="U1578" s="25">
        <f t="shared" si="198"/>
        <v>0</v>
      </c>
      <c r="V1578" t="str">
        <f t="shared" si="199"/>
        <v>OK</v>
      </c>
    </row>
    <row r="1579" spans="1:22" ht="18" customHeight="1">
      <c r="A1579" t="s">
        <v>356</v>
      </c>
      <c r="B1579" t="s">
        <v>357</v>
      </c>
      <c r="C1579">
        <v>16</v>
      </c>
      <c r="D1579" t="s">
        <v>333</v>
      </c>
      <c r="E1579" s="6">
        <f t="shared" si="192"/>
        <v>0</v>
      </c>
      <c r="F1579" s="6">
        <f t="shared" si="193"/>
        <v>0</v>
      </c>
      <c r="G1579" s="6">
        <f>ROUND(Catalogue!G82*SQRT((1+Paramètres!$B$4*(C1579-1)+Paramètres!$B$5*(C1579-1)^2)),0)</f>
        <v>23</v>
      </c>
      <c r="H1579" s="6">
        <f>ROUND(Catalogue!H82*SQRT((1+Paramètres!$B$4*(C1579-1)+Paramètres!$B$5*(C1579-1)^2)),0)</f>
        <v>0</v>
      </c>
      <c r="I1579" s="6">
        <v>0</v>
      </c>
      <c r="J1579" s="6">
        <v>0</v>
      </c>
      <c r="K1579" s="7">
        <v>6.3</v>
      </c>
      <c r="L1579" s="9">
        <f t="shared" si="194"/>
        <v>0</v>
      </c>
      <c r="M1579">
        <v>0</v>
      </c>
      <c r="N1579">
        <v>0</v>
      </c>
      <c r="O1579">
        <v>0</v>
      </c>
      <c r="P1579" s="13" t="str">
        <f t="shared" si="195"/>
        <v>—</v>
      </c>
      <c r="Q1579">
        <f>ROUND(INDEX(Catalogue!E$4:E$85,MATCH(A1579,Catalogue!A$4:A$85,0))*(1+Paramètres!$B$4*(C1579-1)+Paramètres!$B$5*(C1579-1)^2),0)</f>
        <v>0</v>
      </c>
      <c r="R1579">
        <f>ROUND(INDEX(Catalogue!F$4:F$85,MATCH(A1579,Catalogue!A$4:A$85,0))*(1+Paramètres!$B$4*(C1579-1)+Paramètres!$B$5*(C1579-1)^2),0)</f>
        <v>0</v>
      </c>
      <c r="S1579">
        <f t="shared" si="196"/>
        <v>0</v>
      </c>
      <c r="T1579" t="str">
        <f t="shared" si="197"/>
        <v>OK</v>
      </c>
      <c r="U1579" s="25">
        <f t="shared" si="198"/>
        <v>0</v>
      </c>
      <c r="V1579" t="str">
        <f t="shared" si="199"/>
        <v>OK</v>
      </c>
    </row>
    <row r="1580" spans="1:22" ht="18" customHeight="1">
      <c r="A1580" t="s">
        <v>356</v>
      </c>
      <c r="B1580" t="s">
        <v>357</v>
      </c>
      <c r="C1580">
        <v>17</v>
      </c>
      <c r="D1580" t="s">
        <v>333</v>
      </c>
      <c r="E1580" s="6">
        <f t="shared" si="192"/>
        <v>0</v>
      </c>
      <c r="F1580" s="6">
        <f t="shared" si="193"/>
        <v>0</v>
      </c>
      <c r="G1580" s="6">
        <f>ROUND(Catalogue!G82*SQRT((1+Paramètres!$B$4*(C1580-1)+Paramètres!$B$5*(C1580-1)^2)),0)</f>
        <v>24</v>
      </c>
      <c r="H1580" s="6">
        <f>ROUND(Catalogue!H82*SQRT((1+Paramètres!$B$4*(C1580-1)+Paramètres!$B$5*(C1580-1)^2)),0)</f>
        <v>0</v>
      </c>
      <c r="I1580" s="6">
        <v>0</v>
      </c>
      <c r="J1580" s="6">
        <v>0</v>
      </c>
      <c r="K1580" s="7">
        <v>6.3</v>
      </c>
      <c r="L1580" s="9">
        <f t="shared" si="194"/>
        <v>0</v>
      </c>
      <c r="M1580">
        <v>0</v>
      </c>
      <c r="N1580">
        <v>0</v>
      </c>
      <c r="O1580">
        <v>0</v>
      </c>
      <c r="P1580" s="13" t="str">
        <f t="shared" si="195"/>
        <v>—</v>
      </c>
      <c r="Q1580">
        <f>ROUND(INDEX(Catalogue!E$4:E$85,MATCH(A1580,Catalogue!A$4:A$85,0))*(1+Paramètres!$B$4*(C1580-1)+Paramètres!$B$5*(C1580-1)^2),0)</f>
        <v>0</v>
      </c>
      <c r="R1580">
        <f>ROUND(INDEX(Catalogue!F$4:F$85,MATCH(A1580,Catalogue!A$4:A$85,0))*(1+Paramètres!$B$4*(C1580-1)+Paramètres!$B$5*(C1580-1)^2),0)</f>
        <v>0</v>
      </c>
      <c r="S1580">
        <f t="shared" si="196"/>
        <v>0</v>
      </c>
      <c r="T1580" t="str">
        <f t="shared" si="197"/>
        <v>OK</v>
      </c>
      <c r="U1580" s="25">
        <f t="shared" si="198"/>
        <v>0</v>
      </c>
      <c r="V1580" t="str">
        <f t="shared" si="199"/>
        <v>OK</v>
      </c>
    </row>
    <row r="1581" spans="1:22" ht="18" customHeight="1">
      <c r="A1581" t="s">
        <v>356</v>
      </c>
      <c r="B1581" t="s">
        <v>357</v>
      </c>
      <c r="C1581">
        <v>18</v>
      </c>
      <c r="D1581" t="s">
        <v>333</v>
      </c>
      <c r="E1581" s="6">
        <f t="shared" si="192"/>
        <v>0</v>
      </c>
      <c r="F1581" s="6">
        <f t="shared" si="193"/>
        <v>0</v>
      </c>
      <c r="G1581" s="6">
        <f>ROUND(Catalogue!G82*SQRT((1+Paramètres!$B$4*(C1581-1)+Paramètres!$B$5*(C1581-1)^2)),0)</f>
        <v>25</v>
      </c>
      <c r="H1581" s="6">
        <f>ROUND(Catalogue!H82*SQRT((1+Paramètres!$B$4*(C1581-1)+Paramètres!$B$5*(C1581-1)^2)),0)</f>
        <v>0</v>
      </c>
      <c r="I1581" s="6">
        <v>0</v>
      </c>
      <c r="J1581" s="6">
        <v>0</v>
      </c>
      <c r="K1581" s="7">
        <v>6.3</v>
      </c>
      <c r="L1581" s="9">
        <f t="shared" si="194"/>
        <v>0</v>
      </c>
      <c r="M1581">
        <v>0</v>
      </c>
      <c r="N1581">
        <v>0</v>
      </c>
      <c r="O1581">
        <v>0</v>
      </c>
      <c r="P1581" s="13" t="str">
        <f t="shared" si="195"/>
        <v>—</v>
      </c>
      <c r="Q1581">
        <f>ROUND(INDEX(Catalogue!E$4:E$85,MATCH(A1581,Catalogue!A$4:A$85,0))*(1+Paramètres!$B$4*(C1581-1)+Paramètres!$B$5*(C1581-1)^2),0)</f>
        <v>0</v>
      </c>
      <c r="R1581">
        <f>ROUND(INDEX(Catalogue!F$4:F$85,MATCH(A1581,Catalogue!A$4:A$85,0))*(1+Paramètres!$B$4*(C1581-1)+Paramètres!$B$5*(C1581-1)^2),0)</f>
        <v>0</v>
      </c>
      <c r="S1581">
        <f t="shared" si="196"/>
        <v>0</v>
      </c>
      <c r="T1581" t="str">
        <f t="shared" si="197"/>
        <v>OK</v>
      </c>
      <c r="U1581" s="25">
        <f t="shared" si="198"/>
        <v>0</v>
      </c>
      <c r="V1581" t="str">
        <f t="shared" si="199"/>
        <v>OK</v>
      </c>
    </row>
    <row r="1582" spans="1:22" ht="18" customHeight="1">
      <c r="A1582" t="s">
        <v>356</v>
      </c>
      <c r="B1582" t="s">
        <v>357</v>
      </c>
      <c r="C1582">
        <v>19</v>
      </c>
      <c r="D1582" t="s">
        <v>333</v>
      </c>
      <c r="E1582" s="6">
        <f t="shared" si="192"/>
        <v>0</v>
      </c>
      <c r="F1582" s="6">
        <f t="shared" si="193"/>
        <v>0</v>
      </c>
      <c r="G1582" s="6">
        <f>ROUND(Catalogue!G82*SQRT((1+Paramètres!$B$4*(C1582-1)+Paramètres!$B$5*(C1582-1)^2)),0)</f>
        <v>26</v>
      </c>
      <c r="H1582" s="6">
        <f>ROUND(Catalogue!H82*SQRT((1+Paramètres!$B$4*(C1582-1)+Paramètres!$B$5*(C1582-1)^2)),0)</f>
        <v>0</v>
      </c>
      <c r="I1582" s="6">
        <v>0</v>
      </c>
      <c r="J1582" s="6">
        <v>0</v>
      </c>
      <c r="K1582" s="7">
        <v>6.3</v>
      </c>
      <c r="L1582" s="9">
        <f t="shared" si="194"/>
        <v>0</v>
      </c>
      <c r="M1582">
        <v>0</v>
      </c>
      <c r="N1582">
        <v>0</v>
      </c>
      <c r="O1582">
        <v>0</v>
      </c>
      <c r="P1582" s="13" t="str">
        <f t="shared" si="195"/>
        <v>—</v>
      </c>
      <c r="Q1582">
        <f>ROUND(INDEX(Catalogue!E$4:E$85,MATCH(A1582,Catalogue!A$4:A$85,0))*(1+Paramètres!$B$4*(C1582-1)+Paramètres!$B$5*(C1582-1)^2),0)</f>
        <v>0</v>
      </c>
      <c r="R1582">
        <f>ROUND(INDEX(Catalogue!F$4:F$85,MATCH(A1582,Catalogue!A$4:A$85,0))*(1+Paramètres!$B$4*(C1582-1)+Paramètres!$B$5*(C1582-1)^2),0)</f>
        <v>0</v>
      </c>
      <c r="S1582">
        <f t="shared" si="196"/>
        <v>0</v>
      </c>
      <c r="T1582" t="str">
        <f t="shared" si="197"/>
        <v>OK</v>
      </c>
      <c r="U1582" s="25">
        <f t="shared" si="198"/>
        <v>0</v>
      </c>
      <c r="V1582" t="str">
        <f t="shared" si="199"/>
        <v>OK</v>
      </c>
    </row>
    <row r="1583" spans="1:22" ht="18" customHeight="1">
      <c r="A1583" t="s">
        <v>356</v>
      </c>
      <c r="B1583" t="s">
        <v>357</v>
      </c>
      <c r="C1583">
        <v>20</v>
      </c>
      <c r="D1583" t="s">
        <v>333</v>
      </c>
      <c r="E1583" s="6">
        <f t="shared" si="192"/>
        <v>0</v>
      </c>
      <c r="F1583" s="6">
        <f t="shared" si="193"/>
        <v>0</v>
      </c>
      <c r="G1583" s="6">
        <f>ROUND(Catalogue!G82*SQRT((1+Paramètres!$B$4*(C1583-1)+Paramètres!$B$5*(C1583-1)^2)),0)</f>
        <v>27</v>
      </c>
      <c r="H1583" s="6">
        <f>ROUND(Catalogue!H82*SQRT((1+Paramètres!$B$4*(C1583-1)+Paramètres!$B$5*(C1583-1)^2)),0)</f>
        <v>0</v>
      </c>
      <c r="I1583" s="6">
        <v>0</v>
      </c>
      <c r="J1583" s="6">
        <v>0</v>
      </c>
      <c r="K1583" s="7">
        <v>6.3</v>
      </c>
      <c r="L1583" s="9">
        <f t="shared" si="194"/>
        <v>0</v>
      </c>
      <c r="M1583">
        <v>0</v>
      </c>
      <c r="N1583">
        <v>0</v>
      </c>
      <c r="O1583">
        <v>0</v>
      </c>
      <c r="P1583" s="13" t="str">
        <f t="shared" si="195"/>
        <v>—</v>
      </c>
      <c r="Q1583">
        <f>ROUND(INDEX(Catalogue!E$4:E$85,MATCH(A1583,Catalogue!A$4:A$85,0))*(1+Paramètres!$B$4*(C1583-1)+Paramètres!$B$5*(C1583-1)^2),0)</f>
        <v>0</v>
      </c>
      <c r="R1583">
        <f>ROUND(INDEX(Catalogue!F$4:F$85,MATCH(A1583,Catalogue!A$4:A$85,0))*(1+Paramètres!$B$4*(C1583-1)+Paramètres!$B$5*(C1583-1)^2),0)</f>
        <v>0</v>
      </c>
      <c r="S1583">
        <f t="shared" si="196"/>
        <v>0</v>
      </c>
      <c r="T1583" t="str">
        <f t="shared" si="197"/>
        <v>OK</v>
      </c>
      <c r="U1583" s="25">
        <f t="shared" si="198"/>
        <v>0</v>
      </c>
      <c r="V1583" t="str">
        <f t="shared" si="199"/>
        <v>OK</v>
      </c>
    </row>
    <row r="1584" spans="1:22" ht="18" customHeight="1">
      <c r="A1584" t="s">
        <v>359</v>
      </c>
      <c r="B1584" t="s">
        <v>360</v>
      </c>
      <c r="C1584">
        <v>1</v>
      </c>
      <c r="D1584" t="s">
        <v>333</v>
      </c>
      <c r="E1584" s="6">
        <f t="shared" si="192"/>
        <v>0</v>
      </c>
      <c r="F1584" s="6">
        <f t="shared" si="193"/>
        <v>0</v>
      </c>
      <c r="G1584" s="6">
        <f>ROUND(Catalogue!G83*SQRT((1+Paramètres!$B$4*(C1584-1)+Paramètres!$B$5*(C1584-1)^2)),0)</f>
        <v>11</v>
      </c>
      <c r="H1584" s="6">
        <f>ROUND(Catalogue!H83*SQRT((1+Paramètres!$B$4*(C1584-1)+Paramètres!$B$5*(C1584-1)^2)),0)</f>
        <v>0</v>
      </c>
      <c r="I1584" s="6">
        <v>0</v>
      </c>
      <c r="J1584" s="6">
        <v>0</v>
      </c>
      <c r="K1584" s="7">
        <v>7.8</v>
      </c>
      <c r="L1584" s="9">
        <f t="shared" si="194"/>
        <v>0</v>
      </c>
      <c r="M1584">
        <v>0</v>
      </c>
      <c r="N1584">
        <v>0</v>
      </c>
      <c r="O1584">
        <v>0</v>
      </c>
      <c r="P1584" s="13" t="str">
        <f t="shared" si="195"/>
        <v>—</v>
      </c>
      <c r="Q1584">
        <f>ROUND(INDEX(Catalogue!E$4:E$85,MATCH(A1584,Catalogue!A$4:A$85,0))*(1+Paramètres!$B$4*(C1584-1)+Paramètres!$B$5*(C1584-1)^2),0)</f>
        <v>0</v>
      </c>
      <c r="R1584">
        <f>ROUND(INDEX(Catalogue!F$4:F$85,MATCH(A1584,Catalogue!A$4:A$85,0))*(1+Paramètres!$B$4*(C1584-1)+Paramètres!$B$5*(C1584-1)^2),0)</f>
        <v>0</v>
      </c>
      <c r="S1584">
        <f t="shared" si="196"/>
        <v>0</v>
      </c>
      <c r="T1584" t="str">
        <f t="shared" si="197"/>
        <v>OK</v>
      </c>
      <c r="U1584" s="25">
        <f t="shared" si="198"/>
        <v>0</v>
      </c>
      <c r="V1584" t="str">
        <f t="shared" si="199"/>
        <v>OK</v>
      </c>
    </row>
    <row r="1585" spans="1:22" ht="18" customHeight="1">
      <c r="A1585" t="s">
        <v>359</v>
      </c>
      <c r="B1585" t="s">
        <v>360</v>
      </c>
      <c r="C1585">
        <v>2</v>
      </c>
      <c r="D1585" t="s">
        <v>333</v>
      </c>
      <c r="E1585" s="6">
        <f t="shared" si="192"/>
        <v>0</v>
      </c>
      <c r="F1585" s="6">
        <f t="shared" si="193"/>
        <v>0</v>
      </c>
      <c r="G1585" s="6">
        <f>ROUND(Catalogue!G83*SQRT((1+Paramètres!$B$4*(C1585-1)+Paramètres!$B$5*(C1585-1)^2)),0)</f>
        <v>12</v>
      </c>
      <c r="H1585" s="6">
        <f>ROUND(Catalogue!H83*SQRT((1+Paramètres!$B$4*(C1585-1)+Paramètres!$B$5*(C1585-1)^2)),0)</f>
        <v>0</v>
      </c>
      <c r="I1585" s="6">
        <v>0</v>
      </c>
      <c r="J1585" s="6">
        <v>0</v>
      </c>
      <c r="K1585" s="7">
        <v>7.8</v>
      </c>
      <c r="L1585" s="9">
        <f t="shared" si="194"/>
        <v>0</v>
      </c>
      <c r="M1585">
        <v>0</v>
      </c>
      <c r="N1585">
        <v>0</v>
      </c>
      <c r="O1585">
        <v>0</v>
      </c>
      <c r="P1585" s="13" t="str">
        <f t="shared" si="195"/>
        <v>—</v>
      </c>
      <c r="Q1585">
        <f>ROUND(INDEX(Catalogue!E$4:E$85,MATCH(A1585,Catalogue!A$4:A$85,0))*(1+Paramètres!$B$4*(C1585-1)+Paramètres!$B$5*(C1585-1)^2),0)</f>
        <v>0</v>
      </c>
      <c r="R1585">
        <f>ROUND(INDEX(Catalogue!F$4:F$85,MATCH(A1585,Catalogue!A$4:A$85,0))*(1+Paramètres!$B$4*(C1585-1)+Paramètres!$B$5*(C1585-1)^2),0)</f>
        <v>0</v>
      </c>
      <c r="S1585">
        <f t="shared" si="196"/>
        <v>0</v>
      </c>
      <c r="T1585" t="str">
        <f t="shared" si="197"/>
        <v>OK</v>
      </c>
      <c r="U1585" s="25">
        <f t="shared" si="198"/>
        <v>0</v>
      </c>
      <c r="V1585" t="str">
        <f t="shared" si="199"/>
        <v>OK</v>
      </c>
    </row>
    <row r="1586" spans="1:22" ht="18" customHeight="1">
      <c r="A1586" t="s">
        <v>359</v>
      </c>
      <c r="B1586" t="s">
        <v>360</v>
      </c>
      <c r="C1586">
        <v>3</v>
      </c>
      <c r="D1586" t="s">
        <v>333</v>
      </c>
      <c r="E1586" s="6">
        <f t="shared" si="192"/>
        <v>0</v>
      </c>
      <c r="F1586" s="6">
        <f t="shared" si="193"/>
        <v>0</v>
      </c>
      <c r="G1586" s="6">
        <f>ROUND(Catalogue!G83*SQRT((1+Paramètres!$B$4*(C1586-1)+Paramètres!$B$5*(C1586-1)^2)),0)</f>
        <v>12</v>
      </c>
      <c r="H1586" s="6">
        <f>ROUND(Catalogue!H83*SQRT((1+Paramètres!$B$4*(C1586-1)+Paramètres!$B$5*(C1586-1)^2)),0)</f>
        <v>0</v>
      </c>
      <c r="I1586" s="6">
        <v>0</v>
      </c>
      <c r="J1586" s="6">
        <v>0</v>
      </c>
      <c r="K1586" s="7">
        <v>7.8</v>
      </c>
      <c r="L1586" s="9">
        <f t="shared" si="194"/>
        <v>0</v>
      </c>
      <c r="M1586">
        <v>0</v>
      </c>
      <c r="N1586">
        <v>0</v>
      </c>
      <c r="O1586">
        <v>0</v>
      </c>
      <c r="P1586" s="13" t="str">
        <f t="shared" si="195"/>
        <v>—</v>
      </c>
      <c r="Q1586">
        <f>ROUND(INDEX(Catalogue!E$4:E$85,MATCH(A1586,Catalogue!A$4:A$85,0))*(1+Paramètres!$B$4*(C1586-1)+Paramètres!$B$5*(C1586-1)^2),0)</f>
        <v>0</v>
      </c>
      <c r="R1586">
        <f>ROUND(INDEX(Catalogue!F$4:F$85,MATCH(A1586,Catalogue!A$4:A$85,0))*(1+Paramètres!$B$4*(C1586-1)+Paramètres!$B$5*(C1586-1)^2),0)</f>
        <v>0</v>
      </c>
      <c r="S1586">
        <f t="shared" si="196"/>
        <v>0</v>
      </c>
      <c r="T1586" t="str">
        <f t="shared" si="197"/>
        <v>OK</v>
      </c>
      <c r="U1586" s="25">
        <f t="shared" si="198"/>
        <v>0</v>
      </c>
      <c r="V1586" t="str">
        <f t="shared" si="199"/>
        <v>OK</v>
      </c>
    </row>
    <row r="1587" spans="1:22" ht="18" customHeight="1">
      <c r="A1587" t="s">
        <v>359</v>
      </c>
      <c r="B1587" t="s">
        <v>360</v>
      </c>
      <c r="C1587">
        <v>4</v>
      </c>
      <c r="D1587" t="s">
        <v>333</v>
      </c>
      <c r="E1587" s="6">
        <f t="shared" si="192"/>
        <v>0</v>
      </c>
      <c r="F1587" s="6">
        <f t="shared" si="193"/>
        <v>0</v>
      </c>
      <c r="G1587" s="6">
        <f>ROUND(Catalogue!G83*SQRT((1+Paramètres!$B$4*(C1587-1)+Paramètres!$B$5*(C1587-1)^2)),0)</f>
        <v>13</v>
      </c>
      <c r="H1587" s="6">
        <f>ROUND(Catalogue!H83*SQRT((1+Paramètres!$B$4*(C1587-1)+Paramètres!$B$5*(C1587-1)^2)),0)</f>
        <v>0</v>
      </c>
      <c r="I1587" s="6">
        <v>0</v>
      </c>
      <c r="J1587" s="6">
        <v>0</v>
      </c>
      <c r="K1587" s="7">
        <v>7.8</v>
      </c>
      <c r="L1587" s="9">
        <f t="shared" si="194"/>
        <v>0</v>
      </c>
      <c r="M1587">
        <v>0</v>
      </c>
      <c r="N1587">
        <v>0</v>
      </c>
      <c r="O1587">
        <v>0</v>
      </c>
      <c r="P1587" s="13" t="str">
        <f t="shared" si="195"/>
        <v>—</v>
      </c>
      <c r="Q1587">
        <f>ROUND(INDEX(Catalogue!E$4:E$85,MATCH(A1587,Catalogue!A$4:A$85,0))*(1+Paramètres!$B$4*(C1587-1)+Paramètres!$B$5*(C1587-1)^2),0)</f>
        <v>0</v>
      </c>
      <c r="R1587">
        <f>ROUND(INDEX(Catalogue!F$4:F$85,MATCH(A1587,Catalogue!A$4:A$85,0))*(1+Paramètres!$B$4*(C1587-1)+Paramètres!$B$5*(C1587-1)^2),0)</f>
        <v>0</v>
      </c>
      <c r="S1587">
        <f t="shared" si="196"/>
        <v>0</v>
      </c>
      <c r="T1587" t="str">
        <f t="shared" si="197"/>
        <v>OK</v>
      </c>
      <c r="U1587" s="25">
        <f t="shared" si="198"/>
        <v>0</v>
      </c>
      <c r="V1587" t="str">
        <f t="shared" si="199"/>
        <v>OK</v>
      </c>
    </row>
    <row r="1588" spans="1:22" ht="18" customHeight="1">
      <c r="A1588" t="s">
        <v>359</v>
      </c>
      <c r="B1588" t="s">
        <v>360</v>
      </c>
      <c r="C1588">
        <v>5</v>
      </c>
      <c r="D1588" t="s">
        <v>333</v>
      </c>
      <c r="E1588" s="6">
        <f t="shared" si="192"/>
        <v>0</v>
      </c>
      <c r="F1588" s="6">
        <f t="shared" si="193"/>
        <v>0</v>
      </c>
      <c r="G1588" s="6">
        <f>ROUND(Catalogue!G83*SQRT((1+Paramètres!$B$4*(C1588-1)+Paramètres!$B$5*(C1588-1)^2)),0)</f>
        <v>14</v>
      </c>
      <c r="H1588" s="6">
        <f>ROUND(Catalogue!H83*SQRT((1+Paramètres!$B$4*(C1588-1)+Paramètres!$B$5*(C1588-1)^2)),0)</f>
        <v>0</v>
      </c>
      <c r="I1588" s="6">
        <v>0</v>
      </c>
      <c r="J1588" s="6">
        <v>0</v>
      </c>
      <c r="K1588" s="7">
        <v>7.8</v>
      </c>
      <c r="L1588" s="9">
        <f t="shared" si="194"/>
        <v>0</v>
      </c>
      <c r="M1588">
        <v>0</v>
      </c>
      <c r="N1588">
        <v>0</v>
      </c>
      <c r="O1588">
        <v>0</v>
      </c>
      <c r="P1588" s="13" t="str">
        <f t="shared" si="195"/>
        <v>—</v>
      </c>
      <c r="Q1588">
        <f>ROUND(INDEX(Catalogue!E$4:E$85,MATCH(A1588,Catalogue!A$4:A$85,0))*(1+Paramètres!$B$4*(C1588-1)+Paramètres!$B$5*(C1588-1)^2),0)</f>
        <v>0</v>
      </c>
      <c r="R1588">
        <f>ROUND(INDEX(Catalogue!F$4:F$85,MATCH(A1588,Catalogue!A$4:A$85,0))*(1+Paramètres!$B$4*(C1588-1)+Paramètres!$B$5*(C1588-1)^2),0)</f>
        <v>0</v>
      </c>
      <c r="S1588">
        <f t="shared" si="196"/>
        <v>0</v>
      </c>
      <c r="T1588" t="str">
        <f t="shared" si="197"/>
        <v>OK</v>
      </c>
      <c r="U1588" s="25">
        <f t="shared" si="198"/>
        <v>0</v>
      </c>
      <c r="V1588" t="str">
        <f t="shared" si="199"/>
        <v>OK</v>
      </c>
    </row>
    <row r="1589" spans="1:22" ht="18" customHeight="1">
      <c r="A1589" t="s">
        <v>359</v>
      </c>
      <c r="B1589" t="s">
        <v>360</v>
      </c>
      <c r="C1589">
        <v>6</v>
      </c>
      <c r="D1589" t="s">
        <v>333</v>
      </c>
      <c r="E1589" s="6">
        <f t="shared" si="192"/>
        <v>0</v>
      </c>
      <c r="F1589" s="6">
        <f t="shared" si="193"/>
        <v>0</v>
      </c>
      <c r="G1589" s="6">
        <f>ROUND(Catalogue!G83*SQRT((1+Paramètres!$B$4*(C1589-1)+Paramètres!$B$5*(C1589-1)^2)),0)</f>
        <v>15</v>
      </c>
      <c r="H1589" s="6">
        <f>ROUND(Catalogue!H83*SQRT((1+Paramètres!$B$4*(C1589-1)+Paramètres!$B$5*(C1589-1)^2)),0)</f>
        <v>0</v>
      </c>
      <c r="I1589" s="6">
        <v>0</v>
      </c>
      <c r="J1589" s="6">
        <v>0</v>
      </c>
      <c r="K1589" s="7">
        <v>7.8</v>
      </c>
      <c r="L1589" s="9">
        <f t="shared" si="194"/>
        <v>0</v>
      </c>
      <c r="M1589">
        <v>0</v>
      </c>
      <c r="N1589">
        <v>0</v>
      </c>
      <c r="O1589">
        <v>0</v>
      </c>
      <c r="P1589" s="13" t="str">
        <f t="shared" si="195"/>
        <v>—</v>
      </c>
      <c r="Q1589">
        <f>ROUND(INDEX(Catalogue!E$4:E$85,MATCH(A1589,Catalogue!A$4:A$85,0))*(1+Paramètres!$B$4*(C1589-1)+Paramètres!$B$5*(C1589-1)^2),0)</f>
        <v>0</v>
      </c>
      <c r="R1589">
        <f>ROUND(INDEX(Catalogue!F$4:F$85,MATCH(A1589,Catalogue!A$4:A$85,0))*(1+Paramètres!$B$4*(C1589-1)+Paramètres!$B$5*(C1589-1)^2),0)</f>
        <v>0</v>
      </c>
      <c r="S1589">
        <f t="shared" si="196"/>
        <v>0</v>
      </c>
      <c r="T1589" t="str">
        <f t="shared" si="197"/>
        <v>OK</v>
      </c>
      <c r="U1589" s="25">
        <f t="shared" si="198"/>
        <v>0</v>
      </c>
      <c r="V1589" t="str">
        <f t="shared" si="199"/>
        <v>OK</v>
      </c>
    </row>
    <row r="1590" spans="1:22" ht="18" customHeight="1">
      <c r="A1590" t="s">
        <v>359</v>
      </c>
      <c r="B1590" t="s">
        <v>360</v>
      </c>
      <c r="C1590">
        <v>7</v>
      </c>
      <c r="D1590" t="s">
        <v>333</v>
      </c>
      <c r="E1590" s="6">
        <f t="shared" si="192"/>
        <v>0</v>
      </c>
      <c r="F1590" s="6">
        <f t="shared" si="193"/>
        <v>0</v>
      </c>
      <c r="G1590" s="6">
        <f>ROUND(Catalogue!G83*SQRT((1+Paramètres!$B$4*(C1590-1)+Paramètres!$B$5*(C1590-1)^2)),0)</f>
        <v>16</v>
      </c>
      <c r="H1590" s="6">
        <f>ROUND(Catalogue!H83*SQRT((1+Paramètres!$B$4*(C1590-1)+Paramètres!$B$5*(C1590-1)^2)),0)</f>
        <v>0</v>
      </c>
      <c r="I1590" s="6">
        <v>0</v>
      </c>
      <c r="J1590" s="6">
        <v>0</v>
      </c>
      <c r="K1590" s="7">
        <v>7.8</v>
      </c>
      <c r="L1590" s="9">
        <f t="shared" si="194"/>
        <v>0</v>
      </c>
      <c r="M1590">
        <v>0</v>
      </c>
      <c r="N1590">
        <v>0</v>
      </c>
      <c r="O1590">
        <v>0</v>
      </c>
      <c r="P1590" s="13" t="str">
        <f t="shared" si="195"/>
        <v>—</v>
      </c>
      <c r="Q1590">
        <f>ROUND(INDEX(Catalogue!E$4:E$85,MATCH(A1590,Catalogue!A$4:A$85,0))*(1+Paramètres!$B$4*(C1590-1)+Paramètres!$B$5*(C1590-1)^2),0)</f>
        <v>0</v>
      </c>
      <c r="R1590">
        <f>ROUND(INDEX(Catalogue!F$4:F$85,MATCH(A1590,Catalogue!A$4:A$85,0))*(1+Paramètres!$B$4*(C1590-1)+Paramètres!$B$5*(C1590-1)^2),0)</f>
        <v>0</v>
      </c>
      <c r="S1590">
        <f t="shared" si="196"/>
        <v>0</v>
      </c>
      <c r="T1590" t="str">
        <f t="shared" si="197"/>
        <v>OK</v>
      </c>
      <c r="U1590" s="25">
        <f t="shared" si="198"/>
        <v>0</v>
      </c>
      <c r="V1590" t="str">
        <f t="shared" si="199"/>
        <v>OK</v>
      </c>
    </row>
    <row r="1591" spans="1:22" ht="18" customHeight="1">
      <c r="A1591" t="s">
        <v>359</v>
      </c>
      <c r="B1591" t="s">
        <v>360</v>
      </c>
      <c r="C1591">
        <v>8</v>
      </c>
      <c r="D1591" t="s">
        <v>333</v>
      </c>
      <c r="E1591" s="6">
        <f t="shared" si="192"/>
        <v>0</v>
      </c>
      <c r="F1591" s="6">
        <f t="shared" si="193"/>
        <v>0</v>
      </c>
      <c r="G1591" s="6">
        <f>ROUND(Catalogue!G83*SQRT((1+Paramètres!$B$4*(C1591-1)+Paramètres!$B$5*(C1591-1)^2)),0)</f>
        <v>18</v>
      </c>
      <c r="H1591" s="6">
        <f>ROUND(Catalogue!H83*SQRT((1+Paramètres!$B$4*(C1591-1)+Paramètres!$B$5*(C1591-1)^2)),0)</f>
        <v>0</v>
      </c>
      <c r="I1591" s="6">
        <v>0</v>
      </c>
      <c r="J1591" s="6">
        <v>0</v>
      </c>
      <c r="K1591" s="7">
        <v>7.8</v>
      </c>
      <c r="L1591" s="9">
        <f t="shared" si="194"/>
        <v>0</v>
      </c>
      <c r="M1591">
        <v>0</v>
      </c>
      <c r="N1591">
        <v>0</v>
      </c>
      <c r="O1591">
        <v>0</v>
      </c>
      <c r="P1591" s="13" t="str">
        <f t="shared" si="195"/>
        <v>—</v>
      </c>
      <c r="Q1591">
        <f>ROUND(INDEX(Catalogue!E$4:E$85,MATCH(A1591,Catalogue!A$4:A$85,0))*(1+Paramètres!$B$4*(C1591-1)+Paramètres!$B$5*(C1591-1)^2),0)</f>
        <v>0</v>
      </c>
      <c r="R1591">
        <f>ROUND(INDEX(Catalogue!F$4:F$85,MATCH(A1591,Catalogue!A$4:A$85,0))*(1+Paramètres!$B$4*(C1591-1)+Paramètres!$B$5*(C1591-1)^2),0)</f>
        <v>0</v>
      </c>
      <c r="S1591">
        <f t="shared" si="196"/>
        <v>0</v>
      </c>
      <c r="T1591" t="str">
        <f t="shared" si="197"/>
        <v>OK</v>
      </c>
      <c r="U1591" s="25">
        <f t="shared" si="198"/>
        <v>0</v>
      </c>
      <c r="V1591" t="str">
        <f t="shared" si="199"/>
        <v>OK</v>
      </c>
    </row>
    <row r="1592" spans="1:22" ht="18" customHeight="1">
      <c r="A1592" t="s">
        <v>359</v>
      </c>
      <c r="B1592" t="s">
        <v>360</v>
      </c>
      <c r="C1592">
        <v>9</v>
      </c>
      <c r="D1592" t="s">
        <v>333</v>
      </c>
      <c r="E1592" s="6">
        <f t="shared" si="192"/>
        <v>0</v>
      </c>
      <c r="F1592" s="6">
        <f t="shared" si="193"/>
        <v>0</v>
      </c>
      <c r="G1592" s="6">
        <f>ROUND(Catalogue!G83*SQRT((1+Paramètres!$B$4*(C1592-1)+Paramètres!$B$5*(C1592-1)^2)),0)</f>
        <v>19</v>
      </c>
      <c r="H1592" s="6">
        <f>ROUND(Catalogue!H83*SQRT((1+Paramètres!$B$4*(C1592-1)+Paramètres!$B$5*(C1592-1)^2)),0)</f>
        <v>0</v>
      </c>
      <c r="I1592" s="6">
        <v>0</v>
      </c>
      <c r="J1592" s="6">
        <v>0</v>
      </c>
      <c r="K1592" s="7">
        <v>7.8</v>
      </c>
      <c r="L1592" s="9">
        <f t="shared" si="194"/>
        <v>0</v>
      </c>
      <c r="M1592">
        <v>0</v>
      </c>
      <c r="N1592">
        <v>0</v>
      </c>
      <c r="O1592">
        <v>0</v>
      </c>
      <c r="P1592" s="13" t="str">
        <f t="shared" si="195"/>
        <v>—</v>
      </c>
      <c r="Q1592">
        <f>ROUND(INDEX(Catalogue!E$4:E$85,MATCH(A1592,Catalogue!A$4:A$85,0))*(1+Paramètres!$B$4*(C1592-1)+Paramètres!$B$5*(C1592-1)^2),0)</f>
        <v>0</v>
      </c>
      <c r="R1592">
        <f>ROUND(INDEX(Catalogue!F$4:F$85,MATCH(A1592,Catalogue!A$4:A$85,0))*(1+Paramètres!$B$4*(C1592-1)+Paramètres!$B$5*(C1592-1)^2),0)</f>
        <v>0</v>
      </c>
      <c r="S1592">
        <f t="shared" si="196"/>
        <v>0</v>
      </c>
      <c r="T1592" t="str">
        <f t="shared" si="197"/>
        <v>OK</v>
      </c>
      <c r="U1592" s="25">
        <f t="shared" si="198"/>
        <v>0</v>
      </c>
      <c r="V1592" t="str">
        <f t="shared" si="199"/>
        <v>OK</v>
      </c>
    </row>
    <row r="1593" spans="1:22" ht="18" customHeight="1">
      <c r="A1593" t="s">
        <v>359</v>
      </c>
      <c r="B1593" t="s">
        <v>360</v>
      </c>
      <c r="C1593">
        <v>10</v>
      </c>
      <c r="D1593" t="s">
        <v>333</v>
      </c>
      <c r="E1593" s="6">
        <f t="shared" si="192"/>
        <v>0</v>
      </c>
      <c r="F1593" s="6">
        <f t="shared" si="193"/>
        <v>0</v>
      </c>
      <c r="G1593" s="6">
        <f>ROUND(Catalogue!G83*SQRT((1+Paramètres!$B$4*(C1593-1)+Paramètres!$B$5*(C1593-1)^2)),0)</f>
        <v>20</v>
      </c>
      <c r="H1593" s="6">
        <f>ROUND(Catalogue!H83*SQRT((1+Paramètres!$B$4*(C1593-1)+Paramètres!$B$5*(C1593-1)^2)),0)</f>
        <v>0</v>
      </c>
      <c r="I1593" s="6">
        <v>0</v>
      </c>
      <c r="J1593" s="6">
        <v>0</v>
      </c>
      <c r="K1593" s="7">
        <v>7.8</v>
      </c>
      <c r="L1593" s="9">
        <f t="shared" si="194"/>
        <v>0</v>
      </c>
      <c r="M1593">
        <v>0</v>
      </c>
      <c r="N1593">
        <v>0</v>
      </c>
      <c r="O1593">
        <v>0</v>
      </c>
      <c r="P1593" s="13" t="str">
        <f t="shared" si="195"/>
        <v>—</v>
      </c>
      <c r="Q1593">
        <f>ROUND(INDEX(Catalogue!E$4:E$85,MATCH(A1593,Catalogue!A$4:A$85,0))*(1+Paramètres!$B$4*(C1593-1)+Paramètres!$B$5*(C1593-1)^2),0)</f>
        <v>0</v>
      </c>
      <c r="R1593">
        <f>ROUND(INDEX(Catalogue!F$4:F$85,MATCH(A1593,Catalogue!A$4:A$85,0))*(1+Paramètres!$B$4*(C1593-1)+Paramètres!$B$5*(C1593-1)^2),0)</f>
        <v>0</v>
      </c>
      <c r="S1593">
        <f t="shared" si="196"/>
        <v>0</v>
      </c>
      <c r="T1593" t="str">
        <f t="shared" si="197"/>
        <v>OK</v>
      </c>
      <c r="U1593" s="25">
        <f t="shared" si="198"/>
        <v>0</v>
      </c>
      <c r="V1593" t="str">
        <f t="shared" si="199"/>
        <v>OK</v>
      </c>
    </row>
    <row r="1594" spans="1:22" ht="18" customHeight="1">
      <c r="A1594" t="s">
        <v>359</v>
      </c>
      <c r="B1594" t="s">
        <v>360</v>
      </c>
      <c r="C1594">
        <v>11</v>
      </c>
      <c r="D1594" t="s">
        <v>333</v>
      </c>
      <c r="E1594" s="6">
        <f t="shared" si="192"/>
        <v>0</v>
      </c>
      <c r="F1594" s="6">
        <f t="shared" si="193"/>
        <v>0</v>
      </c>
      <c r="G1594" s="6">
        <f>ROUND(Catalogue!G83*SQRT((1+Paramètres!$B$4*(C1594-1)+Paramètres!$B$5*(C1594-1)^2)),0)</f>
        <v>21</v>
      </c>
      <c r="H1594" s="6">
        <f>ROUND(Catalogue!H83*SQRT((1+Paramètres!$B$4*(C1594-1)+Paramètres!$B$5*(C1594-1)^2)),0)</f>
        <v>0</v>
      </c>
      <c r="I1594" s="6">
        <v>0</v>
      </c>
      <c r="J1594" s="6">
        <v>0</v>
      </c>
      <c r="K1594" s="7">
        <v>7.8</v>
      </c>
      <c r="L1594" s="9">
        <f t="shared" si="194"/>
        <v>0</v>
      </c>
      <c r="M1594">
        <v>0</v>
      </c>
      <c r="N1594">
        <v>0</v>
      </c>
      <c r="O1594">
        <v>0</v>
      </c>
      <c r="P1594" s="13" t="str">
        <f t="shared" si="195"/>
        <v>—</v>
      </c>
      <c r="Q1594">
        <f>ROUND(INDEX(Catalogue!E$4:E$85,MATCH(A1594,Catalogue!A$4:A$85,0))*(1+Paramètres!$B$4*(C1594-1)+Paramètres!$B$5*(C1594-1)^2),0)</f>
        <v>0</v>
      </c>
      <c r="R1594">
        <f>ROUND(INDEX(Catalogue!F$4:F$85,MATCH(A1594,Catalogue!A$4:A$85,0))*(1+Paramètres!$B$4*(C1594-1)+Paramètres!$B$5*(C1594-1)^2),0)</f>
        <v>0</v>
      </c>
      <c r="S1594">
        <f t="shared" si="196"/>
        <v>0</v>
      </c>
      <c r="T1594" t="str">
        <f t="shared" si="197"/>
        <v>OK</v>
      </c>
      <c r="U1594" s="25">
        <f t="shared" si="198"/>
        <v>0</v>
      </c>
      <c r="V1594" t="str">
        <f t="shared" si="199"/>
        <v>OK</v>
      </c>
    </row>
    <row r="1595" spans="1:22" ht="18" customHeight="1">
      <c r="A1595" t="s">
        <v>359</v>
      </c>
      <c r="B1595" t="s">
        <v>360</v>
      </c>
      <c r="C1595">
        <v>12</v>
      </c>
      <c r="D1595" t="s">
        <v>333</v>
      </c>
      <c r="E1595" s="6">
        <f t="shared" si="192"/>
        <v>0</v>
      </c>
      <c r="F1595" s="6">
        <f t="shared" si="193"/>
        <v>0</v>
      </c>
      <c r="G1595" s="6">
        <f>ROUND(Catalogue!G83*SQRT((1+Paramètres!$B$4*(C1595-1)+Paramètres!$B$5*(C1595-1)^2)),0)</f>
        <v>22</v>
      </c>
      <c r="H1595" s="6">
        <f>ROUND(Catalogue!H83*SQRT((1+Paramètres!$B$4*(C1595-1)+Paramètres!$B$5*(C1595-1)^2)),0)</f>
        <v>0</v>
      </c>
      <c r="I1595" s="6">
        <v>0</v>
      </c>
      <c r="J1595" s="6">
        <v>0</v>
      </c>
      <c r="K1595" s="7">
        <v>7.8</v>
      </c>
      <c r="L1595" s="9">
        <f t="shared" si="194"/>
        <v>0</v>
      </c>
      <c r="M1595">
        <v>0</v>
      </c>
      <c r="N1595">
        <v>0</v>
      </c>
      <c r="O1595">
        <v>0</v>
      </c>
      <c r="P1595" s="13" t="str">
        <f t="shared" si="195"/>
        <v>—</v>
      </c>
      <c r="Q1595">
        <f>ROUND(INDEX(Catalogue!E$4:E$85,MATCH(A1595,Catalogue!A$4:A$85,0))*(1+Paramètres!$B$4*(C1595-1)+Paramètres!$B$5*(C1595-1)^2),0)</f>
        <v>0</v>
      </c>
      <c r="R1595">
        <f>ROUND(INDEX(Catalogue!F$4:F$85,MATCH(A1595,Catalogue!A$4:A$85,0))*(1+Paramètres!$B$4*(C1595-1)+Paramètres!$B$5*(C1595-1)^2),0)</f>
        <v>0</v>
      </c>
      <c r="S1595">
        <f t="shared" si="196"/>
        <v>0</v>
      </c>
      <c r="T1595" t="str">
        <f t="shared" si="197"/>
        <v>OK</v>
      </c>
      <c r="U1595" s="25">
        <f t="shared" si="198"/>
        <v>0</v>
      </c>
      <c r="V1595" t="str">
        <f t="shared" si="199"/>
        <v>OK</v>
      </c>
    </row>
    <row r="1596" spans="1:22" ht="18" customHeight="1">
      <c r="A1596" t="s">
        <v>359</v>
      </c>
      <c r="B1596" t="s">
        <v>360</v>
      </c>
      <c r="C1596">
        <v>13</v>
      </c>
      <c r="D1596" t="s">
        <v>333</v>
      </c>
      <c r="E1596" s="6">
        <f t="shared" si="192"/>
        <v>0</v>
      </c>
      <c r="F1596" s="6">
        <f t="shared" si="193"/>
        <v>0</v>
      </c>
      <c r="G1596" s="6">
        <f>ROUND(Catalogue!G83*SQRT((1+Paramètres!$B$4*(C1596-1)+Paramètres!$B$5*(C1596-1)^2)),0)</f>
        <v>24</v>
      </c>
      <c r="H1596" s="6">
        <f>ROUND(Catalogue!H83*SQRT((1+Paramètres!$B$4*(C1596-1)+Paramètres!$B$5*(C1596-1)^2)),0)</f>
        <v>0</v>
      </c>
      <c r="I1596" s="6">
        <v>0</v>
      </c>
      <c r="J1596" s="6">
        <v>0</v>
      </c>
      <c r="K1596" s="7">
        <v>7.8</v>
      </c>
      <c r="L1596" s="9">
        <f t="shared" si="194"/>
        <v>0</v>
      </c>
      <c r="M1596">
        <v>0</v>
      </c>
      <c r="N1596">
        <v>0</v>
      </c>
      <c r="O1596">
        <v>0</v>
      </c>
      <c r="P1596" s="13" t="str">
        <f t="shared" si="195"/>
        <v>—</v>
      </c>
      <c r="Q1596">
        <f>ROUND(INDEX(Catalogue!E$4:E$85,MATCH(A1596,Catalogue!A$4:A$85,0))*(1+Paramètres!$B$4*(C1596-1)+Paramètres!$B$5*(C1596-1)^2),0)</f>
        <v>0</v>
      </c>
      <c r="R1596">
        <f>ROUND(INDEX(Catalogue!F$4:F$85,MATCH(A1596,Catalogue!A$4:A$85,0))*(1+Paramètres!$B$4*(C1596-1)+Paramètres!$B$5*(C1596-1)^2),0)</f>
        <v>0</v>
      </c>
      <c r="S1596">
        <f t="shared" si="196"/>
        <v>0</v>
      </c>
      <c r="T1596" t="str">
        <f t="shared" si="197"/>
        <v>OK</v>
      </c>
      <c r="U1596" s="25">
        <f t="shared" si="198"/>
        <v>0</v>
      </c>
      <c r="V1596" t="str">
        <f t="shared" si="199"/>
        <v>OK</v>
      </c>
    </row>
    <row r="1597" spans="1:22" ht="18" customHeight="1">
      <c r="A1597" t="s">
        <v>359</v>
      </c>
      <c r="B1597" t="s">
        <v>360</v>
      </c>
      <c r="C1597">
        <v>14</v>
      </c>
      <c r="D1597" t="s">
        <v>333</v>
      </c>
      <c r="E1597" s="6">
        <f t="shared" si="192"/>
        <v>0</v>
      </c>
      <c r="F1597" s="6">
        <f t="shared" si="193"/>
        <v>0</v>
      </c>
      <c r="G1597" s="6">
        <f>ROUND(Catalogue!G83*SQRT((1+Paramètres!$B$4*(C1597-1)+Paramètres!$B$5*(C1597-1)^2)),0)</f>
        <v>25</v>
      </c>
      <c r="H1597" s="6">
        <f>ROUND(Catalogue!H83*SQRT((1+Paramètres!$B$4*(C1597-1)+Paramètres!$B$5*(C1597-1)^2)),0)</f>
        <v>0</v>
      </c>
      <c r="I1597" s="6">
        <v>0</v>
      </c>
      <c r="J1597" s="6">
        <v>0</v>
      </c>
      <c r="K1597" s="7">
        <v>7.8</v>
      </c>
      <c r="L1597" s="9">
        <f t="shared" si="194"/>
        <v>0</v>
      </c>
      <c r="M1597">
        <v>0</v>
      </c>
      <c r="N1597">
        <v>0</v>
      </c>
      <c r="O1597">
        <v>0</v>
      </c>
      <c r="P1597" s="13" t="str">
        <f t="shared" si="195"/>
        <v>—</v>
      </c>
      <c r="Q1597">
        <f>ROUND(INDEX(Catalogue!E$4:E$85,MATCH(A1597,Catalogue!A$4:A$85,0))*(1+Paramètres!$B$4*(C1597-1)+Paramètres!$B$5*(C1597-1)^2),0)</f>
        <v>0</v>
      </c>
      <c r="R1597">
        <f>ROUND(INDEX(Catalogue!F$4:F$85,MATCH(A1597,Catalogue!A$4:A$85,0))*(1+Paramètres!$B$4*(C1597-1)+Paramètres!$B$5*(C1597-1)^2),0)</f>
        <v>0</v>
      </c>
      <c r="S1597">
        <f t="shared" si="196"/>
        <v>0</v>
      </c>
      <c r="T1597" t="str">
        <f t="shared" si="197"/>
        <v>OK</v>
      </c>
      <c r="U1597" s="25">
        <f t="shared" si="198"/>
        <v>0</v>
      </c>
      <c r="V1597" t="str">
        <f t="shared" si="199"/>
        <v>OK</v>
      </c>
    </row>
    <row r="1598" spans="1:22" ht="18" customHeight="1">
      <c r="A1598" t="s">
        <v>359</v>
      </c>
      <c r="B1598" t="s">
        <v>360</v>
      </c>
      <c r="C1598">
        <v>15</v>
      </c>
      <c r="D1598" t="s">
        <v>333</v>
      </c>
      <c r="E1598" s="6">
        <f t="shared" si="192"/>
        <v>0</v>
      </c>
      <c r="F1598" s="6">
        <f t="shared" si="193"/>
        <v>0</v>
      </c>
      <c r="G1598" s="6">
        <f>ROUND(Catalogue!G83*SQRT((1+Paramètres!$B$4*(C1598-1)+Paramètres!$B$5*(C1598-1)^2)),0)</f>
        <v>26</v>
      </c>
      <c r="H1598" s="6">
        <f>ROUND(Catalogue!H83*SQRT((1+Paramètres!$B$4*(C1598-1)+Paramètres!$B$5*(C1598-1)^2)),0)</f>
        <v>0</v>
      </c>
      <c r="I1598" s="6">
        <v>0</v>
      </c>
      <c r="J1598" s="6">
        <v>0</v>
      </c>
      <c r="K1598" s="7">
        <v>7.8</v>
      </c>
      <c r="L1598" s="9">
        <f t="shared" si="194"/>
        <v>0</v>
      </c>
      <c r="M1598">
        <v>0</v>
      </c>
      <c r="N1598">
        <v>0</v>
      </c>
      <c r="O1598">
        <v>0</v>
      </c>
      <c r="P1598" s="13" t="str">
        <f t="shared" si="195"/>
        <v>—</v>
      </c>
      <c r="Q1598">
        <f>ROUND(INDEX(Catalogue!E$4:E$85,MATCH(A1598,Catalogue!A$4:A$85,0))*(1+Paramètres!$B$4*(C1598-1)+Paramètres!$B$5*(C1598-1)^2),0)</f>
        <v>0</v>
      </c>
      <c r="R1598">
        <f>ROUND(INDEX(Catalogue!F$4:F$85,MATCH(A1598,Catalogue!A$4:A$85,0))*(1+Paramètres!$B$4*(C1598-1)+Paramètres!$B$5*(C1598-1)^2),0)</f>
        <v>0</v>
      </c>
      <c r="S1598">
        <f t="shared" si="196"/>
        <v>0</v>
      </c>
      <c r="T1598" t="str">
        <f t="shared" si="197"/>
        <v>OK</v>
      </c>
      <c r="U1598" s="25">
        <f t="shared" si="198"/>
        <v>0</v>
      </c>
      <c r="V1598" t="str">
        <f t="shared" si="199"/>
        <v>OK</v>
      </c>
    </row>
    <row r="1599" spans="1:22" ht="18" customHeight="1">
      <c r="A1599" t="s">
        <v>359</v>
      </c>
      <c r="B1599" t="s">
        <v>360</v>
      </c>
      <c r="C1599">
        <v>16</v>
      </c>
      <c r="D1599" t="s">
        <v>333</v>
      </c>
      <c r="E1599" s="6">
        <f t="shared" si="192"/>
        <v>0</v>
      </c>
      <c r="F1599" s="6">
        <f t="shared" si="193"/>
        <v>0</v>
      </c>
      <c r="G1599" s="6">
        <f>ROUND(Catalogue!G83*SQRT((1+Paramètres!$B$4*(C1599-1)+Paramètres!$B$5*(C1599-1)^2)),0)</f>
        <v>28</v>
      </c>
      <c r="H1599" s="6">
        <f>ROUND(Catalogue!H83*SQRT((1+Paramètres!$B$4*(C1599-1)+Paramètres!$B$5*(C1599-1)^2)),0)</f>
        <v>0</v>
      </c>
      <c r="I1599" s="6">
        <v>0</v>
      </c>
      <c r="J1599" s="6">
        <v>0</v>
      </c>
      <c r="K1599" s="7">
        <v>7.8</v>
      </c>
      <c r="L1599" s="9">
        <f t="shared" si="194"/>
        <v>0</v>
      </c>
      <c r="M1599">
        <v>0</v>
      </c>
      <c r="N1599">
        <v>0</v>
      </c>
      <c r="O1599">
        <v>0</v>
      </c>
      <c r="P1599" s="13" t="str">
        <f t="shared" si="195"/>
        <v>—</v>
      </c>
      <c r="Q1599">
        <f>ROUND(INDEX(Catalogue!E$4:E$85,MATCH(A1599,Catalogue!A$4:A$85,0))*(1+Paramètres!$B$4*(C1599-1)+Paramètres!$B$5*(C1599-1)^2),0)</f>
        <v>0</v>
      </c>
      <c r="R1599">
        <f>ROUND(INDEX(Catalogue!F$4:F$85,MATCH(A1599,Catalogue!A$4:A$85,0))*(1+Paramètres!$B$4*(C1599-1)+Paramètres!$B$5*(C1599-1)^2),0)</f>
        <v>0</v>
      </c>
      <c r="S1599">
        <f t="shared" si="196"/>
        <v>0</v>
      </c>
      <c r="T1599" t="str">
        <f t="shared" si="197"/>
        <v>OK</v>
      </c>
      <c r="U1599" s="25">
        <f t="shared" si="198"/>
        <v>0</v>
      </c>
      <c r="V1599" t="str">
        <f t="shared" si="199"/>
        <v>OK</v>
      </c>
    </row>
    <row r="1600" spans="1:22" ht="18" customHeight="1">
      <c r="A1600" t="s">
        <v>359</v>
      </c>
      <c r="B1600" t="s">
        <v>360</v>
      </c>
      <c r="C1600">
        <v>17</v>
      </c>
      <c r="D1600" t="s">
        <v>333</v>
      </c>
      <c r="E1600" s="6">
        <f t="shared" si="192"/>
        <v>0</v>
      </c>
      <c r="F1600" s="6">
        <f t="shared" si="193"/>
        <v>0</v>
      </c>
      <c r="G1600" s="6">
        <f>ROUND(Catalogue!G83*SQRT((1+Paramètres!$B$4*(C1600-1)+Paramètres!$B$5*(C1600-1)^2)),0)</f>
        <v>29</v>
      </c>
      <c r="H1600" s="6">
        <f>ROUND(Catalogue!H83*SQRT((1+Paramètres!$B$4*(C1600-1)+Paramètres!$B$5*(C1600-1)^2)),0)</f>
        <v>0</v>
      </c>
      <c r="I1600" s="6">
        <v>0</v>
      </c>
      <c r="J1600" s="6">
        <v>0</v>
      </c>
      <c r="K1600" s="7">
        <v>7.8</v>
      </c>
      <c r="L1600" s="9">
        <f t="shared" si="194"/>
        <v>0</v>
      </c>
      <c r="M1600">
        <v>0</v>
      </c>
      <c r="N1600">
        <v>0</v>
      </c>
      <c r="O1600">
        <v>0</v>
      </c>
      <c r="P1600" s="13" t="str">
        <f t="shared" si="195"/>
        <v>—</v>
      </c>
      <c r="Q1600">
        <f>ROUND(INDEX(Catalogue!E$4:E$85,MATCH(A1600,Catalogue!A$4:A$85,0))*(1+Paramètres!$B$4*(C1600-1)+Paramètres!$B$5*(C1600-1)^2),0)</f>
        <v>0</v>
      </c>
      <c r="R1600">
        <f>ROUND(INDEX(Catalogue!F$4:F$85,MATCH(A1600,Catalogue!A$4:A$85,0))*(1+Paramètres!$B$4*(C1600-1)+Paramètres!$B$5*(C1600-1)^2),0)</f>
        <v>0</v>
      </c>
      <c r="S1600">
        <f t="shared" si="196"/>
        <v>0</v>
      </c>
      <c r="T1600" t="str">
        <f t="shared" si="197"/>
        <v>OK</v>
      </c>
      <c r="U1600" s="25">
        <f t="shared" si="198"/>
        <v>0</v>
      </c>
      <c r="V1600" t="str">
        <f t="shared" si="199"/>
        <v>OK</v>
      </c>
    </row>
    <row r="1601" spans="1:22" ht="18" customHeight="1">
      <c r="A1601" t="s">
        <v>359</v>
      </c>
      <c r="B1601" t="s">
        <v>360</v>
      </c>
      <c r="C1601">
        <v>18</v>
      </c>
      <c r="D1601" t="s">
        <v>333</v>
      </c>
      <c r="E1601" s="6">
        <f t="shared" si="192"/>
        <v>0</v>
      </c>
      <c r="F1601" s="6">
        <f t="shared" si="193"/>
        <v>0</v>
      </c>
      <c r="G1601" s="6">
        <f>ROUND(Catalogue!G83*SQRT((1+Paramètres!$B$4*(C1601-1)+Paramètres!$B$5*(C1601-1)^2)),0)</f>
        <v>30</v>
      </c>
      <c r="H1601" s="6">
        <f>ROUND(Catalogue!H83*SQRT((1+Paramètres!$B$4*(C1601-1)+Paramètres!$B$5*(C1601-1)^2)),0)</f>
        <v>0</v>
      </c>
      <c r="I1601" s="6">
        <v>0</v>
      </c>
      <c r="J1601" s="6">
        <v>0</v>
      </c>
      <c r="K1601" s="7">
        <v>7.8</v>
      </c>
      <c r="L1601" s="9">
        <f t="shared" si="194"/>
        <v>0</v>
      </c>
      <c r="M1601">
        <v>0</v>
      </c>
      <c r="N1601">
        <v>0</v>
      </c>
      <c r="O1601">
        <v>0</v>
      </c>
      <c r="P1601" s="13" t="str">
        <f t="shared" si="195"/>
        <v>—</v>
      </c>
      <c r="Q1601">
        <f>ROUND(INDEX(Catalogue!E$4:E$85,MATCH(A1601,Catalogue!A$4:A$85,0))*(1+Paramètres!$B$4*(C1601-1)+Paramètres!$B$5*(C1601-1)^2),0)</f>
        <v>0</v>
      </c>
      <c r="R1601">
        <f>ROUND(INDEX(Catalogue!F$4:F$85,MATCH(A1601,Catalogue!A$4:A$85,0))*(1+Paramètres!$B$4*(C1601-1)+Paramètres!$B$5*(C1601-1)^2),0)</f>
        <v>0</v>
      </c>
      <c r="S1601">
        <f t="shared" si="196"/>
        <v>0</v>
      </c>
      <c r="T1601" t="str">
        <f t="shared" si="197"/>
        <v>OK</v>
      </c>
      <c r="U1601" s="25">
        <f t="shared" si="198"/>
        <v>0</v>
      </c>
      <c r="V1601" t="str">
        <f t="shared" si="199"/>
        <v>OK</v>
      </c>
    </row>
    <row r="1602" spans="1:22" ht="18" customHeight="1">
      <c r="A1602" t="s">
        <v>359</v>
      </c>
      <c r="B1602" t="s">
        <v>360</v>
      </c>
      <c r="C1602">
        <v>19</v>
      </c>
      <c r="D1602" t="s">
        <v>333</v>
      </c>
      <c r="E1602" s="6">
        <f t="shared" si="192"/>
        <v>0</v>
      </c>
      <c r="F1602" s="6">
        <f t="shared" si="193"/>
        <v>0</v>
      </c>
      <c r="G1602" s="6">
        <f>ROUND(Catalogue!G83*SQRT((1+Paramètres!$B$4*(C1602-1)+Paramètres!$B$5*(C1602-1)^2)),0)</f>
        <v>31</v>
      </c>
      <c r="H1602" s="6">
        <f>ROUND(Catalogue!H83*SQRT((1+Paramètres!$B$4*(C1602-1)+Paramètres!$B$5*(C1602-1)^2)),0)</f>
        <v>0</v>
      </c>
      <c r="I1602" s="6">
        <v>0</v>
      </c>
      <c r="J1602" s="6">
        <v>0</v>
      </c>
      <c r="K1602" s="7">
        <v>7.8</v>
      </c>
      <c r="L1602" s="9">
        <f t="shared" si="194"/>
        <v>0</v>
      </c>
      <c r="M1602">
        <v>0</v>
      </c>
      <c r="N1602">
        <v>0</v>
      </c>
      <c r="O1602">
        <v>0</v>
      </c>
      <c r="P1602" s="13" t="str">
        <f t="shared" si="195"/>
        <v>—</v>
      </c>
      <c r="Q1602">
        <f>ROUND(INDEX(Catalogue!E$4:E$85,MATCH(A1602,Catalogue!A$4:A$85,0))*(1+Paramètres!$B$4*(C1602-1)+Paramètres!$B$5*(C1602-1)^2),0)</f>
        <v>0</v>
      </c>
      <c r="R1602">
        <f>ROUND(INDEX(Catalogue!F$4:F$85,MATCH(A1602,Catalogue!A$4:A$85,0))*(1+Paramètres!$B$4*(C1602-1)+Paramètres!$B$5*(C1602-1)^2),0)</f>
        <v>0</v>
      </c>
      <c r="S1602">
        <f t="shared" si="196"/>
        <v>0</v>
      </c>
      <c r="T1602" t="str">
        <f t="shared" si="197"/>
        <v>OK</v>
      </c>
      <c r="U1602" s="25">
        <f t="shared" si="198"/>
        <v>0</v>
      </c>
      <c r="V1602" t="str">
        <f t="shared" si="199"/>
        <v>OK</v>
      </c>
    </row>
    <row r="1603" spans="1:22" ht="18" customHeight="1">
      <c r="A1603" t="s">
        <v>359</v>
      </c>
      <c r="B1603" t="s">
        <v>360</v>
      </c>
      <c r="C1603">
        <v>20</v>
      </c>
      <c r="D1603" t="s">
        <v>333</v>
      </c>
      <c r="E1603" s="6">
        <f t="shared" si="192"/>
        <v>0</v>
      </c>
      <c r="F1603" s="6">
        <f t="shared" si="193"/>
        <v>0</v>
      </c>
      <c r="G1603" s="6">
        <f>ROUND(Catalogue!G83*SQRT((1+Paramètres!$B$4*(C1603-1)+Paramètres!$B$5*(C1603-1)^2)),0)</f>
        <v>33</v>
      </c>
      <c r="H1603" s="6">
        <f>ROUND(Catalogue!H83*SQRT((1+Paramètres!$B$4*(C1603-1)+Paramètres!$B$5*(C1603-1)^2)),0)</f>
        <v>0</v>
      </c>
      <c r="I1603" s="6">
        <v>0</v>
      </c>
      <c r="J1603" s="6">
        <v>0</v>
      </c>
      <c r="K1603" s="7">
        <v>7.8</v>
      </c>
      <c r="L1603" s="9">
        <f t="shared" si="194"/>
        <v>0</v>
      </c>
      <c r="M1603">
        <v>0</v>
      </c>
      <c r="N1603">
        <v>0</v>
      </c>
      <c r="O1603">
        <v>0</v>
      </c>
      <c r="P1603" s="13" t="str">
        <f t="shared" si="195"/>
        <v>—</v>
      </c>
      <c r="Q1603">
        <f>ROUND(INDEX(Catalogue!E$4:E$85,MATCH(A1603,Catalogue!A$4:A$85,0))*(1+Paramètres!$B$4*(C1603-1)+Paramètres!$B$5*(C1603-1)^2),0)</f>
        <v>0</v>
      </c>
      <c r="R1603">
        <f>ROUND(INDEX(Catalogue!F$4:F$85,MATCH(A1603,Catalogue!A$4:A$85,0))*(1+Paramètres!$B$4*(C1603-1)+Paramètres!$B$5*(C1603-1)^2),0)</f>
        <v>0</v>
      </c>
      <c r="S1603">
        <f t="shared" si="196"/>
        <v>0</v>
      </c>
      <c r="T1603" t="str">
        <f t="shared" si="197"/>
        <v>OK</v>
      </c>
      <c r="U1603" s="25">
        <f t="shared" si="198"/>
        <v>0</v>
      </c>
      <c r="V1603" t="str">
        <f t="shared" si="199"/>
        <v>OK</v>
      </c>
    </row>
    <row r="1604" spans="1:22" ht="18" customHeight="1">
      <c r="A1604" t="s">
        <v>362</v>
      </c>
      <c r="B1604" t="s">
        <v>363</v>
      </c>
      <c r="C1604">
        <v>1</v>
      </c>
      <c r="D1604" t="s">
        <v>333</v>
      </c>
      <c r="E1604" s="6">
        <f t="shared" ref="E1604:E1643" si="200">IF(M1604=0,0,M1604+O1604)</f>
        <v>0</v>
      </c>
      <c r="F1604" s="6">
        <f t="shared" ref="F1604:F1643" si="201">IF(M1604=0,0,M1604*N1604+O1604)</f>
        <v>0</v>
      </c>
      <c r="G1604" s="6">
        <f>ROUND(Catalogue!G84*SQRT((1+Paramètres!$B$4*(C1604-1)+Paramètres!$B$5*(C1604-1)^2)),0)</f>
        <v>5</v>
      </c>
      <c r="H1604" s="6">
        <f>ROUND(Catalogue!H84*SQRT((1+Paramètres!$B$4*(C1604-1)+Paramètres!$B$5*(C1604-1)^2)),0)</f>
        <v>3</v>
      </c>
      <c r="I1604" s="6">
        <v>0</v>
      </c>
      <c r="J1604" s="6">
        <v>0</v>
      </c>
      <c r="K1604" s="7">
        <v>3.7</v>
      </c>
      <c r="L1604" s="9">
        <f t="shared" ref="L1604:L1667" si="202">IF(M1604=0,0,(E1604+F1604)/2)</f>
        <v>0</v>
      </c>
      <c r="M1604">
        <v>0</v>
      </c>
      <c r="N1604">
        <v>0</v>
      </c>
      <c r="O1604">
        <v>0</v>
      </c>
      <c r="P1604" s="13" t="str">
        <f t="shared" ref="P1604:P1667" si="203">IF(M1604=0,"—",M1604&amp;"d"&amp;N1604&amp;IF(O1604=0,""," + "&amp;O1604))</f>
        <v>—</v>
      </c>
      <c r="Q1604">
        <f>ROUND(INDEX(Catalogue!E$4:E$85,MATCH(A1604,Catalogue!A$4:A$85,0))*(1+Paramètres!$B$4*(C1604-1)+Paramètres!$B$5*(C1604-1)^2),0)</f>
        <v>0</v>
      </c>
      <c r="R1604">
        <f>ROUND(INDEX(Catalogue!F$4:F$85,MATCH(A1604,Catalogue!A$4:A$85,0))*(1+Paramètres!$B$4*(C1604-1)+Paramètres!$B$5*(C1604-1)^2),0)</f>
        <v>0</v>
      </c>
      <c r="S1604">
        <f t="shared" ref="S1604:S1667" si="204">L1604-AVERAGE(Q1604:R1604)</f>
        <v>0</v>
      </c>
      <c r="T1604" t="str">
        <f t="shared" ref="T1604:T1643" si="205">IF(M1604=0,IF(AND(N1604=0,O1604=0,E1604=0,F1604=0),"OK","ERREUR"),IF(AND(M1604&gt;=1,M1604&lt;=32,OR(N1604=4,N1604=6,N1604=8,N1604=10,N1604=12,N1604=20),O1604&gt;=0,E1604=M1604+O1604,F1604=M1604*N1604+O1604),"OK","ERREUR"))</f>
        <v>OK</v>
      </c>
      <c r="U1604" s="25">
        <f t="shared" ref="U1604:U1643" si="206">IF(M1604&gt;0,M1604*(N1604+1)/2+O1604,0)</f>
        <v>0</v>
      </c>
      <c r="V1604" t="str">
        <f t="shared" ref="V1604:V1667" si="207">IF(ABS(L1604-U1604)&lt;0.001,"OK","ERREUR")</f>
        <v>OK</v>
      </c>
    </row>
    <row r="1605" spans="1:22" ht="18" customHeight="1">
      <c r="A1605" t="s">
        <v>362</v>
      </c>
      <c r="B1605" t="s">
        <v>363</v>
      </c>
      <c r="C1605">
        <v>2</v>
      </c>
      <c r="D1605" t="s">
        <v>333</v>
      </c>
      <c r="E1605" s="6">
        <f t="shared" si="200"/>
        <v>0</v>
      </c>
      <c r="F1605" s="6">
        <f t="shared" si="201"/>
        <v>0</v>
      </c>
      <c r="G1605" s="6">
        <f>ROUND(Catalogue!G84*SQRT((1+Paramètres!$B$4*(C1605-1)+Paramètres!$B$5*(C1605-1)^2)),0)</f>
        <v>5</v>
      </c>
      <c r="H1605" s="6">
        <f>ROUND(Catalogue!H84*SQRT((1+Paramètres!$B$4*(C1605-1)+Paramètres!$B$5*(C1605-1)^2)),0)</f>
        <v>3</v>
      </c>
      <c r="I1605" s="6">
        <v>0</v>
      </c>
      <c r="J1605" s="6">
        <v>0</v>
      </c>
      <c r="K1605" s="7">
        <v>3.7</v>
      </c>
      <c r="L1605" s="9">
        <f t="shared" si="202"/>
        <v>0</v>
      </c>
      <c r="M1605">
        <v>0</v>
      </c>
      <c r="N1605">
        <v>0</v>
      </c>
      <c r="O1605">
        <v>0</v>
      </c>
      <c r="P1605" s="13" t="str">
        <f t="shared" si="203"/>
        <v>—</v>
      </c>
      <c r="Q1605">
        <f>ROUND(INDEX(Catalogue!E$4:E$85,MATCH(A1605,Catalogue!A$4:A$85,0))*(1+Paramètres!$B$4*(C1605-1)+Paramètres!$B$5*(C1605-1)^2),0)</f>
        <v>0</v>
      </c>
      <c r="R1605">
        <f>ROUND(INDEX(Catalogue!F$4:F$85,MATCH(A1605,Catalogue!A$4:A$85,0))*(1+Paramètres!$B$4*(C1605-1)+Paramètres!$B$5*(C1605-1)^2),0)</f>
        <v>0</v>
      </c>
      <c r="S1605">
        <f t="shared" si="204"/>
        <v>0</v>
      </c>
      <c r="T1605" t="str">
        <f t="shared" si="205"/>
        <v>OK</v>
      </c>
      <c r="U1605" s="25">
        <f t="shared" si="206"/>
        <v>0</v>
      </c>
      <c r="V1605" t="str">
        <f t="shared" si="207"/>
        <v>OK</v>
      </c>
    </row>
    <row r="1606" spans="1:22" ht="18" customHeight="1">
      <c r="A1606" t="s">
        <v>362</v>
      </c>
      <c r="B1606" t="s">
        <v>363</v>
      </c>
      <c r="C1606">
        <v>3</v>
      </c>
      <c r="D1606" t="s">
        <v>333</v>
      </c>
      <c r="E1606" s="6">
        <f t="shared" si="200"/>
        <v>0</v>
      </c>
      <c r="F1606" s="6">
        <f t="shared" si="201"/>
        <v>0</v>
      </c>
      <c r="G1606" s="6">
        <f>ROUND(Catalogue!G84*SQRT((1+Paramètres!$B$4*(C1606-1)+Paramètres!$B$5*(C1606-1)^2)),0)</f>
        <v>6</v>
      </c>
      <c r="H1606" s="6">
        <f>ROUND(Catalogue!H84*SQRT((1+Paramètres!$B$4*(C1606-1)+Paramètres!$B$5*(C1606-1)^2)),0)</f>
        <v>3</v>
      </c>
      <c r="I1606" s="6">
        <v>0</v>
      </c>
      <c r="J1606" s="6">
        <v>0</v>
      </c>
      <c r="K1606" s="7">
        <v>3.7</v>
      </c>
      <c r="L1606" s="9">
        <f t="shared" si="202"/>
        <v>0</v>
      </c>
      <c r="M1606">
        <v>0</v>
      </c>
      <c r="N1606">
        <v>0</v>
      </c>
      <c r="O1606">
        <v>0</v>
      </c>
      <c r="P1606" s="13" t="str">
        <f t="shared" si="203"/>
        <v>—</v>
      </c>
      <c r="Q1606">
        <f>ROUND(INDEX(Catalogue!E$4:E$85,MATCH(A1606,Catalogue!A$4:A$85,0))*(1+Paramètres!$B$4*(C1606-1)+Paramètres!$B$5*(C1606-1)^2),0)</f>
        <v>0</v>
      </c>
      <c r="R1606">
        <f>ROUND(INDEX(Catalogue!F$4:F$85,MATCH(A1606,Catalogue!A$4:A$85,0))*(1+Paramètres!$B$4*(C1606-1)+Paramètres!$B$5*(C1606-1)^2),0)</f>
        <v>0</v>
      </c>
      <c r="S1606">
        <f t="shared" si="204"/>
        <v>0</v>
      </c>
      <c r="T1606" t="str">
        <f t="shared" si="205"/>
        <v>OK</v>
      </c>
      <c r="U1606" s="25">
        <f t="shared" si="206"/>
        <v>0</v>
      </c>
      <c r="V1606" t="str">
        <f t="shared" si="207"/>
        <v>OK</v>
      </c>
    </row>
    <row r="1607" spans="1:22" ht="18" customHeight="1">
      <c r="A1607" t="s">
        <v>362</v>
      </c>
      <c r="B1607" t="s">
        <v>363</v>
      </c>
      <c r="C1607">
        <v>4</v>
      </c>
      <c r="D1607" t="s">
        <v>333</v>
      </c>
      <c r="E1607" s="6">
        <f t="shared" si="200"/>
        <v>0</v>
      </c>
      <c r="F1607" s="6">
        <f t="shared" si="201"/>
        <v>0</v>
      </c>
      <c r="G1607" s="6">
        <f>ROUND(Catalogue!G84*SQRT((1+Paramètres!$B$4*(C1607-1)+Paramètres!$B$5*(C1607-1)^2)),0)</f>
        <v>6</v>
      </c>
      <c r="H1607" s="6">
        <f>ROUND(Catalogue!H84*SQRT((1+Paramètres!$B$4*(C1607-1)+Paramètres!$B$5*(C1607-1)^2)),0)</f>
        <v>4</v>
      </c>
      <c r="I1607" s="6">
        <v>0</v>
      </c>
      <c r="J1607" s="6">
        <v>0</v>
      </c>
      <c r="K1607" s="7">
        <v>3.7</v>
      </c>
      <c r="L1607" s="9">
        <f t="shared" si="202"/>
        <v>0</v>
      </c>
      <c r="M1607">
        <v>0</v>
      </c>
      <c r="N1607">
        <v>0</v>
      </c>
      <c r="O1607">
        <v>0</v>
      </c>
      <c r="P1607" s="13" t="str">
        <f t="shared" si="203"/>
        <v>—</v>
      </c>
      <c r="Q1607">
        <f>ROUND(INDEX(Catalogue!E$4:E$85,MATCH(A1607,Catalogue!A$4:A$85,0))*(1+Paramètres!$B$4*(C1607-1)+Paramètres!$B$5*(C1607-1)^2),0)</f>
        <v>0</v>
      </c>
      <c r="R1607">
        <f>ROUND(INDEX(Catalogue!F$4:F$85,MATCH(A1607,Catalogue!A$4:A$85,0))*(1+Paramètres!$B$4*(C1607-1)+Paramètres!$B$5*(C1607-1)^2),0)</f>
        <v>0</v>
      </c>
      <c r="S1607">
        <f t="shared" si="204"/>
        <v>0</v>
      </c>
      <c r="T1607" t="str">
        <f t="shared" si="205"/>
        <v>OK</v>
      </c>
      <c r="U1607" s="25">
        <f t="shared" si="206"/>
        <v>0</v>
      </c>
      <c r="V1607" t="str">
        <f t="shared" si="207"/>
        <v>OK</v>
      </c>
    </row>
    <row r="1608" spans="1:22" ht="18" customHeight="1">
      <c r="A1608" t="s">
        <v>362</v>
      </c>
      <c r="B1608" t="s">
        <v>363</v>
      </c>
      <c r="C1608">
        <v>5</v>
      </c>
      <c r="D1608" t="s">
        <v>333</v>
      </c>
      <c r="E1608" s="6">
        <f t="shared" si="200"/>
        <v>0</v>
      </c>
      <c r="F1608" s="6">
        <f t="shared" si="201"/>
        <v>0</v>
      </c>
      <c r="G1608" s="6">
        <f>ROUND(Catalogue!G84*SQRT((1+Paramètres!$B$4*(C1608-1)+Paramètres!$B$5*(C1608-1)^2)),0)</f>
        <v>7</v>
      </c>
      <c r="H1608" s="6">
        <f>ROUND(Catalogue!H84*SQRT((1+Paramètres!$B$4*(C1608-1)+Paramètres!$B$5*(C1608-1)^2)),0)</f>
        <v>4</v>
      </c>
      <c r="I1608" s="6">
        <v>0</v>
      </c>
      <c r="J1608" s="6">
        <v>0</v>
      </c>
      <c r="K1608" s="7">
        <v>3.7</v>
      </c>
      <c r="L1608" s="9">
        <f t="shared" si="202"/>
        <v>0</v>
      </c>
      <c r="M1608">
        <v>0</v>
      </c>
      <c r="N1608">
        <v>0</v>
      </c>
      <c r="O1608">
        <v>0</v>
      </c>
      <c r="P1608" s="13" t="str">
        <f t="shared" si="203"/>
        <v>—</v>
      </c>
      <c r="Q1608">
        <f>ROUND(INDEX(Catalogue!E$4:E$85,MATCH(A1608,Catalogue!A$4:A$85,0))*(1+Paramètres!$B$4*(C1608-1)+Paramètres!$B$5*(C1608-1)^2),0)</f>
        <v>0</v>
      </c>
      <c r="R1608">
        <f>ROUND(INDEX(Catalogue!F$4:F$85,MATCH(A1608,Catalogue!A$4:A$85,0))*(1+Paramètres!$B$4*(C1608-1)+Paramètres!$B$5*(C1608-1)^2),0)</f>
        <v>0</v>
      </c>
      <c r="S1608">
        <f t="shared" si="204"/>
        <v>0</v>
      </c>
      <c r="T1608" t="str">
        <f t="shared" si="205"/>
        <v>OK</v>
      </c>
      <c r="U1608" s="25">
        <f t="shared" si="206"/>
        <v>0</v>
      </c>
      <c r="V1608" t="str">
        <f t="shared" si="207"/>
        <v>OK</v>
      </c>
    </row>
    <row r="1609" spans="1:22" ht="18" customHeight="1">
      <c r="A1609" t="s">
        <v>362</v>
      </c>
      <c r="B1609" t="s">
        <v>363</v>
      </c>
      <c r="C1609">
        <v>6</v>
      </c>
      <c r="D1609" t="s">
        <v>333</v>
      </c>
      <c r="E1609" s="6">
        <f t="shared" si="200"/>
        <v>0</v>
      </c>
      <c r="F1609" s="6">
        <f t="shared" si="201"/>
        <v>0</v>
      </c>
      <c r="G1609" s="6">
        <f>ROUND(Catalogue!G84*SQRT((1+Paramètres!$B$4*(C1609-1)+Paramètres!$B$5*(C1609-1)^2)),0)</f>
        <v>7</v>
      </c>
      <c r="H1609" s="6">
        <f>ROUND(Catalogue!H84*SQRT((1+Paramètres!$B$4*(C1609-1)+Paramètres!$B$5*(C1609-1)^2)),0)</f>
        <v>4</v>
      </c>
      <c r="I1609" s="6">
        <v>0</v>
      </c>
      <c r="J1609" s="6">
        <v>0</v>
      </c>
      <c r="K1609" s="7">
        <v>3.7</v>
      </c>
      <c r="L1609" s="9">
        <f t="shared" si="202"/>
        <v>0</v>
      </c>
      <c r="M1609">
        <v>0</v>
      </c>
      <c r="N1609">
        <v>0</v>
      </c>
      <c r="O1609">
        <v>0</v>
      </c>
      <c r="P1609" s="13" t="str">
        <f t="shared" si="203"/>
        <v>—</v>
      </c>
      <c r="Q1609">
        <f>ROUND(INDEX(Catalogue!E$4:E$85,MATCH(A1609,Catalogue!A$4:A$85,0))*(1+Paramètres!$B$4*(C1609-1)+Paramètres!$B$5*(C1609-1)^2),0)</f>
        <v>0</v>
      </c>
      <c r="R1609">
        <f>ROUND(INDEX(Catalogue!F$4:F$85,MATCH(A1609,Catalogue!A$4:A$85,0))*(1+Paramètres!$B$4*(C1609-1)+Paramètres!$B$5*(C1609-1)^2),0)</f>
        <v>0</v>
      </c>
      <c r="S1609">
        <f t="shared" si="204"/>
        <v>0</v>
      </c>
      <c r="T1609" t="str">
        <f t="shared" si="205"/>
        <v>OK</v>
      </c>
      <c r="U1609" s="25">
        <f t="shared" si="206"/>
        <v>0</v>
      </c>
      <c r="V1609" t="str">
        <f t="shared" si="207"/>
        <v>OK</v>
      </c>
    </row>
    <row r="1610" spans="1:22" ht="18" customHeight="1">
      <c r="A1610" t="s">
        <v>362</v>
      </c>
      <c r="B1610" t="s">
        <v>363</v>
      </c>
      <c r="C1610">
        <v>7</v>
      </c>
      <c r="D1610" t="s">
        <v>333</v>
      </c>
      <c r="E1610" s="6">
        <f t="shared" si="200"/>
        <v>0</v>
      </c>
      <c r="F1610" s="6">
        <f t="shared" si="201"/>
        <v>0</v>
      </c>
      <c r="G1610" s="6">
        <f>ROUND(Catalogue!G84*SQRT((1+Paramètres!$B$4*(C1610-1)+Paramètres!$B$5*(C1610-1)^2)),0)</f>
        <v>7</v>
      </c>
      <c r="H1610" s="6">
        <f>ROUND(Catalogue!H84*SQRT((1+Paramètres!$B$4*(C1610-1)+Paramètres!$B$5*(C1610-1)^2)),0)</f>
        <v>4</v>
      </c>
      <c r="I1610" s="6">
        <v>0</v>
      </c>
      <c r="J1610" s="6">
        <v>0</v>
      </c>
      <c r="K1610" s="7">
        <v>3.7</v>
      </c>
      <c r="L1610" s="9">
        <f t="shared" si="202"/>
        <v>0</v>
      </c>
      <c r="M1610">
        <v>0</v>
      </c>
      <c r="N1610">
        <v>0</v>
      </c>
      <c r="O1610">
        <v>0</v>
      </c>
      <c r="P1610" s="13" t="str">
        <f t="shared" si="203"/>
        <v>—</v>
      </c>
      <c r="Q1610">
        <f>ROUND(INDEX(Catalogue!E$4:E$85,MATCH(A1610,Catalogue!A$4:A$85,0))*(1+Paramètres!$B$4*(C1610-1)+Paramètres!$B$5*(C1610-1)^2),0)</f>
        <v>0</v>
      </c>
      <c r="R1610">
        <f>ROUND(INDEX(Catalogue!F$4:F$85,MATCH(A1610,Catalogue!A$4:A$85,0))*(1+Paramètres!$B$4*(C1610-1)+Paramètres!$B$5*(C1610-1)^2),0)</f>
        <v>0</v>
      </c>
      <c r="S1610">
        <f t="shared" si="204"/>
        <v>0</v>
      </c>
      <c r="T1610" t="str">
        <f t="shared" si="205"/>
        <v>OK</v>
      </c>
      <c r="U1610" s="25">
        <f t="shared" si="206"/>
        <v>0</v>
      </c>
      <c r="V1610" t="str">
        <f t="shared" si="207"/>
        <v>OK</v>
      </c>
    </row>
    <row r="1611" spans="1:22" ht="18" customHeight="1">
      <c r="A1611" t="s">
        <v>362</v>
      </c>
      <c r="B1611" t="s">
        <v>363</v>
      </c>
      <c r="C1611">
        <v>8</v>
      </c>
      <c r="D1611" t="s">
        <v>333</v>
      </c>
      <c r="E1611" s="6">
        <f t="shared" si="200"/>
        <v>0</v>
      </c>
      <c r="F1611" s="6">
        <f t="shared" si="201"/>
        <v>0</v>
      </c>
      <c r="G1611" s="6">
        <f>ROUND(Catalogue!G84*SQRT((1+Paramètres!$B$4*(C1611-1)+Paramètres!$B$5*(C1611-1)^2)),0)</f>
        <v>8</v>
      </c>
      <c r="H1611" s="6">
        <f>ROUND(Catalogue!H84*SQRT((1+Paramètres!$B$4*(C1611-1)+Paramètres!$B$5*(C1611-1)^2)),0)</f>
        <v>5</v>
      </c>
      <c r="I1611" s="6">
        <v>0</v>
      </c>
      <c r="J1611" s="6">
        <v>0</v>
      </c>
      <c r="K1611" s="7">
        <v>3.7</v>
      </c>
      <c r="L1611" s="9">
        <f t="shared" si="202"/>
        <v>0</v>
      </c>
      <c r="M1611">
        <v>0</v>
      </c>
      <c r="N1611">
        <v>0</v>
      </c>
      <c r="O1611">
        <v>0</v>
      </c>
      <c r="P1611" s="13" t="str">
        <f t="shared" si="203"/>
        <v>—</v>
      </c>
      <c r="Q1611">
        <f>ROUND(INDEX(Catalogue!E$4:E$85,MATCH(A1611,Catalogue!A$4:A$85,0))*(1+Paramètres!$B$4*(C1611-1)+Paramètres!$B$5*(C1611-1)^2),0)</f>
        <v>0</v>
      </c>
      <c r="R1611">
        <f>ROUND(INDEX(Catalogue!F$4:F$85,MATCH(A1611,Catalogue!A$4:A$85,0))*(1+Paramètres!$B$4*(C1611-1)+Paramètres!$B$5*(C1611-1)^2),0)</f>
        <v>0</v>
      </c>
      <c r="S1611">
        <f t="shared" si="204"/>
        <v>0</v>
      </c>
      <c r="T1611" t="str">
        <f t="shared" si="205"/>
        <v>OK</v>
      </c>
      <c r="U1611" s="25">
        <f t="shared" si="206"/>
        <v>0</v>
      </c>
      <c r="V1611" t="str">
        <f t="shared" si="207"/>
        <v>OK</v>
      </c>
    </row>
    <row r="1612" spans="1:22" ht="18" customHeight="1">
      <c r="A1612" t="s">
        <v>362</v>
      </c>
      <c r="B1612" t="s">
        <v>363</v>
      </c>
      <c r="C1612">
        <v>9</v>
      </c>
      <c r="D1612" t="s">
        <v>333</v>
      </c>
      <c r="E1612" s="6">
        <f t="shared" si="200"/>
        <v>0</v>
      </c>
      <c r="F1612" s="6">
        <f t="shared" si="201"/>
        <v>0</v>
      </c>
      <c r="G1612" s="6">
        <f>ROUND(Catalogue!G84*SQRT((1+Paramètres!$B$4*(C1612-1)+Paramètres!$B$5*(C1612-1)^2)),0)</f>
        <v>9</v>
      </c>
      <c r="H1612" s="6">
        <f>ROUND(Catalogue!H84*SQRT((1+Paramètres!$B$4*(C1612-1)+Paramètres!$B$5*(C1612-1)^2)),0)</f>
        <v>5</v>
      </c>
      <c r="I1612" s="6">
        <v>0</v>
      </c>
      <c r="J1612" s="6">
        <v>0</v>
      </c>
      <c r="K1612" s="7">
        <v>3.7</v>
      </c>
      <c r="L1612" s="9">
        <f t="shared" si="202"/>
        <v>0</v>
      </c>
      <c r="M1612">
        <v>0</v>
      </c>
      <c r="N1612">
        <v>0</v>
      </c>
      <c r="O1612">
        <v>0</v>
      </c>
      <c r="P1612" s="13" t="str">
        <f t="shared" si="203"/>
        <v>—</v>
      </c>
      <c r="Q1612">
        <f>ROUND(INDEX(Catalogue!E$4:E$85,MATCH(A1612,Catalogue!A$4:A$85,0))*(1+Paramètres!$B$4*(C1612-1)+Paramètres!$B$5*(C1612-1)^2),0)</f>
        <v>0</v>
      </c>
      <c r="R1612">
        <f>ROUND(INDEX(Catalogue!F$4:F$85,MATCH(A1612,Catalogue!A$4:A$85,0))*(1+Paramètres!$B$4*(C1612-1)+Paramètres!$B$5*(C1612-1)^2),0)</f>
        <v>0</v>
      </c>
      <c r="S1612">
        <f t="shared" si="204"/>
        <v>0</v>
      </c>
      <c r="T1612" t="str">
        <f t="shared" si="205"/>
        <v>OK</v>
      </c>
      <c r="U1612" s="25">
        <f t="shared" si="206"/>
        <v>0</v>
      </c>
      <c r="V1612" t="str">
        <f t="shared" si="207"/>
        <v>OK</v>
      </c>
    </row>
    <row r="1613" spans="1:22" ht="18" customHeight="1">
      <c r="A1613" t="s">
        <v>362</v>
      </c>
      <c r="B1613" t="s">
        <v>363</v>
      </c>
      <c r="C1613">
        <v>10</v>
      </c>
      <c r="D1613" t="s">
        <v>333</v>
      </c>
      <c r="E1613" s="6">
        <f t="shared" si="200"/>
        <v>0</v>
      </c>
      <c r="F1613" s="6">
        <f t="shared" si="201"/>
        <v>0</v>
      </c>
      <c r="G1613" s="6">
        <f>ROUND(Catalogue!G84*SQRT((1+Paramètres!$B$4*(C1613-1)+Paramètres!$B$5*(C1613-1)^2)),0)</f>
        <v>9</v>
      </c>
      <c r="H1613" s="6">
        <f>ROUND(Catalogue!H84*SQRT((1+Paramètres!$B$4*(C1613-1)+Paramètres!$B$5*(C1613-1)^2)),0)</f>
        <v>5</v>
      </c>
      <c r="I1613" s="6">
        <v>0</v>
      </c>
      <c r="J1613" s="6">
        <v>0</v>
      </c>
      <c r="K1613" s="7">
        <v>3.7</v>
      </c>
      <c r="L1613" s="9">
        <f t="shared" si="202"/>
        <v>0</v>
      </c>
      <c r="M1613">
        <v>0</v>
      </c>
      <c r="N1613">
        <v>0</v>
      </c>
      <c r="O1613">
        <v>0</v>
      </c>
      <c r="P1613" s="13" t="str">
        <f t="shared" si="203"/>
        <v>—</v>
      </c>
      <c r="Q1613">
        <f>ROUND(INDEX(Catalogue!E$4:E$85,MATCH(A1613,Catalogue!A$4:A$85,0))*(1+Paramètres!$B$4*(C1613-1)+Paramètres!$B$5*(C1613-1)^2),0)</f>
        <v>0</v>
      </c>
      <c r="R1613">
        <f>ROUND(INDEX(Catalogue!F$4:F$85,MATCH(A1613,Catalogue!A$4:A$85,0))*(1+Paramètres!$B$4*(C1613-1)+Paramètres!$B$5*(C1613-1)^2),0)</f>
        <v>0</v>
      </c>
      <c r="S1613">
        <f t="shared" si="204"/>
        <v>0</v>
      </c>
      <c r="T1613" t="str">
        <f t="shared" si="205"/>
        <v>OK</v>
      </c>
      <c r="U1613" s="25">
        <f t="shared" si="206"/>
        <v>0</v>
      </c>
      <c r="V1613" t="str">
        <f t="shared" si="207"/>
        <v>OK</v>
      </c>
    </row>
    <row r="1614" spans="1:22" ht="18" customHeight="1">
      <c r="A1614" t="s">
        <v>362</v>
      </c>
      <c r="B1614" t="s">
        <v>363</v>
      </c>
      <c r="C1614">
        <v>11</v>
      </c>
      <c r="D1614" t="s">
        <v>333</v>
      </c>
      <c r="E1614" s="6">
        <f t="shared" si="200"/>
        <v>0</v>
      </c>
      <c r="F1614" s="6">
        <f t="shared" si="201"/>
        <v>0</v>
      </c>
      <c r="G1614" s="6">
        <f>ROUND(Catalogue!G84*SQRT((1+Paramètres!$B$4*(C1614-1)+Paramètres!$B$5*(C1614-1)^2)),0)</f>
        <v>10</v>
      </c>
      <c r="H1614" s="6">
        <f>ROUND(Catalogue!H84*SQRT((1+Paramètres!$B$4*(C1614-1)+Paramètres!$B$5*(C1614-1)^2)),0)</f>
        <v>6</v>
      </c>
      <c r="I1614" s="6">
        <v>0</v>
      </c>
      <c r="J1614" s="6">
        <v>0</v>
      </c>
      <c r="K1614" s="7">
        <v>3.7</v>
      </c>
      <c r="L1614" s="9">
        <f t="shared" si="202"/>
        <v>0</v>
      </c>
      <c r="M1614">
        <v>0</v>
      </c>
      <c r="N1614">
        <v>0</v>
      </c>
      <c r="O1614">
        <v>0</v>
      </c>
      <c r="P1614" s="13" t="str">
        <f t="shared" si="203"/>
        <v>—</v>
      </c>
      <c r="Q1614">
        <f>ROUND(INDEX(Catalogue!E$4:E$85,MATCH(A1614,Catalogue!A$4:A$85,0))*(1+Paramètres!$B$4*(C1614-1)+Paramètres!$B$5*(C1614-1)^2),0)</f>
        <v>0</v>
      </c>
      <c r="R1614">
        <f>ROUND(INDEX(Catalogue!F$4:F$85,MATCH(A1614,Catalogue!A$4:A$85,0))*(1+Paramètres!$B$4*(C1614-1)+Paramètres!$B$5*(C1614-1)^2),0)</f>
        <v>0</v>
      </c>
      <c r="S1614">
        <f t="shared" si="204"/>
        <v>0</v>
      </c>
      <c r="T1614" t="str">
        <f t="shared" si="205"/>
        <v>OK</v>
      </c>
      <c r="U1614" s="25">
        <f t="shared" si="206"/>
        <v>0</v>
      </c>
      <c r="V1614" t="str">
        <f t="shared" si="207"/>
        <v>OK</v>
      </c>
    </row>
    <row r="1615" spans="1:22" ht="18" customHeight="1">
      <c r="A1615" t="s">
        <v>362</v>
      </c>
      <c r="B1615" t="s">
        <v>363</v>
      </c>
      <c r="C1615">
        <v>12</v>
      </c>
      <c r="D1615" t="s">
        <v>333</v>
      </c>
      <c r="E1615" s="6">
        <f t="shared" si="200"/>
        <v>0</v>
      </c>
      <c r="F1615" s="6">
        <f t="shared" si="201"/>
        <v>0</v>
      </c>
      <c r="G1615" s="6">
        <f>ROUND(Catalogue!G84*SQRT((1+Paramètres!$B$4*(C1615-1)+Paramètres!$B$5*(C1615-1)^2)),0)</f>
        <v>10</v>
      </c>
      <c r="H1615" s="6">
        <f>ROUND(Catalogue!H84*SQRT((1+Paramètres!$B$4*(C1615-1)+Paramètres!$B$5*(C1615-1)^2)),0)</f>
        <v>6</v>
      </c>
      <c r="I1615" s="6">
        <v>0</v>
      </c>
      <c r="J1615" s="6">
        <v>0</v>
      </c>
      <c r="K1615" s="7">
        <v>3.7</v>
      </c>
      <c r="L1615" s="9">
        <f t="shared" si="202"/>
        <v>0</v>
      </c>
      <c r="M1615">
        <v>0</v>
      </c>
      <c r="N1615">
        <v>0</v>
      </c>
      <c r="O1615">
        <v>0</v>
      </c>
      <c r="P1615" s="13" t="str">
        <f t="shared" si="203"/>
        <v>—</v>
      </c>
      <c r="Q1615">
        <f>ROUND(INDEX(Catalogue!E$4:E$85,MATCH(A1615,Catalogue!A$4:A$85,0))*(1+Paramètres!$B$4*(C1615-1)+Paramètres!$B$5*(C1615-1)^2),0)</f>
        <v>0</v>
      </c>
      <c r="R1615">
        <f>ROUND(INDEX(Catalogue!F$4:F$85,MATCH(A1615,Catalogue!A$4:A$85,0))*(1+Paramètres!$B$4*(C1615-1)+Paramètres!$B$5*(C1615-1)^2),0)</f>
        <v>0</v>
      </c>
      <c r="S1615">
        <f t="shared" si="204"/>
        <v>0</v>
      </c>
      <c r="T1615" t="str">
        <f t="shared" si="205"/>
        <v>OK</v>
      </c>
      <c r="U1615" s="25">
        <f t="shared" si="206"/>
        <v>0</v>
      </c>
      <c r="V1615" t="str">
        <f t="shared" si="207"/>
        <v>OK</v>
      </c>
    </row>
    <row r="1616" spans="1:22" ht="18" customHeight="1">
      <c r="A1616" t="s">
        <v>362</v>
      </c>
      <c r="B1616" t="s">
        <v>363</v>
      </c>
      <c r="C1616">
        <v>13</v>
      </c>
      <c r="D1616" t="s">
        <v>333</v>
      </c>
      <c r="E1616" s="6">
        <f t="shared" si="200"/>
        <v>0</v>
      </c>
      <c r="F1616" s="6">
        <f t="shared" si="201"/>
        <v>0</v>
      </c>
      <c r="G1616" s="6">
        <f>ROUND(Catalogue!G84*SQRT((1+Paramètres!$B$4*(C1616-1)+Paramètres!$B$5*(C1616-1)^2)),0)</f>
        <v>11</v>
      </c>
      <c r="H1616" s="6">
        <f>ROUND(Catalogue!H84*SQRT((1+Paramètres!$B$4*(C1616-1)+Paramètres!$B$5*(C1616-1)^2)),0)</f>
        <v>6</v>
      </c>
      <c r="I1616" s="6">
        <v>0</v>
      </c>
      <c r="J1616" s="6">
        <v>0</v>
      </c>
      <c r="K1616" s="7">
        <v>3.7</v>
      </c>
      <c r="L1616" s="9">
        <f t="shared" si="202"/>
        <v>0</v>
      </c>
      <c r="M1616">
        <v>0</v>
      </c>
      <c r="N1616">
        <v>0</v>
      </c>
      <c r="O1616">
        <v>0</v>
      </c>
      <c r="P1616" s="13" t="str">
        <f t="shared" si="203"/>
        <v>—</v>
      </c>
      <c r="Q1616">
        <f>ROUND(INDEX(Catalogue!E$4:E$85,MATCH(A1616,Catalogue!A$4:A$85,0))*(1+Paramètres!$B$4*(C1616-1)+Paramètres!$B$5*(C1616-1)^2),0)</f>
        <v>0</v>
      </c>
      <c r="R1616">
        <f>ROUND(INDEX(Catalogue!F$4:F$85,MATCH(A1616,Catalogue!A$4:A$85,0))*(1+Paramètres!$B$4*(C1616-1)+Paramètres!$B$5*(C1616-1)^2),0)</f>
        <v>0</v>
      </c>
      <c r="S1616">
        <f t="shared" si="204"/>
        <v>0</v>
      </c>
      <c r="T1616" t="str">
        <f t="shared" si="205"/>
        <v>OK</v>
      </c>
      <c r="U1616" s="25">
        <f t="shared" si="206"/>
        <v>0</v>
      </c>
      <c r="V1616" t="str">
        <f t="shared" si="207"/>
        <v>OK</v>
      </c>
    </row>
    <row r="1617" spans="1:22" ht="18" customHeight="1">
      <c r="A1617" t="s">
        <v>362</v>
      </c>
      <c r="B1617" t="s">
        <v>363</v>
      </c>
      <c r="C1617">
        <v>14</v>
      </c>
      <c r="D1617" t="s">
        <v>333</v>
      </c>
      <c r="E1617" s="6">
        <f t="shared" si="200"/>
        <v>0</v>
      </c>
      <c r="F1617" s="6">
        <f t="shared" si="201"/>
        <v>0</v>
      </c>
      <c r="G1617" s="6">
        <f>ROUND(Catalogue!G84*SQRT((1+Paramètres!$B$4*(C1617-1)+Paramètres!$B$5*(C1617-1)^2)),0)</f>
        <v>11</v>
      </c>
      <c r="H1617" s="6">
        <f>ROUND(Catalogue!H84*SQRT((1+Paramètres!$B$4*(C1617-1)+Paramètres!$B$5*(C1617-1)^2)),0)</f>
        <v>7</v>
      </c>
      <c r="I1617" s="6">
        <v>0</v>
      </c>
      <c r="J1617" s="6">
        <v>0</v>
      </c>
      <c r="K1617" s="7">
        <v>3.7</v>
      </c>
      <c r="L1617" s="9">
        <f t="shared" si="202"/>
        <v>0</v>
      </c>
      <c r="M1617">
        <v>0</v>
      </c>
      <c r="N1617">
        <v>0</v>
      </c>
      <c r="O1617">
        <v>0</v>
      </c>
      <c r="P1617" s="13" t="str">
        <f t="shared" si="203"/>
        <v>—</v>
      </c>
      <c r="Q1617">
        <f>ROUND(INDEX(Catalogue!E$4:E$85,MATCH(A1617,Catalogue!A$4:A$85,0))*(1+Paramètres!$B$4*(C1617-1)+Paramètres!$B$5*(C1617-1)^2),0)</f>
        <v>0</v>
      </c>
      <c r="R1617">
        <f>ROUND(INDEX(Catalogue!F$4:F$85,MATCH(A1617,Catalogue!A$4:A$85,0))*(1+Paramètres!$B$4*(C1617-1)+Paramètres!$B$5*(C1617-1)^2),0)</f>
        <v>0</v>
      </c>
      <c r="S1617">
        <f t="shared" si="204"/>
        <v>0</v>
      </c>
      <c r="T1617" t="str">
        <f t="shared" si="205"/>
        <v>OK</v>
      </c>
      <c r="U1617" s="25">
        <f t="shared" si="206"/>
        <v>0</v>
      </c>
      <c r="V1617" t="str">
        <f t="shared" si="207"/>
        <v>OK</v>
      </c>
    </row>
    <row r="1618" spans="1:22" ht="18" customHeight="1">
      <c r="A1618" t="s">
        <v>362</v>
      </c>
      <c r="B1618" t="s">
        <v>363</v>
      </c>
      <c r="C1618">
        <v>15</v>
      </c>
      <c r="D1618" t="s">
        <v>333</v>
      </c>
      <c r="E1618" s="6">
        <f t="shared" si="200"/>
        <v>0</v>
      </c>
      <c r="F1618" s="6">
        <f t="shared" si="201"/>
        <v>0</v>
      </c>
      <c r="G1618" s="6">
        <f>ROUND(Catalogue!G84*SQRT((1+Paramètres!$B$4*(C1618-1)+Paramètres!$B$5*(C1618-1)^2)),0)</f>
        <v>12</v>
      </c>
      <c r="H1618" s="6">
        <f>ROUND(Catalogue!H84*SQRT((1+Paramètres!$B$4*(C1618-1)+Paramètres!$B$5*(C1618-1)^2)),0)</f>
        <v>7</v>
      </c>
      <c r="I1618" s="6">
        <v>0</v>
      </c>
      <c r="J1618" s="6">
        <v>0</v>
      </c>
      <c r="K1618" s="7">
        <v>3.7</v>
      </c>
      <c r="L1618" s="9">
        <f t="shared" si="202"/>
        <v>0</v>
      </c>
      <c r="M1618">
        <v>0</v>
      </c>
      <c r="N1618">
        <v>0</v>
      </c>
      <c r="O1618">
        <v>0</v>
      </c>
      <c r="P1618" s="13" t="str">
        <f t="shared" si="203"/>
        <v>—</v>
      </c>
      <c r="Q1618">
        <f>ROUND(INDEX(Catalogue!E$4:E$85,MATCH(A1618,Catalogue!A$4:A$85,0))*(1+Paramètres!$B$4*(C1618-1)+Paramètres!$B$5*(C1618-1)^2),0)</f>
        <v>0</v>
      </c>
      <c r="R1618">
        <f>ROUND(INDEX(Catalogue!F$4:F$85,MATCH(A1618,Catalogue!A$4:A$85,0))*(1+Paramètres!$B$4*(C1618-1)+Paramètres!$B$5*(C1618-1)^2),0)</f>
        <v>0</v>
      </c>
      <c r="S1618">
        <f t="shared" si="204"/>
        <v>0</v>
      </c>
      <c r="T1618" t="str">
        <f t="shared" si="205"/>
        <v>OK</v>
      </c>
      <c r="U1618" s="25">
        <f t="shared" si="206"/>
        <v>0</v>
      </c>
      <c r="V1618" t="str">
        <f t="shared" si="207"/>
        <v>OK</v>
      </c>
    </row>
    <row r="1619" spans="1:22" ht="18" customHeight="1">
      <c r="A1619" t="s">
        <v>362</v>
      </c>
      <c r="B1619" t="s">
        <v>363</v>
      </c>
      <c r="C1619">
        <v>16</v>
      </c>
      <c r="D1619" t="s">
        <v>333</v>
      </c>
      <c r="E1619" s="6">
        <f t="shared" si="200"/>
        <v>0</v>
      </c>
      <c r="F1619" s="6">
        <f t="shared" si="201"/>
        <v>0</v>
      </c>
      <c r="G1619" s="6">
        <f>ROUND(Catalogue!G84*SQRT((1+Paramètres!$B$4*(C1619-1)+Paramètres!$B$5*(C1619-1)^2)),0)</f>
        <v>13</v>
      </c>
      <c r="H1619" s="6">
        <f>ROUND(Catalogue!H84*SQRT((1+Paramètres!$B$4*(C1619-1)+Paramètres!$B$5*(C1619-1)^2)),0)</f>
        <v>8</v>
      </c>
      <c r="I1619" s="6">
        <v>0</v>
      </c>
      <c r="J1619" s="6">
        <v>0</v>
      </c>
      <c r="K1619" s="7">
        <v>3.7</v>
      </c>
      <c r="L1619" s="9">
        <f t="shared" si="202"/>
        <v>0</v>
      </c>
      <c r="M1619">
        <v>0</v>
      </c>
      <c r="N1619">
        <v>0</v>
      </c>
      <c r="O1619">
        <v>0</v>
      </c>
      <c r="P1619" s="13" t="str">
        <f t="shared" si="203"/>
        <v>—</v>
      </c>
      <c r="Q1619">
        <f>ROUND(INDEX(Catalogue!E$4:E$85,MATCH(A1619,Catalogue!A$4:A$85,0))*(1+Paramètres!$B$4*(C1619-1)+Paramètres!$B$5*(C1619-1)^2),0)</f>
        <v>0</v>
      </c>
      <c r="R1619">
        <f>ROUND(INDEX(Catalogue!F$4:F$85,MATCH(A1619,Catalogue!A$4:A$85,0))*(1+Paramètres!$B$4*(C1619-1)+Paramètres!$B$5*(C1619-1)^2),0)</f>
        <v>0</v>
      </c>
      <c r="S1619">
        <f t="shared" si="204"/>
        <v>0</v>
      </c>
      <c r="T1619" t="str">
        <f t="shared" si="205"/>
        <v>OK</v>
      </c>
      <c r="U1619" s="25">
        <f t="shared" si="206"/>
        <v>0</v>
      </c>
      <c r="V1619" t="str">
        <f t="shared" si="207"/>
        <v>OK</v>
      </c>
    </row>
    <row r="1620" spans="1:22" ht="18" customHeight="1">
      <c r="A1620" t="s">
        <v>362</v>
      </c>
      <c r="B1620" t="s">
        <v>363</v>
      </c>
      <c r="C1620">
        <v>17</v>
      </c>
      <c r="D1620" t="s">
        <v>333</v>
      </c>
      <c r="E1620" s="6">
        <f t="shared" si="200"/>
        <v>0</v>
      </c>
      <c r="F1620" s="6">
        <f t="shared" si="201"/>
        <v>0</v>
      </c>
      <c r="G1620" s="6">
        <f>ROUND(Catalogue!G84*SQRT((1+Paramètres!$B$4*(C1620-1)+Paramètres!$B$5*(C1620-1)^2)),0)</f>
        <v>13</v>
      </c>
      <c r="H1620" s="6">
        <f>ROUND(Catalogue!H84*SQRT((1+Paramètres!$B$4*(C1620-1)+Paramètres!$B$5*(C1620-1)^2)),0)</f>
        <v>8</v>
      </c>
      <c r="I1620" s="6">
        <v>0</v>
      </c>
      <c r="J1620" s="6">
        <v>0</v>
      </c>
      <c r="K1620" s="7">
        <v>3.7</v>
      </c>
      <c r="L1620" s="9">
        <f t="shared" si="202"/>
        <v>0</v>
      </c>
      <c r="M1620">
        <v>0</v>
      </c>
      <c r="N1620">
        <v>0</v>
      </c>
      <c r="O1620">
        <v>0</v>
      </c>
      <c r="P1620" s="13" t="str">
        <f t="shared" si="203"/>
        <v>—</v>
      </c>
      <c r="Q1620">
        <f>ROUND(INDEX(Catalogue!E$4:E$85,MATCH(A1620,Catalogue!A$4:A$85,0))*(1+Paramètres!$B$4*(C1620-1)+Paramètres!$B$5*(C1620-1)^2),0)</f>
        <v>0</v>
      </c>
      <c r="R1620">
        <f>ROUND(INDEX(Catalogue!F$4:F$85,MATCH(A1620,Catalogue!A$4:A$85,0))*(1+Paramètres!$B$4*(C1620-1)+Paramètres!$B$5*(C1620-1)^2),0)</f>
        <v>0</v>
      </c>
      <c r="S1620">
        <f t="shared" si="204"/>
        <v>0</v>
      </c>
      <c r="T1620" t="str">
        <f t="shared" si="205"/>
        <v>OK</v>
      </c>
      <c r="U1620" s="25">
        <f t="shared" si="206"/>
        <v>0</v>
      </c>
      <c r="V1620" t="str">
        <f t="shared" si="207"/>
        <v>OK</v>
      </c>
    </row>
    <row r="1621" spans="1:22" ht="18" customHeight="1">
      <c r="A1621" t="s">
        <v>362</v>
      </c>
      <c r="B1621" t="s">
        <v>363</v>
      </c>
      <c r="C1621">
        <v>18</v>
      </c>
      <c r="D1621" t="s">
        <v>333</v>
      </c>
      <c r="E1621" s="6">
        <f t="shared" si="200"/>
        <v>0</v>
      </c>
      <c r="F1621" s="6">
        <f t="shared" si="201"/>
        <v>0</v>
      </c>
      <c r="G1621" s="6">
        <f>ROUND(Catalogue!G84*SQRT((1+Paramètres!$B$4*(C1621-1)+Paramètres!$B$5*(C1621-1)^2)),0)</f>
        <v>14</v>
      </c>
      <c r="H1621" s="6">
        <f>ROUND(Catalogue!H84*SQRT((1+Paramètres!$B$4*(C1621-1)+Paramètres!$B$5*(C1621-1)^2)),0)</f>
        <v>8</v>
      </c>
      <c r="I1621" s="6">
        <v>0</v>
      </c>
      <c r="J1621" s="6">
        <v>0</v>
      </c>
      <c r="K1621" s="7">
        <v>3.7</v>
      </c>
      <c r="L1621" s="9">
        <f t="shared" si="202"/>
        <v>0</v>
      </c>
      <c r="M1621">
        <v>0</v>
      </c>
      <c r="N1621">
        <v>0</v>
      </c>
      <c r="O1621">
        <v>0</v>
      </c>
      <c r="P1621" s="13" t="str">
        <f t="shared" si="203"/>
        <v>—</v>
      </c>
      <c r="Q1621">
        <f>ROUND(INDEX(Catalogue!E$4:E$85,MATCH(A1621,Catalogue!A$4:A$85,0))*(1+Paramètres!$B$4*(C1621-1)+Paramètres!$B$5*(C1621-1)^2),0)</f>
        <v>0</v>
      </c>
      <c r="R1621">
        <f>ROUND(INDEX(Catalogue!F$4:F$85,MATCH(A1621,Catalogue!A$4:A$85,0))*(1+Paramètres!$B$4*(C1621-1)+Paramètres!$B$5*(C1621-1)^2),0)</f>
        <v>0</v>
      </c>
      <c r="S1621">
        <f t="shared" si="204"/>
        <v>0</v>
      </c>
      <c r="T1621" t="str">
        <f t="shared" si="205"/>
        <v>OK</v>
      </c>
      <c r="U1621" s="25">
        <f t="shared" si="206"/>
        <v>0</v>
      </c>
      <c r="V1621" t="str">
        <f t="shared" si="207"/>
        <v>OK</v>
      </c>
    </row>
    <row r="1622" spans="1:22" ht="18" customHeight="1">
      <c r="A1622" t="s">
        <v>362</v>
      </c>
      <c r="B1622" t="s">
        <v>363</v>
      </c>
      <c r="C1622">
        <v>19</v>
      </c>
      <c r="D1622" t="s">
        <v>333</v>
      </c>
      <c r="E1622" s="6">
        <f t="shared" si="200"/>
        <v>0</v>
      </c>
      <c r="F1622" s="6">
        <f t="shared" si="201"/>
        <v>0</v>
      </c>
      <c r="G1622" s="6">
        <f>ROUND(Catalogue!G84*SQRT((1+Paramètres!$B$4*(C1622-1)+Paramètres!$B$5*(C1622-1)^2)),0)</f>
        <v>14</v>
      </c>
      <c r="H1622" s="6">
        <f>ROUND(Catalogue!H84*SQRT((1+Paramètres!$B$4*(C1622-1)+Paramètres!$B$5*(C1622-1)^2)),0)</f>
        <v>9</v>
      </c>
      <c r="I1622" s="6">
        <v>0</v>
      </c>
      <c r="J1622" s="6">
        <v>0</v>
      </c>
      <c r="K1622" s="7">
        <v>3.7</v>
      </c>
      <c r="L1622" s="9">
        <f t="shared" si="202"/>
        <v>0</v>
      </c>
      <c r="M1622">
        <v>0</v>
      </c>
      <c r="N1622">
        <v>0</v>
      </c>
      <c r="O1622">
        <v>0</v>
      </c>
      <c r="P1622" s="13" t="str">
        <f t="shared" si="203"/>
        <v>—</v>
      </c>
      <c r="Q1622">
        <f>ROUND(INDEX(Catalogue!E$4:E$85,MATCH(A1622,Catalogue!A$4:A$85,0))*(1+Paramètres!$B$4*(C1622-1)+Paramètres!$B$5*(C1622-1)^2),0)</f>
        <v>0</v>
      </c>
      <c r="R1622">
        <f>ROUND(INDEX(Catalogue!F$4:F$85,MATCH(A1622,Catalogue!A$4:A$85,0))*(1+Paramètres!$B$4*(C1622-1)+Paramètres!$B$5*(C1622-1)^2),0)</f>
        <v>0</v>
      </c>
      <c r="S1622">
        <f t="shared" si="204"/>
        <v>0</v>
      </c>
      <c r="T1622" t="str">
        <f t="shared" si="205"/>
        <v>OK</v>
      </c>
      <c r="U1622" s="25">
        <f t="shared" si="206"/>
        <v>0</v>
      </c>
      <c r="V1622" t="str">
        <f t="shared" si="207"/>
        <v>OK</v>
      </c>
    </row>
    <row r="1623" spans="1:22" ht="18" customHeight="1">
      <c r="A1623" t="s">
        <v>362</v>
      </c>
      <c r="B1623" t="s">
        <v>363</v>
      </c>
      <c r="C1623">
        <v>20</v>
      </c>
      <c r="D1623" t="s">
        <v>333</v>
      </c>
      <c r="E1623" s="6">
        <f t="shared" si="200"/>
        <v>0</v>
      </c>
      <c r="F1623" s="6">
        <f t="shared" si="201"/>
        <v>0</v>
      </c>
      <c r="G1623" s="6">
        <f>ROUND(Catalogue!G84*SQRT((1+Paramètres!$B$4*(C1623-1)+Paramètres!$B$5*(C1623-1)^2)),0)</f>
        <v>15</v>
      </c>
      <c r="H1623" s="6">
        <f>ROUND(Catalogue!H84*SQRT((1+Paramètres!$B$4*(C1623-1)+Paramètres!$B$5*(C1623-1)^2)),0)</f>
        <v>9</v>
      </c>
      <c r="I1623" s="6">
        <v>0</v>
      </c>
      <c r="J1623" s="6">
        <v>0</v>
      </c>
      <c r="K1623" s="7">
        <v>3.7</v>
      </c>
      <c r="L1623" s="9">
        <f t="shared" si="202"/>
        <v>0</v>
      </c>
      <c r="M1623">
        <v>0</v>
      </c>
      <c r="N1623">
        <v>0</v>
      </c>
      <c r="O1623">
        <v>0</v>
      </c>
      <c r="P1623" s="13" t="str">
        <f t="shared" si="203"/>
        <v>—</v>
      </c>
      <c r="Q1623">
        <f>ROUND(INDEX(Catalogue!E$4:E$85,MATCH(A1623,Catalogue!A$4:A$85,0))*(1+Paramètres!$B$4*(C1623-1)+Paramètres!$B$5*(C1623-1)^2),0)</f>
        <v>0</v>
      </c>
      <c r="R1623">
        <f>ROUND(INDEX(Catalogue!F$4:F$85,MATCH(A1623,Catalogue!A$4:A$85,0))*(1+Paramètres!$B$4*(C1623-1)+Paramètres!$B$5*(C1623-1)^2),0)</f>
        <v>0</v>
      </c>
      <c r="S1623">
        <f t="shared" si="204"/>
        <v>0</v>
      </c>
      <c r="T1623" t="str">
        <f t="shared" si="205"/>
        <v>OK</v>
      </c>
      <c r="U1623" s="25">
        <f t="shared" si="206"/>
        <v>0</v>
      </c>
      <c r="V1623" t="str">
        <f t="shared" si="207"/>
        <v>OK</v>
      </c>
    </row>
    <row r="1624" spans="1:22" ht="18" customHeight="1">
      <c r="A1624" t="s">
        <v>366</v>
      </c>
      <c r="B1624" t="s">
        <v>367</v>
      </c>
      <c r="C1624">
        <v>1</v>
      </c>
      <c r="D1624" t="s">
        <v>333</v>
      </c>
      <c r="E1624" s="6">
        <f t="shared" si="200"/>
        <v>0</v>
      </c>
      <c r="F1624" s="6">
        <f t="shared" si="201"/>
        <v>0</v>
      </c>
      <c r="G1624" s="6">
        <f>ROUND(Catalogue!G85*SQRT((1+Paramètres!$B$4*(C1624-1)+Paramètres!$B$5*(C1624-1)^2)),0)</f>
        <v>4</v>
      </c>
      <c r="H1624" s="6">
        <f>ROUND(Catalogue!H85*SQRT((1+Paramètres!$B$4*(C1624-1)+Paramètres!$B$5*(C1624-1)^2)),0)</f>
        <v>4</v>
      </c>
      <c r="I1624" s="6">
        <v>0</v>
      </c>
      <c r="J1624" s="6">
        <v>0</v>
      </c>
      <c r="K1624" s="7">
        <v>3.5</v>
      </c>
      <c r="L1624" s="9">
        <f t="shared" si="202"/>
        <v>0</v>
      </c>
      <c r="M1624">
        <v>0</v>
      </c>
      <c r="N1624">
        <v>0</v>
      </c>
      <c r="O1624">
        <v>0</v>
      </c>
      <c r="P1624" s="13" t="str">
        <f t="shared" si="203"/>
        <v>—</v>
      </c>
      <c r="Q1624">
        <f>ROUND(INDEX(Catalogue!E$4:E$85,MATCH(A1624,Catalogue!A$4:A$85,0))*(1+Paramètres!$B$4*(C1624-1)+Paramètres!$B$5*(C1624-1)^2),0)</f>
        <v>0</v>
      </c>
      <c r="R1624">
        <f>ROUND(INDEX(Catalogue!F$4:F$85,MATCH(A1624,Catalogue!A$4:A$85,0))*(1+Paramètres!$B$4*(C1624-1)+Paramètres!$B$5*(C1624-1)^2),0)</f>
        <v>0</v>
      </c>
      <c r="S1624">
        <f t="shared" si="204"/>
        <v>0</v>
      </c>
      <c r="T1624" t="str">
        <f t="shared" si="205"/>
        <v>OK</v>
      </c>
      <c r="U1624" s="25">
        <f t="shared" si="206"/>
        <v>0</v>
      </c>
      <c r="V1624" t="str">
        <f t="shared" si="207"/>
        <v>OK</v>
      </c>
    </row>
    <row r="1625" spans="1:22" ht="18" customHeight="1">
      <c r="A1625" t="s">
        <v>366</v>
      </c>
      <c r="B1625" t="s">
        <v>367</v>
      </c>
      <c r="C1625">
        <v>2</v>
      </c>
      <c r="D1625" t="s">
        <v>333</v>
      </c>
      <c r="E1625" s="6">
        <f t="shared" si="200"/>
        <v>0</v>
      </c>
      <c r="F1625" s="6">
        <f t="shared" si="201"/>
        <v>0</v>
      </c>
      <c r="G1625" s="6">
        <f>ROUND(Catalogue!G85*SQRT((1+Paramètres!$B$4*(C1625-1)+Paramètres!$B$5*(C1625-1)^2)),0)</f>
        <v>4</v>
      </c>
      <c r="H1625" s="6">
        <f>ROUND(Catalogue!H85*SQRT((1+Paramètres!$B$4*(C1625-1)+Paramètres!$B$5*(C1625-1)^2)),0)</f>
        <v>4</v>
      </c>
      <c r="I1625" s="6">
        <v>0</v>
      </c>
      <c r="J1625" s="6">
        <v>0</v>
      </c>
      <c r="K1625" s="7">
        <v>3.5</v>
      </c>
      <c r="L1625" s="9">
        <f t="shared" si="202"/>
        <v>0</v>
      </c>
      <c r="M1625">
        <v>0</v>
      </c>
      <c r="N1625">
        <v>0</v>
      </c>
      <c r="O1625">
        <v>0</v>
      </c>
      <c r="P1625" s="13" t="str">
        <f t="shared" si="203"/>
        <v>—</v>
      </c>
      <c r="Q1625">
        <f>ROUND(INDEX(Catalogue!E$4:E$85,MATCH(A1625,Catalogue!A$4:A$85,0))*(1+Paramètres!$B$4*(C1625-1)+Paramètres!$B$5*(C1625-1)^2),0)</f>
        <v>0</v>
      </c>
      <c r="R1625">
        <f>ROUND(INDEX(Catalogue!F$4:F$85,MATCH(A1625,Catalogue!A$4:A$85,0))*(1+Paramètres!$B$4*(C1625-1)+Paramètres!$B$5*(C1625-1)^2),0)</f>
        <v>0</v>
      </c>
      <c r="S1625">
        <f t="shared" si="204"/>
        <v>0</v>
      </c>
      <c r="T1625" t="str">
        <f t="shared" si="205"/>
        <v>OK</v>
      </c>
      <c r="U1625" s="25">
        <f t="shared" si="206"/>
        <v>0</v>
      </c>
      <c r="V1625" t="str">
        <f t="shared" si="207"/>
        <v>OK</v>
      </c>
    </row>
    <row r="1626" spans="1:22" ht="18" customHeight="1">
      <c r="A1626" t="s">
        <v>366</v>
      </c>
      <c r="B1626" t="s">
        <v>367</v>
      </c>
      <c r="C1626">
        <v>3</v>
      </c>
      <c r="D1626" t="s">
        <v>333</v>
      </c>
      <c r="E1626" s="6">
        <f t="shared" si="200"/>
        <v>0</v>
      </c>
      <c r="F1626" s="6">
        <f t="shared" si="201"/>
        <v>0</v>
      </c>
      <c r="G1626" s="6">
        <f>ROUND(Catalogue!G85*SQRT((1+Paramètres!$B$4*(C1626-1)+Paramètres!$B$5*(C1626-1)^2)),0)</f>
        <v>5</v>
      </c>
      <c r="H1626" s="6">
        <f>ROUND(Catalogue!H85*SQRT((1+Paramètres!$B$4*(C1626-1)+Paramètres!$B$5*(C1626-1)^2)),0)</f>
        <v>5</v>
      </c>
      <c r="I1626" s="6">
        <v>0</v>
      </c>
      <c r="J1626" s="6">
        <v>0</v>
      </c>
      <c r="K1626" s="7">
        <v>3.5</v>
      </c>
      <c r="L1626" s="9">
        <f t="shared" si="202"/>
        <v>0</v>
      </c>
      <c r="M1626">
        <v>0</v>
      </c>
      <c r="N1626">
        <v>0</v>
      </c>
      <c r="O1626">
        <v>0</v>
      </c>
      <c r="P1626" s="13" t="str">
        <f t="shared" si="203"/>
        <v>—</v>
      </c>
      <c r="Q1626">
        <f>ROUND(INDEX(Catalogue!E$4:E$85,MATCH(A1626,Catalogue!A$4:A$85,0))*(1+Paramètres!$B$4*(C1626-1)+Paramètres!$B$5*(C1626-1)^2),0)</f>
        <v>0</v>
      </c>
      <c r="R1626">
        <f>ROUND(INDEX(Catalogue!F$4:F$85,MATCH(A1626,Catalogue!A$4:A$85,0))*(1+Paramètres!$B$4*(C1626-1)+Paramètres!$B$5*(C1626-1)^2),0)</f>
        <v>0</v>
      </c>
      <c r="S1626">
        <f t="shared" si="204"/>
        <v>0</v>
      </c>
      <c r="T1626" t="str">
        <f t="shared" si="205"/>
        <v>OK</v>
      </c>
      <c r="U1626" s="25">
        <f t="shared" si="206"/>
        <v>0</v>
      </c>
      <c r="V1626" t="str">
        <f t="shared" si="207"/>
        <v>OK</v>
      </c>
    </row>
    <row r="1627" spans="1:22" ht="18" customHeight="1">
      <c r="A1627" t="s">
        <v>366</v>
      </c>
      <c r="B1627" t="s">
        <v>367</v>
      </c>
      <c r="C1627">
        <v>4</v>
      </c>
      <c r="D1627" t="s">
        <v>333</v>
      </c>
      <c r="E1627" s="6">
        <f t="shared" si="200"/>
        <v>0</v>
      </c>
      <c r="F1627" s="6">
        <f t="shared" si="201"/>
        <v>0</v>
      </c>
      <c r="G1627" s="6">
        <f>ROUND(Catalogue!G85*SQRT((1+Paramètres!$B$4*(C1627-1)+Paramètres!$B$5*(C1627-1)^2)),0)</f>
        <v>5</v>
      </c>
      <c r="H1627" s="6">
        <f>ROUND(Catalogue!H85*SQRT((1+Paramètres!$B$4*(C1627-1)+Paramètres!$B$5*(C1627-1)^2)),0)</f>
        <v>5</v>
      </c>
      <c r="I1627" s="6">
        <v>0</v>
      </c>
      <c r="J1627" s="6">
        <v>0</v>
      </c>
      <c r="K1627" s="7">
        <v>3.5</v>
      </c>
      <c r="L1627" s="9">
        <f t="shared" si="202"/>
        <v>0</v>
      </c>
      <c r="M1627">
        <v>0</v>
      </c>
      <c r="N1627">
        <v>0</v>
      </c>
      <c r="O1627">
        <v>0</v>
      </c>
      <c r="P1627" s="13" t="str">
        <f t="shared" si="203"/>
        <v>—</v>
      </c>
      <c r="Q1627">
        <f>ROUND(INDEX(Catalogue!E$4:E$85,MATCH(A1627,Catalogue!A$4:A$85,0))*(1+Paramètres!$B$4*(C1627-1)+Paramètres!$B$5*(C1627-1)^2),0)</f>
        <v>0</v>
      </c>
      <c r="R1627">
        <f>ROUND(INDEX(Catalogue!F$4:F$85,MATCH(A1627,Catalogue!A$4:A$85,0))*(1+Paramètres!$B$4*(C1627-1)+Paramètres!$B$5*(C1627-1)^2),0)</f>
        <v>0</v>
      </c>
      <c r="S1627">
        <f t="shared" si="204"/>
        <v>0</v>
      </c>
      <c r="T1627" t="str">
        <f t="shared" si="205"/>
        <v>OK</v>
      </c>
      <c r="U1627" s="25">
        <f t="shared" si="206"/>
        <v>0</v>
      </c>
      <c r="V1627" t="str">
        <f t="shared" si="207"/>
        <v>OK</v>
      </c>
    </row>
    <row r="1628" spans="1:22" ht="18" customHeight="1">
      <c r="A1628" t="s">
        <v>366</v>
      </c>
      <c r="B1628" t="s">
        <v>367</v>
      </c>
      <c r="C1628">
        <v>5</v>
      </c>
      <c r="D1628" t="s">
        <v>333</v>
      </c>
      <c r="E1628" s="6">
        <f t="shared" si="200"/>
        <v>0</v>
      </c>
      <c r="F1628" s="6">
        <f t="shared" si="201"/>
        <v>0</v>
      </c>
      <c r="G1628" s="6">
        <f>ROUND(Catalogue!G85*SQRT((1+Paramètres!$B$4*(C1628-1)+Paramètres!$B$5*(C1628-1)^2)),0)</f>
        <v>5</v>
      </c>
      <c r="H1628" s="6">
        <f>ROUND(Catalogue!H85*SQRT((1+Paramètres!$B$4*(C1628-1)+Paramètres!$B$5*(C1628-1)^2)),0)</f>
        <v>5</v>
      </c>
      <c r="I1628" s="6">
        <v>0</v>
      </c>
      <c r="J1628" s="6">
        <v>0</v>
      </c>
      <c r="K1628" s="7">
        <v>3.5</v>
      </c>
      <c r="L1628" s="9">
        <f t="shared" si="202"/>
        <v>0</v>
      </c>
      <c r="M1628">
        <v>0</v>
      </c>
      <c r="N1628">
        <v>0</v>
      </c>
      <c r="O1628">
        <v>0</v>
      </c>
      <c r="P1628" s="13" t="str">
        <f t="shared" si="203"/>
        <v>—</v>
      </c>
      <c r="Q1628">
        <f>ROUND(INDEX(Catalogue!E$4:E$85,MATCH(A1628,Catalogue!A$4:A$85,0))*(1+Paramètres!$B$4*(C1628-1)+Paramètres!$B$5*(C1628-1)^2),0)</f>
        <v>0</v>
      </c>
      <c r="R1628">
        <f>ROUND(INDEX(Catalogue!F$4:F$85,MATCH(A1628,Catalogue!A$4:A$85,0))*(1+Paramètres!$B$4*(C1628-1)+Paramètres!$B$5*(C1628-1)^2),0)</f>
        <v>0</v>
      </c>
      <c r="S1628">
        <f t="shared" si="204"/>
        <v>0</v>
      </c>
      <c r="T1628" t="str">
        <f t="shared" si="205"/>
        <v>OK</v>
      </c>
      <c r="U1628" s="25">
        <f t="shared" si="206"/>
        <v>0</v>
      </c>
      <c r="V1628" t="str">
        <f t="shared" si="207"/>
        <v>OK</v>
      </c>
    </row>
    <row r="1629" spans="1:22" ht="18" customHeight="1">
      <c r="A1629" t="s">
        <v>366</v>
      </c>
      <c r="B1629" t="s">
        <v>367</v>
      </c>
      <c r="C1629">
        <v>6</v>
      </c>
      <c r="D1629" t="s">
        <v>333</v>
      </c>
      <c r="E1629" s="6">
        <f t="shared" si="200"/>
        <v>0</v>
      </c>
      <c r="F1629" s="6">
        <f t="shared" si="201"/>
        <v>0</v>
      </c>
      <c r="G1629" s="6">
        <f>ROUND(Catalogue!G85*SQRT((1+Paramètres!$B$4*(C1629-1)+Paramètres!$B$5*(C1629-1)^2)),0)</f>
        <v>6</v>
      </c>
      <c r="H1629" s="6">
        <f>ROUND(Catalogue!H85*SQRT((1+Paramètres!$B$4*(C1629-1)+Paramètres!$B$5*(C1629-1)^2)),0)</f>
        <v>6</v>
      </c>
      <c r="I1629" s="6">
        <v>0</v>
      </c>
      <c r="J1629" s="6">
        <v>0</v>
      </c>
      <c r="K1629" s="7">
        <v>3.5</v>
      </c>
      <c r="L1629" s="9">
        <f t="shared" si="202"/>
        <v>0</v>
      </c>
      <c r="M1629">
        <v>0</v>
      </c>
      <c r="N1629">
        <v>0</v>
      </c>
      <c r="O1629">
        <v>0</v>
      </c>
      <c r="P1629" s="13" t="str">
        <f t="shared" si="203"/>
        <v>—</v>
      </c>
      <c r="Q1629">
        <f>ROUND(INDEX(Catalogue!E$4:E$85,MATCH(A1629,Catalogue!A$4:A$85,0))*(1+Paramètres!$B$4*(C1629-1)+Paramètres!$B$5*(C1629-1)^2),0)</f>
        <v>0</v>
      </c>
      <c r="R1629">
        <f>ROUND(INDEX(Catalogue!F$4:F$85,MATCH(A1629,Catalogue!A$4:A$85,0))*(1+Paramètres!$B$4*(C1629-1)+Paramètres!$B$5*(C1629-1)^2),0)</f>
        <v>0</v>
      </c>
      <c r="S1629">
        <f t="shared" si="204"/>
        <v>0</v>
      </c>
      <c r="T1629" t="str">
        <f t="shared" si="205"/>
        <v>OK</v>
      </c>
      <c r="U1629" s="25">
        <f t="shared" si="206"/>
        <v>0</v>
      </c>
      <c r="V1629" t="str">
        <f t="shared" si="207"/>
        <v>OK</v>
      </c>
    </row>
    <row r="1630" spans="1:22" ht="18" customHeight="1">
      <c r="A1630" t="s">
        <v>366</v>
      </c>
      <c r="B1630" t="s">
        <v>367</v>
      </c>
      <c r="C1630">
        <v>7</v>
      </c>
      <c r="D1630" t="s">
        <v>333</v>
      </c>
      <c r="E1630" s="6">
        <f t="shared" si="200"/>
        <v>0</v>
      </c>
      <c r="F1630" s="6">
        <f t="shared" si="201"/>
        <v>0</v>
      </c>
      <c r="G1630" s="6">
        <f>ROUND(Catalogue!G85*SQRT((1+Paramètres!$B$4*(C1630-1)+Paramètres!$B$5*(C1630-1)^2)),0)</f>
        <v>6</v>
      </c>
      <c r="H1630" s="6">
        <f>ROUND(Catalogue!H85*SQRT((1+Paramètres!$B$4*(C1630-1)+Paramètres!$B$5*(C1630-1)^2)),0)</f>
        <v>6</v>
      </c>
      <c r="I1630" s="6">
        <v>0</v>
      </c>
      <c r="J1630" s="6">
        <v>0</v>
      </c>
      <c r="K1630" s="7">
        <v>3.5</v>
      </c>
      <c r="L1630" s="9">
        <f t="shared" si="202"/>
        <v>0</v>
      </c>
      <c r="M1630">
        <v>0</v>
      </c>
      <c r="N1630">
        <v>0</v>
      </c>
      <c r="O1630">
        <v>0</v>
      </c>
      <c r="P1630" s="13" t="str">
        <f t="shared" si="203"/>
        <v>—</v>
      </c>
      <c r="Q1630">
        <f>ROUND(INDEX(Catalogue!E$4:E$85,MATCH(A1630,Catalogue!A$4:A$85,0))*(1+Paramètres!$B$4*(C1630-1)+Paramètres!$B$5*(C1630-1)^2),0)</f>
        <v>0</v>
      </c>
      <c r="R1630">
        <f>ROUND(INDEX(Catalogue!F$4:F$85,MATCH(A1630,Catalogue!A$4:A$85,0))*(1+Paramètres!$B$4*(C1630-1)+Paramètres!$B$5*(C1630-1)^2),0)</f>
        <v>0</v>
      </c>
      <c r="S1630">
        <f t="shared" si="204"/>
        <v>0</v>
      </c>
      <c r="T1630" t="str">
        <f t="shared" si="205"/>
        <v>OK</v>
      </c>
      <c r="U1630" s="25">
        <f t="shared" si="206"/>
        <v>0</v>
      </c>
      <c r="V1630" t="str">
        <f t="shared" si="207"/>
        <v>OK</v>
      </c>
    </row>
    <row r="1631" spans="1:22" ht="18" customHeight="1">
      <c r="A1631" t="s">
        <v>366</v>
      </c>
      <c r="B1631" t="s">
        <v>367</v>
      </c>
      <c r="C1631">
        <v>8</v>
      </c>
      <c r="D1631" t="s">
        <v>333</v>
      </c>
      <c r="E1631" s="6">
        <f t="shared" si="200"/>
        <v>0</v>
      </c>
      <c r="F1631" s="6">
        <f t="shared" si="201"/>
        <v>0</v>
      </c>
      <c r="G1631" s="6">
        <f>ROUND(Catalogue!G85*SQRT((1+Paramètres!$B$4*(C1631-1)+Paramètres!$B$5*(C1631-1)^2)),0)</f>
        <v>6</v>
      </c>
      <c r="H1631" s="6">
        <f>ROUND(Catalogue!H85*SQRT((1+Paramètres!$B$4*(C1631-1)+Paramètres!$B$5*(C1631-1)^2)),0)</f>
        <v>6</v>
      </c>
      <c r="I1631" s="6">
        <v>0</v>
      </c>
      <c r="J1631" s="6">
        <v>0</v>
      </c>
      <c r="K1631" s="7">
        <v>3.5</v>
      </c>
      <c r="L1631" s="9">
        <f t="shared" si="202"/>
        <v>0</v>
      </c>
      <c r="M1631">
        <v>0</v>
      </c>
      <c r="N1631">
        <v>0</v>
      </c>
      <c r="O1631">
        <v>0</v>
      </c>
      <c r="P1631" s="13" t="str">
        <f t="shared" si="203"/>
        <v>—</v>
      </c>
      <c r="Q1631">
        <f>ROUND(INDEX(Catalogue!E$4:E$85,MATCH(A1631,Catalogue!A$4:A$85,0))*(1+Paramètres!$B$4*(C1631-1)+Paramètres!$B$5*(C1631-1)^2),0)</f>
        <v>0</v>
      </c>
      <c r="R1631">
        <f>ROUND(INDEX(Catalogue!F$4:F$85,MATCH(A1631,Catalogue!A$4:A$85,0))*(1+Paramètres!$B$4*(C1631-1)+Paramètres!$B$5*(C1631-1)^2),0)</f>
        <v>0</v>
      </c>
      <c r="S1631">
        <f t="shared" si="204"/>
        <v>0</v>
      </c>
      <c r="T1631" t="str">
        <f t="shared" si="205"/>
        <v>OK</v>
      </c>
      <c r="U1631" s="25">
        <f t="shared" si="206"/>
        <v>0</v>
      </c>
      <c r="V1631" t="str">
        <f t="shared" si="207"/>
        <v>OK</v>
      </c>
    </row>
    <row r="1632" spans="1:22" ht="18" customHeight="1">
      <c r="A1632" t="s">
        <v>366</v>
      </c>
      <c r="B1632" t="s">
        <v>367</v>
      </c>
      <c r="C1632">
        <v>9</v>
      </c>
      <c r="D1632" t="s">
        <v>333</v>
      </c>
      <c r="E1632" s="6">
        <f t="shared" si="200"/>
        <v>0</v>
      </c>
      <c r="F1632" s="6">
        <f t="shared" si="201"/>
        <v>0</v>
      </c>
      <c r="G1632" s="6">
        <f>ROUND(Catalogue!G85*SQRT((1+Paramètres!$B$4*(C1632-1)+Paramètres!$B$5*(C1632-1)^2)),0)</f>
        <v>7</v>
      </c>
      <c r="H1632" s="6">
        <f>ROUND(Catalogue!H85*SQRT((1+Paramètres!$B$4*(C1632-1)+Paramètres!$B$5*(C1632-1)^2)),0)</f>
        <v>7</v>
      </c>
      <c r="I1632" s="6">
        <v>0</v>
      </c>
      <c r="J1632" s="6">
        <v>0</v>
      </c>
      <c r="K1632" s="7">
        <v>3.5</v>
      </c>
      <c r="L1632" s="9">
        <f t="shared" si="202"/>
        <v>0</v>
      </c>
      <c r="M1632">
        <v>0</v>
      </c>
      <c r="N1632">
        <v>0</v>
      </c>
      <c r="O1632">
        <v>0</v>
      </c>
      <c r="P1632" s="13" t="str">
        <f t="shared" si="203"/>
        <v>—</v>
      </c>
      <c r="Q1632">
        <f>ROUND(INDEX(Catalogue!E$4:E$85,MATCH(A1632,Catalogue!A$4:A$85,0))*(1+Paramètres!$B$4*(C1632-1)+Paramètres!$B$5*(C1632-1)^2),0)</f>
        <v>0</v>
      </c>
      <c r="R1632">
        <f>ROUND(INDEX(Catalogue!F$4:F$85,MATCH(A1632,Catalogue!A$4:A$85,0))*(1+Paramètres!$B$4*(C1632-1)+Paramètres!$B$5*(C1632-1)^2),0)</f>
        <v>0</v>
      </c>
      <c r="S1632">
        <f t="shared" si="204"/>
        <v>0</v>
      </c>
      <c r="T1632" t="str">
        <f t="shared" si="205"/>
        <v>OK</v>
      </c>
      <c r="U1632" s="25">
        <f t="shared" si="206"/>
        <v>0</v>
      </c>
      <c r="V1632" t="str">
        <f t="shared" si="207"/>
        <v>OK</v>
      </c>
    </row>
    <row r="1633" spans="1:22" ht="18" customHeight="1">
      <c r="A1633" t="s">
        <v>366</v>
      </c>
      <c r="B1633" t="s">
        <v>367</v>
      </c>
      <c r="C1633">
        <v>10</v>
      </c>
      <c r="D1633" t="s">
        <v>333</v>
      </c>
      <c r="E1633" s="6">
        <f t="shared" si="200"/>
        <v>0</v>
      </c>
      <c r="F1633" s="6">
        <f t="shared" si="201"/>
        <v>0</v>
      </c>
      <c r="G1633" s="6">
        <f>ROUND(Catalogue!G85*SQRT((1+Paramètres!$B$4*(C1633-1)+Paramètres!$B$5*(C1633-1)^2)),0)</f>
        <v>7</v>
      </c>
      <c r="H1633" s="6">
        <f>ROUND(Catalogue!H85*SQRT((1+Paramètres!$B$4*(C1633-1)+Paramètres!$B$5*(C1633-1)^2)),0)</f>
        <v>7</v>
      </c>
      <c r="I1633" s="6">
        <v>0</v>
      </c>
      <c r="J1633" s="6">
        <v>0</v>
      </c>
      <c r="K1633" s="7">
        <v>3.5</v>
      </c>
      <c r="L1633" s="9">
        <f t="shared" si="202"/>
        <v>0</v>
      </c>
      <c r="M1633">
        <v>0</v>
      </c>
      <c r="N1633">
        <v>0</v>
      </c>
      <c r="O1633">
        <v>0</v>
      </c>
      <c r="P1633" s="13" t="str">
        <f t="shared" si="203"/>
        <v>—</v>
      </c>
      <c r="Q1633">
        <f>ROUND(INDEX(Catalogue!E$4:E$85,MATCH(A1633,Catalogue!A$4:A$85,0))*(1+Paramètres!$B$4*(C1633-1)+Paramètres!$B$5*(C1633-1)^2),0)</f>
        <v>0</v>
      </c>
      <c r="R1633">
        <f>ROUND(INDEX(Catalogue!F$4:F$85,MATCH(A1633,Catalogue!A$4:A$85,0))*(1+Paramètres!$B$4*(C1633-1)+Paramètres!$B$5*(C1633-1)^2),0)</f>
        <v>0</v>
      </c>
      <c r="S1633">
        <f t="shared" si="204"/>
        <v>0</v>
      </c>
      <c r="T1633" t="str">
        <f t="shared" si="205"/>
        <v>OK</v>
      </c>
      <c r="U1633" s="25">
        <f t="shared" si="206"/>
        <v>0</v>
      </c>
      <c r="V1633" t="str">
        <f t="shared" si="207"/>
        <v>OK</v>
      </c>
    </row>
    <row r="1634" spans="1:22" ht="18" customHeight="1">
      <c r="A1634" t="s">
        <v>366</v>
      </c>
      <c r="B1634" t="s">
        <v>367</v>
      </c>
      <c r="C1634">
        <v>11</v>
      </c>
      <c r="D1634" t="s">
        <v>333</v>
      </c>
      <c r="E1634" s="6">
        <f t="shared" si="200"/>
        <v>0</v>
      </c>
      <c r="F1634" s="6">
        <f t="shared" si="201"/>
        <v>0</v>
      </c>
      <c r="G1634" s="6">
        <f>ROUND(Catalogue!G85*SQRT((1+Paramètres!$B$4*(C1634-1)+Paramètres!$B$5*(C1634-1)^2)),0)</f>
        <v>8</v>
      </c>
      <c r="H1634" s="6">
        <f>ROUND(Catalogue!H85*SQRT((1+Paramètres!$B$4*(C1634-1)+Paramètres!$B$5*(C1634-1)^2)),0)</f>
        <v>8</v>
      </c>
      <c r="I1634" s="6">
        <v>0</v>
      </c>
      <c r="J1634" s="6">
        <v>0</v>
      </c>
      <c r="K1634" s="7">
        <v>3.5</v>
      </c>
      <c r="L1634" s="9">
        <f t="shared" si="202"/>
        <v>0</v>
      </c>
      <c r="M1634">
        <v>0</v>
      </c>
      <c r="N1634">
        <v>0</v>
      </c>
      <c r="O1634">
        <v>0</v>
      </c>
      <c r="P1634" s="13" t="str">
        <f t="shared" si="203"/>
        <v>—</v>
      </c>
      <c r="Q1634">
        <f>ROUND(INDEX(Catalogue!E$4:E$85,MATCH(A1634,Catalogue!A$4:A$85,0))*(1+Paramètres!$B$4*(C1634-1)+Paramètres!$B$5*(C1634-1)^2),0)</f>
        <v>0</v>
      </c>
      <c r="R1634">
        <f>ROUND(INDEX(Catalogue!F$4:F$85,MATCH(A1634,Catalogue!A$4:A$85,0))*(1+Paramètres!$B$4*(C1634-1)+Paramètres!$B$5*(C1634-1)^2),0)</f>
        <v>0</v>
      </c>
      <c r="S1634">
        <f t="shared" si="204"/>
        <v>0</v>
      </c>
      <c r="T1634" t="str">
        <f t="shared" si="205"/>
        <v>OK</v>
      </c>
      <c r="U1634" s="25">
        <f t="shared" si="206"/>
        <v>0</v>
      </c>
      <c r="V1634" t="str">
        <f t="shared" si="207"/>
        <v>OK</v>
      </c>
    </row>
    <row r="1635" spans="1:22" ht="18" customHeight="1">
      <c r="A1635" t="s">
        <v>366</v>
      </c>
      <c r="B1635" t="s">
        <v>367</v>
      </c>
      <c r="C1635">
        <v>12</v>
      </c>
      <c r="D1635" t="s">
        <v>333</v>
      </c>
      <c r="E1635" s="6">
        <f t="shared" si="200"/>
        <v>0</v>
      </c>
      <c r="F1635" s="6">
        <f t="shared" si="201"/>
        <v>0</v>
      </c>
      <c r="G1635" s="6">
        <f>ROUND(Catalogue!G85*SQRT((1+Paramètres!$B$4*(C1635-1)+Paramètres!$B$5*(C1635-1)^2)),0)</f>
        <v>8</v>
      </c>
      <c r="H1635" s="6">
        <f>ROUND(Catalogue!H85*SQRT((1+Paramètres!$B$4*(C1635-1)+Paramètres!$B$5*(C1635-1)^2)),0)</f>
        <v>8</v>
      </c>
      <c r="I1635" s="6">
        <v>0</v>
      </c>
      <c r="J1635" s="6">
        <v>0</v>
      </c>
      <c r="K1635" s="7">
        <v>3.5</v>
      </c>
      <c r="L1635" s="9">
        <f t="shared" si="202"/>
        <v>0</v>
      </c>
      <c r="M1635">
        <v>0</v>
      </c>
      <c r="N1635">
        <v>0</v>
      </c>
      <c r="O1635">
        <v>0</v>
      </c>
      <c r="P1635" s="13" t="str">
        <f t="shared" si="203"/>
        <v>—</v>
      </c>
      <c r="Q1635">
        <f>ROUND(INDEX(Catalogue!E$4:E$85,MATCH(A1635,Catalogue!A$4:A$85,0))*(1+Paramètres!$B$4*(C1635-1)+Paramètres!$B$5*(C1635-1)^2),0)</f>
        <v>0</v>
      </c>
      <c r="R1635">
        <f>ROUND(INDEX(Catalogue!F$4:F$85,MATCH(A1635,Catalogue!A$4:A$85,0))*(1+Paramètres!$B$4*(C1635-1)+Paramètres!$B$5*(C1635-1)^2),0)</f>
        <v>0</v>
      </c>
      <c r="S1635">
        <f t="shared" si="204"/>
        <v>0</v>
      </c>
      <c r="T1635" t="str">
        <f t="shared" si="205"/>
        <v>OK</v>
      </c>
      <c r="U1635" s="25">
        <f t="shared" si="206"/>
        <v>0</v>
      </c>
      <c r="V1635" t="str">
        <f t="shared" si="207"/>
        <v>OK</v>
      </c>
    </row>
    <row r="1636" spans="1:22" ht="18" customHeight="1">
      <c r="A1636" t="s">
        <v>366</v>
      </c>
      <c r="B1636" t="s">
        <v>367</v>
      </c>
      <c r="C1636">
        <v>13</v>
      </c>
      <c r="D1636" t="s">
        <v>333</v>
      </c>
      <c r="E1636" s="6">
        <f t="shared" si="200"/>
        <v>0</v>
      </c>
      <c r="F1636" s="6">
        <f t="shared" si="201"/>
        <v>0</v>
      </c>
      <c r="G1636" s="6">
        <f>ROUND(Catalogue!G85*SQRT((1+Paramètres!$B$4*(C1636-1)+Paramètres!$B$5*(C1636-1)^2)),0)</f>
        <v>9</v>
      </c>
      <c r="H1636" s="6">
        <f>ROUND(Catalogue!H85*SQRT((1+Paramètres!$B$4*(C1636-1)+Paramètres!$B$5*(C1636-1)^2)),0)</f>
        <v>9</v>
      </c>
      <c r="I1636" s="6">
        <v>0</v>
      </c>
      <c r="J1636" s="6">
        <v>0</v>
      </c>
      <c r="K1636" s="7">
        <v>3.5</v>
      </c>
      <c r="L1636" s="9">
        <f t="shared" si="202"/>
        <v>0</v>
      </c>
      <c r="M1636">
        <v>0</v>
      </c>
      <c r="N1636">
        <v>0</v>
      </c>
      <c r="O1636">
        <v>0</v>
      </c>
      <c r="P1636" s="13" t="str">
        <f t="shared" si="203"/>
        <v>—</v>
      </c>
      <c r="Q1636">
        <f>ROUND(INDEX(Catalogue!E$4:E$85,MATCH(A1636,Catalogue!A$4:A$85,0))*(1+Paramètres!$B$4*(C1636-1)+Paramètres!$B$5*(C1636-1)^2),0)</f>
        <v>0</v>
      </c>
      <c r="R1636">
        <f>ROUND(INDEX(Catalogue!F$4:F$85,MATCH(A1636,Catalogue!A$4:A$85,0))*(1+Paramètres!$B$4*(C1636-1)+Paramètres!$B$5*(C1636-1)^2),0)</f>
        <v>0</v>
      </c>
      <c r="S1636">
        <f t="shared" si="204"/>
        <v>0</v>
      </c>
      <c r="T1636" t="str">
        <f t="shared" si="205"/>
        <v>OK</v>
      </c>
      <c r="U1636" s="25">
        <f t="shared" si="206"/>
        <v>0</v>
      </c>
      <c r="V1636" t="str">
        <f t="shared" si="207"/>
        <v>OK</v>
      </c>
    </row>
    <row r="1637" spans="1:22" ht="18" customHeight="1">
      <c r="A1637" t="s">
        <v>366</v>
      </c>
      <c r="B1637" t="s">
        <v>367</v>
      </c>
      <c r="C1637">
        <v>14</v>
      </c>
      <c r="D1637" t="s">
        <v>333</v>
      </c>
      <c r="E1637" s="6">
        <f t="shared" si="200"/>
        <v>0</v>
      </c>
      <c r="F1637" s="6">
        <f t="shared" si="201"/>
        <v>0</v>
      </c>
      <c r="G1637" s="6">
        <f>ROUND(Catalogue!G85*SQRT((1+Paramètres!$B$4*(C1637-1)+Paramètres!$B$5*(C1637-1)^2)),0)</f>
        <v>9</v>
      </c>
      <c r="H1637" s="6">
        <f>ROUND(Catalogue!H85*SQRT((1+Paramètres!$B$4*(C1637-1)+Paramètres!$B$5*(C1637-1)^2)),0)</f>
        <v>9</v>
      </c>
      <c r="I1637" s="6">
        <v>0</v>
      </c>
      <c r="J1637" s="6">
        <v>0</v>
      </c>
      <c r="K1637" s="7">
        <v>3.5</v>
      </c>
      <c r="L1637" s="9">
        <f t="shared" si="202"/>
        <v>0</v>
      </c>
      <c r="M1637">
        <v>0</v>
      </c>
      <c r="N1637">
        <v>0</v>
      </c>
      <c r="O1637">
        <v>0</v>
      </c>
      <c r="P1637" s="13" t="str">
        <f t="shared" si="203"/>
        <v>—</v>
      </c>
      <c r="Q1637">
        <f>ROUND(INDEX(Catalogue!E$4:E$85,MATCH(A1637,Catalogue!A$4:A$85,0))*(1+Paramètres!$B$4*(C1637-1)+Paramètres!$B$5*(C1637-1)^2),0)</f>
        <v>0</v>
      </c>
      <c r="R1637">
        <f>ROUND(INDEX(Catalogue!F$4:F$85,MATCH(A1637,Catalogue!A$4:A$85,0))*(1+Paramètres!$B$4*(C1637-1)+Paramètres!$B$5*(C1637-1)^2),0)</f>
        <v>0</v>
      </c>
      <c r="S1637">
        <f t="shared" si="204"/>
        <v>0</v>
      </c>
      <c r="T1637" t="str">
        <f t="shared" si="205"/>
        <v>OK</v>
      </c>
      <c r="U1637" s="25">
        <f t="shared" si="206"/>
        <v>0</v>
      </c>
      <c r="V1637" t="str">
        <f t="shared" si="207"/>
        <v>OK</v>
      </c>
    </row>
    <row r="1638" spans="1:22" ht="18" customHeight="1">
      <c r="A1638" t="s">
        <v>366</v>
      </c>
      <c r="B1638" t="s">
        <v>367</v>
      </c>
      <c r="C1638">
        <v>15</v>
      </c>
      <c r="D1638" t="s">
        <v>333</v>
      </c>
      <c r="E1638" s="6">
        <f t="shared" si="200"/>
        <v>0</v>
      </c>
      <c r="F1638" s="6">
        <f t="shared" si="201"/>
        <v>0</v>
      </c>
      <c r="G1638" s="6">
        <f>ROUND(Catalogue!G85*SQRT((1+Paramètres!$B$4*(C1638-1)+Paramètres!$B$5*(C1638-1)^2)),0)</f>
        <v>10</v>
      </c>
      <c r="H1638" s="6">
        <f>ROUND(Catalogue!H85*SQRT((1+Paramètres!$B$4*(C1638-1)+Paramètres!$B$5*(C1638-1)^2)),0)</f>
        <v>10</v>
      </c>
      <c r="I1638" s="6">
        <v>0</v>
      </c>
      <c r="J1638" s="6">
        <v>0</v>
      </c>
      <c r="K1638" s="7">
        <v>3.5</v>
      </c>
      <c r="L1638" s="9">
        <f t="shared" si="202"/>
        <v>0</v>
      </c>
      <c r="M1638">
        <v>0</v>
      </c>
      <c r="N1638">
        <v>0</v>
      </c>
      <c r="O1638">
        <v>0</v>
      </c>
      <c r="P1638" s="13" t="str">
        <f t="shared" si="203"/>
        <v>—</v>
      </c>
      <c r="Q1638">
        <f>ROUND(INDEX(Catalogue!E$4:E$85,MATCH(A1638,Catalogue!A$4:A$85,0))*(1+Paramètres!$B$4*(C1638-1)+Paramètres!$B$5*(C1638-1)^2),0)</f>
        <v>0</v>
      </c>
      <c r="R1638">
        <f>ROUND(INDEX(Catalogue!F$4:F$85,MATCH(A1638,Catalogue!A$4:A$85,0))*(1+Paramètres!$B$4*(C1638-1)+Paramètres!$B$5*(C1638-1)^2),0)</f>
        <v>0</v>
      </c>
      <c r="S1638">
        <f t="shared" si="204"/>
        <v>0</v>
      </c>
      <c r="T1638" t="str">
        <f t="shared" si="205"/>
        <v>OK</v>
      </c>
      <c r="U1638" s="25">
        <f t="shared" si="206"/>
        <v>0</v>
      </c>
      <c r="V1638" t="str">
        <f t="shared" si="207"/>
        <v>OK</v>
      </c>
    </row>
    <row r="1639" spans="1:22" ht="18" customHeight="1">
      <c r="A1639" t="s">
        <v>366</v>
      </c>
      <c r="B1639" t="s">
        <v>367</v>
      </c>
      <c r="C1639">
        <v>16</v>
      </c>
      <c r="D1639" t="s">
        <v>333</v>
      </c>
      <c r="E1639" s="6">
        <f t="shared" si="200"/>
        <v>0</v>
      </c>
      <c r="F1639" s="6">
        <f t="shared" si="201"/>
        <v>0</v>
      </c>
      <c r="G1639" s="6">
        <f>ROUND(Catalogue!G85*SQRT((1+Paramètres!$B$4*(C1639-1)+Paramètres!$B$5*(C1639-1)^2)),0)</f>
        <v>10</v>
      </c>
      <c r="H1639" s="6">
        <f>ROUND(Catalogue!H85*SQRT((1+Paramètres!$B$4*(C1639-1)+Paramètres!$B$5*(C1639-1)^2)),0)</f>
        <v>10</v>
      </c>
      <c r="I1639" s="6">
        <v>0</v>
      </c>
      <c r="J1639" s="6">
        <v>0</v>
      </c>
      <c r="K1639" s="7">
        <v>3.5</v>
      </c>
      <c r="L1639" s="9">
        <f t="shared" si="202"/>
        <v>0</v>
      </c>
      <c r="M1639">
        <v>0</v>
      </c>
      <c r="N1639">
        <v>0</v>
      </c>
      <c r="O1639">
        <v>0</v>
      </c>
      <c r="P1639" s="13" t="str">
        <f t="shared" si="203"/>
        <v>—</v>
      </c>
      <c r="Q1639">
        <f>ROUND(INDEX(Catalogue!E$4:E$85,MATCH(A1639,Catalogue!A$4:A$85,0))*(1+Paramètres!$B$4*(C1639-1)+Paramètres!$B$5*(C1639-1)^2),0)</f>
        <v>0</v>
      </c>
      <c r="R1639">
        <f>ROUND(INDEX(Catalogue!F$4:F$85,MATCH(A1639,Catalogue!A$4:A$85,0))*(1+Paramètres!$B$4*(C1639-1)+Paramètres!$B$5*(C1639-1)^2),0)</f>
        <v>0</v>
      </c>
      <c r="S1639">
        <f t="shared" si="204"/>
        <v>0</v>
      </c>
      <c r="T1639" t="str">
        <f t="shared" si="205"/>
        <v>OK</v>
      </c>
      <c r="U1639" s="25">
        <f t="shared" si="206"/>
        <v>0</v>
      </c>
      <c r="V1639" t="str">
        <f t="shared" si="207"/>
        <v>OK</v>
      </c>
    </row>
    <row r="1640" spans="1:22" ht="18" customHeight="1">
      <c r="A1640" t="s">
        <v>366</v>
      </c>
      <c r="B1640" t="s">
        <v>367</v>
      </c>
      <c r="C1640">
        <v>17</v>
      </c>
      <c r="D1640" t="s">
        <v>333</v>
      </c>
      <c r="E1640" s="6">
        <f t="shared" si="200"/>
        <v>0</v>
      </c>
      <c r="F1640" s="6">
        <f t="shared" si="201"/>
        <v>0</v>
      </c>
      <c r="G1640" s="6">
        <f>ROUND(Catalogue!G85*SQRT((1+Paramètres!$B$4*(C1640-1)+Paramètres!$B$5*(C1640-1)^2)),0)</f>
        <v>10</v>
      </c>
      <c r="H1640" s="6">
        <f>ROUND(Catalogue!H85*SQRT((1+Paramètres!$B$4*(C1640-1)+Paramètres!$B$5*(C1640-1)^2)),0)</f>
        <v>10</v>
      </c>
      <c r="I1640" s="6">
        <v>0</v>
      </c>
      <c r="J1640" s="6">
        <v>0</v>
      </c>
      <c r="K1640" s="7">
        <v>3.5</v>
      </c>
      <c r="L1640" s="9">
        <f t="shared" si="202"/>
        <v>0</v>
      </c>
      <c r="M1640">
        <v>0</v>
      </c>
      <c r="N1640">
        <v>0</v>
      </c>
      <c r="O1640">
        <v>0</v>
      </c>
      <c r="P1640" s="13" t="str">
        <f t="shared" si="203"/>
        <v>—</v>
      </c>
      <c r="Q1640">
        <f>ROUND(INDEX(Catalogue!E$4:E$85,MATCH(A1640,Catalogue!A$4:A$85,0))*(1+Paramètres!$B$4*(C1640-1)+Paramètres!$B$5*(C1640-1)^2),0)</f>
        <v>0</v>
      </c>
      <c r="R1640">
        <f>ROUND(INDEX(Catalogue!F$4:F$85,MATCH(A1640,Catalogue!A$4:A$85,0))*(1+Paramètres!$B$4*(C1640-1)+Paramètres!$B$5*(C1640-1)^2),0)</f>
        <v>0</v>
      </c>
      <c r="S1640">
        <f t="shared" si="204"/>
        <v>0</v>
      </c>
      <c r="T1640" t="str">
        <f t="shared" si="205"/>
        <v>OK</v>
      </c>
      <c r="U1640" s="25">
        <f t="shared" si="206"/>
        <v>0</v>
      </c>
      <c r="V1640" t="str">
        <f t="shared" si="207"/>
        <v>OK</v>
      </c>
    </row>
    <row r="1641" spans="1:22" ht="18" customHeight="1">
      <c r="A1641" t="s">
        <v>366</v>
      </c>
      <c r="B1641" t="s">
        <v>367</v>
      </c>
      <c r="C1641">
        <v>18</v>
      </c>
      <c r="D1641" t="s">
        <v>333</v>
      </c>
      <c r="E1641" s="6">
        <f t="shared" si="200"/>
        <v>0</v>
      </c>
      <c r="F1641" s="6">
        <f t="shared" si="201"/>
        <v>0</v>
      </c>
      <c r="G1641" s="6">
        <f>ROUND(Catalogue!G85*SQRT((1+Paramètres!$B$4*(C1641-1)+Paramètres!$B$5*(C1641-1)^2)),0)</f>
        <v>11</v>
      </c>
      <c r="H1641" s="6">
        <f>ROUND(Catalogue!H85*SQRT((1+Paramètres!$B$4*(C1641-1)+Paramètres!$B$5*(C1641-1)^2)),0)</f>
        <v>11</v>
      </c>
      <c r="I1641" s="6">
        <v>0</v>
      </c>
      <c r="J1641" s="6">
        <v>0</v>
      </c>
      <c r="K1641" s="7">
        <v>3.5</v>
      </c>
      <c r="L1641" s="9">
        <f t="shared" si="202"/>
        <v>0</v>
      </c>
      <c r="M1641">
        <v>0</v>
      </c>
      <c r="N1641">
        <v>0</v>
      </c>
      <c r="O1641">
        <v>0</v>
      </c>
      <c r="P1641" s="13" t="str">
        <f t="shared" si="203"/>
        <v>—</v>
      </c>
      <c r="Q1641">
        <f>ROUND(INDEX(Catalogue!E$4:E$85,MATCH(A1641,Catalogue!A$4:A$85,0))*(1+Paramètres!$B$4*(C1641-1)+Paramètres!$B$5*(C1641-1)^2),0)</f>
        <v>0</v>
      </c>
      <c r="R1641">
        <f>ROUND(INDEX(Catalogue!F$4:F$85,MATCH(A1641,Catalogue!A$4:A$85,0))*(1+Paramètres!$B$4*(C1641-1)+Paramètres!$B$5*(C1641-1)^2),0)</f>
        <v>0</v>
      </c>
      <c r="S1641">
        <f t="shared" si="204"/>
        <v>0</v>
      </c>
      <c r="T1641" t="str">
        <f t="shared" si="205"/>
        <v>OK</v>
      </c>
      <c r="U1641" s="25">
        <f t="shared" si="206"/>
        <v>0</v>
      </c>
      <c r="V1641" t="str">
        <f t="shared" si="207"/>
        <v>OK</v>
      </c>
    </row>
    <row r="1642" spans="1:22" ht="18" customHeight="1">
      <c r="A1642" t="s">
        <v>366</v>
      </c>
      <c r="B1642" t="s">
        <v>367</v>
      </c>
      <c r="C1642">
        <v>19</v>
      </c>
      <c r="D1642" t="s">
        <v>333</v>
      </c>
      <c r="E1642" s="6">
        <f t="shared" si="200"/>
        <v>0</v>
      </c>
      <c r="F1642" s="6">
        <f t="shared" si="201"/>
        <v>0</v>
      </c>
      <c r="G1642" s="6">
        <f>ROUND(Catalogue!G85*SQRT((1+Paramètres!$B$4*(C1642-1)+Paramètres!$B$5*(C1642-1)^2)),0)</f>
        <v>11</v>
      </c>
      <c r="H1642" s="6">
        <f>ROUND(Catalogue!H85*SQRT((1+Paramètres!$B$4*(C1642-1)+Paramètres!$B$5*(C1642-1)^2)),0)</f>
        <v>11</v>
      </c>
      <c r="I1642" s="6">
        <v>0</v>
      </c>
      <c r="J1642" s="6">
        <v>0</v>
      </c>
      <c r="K1642" s="7">
        <v>3.5</v>
      </c>
      <c r="L1642" s="9">
        <f t="shared" si="202"/>
        <v>0</v>
      </c>
      <c r="M1642">
        <v>0</v>
      </c>
      <c r="N1642">
        <v>0</v>
      </c>
      <c r="O1642">
        <v>0</v>
      </c>
      <c r="P1642" s="13" t="str">
        <f t="shared" si="203"/>
        <v>—</v>
      </c>
      <c r="Q1642">
        <f>ROUND(INDEX(Catalogue!E$4:E$85,MATCH(A1642,Catalogue!A$4:A$85,0))*(1+Paramètres!$B$4*(C1642-1)+Paramètres!$B$5*(C1642-1)^2),0)</f>
        <v>0</v>
      </c>
      <c r="R1642">
        <f>ROUND(INDEX(Catalogue!F$4:F$85,MATCH(A1642,Catalogue!A$4:A$85,0))*(1+Paramètres!$B$4*(C1642-1)+Paramètres!$B$5*(C1642-1)^2),0)</f>
        <v>0</v>
      </c>
      <c r="S1642">
        <f t="shared" si="204"/>
        <v>0</v>
      </c>
      <c r="T1642" t="str">
        <f t="shared" si="205"/>
        <v>OK</v>
      </c>
      <c r="U1642" s="25">
        <f t="shared" si="206"/>
        <v>0</v>
      </c>
      <c r="V1642" t="str">
        <f t="shared" si="207"/>
        <v>OK</v>
      </c>
    </row>
    <row r="1643" spans="1:22" ht="18" customHeight="1">
      <c r="A1643" t="s">
        <v>366</v>
      </c>
      <c r="B1643" t="s">
        <v>367</v>
      </c>
      <c r="C1643">
        <v>20</v>
      </c>
      <c r="D1643" t="s">
        <v>333</v>
      </c>
      <c r="E1643" s="6">
        <f t="shared" si="200"/>
        <v>0</v>
      </c>
      <c r="F1643" s="6">
        <f t="shared" si="201"/>
        <v>0</v>
      </c>
      <c r="G1643" s="6">
        <f>ROUND(Catalogue!G85*SQRT((1+Paramètres!$B$4*(C1643-1)+Paramètres!$B$5*(C1643-1)^2)),0)</f>
        <v>12</v>
      </c>
      <c r="H1643" s="6">
        <f>ROUND(Catalogue!H85*SQRT((1+Paramètres!$B$4*(C1643-1)+Paramètres!$B$5*(C1643-1)^2)),0)</f>
        <v>12</v>
      </c>
      <c r="I1643" s="6">
        <v>0</v>
      </c>
      <c r="J1643" s="6">
        <v>0</v>
      </c>
      <c r="K1643" s="7">
        <v>3.5</v>
      </c>
      <c r="L1643" s="9">
        <f t="shared" si="202"/>
        <v>0</v>
      </c>
      <c r="M1643">
        <v>0</v>
      </c>
      <c r="N1643">
        <v>0</v>
      </c>
      <c r="O1643">
        <v>0</v>
      </c>
      <c r="P1643" s="13" t="str">
        <f t="shared" si="203"/>
        <v>—</v>
      </c>
      <c r="Q1643">
        <f>ROUND(INDEX(Catalogue!E$4:E$85,MATCH(A1643,Catalogue!A$4:A$85,0))*(1+Paramètres!$B$4*(C1643-1)+Paramètres!$B$5*(C1643-1)^2),0)</f>
        <v>0</v>
      </c>
      <c r="R1643">
        <f>ROUND(INDEX(Catalogue!F$4:F$85,MATCH(A1643,Catalogue!A$4:A$85,0))*(1+Paramètres!$B$4*(C1643-1)+Paramètres!$B$5*(C1643-1)^2),0)</f>
        <v>0</v>
      </c>
      <c r="S1643">
        <f t="shared" si="204"/>
        <v>0</v>
      </c>
      <c r="T1643" t="str">
        <f t="shared" si="205"/>
        <v>OK</v>
      </c>
      <c r="U1643" s="25">
        <f t="shared" si="206"/>
        <v>0</v>
      </c>
      <c r="V1643" t="str">
        <f t="shared" si="207"/>
        <v>OK</v>
      </c>
    </row>
  </sheetData>
  <mergeCells count="2">
    <mergeCell ref="A1:L1"/>
    <mergeCell ref="A2:L2"/>
  </mergeCells>
  <conditionalFormatting sqref="T4:T1643">
    <cfRule type="expression" dxfId="1" priority="1">
      <formula>T4="ERREUR"</formula>
    </cfRule>
  </conditionalFormatting>
  <conditionalFormatting sqref="V4:V1643">
    <cfRule type="expression" dxfId="0" priority="2">
      <formula>V4="ERREUR"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>
      <selection sqref="A1:H1"/>
    </sheetView>
  </sheetViews>
  <sheetFormatPr baseColWidth="10" defaultColWidth="9" defaultRowHeight="14.25"/>
  <cols>
    <col min="1" max="2" width="20" customWidth="1"/>
    <col min="3" max="3" width="21" customWidth="1"/>
    <col min="4" max="4" width="16" customWidth="1"/>
    <col min="5" max="5" width="17" customWidth="1"/>
    <col min="6" max="6" width="20" customWidth="1"/>
    <col min="7" max="7" width="22" customWidth="1"/>
    <col min="8" max="8" width="58" customWidth="1"/>
  </cols>
  <sheetData>
    <row r="1" spans="1:8" ht="35.1" customHeight="1">
      <c r="A1" s="26" t="s">
        <v>390</v>
      </c>
      <c r="B1" s="26"/>
      <c r="C1" s="26"/>
      <c r="D1" s="26"/>
      <c r="E1" s="26"/>
      <c r="F1" s="26"/>
      <c r="G1" s="26"/>
      <c r="H1" s="26"/>
    </row>
    <row r="2" spans="1:8" ht="26.1" customHeight="1">
      <c r="A2" s="27" t="s">
        <v>391</v>
      </c>
      <c r="B2" s="27"/>
      <c r="C2" s="27"/>
      <c r="D2" s="27"/>
      <c r="E2" s="27"/>
      <c r="F2" s="27"/>
      <c r="G2" s="27"/>
      <c r="H2" s="27"/>
    </row>
    <row r="3" spans="1:8" ht="30" customHeight="1">
      <c r="A3" s="3" t="s">
        <v>392</v>
      </c>
      <c r="B3" s="3" t="s">
        <v>393</v>
      </c>
      <c r="C3" s="3" t="s">
        <v>394</v>
      </c>
      <c r="D3" s="3" t="s">
        <v>395</v>
      </c>
      <c r="E3" s="3" t="s">
        <v>396</v>
      </c>
      <c r="F3" s="3" t="s">
        <v>397</v>
      </c>
      <c r="G3" s="3" t="s">
        <v>398</v>
      </c>
      <c r="H3" s="3" t="s">
        <v>399</v>
      </c>
    </row>
    <row r="4" spans="1:8" ht="30" customHeight="1">
      <c r="A4" s="19" t="s">
        <v>400</v>
      </c>
      <c r="B4" s="19" t="s">
        <v>401</v>
      </c>
      <c r="C4" s="8">
        <v>1</v>
      </c>
      <c r="D4">
        <v>0</v>
      </c>
      <c r="E4">
        <v>0</v>
      </c>
      <c r="F4" s="2" t="s">
        <v>402</v>
      </c>
      <c r="G4" s="2" t="s">
        <v>403</v>
      </c>
      <c r="H4" s="2" t="s">
        <v>404</v>
      </c>
    </row>
    <row r="5" spans="1:8" ht="30" customHeight="1">
      <c r="A5" s="20" t="s">
        <v>405</v>
      </c>
      <c r="B5" s="20" t="s">
        <v>406</v>
      </c>
      <c r="C5" s="8">
        <v>1</v>
      </c>
      <c r="D5">
        <v>1</v>
      </c>
      <c r="E5">
        <v>1</v>
      </c>
      <c r="F5" s="2" t="s">
        <v>407</v>
      </c>
      <c r="G5" s="2" t="s">
        <v>408</v>
      </c>
      <c r="H5" s="2" t="s">
        <v>409</v>
      </c>
    </row>
    <row r="6" spans="1:8" ht="30" customHeight="1">
      <c r="A6" s="21" t="s">
        <v>410</v>
      </c>
      <c r="B6" s="21" t="s">
        <v>411</v>
      </c>
      <c r="C6" s="8">
        <v>1</v>
      </c>
      <c r="D6">
        <v>2</v>
      </c>
      <c r="E6">
        <v>1</v>
      </c>
      <c r="F6" s="2" t="s">
        <v>412</v>
      </c>
      <c r="G6" s="2" t="s">
        <v>413</v>
      </c>
      <c r="H6" s="2" t="s">
        <v>414</v>
      </c>
    </row>
    <row r="7" spans="1:8" ht="30" customHeight="1">
      <c r="A7" s="22" t="s">
        <v>415</v>
      </c>
      <c r="B7" s="22" t="s">
        <v>416</v>
      </c>
      <c r="C7" s="8">
        <v>1</v>
      </c>
      <c r="D7">
        <v>3</v>
      </c>
      <c r="E7">
        <v>2</v>
      </c>
      <c r="F7" s="2" t="s">
        <v>417</v>
      </c>
      <c r="G7" s="2" t="s">
        <v>418</v>
      </c>
      <c r="H7" s="2" t="s">
        <v>419</v>
      </c>
    </row>
    <row r="8" spans="1:8" ht="30" customHeight="1">
      <c r="A8" s="23" t="s">
        <v>420</v>
      </c>
      <c r="B8" s="23" t="s">
        <v>421</v>
      </c>
      <c r="C8" s="8">
        <v>1</v>
      </c>
      <c r="D8">
        <v>0</v>
      </c>
      <c r="E8">
        <v>0</v>
      </c>
      <c r="F8" s="2" t="s">
        <v>422</v>
      </c>
      <c r="G8" s="2" t="s">
        <v>423</v>
      </c>
      <c r="H8" s="2" t="s">
        <v>424</v>
      </c>
    </row>
    <row r="11" spans="1:8">
      <c r="A11" t="s">
        <v>425</v>
      </c>
    </row>
    <row r="12" spans="1:8">
      <c r="A12" t="s">
        <v>426</v>
      </c>
      <c r="B12" t="s">
        <v>427</v>
      </c>
    </row>
    <row r="13" spans="1:8">
      <c r="A13" t="s">
        <v>428</v>
      </c>
      <c r="B13" t="s">
        <v>429</v>
      </c>
    </row>
    <row r="14" spans="1:8">
      <c r="A14" t="s">
        <v>430</v>
      </c>
      <c r="B14" t="s">
        <v>431</v>
      </c>
    </row>
    <row r="15" spans="1:8">
      <c r="A15" t="s">
        <v>432</v>
      </c>
      <c r="B15" t="s">
        <v>433</v>
      </c>
    </row>
    <row r="16" spans="1:8">
      <c r="A16" t="s">
        <v>434</v>
      </c>
      <c r="B16" t="s">
        <v>435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>
      <pane ySplit="3" topLeftCell="A4" activePane="bottomLeft" state="frozen"/>
      <selection pane="bottomLeft" sqref="A1:G1"/>
    </sheetView>
  </sheetViews>
  <sheetFormatPr baseColWidth="10" defaultColWidth="9" defaultRowHeight="14.25"/>
  <cols>
    <col min="1" max="1" width="15" customWidth="1"/>
    <col min="2" max="2" width="47" customWidth="1"/>
    <col min="3" max="3" width="63" customWidth="1"/>
    <col min="4" max="4" width="45" customWidth="1"/>
    <col min="5" max="5" width="33" customWidth="1"/>
    <col min="6" max="6" width="28" customWidth="1"/>
    <col min="7" max="7" width="49" customWidth="1"/>
  </cols>
  <sheetData>
    <row r="1" spans="1:7" ht="35.1" customHeight="1">
      <c r="A1" s="26" t="s">
        <v>436</v>
      </c>
      <c r="B1" s="26"/>
      <c r="C1" s="26"/>
      <c r="D1" s="26"/>
      <c r="E1" s="26"/>
      <c r="F1" s="26"/>
      <c r="G1" s="26"/>
    </row>
    <row r="2" spans="1:7" ht="26.1" customHeight="1">
      <c r="A2" s="27" t="s">
        <v>437</v>
      </c>
      <c r="B2" s="27"/>
      <c r="C2" s="27"/>
      <c r="D2" s="27"/>
      <c r="E2" s="27"/>
      <c r="F2" s="27"/>
      <c r="G2" s="27"/>
    </row>
    <row r="3" spans="1:7" ht="30" customHeight="1">
      <c r="A3" s="3" t="s">
        <v>438</v>
      </c>
      <c r="B3" s="3" t="s">
        <v>439</v>
      </c>
      <c r="C3" s="3" t="s">
        <v>440</v>
      </c>
      <c r="D3" s="3" t="s">
        <v>441</v>
      </c>
      <c r="E3" s="3" t="s">
        <v>442</v>
      </c>
      <c r="F3" s="3" t="s">
        <v>443</v>
      </c>
      <c r="G3" s="3" t="s">
        <v>444</v>
      </c>
    </row>
    <row r="4" spans="1:7" ht="54.95" customHeight="1">
      <c r="A4" s="2" t="s">
        <v>125</v>
      </c>
      <c r="B4" s="2" t="s">
        <v>445</v>
      </c>
      <c r="C4" s="2" t="s">
        <v>446</v>
      </c>
      <c r="D4" s="2" t="s">
        <v>447</v>
      </c>
      <c r="E4" s="2" t="s">
        <v>448</v>
      </c>
      <c r="F4" s="2" t="s">
        <v>449</v>
      </c>
      <c r="G4" s="2" t="s">
        <v>450</v>
      </c>
    </row>
    <row r="5" spans="1:7" ht="54.95" customHeight="1">
      <c r="A5" s="2" t="s">
        <v>77</v>
      </c>
      <c r="B5" s="2" t="s">
        <v>451</v>
      </c>
      <c r="C5" s="2" t="s">
        <v>452</v>
      </c>
      <c r="D5" s="2" t="s">
        <v>453</v>
      </c>
      <c r="E5" s="2" t="s">
        <v>454</v>
      </c>
      <c r="F5" s="2" t="s">
        <v>74</v>
      </c>
      <c r="G5" s="2" t="s">
        <v>455</v>
      </c>
    </row>
    <row r="6" spans="1:7" ht="54.95" customHeight="1">
      <c r="A6" s="2" t="s">
        <v>212</v>
      </c>
      <c r="B6" s="2" t="s">
        <v>456</v>
      </c>
      <c r="C6" s="2" t="s">
        <v>457</v>
      </c>
      <c r="D6" s="2" t="s">
        <v>458</v>
      </c>
      <c r="E6" s="2" t="s">
        <v>459</v>
      </c>
      <c r="F6" s="2" t="s">
        <v>460</v>
      </c>
      <c r="G6" s="2" t="s">
        <v>461</v>
      </c>
    </row>
    <row r="7" spans="1:7" ht="54.95" customHeight="1">
      <c r="A7" s="2" t="s">
        <v>290</v>
      </c>
      <c r="B7" s="2" t="s">
        <v>462</v>
      </c>
      <c r="C7" s="2" t="s">
        <v>463</v>
      </c>
      <c r="D7" s="2" t="s">
        <v>464</v>
      </c>
      <c r="E7" s="2" t="s">
        <v>465</v>
      </c>
      <c r="F7" s="2" t="s">
        <v>287</v>
      </c>
      <c r="G7" s="2" t="s">
        <v>466</v>
      </c>
    </row>
    <row r="8" spans="1:7" ht="54.95" customHeight="1">
      <c r="A8" s="2" t="s">
        <v>322</v>
      </c>
      <c r="B8" s="2" t="s">
        <v>467</v>
      </c>
      <c r="C8" s="2" t="s">
        <v>468</v>
      </c>
      <c r="D8" s="2" t="s">
        <v>469</v>
      </c>
      <c r="E8" s="2" t="s">
        <v>470</v>
      </c>
      <c r="F8" s="2" t="s">
        <v>471</v>
      </c>
      <c r="G8" s="2" t="s">
        <v>472</v>
      </c>
    </row>
    <row r="9" spans="1:7" ht="54.95" customHeight="1">
      <c r="A9" s="2" t="s">
        <v>473</v>
      </c>
      <c r="B9" s="2" t="s">
        <v>474</v>
      </c>
      <c r="C9" s="2" t="s">
        <v>475</v>
      </c>
      <c r="D9" s="2" t="s">
        <v>476</v>
      </c>
      <c r="E9" s="2" t="s">
        <v>477</v>
      </c>
      <c r="F9" s="2" t="s">
        <v>478</v>
      </c>
      <c r="G9" s="2" t="s">
        <v>479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4"/>
  <sheetViews>
    <sheetView workbookViewId="0">
      <pane ySplit="3" topLeftCell="A4" activePane="bottomLeft" state="frozen"/>
      <selection pane="bottomLeft" sqref="A1:J1"/>
    </sheetView>
  </sheetViews>
  <sheetFormatPr baseColWidth="10" defaultColWidth="9" defaultRowHeight="14.25"/>
  <cols>
    <col min="1" max="1" width="13" customWidth="1"/>
    <col min="2" max="2" width="14" customWidth="1"/>
    <col min="3" max="3" width="33" customWidth="1"/>
    <col min="4" max="4" width="16" customWidth="1"/>
    <col min="5" max="5" width="46" customWidth="1"/>
    <col min="6" max="6" width="32" customWidth="1"/>
    <col min="7" max="7" width="48" customWidth="1"/>
    <col min="8" max="8" width="12" customWidth="1"/>
    <col min="9" max="9" width="55" customWidth="1"/>
    <col min="10" max="10" width="47" customWidth="1"/>
  </cols>
  <sheetData>
    <row r="1" spans="1:10" ht="35.1" customHeight="1">
      <c r="A1" s="26" t="s">
        <v>480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26.1" customHeight="1">
      <c r="A2" s="27" t="s">
        <v>481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0" customHeight="1">
      <c r="A3" s="3" t="s">
        <v>482</v>
      </c>
      <c r="B3" s="3" t="s">
        <v>483</v>
      </c>
      <c r="C3" s="3" t="s">
        <v>484</v>
      </c>
      <c r="D3" s="3" t="s">
        <v>485</v>
      </c>
      <c r="E3" s="3" t="s">
        <v>486</v>
      </c>
      <c r="F3" s="3" t="s">
        <v>487</v>
      </c>
      <c r="G3" s="3" t="s">
        <v>488</v>
      </c>
      <c r="H3" s="3" t="s">
        <v>489</v>
      </c>
      <c r="I3" s="3" t="s">
        <v>490</v>
      </c>
      <c r="J3" s="3" t="s">
        <v>491</v>
      </c>
    </row>
    <row r="4" spans="1:10" ht="45.95" customHeight="1">
      <c r="A4" s="2" t="s">
        <v>492</v>
      </c>
      <c r="B4" s="2" t="s">
        <v>493</v>
      </c>
      <c r="C4" s="2" t="s">
        <v>494</v>
      </c>
      <c r="D4" s="2" t="s">
        <v>495</v>
      </c>
      <c r="E4" s="2" t="s">
        <v>496</v>
      </c>
      <c r="F4" s="2" t="s">
        <v>497</v>
      </c>
      <c r="G4" s="2" t="s">
        <v>498</v>
      </c>
      <c r="H4" s="2" t="s">
        <v>499</v>
      </c>
      <c r="I4" s="2" t="s">
        <v>500</v>
      </c>
      <c r="J4" s="2" t="s">
        <v>501</v>
      </c>
    </row>
    <row r="5" spans="1:10" ht="45.95" customHeight="1">
      <c r="A5" s="2" t="s">
        <v>502</v>
      </c>
      <c r="B5" s="2" t="s">
        <v>493</v>
      </c>
      <c r="C5" s="2" t="s">
        <v>503</v>
      </c>
      <c r="D5" s="2" t="s">
        <v>495</v>
      </c>
      <c r="E5" s="2" t="s">
        <v>504</v>
      </c>
      <c r="F5" s="2" t="s">
        <v>505</v>
      </c>
      <c r="G5" s="2" t="s">
        <v>506</v>
      </c>
      <c r="H5" s="2" t="s">
        <v>499</v>
      </c>
      <c r="I5" s="2" t="s">
        <v>507</v>
      </c>
      <c r="J5" s="2" t="s">
        <v>508</v>
      </c>
    </row>
    <row r="6" spans="1:10" ht="45.95" customHeight="1">
      <c r="A6" s="2" t="s">
        <v>509</v>
      </c>
      <c r="B6" s="2" t="s">
        <v>493</v>
      </c>
      <c r="C6" s="2" t="s">
        <v>510</v>
      </c>
      <c r="D6" s="2" t="s">
        <v>495</v>
      </c>
      <c r="E6" s="2" t="s">
        <v>511</v>
      </c>
      <c r="F6" s="2" t="s">
        <v>505</v>
      </c>
      <c r="G6" s="2" t="s">
        <v>512</v>
      </c>
      <c r="H6" s="2" t="s">
        <v>513</v>
      </c>
      <c r="I6" s="2" t="s">
        <v>514</v>
      </c>
      <c r="J6" s="2" t="s">
        <v>515</v>
      </c>
    </row>
    <row r="7" spans="1:10" ht="45.95" customHeight="1">
      <c r="A7" s="2" t="s">
        <v>516</v>
      </c>
      <c r="B7" s="2" t="s">
        <v>493</v>
      </c>
      <c r="C7" s="2" t="s">
        <v>517</v>
      </c>
      <c r="D7" s="2" t="s">
        <v>495</v>
      </c>
      <c r="E7" s="2" t="s">
        <v>518</v>
      </c>
      <c r="F7" s="2" t="s">
        <v>333</v>
      </c>
      <c r="G7" s="2" t="s">
        <v>519</v>
      </c>
      <c r="H7" s="2" t="s">
        <v>520</v>
      </c>
      <c r="I7" s="2" t="s">
        <v>521</v>
      </c>
      <c r="J7" s="2" t="s">
        <v>522</v>
      </c>
    </row>
    <row r="8" spans="1:10" ht="45.95" customHeight="1">
      <c r="A8" s="2" t="s">
        <v>523</v>
      </c>
      <c r="B8" s="2" t="s">
        <v>493</v>
      </c>
      <c r="C8" s="2" t="s">
        <v>524</v>
      </c>
      <c r="D8" s="2" t="s">
        <v>495</v>
      </c>
      <c r="E8" s="2" t="s">
        <v>525</v>
      </c>
      <c r="F8" s="2" t="s">
        <v>526</v>
      </c>
      <c r="G8" s="2" t="s">
        <v>527</v>
      </c>
      <c r="H8" s="2" t="s">
        <v>513</v>
      </c>
      <c r="I8" s="2" t="s">
        <v>528</v>
      </c>
      <c r="J8" s="2" t="s">
        <v>529</v>
      </c>
    </row>
    <row r="9" spans="1:10" ht="45.95" customHeight="1">
      <c r="A9" s="2" t="s">
        <v>530</v>
      </c>
      <c r="B9" s="2" t="s">
        <v>493</v>
      </c>
      <c r="C9" s="2" t="s">
        <v>531</v>
      </c>
      <c r="D9" s="2" t="s">
        <v>495</v>
      </c>
      <c r="E9" s="2" t="s">
        <v>532</v>
      </c>
      <c r="F9" s="2" t="s">
        <v>533</v>
      </c>
      <c r="G9" s="2" t="s">
        <v>534</v>
      </c>
      <c r="H9" s="2" t="s">
        <v>535</v>
      </c>
      <c r="I9" s="2" t="s">
        <v>536</v>
      </c>
      <c r="J9" s="2" t="s">
        <v>537</v>
      </c>
    </row>
    <row r="10" spans="1:10" ht="45.95" customHeight="1">
      <c r="A10" s="2" t="s">
        <v>538</v>
      </c>
      <c r="B10" s="2" t="s">
        <v>539</v>
      </c>
      <c r="C10" s="2" t="s">
        <v>540</v>
      </c>
      <c r="D10" s="2" t="s">
        <v>541</v>
      </c>
      <c r="E10" s="2" t="s">
        <v>542</v>
      </c>
      <c r="F10" s="2" t="s">
        <v>543</v>
      </c>
      <c r="G10" s="2" t="s">
        <v>544</v>
      </c>
      <c r="H10" s="2" t="s">
        <v>499</v>
      </c>
      <c r="I10" s="2" t="s">
        <v>545</v>
      </c>
      <c r="J10" s="2" t="s">
        <v>546</v>
      </c>
    </row>
    <row r="11" spans="1:10" ht="45.95" customHeight="1">
      <c r="A11" s="2" t="s">
        <v>547</v>
      </c>
      <c r="B11" s="2" t="s">
        <v>539</v>
      </c>
      <c r="C11" s="2" t="s">
        <v>548</v>
      </c>
      <c r="D11" s="2" t="s">
        <v>541</v>
      </c>
      <c r="E11" s="2" t="s">
        <v>549</v>
      </c>
      <c r="F11" s="2" t="s">
        <v>550</v>
      </c>
      <c r="G11" s="2" t="s">
        <v>551</v>
      </c>
      <c r="H11" s="2" t="s">
        <v>520</v>
      </c>
      <c r="I11" s="2" t="s">
        <v>545</v>
      </c>
      <c r="J11" s="2" t="s">
        <v>546</v>
      </c>
    </row>
    <row r="12" spans="1:10" ht="45.95" customHeight="1">
      <c r="A12" s="2" t="s">
        <v>552</v>
      </c>
      <c r="B12" s="2" t="s">
        <v>539</v>
      </c>
      <c r="C12" s="2" t="s">
        <v>553</v>
      </c>
      <c r="D12" s="2" t="s">
        <v>541</v>
      </c>
      <c r="E12" s="2" t="s">
        <v>554</v>
      </c>
      <c r="F12" s="2" t="s">
        <v>555</v>
      </c>
      <c r="G12" s="2" t="s">
        <v>556</v>
      </c>
      <c r="H12" s="2" t="s">
        <v>520</v>
      </c>
      <c r="I12" s="2" t="s">
        <v>545</v>
      </c>
      <c r="J12" s="2" t="s">
        <v>546</v>
      </c>
    </row>
    <row r="13" spans="1:10" ht="45.95" customHeight="1">
      <c r="A13" s="2" t="s">
        <v>557</v>
      </c>
      <c r="B13" s="2" t="s">
        <v>539</v>
      </c>
      <c r="C13" s="2" t="s">
        <v>558</v>
      </c>
      <c r="D13" s="2" t="s">
        <v>541</v>
      </c>
      <c r="E13" s="2" t="s">
        <v>559</v>
      </c>
      <c r="F13" s="2" t="s">
        <v>560</v>
      </c>
      <c r="G13" s="2" t="s">
        <v>561</v>
      </c>
      <c r="H13" s="2" t="s">
        <v>562</v>
      </c>
      <c r="I13" s="2" t="s">
        <v>545</v>
      </c>
      <c r="J13" s="2" t="s">
        <v>563</v>
      </c>
    </row>
    <row r="14" spans="1:10" ht="45.95" customHeight="1">
      <c r="A14" s="2" t="s">
        <v>564</v>
      </c>
      <c r="B14" s="2" t="s">
        <v>539</v>
      </c>
      <c r="C14" s="2" t="s">
        <v>565</v>
      </c>
      <c r="D14" s="2" t="s">
        <v>541</v>
      </c>
      <c r="E14" s="2" t="s">
        <v>566</v>
      </c>
      <c r="F14" s="2" t="s">
        <v>567</v>
      </c>
      <c r="G14" s="2" t="s">
        <v>568</v>
      </c>
      <c r="H14" s="2" t="s">
        <v>535</v>
      </c>
      <c r="I14" s="2" t="s">
        <v>545</v>
      </c>
      <c r="J14" s="2" t="s">
        <v>569</v>
      </c>
    </row>
    <row r="15" spans="1:10" ht="45.95" customHeight="1">
      <c r="A15" s="2" t="s">
        <v>570</v>
      </c>
      <c r="B15" s="2" t="s">
        <v>539</v>
      </c>
      <c r="C15" s="2" t="s">
        <v>571</v>
      </c>
      <c r="D15" s="2" t="s">
        <v>541</v>
      </c>
      <c r="E15" s="2" t="s">
        <v>572</v>
      </c>
      <c r="F15" s="2" t="s">
        <v>567</v>
      </c>
      <c r="G15" s="2" t="s">
        <v>573</v>
      </c>
      <c r="H15" s="2" t="s">
        <v>574</v>
      </c>
      <c r="I15" s="2" t="s">
        <v>545</v>
      </c>
      <c r="J15" s="2" t="s">
        <v>546</v>
      </c>
    </row>
    <row r="16" spans="1:10" ht="45.95" customHeight="1">
      <c r="A16" s="2" t="s">
        <v>575</v>
      </c>
      <c r="B16" s="2" t="s">
        <v>539</v>
      </c>
      <c r="C16" s="2" t="s">
        <v>576</v>
      </c>
      <c r="D16" s="2" t="s">
        <v>541</v>
      </c>
      <c r="E16" s="2" t="s">
        <v>577</v>
      </c>
      <c r="F16" s="2" t="s">
        <v>567</v>
      </c>
      <c r="G16" s="2" t="s">
        <v>578</v>
      </c>
      <c r="H16" s="2" t="s">
        <v>574</v>
      </c>
      <c r="I16" s="2" t="s">
        <v>545</v>
      </c>
      <c r="J16" s="2" t="s">
        <v>546</v>
      </c>
    </row>
    <row r="17" spans="1:10" ht="45.95" customHeight="1">
      <c r="A17" s="2" t="s">
        <v>579</v>
      </c>
      <c r="B17" s="2" t="s">
        <v>580</v>
      </c>
      <c r="C17" s="2" t="s">
        <v>581</v>
      </c>
      <c r="D17" s="2" t="s">
        <v>495</v>
      </c>
      <c r="E17" s="2" t="s">
        <v>582</v>
      </c>
      <c r="F17" s="2" t="s">
        <v>583</v>
      </c>
      <c r="G17" s="2" t="s">
        <v>584</v>
      </c>
      <c r="H17" s="2" t="s">
        <v>585</v>
      </c>
      <c r="I17" s="2" t="s">
        <v>586</v>
      </c>
      <c r="J17" s="2" t="s">
        <v>587</v>
      </c>
    </row>
    <row r="18" spans="1:10" ht="45.95" customHeight="1">
      <c r="A18" s="2" t="s">
        <v>588</v>
      </c>
      <c r="B18" s="2" t="s">
        <v>580</v>
      </c>
      <c r="C18" s="2" t="s">
        <v>589</v>
      </c>
      <c r="D18" s="2" t="s">
        <v>495</v>
      </c>
      <c r="E18" s="2" t="s">
        <v>590</v>
      </c>
      <c r="F18" s="2" t="s">
        <v>583</v>
      </c>
      <c r="G18" s="2" t="s">
        <v>591</v>
      </c>
      <c r="H18" s="2" t="s">
        <v>585</v>
      </c>
      <c r="I18" s="2" t="s">
        <v>592</v>
      </c>
      <c r="J18" s="2" t="s">
        <v>593</v>
      </c>
    </row>
    <row r="19" spans="1:10" ht="45.95" customHeight="1">
      <c r="A19" s="2" t="s">
        <v>594</v>
      </c>
      <c r="B19" s="2" t="s">
        <v>580</v>
      </c>
      <c r="C19" s="2" t="s">
        <v>595</v>
      </c>
      <c r="D19" s="2" t="s">
        <v>495</v>
      </c>
      <c r="E19" s="2" t="s">
        <v>596</v>
      </c>
      <c r="F19" s="2" t="s">
        <v>583</v>
      </c>
      <c r="G19" s="2" t="s">
        <v>597</v>
      </c>
      <c r="H19" s="2" t="s">
        <v>585</v>
      </c>
      <c r="I19" s="2" t="s">
        <v>598</v>
      </c>
      <c r="J19" s="2" t="s">
        <v>599</v>
      </c>
    </row>
    <row r="20" spans="1:10" ht="45.95" customHeight="1">
      <c r="A20" s="2" t="s">
        <v>600</v>
      </c>
      <c r="B20" s="2" t="s">
        <v>580</v>
      </c>
      <c r="C20" s="2" t="s">
        <v>601</v>
      </c>
      <c r="D20" s="2" t="s">
        <v>495</v>
      </c>
      <c r="E20" s="2" t="s">
        <v>602</v>
      </c>
      <c r="F20" s="2" t="s">
        <v>603</v>
      </c>
      <c r="G20" s="2" t="s">
        <v>604</v>
      </c>
      <c r="H20" s="2" t="s">
        <v>574</v>
      </c>
      <c r="I20" s="2" t="s">
        <v>605</v>
      </c>
      <c r="J20" s="2" t="s">
        <v>606</v>
      </c>
    </row>
    <row r="21" spans="1:10" ht="45.95" customHeight="1">
      <c r="A21" s="2" t="s">
        <v>607</v>
      </c>
      <c r="B21" s="2" t="s">
        <v>580</v>
      </c>
      <c r="C21" s="2" t="s">
        <v>608</v>
      </c>
      <c r="D21" s="2" t="s">
        <v>495</v>
      </c>
      <c r="E21" s="2" t="s">
        <v>609</v>
      </c>
      <c r="F21" s="2" t="s">
        <v>610</v>
      </c>
      <c r="G21" s="2" t="s">
        <v>611</v>
      </c>
      <c r="H21" s="2" t="s">
        <v>612</v>
      </c>
      <c r="I21" s="2" t="s">
        <v>613</v>
      </c>
      <c r="J21" s="2" t="s">
        <v>614</v>
      </c>
    </row>
    <row r="22" spans="1:10" ht="45.95" customHeight="1">
      <c r="A22" s="2" t="s">
        <v>615</v>
      </c>
      <c r="B22" s="2" t="s">
        <v>580</v>
      </c>
      <c r="C22" s="2" t="s">
        <v>616</v>
      </c>
      <c r="D22" s="2" t="s">
        <v>495</v>
      </c>
      <c r="E22" s="2" t="s">
        <v>617</v>
      </c>
      <c r="F22" s="2" t="s">
        <v>618</v>
      </c>
      <c r="G22" s="2" t="s">
        <v>619</v>
      </c>
      <c r="H22" s="2" t="s">
        <v>612</v>
      </c>
      <c r="I22" s="2" t="s">
        <v>620</v>
      </c>
      <c r="J22" s="2" t="s">
        <v>614</v>
      </c>
    </row>
    <row r="23" spans="1:10" ht="45.95" customHeight="1">
      <c r="A23" s="2" t="s">
        <v>621</v>
      </c>
      <c r="B23" s="2" t="s">
        <v>539</v>
      </c>
      <c r="C23" s="2" t="s">
        <v>622</v>
      </c>
      <c r="D23" s="2" t="s">
        <v>623</v>
      </c>
      <c r="E23" s="2" t="s">
        <v>624</v>
      </c>
      <c r="F23" s="2" t="s">
        <v>625</v>
      </c>
      <c r="G23" s="2" t="s">
        <v>626</v>
      </c>
      <c r="H23" s="2" t="s">
        <v>499</v>
      </c>
      <c r="I23" s="2" t="s">
        <v>627</v>
      </c>
      <c r="J23" s="2" t="s">
        <v>628</v>
      </c>
    </row>
    <row r="24" spans="1:10" ht="45.95" customHeight="1">
      <c r="A24" s="2" t="s">
        <v>629</v>
      </c>
      <c r="B24" s="2" t="s">
        <v>493</v>
      </c>
      <c r="C24" s="2" t="s">
        <v>630</v>
      </c>
      <c r="D24" s="2" t="s">
        <v>495</v>
      </c>
      <c r="E24" s="2" t="s">
        <v>631</v>
      </c>
      <c r="F24" s="2" t="s">
        <v>632</v>
      </c>
      <c r="G24" s="2" t="s">
        <v>633</v>
      </c>
      <c r="H24" s="2" t="s">
        <v>634</v>
      </c>
      <c r="I24" s="2" t="s">
        <v>635</v>
      </c>
      <c r="J24" s="2" t="s">
        <v>636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"/>
  <sheetViews>
    <sheetView workbookViewId="0">
      <pane ySplit="3" topLeftCell="A4" activePane="bottomLeft" state="frozen"/>
      <selection pane="bottomLeft" sqref="A1:I1"/>
    </sheetView>
  </sheetViews>
  <sheetFormatPr baseColWidth="10" defaultColWidth="9" defaultRowHeight="14.25"/>
  <cols>
    <col min="1" max="1" width="13" customWidth="1"/>
    <col min="2" max="2" width="28" customWidth="1"/>
    <col min="3" max="3" width="29" customWidth="1"/>
    <col min="4" max="4" width="15" customWidth="1"/>
    <col min="5" max="5" width="18" customWidth="1"/>
    <col min="6" max="6" width="45" customWidth="1"/>
    <col min="7" max="7" width="72" customWidth="1"/>
    <col min="8" max="8" width="35" customWidth="1"/>
    <col min="9" max="9" width="22" customWidth="1"/>
  </cols>
  <sheetData>
    <row r="1" spans="1:9" ht="35.1" customHeight="1">
      <c r="A1" s="26" t="s">
        <v>637</v>
      </c>
      <c r="B1" s="26"/>
      <c r="C1" s="26"/>
      <c r="D1" s="26"/>
      <c r="E1" s="26"/>
      <c r="F1" s="26"/>
      <c r="G1" s="26"/>
      <c r="H1" s="26"/>
      <c r="I1" s="26"/>
    </row>
    <row r="2" spans="1:9" ht="26.1" customHeight="1">
      <c r="A2" s="27" t="s">
        <v>638</v>
      </c>
      <c r="B2" s="27"/>
      <c r="C2" s="27"/>
      <c r="D2" s="27"/>
      <c r="E2" s="27"/>
      <c r="F2" s="27"/>
      <c r="G2" s="27"/>
      <c r="H2" s="27"/>
      <c r="I2" s="27"/>
    </row>
    <row r="3" spans="1:9" ht="30" customHeight="1">
      <c r="A3" s="3" t="s">
        <v>50</v>
      </c>
      <c r="B3" s="3" t="s">
        <v>639</v>
      </c>
      <c r="C3" s="3" t="s">
        <v>640</v>
      </c>
      <c r="D3" s="3" t="s">
        <v>641</v>
      </c>
      <c r="E3" s="3" t="s">
        <v>642</v>
      </c>
      <c r="F3" s="3" t="s">
        <v>643</v>
      </c>
      <c r="G3" s="3" t="s">
        <v>644</v>
      </c>
      <c r="H3" s="3" t="s">
        <v>645</v>
      </c>
      <c r="I3" s="3" t="s">
        <v>646</v>
      </c>
    </row>
    <row r="4" spans="1:9" ht="45" customHeight="1">
      <c r="A4" s="2" t="s">
        <v>647</v>
      </c>
      <c r="B4" s="2" t="s">
        <v>648</v>
      </c>
      <c r="C4" s="2" t="s">
        <v>122</v>
      </c>
      <c r="D4" s="2">
        <v>5</v>
      </c>
      <c r="E4" s="2" t="s">
        <v>125</v>
      </c>
      <c r="F4" s="2" t="s">
        <v>649</v>
      </c>
      <c r="G4" s="2" t="s">
        <v>650</v>
      </c>
      <c r="H4" s="2" t="s">
        <v>651</v>
      </c>
      <c r="I4" s="2">
        <v>1</v>
      </c>
    </row>
    <row r="5" spans="1:9" ht="45" customHeight="1">
      <c r="A5" s="2" t="s">
        <v>652</v>
      </c>
      <c r="B5" s="2" t="s">
        <v>653</v>
      </c>
      <c r="C5" s="2" t="s">
        <v>197</v>
      </c>
      <c r="D5" s="2">
        <v>11</v>
      </c>
      <c r="E5" s="2" t="s">
        <v>125</v>
      </c>
      <c r="F5" s="2" t="s">
        <v>654</v>
      </c>
      <c r="G5" s="2" t="s">
        <v>655</v>
      </c>
      <c r="H5" s="2" t="s">
        <v>656</v>
      </c>
      <c r="I5" s="2">
        <v>0</v>
      </c>
    </row>
    <row r="6" spans="1:9" ht="45" customHeight="1">
      <c r="A6" s="2" t="s">
        <v>657</v>
      </c>
      <c r="B6" s="2" t="s">
        <v>658</v>
      </c>
      <c r="C6" s="2" t="s">
        <v>83</v>
      </c>
      <c r="D6" s="2">
        <v>7</v>
      </c>
      <c r="E6" s="2" t="s">
        <v>77</v>
      </c>
      <c r="F6" s="2" t="s">
        <v>659</v>
      </c>
      <c r="G6" s="2" t="s">
        <v>660</v>
      </c>
      <c r="H6" s="2" t="s">
        <v>661</v>
      </c>
      <c r="I6" s="2">
        <v>1</v>
      </c>
    </row>
    <row r="7" spans="1:9" ht="45" customHeight="1">
      <c r="A7" s="2" t="s">
        <v>662</v>
      </c>
      <c r="B7" s="2" t="s">
        <v>663</v>
      </c>
      <c r="C7" s="2" t="s">
        <v>119</v>
      </c>
      <c r="D7" s="2">
        <v>12</v>
      </c>
      <c r="E7" s="2" t="s">
        <v>77</v>
      </c>
      <c r="F7" s="2" t="s">
        <v>664</v>
      </c>
      <c r="G7" s="2" t="s">
        <v>665</v>
      </c>
      <c r="H7" s="2" t="s">
        <v>666</v>
      </c>
      <c r="I7" s="2">
        <v>0</v>
      </c>
    </row>
    <row r="8" spans="1:9" ht="45" customHeight="1">
      <c r="A8" s="2" t="s">
        <v>667</v>
      </c>
      <c r="B8" s="2" t="s">
        <v>668</v>
      </c>
      <c r="C8" s="2" t="s">
        <v>242</v>
      </c>
      <c r="D8" s="2">
        <v>9</v>
      </c>
      <c r="E8" s="2" t="s">
        <v>212</v>
      </c>
      <c r="F8" s="2" t="s">
        <v>669</v>
      </c>
      <c r="G8" s="2" t="s">
        <v>670</v>
      </c>
      <c r="H8" s="2" t="s">
        <v>671</v>
      </c>
      <c r="I8" s="2">
        <v>1</v>
      </c>
    </row>
    <row r="9" spans="1:9" ht="45" customHeight="1">
      <c r="A9" s="2" t="s">
        <v>672</v>
      </c>
      <c r="B9" s="2" t="s">
        <v>673</v>
      </c>
      <c r="C9" s="2" t="s">
        <v>275</v>
      </c>
      <c r="D9" s="2">
        <v>14</v>
      </c>
      <c r="E9" s="2" t="s">
        <v>212</v>
      </c>
      <c r="F9" s="2" t="s">
        <v>674</v>
      </c>
      <c r="G9" s="2" t="s">
        <v>675</v>
      </c>
      <c r="H9" s="2" t="s">
        <v>676</v>
      </c>
      <c r="I9" s="2">
        <v>1</v>
      </c>
    </row>
    <row r="10" spans="1:9" ht="45" customHeight="1">
      <c r="A10" s="2" t="s">
        <v>677</v>
      </c>
      <c r="B10" s="2" t="s">
        <v>678</v>
      </c>
      <c r="C10" s="2" t="s">
        <v>313</v>
      </c>
      <c r="D10" s="2">
        <v>10</v>
      </c>
      <c r="E10" s="2" t="s">
        <v>290</v>
      </c>
      <c r="F10" s="2" t="s">
        <v>679</v>
      </c>
      <c r="G10" s="2" t="s">
        <v>680</v>
      </c>
      <c r="H10" s="2" t="s">
        <v>681</v>
      </c>
      <c r="I10" s="2">
        <v>1</v>
      </c>
    </row>
    <row r="11" spans="1:9" ht="45" customHeight="1">
      <c r="A11" s="2" t="s">
        <v>682</v>
      </c>
      <c r="B11" s="2" t="s">
        <v>683</v>
      </c>
      <c r="C11" s="2" t="s">
        <v>325</v>
      </c>
      <c r="D11" s="2">
        <v>16</v>
      </c>
      <c r="E11" s="2" t="s">
        <v>290</v>
      </c>
      <c r="F11" s="2" t="s">
        <v>684</v>
      </c>
      <c r="G11" s="2" t="s">
        <v>685</v>
      </c>
      <c r="H11" s="2" t="s">
        <v>686</v>
      </c>
      <c r="I11" s="2">
        <v>0</v>
      </c>
    </row>
    <row r="12" spans="1:9" ht="45" customHeight="1">
      <c r="A12" s="2" t="s">
        <v>687</v>
      </c>
      <c r="B12" s="2" t="s">
        <v>688</v>
      </c>
      <c r="C12" s="2" t="s">
        <v>319</v>
      </c>
      <c r="D12" s="2">
        <v>12</v>
      </c>
      <c r="E12" s="2" t="s">
        <v>322</v>
      </c>
      <c r="F12" s="2" t="s">
        <v>689</v>
      </c>
      <c r="G12" s="2" t="s">
        <v>690</v>
      </c>
      <c r="H12" s="2" t="s">
        <v>691</v>
      </c>
      <c r="I12" s="2">
        <v>1</v>
      </c>
    </row>
    <row r="13" spans="1:9" ht="45" customHeight="1">
      <c r="A13" s="2" t="s">
        <v>692</v>
      </c>
      <c r="B13" s="2" t="s">
        <v>693</v>
      </c>
      <c r="C13" s="2" t="s">
        <v>363</v>
      </c>
      <c r="D13" s="2">
        <v>17</v>
      </c>
      <c r="E13" s="2" t="s">
        <v>322</v>
      </c>
      <c r="F13" s="2" t="s">
        <v>694</v>
      </c>
      <c r="G13" s="2" t="s">
        <v>695</v>
      </c>
      <c r="H13" s="2" t="s">
        <v>696</v>
      </c>
      <c r="I13" s="2">
        <v>1</v>
      </c>
    </row>
    <row r="14" spans="1:9" ht="45" customHeight="1">
      <c r="A14" s="2" t="s">
        <v>697</v>
      </c>
      <c r="B14" s="2" t="s">
        <v>698</v>
      </c>
      <c r="C14" s="2" t="s">
        <v>250</v>
      </c>
      <c r="D14" s="2">
        <v>8</v>
      </c>
      <c r="E14" s="2" t="s">
        <v>473</v>
      </c>
      <c r="F14" s="2" t="s">
        <v>699</v>
      </c>
      <c r="G14" s="2" t="s">
        <v>700</v>
      </c>
      <c r="H14" s="2" t="s">
        <v>701</v>
      </c>
      <c r="I14" s="2">
        <v>1</v>
      </c>
    </row>
    <row r="15" spans="1:9" ht="45" customHeight="1">
      <c r="A15" s="2" t="s">
        <v>702</v>
      </c>
      <c r="B15" s="2" t="s">
        <v>703</v>
      </c>
      <c r="C15" s="2" t="s">
        <v>330</v>
      </c>
      <c r="D15" s="2">
        <v>15</v>
      </c>
      <c r="E15" s="2" t="s">
        <v>473</v>
      </c>
      <c r="F15" s="2" t="s">
        <v>704</v>
      </c>
      <c r="G15" s="2" t="s">
        <v>705</v>
      </c>
      <c r="H15" s="2" t="s">
        <v>706</v>
      </c>
      <c r="I15" s="2">
        <v>0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"/>
  <sheetViews>
    <sheetView workbookViewId="0">
      <selection sqref="A1:F1"/>
    </sheetView>
  </sheetViews>
  <sheetFormatPr baseColWidth="10" defaultColWidth="9" defaultRowHeight="14.25"/>
  <cols>
    <col min="1" max="1" width="32" customWidth="1"/>
    <col min="2" max="2" width="16" customWidth="1"/>
    <col min="3" max="3" width="75" customWidth="1"/>
  </cols>
  <sheetData>
    <row r="1" spans="1:6" ht="35.1" customHeight="1">
      <c r="A1" s="26" t="s">
        <v>707</v>
      </c>
      <c r="B1" s="26"/>
      <c r="C1" s="26"/>
      <c r="D1" s="26"/>
      <c r="E1" s="26"/>
      <c r="F1" s="26"/>
    </row>
    <row r="2" spans="1:6" ht="26.1" customHeight="1">
      <c r="A2" s="27" t="s">
        <v>708</v>
      </c>
      <c r="B2" s="27"/>
      <c r="C2" s="27"/>
      <c r="D2" s="27"/>
      <c r="E2" s="27"/>
      <c r="F2" s="27"/>
    </row>
    <row r="3" spans="1:6" ht="30" customHeight="1">
      <c r="A3" s="3" t="s">
        <v>709</v>
      </c>
      <c r="B3" s="3" t="s">
        <v>710</v>
      </c>
      <c r="C3" s="3" t="s">
        <v>711</v>
      </c>
    </row>
    <row r="4" spans="1:6" ht="27" customHeight="1">
      <c r="A4" t="s">
        <v>712</v>
      </c>
      <c r="B4" s="4">
        <v>0.11</v>
      </c>
      <c r="C4" s="2" t="s">
        <v>713</v>
      </c>
    </row>
    <row r="5" spans="1:6" ht="27" customHeight="1">
      <c r="A5" t="s">
        <v>714</v>
      </c>
      <c r="B5" s="4">
        <v>1.6E-2</v>
      </c>
      <c r="C5" s="2" t="s">
        <v>715</v>
      </c>
    </row>
    <row r="6" spans="1:6" ht="27" customHeight="1">
      <c r="A6" t="s">
        <v>716</v>
      </c>
      <c r="B6">
        <v>20</v>
      </c>
      <c r="C6" s="2" t="s">
        <v>717</v>
      </c>
    </row>
    <row r="7" spans="1:6" ht="27" customHeight="1">
      <c r="A7" t="s">
        <v>718</v>
      </c>
      <c r="B7">
        <v>4</v>
      </c>
      <c r="C7" s="2" t="s">
        <v>719</v>
      </c>
    </row>
    <row r="8" spans="1:6" ht="27" customHeight="1">
      <c r="A8" t="s">
        <v>720</v>
      </c>
      <c r="B8" t="s">
        <v>721</v>
      </c>
      <c r="C8" s="2" t="s">
        <v>722</v>
      </c>
    </row>
    <row r="9" spans="1:6" ht="27" customHeight="1">
      <c r="A9" t="s">
        <v>723</v>
      </c>
      <c r="B9" t="s">
        <v>724</v>
      </c>
      <c r="C9" s="2" t="s">
        <v>725</v>
      </c>
    </row>
    <row r="10" spans="1:6" ht="15">
      <c r="A10" t="s">
        <v>726</v>
      </c>
      <c r="B10" s="14">
        <v>2</v>
      </c>
      <c r="C10" t="s">
        <v>727</v>
      </c>
    </row>
    <row r="11" spans="1:6" ht="15">
      <c r="A11" t="s">
        <v>728</v>
      </c>
      <c r="B11" s="15">
        <v>0.1</v>
      </c>
      <c r="C11" t="s">
        <v>729</v>
      </c>
    </row>
    <row r="12" spans="1:6" ht="15">
      <c r="A12" t="s">
        <v>730</v>
      </c>
      <c r="B12" s="15">
        <v>0.5</v>
      </c>
      <c r="C12" t="s">
        <v>731</v>
      </c>
    </row>
    <row r="13" spans="1:6" ht="15">
      <c r="A13" t="s">
        <v>732</v>
      </c>
      <c r="B13" s="14">
        <v>10</v>
      </c>
      <c r="C13" t="s">
        <v>733</v>
      </c>
    </row>
    <row r="14" spans="1:6" ht="15">
      <c r="A14" t="s">
        <v>734</v>
      </c>
      <c r="B14" s="14">
        <v>3</v>
      </c>
      <c r="C14" t="s">
        <v>735</v>
      </c>
    </row>
    <row r="15" spans="1:6">
      <c r="A15" t="s">
        <v>736</v>
      </c>
      <c r="B15" t="s">
        <v>737</v>
      </c>
      <c r="C15" t="s">
        <v>738</v>
      </c>
    </row>
    <row r="16" spans="1:6">
      <c r="A16" t="s">
        <v>739</v>
      </c>
      <c r="B16" t="s">
        <v>740</v>
      </c>
      <c r="C16" t="s">
        <v>741</v>
      </c>
    </row>
    <row r="17" spans="1:3">
      <c r="A17" t="s">
        <v>742</v>
      </c>
      <c r="B17" t="s">
        <v>743</v>
      </c>
      <c r="C17" t="s">
        <v>744</v>
      </c>
    </row>
    <row r="18" spans="1:3">
      <c r="A18" t="s">
        <v>745</v>
      </c>
      <c r="B18" t="s">
        <v>746</v>
      </c>
      <c r="C18" t="s">
        <v>747</v>
      </c>
    </row>
    <row r="19" spans="1:3">
      <c r="A19" t="s">
        <v>748</v>
      </c>
      <c r="B19" t="s">
        <v>749</v>
      </c>
      <c r="C19" t="s">
        <v>750</v>
      </c>
    </row>
    <row r="20" spans="1:3">
      <c r="A20" t="s">
        <v>751</v>
      </c>
      <c r="B20">
        <v>32</v>
      </c>
      <c r="C20" t="s">
        <v>752</v>
      </c>
    </row>
    <row r="21" spans="1:3">
      <c r="A21" t="s">
        <v>753</v>
      </c>
      <c r="B21" t="s">
        <v>737</v>
      </c>
      <c r="C21" t="s">
        <v>754</v>
      </c>
    </row>
    <row r="22" spans="1:3">
      <c r="A22" t="s">
        <v>755</v>
      </c>
      <c r="B22" t="s">
        <v>756</v>
      </c>
      <c r="C22" t="s">
        <v>757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9"/>
  <sheetViews>
    <sheetView workbookViewId="0">
      <selection sqref="A1:D1"/>
    </sheetView>
  </sheetViews>
  <sheetFormatPr baseColWidth="10" defaultColWidth="9" defaultRowHeight="14.25"/>
  <cols>
    <col min="1" max="1" width="24" customWidth="1"/>
    <col min="2" max="2" width="46" customWidth="1"/>
    <col min="3" max="3" width="91" customWidth="1"/>
    <col min="4" max="4" width="89" customWidth="1"/>
  </cols>
  <sheetData>
    <row r="1" spans="1:4" ht="35.1" customHeight="1">
      <c r="A1" s="26" t="s">
        <v>758</v>
      </c>
      <c r="B1" s="26"/>
      <c r="C1" s="26"/>
      <c r="D1" s="26"/>
    </row>
    <row r="2" spans="1:4" ht="26.1" customHeight="1">
      <c r="A2" s="27" t="s">
        <v>759</v>
      </c>
      <c r="B2" s="27"/>
      <c r="C2" s="27"/>
      <c r="D2" s="27"/>
    </row>
    <row r="3" spans="1:4" ht="30" customHeight="1">
      <c r="A3" s="3" t="s">
        <v>760</v>
      </c>
      <c r="B3" s="3" t="s">
        <v>761</v>
      </c>
      <c r="C3" s="3" t="s">
        <v>762</v>
      </c>
      <c r="D3" s="3" t="s">
        <v>763</v>
      </c>
    </row>
    <row r="4" spans="1:4" ht="54.95" customHeight="1">
      <c r="A4" s="2" t="s">
        <v>764</v>
      </c>
      <c r="B4" s="2" t="s">
        <v>765</v>
      </c>
      <c r="C4" s="2" t="s">
        <v>766</v>
      </c>
      <c r="D4" s="2" t="s">
        <v>767</v>
      </c>
    </row>
    <row r="5" spans="1:4" ht="54.95" customHeight="1">
      <c r="A5" s="2" t="s">
        <v>764</v>
      </c>
      <c r="B5" s="2" t="s">
        <v>768</v>
      </c>
      <c r="C5" s="2" t="s">
        <v>769</v>
      </c>
      <c r="D5" s="2" t="s">
        <v>770</v>
      </c>
    </row>
    <row r="6" spans="1:4" ht="54.95" customHeight="1">
      <c r="A6" s="2" t="s">
        <v>764</v>
      </c>
      <c r="B6" s="2" t="s">
        <v>771</v>
      </c>
      <c r="C6" s="2" t="s">
        <v>772</v>
      </c>
      <c r="D6" s="2" t="s">
        <v>773</v>
      </c>
    </row>
    <row r="7" spans="1:4" ht="54.95" customHeight="1">
      <c r="A7" s="2" t="s">
        <v>764</v>
      </c>
      <c r="B7" s="2" t="s">
        <v>774</v>
      </c>
      <c r="C7" s="2" t="s">
        <v>775</v>
      </c>
      <c r="D7" s="2" t="s">
        <v>776</v>
      </c>
    </row>
    <row r="8" spans="1:4" ht="54.95" customHeight="1">
      <c r="A8" s="2" t="s">
        <v>764</v>
      </c>
      <c r="B8" s="2" t="s">
        <v>777</v>
      </c>
      <c r="C8" s="2" t="s">
        <v>778</v>
      </c>
      <c r="D8" s="2" t="s">
        <v>779</v>
      </c>
    </row>
    <row r="9" spans="1:4" ht="54.95" customHeight="1">
      <c r="A9" s="2" t="s">
        <v>780</v>
      </c>
      <c r="B9" s="2" t="s">
        <v>781</v>
      </c>
      <c r="C9" s="2" t="s">
        <v>782</v>
      </c>
      <c r="D9" s="2" t="s">
        <v>783</v>
      </c>
    </row>
    <row r="10" spans="1:4" ht="54.95" customHeight="1">
      <c r="A10" s="2" t="s">
        <v>780</v>
      </c>
      <c r="B10" s="2" t="s">
        <v>784</v>
      </c>
      <c r="C10" s="2" t="s">
        <v>785</v>
      </c>
      <c r="D10" s="2" t="s">
        <v>786</v>
      </c>
    </row>
    <row r="11" spans="1:4" ht="54.95" customHeight="1">
      <c r="A11" s="2" t="s">
        <v>780</v>
      </c>
      <c r="B11" s="2" t="s">
        <v>787</v>
      </c>
      <c r="C11" s="2" t="s">
        <v>788</v>
      </c>
      <c r="D11" s="2" t="s">
        <v>789</v>
      </c>
    </row>
    <row r="12" spans="1:4" ht="54.95" customHeight="1">
      <c r="A12" s="2" t="s">
        <v>790</v>
      </c>
      <c r="B12" s="2" t="s">
        <v>791</v>
      </c>
      <c r="C12" s="2" t="s">
        <v>792</v>
      </c>
      <c r="D12" s="2" t="s">
        <v>793</v>
      </c>
    </row>
    <row r="13" spans="1:4" ht="54.95" customHeight="1">
      <c r="A13" s="2" t="s">
        <v>780</v>
      </c>
      <c r="B13" s="2" t="s">
        <v>794</v>
      </c>
      <c r="C13" s="2" t="s">
        <v>795</v>
      </c>
      <c r="D13" s="2" t="s">
        <v>796</v>
      </c>
    </row>
    <row r="14" spans="1:4" ht="54.95" customHeight="1">
      <c r="A14" s="2" t="s">
        <v>780</v>
      </c>
      <c r="B14" s="2" t="s">
        <v>797</v>
      </c>
      <c r="C14" s="2" t="s">
        <v>798</v>
      </c>
      <c r="D14" s="2" t="s">
        <v>799</v>
      </c>
    </row>
    <row r="15" spans="1:4">
      <c r="A15" t="s">
        <v>800</v>
      </c>
      <c r="B15" t="s">
        <v>801</v>
      </c>
      <c r="C15" t="s">
        <v>802</v>
      </c>
      <c r="D15" t="s">
        <v>803</v>
      </c>
    </row>
    <row r="16" spans="1:4" ht="15">
      <c r="A16" s="10" t="s">
        <v>804</v>
      </c>
      <c r="B16" s="10" t="s">
        <v>805</v>
      </c>
    </row>
    <row r="17" spans="1:4">
      <c r="A17" t="s">
        <v>806</v>
      </c>
      <c r="B17" t="s">
        <v>807</v>
      </c>
    </row>
    <row r="18" spans="1:4">
      <c r="A18" t="s">
        <v>808</v>
      </c>
      <c r="B18" t="s">
        <v>809</v>
      </c>
    </row>
    <row r="19" spans="1:4">
      <c r="A19" t="s">
        <v>810</v>
      </c>
      <c r="B19" t="s">
        <v>811</v>
      </c>
    </row>
    <row r="20" spans="1:4">
      <c r="A20" t="s">
        <v>812</v>
      </c>
      <c r="B20" t="s">
        <v>813</v>
      </c>
    </row>
    <row r="21" spans="1:4">
      <c r="A21" t="s">
        <v>814</v>
      </c>
      <c r="B21" t="s">
        <v>815</v>
      </c>
    </row>
    <row r="22" spans="1:4">
      <c r="A22" t="s">
        <v>816</v>
      </c>
      <c r="B22" t="s">
        <v>817</v>
      </c>
    </row>
    <row r="23" spans="1:4">
      <c r="A23" t="s">
        <v>780</v>
      </c>
      <c r="B23" t="s">
        <v>818</v>
      </c>
      <c r="C23" t="s">
        <v>819</v>
      </c>
      <c r="D23" t="s">
        <v>820</v>
      </c>
    </row>
    <row r="24" spans="1:4">
      <c r="A24" t="s">
        <v>821</v>
      </c>
      <c r="B24" t="s">
        <v>822</v>
      </c>
      <c r="C24" t="s">
        <v>823</v>
      </c>
      <c r="D24" t="s">
        <v>824</v>
      </c>
    </row>
    <row r="25" spans="1:4">
      <c r="A25" t="s">
        <v>42</v>
      </c>
      <c r="B25" t="s">
        <v>825</v>
      </c>
      <c r="C25" t="s">
        <v>826</v>
      </c>
      <c r="D25" t="s">
        <v>827</v>
      </c>
    </row>
    <row r="26" spans="1:4">
      <c r="A26" t="s">
        <v>42</v>
      </c>
      <c r="B26" t="s">
        <v>828</v>
      </c>
      <c r="C26" t="s">
        <v>829</v>
      </c>
      <c r="D26" t="s">
        <v>830</v>
      </c>
    </row>
    <row r="27" spans="1:4">
      <c r="A27" t="s">
        <v>42</v>
      </c>
      <c r="B27" t="s">
        <v>831</v>
      </c>
      <c r="C27" t="s">
        <v>832</v>
      </c>
      <c r="D27" t="s">
        <v>833</v>
      </c>
    </row>
    <row r="28" spans="1:4">
      <c r="A28" t="s">
        <v>42</v>
      </c>
      <c r="B28" t="s">
        <v>834</v>
      </c>
      <c r="C28" t="s">
        <v>835</v>
      </c>
      <c r="D28" t="s">
        <v>836</v>
      </c>
    </row>
    <row r="29" spans="1:4">
      <c r="A29" t="s">
        <v>42</v>
      </c>
      <c r="B29" t="s">
        <v>837</v>
      </c>
      <c r="C29" t="s">
        <v>838</v>
      </c>
      <c r="D29" t="s">
        <v>839</v>
      </c>
    </row>
    <row r="30" spans="1:4">
      <c r="A30" t="s">
        <v>42</v>
      </c>
      <c r="B30" t="s">
        <v>840</v>
      </c>
      <c r="C30" t="s">
        <v>841</v>
      </c>
      <c r="D30" t="s">
        <v>842</v>
      </c>
    </row>
    <row r="31" spans="1:4">
      <c r="A31" t="s">
        <v>42</v>
      </c>
      <c r="B31" t="s">
        <v>843</v>
      </c>
      <c r="C31" t="s">
        <v>844</v>
      </c>
      <c r="D31" t="s">
        <v>845</v>
      </c>
    </row>
    <row r="32" spans="1:4">
      <c r="A32" t="s">
        <v>42</v>
      </c>
      <c r="B32" t="s">
        <v>846</v>
      </c>
      <c r="C32" t="s">
        <v>847</v>
      </c>
      <c r="D32" t="s">
        <v>848</v>
      </c>
    </row>
    <row r="33" spans="1:4">
      <c r="A33" t="s">
        <v>42</v>
      </c>
      <c r="B33" t="s">
        <v>849</v>
      </c>
      <c r="C33" t="s">
        <v>850</v>
      </c>
      <c r="D33" t="s">
        <v>851</v>
      </c>
    </row>
    <row r="34" spans="1:4">
      <c r="A34" t="s">
        <v>42</v>
      </c>
      <c r="B34" t="s">
        <v>852</v>
      </c>
      <c r="C34" t="s">
        <v>853</v>
      </c>
      <c r="D34" t="s">
        <v>854</v>
      </c>
    </row>
    <row r="35" spans="1:4">
      <c r="A35" t="s">
        <v>42</v>
      </c>
      <c r="B35" t="s">
        <v>855</v>
      </c>
      <c r="C35" t="s">
        <v>856</v>
      </c>
      <c r="D35" t="s">
        <v>857</v>
      </c>
    </row>
    <row r="36" spans="1:4">
      <c r="A36" t="s">
        <v>42</v>
      </c>
      <c r="B36" t="s">
        <v>760</v>
      </c>
      <c r="C36" t="s">
        <v>858</v>
      </c>
      <c r="D36" t="s">
        <v>859</v>
      </c>
    </row>
    <row r="37" spans="1:4">
      <c r="A37" t="s">
        <v>42</v>
      </c>
      <c r="B37" t="s">
        <v>860</v>
      </c>
      <c r="C37" t="s">
        <v>861</v>
      </c>
      <c r="D37" t="s">
        <v>862</v>
      </c>
    </row>
    <row r="38" spans="1:4">
      <c r="A38" t="s">
        <v>42</v>
      </c>
      <c r="B38" t="s">
        <v>863</v>
      </c>
      <c r="C38" t="s">
        <v>864</v>
      </c>
      <c r="D38" t="s">
        <v>865</v>
      </c>
    </row>
    <row r="39" spans="1:4">
      <c r="A39" t="s">
        <v>42</v>
      </c>
      <c r="B39" t="s">
        <v>866</v>
      </c>
      <c r="C39" t="s">
        <v>867</v>
      </c>
      <c r="D39" t="s">
        <v>868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1"/>
  <sheetViews>
    <sheetView workbookViewId="0">
      <pane ySplit="3" topLeftCell="A4" activePane="bottomLeft" state="frozen"/>
      <selection pane="bottomLeft" sqref="A1:H1"/>
    </sheetView>
  </sheetViews>
  <sheetFormatPr baseColWidth="10" defaultColWidth="9" defaultRowHeight="14.25"/>
  <cols>
    <col min="1" max="1" width="13" customWidth="1"/>
    <col min="2" max="2" width="24" customWidth="1"/>
    <col min="3" max="3" width="26" customWidth="1"/>
    <col min="4" max="4" width="46" customWidth="1"/>
    <col min="5" max="7" width="22" customWidth="1"/>
    <col min="8" max="8" width="49" customWidth="1"/>
  </cols>
  <sheetData>
    <row r="1" spans="1:8" ht="35.1" customHeight="1">
      <c r="A1" s="26" t="s">
        <v>869</v>
      </c>
      <c r="B1" s="26"/>
      <c r="C1" s="26"/>
      <c r="D1" s="26"/>
      <c r="E1" s="26"/>
      <c r="F1" s="26"/>
      <c r="G1" s="26"/>
      <c r="H1" s="26"/>
    </row>
    <row r="2" spans="1:8" ht="26.1" customHeight="1">
      <c r="A2" s="27" t="s">
        <v>870</v>
      </c>
      <c r="B2" s="27"/>
      <c r="C2" s="27"/>
      <c r="D2" s="27"/>
      <c r="E2" s="27"/>
      <c r="F2" s="27"/>
      <c r="G2" s="27"/>
      <c r="H2" s="27"/>
    </row>
    <row r="3" spans="1:8" ht="30" customHeight="1">
      <c r="A3" s="3" t="s">
        <v>482</v>
      </c>
      <c r="B3" s="3" t="s">
        <v>51</v>
      </c>
      <c r="C3" s="3" t="s">
        <v>871</v>
      </c>
      <c r="D3" s="3" t="s">
        <v>872</v>
      </c>
      <c r="E3" s="3" t="s">
        <v>405</v>
      </c>
      <c r="F3" s="3" t="s">
        <v>410</v>
      </c>
      <c r="G3" s="3" t="s">
        <v>415</v>
      </c>
      <c r="H3" s="3" t="s">
        <v>873</v>
      </c>
    </row>
    <row r="4" spans="1:8" ht="33.950000000000003" customHeight="1">
      <c r="A4" s="2" t="s">
        <v>874</v>
      </c>
      <c r="B4" s="2" t="s">
        <v>875</v>
      </c>
      <c r="C4" s="2" t="s">
        <v>876</v>
      </c>
      <c r="D4" s="2" t="s">
        <v>877</v>
      </c>
      <c r="E4" s="2" t="s">
        <v>878</v>
      </c>
      <c r="F4" s="2" t="s">
        <v>879</v>
      </c>
      <c r="G4" s="2" t="s">
        <v>880</v>
      </c>
      <c r="H4" s="2" t="s">
        <v>881</v>
      </c>
    </row>
    <row r="5" spans="1:8" ht="33.950000000000003" customHeight="1">
      <c r="A5" s="2" t="s">
        <v>882</v>
      </c>
      <c r="B5" s="2" t="s">
        <v>883</v>
      </c>
      <c r="C5" s="2" t="s">
        <v>876</v>
      </c>
      <c r="D5" s="2" t="s">
        <v>884</v>
      </c>
      <c r="E5" s="2" t="s">
        <v>328</v>
      </c>
      <c r="F5" s="2" t="s">
        <v>885</v>
      </c>
      <c r="G5" s="2" t="s">
        <v>886</v>
      </c>
      <c r="H5" s="2" t="s">
        <v>887</v>
      </c>
    </row>
    <row r="6" spans="1:8" ht="33.950000000000003" customHeight="1">
      <c r="A6" s="2" t="s">
        <v>888</v>
      </c>
      <c r="B6" s="2" t="s">
        <v>889</v>
      </c>
      <c r="C6" s="2" t="s">
        <v>107</v>
      </c>
      <c r="D6" s="2" t="s">
        <v>890</v>
      </c>
      <c r="E6" s="2" t="s">
        <v>328</v>
      </c>
      <c r="F6" s="2" t="s">
        <v>891</v>
      </c>
      <c r="G6" s="2" t="s">
        <v>885</v>
      </c>
      <c r="H6" s="2" t="s">
        <v>892</v>
      </c>
    </row>
    <row r="7" spans="1:8" ht="33.950000000000003" customHeight="1">
      <c r="A7" s="2" t="s">
        <v>893</v>
      </c>
      <c r="B7" s="2" t="s">
        <v>894</v>
      </c>
      <c r="C7" s="2" t="s">
        <v>149</v>
      </c>
      <c r="D7" s="2" t="s">
        <v>895</v>
      </c>
      <c r="E7" s="2" t="s">
        <v>328</v>
      </c>
      <c r="F7" s="2" t="s">
        <v>896</v>
      </c>
      <c r="G7" s="2" t="s">
        <v>897</v>
      </c>
      <c r="H7" s="2" t="s">
        <v>898</v>
      </c>
    </row>
    <row r="8" spans="1:8" ht="33.950000000000003" customHeight="1">
      <c r="A8" s="2" t="s">
        <v>899</v>
      </c>
      <c r="B8" s="2" t="s">
        <v>900</v>
      </c>
      <c r="C8" s="2" t="s">
        <v>901</v>
      </c>
      <c r="D8" s="2" t="s">
        <v>902</v>
      </c>
      <c r="E8" s="2" t="s">
        <v>903</v>
      </c>
      <c r="F8" s="2" t="s">
        <v>885</v>
      </c>
      <c r="G8" s="2" t="s">
        <v>904</v>
      </c>
      <c r="H8" s="2" t="s">
        <v>905</v>
      </c>
    </row>
    <row r="9" spans="1:8" ht="33.950000000000003" customHeight="1">
      <c r="A9" s="2" t="s">
        <v>906</v>
      </c>
      <c r="B9" s="2" t="s">
        <v>907</v>
      </c>
      <c r="C9" s="2" t="s">
        <v>533</v>
      </c>
      <c r="D9" s="2" t="s">
        <v>908</v>
      </c>
      <c r="E9" s="2" t="s">
        <v>878</v>
      </c>
      <c r="F9" s="2" t="s">
        <v>878</v>
      </c>
      <c r="G9" s="2" t="s">
        <v>880</v>
      </c>
      <c r="H9" s="2" t="s">
        <v>909</v>
      </c>
    </row>
    <row r="10" spans="1:8" ht="33.950000000000003" customHeight="1">
      <c r="A10" s="2" t="s">
        <v>910</v>
      </c>
      <c r="B10" s="2" t="s">
        <v>911</v>
      </c>
      <c r="C10" s="2" t="s">
        <v>912</v>
      </c>
      <c r="D10" s="2" t="s">
        <v>913</v>
      </c>
      <c r="E10" s="2" t="s">
        <v>891</v>
      </c>
      <c r="F10" s="2" t="s">
        <v>885</v>
      </c>
      <c r="G10" s="2" t="s">
        <v>914</v>
      </c>
      <c r="H10" s="2" t="s">
        <v>915</v>
      </c>
    </row>
    <row r="11" spans="1:8" ht="33.950000000000003" customHeight="1">
      <c r="A11" s="2" t="s">
        <v>916</v>
      </c>
      <c r="B11" s="2" t="s">
        <v>917</v>
      </c>
      <c r="C11" s="2" t="s">
        <v>912</v>
      </c>
      <c r="D11" s="2" t="s">
        <v>918</v>
      </c>
      <c r="E11" s="2" t="s">
        <v>919</v>
      </c>
      <c r="F11" s="2" t="s">
        <v>896</v>
      </c>
      <c r="G11" s="2" t="s">
        <v>897</v>
      </c>
      <c r="H11" s="2" t="s">
        <v>920</v>
      </c>
    </row>
    <row r="12" spans="1:8" ht="33.950000000000003" customHeight="1">
      <c r="A12" s="2" t="s">
        <v>921</v>
      </c>
      <c r="B12" s="2" t="s">
        <v>922</v>
      </c>
      <c r="C12" s="2" t="s">
        <v>923</v>
      </c>
      <c r="D12" s="2" t="s">
        <v>924</v>
      </c>
      <c r="E12" s="2" t="s">
        <v>925</v>
      </c>
      <c r="F12" s="2" t="s">
        <v>926</v>
      </c>
      <c r="G12" s="2" t="s">
        <v>927</v>
      </c>
      <c r="H12" s="2" t="s">
        <v>928</v>
      </c>
    </row>
    <row r="13" spans="1:8" ht="33.950000000000003" customHeight="1">
      <c r="A13" s="2" t="s">
        <v>929</v>
      </c>
      <c r="B13" s="2" t="s">
        <v>930</v>
      </c>
      <c r="C13" s="2" t="s">
        <v>931</v>
      </c>
      <c r="D13" s="2" t="s">
        <v>932</v>
      </c>
      <c r="E13" s="2" t="s">
        <v>925</v>
      </c>
      <c r="F13" s="2" t="s">
        <v>926</v>
      </c>
      <c r="G13" s="2" t="s">
        <v>927</v>
      </c>
      <c r="H13" s="2" t="s">
        <v>933</v>
      </c>
    </row>
    <row r="14" spans="1:8" ht="33.950000000000003" customHeight="1">
      <c r="A14" s="2" t="s">
        <v>934</v>
      </c>
      <c r="B14" s="2" t="s">
        <v>935</v>
      </c>
      <c r="C14" s="2" t="s">
        <v>936</v>
      </c>
      <c r="D14" s="2" t="s">
        <v>937</v>
      </c>
      <c r="E14" s="2" t="s">
        <v>938</v>
      </c>
      <c r="F14" s="2" t="s">
        <v>939</v>
      </c>
      <c r="G14" s="2" t="s">
        <v>940</v>
      </c>
      <c r="H14" s="2" t="s">
        <v>941</v>
      </c>
    </row>
    <row r="15" spans="1:8" ht="33.950000000000003" customHeight="1">
      <c r="A15" s="2" t="s">
        <v>942</v>
      </c>
      <c r="B15" s="2" t="s">
        <v>943</v>
      </c>
      <c r="C15" s="2" t="s">
        <v>567</v>
      </c>
      <c r="D15" s="2" t="s">
        <v>944</v>
      </c>
      <c r="E15" s="2" t="s">
        <v>945</v>
      </c>
      <c r="F15" s="2" t="s">
        <v>946</v>
      </c>
      <c r="G15" s="2" t="s">
        <v>947</v>
      </c>
      <c r="H15" s="2" t="s">
        <v>948</v>
      </c>
    </row>
    <row r="16" spans="1:8" ht="33.950000000000003" customHeight="1">
      <c r="A16" s="2" t="s">
        <v>949</v>
      </c>
      <c r="B16" s="2" t="s">
        <v>950</v>
      </c>
      <c r="C16" s="2" t="s">
        <v>567</v>
      </c>
      <c r="D16" s="2" t="s">
        <v>951</v>
      </c>
      <c r="E16" s="2" t="s">
        <v>945</v>
      </c>
      <c r="F16" s="2" t="s">
        <v>946</v>
      </c>
      <c r="G16" s="2" t="s">
        <v>952</v>
      </c>
      <c r="H16" s="2" t="s">
        <v>953</v>
      </c>
    </row>
    <row r="17" spans="1:8" ht="33.950000000000003" customHeight="1">
      <c r="A17" s="2" t="s">
        <v>954</v>
      </c>
      <c r="B17" s="2" t="s">
        <v>955</v>
      </c>
      <c r="C17" s="2" t="s">
        <v>567</v>
      </c>
      <c r="D17" s="2" t="s">
        <v>956</v>
      </c>
      <c r="E17" s="2" t="s">
        <v>945</v>
      </c>
      <c r="F17" s="2" t="s">
        <v>946</v>
      </c>
      <c r="G17" s="2" t="s">
        <v>952</v>
      </c>
      <c r="H17" s="2" t="s">
        <v>957</v>
      </c>
    </row>
    <row r="18" spans="1:8" ht="33.950000000000003" customHeight="1">
      <c r="A18" s="2" t="s">
        <v>958</v>
      </c>
      <c r="B18" s="2" t="s">
        <v>959</v>
      </c>
      <c r="C18" s="2" t="s">
        <v>567</v>
      </c>
      <c r="D18" s="2" t="s">
        <v>960</v>
      </c>
      <c r="E18" s="2" t="s">
        <v>945</v>
      </c>
      <c r="F18" s="2" t="s">
        <v>946</v>
      </c>
      <c r="G18" s="2" t="s">
        <v>952</v>
      </c>
      <c r="H18" s="2" t="s">
        <v>961</v>
      </c>
    </row>
    <row r="19" spans="1:8" ht="33.950000000000003" customHeight="1">
      <c r="A19" s="2" t="s">
        <v>962</v>
      </c>
      <c r="B19" s="2" t="s">
        <v>963</v>
      </c>
      <c r="C19" s="2" t="s">
        <v>912</v>
      </c>
      <c r="D19" s="2" t="s">
        <v>964</v>
      </c>
      <c r="E19" s="2" t="s">
        <v>965</v>
      </c>
      <c r="F19" s="2" t="s">
        <v>966</v>
      </c>
      <c r="G19" s="2" t="s">
        <v>967</v>
      </c>
      <c r="H19" s="2" t="s">
        <v>968</v>
      </c>
    </row>
    <row r="20" spans="1:8" ht="33.950000000000003" customHeight="1">
      <c r="A20" s="2" t="s">
        <v>969</v>
      </c>
      <c r="B20" s="2" t="s">
        <v>970</v>
      </c>
      <c r="C20" s="2" t="s">
        <v>971</v>
      </c>
      <c r="D20" s="2" t="s">
        <v>972</v>
      </c>
      <c r="E20" s="2" t="s">
        <v>878</v>
      </c>
      <c r="F20" s="2" t="s">
        <v>878</v>
      </c>
      <c r="G20" s="2" t="s">
        <v>880</v>
      </c>
      <c r="H20" s="2" t="s">
        <v>973</v>
      </c>
    </row>
    <row r="21" spans="1:8" ht="33.950000000000003" customHeight="1">
      <c r="A21" s="2" t="s">
        <v>974</v>
      </c>
      <c r="B21" s="2" t="s">
        <v>975</v>
      </c>
      <c r="C21" s="2" t="s">
        <v>976</v>
      </c>
      <c r="D21" s="2" t="s">
        <v>977</v>
      </c>
      <c r="E21" s="2" t="s">
        <v>328</v>
      </c>
      <c r="F21" s="2" t="s">
        <v>978</v>
      </c>
      <c r="G21" s="2" t="s">
        <v>979</v>
      </c>
      <c r="H21" s="2" t="s">
        <v>980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"/>
  <sheetViews>
    <sheetView workbookViewId="0">
      <pane ySplit="3" topLeftCell="A4" activePane="bottomLeft" state="frozen"/>
      <selection pane="bottomLeft" sqref="A1:H1"/>
    </sheetView>
  </sheetViews>
  <sheetFormatPr baseColWidth="10" defaultColWidth="9" defaultRowHeight="14.25"/>
  <cols>
    <col min="1" max="1" width="29" customWidth="1"/>
    <col min="2" max="5" width="17" customWidth="1"/>
    <col min="6" max="7" width="19" customWidth="1"/>
    <col min="8" max="8" width="28" customWidth="1"/>
  </cols>
  <sheetData>
    <row r="1" spans="1:8" ht="36.950000000000003" customHeight="1">
      <c r="A1" s="28" t="s">
        <v>981</v>
      </c>
      <c r="B1" s="28"/>
      <c r="C1" s="28"/>
      <c r="D1" s="28"/>
      <c r="E1" s="28"/>
      <c r="F1" s="28"/>
      <c r="G1" s="28"/>
      <c r="H1" s="28"/>
    </row>
    <row r="2" spans="1:8" ht="30" customHeight="1">
      <c r="A2" s="29" t="s">
        <v>982</v>
      </c>
      <c r="B2" s="29"/>
      <c r="C2" s="29"/>
      <c r="D2" s="29"/>
      <c r="E2" s="29"/>
      <c r="F2" s="29"/>
      <c r="G2" s="29"/>
      <c r="H2" s="29"/>
    </row>
    <row r="3" spans="1:8" ht="27.95" customHeight="1">
      <c r="A3" s="11" t="s">
        <v>983</v>
      </c>
      <c r="B3" s="11" t="s">
        <v>984</v>
      </c>
      <c r="C3" s="11" t="s">
        <v>985</v>
      </c>
      <c r="D3" s="11" t="s">
        <v>986</v>
      </c>
      <c r="E3" s="11" t="s">
        <v>61</v>
      </c>
      <c r="F3" s="11" t="s">
        <v>987</v>
      </c>
      <c r="G3" s="11" t="s">
        <v>988</v>
      </c>
      <c r="H3" s="11" t="s">
        <v>989</v>
      </c>
    </row>
    <row r="4" spans="1:8" ht="24.95" customHeight="1">
      <c r="A4" t="s">
        <v>990</v>
      </c>
      <c r="B4">
        <v>4</v>
      </c>
      <c r="C4">
        <v>4</v>
      </c>
      <c r="D4">
        <f t="shared" ref="D4:D10" si="0">MAX(0,C4-B4)</f>
        <v>0</v>
      </c>
      <c r="E4" s="16">
        <f>IF(D4&gt;Paramètres!$B$14,"—",-MIN(Paramètres!$B$13,D4*Paramètres!$B$10))</f>
        <v>0</v>
      </c>
      <c r="F4" s="17">
        <f>IF(D4&gt;Paramètres!$B$14,"—",MAX(Paramètres!$B$12,1-D4*Paramètres!$B$11))</f>
        <v>1</v>
      </c>
      <c r="G4" s="17">
        <f>IF(D4&gt;Paramètres!$B$14,"—",MAX(Paramètres!$B$12,1-D4*Paramètres!$B$11))</f>
        <v>1</v>
      </c>
      <c r="H4" t="str">
        <f>IF(D4&gt;Paramètres!$B$14,"Non équipable (proposé)",IF(D4=0,"Aucun malus","Malus de niveau"))</f>
        <v>Aucun malus</v>
      </c>
    </row>
    <row r="5" spans="1:8" ht="24.95" customHeight="1">
      <c r="A5" t="s">
        <v>991</v>
      </c>
      <c r="B5">
        <v>4</v>
      </c>
      <c r="C5">
        <v>5</v>
      </c>
      <c r="D5">
        <f t="shared" si="0"/>
        <v>1</v>
      </c>
      <c r="E5" s="16">
        <f>IF(D5&gt;Paramètres!$B$14,"—",-MIN(Paramètres!$B$13,D5*Paramètres!$B$10))</f>
        <v>-2</v>
      </c>
      <c r="F5" s="17">
        <f>IF(D5&gt;Paramètres!$B$14,"—",MAX(Paramètres!$B$12,1-D5*Paramètres!$B$11))</f>
        <v>0.9</v>
      </c>
      <c r="G5" s="17">
        <f>IF(D5&gt;Paramètres!$B$14,"—",MAX(Paramètres!$B$12,1-D5*Paramètres!$B$11))</f>
        <v>0.9</v>
      </c>
      <c r="H5" t="str">
        <f>IF(D5&gt;Paramètres!$B$14,"Non équipable (proposé)",IF(D5=0,"Aucun malus","Malus de niveau"))</f>
        <v>Malus de niveau</v>
      </c>
    </row>
    <row r="6" spans="1:8" ht="24.95" customHeight="1">
      <c r="A6" t="s">
        <v>992</v>
      </c>
      <c r="B6">
        <v>4</v>
      </c>
      <c r="C6">
        <v>6</v>
      </c>
      <c r="D6">
        <f t="shared" si="0"/>
        <v>2</v>
      </c>
      <c r="E6" s="16">
        <f>IF(D6&gt;Paramètres!$B$14,"—",-MIN(Paramètres!$B$13,D6*Paramètres!$B$10))</f>
        <v>-4</v>
      </c>
      <c r="F6" s="17">
        <f>IF(D6&gt;Paramètres!$B$14,"—",MAX(Paramètres!$B$12,1-D6*Paramètres!$B$11))</f>
        <v>0.8</v>
      </c>
      <c r="G6" s="17">
        <f>IF(D6&gt;Paramètres!$B$14,"—",MAX(Paramètres!$B$12,1-D6*Paramètres!$B$11))</f>
        <v>0.8</v>
      </c>
      <c r="H6" t="str">
        <f>IF(D6&gt;Paramètres!$B$14,"Non équipable (proposé)",IF(D6=0,"Aucun malus","Malus de niveau"))</f>
        <v>Malus de niveau</v>
      </c>
    </row>
    <row r="7" spans="1:8" ht="24.95" customHeight="1">
      <c r="A7" t="s">
        <v>993</v>
      </c>
      <c r="B7">
        <v>4</v>
      </c>
      <c r="C7">
        <v>7</v>
      </c>
      <c r="D7">
        <f t="shared" si="0"/>
        <v>3</v>
      </c>
      <c r="E7" s="16">
        <f>IF(D7&gt;Paramètres!$B$14,"—",-MIN(Paramètres!$B$13,D7*Paramètres!$B$10))</f>
        <v>-6</v>
      </c>
      <c r="F7" s="17">
        <f>IF(D7&gt;Paramètres!$B$14,"—",MAX(Paramètres!$B$12,1-D7*Paramètres!$B$11))</f>
        <v>0.7</v>
      </c>
      <c r="G7" s="17">
        <f>IF(D7&gt;Paramètres!$B$14,"—",MAX(Paramètres!$B$12,1-D7*Paramètres!$B$11))</f>
        <v>0.7</v>
      </c>
      <c r="H7" t="str">
        <f>IF(D7&gt;Paramètres!$B$14,"Non équipable (proposé)",IF(D7=0,"Aucun malus","Malus de niveau"))</f>
        <v>Malus de niveau</v>
      </c>
    </row>
    <row r="8" spans="1:8" ht="24.95" customHeight="1">
      <c r="A8" t="s">
        <v>994</v>
      </c>
      <c r="B8">
        <v>4</v>
      </c>
      <c r="C8">
        <v>9</v>
      </c>
      <c r="D8">
        <f t="shared" si="0"/>
        <v>5</v>
      </c>
      <c r="E8" s="16" t="str">
        <f>IF(D8&gt;Paramètres!$B$14,"—",-MIN(Paramètres!$B$13,D8*Paramètres!$B$10))</f>
        <v>—</v>
      </c>
      <c r="F8" s="17" t="str">
        <f>IF(D8&gt;Paramètres!$B$14,"—",MAX(Paramètres!$B$12,1-D8*Paramètres!$B$11))</f>
        <v>—</v>
      </c>
      <c r="G8" s="17" t="str">
        <f>IF(D8&gt;Paramètres!$B$14,"—",MAX(Paramètres!$B$12,1-D8*Paramètres!$B$11))</f>
        <v>—</v>
      </c>
      <c r="H8" t="str">
        <f>IF(D8&gt;Paramètres!$B$14,"Non équipable (proposé)",IF(D8=0,"Aucun malus","Malus de niveau"))</f>
        <v>Non équipable (proposé)</v>
      </c>
    </row>
    <row r="9" spans="1:8" ht="24.95" customHeight="1">
      <c r="A9" t="s">
        <v>995</v>
      </c>
      <c r="B9">
        <v>4</v>
      </c>
      <c r="C9">
        <v>20</v>
      </c>
      <c r="D9">
        <f t="shared" si="0"/>
        <v>16</v>
      </c>
      <c r="E9" s="16" t="str">
        <f>IF(D9&gt;Paramètres!$B$14,"—",-MIN(Paramètres!$B$13,D9*Paramètres!$B$10))</f>
        <v>—</v>
      </c>
      <c r="F9" s="17" t="str">
        <f>IF(D9&gt;Paramètres!$B$14,"—",MAX(Paramètres!$B$12,1-D9*Paramètres!$B$11))</f>
        <v>—</v>
      </c>
      <c r="G9" s="17" t="str">
        <f>IF(D9&gt;Paramètres!$B$14,"—",MAX(Paramètres!$B$12,1-D9*Paramètres!$B$11))</f>
        <v>—</v>
      </c>
      <c r="H9" t="str">
        <f>IF(D9&gt;Paramètres!$B$14,"Non équipable (proposé)",IF(D9=0,"Aucun malus","Malus de niveau"))</f>
        <v>Non équipable (proposé)</v>
      </c>
    </row>
    <row r="10" spans="1:8" ht="24.95" customHeight="1">
      <c r="A10" t="s">
        <v>996</v>
      </c>
      <c r="B10">
        <v>7</v>
      </c>
      <c r="C10">
        <v>7</v>
      </c>
      <c r="D10">
        <f t="shared" si="0"/>
        <v>0</v>
      </c>
      <c r="E10" s="16">
        <f>IF(D10&gt;Paramètres!$B$14,"—",-MIN(Paramètres!$B$13,D10*Paramètres!$B$10))</f>
        <v>0</v>
      </c>
      <c r="F10" s="17">
        <f>IF(D10&gt;Paramètres!$B$14,"—",MAX(Paramètres!$B$12,1-D10*Paramètres!$B$11))</f>
        <v>1</v>
      </c>
      <c r="G10" s="17">
        <f>IF(D10&gt;Paramètres!$B$14,"—",MAX(Paramètres!$B$12,1-D10*Paramètres!$B$11))</f>
        <v>1</v>
      </c>
      <c r="H10" t="str">
        <f>IF(D10&gt;Paramètres!$B$14,"Non équipable (proposé)",IF(D10=0,"Aucun malus","Malus de niveau"))</f>
        <v>Aucun malus</v>
      </c>
    </row>
    <row r="12" spans="1:8">
      <c r="A12" s="30" t="s">
        <v>997</v>
      </c>
      <c r="B12" s="30"/>
      <c r="C12" s="30"/>
      <c r="D12" s="30"/>
      <c r="E12" s="30"/>
      <c r="F12" s="30"/>
      <c r="G12" s="30"/>
      <c r="H12" s="30"/>
    </row>
    <row r="13" spans="1:8">
      <c r="A13" s="30" t="s">
        <v>998</v>
      </c>
      <c r="B13" s="30"/>
      <c r="C13" s="30"/>
      <c r="D13" s="30"/>
      <c r="E13" s="30"/>
      <c r="F13" s="30"/>
      <c r="G13" s="30"/>
      <c r="H13" s="30"/>
    </row>
    <row r="15" spans="1:8">
      <c r="A15" s="30" t="s">
        <v>999</v>
      </c>
      <c r="B15" s="30"/>
      <c r="C15" s="30"/>
      <c r="D15" s="30"/>
      <c r="E15" s="30"/>
      <c r="F15" s="30"/>
      <c r="G15" s="30"/>
      <c r="H15" s="30"/>
    </row>
  </sheetData>
  <mergeCells count="5">
    <mergeCell ref="A1:H1"/>
    <mergeCell ref="A2:H2"/>
    <mergeCell ref="A12:H12"/>
    <mergeCell ref="A13:H13"/>
    <mergeCell ref="A15:H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6"/>
  <sheetViews>
    <sheetView workbookViewId="0">
      <pane ySplit="4" topLeftCell="A5" activePane="bottomLeft" state="frozen"/>
      <selection pane="bottomLeft" sqref="A1:D1"/>
    </sheetView>
  </sheetViews>
  <sheetFormatPr baseColWidth="10" defaultColWidth="9" defaultRowHeight="14.25"/>
  <cols>
    <col min="1" max="1" width="14" customWidth="1"/>
    <col min="2" max="2" width="43" customWidth="1"/>
    <col min="3" max="3" width="39" customWidth="1"/>
    <col min="4" max="4" width="47" customWidth="1"/>
  </cols>
  <sheetData>
    <row r="1" spans="1:4" ht="36.950000000000003" customHeight="1">
      <c r="A1" s="31" t="s">
        <v>1000</v>
      </c>
      <c r="B1" s="31"/>
      <c r="C1" s="31"/>
      <c r="D1" s="31"/>
    </row>
    <row r="2" spans="1:4" ht="29.1" customHeight="1">
      <c r="A2" s="29" t="s">
        <v>1001</v>
      </c>
      <c r="B2" s="29"/>
      <c r="C2" s="29"/>
      <c r="D2" s="29"/>
    </row>
    <row r="4" spans="1:4" ht="27.95" customHeight="1">
      <c r="A4" s="18" t="s">
        <v>50</v>
      </c>
      <c r="B4" s="18" t="s">
        <v>1002</v>
      </c>
      <c r="C4" s="18" t="s">
        <v>1003</v>
      </c>
      <c r="D4" s="18" t="s">
        <v>1004</v>
      </c>
    </row>
    <row r="5" spans="1:4" ht="42" customHeight="1">
      <c r="A5" s="2" t="s">
        <v>28</v>
      </c>
      <c r="B5" s="2" t="s">
        <v>1005</v>
      </c>
      <c r="C5" s="2" t="s">
        <v>1006</v>
      </c>
      <c r="D5" s="2" t="s">
        <v>1007</v>
      </c>
    </row>
    <row r="6" spans="1:4" ht="42" customHeight="1">
      <c r="A6" s="2" t="s">
        <v>30</v>
      </c>
      <c r="B6" s="2" t="s">
        <v>1008</v>
      </c>
      <c r="C6" s="2" t="s">
        <v>1009</v>
      </c>
      <c r="D6" s="2" t="s">
        <v>1010</v>
      </c>
    </row>
    <row r="7" spans="1:4" ht="42" customHeight="1">
      <c r="A7" s="2" t="s">
        <v>32</v>
      </c>
      <c r="B7" s="2" t="s">
        <v>1011</v>
      </c>
      <c r="C7" s="2" t="s">
        <v>1012</v>
      </c>
      <c r="D7" s="2" t="s">
        <v>1013</v>
      </c>
    </row>
    <row r="8" spans="1:4" ht="42" customHeight="1">
      <c r="A8" s="2" t="s">
        <v>34</v>
      </c>
      <c r="B8" s="2" t="s">
        <v>1014</v>
      </c>
      <c r="C8" s="2" t="s">
        <v>1015</v>
      </c>
      <c r="D8" s="2" t="s">
        <v>1016</v>
      </c>
    </row>
    <row r="9" spans="1:4" ht="42" customHeight="1">
      <c r="A9" s="2" t="s">
        <v>36</v>
      </c>
      <c r="B9" s="2" t="s">
        <v>1017</v>
      </c>
      <c r="C9" s="2" t="s">
        <v>1018</v>
      </c>
      <c r="D9" s="2" t="s">
        <v>1019</v>
      </c>
    </row>
    <row r="10" spans="1:4" ht="42" customHeight="1">
      <c r="A10" s="2" t="s">
        <v>1020</v>
      </c>
      <c r="B10" s="2" t="s">
        <v>1021</v>
      </c>
      <c r="C10" s="2" t="s">
        <v>1022</v>
      </c>
      <c r="D10" s="2" t="s">
        <v>1023</v>
      </c>
    </row>
    <row r="11" spans="1:4" ht="42" customHeight="1">
      <c r="A11" s="2" t="s">
        <v>1024</v>
      </c>
      <c r="B11" s="2" t="s">
        <v>1025</v>
      </c>
      <c r="C11" s="2" t="s">
        <v>1026</v>
      </c>
      <c r="D11" s="2" t="s">
        <v>1027</v>
      </c>
    </row>
    <row r="12" spans="1:4" ht="42" customHeight="1">
      <c r="A12" s="2" t="s">
        <v>1028</v>
      </c>
      <c r="B12" s="2" t="s">
        <v>1029</v>
      </c>
      <c r="C12" s="2" t="s">
        <v>1030</v>
      </c>
      <c r="D12" s="2" t="s">
        <v>1031</v>
      </c>
    </row>
    <row r="13" spans="1:4" ht="42" customHeight="1">
      <c r="A13" s="2" t="s">
        <v>1032</v>
      </c>
      <c r="B13" s="2" t="s">
        <v>1033</v>
      </c>
      <c r="C13" s="2" t="s">
        <v>1034</v>
      </c>
      <c r="D13" s="2" t="s">
        <v>1035</v>
      </c>
    </row>
    <row r="14" spans="1:4" ht="39.950000000000003" customHeight="1">
      <c r="A14" t="s">
        <v>1036</v>
      </c>
      <c r="B14" s="2" t="s">
        <v>1037</v>
      </c>
      <c r="C14" s="2" t="s">
        <v>1038</v>
      </c>
      <c r="D14" s="2" t="s">
        <v>1039</v>
      </c>
    </row>
    <row r="15" spans="1:4">
      <c r="A15" s="30" t="s">
        <v>1040</v>
      </c>
      <c r="B15" s="32" t="s">
        <v>1041</v>
      </c>
      <c r="C15" s="32" t="s">
        <v>1042</v>
      </c>
      <c r="D15" s="32" t="s">
        <v>1043</v>
      </c>
    </row>
    <row r="16" spans="1:4">
      <c r="A16" t="s">
        <v>1044</v>
      </c>
      <c r="B16" s="2" t="s">
        <v>1045</v>
      </c>
      <c r="C16" s="2" t="s">
        <v>1046</v>
      </c>
      <c r="D16" s="2" t="s">
        <v>1047</v>
      </c>
    </row>
    <row r="17" spans="1:4">
      <c r="A17" t="s">
        <v>1048</v>
      </c>
      <c r="B17" s="2" t="s">
        <v>1049</v>
      </c>
      <c r="C17" s="2" t="s">
        <v>1050</v>
      </c>
      <c r="D17" s="2" t="s">
        <v>1051</v>
      </c>
    </row>
    <row r="18" spans="1:4" ht="28.5">
      <c r="A18" t="s">
        <v>1052</v>
      </c>
      <c r="B18" s="2" t="s">
        <v>1053</v>
      </c>
      <c r="C18" s="2" t="s">
        <v>1054</v>
      </c>
      <c r="D18" s="2" t="s">
        <v>1055</v>
      </c>
    </row>
    <row r="19" spans="1:4">
      <c r="A19" t="s">
        <v>1056</v>
      </c>
    </row>
    <row r="20" spans="1:4">
      <c r="A20" t="s">
        <v>1057</v>
      </c>
      <c r="B20" t="s">
        <v>1058</v>
      </c>
      <c r="C20" t="s">
        <v>1059</v>
      </c>
      <c r="D20" t="s">
        <v>1060</v>
      </c>
    </row>
    <row r="21" spans="1:4">
      <c r="A21" t="s">
        <v>1061</v>
      </c>
      <c r="B21" t="s">
        <v>1062</v>
      </c>
      <c r="C21" t="s">
        <v>1063</v>
      </c>
      <c r="D21" t="s">
        <v>1064</v>
      </c>
    </row>
    <row r="22" spans="1:4">
      <c r="A22" t="s">
        <v>1065</v>
      </c>
      <c r="B22" t="s">
        <v>1066</v>
      </c>
      <c r="C22" t="s">
        <v>1067</v>
      </c>
      <c r="D22" t="s">
        <v>1068</v>
      </c>
    </row>
    <row r="23" spans="1:4">
      <c r="A23" t="s">
        <v>1069</v>
      </c>
      <c r="B23" t="s">
        <v>1070</v>
      </c>
      <c r="C23" t="s">
        <v>1071</v>
      </c>
      <c r="D23" t="s">
        <v>1072</v>
      </c>
    </row>
    <row r="24" spans="1:4">
      <c r="A24" t="s">
        <v>1073</v>
      </c>
      <c r="B24" t="s">
        <v>1074</v>
      </c>
      <c r="C24" t="s">
        <v>1075</v>
      </c>
      <c r="D24" t="s">
        <v>1076</v>
      </c>
    </row>
    <row r="25" spans="1:4">
      <c r="A25" t="s">
        <v>1077</v>
      </c>
      <c r="B25" t="s">
        <v>1078</v>
      </c>
      <c r="C25" t="s">
        <v>1079</v>
      </c>
      <c r="D25" t="s">
        <v>1080</v>
      </c>
    </row>
    <row r="26" spans="1:4">
      <c r="A26" t="s">
        <v>1081</v>
      </c>
      <c r="B26" t="s">
        <v>1082</v>
      </c>
      <c r="C26" t="s">
        <v>1083</v>
      </c>
      <c r="D26" t="s">
        <v>1084</v>
      </c>
    </row>
  </sheetData>
  <mergeCells count="3">
    <mergeCell ref="A1:D1"/>
    <mergeCell ref="A2:D2"/>
    <mergeCell ref="A15:D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BA7DF-E217-4A9B-9FD9-F4A8FE478FDE}">
  <dimension ref="A1:G83"/>
  <sheetViews>
    <sheetView workbookViewId="0">
      <pane ySplit="1" topLeftCell="A53" activePane="bottomLeft" state="frozen"/>
      <selection pane="bottomLeft"/>
    </sheetView>
  </sheetViews>
  <sheetFormatPr baseColWidth="10" defaultColWidth="9" defaultRowHeight="14.25"/>
  <cols>
    <col min="1" max="1" width="17" style="33" customWidth="1"/>
    <col min="2" max="2" width="40" style="33" customWidth="1"/>
    <col min="3" max="3" width="55" style="33" customWidth="1"/>
    <col min="4" max="4" width="37" style="33" customWidth="1"/>
    <col min="5" max="5" width="24" style="33" customWidth="1"/>
    <col min="6" max="6" width="45" style="33" customWidth="1"/>
    <col min="7" max="7" width="21" style="33" customWidth="1"/>
    <col min="8" max="16384" width="9" style="33"/>
  </cols>
  <sheetData>
    <row r="1" spans="1:7" ht="30" customHeight="1">
      <c r="A1" s="35" t="s">
        <v>1093</v>
      </c>
      <c r="B1" s="35" t="s">
        <v>1092</v>
      </c>
      <c r="C1" s="35" t="s">
        <v>1091</v>
      </c>
      <c r="D1" s="35" t="s">
        <v>1090</v>
      </c>
      <c r="E1" s="35" t="s">
        <v>1089</v>
      </c>
      <c r="F1" s="35" t="s">
        <v>1088</v>
      </c>
      <c r="G1" s="35" t="s">
        <v>1087</v>
      </c>
    </row>
    <row r="2" spans="1:7" ht="23.1" customHeight="1">
      <c r="A2" s="33" t="s">
        <v>70</v>
      </c>
      <c r="B2" s="34"/>
      <c r="C2" s="34"/>
      <c r="D2" s="34"/>
      <c r="E2" s="33" t="s">
        <v>1086</v>
      </c>
      <c r="F2" s="34"/>
      <c r="G2" s="33" t="s">
        <v>1085</v>
      </c>
    </row>
    <row r="3" spans="1:7" ht="23.1" customHeight="1">
      <c r="A3" s="33" t="s">
        <v>82</v>
      </c>
      <c r="B3" s="34"/>
      <c r="C3" s="34"/>
      <c r="D3" s="34"/>
      <c r="E3" s="33" t="s">
        <v>1086</v>
      </c>
      <c r="F3" s="34"/>
      <c r="G3" s="33" t="s">
        <v>1085</v>
      </c>
    </row>
    <row r="4" spans="1:7" ht="23.1" customHeight="1">
      <c r="A4" s="33" t="s">
        <v>86</v>
      </c>
      <c r="B4" s="34"/>
      <c r="C4" s="34"/>
      <c r="D4" s="34"/>
      <c r="E4" s="33" t="s">
        <v>1086</v>
      </c>
      <c r="F4" s="34"/>
      <c r="G4" s="33" t="s">
        <v>1085</v>
      </c>
    </row>
    <row r="5" spans="1:7" ht="23.1" customHeight="1">
      <c r="A5" s="33" t="s">
        <v>89</v>
      </c>
      <c r="B5" s="34"/>
      <c r="C5" s="34"/>
      <c r="D5" s="34"/>
      <c r="E5" s="33" t="s">
        <v>1086</v>
      </c>
      <c r="F5" s="34"/>
      <c r="G5" s="33" t="s">
        <v>1085</v>
      </c>
    </row>
    <row r="6" spans="1:7" ht="23.1" customHeight="1">
      <c r="A6" s="33" t="s">
        <v>92</v>
      </c>
      <c r="B6" s="34"/>
      <c r="C6" s="34"/>
      <c r="D6" s="34"/>
      <c r="E6" s="33" t="s">
        <v>1086</v>
      </c>
      <c r="F6" s="34"/>
      <c r="G6" s="33" t="s">
        <v>1085</v>
      </c>
    </row>
    <row r="7" spans="1:7" ht="23.1" customHeight="1">
      <c r="A7" s="33" t="s">
        <v>95</v>
      </c>
      <c r="B7" s="34"/>
      <c r="C7" s="34"/>
      <c r="D7" s="34"/>
      <c r="E7" s="33" t="s">
        <v>1086</v>
      </c>
      <c r="F7" s="34"/>
      <c r="G7" s="33" t="s">
        <v>1085</v>
      </c>
    </row>
    <row r="8" spans="1:7" ht="23.1" customHeight="1">
      <c r="A8" s="33" t="s">
        <v>99</v>
      </c>
      <c r="B8" s="34"/>
      <c r="C8" s="34"/>
      <c r="D8" s="34"/>
      <c r="E8" s="33" t="s">
        <v>1086</v>
      </c>
      <c r="F8" s="34"/>
      <c r="G8" s="33" t="s">
        <v>1085</v>
      </c>
    </row>
    <row r="9" spans="1:7" ht="23.1" customHeight="1">
      <c r="A9" s="33" t="s">
        <v>102</v>
      </c>
      <c r="B9" s="34"/>
      <c r="C9" s="34"/>
      <c r="D9" s="34"/>
      <c r="E9" s="33" t="s">
        <v>1086</v>
      </c>
      <c r="F9" s="34"/>
      <c r="G9" s="33" t="s">
        <v>1085</v>
      </c>
    </row>
    <row r="10" spans="1:7" ht="23.1" customHeight="1">
      <c r="A10" s="33" t="s">
        <v>105</v>
      </c>
      <c r="B10" s="34"/>
      <c r="C10" s="34"/>
      <c r="D10" s="34"/>
      <c r="E10" s="33" t="s">
        <v>1086</v>
      </c>
      <c r="F10" s="34"/>
      <c r="G10" s="33" t="s">
        <v>1085</v>
      </c>
    </row>
    <row r="11" spans="1:7" ht="23.1" customHeight="1">
      <c r="A11" s="33" t="s">
        <v>108</v>
      </c>
      <c r="B11" s="34"/>
      <c r="C11" s="34"/>
      <c r="D11" s="34"/>
      <c r="E11" s="33" t="s">
        <v>1086</v>
      </c>
      <c r="F11" s="34"/>
      <c r="G11" s="33" t="s">
        <v>1085</v>
      </c>
    </row>
    <row r="12" spans="1:7" ht="23.1" customHeight="1">
      <c r="A12" s="33" t="s">
        <v>111</v>
      </c>
      <c r="B12" s="34"/>
      <c r="C12" s="34"/>
      <c r="D12" s="34"/>
      <c r="E12" s="33" t="s">
        <v>1086</v>
      </c>
      <c r="F12" s="34"/>
      <c r="G12" s="33" t="s">
        <v>1085</v>
      </c>
    </row>
    <row r="13" spans="1:7" ht="23.1" customHeight="1">
      <c r="A13" s="33" t="s">
        <v>114</v>
      </c>
      <c r="B13" s="34"/>
      <c r="C13" s="34"/>
      <c r="D13" s="34"/>
      <c r="E13" s="33" t="s">
        <v>1086</v>
      </c>
      <c r="F13" s="34"/>
      <c r="G13" s="33" t="s">
        <v>1085</v>
      </c>
    </row>
    <row r="14" spans="1:7" ht="23.1" customHeight="1">
      <c r="A14" s="33" t="s">
        <v>118</v>
      </c>
      <c r="B14" s="34"/>
      <c r="C14" s="34"/>
      <c r="D14" s="34"/>
      <c r="E14" s="33" t="s">
        <v>1086</v>
      </c>
      <c r="F14" s="34"/>
      <c r="G14" s="33" t="s">
        <v>1085</v>
      </c>
    </row>
    <row r="15" spans="1:7" ht="23.1" customHeight="1">
      <c r="A15" s="33" t="s">
        <v>121</v>
      </c>
      <c r="B15" s="34"/>
      <c r="C15" s="34"/>
      <c r="D15" s="34"/>
      <c r="E15" s="33" t="s">
        <v>1086</v>
      </c>
      <c r="F15" s="34"/>
      <c r="G15" s="33" t="s">
        <v>1085</v>
      </c>
    </row>
    <row r="16" spans="1:7" ht="23.1" customHeight="1">
      <c r="A16" s="33" t="s">
        <v>130</v>
      </c>
      <c r="B16" s="34"/>
      <c r="C16" s="34"/>
      <c r="D16" s="34"/>
      <c r="E16" s="33" t="s">
        <v>1086</v>
      </c>
      <c r="F16" s="34"/>
      <c r="G16" s="33" t="s">
        <v>1085</v>
      </c>
    </row>
    <row r="17" spans="1:7" ht="23.1" customHeight="1">
      <c r="A17" s="33" t="s">
        <v>134</v>
      </c>
      <c r="B17" s="34"/>
      <c r="C17" s="34"/>
      <c r="D17" s="34"/>
      <c r="E17" s="33" t="s">
        <v>1086</v>
      </c>
      <c r="F17" s="34"/>
      <c r="G17" s="33" t="s">
        <v>1085</v>
      </c>
    </row>
    <row r="18" spans="1:7" ht="23.1" customHeight="1">
      <c r="A18" s="33" t="s">
        <v>137</v>
      </c>
      <c r="B18" s="34"/>
      <c r="C18" s="34"/>
      <c r="D18" s="34"/>
      <c r="E18" s="33" t="s">
        <v>1086</v>
      </c>
      <c r="F18" s="34"/>
      <c r="G18" s="33" t="s">
        <v>1085</v>
      </c>
    </row>
    <row r="19" spans="1:7" ht="23.1" customHeight="1">
      <c r="A19" s="33" t="s">
        <v>140</v>
      </c>
      <c r="B19" s="34"/>
      <c r="C19" s="34"/>
      <c r="D19" s="34"/>
      <c r="E19" s="33" t="s">
        <v>1086</v>
      </c>
      <c r="F19" s="34"/>
      <c r="G19" s="33" t="s">
        <v>1085</v>
      </c>
    </row>
    <row r="20" spans="1:7" ht="23.1" customHeight="1">
      <c r="A20" s="33" t="s">
        <v>144</v>
      </c>
      <c r="B20" s="34"/>
      <c r="C20" s="34"/>
      <c r="D20" s="34"/>
      <c r="E20" s="33" t="s">
        <v>1086</v>
      </c>
      <c r="F20" s="34"/>
      <c r="G20" s="33" t="s">
        <v>1085</v>
      </c>
    </row>
    <row r="21" spans="1:7" ht="23.1" customHeight="1">
      <c r="A21" s="33" t="s">
        <v>147</v>
      </c>
      <c r="B21" s="34"/>
      <c r="C21" s="34"/>
      <c r="D21" s="34"/>
      <c r="E21" s="33" t="s">
        <v>1086</v>
      </c>
      <c r="F21" s="34"/>
      <c r="G21" s="33" t="s">
        <v>1085</v>
      </c>
    </row>
    <row r="22" spans="1:7" ht="23.1" customHeight="1">
      <c r="A22" s="33" t="s">
        <v>150</v>
      </c>
      <c r="B22" s="34"/>
      <c r="C22" s="34"/>
      <c r="D22" s="34"/>
      <c r="E22" s="33" t="s">
        <v>1086</v>
      </c>
      <c r="F22" s="34"/>
      <c r="G22" s="33" t="s">
        <v>1085</v>
      </c>
    </row>
    <row r="23" spans="1:7" ht="23.1" customHeight="1">
      <c r="A23" s="33" t="s">
        <v>153</v>
      </c>
      <c r="B23" s="34"/>
      <c r="C23" s="34"/>
      <c r="D23" s="34"/>
      <c r="E23" s="33" t="s">
        <v>1086</v>
      </c>
      <c r="F23" s="34"/>
      <c r="G23" s="33" t="s">
        <v>1085</v>
      </c>
    </row>
    <row r="24" spans="1:7" ht="23.1" customHeight="1">
      <c r="A24" s="33" t="s">
        <v>155</v>
      </c>
      <c r="B24" s="34"/>
      <c r="C24" s="34"/>
      <c r="D24" s="34"/>
      <c r="E24" s="33" t="s">
        <v>1086</v>
      </c>
      <c r="F24" s="34"/>
      <c r="G24" s="33" t="s">
        <v>1085</v>
      </c>
    </row>
    <row r="25" spans="1:7" ht="23.1" customHeight="1">
      <c r="A25" s="33" t="s">
        <v>158</v>
      </c>
      <c r="B25" s="34"/>
      <c r="C25" s="34"/>
      <c r="D25" s="34"/>
      <c r="E25" s="33" t="s">
        <v>1086</v>
      </c>
      <c r="F25" s="34"/>
      <c r="G25" s="33" t="s">
        <v>1085</v>
      </c>
    </row>
    <row r="26" spans="1:7" ht="23.1" customHeight="1">
      <c r="A26" s="33" t="s">
        <v>161</v>
      </c>
      <c r="B26" s="34"/>
      <c r="C26" s="34"/>
      <c r="D26" s="34"/>
      <c r="E26" s="33" t="s">
        <v>1086</v>
      </c>
      <c r="F26" s="34"/>
      <c r="G26" s="33" t="s">
        <v>1085</v>
      </c>
    </row>
    <row r="27" spans="1:7" ht="23.1" customHeight="1">
      <c r="A27" s="33" t="s">
        <v>164</v>
      </c>
      <c r="B27" s="34"/>
      <c r="C27" s="34"/>
      <c r="D27" s="34"/>
      <c r="E27" s="33" t="s">
        <v>1086</v>
      </c>
      <c r="F27" s="34"/>
      <c r="G27" s="33" t="s">
        <v>1085</v>
      </c>
    </row>
    <row r="28" spans="1:7" ht="23.1" customHeight="1">
      <c r="A28" s="33" t="s">
        <v>167</v>
      </c>
      <c r="B28" s="34"/>
      <c r="C28" s="34"/>
      <c r="D28" s="34"/>
      <c r="E28" s="33" t="s">
        <v>1086</v>
      </c>
      <c r="F28" s="34"/>
      <c r="G28" s="33" t="s">
        <v>1085</v>
      </c>
    </row>
    <row r="29" spans="1:7" ht="23.1" customHeight="1">
      <c r="A29" s="33" t="s">
        <v>175</v>
      </c>
      <c r="B29" s="34"/>
      <c r="C29" s="34"/>
      <c r="D29" s="34"/>
      <c r="E29" s="33" t="s">
        <v>1086</v>
      </c>
      <c r="F29" s="34"/>
      <c r="G29" s="33" t="s">
        <v>1085</v>
      </c>
    </row>
    <row r="30" spans="1:7" ht="23.1" customHeight="1">
      <c r="A30" s="33" t="s">
        <v>179</v>
      </c>
      <c r="B30" s="34"/>
      <c r="C30" s="34"/>
      <c r="D30" s="34"/>
      <c r="E30" s="33" t="s">
        <v>1086</v>
      </c>
      <c r="F30" s="34"/>
      <c r="G30" s="33" t="s">
        <v>1085</v>
      </c>
    </row>
    <row r="31" spans="1:7" ht="23.1" customHeight="1">
      <c r="A31" s="33" t="s">
        <v>182</v>
      </c>
      <c r="B31" s="34"/>
      <c r="C31" s="34"/>
      <c r="D31" s="34"/>
      <c r="E31" s="33" t="s">
        <v>1086</v>
      </c>
      <c r="F31" s="34"/>
      <c r="G31" s="33" t="s">
        <v>1085</v>
      </c>
    </row>
    <row r="32" spans="1:7" ht="23.1" customHeight="1">
      <c r="A32" s="33" t="s">
        <v>186</v>
      </c>
      <c r="B32" s="34"/>
      <c r="C32" s="34"/>
      <c r="D32" s="34"/>
      <c r="E32" s="33" t="s">
        <v>1086</v>
      </c>
      <c r="F32" s="34"/>
      <c r="G32" s="33" t="s">
        <v>1085</v>
      </c>
    </row>
    <row r="33" spans="1:7" ht="23.1" customHeight="1">
      <c r="A33" s="33" t="s">
        <v>189</v>
      </c>
      <c r="B33" s="34"/>
      <c r="C33" s="34"/>
      <c r="D33" s="34"/>
      <c r="E33" s="33" t="s">
        <v>1086</v>
      </c>
      <c r="F33" s="34"/>
      <c r="G33" s="33" t="s">
        <v>1085</v>
      </c>
    </row>
    <row r="34" spans="1:7" ht="23.1" customHeight="1">
      <c r="A34" s="33" t="s">
        <v>193</v>
      </c>
      <c r="B34" s="34"/>
      <c r="C34" s="34"/>
      <c r="D34" s="34"/>
      <c r="E34" s="33" t="s">
        <v>1086</v>
      </c>
      <c r="F34" s="34"/>
      <c r="G34" s="33" t="s">
        <v>1085</v>
      </c>
    </row>
    <row r="35" spans="1:7" ht="23.1" customHeight="1">
      <c r="A35" s="33" t="s">
        <v>196</v>
      </c>
      <c r="B35" s="34"/>
      <c r="C35" s="34"/>
      <c r="D35" s="34"/>
      <c r="E35" s="33" t="s">
        <v>1086</v>
      </c>
      <c r="F35" s="34"/>
      <c r="G35" s="33" t="s">
        <v>1085</v>
      </c>
    </row>
    <row r="36" spans="1:7" ht="23.1" customHeight="1">
      <c r="A36" s="33" t="s">
        <v>199</v>
      </c>
      <c r="B36" s="34"/>
      <c r="C36" s="34"/>
      <c r="D36" s="34"/>
      <c r="E36" s="33" t="s">
        <v>1086</v>
      </c>
      <c r="F36" s="34"/>
      <c r="G36" s="33" t="s">
        <v>1085</v>
      </c>
    </row>
    <row r="37" spans="1:7" ht="23.1" customHeight="1">
      <c r="A37" s="33" t="s">
        <v>202</v>
      </c>
      <c r="B37" s="34"/>
      <c r="C37" s="34"/>
      <c r="D37" s="34"/>
      <c r="E37" s="33" t="s">
        <v>1086</v>
      </c>
      <c r="F37" s="34"/>
      <c r="G37" s="33" t="s">
        <v>1085</v>
      </c>
    </row>
    <row r="38" spans="1:7" ht="23.1" customHeight="1">
      <c r="A38" s="33" t="s">
        <v>206</v>
      </c>
      <c r="B38" s="34"/>
      <c r="C38" s="34"/>
      <c r="D38" s="34"/>
      <c r="E38" s="33" t="s">
        <v>1086</v>
      </c>
      <c r="F38" s="34"/>
      <c r="G38" s="33" t="s">
        <v>1085</v>
      </c>
    </row>
    <row r="39" spans="1:7" ht="23.1" customHeight="1">
      <c r="A39" s="33" t="s">
        <v>209</v>
      </c>
      <c r="B39" s="34"/>
      <c r="C39" s="34"/>
      <c r="D39" s="34"/>
      <c r="E39" s="33" t="s">
        <v>1086</v>
      </c>
      <c r="F39" s="34"/>
      <c r="G39" s="33" t="s">
        <v>1085</v>
      </c>
    </row>
    <row r="40" spans="1:7" ht="23.1" customHeight="1">
      <c r="A40" s="33" t="s">
        <v>216</v>
      </c>
      <c r="B40" s="34"/>
      <c r="C40" s="34"/>
      <c r="D40" s="34"/>
      <c r="E40" s="33" t="s">
        <v>1086</v>
      </c>
      <c r="F40" s="34"/>
      <c r="G40" s="33" t="s">
        <v>1085</v>
      </c>
    </row>
    <row r="41" spans="1:7" ht="23.1" customHeight="1">
      <c r="A41" s="33" t="s">
        <v>220</v>
      </c>
      <c r="B41" s="34"/>
      <c r="C41" s="34"/>
      <c r="D41" s="34"/>
      <c r="E41" s="33" t="s">
        <v>1086</v>
      </c>
      <c r="F41" s="34"/>
      <c r="G41" s="33" t="s">
        <v>1085</v>
      </c>
    </row>
    <row r="42" spans="1:7" ht="23.1" customHeight="1">
      <c r="A42" s="33" t="s">
        <v>224</v>
      </c>
      <c r="B42" s="34"/>
      <c r="C42" s="34"/>
      <c r="D42" s="34"/>
      <c r="E42" s="33" t="s">
        <v>1086</v>
      </c>
      <c r="F42" s="34"/>
      <c r="G42" s="33" t="s">
        <v>1085</v>
      </c>
    </row>
    <row r="43" spans="1:7" ht="23.1" customHeight="1">
      <c r="A43" s="33" t="s">
        <v>227</v>
      </c>
      <c r="B43" s="34"/>
      <c r="C43" s="34"/>
      <c r="D43" s="34"/>
      <c r="E43" s="33" t="s">
        <v>1086</v>
      </c>
      <c r="F43" s="34"/>
      <c r="G43" s="33" t="s">
        <v>1085</v>
      </c>
    </row>
    <row r="44" spans="1:7" ht="23.1" customHeight="1">
      <c r="A44" s="33" t="s">
        <v>229</v>
      </c>
      <c r="B44" s="34"/>
      <c r="C44" s="34"/>
      <c r="D44" s="34"/>
      <c r="E44" s="33" t="s">
        <v>1086</v>
      </c>
      <c r="F44" s="34"/>
      <c r="G44" s="33" t="s">
        <v>1085</v>
      </c>
    </row>
    <row r="45" spans="1:7" ht="23.1" customHeight="1">
      <c r="A45" s="33" t="s">
        <v>232</v>
      </c>
      <c r="B45" s="34"/>
      <c r="C45" s="34"/>
      <c r="D45" s="34"/>
      <c r="E45" s="33" t="s">
        <v>1086</v>
      </c>
      <c r="F45" s="34"/>
      <c r="G45" s="33" t="s">
        <v>1085</v>
      </c>
    </row>
    <row r="46" spans="1:7" ht="23.1" customHeight="1">
      <c r="A46" s="33" t="s">
        <v>235</v>
      </c>
      <c r="B46" s="34"/>
      <c r="C46" s="34"/>
      <c r="D46" s="34"/>
      <c r="E46" s="33" t="s">
        <v>1086</v>
      </c>
      <c r="F46" s="34"/>
      <c r="G46" s="33" t="s">
        <v>1085</v>
      </c>
    </row>
    <row r="47" spans="1:7" ht="23.1" customHeight="1">
      <c r="A47" s="33" t="s">
        <v>241</v>
      </c>
      <c r="B47" s="34"/>
      <c r="C47" s="34"/>
      <c r="D47" s="34"/>
      <c r="E47" s="33" t="s">
        <v>1086</v>
      </c>
      <c r="F47" s="34"/>
      <c r="G47" s="33" t="s">
        <v>1085</v>
      </c>
    </row>
    <row r="48" spans="1:7" ht="23.1" customHeight="1">
      <c r="A48" s="33" t="s">
        <v>244</v>
      </c>
      <c r="B48" s="34"/>
      <c r="C48" s="34"/>
      <c r="D48" s="34"/>
      <c r="E48" s="33" t="s">
        <v>1086</v>
      </c>
      <c r="F48" s="34"/>
      <c r="G48" s="33" t="s">
        <v>1085</v>
      </c>
    </row>
    <row r="49" spans="1:7" ht="23.1" customHeight="1">
      <c r="A49" s="33" t="s">
        <v>247</v>
      </c>
      <c r="B49" s="34"/>
      <c r="C49" s="34"/>
      <c r="D49" s="34"/>
      <c r="E49" s="33" t="s">
        <v>1086</v>
      </c>
      <c r="F49" s="34"/>
      <c r="G49" s="33" t="s">
        <v>1085</v>
      </c>
    </row>
    <row r="50" spans="1:7" ht="23.1" customHeight="1">
      <c r="A50" s="33" t="s">
        <v>249</v>
      </c>
      <c r="B50" s="34"/>
      <c r="C50" s="34"/>
      <c r="D50" s="34"/>
      <c r="E50" s="33" t="s">
        <v>1086</v>
      </c>
      <c r="F50" s="34"/>
      <c r="G50" s="33" t="s">
        <v>1085</v>
      </c>
    </row>
    <row r="51" spans="1:7" ht="23.1" customHeight="1">
      <c r="A51" s="33" t="s">
        <v>252</v>
      </c>
      <c r="B51" s="34"/>
      <c r="C51" s="34"/>
      <c r="D51" s="34"/>
      <c r="E51" s="33" t="s">
        <v>1086</v>
      </c>
      <c r="F51" s="34"/>
      <c r="G51" s="33" t="s">
        <v>1085</v>
      </c>
    </row>
    <row r="52" spans="1:7" ht="23.1" customHeight="1">
      <c r="A52" s="33" t="s">
        <v>256</v>
      </c>
      <c r="B52" s="34"/>
      <c r="C52" s="34"/>
      <c r="D52" s="34"/>
      <c r="E52" s="33" t="s">
        <v>1086</v>
      </c>
      <c r="F52" s="34"/>
      <c r="G52" s="33" t="s">
        <v>1085</v>
      </c>
    </row>
    <row r="53" spans="1:7" ht="23.1" customHeight="1">
      <c r="A53" s="33" t="s">
        <v>259</v>
      </c>
      <c r="B53" s="34"/>
      <c r="C53" s="34"/>
      <c r="D53" s="34"/>
      <c r="E53" s="33" t="s">
        <v>1086</v>
      </c>
      <c r="F53" s="34"/>
      <c r="G53" s="33" t="s">
        <v>1085</v>
      </c>
    </row>
    <row r="54" spans="1:7" ht="23.1" customHeight="1">
      <c r="A54" s="33" t="s">
        <v>262</v>
      </c>
      <c r="B54" s="34"/>
      <c r="C54" s="34"/>
      <c r="D54" s="34"/>
      <c r="E54" s="33" t="s">
        <v>1086</v>
      </c>
      <c r="F54" s="34"/>
      <c r="G54" s="33" t="s">
        <v>1085</v>
      </c>
    </row>
    <row r="55" spans="1:7" ht="23.1" customHeight="1">
      <c r="A55" s="33" t="s">
        <v>265</v>
      </c>
      <c r="B55" s="34"/>
      <c r="C55" s="34"/>
      <c r="D55" s="34"/>
      <c r="E55" s="33" t="s">
        <v>1086</v>
      </c>
      <c r="F55" s="34"/>
      <c r="G55" s="33" t="s">
        <v>1085</v>
      </c>
    </row>
    <row r="56" spans="1:7" ht="23.1" customHeight="1">
      <c r="A56" s="33" t="s">
        <v>270</v>
      </c>
      <c r="B56" s="34"/>
      <c r="C56" s="34"/>
      <c r="D56" s="34"/>
      <c r="E56" s="33" t="s">
        <v>1086</v>
      </c>
      <c r="F56" s="34"/>
      <c r="G56" s="33" t="s">
        <v>1085</v>
      </c>
    </row>
    <row r="57" spans="1:7" ht="23.1" customHeight="1">
      <c r="A57" s="33" t="s">
        <v>272</v>
      </c>
      <c r="B57" s="34"/>
      <c r="C57" s="34"/>
      <c r="D57" s="34"/>
      <c r="E57" s="33" t="s">
        <v>1086</v>
      </c>
      <c r="F57" s="34"/>
      <c r="G57" s="33" t="s">
        <v>1085</v>
      </c>
    </row>
    <row r="58" spans="1:7" ht="23.1" customHeight="1">
      <c r="A58" s="33" t="s">
        <v>274</v>
      </c>
      <c r="B58" s="34"/>
      <c r="C58" s="34"/>
      <c r="D58" s="34"/>
      <c r="E58" s="33" t="s">
        <v>1086</v>
      </c>
      <c r="F58" s="34"/>
      <c r="G58" s="33" t="s">
        <v>1085</v>
      </c>
    </row>
    <row r="59" spans="1:7" ht="23.1" customHeight="1">
      <c r="A59" s="33" t="s">
        <v>276</v>
      </c>
      <c r="B59" s="34"/>
      <c r="C59" s="34"/>
      <c r="D59" s="34"/>
      <c r="E59" s="33" t="s">
        <v>1086</v>
      </c>
      <c r="F59" s="34"/>
      <c r="G59" s="33" t="s">
        <v>1085</v>
      </c>
    </row>
    <row r="60" spans="1:7" ht="23.1" customHeight="1">
      <c r="A60" s="33" t="s">
        <v>278</v>
      </c>
      <c r="B60" s="34"/>
      <c r="C60" s="34"/>
      <c r="D60" s="34"/>
      <c r="E60" s="33" t="s">
        <v>1086</v>
      </c>
      <c r="F60" s="34"/>
      <c r="G60" s="33" t="s">
        <v>1085</v>
      </c>
    </row>
    <row r="61" spans="1:7" ht="23.1" customHeight="1">
      <c r="A61" s="33" t="s">
        <v>281</v>
      </c>
      <c r="B61" s="34"/>
      <c r="C61" s="34"/>
      <c r="D61" s="34"/>
      <c r="E61" s="33" t="s">
        <v>1086</v>
      </c>
      <c r="F61" s="34"/>
      <c r="G61" s="33" t="s">
        <v>1085</v>
      </c>
    </row>
    <row r="62" spans="1:7" ht="23.1" customHeight="1">
      <c r="A62" s="33" t="s">
        <v>284</v>
      </c>
      <c r="B62" s="34"/>
      <c r="C62" s="34"/>
      <c r="D62" s="34"/>
      <c r="E62" s="33" t="s">
        <v>1086</v>
      </c>
      <c r="F62" s="34"/>
      <c r="G62" s="33" t="s">
        <v>1085</v>
      </c>
    </row>
    <row r="63" spans="1:7" ht="23.1" customHeight="1">
      <c r="A63" s="33" t="s">
        <v>294</v>
      </c>
      <c r="B63" s="34"/>
      <c r="C63" s="34"/>
      <c r="D63" s="34"/>
      <c r="E63" s="33" t="s">
        <v>1086</v>
      </c>
      <c r="F63" s="34"/>
      <c r="G63" s="33" t="s">
        <v>1085</v>
      </c>
    </row>
    <row r="64" spans="1:7" ht="23.1" customHeight="1">
      <c r="A64" s="33" t="s">
        <v>298</v>
      </c>
      <c r="B64" s="34"/>
      <c r="C64" s="34"/>
      <c r="D64" s="34"/>
      <c r="E64" s="33" t="s">
        <v>1086</v>
      </c>
      <c r="F64" s="34"/>
      <c r="G64" s="33" t="s">
        <v>1085</v>
      </c>
    </row>
    <row r="65" spans="1:7" ht="23.1" customHeight="1">
      <c r="A65" s="33" t="s">
        <v>302</v>
      </c>
      <c r="B65" s="34"/>
      <c r="C65" s="34"/>
      <c r="D65" s="34"/>
      <c r="E65" s="33" t="s">
        <v>1086</v>
      </c>
      <c r="F65" s="34"/>
      <c r="G65" s="33" t="s">
        <v>1085</v>
      </c>
    </row>
    <row r="66" spans="1:7" ht="23.1" customHeight="1">
      <c r="A66" s="33" t="s">
        <v>306</v>
      </c>
      <c r="B66" s="34"/>
      <c r="C66" s="34"/>
      <c r="D66" s="34"/>
      <c r="E66" s="33" t="s">
        <v>1086</v>
      </c>
      <c r="F66" s="34"/>
      <c r="G66" s="33" t="s">
        <v>1085</v>
      </c>
    </row>
    <row r="67" spans="1:7" ht="23.1" customHeight="1">
      <c r="A67" s="33" t="s">
        <v>309</v>
      </c>
      <c r="B67" s="34"/>
      <c r="C67" s="34"/>
      <c r="D67" s="34"/>
      <c r="E67" s="33" t="s">
        <v>1086</v>
      </c>
      <c r="F67" s="34"/>
      <c r="G67" s="33" t="s">
        <v>1085</v>
      </c>
    </row>
    <row r="68" spans="1:7" ht="23.1" customHeight="1">
      <c r="A68" s="33" t="s">
        <v>312</v>
      </c>
      <c r="B68" s="34"/>
      <c r="C68" s="34"/>
      <c r="D68" s="34"/>
      <c r="E68" s="33" t="s">
        <v>1086</v>
      </c>
      <c r="F68" s="34"/>
      <c r="G68" s="33" t="s">
        <v>1085</v>
      </c>
    </row>
    <row r="69" spans="1:7" ht="23.1" customHeight="1">
      <c r="A69" s="33" t="s">
        <v>315</v>
      </c>
      <c r="B69" s="34"/>
      <c r="C69" s="34"/>
      <c r="D69" s="34"/>
      <c r="E69" s="33" t="s">
        <v>1086</v>
      </c>
      <c r="F69" s="34"/>
      <c r="G69" s="33" t="s">
        <v>1085</v>
      </c>
    </row>
    <row r="70" spans="1:7" ht="23.1" customHeight="1">
      <c r="A70" s="33" t="s">
        <v>318</v>
      </c>
      <c r="B70" s="34"/>
      <c r="C70" s="34"/>
      <c r="D70" s="34"/>
      <c r="E70" s="33" t="s">
        <v>1086</v>
      </c>
      <c r="F70" s="34"/>
      <c r="G70" s="33" t="s">
        <v>1085</v>
      </c>
    </row>
    <row r="71" spans="1:7" ht="23.1" customHeight="1">
      <c r="A71" s="33" t="s">
        <v>324</v>
      </c>
      <c r="B71" s="34"/>
      <c r="C71" s="34"/>
      <c r="D71" s="34"/>
      <c r="E71" s="33" t="s">
        <v>1086</v>
      </c>
      <c r="F71" s="34"/>
      <c r="G71" s="33" t="s">
        <v>1085</v>
      </c>
    </row>
    <row r="72" spans="1:7" ht="23.1" customHeight="1">
      <c r="A72" s="33" t="s">
        <v>329</v>
      </c>
      <c r="B72" s="34"/>
      <c r="C72" s="34"/>
      <c r="D72" s="34"/>
      <c r="E72" s="33" t="s">
        <v>1086</v>
      </c>
      <c r="F72" s="34"/>
      <c r="G72" s="33" t="s">
        <v>1085</v>
      </c>
    </row>
    <row r="73" spans="1:7" ht="23.1" customHeight="1">
      <c r="A73" s="33" t="s">
        <v>331</v>
      </c>
      <c r="B73" s="34"/>
      <c r="C73" s="34"/>
      <c r="D73" s="34"/>
      <c r="E73" s="33" t="s">
        <v>1086</v>
      </c>
      <c r="F73" s="34"/>
      <c r="G73" s="33" t="s">
        <v>1085</v>
      </c>
    </row>
    <row r="74" spans="1:7" ht="23.1" customHeight="1">
      <c r="A74" s="33" t="s">
        <v>338</v>
      </c>
      <c r="B74" s="34"/>
      <c r="C74" s="34"/>
      <c r="D74" s="34"/>
      <c r="E74" s="33" t="s">
        <v>1086</v>
      </c>
      <c r="F74" s="34"/>
      <c r="G74" s="33" t="s">
        <v>1085</v>
      </c>
    </row>
    <row r="75" spans="1:7" ht="23.1" customHeight="1">
      <c r="A75" s="33" t="s">
        <v>341</v>
      </c>
      <c r="B75" s="34"/>
      <c r="C75" s="34"/>
      <c r="D75" s="34"/>
      <c r="E75" s="33" t="s">
        <v>1086</v>
      </c>
      <c r="F75" s="34"/>
      <c r="G75" s="33" t="s">
        <v>1085</v>
      </c>
    </row>
    <row r="76" spans="1:7" ht="23.1" customHeight="1">
      <c r="A76" s="33" t="s">
        <v>344</v>
      </c>
      <c r="B76" s="34"/>
      <c r="C76" s="34"/>
      <c r="D76" s="34"/>
      <c r="E76" s="33" t="s">
        <v>1086</v>
      </c>
      <c r="F76" s="34"/>
      <c r="G76" s="33" t="s">
        <v>1085</v>
      </c>
    </row>
    <row r="77" spans="1:7" ht="23.1" customHeight="1">
      <c r="A77" s="33" t="s">
        <v>347</v>
      </c>
      <c r="B77" s="34"/>
      <c r="C77" s="34"/>
      <c r="D77" s="34"/>
      <c r="E77" s="33" t="s">
        <v>1086</v>
      </c>
      <c r="F77" s="34"/>
      <c r="G77" s="33" t="s">
        <v>1085</v>
      </c>
    </row>
    <row r="78" spans="1:7" ht="23.1" customHeight="1">
      <c r="A78" s="33" t="s">
        <v>350</v>
      </c>
      <c r="B78" s="34"/>
      <c r="C78" s="34"/>
      <c r="D78" s="34"/>
      <c r="E78" s="33" t="s">
        <v>1086</v>
      </c>
      <c r="F78" s="34"/>
      <c r="G78" s="33" t="s">
        <v>1085</v>
      </c>
    </row>
    <row r="79" spans="1:7" ht="23.1" customHeight="1">
      <c r="A79" s="33" t="s">
        <v>353</v>
      </c>
      <c r="B79" s="34"/>
      <c r="C79" s="34"/>
      <c r="D79" s="34"/>
      <c r="E79" s="33" t="s">
        <v>1086</v>
      </c>
      <c r="F79" s="34"/>
      <c r="G79" s="33" t="s">
        <v>1085</v>
      </c>
    </row>
    <row r="80" spans="1:7" ht="23.1" customHeight="1">
      <c r="A80" s="33" t="s">
        <v>356</v>
      </c>
      <c r="B80" s="34"/>
      <c r="C80" s="34"/>
      <c r="D80" s="34"/>
      <c r="E80" s="33" t="s">
        <v>1086</v>
      </c>
      <c r="F80" s="34"/>
      <c r="G80" s="33" t="s">
        <v>1085</v>
      </c>
    </row>
    <row r="81" spans="1:7" ht="23.1" customHeight="1">
      <c r="A81" s="33" t="s">
        <v>359</v>
      </c>
      <c r="B81" s="34"/>
      <c r="C81" s="34"/>
      <c r="D81" s="34"/>
      <c r="E81" s="33" t="s">
        <v>1086</v>
      </c>
      <c r="F81" s="34"/>
      <c r="G81" s="33" t="s">
        <v>1085</v>
      </c>
    </row>
    <row r="82" spans="1:7" ht="23.1" customHeight="1">
      <c r="A82" s="33" t="s">
        <v>362</v>
      </c>
      <c r="B82" s="34"/>
      <c r="C82" s="34"/>
      <c r="D82" s="34"/>
      <c r="E82" s="33" t="s">
        <v>1086</v>
      </c>
      <c r="F82" s="34"/>
      <c r="G82" s="33" t="s">
        <v>1085</v>
      </c>
    </row>
    <row r="83" spans="1:7" ht="23.1" customHeight="1">
      <c r="A83" s="33" t="s">
        <v>366</v>
      </c>
      <c r="B83" s="34"/>
      <c r="C83" s="34"/>
      <c r="D83" s="34"/>
      <c r="E83" s="33" t="s">
        <v>1086</v>
      </c>
      <c r="F83" s="34"/>
      <c r="G83" s="33" t="s">
        <v>1085</v>
      </c>
    </row>
  </sheetData>
  <dataValidations count="2">
    <dataValidation type="list" sqref="G2:G83" xr:uid="{00000000-0002-0000-0000-000001000000}">
      <formula1>"DRAFT,APPROVED,NEEDS_REVIEW"</formula1>
    </dataValidation>
    <dataValidation type="list" sqref="E2:E83" xr:uid="{00000000-0002-0000-0000-000000000000}">
      <formula1>"UNDOCUMENTED,PLANNED,IMPLEMENTED,NOT_APPLICABLE"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Lisez-moi</vt:lpstr>
      <vt:lpstr>Catalogue</vt:lpstr>
      <vt:lpstr>Niveaux 1-20</vt:lpstr>
      <vt:lpstr>Raretés</vt:lpstr>
      <vt:lpstr>Classes</vt:lpstr>
      <vt:lpstr>Améliorations</vt:lpstr>
      <vt:lpstr>Uniques</vt:lpstr>
      <vt:lpstr>Paramètres</vt:lpstr>
      <vt:lpstr>Implémentation UE5</vt:lpstr>
      <vt:lpstr>Affixes</vt:lpstr>
      <vt:lpstr>Pénalités de niveau</vt:lpstr>
      <vt:lpstr>Contrat synthèse</vt:lpstr>
      <vt:lpstr>Narratif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Philippe MARTIN</cp:lastModifiedBy>
  <dcterms:modified xsi:type="dcterms:W3CDTF">2026-10-25T10:35:26Z</dcterms:modified>
</cp:coreProperties>
</file>